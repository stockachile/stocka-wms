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08 Agosto\Detalles\"/>
    </mc:Choice>
  </mc:AlternateContent>
  <xr:revisionPtr revIDLastSave="0" documentId="8_{BD38B6FB-EBE6-4CC7-9923-3791D6A7A9A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2" l="1"/>
  <c r="E12" i="2"/>
  <c r="D12" i="2"/>
  <c r="E5" i="2"/>
  <c r="D5" i="2"/>
  <c r="E10" i="2"/>
  <c r="D10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<sst xmlns="http://schemas.openxmlformats.org/spreadsheetml/2006/main" count="25951" uniqueCount="7916">
  <si>
    <t>IVA</t>
  </si>
  <si>
    <t>Total</t>
  </si>
  <si>
    <t>Entregado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</si>
  <si>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</si>
  <si>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</si>
  <si>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</si>
  <si>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</si>
  <si>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</si>
  <si>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</si>
  <si>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</si>
  <si>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</si>
  <si>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</si>
  <si>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</si>
  <si>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</si>
  <si>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</si>
  <si>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</si>
  <si>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</si>
  <si>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</si>
  <si>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</si>
  <si>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</si>
  <si>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</si>
  <si>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</si>
  <si>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</si>
  <si>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</si>
  <si>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</si>
  <si>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</si>
  <si>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</si>
  <si>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</si>
  <si>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</si>
  <si>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</si>
  <si>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</si>
  <si>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</si>
  <si>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</si>
  <si>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</si>
  <si>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</si>
  <si>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</si>
  <si>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Pudahuel</t>
  </si>
  <si>
    <t>Santiago</t>
  </si>
  <si>
    <t>Puente Alto</t>
  </si>
  <si>
    <t>Providencia</t>
  </si>
  <si>
    <t>Ñuñoa</t>
  </si>
  <si>
    <t>La Florida</t>
  </si>
  <si>
    <t>Las Condes</t>
  </si>
  <si>
    <t>Vitacura</t>
  </si>
  <si>
    <t>Lo Barnechea</t>
  </si>
  <si>
    <t>Quinta Normal</t>
  </si>
  <si>
    <t>Valparaíso</t>
  </si>
  <si>
    <t>Quilpué</t>
  </si>
  <si>
    <t>Viña del Mar</t>
  </si>
  <si>
    <t>Rancagua</t>
  </si>
  <si>
    <t>Concepción</t>
  </si>
  <si>
    <t>Los Ángeles</t>
  </si>
  <si>
    <t>San Pedro de la Paz</t>
  </si>
  <si>
    <t>Lampa</t>
  </si>
  <si>
    <t>Linares</t>
  </si>
  <si>
    <t>Curicó</t>
  </si>
  <si>
    <t>Valdivia</t>
  </si>
  <si>
    <t>Ovalle</t>
  </si>
  <si>
    <t>Talcahuano</t>
  </si>
  <si>
    <t>Concón</t>
  </si>
  <si>
    <t>Villa Alemana</t>
  </si>
  <si>
    <t>Ancud</t>
  </si>
  <si>
    <t>Chillán</t>
  </si>
  <si>
    <t>Copiapó</t>
  </si>
  <si>
    <t>La Serena</t>
  </si>
  <si>
    <t>La Cruz</t>
  </si>
  <si>
    <t>Devolucion entregada</t>
  </si>
  <si>
    <t>Santa Cruz</t>
  </si>
  <si>
    <t>contract_type</t>
  </si>
  <si>
    <t>peso informado por carrier</t>
  </si>
  <si>
    <t>Maipú</t>
  </si>
  <si>
    <t>La Reina</t>
  </si>
  <si>
    <t>Peñalolén</t>
  </si>
  <si>
    <t>San Fernando</t>
  </si>
  <si>
    <t>Puerto Montt</t>
  </si>
  <si>
    <t>Villarrica</t>
  </si>
  <si>
    <t>La Unión</t>
  </si>
  <si>
    <t>Vicuña</t>
  </si>
  <si>
    <t>Los Vilos</t>
  </si>
  <si>
    <t>Talca</t>
  </si>
  <si>
    <t>Río Bueno</t>
  </si>
  <si>
    <t>Coronel</t>
  </si>
  <si>
    <t>Temuco</t>
  </si>
  <si>
    <t>Tomé</t>
  </si>
  <si>
    <t>Buin</t>
  </si>
  <si>
    <t>Vallenar</t>
  </si>
  <si>
    <t>Rengo</t>
  </si>
  <si>
    <t>Laja</t>
  </si>
  <si>
    <t>Santo Domingo</t>
  </si>
  <si>
    <t>San Vicente</t>
  </si>
  <si>
    <t>Aysén</t>
  </si>
  <si>
    <t>Flex</t>
  </si>
  <si>
    <t>mkp</t>
  </si>
  <si>
    <t>Recoleta</t>
  </si>
  <si>
    <t>El Bosque</t>
  </si>
  <si>
    <t>Lo Prado</t>
  </si>
  <si>
    <t>Quilicura</t>
  </si>
  <si>
    <t>San Miguel</t>
  </si>
  <si>
    <t>Estación Central</t>
  </si>
  <si>
    <t>San Bernardo</t>
  </si>
  <si>
    <t>Macul</t>
  </si>
  <si>
    <t>San Ramón</t>
  </si>
  <si>
    <t>San Joaquín</t>
  </si>
  <si>
    <t>null</t>
  </si>
  <si>
    <t>2025-08-13 11:24</t>
  </si>
  <si>
    <t>Punta Arenas</t>
  </si>
  <si>
    <t>Coyhaique</t>
  </si>
  <si>
    <t>Antofagasta</t>
  </si>
  <si>
    <t>Tocopilla</t>
  </si>
  <si>
    <t>Arica</t>
  </si>
  <si>
    <t>Alto Hospicio</t>
  </si>
  <si>
    <t>Puerto Varas</t>
  </si>
  <si>
    <t>Osorno</t>
  </si>
  <si>
    <t>Calbuco</t>
  </si>
  <si>
    <t>Castro</t>
  </si>
  <si>
    <t>Victoria</t>
  </si>
  <si>
    <t>Caldera</t>
  </si>
  <si>
    <t>Yungay</t>
  </si>
  <si>
    <t>San Javier</t>
  </si>
  <si>
    <t>2025-08-07 11:31</t>
  </si>
  <si>
    <t>Chiguayante</t>
  </si>
  <si>
    <t>Arauco</t>
  </si>
  <si>
    <t>Hualpén</t>
  </si>
  <si>
    <t>Penco</t>
  </si>
  <si>
    <t>San Clemente</t>
  </si>
  <si>
    <t>Constitución</t>
  </si>
  <si>
    <t>Quillota</t>
  </si>
  <si>
    <t>Las Cabras</t>
  </si>
  <si>
    <t>Casablanca</t>
  </si>
  <si>
    <t>Machalí</t>
  </si>
  <si>
    <t>Los Andes</t>
  </si>
  <si>
    <t>Illapel</t>
  </si>
  <si>
    <t>Nelson Martinez</t>
  </si>
  <si>
    <t>San José de Maipo</t>
  </si>
  <si>
    <t>Pirque</t>
  </si>
  <si>
    <t>Luis Calderón</t>
  </si>
  <si>
    <t>Pichidegua</t>
  </si>
  <si>
    <t>Melipilla</t>
  </si>
  <si>
    <t>Conchalí</t>
  </si>
  <si>
    <t>Camila Nunez</t>
  </si>
  <si>
    <t>Cerrillos</t>
  </si>
  <si>
    <t>Independencia</t>
  </si>
  <si>
    <t>STARKEN</t>
  </si>
  <si>
    <t>SKN</t>
  </si>
  <si>
    <t>Normal</t>
  </si>
  <si>
    <t>Isla de Maipo</t>
  </si>
  <si>
    <t>2025-08-18 13:48</t>
  </si>
  <si>
    <t>Calera de Tango</t>
  </si>
  <si>
    <t>Cañete</t>
  </si>
  <si>
    <t>Iquique</t>
  </si>
  <si>
    <t>Calama</t>
  </si>
  <si>
    <t>Pucón</t>
  </si>
  <si>
    <t>El Tabo</t>
  </si>
  <si>
    <t>Huechuraba</t>
  </si>
  <si>
    <t>Coquimbo</t>
  </si>
  <si>
    <t>San Antonio</t>
  </si>
  <si>
    <t>BLUEXPRESS</t>
  </si>
  <si>
    <t>BLX</t>
  </si>
  <si>
    <t>ENTREGADO</t>
  </si>
  <si>
    <t>Mostazal</t>
  </si>
  <si>
    <t>Calera</t>
  </si>
  <si>
    <t>San Felipe</t>
  </si>
  <si>
    <t>CHILEXPRESS</t>
  </si>
  <si>
    <t>CHX</t>
  </si>
  <si>
    <t>Dia Hábil Siguiente (Express Aéreo)</t>
  </si>
  <si>
    <t>PIEZA ENTREGADA A DESTINATARIO</t>
  </si>
  <si>
    <t>Standard</t>
  </si>
  <si>
    <t>2025-08-08 12:44</t>
  </si>
  <si>
    <t>Paine</t>
  </si>
  <si>
    <t>En Reparto</t>
  </si>
  <si>
    <t>Daniel Campos</t>
  </si>
  <si>
    <t>Diego Fernandez</t>
  </si>
  <si>
    <t>Diego Valenzuela</t>
  </si>
  <si>
    <t>Sofia Castillo</t>
  </si>
  <si>
    <t>Camila Gutierrez</t>
  </si>
  <si>
    <t>Carlos Muñoz</t>
  </si>
  <si>
    <t>Diego Gonzalez</t>
  </si>
  <si>
    <t>Cristian Salgado</t>
  </si>
  <si>
    <t>Paula Gonzalez</t>
  </si>
  <si>
    <t>Francesca Solervicens</t>
  </si>
  <si>
    <t>Rodrigo Diaz</t>
  </si>
  <si>
    <t>Carolina Alvarez</t>
  </si>
  <si>
    <t>maria jose Tapia Klarian</t>
  </si>
  <si>
    <t>Scarlett Arevalo</t>
  </si>
  <si>
    <t>Carla Arteaga</t>
  </si>
  <si>
    <t>Israel Tepihi</t>
  </si>
  <si>
    <t>Catalina Campos</t>
  </si>
  <si>
    <t>Francisco Godoy</t>
  </si>
  <si>
    <t>Claudia Martinez</t>
  </si>
  <si>
    <t>Javiera Varas</t>
  </si>
  <si>
    <t>Paillaco</t>
  </si>
  <si>
    <t>Puchuncaví</t>
  </si>
  <si>
    <t>Talagante</t>
  </si>
  <si>
    <t>Renca</t>
  </si>
  <si>
    <t>Nacimiento</t>
  </si>
  <si>
    <t>Peñaflor</t>
  </si>
  <si>
    <t>Curacaví</t>
  </si>
  <si>
    <t>San Carlos</t>
  </si>
  <si>
    <t>La Pintana</t>
  </si>
  <si>
    <t>Teno</t>
  </si>
  <si>
    <t>Taltal</t>
  </si>
  <si>
    <t>Angol</t>
  </si>
  <si>
    <t>Panguipulli</t>
  </si>
  <si>
    <t>Molina</t>
  </si>
  <si>
    <t>Parral</t>
  </si>
  <si>
    <t>Coltauco</t>
  </si>
  <si>
    <t>Freire</t>
  </si>
  <si>
    <t>Peralillo</t>
  </si>
  <si>
    <t>Nogales</t>
  </si>
  <si>
    <t>Lota</t>
  </si>
  <si>
    <t>Salamanca</t>
  </si>
  <si>
    <t>Tucapel</t>
  </si>
  <si>
    <t>Lautaro</t>
  </si>
  <si>
    <t>La Ligua</t>
  </si>
  <si>
    <t>Chillán Viejo</t>
  </si>
  <si>
    <t>Curanilahue</t>
  </si>
  <si>
    <t>Mulchén</t>
  </si>
  <si>
    <t>Limache</t>
  </si>
  <si>
    <t>María Elena</t>
  </si>
  <si>
    <t>Calle Larga</t>
  </si>
  <si>
    <t>Licantén</t>
  </si>
  <si>
    <t>Catemu</t>
  </si>
  <si>
    <t>Lo Espejo</t>
  </si>
  <si>
    <t>Coihueco</t>
  </si>
  <si>
    <t>Pozo Almonte</t>
  </si>
  <si>
    <t>Requínoa</t>
  </si>
  <si>
    <t>Olivar</t>
  </si>
  <si>
    <t>Hualañé</t>
  </si>
  <si>
    <t>Quellón</t>
  </si>
  <si>
    <t>Olmué</t>
  </si>
  <si>
    <t>Coelemu</t>
  </si>
  <si>
    <t>Lanco</t>
  </si>
  <si>
    <t>Graneros</t>
  </si>
  <si>
    <t>Chonchi</t>
  </si>
  <si>
    <t>El Carmen</t>
  </si>
  <si>
    <t>Marchihue</t>
  </si>
  <si>
    <t>Cartagena</t>
  </si>
  <si>
    <t>Dalcahue</t>
  </si>
  <si>
    <t>Pichilemu</t>
  </si>
  <si>
    <t>Papudo</t>
  </si>
  <si>
    <t>Llanquihue</t>
  </si>
  <si>
    <t>Futrono</t>
  </si>
  <si>
    <t>Bulnes</t>
  </si>
  <si>
    <t>Algarrobo</t>
  </si>
  <si>
    <t>Chimbarongo</t>
  </si>
  <si>
    <t>Curacautín</t>
  </si>
  <si>
    <t>Codegua</t>
  </si>
  <si>
    <t>Quintero</t>
  </si>
  <si>
    <t>Pitrufquén</t>
  </si>
  <si>
    <t>Malloa</t>
  </si>
  <si>
    <t>Chile Chico</t>
  </si>
  <si>
    <t>Maullín</t>
  </si>
  <si>
    <t>San Pedro de Atacama</t>
  </si>
  <si>
    <t>Cochrane</t>
  </si>
  <si>
    <t>Diego de Almagro</t>
  </si>
  <si>
    <t>El Quisco</t>
  </si>
  <si>
    <t>Longaví</t>
  </si>
  <si>
    <t>Andacollo</t>
  </si>
  <si>
    <t>Quinchao</t>
  </si>
  <si>
    <t>El Monte</t>
  </si>
  <si>
    <t>Quinta de Tilcoco</t>
  </si>
  <si>
    <t>Natales</t>
  </si>
  <si>
    <t>San Esteban</t>
  </si>
  <si>
    <t>Rinconada</t>
  </si>
  <si>
    <t>Mejillones</t>
  </si>
  <si>
    <t>Carahue</t>
  </si>
  <si>
    <t>Combarbalá</t>
  </si>
  <si>
    <t>EN REPARTO</t>
  </si>
  <si>
    <t>2025-08-18 16:03</t>
  </si>
  <si>
    <t>2025-08-19 11:13</t>
  </si>
  <si>
    <t>2025-08-27 14:34</t>
  </si>
  <si>
    <t>2025-08-11 14:01</t>
  </si>
  <si>
    <t>Contulmo</t>
  </si>
  <si>
    <t>NOMBRE RETIRA: RUT RETIRA: 1-9</t>
  </si>
  <si>
    <t>2025-08-05 11:33</t>
  </si>
  <si>
    <t>2025-08-26 12:30</t>
  </si>
  <si>
    <t>2025-08-26 10:02</t>
  </si>
  <si>
    <t>2025-08-13 11:22</t>
  </si>
  <si>
    <t>NOMBRE RETIRA: MARCO SANTANDER . RUT RETIRA: 10050628-9</t>
  </si>
  <si>
    <t>2025-08-28 11:56</t>
  </si>
  <si>
    <t>2025-08-20 12:35</t>
  </si>
  <si>
    <t>2025-08-08 12:11</t>
  </si>
  <si>
    <t>2025-08-18 10:57</t>
  </si>
  <si>
    <t>DEVUELTO</t>
  </si>
  <si>
    <t>2025-08-25 12:29</t>
  </si>
  <si>
    <t>2025-08-22 11:33</t>
  </si>
  <si>
    <t>Felipe Ignacio</t>
  </si>
  <si>
    <t>2025-08-22 11:26</t>
  </si>
  <si>
    <t>Andrea Vargas</t>
  </si>
  <si>
    <t>2025-08-13 11:26</t>
  </si>
  <si>
    <t>NOMBRE RETIRA: MATIAS . . RUT RETIRA: 20055954-1</t>
  </si>
  <si>
    <t>2025-08-11 12:58</t>
  </si>
  <si>
    <t>2025-08-11 12:55</t>
  </si>
  <si>
    <t>2025-08-08 12:05</t>
  </si>
  <si>
    <t>2025-08-06 16:43</t>
  </si>
  <si>
    <t>2025-08-05 12:31</t>
  </si>
  <si>
    <t>2025-07-31 09:40</t>
  </si>
  <si>
    <t>2025-08-13 10:32</t>
  </si>
  <si>
    <t>2025-08-07 10:40</t>
  </si>
  <si>
    <t>2025-07-31 09:42</t>
  </si>
  <si>
    <t>2025-08-21 11:16</t>
  </si>
  <si>
    <t>2025-08-19 11:14</t>
  </si>
  <si>
    <t>2025-08-05 12:38</t>
  </si>
  <si>
    <t>2025-07-31 09:44</t>
  </si>
  <si>
    <t>2025-08-06 09:34</t>
  </si>
  <si>
    <t>2025-08-05 12:35</t>
  </si>
  <si>
    <t>2025-08-05 13:01</t>
  </si>
  <si>
    <t>2025-07-31 09:58</t>
  </si>
  <si>
    <t>2025-08-11 12:40</t>
  </si>
  <si>
    <t>2025-08-08 12:20</t>
  </si>
  <si>
    <t>2025-08-06 09:38</t>
  </si>
  <si>
    <t>2025-08-05 12:41</t>
  </si>
  <si>
    <t>2025-08-01 12:31</t>
  </si>
  <si>
    <t>2025-08-11 12:59</t>
  </si>
  <si>
    <t>2025-07-31 09:41</t>
  </si>
  <si>
    <t>Beatriz Gonzalez</t>
  </si>
  <si>
    <t>Muriel Vilches</t>
  </si>
  <si>
    <t>Paula Morales</t>
  </si>
  <si>
    <t>Claudia Ríos</t>
  </si>
  <si>
    <t>Daniela Bustamante</t>
  </si>
  <si>
    <t>Sameday</t>
  </si>
  <si>
    <t>2025-08-25 12:47</t>
  </si>
  <si>
    <t>2025-08-25 19:34</t>
  </si>
  <si>
    <t>2025-08-08 00:10</t>
  </si>
  <si>
    <t>2025-08-11 15:31</t>
  </si>
  <si>
    <t>2025-08-12 10:55</t>
  </si>
  <si>
    <t>2025-08-18 16:04</t>
  </si>
  <si>
    <t>2025-07-31 13:06</t>
  </si>
  <si>
    <t>Retiros S/C</t>
  </si>
  <si>
    <t>2025-08-14 11:02</t>
  </si>
  <si>
    <t>Camila Murillo Valencia</t>
  </si>
  <si>
    <t>Claudio Gutierrez</t>
  </si>
  <si>
    <t>Juan Pablo Muñoz</t>
  </si>
  <si>
    <t>Valentina Silva</t>
  </si>
  <si>
    <t>Fernanda Valdivieso</t>
  </si>
  <si>
    <t>Chacabuco 8823</t>
  </si>
  <si>
    <t>Ana Godoy</t>
  </si>
  <si>
    <t>Cristian Paz</t>
  </si>
  <si>
    <t>Aracely Sandoval Contreras</t>
  </si>
  <si>
    <t>Chorrillos 590</t>
  </si>
  <si>
    <t>Marcos Maldonado</t>
  </si>
  <si>
    <t>La hacienda macul 5701, 31</t>
  </si>
  <si>
    <t>Catalina Quezada</t>
  </si>
  <si>
    <t>Felipe Rodríguez</t>
  </si>
  <si>
    <t>Marcela Martínez</t>
  </si>
  <si>
    <t>Pamela Rojas</t>
  </si>
  <si>
    <t>Ercilla</t>
  </si>
  <si>
    <t>Alto Biobío</t>
  </si>
  <si>
    <t>Pencahue</t>
  </si>
  <si>
    <t>San Pablo</t>
  </si>
  <si>
    <t>2025-08-06 10:33</t>
  </si>
  <si>
    <t>2025-08-23 12:20</t>
  </si>
  <si>
    <t>2025-08-25 11:02</t>
  </si>
  <si>
    <t>2025-08-25 21:20</t>
  </si>
  <si>
    <t>Francisca Alvarez</t>
  </si>
  <si>
    <t>2025-08-26 21:54</t>
  </si>
  <si>
    <t>Jaime Vargas</t>
  </si>
  <si>
    <t>Esteban González</t>
  </si>
  <si>
    <t>2025-08-28 09:05</t>
  </si>
  <si>
    <t>2025-08-04 15:29</t>
  </si>
  <si>
    <t>2025-08-12 14:02</t>
  </si>
  <si>
    <t>2025-08-12 12:31</t>
  </si>
  <si>
    <t>Mauricio Ortega</t>
  </si>
  <si>
    <t>Sebastopol 1809 bodega 1</t>
  </si>
  <si>
    <t>2025-08-18 12:47</t>
  </si>
  <si>
    <t>2025-08-14 12:36</t>
  </si>
  <si>
    <t>2025-08-06 12:50</t>
  </si>
  <si>
    <t>2025-08-06 12:51</t>
  </si>
  <si>
    <t>2025-08-28 12:34</t>
  </si>
  <si>
    <t>2025-08-06 17:41</t>
  </si>
  <si>
    <t>2025-08-05 13:11</t>
  </si>
  <si>
    <t>2025-08-28 22:45</t>
  </si>
  <si>
    <t>2025-08-19 14:06</t>
  </si>
  <si>
    <t>2025-08-28 13:09</t>
  </si>
  <si>
    <t>Felipe Ruminot Torres</t>
  </si>
  <si>
    <t>2025-08-12 12:45</t>
  </si>
  <si>
    <t>2025-08-01 10:07</t>
  </si>
  <si>
    <t>2025-08-28 13:57</t>
  </si>
  <si>
    <t>2025-08-29 12:22</t>
  </si>
  <si>
    <t>2025-08-12 12:44</t>
  </si>
  <si>
    <t>2025-07-31 12:03</t>
  </si>
  <si>
    <t>2025-08-07 10:12</t>
  </si>
  <si>
    <t>2025-07-25 09:58</t>
  </si>
  <si>
    <t>2025-08-12 12:41</t>
  </si>
  <si>
    <t>2025-08-04 12:43</t>
  </si>
  <si>
    <t>Alejandra Pino</t>
  </si>
  <si>
    <t>2025-08-14 11:48</t>
  </si>
  <si>
    <t>NOMBRE RETIRA: DAVID HUENTEN HUENTEN RUT RETIRA: 5959222-K</t>
  </si>
  <si>
    <t>2025-08-28 13:00</t>
  </si>
  <si>
    <t>NOMBRE RETIRA: FELIPE . . RUT RETIRA: 53310370-7</t>
  </si>
  <si>
    <t>2025-08-18 12:42</t>
  </si>
  <si>
    <t>2025-08-07 11:22</t>
  </si>
  <si>
    <t>2025-08-06 10:45</t>
  </si>
  <si>
    <t>2025-08-19 09:26</t>
  </si>
  <si>
    <t>2025-08-18 13:15</t>
  </si>
  <si>
    <t>2025-08-22 09:40</t>
  </si>
  <si>
    <t>Porvenir</t>
  </si>
  <si>
    <t>2025-08-19 09:29</t>
  </si>
  <si>
    <t>2025-07-28 10:52</t>
  </si>
  <si>
    <t>2025-08-22 09:34</t>
  </si>
  <si>
    <t>Ana Gonzalez</t>
  </si>
  <si>
    <t>Nicolas Espinoza</t>
  </si>
  <si>
    <t>2025-08-14 11:03</t>
  </si>
  <si>
    <t>2025-07-28 15:03</t>
  </si>
  <si>
    <t>Alexis Villalobos</t>
  </si>
  <si>
    <t>Cristian Sanhueza</t>
  </si>
  <si>
    <t>Esteban Valenzuela</t>
  </si>
  <si>
    <t>Antonella Giglio</t>
  </si>
  <si>
    <t>2025-08-04 12:10</t>
  </si>
  <si>
    <t>2025-08-04 12:50</t>
  </si>
  <si>
    <t>2025-08-07 12:12</t>
  </si>
  <si>
    <t>2025-08-14 09:15</t>
  </si>
  <si>
    <t>2025-08-18 10:39</t>
  </si>
  <si>
    <t>2025-08-18 12:40</t>
  </si>
  <si>
    <t>Adriana Vasquez</t>
  </si>
  <si>
    <t>2025-08-25 11:28</t>
  </si>
  <si>
    <t>2025-08-25 12:10</t>
  </si>
  <si>
    <t>2025-08-25 16:01</t>
  </si>
  <si>
    <t>Maria Moreno</t>
  </si>
  <si>
    <t>2025-08-29 11:01</t>
  </si>
  <si>
    <t>2025-08-27 09:23</t>
  </si>
  <si>
    <t>2025-08-25 16:41</t>
  </si>
  <si>
    <t>2025-07-28 12:23</t>
  </si>
  <si>
    <t>Paula Reyes</t>
  </si>
  <si>
    <t>2025-08-04 12:19</t>
  </si>
  <si>
    <t>2025-08-07 11:42</t>
  </si>
  <si>
    <t>2025-08-18 13:47</t>
  </si>
  <si>
    <t>Sofía Amor Findlay</t>
  </si>
  <si>
    <t>2025-08-20 11:09</t>
  </si>
  <si>
    <t>2025-08-21 11:37</t>
  </si>
  <si>
    <t>2025-08-25 12:19</t>
  </si>
  <si>
    <t>2025-08-07 11:27</t>
  </si>
  <si>
    <t>2025-08-18 13:49</t>
  </si>
  <si>
    <t>Luis Ortiz</t>
  </si>
  <si>
    <t>2025-08-18 10:40</t>
  </si>
  <si>
    <t>Carolina Jorquera</t>
  </si>
  <si>
    <t>Felipe Toledo</t>
  </si>
  <si>
    <t>Javiera Osorio</t>
  </si>
  <si>
    <t>2025-08-13 11:27</t>
  </si>
  <si>
    <t>NOMBRE RETIRA: FERNANDA AGUILAR . RUT RETIRA: 19397046-K</t>
  </si>
  <si>
    <t>2025-08-21 12:25</t>
  </si>
  <si>
    <t>2025-08-20 12:32</t>
  </si>
  <si>
    <t>2025-08-25 11:25</t>
  </si>
  <si>
    <t>2025-08-11 12:49</t>
  </si>
  <si>
    <t>Javier Lagos</t>
  </si>
  <si>
    <t>2025-08-07 11:18</t>
  </si>
  <si>
    <t>2025-08-25 21:21</t>
  </si>
  <si>
    <t>2025-08-19 12:43</t>
  </si>
  <si>
    <t>2025-08-20 11:42</t>
  </si>
  <si>
    <t>2025-08-12 10:42</t>
  </si>
  <si>
    <t>2025-08-11 11:05</t>
  </si>
  <si>
    <t>2025-08-04 12:18</t>
  </si>
  <si>
    <t>2025-08-26 11:40</t>
  </si>
  <si>
    <t>2025-07-30 12:45</t>
  </si>
  <si>
    <t>2025-08-05 12:55</t>
  </si>
  <si>
    <t>Paulina Carrasco</t>
  </si>
  <si>
    <t>Camila Rodriguez</t>
  </si>
  <si>
    <t>Carolina Rodriguez</t>
  </si>
  <si>
    <t>Camila Gonzalez</t>
  </si>
  <si>
    <t>Marcela Fernandez</t>
  </si>
  <si>
    <t>Claudia Jara</t>
  </si>
  <si>
    <t>Evelyn Villalobos</t>
  </si>
  <si>
    <t>Camila Cruz</t>
  </si>
  <si>
    <t>Carlos Espinoza</t>
  </si>
  <si>
    <t>Lilian Reyes</t>
  </si>
  <si>
    <t>2025-08-08 11:20</t>
  </si>
  <si>
    <t>Macarena Fernandez</t>
  </si>
  <si>
    <t>2025-08-14 12:58</t>
  </si>
  <si>
    <t>2025-08-08 12:57</t>
  </si>
  <si>
    <t>2025-08-04 12:08</t>
  </si>
  <si>
    <t>2025-08-07 11:39</t>
  </si>
  <si>
    <t>Luis Salas</t>
  </si>
  <si>
    <t>2025-08-03 16:15</t>
  </si>
  <si>
    <t>2025-08-19 12:41</t>
  </si>
  <si>
    <t>2025-08-14 12:48</t>
  </si>
  <si>
    <t>2025-08-11 16:29</t>
  </si>
  <si>
    <t>2025-08-11 14:28</t>
  </si>
  <si>
    <t>2025-08-10 12:08</t>
  </si>
  <si>
    <t>2025-08-14 18:01</t>
  </si>
  <si>
    <t>Josefina sandoval</t>
  </si>
  <si>
    <t>Nicolas Molina</t>
  </si>
  <si>
    <t>Antonia Pardo</t>
  </si>
  <si>
    <t>2025-08-25 21:00</t>
  </si>
  <si>
    <t>2025-08-25 21:19</t>
  </si>
  <si>
    <t>2025-08-26 11:27</t>
  </si>
  <si>
    <t>2025-08-26 13:37</t>
  </si>
  <si>
    <t>Marcelo Zapata</t>
  </si>
  <si>
    <t>2025-08-02 12:06</t>
  </si>
  <si>
    <t>2025-08-04 12:37</t>
  </si>
  <si>
    <t>2025-08-05 09:33</t>
  </si>
  <si>
    <t>2025-08-05 11:18</t>
  </si>
  <si>
    <t>2025-08-05 13:10</t>
  </si>
  <si>
    <t>2025-08-06 13:30</t>
  </si>
  <si>
    <t>2025-08-08 11:23</t>
  </si>
  <si>
    <t>2025-08-09 10:17</t>
  </si>
  <si>
    <t>2025-08-13 12:38</t>
  </si>
  <si>
    <t>2025-08-13 13:50</t>
  </si>
  <si>
    <t>2025-08-14 12:19</t>
  </si>
  <si>
    <t>2025-08-21 13:06</t>
  </si>
  <si>
    <t>2025-08-18 10:18</t>
  </si>
  <si>
    <t>2025-08-19 15:01</t>
  </si>
  <si>
    <t>Gipsy Haller</t>
  </si>
  <si>
    <t>Matias Rivas</t>
  </si>
  <si>
    <t>NOMBRE RETIRA: NELSON SANTIBANEZ 0 RUT RETIRA: 12345678-5</t>
  </si>
  <si>
    <t>WELIVERY</t>
  </si>
  <si>
    <t>WLV</t>
  </si>
  <si>
    <t>NOMBRE RETIRA: RODRIGO SOLDANO . RUT RETIRA: 8168895-8</t>
  </si>
  <si>
    <t>NOMBRE RETIRA: COMUNIDAD AMALFI . RUT RETIRA: 53309725-1</t>
  </si>
  <si>
    <t>Paula Solis</t>
  </si>
  <si>
    <t>Manuel Rojas</t>
  </si>
  <si>
    <t>Carolina Muñoz</t>
  </si>
  <si>
    <t>Javiera Novoa</t>
  </si>
  <si>
    <t>Javiera Rodriguez</t>
  </si>
  <si>
    <t>2025-08-14 11:17</t>
  </si>
  <si>
    <t>2025-07-30 10:17</t>
  </si>
  <si>
    <t>Natalia Aravena</t>
  </si>
  <si>
    <t>2025-08-18 13:30</t>
  </si>
  <si>
    <t>2025-08-20 09:19</t>
  </si>
  <si>
    <t>Matias Monsalve</t>
  </si>
  <si>
    <t>2025-08-19 12:49</t>
  </si>
  <si>
    <t>2025-08-19 11:42</t>
  </si>
  <si>
    <t>2025-08-19 12:52</t>
  </si>
  <si>
    <t>2025-08-01 10:12</t>
  </si>
  <si>
    <t>2025-08-22 09:32</t>
  </si>
  <si>
    <t>NOMBRE RETIRA: ERIC PARRA X RUT RETIRA: 17826795-7</t>
  </si>
  <si>
    <t>2025-08-05 12:33</t>
  </si>
  <si>
    <t>Ximena Contreras</t>
  </si>
  <si>
    <t>Carlos Contreras</t>
  </si>
  <si>
    <t>Gabriela Muñoz</t>
  </si>
  <si>
    <t>Patricia Hoces Sauvat</t>
  </si>
  <si>
    <t>María Monvel 1175</t>
  </si>
  <si>
    <t>2025-08-13 12:39</t>
  </si>
  <si>
    <t>2025-08-11 00:33</t>
  </si>
  <si>
    <t>2025-08-08 12:34</t>
  </si>
  <si>
    <t>JOSE QUEZADA GONZALEZ</t>
  </si>
  <si>
    <t>2025-08-11 16:21</t>
  </si>
  <si>
    <t>2025-08-01 15:04</t>
  </si>
  <si>
    <t>2025-08-04 12:09</t>
  </si>
  <si>
    <t>2025-08-29 13:28</t>
  </si>
  <si>
    <t>2025-08-23 10:46</t>
  </si>
  <si>
    <t>2025-08-24 22:09</t>
  </si>
  <si>
    <t>2025-08-21 22:25</t>
  </si>
  <si>
    <t>2025-08-10 17:48</t>
  </si>
  <si>
    <t>2025-08-08 12:43</t>
  </si>
  <si>
    <t>2025-08-14 12:02</t>
  </si>
  <si>
    <t>NOMBRE RETIRA: PABLO PENA . RUT RETIRA: 18691803-7</t>
  </si>
  <si>
    <t>PABLO PEÑA</t>
  </si>
  <si>
    <t>NOMBRE RETIRA: OSCAR SEGOVIA . RUT RETIRA: 9500769-4</t>
  </si>
  <si>
    <t>Carolina Valenzuela</t>
  </si>
  <si>
    <t>2025-08-29 11:15</t>
  </si>
  <si>
    <t>2025-08-28 22:44</t>
  </si>
  <si>
    <t>2025-08-28 22:43</t>
  </si>
  <si>
    <t>2025-08-27 11:54</t>
  </si>
  <si>
    <t>2025-08-01 13:07</t>
  </si>
  <si>
    <t>2025-08-02 12:09</t>
  </si>
  <si>
    <t>Raul Muñoz</t>
  </si>
  <si>
    <t>Claudia Nuñez</t>
  </si>
  <si>
    <t>2025-08-06 13:15</t>
  </si>
  <si>
    <t>Luis Alvarez</t>
  </si>
  <si>
    <t>Viviana Mena</t>
  </si>
  <si>
    <t>Paulina Silva</t>
  </si>
  <si>
    <t>Luis Arias</t>
  </si>
  <si>
    <t>Jose Cruz</t>
  </si>
  <si>
    <t>Carolina Lopez</t>
  </si>
  <si>
    <t>Damaris Hernandez</t>
  </si>
  <si>
    <t>Cecilia Pizarro</t>
  </si>
  <si>
    <t>Patricia Campos</t>
  </si>
  <si>
    <t>Cesar Hidalgo</t>
  </si>
  <si>
    <t>Victor Barria</t>
  </si>
  <si>
    <t>Jorge Olmos</t>
  </si>
  <si>
    <t>Felipe Soto</t>
  </si>
  <si>
    <t>Sebastian Muñoz</t>
  </si>
  <si>
    <t>Luis Gomez</t>
  </si>
  <si>
    <t>Nicole Franco Aguilera</t>
  </si>
  <si>
    <t>Camila Figueroa</t>
  </si>
  <si>
    <t>Marcos Nuñez</t>
  </si>
  <si>
    <t>Martina Calderon</t>
  </si>
  <si>
    <t>2025-08-07 10:13</t>
  </si>
  <si>
    <t>NOMBRE RETIRA: PATRICIO CUEVAS . RUT RETIRA: 53336919-7</t>
  </si>
  <si>
    <t>Gustavo Flores</t>
  </si>
  <si>
    <t>Jorge Arancibia</t>
  </si>
  <si>
    <t>NOMBRE RETIRA: GIOVANNA . . RUT RETIRA: 13465010-9</t>
  </si>
  <si>
    <t>NOMBRE RETIRA: BECERRA . . RUT RETIRA: 53310370-7</t>
  </si>
  <si>
    <t>2025-08-14 12:35</t>
  </si>
  <si>
    <t>2025-08-13 10:50</t>
  </si>
  <si>
    <t>2025-08-12 13:01</t>
  </si>
  <si>
    <t>2025-08-11 14:30</t>
  </si>
  <si>
    <t>2025-08-06 14:00</t>
  </si>
  <si>
    <t>2025-08-06 12:20</t>
  </si>
  <si>
    <t>2025-08-01 10:10</t>
  </si>
  <si>
    <t>Ignacio Rojas</t>
  </si>
  <si>
    <t>2025-08-07 13:40</t>
  </si>
  <si>
    <t>Sergio Muñoz</t>
  </si>
  <si>
    <t>servicio</t>
  </si>
  <si>
    <t>Francisca Ortega</t>
  </si>
  <si>
    <t>Ronald Fuentes 2128</t>
  </si>
  <si>
    <t>2025-08-28 12:57</t>
  </si>
  <si>
    <t>seguro</t>
  </si>
  <si>
    <t>2025-08-23 12:30</t>
  </si>
  <si>
    <t>2025-08-24 21:35</t>
  </si>
  <si>
    <t>2025-08-25 11:30</t>
  </si>
  <si>
    <t>2025-08-07 11:44</t>
  </si>
  <si>
    <t>2025-08-06 12:55</t>
  </si>
  <si>
    <t>2025-07-30 12:01</t>
  </si>
  <si>
    <t>2025-08-12 12:26</t>
  </si>
  <si>
    <t>2025-07-31 12:12</t>
  </si>
  <si>
    <t>Karen Gonzalez</t>
  </si>
  <si>
    <t>2025-08-08 15:38</t>
  </si>
  <si>
    <t>Luis Bustamante</t>
  </si>
  <si>
    <t>2025-08-28 19:18</t>
  </si>
  <si>
    <t>2025-08-22 11:11</t>
  </si>
  <si>
    <t>Nombre: Sandra reinahuel - Rut: 163132648</t>
  </si>
  <si>
    <t>2025-08-15 21:22</t>
  </si>
  <si>
    <t>2025-08-13 14:36</t>
  </si>
  <si>
    <t>2025-08-07 10:11</t>
  </si>
  <si>
    <t>Edwin Andrés Castillo Reveco</t>
  </si>
  <si>
    <t>Abigail Ramirez</t>
  </si>
  <si>
    <t>2025-08-06 15:55</t>
  </si>
  <si>
    <t>2025-08-06 12:14</t>
  </si>
  <si>
    <t>2025-08-05 09:25</t>
  </si>
  <si>
    <t>2025-08-03 21:01</t>
  </si>
  <si>
    <t>2025-07-29 11:50</t>
  </si>
  <si>
    <t>Juan Pablo Navarro</t>
  </si>
  <si>
    <t>2025-07-31 12:22</t>
  </si>
  <si>
    <t>2025-08-18 23:54</t>
  </si>
  <si>
    <t>Pedro Aguirre Cerda Nø 8234</t>
  </si>
  <si>
    <t>2025-08-12 12:48</t>
  </si>
  <si>
    <t>Ariel Bustamante</t>
  </si>
  <si>
    <t>2025-08-18 16:15</t>
  </si>
  <si>
    <t>2025-08-08 12:32</t>
  </si>
  <si>
    <t>2025-07-29 10:26</t>
  </si>
  <si>
    <t>2025-08-13 15:40</t>
  </si>
  <si>
    <t>2025-08-15 21:25</t>
  </si>
  <si>
    <t>Christian Carrasco</t>
  </si>
  <si>
    <t>Sebastian Rodriguez</t>
  </si>
  <si>
    <t>Franco Álvarez</t>
  </si>
  <si>
    <t>Maria Pia Araya Mejias</t>
  </si>
  <si>
    <t>Almirante Latorre 602, 107</t>
  </si>
  <si>
    <t>Rodrigo Troncoso</t>
  </si>
  <si>
    <t>Pablo Suarez</t>
  </si>
  <si>
    <t>2025-08-20 16:44</t>
  </si>
  <si>
    <t>2025-08-16 11:00</t>
  </si>
  <si>
    <t>Serrano 673</t>
  </si>
  <si>
    <t>2025-08-11 13:09</t>
  </si>
  <si>
    <t>2025-08-02 12:46</t>
  </si>
  <si>
    <t>NOMBRE RETIRA: JUAN MUNOZ . RUT RETIRA: 53334867-K</t>
  </si>
  <si>
    <t>Francisca Olivares</t>
  </si>
  <si>
    <t>2025-08-11 15:57</t>
  </si>
  <si>
    <t>2025-08-26 11:24</t>
  </si>
  <si>
    <t>2025-08-12 12:29</t>
  </si>
  <si>
    <t>Carolina Peña</t>
  </si>
  <si>
    <t>Marcela Pizarro</t>
  </si>
  <si>
    <t>2025-08-22 10:06</t>
  </si>
  <si>
    <t>Ximena Guajardo</t>
  </si>
  <si>
    <t>2025-08-22 09:35</t>
  </si>
  <si>
    <t>Solange Muñoz</t>
  </si>
  <si>
    <t>Paula Zúñiga</t>
  </si>
  <si>
    <t>Carolina Lagos</t>
  </si>
  <si>
    <t>2025-08-18 12:43</t>
  </si>
  <si>
    <t>2025-08-14 11:05</t>
  </si>
  <si>
    <t>2025-08-19 10:07</t>
  </si>
  <si>
    <t>2025-07-31 13:24</t>
  </si>
  <si>
    <t>2025-08-12 12:14</t>
  </si>
  <si>
    <t>2025-08-06 12:46</t>
  </si>
  <si>
    <t>2025-08-05 12:14</t>
  </si>
  <si>
    <t>2025-08-19 12:54</t>
  </si>
  <si>
    <t>Victoria Lafuente andrades</t>
  </si>
  <si>
    <t>2025-08-28 09:02</t>
  </si>
  <si>
    <t>Carlos Rojas</t>
  </si>
  <si>
    <t>2025-07-29 20:12</t>
  </si>
  <si>
    <t>2025-08-04 20:10</t>
  </si>
  <si>
    <t>2025-08-11 13:08</t>
  </si>
  <si>
    <t>2025-08-05 12:02</t>
  </si>
  <si>
    <t>2025-08-07 12:42</t>
  </si>
  <si>
    <t>Carlos Rebolledo</t>
  </si>
  <si>
    <t>Victor Urzua</t>
  </si>
  <si>
    <t>Catherine Rivera</t>
  </si>
  <si>
    <t>Cesar Torres</t>
  </si>
  <si>
    <t>NOMBRE RETIRA: SUSY MONTALBA 0 RUT RETIRA: 12980257-K</t>
  </si>
  <si>
    <t>Esmeralda 299 Arauco, Negocio cumbres</t>
  </si>
  <si>
    <t>2025-07-31 13:17</t>
  </si>
  <si>
    <t>2025-08-12 12:51</t>
  </si>
  <si>
    <t>2025-08-27 13:10</t>
  </si>
  <si>
    <t>2025-08-05 09:32</t>
  </si>
  <si>
    <t>2025-08-14 09:11</t>
  </si>
  <si>
    <t>Martin Perez</t>
  </si>
  <si>
    <t>Felipe Vasquez</t>
  </si>
  <si>
    <t>2025-08-20 12:03</t>
  </si>
  <si>
    <t>2025-08-19 12:47</t>
  </si>
  <si>
    <t>juan avalos</t>
  </si>
  <si>
    <t>2025-08-26 14:19</t>
  </si>
  <si>
    <t>2025-08-21 14:52</t>
  </si>
  <si>
    <t>2025-08-21 14:49</t>
  </si>
  <si>
    <t>2025-08-25 11:23</t>
  </si>
  <si>
    <t>2025-08-18 13:29</t>
  </si>
  <si>
    <t>2025-08-18 13:32</t>
  </si>
  <si>
    <t>Claudio Vargas</t>
  </si>
  <si>
    <t>Ana Vergara</t>
  </si>
  <si>
    <t>2025-08-21 00:13</t>
  </si>
  <si>
    <t>2025-08-21 22:34</t>
  </si>
  <si>
    <t>NOMBRE RETIRA: MARIANA . . RUT RETIRA: 53310370-7</t>
  </si>
  <si>
    <t>NOMBRE RETIRA: RICARDO ALVAREZ A RUT RETIRA: 7879653-7</t>
  </si>
  <si>
    <t>NOMBRE RETIRA: ELILIANA VORQUES . RUT RETIRA: 12753845-K</t>
  </si>
  <si>
    <t>NOMBRE RETIRA: CLARA NOE . RUT RETIRA: 28313461-K</t>
  </si>
  <si>
    <t>NOMBRE RETIRA: PEDRO HENAO . RUT RETIRA: 8727709-7</t>
  </si>
  <si>
    <t>NOMBRE RETIRA: EDUARDO DICKINSON . RUT RETIRA: 10748024-2</t>
  </si>
  <si>
    <t>2025-08-19 00:07</t>
  </si>
  <si>
    <t>2025-08-05 09:26</t>
  </si>
  <si>
    <t>2025-08-14 09:12</t>
  </si>
  <si>
    <t>Mauricio Lagos</t>
  </si>
  <si>
    <t>2025-08-14 12:17</t>
  </si>
  <si>
    <t>Catalina Aguilera</t>
  </si>
  <si>
    <t>Francisco Garay</t>
  </si>
  <si>
    <t>2025-08-20 12:38</t>
  </si>
  <si>
    <t>2025-08-16 11:02</t>
  </si>
  <si>
    <t>11171</t>
  </si>
  <si>
    <t>11114</t>
  </si>
  <si>
    <t>11256</t>
  </si>
  <si>
    <t>11170</t>
  </si>
  <si>
    <t>11139</t>
  </si>
  <si>
    <t>11185</t>
  </si>
  <si>
    <t>11158</t>
  </si>
  <si>
    <t>11152</t>
  </si>
  <si>
    <t>11156</t>
  </si>
  <si>
    <t>11186</t>
  </si>
  <si>
    <t>11208</t>
  </si>
  <si>
    <t>11210</t>
  </si>
  <si>
    <t>11169</t>
  </si>
  <si>
    <t>11203</t>
  </si>
  <si>
    <t>11207</t>
  </si>
  <si>
    <t>11160</t>
  </si>
  <si>
    <t>11062</t>
  </si>
  <si>
    <t>11176</t>
  </si>
  <si>
    <t>11144</t>
  </si>
  <si>
    <t>2025-08-28 09:07</t>
  </si>
  <si>
    <t>2025-07-31 12:14</t>
  </si>
  <si>
    <t>NOMBRE RETIRA: SANDRA ROMERO . RUT RETIRA: 10812567-5</t>
  </si>
  <si>
    <t>NOMBRE RETIRA: ANA MORALES RW RUT RETIRA: 65093621-3</t>
  </si>
  <si>
    <t>2025-08-27 09:17</t>
  </si>
  <si>
    <t>2025-08-28 09:01</t>
  </si>
  <si>
    <t>2025-08-22 12:51</t>
  </si>
  <si>
    <t>2025-08-14 11:53</t>
  </si>
  <si>
    <t>2025-08-07 11:37</t>
  </si>
  <si>
    <t>NOMBRE RETIRA: ANDREA WALTER M RUT RETIRA: 16736277-K</t>
  </si>
  <si>
    <t>Andrea Walter</t>
  </si>
  <si>
    <t>2025-08-14 12:53</t>
  </si>
  <si>
    <t>2025-08-28 09:56</t>
  </si>
  <si>
    <t>2025-08-22 10:20</t>
  </si>
  <si>
    <t>Carla Orlandi</t>
  </si>
  <si>
    <t>2025-08-07 11:13</t>
  </si>
  <si>
    <t>Karen Uribe</t>
  </si>
  <si>
    <t>2025-08-27 13:06</t>
  </si>
  <si>
    <t>Carlos Torres</t>
  </si>
  <si>
    <t>2025-08-11 15:47</t>
  </si>
  <si>
    <t>2025-08-11 12:35</t>
  </si>
  <si>
    <t>2025-08-08 12:45</t>
  </si>
  <si>
    <t>2025-08-04 11:28</t>
  </si>
  <si>
    <t>Erika Monsalvez</t>
  </si>
  <si>
    <t>2025-07-30 10:19</t>
  </si>
  <si>
    <t>Miguel Guzman</t>
  </si>
  <si>
    <t>2025-08-27 11:07</t>
  </si>
  <si>
    <t>Valentina Ampuero</t>
  </si>
  <si>
    <t>Paula Fierro pavez</t>
  </si>
  <si>
    <t>Barbara Sepulveda</t>
  </si>
  <si>
    <t>Camila Lagos</t>
  </si>
  <si>
    <t>Luis Torres</t>
  </si>
  <si>
    <t>2025-08-20 12:34</t>
  </si>
  <si>
    <t>Jorge Gatica</t>
  </si>
  <si>
    <t>2025-08-14 12:54</t>
  </si>
  <si>
    <t>2025-08-12 12:28</t>
  </si>
  <si>
    <t>No Cumple Mínimo Diario</t>
  </si>
  <si>
    <t>2025-08-22 09:31</t>
  </si>
  <si>
    <t>2025-08-28 13:50</t>
  </si>
  <si>
    <t>2025-08-09 13:42</t>
  </si>
  <si>
    <t>Diego Mejias</t>
  </si>
  <si>
    <t>2025-08-25 16:43</t>
  </si>
  <si>
    <t>Jeanette Trincado Urra</t>
  </si>
  <si>
    <t>Esperanza 1367</t>
  </si>
  <si>
    <t>Nelly Aravena</t>
  </si>
  <si>
    <t>Rodrigo Mardones</t>
  </si>
  <si>
    <t>Karen Schwarzenberg</t>
  </si>
  <si>
    <t>Josefa Muñoz</t>
  </si>
  <si>
    <t>Monica Castillo</t>
  </si>
  <si>
    <t>Constanza Jimenez</t>
  </si>
  <si>
    <t>Pedro Palma</t>
  </si>
  <si>
    <t>Carolina Vergara Tapia</t>
  </si>
  <si>
    <t>Pamela Martinez</t>
  </si>
  <si>
    <t>NOMBRE RETIRA: DAVID BUXTON . RUT RETIRA: 14550655-7</t>
  </si>
  <si>
    <t>Pablo Rodriguez</t>
  </si>
  <si>
    <t>Jessica Godoy</t>
  </si>
  <si>
    <t>Elizabeth González</t>
  </si>
  <si>
    <t>Claudia Urrutia</t>
  </si>
  <si>
    <t>Eduardo Morales</t>
  </si>
  <si>
    <t>Patricia Sepulveda</t>
  </si>
  <si>
    <t>2025-08-26 11:28</t>
  </si>
  <si>
    <t>2025-08-27 11:48</t>
  </si>
  <si>
    <t>2025-08-29 13:45</t>
  </si>
  <si>
    <t>Carolina Morales</t>
  </si>
  <si>
    <t>Javiera Jiménez</t>
  </si>
  <si>
    <t>NOMBRE RETIRA: PABLO FONSECA . RUT RETIRA: 10921220-2</t>
  </si>
  <si>
    <t>2025-08-19 15:35</t>
  </si>
  <si>
    <t>2025-08-01 15:44</t>
  </si>
  <si>
    <t>Makarena Molina</t>
  </si>
  <si>
    <t>Katherine Flores</t>
  </si>
  <si>
    <t>Catalina Astudillo</t>
  </si>
  <si>
    <t>Ricardo Cortes</t>
  </si>
  <si>
    <t>Macarena Vasquez</t>
  </si>
  <si>
    <t>Enrique Perez</t>
  </si>
  <si>
    <t>Roberto Gonzalez</t>
  </si>
  <si>
    <t>Angela Paillao</t>
  </si>
  <si>
    <t>Marcela Navarro</t>
  </si>
  <si>
    <t>2025-08-01 10:06</t>
  </si>
  <si>
    <t>2025-08-13 11:04</t>
  </si>
  <si>
    <t>Tania Fernandez</t>
  </si>
  <si>
    <t>Natalia Lagos</t>
  </si>
  <si>
    <t>2025-08-28 13:51</t>
  </si>
  <si>
    <t>2025-08-25 23:02</t>
  </si>
  <si>
    <t>Javiera Diaz</t>
  </si>
  <si>
    <t>2025-08-03 16:12</t>
  </si>
  <si>
    <t>2025-08-21 22:27</t>
  </si>
  <si>
    <t>2025-08-25 20:59</t>
  </si>
  <si>
    <t>2025-08-21 22:35</t>
  </si>
  <si>
    <t>2025-08-27 10:53</t>
  </si>
  <si>
    <t>NOMBRE RETIRA: JUAN CAREAGA H RUT RETIRA: 65195412-6</t>
  </si>
  <si>
    <t>Fabian Cisternas</t>
  </si>
  <si>
    <t>2025-08-10 15:37</t>
  </si>
  <si>
    <t>2025-08-07 15:43</t>
  </si>
  <si>
    <t>2025-08-19 14:13</t>
  </si>
  <si>
    <t>2025-07-31 12:52</t>
  </si>
  <si>
    <t>NOMBRE RETIRA: CRISTIAN . . RUT RETIRA: 53310370-7</t>
  </si>
  <si>
    <t>Sofia Galdames</t>
  </si>
  <si>
    <t>Karen Schulz</t>
  </si>
  <si>
    <t>2025-08-11 18:27</t>
  </si>
  <si>
    <t>NOMBRE RETIRA: JUAN . . RUT RETIRA: 53310370-7</t>
  </si>
  <si>
    <t>2025-08-27 13:09</t>
  </si>
  <si>
    <t>NOMBRE RETIRA: MIGUEL ASTUDILLO ASTUDILLO RUT RETIRA: 15680871-7</t>
  </si>
  <si>
    <t>Miguel Astudillo</t>
  </si>
  <si>
    <t>2025-08-25 21:22</t>
  </si>
  <si>
    <t>2025-08-20 23:57</t>
  </si>
  <si>
    <t>NOMBRE RETIRA: KARINA SANDOVAL X RUT RETIRA: 16665873-K</t>
  </si>
  <si>
    <t>2025-08-19 09:59</t>
  </si>
  <si>
    <t>2025-08-06 12:22</t>
  </si>
  <si>
    <t>2025-08-26 14:18</t>
  </si>
  <si>
    <t>2025-08-09 12:13</t>
  </si>
  <si>
    <t>BIT11030434</t>
  </si>
  <si>
    <t>252060687</t>
  </si>
  <si>
    <t>BACK IN TIME</t>
  </si>
  <si>
    <t>Stocka</t>
  </si>
  <si>
    <t>NOMBRE RETIRA: MANUEL ESPANA .. RUT RETIRA: 5251346-4</t>
  </si>
  <si>
    <t>Manuel España</t>
  </si>
  <si>
    <t>Av. Campos de Deportes 405</t>
  </si>
  <si>
    <t>Simón Cordovez 374, 2 cuadras gimnasio M.Montt</t>
  </si>
  <si>
    <t>2025-08-26 21:47</t>
  </si>
  <si>
    <t>BIT11030438</t>
  </si>
  <si>
    <t>252060669</t>
  </si>
  <si>
    <t>NOMBRE RETIRA: YAZNA SAN MARTIN . RUT RETIRA: 14354225-4</t>
  </si>
  <si>
    <t>Los tilos 1270</t>
  </si>
  <si>
    <t>BIT11030381</t>
  </si>
  <si>
    <t>252004666</t>
  </si>
  <si>
    <t>NOMBRE RETIRA: GONZALO VALDES . RUT RETIRA: 15154742-7</t>
  </si>
  <si>
    <t>Gonzalo Valdés Bobadilla</t>
  </si>
  <si>
    <t>Pasaje Alonso de Ercilla 751</t>
  </si>
  <si>
    <t>2025-08-25 22:51</t>
  </si>
  <si>
    <t>BIT11030343</t>
  </si>
  <si>
    <t>251883125</t>
  </si>
  <si>
    <t>NOMBRE RETIRA: MARCO ASTUDILLO .. RUT RETIRA: 65560030-2</t>
  </si>
  <si>
    <t>Maria Luisa Ramirez moir</t>
  </si>
  <si>
    <t>Av Coraceros 50 edificio mirador coraceros, Depto 141</t>
  </si>
  <si>
    <t>BIT11030279</t>
  </si>
  <si>
    <t>251764856</t>
  </si>
  <si>
    <t>Paola Ríos</t>
  </si>
  <si>
    <t>Martín lutero 02806, Casa 14</t>
  </si>
  <si>
    <t>BIT11030336</t>
  </si>
  <si>
    <t>251883170</t>
  </si>
  <si>
    <t>NOMBRE RETIRA: ABRAHAM AVALOS . RUT RETIRA: 56059340-6</t>
  </si>
  <si>
    <t>Maria Mercedes Yeomans cabrera</t>
  </si>
  <si>
    <t>Jose Manuel Balmaceda 845, Depto B33, Reñaca</t>
  </si>
  <si>
    <t>BIT11030359</t>
  </si>
  <si>
    <t>251883142</t>
  </si>
  <si>
    <t>NOMBRE RETIRA: VERONICA COFRE . RUT RETIRA: 15204509-3</t>
  </si>
  <si>
    <t>Estefania Mellado Rubilar</t>
  </si>
  <si>
    <t>Colo Colo 742, 403</t>
  </si>
  <si>
    <t>BIT11030240</t>
  </si>
  <si>
    <t>251694183</t>
  </si>
  <si>
    <t>NOMBRE RETIRA: CATALINA MAMANI . RUT RETIRA: 22642145-9</t>
  </si>
  <si>
    <t>Carmen Cano santos</t>
  </si>
  <si>
    <t>Alcalde bartolome oyanadel 3435, Casa</t>
  </si>
  <si>
    <t>2025-08-20 23:56</t>
  </si>
  <si>
    <t>BIT11030223</t>
  </si>
  <si>
    <t>251624106</t>
  </si>
  <si>
    <t>NOMBRE RETIRA: ALICIA ORMAZABAL . RUT RETIRA: 17412490-6</t>
  </si>
  <si>
    <t>Ernesto Castañeda</t>
  </si>
  <si>
    <t>Claudio Cancino N 60, Restaurant Sofrito</t>
  </si>
  <si>
    <t>BIT11029776</t>
  </si>
  <si>
    <t>250605696</t>
  </si>
  <si>
    <t>NOMBRE RETIRA: LILIANA CID M RUT RETIRA: 18816881-7</t>
  </si>
  <si>
    <t>Pilar Adan</t>
  </si>
  <si>
    <t>Hochstetter 605, Depto 301</t>
  </si>
  <si>
    <t>BIT11029649</t>
  </si>
  <si>
    <t>250276123</t>
  </si>
  <si>
    <t>Aura Elena Guerrero Gallardo</t>
  </si>
  <si>
    <t>Federico errazuriz 536, Casa</t>
  </si>
  <si>
    <t>BIT11029643</t>
  </si>
  <si>
    <t>250276169</t>
  </si>
  <si>
    <t>NOMBRE RETIRA: DINIE SIMANCA O RUT RETIRA: 14109446-7</t>
  </si>
  <si>
    <t>Donnie Simanca</t>
  </si>
  <si>
    <t>Ejercito 395, Hotel sonesta</t>
  </si>
  <si>
    <t>BIT11030492</t>
  </si>
  <si>
    <t>Almarza 7283</t>
  </si>
  <si>
    <t>2025-08-28 22:42</t>
  </si>
  <si>
    <t>BIT11030494</t>
  </si>
  <si>
    <t>JULIO GARRIDO VALDES</t>
  </si>
  <si>
    <t>Camino de la naturaleza 6327, 6327, 66</t>
  </si>
  <si>
    <t>BIT11030506</t>
  </si>
  <si>
    <t>Carla Marín</t>
  </si>
  <si>
    <t>Av. El Carmen 1176, Casa 18</t>
  </si>
  <si>
    <t>BIT11030510</t>
  </si>
  <si>
    <t>Jose Contreras</t>
  </si>
  <si>
    <t>Calle paso el roble 50, Dpto 402 torre A</t>
  </si>
  <si>
    <t>BIT11030518</t>
  </si>
  <si>
    <t>Paola Godoy</t>
  </si>
  <si>
    <t>Av Teniente Cruz 19, 1013</t>
  </si>
  <si>
    <t>BIT11030519</t>
  </si>
  <si>
    <t>Andres Farfán</t>
  </si>
  <si>
    <t>Dagoberto Godoy, 180</t>
  </si>
  <si>
    <t>BIT11030521</t>
  </si>
  <si>
    <t>Agustin Aguayo Machuca</t>
  </si>
  <si>
    <t>Carmen Mena 781</t>
  </si>
  <si>
    <t>BIT11030524</t>
  </si>
  <si>
    <t>Reynaldo Araya</t>
  </si>
  <si>
    <t>El Rodeo 1891, 111</t>
  </si>
  <si>
    <t>BIT11030527</t>
  </si>
  <si>
    <t>Tomas Astudillo</t>
  </si>
  <si>
    <t>Puerto de palos 5024, G</t>
  </si>
  <si>
    <t>BIT11030529</t>
  </si>
  <si>
    <t>Daniel Huerta Tapia</t>
  </si>
  <si>
    <t>Avenida Laguna Sur 6260, Estación Central, Chile, Departamento 504</t>
  </si>
  <si>
    <t>BIT11030530</t>
  </si>
  <si>
    <t>Carlos Antihuala</t>
  </si>
  <si>
    <t>Tomas alba edison  8429, 8429</t>
  </si>
  <si>
    <t>BIT11030535</t>
  </si>
  <si>
    <t>Cristian Llanos Ibarra</t>
  </si>
  <si>
    <t>Padre Tadeo 5149-B, Portón gris</t>
  </si>
  <si>
    <t>BIT11030461</t>
  </si>
  <si>
    <t>Andrés Feres</t>
  </si>
  <si>
    <t>Mosqueto 429, 1603</t>
  </si>
  <si>
    <t>BIT11030465</t>
  </si>
  <si>
    <t>JOSE ARAVENA</t>
  </si>
  <si>
    <t>AV ECUADOR 4122, 401</t>
  </si>
  <si>
    <t>BIT11030468</t>
  </si>
  <si>
    <t>Ianiv Klaber</t>
  </si>
  <si>
    <t>La Espuela 12611, Depto 102a</t>
  </si>
  <si>
    <t>BIT11030472</t>
  </si>
  <si>
    <t>Independencia 864, 114</t>
  </si>
  <si>
    <t>BIT11030473</t>
  </si>
  <si>
    <t>Yesly Salinas</t>
  </si>
  <si>
    <t>Capitan Ignacio carrera pinto 4706, Depto 01, ojo no hay citofono llamar</t>
  </si>
  <si>
    <t>BIT11030475</t>
  </si>
  <si>
    <t>Avenida departamental 1475, Departamento 1614</t>
  </si>
  <si>
    <t>BIT11030484</t>
  </si>
  <si>
    <t>Claudio Antonio Lopez Guerrero</t>
  </si>
  <si>
    <t>Acueducto 2945 condominio los Parques, Casa 136</t>
  </si>
  <si>
    <t>BIT11030486</t>
  </si>
  <si>
    <t>Humberto Chacón</t>
  </si>
  <si>
    <t>Caciques chilenos 1166, Casa 18</t>
  </si>
  <si>
    <t>BIT11030488</t>
  </si>
  <si>
    <t>Rodrigo Cuevas</t>
  </si>
  <si>
    <t>Camino Del Convento 6683</t>
  </si>
  <si>
    <t>BIT11030489</t>
  </si>
  <si>
    <t>Ana maria Leyan massoud</t>
  </si>
  <si>
    <t>Golf De Manquehue 9225 Dpto 131 I</t>
  </si>
  <si>
    <t>BIT11030456</t>
  </si>
  <si>
    <t>Paula Berazay</t>
  </si>
  <si>
    <t>Tierra Fértil 5255, 303A</t>
  </si>
  <si>
    <t>BIT11030455</t>
  </si>
  <si>
    <t>Alejandra Sepúlveda de la Cruz</t>
  </si>
  <si>
    <t>Nueva Industria 201, Portería Fábrica</t>
  </si>
  <si>
    <t>BIT11030447</t>
  </si>
  <si>
    <t>Daniel Medina Rojas</t>
  </si>
  <si>
    <t>Los Artesanos 10366</t>
  </si>
  <si>
    <t>BIT11030435</t>
  </si>
  <si>
    <t>Diego Mendoza</t>
  </si>
  <si>
    <t>Tucapel Jimenez 136, Depto 2315</t>
  </si>
  <si>
    <t>BIT11030430</t>
  </si>
  <si>
    <t>Francisco Javier Venegas Gonzalez</t>
  </si>
  <si>
    <t>Maipú 952 San Bernardo, Casa interior sin timbre llamar al +56985969637 para coordinar entrega</t>
  </si>
  <si>
    <t>BIT11030422</t>
  </si>
  <si>
    <t>Luis Pincheira</t>
  </si>
  <si>
    <t>El Quilo 5551, Empresa</t>
  </si>
  <si>
    <t>BIT11030322</t>
  </si>
  <si>
    <t>Carola Pino</t>
  </si>
  <si>
    <t>Casa, Avenida Santa Maria 8370</t>
  </si>
  <si>
    <t>BIT11030348</t>
  </si>
  <si>
    <t>Daniela Alamo</t>
  </si>
  <si>
    <t>El arriero 295</t>
  </si>
  <si>
    <t>BIT11030353</t>
  </si>
  <si>
    <t>Pablo Arnes</t>
  </si>
  <si>
    <t>Carlos Peña Otaegui Sur 2900, 33</t>
  </si>
  <si>
    <t>BIT11030358</t>
  </si>
  <si>
    <t>Fernando Grob</t>
  </si>
  <si>
    <t>Inés matte Urrejola 900, 414b</t>
  </si>
  <si>
    <t>BIT11030366</t>
  </si>
  <si>
    <t>Rodolfo Prieto Soracco</t>
  </si>
  <si>
    <t>Camino los refugios 1677(, Casa 1</t>
  </si>
  <si>
    <t>BIT11030367</t>
  </si>
  <si>
    <t>Mitsy Herrera Barahona</t>
  </si>
  <si>
    <t>Calle independencia 1142, Casa 55</t>
  </si>
  <si>
    <t>BIT11030368</t>
  </si>
  <si>
    <t>Amando Zuñiga CH</t>
  </si>
  <si>
    <t>Golf de manquehue 9750, Casa 401</t>
  </si>
  <si>
    <t>BIT11030370</t>
  </si>
  <si>
    <t>marcelo gonzalez reyes</t>
  </si>
  <si>
    <t>presidente balmaceda 554 estación central, casa</t>
  </si>
  <si>
    <t>BIT11030378</t>
  </si>
  <si>
    <t>Marjorie Quilobran</t>
  </si>
  <si>
    <t>ramon toro ibañez 5417 casa A, cass A</t>
  </si>
  <si>
    <t>BIT11030387</t>
  </si>
  <si>
    <t>Maria José Deza</t>
  </si>
  <si>
    <t>Av las condes 10557, 305 B</t>
  </si>
  <si>
    <t>BIT11030391</t>
  </si>
  <si>
    <t>Rosa Troncoso</t>
  </si>
  <si>
    <t>Los MaÑios 19885, Condominio Alto Mirador I Y Ii. Ciudad De Los Valles . Pudahuel, Pudahuel</t>
  </si>
  <si>
    <t>BIT11030395</t>
  </si>
  <si>
    <t>Claudio Aros</t>
  </si>
  <si>
    <t>Catedral 1572, 312</t>
  </si>
  <si>
    <t>BIT11030399</t>
  </si>
  <si>
    <t>jose fuentes</t>
  </si>
  <si>
    <t>juan de pineda 7758, depto 606</t>
  </si>
  <si>
    <t>BIT11030406</t>
  </si>
  <si>
    <t>Danilo Nuñez</t>
  </si>
  <si>
    <t>Lago de como 18483, Casa</t>
  </si>
  <si>
    <t>BIT11030407</t>
  </si>
  <si>
    <t>Eduardo Lopez Prieto Lopez Prieto</t>
  </si>
  <si>
    <t>Almirante silva palma 2466, Casa</t>
  </si>
  <si>
    <t>BIT11030408</t>
  </si>
  <si>
    <t>Marisol Medina</t>
  </si>
  <si>
    <t>Catedral 2165, Dpto 516, Dpto 516</t>
  </si>
  <si>
    <t>BIT11030413</t>
  </si>
  <si>
    <t>El Arcangel 4600, 203 B</t>
  </si>
  <si>
    <t>BIT11030415</t>
  </si>
  <si>
    <t>Alcalde Pedro Alarcon 900, 412</t>
  </si>
  <si>
    <t>BIT11030298</t>
  </si>
  <si>
    <t>William Banda</t>
  </si>
  <si>
    <t>Avenida Costanera Sur 12275, 502</t>
  </si>
  <si>
    <t>BIT11030307</t>
  </si>
  <si>
    <t>Alfredo Guzman</t>
  </si>
  <si>
    <t>Avda. Pie Andino 7100, Casa 39</t>
  </si>
  <si>
    <t>BIT11030318</t>
  </si>
  <si>
    <t>Leon de la Barra 9160, Poryon negro</t>
  </si>
  <si>
    <t>BIT11030317</t>
  </si>
  <si>
    <t>Claudio Michaux</t>
  </si>
  <si>
    <t>Pasaje Almada 2259</t>
  </si>
  <si>
    <t>BIT11030333</t>
  </si>
  <si>
    <t>Ariel Gonzalez Guevara</t>
  </si>
  <si>
    <t>Hermanos Carrera 2727, 303</t>
  </si>
  <si>
    <t>BIT11030340</t>
  </si>
  <si>
    <t>Esteban Marchant</t>
  </si>
  <si>
    <t>Lautaro 18544, Casa 9</t>
  </si>
  <si>
    <t>BIT11030342</t>
  </si>
  <si>
    <t>BIT11030346</t>
  </si>
  <si>
    <t>Avenida jose alcalde delano 10200, Edificio Aqua, depto 41</t>
  </si>
  <si>
    <t>BIT11030373</t>
  </si>
  <si>
    <t>Benny Vega</t>
  </si>
  <si>
    <t>Encomenderos 212, Depto 407</t>
  </si>
  <si>
    <t>BIT11030259</t>
  </si>
  <si>
    <t>ALEJANDRO NAVARRETE</t>
  </si>
  <si>
    <t>NICANOR PLAZA 1838, DEPTO 300</t>
  </si>
  <si>
    <t>BIT11030268</t>
  </si>
  <si>
    <t>Valeria Concha</t>
  </si>
  <si>
    <t>Barros Arana 653, 1202</t>
  </si>
  <si>
    <t>BIT11030269</t>
  </si>
  <si>
    <t>BIT11030270</t>
  </si>
  <si>
    <t>Benjamin Del Sante</t>
  </si>
  <si>
    <t>Camino Las Hualtatas 5075, 14</t>
  </si>
  <si>
    <t>BIT11030273</t>
  </si>
  <si>
    <t>Sebastián Saldía Figueroa</t>
  </si>
  <si>
    <t>Avenida Las Condes 12587, 701A</t>
  </si>
  <si>
    <t>BIT11030276</t>
  </si>
  <si>
    <t>Avenida Luis Cousiño  6170, Depto 142</t>
  </si>
  <si>
    <t>BIT11030277</t>
  </si>
  <si>
    <t>miguel tobar</t>
  </si>
  <si>
    <t>Matías cousiño 3724. Peñalolen, Casa</t>
  </si>
  <si>
    <t>BIT11030278</t>
  </si>
  <si>
    <t>Nestor Rivera Fuentelzar</t>
  </si>
  <si>
    <t>Los Paltos 2398, Sector Parcelas</t>
  </si>
  <si>
    <t>BIT11030286</t>
  </si>
  <si>
    <t>BIT11030229</t>
  </si>
  <si>
    <t>Víctor Escudero</t>
  </si>
  <si>
    <t>Las Codornices 4330</t>
  </si>
  <si>
    <t>BIT11030244</t>
  </si>
  <si>
    <t>Camino las cumbres, 6790 casa 25</t>
  </si>
  <si>
    <t>BIT11030249</t>
  </si>
  <si>
    <t>Renato Castañeda Moreto</t>
  </si>
  <si>
    <t>Mar de china 5435, Casa</t>
  </si>
  <si>
    <t>BIT11030250</t>
  </si>
  <si>
    <t>Leyla León Rojas</t>
  </si>
  <si>
    <t>Pasaje MartÍn Alonso De PinzÓn 069, Casa</t>
  </si>
  <si>
    <t>BIT11030252</t>
  </si>
  <si>
    <t>Claudio Pérez Massiel</t>
  </si>
  <si>
    <t>Avenida Peru 802, DP 61</t>
  </si>
  <si>
    <t>BIT11030254</t>
  </si>
  <si>
    <t>Maribel Espinal</t>
  </si>
  <si>
    <t>Avenida Vicuña Mackenna Poniente 6180, Depto 1503c</t>
  </si>
  <si>
    <t>BIT11030255</t>
  </si>
  <si>
    <t>Ruben Navarro</t>
  </si>
  <si>
    <t>Avenida Los Valles 215, Bodega a1 centro de bodegas portal del valle</t>
  </si>
  <si>
    <t>BIT11030256</t>
  </si>
  <si>
    <t>María Lara</t>
  </si>
  <si>
    <t>Los encinos poniente 653</t>
  </si>
  <si>
    <t>BIT11030257</t>
  </si>
  <si>
    <t>Alejandro Prieto López</t>
  </si>
  <si>
    <t>las nieves 3435, dpto 64</t>
  </si>
  <si>
    <t>BIT11030190</t>
  </si>
  <si>
    <t>Rafael Pajarito</t>
  </si>
  <si>
    <t>av padre hurtado sur 1861, dpto I-41</t>
  </si>
  <si>
    <t>BIT11030205</t>
  </si>
  <si>
    <t>Omar Elgueta Gutierrez</t>
  </si>
  <si>
    <t>Pasaje Zirconio 1552</t>
  </si>
  <si>
    <t>2025-08-20 00:29</t>
  </si>
  <si>
    <t>BIT11030206</t>
  </si>
  <si>
    <t>Paula Almendras</t>
  </si>
  <si>
    <t>Los fresnos 1377. Huechuraba, Casa 11</t>
  </si>
  <si>
    <t>BIT11030209</t>
  </si>
  <si>
    <t>Rodrigo Roa</t>
  </si>
  <si>
    <t>Teresa Vial #1310, Departamento 114</t>
  </si>
  <si>
    <t>BIT11030211</t>
  </si>
  <si>
    <t>Marcela Ossandón Barraza</t>
  </si>
  <si>
    <t>Los paltos poniente 2070, Casa</t>
  </si>
  <si>
    <t>BIT11030213</t>
  </si>
  <si>
    <t>Verónica Pinto Zeballos</t>
  </si>
  <si>
    <t>San ignacio 1286 depto 908, 908</t>
  </si>
  <si>
    <t>BIT11030217</t>
  </si>
  <si>
    <t>Santiago centro, gorbea 2340, Casa</t>
  </si>
  <si>
    <t>BIT11030221</t>
  </si>
  <si>
    <t>Juan rodriguez Rodríguez elizondo</t>
  </si>
  <si>
    <t>Club Hipico 1055</t>
  </si>
  <si>
    <t>BIT11030224</t>
  </si>
  <si>
    <t>Macarena Toro Marangunic</t>
  </si>
  <si>
    <t>Hernando De Aguirre 446, Departamento 602</t>
  </si>
  <si>
    <t>BIT11030149</t>
  </si>
  <si>
    <t>Americo Vespucio Norte 1101, 121</t>
  </si>
  <si>
    <t>BIT11030162</t>
  </si>
  <si>
    <t>Gaspar Salvatierra</t>
  </si>
  <si>
    <t>Escultora Rebeca Matte 1976 casa b</t>
  </si>
  <si>
    <t>BIT11030169</t>
  </si>
  <si>
    <t>José Valdés</t>
  </si>
  <si>
    <t>Jorge Andrés Guerra 18397, condominio Los Valles casa 43, Casa 43</t>
  </si>
  <si>
    <t>BIT11030179</t>
  </si>
  <si>
    <t>Padre Miguel de Olivares 1444, 1817, 1817</t>
  </si>
  <si>
    <t>BIT11030188</t>
  </si>
  <si>
    <t>Ignacio Taladriz</t>
  </si>
  <si>
    <t>LLico 810, casa</t>
  </si>
  <si>
    <t>BIT11030191</t>
  </si>
  <si>
    <t>Pablo Rogat</t>
  </si>
  <si>
    <t>Avenida Simon Bolivar 8165, K</t>
  </si>
  <si>
    <t>BIT11030195</t>
  </si>
  <si>
    <t>Esteban Andrés Godoy Rivera</t>
  </si>
  <si>
    <t>Americo Vespucio 2281, 109</t>
  </si>
  <si>
    <t>BIT11030196</t>
  </si>
  <si>
    <t>Arcangel 1211, 1607</t>
  </si>
  <si>
    <t>BIT11030197</t>
  </si>
  <si>
    <t>Macarena Daniel Vera</t>
  </si>
  <si>
    <t>Vergara 749, depto 301</t>
  </si>
  <si>
    <t>BIT11030111</t>
  </si>
  <si>
    <t>Rodrigo Alcayaga</t>
  </si>
  <si>
    <t>Amazonas 7382</t>
  </si>
  <si>
    <t>BIT11030115</t>
  </si>
  <si>
    <t>Mario Vergara</t>
  </si>
  <si>
    <t>El Arcangel 5148, Depto 65</t>
  </si>
  <si>
    <t>BIT11030117</t>
  </si>
  <si>
    <t>BENJAMIN ARTEAGA</t>
  </si>
  <si>
    <t>CHAPULTEPEC 5508, casa</t>
  </si>
  <si>
    <t>BIT11030133</t>
  </si>
  <si>
    <t>ALBERTO ALFARO CASTAÑEDA</t>
  </si>
  <si>
    <t>MANUEL FISCHMAN 0113 LA CISTERNA</t>
  </si>
  <si>
    <t>BIT11030136</t>
  </si>
  <si>
    <t>Blanca Andrade de Amesti</t>
  </si>
  <si>
    <t>Alonso de Sotomayor 4320 dpto 62, Dpto 62</t>
  </si>
  <si>
    <t>BIT11030138</t>
  </si>
  <si>
    <t>Belinda Retamal</t>
  </si>
  <si>
    <t>Camino del Roble 1351, 30</t>
  </si>
  <si>
    <t>BIT11030143</t>
  </si>
  <si>
    <t>Alejandro Peña Silva</t>
  </si>
  <si>
    <t>Av Blanco Encalada 2527, Depto 907-C</t>
  </si>
  <si>
    <t>BIT11030152</t>
  </si>
  <si>
    <t>Angel Barrientos Alvarez</t>
  </si>
  <si>
    <t>Calle las acacias 115, entre general Velasquez y portales, Departamento 421, villa portales, block 6</t>
  </si>
  <si>
    <t>BIT11030158</t>
  </si>
  <si>
    <t>Sergio Campos</t>
  </si>
  <si>
    <t>San Ignacio de Loyola 999, depto 61-D, Chile</t>
  </si>
  <si>
    <t>BIT11030048</t>
  </si>
  <si>
    <t>cecilia saavedra godoy</t>
  </si>
  <si>
    <t>agustinas 1850, 501 c</t>
  </si>
  <si>
    <t>BIT11030049</t>
  </si>
  <si>
    <t>ANDRES ESPINOZA</t>
  </si>
  <si>
    <t>ROBLES 12495 -101, DEPARTAMENTO</t>
  </si>
  <si>
    <t>BIT11030051</t>
  </si>
  <si>
    <t>Teresa Vial 1400, 1301</t>
  </si>
  <si>
    <t>BIT11030052</t>
  </si>
  <si>
    <t>RODRIGO ANDRES vasquez Rebolledo</t>
  </si>
  <si>
    <t>PASO EL ROBLE 50, LA FLORIDA, DEPARTAMENTO 2210 A</t>
  </si>
  <si>
    <t>BIT11030061</t>
  </si>
  <si>
    <t>Belloto del norte oriente, 9404</t>
  </si>
  <si>
    <t>BIT11030065</t>
  </si>
  <si>
    <t>Marcela Schmidt</t>
  </si>
  <si>
    <t>Camino la loica 5095</t>
  </si>
  <si>
    <t>BIT11030066</t>
  </si>
  <si>
    <t>Ivo Vrsalovic</t>
  </si>
  <si>
    <t>Parque Norte 12. 810, Casa 1, Casa 1</t>
  </si>
  <si>
    <t>BIT11030069</t>
  </si>
  <si>
    <t>Claudio Pulgar Galaz</t>
  </si>
  <si>
    <t>Calle Arturo Prat 1722</t>
  </si>
  <si>
    <t>BIT11030037</t>
  </si>
  <si>
    <t>Yerty Gaete Parada</t>
  </si>
  <si>
    <t>Napoleon 3355, Depto 504</t>
  </si>
  <si>
    <t>BIT11030008</t>
  </si>
  <si>
    <t>Ana Avid</t>
  </si>
  <si>
    <t>San Felix 1340 vitacura, Casa</t>
  </si>
  <si>
    <t>BIT11030025</t>
  </si>
  <si>
    <t>Daniel Ocqueteau</t>
  </si>
  <si>
    <t>Camino La Fuente, 1487</t>
  </si>
  <si>
    <t>BIT11030027</t>
  </si>
  <si>
    <t>BIT11030019</t>
  </si>
  <si>
    <t>Gonzalo Jimenez</t>
  </si>
  <si>
    <t>Yerbas Buenas 11529</t>
  </si>
  <si>
    <t>BIT11030017</t>
  </si>
  <si>
    <t>alex yuri</t>
  </si>
  <si>
    <t>camino de cintura 1470, 302B</t>
  </si>
  <si>
    <t>BIT11030016</t>
  </si>
  <si>
    <t>Franco Pereira</t>
  </si>
  <si>
    <t>Pje. Ocho 12830, Casa</t>
  </si>
  <si>
    <t>BIT11030012</t>
  </si>
  <si>
    <t>Andrés Feres Montecinos</t>
  </si>
  <si>
    <t>BIT11030006</t>
  </si>
  <si>
    <t>Diego Opazo moraga</t>
  </si>
  <si>
    <t>Avenida Ricardo Lyon 1884, Depto 407B</t>
  </si>
  <si>
    <t>BIT11030003</t>
  </si>
  <si>
    <t>Rosella Pio Repetto</t>
  </si>
  <si>
    <t>Los militares 5731, Departamento 501 torre B</t>
  </si>
  <si>
    <t>BIT11029996</t>
  </si>
  <si>
    <t>Victor Meneses bravo</t>
  </si>
  <si>
    <t>Perez valenzuela, Oficina</t>
  </si>
  <si>
    <t>2025-08-12 00:07</t>
  </si>
  <si>
    <t>BIT11029984</t>
  </si>
  <si>
    <t>Karyn Ponce</t>
  </si>
  <si>
    <t>Marin 395, Depto. 710</t>
  </si>
  <si>
    <t>BIT11029973</t>
  </si>
  <si>
    <t>Rodrigo Pardo Cruchet</t>
  </si>
  <si>
    <t>Echeñique 5100, 402</t>
  </si>
  <si>
    <t>BIT11030004</t>
  </si>
  <si>
    <t>Claudia Quiroga</t>
  </si>
  <si>
    <t>Camino De La Tagua 3667</t>
  </si>
  <si>
    <t>BIT11030001</t>
  </si>
  <si>
    <t>Juan Cruz</t>
  </si>
  <si>
    <t>Los Corraleros 08160, Casa 48, etapa 1</t>
  </si>
  <si>
    <t>BIT11030000</t>
  </si>
  <si>
    <t>Santa ana 1830, 1830</t>
  </si>
  <si>
    <t>BIT11029998</t>
  </si>
  <si>
    <t>Francisco von Trott</t>
  </si>
  <si>
    <t>Exequiel Figueroa 877, 105A</t>
  </si>
  <si>
    <t>BIT11029997</t>
  </si>
  <si>
    <t>Santiago Anguita Vásquez</t>
  </si>
  <si>
    <t>Brisas del parque sur 03166, Casa</t>
  </si>
  <si>
    <t>BIT11029991</t>
  </si>
  <si>
    <t>Jessica Saavedra Gallardo</t>
  </si>
  <si>
    <t>Av salesianos 961 dpto 1504, Dpto 1504</t>
  </si>
  <si>
    <t>BIT11029988</t>
  </si>
  <si>
    <t>Juan manuel Silva</t>
  </si>
  <si>
    <t>Luis gandarilla 242, 45 torre B</t>
  </si>
  <si>
    <t>BIT11029987</t>
  </si>
  <si>
    <t>Punta arenas 707, Casa</t>
  </si>
  <si>
    <t>BIT11029968</t>
  </si>
  <si>
    <t>Pablo Valdivia cordova</t>
  </si>
  <si>
    <t>Ingeniero Eduardo Domínguez 58, Maipú</t>
  </si>
  <si>
    <t>BIT11029952</t>
  </si>
  <si>
    <t>Rene Fuentes</t>
  </si>
  <si>
    <t>Av vicuña Mackenna 2289, Dpto 2311 torre D</t>
  </si>
  <si>
    <t>2025-08-11 00:32</t>
  </si>
  <si>
    <t>BIT11029938</t>
  </si>
  <si>
    <t>Silvia Bistolfi Petretto</t>
  </si>
  <si>
    <t>Avenida Los Tuliperos Sur 13201, Doto 301</t>
  </si>
  <si>
    <t>BIT11029915</t>
  </si>
  <si>
    <t>Julia Bernstein 1107, Casa D</t>
  </si>
  <si>
    <t>BIT11029955</t>
  </si>
  <si>
    <t>Cerró las bandurrias 12188</t>
  </si>
  <si>
    <t>BIT11029954</t>
  </si>
  <si>
    <t>Jonathan Oyarce Sanhueza</t>
  </si>
  <si>
    <t>Los jacintos, 9628</t>
  </si>
  <si>
    <t>BIT11029941</t>
  </si>
  <si>
    <t>Gastón René Villagra Boutaud</t>
  </si>
  <si>
    <t>V. Mackenna poniente 6180, 801A</t>
  </si>
  <si>
    <t>BIT11029933</t>
  </si>
  <si>
    <t>Jesus Rojas cavieres</t>
  </si>
  <si>
    <t>Evolución 9066, B</t>
  </si>
  <si>
    <t>BIT11029932</t>
  </si>
  <si>
    <t>BIT11029930</t>
  </si>
  <si>
    <t>BIT11029923</t>
  </si>
  <si>
    <t>Juan Soto cabello</t>
  </si>
  <si>
    <t>Rosembluth 1129, Casa 1129</t>
  </si>
  <si>
    <t>BIT11029919</t>
  </si>
  <si>
    <t>Cristian Solis Rubio</t>
  </si>
  <si>
    <t>Monte aguila 370, Casa</t>
  </si>
  <si>
    <t>BIT11029883</t>
  </si>
  <si>
    <t>Cristhian Luna</t>
  </si>
  <si>
    <t>Avenida alejandro Fleming 9599, Blok a2 departamento 401</t>
  </si>
  <si>
    <t>BIT11029868</t>
  </si>
  <si>
    <t>Las amapolas 6769, Casa</t>
  </si>
  <si>
    <t>2025-08-08 00:09</t>
  </si>
  <si>
    <t>BIT11029862</t>
  </si>
  <si>
    <t>Fernanda Guajardo Sánchez</t>
  </si>
  <si>
    <t>Calle Nueva MarÍa AngÉlica 6327, 29</t>
  </si>
  <si>
    <t>BIT11029860</t>
  </si>
  <si>
    <t>Manuel Javier González Leal</t>
  </si>
  <si>
    <t>Los Castaños 3455, Apto. 1001</t>
  </si>
  <si>
    <t>BIT11029858</t>
  </si>
  <si>
    <t>Leonardo Lopez</t>
  </si>
  <si>
    <t>Salomon Sack 455, depto 502B, depto 502 B</t>
  </si>
  <si>
    <t>BIT11029816</t>
  </si>
  <si>
    <t>Romina Cordova</t>
  </si>
  <si>
    <t>G, Julia Bernstein 406</t>
  </si>
  <si>
    <t>BIT11029850</t>
  </si>
  <si>
    <t>katherine medina</t>
  </si>
  <si>
    <t>Av. Americo vespucio norte 1798, 209</t>
  </si>
  <si>
    <t>BIT11029846</t>
  </si>
  <si>
    <t>Horacio Morales</t>
  </si>
  <si>
    <t>Casa, Avenida San Luis De MacÚl # 6763</t>
  </si>
  <si>
    <t>BIT11029842</t>
  </si>
  <si>
    <t>Leandro Soto Ramirez</t>
  </si>
  <si>
    <t>Calle Nueva 120, Depto 404</t>
  </si>
  <si>
    <t>BIT11029839</t>
  </si>
  <si>
    <t>Mario Enrique Valenzuela Donoso</t>
  </si>
  <si>
    <t>AV. CUATRO PONIENTE 1565 Barrio Oeste, casa</t>
  </si>
  <si>
    <t>BIT11029838</t>
  </si>
  <si>
    <t>BIT11029800</t>
  </si>
  <si>
    <t>Horacio Morales Peña</t>
  </si>
  <si>
    <t>Av. San Luis de Macul #6763, Casa</t>
  </si>
  <si>
    <t>BIT11029802</t>
  </si>
  <si>
    <t>Mariela Mayorga</t>
  </si>
  <si>
    <t>San Carlos de Apoquindo 695, Casa 721</t>
  </si>
  <si>
    <t>BIT11029803</t>
  </si>
  <si>
    <t>Claudia Godoy cisternas</t>
  </si>
  <si>
    <t>Ponce de zamora 9322, la florida</t>
  </si>
  <si>
    <t>BIT11029804</t>
  </si>
  <si>
    <t>MARJORIE ESCALANTE SANCHEZ</t>
  </si>
  <si>
    <t>AVDA DEL CANAL INTERIOR 0315, casa 2</t>
  </si>
  <si>
    <t>BIT11029809</t>
  </si>
  <si>
    <t>Sebastian Sanchez</t>
  </si>
  <si>
    <t>Ramon Toro Ibañez 5417, Casa A</t>
  </si>
  <si>
    <t>BIT11029812</t>
  </si>
  <si>
    <t>Jonathan Cantillana Donoso</t>
  </si>
  <si>
    <t>Coronel Alvarado 2505, Depto 204B Torre B -Jardines</t>
  </si>
  <si>
    <t>BIT11029826</t>
  </si>
  <si>
    <t>Gerardo Gonzalez rocha</t>
  </si>
  <si>
    <t>Av el guanaco norte 1570, Casa 39 / condominio plaza verde 2</t>
  </si>
  <si>
    <t>BIT11029813</t>
  </si>
  <si>
    <t>Jorge Silva Godoy</t>
  </si>
  <si>
    <t>San Pablo 4025, Departamento</t>
  </si>
  <si>
    <t>BIT11029798</t>
  </si>
  <si>
    <t>Javier Solari</t>
  </si>
  <si>
    <t>Roberto Guzmán 8795, Casa</t>
  </si>
  <si>
    <t>BIT11029795</t>
  </si>
  <si>
    <t>Cesar Peña</t>
  </si>
  <si>
    <t>Robles 13329 Lo Barnechea, Casa</t>
  </si>
  <si>
    <t>BIT11029788</t>
  </si>
  <si>
    <t>Ocho de enero 4147</t>
  </si>
  <si>
    <t>BIT11029787</t>
  </si>
  <si>
    <t>Gustavo Flores Galvez</t>
  </si>
  <si>
    <t>BIT11029782</t>
  </si>
  <si>
    <t>BIT11029781</t>
  </si>
  <si>
    <t>Diego Rosas</t>
  </si>
  <si>
    <t>Amunategui 630, depto 506</t>
  </si>
  <si>
    <t>BIT11029780</t>
  </si>
  <si>
    <t>Alex Vandellos</t>
  </si>
  <si>
    <t>Avenida zapadores 1052, Casa</t>
  </si>
  <si>
    <t>BIT11029777</t>
  </si>
  <si>
    <t>Jorge Venegas Cornejo</t>
  </si>
  <si>
    <t>LAS NALCAS SUR 9477 CASA 10, 10</t>
  </si>
  <si>
    <t>BIT11029775</t>
  </si>
  <si>
    <t>Juanita López</t>
  </si>
  <si>
    <t>Chiloé 3007, Casa</t>
  </si>
  <si>
    <t>BIT11029764</t>
  </si>
  <si>
    <t>Gabriel castillo</t>
  </si>
  <si>
    <t>Casa, Presidente balmaceda 1941</t>
  </si>
  <si>
    <t>BIT11029757</t>
  </si>
  <si>
    <t>Claudio Caro</t>
  </si>
  <si>
    <t>Macul 2301, 402</t>
  </si>
  <si>
    <t>2025-08-04 00:58</t>
  </si>
  <si>
    <t>BIT11029755</t>
  </si>
  <si>
    <t>Peru 9020, Casa</t>
  </si>
  <si>
    <t>BIT11029753</t>
  </si>
  <si>
    <t>Valesca Arnaiz</t>
  </si>
  <si>
    <t>Pasaje Vuelo De Loicas 19809, Ciudad de los valles, loicas 2</t>
  </si>
  <si>
    <t>BIT11029750</t>
  </si>
  <si>
    <t>Pía Ahumada Ramirez</t>
  </si>
  <si>
    <t>Hamlet 4000, 403</t>
  </si>
  <si>
    <t>BIT11029749</t>
  </si>
  <si>
    <t>Roberto Arcos</t>
  </si>
  <si>
    <t>Alavarez de Toledo 830, OF 606</t>
  </si>
  <si>
    <t>BIT11029748</t>
  </si>
  <si>
    <t>Maritza Muller</t>
  </si>
  <si>
    <t>Avenida Chicureo 14100, Casa 13</t>
  </si>
  <si>
    <t>BIT11029745</t>
  </si>
  <si>
    <t>Xavier Kalaris</t>
  </si>
  <si>
    <t>Santa Lucia, 282, 41</t>
  </si>
  <si>
    <t>BIT11029742</t>
  </si>
  <si>
    <t>Rodrigo Varela</t>
  </si>
  <si>
    <t>Depto, San Francisco # 335, Depto 2005</t>
  </si>
  <si>
    <t>BIT11029736</t>
  </si>
  <si>
    <t>Marjorie Escalante</t>
  </si>
  <si>
    <t>Avenida del Canal Interior 0135, 2</t>
  </si>
  <si>
    <t>BIT11029732</t>
  </si>
  <si>
    <t>Carmen Pizarro Peña</t>
  </si>
  <si>
    <t>Torres Del Paine Poniente 2470 interior, Casa C</t>
  </si>
  <si>
    <t>BIT11029724</t>
  </si>
  <si>
    <t>Belloto Del Norte Oriente, 9404</t>
  </si>
  <si>
    <t>BIT11029713</t>
  </si>
  <si>
    <t>Daniela Hurtado</t>
  </si>
  <si>
    <t>San Luis de Macul 4355, Torre 7 dpto 105</t>
  </si>
  <si>
    <t>BIT11029710</t>
  </si>
  <si>
    <t>Av el guanaco norte 1570, Casa 39</t>
  </si>
  <si>
    <t>BIT11029589</t>
  </si>
  <si>
    <t>Tomás Rangel</t>
  </si>
  <si>
    <t>Carlos Silva Vildósola 870, 1304</t>
  </si>
  <si>
    <t>BIT11030523</t>
  </si>
  <si>
    <t>252210894</t>
  </si>
  <si>
    <t>NOMBRE RETIRA: CECILIA ALVAREZ N RUT RETIRA: 10793723-4</t>
  </si>
  <si>
    <t>Daniella Rojas</t>
  </si>
  <si>
    <t>Liverpool Poniente 241</t>
  </si>
  <si>
    <t>BIT11030450</t>
  </si>
  <si>
    <t>252138297</t>
  </si>
  <si>
    <t>NOMBRE RETIRA: JOSE VERA V RUT RETIRA: 56049520-K</t>
  </si>
  <si>
    <t>Vivianne Cabalin</t>
  </si>
  <si>
    <t>Jorge montt 1680, 82</t>
  </si>
  <si>
    <t>BIT11030478</t>
  </si>
  <si>
    <t>252138284</t>
  </si>
  <si>
    <t>NOMBRE RETIRA: MANUEL ARAYA . RUT RETIRA: 17971129-K</t>
  </si>
  <si>
    <t>Jonathan araya Sanchez</t>
  </si>
  <si>
    <t>Vil El Olivo #29 La Troya Sanfelipe, Casa</t>
  </si>
  <si>
    <t>BIT11030454</t>
  </si>
  <si>
    <t>252138321</t>
  </si>
  <si>
    <t>NOMBRE RETIRA: ALEJANDRA ALARCO . RUT RETIRA: 56064990-8</t>
  </si>
  <si>
    <t>david lever</t>
  </si>
  <si>
    <t>vicuña mackena 2155  reñaca barrio foresta, dpto 302 torre b</t>
  </si>
  <si>
    <t>BIT11030402</t>
  </si>
  <si>
    <t>252004616</t>
  </si>
  <si>
    <t>NOMBRE RETIRA: ANA HERRERA . RUT RETIRA: 12179984-7</t>
  </si>
  <si>
    <t>Cardenal José María Carom N° 392, Depto 411, Departamento,</t>
  </si>
  <si>
    <t>BIT11030344</t>
  </si>
  <si>
    <t>251883147</t>
  </si>
  <si>
    <t>NOMBRE RETIRA: ANA NOVOA .. RUT RETIRA: 21353993-0</t>
  </si>
  <si>
    <t>CARMEN GLORIA CUMSILLE PIDDO</t>
  </si>
  <si>
    <t>GIUSSEPPE BORTOLUZZI, 1247, 1247</t>
  </si>
  <si>
    <t>BIT11030310</t>
  </si>
  <si>
    <t>251883130</t>
  </si>
  <si>
    <t>NOMBRE RETIRA: ALWJANDRA ARATA .. RUT RETIRA: 23516824-3</t>
  </si>
  <si>
    <t>Camila Díaz Abarca</t>
  </si>
  <si>
    <t>Los naranjos 436, villa la doñita, san felipe, 436</t>
  </si>
  <si>
    <t>BIT11030325</t>
  </si>
  <si>
    <t>251883158</t>
  </si>
  <si>
    <t>NOMBRE RETIRA: ESTEBAN ESPINOZA M RUT RETIRA: 19337389-5</t>
  </si>
  <si>
    <t>Esteban Andres Krause Espinoza</t>
  </si>
  <si>
    <t>Progreso 235</t>
  </si>
  <si>
    <t>BIT11030302</t>
  </si>
  <si>
    <t>251828273</t>
  </si>
  <si>
    <t>NOMBRE RETIRA: ROBERTO IBARRA . RUT RETIRA: 12796543-9</t>
  </si>
  <si>
    <t>Aldo Bianchetti García</t>
  </si>
  <si>
    <t>2 Poniente 190, Departamento 51</t>
  </si>
  <si>
    <t>BIT11030230</t>
  </si>
  <si>
    <t>251694189</t>
  </si>
  <si>
    <t>NOMBRE RETIRA: NATALIA PULGAR K RUT RETIRA: 19337389-5</t>
  </si>
  <si>
    <t>Esteban andres Krause espinoza</t>
  </si>
  <si>
    <t>Progreso 235, Casa</t>
  </si>
  <si>
    <t>BIT11030101</t>
  </si>
  <si>
    <t>251364108</t>
  </si>
  <si>
    <t>NOMBRE RETIRA: MONSERRAT GRANADA . RUT RETIRA: 19152585-K</t>
  </si>
  <si>
    <t>Mauricio Ossandon</t>
  </si>
  <si>
    <t>Casa Recreo, 4 oriente 1264 local comercial</t>
  </si>
  <si>
    <t>BIT11030119</t>
  </si>
  <si>
    <t>251451415</t>
  </si>
  <si>
    <t>NOMBRE RETIRA: MARIA H H RUT RETIRA: 20943488-1</t>
  </si>
  <si>
    <t>María Paz Aguilera Mellafe</t>
  </si>
  <si>
    <t>Teniente JosÉ Y Manuel Campos, 901</t>
  </si>
  <si>
    <t>BIT11030174</t>
  </si>
  <si>
    <t>251541190</t>
  </si>
  <si>
    <t>NOMBRE RETIRA: DANIELA ITURRA . RUT RETIRA: 16676810-1</t>
  </si>
  <si>
    <t>Carolina Polanco García</t>
  </si>
  <si>
    <t>2 Norte 1323, 2 Norte 1323</t>
  </si>
  <si>
    <t>BIT11030184</t>
  </si>
  <si>
    <t>251541134</t>
  </si>
  <si>
    <t>NOMBRE RETIRA: MIREYA CARRASCO . RUT RETIRA: 15763763-0</t>
  </si>
  <si>
    <t>Andrea Alfaro</t>
  </si>
  <si>
    <t>Alessandri 18</t>
  </si>
  <si>
    <t>BIT11030127</t>
  </si>
  <si>
    <t>251451394</t>
  </si>
  <si>
    <t>NOMBRE RETIRA: LORENA REYES . RUT RETIRA: 11944316-4</t>
  </si>
  <si>
    <t>LORENA Reyes</t>
  </si>
  <si>
    <t>Vil Trasandino, Pasaje Aut Schidner 119</t>
  </si>
  <si>
    <t>BIT11030164</t>
  </si>
  <si>
    <t>251541210</t>
  </si>
  <si>
    <t>NOMBRE RETIRA: HUMBERTO LAGOMARSINO P RUT RETIRA: 7058759-9</t>
  </si>
  <si>
    <t>Humberto Lagomarsino</t>
  </si>
  <si>
    <t>Avenida Playa ancha 797, Almacen Santa teresa</t>
  </si>
  <si>
    <t>BIT11030177</t>
  </si>
  <si>
    <t>251541165</t>
  </si>
  <si>
    <t>NOMBRE RETIRA: CAMILA ORTEGA . RUT RETIRA: 19013118-1</t>
  </si>
  <si>
    <t>Ruth Rojas</t>
  </si>
  <si>
    <t>Guayacan 79 Dp 401 Agua Santa ViÑa Del Mar, Guayacan 401</t>
  </si>
  <si>
    <t>BIT11030144</t>
  </si>
  <si>
    <t>251451297</t>
  </si>
  <si>
    <t>NOMBRE RETIRA: PATRICIA GONZALEZ . RUT RETIRA: 12780957-7</t>
  </si>
  <si>
    <t>Margarita González Gonzalez Lira</t>
  </si>
  <si>
    <t>Casa, Quechereguas 119</t>
  </si>
  <si>
    <t>BIT11030118</t>
  </si>
  <si>
    <t>251451447</t>
  </si>
  <si>
    <t>NOMBRE RETIRA: MIRIAM VALIENTE . RUT RETIRA: 5615565-1</t>
  </si>
  <si>
    <t>Alejandra Labraña Baeza</t>
  </si>
  <si>
    <t>Cancha Rayada #380, Casa 9</t>
  </si>
  <si>
    <t>BIT11030154</t>
  </si>
  <si>
    <t>251451246</t>
  </si>
  <si>
    <t>NOMBRE RETIRA: ALTO LOSNPINIS 2 CONSEJ FEDDY RUT RETIRA: 53319766-3</t>
  </si>
  <si>
    <t>Leroy Araya Rojas</t>
  </si>
  <si>
    <t>Los topacios 1380, J 603</t>
  </si>
  <si>
    <t>BIT11030106</t>
  </si>
  <si>
    <t>251364369</t>
  </si>
  <si>
    <t>NOMBRE RETIRA: CARLOS BRIOZZO .. RUT RETIRA: 53331561-5</t>
  </si>
  <si>
    <t>Stewart Brant</t>
  </si>
  <si>
    <t>Av parque sur (norte) 1270, curauma, Casa 22</t>
  </si>
  <si>
    <t>BIT11030098</t>
  </si>
  <si>
    <t>251364124</t>
  </si>
  <si>
    <t>NOMBRE RETIRA: MARIA AVILA . RUT RETIRA: 7213470-2</t>
  </si>
  <si>
    <t>Daniel Enrique Ávila Jorquera</t>
  </si>
  <si>
    <t>Arturo Prat 2868.</t>
  </si>
  <si>
    <t>BIT11030086</t>
  </si>
  <si>
    <t>251364163</t>
  </si>
  <si>
    <t>NOMBRE RETIRA: CLAUDIO VERGARA . RUT RETIRA: 56041780-2</t>
  </si>
  <si>
    <t>Uno Poniente 960, Torre 2 401, 401 torre 2</t>
  </si>
  <si>
    <t>BIT11030089</t>
  </si>
  <si>
    <t>251364150</t>
  </si>
  <si>
    <t>NOMBRE RETIRA: JAQUELINE ARIAD U RUT RETIRA: 15118584-3</t>
  </si>
  <si>
    <t>Jacquelinelizabhet Arias  herrera</t>
  </si>
  <si>
    <t>Monseñor Larraín 1327 villa centinela centro, Carnicería</t>
  </si>
  <si>
    <t>BIT11030033</t>
  </si>
  <si>
    <t>251187382</t>
  </si>
  <si>
    <t>NOMBRE RETIRA: VIVIANA OLIVA . RUT RETIRA: 7134200-K</t>
  </si>
  <si>
    <t>Viviana Oliva Carreño</t>
  </si>
  <si>
    <t>Calle Principal 29 población Lourdes Viña del Mar, Casa</t>
  </si>
  <si>
    <t>BIT11029943</t>
  </si>
  <si>
    <t>251023460</t>
  </si>
  <si>
    <t>Javier Germain</t>
  </si>
  <si>
    <t>Av borde Laguna 1407, 144</t>
  </si>
  <si>
    <t>BIT11029993</t>
  </si>
  <si>
    <t>251110166</t>
  </si>
  <si>
    <t>NOMBRE RETIRA: EDITH FLORES . RUT RETIRA: 56079680-3</t>
  </si>
  <si>
    <t>Anamaria Correa</t>
  </si>
  <si>
    <t>Las Pimpinelas 45, Depto 433</t>
  </si>
  <si>
    <t>BIT11029992</t>
  </si>
  <si>
    <t>251110146</t>
  </si>
  <si>
    <t>NOMBRE RETIRA: SCARLETE GARAY . RUT RETIRA: 19776457-0</t>
  </si>
  <si>
    <t>Jose José Ventura</t>
  </si>
  <si>
    <t>Avenida Libertad 919, 83, Edificio alicahue</t>
  </si>
  <si>
    <t>BIT11029999</t>
  </si>
  <si>
    <t>251110159</t>
  </si>
  <si>
    <t>NOMBRE RETIRA: GONZALO GARRAO . RUT RETIRA: 17809396-7</t>
  </si>
  <si>
    <t>Gonzalo Garrao</t>
  </si>
  <si>
    <t>Chorrillos, 2037 villa araucaria., Casa</t>
  </si>
  <si>
    <t>BIT11029918</t>
  </si>
  <si>
    <t>251023481</t>
  </si>
  <si>
    <t>NOMBRE RETIRA: CRISTIAN NINO . RUT RETIRA: 20611544-0</t>
  </si>
  <si>
    <t>Cristian Niño Vera</t>
  </si>
  <si>
    <t>Lago Tinquilco 1285</t>
  </si>
  <si>
    <t>BIT11029950</t>
  </si>
  <si>
    <t>251023399</t>
  </si>
  <si>
    <t>Rene Mauricio Moya Tapia</t>
  </si>
  <si>
    <t>Wayra 1800, Torre 10, depto 451</t>
  </si>
  <si>
    <t>BIT11029811</t>
  </si>
  <si>
    <t>250698906</t>
  </si>
  <si>
    <t>NOMBRE RETIRA: MATIAS PUCHI . RUT RETIRA: 65044037-4</t>
  </si>
  <si>
    <t>Matías Puchi</t>
  </si>
  <si>
    <t>Carmen 446, 1009</t>
  </si>
  <si>
    <t>BIT11029823</t>
  </si>
  <si>
    <t>250698899</t>
  </si>
  <si>
    <t>NOMBRE RETIRA: CAROLINA ARVELO I RUT RETIRA: 21910457-K</t>
  </si>
  <si>
    <t>Carolina Arvelo Gomez</t>
  </si>
  <si>
    <t>Av bombero villalobos 1231, 306 C edif viñedos de Rancagua</t>
  </si>
  <si>
    <t>BIT11029765</t>
  </si>
  <si>
    <t>250605773</t>
  </si>
  <si>
    <t>NOMBRE RETIRA: JAIME BERNAL . RUT RETIRA: 6667730-3</t>
  </si>
  <si>
    <t>Iván Araya</t>
  </si>
  <si>
    <t>Av. 21 De Mayo 1099, Casa 704</t>
  </si>
  <si>
    <t>BIT11029716</t>
  </si>
  <si>
    <t>250511289</t>
  </si>
  <si>
    <t>NOMBRE RETIRA: ESTEBAN LAGOS K RUT RETIRA: 18583054-3</t>
  </si>
  <si>
    <t>Esteban Lagos</t>
  </si>
  <si>
    <t>Pasaje I 2360, Block J, Depto 101</t>
  </si>
  <si>
    <t>BIT11029720</t>
  </si>
  <si>
    <t>250511329</t>
  </si>
  <si>
    <t>NOMBRE RETIRA: ANDRES NAVARRETE . RUT RETIRA: 12345678-5</t>
  </si>
  <si>
    <t>Erwin Reyes</t>
  </si>
  <si>
    <t>Pablo Raab 752, casa 12, Lomas del Sol, 12</t>
  </si>
  <si>
    <t>BIT11029746</t>
  </si>
  <si>
    <t>250511185</t>
  </si>
  <si>
    <t>NOMBRE RETIRA: HUGO MARCOLETTA H RUT RETIRA: 18269997-7</t>
  </si>
  <si>
    <t>Leonor Pereda Lillo</t>
  </si>
  <si>
    <t>Cochrane 653 Edificio Angamos, Of.606</t>
  </si>
  <si>
    <t>BIT11029712</t>
  </si>
  <si>
    <t>250511337</t>
  </si>
  <si>
    <t>NOMBRE RETIRA: SEBASRIAN SAGAL H RUT RETIRA: 21235040-0</t>
  </si>
  <si>
    <t>Ruth Altamirano Reyes</t>
  </si>
  <si>
    <t>Chorrillos 2037, Casa</t>
  </si>
  <si>
    <t>BIT11029668</t>
  </si>
  <si>
    <t>250345630</t>
  </si>
  <si>
    <t>NOMBRE RETIRA: COSTA RENACA . . RUT RETIRA: 53330390-0</t>
  </si>
  <si>
    <t>Cristian Krause Muñoz</t>
  </si>
  <si>
    <t>Avenida Jardines de Reñaca 50, Dp 98 Torre Costa Parque</t>
  </si>
  <si>
    <t>BIT11029670</t>
  </si>
  <si>
    <t>250345637</t>
  </si>
  <si>
    <t>NOMBRE RETIRA: LAI LAM . RUT RETIRA: 21000531-5</t>
  </si>
  <si>
    <t>Avenida Miguel Ramirez 723, Rancagua, Restaurante Perla Oriental</t>
  </si>
  <si>
    <t>BIT11029666</t>
  </si>
  <si>
    <t>250345620</t>
  </si>
  <si>
    <t>NOMBRE RETIRA: CRISTIAN NINO J RUT RETIRA: 14536010-2</t>
  </si>
  <si>
    <t>BIT11029679</t>
  </si>
  <si>
    <t>250345559</t>
  </si>
  <si>
    <t>NOMBRE RETIRA: ALEJANDRO BAEZ . RUT RETIRA: 17468286-0</t>
  </si>
  <si>
    <t>Alejandro Baez Flores</t>
  </si>
  <si>
    <t>Villa El Bermejo, Calle Los Almendros, 1329</t>
  </si>
  <si>
    <t>BIT11029655</t>
  </si>
  <si>
    <t>250345614</t>
  </si>
  <si>
    <t>NOMBRE RETIRA: CARLOS BERNAL . RUT RETIRA: 17078367-0</t>
  </si>
  <si>
    <t>Carlos BERNAL</t>
  </si>
  <si>
    <t>Principal 34 Pucalan, Camino a Nogales x la costa</t>
  </si>
  <si>
    <t>BIT11029620</t>
  </si>
  <si>
    <t>250276248</t>
  </si>
  <si>
    <t>NOMBRE RETIRA: MARIA MUNOZ . RUT RETIRA: 16333808-4</t>
  </si>
  <si>
    <t>BIT11029638</t>
  </si>
  <si>
    <t>250276182</t>
  </si>
  <si>
    <t>NOMBRE RETIRA: RODRIGO MILLARES . RUT RETIRA: 53330390-0</t>
  </si>
  <si>
    <t>Avenida Edmundo Eluchans 1615, 1501</t>
  </si>
  <si>
    <t>BIT11029610</t>
  </si>
  <si>
    <t>250276253</t>
  </si>
  <si>
    <t>NOMBRE RETIRA: LEONARDO DE LA MAZA . RUT RETIRA: 12637472-0</t>
  </si>
  <si>
    <t>Robinson Carreño guerrero</t>
  </si>
  <si>
    <t>Chacabuco 978, Depto 507</t>
  </si>
  <si>
    <t>BIT11030459</t>
  </si>
  <si>
    <t>252138295</t>
  </si>
  <si>
    <t>NOMBRE RETIRA: LUIS CACERES . RUT RETIRA: 9048038-3</t>
  </si>
  <si>
    <t>Ines Diaz flores</t>
  </si>
  <si>
    <t>Avenida Isidoro del solar 280, 702</t>
  </si>
  <si>
    <t>BIT11030480</t>
  </si>
  <si>
    <t>252138248</t>
  </si>
  <si>
    <t>Eric Rios</t>
  </si>
  <si>
    <t>2 Sur 1285, 704</t>
  </si>
  <si>
    <t>BIT11030299</t>
  </si>
  <si>
    <t>251828531</t>
  </si>
  <si>
    <t>NOMBRE RETIRA: ROSANA ALAMOS. . RUT RETIRA: 11046754-0</t>
  </si>
  <si>
    <t>Maria Pozo</t>
  </si>
  <si>
    <t>Avda. Colon 997 Curico</t>
  </si>
  <si>
    <t>BIT11030235</t>
  </si>
  <si>
    <t>251694154</t>
  </si>
  <si>
    <t>NOMBRE RETIRA: ROBERTO GUZMAN .. RUT RETIRA: 26873181-4</t>
  </si>
  <si>
    <t>Maria Teresa Uriarte Oyarce</t>
  </si>
  <si>
    <t>Carrers 682,, Puso 2</t>
  </si>
  <si>
    <t>BIT11030039</t>
  </si>
  <si>
    <t>251187379</t>
  </si>
  <si>
    <t>NOMBRE RETIRA: NATALIA ARCE . RUT RETIRA: 15568101-2</t>
  </si>
  <si>
    <t>Natalia Arce</t>
  </si>
  <si>
    <t>villa buen pastor 6 y medio poniente 867 con esquina 3 y media sur, casa roja</t>
  </si>
  <si>
    <t>BIT11029895</t>
  </si>
  <si>
    <t>251023584</t>
  </si>
  <si>
    <t>NOMBRE RETIRA: ROBERTO GONZALEZ G RUT RETIRA: 15139372-1</t>
  </si>
  <si>
    <t>2 norte 3495, Depto 307b, edificio parque universitario</t>
  </si>
  <si>
    <t>2025-08-09 10:52</t>
  </si>
  <si>
    <t>BIT11029879</t>
  </si>
  <si>
    <t>250859755</t>
  </si>
  <si>
    <t>NOMBRE RETIRA: ARTHUR SCHUTTE T RUT RETIRA: 76669508-6</t>
  </si>
  <si>
    <t>Arthur Schutte Sepulveda</t>
  </si>
  <si>
    <t>Peña 369, Clinica veterinaria</t>
  </si>
  <si>
    <t>BIT11029648</t>
  </si>
  <si>
    <t>250276130</t>
  </si>
  <si>
    <t>NOMBRE RETIRA: ALEJANDRA PINA . RUT RETIRA: 18683500-K</t>
  </si>
  <si>
    <t>alejandro piña</t>
  </si>
  <si>
    <t>villa galilea calle Lago Vichuquén 1662, casa</t>
  </si>
  <si>
    <t>BIT11030495</t>
  </si>
  <si>
    <t>252211001</t>
  </si>
  <si>
    <t>NOMBRE RETIRA: BERNARDO TRONOSO P RUT RETIRA: 26149189-3</t>
  </si>
  <si>
    <t>Bernardo Troncoso</t>
  </si>
  <si>
    <t>Ifarle oriente 6191 caucaso 3, Depto 712</t>
  </si>
  <si>
    <t>BIT11030469</t>
  </si>
  <si>
    <t>252138290</t>
  </si>
  <si>
    <t>NOMBRE RETIRA: AYARIT PINA . RUT RETIRA: 33755493-8</t>
  </si>
  <si>
    <t>Alejandro Flores terzi</t>
  </si>
  <si>
    <t>Ejercito 499, Casa panaderia la nona</t>
  </si>
  <si>
    <t>BIT11030458</t>
  </si>
  <si>
    <t>252138256</t>
  </si>
  <si>
    <t>maria isabel gonzalez galvez</t>
  </si>
  <si>
    <t>wilhem 1000-A depto 901, tucapel con victor lamas subuendoi al cerro caracol</t>
  </si>
  <si>
    <t>BIT11030377</t>
  </si>
  <si>
    <t>252004671</t>
  </si>
  <si>
    <t>NOMBRE RETIRA: MIGUEL GUZMAV . RUT RETIRA: 19335196-4</t>
  </si>
  <si>
    <t>Progreso 8237, 8237</t>
  </si>
  <si>
    <t>BIT11030382</t>
  </si>
  <si>
    <t>252005045</t>
  </si>
  <si>
    <t>NOMBRE RETIRA: PATRICIO SALAMANCA . RUT RETIRA: 7218769-5</t>
  </si>
  <si>
    <t>María Teresa Friedlaender Paulsen</t>
  </si>
  <si>
    <t>La Virgen 96, Casa</t>
  </si>
  <si>
    <t>BIT11030321</t>
  </si>
  <si>
    <t>251883129</t>
  </si>
  <si>
    <t>NOMBRE RETIRA: JAVIERA RODRIGUEZ . RUT RETIRA: 14612228-0</t>
  </si>
  <si>
    <t>psje pedro de ona 3728</t>
  </si>
  <si>
    <t>BIT11030332</t>
  </si>
  <si>
    <t>251883166</t>
  </si>
  <si>
    <t>NOMBRE RETIRA: FERNANDO SOLIS . RUT RETIRA: 12014368-9</t>
  </si>
  <si>
    <t>Dina Sandoval</t>
  </si>
  <si>
    <t>PoblaciÓn Luis Cruz Martinez, Linares 44</t>
  </si>
  <si>
    <t>BIT11030304</t>
  </si>
  <si>
    <t>251828555</t>
  </si>
  <si>
    <t>NOMBRE RETIRA: MANGI GONALEZ . RUT RETIRA: 25732686-1</t>
  </si>
  <si>
    <t>Cada, Av. William Condon 3234, San Pedro De La Paz- Concepcion</t>
  </si>
  <si>
    <t>BIT11030312</t>
  </si>
  <si>
    <t>251883171</t>
  </si>
  <si>
    <t>NOMBRE RETIRA: CECILIA CASANUEVA 0 RUT RETIRA: 65234302-3</t>
  </si>
  <si>
    <t>Tucapel 262, 262</t>
  </si>
  <si>
    <t>BIT11030306</t>
  </si>
  <si>
    <t>251883178</t>
  </si>
  <si>
    <t>NOMBRE RETIRA: LILY SEMBLER . RUT RETIRA: 12836182-0</t>
  </si>
  <si>
    <t>Lily Sembler Villagra</t>
  </si>
  <si>
    <t>Chorrillos 1284</t>
  </si>
  <si>
    <t>BIT11030232</t>
  </si>
  <si>
    <t>251694196</t>
  </si>
  <si>
    <t>NOMBRE RETIRA: FERNANDA FREDEW . RUT RETIRA: 20149933-K</t>
  </si>
  <si>
    <t>Hebelin Fredes</t>
  </si>
  <si>
    <t>Poblacion San Martin calle tres casa 635 Lota</t>
  </si>
  <si>
    <t>BIT11030227</t>
  </si>
  <si>
    <t>251694202</t>
  </si>
  <si>
    <t>NOMBRE RETIRA: JUDITH DIAS . RUT RETIRA: 19109789-0</t>
  </si>
  <si>
    <t>Alvaro López Díaz</t>
  </si>
  <si>
    <t>Bergantin Aquiles, 460</t>
  </si>
  <si>
    <t>BIT11030245</t>
  </si>
  <si>
    <t>251694147</t>
  </si>
  <si>
    <t>NOMBRE RETIRA: JAVIER LOPEZ . RUT RETIRA: 17750010-0</t>
  </si>
  <si>
    <t>Torre D, Av Ohiggins 1650, Depto 41</t>
  </si>
  <si>
    <t>BIT11030165</t>
  </si>
  <si>
    <t>251541222</t>
  </si>
  <si>
    <t>NOMBRE RETIRA: BERNANDO TRONKOSO P RUT RETIRA: 65213662-1</t>
  </si>
  <si>
    <t>BIT11030153</t>
  </si>
  <si>
    <t>251451255</t>
  </si>
  <si>
    <t>NOMBRE RETIRA: SEBASTIAN GUTIERREZ . RUT RETIRA: 21126420-9</t>
  </si>
  <si>
    <t>BIT11030099</t>
  </si>
  <si>
    <t>251364092</t>
  </si>
  <si>
    <t>Angela Gutierrez</t>
  </si>
  <si>
    <t>BIT11030116</t>
  </si>
  <si>
    <t>251451463</t>
  </si>
  <si>
    <t>NOMBRE RETIRA: JQCQUE BEMITEZ . RUT RETIRA: 18109592-K</t>
  </si>
  <si>
    <t>Fernando Díaz Romero</t>
  </si>
  <si>
    <t>Avenida william condon 3125, Casa 4</t>
  </si>
  <si>
    <t>BIT11030150</t>
  </si>
  <si>
    <t>251451268</t>
  </si>
  <si>
    <t>NOMBRE RETIRA: FELIPE CURIMAM N RUT RETIRA: 13624643-7</t>
  </si>
  <si>
    <t>Eric Sanhueza Zamorano</t>
  </si>
  <si>
    <t>Calle G 833 Depto 502, Edificio Mirador Caucaso 2</t>
  </si>
  <si>
    <t>BIT11030103</t>
  </si>
  <si>
    <t>251364107</t>
  </si>
  <si>
    <t>NOMBRE RETIRA: PABLO AMIGO 0 RUT RETIRA: 23137705-0</t>
  </si>
  <si>
    <t>Christian Amigo Durán</t>
  </si>
  <si>
    <t>Irarrazabal 731</t>
  </si>
  <si>
    <t>BIT11030102</t>
  </si>
  <si>
    <t>251364071</t>
  </si>
  <si>
    <t>NOMBRE RETIRA: JORGE FERNANDEZ . RUT RETIRA: 7148084-4</t>
  </si>
  <si>
    <t>Raúl Urrutia</t>
  </si>
  <si>
    <t>Chacabuco 1140., Departamento 704</t>
  </si>
  <si>
    <t>BIT11030070</t>
  </si>
  <si>
    <t>251266223</t>
  </si>
  <si>
    <t>NOMBRE RETIRA: LUIS MORENO . RUT RETIRA: 16506395-3</t>
  </si>
  <si>
    <t>luis moreno</t>
  </si>
  <si>
    <t>Las Lavandas 435, San Pedro de la Paz, Bío Bío, Chile, casa</t>
  </si>
  <si>
    <t>BIT11030046</t>
  </si>
  <si>
    <t>251266326</t>
  </si>
  <si>
    <t>Yolanda Repetto Capponi</t>
  </si>
  <si>
    <t>Pintor Venegas 5705, Casa 188 Chiguayante</t>
  </si>
  <si>
    <t>BIT11030068</t>
  </si>
  <si>
    <t>251266221</t>
  </si>
  <si>
    <t>NOMBRE RETIRA: CARLOS MARCHAN U RUT RETIRA: 6407027-4</t>
  </si>
  <si>
    <t>Cristian Benavente Padilla</t>
  </si>
  <si>
    <t>Orompello 129, Depto 1508</t>
  </si>
  <si>
    <t>BIT11030023</t>
  </si>
  <si>
    <t>251187399</t>
  </si>
  <si>
    <t>NOMBRE RETIRA: ALEJANDRA MUNOZ . RUT RETIRA: 19799373-1</t>
  </si>
  <si>
    <t>Alejandra Muñoz olivares</t>
  </si>
  <si>
    <t>Pedro de ona 1740</t>
  </si>
  <si>
    <t>BIT11029975</t>
  </si>
  <si>
    <t>251110213</t>
  </si>
  <si>
    <t>NOMBRE RETIRA: ANDRES GAJARDO GAJARDO RUT RETIRA: 53331819-3</t>
  </si>
  <si>
    <t>Paulina Crovetto</t>
  </si>
  <si>
    <t>Av. Pedro de valdivia 1805, Depto 201</t>
  </si>
  <si>
    <t>BIT11030007</t>
  </si>
  <si>
    <t>251110135</t>
  </si>
  <si>
    <t>NOMBRE RETIRA: YOLANDA REPETTO REPETTO RUT RETIRA: 8498474-4</t>
  </si>
  <si>
    <t>BIT11029961</t>
  </si>
  <si>
    <t>251110247</t>
  </si>
  <si>
    <t>NOMBRE RETIRA: GABRIELA . . RUT RETIRA: 28028423-8</t>
  </si>
  <si>
    <t>Gloria Myriam Cazabon Gómex</t>
  </si>
  <si>
    <t>Ejercito 764 Concepcion, Bodega Copec</t>
  </si>
  <si>
    <t>BIT11029946</t>
  </si>
  <si>
    <t>251023422</t>
  </si>
  <si>
    <t>Emilio Costa Valenzuela</t>
  </si>
  <si>
    <t>Los Castaños 1481 Quinta Junge, Depto 601 Edificio Mirador Plaza, Concepcion</t>
  </si>
  <si>
    <t>BIT11029907</t>
  </si>
  <si>
    <t>251023535</t>
  </si>
  <si>
    <t>NOMBRE RETIRA: CLAUDIA ARANEDA A RUT RETIRA: 10898188-1</t>
  </si>
  <si>
    <t>Claudia Araneda</t>
  </si>
  <si>
    <t>La Espuela 975 quilamapu, Segunda casa a la derecha</t>
  </si>
  <si>
    <t>BIT11029855</t>
  </si>
  <si>
    <t>250859867</t>
  </si>
  <si>
    <t>NOMBRE RETIRA: YENIFER RETAMAL CARTES RUT RETIRA: 18832876-8</t>
  </si>
  <si>
    <t>Jennifer Retamal Cartes</t>
  </si>
  <si>
    <t>Pasaje santa teresa #1592, Villa Emmanuel, Pasaje Santa Teresa # 1592</t>
  </si>
  <si>
    <t>BIT11029830</t>
  </si>
  <si>
    <t>250778525</t>
  </si>
  <si>
    <t>NOMBRE RETIRA: SERGIO MUNOZ M RUT RETIRA: 11685024-9</t>
  </si>
  <si>
    <t>Cerro Zapaleri 212</t>
  </si>
  <si>
    <t>BIT11029840</t>
  </si>
  <si>
    <t>250778513</t>
  </si>
  <si>
    <t>Catalina Caro</t>
  </si>
  <si>
    <t>RamÓn Carrasco 239, 134</t>
  </si>
  <si>
    <t>BIT11029819</t>
  </si>
  <si>
    <t>250698886</t>
  </si>
  <si>
    <t>NOMBRE RETIRA: MIGUEL GUZMAN . RUT RETIRA: 15187869-5</t>
  </si>
  <si>
    <t>Progreso, 8237</t>
  </si>
  <si>
    <t>BIT11029768</t>
  </si>
  <si>
    <t>250605741</t>
  </si>
  <si>
    <t>Las Azucenas 773 villa jardines de ñuble</t>
  </si>
  <si>
    <t>BIT11029810</t>
  </si>
  <si>
    <t>250698923</t>
  </si>
  <si>
    <t>maximiliano aruta</t>
  </si>
  <si>
    <t>roberto matta 204, departamento 510 torre calbuco</t>
  </si>
  <si>
    <t>BIT11029786</t>
  </si>
  <si>
    <t>250605677</t>
  </si>
  <si>
    <t>NOMBRE RETIRA: JOSE SAEZ.. . RUT RETIRA: 16221325-3</t>
  </si>
  <si>
    <t>José Manuel Saez Salazar</t>
  </si>
  <si>
    <t>Calle valle del sur 707, Casa 15, condominio parque andino 3</t>
  </si>
  <si>
    <t>BIT11029779</t>
  </si>
  <si>
    <t>250605707</t>
  </si>
  <si>
    <t>NOMBRE RETIRA: RICARDO BURGOS CONSERJE RUT RETIRA: 7637920-3</t>
  </si>
  <si>
    <t>Felipe Montoya</t>
  </si>
  <si>
    <t>Las Rosas 1835; casa 6 - Huertos Familiares, San Pedro de la Paz.</t>
  </si>
  <si>
    <t>BIT11029718</t>
  </si>
  <si>
    <t>250511260</t>
  </si>
  <si>
    <t>NOMBRE RETIRA: ALEJANDRO STUARDO S RUT RETIRA: 17989081-K</t>
  </si>
  <si>
    <t>Alejandro Stuardo</t>
  </si>
  <si>
    <t>San Carlos 1708, Barrio Toledo</t>
  </si>
  <si>
    <t>BIT11029478</t>
  </si>
  <si>
    <t>9355039724</t>
  </si>
  <si>
    <t>Claudio Soriano Lopez</t>
  </si>
  <si>
    <t>Padre Hurtado 33D, Villa Las Parcelas</t>
  </si>
  <si>
    <t>2025-07-26 11:20</t>
  </si>
  <si>
    <t>BIT11029744</t>
  </si>
  <si>
    <t>250511191</t>
  </si>
  <si>
    <t>NOMBRE RETIRA: VICTOR VALE ZUELA . RUT RETIRA: 65006684-7</t>
  </si>
  <si>
    <t>Gloria Irribarra</t>
  </si>
  <si>
    <t>Avenida Andalue 2310, Dpto 505</t>
  </si>
  <si>
    <t>BIT11029739</t>
  </si>
  <si>
    <t>250511234</t>
  </si>
  <si>
    <t>NOMBRE RETIRA: NANCY . . RUT RETIRA: 10059321-1</t>
  </si>
  <si>
    <t>Jonathan Carrasco Sandoval</t>
  </si>
  <si>
    <t>Desiderio Sanhueza 160, Departamento 605 torre B</t>
  </si>
  <si>
    <t>BIT11029711</t>
  </si>
  <si>
    <t>250511391</t>
  </si>
  <si>
    <t>NOMBRE RETIRA: RUBEN . . RUT RETIRA: 7261081-4</t>
  </si>
  <si>
    <t>Rubén Elgueta</t>
  </si>
  <si>
    <t>Marina de Chile 2654, 6</t>
  </si>
  <si>
    <t>BIT11029752</t>
  </si>
  <si>
    <t>250511157</t>
  </si>
  <si>
    <t>NOMBRE RETIRA: ISABEL FAUNDEZ . RUT RETIRA: 11770839-K</t>
  </si>
  <si>
    <t>Leonardo Ramos</t>
  </si>
  <si>
    <t>Idahue, Camino Del RÍo 899</t>
  </si>
  <si>
    <t>BIT11029756</t>
  </si>
  <si>
    <t>250511149</t>
  </si>
  <si>
    <t>BIT11029661</t>
  </si>
  <si>
    <t>250345663</t>
  </si>
  <si>
    <t>BIT11029629</t>
  </si>
  <si>
    <t>250276221</t>
  </si>
  <si>
    <t>Avenida San AndrÉs 225, C</t>
  </si>
  <si>
    <t>BIT11029471</t>
  </si>
  <si>
    <t>9356081405</t>
  </si>
  <si>
    <t>marco ponce</t>
  </si>
  <si>
    <t>ohiggins 915, casa</t>
  </si>
  <si>
    <t>BIT11029627</t>
  </si>
  <si>
    <t>250276224</t>
  </si>
  <si>
    <t>NOMBRE RETIRA: MARIA YOLANDA REPETTO REPETTO RUT RETIRA: 8498474-4</t>
  </si>
  <si>
    <t>María Yolanda Repetto Capponi</t>
  </si>
  <si>
    <t>Las palmas de villuco 188 Chiguayante, Casa</t>
  </si>
  <si>
    <t>BIT11029612</t>
  </si>
  <si>
    <t>250276231</t>
  </si>
  <si>
    <t>NOMBRE RETIRA: MADELEINE MENA . RUT RETIRA: 24964140-5</t>
  </si>
  <si>
    <t>Rodrigo Alvarez</t>
  </si>
  <si>
    <t>Alto LLACOLEN 728 IDAHUE</t>
  </si>
  <si>
    <t>BIT11030512</t>
  </si>
  <si>
    <t>252210969</t>
  </si>
  <si>
    <t>NOMBRE RETIRA: SIMONE SIMON -- RUT RETIRA: 6451081-9</t>
  </si>
  <si>
    <t>Simone Simon</t>
  </si>
  <si>
    <t>San Joaquin 2690, Casa</t>
  </si>
  <si>
    <t>BIT11030412</t>
  </si>
  <si>
    <t>252004556</t>
  </si>
  <si>
    <t>NOMBRE RETIRA: LORENA ANDRADE . RUT RETIRA: 14665259-K</t>
  </si>
  <si>
    <t>Lorena Andrade Rodas</t>
  </si>
  <si>
    <t>Pedro Aguirre Cerda 044, Casa 10</t>
  </si>
  <si>
    <t>BIT11030477</t>
  </si>
  <si>
    <t>252138264</t>
  </si>
  <si>
    <t>NOMBRE RETIRA: MOISES ENRIQUE ESCORCH RUT RETIRA: 28476560-5</t>
  </si>
  <si>
    <t>Ariel Liser Gonzalez Lillo</t>
  </si>
  <si>
    <t>Av Francisco de Aguirre 097, Depto 58A</t>
  </si>
  <si>
    <t>BIT11029487</t>
  </si>
  <si>
    <t>9356089256</t>
  </si>
  <si>
    <t>Frederic Alcantara</t>
  </si>
  <si>
    <t>Lomas de rauquen, C-29</t>
  </si>
  <si>
    <t>BIT11030390</t>
  </si>
  <si>
    <t>252004637</t>
  </si>
  <si>
    <t>NOMBRE RETIRA: RENE CEVO .. RUT RETIRA: 19146817-1</t>
  </si>
  <si>
    <t>Rene Cevo Salinas</t>
  </si>
  <si>
    <t>Pasaje Luis Querber 67, Casa 67</t>
  </si>
  <si>
    <t>BIT11030398</t>
  </si>
  <si>
    <t>252004623</t>
  </si>
  <si>
    <t>NOMBRE RETIRA: FIDEL GOMEZ CONSERJERIA RUT RETIRA: 9550500-7</t>
  </si>
  <si>
    <t>Cesar Espindola</t>
  </si>
  <si>
    <t>Los arrayanes 1329, C213</t>
  </si>
  <si>
    <t>BIT11030409</t>
  </si>
  <si>
    <t>252004582</t>
  </si>
  <si>
    <t>NOMBRE RETIRA: CARLOS REBOLLEDO -- RUT RETIRA: 8019724-1</t>
  </si>
  <si>
    <t>luisa Kneer 2820, Departamento 60</t>
  </si>
  <si>
    <t>BIT11030392</t>
  </si>
  <si>
    <t>252005039</t>
  </si>
  <si>
    <t>NOMBRE RETIRA: CAMILO OLMOS . RUT RETIRA: 12345678-5</t>
  </si>
  <si>
    <t>Camilo Olmos Vergara</t>
  </si>
  <si>
    <t>Pasaje cerro alegre 771, Casa</t>
  </si>
  <si>
    <t>BIT11030345</t>
  </si>
  <si>
    <t>251883151</t>
  </si>
  <si>
    <t>NOMBRE RETIRA: LOREDANA BONANI . RUT RETIRA: 18178254-4</t>
  </si>
  <si>
    <t>Joel Guzmán Araya</t>
  </si>
  <si>
    <t>Avenida Estadio 3812</t>
  </si>
  <si>
    <t>BIT11030327</t>
  </si>
  <si>
    <t>251883165</t>
  </si>
  <si>
    <t>NOMBRE RETIRA: ANDRES MARTINES . RUT RETIRA: 18805117-0</t>
  </si>
  <si>
    <t>ANDRES MARTINEZ SERRANO</t>
  </si>
  <si>
    <t>Laguna Verde 2365, Dpto 504</t>
  </si>
  <si>
    <t>BIT11030280</t>
  </si>
  <si>
    <t>251764903</t>
  </si>
  <si>
    <t>NOMBRE RETIRA: BELINDA GERALDO . RUT RETIRA: 6664977-6</t>
  </si>
  <si>
    <t>wilson pizarro geraldo</t>
  </si>
  <si>
    <t>Los alerces 4129</t>
  </si>
  <si>
    <t>BIT11030272</t>
  </si>
  <si>
    <t>251764924</t>
  </si>
  <si>
    <t>NOMBRE RETIRA: RUBY BORGEAUD ... RUT RETIRA: 7447387-3</t>
  </si>
  <si>
    <t>RUBY NATACHA BORGEAUD</t>
  </si>
  <si>
    <t>Costanera Quilque Norte 1048</t>
  </si>
  <si>
    <t>BIT11030237</t>
  </si>
  <si>
    <t>251694198</t>
  </si>
  <si>
    <t>NOMBRE RETIRA: VICTOR PEREZ .. RUT RETIRA: 17194668-9</t>
  </si>
  <si>
    <t>Victor Alejandro Pérez Gueren</t>
  </si>
  <si>
    <t>Soldado Sánchez 1572</t>
  </si>
  <si>
    <t>BIT11030228</t>
  </si>
  <si>
    <t>251694220</t>
  </si>
  <si>
    <t>NOMBRE RETIRA: RICARDO CORTES . RUT RETIRA: 12805692-0</t>
  </si>
  <si>
    <t>Pasaje Luis PeÑailillo CortÉz 1295</t>
  </si>
  <si>
    <t>BIT11030222</t>
  </si>
  <si>
    <t>251624109</t>
  </si>
  <si>
    <t>NOMBRE RETIRA: CESAR HIDALGO ... RUT RETIRA: 20322216-5</t>
  </si>
  <si>
    <t>Colon 140 2do piso</t>
  </si>
  <si>
    <t>BIT11030137</t>
  </si>
  <si>
    <t>251451327</t>
  </si>
  <si>
    <t>Daniel Negron Iglesias</t>
  </si>
  <si>
    <t>RAUL SALAMANCA JORQUERA 1650, Casa 84</t>
  </si>
  <si>
    <t>BIT11030148</t>
  </si>
  <si>
    <t>251451290</t>
  </si>
  <si>
    <t>MARCELO ARENAS</t>
  </si>
  <si>
    <t>MARIA ANGELICA 045, COQUIMBO, 2184</t>
  </si>
  <si>
    <t>BIT11030171</t>
  </si>
  <si>
    <t>251541192</t>
  </si>
  <si>
    <t>NOMBRE RETIRA: JACQUELINE ESPINOZA .. RUT RETIRA: 8891025-7</t>
  </si>
  <si>
    <t>pierre vargas</t>
  </si>
  <si>
    <t>los pimientos 1120</t>
  </si>
  <si>
    <t>BIT11030059</t>
  </si>
  <si>
    <t>251266248</t>
  </si>
  <si>
    <t>NOMBRE RETIRA: MONICA ZEPEDA ER RUT RETIRA: 8898290-8</t>
  </si>
  <si>
    <t>Valeria Fernanda Valdivia Cepeda</t>
  </si>
  <si>
    <t>EspaÑa 753, El Llano, Coquimbo, Casa</t>
  </si>
  <si>
    <t>BIT11030029</t>
  </si>
  <si>
    <t>251187386</t>
  </si>
  <si>
    <t>LAS ROSAS ORIENTE 0201 CASA 1002, CONDOMINIO PUERTAS DE HIERRO 2</t>
  </si>
  <si>
    <t>BIT11030026</t>
  </si>
  <si>
    <t>251187396</t>
  </si>
  <si>
    <t>Avenida Maria Dolores 3309 Cond. Villa Cordillera, Casa 1</t>
  </si>
  <si>
    <t>BIT11030015</t>
  </si>
  <si>
    <t>251187400</t>
  </si>
  <si>
    <t>NOMBRE RETIRA: MAURICIO GODOY .. RUT RETIRA: 12125150-7</t>
  </si>
  <si>
    <t>Luis Lama Carrasco</t>
  </si>
  <si>
    <t>Almagro 625 || Almagro 625, Almagro 625</t>
  </si>
  <si>
    <t>BIT11029949</t>
  </si>
  <si>
    <t>251023412</t>
  </si>
  <si>
    <t>NOMBRE RETIRA: CESAR HIDALGO ... RUT RETIRA: 14516255-6</t>
  </si>
  <si>
    <t>BIT11029916</t>
  </si>
  <si>
    <t>251023507</t>
  </si>
  <si>
    <t>NOMBRE RETIRA: CRISTIAN WHITE . RUT RETIRA: 11962975-6</t>
  </si>
  <si>
    <t>Christian White</t>
  </si>
  <si>
    <t>Avenida Almirante Latorre 0840, 99 (Condominio Santa Ana)</t>
  </si>
  <si>
    <t>BIT11029827</t>
  </si>
  <si>
    <t>250778545</t>
  </si>
  <si>
    <t>NOMBRE RETIRA: TANIA MUNIZAGA . RUT RETIRA: 6151014-1</t>
  </si>
  <si>
    <t>Tania Munizaga Jure</t>
  </si>
  <si>
    <t>Laura Rodig 1603, Casa</t>
  </si>
  <si>
    <t>BIT11029824</t>
  </si>
  <si>
    <t>250698833</t>
  </si>
  <si>
    <t>NOMBRE RETIRA: TAMARA ARAYA . RUT RETIRA: 21645305-0</t>
  </si>
  <si>
    <t>Mairim Salas plaza</t>
  </si>
  <si>
    <t>Avenida circunvalacion 948, K204, ciudad del encanto</t>
  </si>
  <si>
    <t>BIT11029825</t>
  </si>
  <si>
    <t>250698828</t>
  </si>
  <si>
    <t>NOMBRE RETIRA: FABIAN AVILA . RUT RETIRA: 18467755-5</t>
  </si>
  <si>
    <t>Fabián Ávila</t>
  </si>
  <si>
    <t>Pasaje beethoven 5146</t>
  </si>
  <si>
    <t>BIT11029797</t>
  </si>
  <si>
    <t>250606955</t>
  </si>
  <si>
    <t>NOMBRE RETIRA: FABIAN CISTERNAS M RUT RETIRA: 16916947-0</t>
  </si>
  <si>
    <t>La Academia 1511, Casa</t>
  </si>
  <si>
    <t>BIT11029796</t>
  </si>
  <si>
    <t>250606989</t>
  </si>
  <si>
    <t>NOMBRE RETIRA: VICTOR RAMIREZ . RUT RETIRA: 18100464-9</t>
  </si>
  <si>
    <t>victor manuel ramirez vasquez</t>
  </si>
  <si>
    <t>almagro 250, oficina 712 piso 7</t>
  </si>
  <si>
    <t>BIT11029794</t>
  </si>
  <si>
    <t>250606995</t>
  </si>
  <si>
    <t>NOMBRE RETIRA: CRISTIAN WITE . RUT RETIRA: 18805117-0</t>
  </si>
  <si>
    <t>BIT11029791</t>
  </si>
  <si>
    <t>250605674</t>
  </si>
  <si>
    <t>NOMBRE RETIRA: RAUL MUNOZ O RUT RETIRA: 21304295-5</t>
  </si>
  <si>
    <t>Casa, Calle Amunategui 636</t>
  </si>
  <si>
    <t>BIT11029793</t>
  </si>
  <si>
    <t>250606982</t>
  </si>
  <si>
    <t>NOMBRE RETIRA: FRANCISCO MARTINEZ . RUT RETIRA: 26258189-6</t>
  </si>
  <si>
    <t>Karina Martinez</t>
  </si>
  <si>
    <t>LAUQUEN 820, 820</t>
  </si>
  <si>
    <t>BIT11029723</t>
  </si>
  <si>
    <t>250511241</t>
  </si>
  <si>
    <t>NOMBRE RETIRA: CLAUDIO TRONCOSO . RUT RETIRA: 26076095-5</t>
  </si>
  <si>
    <t>Claudio Troncoso Leyton</t>
  </si>
  <si>
    <t>Avenida Peñuelas Norte 191, Restaurante Pilla La Vaca</t>
  </si>
  <si>
    <t>BIT11029667</t>
  </si>
  <si>
    <t>250345603</t>
  </si>
  <si>
    <t>NOMBRE RETIRA: JAIME ANGEL . . RUT RETIRA: 5587171-K</t>
  </si>
  <si>
    <t>Jaime Angel Araya</t>
  </si>
  <si>
    <t>Pasaje Marta Brunet 3531 Avenida 4 esquinas, Casa</t>
  </si>
  <si>
    <t>BIT11029674</t>
  </si>
  <si>
    <t>250345570</t>
  </si>
  <si>
    <t>NOMBRE RETIRA: MIGUEL CEA M RUT RETIRA: 15204509-3</t>
  </si>
  <si>
    <t>Miguel Cea</t>
  </si>
  <si>
    <t>Avenida Los Ángeles 288, Casa</t>
  </si>
  <si>
    <t>BIT11029639</t>
  </si>
  <si>
    <t>250276156</t>
  </si>
  <si>
    <t>NOMBRE RETIRA: EMILY OLIVER __. RUT RETIRA: 21606608-1</t>
  </si>
  <si>
    <t>Fernando Ortiz Hermosilla</t>
  </si>
  <si>
    <t>Ulmo 1903, 137</t>
  </si>
  <si>
    <t>BIT11030426</t>
  </si>
  <si>
    <t>252060690</t>
  </si>
  <si>
    <t>NOMBRE RETIRA: ELIZABETH MUNOZ . RUT RETIRA: 17954560-8</t>
  </si>
  <si>
    <t>christian diaz</t>
  </si>
  <si>
    <t>Prat 244, Atención al cliente supermercado lider</t>
  </si>
  <si>
    <t>BIT11030130</t>
  </si>
  <si>
    <t>251451385</t>
  </si>
  <si>
    <t>NOMBRE RETIRA: VALERIA ACEVEDO . RUT RETIRA: 15531981-K</t>
  </si>
  <si>
    <t>Valeria carolina Acevedo Alarcon</t>
  </si>
  <si>
    <t>Ramon sanfurgo 52, Local comercial Taller 52</t>
  </si>
  <si>
    <t>BIT11030083</t>
  </si>
  <si>
    <t>251364170</t>
  </si>
  <si>
    <t>NOMBRE RETIRA: JESICA RUBILAR . RUT RETIRA: 5678627-9</t>
  </si>
  <si>
    <t>Hector Zambrano Gonzalez</t>
  </si>
  <si>
    <t>Pasaje 8 oriente, Casa 60. Polo A , Machali</t>
  </si>
  <si>
    <t>BIT11030107</t>
  </si>
  <si>
    <t>251364076</t>
  </si>
  <si>
    <t>NOMBRE RETIRA: JORGE ZUNIGA ... RUT RETIRA: 12690924-1</t>
  </si>
  <si>
    <t>Jorge Zúñiga</t>
  </si>
  <si>
    <t>Arcangel jofiel 30</t>
  </si>
  <si>
    <t>BIT11030114</t>
  </si>
  <si>
    <t>251364052</t>
  </si>
  <si>
    <t>Jorge Zuñiga</t>
  </si>
  <si>
    <t>Arcangel Jofiel 30</t>
  </si>
  <si>
    <t>BIT11030097</t>
  </si>
  <si>
    <t>251364128</t>
  </si>
  <si>
    <t>NOMBRE RETIRA: PAULINA ABARCA . RUT RETIRA: 15102781-4</t>
  </si>
  <si>
    <t>paulina abarca</t>
  </si>
  <si>
    <t>Llaima 255, Adobes de Nogales</t>
  </si>
  <si>
    <t>BIT11029870</t>
  </si>
  <si>
    <t>250859787</t>
  </si>
  <si>
    <t>NOMBRE RETIRA: HECTOR CASTILLO . RUT RETIRA: 5678627-9</t>
  </si>
  <si>
    <t>Hector Castillo Gavia</t>
  </si>
  <si>
    <t>Camino las termas 986 condominio bosques de nogales, Casa 11</t>
  </si>
  <si>
    <t>BIT11029683</t>
  </si>
  <si>
    <t>250415106</t>
  </si>
  <si>
    <t>2025-08-01 23:57</t>
  </si>
  <si>
    <t>BIT11029704</t>
  </si>
  <si>
    <t>250415063</t>
  </si>
  <si>
    <t>NOMBRE RETIRA: MARIA COFRE A RUT RETIRA: 15105562-1</t>
  </si>
  <si>
    <t>Maria Cecilia Cofre</t>
  </si>
  <si>
    <t>Arturo Prat 277 Casa 3 Condominio Don Martin, Si</t>
  </si>
  <si>
    <t>2025-08-02 11:52</t>
  </si>
  <si>
    <t>BIT11030295</t>
  </si>
  <si>
    <t>251828276</t>
  </si>
  <si>
    <t>NOMBRE RETIRA: JUAN NAVARRO . RUT RETIRA: 17031980-K</t>
  </si>
  <si>
    <t>camino real 3400, Casa parcela, portón negro grande paradero 23</t>
  </si>
  <si>
    <t>BIT11030514</t>
  </si>
  <si>
    <t>252210943</t>
  </si>
  <si>
    <t>Alexis Urrutia sepúlveda</t>
  </si>
  <si>
    <t>Camino Botrolhue 1504 Condominio Belo Horizonte, 02</t>
  </si>
  <si>
    <t>BIT11030362</t>
  </si>
  <si>
    <t>252004728</t>
  </si>
  <si>
    <t>NOMBRE RETIRA: NELDA NUNEZ .... RUT RETIRA: 8355057-0</t>
  </si>
  <si>
    <t>Raquel Muñoz</t>
  </si>
  <si>
    <t>Valdivia, Murcia 334 parque del rio las animas</t>
  </si>
  <si>
    <t>BIT11030375</t>
  </si>
  <si>
    <t>252004718</t>
  </si>
  <si>
    <t>NOMBRE RETIRA: ERICK RIQUELME . RUT RETIRA: 53321504-1</t>
  </si>
  <si>
    <t>Javier Vásquez Valderrama</t>
  </si>
  <si>
    <t>Los Educadores 0186, casa 47</t>
  </si>
  <si>
    <t>BIT11030442</t>
  </si>
  <si>
    <t>252060657</t>
  </si>
  <si>
    <t>NOMBRE RETIRA: JAVIER TORRES . RUT RETIRA: 12990216-7</t>
  </si>
  <si>
    <t>Gustavo Valenzuela</t>
  </si>
  <si>
    <t>Antonio Varas 979, 501</t>
  </si>
  <si>
    <t>BIT11030389</t>
  </si>
  <si>
    <t>252004650</t>
  </si>
  <si>
    <t>NOMBRE RETIRA: LUIS REYES N RUT RETIRA: 18816881-7</t>
  </si>
  <si>
    <t>Gina Rubio Pellizzari</t>
  </si>
  <si>
    <t>Thiers 631, Oficina</t>
  </si>
  <si>
    <t>BIT11030300</t>
  </si>
  <si>
    <t>251828270</t>
  </si>
  <si>
    <t>NOMBRE RETIRA: MARIA ARAYA M RUT RETIRA: 10625713-2</t>
  </si>
  <si>
    <t>María Araya Maldonado</t>
  </si>
  <si>
    <t>Fundo San Pedro Sur  284, 17194011-7</t>
  </si>
  <si>
    <t>BIT11030297</t>
  </si>
  <si>
    <t>251828265</t>
  </si>
  <si>
    <t>Mario Guillermo Godoy</t>
  </si>
  <si>
    <t>Los Pablos 2500 Edifico Montblanc, Departamento 143</t>
  </si>
  <si>
    <t>BIT11030316</t>
  </si>
  <si>
    <t>251883163</t>
  </si>
  <si>
    <t>NOMBRE RETIRA: MELISEN PAREDES M RUT RETIRA: 18492016-6</t>
  </si>
  <si>
    <t>Hotel Sonesta Osorno, EjÉrcito 395</t>
  </si>
  <si>
    <t>BIT11030314</t>
  </si>
  <si>
    <t>251883181</t>
  </si>
  <si>
    <t>NOMBRE RETIRA: MAURICIO BAHAMONDES . RUT RETIRA: 20955676-6</t>
  </si>
  <si>
    <t>Mauricio Bahamondez Véliz</t>
  </si>
  <si>
    <t>Pasaje dos seguro social casa 28 rio bueno, Casa 28</t>
  </si>
  <si>
    <t>BIT11030291</t>
  </si>
  <si>
    <t>251828296</t>
  </si>
  <si>
    <t>NOMBRE RETIRA: ESTEBAN LINEROS ORDENES RUT RETIRA: 19477779-5</t>
  </si>
  <si>
    <t>Damián Olsdal Urra</t>
  </si>
  <si>
    <t>Luis Durand 04257, Depto 404 T5</t>
  </si>
  <si>
    <t>BIT11030294</t>
  </si>
  <si>
    <t>251828256</t>
  </si>
  <si>
    <t>NOMBRE RETIRA: LUCIA JARA .... RUT RETIRA: 9306253-1</t>
  </si>
  <si>
    <t>Antonio Bastías Jara</t>
  </si>
  <si>
    <t>Juvencio Valle 2091, Casa</t>
  </si>
  <si>
    <t>BIT11030293</t>
  </si>
  <si>
    <t>251828266</t>
  </si>
  <si>
    <t>Jeannette Paiva</t>
  </si>
  <si>
    <t>Manuel Rodriguez 884, Depto 302</t>
  </si>
  <si>
    <t>BIT11030329</t>
  </si>
  <si>
    <t>251883154</t>
  </si>
  <si>
    <t>NOMBRE RETIRA: ALEX CUEVAS . RUT RETIRA: 24977394-8</t>
  </si>
  <si>
    <t>Alex Cuevas</t>
  </si>
  <si>
    <t>Calle talcahuano 590, Oficina</t>
  </si>
  <si>
    <t>BIT11030258</t>
  </si>
  <si>
    <t>251694159</t>
  </si>
  <si>
    <t>NOMBRE RETIRA: MARCO REVILLAR .. RUT RETIRA: 17536766-7</t>
  </si>
  <si>
    <t>Marcos Revillard</t>
  </si>
  <si>
    <t>Villa puesta Del sol 50</t>
  </si>
  <si>
    <t>BIT11030285</t>
  </si>
  <si>
    <t>251765225</t>
  </si>
  <si>
    <t>NOMBRE RETIRA: ALEX CUEVAS . RUT RETIRA: 12583233-4</t>
  </si>
  <si>
    <t>Alex Cuevas ramirez</t>
  </si>
  <si>
    <t>BIT11030261</t>
  </si>
  <si>
    <t>251764951</t>
  </si>
  <si>
    <t>NOMBRE RETIRA: EDGAR CHACIN CHACIN RUT RETIRA: 33494762-9</t>
  </si>
  <si>
    <t>Gerardo Muñoz Escobar</t>
  </si>
  <si>
    <t>Romulo J Peña 170, Departamento 34 A</t>
  </si>
  <si>
    <t>BIT11030284</t>
  </si>
  <si>
    <t>251764873</t>
  </si>
  <si>
    <t>NOMBRE RETIRA: OLIVIA AGUILERA . RUT RETIRA: 6110397-K</t>
  </si>
  <si>
    <t>Mirna Pérez</t>
  </si>
  <si>
    <t>Pasaje Dresden 1331, 14328585-5</t>
  </si>
  <si>
    <t>BIT11030262</t>
  </si>
  <si>
    <t>251764909</t>
  </si>
  <si>
    <t>NOMBRE RETIRA: ELIANA MUNOZ . RUT RETIRA: 56082540-4</t>
  </si>
  <si>
    <t>José Miguel Sasso Cofre</t>
  </si>
  <si>
    <t>Hochstetter 790, Departamento 901</t>
  </si>
  <si>
    <t>BIT11030251</t>
  </si>
  <si>
    <t>251694162</t>
  </si>
  <si>
    <t>NOMBRE RETIRA: ADOLFO ANDRADES . RUT RETIRA: 18195055-2</t>
  </si>
  <si>
    <t>Santa Teresa 1280, Garita</t>
  </si>
  <si>
    <t>BIT11030157</t>
  </si>
  <si>
    <t>251451226</t>
  </si>
  <si>
    <t>NOMBRE RETIRA: HECTOR TISAND. . RUT RETIRA: 65244548-9</t>
  </si>
  <si>
    <t>Damián Ignacio Olsdal Urra</t>
  </si>
  <si>
    <t>Luis durand 04257, 404 T5</t>
  </si>
  <si>
    <t>BIT11030198</t>
  </si>
  <si>
    <t>251541140</t>
  </si>
  <si>
    <t>Yorna Garrido Rodriguez</t>
  </si>
  <si>
    <t>Tulio Bagnara 2171-A, Interior pasaje</t>
  </si>
  <si>
    <t>BIT11030135</t>
  </si>
  <si>
    <t>251451315</t>
  </si>
  <si>
    <t>BIT11030151</t>
  </si>
  <si>
    <t>251451279</t>
  </si>
  <si>
    <t>NOMBRE RETIRA: PAULA DE LA ROSA . RUT RETIRA: 13160291-K</t>
  </si>
  <si>
    <t>José Salum</t>
  </si>
  <si>
    <t>Padre Alberto Hurtado 067</t>
  </si>
  <si>
    <t>BIT11030088</t>
  </si>
  <si>
    <t>251364374</t>
  </si>
  <si>
    <t>NOMBRE RETIRA: ROBERTO TABILO . RUT RETIRA: 15028081-8</t>
  </si>
  <si>
    <t>Paola Campillay</t>
  </si>
  <si>
    <t>Braden 704. El Salvador., Casa</t>
  </si>
  <si>
    <t>BIT11030125</t>
  </si>
  <si>
    <t>251451375</t>
  </si>
  <si>
    <t>Katherine Ruiz</t>
  </si>
  <si>
    <t>Dobri Dobrew 1490 1490, 1490, 1490</t>
  </si>
  <si>
    <t>BIT11030084</t>
  </si>
  <si>
    <t>251364137</t>
  </si>
  <si>
    <t>NOMBRE RETIRA: PILAR FUENTEALBA . RUT RETIRA: 9541474-5</t>
  </si>
  <si>
    <t>Pilar Fuentealba Valenzuela</t>
  </si>
  <si>
    <t>Maipu 190, Cafe de Luis</t>
  </si>
  <si>
    <t>BIT11030090</t>
  </si>
  <si>
    <t>251364159</t>
  </si>
  <si>
    <t>Gabriel Venegas</t>
  </si>
  <si>
    <t>Martín Lutero 02440, Depto 207, edificio Pontevedra</t>
  </si>
  <si>
    <t>BIT11030072</t>
  </si>
  <si>
    <t>251364378</t>
  </si>
  <si>
    <t>NOMBRE RETIRA: LUIS VARAS VARAA RUT RETIRA: 9175222-0</t>
  </si>
  <si>
    <t>Carlos Piñones</t>
  </si>
  <si>
    <t>Borgono 451, Copiapo</t>
  </si>
  <si>
    <t>BIT11030091</t>
  </si>
  <si>
    <t>251364135</t>
  </si>
  <si>
    <t>NOMBRE RETIRA: ADRIANA VASQUEZ U RUT RETIRA: 15988892-4</t>
  </si>
  <si>
    <t>Santa laura 094, Casa</t>
  </si>
  <si>
    <t>BIT11030050</t>
  </si>
  <si>
    <t>251266295</t>
  </si>
  <si>
    <t>NOMBRE RETIRA: NICOL QUIEOZ X RUT RETIRA: 21175753-1</t>
  </si>
  <si>
    <t>Cristian Marcial</t>
  </si>
  <si>
    <t>Ohiggins 1panguipulli, Casa</t>
  </si>
  <si>
    <t>BIT11030058</t>
  </si>
  <si>
    <t>251266256</t>
  </si>
  <si>
    <t>NOMBRE RETIRA: SOLEDAD MONTENWGRO . RUT RETIRA: 18711410-1</t>
  </si>
  <si>
    <t>Soledad Montero</t>
  </si>
  <si>
    <t>Avenida Carlo De Gavardo 524, Calle Azulillo casa 137</t>
  </si>
  <si>
    <t>BIT11030067</t>
  </si>
  <si>
    <t>251266244</t>
  </si>
  <si>
    <t>Cristian Alejandro Greenhill Schifferli</t>
  </si>
  <si>
    <t>Pedro de Mendoza 01838</t>
  </si>
  <si>
    <t>BIT11030055</t>
  </si>
  <si>
    <t>251266270</t>
  </si>
  <si>
    <t>NOMBRE RETIRA: CLAUDIO PONS . RUT RETIRA: 9936735-0</t>
  </si>
  <si>
    <t>Claudio Pons</t>
  </si>
  <si>
    <t>Carlos Dittborn 01081, Casa</t>
  </si>
  <si>
    <t>BIT11029990</t>
  </si>
  <si>
    <t>251110182</t>
  </si>
  <si>
    <t>NOMBRE RETIRA: LILIANA CID . RUT RETIRA: 53312825-4</t>
  </si>
  <si>
    <t>Hochstetter 605, Depto 301, Depto 301</t>
  </si>
  <si>
    <t>BIT11029985</t>
  </si>
  <si>
    <t>251110156</t>
  </si>
  <si>
    <t>Francia 1740, Casa 8</t>
  </si>
  <si>
    <t>BIT11029966</t>
  </si>
  <si>
    <t>251110221</t>
  </si>
  <si>
    <t>NOMBRE RETIRA: MARTIZA ARRINGO ARRIENGO RUT RETIRA: 9546731-8</t>
  </si>
  <si>
    <t>MAYKEL BOWN</t>
  </si>
  <si>
    <t>CALLE LA CRUZ 707 / LA PRADERA, CASA ESQUINA</t>
  </si>
  <si>
    <t>BIT11029947</t>
  </si>
  <si>
    <t>251023386</t>
  </si>
  <si>
    <t>NOMBRE RETIRA: WULSON ARAVENA . RUT RETIRA: 12990216-7</t>
  </si>
  <si>
    <t>Boris Aravena Robles</t>
  </si>
  <si>
    <t>Prat 955, Dpto 1202</t>
  </si>
  <si>
    <t>BIT11029956</t>
  </si>
  <si>
    <t>251023375</t>
  </si>
  <si>
    <t>NOMBRE RETIRA: REMY VELIZ FRITIS RUT RETIRA: 16559029-5</t>
  </si>
  <si>
    <t>Remy Véliz Fritis</t>
  </si>
  <si>
    <t>Pje. Antonio Paez de Saravia 4504, Casa</t>
  </si>
  <si>
    <t>BIT11029960</t>
  </si>
  <si>
    <t>251023363</t>
  </si>
  <si>
    <t>NOMBRE RETIRA: RICARDO TEIVINO . RUT RETIRA: 15268381-2</t>
  </si>
  <si>
    <t>Santiago rosas 2773, 40</t>
  </si>
  <si>
    <t>BIT11029865</t>
  </si>
  <si>
    <t>250859792</t>
  </si>
  <si>
    <t>NOMBRE RETIRA: VERONICA MENA . RUT RETIRA: 8203028-K</t>
  </si>
  <si>
    <t>Patricio Aedo Soto</t>
  </si>
  <si>
    <t>San Martín 1620, Casa</t>
  </si>
  <si>
    <t>BIT11029837</t>
  </si>
  <si>
    <t>250778468</t>
  </si>
  <si>
    <t>NOMBRE RETIRA: CAMILO VARGAS ... RUT RETIRA: 19520600-7</t>
  </si>
  <si>
    <t>claudia Arroyo contreras</t>
  </si>
  <si>
    <t>Augusto Grob 1105, Planta Industrial</t>
  </si>
  <si>
    <t>BIT11029852</t>
  </si>
  <si>
    <t>250778461</t>
  </si>
  <si>
    <t>NOMBRE RETIRA: DONIS SIMANCA L RUT RETIRA: 16782367-K</t>
  </si>
  <si>
    <t>BIT11029854</t>
  </si>
  <si>
    <t>250778437</t>
  </si>
  <si>
    <t>Darioleta Riffo  Vera</t>
  </si>
  <si>
    <t>Arturo prat 696, Oficina 303</t>
  </si>
  <si>
    <t>BIT11029834</t>
  </si>
  <si>
    <t>250778483</t>
  </si>
  <si>
    <t>NOMBRE RETIRA: FELIPE SANHUEZA . RUT RETIRA: 16563474-8</t>
  </si>
  <si>
    <t>Felipe Sanhueza Spuler</t>
  </si>
  <si>
    <t>Oettinger 61, Dpto. 605</t>
  </si>
  <si>
    <t>BIT11029805</t>
  </si>
  <si>
    <t>250698935</t>
  </si>
  <si>
    <t>NOMBRE RETIRA: JOSE MENESES . RUT RETIRA: 9834832-8</t>
  </si>
  <si>
    <t>Jose miguel meneses godoy</t>
  </si>
  <si>
    <t>ejercito libertador 647</t>
  </si>
  <si>
    <t>BIT11029814</t>
  </si>
  <si>
    <t>250698914</t>
  </si>
  <si>
    <t>NOMBRE RETIRA: ADRIANA VASQUEZ 5 RUT RETIRA: 17259557-K</t>
  </si>
  <si>
    <t>Casa, Santa Laura 094</t>
  </si>
  <si>
    <t>BIT11029760</t>
  </si>
  <si>
    <t>250605787</t>
  </si>
  <si>
    <t>NOMBRE RETIRA: ARTURO BACHMAN .. RUT RETIRA: 10267014-0</t>
  </si>
  <si>
    <t>Arturo Braukmann Riquelme</t>
  </si>
  <si>
    <t>Pasaje fuerte mulchen 229, Casa</t>
  </si>
  <si>
    <t>BIT11029772</t>
  </si>
  <si>
    <t>250605731</t>
  </si>
  <si>
    <t>NOMBRE RETIRA: PILAR FUENTEALBA . RUT RETIRA: 10915424-5</t>
  </si>
  <si>
    <t>BIT11029685</t>
  </si>
  <si>
    <t>250415067</t>
  </si>
  <si>
    <t>NOMBRE RETIRA: RODRIGO DIAZ . RUT RETIRA: 13422290-5</t>
  </si>
  <si>
    <t>Salas173, Centro medico</t>
  </si>
  <si>
    <t>BIT11029738</t>
  </si>
  <si>
    <t>250511205</t>
  </si>
  <si>
    <t>NOMBRE RETIRA: HEYDY ESCALANTE R RUT RETIRA: 12030313-9</t>
  </si>
  <si>
    <t>Heddy Escalante Rojas</t>
  </si>
  <si>
    <t>Rio Salado 1343 Colonias Extranjeras, Casa</t>
  </si>
  <si>
    <t>BIT11029715</t>
  </si>
  <si>
    <t>250511265</t>
  </si>
  <si>
    <t>NOMBRE RETIRA: GUSTAVO YONES . RUT RETIRA: 12533484-9</t>
  </si>
  <si>
    <t>Gustavo Yones Pande</t>
  </si>
  <si>
    <t>Casa, Calle Libertad 450</t>
  </si>
  <si>
    <t>BIT11029714</t>
  </si>
  <si>
    <t>250511305</t>
  </si>
  <si>
    <t>NOMBRE RETIRA: GERARDO NACTOCH C RUT RETIRA: 10930152-3</t>
  </si>
  <si>
    <t>Gerardo Nactoch</t>
  </si>
  <si>
    <t>Bach 1981 villa los clasicos, Casa</t>
  </si>
  <si>
    <t>BIT11029694</t>
  </si>
  <si>
    <t>250415056</t>
  </si>
  <si>
    <t>NOMBRE RETIRA: RAUL HUEQUEMAN . RUT RETIRA: 10433565-9</t>
  </si>
  <si>
    <t>María José Cabezas Corcione</t>
  </si>
  <si>
    <t>Universidad Austral de Chile. Correo interno. Isla Teja, Valdivia, Los Ríos.</t>
  </si>
  <si>
    <t>BIT11029645</t>
  </si>
  <si>
    <t>250276165</t>
  </si>
  <si>
    <t>NOMBRE RETIRA: SONIA ASTUDILLO . RUT RETIRA: 8191129-0</t>
  </si>
  <si>
    <t>Sonia Astudillo</t>
  </si>
  <si>
    <t>Av.Bernardo O”Higgins 774 Local 117 Centro Comercial Los Alamos Pucon</t>
  </si>
  <si>
    <t>BIT11029677</t>
  </si>
  <si>
    <t>250345582</t>
  </si>
  <si>
    <t>NOMBRE RETIRA: WALDO CONCHA . RUT RETIRA: 18078987-1</t>
  </si>
  <si>
    <t>Waldo andres Concha Riquelme</t>
  </si>
  <si>
    <t>Niagara, 115</t>
  </si>
  <si>
    <t>BIT11029654</t>
  </si>
  <si>
    <t>250345684</t>
  </si>
  <si>
    <t>BIT11029637</t>
  </si>
  <si>
    <t>250276188</t>
  </si>
  <si>
    <t>NOMBRE RETIRA: CRISTINA REYES .. RUT RETIRA: 26344065-K</t>
  </si>
  <si>
    <t>Max Rodriguez Gomez</t>
  </si>
  <si>
    <t>Avenida Espana 1020</t>
  </si>
  <si>
    <t>BIT11030383</t>
  </si>
  <si>
    <t>252004680</t>
  </si>
  <si>
    <t>NOMBRE RETIRA: JUAN PABLO ORELLANA M RUT RETIRA: 20179345-9</t>
  </si>
  <si>
    <t>Juan Pablo Orellana Cádiz</t>
  </si>
  <si>
    <t>Av. el Cristo local 6 y 7, Hidroagro</t>
  </si>
  <si>
    <t>BIT11030274</t>
  </si>
  <si>
    <t>251764851</t>
  </si>
  <si>
    <t>Juan Pablo Orellana Cadiz</t>
  </si>
  <si>
    <t>Av El Cristo Local 413, Local 6 Y 7</t>
  </si>
  <si>
    <t>BIT11030057</t>
  </si>
  <si>
    <t>251266266</t>
  </si>
  <si>
    <t>NOMBRE RETIRA: GABRIELA VILLAROEL M RUT RETIRA: 20179345-9</t>
  </si>
  <si>
    <t>Gabriela Villarroel</t>
  </si>
  <si>
    <t>Casa, Camino Principal Pencahue 1150</t>
  </si>
  <si>
    <t>BIT11030502</t>
  </si>
  <si>
    <t>252210929</t>
  </si>
  <si>
    <t>NOMBRE RETIRA: ALEJANDRA MONTECINOS . RUT RETIRA: 10449659-8</t>
  </si>
  <si>
    <t>Victor Valerio</t>
  </si>
  <si>
    <t>Calle Pailahuen 1751, 1751</t>
  </si>
  <si>
    <t>BIT11030421</t>
  </si>
  <si>
    <t>252060693</t>
  </si>
  <si>
    <t>NOMBRE RETIRA: CLEMENTINA HERNANDEZ . RUT RETIRA: 15269919-0</t>
  </si>
  <si>
    <t>Clementina Hernández</t>
  </si>
  <si>
    <t>Urmeneta 895, Puerto Montt, Urmeneta 895</t>
  </si>
  <si>
    <t>BIT11030356</t>
  </si>
  <si>
    <t>251883146</t>
  </si>
  <si>
    <t>NOMBRE RETIRA: ANDRES LARRACHEA . RUT RETIRA: 15279531-9</t>
  </si>
  <si>
    <t>Andres de Larraechea</t>
  </si>
  <si>
    <t>Villarrica 1081</t>
  </si>
  <si>
    <t>BIT11030290</t>
  </si>
  <si>
    <t>251828320</t>
  </si>
  <si>
    <t>NOMBRE RETIRA: CECILIA BORQUEZ . RUT RETIRA: 18206083-6</t>
  </si>
  <si>
    <t>Cecilia Bórquez</t>
  </si>
  <si>
    <t>Casa B5, VÍa Azul 950</t>
  </si>
  <si>
    <t>BIT11030216</t>
  </si>
  <si>
    <t>251624143</t>
  </si>
  <si>
    <t>NOMBRE RETIRA: MARCELA CASTRO . RUT RETIRA: 76669508-6</t>
  </si>
  <si>
    <t>Marcela Castro Ramirez</t>
  </si>
  <si>
    <t>Las Rocallosas, casa 25</t>
  </si>
  <si>
    <t>BIT11030176</t>
  </si>
  <si>
    <t>251541186</t>
  </si>
  <si>
    <t>NOMBRE RETIRA: NATACHA SOTO . RUT RETIRA: 18902178-K</t>
  </si>
  <si>
    <t>Juan alex Ojeda perez</t>
  </si>
  <si>
    <t>Errazuriz 231</t>
  </si>
  <si>
    <t>BIT11030175</t>
  </si>
  <si>
    <t>251541182</t>
  </si>
  <si>
    <t>NOMBRE RETIRA: DANIELA APABLAZA . RUT RETIRA: 76669508-6</t>
  </si>
  <si>
    <t>Bio bio 1090, 608</t>
  </si>
  <si>
    <t>BIT11030082</t>
  </si>
  <si>
    <t>251364161</t>
  </si>
  <si>
    <t>NOMBRE RETIRA: MARION VILLEGAS . RUT RETIRA: 16721546-7</t>
  </si>
  <si>
    <t>Marion Villegas Araneda</t>
  </si>
  <si>
    <t>Volcan quetrupillan 1514, Mirador de puerto varas</t>
  </si>
  <si>
    <t>BIT11030112</t>
  </si>
  <si>
    <t>251364060</t>
  </si>
  <si>
    <t>NOMBRE RETIRA: HECTOR OLIVA8 . RUT RETIRA: 15011842-5</t>
  </si>
  <si>
    <t>Hector Oliva</t>
  </si>
  <si>
    <t>Los Mostoles 1802 Jardín Austral, Casa</t>
  </si>
  <si>
    <t>BIT11029967</t>
  </si>
  <si>
    <t>251110233</t>
  </si>
  <si>
    <t>NOMBRE RETIRA: GUSTAVO PAZ . RUT RETIRA: 13513301-9</t>
  </si>
  <si>
    <t>ANTONIO MELIAN</t>
  </si>
  <si>
    <t>NUEVA ORIENTE 4, 5013, VALLE VOLCANES, 541</t>
  </si>
  <si>
    <t>BIT11029948</t>
  </si>
  <si>
    <t>251023438</t>
  </si>
  <si>
    <t>NOMBRE RETIRA: JANERI DUARTE . RUT RETIRA: 26183777-3</t>
  </si>
  <si>
    <t>Janeri Duarte</t>
  </si>
  <si>
    <t>Bosque De Robles, 1501</t>
  </si>
  <si>
    <t>BIT11029691</t>
  </si>
  <si>
    <t>250415095</t>
  </si>
  <si>
    <t>NOMBRE RETIRA: MATIQS MORALES . RUT RETIRA: 19397842-8</t>
  </si>
  <si>
    <t>Matías Morales Varas</t>
  </si>
  <si>
    <t>La Coruña, 358</t>
  </si>
  <si>
    <t>BIT11029778</t>
  </si>
  <si>
    <t>250605718</t>
  </si>
  <si>
    <t>NOMBRE RETIRA: ELSA NAVARRO . RUT RETIRA: 12934780-5</t>
  </si>
  <si>
    <t>Eduardo Hinostroza  Ruiz</t>
  </si>
  <si>
    <t>Padree Harter 100, 1307</t>
  </si>
  <si>
    <t>BIT11029754</t>
  </si>
  <si>
    <t>250511152</t>
  </si>
  <si>
    <t>NOMBRE RETIRA: OLIBER WERNER . RUT RETIRA: 8728171-K</t>
  </si>
  <si>
    <t>Oliver Wehner</t>
  </si>
  <si>
    <t>Pje De La Ladera 3 - 6, Pelluco Alto</t>
  </si>
  <si>
    <t>BIT11029676</t>
  </si>
  <si>
    <t>250345555</t>
  </si>
  <si>
    <t>NOMBRE RETIRA: CLAUDIA ROMAN . RUT RETIRA: 10171035-1</t>
  </si>
  <si>
    <t>Claudia Román</t>
  </si>
  <si>
    <t>Rita 225 km 2.5, Parque Stocker, parcela 19</t>
  </si>
  <si>
    <t>BIT11029651</t>
  </si>
  <si>
    <t>250345697</t>
  </si>
  <si>
    <t>NOMBRE RETIRA: LUIS GANA . RUT RETIRA: 13737273-8</t>
  </si>
  <si>
    <t>Adolfo saelser los robles sn</t>
  </si>
  <si>
    <t>BIT11029662</t>
  </si>
  <si>
    <t>250345660</t>
  </si>
  <si>
    <t>NOMBRE RETIRA: ALEJANDRO RAMOS . RUT RETIRA: 7059411-0</t>
  </si>
  <si>
    <t>Alejandro Ramos Sarria</t>
  </si>
  <si>
    <t>Calle Eleodoro Alvarez 43, Casa</t>
  </si>
  <si>
    <t>BIT11030491</t>
  </si>
  <si>
    <t>252210991</t>
  </si>
  <si>
    <t>NOMBRE RETIRA: BASTIAN DURAN . RUT RETIRA: 19982217-9</t>
  </si>
  <si>
    <t>Ignacio Perez</t>
  </si>
  <si>
    <t>Ruta F100G, Condominio altos de Olmue pc333</t>
  </si>
  <si>
    <t>BIT11029856</t>
  </si>
  <si>
    <t>250859834</t>
  </si>
  <si>
    <t>NOMBRE RETIRA: BLANCA LEIVA . . RUT RETIRA: 7803046-1</t>
  </si>
  <si>
    <t>Blanca Leiva  Salgado</t>
  </si>
  <si>
    <t>Calle Las Araucarias 993, Casa</t>
  </si>
  <si>
    <t>BIT11030462</t>
  </si>
  <si>
    <t>252138293</t>
  </si>
  <si>
    <t>NOMBRE RETIRA: JOSELYN RODRIGUEZ . RUT RETIRA: 19967173-1</t>
  </si>
  <si>
    <t>Nelson Araya</t>
  </si>
  <si>
    <t>Cerro Moreno 10585 Casa 6, Casa 6</t>
  </si>
  <si>
    <t>BIT11030467</t>
  </si>
  <si>
    <t>252138269</t>
  </si>
  <si>
    <t>NOMBRE RETIRA: ANA CABALLERO . RUT RETIRA: 6791125-3</t>
  </si>
  <si>
    <t>yussef Castro caballero</t>
  </si>
  <si>
    <t>José santos ossa 3145, casa</t>
  </si>
  <si>
    <t>BIT11030414</t>
  </si>
  <si>
    <t>252004569</t>
  </si>
  <si>
    <t>NOMBRE RETIRA: CRISTINA AVALOS KLOS RUT RETIRA: 18233789-7</t>
  </si>
  <si>
    <t>Carlos Ávalos Contreras</t>
  </si>
  <si>
    <t>Rene peri fagestrom 8860</t>
  </si>
  <si>
    <t>BIT11030369</t>
  </si>
  <si>
    <t>252004710</t>
  </si>
  <si>
    <t>NOMBRE RETIRA: RICHARD PERALTA X RUT RETIRA: 10839635-0</t>
  </si>
  <si>
    <t>Richard Peralta</t>
  </si>
  <si>
    <t>Carrizal Bajo 9627</t>
  </si>
  <si>
    <t>BIT11030443</t>
  </si>
  <si>
    <t>252060684</t>
  </si>
  <si>
    <t>NOMBRE RETIRA: ANDRES RIASCOS . RUT RETIRA: 12345678-5</t>
  </si>
  <si>
    <t>Abracita 477, 1701</t>
  </si>
  <si>
    <t>BIT11030374</t>
  </si>
  <si>
    <t>252004722</t>
  </si>
  <si>
    <t>NOMBRE RETIRA: NELCY AGUDELO M RUT RETIRA: 8727709-7</t>
  </si>
  <si>
    <t>Nancy Verdugo Retamal</t>
  </si>
  <si>
    <t>Cerro Paranal 270, Dpto 73 edificio Puyehue</t>
  </si>
  <si>
    <t>BIT11030419</t>
  </si>
  <si>
    <t>252060695</t>
  </si>
  <si>
    <t>NOMBRE RETIRA: CLAUDIA RODRIGUEZ X RUT RETIRA: 12217369-0</t>
  </si>
  <si>
    <t>Neftalí Otárola</t>
  </si>
  <si>
    <t>Barón de la Riviere 1030, 1030 CAIS Antofagasta</t>
  </si>
  <si>
    <t>BIT11030319</t>
  </si>
  <si>
    <t>251883182</t>
  </si>
  <si>
    <t>NOMBRE RETIRA: DANIEL ALQUINTA . RUT RETIRA: 19692915-0</t>
  </si>
  <si>
    <t>Daniel Alquinta</t>
  </si>
  <si>
    <t>Armando Moock 66, Depto F6</t>
  </si>
  <si>
    <t>BIT11030288</t>
  </si>
  <si>
    <t>251828319</t>
  </si>
  <si>
    <t>NOMBRE RETIRA: GUIDO NUNEZ . RUT RETIRA: 8077315-3</t>
  </si>
  <si>
    <t>Guido Nunez</t>
  </si>
  <si>
    <t>Avda Argentina 994, Casa</t>
  </si>
  <si>
    <t>BIT11030282</t>
  </si>
  <si>
    <t>251764881</t>
  </si>
  <si>
    <t>NOMBRE RETIRA: VICENTE BATERO BATERO RUT RETIRA: 27610632-5</t>
  </si>
  <si>
    <t>Vicente Batero Rendon</t>
  </si>
  <si>
    <t>Calbuco 5401, Hostal san marcos</t>
  </si>
  <si>
    <t>BIT11030271</t>
  </si>
  <si>
    <t>251764895</t>
  </si>
  <si>
    <t>NOMBRE RETIRA: MARIBEL EB V RUT RETIRA: 24611224-K</t>
  </si>
  <si>
    <t>Cristian Leiva Muñoz</t>
  </si>
  <si>
    <t>Avenida Iquique, 3857 depto. 163</t>
  </si>
  <si>
    <t>2025-08-21 22:26</t>
  </si>
  <si>
    <t>BIT11030283</t>
  </si>
  <si>
    <t>251764849</t>
  </si>
  <si>
    <t>NOMBRE RETIRA: SERGIO CASTILLO M RUT RETIRA: 9160952-5</t>
  </si>
  <si>
    <t>Pablo Villanueva</t>
  </si>
  <si>
    <t>Avenida cerro paranal 310 edificio ancora, 61</t>
  </si>
  <si>
    <t>BIT11030247</t>
  </si>
  <si>
    <t>251694151</t>
  </si>
  <si>
    <t>NOMBRE RETIRA: ELSA ARDILES X RUT RETIRA: 10839635-0</t>
  </si>
  <si>
    <t>Elsa Ardiles Cortés</t>
  </si>
  <si>
    <t>Pasaje Los Andes 557, Casa</t>
  </si>
  <si>
    <t>BIT11030132</t>
  </si>
  <si>
    <t>251451359</t>
  </si>
  <si>
    <t>NOMBRE RETIRA: CAROLINA BRIZUELA . RUT RETIRA: 13419824-9</t>
  </si>
  <si>
    <t>Av. Edmundo Pérez Zujovic 10890, Apt. 185 Aqua</t>
  </si>
  <si>
    <t>BIT11030200</t>
  </si>
  <si>
    <t>251541113</t>
  </si>
  <si>
    <t>NOMBRE RETIRA: GASTON PARRA 0 RUT RETIRA: 12345678-5</t>
  </si>
  <si>
    <t>Franco Osorio Calderón</t>
  </si>
  <si>
    <t>Subida de la quebrada 260, 302</t>
  </si>
  <si>
    <t>BIT11030187</t>
  </si>
  <si>
    <t>251541151</t>
  </si>
  <si>
    <t>NOMBRE RETIRA: MARGARENA MONTANARES J RUT RETIRA: 10309738-K</t>
  </si>
  <si>
    <t>jessica cortes</t>
  </si>
  <si>
    <t>iquique 3857, 44</t>
  </si>
  <si>
    <t>BIT11030100</t>
  </si>
  <si>
    <t>251364112</t>
  </si>
  <si>
    <t>NOMBRE RETIRA: IGNACIO CASTRO N RUT RETIRA: 19101551-7</t>
  </si>
  <si>
    <t>Yasna Hormazábal</t>
  </si>
  <si>
    <t>Cerro Paranal 315 depto 151 Barlovento, Departamento</t>
  </si>
  <si>
    <t>BIT11030053</t>
  </si>
  <si>
    <t>251266237</t>
  </si>
  <si>
    <t>NOMBRE RETIRA: CARLOS FLORES 0 RUT RETIRA: 12345678-5</t>
  </si>
  <si>
    <t>Carlos Flores</t>
  </si>
  <si>
    <t>Subida del Agua 476</t>
  </si>
  <si>
    <t>BIT11029970</t>
  </si>
  <si>
    <t>251110210</t>
  </si>
  <si>
    <t>NOMBRE RETIRA: ISIDORA . . RUT RETIRA: 21872031-5</t>
  </si>
  <si>
    <t>Orlando Galdámez Rivera</t>
  </si>
  <si>
    <t>Los Exploradores 14065, Casa 101</t>
  </si>
  <si>
    <t>BIT11029905</t>
  </si>
  <si>
    <t>251023540</t>
  </si>
  <si>
    <t>NOMBRE RETIRA: LUIS NUNEZ NUNEZ RUT RETIRA: 16435421-0</t>
  </si>
  <si>
    <t>Luis Nuñez Borda</t>
  </si>
  <si>
    <t>pasaje veinte de agosto 639</t>
  </si>
  <si>
    <t>BIT11029892</t>
  </si>
  <si>
    <t>251023552</t>
  </si>
  <si>
    <t>NOMBRE RETIRA: JORGE CHACANA . RUT RETIRA: 65063777-1</t>
  </si>
  <si>
    <t>Jorge Igoni Chacana</t>
  </si>
  <si>
    <t>El Azufre 23, Dpto 1202 Torre A</t>
  </si>
  <si>
    <t>BIT11029957</t>
  </si>
  <si>
    <t>251023349</t>
  </si>
  <si>
    <t>NOMBRE RETIRA: HUGO VELIZ . RUT RETIRA: 13011996-4</t>
  </si>
  <si>
    <t>Cynthia Segovia Rodriguez</t>
  </si>
  <si>
    <t>Cerro moreno 10550, 21</t>
  </si>
  <si>
    <t>BIT11029885</t>
  </si>
  <si>
    <t>250859749</t>
  </si>
  <si>
    <t>NOMBRE RETIRA: CRISTINA AVALOS H RUT RETIRA: 18233789-7</t>
  </si>
  <si>
    <t>Carlos Avalos</t>
  </si>
  <si>
    <t>BIT11029866</t>
  </si>
  <si>
    <t>250859782</t>
  </si>
  <si>
    <t>NOMBRE RETIRA: IVAN CARCAMO X RUT RETIRA: 10223320-4</t>
  </si>
  <si>
    <t>Ivan Carcamo Cárcamo</t>
  </si>
  <si>
    <t>Avda Argentina1619</t>
  </si>
  <si>
    <t>BIT11029835</t>
  </si>
  <si>
    <t>250778522</t>
  </si>
  <si>
    <t>NOMBRE RETIRA: JUAN AVALOS GALLEGUILLOS RUT RETIRA: 15012538-3</t>
  </si>
  <si>
    <t>esmeralda 2639</t>
  </si>
  <si>
    <t>BIT11029707</t>
  </si>
  <si>
    <t>250415020</t>
  </si>
  <si>
    <t>NOMBRE RETIRA: XIMENA SOZA 0 RUT RETIRA: 12345678-5</t>
  </si>
  <si>
    <t>Pablo Carvajal</t>
  </si>
  <si>
    <t>Leopoldo quinteros 03650, Casa 42</t>
  </si>
  <si>
    <t>BIT11029740</t>
  </si>
  <si>
    <t>250511222</t>
  </si>
  <si>
    <t>NOMBRE RETIRA: MARLENY MARTINEZ X RUT RETIRA: 25513369-1</t>
  </si>
  <si>
    <t>Iván Barriga</t>
  </si>
  <si>
    <t>Antonio Poupin 1076, Departamento 802</t>
  </si>
  <si>
    <t>BIT11029725</t>
  </si>
  <si>
    <t>250511283</t>
  </si>
  <si>
    <t>NOMBRE RETIRA: MARIA FERNANDEZ 0 RUT RETIRA: 12345678-5</t>
  </si>
  <si>
    <t>María carolina Fernández Verges</t>
  </si>
  <si>
    <t>Santa Magdalena 867,coviefi, Casa</t>
  </si>
  <si>
    <t>BIT11029632</t>
  </si>
  <si>
    <t>250276194</t>
  </si>
  <si>
    <t>NOMBRE RETIRA: KENYI GONZALEZ 0 RUT RETIRA: 27485548-7</t>
  </si>
  <si>
    <t>Igor Martinez Vranicic</t>
  </si>
  <si>
    <t>Salvador reyes 940, departamento 2005, Departamento 2025</t>
  </si>
  <si>
    <t>BIT11029545</t>
  </si>
  <si>
    <t>250129560</t>
  </si>
  <si>
    <t>Montegrande#1260, Montegrande 1260</t>
  </si>
  <si>
    <t>2025-07-28 23:28</t>
  </si>
  <si>
    <t>BIT11029552</t>
  </si>
  <si>
    <t>250129556</t>
  </si>
  <si>
    <t>NOMBRE RETIRA: DANIEL CAMPOS CAMPOS RUT RETIRA: 18791057-9</t>
  </si>
  <si>
    <t>sargento aldea 315, 1313</t>
  </si>
  <si>
    <t>BIT11029541</t>
  </si>
  <si>
    <t>250129580</t>
  </si>
  <si>
    <t>NOMBRE RETIRA: DIANA DAZA 0 RUT RETIRA: 12345678-5</t>
  </si>
  <si>
    <t>Juan Anelli C.</t>
  </si>
  <si>
    <t>Travesía de Los Vientos 03008, Depto 503</t>
  </si>
  <si>
    <t>2025-07-28 23:27</t>
  </si>
  <si>
    <t>BIT11029553</t>
  </si>
  <si>
    <t>250129566</t>
  </si>
  <si>
    <t>NOMBRE RETIRA: ALVARO FERNANDEZ . RUT RETIRA: 18311232-5</t>
  </si>
  <si>
    <t>Alvaro Fernandez Hernandez</t>
  </si>
  <si>
    <t>Armando carrera 0236</t>
  </si>
  <si>
    <t>BIT11029562</t>
  </si>
  <si>
    <t>250129524</t>
  </si>
  <si>
    <t>NOMBRE RETIRA: NOR . . RUT RETIRA: 9644288-2</t>
  </si>
  <si>
    <t>Luis Espejo</t>
  </si>
  <si>
    <t>Av balmaceda 2615, Dpto 1100</t>
  </si>
  <si>
    <t>BIT11030156</t>
  </si>
  <si>
    <t>251451233</t>
  </si>
  <si>
    <t>NOMBRE RETIRA: GUISEL GUINEZ .. RUT RETIRA: 18144702-8</t>
  </si>
  <si>
    <t>Guisel Guiñez</t>
  </si>
  <si>
    <t>Angamos 222, Casa</t>
  </si>
  <si>
    <t>BIT11030266</t>
  </si>
  <si>
    <t>251764942</t>
  </si>
  <si>
    <t>NOMBRE RETIRA: ANDRES VULLAZON . RUT RETIRA: 13743487-3</t>
  </si>
  <si>
    <t>Andrés víctor Villazon silva</t>
  </si>
  <si>
    <t>Alfalfa 4137 villa puerta del inca</t>
  </si>
  <si>
    <t>BIT11030140</t>
  </si>
  <si>
    <t>251451325</t>
  </si>
  <si>
    <t>NOMBRE RETIRA: SHARON ABDO PEREZ RUT RETIRA: 26649139-5</t>
  </si>
  <si>
    <t>Bernardo Ohiggins, 738</t>
  </si>
  <si>
    <t>BIT11029934</t>
  </si>
  <si>
    <t>251023430</t>
  </si>
  <si>
    <t>NOMBRE RETIRA: SHARON ABDO . RUT RETIRA: 26649139-5</t>
  </si>
  <si>
    <t>BIT11029887</t>
  </si>
  <si>
    <t>251023590</t>
  </si>
  <si>
    <t>NOMBRE RETIRA: GLORIA IBANEZ . RUT RETIRA: 8374739-0</t>
  </si>
  <si>
    <t>Gloria Ibañez Ibañez</t>
  </si>
  <si>
    <t>Tebequinche 485 Pob. Conde Duque, Casa</t>
  </si>
  <si>
    <t>BIT11029920</t>
  </si>
  <si>
    <t>251023504</t>
  </si>
  <si>
    <t>NOMBRE RETIRA: MATIAS CRUZ SANCHEZ RUT RETIRA: 21814204-4</t>
  </si>
  <si>
    <t>Paraguay 2671</t>
  </si>
  <si>
    <t>BIT11029881</t>
  </si>
  <si>
    <t>250859767</t>
  </si>
  <si>
    <t>NOMBRE RETIRA: MARIA YANEZ YANEZ RUT RETIRA: 15740983-2</t>
  </si>
  <si>
    <t>Roberto Ibacache</t>
  </si>
  <si>
    <t>Copa Coya 2048</t>
  </si>
  <si>
    <t>BIT11029806</t>
  </si>
  <si>
    <t>250698928</t>
  </si>
  <si>
    <t>NOMBRE RETIRA: CAROLINA PENA . RUT RETIRA: 16258530-4</t>
  </si>
  <si>
    <t>Pasaje puri 3446 villa lomashuasi, Casa 3446</t>
  </si>
  <si>
    <t>BIT11029770</t>
  </si>
  <si>
    <t>250605742</t>
  </si>
  <si>
    <t>NOMBRE RETIRA: ALLAN CARRASCO CARRASCO RUT RETIRA: 14177804-8</t>
  </si>
  <si>
    <t>Allan Carrasco Muñoz</t>
  </si>
  <si>
    <t>Alonso de Ercilla 3843, Casa</t>
  </si>
  <si>
    <t>BIT11029726</t>
  </si>
  <si>
    <t>250511270</t>
  </si>
  <si>
    <t>NOMBRE RETIRA: LUIS ARCE CONSERJERIA RUT RETIRA: 28384130-8</t>
  </si>
  <si>
    <t>Francis Resk</t>
  </si>
  <si>
    <t>Avda turi 2066, Depto 420</t>
  </si>
  <si>
    <t>BIT11029702</t>
  </si>
  <si>
    <t>250415036</t>
  </si>
  <si>
    <t>NOMBRE RETIRA: BENJAM8N VISCARRQ VISCARRA RUT RETIRA: 21605554-3</t>
  </si>
  <si>
    <t>German Vizcarra Solis</t>
  </si>
  <si>
    <t>Casa, Coquimbo 2763</t>
  </si>
  <si>
    <t>BIT11029623</t>
  </si>
  <si>
    <t>250276239</t>
  </si>
  <si>
    <t>NOMBRE RETIRA: CRISTIAN ROJAS GODOY RUT RETIRA: 15825587-1</t>
  </si>
  <si>
    <t>Cristian Rojas Godoy</t>
  </si>
  <si>
    <t>Av. Nueva Oriente 2864, Depto 32 V.Exotica</t>
  </si>
  <si>
    <t>BIT11030446</t>
  </si>
  <si>
    <t>252138325</t>
  </si>
  <si>
    <t>NOMBRE RETIRA: ANDRE MARTINEZ . RUT RETIRA: 20985709-K</t>
  </si>
  <si>
    <t>Sebastian San Juan</t>
  </si>
  <si>
    <t>Manuel Jesus Silva 2249, 1101</t>
  </si>
  <si>
    <t>BIT11030105</t>
  </si>
  <si>
    <t>251364084</t>
  </si>
  <si>
    <t>NOMBRE RETIRA: JUAN ALMONACID . RUT RETIRA: 11111111-1</t>
  </si>
  <si>
    <t>Calle mirador del bosque, 01309 , dpto 403B</t>
  </si>
  <si>
    <t>BIT11030418</t>
  </si>
  <si>
    <t>252004551</t>
  </si>
  <si>
    <t>NOMBRE RETIRA: EDUARDO GONZALEZ . RUT RETIRA: 20505228-3</t>
  </si>
  <si>
    <t>Avenida Salvador Allende 442, Depto 604</t>
  </si>
  <si>
    <t>BIT11030301</t>
  </si>
  <si>
    <t>251828272</t>
  </si>
  <si>
    <t>NOMBRE RETIRA: ADELA ALFARO . RUT RETIRA: 8048847-5</t>
  </si>
  <si>
    <t>Santiago Arata 3799, Casa esquina de 2 pisos</t>
  </si>
  <si>
    <t>BIT11030351</t>
  </si>
  <si>
    <t>251883121</t>
  </si>
  <si>
    <t>NOMBRE RETIRA: NERRY GONZALEZ . RUT RETIRA: 11813782-5</t>
  </si>
  <si>
    <t>JUAN CARLOS SCHILLER CLAVERIA</t>
  </si>
  <si>
    <t>AVENIDA PLAYA BRAVA 2156, OFICINA</t>
  </si>
  <si>
    <t>BIT11030341</t>
  </si>
  <si>
    <t>251883162</t>
  </si>
  <si>
    <t>NOMBRE RETIRA: CAROLINA MICHEA . RUT RETIRA: 14106400-2</t>
  </si>
  <si>
    <t>Leonardo Biaggini</t>
  </si>
  <si>
    <t>Salvador Reyes 338, Condominio La Portada</t>
  </si>
  <si>
    <t>BIT11029986</t>
  </si>
  <si>
    <t>251110188</t>
  </si>
  <si>
    <t>NOMBRE RETIRA: MONICA GONZALEZ . RUT RETIRA: 11111111-1</t>
  </si>
  <si>
    <t>Inmobiliaria, Enrique Abello 01476</t>
  </si>
  <si>
    <t>BIT11030241</t>
  </si>
  <si>
    <t>251694192</t>
  </si>
  <si>
    <t>NOMBRE RETIRA: LUCILA FERNANDE . RUT RETIRA: 24474357-9</t>
  </si>
  <si>
    <t>Karla Ruz</t>
  </si>
  <si>
    <t>Anibal pinto 1303, Depto 2201</t>
  </si>
  <si>
    <t>BIT11030134</t>
  </si>
  <si>
    <t>251451345</t>
  </si>
  <si>
    <t>NOMBRE RETIRA: CESAR CONTRERAS . RUT RETIRA: 10204500-9</t>
  </si>
  <si>
    <t>Cesar Contreras</t>
  </si>
  <si>
    <t>Pasaje Ancara 041, 41</t>
  </si>
  <si>
    <t>BIT11030199</t>
  </si>
  <si>
    <t>251541089</t>
  </si>
  <si>
    <t>NOMBRE RETIRA: ALEX RAMOS . RUT RETIRA: 25912788-2</t>
  </si>
  <si>
    <t>Manuel Antonio Matta 2757, Apt. 2104</t>
  </si>
  <si>
    <t>BIT11030194</t>
  </si>
  <si>
    <t>251541124</t>
  </si>
  <si>
    <t>NOMBRE RETIRA: MILITZA SALINAS . RUT RETIRA: 13416091-8</t>
  </si>
  <si>
    <t>Cristian Cereceda Barahona</t>
  </si>
  <si>
    <t>Cinco Sur 4300, Block Q depto 21 condominio La Tirana</t>
  </si>
  <si>
    <t>BIT11030074</t>
  </si>
  <si>
    <t>251364184</t>
  </si>
  <si>
    <t>NOMBRE RETIRA: FRANCISCO BUSTAMANTE . RUT RETIRA: 14104279-3</t>
  </si>
  <si>
    <t>Francisco Bustamante</t>
  </si>
  <si>
    <t>Rengo 1574, 1020296 Arica, Arica y Parinacota, Chile</t>
  </si>
  <si>
    <t>BIT11029901</t>
  </si>
  <si>
    <t>251023564</t>
  </si>
  <si>
    <t>NOMBRE RETIRA: CARLOS CONCHA . RUT RETIRA: 17190798-5</t>
  </si>
  <si>
    <t>Mauricio moraga</t>
  </si>
  <si>
    <t>Pasaje Las terrazas del mar 3542 iquique, Casa color rojo</t>
  </si>
  <si>
    <t>BIT11029759</t>
  </si>
  <si>
    <t>250605783</t>
  </si>
  <si>
    <t>NOMBRE RETIRA: CECILIA AGUILA . RUT RETIRA: 10674527-7</t>
  </si>
  <si>
    <t>Angela Roncagliolo</t>
  </si>
  <si>
    <t>Calle 2 nro. 775, Casa. Valle la foresta. Coyhaique</t>
  </si>
  <si>
    <t>BIT11029873</t>
  </si>
  <si>
    <t>250859821</t>
  </si>
  <si>
    <t>NOMBRE RETIRA: BARBARA PODUJER . RUT RETIRA: 11111111-1</t>
  </si>
  <si>
    <t>Elias Maragaño leal</t>
  </si>
  <si>
    <t>Lahuan 01904, Casa</t>
  </si>
  <si>
    <t>BIT11030056</t>
  </si>
  <si>
    <t>251266320</t>
  </si>
  <si>
    <t>Boris Yrausquin</t>
  </si>
  <si>
    <t>Avenida La Tirana 4865, 202B, Condominio Altos de Huayquique</t>
  </si>
  <si>
    <t>BIT11030010</t>
  </si>
  <si>
    <t>251187423</t>
  </si>
  <si>
    <t>NOMBRE RETIRA: FRANCHESCA GALLARDO . RUT RETIRA: 16865666-1</t>
  </si>
  <si>
    <t>Francisco Gallardo</t>
  </si>
  <si>
    <t>Pasaje Apamilca Nro. 2416</t>
  </si>
  <si>
    <t>BIT11030040</t>
  </si>
  <si>
    <t>251187337</t>
  </si>
  <si>
    <t>NOMBRE RETIRA: CALET MOSCOSO . RUT RETIRA: 28420010-1</t>
  </si>
  <si>
    <t>Maria elena Martinez</t>
  </si>
  <si>
    <t>Avda Cuatro Sur 2621, Depto S 104</t>
  </si>
  <si>
    <t>BIT11030028</t>
  </si>
  <si>
    <t>251187368</t>
  </si>
  <si>
    <t>NOMBRE RETIRA: SEBASTIAN ARAYA . RUT RETIRA: 19977011-K</t>
  </si>
  <si>
    <t>Jaime Cornejo Bernales</t>
  </si>
  <si>
    <t>Teresa wilms montt 2230, Departamento 703 mediterráneo</t>
  </si>
  <si>
    <t>BIT11029971</t>
  </si>
  <si>
    <t>251110243</t>
  </si>
  <si>
    <t>Daisy Alarcon Valenzuela</t>
  </si>
  <si>
    <t>Avda A.Prat 1670 Ed.Mykonos depto 241, Cond Mar Egeo</t>
  </si>
  <si>
    <t>BIT11029903</t>
  </si>
  <si>
    <t>251023512</t>
  </si>
  <si>
    <t>NOMBRE RETIRA: ALVARO MENDEZ . RUT RETIRA: 13551756-9</t>
  </si>
  <si>
    <t>Álvaro Méndez Flores</t>
  </si>
  <si>
    <t>Avenida Cinco N° 4300, Calle D Casa 107 Condominio La Tirana</t>
  </si>
  <si>
    <t>BIT11029699</t>
  </si>
  <si>
    <t>250415082</t>
  </si>
  <si>
    <t>NOMBRE RETIRA: LILIANA BARRERA . RUT RETIRA: 15758042-6</t>
  </si>
  <si>
    <t>sergio de amesti cea</t>
  </si>
  <si>
    <t>balmaceda 330 piso 2</t>
  </si>
  <si>
    <t>BIT11029703</t>
  </si>
  <si>
    <t>250415043</t>
  </si>
  <si>
    <t>NOMBRE RETIRA: PAMELA OSORIO . RUT RETIRA: 12019693-6</t>
  </si>
  <si>
    <t>Pamela Osorio Rojas</t>
  </si>
  <si>
    <t>Fagnano 310, Hotel La Yegua Loca</t>
  </si>
  <si>
    <t>BIT11029841</t>
  </si>
  <si>
    <t>250778508</t>
  </si>
  <si>
    <t>NOMBRE RETIRA: YOVANIA VIAN . RUT RETIRA: 17799121-K</t>
  </si>
  <si>
    <t>Diego Cejas</t>
  </si>
  <si>
    <t>Vicente zegers 919, Depto 226</t>
  </si>
  <si>
    <t>BIT11029821</t>
  </si>
  <si>
    <t>250698835</t>
  </si>
  <si>
    <t>NOMBRE RETIRA: JUAN OINTO . RUT RETIRA: 27405237-6</t>
  </si>
  <si>
    <t>Noemi Mondaca</t>
  </si>
  <si>
    <t>Toronto 3711, Villa Cerro Colorado</t>
  </si>
  <si>
    <t>BIT11029706</t>
  </si>
  <si>
    <t>250414976</t>
  </si>
  <si>
    <t>NOMBRE RETIRA: WENDY TORRES . RUT RETIRA: 25180999-2</t>
  </si>
  <si>
    <t>O higgins 195, Depto 406</t>
  </si>
  <si>
    <t>BIT11029686</t>
  </si>
  <si>
    <t>250415088</t>
  </si>
  <si>
    <t>NOMBRE RETIRA: PAMELA YANEZ Y RUT RETIRA: 15567654-K</t>
  </si>
  <si>
    <t>Miguel Basoalto Zurita</t>
  </si>
  <si>
    <t>Juan Antonio Ríos 354, arica</t>
  </si>
  <si>
    <t>BIT11029741</t>
  </si>
  <si>
    <t>250511198</t>
  </si>
  <si>
    <t>NOMBRE RETIRA: JOIMER VARGAS . RUT RETIRA: 27370797-2</t>
  </si>
  <si>
    <t>BIT11029659</t>
  </si>
  <si>
    <t>250345668</t>
  </si>
  <si>
    <t>NOMBRE RETIRA: EDUARDO BUSTILLOS . RUT RETIRA: 16055206-9</t>
  </si>
  <si>
    <t>Eduardo Bustillos Araya</t>
  </si>
  <si>
    <t>Calle nueva 4380, Depto 508 Torre norte</t>
  </si>
  <si>
    <t>BIT11029647</t>
  </si>
  <si>
    <t>250276159</t>
  </si>
  <si>
    <t>NOMBRE RETIRA: CLAUDIA VILLALOBOS . RUT RETIRA: 10642540-K</t>
  </si>
  <si>
    <t>Claudio Vera</t>
  </si>
  <si>
    <t>Avenida Arturo Prat 353, Depto 903</t>
  </si>
  <si>
    <t>BIT11029603</t>
  </si>
  <si>
    <t>250205153</t>
  </si>
  <si>
    <t>NOMBRE RETIRA: DAVID LABRA . RUT RETIRA: 20949942-8</t>
  </si>
  <si>
    <t>Ivan Mendoza Mendoza</t>
  </si>
  <si>
    <t>Salvador allende gossens 555, Depto 74 torre A</t>
  </si>
  <si>
    <t>BIT11029546</t>
  </si>
  <si>
    <t>250129536</t>
  </si>
  <si>
    <t>NOMBRE RETIRA: LUISABRA CONCHA A RUT RETIRA: 4887256-5</t>
  </si>
  <si>
    <t>Luisabra concha anabalonn Concha anabalon</t>
  </si>
  <si>
    <t>Mamiña 2425, Casa</t>
  </si>
  <si>
    <t>BIT11029604</t>
  </si>
  <si>
    <t>250205170</t>
  </si>
  <si>
    <t>NOMBRE RETIRA: MIRIAM TORRES . RUT RETIRA: 9398045-K</t>
  </si>
  <si>
    <t>Freddy Alday Sfarcic</t>
  </si>
  <si>
    <t>Los Algarrobos 4055</t>
  </si>
  <si>
    <t>BIT11029429</t>
  </si>
  <si>
    <t>249839294</t>
  </si>
  <si>
    <t>Mauro Quiñones</t>
  </si>
  <si>
    <t>Benito Ocampo 2, Casa 2, Casa 2</t>
  </si>
  <si>
    <t>2025-07-24 00:06</t>
  </si>
  <si>
    <t>BIT11030531</t>
  </si>
  <si>
    <t>712940073344</t>
  </si>
  <si>
    <t>Nombre: fabricio mansilla - Rut: 163095106</t>
  </si>
  <si>
    <t>fabricio mansilla</t>
  </si>
  <si>
    <t>El Pudu 1170</t>
  </si>
  <si>
    <t>BIT11030449</t>
  </si>
  <si>
    <t>712939742384</t>
  </si>
  <si>
    <t>Nombre: Charlotte valcic - Rut: 173678835</t>
  </si>
  <si>
    <t>Avenida San Martin 585</t>
  </si>
  <si>
    <t>BIT11030498</t>
  </si>
  <si>
    <t>712940073370</t>
  </si>
  <si>
    <t>Nombre: viviana bustamante - Rut: 151335322</t>
  </si>
  <si>
    <t>Luis Galaz</t>
  </si>
  <si>
    <t>Garces Gana 2, Garces Gana 2</t>
  </si>
  <si>
    <t>BIT11030464</t>
  </si>
  <si>
    <t>712939742351</t>
  </si>
  <si>
    <t>Nombre: Natalia aravena - Rut: 16792279</t>
  </si>
  <si>
    <t>Natalia Aravena Ortega</t>
  </si>
  <si>
    <t>Camino el Carme. 36 D, Casa 10</t>
  </si>
  <si>
    <t>BIT11030364</t>
  </si>
  <si>
    <t>712939154675</t>
  </si>
  <si>
    <t>Nombre: alejandra leon - Rut: 132669406</t>
  </si>
  <si>
    <t>Axel Contreras</t>
  </si>
  <si>
    <t>Camino Lonquen Sur Paradero 27 Condominio Vista Hermosa Parcela 7a, Talagante</t>
  </si>
  <si>
    <t>BIT11030361</t>
  </si>
  <si>
    <t>712938609272</t>
  </si>
  <si>
    <t>Nombre: Maria yavar - Rut: 193864163</t>
  </si>
  <si>
    <t>Andres toro canceco</t>
  </si>
  <si>
    <t>av costanera 1199</t>
  </si>
  <si>
    <t>BIT11030350</t>
  </si>
  <si>
    <t>712938609294</t>
  </si>
  <si>
    <t>Nombre: Lorena Silva - Rut: 133798900</t>
  </si>
  <si>
    <t>Alejandro Perez gonzalez</t>
  </si>
  <si>
    <t>Regidor ramon noguera 593 prados 4, Casa</t>
  </si>
  <si>
    <t>BIT11030328</t>
  </si>
  <si>
    <t>712938609316</t>
  </si>
  <si>
    <t>Nombre: Karla Diaz - Rut: 168361092</t>
  </si>
  <si>
    <t>Daniel Petron</t>
  </si>
  <si>
    <t>Arturo prat 1041, Local lipogas</t>
  </si>
  <si>
    <t>BIT11030349</t>
  </si>
  <si>
    <t>712938609305</t>
  </si>
  <si>
    <t>Nombre: Alejandro Saavedra - Rut: 95541984</t>
  </si>
  <si>
    <t>Alejandro Saavedra</t>
  </si>
  <si>
    <t>Lillo 147, Casa</t>
  </si>
  <si>
    <t>BIT11030275</t>
  </si>
  <si>
    <t>712937988523</t>
  </si>
  <si>
    <t>Nombre: John arellano - Rut: 172057705</t>
  </si>
  <si>
    <t>John Arellano gonzalez</t>
  </si>
  <si>
    <t>Jorge alessandri 832, Casa esquina</t>
  </si>
  <si>
    <t>BIT11030260</t>
  </si>
  <si>
    <t>712937988534</t>
  </si>
  <si>
    <t>Nombre: Marina Coll - Rut: 8462230</t>
  </si>
  <si>
    <t>Marina Coll</t>
  </si>
  <si>
    <t>Camino Panimavida Km 3, frente restautant Pollo Top.</t>
  </si>
  <si>
    <t>BIT11030202</t>
  </si>
  <si>
    <t>712937367004</t>
  </si>
  <si>
    <t>Nombre: Sandra vasqeuz - Rut: 151572332</t>
  </si>
  <si>
    <t>Gregorio Eduardo Araya Chandia</t>
  </si>
  <si>
    <t>Kurt Moller 777</t>
  </si>
  <si>
    <t>BIT11030218</t>
  </si>
  <si>
    <t>712937366993</t>
  </si>
  <si>
    <t>Nombre: Max Oliver Espinoza Baez - Rut: 17394683</t>
  </si>
  <si>
    <t>Max Espinoza</t>
  </si>
  <si>
    <t>Lautaro 997 linares, Bodega max baez o botilleria mosto</t>
  </si>
  <si>
    <t>BIT11030219</t>
  </si>
  <si>
    <t>712937366960</t>
  </si>
  <si>
    <t>Nombre: qlicia chicul - Rut: 108115521</t>
  </si>
  <si>
    <t>tomás gómez</t>
  </si>
  <si>
    <t>Los Carreras 346, Casa</t>
  </si>
  <si>
    <t>BIT11030092</t>
  </si>
  <si>
    <t>712936120595</t>
  </si>
  <si>
    <t>Nombre: Carlos Contreras - Rut: 126128088</t>
  </si>
  <si>
    <t>CARLOS RODRIGO CONTRERAS FUENZALIDA</t>
  </si>
  <si>
    <t>Avenida San Martin 585, antofagasta, mejillones</t>
  </si>
  <si>
    <t>BIT11030022</t>
  </si>
  <si>
    <t>712935320440</t>
  </si>
  <si>
    <t>Nombre: veronica torees - Rut: 153527199</t>
  </si>
  <si>
    <t>Salvador Monterrosa</t>
  </si>
  <si>
    <t>Ruta G-398, (Camino Santa Ana) Cond. Santa Isabel, Parcela 51</t>
  </si>
  <si>
    <t>BIT11029929</t>
  </si>
  <si>
    <t>712934638636</t>
  </si>
  <si>
    <t>Nombre: charlot - Rut: 173678835</t>
  </si>
  <si>
    <t>BIT11029899</t>
  </si>
  <si>
    <t>712934638684</t>
  </si>
  <si>
    <t>Nombre: Marisol Perez - Rut: 97401810</t>
  </si>
  <si>
    <t>Ayde Pérez Ojeda</t>
  </si>
  <si>
    <t>Lillo 153, Casa</t>
  </si>
  <si>
    <t>BIT11029801</t>
  </si>
  <si>
    <t>712933063721</t>
  </si>
  <si>
    <t>Nombre: Jose Paredes Mansilla - Rut: 16439714</t>
  </si>
  <si>
    <t>Jose Paredes Mansilla</t>
  </si>
  <si>
    <t>Dalcahue sucursal 2 SAN MARTIN 35     , Oficina chilexpress</t>
  </si>
  <si>
    <t>BIT11029733</t>
  </si>
  <si>
    <t>712931985791</t>
  </si>
  <si>
    <t>Nombre: Edith pina - Rut: 75694970</t>
  </si>
  <si>
    <t>Francisco Abarca Piña</t>
  </si>
  <si>
    <t>Avenida cahuil 372, Casa</t>
  </si>
  <si>
    <t>BIT11029751</t>
  </si>
  <si>
    <t>712931985776</t>
  </si>
  <si>
    <t>Nombre: Miguel quiroz - Rut: 93965515</t>
  </si>
  <si>
    <t>MIGUEL QUIROZ</t>
  </si>
  <si>
    <t>LOS ESPAÑOLES #704 CHACRA MARIN</t>
  </si>
  <si>
    <t>BIT11029728</t>
  </si>
  <si>
    <t>712931985835</t>
  </si>
  <si>
    <t>Nombre: Patricia Lozano - Rut: 123454847</t>
  </si>
  <si>
    <t>Patricia Lozano Sepulveda</t>
  </si>
  <si>
    <t>Manuel ojeda 1476</t>
  </si>
  <si>
    <t>BIT11029588</t>
  </si>
  <si>
    <t>712930243174</t>
  </si>
  <si>
    <t>Nombre: maeio rubilar - Rut: 139561821</t>
  </si>
  <si>
    <t>Ana Velásquez Steinmetz</t>
  </si>
  <si>
    <t>Condominio entre cerro, talagante, Parcela 8</t>
  </si>
  <si>
    <t>2025-07-30 10:18</t>
  </si>
  <si>
    <t>BIT11029569</t>
  </si>
  <si>
    <t>712930243200</t>
  </si>
  <si>
    <t>Nombre: ristian - Rut: 105330456</t>
  </si>
  <si>
    <t>Cristian Sánchez Millaqueo</t>
  </si>
  <si>
    <t>Julio Vrancken 2699, Casa</t>
  </si>
  <si>
    <t>BIT11030181</t>
  </si>
  <si>
    <t>9363560183</t>
  </si>
  <si>
    <t>Andrea Córdova</t>
  </si>
  <si>
    <t>marlen bozan ramos 1500, casa 26</t>
  </si>
  <si>
    <t>BIT11030201</t>
  </si>
  <si>
    <t>9356773926</t>
  </si>
  <si>
    <t>Manuel Antonio Muñoz Herrera</t>
  </si>
  <si>
    <t>Avenida La Montaña 3650, Casa 31G (Garzas)</t>
  </si>
  <si>
    <t>BIT11030248</t>
  </si>
  <si>
    <t>9357301166</t>
  </si>
  <si>
    <t>Jorge Rivas</t>
  </si>
  <si>
    <t>Portales 310, Caja Los Heroes</t>
  </si>
  <si>
    <t>BIT11030124</t>
  </si>
  <si>
    <t>9363512200</t>
  </si>
  <si>
    <t>Juan Carlos Veloso Latorre</t>
  </si>
  <si>
    <t>Av. Santa Rita 2705, Condominio Santa Margarita, Parcela 14, Pirque, Casa</t>
  </si>
  <si>
    <t>BIT11030193</t>
  </si>
  <si>
    <t>9363799852</t>
  </si>
  <si>
    <t>JENSON KRIMAN</t>
  </si>
  <si>
    <t>SARGENTO ALDEA 135, CONSERVADOR DE BIENES RAICES DE BUIN</t>
  </si>
  <si>
    <t>BIT11030145</t>
  </si>
  <si>
    <t>9363170692</t>
  </si>
  <si>
    <t>Juan Hernandez</t>
  </si>
  <si>
    <t>RÍo Maipo 261, Frente a multicancha</t>
  </si>
  <si>
    <t>BIT11030161</t>
  </si>
  <si>
    <t>9363804306</t>
  </si>
  <si>
    <t>Roberto Burgos</t>
  </si>
  <si>
    <t>Avda. Parque Norte Nro.350, Complejo Laguna Bahía, Edificio Horizonte, Depto. 202</t>
  </si>
  <si>
    <t>BIT11030160</t>
  </si>
  <si>
    <t>9363316966</t>
  </si>
  <si>
    <t>Ricardo Retamales</t>
  </si>
  <si>
    <t>Las pelargonias  1170, Casa</t>
  </si>
  <si>
    <t>BIT11029953</t>
  </si>
  <si>
    <t>9359347174</t>
  </si>
  <si>
    <t>Diego Ignacio Del Pino Lepe</t>
  </si>
  <si>
    <t>Pasaje Copiapo Sur 020</t>
  </si>
  <si>
    <t>BIT11029959</t>
  </si>
  <si>
    <t>9359822614</t>
  </si>
  <si>
    <t>Pablo Montero</t>
  </si>
  <si>
    <t>Av.chimbote 1711, Supermercado el descanso de loncura</t>
  </si>
  <si>
    <t>BIT11029940</t>
  </si>
  <si>
    <t>9359271762</t>
  </si>
  <si>
    <t>Eduardo Mayega Salinas</t>
  </si>
  <si>
    <t>Camino El Cerro #101, Parcela#37 Hacienda Rinconada, Los Andes</t>
  </si>
  <si>
    <t>BIT11030045</t>
  </si>
  <si>
    <t>9357911312</t>
  </si>
  <si>
    <t>Bulnes 1099, Supermercado la Despensa</t>
  </si>
  <si>
    <t>BIT11029942</t>
  </si>
  <si>
    <t>9359510366</t>
  </si>
  <si>
    <t>Av.Santa Rita 2705, condominio Santa Margarita, Parcela 14, Pirque</t>
  </si>
  <si>
    <t>BIT11029982</t>
  </si>
  <si>
    <t>9359708761</t>
  </si>
  <si>
    <t>Avenida El Rodeo Norte 1613, Casa 47</t>
  </si>
  <si>
    <t>BIT11029972</t>
  </si>
  <si>
    <t>9359234533</t>
  </si>
  <si>
    <t>Fernando Vergara olivares</t>
  </si>
  <si>
    <t>Zañartu 164, Casa</t>
  </si>
  <si>
    <t>BIT11029911</t>
  </si>
  <si>
    <t>9359281820</t>
  </si>
  <si>
    <t>BIT11030071</t>
  </si>
  <si>
    <t>9357960544</t>
  </si>
  <si>
    <t>Villaseca 371, Casa B</t>
  </si>
  <si>
    <t>BIT11030034</t>
  </si>
  <si>
    <t>9357803335</t>
  </si>
  <si>
    <t>MARIA VALDES MANRIQUEZ</t>
  </si>
  <si>
    <t>CALLE JHON KENNEDY 657 VILLA ELISA ALVAREZ, 657</t>
  </si>
  <si>
    <t>BIT11030041</t>
  </si>
  <si>
    <t>9358058640</t>
  </si>
  <si>
    <t>Marta Saldaña</t>
  </si>
  <si>
    <t>600000, Villa Jardin N15 el almendro</t>
  </si>
  <si>
    <t>BIT11029831</t>
  </si>
  <si>
    <t>9360665031</t>
  </si>
  <si>
    <t>BIT11029747</t>
  </si>
  <si>
    <t>9361563304</t>
  </si>
  <si>
    <t>Dimitra Silva fuentes</t>
  </si>
  <si>
    <t>Cuarta poniente plaza ,277, Casa</t>
  </si>
  <si>
    <t>BIT11029844</t>
  </si>
  <si>
    <t>9361052444</t>
  </si>
  <si>
    <t>Melissa Scarlet Yañez Guerrero</t>
  </si>
  <si>
    <t>BIT11029884</t>
  </si>
  <si>
    <t>9360446406</t>
  </si>
  <si>
    <t>VOLCAN LONQUIMAY 87, casa</t>
  </si>
  <si>
    <t>BIT11029785</t>
  </si>
  <si>
    <t>9362596644</t>
  </si>
  <si>
    <t>Costa de montemar  287, Depto 1102</t>
  </si>
  <si>
    <t>BIT11029783</t>
  </si>
  <si>
    <t>9362464904</t>
  </si>
  <si>
    <t>Eduardo Gallardo morales</t>
  </si>
  <si>
    <t>La campiña dos casa 2b, Casa 2b</t>
  </si>
  <si>
    <t>BIT11029727</t>
  </si>
  <si>
    <t>9362885630</t>
  </si>
  <si>
    <t>Roberto Ramirez</t>
  </si>
  <si>
    <t>Constitución 055, Departamento de salud</t>
  </si>
  <si>
    <t>BIT11029607</t>
  </si>
  <si>
    <t>9358569345</t>
  </si>
  <si>
    <t>Sneider Vides</t>
  </si>
  <si>
    <t>Cervantes, Avenida los corraleros 2731 casa 161</t>
  </si>
  <si>
    <t>BIT11029554</t>
  </si>
  <si>
    <t>9356262635</t>
  </si>
  <si>
    <t>Fernando Rojas Gutiérrez</t>
  </si>
  <si>
    <t>Calle Aromo, 1230</t>
  </si>
  <si>
    <t>BIT11029622</t>
  </si>
  <si>
    <t>9358568914</t>
  </si>
  <si>
    <t>Jaime Isbej Pozo</t>
  </si>
  <si>
    <t>Calle central pasaje A, población los castaños, 36</t>
  </si>
  <si>
    <t>BIT11029616</t>
  </si>
  <si>
    <t>9358822826</t>
  </si>
  <si>
    <t>German Vera Medrano</t>
  </si>
  <si>
    <t>Escrivá de Balaguer 930, Dpto 1002A</t>
  </si>
  <si>
    <t>BIT11029491</t>
  </si>
  <si>
    <t>9355267972</t>
  </si>
  <si>
    <t>Renzo Norero</t>
  </si>
  <si>
    <t>Costa de Montemar 394, depto 1009</t>
  </si>
  <si>
    <t>2025-07-27 22:16</t>
  </si>
  <si>
    <t>BIT11029635</t>
  </si>
  <si>
    <t>9358896540</t>
  </si>
  <si>
    <t>Gabriel González</t>
  </si>
  <si>
    <t>5 poniente 131</t>
  </si>
  <si>
    <t>BIT11029675</t>
  </si>
  <si>
    <t>9358390941</t>
  </si>
  <si>
    <t>Sebastian Soto Cisternas</t>
  </si>
  <si>
    <t>La hacienda 3008, A 97</t>
  </si>
  <si>
    <t>BIT11029510</t>
  </si>
  <si>
    <t>9355381501</t>
  </si>
  <si>
    <t>Claudio Moreno</t>
  </si>
  <si>
    <t>Liquidámbar 481, 705</t>
  </si>
  <si>
    <t>BIT11029509</t>
  </si>
  <si>
    <t>9355143011</t>
  </si>
  <si>
    <t>Juan carlos Marchant</t>
  </si>
  <si>
    <t>Francisco javier krugger 1665, Casa 136</t>
  </si>
  <si>
    <t>BIT11029498</t>
  </si>
  <si>
    <t>9355609631</t>
  </si>
  <si>
    <t>Marcelo Vila Vila Teichelmann</t>
  </si>
  <si>
    <t>F30E 12010, Solar Mantagua Casa 22</t>
  </si>
  <si>
    <t>BIT11029557</t>
  </si>
  <si>
    <t>9356321903</t>
  </si>
  <si>
    <t>María Jose Labra Diaz</t>
  </si>
  <si>
    <t>Comercio 1101, Empresa Delipack</t>
  </si>
  <si>
    <t>BIT11029630</t>
  </si>
  <si>
    <t>9358837272</t>
  </si>
  <si>
    <t>Sandra Campillay venegas</t>
  </si>
  <si>
    <t>Pedro aguirre cerda 900, condominio el golf, Casa 39</t>
  </si>
  <si>
    <t>BIT11029602</t>
  </si>
  <si>
    <t>9358607904</t>
  </si>
  <si>
    <t>grace cid</t>
  </si>
  <si>
    <t>Ruta G - 864 - F KM 5 Cond Los Maquis, Parcela 14</t>
  </si>
  <si>
    <t>DOR55013317</t>
  </si>
  <si>
    <t>252204505</t>
  </si>
  <si>
    <t>DORMILONES</t>
  </si>
  <si>
    <t>NOMBRE RETIRA: CRISTIAN VALERIO . RUT RETIRA: 11530587-5</t>
  </si>
  <si>
    <t>Camila Valerio</t>
  </si>
  <si>
    <t>El Águila 0187, Villa Alameda</t>
  </si>
  <si>
    <t>DOR55013134</t>
  </si>
  <si>
    <t>251538319</t>
  </si>
  <si>
    <t>NOMBRE RETIRA: IVETTE PEREZ . RUT RETIRA: 11731875-3</t>
  </si>
  <si>
    <t>Nicolás Guerrero Perez</t>
  </si>
  <si>
    <t>Galvarino 103, Población Valdivia</t>
  </si>
  <si>
    <t>DOR55012957</t>
  </si>
  <si>
    <t>250691131</t>
  </si>
  <si>
    <t>NOMBRE RETIRA: ROSA CHULIMA . RUT RETIRA: 11614550-2</t>
  </si>
  <si>
    <t>Ariel Ledesma</t>
  </si>
  <si>
    <t>Pje. Baltazar Zuleta 957, Casa</t>
  </si>
  <si>
    <t>DOR55013204</t>
  </si>
  <si>
    <t>252135497</t>
  </si>
  <si>
    <t>NOMBRE RETIRA: DANIELIA VALENCIA . RUT RETIRA: 18034367-9</t>
  </si>
  <si>
    <t>Daniella Valencia Salas</t>
  </si>
  <si>
    <t>Aquelarre 20. Miraflores, Casa</t>
  </si>
  <si>
    <t>2025-08-23 11:10</t>
  </si>
  <si>
    <t>DOR55013303</t>
  </si>
  <si>
    <t>252135568</t>
  </si>
  <si>
    <t>NOMBRE RETIRA: CRISTIAN MARAMBIO U RUT RETIRA: 15121101-1</t>
  </si>
  <si>
    <t>Nicole Fuenzalida Soriano</t>
  </si>
  <si>
    <t>I-181, La Paloma , Empresa Giddings Cerasus</t>
  </si>
  <si>
    <t>DOR55013305</t>
  </si>
  <si>
    <t>252135534</t>
  </si>
  <si>
    <t>NOMBRE RETIRA: JOSE PAULO DIAZ . RUT RETIRA: 17058036-2</t>
  </si>
  <si>
    <t>Jose paulo Díaz</t>
  </si>
  <si>
    <t>Los Corraleros 651</t>
  </si>
  <si>
    <t>DOR55013269</t>
  </si>
  <si>
    <t>252061513</t>
  </si>
  <si>
    <t>NOMBRE RETIRA: ESTEBAN GUITIERREZ . RUT RETIRA: 26936766-0</t>
  </si>
  <si>
    <t>Esteban Gutiérrez</t>
  </si>
  <si>
    <t>Av. San Marcelino Champagnat 61 D, Casa 61D</t>
  </si>
  <si>
    <t>DOR55013285</t>
  </si>
  <si>
    <t>252061242</t>
  </si>
  <si>
    <t>NOMBRE RETIRA: MONSERRAT NAVARRO . RUT RETIRA: 17501750-K</t>
  </si>
  <si>
    <t>Monserrat Navarro Ortega</t>
  </si>
  <si>
    <t>moraga fuentealba, 0789</t>
  </si>
  <si>
    <t>2025-08-26 21:50</t>
  </si>
  <si>
    <t>DOR55013291</t>
  </si>
  <si>
    <t>252061208</t>
  </si>
  <si>
    <t>NOMBRE RETIRA: CLAIDIA POLIZZI . RUT RETIRA: 8398673-5</t>
  </si>
  <si>
    <t>Claudia Polizzi</t>
  </si>
  <si>
    <t>Los Chercanes 94 B, Reñaca</t>
  </si>
  <si>
    <t>DOR55013284</t>
  </si>
  <si>
    <t>252061248</t>
  </si>
  <si>
    <t>NOMBRE RETIRA: TOMAS PURCEL B RUT RETIRA: 9406363-9</t>
  </si>
  <si>
    <t>Tomas Purcell</t>
  </si>
  <si>
    <t>Oscar Vila Labra 880, Casa 8</t>
  </si>
  <si>
    <t>DOR55013301</t>
  </si>
  <si>
    <t>252061199</t>
  </si>
  <si>
    <t>NOMBRE RETIRA: VIRGINIA ESTRADA . RUT RETIRA: 15059359-K</t>
  </si>
  <si>
    <t>Daniela Frez Fajardo</t>
  </si>
  <si>
    <t>Balmaceda 851 La Calera</t>
  </si>
  <si>
    <t>DOR55013280</t>
  </si>
  <si>
    <t>252061262</t>
  </si>
  <si>
    <t>NOMBRE RETIRA: NICOL FRANCO . RUT RETIRA: 14900417-3</t>
  </si>
  <si>
    <t>Camino antiguo a maitencillo SN Condominio Lomas de Maitencillo casa 2, Casa 2</t>
  </si>
  <si>
    <t>DOR55013286</t>
  </si>
  <si>
    <t>252061216</t>
  </si>
  <si>
    <t>NOMBRE RETIRA: RODRIGO CISTRRNAS J RUT RETIRA: 15096567-5</t>
  </si>
  <si>
    <t>Maria Fernanda Herrera Arias</t>
  </si>
  <si>
    <t>Huari 1840</t>
  </si>
  <si>
    <t>DOR55013226</t>
  </si>
  <si>
    <t>251887365</t>
  </si>
  <si>
    <t>NOMBRE RETIRA: KARINA JEREZ . RUT RETIRA: 14031109-K</t>
  </si>
  <si>
    <t>CARLA Jofre pino</t>
  </si>
  <si>
    <t>Los Maitenes Parcela 122, Población los Almendros</t>
  </si>
  <si>
    <t>2025-08-24 22:02</t>
  </si>
  <si>
    <t>DOR55013259</t>
  </si>
  <si>
    <t>251987094</t>
  </si>
  <si>
    <t>NOMBRE RETIRA: TANIA ESCUDERO . RUT RETIRA: 12127874-K</t>
  </si>
  <si>
    <t>Tania Escudero</t>
  </si>
  <si>
    <t>Inti 1859 , Villa Los Monjes</t>
  </si>
  <si>
    <t>2025-08-25 22:53</t>
  </si>
  <si>
    <t>DOR55013213</t>
  </si>
  <si>
    <t>251887410</t>
  </si>
  <si>
    <t>NOMBRE RETIRA: NICOLAS ESCOBAR . RUT RETIRA: 26381732-K</t>
  </si>
  <si>
    <t>Nicolas Escobar</t>
  </si>
  <si>
    <t>Portus 237, 43</t>
  </si>
  <si>
    <t>DOR55013215</t>
  </si>
  <si>
    <t>251887404</t>
  </si>
  <si>
    <t>NOMBRE RETIRA: CLAUDIO CARRWNO C RUT RETIRA: 20137133-3</t>
  </si>
  <si>
    <t>Javiera Martinez Rozas</t>
  </si>
  <si>
    <t>General Mackenna 289, 608</t>
  </si>
  <si>
    <t>DOR55013241</t>
  </si>
  <si>
    <t>251987220</t>
  </si>
  <si>
    <t>NOMBRE RETIRA: JEAN CARLOS ROJAS . RUT RETIRA: 17388101-0</t>
  </si>
  <si>
    <t>Sebastian Eduardo Moraga Tapia</t>
  </si>
  <si>
    <t>Avenida Bernardo O'Higgins 344, Casa 25</t>
  </si>
  <si>
    <t>DOR55013248</t>
  </si>
  <si>
    <t>251987175</t>
  </si>
  <si>
    <t>NOMBRE RETIRA: OSVALDO TAPIA ...... RUT RETIRA: 53335321-5</t>
  </si>
  <si>
    <t>Catalina Fernández osorio</t>
  </si>
  <si>
    <t>El Arrayan 154, Depto. E202, Dejar en conserjería</t>
  </si>
  <si>
    <t>DOR55013220</t>
  </si>
  <si>
    <t>251887401</t>
  </si>
  <si>
    <t>NOMBRE RETIRA: TIRADO GLADIS K RUT RETIRA: 9800010-0</t>
  </si>
  <si>
    <t>Roberto Marchant</t>
  </si>
  <si>
    <t>Hanga Roa 1017</t>
  </si>
  <si>
    <t>DOR55013164</t>
  </si>
  <si>
    <t>251694484</t>
  </si>
  <si>
    <t>NOMBRE RETIRA: VIVIAN MOREIRA . RUT RETIRA: 17753908-2</t>
  </si>
  <si>
    <t>Vivian Moreira fuenzalida</t>
  </si>
  <si>
    <t>Limache 1530, Casa 2 pisos</t>
  </si>
  <si>
    <t>DOR55013142</t>
  </si>
  <si>
    <t>251538297</t>
  </si>
  <si>
    <t>NOMBRE RETIRA: RICARDO EDIDIFIICO ONSERJERIA RUT RETIRA: 65215091-8</t>
  </si>
  <si>
    <t>Katherine Varas Aguilera</t>
  </si>
  <si>
    <t>Diecinueve de Junio 1571, Depto. 705. Edificio Parque Urbano</t>
  </si>
  <si>
    <t>DOR55013106</t>
  </si>
  <si>
    <t>251445769</t>
  </si>
  <si>
    <t>NOMBRE RETIRA: SUSANA GUTIERREZ A RUT RETIRA: 15096250-1</t>
  </si>
  <si>
    <t>Susana Gutiérrez</t>
  </si>
  <si>
    <t>Cerro Manantiales 1828, Conjunto la cumbre</t>
  </si>
  <si>
    <t>DOR55013082</t>
  </si>
  <si>
    <t>251445961</t>
  </si>
  <si>
    <t>NOMBRE RETIRA: PEDRO RIVERIS . RUT RETIRA: 8101952-5</t>
  </si>
  <si>
    <t>Carolina Riveros Riveros</t>
  </si>
  <si>
    <t>Villa Araucanía, Lago Riñihue 276, 276</t>
  </si>
  <si>
    <t>2025-08-15 21:24</t>
  </si>
  <si>
    <t>DOR55013041</t>
  </si>
  <si>
    <t>251103546</t>
  </si>
  <si>
    <t>NOMBRE RETIRA: FIORELLA JOFRE . RUT RETIRA: 21550063-2</t>
  </si>
  <si>
    <t>Fiorella Jofre</t>
  </si>
  <si>
    <t>Sta bernardita 1356</t>
  </si>
  <si>
    <t>DOR55013034</t>
  </si>
  <si>
    <t>251015245</t>
  </si>
  <si>
    <t>NOMBRE RETIRA: RODOLFO GLENA .. RUT RETIRA: 14411582-1</t>
  </si>
  <si>
    <t>Edith Calderón</t>
  </si>
  <si>
    <t>Alcalde Alejandro Peralta 447, Negocio RODIMAC (dejar con cajera)</t>
  </si>
  <si>
    <t>2025-08-11 00:34</t>
  </si>
  <si>
    <t>DOR55012994</t>
  </si>
  <si>
    <t>250855087</t>
  </si>
  <si>
    <t>NOMBRE RETIRA: FELIPE ORELLANA . RUT RETIRA: 53333228-5</t>
  </si>
  <si>
    <t>Bastián Garcés</t>
  </si>
  <si>
    <t>Las Perlas Norte 125, Depto 205</t>
  </si>
  <si>
    <t>DOR55012985</t>
  </si>
  <si>
    <t>250855714</t>
  </si>
  <si>
    <t>NOMBRE RETIRA: CATHERINE CUBILLOS . RUT RETIRA: 21036311-4</t>
  </si>
  <si>
    <t>Catherine Cubillos gonzalez</t>
  </si>
  <si>
    <t>Brasil 1073,  Local 205, Piso 2do, Peluquería De Niños</t>
  </si>
  <si>
    <t>DOR55012979</t>
  </si>
  <si>
    <t>250776062</t>
  </si>
  <si>
    <t>NOMBRE RETIRA: DIEGO VALNZUELA M RUT RETIRA: 53331607-7</t>
  </si>
  <si>
    <t>Diego Valenzuela Fierro</t>
  </si>
  <si>
    <t>Lago villarrica, 1001</t>
  </si>
  <si>
    <t>DOR55012976</t>
  </si>
  <si>
    <t>250776084</t>
  </si>
  <si>
    <t>NOMBRE RETIRA: MAURICII RETAMALES V RUT RETIRA: 53323276-0</t>
  </si>
  <si>
    <t>Santiago Medina</t>
  </si>
  <si>
    <t>Avenida Cornisa 750, Depto 612</t>
  </si>
  <si>
    <t>DOR55012978</t>
  </si>
  <si>
    <t>250776073</t>
  </si>
  <si>
    <t>NOMBRE RETIRA: MELISSA GONZALEZ . RUT RETIRA: 19760647-9</t>
  </si>
  <si>
    <t>Melissa gonzalez</t>
  </si>
  <si>
    <t>Almirante Latorre 350, Apartamento blanco porton verde</t>
  </si>
  <si>
    <t>DOR55012962</t>
  </si>
  <si>
    <t>250776108</t>
  </si>
  <si>
    <t>NOMBRE RETIRA: SCARLETT ARANGUIZ . RUT RETIRA: 18376105-6</t>
  </si>
  <si>
    <t>Scarlett irene Aranguiz pinto</t>
  </si>
  <si>
    <t>Membrillar 490, Dpto 316</t>
  </si>
  <si>
    <t>DOR55012948</t>
  </si>
  <si>
    <t>250691081</t>
  </si>
  <si>
    <t>NOMBRE RETIRA: JOSE YANEZ . RUT RETIRA: 7213470-2</t>
  </si>
  <si>
    <t>Jose Yañez</t>
  </si>
  <si>
    <t>San Martín 1516, 1516</t>
  </si>
  <si>
    <t>DOR55012951</t>
  </si>
  <si>
    <t>250691072</t>
  </si>
  <si>
    <t>NOMBRE RETIRA: EDIRH JER . RUT RETIRA: 12949554-5</t>
  </si>
  <si>
    <t>Gabriela Aravena</t>
  </si>
  <si>
    <t>Calle Uno Norte 1922 , Villa Las Gardenias</t>
  </si>
  <si>
    <t>DOR55012894</t>
  </si>
  <si>
    <t>250506332</t>
  </si>
  <si>
    <t>Laguna De La Luz 102,, Casa 23</t>
  </si>
  <si>
    <t>DOR55012915</t>
  </si>
  <si>
    <t>250506228</t>
  </si>
  <si>
    <t>NOMBRE RETIRA: EDIFICIO HORIZONTE . RUT RETIRA: 53332196-8</t>
  </si>
  <si>
    <t>Stephanie Goldberg</t>
  </si>
  <si>
    <t>Eduardo Titus 410, 910</t>
  </si>
  <si>
    <t>2025-08-04 01:03</t>
  </si>
  <si>
    <t>DOR55012922</t>
  </si>
  <si>
    <t>250506192</t>
  </si>
  <si>
    <t>NOMBRE RETIRA: KATHERINE PONCE . RUT RETIRA: 16777979-4</t>
  </si>
  <si>
    <t>Soledad maturana Maturana</t>
  </si>
  <si>
    <t>Carlos Roger 290, Casa 1</t>
  </si>
  <si>
    <t>DOR55012937</t>
  </si>
  <si>
    <t>250596269</t>
  </si>
  <si>
    <t>NOMBRE RETIRA: NORVERTI FARIA FARIA RUT RETIRA: 56052750-0</t>
  </si>
  <si>
    <t>Isla Picton 280, Edificio 9 Depto. 535. Condominio Colinas del Mar 1</t>
  </si>
  <si>
    <t>DOR55012896</t>
  </si>
  <si>
    <t>250506923</t>
  </si>
  <si>
    <t>NOMBRE RETIRA: DAVID ACOSTA X RUT RETIRA: 53317553-8</t>
  </si>
  <si>
    <t>Solange Ramirez</t>
  </si>
  <si>
    <t>Av. Blanca Estela 1055, depto 451</t>
  </si>
  <si>
    <t>DOR55012835</t>
  </si>
  <si>
    <t>250269668</t>
  </si>
  <si>
    <t>NOMBRE RETIRA: TERRA MOLINO N RUT RETIRA: 53325817-4</t>
  </si>
  <si>
    <t>Jenny Viera diaz</t>
  </si>
  <si>
    <t>Berlín 1602, Torre B 401</t>
  </si>
  <si>
    <t>DOR55012843</t>
  </si>
  <si>
    <t>250269660</t>
  </si>
  <si>
    <t>NOMBRE RETIRA: FELIPE VASQUEZ V RUT RETIRA: 9815737-9</t>
  </si>
  <si>
    <t>Pje. Cordova 376</t>
  </si>
  <si>
    <t>DOR55013296</t>
  </si>
  <si>
    <t>252061175</t>
  </si>
  <si>
    <t>NOMBRE RETIRA: FRANCISCA FRANCISCA AEDO RUT RETIRA: 18571473-K</t>
  </si>
  <si>
    <t>Francisca Aedo</t>
  </si>
  <si>
    <t>4 sur 2845, dpto 368, Condominio Vista San Miguel, Talca., 368</t>
  </si>
  <si>
    <t>DOR55013246</t>
  </si>
  <si>
    <t>251987166</t>
  </si>
  <si>
    <t>NOMBRE RETIRA: PATRICIA VALDES H RUT RETIRA: 15139894-4</t>
  </si>
  <si>
    <t>Patricia Valdés</t>
  </si>
  <si>
    <t>5 Norte 23 Oriente 3061, Villa Nueva Holanda</t>
  </si>
  <si>
    <t>DOR55013263</t>
  </si>
  <si>
    <t>251987118</t>
  </si>
  <si>
    <t>NOMBRE RETIRA: LUIS ARIAS . RUT RETIRA: 26739398-2</t>
  </si>
  <si>
    <t>1 norte 1260</t>
  </si>
  <si>
    <t>DOR55013262</t>
  </si>
  <si>
    <t>251987145</t>
  </si>
  <si>
    <t>NOMBRE RETIRA: EDITH RODRIGUEZ . RUT RETIRA: 11146586-K</t>
  </si>
  <si>
    <t>Edith Rodriguez Díaz</t>
  </si>
  <si>
    <t>Nueve Sur 1535, Casa</t>
  </si>
  <si>
    <t>DOR55013177</t>
  </si>
  <si>
    <t>251759883</t>
  </si>
  <si>
    <t>NOMBRE RETIRA: ALEJANDRO GONZALEZ 0 RUT RETIRA: 16582257-9</t>
  </si>
  <si>
    <t>Alejandro González Bustamante</t>
  </si>
  <si>
    <t>Pasaje 32 1/2 Oriente B 2174, Casa</t>
  </si>
  <si>
    <t>DOR55013084</t>
  </si>
  <si>
    <t>251445902</t>
  </si>
  <si>
    <t>NOMBRE RETIRA: SOLANGE MUNOZ ... RUT RETIRA: 26873181-4</t>
  </si>
  <si>
    <t>Normandía 1204, 1204</t>
  </si>
  <si>
    <t>DOR55013087</t>
  </si>
  <si>
    <t>251445881</t>
  </si>
  <si>
    <t>NOMBRE RETIRA: FELIPE GONZALEZ C RUT RETIRA: 18570412-2</t>
  </si>
  <si>
    <t>Felipe Gonzalez Cardenas</t>
  </si>
  <si>
    <t>Pasaje Rubén Darío 2042 , Villa Víctor Domingo Silva, Población Rauquen</t>
  </si>
  <si>
    <t>DOR55013072</t>
  </si>
  <si>
    <t>251258106</t>
  </si>
  <si>
    <t>NOMBRE RETIRA: MARGARITA MAUREIRA H RUT RETIRA: 7553466-3</t>
  </si>
  <si>
    <t>isabel valenzuela</t>
  </si>
  <si>
    <t>dos y medio norte 3469</t>
  </si>
  <si>
    <t>DOR55013009</t>
  </si>
  <si>
    <t>251015386</t>
  </si>
  <si>
    <t>NOMBRE RETIRA: MIGUEL MATURANA . RUT RETIRA: 7653311-3</t>
  </si>
  <si>
    <t>Tatiana Herrera</t>
  </si>
  <si>
    <t>1 Oriente 1253, 1253</t>
  </si>
  <si>
    <t>DOR55012997</t>
  </si>
  <si>
    <t>250855637</t>
  </si>
  <si>
    <t>NOMBRE RETIRA: PAULA HURTSDO B RUT RETIRA: 20802820-0</t>
  </si>
  <si>
    <t>Paula Hurtado</t>
  </si>
  <si>
    <t>24 poniente, pasaje 26 y media sur C #0150, Casa</t>
  </si>
  <si>
    <t>DOR55012949</t>
  </si>
  <si>
    <t>250691089</t>
  </si>
  <si>
    <t>NOMBRE RETIRA: ESTEBAN GONZALES . RUT RETIRA: 21569251-5</t>
  </si>
  <si>
    <t>Calle 22 Norte 1520, Condominio Portal Norte II, depto 504D</t>
  </si>
  <si>
    <t>DOR55012883</t>
  </si>
  <si>
    <t>250506410</t>
  </si>
  <si>
    <t>NOMBRE RETIRA: VALENTINA MEDINA . RUT RETIRA: 21218637-6</t>
  </si>
  <si>
    <t>Felipe Soto Osses</t>
  </si>
  <si>
    <t>C. 1 Sur 1681, Local comercial</t>
  </si>
  <si>
    <t>2025-08-01 23:59</t>
  </si>
  <si>
    <t>DOR55012872</t>
  </si>
  <si>
    <t>250341643</t>
  </si>
  <si>
    <t>NOMBRE RETIRA: ROSA LASO .. RUT RETIRA: 9985668-8</t>
  </si>
  <si>
    <t>Carol Vera Leiva</t>
  </si>
  <si>
    <t>Av. España 1315, Colegio Vichuquén</t>
  </si>
  <si>
    <t>DOR55012873</t>
  </si>
  <si>
    <t>250341639</t>
  </si>
  <si>
    <t>DOR55013330</t>
  </si>
  <si>
    <t>252204543</t>
  </si>
  <si>
    <t>NOMBRE RETIRA: FRANCO CUEVA H RUT RETIRA: 19364879-7</t>
  </si>
  <si>
    <t>Maipu 1546, 1504</t>
  </si>
  <si>
    <t>DOR55013310</t>
  </si>
  <si>
    <t>252135554</t>
  </si>
  <si>
    <t>NOMBRE RETIRA: MARIA GUEVARA . RUT RETIRA: 16764870-3</t>
  </si>
  <si>
    <t>Angol 61</t>
  </si>
  <si>
    <t>DOR55013313</t>
  </si>
  <si>
    <t>252135560</t>
  </si>
  <si>
    <t>NOMBRE RETIRA: JOSE TORRES . RUT RETIRA: 10781153-2</t>
  </si>
  <si>
    <t>Maria Loreto Torres Becerra</t>
  </si>
  <si>
    <t>Avenida Los Carrera #1570, Casa verde reja verde con buzon negro</t>
  </si>
  <si>
    <t>DOR55013295</t>
  </si>
  <si>
    <t>252061203</t>
  </si>
  <si>
    <t>NOMBRE RETIRA: CRISTIAN SILVA X RUT RETIRA: 13398028-8</t>
  </si>
  <si>
    <t>Christian Silva</t>
  </si>
  <si>
    <t>Las Violetas 1756, Casa 5</t>
  </si>
  <si>
    <t>DOR55013224</t>
  </si>
  <si>
    <t>251887397</t>
  </si>
  <si>
    <t>NOMBRE RETIRA: VALENTINA PAZ . RUT RETIRA: 18958785-6</t>
  </si>
  <si>
    <t>Valentina Paz Salamanca Iraira</t>
  </si>
  <si>
    <t>Aníbal Pinto 1930, Edif779 Depto. 401</t>
  </si>
  <si>
    <t>DOR55013230</t>
  </si>
  <si>
    <t>251887399</t>
  </si>
  <si>
    <t>NOMBRE RETIRA: TERESA FRITZ . RUT RETIRA: 13108234-7</t>
  </si>
  <si>
    <t>Catherine Cerna</t>
  </si>
  <si>
    <t>Cerro Caracol 937 Casa 38 ,  Condominio Vista Valle, Vilumanque</t>
  </si>
  <si>
    <t>DOR55013233</t>
  </si>
  <si>
    <t>251887367</t>
  </si>
  <si>
    <t>NOMBRE RETIRA: MARIA JOSE GALVEZ . RUT RETIRA: 19716184-1</t>
  </si>
  <si>
    <t>Guido Urrea</t>
  </si>
  <si>
    <t>Patricio Lynch 2207</t>
  </si>
  <si>
    <t>DOR55013229</t>
  </si>
  <si>
    <t>251887369</t>
  </si>
  <si>
    <t>NOMBRE RETIRA: MARIO COLOMA . RUT RETIRA: 9275790-0</t>
  </si>
  <si>
    <t>Eduardo Venegas Alarcón</t>
  </si>
  <si>
    <t>Manquimávida 443</t>
  </si>
  <si>
    <t>DOR55013167</t>
  </si>
  <si>
    <t>251694467</t>
  </si>
  <si>
    <t>NOMBRE RETIRA: ERNALDO BRIONES BRIONES RUT RETIRA: 53319551-2</t>
  </si>
  <si>
    <t>Francisca Davanzo Castillo</t>
  </si>
  <si>
    <t>Antilhue 25, Depto 131</t>
  </si>
  <si>
    <t>DOR55013166</t>
  </si>
  <si>
    <t>251694469</t>
  </si>
  <si>
    <t>NOMBRE RETIRA: FRESIA LAGOS M RUT RETIRA: 17457878-8</t>
  </si>
  <si>
    <t>Cristóbal Cox</t>
  </si>
  <si>
    <t>Yerbas Buenas 351 Depto 304, Depto 304</t>
  </si>
  <si>
    <t>DOR55013153</t>
  </si>
  <si>
    <t>251620724</t>
  </si>
  <si>
    <t>Laura Sierra</t>
  </si>
  <si>
    <t>Pasaje Carmen Aldunate 487, Portal del Libertador</t>
  </si>
  <si>
    <t>2025-08-20 00:31</t>
  </si>
  <si>
    <t>DOR55013139</t>
  </si>
  <si>
    <t>251538273</t>
  </si>
  <si>
    <t>NOMBRE RETIRA: CAROLIBA B B RUT RETIRA: 9635177-1</t>
  </si>
  <si>
    <t>Heden rubilar rubio</t>
  </si>
  <si>
    <t>Calle A 6606 condominio altos los sauces, 13</t>
  </si>
  <si>
    <t>DOR55013131</t>
  </si>
  <si>
    <t>251538311</t>
  </si>
  <si>
    <t>NOMBRE RETIRA: ELINA YANEZ R RUT RETIRA: 8174153-0</t>
  </si>
  <si>
    <t>Macarena Mainguyague Grant</t>
  </si>
  <si>
    <t>Los Ulmos 202, Schaub</t>
  </si>
  <si>
    <t>DOR55013117</t>
  </si>
  <si>
    <t>251445673</t>
  </si>
  <si>
    <t>NOMBRE RETIRA: MIRIAM GUTIERREZ SIERRA RUT RETIRA: 11682975-4</t>
  </si>
  <si>
    <t>Ángela Torres Molina</t>
  </si>
  <si>
    <t>Lautaro 517</t>
  </si>
  <si>
    <t>DOR55013097</t>
  </si>
  <si>
    <t>251445853</t>
  </si>
  <si>
    <t>NOMBRE RETIRA: MACARENA BASCUNAN B RUT RETIRA: 18832876-8</t>
  </si>
  <si>
    <t>Macarena Bascuñan</t>
  </si>
  <si>
    <t>Avenida Andrés bello 1725, Casa</t>
  </si>
  <si>
    <t>DOR55013128</t>
  </si>
  <si>
    <t>251445678</t>
  </si>
  <si>
    <t>NOMBRE RETIRA: LORENZO ACUNA . RUT RETIRA: 9372205-1</t>
  </si>
  <si>
    <t>Francisca Fuentealba</t>
  </si>
  <si>
    <t>Huambalí 1119, Carniceria</t>
  </si>
  <si>
    <t>DOR55013074</t>
  </si>
  <si>
    <t>251258118</t>
  </si>
  <si>
    <t>NOMBRE RETIRA: KEVIN CHAMORRO . RUT RETIRA: 5365575-0</t>
  </si>
  <si>
    <t>Kevin Chamorro</t>
  </si>
  <si>
    <t>Condominio 1354 - A, casa 11, Casa</t>
  </si>
  <si>
    <t>DOR55013080</t>
  </si>
  <si>
    <t>251258094</t>
  </si>
  <si>
    <t>NOMBRE RETIRA: ISABEL RUBILAR . RUT RETIRA: 11791025-3</t>
  </si>
  <si>
    <t>José Ignacio Madariaga Gómez</t>
  </si>
  <si>
    <t>Villa la pradera 1, calle 1, casa 137</t>
  </si>
  <si>
    <t>DOR55013065</t>
  </si>
  <si>
    <t>251181313</t>
  </si>
  <si>
    <t>Paula Lastra</t>
  </si>
  <si>
    <t>Km 1 camino a cato 2450 , chillan (ESPACIO CUBO), Oficina</t>
  </si>
  <si>
    <t>DOR55013042</t>
  </si>
  <si>
    <t>251103573</t>
  </si>
  <si>
    <t>NOMBRE RETIRA: GUACOLDA YANEZ . RUT RETIRA: 5283191-1</t>
  </si>
  <si>
    <t>Felix Herrera</t>
  </si>
  <si>
    <t>Los Naranjos 90 A, Casa</t>
  </si>
  <si>
    <t>DOR55013010</t>
  </si>
  <si>
    <t>251015384</t>
  </si>
  <si>
    <t>NOMBRE RETIRA: ARIEL TORRES . RUT RETIRA: 16156808-2</t>
  </si>
  <si>
    <t>Ana Troncoso</t>
  </si>
  <si>
    <t>San Pedro 18B Villa el esfuerzo, Casa 18B</t>
  </si>
  <si>
    <t>DOR55013017</t>
  </si>
  <si>
    <t>251015350</t>
  </si>
  <si>
    <t>NOMBRE RETIRA: PILAR CRISPI . RUT RETIRA: 11581942-9</t>
  </si>
  <si>
    <t>Paola Olate Mellado</t>
  </si>
  <si>
    <t>Avenida Pedro de Valdivia 195, Casa</t>
  </si>
  <si>
    <t>DOR55013023</t>
  </si>
  <si>
    <t>251015332</t>
  </si>
  <si>
    <t>NOMBRE RETIRA: PATRICIA JANA . RUT RETIRA: 10689553-8</t>
  </si>
  <si>
    <t>Patricia Jaña</t>
  </si>
  <si>
    <t>Larqui 9238</t>
  </si>
  <si>
    <t>DOR55012999</t>
  </si>
  <si>
    <t>250855608</t>
  </si>
  <si>
    <t>NOMBRE RETIRA: PATRICIA ZUNIGA . RUT RETIRA: 65198842-K</t>
  </si>
  <si>
    <t>Isabela Pino cury</t>
  </si>
  <si>
    <t>Anibal Pinto 1435, Torre a depto 604</t>
  </si>
  <si>
    <t>DOR55012996</t>
  </si>
  <si>
    <t>250855664</t>
  </si>
  <si>
    <t>NOMBRE RETIRA: ALEJANDRA BECERRA . RUT RETIRA: 11679625-2</t>
  </si>
  <si>
    <t>Alejandra Becerra</t>
  </si>
  <si>
    <t>Infante 145 block3, Dpto 36</t>
  </si>
  <si>
    <t>DOR55012995</t>
  </si>
  <si>
    <t>250855673</t>
  </si>
  <si>
    <t>NOMBRE RETIRA: ALEXIS AEDO T RUT RETIRA: 65212278-7</t>
  </si>
  <si>
    <t>Barbara Carvajal Constanzo</t>
  </si>
  <si>
    <t>Orompello 767, Depto 601</t>
  </si>
  <si>
    <t>DOR55012977</t>
  </si>
  <si>
    <t>250776076</t>
  </si>
  <si>
    <t>NOMBRE RETIRA: JOSE ARANEDA . RUT RETIRA: 8840648-6</t>
  </si>
  <si>
    <t>Nicolas Beltran</t>
  </si>
  <si>
    <t>Los castaños 1541, Dpto 93 edificio yunge</t>
  </si>
  <si>
    <t>DOR55012928</t>
  </si>
  <si>
    <t>250596409</t>
  </si>
  <si>
    <t>NOMBRE RETIRA: MORAIMA DOMINGUEZ . RUT RETIRA: 10640414-3</t>
  </si>
  <si>
    <t>Mauricio Leiva</t>
  </si>
  <si>
    <t>Av. Andalue 2200, 2156</t>
  </si>
  <si>
    <t>DOR55012941</t>
  </si>
  <si>
    <t>250596284</t>
  </si>
  <si>
    <t>NOMBRE RETIRA: RODRIGO MELO . RUT RETIRA: 53334225-6</t>
  </si>
  <si>
    <t>Natalia Guzman Hurtado</t>
  </si>
  <si>
    <t>Avenida Chacabuco 882, Depto 1508, Depto 1508</t>
  </si>
  <si>
    <t>DOR55012867</t>
  </si>
  <si>
    <t>250341660</t>
  </si>
  <si>
    <t>NOMBRE RETIRA: PATRICIO MATAMA M RUT RETIRA: 10325536-8</t>
  </si>
  <si>
    <t>Patricio Matamala</t>
  </si>
  <si>
    <t>Paraguay 736</t>
  </si>
  <si>
    <t>DOR55012871</t>
  </si>
  <si>
    <t>250341647</t>
  </si>
  <si>
    <t>NOMBRE RETIRA: LORETO GUAJARDO A RUT RETIRA: 9776026-8</t>
  </si>
  <si>
    <t>loreto guajardo</t>
  </si>
  <si>
    <t>Longaví 1576, Casa Volcán 3</t>
  </si>
  <si>
    <t>DOR55012854</t>
  </si>
  <si>
    <t>250274622</t>
  </si>
  <si>
    <t>NOMBRE RETIRA: PATRICIA CANPOS . RUT RETIRA: 19811944-K</t>
  </si>
  <si>
    <t>Dos Oriente 5, 5</t>
  </si>
  <si>
    <t>DOR55013275</t>
  </si>
  <si>
    <t>252061289</t>
  </si>
  <si>
    <t>NOMBRE RETIRA: CLAUDIO LABRA . RUT RETIRA: 21123997-2</t>
  </si>
  <si>
    <t>Claudio Andres Godoy gonzalez</t>
  </si>
  <si>
    <t>Avenida El Sauce 101, Condominio Puesta del Sol - Casa 3</t>
  </si>
  <si>
    <t>DOR55013273</t>
  </si>
  <si>
    <t>252061298</t>
  </si>
  <si>
    <t>NOMBRE RETIRA: ALEJANDRA ASTUDILLO . RUT RETIRA: 13329090-7</t>
  </si>
  <si>
    <t>Victor Zapata Venegas</t>
  </si>
  <si>
    <t>Av. Circunvalación 960, F301</t>
  </si>
  <si>
    <t>DOR55013214</t>
  </si>
  <si>
    <t>251887375</t>
  </si>
  <si>
    <t>NOMBRE RETIRA: CAROLINA JORQUERA . RUT RETIRA: 26076095-5</t>
  </si>
  <si>
    <t>Avenida Pacifico 4891, 212</t>
  </si>
  <si>
    <t>DOR55013160</t>
  </si>
  <si>
    <t>251694503</t>
  </si>
  <si>
    <t>NOMBRE RETIRA: ANA SOTO . RUT RETIRA: 19714579-K</t>
  </si>
  <si>
    <t>Karen González</t>
  </si>
  <si>
    <t>Avenida Curamonte Sur 350 , Casa 1</t>
  </si>
  <si>
    <t>DOR55013085</t>
  </si>
  <si>
    <t>251445911</t>
  </si>
  <si>
    <t>NOMBRE RETIRA: CARINA COSTA . RUT RETIRA: 12976332-9</t>
  </si>
  <si>
    <t>Constanza Mendoza</t>
  </si>
  <si>
    <t>Tilao 087</t>
  </si>
  <si>
    <t>DOR55013127</t>
  </si>
  <si>
    <t>251445689</t>
  </si>
  <si>
    <t>NOMBRE RETIRA: DIEGO CORTES CONSEEJERIA RUT RETIRA: 15955595-K</t>
  </si>
  <si>
    <t>Enrique Lihn 4332, Departamento 307 torre 2</t>
  </si>
  <si>
    <t>DOR55013058</t>
  </si>
  <si>
    <t>251181341</t>
  </si>
  <si>
    <t>NOMBRE RETIRA: MARILIS BRASTELI ... RUT RETIRA: 14516255-6</t>
  </si>
  <si>
    <t>Thomas Peña</t>
  </si>
  <si>
    <t>Urenda 551, Torre A Depto. 309, Condominio Santa María</t>
  </si>
  <si>
    <t>DOR55013046</t>
  </si>
  <si>
    <t>251103582</t>
  </si>
  <si>
    <t>NOMBRE RETIRA: MARIA MATAMALA . . RUT RETIRA: 5098973-9</t>
  </si>
  <si>
    <t>GABRIELA Leon</t>
  </si>
  <si>
    <t>Patricio Lynch 421 , Casa cerca de la plaza pinto</t>
  </si>
  <si>
    <t>DOR55013029</t>
  </si>
  <si>
    <t>251015292</t>
  </si>
  <si>
    <t>NOMBRE RETIRA: XIMENA MENDEZ __ RUT RETIRA: 65042936-2</t>
  </si>
  <si>
    <t>Ximena Mendez</t>
  </si>
  <si>
    <t>Av Guillermo Ulriksen 1680, Depto31A</t>
  </si>
  <si>
    <t>DOR55013026</t>
  </si>
  <si>
    <t>251015302</t>
  </si>
  <si>
    <t>NOMBRE RETIRA: LEONCIO . . RUT RETIRA: 26209641-6</t>
  </si>
  <si>
    <t>Leoncio Hidalgo</t>
  </si>
  <si>
    <t>Av. La Feria 76, Hostal</t>
  </si>
  <si>
    <t>DOR55013031</t>
  </si>
  <si>
    <t>251015249</t>
  </si>
  <si>
    <t>NOMBRE RETIRA: FELIPE ESCOBAR VARAS RUT RETIRA: 18321163-3</t>
  </si>
  <si>
    <t>Avenida Pacifico 741, Depto 518, Edificio Arrecife, Condominio laguna del mar</t>
  </si>
  <si>
    <t>DOR55012958</t>
  </si>
  <si>
    <t>250691124</t>
  </si>
  <si>
    <t>NOMBRE RETIRA: EDUARDO FAUNDEZ . RUT RETIRA: 11962975-6</t>
  </si>
  <si>
    <t>Eduardo Faundez</t>
  </si>
  <si>
    <t>Totoral 0331, Casa</t>
  </si>
  <si>
    <t>DOR55012909</t>
  </si>
  <si>
    <t>250506250</t>
  </si>
  <si>
    <t>NOMBRE RETIRA: JAVIER GALVEZ . RUT RETIRA: 26076095-5</t>
  </si>
  <si>
    <t>Javier Galvez Donoso</t>
  </si>
  <si>
    <t>Av. del Mar 1700, 104a</t>
  </si>
  <si>
    <t>DOR55012882</t>
  </si>
  <si>
    <t>250506418</t>
  </si>
  <si>
    <t>NOMBRE RETIRA: GENESIS MANOSALVA ... RUT RETIRA: 21071744-7</t>
  </si>
  <si>
    <t>Genesis Manosalva Hernández</t>
  </si>
  <si>
    <t>Lago Yelcho 1611, Casa</t>
  </si>
  <si>
    <t>DOR55012842</t>
  </si>
  <si>
    <t>250269648</t>
  </si>
  <si>
    <t>NOMBRE RETIRA: ELIZABETH VERGARA . RUT RETIRA: 17466087-5</t>
  </si>
  <si>
    <t>Riñihue 2025, casa</t>
  </si>
  <si>
    <t>DOR55013125</t>
  </si>
  <si>
    <t>251445710</t>
  </si>
  <si>
    <t>NOMBRE RETIRA: PAULINA PADILLA ... RUT RETIRA: 18041064-3</t>
  </si>
  <si>
    <t>Paulina Padilla Zamorano</t>
  </si>
  <si>
    <t>Luis Reyes Soto 26, 26</t>
  </si>
  <si>
    <t>DOR55012884</t>
  </si>
  <si>
    <t>250506399</t>
  </si>
  <si>
    <t>NOMBRE RETIRA: ALFREDL Q A RUT RETIRA: 5483791-7</t>
  </si>
  <si>
    <t>Alfredo Torres Carrera</t>
  </si>
  <si>
    <t>los acacios 788, Casa</t>
  </si>
  <si>
    <t>DOR55013277</t>
  </si>
  <si>
    <t>252061283</t>
  </si>
  <si>
    <t>NOMBRE RETIRA: LIZ CAETON Y RUT RETIRA: 11474385-2</t>
  </si>
  <si>
    <t>Siria 147, Casa</t>
  </si>
  <si>
    <t>DOR55013217</t>
  </si>
  <si>
    <t>251887402</t>
  </si>
  <si>
    <t>NOMBRE RETIRA: ISAIAS . . RUT RETIRA: 53310370-7</t>
  </si>
  <si>
    <t>Susan Carol Reyes Flores</t>
  </si>
  <si>
    <t>CAMINO BOTROLHUE 1504, Casa 65 Condominio Belo Horizonte</t>
  </si>
  <si>
    <t>DOR55013210</t>
  </si>
  <si>
    <t>251986640</t>
  </si>
  <si>
    <t>NOMBRE RETIRA: ANITA AVALOS X RUT RETIRA: 12345678-5</t>
  </si>
  <si>
    <t>Anita Avalos Lobos</t>
  </si>
  <si>
    <t>Av. Alcalde Fernando Castillo Velasco 8146, 7860366 La Reina, Region Metropolitana, Chile</t>
  </si>
  <si>
    <t>Parcela 13B Hacienda Compañía</t>
  </si>
  <si>
    <t>DOR55013162</t>
  </si>
  <si>
    <t>251694475</t>
  </si>
  <si>
    <t>NOMBRE RETIRA: DIEGO D .. RUT RETIRA: 12929658-5</t>
  </si>
  <si>
    <t>María José Hadad Vásquez</t>
  </si>
  <si>
    <t>Avenida San Martín 924, 2301</t>
  </si>
  <si>
    <t>DOR55013159</t>
  </si>
  <si>
    <t>251694508</t>
  </si>
  <si>
    <t>NOMBRE RETIRA: CAMILA VALENZUELA J RUT RETIRA: 10721237-K</t>
  </si>
  <si>
    <t>Camila Valenzuela Galvez</t>
  </si>
  <si>
    <t>El Tirol 0180, Casa 15</t>
  </si>
  <si>
    <t>DOR55013008</t>
  </si>
  <si>
    <t>251621643</t>
  </si>
  <si>
    <t>NOMBRE RETIRA: HERNAN COSTA . RUT RETIRA: 14280811-0</t>
  </si>
  <si>
    <t>Independencia 630 edificio ohiggins, Departamento</t>
  </si>
  <si>
    <t>DOR55013155</t>
  </si>
  <si>
    <t>251620696</t>
  </si>
  <si>
    <t>NOMBRE RETIRA: DANIELA VARGAS . RUT RETIRA: 17198907-8</t>
  </si>
  <si>
    <t>Juan Reyes</t>
  </si>
  <si>
    <t>Juan Antonio Ríos 812, 812</t>
  </si>
  <si>
    <t>DOR55012754</t>
  </si>
  <si>
    <t>9355928481</t>
  </si>
  <si>
    <t>Catalina Calderon</t>
  </si>
  <si>
    <t>Gálvez 2466</t>
  </si>
  <si>
    <t>2025-07-24 13:05</t>
  </si>
  <si>
    <t>DOR55013105</t>
  </si>
  <si>
    <t>251445777</t>
  </si>
  <si>
    <t>NOMBRE RETIRA: OVALDO MUNOS . RUT RETIRA: 6844262-1</t>
  </si>
  <si>
    <t>Kalajan Caballero</t>
  </si>
  <si>
    <t>A, Sergio Bruno Pizarro # 232, Depto 505</t>
  </si>
  <si>
    <t>DOR55013122</t>
  </si>
  <si>
    <t>251445700</t>
  </si>
  <si>
    <t>NOMBRE RETIRA: PAOLA VARGAS . RUT RETIRA: 12533484-9</t>
  </si>
  <si>
    <t>Susana Caceres manriquez</t>
  </si>
  <si>
    <t>Santiago 740</t>
  </si>
  <si>
    <t>DOR55013098</t>
  </si>
  <si>
    <t>251445848</t>
  </si>
  <si>
    <t>NOMBRE RETIRA: BARBARA SANHUEZA . RUT RETIRA: 20343301-8</t>
  </si>
  <si>
    <t>BARBARA SANHUEZA</t>
  </si>
  <si>
    <t>Ercilla 1902, Constructora mocat</t>
  </si>
  <si>
    <t>DOR55013060</t>
  </si>
  <si>
    <t>251181319</t>
  </si>
  <si>
    <t>NOMBRE RETIRA: MARCOS RIQUELME .. RUT RETIRA: 19926313-7</t>
  </si>
  <si>
    <t>Lautaro 1215, Casa comercial</t>
  </si>
  <si>
    <t>DOR55012952</t>
  </si>
  <si>
    <t>250691096</t>
  </si>
  <si>
    <t>NOMBRE RETIRA: VALERY MAFFEI C RUT RETIRA: 17772100-K</t>
  </si>
  <si>
    <t>Valery Maffei Sedan</t>
  </si>
  <si>
    <t>Av. El Palomar 2782</t>
  </si>
  <si>
    <t>DOR55012898</t>
  </si>
  <si>
    <t>250506299</t>
  </si>
  <si>
    <t>Av. Olimpia 1720, Depto. 402, Torre 3</t>
  </si>
  <si>
    <t>DOR55012926</t>
  </si>
  <si>
    <t>250596390</t>
  </si>
  <si>
    <t>NOMBRE RETIRA: CECILIA VERA . RUT RETIRA: 8721045-6</t>
  </si>
  <si>
    <t>Cecilia Vera</t>
  </si>
  <si>
    <t>Renca 1574</t>
  </si>
  <si>
    <t>DOR55012914</t>
  </si>
  <si>
    <t>250506213</t>
  </si>
  <si>
    <t>NOMBRE RETIRA: CECILIA VERA F RUT RETIRA: 19085016-1</t>
  </si>
  <si>
    <t>Renca 1574, Casa</t>
  </si>
  <si>
    <t>DOR55012936</t>
  </si>
  <si>
    <t>250596276</t>
  </si>
  <si>
    <t>NOMBRE RETIRA: CARLOS ARIAS . RUT RETIRA: 7568580-7</t>
  </si>
  <si>
    <t>Carlos Behrend</t>
  </si>
  <si>
    <t>Dr. Guillermo Buhler 1655, 11</t>
  </si>
  <si>
    <t>DOR55012889</t>
  </si>
  <si>
    <t>250506350</t>
  </si>
  <si>
    <t>NOMBRE RETIRA: JESSICA CARDENAS . RUT RETIRA: 11710300-5</t>
  </si>
  <si>
    <t>Alexander simon 1197</t>
  </si>
  <si>
    <t>DOR55012853</t>
  </si>
  <si>
    <t>250269633</t>
  </si>
  <si>
    <t>NOMBRE RETIRA: RODRIGO GAJARDO . RUT RETIRA: 18752031-2</t>
  </si>
  <si>
    <t>Rodrigo Gajardo</t>
  </si>
  <si>
    <t>Prat 1356</t>
  </si>
  <si>
    <t>DOR55012987</t>
  </si>
  <si>
    <t>250855701</t>
  </si>
  <si>
    <t>NOMBRE RETIRA: JENNY ABARCA M RUT RETIRA: 20179345-9</t>
  </si>
  <si>
    <t>Jenny Abarca</t>
  </si>
  <si>
    <t>Calle El Medio 001, 001</t>
  </si>
  <si>
    <t>DOR55012929</t>
  </si>
  <si>
    <t>250596375</t>
  </si>
  <si>
    <t>NOMBRE RETIRA: IVAN MORALES . RUT RETIRA: 17138208-4</t>
  </si>
  <si>
    <t>Miguel MARIN</t>
  </si>
  <si>
    <t>Juan Bautista Pastene 1100</t>
  </si>
  <si>
    <t>DOR55013168</t>
  </si>
  <si>
    <t>251694463</t>
  </si>
  <si>
    <t>NOMBRE RETIRA: DIEGO NAVARRO . RUT RETIRA: 20649320-8</t>
  </si>
  <si>
    <t>Franco Espinoza</t>
  </si>
  <si>
    <t>Walker Martinez  Local 121, Local 121</t>
  </si>
  <si>
    <t>DOR55013047</t>
  </si>
  <si>
    <t>251103551</t>
  </si>
  <si>
    <t>maria jose diaz franz</t>
  </si>
  <si>
    <t>Calle Aeropuerto El Tepual 3530, c 14</t>
  </si>
  <si>
    <t>DOR55012961</t>
  </si>
  <si>
    <t>250691105</t>
  </si>
  <si>
    <t>NOMBRE RETIRA: VALENTINA . . RUT RETIRA: 19861461-0</t>
  </si>
  <si>
    <t>Valentina Barrientos</t>
  </si>
  <si>
    <t>Puanti 925, Casa</t>
  </si>
  <si>
    <t>DOR55012897</t>
  </si>
  <si>
    <t>250506295</t>
  </si>
  <si>
    <t>NOMBRE RETIRA: ANDREA SALAZAR M RUT RETIRA: 8144356-4</t>
  </si>
  <si>
    <t>Claudia Santibáñez</t>
  </si>
  <si>
    <t>Viracocha B-12</t>
  </si>
  <si>
    <t>DOR55012927</t>
  </si>
  <si>
    <t>250596432</t>
  </si>
  <si>
    <t>NOMBRE RETIRA: CINTHIA NOACK . RUT RETIRA: 9645397-3</t>
  </si>
  <si>
    <t>Cintiha Noack</t>
  </si>
  <si>
    <t>Liborio Guerrero 1773</t>
  </si>
  <si>
    <t>DOR55013152</t>
  </si>
  <si>
    <t>251620730</t>
  </si>
  <si>
    <t>NOMBRE RETIRA: FELIPE IRAIRA . RUT RETIRA: 76669508-6</t>
  </si>
  <si>
    <t>Felipe Iraira</t>
  </si>
  <si>
    <t>Andres Gallegos 1259, Las Pozas 4</t>
  </si>
  <si>
    <t>DOR55013265</t>
  </si>
  <si>
    <t>252061502</t>
  </si>
  <si>
    <t>NOMBRE RETIRA: MARIA GALLARDO . . RUT RETIRA: 11416457-7</t>
  </si>
  <si>
    <t>Cristian Sepulveda Gallardo</t>
  </si>
  <si>
    <t>Pasaje Insigne 285, Casa Población el Pino</t>
  </si>
  <si>
    <t>DOR55013237</t>
  </si>
  <si>
    <t>251887363</t>
  </si>
  <si>
    <t>NOMBRE RETIRA: STEFANIA VELASCO O RUT RETIRA: 16614488-4</t>
  </si>
  <si>
    <t>Erika Tejedor  molano</t>
  </si>
  <si>
    <t>Restaurante (esquina), Av Prat 47</t>
  </si>
  <si>
    <t>DOR55013255</t>
  </si>
  <si>
    <t>251987131</t>
  </si>
  <si>
    <t>NOMBRE RETIRA: ELISABETH LATEO . RUT RETIRA: 12615094-6</t>
  </si>
  <si>
    <t>Nicole Arrué Alarcón</t>
  </si>
  <si>
    <t>Salvador Reyes 1230, Dpto 701</t>
  </si>
  <si>
    <t>DOR55013102</t>
  </si>
  <si>
    <t>251445820</t>
  </si>
  <si>
    <t>NOMBRE RETIRA: YASNA ROJAS . RUT RETIRA: 16688184-6</t>
  </si>
  <si>
    <t>Yasna Rojas</t>
  </si>
  <si>
    <t>Benito ocampo 10876, Casa</t>
  </si>
  <si>
    <t>DOR55013101</t>
  </si>
  <si>
    <t>251445841</t>
  </si>
  <si>
    <t>NOMBRE RETIRA: YOCELYN CORTES . RUT RETIRA: 17885537-9</t>
  </si>
  <si>
    <t>Alex aurelio Araya pizarro</t>
  </si>
  <si>
    <t>Carlos Pezoa Veliz 0612, Departamento 11</t>
  </si>
  <si>
    <t>DOR55013104</t>
  </si>
  <si>
    <t>251445794</t>
  </si>
  <si>
    <t>NOMBRE RETIRA: DANIEL FIGUEROA . RUT RETIRA: 56052390-4</t>
  </si>
  <si>
    <t>daniel figueroa de la vega daniel figueroa de la vega</t>
  </si>
  <si>
    <t>general velasquez 1429, 1429</t>
  </si>
  <si>
    <t>DOR55013089</t>
  </si>
  <si>
    <t>251445859</t>
  </si>
  <si>
    <t>NOMBRE RETIRA: VIRGINIA FERRER X RUT RETIRA: 25723092-9</t>
  </si>
  <si>
    <t>Roldan Castro</t>
  </si>
  <si>
    <t>Av. Huamachuco 9986, Depto.  3</t>
  </si>
  <si>
    <t>DOR55013061</t>
  </si>
  <si>
    <t>251181331</t>
  </si>
  <si>
    <t>NOMBRE RETIRA: SEBASTIAN SANCHEZ . RUT RETIRA: 9654324-7</t>
  </si>
  <si>
    <t>sebastian Sánchez peralta</t>
  </si>
  <si>
    <t>Humberto Albanese Cortés 01284</t>
  </si>
  <si>
    <t>DOR55013053</t>
  </si>
  <si>
    <t>251181299</t>
  </si>
  <si>
    <t>NOMBRE RETIRA: VALERIA PASMINO . RUT RETIRA: 20783620-6</t>
  </si>
  <si>
    <t>paulo becerra</t>
  </si>
  <si>
    <t>Sierra Nevada 10708, Condominio Lastarria, casa 21</t>
  </si>
  <si>
    <t>DOR55013037</t>
  </si>
  <si>
    <t>251103539</t>
  </si>
  <si>
    <t>matias carpanetti</t>
  </si>
  <si>
    <t>Av. Cerro Paranal 515, Depto 86 GEA</t>
  </si>
  <si>
    <t>DOR55013014</t>
  </si>
  <si>
    <t>251015357</t>
  </si>
  <si>
    <t>NOMBRE RETIRA: JUDITH LEON B RUT RETIRA: 24072632-7</t>
  </si>
  <si>
    <t>Macarena Hurtado</t>
  </si>
  <si>
    <t>Av. Almirante Juan Jose Latorre 3002, 1911</t>
  </si>
  <si>
    <t>DOR55013002</t>
  </si>
  <si>
    <t>251015419</t>
  </si>
  <si>
    <t>NOMBRE RETIRA: LUZ QUINONES X RUT RETIRA: 27024612-5</t>
  </si>
  <si>
    <t>Luz Quinones</t>
  </si>
  <si>
    <t>Chucumata 10010, Casa</t>
  </si>
  <si>
    <t>DOR55012980</t>
  </si>
  <si>
    <t>250776054</t>
  </si>
  <si>
    <t>NOMBRE RETIRA: GUILLERMO ARIAS . RUT RETIRA: 5373105-8</t>
  </si>
  <si>
    <t>Daniela Aguilera Vergara</t>
  </si>
  <si>
    <t>leonardo da vinci 926</t>
  </si>
  <si>
    <t>DOR55012890</t>
  </si>
  <si>
    <t>250506346</t>
  </si>
  <si>
    <t>NOMBRE RETIRA: DEYSI MONDACA X RUT RETIRA: 13420313-7</t>
  </si>
  <si>
    <t>Daisy Mondaca</t>
  </si>
  <si>
    <t>Antonino Toro 1446, Casa</t>
  </si>
  <si>
    <t>DOR55012932</t>
  </si>
  <si>
    <t>250596363</t>
  </si>
  <si>
    <t>NOMBRE RETIRA: ERIKA MONSALVES MONSALVES RUT RETIRA: 18791057-9</t>
  </si>
  <si>
    <t>Navarino 3994 Esquina Quito, Casa</t>
  </si>
  <si>
    <t>DOR55012893</t>
  </si>
  <si>
    <t>250506339</t>
  </si>
  <si>
    <t>NOMBRE RETIRA: IVAN RODRIGUEZ . RUT RETIRA: 18234701-9</t>
  </si>
  <si>
    <t>Ivan rodriguez</t>
  </si>
  <si>
    <t>Esmeralda 2481</t>
  </si>
  <si>
    <t>DOR55012934</t>
  </si>
  <si>
    <t>250596322</t>
  </si>
  <si>
    <t>Diana Araya</t>
  </si>
  <si>
    <t>Manuel Verbal 1545, 402</t>
  </si>
  <si>
    <t>DOR55012876</t>
  </si>
  <si>
    <t>250341609</t>
  </si>
  <si>
    <t>NOMBRE RETIRA: MARIANGELES MENDOZA 0 RUT RETIRA: 12345678-5</t>
  </si>
  <si>
    <t>Mariangeles Mendoza</t>
  </si>
  <si>
    <t>travesia del mirador 03486, casa</t>
  </si>
  <si>
    <t>DOR55012823</t>
  </si>
  <si>
    <t>250202649</t>
  </si>
  <si>
    <t>NOMBRE RETIRA: DORIS VALENZUELA VALENZUELA RUT RETIRA: 8054010-8</t>
  </si>
  <si>
    <t>Yennifer Valenzuela</t>
  </si>
  <si>
    <t>Avenida Antonio Rendic 4727, 1801</t>
  </si>
  <si>
    <t>DOR55012827</t>
  </si>
  <si>
    <t>250202636</t>
  </si>
  <si>
    <t>NOMBRE RETIRA: GLADYS GRANADOS . RUT RETIRA: 8727709-7</t>
  </si>
  <si>
    <t>DOR55013200</t>
  </si>
  <si>
    <t>252135481</t>
  </si>
  <si>
    <t>NOMBRE RETIRA: DIDIER MORA MORA RUT RETIRA: 15982342-3</t>
  </si>
  <si>
    <t>Ramiro Quiroga paz</t>
  </si>
  <si>
    <t>Pasaje verdes campiña, 3241 parcela 7</t>
  </si>
  <si>
    <t>DOR55013114</t>
  </si>
  <si>
    <t>251445760</t>
  </si>
  <si>
    <t>NOMBRE RETIRA: YULITZA GONGORA . RUT RETIRA: 25476354-3</t>
  </si>
  <si>
    <t>Lisett Espinosa</t>
  </si>
  <si>
    <t>Avenida La Paz 1615, Casa 30, Condominio Quinta del Bosque</t>
  </si>
  <si>
    <t>DOR55012938</t>
  </si>
  <si>
    <t>250596295</t>
  </si>
  <si>
    <t>NOMBRE RETIRA: CLAUDIA MARTINES .. RUT RETIRA: 15015057-4</t>
  </si>
  <si>
    <t>Claudia Martinez Aguirre</t>
  </si>
  <si>
    <t>Pasaje Línea 22 #1627. Villa los Transportistas, Entre calles agretrans y Agtradel</t>
  </si>
  <si>
    <t>DOR55012905</t>
  </si>
  <si>
    <t>250506278</t>
  </si>
  <si>
    <t>NOMBRE RETIRA: PAOLA ALCOCER . RUT RETIRA: 16868040-6</t>
  </si>
  <si>
    <t>Paola Alcocer But</t>
  </si>
  <si>
    <t>Kkota 385, Lomas Huasi</t>
  </si>
  <si>
    <t>DOR55012880</t>
  </si>
  <si>
    <t>250506441</t>
  </si>
  <si>
    <t>NOMBRE RETIRA: NORA SALDANA . RUT RETIRA: 12334153-8</t>
  </si>
  <si>
    <t>Hernán Espinoza</t>
  </si>
  <si>
    <t>Pedro Aguirre Cerda 1953, Casa esquina</t>
  </si>
  <si>
    <t>DOR55012875</t>
  </si>
  <si>
    <t>250341613</t>
  </si>
  <si>
    <t>NOMBRE RETIRA: CARLA VALDEZ TAPIA RUT RETIRA: 16580847-9</t>
  </si>
  <si>
    <t>Carla Valdés</t>
  </si>
  <si>
    <t>Donatello 197, Condominio Villa da Vinci</t>
  </si>
  <si>
    <t>DOR55012866</t>
  </si>
  <si>
    <t>250341666</t>
  </si>
  <si>
    <t>NOMBRE RETIRA: CAROLINA SAMORA X RUT RETIRA: 9249658-9</t>
  </si>
  <si>
    <t>Sebastian Puelles</t>
  </si>
  <si>
    <t>Calle La Piedra Feliz 910, 910</t>
  </si>
  <si>
    <t>DOR55013109</t>
  </si>
  <si>
    <t>251445750</t>
  </si>
  <si>
    <t>NOMBRE RETIRA: MARISOL GUTIERREZ . RUT RETIRA: 16363596-8</t>
  </si>
  <si>
    <t>Marisol Gutiérrez</t>
  </si>
  <si>
    <t>Av. España 767, 0767</t>
  </si>
  <si>
    <t>DOR55013289</t>
  </si>
  <si>
    <t>252061213</t>
  </si>
  <si>
    <t>NOMBRE RETIRA: GREGORIO PEREZ K RUT RETIRA: 17066280-6</t>
  </si>
  <si>
    <t>Catalina Mantero</t>
  </si>
  <si>
    <t>Obispo Labbé 1268, 2806</t>
  </si>
  <si>
    <t>DOR55013223</t>
  </si>
  <si>
    <t>251887374</t>
  </si>
  <si>
    <t>NOMBRE RETIRA: ETIEL SAN MARTIN . RUT RETIRA: 5982774-K</t>
  </si>
  <si>
    <t>Verónica Ecclefield</t>
  </si>
  <si>
    <t>Ingeniero Raúl Pey Casado 3059, 342</t>
  </si>
  <si>
    <t>DOR55013243</t>
  </si>
  <si>
    <t>251987191</t>
  </si>
  <si>
    <t>NOMBRE RETIRA: PATRICIO RIVERA . RUT RETIRA: 7361709-K</t>
  </si>
  <si>
    <t>Irma Silva Estay</t>
  </si>
  <si>
    <t>Sotomayor 2286, 304</t>
  </si>
  <si>
    <t>DOR55013108</t>
  </si>
  <si>
    <t>251445778</t>
  </si>
  <si>
    <t>NOMBRE RETIRA: MARCOS ZOSA . RUT RETIRA: 15096589-6</t>
  </si>
  <si>
    <t>Marcos Soza</t>
  </si>
  <si>
    <t>Lago Azul 1171, 1171</t>
  </si>
  <si>
    <t>DOR55013112</t>
  </si>
  <si>
    <t>251445746</t>
  </si>
  <si>
    <t>NOMBRE RETIRA: ESTELA NAGUIL . RUT RETIRA: 15968744-9</t>
  </si>
  <si>
    <t>estela naguil</t>
  </si>
  <si>
    <t>Lautaro 1181, Casa</t>
  </si>
  <si>
    <t>DOR55013116</t>
  </si>
  <si>
    <t>251445676</t>
  </si>
  <si>
    <t>NOMBRE RETIRA: C3CILIA AGUILA . RUT RETIRA: 10674527-7</t>
  </si>
  <si>
    <t>Jose Silva Ormeño Manzana B casa 9, Poblacion las lengas</t>
  </si>
  <si>
    <t>DOR55013001</t>
  </si>
  <si>
    <t>251015423</t>
  </si>
  <si>
    <t>NOMBRE RETIRA: MARY GARCIA . RUT RETIRA: 28199179-5</t>
  </si>
  <si>
    <t>Christian Montenegro</t>
  </si>
  <si>
    <t>Pasaje los Romerillos 01556, Población Jardín de la Patagonia, Etapa 5</t>
  </si>
  <si>
    <t>DOR55013015</t>
  </si>
  <si>
    <t>251015345</t>
  </si>
  <si>
    <t>NOMBRE RETIRA: JOSE LUSICH . RUT RETIRA: 13507073-4</t>
  </si>
  <si>
    <t>Camila Fernanda Rojas Peralta</t>
  </si>
  <si>
    <t>Teniente serrano 01091</t>
  </si>
  <si>
    <t>DOR55013028</t>
  </si>
  <si>
    <t>251015273</t>
  </si>
  <si>
    <t>NOMBRE RETIRA: DAVID HIDALGO . RUT RETIRA: 9246799-6</t>
  </si>
  <si>
    <t>Melissa Hidalgo</t>
  </si>
  <si>
    <t>Manuel Rodriguez 322</t>
  </si>
  <si>
    <t>DOR55013088</t>
  </si>
  <si>
    <t>251445906</t>
  </si>
  <si>
    <t>NOMBRE RETIRA: JAQUELINE ARNES . RUT RETIRA: 19735749-5</t>
  </si>
  <si>
    <t>Joaquin Arnes</t>
  </si>
  <si>
    <t>Trece Oriente 2498, Casa</t>
  </si>
  <si>
    <t>DOR55013092</t>
  </si>
  <si>
    <t>251445868</t>
  </si>
  <si>
    <t>NOMBRE RETIRA: FELIPE REYES . RUT RETIRA: 19843523-6</t>
  </si>
  <si>
    <t>Felipe Reyes</t>
  </si>
  <si>
    <t>Pedro Morán 3185, población pacifico</t>
  </si>
  <si>
    <t>DOR55013039</t>
  </si>
  <si>
    <t>251103534</t>
  </si>
  <si>
    <t>NOMBRE RETIRA: JAQUELINE CASTILLO . RUT RETIRA: 18125567-6</t>
  </si>
  <si>
    <t>Jacqueline Moran</t>
  </si>
  <si>
    <t>Lo Castillo 3521, 3521</t>
  </si>
  <si>
    <t>DOR55012963</t>
  </si>
  <si>
    <t>250776113</t>
  </si>
  <si>
    <t>NOMBRE RETIRA: RAUL TORO . RUT RETIRA: 11111111-1</t>
  </si>
  <si>
    <t>Raúl Toro</t>
  </si>
  <si>
    <t>Pasaje seis 4145, valle bicentenario</t>
  </si>
  <si>
    <t>DOR55012918</t>
  </si>
  <si>
    <t>250506207</t>
  </si>
  <si>
    <t>NOMBRE RETIRA: MARZIZS LAGOS . RUT RETIRA: 18642909-5</t>
  </si>
  <si>
    <t>Ruth ojeda lago</t>
  </si>
  <si>
    <t>Valdivia 1171, 1171</t>
  </si>
  <si>
    <t>DOR55013055</t>
  </si>
  <si>
    <t>251181306</t>
  </si>
  <si>
    <t>NOMBRE RETIRA: PABLO CACCIUTOLO VARGAS RUT RETIRA: 16302038-6</t>
  </si>
  <si>
    <t>Pablo Cacciuttolo</t>
  </si>
  <si>
    <t>General Velásquez 1750</t>
  </si>
  <si>
    <t>DOR55012920</t>
  </si>
  <si>
    <t>250506176</t>
  </si>
  <si>
    <t>NOMBRE RETIRA: MIRTA MARTINEZ .. RUT RETIRA: 11111111-1</t>
  </si>
  <si>
    <t>Paolo Robles</t>
  </si>
  <si>
    <t>Calle 1 Proyectada 1078, Condominio los Robles</t>
  </si>
  <si>
    <t>DOR55012998</t>
  </si>
  <si>
    <t>250855611</t>
  </si>
  <si>
    <t>NOMBRE RETIRA: JHONATAN SAAVEDRA . RUT RETIRA: 15924728-7</t>
  </si>
  <si>
    <t>Av. las Américas 4525, Block D departamento 31</t>
  </si>
  <si>
    <t>DOR55012981</t>
  </si>
  <si>
    <t>250855744</t>
  </si>
  <si>
    <t>NOMBRE RETIRA: ANRONIETA NARVAEZ A RUT RETIRA: 14257492-6</t>
  </si>
  <si>
    <t>Antonieta Jazmín Jazmín</t>
  </si>
  <si>
    <t>Libertad 2232</t>
  </si>
  <si>
    <t>DOR55012984</t>
  </si>
  <si>
    <t>250855711</t>
  </si>
  <si>
    <t>NOMBRE RETIRA: NATALIA LI . RUT RETIRA: 18315266-1</t>
  </si>
  <si>
    <t>Jotabeche 826, Departamento 44, Block A7</t>
  </si>
  <si>
    <t>DOR55012809</t>
  </si>
  <si>
    <t>250123121</t>
  </si>
  <si>
    <t>NOMBRE RETIRA: LUCY KLARIAN . RUT RETIRA: 8496532-4</t>
  </si>
  <si>
    <t>pje puyuhuapi, edificio 3, dpto 42, las nieves</t>
  </si>
  <si>
    <t>2025-07-28 23:32</t>
  </si>
  <si>
    <t>DOR55012861</t>
  </si>
  <si>
    <t>250341681</t>
  </si>
  <si>
    <t>NOMBRE RETIRA: NELSON CARO . RUT RETIRA: 17369244-7</t>
  </si>
  <si>
    <t>Nelson Caro gonzalez</t>
  </si>
  <si>
    <t>Amador Neghme 551, Block 4, depto 42</t>
  </si>
  <si>
    <t>DOR55012855</t>
  </si>
  <si>
    <t>250274602</t>
  </si>
  <si>
    <t>NOMBRE RETIRA: TUBEN VENTURA A RUT RETIRA: 21731703-7</t>
  </si>
  <si>
    <t>Ruben Ventura</t>
  </si>
  <si>
    <t>las torres 3350, torre 7 dpto 43</t>
  </si>
  <si>
    <t>DOR55012808</t>
  </si>
  <si>
    <t>250123122</t>
  </si>
  <si>
    <t>NOMBRE RETIRA: MIQUEL CARASCO . RUT RETIRA: 15493862-1</t>
  </si>
  <si>
    <t>Villa Militar Baquedano, Pozo Almonte, 13</t>
  </si>
  <si>
    <t>DOR55012851</t>
  </si>
  <si>
    <t>250269615</t>
  </si>
  <si>
    <t>NOMBRE RETIRA: DAVID ABARZUA . RUT RETIRA: 12649805-5</t>
  </si>
  <si>
    <t>Camilo Abarzua</t>
  </si>
  <si>
    <t>Pasaje plata 2560</t>
  </si>
  <si>
    <t>DOR55012825</t>
  </si>
  <si>
    <t>250202611</t>
  </si>
  <si>
    <t>saudimar suarez</t>
  </si>
  <si>
    <t>Av. la Tirana 4865, Depto. 92, Torre B</t>
  </si>
  <si>
    <t>DOR55012762</t>
  </si>
  <si>
    <t>249894674</t>
  </si>
  <si>
    <t>NOMBRE RETIRA: NIEVES ADONIS . RUT RETIRA: 9963809-5</t>
  </si>
  <si>
    <t>Nieves Adonis</t>
  </si>
  <si>
    <t>Pudú 2, 2</t>
  </si>
  <si>
    <t>2025-07-25 09:51</t>
  </si>
  <si>
    <t>DOR55012776</t>
  </si>
  <si>
    <t>250037952</t>
  </si>
  <si>
    <t>NOMBRE RETIRA: YERALDINE CODOCEO CODOCEO RUT RETIRA: 18919312-2</t>
  </si>
  <si>
    <t>Constanza codoceo</t>
  </si>
  <si>
    <t>BÍo BÍo 6229</t>
  </si>
  <si>
    <t>2025-07-27 22:22</t>
  </si>
  <si>
    <t>DOR55012785</t>
  </si>
  <si>
    <t>250037909</t>
  </si>
  <si>
    <t>NOMBRE RETIRA: BRENDA CAFVAJAL S RUT RETIRA: 19496993-7</t>
  </si>
  <si>
    <t>Brenda Carvajal</t>
  </si>
  <si>
    <t>Tercera Poniente 3260 , Casa Segundo Piso Blanca Con Rejas</t>
  </si>
  <si>
    <t>DOR55012791</t>
  </si>
  <si>
    <t>250037890</t>
  </si>
  <si>
    <t>NOMBRE RETIRA: ANTONIO PIZARRO . RUT RETIRA: 56052390-4</t>
  </si>
  <si>
    <t>Cristóbal Orellana</t>
  </si>
  <si>
    <t>Diaz Gana 900, Depto. 131 Edificio Roble</t>
  </si>
  <si>
    <t>DOR55012779</t>
  </si>
  <si>
    <t>250037960</t>
  </si>
  <si>
    <t>NOMBRE RETIRA: CAROLINA RODRIGUEZ . RUT RETIRA: 10980554-8</t>
  </si>
  <si>
    <t>Treguaco 735, Con El roble</t>
  </si>
  <si>
    <t>DOR55012830</t>
  </si>
  <si>
    <t>250202640</t>
  </si>
  <si>
    <t>NOMBRE RETIRA: KATJERINEESPINOZA . . RUT RETIRA: 17630919-9</t>
  </si>
  <si>
    <t>Katerine Espinoza</t>
  </si>
  <si>
    <t>Eleuterio Ramírez 1660, Jardin infantil</t>
  </si>
  <si>
    <t>DOR55013323</t>
  </si>
  <si>
    <t>712940039965</t>
  </si>
  <si>
    <t>Nombre: victoria echeverria - Rut: 78613114</t>
  </si>
  <si>
    <t>Maria monica Echeverria Bravo</t>
  </si>
  <si>
    <t>Porvenir Poniente 6,  Casa el Tilo</t>
  </si>
  <si>
    <t>DOR55013281</t>
  </si>
  <si>
    <t>712939382514</t>
  </si>
  <si>
    <t>Nombre: mariana wspinoza - Rut: 99555300</t>
  </si>
  <si>
    <t>Pasaje 6 Casa 7, Población Ramón Poblete</t>
  </si>
  <si>
    <t>DOR55013252</t>
  </si>
  <si>
    <t>712939068170</t>
  </si>
  <si>
    <t>Nombre: cristofer formandoy - Rut: 209182793</t>
  </si>
  <si>
    <t>Cristopher Formandoy</t>
  </si>
  <si>
    <t>Camino Don Antonio 6</t>
  </si>
  <si>
    <t>DOR55013257</t>
  </si>
  <si>
    <t>712939068063</t>
  </si>
  <si>
    <t>Nombre: Katherine sanhueza - Rut: 153978263</t>
  </si>
  <si>
    <t>Katherine Sanhueza</t>
  </si>
  <si>
    <t>Rosales 1600, Arrayan casa K</t>
  </si>
  <si>
    <t>DOR55013043</t>
  </si>
  <si>
    <t>712934980741</t>
  </si>
  <si>
    <t>Nombre: sandra verrion - Rut: 109401056</t>
  </si>
  <si>
    <t>Javiera Zambrano</t>
  </si>
  <si>
    <t>Fernando Severino González 2525, Villa Nueva Vida</t>
  </si>
  <si>
    <t>DOR55013004</t>
  </si>
  <si>
    <t>712934601536</t>
  </si>
  <si>
    <t>Nombre: Javiera labrana - Rut: 18096021</t>
  </si>
  <si>
    <t>Javiera Labraña</t>
  </si>
  <si>
    <t>Avenida Miraflores 1360, CASA R CONDOMINIO PRIVADO MALLOCO</t>
  </si>
  <si>
    <t>DOR55012982</t>
  </si>
  <si>
    <t>712933811203</t>
  </si>
  <si>
    <t>Nombre: isidora - Rut: 203747098</t>
  </si>
  <si>
    <t>Pablo Jasma soto</t>
  </si>
  <si>
    <t>Cerro Mallacún 63</t>
  </si>
  <si>
    <t>DOR55012968</t>
  </si>
  <si>
    <t>712933427706</t>
  </si>
  <si>
    <t>Nombre: Ramon Andres Chacon Bahamonde - Rut: 16418426</t>
  </si>
  <si>
    <t>Ramon Andrés Chacón Bahamonde</t>
  </si>
  <si>
    <t>Pasaje López S/N 00, Minimercado Kalei</t>
  </si>
  <si>
    <t>DOR55012947</t>
  </si>
  <si>
    <t>712933016390</t>
  </si>
  <si>
    <t>Nombre: Veronica gonzalez - Rut: 69999077</t>
  </si>
  <si>
    <t>Marcia Cuevas Ormazábal</t>
  </si>
  <si>
    <t>Pasaje Las Rosas 017, Casa Villa Los Copihues</t>
  </si>
  <si>
    <t>DOR55012902</t>
  </si>
  <si>
    <t>712931950065</t>
  </si>
  <si>
    <t>Nombre: Giannina fabio - Rut: 159327590</t>
  </si>
  <si>
    <t>Giannina Fabio</t>
  </si>
  <si>
    <t>Dieciocho Sur 3122</t>
  </si>
  <si>
    <t>DOR55012858</t>
  </si>
  <si>
    <t>712930619844</t>
  </si>
  <si>
    <t>Nombre: Paula Fuenzalida - Rut: 110671164</t>
  </si>
  <si>
    <t>Paula Fuenzalida</t>
  </si>
  <si>
    <t>DOR55013147</t>
  </si>
  <si>
    <t>9356923601</t>
  </si>
  <si>
    <t>Milena Rivera Castillo</t>
  </si>
  <si>
    <t>Punto Blue Express COPEC Balmaceda / Chorrillos 00, Retira cliente Punto COPEC</t>
  </si>
  <si>
    <t>2025-08-20 00:30</t>
  </si>
  <si>
    <t>DOR55013094</t>
  </si>
  <si>
    <t>9363258973</t>
  </si>
  <si>
    <t>Valeska Godoy</t>
  </si>
  <si>
    <t>Alicia Ponce 230 , Villa Magisterio Sector los Marcos  camino la punta</t>
  </si>
  <si>
    <t>DOR55012763</t>
  </si>
  <si>
    <t>9355471101</t>
  </si>
  <si>
    <t>david ortega</t>
  </si>
  <si>
    <t>Blanco Encalada 324, oficina 203</t>
  </si>
  <si>
    <t>DOR55013136</t>
  </si>
  <si>
    <t>9363148023</t>
  </si>
  <si>
    <t>Cienfuegos 1105, Casa</t>
  </si>
  <si>
    <t>DOR55013173</t>
  </si>
  <si>
    <t>9357244201</t>
  </si>
  <si>
    <t>Joaquin Astudillo</t>
  </si>
  <si>
    <t>Pasaje Los Eucaliptos 156, Casa 156, Villa el Sol</t>
  </si>
  <si>
    <t>DOR55013121</t>
  </si>
  <si>
    <t>9363257212</t>
  </si>
  <si>
    <t>Francisca Gray</t>
  </si>
  <si>
    <t>Manuel Montt 10, Dpto 511</t>
  </si>
  <si>
    <t>DOR55013051</t>
  </si>
  <si>
    <t>9357951315</t>
  </si>
  <si>
    <t>Maria graciela Alarcon gonzalez</t>
  </si>
  <si>
    <t>Av. Presidente Prieto 058, Local lubricentro bubumax</t>
  </si>
  <si>
    <t>DOR55013005</t>
  </si>
  <si>
    <t>9359448744</t>
  </si>
  <si>
    <t>Pedro Gutiérrez</t>
  </si>
  <si>
    <t>Camino a Chada (G-555), 96b , portón negro muro de piedras, 96b</t>
  </si>
  <si>
    <t>DOR55012933</t>
  </si>
  <si>
    <t>9362418166</t>
  </si>
  <si>
    <t>Avenida El Parque 1641, Casa 119</t>
  </si>
  <si>
    <t>DOR55012972</t>
  </si>
  <si>
    <t>9360250981</t>
  </si>
  <si>
    <t>Karen Altamirano Barrales</t>
  </si>
  <si>
    <t>Antonio Varas 136, Carelmapu</t>
  </si>
  <si>
    <t>DOR55012935</t>
  </si>
  <si>
    <t>9362237592</t>
  </si>
  <si>
    <t>Natalia Catalan</t>
  </si>
  <si>
    <t>Camino La Estrella, Parcela 3 Huelquen</t>
  </si>
  <si>
    <t>DOR55012885</t>
  </si>
  <si>
    <t>9361845172</t>
  </si>
  <si>
    <t>Jessica ozulgevich recibido</t>
  </si>
  <si>
    <t>Jessica Ozuljevich</t>
  </si>
  <si>
    <t>Croacia 435</t>
  </si>
  <si>
    <t>DOR55012919</t>
  </si>
  <si>
    <t>9361578354</t>
  </si>
  <si>
    <t>Paloma Muñoz</t>
  </si>
  <si>
    <t>Conrado Figueroa 698, Casa esquina color azul, huepil</t>
  </si>
  <si>
    <t>DOR55012946</t>
  </si>
  <si>
    <t>9362159041</t>
  </si>
  <si>
    <t>Felipe Cid</t>
  </si>
  <si>
    <t>El Porvenir 1440, Casa 67</t>
  </si>
  <si>
    <t>DOR55012907</t>
  </si>
  <si>
    <t>9361784471</t>
  </si>
  <si>
    <t>Constanza Quiroz mura</t>
  </si>
  <si>
    <t>Concejal Bernardo Vargas 100, Casa 100</t>
  </si>
  <si>
    <t>DOR55012850</t>
  </si>
  <si>
    <t>9358866930</t>
  </si>
  <si>
    <t>Villa Carolina Salgado, Calle Javiera Carrera 1211, Casa</t>
  </si>
  <si>
    <t>DOR55012813</t>
  </si>
  <si>
    <t>9355278682</t>
  </si>
  <si>
    <t>Paulina Kurth sanhueza</t>
  </si>
  <si>
    <t>Los Tulipanes 37, Villa Ámsterdam, Buin</t>
  </si>
  <si>
    <t>DOR55012778</t>
  </si>
  <si>
    <t>9355581045</t>
  </si>
  <si>
    <t>Carla Barrientos</t>
  </si>
  <si>
    <t>José Abelardo Núñez 288</t>
  </si>
  <si>
    <t>DOR55012787</t>
  </si>
  <si>
    <t>9355625543</t>
  </si>
  <si>
    <t>Pierre Riquelme</t>
  </si>
  <si>
    <t>Albacete 40, A208</t>
  </si>
  <si>
    <t>#MC3636</t>
  </si>
  <si>
    <t>EL MUNDO DEL CAFE</t>
  </si>
  <si>
    <t>Mauricio Keller</t>
  </si>
  <si>
    <t>Coliqueo 6817</t>
  </si>
  <si>
    <t>#MC3585</t>
  </si>
  <si>
    <t>Karin Arrepol</t>
  </si>
  <si>
    <t>Lo Errazuriz 1701, 312A</t>
  </si>
  <si>
    <t>2025-07-29 20:04</t>
  </si>
  <si>
    <t>#MC3675</t>
  </si>
  <si>
    <t>251923286</t>
  </si>
  <si>
    <t>NOMBRE RETIRA: CLAUDIA FERRER . RUT RETIRA: 11398470-8</t>
  </si>
  <si>
    <t>Cecilia Guzman</t>
  </si>
  <si>
    <t>Rodrigo de triana, 1304</t>
  </si>
  <si>
    <t>2025-08-24 19:40</t>
  </si>
  <si>
    <t>#MC3651</t>
  </si>
  <si>
    <t>251198423</t>
  </si>
  <si>
    <t>NOMBRE RETIRA: ERICK LAGOS . RUT RETIRA: 15764200-6</t>
  </si>
  <si>
    <t>Erik Lagos</t>
  </si>
  <si>
    <t>Veintiuno de Mayo 8 Santa Julia</t>
  </si>
  <si>
    <t>#MC3618</t>
  </si>
  <si>
    <t>250727878</t>
  </si>
  <si>
    <t>Indico 4520, Torre 4 depto 54</t>
  </si>
  <si>
    <t>#MC3658</t>
  </si>
  <si>
    <t>251550763</t>
  </si>
  <si>
    <t>NOMBRE RETIRA: ITALO RIQIELME . RUT RETIRA: 65130888-7</t>
  </si>
  <si>
    <t>Italo Riquelme</t>
  </si>
  <si>
    <t>Nueve sur 4637, Casa esquina Hacienda las Rastras</t>
  </si>
  <si>
    <t>2025-08-15 14:13</t>
  </si>
  <si>
    <t>#MC3596</t>
  </si>
  <si>
    <t>250727898</t>
  </si>
  <si>
    <t>NOMBRE RETIRA: JAVIER ALVARES . RUT RETIRA: 11728110-8</t>
  </si>
  <si>
    <t>Sofía Álvarez</t>
  </si>
  <si>
    <t>Víctor Jara 300, Casa</t>
  </si>
  <si>
    <t>#MC3632</t>
  </si>
  <si>
    <t>251701840</t>
  </si>
  <si>
    <t>NOMBRE RETIRA: HECTOR MAULEN . RUT RETIRA: 7935500-3</t>
  </si>
  <si>
    <t>Hector Maulen Zamorano</t>
  </si>
  <si>
    <t>Carlos Palacios 560</t>
  </si>
  <si>
    <t>#MC3664</t>
  </si>
  <si>
    <t>251550742</t>
  </si>
  <si>
    <t>NOMBRE RETIRA: RODRIGO VERA VEGAS RUT RETIRA: 23517719-6</t>
  </si>
  <si>
    <t>Daniela Castillo Salgado</t>
  </si>
  <si>
    <t>Jaime Repullo 2732, Casa 16 Condominio Plaza Andalucia</t>
  </si>
  <si>
    <t>2025-08-19 00:02</t>
  </si>
  <si>
    <t>#MC3592</t>
  </si>
  <si>
    <t>250727918</t>
  </si>
  <si>
    <t>NOMBRE RETIRA: CAREN HERNANDEZ . RUT RETIRA: 28224081-5</t>
  </si>
  <si>
    <t>Carlos Palacios 560, Local 4 CubaSalud</t>
  </si>
  <si>
    <t>2025-07-30 17:56</t>
  </si>
  <si>
    <t>#MC3604</t>
  </si>
  <si>
    <t>250727876</t>
  </si>
  <si>
    <t>NOMBRE RETIRA: BLAS VARGAS J RUT RETIRA: 11308522-3</t>
  </si>
  <si>
    <t>jose uzcategui</t>
  </si>
  <si>
    <t>manuel baquedano 955 osorno x region de los lagos porteria telsur empresa de telecomunicaciones, porteria telsur empresa de telecomunicaciones</t>
  </si>
  <si>
    <t>#MC3517</t>
  </si>
  <si>
    <t>84359655</t>
  </si>
  <si>
    <t>NOMBRE RETIRA: KIRI OYARCE M RUT RETIRA: 77524557-3</t>
  </si>
  <si>
    <t>Eduardo Urzua</t>
  </si>
  <si>
    <t>Avendia Italia 1900</t>
  </si>
  <si>
    <t>2025-07-09 11:34</t>
  </si>
  <si>
    <t>#MC3581</t>
  </si>
  <si>
    <t>712933170106</t>
  </si>
  <si>
    <t>Nombre: daniela corvalan - Rut: 174497168</t>
  </si>
  <si>
    <t>La Chocolata Cafe</t>
  </si>
  <si>
    <t>Kurt moller 523</t>
  </si>
  <si>
    <t>2025-07-28 12:00</t>
  </si>
  <si>
    <t>#MC3666</t>
  </si>
  <si>
    <t>9356900206</t>
  </si>
  <si>
    <t>el huaso 1907</t>
  </si>
  <si>
    <t>#MC3633</t>
  </si>
  <si>
    <t>9360725150</t>
  </si>
  <si>
    <t>Avenida ohiggins 825, Casa</t>
  </si>
  <si>
    <t>#MC3586</t>
  </si>
  <si>
    <t>9362524813</t>
  </si>
  <si>
    <t>Av loconti 416, Casa</t>
  </si>
  <si>
    <t>LAQ10269</t>
  </si>
  <si>
    <t>LAQU &amp; COMPANY</t>
  </si>
  <si>
    <t>Irene Planchuelo Gómez</t>
  </si>
  <si>
    <t>Vecinal 151, 161</t>
  </si>
  <si>
    <t>LAQ10260</t>
  </si>
  <si>
    <t>Camila Moreno Gamboa</t>
  </si>
  <si>
    <t>Julio Barrenechea 806</t>
  </si>
  <si>
    <t>LAQU10287</t>
  </si>
  <si>
    <t>252151064</t>
  </si>
  <si>
    <t>NOMBRE RETIRA: JUAN RIVAS . RUT RETIRA: 65108015-0</t>
  </si>
  <si>
    <t>Mackarena Godoy Toledo</t>
  </si>
  <si>
    <t>castellon 64, 305</t>
  </si>
  <si>
    <t>MSE2891</t>
  </si>
  <si>
    <t>MAESE</t>
  </si>
  <si>
    <t>Darlin Garay toro</t>
  </si>
  <si>
    <t>Av lo errazuriz 1701, Departamento 201B</t>
  </si>
  <si>
    <t>MSE2889</t>
  </si>
  <si>
    <t>Maria josr Matus cabezas</t>
  </si>
  <si>
    <t>Pablo burchard 4584</t>
  </si>
  <si>
    <t>MVI-2453</t>
  </si>
  <si>
    <t>MARINA VITAL</t>
  </si>
  <si>
    <t>Simon Salazar</t>
  </si>
  <si>
    <t>Los alfareros, 6158</t>
  </si>
  <si>
    <t>2025-08-21 12:42</t>
  </si>
  <si>
    <t>MVI-2454</t>
  </si>
  <si>
    <t>Maite Queupomil</t>
  </si>
  <si>
    <t>Termómetro 0871</t>
  </si>
  <si>
    <t>MVI-2440</t>
  </si>
  <si>
    <t>Ana Karina Figueroa Lagos</t>
  </si>
  <si>
    <t>Adolfo ibañez 6165, casa</t>
  </si>
  <si>
    <t>MVI-2439</t>
  </si>
  <si>
    <t>Claudia RUIZ</t>
  </si>
  <si>
    <t>Exequiel fernandez  6100, Departamento 905 torre B</t>
  </si>
  <si>
    <t>MVI-2436</t>
  </si>
  <si>
    <t>Erma Badilla</t>
  </si>
  <si>
    <t>Pasaje Patagonia 853, Casa 853</t>
  </si>
  <si>
    <t>MVI-2437</t>
  </si>
  <si>
    <t>Adolfo Ibáñez 6165, Adolfo Ibáñez 6165</t>
  </si>
  <si>
    <t>MVI-2438</t>
  </si>
  <si>
    <t>Andrea Albayay</t>
  </si>
  <si>
    <t>San Pedro 155</t>
  </si>
  <si>
    <t>MVI-2434</t>
  </si>
  <si>
    <t>marta rubilar rubilar</t>
  </si>
  <si>
    <t>dolores 349, casa</t>
  </si>
  <si>
    <t>MVI-2435</t>
  </si>
  <si>
    <t>Olga Tapia</t>
  </si>
  <si>
    <t>Francisco collao 1144</t>
  </si>
  <si>
    <t>MVI-2420</t>
  </si>
  <si>
    <t>Angela Inostroza Ramirez</t>
  </si>
  <si>
    <t>Av. El Parque 2417, Casa 100</t>
  </si>
  <si>
    <t>MVI-2423</t>
  </si>
  <si>
    <t>jeimy escarate</t>
  </si>
  <si>
    <t>Las águilas 470, Casa</t>
  </si>
  <si>
    <t>MVI-2426</t>
  </si>
  <si>
    <t>Jaqueline Sepúlveda</t>
  </si>
  <si>
    <t>Av Los Leones 2383, Oficina</t>
  </si>
  <si>
    <t>MVI-2418</t>
  </si>
  <si>
    <t>Rosa Flores</t>
  </si>
  <si>
    <t>Av almirante manuel blanco encalada 2007, Depto 1211</t>
  </si>
  <si>
    <t>MVI-2432</t>
  </si>
  <si>
    <t>251028112</t>
  </si>
  <si>
    <t>NOMBRE RETIRA: ROSA PONCE . RUT RETIRA: 8255514-5</t>
  </si>
  <si>
    <t>Rosa Ponce</t>
  </si>
  <si>
    <t>Puerto del Norte, Los Pinos, 2532</t>
  </si>
  <si>
    <t>MVI-2461</t>
  </si>
  <si>
    <t>251999904</t>
  </si>
  <si>
    <t>NOMBRE RETIRA: SEBASTIAN SANHUEZA . RUT RETIRA: 65131268-K</t>
  </si>
  <si>
    <t>DOMINIQUE PIZARRO</t>
  </si>
  <si>
    <t>LAS NALCAS 415, CASA 3</t>
  </si>
  <si>
    <t>MVI-2433</t>
  </si>
  <si>
    <t>251028085</t>
  </si>
  <si>
    <t>NOMBRE RETIRA: JORGE LABRANA I RUT RETIRA: 15118584-3</t>
  </si>
  <si>
    <t>Francisca Romero urra</t>
  </si>
  <si>
    <t>Villa Doña consuelo Etapa 2 Block C2, Departamento 303</t>
  </si>
  <si>
    <t>MVI-2424</t>
  </si>
  <si>
    <t>250702467</t>
  </si>
  <si>
    <t>NOMBRE RETIRA: MYRIAN MORAGA . RUT RETIRA: 9084400-8</t>
  </si>
  <si>
    <t>MYRIAM MORAGA</t>
  </si>
  <si>
    <t>GENERAL BERNARDO CUEVAS 0172</t>
  </si>
  <si>
    <t>MVI-2417</t>
  </si>
  <si>
    <t>250517323</t>
  </si>
  <si>
    <t>NOMBRE RETIRA: VICTORA SAVEDRA . . RUT RETIRA: 20320528-7</t>
  </si>
  <si>
    <t>Victoria Saavedra</t>
  </si>
  <si>
    <t>Vista hermosa psje Olga Poblete 129 Boco Quillota</t>
  </si>
  <si>
    <t>MVI-2406</t>
  </si>
  <si>
    <t>250280065</t>
  </si>
  <si>
    <t>NOMBRE RETIRA: CARMEN LEPE L RUT RETIRA: 16333342-2</t>
  </si>
  <si>
    <t>Darling Marin Lartigo</t>
  </si>
  <si>
    <t>Merced 565, Edificio Ist</t>
  </si>
  <si>
    <t>MVI-2414</t>
  </si>
  <si>
    <t>250421705</t>
  </si>
  <si>
    <t>Solange Agurto</t>
  </si>
  <si>
    <t>Ruta 5 sur KM. 191 Curicó, Centro de reinserción social gendarmería de chile</t>
  </si>
  <si>
    <t>2025-08-02 13:11</t>
  </si>
  <si>
    <t>MVI-2421</t>
  </si>
  <si>
    <t>250702527</t>
  </si>
  <si>
    <t>NOMBRE RETIRA: NIDIA SAAVEDRA . RUT RETIRA: 9626457-7</t>
  </si>
  <si>
    <t>MVI-2410</t>
  </si>
  <si>
    <t>250349993</t>
  </si>
  <si>
    <t>NOMBRE RETIRA: OLI GONZALEZ H RUT RETIRA: 65216547-8</t>
  </si>
  <si>
    <t>Valentina Marín Negrete</t>
  </si>
  <si>
    <t>Maipu 1318, 602</t>
  </si>
  <si>
    <t>2025-08-01 13:09</t>
  </si>
  <si>
    <t>MVI-2403</t>
  </si>
  <si>
    <t>250208560</t>
  </si>
  <si>
    <t>NOMBRE RETIRA: CAMILO NAVARRO RIVERA RUT RETIRA: 19273103-8</t>
  </si>
  <si>
    <t>Sonia Martinez Sepulveda</t>
  </si>
  <si>
    <t>Riquelme 47, Sucursal Starken Cañete</t>
  </si>
  <si>
    <t>MVI-2429</t>
  </si>
  <si>
    <t>250864328</t>
  </si>
  <si>
    <t>NOMBRE RETIRA: BASTIAN FERNANDEZ . RUT RETIRA: 19954372-5</t>
  </si>
  <si>
    <t>Alicia Paredes Muñoz</t>
  </si>
  <si>
    <t>Lago Llanquihue 353, Depto A 110</t>
  </si>
  <si>
    <t>MVI-2416</t>
  </si>
  <si>
    <t>250517339</t>
  </si>
  <si>
    <t>NOMBRE RETIRA: CAROLINA ... .... RUT RETIRA: 18016274-7</t>
  </si>
  <si>
    <t>Carolina Tranamil oyarzun</t>
  </si>
  <si>
    <t>Punta Purranqui s/n, (Fabrica Algas Marinas)</t>
  </si>
  <si>
    <t>MVI-2415</t>
  </si>
  <si>
    <t>250517292</t>
  </si>
  <si>
    <t>NOMBRE RETIRA: LORENA ROMERO . RUT RETIRA: 11877619-4</t>
  </si>
  <si>
    <t>Josefina Bonnefont</t>
  </si>
  <si>
    <t>Calle Borde Lago Norte 542</t>
  </si>
  <si>
    <t>MVI-2425</t>
  </si>
  <si>
    <t>9362335721</t>
  </si>
  <si>
    <t>Alisson Arancibia</t>
  </si>
  <si>
    <t>Avenida jose manuel balmaceda 486, Farmacia DR SIMI</t>
  </si>
  <si>
    <t>MVI-2419</t>
  </si>
  <si>
    <t>9362796704</t>
  </si>
  <si>
    <t>Betsabe Troncoso</t>
  </si>
  <si>
    <t>Avenida Bernardo Ohiggins 1099, casa 1099</t>
  </si>
  <si>
    <t>MVI-2407</t>
  </si>
  <si>
    <t>9359111193</t>
  </si>
  <si>
    <t>maria isabel romero sepulveda</t>
  </si>
  <si>
    <t>las maravillas oriente 2527</t>
  </si>
  <si>
    <t>#5810</t>
  </si>
  <si>
    <t>MEDSKILLS</t>
  </si>
  <si>
    <t>Carolina Donoso</t>
  </si>
  <si>
    <t>Av Einstein 0333, 161515094</t>
  </si>
  <si>
    <t>#5809</t>
  </si>
  <si>
    <t>Benjamin Cabezas Marin</t>
  </si>
  <si>
    <t>Antonio Venero 13326, 214013568</t>
  </si>
  <si>
    <t>#5805</t>
  </si>
  <si>
    <t>Rocío Moreno Ovalle</t>
  </si>
  <si>
    <t>Pedro Sancho de la Hoz #14670, 209154536</t>
  </si>
  <si>
    <t>#5803</t>
  </si>
  <si>
    <t>Camila Weil</t>
  </si>
  <si>
    <t>Hernán Prieto vial 1800, 20445714k</t>
  </si>
  <si>
    <t>#5789</t>
  </si>
  <si>
    <t>Paula Torrejón Palma</t>
  </si>
  <si>
    <t>Avenida San Carlos de Apoquindo 2301, Torre A, Departamento 206, 216781538</t>
  </si>
  <si>
    <t>#5813</t>
  </si>
  <si>
    <t>María Jesús Bas Ponce</t>
  </si>
  <si>
    <t>Detroit 1655, vitacura depto 1103, 210229019</t>
  </si>
  <si>
    <t>#5795</t>
  </si>
  <si>
    <t>Taly Guitlitz</t>
  </si>
  <si>
    <t>Fontana Rosa 6640 Depto 1501, 21136645-1</t>
  </si>
  <si>
    <t>#5793</t>
  </si>
  <si>
    <t>Sofia Hernández umaña</t>
  </si>
  <si>
    <t>Tristán Matta 1264, 208108476</t>
  </si>
  <si>
    <t>2025-08-19 00:33</t>
  </si>
  <si>
    <t>#5804</t>
  </si>
  <si>
    <t>Puerto Valparaíso 3950, 213220144</t>
  </si>
  <si>
    <t>#5824</t>
  </si>
  <si>
    <t>251547880</t>
  </si>
  <si>
    <t>NOMBRE RETIRA: RUBEN ESPINOZA . RUT RETIRA: 56049520-K</t>
  </si>
  <si>
    <t>Josefa Álamos Gorigoitía</t>
  </si>
  <si>
    <t>Avenida Edmundo Eluchans, 2605. Depto 172, 21126760-7</t>
  </si>
  <si>
    <t>#5827</t>
  </si>
  <si>
    <t>251547899</t>
  </si>
  <si>
    <t>NOMBRE RETIRA: JAVIERA EDE . RUT RETIRA: 19829074-2</t>
  </si>
  <si>
    <t>Jose tomas Lopez</t>
  </si>
  <si>
    <t>Pasaje ingeniero ernesto bozo 0764, 195030138</t>
  </si>
  <si>
    <t>#5794</t>
  </si>
  <si>
    <t>251463795</t>
  </si>
  <si>
    <t>NOMBRE RETIRA: AYDEE CORREA . RUT RETIRA: 10380579-1</t>
  </si>
  <si>
    <t>Millaray Eyzaguirre Rojas</t>
  </si>
  <si>
    <t>Villorrio Julián Lozano, Las Araucarias #4, 213833650</t>
  </si>
  <si>
    <t>#5826</t>
  </si>
  <si>
    <t>251547892</t>
  </si>
  <si>
    <t>NOMBRE RETIRA: ANTONIO CESPEDES C RUT RETIRA: 18475058-9</t>
  </si>
  <si>
    <t>Antonio Céspedes Cortés</t>
  </si>
  <si>
    <t>38 oriente 5 sur 4001, 21418611-K</t>
  </si>
  <si>
    <t>#5788</t>
  </si>
  <si>
    <t>251463845</t>
  </si>
  <si>
    <t>NOMBRE RETIRA: CAMILA VALDED V RUT RETIRA: 20564934-4</t>
  </si>
  <si>
    <t>Camila Valdés</t>
  </si>
  <si>
    <t>32 oriente 1590 dpto 113A, 18892455-7</t>
  </si>
  <si>
    <t>#5807</t>
  </si>
  <si>
    <t>251463839</t>
  </si>
  <si>
    <t>NOMBRE RETIRA: MAXIMILIANO KING . RUT RETIRA: 65130888-7</t>
  </si>
  <si>
    <t>Monserrat Burgos</t>
  </si>
  <si>
    <t>Cuatro sur 3215 dpto 235, 210430660</t>
  </si>
  <si>
    <t>#5785</t>
  </si>
  <si>
    <t>250699142</t>
  </si>
  <si>
    <t>NOMBRE RETIRA: MARCELA MARTINEZ , RUT RETIRA: 21098627-8</t>
  </si>
  <si>
    <t>6 norte 381, 210986278</t>
  </si>
  <si>
    <t>#5797</t>
  </si>
  <si>
    <t>251756416</t>
  </si>
  <si>
    <t>NOMBRE RETIRA: JUAN ARANEDA H RUT RETIRA: 9635177-1</t>
  </si>
  <si>
    <t>Giulianna Bassaletti Delgado</t>
  </si>
  <si>
    <t>Parques de carriel oriente 5865, casa 36., 216796381</t>
  </si>
  <si>
    <t>#5825</t>
  </si>
  <si>
    <t>251547854</t>
  </si>
  <si>
    <t>NOMBRE RETIRA: RICARDO TEIVINO . RUT RETIRA: 6410960-K</t>
  </si>
  <si>
    <t>Andrea Rojas Monjes</t>
  </si>
  <si>
    <t>Santiago rosas 2773, 168367570</t>
  </si>
  <si>
    <t>#5817</t>
  </si>
  <si>
    <t>251463868</t>
  </si>
  <si>
    <t>NOMBRE RETIRA: NELCY AGUDELO . RUT RETIRA: 8727709-7</t>
  </si>
  <si>
    <t>Catalina Cortés</t>
  </si>
  <si>
    <t>Avenida Cerro Paranal 270, dpto 125, Torre Laja, 19468257-3</t>
  </si>
  <si>
    <t>#5820</t>
  </si>
  <si>
    <t>251463866</t>
  </si>
  <si>
    <t>NOMBRE RETIRA: GLODIMAR CACERES P RUT RETIRA: 26912449-0</t>
  </si>
  <si>
    <t>Glorimar Cáceres Luengo</t>
  </si>
  <si>
    <t>Villa jardines del porvenir, pasaje la esperanza, casa 7, 267075042</t>
  </si>
  <si>
    <t>#5823</t>
  </si>
  <si>
    <t>251547888</t>
  </si>
  <si>
    <t>NOMBRE RETIRA: FELIPE RODRIGUEZ . RUT RETIRA: 12913337-6</t>
  </si>
  <si>
    <t>Felipe Rodríguez marilao</t>
  </si>
  <si>
    <t>Avenida La Villa 205 La Punta, 199880195</t>
  </si>
  <si>
    <t>#5811</t>
  </si>
  <si>
    <t>251463816</t>
  </si>
  <si>
    <t>NOMBRE RETIRA: FERNANDA MUNOZ . RUT RETIRA: 12345879-6</t>
  </si>
  <si>
    <t>Fernanda Muñoz Guzmán</t>
  </si>
  <si>
    <t>Puntilla de Panquehue N°698, 21384558-6</t>
  </si>
  <si>
    <t>#5774</t>
  </si>
  <si>
    <t>249552531</t>
  </si>
  <si>
    <t>NOMBRE RETIRA: CAROLINA QUEZADA .. RUT RETIRA: 15206622-8</t>
  </si>
  <si>
    <t>Rodrigo Gutierrez Diaz</t>
  </si>
  <si>
    <t>Avenida trapa trapa 334, 18768940-6</t>
  </si>
  <si>
    <t>2025-07-20 20:06</t>
  </si>
  <si>
    <t>Sag_10757</t>
  </si>
  <si>
    <t>252085687</t>
  </si>
  <si>
    <t>MUNDOBAREFOOT-SAGUAROSHOES</t>
  </si>
  <si>
    <t>NOMBRE RETIRA: PABLO CEPULVEDA . RUT RETIRA: 12473034-1</t>
  </si>
  <si>
    <t>Ernesto Rojo</t>
  </si>
  <si>
    <t>Serrano 374</t>
  </si>
  <si>
    <t>Sag_10254</t>
  </si>
  <si>
    <t>250610280</t>
  </si>
  <si>
    <t>NOMBRE RETIRA: MARBEL RAMOS X RUT RETIRA: 9621217-8</t>
  </si>
  <si>
    <t>YARELA TANYA ANGEL VEGA</t>
  </si>
  <si>
    <t>PUNTA ARENAS 2474, DEPTO 103D</t>
  </si>
  <si>
    <t>Sag_10889</t>
  </si>
  <si>
    <t>Leonardo Matus</t>
  </si>
  <si>
    <t>Elias Fernández Albano 7941</t>
  </si>
  <si>
    <t>Sag_10886</t>
  </si>
  <si>
    <t>Avenida Cristobal Colon 3837, 136</t>
  </si>
  <si>
    <t>Sag_10879</t>
  </si>
  <si>
    <t>juan faneite</t>
  </si>
  <si>
    <t>alvarez de toledo 978, 801</t>
  </si>
  <si>
    <t>Sag_10820</t>
  </si>
  <si>
    <t>Bryan Silva gutierrez</t>
  </si>
  <si>
    <t>Llay Llay 945, Casa</t>
  </si>
  <si>
    <t>2025-08-25 21:18</t>
  </si>
  <si>
    <t>Sag_10837</t>
  </si>
  <si>
    <t>Jacqueline Elgueta</t>
  </si>
  <si>
    <t>Fernando Lazcano 1280, 205</t>
  </si>
  <si>
    <t>2025-08-25 20:54</t>
  </si>
  <si>
    <t>Sag_10831</t>
  </si>
  <si>
    <t>gabriel yanez</t>
  </si>
  <si>
    <t>Dragones de la reina 680, CASA C</t>
  </si>
  <si>
    <t>Sag_10787</t>
  </si>
  <si>
    <t>Rodrigo Velarde</t>
  </si>
  <si>
    <t>Pasaje Malloco 1239, Casa</t>
  </si>
  <si>
    <t>Sag_10755</t>
  </si>
  <si>
    <t>Valentina Chirino</t>
  </si>
  <si>
    <t>Portugal 520, Depto 814</t>
  </si>
  <si>
    <t>2025-08-22 10:09</t>
  </si>
  <si>
    <t>Sag_10705</t>
  </si>
  <si>
    <t>Diana Brown</t>
  </si>
  <si>
    <t>Padre mariano 82,, 1203</t>
  </si>
  <si>
    <t>Sag_10699</t>
  </si>
  <si>
    <t>Elam Torres</t>
  </si>
  <si>
    <t>Santa Victoria 411, 1012</t>
  </si>
  <si>
    <t>Sag_10018</t>
  </si>
  <si>
    <t>María Isabel Donoso</t>
  </si>
  <si>
    <t>Calle Santa Julia 330-D Ñuñoa</t>
  </si>
  <si>
    <t>Sag_10614</t>
  </si>
  <si>
    <t>Xaviera González Bermúdez</t>
  </si>
  <si>
    <t>Paul Claudel 1490, Dpto 132</t>
  </si>
  <si>
    <t>2025-08-19 11:22</t>
  </si>
  <si>
    <t>Sag_9969</t>
  </si>
  <si>
    <t>Verónica Gayoso Gayoso</t>
  </si>
  <si>
    <t>Armando Moock 3637, Depto. 303</t>
  </si>
  <si>
    <t>2025-08-19 00:30</t>
  </si>
  <si>
    <t>Sag_10168</t>
  </si>
  <si>
    <t>Vannia Piñeda Villa</t>
  </si>
  <si>
    <t>Bambú Dos #448 maipu</t>
  </si>
  <si>
    <t>2025-08-19 00:28</t>
  </si>
  <si>
    <t>Sag_10581</t>
  </si>
  <si>
    <t>Oscar Martinez</t>
  </si>
  <si>
    <t>Chacabuco 1120, Santiago centro, Departamento 2213</t>
  </si>
  <si>
    <t>2025-08-19 00:25</t>
  </si>
  <si>
    <t>Sag_10417</t>
  </si>
  <si>
    <t>Colombia 8863, Departamento 403b.</t>
  </si>
  <si>
    <t>2025-08-14 12:41</t>
  </si>
  <si>
    <t>Sag_10551</t>
  </si>
  <si>
    <t>Betsie Machulás</t>
  </si>
  <si>
    <t>Las Araucarias 1733, 201</t>
  </si>
  <si>
    <t>Sag_10256</t>
  </si>
  <si>
    <t>Santiago Montiel</t>
  </si>
  <si>
    <t>Luis Thayer Ojeda 855, 203</t>
  </si>
  <si>
    <t>2025-08-12 19:42</t>
  </si>
  <si>
    <t>Sag_10311</t>
  </si>
  <si>
    <t>Carolina Necul</t>
  </si>
  <si>
    <t>La castellana sur 170, 303</t>
  </si>
  <si>
    <t>2025-08-12 19:43</t>
  </si>
  <si>
    <t>Sag_10495</t>
  </si>
  <si>
    <t>Ignacia F</t>
  </si>
  <si>
    <t>Camino El Olivar 1472, Casa</t>
  </si>
  <si>
    <t>Sag_10494</t>
  </si>
  <si>
    <t>Yussef Sacre Apey</t>
  </si>
  <si>
    <t>Lord Cochrane 635, Depto 705A</t>
  </si>
  <si>
    <t>Sag_10236</t>
  </si>
  <si>
    <t>Avenida Ejercito Libertador 2120, casa 110</t>
  </si>
  <si>
    <t>Sag_10450</t>
  </si>
  <si>
    <t>Camila Sauma</t>
  </si>
  <si>
    <t>Valais 4890</t>
  </si>
  <si>
    <t>Sag_10406</t>
  </si>
  <si>
    <t>Felipe Dueñas</t>
  </si>
  <si>
    <t>san isidro 234, 407</t>
  </si>
  <si>
    <t>Sag_10427</t>
  </si>
  <si>
    <t>fanny carolina muñoz ortega</t>
  </si>
  <si>
    <t>leon xlll 12865, casa de reja verde segundo piso</t>
  </si>
  <si>
    <t>Sag_10360</t>
  </si>
  <si>
    <t>Camila Vásquez</t>
  </si>
  <si>
    <t>arcángel 1531, casa</t>
  </si>
  <si>
    <t>Sag_10336</t>
  </si>
  <si>
    <t>loreto Villagra</t>
  </si>
  <si>
    <t>Alcalde Pedro alarcon 997, 92 torre b</t>
  </si>
  <si>
    <t>Sag_9853</t>
  </si>
  <si>
    <t>Veronica Irarrazaval</t>
  </si>
  <si>
    <t>Camino San Antonio 18, Depto 111</t>
  </si>
  <si>
    <t>2025-07-20 19:26</t>
  </si>
  <si>
    <t>Sag_10295</t>
  </si>
  <si>
    <t>eliana viancos</t>
  </si>
  <si>
    <t>pasaje toscana norte 239, Barrio Italia, PUENTE ALTO</t>
  </si>
  <si>
    <t>Sag_10274</t>
  </si>
  <si>
    <t>Queb de aroma 1606</t>
  </si>
  <si>
    <t>Sag_10286</t>
  </si>
  <si>
    <t>Rodrigo Palavecino Rivas</t>
  </si>
  <si>
    <t>Avenida Americo Vespucio sur 388, Depto 91, Dejar en conserjeria</t>
  </si>
  <si>
    <t>Sag_10283</t>
  </si>
  <si>
    <t>Daniela Herrera Rojas</t>
  </si>
  <si>
    <t>Alvarez De Toledo 978, dpto.910, dpto.910</t>
  </si>
  <si>
    <t>Sag_10249</t>
  </si>
  <si>
    <t>Constanza Retamal Alvear</t>
  </si>
  <si>
    <t>Alcalde Monckeberg 35, 2203</t>
  </si>
  <si>
    <t>Sag_10247</t>
  </si>
  <si>
    <t>Gonzalo Barrera Vicencio</t>
  </si>
  <si>
    <t>Brown norte 1331, Depto 303</t>
  </si>
  <si>
    <t>Sag_10760</t>
  </si>
  <si>
    <t>252067687</t>
  </si>
  <si>
    <t>NOMBRE RETIRA: MONICA CEIRA . RUT RETIRA: 7213470-2</t>
  </si>
  <si>
    <t>monica ceira</t>
  </si>
  <si>
    <t>Luis Cattan González 629, Piso 1 departamento 2</t>
  </si>
  <si>
    <t>Sag_10808</t>
  </si>
  <si>
    <t>251964221</t>
  </si>
  <si>
    <t>NOMBRE RETIRA: JASON VENEGAS S RUT RETIRA: 18511404-K</t>
  </si>
  <si>
    <t>Leslye Venegas</t>
  </si>
  <si>
    <t>Baquedano 378, Casa B, cerro Monja</t>
  </si>
  <si>
    <t>Sag_10606</t>
  </si>
  <si>
    <t>251910592</t>
  </si>
  <si>
    <t>NOMBRE RETIRA: MONICA GARRIDO . RUT RETIRA: 17971129-K</t>
  </si>
  <si>
    <t>Sebastián Caballero Garrido</t>
  </si>
  <si>
    <t>Raquel amar Lolas 2825</t>
  </si>
  <si>
    <t>Sag_10722</t>
  </si>
  <si>
    <t>251710185</t>
  </si>
  <si>
    <t>NOMBRE RETIRA: ISADORA WRIGHIT . . RUT RETIRA: 17600606-4</t>
  </si>
  <si>
    <t>isadora wright</t>
  </si>
  <si>
    <t>camino campo aereo sin numero Boco</t>
  </si>
  <si>
    <t>Sag_10694</t>
  </si>
  <si>
    <t>251626062</t>
  </si>
  <si>
    <t>NOMBRE RETIRA: JORGE DI GIACOMO .. RUT RETIRA: 53323853-K</t>
  </si>
  <si>
    <t>Rodrigo Escar</t>
  </si>
  <si>
    <t>Av Valparaiso 1327, Depto 706</t>
  </si>
  <si>
    <t>Sag_10515</t>
  </si>
  <si>
    <t>251182622</t>
  </si>
  <si>
    <t>NOMBRE RETIRA: BASTIAN GONZALEZ X RUT RETIRA: 53335890-K</t>
  </si>
  <si>
    <t>Ekaterina Timofeeva</t>
  </si>
  <si>
    <t>Costa de Montemar 186, 902</t>
  </si>
  <si>
    <t>Sag_10475</t>
  </si>
  <si>
    <t>251113488</t>
  </si>
  <si>
    <t>NOMBRE RETIRA: LILIAN REYES . RUT RETIRA: 53330390-0</t>
  </si>
  <si>
    <t>Lago Zenteno 1530, Depto 2101</t>
  </si>
  <si>
    <t>Sag_10080</t>
  </si>
  <si>
    <t>250776246</t>
  </si>
  <si>
    <t>NOMBRE RETIRA: ISIDRO RODRIGUEZ . RUT RETIRA: 12001515-K</t>
  </si>
  <si>
    <t>isidro Rodriguez</t>
  </si>
  <si>
    <t>Los lirios 11, depto 23, edificio 3</t>
  </si>
  <si>
    <t>Sag_10927</t>
  </si>
  <si>
    <t>252177095</t>
  </si>
  <si>
    <t>NOMBRE RETIRA: ALEJANDRA CERECEDA . RUT RETIRA: 53332851-2</t>
  </si>
  <si>
    <t>Alejandra Cereceda</t>
  </si>
  <si>
    <t>Jania 45</t>
  </si>
  <si>
    <t>Sag_10932</t>
  </si>
  <si>
    <t>252216329</t>
  </si>
  <si>
    <t>NOMBRE RETIRA: HUGO NUNES * RUT RETIRA: 53303487-K</t>
  </si>
  <si>
    <t>Viana 433, Depto 912</t>
  </si>
  <si>
    <t>2025-08-29 13:27</t>
  </si>
  <si>
    <t>Sag_T0168</t>
  </si>
  <si>
    <t>252042100</t>
  </si>
  <si>
    <t>NOMBRE RETIRA: MIKAELA MAL .. RUT RETIRA: 19790879-3</t>
  </si>
  <si>
    <t>Viña del Mar - Alavanguardia</t>
  </si>
  <si>
    <t>2 Oriente 1186</t>
  </si>
  <si>
    <t>2025-08-26 21:35</t>
  </si>
  <si>
    <t>Sag_10723</t>
  </si>
  <si>
    <t>251759318</t>
  </si>
  <si>
    <t>NOMBRE RETIRA: JUAN ABARCA . RUT RETIRA: 56016420-3</t>
  </si>
  <si>
    <t>Paola Angulo Miranda</t>
  </si>
  <si>
    <t>Avenida La Marina 138 D-101, Dpto 101</t>
  </si>
  <si>
    <t>Sag_10540</t>
  </si>
  <si>
    <t>251563894</t>
  </si>
  <si>
    <t>NOMBRE RETIRA: ALVARO SUYAI . RUT RETIRA: 12345678-5</t>
  </si>
  <si>
    <t>kenny aliaga</t>
  </si>
  <si>
    <t>volcan linzor 2674 pinos quilpue, casa</t>
  </si>
  <si>
    <t>Sag_10503</t>
  </si>
  <si>
    <t>251554661</t>
  </si>
  <si>
    <t>NOMBRE RETIRA: VICTOR ROJAS . RUT RETIRA: 18584977-5</t>
  </si>
  <si>
    <t>Victor Rojas Hermosilla</t>
  </si>
  <si>
    <t>222 Traslaviña, 222</t>
  </si>
  <si>
    <t>Sag_10610</t>
  </si>
  <si>
    <t>251483530</t>
  </si>
  <si>
    <t>NOMBRE RETIRA: HEIDI ANDRADE . RUT RETIRA: 7213470-2</t>
  </si>
  <si>
    <t>Heidi Andrade Arriagada</t>
  </si>
  <si>
    <t>Pasaje santa rosa 338 villa santa ana</t>
  </si>
  <si>
    <t>Sag_10440</t>
  </si>
  <si>
    <t>251259971</t>
  </si>
  <si>
    <t>NOMBRE RETIRA: MARIA JOSE R RUT RETIRA: 18382991-2</t>
  </si>
  <si>
    <t>Maria Jose olivares gomez</t>
  </si>
  <si>
    <t>Simon bolivar 291, Taller de uniformes escolares</t>
  </si>
  <si>
    <t>Sag_10558</t>
  </si>
  <si>
    <t>251258753</t>
  </si>
  <si>
    <t>NOMBRE RETIRA: SEBASTIAN CABALLERO . RUT RETIRA: 20302083-K</t>
  </si>
  <si>
    <t>La cañada 1195, Trabajo en centro medico Aconcagua colores</t>
  </si>
  <si>
    <t>Sag_10272</t>
  </si>
  <si>
    <t>250705963</t>
  </si>
  <si>
    <t>NOMBRE RETIRA: BRIZA ZUNIGA . RUT RETIRA: 16332963-8</t>
  </si>
  <si>
    <t>Brisa Zúñiga Astudillo</t>
  </si>
  <si>
    <t>Manuel de Lima 228, Villa Carmen y Dolores</t>
  </si>
  <si>
    <t>Sag_10289</t>
  </si>
  <si>
    <t>250702440</t>
  </si>
  <si>
    <t>maria patriciA campos morales</t>
  </si>
  <si>
    <t>manso de velasco 592, 592</t>
  </si>
  <si>
    <t>Sag_10905</t>
  </si>
  <si>
    <t>252177091</t>
  </si>
  <si>
    <t>NOMBRE RETIRA: MARTA REYES .... RUT RETIRA: 17895400-8</t>
  </si>
  <si>
    <t>MARTA REYES</t>
  </si>
  <si>
    <t>isla de pascua, 2192</t>
  </si>
  <si>
    <t>Sag_10809</t>
  </si>
  <si>
    <t>251964125</t>
  </si>
  <si>
    <t>NOMBRE RETIRA: AMANDA SHERRARD -- RUT RETIRA: 65072227-2</t>
  </si>
  <si>
    <t>Amanda Sherrard</t>
  </si>
  <si>
    <t>Guillermo Ulriksen 1781, Dept #1413</t>
  </si>
  <si>
    <t>Sag_10397</t>
  </si>
  <si>
    <t>251513764</t>
  </si>
  <si>
    <t>NOMBRE RETIRA: ESTEVANA SAAVEDRA ... RUT RETIRA: 19146817-1</t>
  </si>
  <si>
    <t>Estevanna Saavedra Saavedra</t>
  </si>
  <si>
    <t>Profesor Efraín Díaz García, Casa 856</t>
  </si>
  <si>
    <t>2025-08-19 00:04</t>
  </si>
  <si>
    <t>Sag_10612</t>
  </si>
  <si>
    <t>251467212</t>
  </si>
  <si>
    <t>NOMBRE RETIRA: CSRLOS TAPIA . RUT RETIRA: 6048578-K</t>
  </si>
  <si>
    <t>Cristian Tapia Araya</t>
  </si>
  <si>
    <t>Antonio pareja 401</t>
  </si>
  <si>
    <t>Sag_10323</t>
  </si>
  <si>
    <t>251152208</t>
  </si>
  <si>
    <t>NOMBRE RETIRA: YANINA CORTES . RUT RETIRA: 14100385-2</t>
  </si>
  <si>
    <t>Yanina Cortes</t>
  </si>
  <si>
    <t>Condominio Los CastaÑos, Casa 1, Santo Cura De Ars 1100</t>
  </si>
  <si>
    <t>2025-08-12 19:41</t>
  </si>
  <si>
    <t>Sag_10223</t>
  </si>
  <si>
    <t>250514171</t>
  </si>
  <si>
    <t>NOMBRE RETIRA: MATIAS MONSALVE . RUT RETIRA: 15141898-8</t>
  </si>
  <si>
    <t>12 sur entre 1 oriente, pasaje guacolda #456</t>
  </si>
  <si>
    <t>Sag_10732</t>
  </si>
  <si>
    <t>252177693</t>
  </si>
  <si>
    <t>NOMBRE RETIRA: JEREMIAS GONZALEZ H RUT RETIRA: 21543693-4</t>
  </si>
  <si>
    <t>Jeremias Gonzalez</t>
  </si>
  <si>
    <t>6 1/2 Pte. B 0696 Villa Paradero</t>
  </si>
  <si>
    <t>2025-08-28 19:35</t>
  </si>
  <si>
    <t>Sag_10811</t>
  </si>
  <si>
    <t>251960783</t>
  </si>
  <si>
    <t>Olga García Salazar</t>
  </si>
  <si>
    <t>Saturnino epulef 955, Depto 802 D</t>
  </si>
  <si>
    <t>Sag_10868</t>
  </si>
  <si>
    <t>252005527</t>
  </si>
  <si>
    <t>Parcela 28 Rinconada Lote 7-14</t>
  </si>
  <si>
    <t>Sag_10252</t>
  </si>
  <si>
    <t>251758352</t>
  </si>
  <si>
    <t>NOMBRE RETIRA: CESAR CASTRO . RUT RETIRA: 9847542-7</t>
  </si>
  <si>
    <t>Joselin Montero merino</t>
  </si>
  <si>
    <t>Carmela, 418</t>
  </si>
  <si>
    <t>Sag_10635</t>
  </si>
  <si>
    <t>251467300</t>
  </si>
  <si>
    <t>NOMBRE RETIRA: ROXANA OBREQUE .. RUT RETIRA: 13627856-8</t>
  </si>
  <si>
    <t>Antonio Baldassarre</t>
  </si>
  <si>
    <t>El Cerduo KM 3 Loteo Kawelluco</t>
  </si>
  <si>
    <t>Sag_10651</t>
  </si>
  <si>
    <t>251467116</t>
  </si>
  <si>
    <t>NOMBRE RETIRA: PAOLA RIVAS H RUT RETIRA: 19071639-2</t>
  </si>
  <si>
    <t>Miguel Navarrete Iturra</t>
  </si>
  <si>
    <t>Avenida Brasil 855, Depto 421</t>
  </si>
  <si>
    <t>Sag_10556</t>
  </si>
  <si>
    <t>251258781</t>
  </si>
  <si>
    <t>NOMBRE RETIRA: KARLA BARRA . RUT RETIRA: 19907520-9</t>
  </si>
  <si>
    <t>Karen Chandia Vasquez</t>
  </si>
  <si>
    <t>Garcia Hurtado de mendoza 759 casa 91, 91</t>
  </si>
  <si>
    <t>Sag_10287</t>
  </si>
  <si>
    <t>251152273</t>
  </si>
  <si>
    <t>NOMBRE RETIRA: CAROLINA RIFGO Y RUT RETIRA: 17259557-K</t>
  </si>
  <si>
    <t>Antonio Riffo</t>
  </si>
  <si>
    <t>Gabriela Mistral Temuco,Chile 01609</t>
  </si>
  <si>
    <t>Sag_10398</t>
  </si>
  <si>
    <t>251037335</t>
  </si>
  <si>
    <t>NOMBRE RETIRA: PAOLA MUNOZ H RUT RETIRA: 14027934-K</t>
  </si>
  <si>
    <t>Gissella Parra henriquez</t>
  </si>
  <si>
    <t>Condominio don jorge , brasil 855, depto 716, chillán, Depto 716</t>
  </si>
  <si>
    <t>Sag_10102</t>
  </si>
  <si>
    <t>250863161</t>
  </si>
  <si>
    <t>NOMBRE RETIRA: MARCOS MANQUE LONCOCHINO RUT RETIRA: 18990128-3</t>
  </si>
  <si>
    <t>Marcos Manque</t>
  </si>
  <si>
    <t>Los Carrera 9</t>
  </si>
  <si>
    <t>Sag_10211</t>
  </si>
  <si>
    <t>250513100</t>
  </si>
  <si>
    <t>NOMBRE RETIRA: SCARLET BUSTAMANTE . RUT RETIRA: 26563431-1</t>
  </si>
  <si>
    <t>Dan Husid</t>
  </si>
  <si>
    <t>Línea vieja sin numero, Casa 2</t>
  </si>
  <si>
    <t>Sag_10171</t>
  </si>
  <si>
    <t>250463024</t>
  </si>
  <si>
    <t>NOMBRE RETIRA: MARIA FRANCISCA AGUILERA AGUILERA RUT RETIRA: 17343567-3</t>
  </si>
  <si>
    <t>Maria Francisca Aguilera Bournas</t>
  </si>
  <si>
    <t>Los Copihues 140, Depto 302A</t>
  </si>
  <si>
    <t>2025-08-03 16:13</t>
  </si>
  <si>
    <t>Sag_9929</t>
  </si>
  <si>
    <t>250463033</t>
  </si>
  <si>
    <t>NOMBRE RETIRA: MONICA VARNET .... RUT RETIRA: 8986144-6</t>
  </si>
  <si>
    <t>Mónica Varnet Añazco</t>
  </si>
  <si>
    <t>Pasaje Grandon 623</t>
  </si>
  <si>
    <t>Sag_10222</t>
  </si>
  <si>
    <t>250513169</t>
  </si>
  <si>
    <t>NOMBRE RETIRA: FAVIOLA SILVA K RUT RETIRA: 10721237-K</t>
  </si>
  <si>
    <t>Fabiola Silva Mieres</t>
  </si>
  <si>
    <t>Las vaquerías 1681</t>
  </si>
  <si>
    <t>Sag_T0169</t>
  </si>
  <si>
    <t>252041944</t>
  </si>
  <si>
    <t>NOMBRE RETIRA: PAMELA CASA . RUT RETIRA: 19109789-0</t>
  </si>
  <si>
    <t>Distrito Andalue</t>
  </si>
  <si>
    <t>Av. Andalue 2249</t>
  </si>
  <si>
    <t>2025-08-26 21:30</t>
  </si>
  <si>
    <t>Sag_10678</t>
  </si>
  <si>
    <t>251910752</t>
  </si>
  <si>
    <t>NOMBRE RETIRA: HERNAN ZAMPONI 0 RUT RETIRA: 9181755-1</t>
  </si>
  <si>
    <t>TAMARA ZAMPONI</t>
  </si>
  <si>
    <t>LOS CANELOS 79, departamento 1404, Torre A</t>
  </si>
  <si>
    <t>Sag_10499</t>
  </si>
  <si>
    <t>251484653</t>
  </si>
  <si>
    <t>NOMBRE RETIRA: ERICA FIERRO . RUT RETIRA: 9270982-5</t>
  </si>
  <si>
    <t>DISTRITO ANDALUE</t>
  </si>
  <si>
    <t>Av. Andalue 2249, TIENDA</t>
  </si>
  <si>
    <t>Sag_10498</t>
  </si>
  <si>
    <t>251202338</t>
  </si>
  <si>
    <t>NOMBRE RETIRA: HERNAN MUNOZ P RUT RETIRA: 16895442-5</t>
  </si>
  <si>
    <t>Sag_10408</t>
  </si>
  <si>
    <t>251066677</t>
  </si>
  <si>
    <t>NOMBRE RETIRA: NINFA PARRA . RUT RETIRA: 53335221-9</t>
  </si>
  <si>
    <t>María Constanza Neira Coulon</t>
  </si>
  <si>
    <t>Camino del arbol 405, Edificio coihue depto 202</t>
  </si>
  <si>
    <t>Sag_10166</t>
  </si>
  <si>
    <t>250462995</t>
  </si>
  <si>
    <t>NOMBRE RETIRA: MARIA JOSE . RUT RETIRA: 19109789-0</t>
  </si>
  <si>
    <t>Oscar Espinoza</t>
  </si>
  <si>
    <t>Avenida Manuel Rodríguez. 170, Veterinaria booster</t>
  </si>
  <si>
    <t>Sag_10773</t>
  </si>
  <si>
    <t>251964259</t>
  </si>
  <si>
    <t>NOMBRE RETIRA: VIRGINIA PERES .. RUT RETIRA: 19041203-2</t>
  </si>
  <si>
    <t>Virginia Perez</t>
  </si>
  <si>
    <t>Camino alfalfares oriente pc6 lote 20, Casa 20 portón 1</t>
  </si>
  <si>
    <t>Sag_10634</t>
  </si>
  <si>
    <t>251483265</t>
  </si>
  <si>
    <t>NOMBRE RETIRA: MATIAS ASTETE . . RUT RETIRA: 19715158-7</t>
  </si>
  <si>
    <t>Daniel Esteban Reyes Molina</t>
  </si>
  <si>
    <t>Los Carrera 253 depto 704</t>
  </si>
  <si>
    <t>Sag_10284</t>
  </si>
  <si>
    <t>250613963</t>
  </si>
  <si>
    <t>Sag_10861</t>
  </si>
  <si>
    <t>252005530</t>
  </si>
  <si>
    <t>NOMBRE RETIRA: KATY VOLWEIN . RUT RETIRA: 15378412-4</t>
  </si>
  <si>
    <t>Katy Volkwein</t>
  </si>
  <si>
    <t>Pasaje Ojo de Halcón 1835, Condominio El Polo B</t>
  </si>
  <si>
    <t>Sag_10788</t>
  </si>
  <si>
    <t>251964157</t>
  </si>
  <si>
    <t>NOMBRE RETIRA: KATY VOLKWEIN . RUT RETIRA: 15382529-7</t>
  </si>
  <si>
    <t>Sag_10577</t>
  </si>
  <si>
    <t>251626068</t>
  </si>
  <si>
    <t>Luis Cattan González 629</t>
  </si>
  <si>
    <t>Sag_10806</t>
  </si>
  <si>
    <t>251964208</t>
  </si>
  <si>
    <t>NOMBRE RETIRA: SEBASTIAN GONZALEZ G RUT RETIRA: 16732401-0</t>
  </si>
  <si>
    <t>Maria Paz Alegria</t>
  </si>
  <si>
    <t>H Videla Lira 195, Villa Vista Hermosa</t>
  </si>
  <si>
    <t>Sag_10602</t>
  </si>
  <si>
    <t>251483245</t>
  </si>
  <si>
    <t>NOMBRE RETIRA: MAURICIO ULBRICH . RUT RETIRA: 53336949-9</t>
  </si>
  <si>
    <t>Claudia Stockebrand Sandoval</t>
  </si>
  <si>
    <t>Avenida Alemania 01655, Depto 1005</t>
  </si>
  <si>
    <t>Sag_10633</t>
  </si>
  <si>
    <t>251483259</t>
  </si>
  <si>
    <t>NOMBRE RETIRA: MARTA ARRIAZA . RUT RETIRA: 8994771-5</t>
  </si>
  <si>
    <t>Parcela #31, Pasaje las Vertientes 2, Pampa Negron, La Unión</t>
  </si>
  <si>
    <t>Sag_10125</t>
  </si>
  <si>
    <t>251152480</t>
  </si>
  <si>
    <t>NOMBRE RETIRA: JESUS DIAZ . RUT RETIRA: 26788220-7</t>
  </si>
  <si>
    <t>Naim Brevis Nuñez</t>
  </si>
  <si>
    <t>Via Uno #2691, 112</t>
  </si>
  <si>
    <t>Sag_10474</t>
  </si>
  <si>
    <t>251103102</t>
  </si>
  <si>
    <t>NOMBRE RETIRA: ALEJANDRA ROCO X RUT RETIRA: 12345678-5</t>
  </si>
  <si>
    <t>Alexandra Roco Martinez</t>
  </si>
  <si>
    <t>Las palmeras 35 Jardines del norte 4, Casa 94</t>
  </si>
  <si>
    <t>Sag_10548</t>
  </si>
  <si>
    <t>251267047</t>
  </si>
  <si>
    <t>NOMBRE RETIRA: ALEJANDRO GARZA . RUT RETIRA: 15661211-1</t>
  </si>
  <si>
    <t>Alejandro Garza Garza</t>
  </si>
  <si>
    <t>Costanera Viento Norte 10, Cabaña azul</t>
  </si>
  <si>
    <t>Sag_10233</t>
  </si>
  <si>
    <t>250704716</t>
  </si>
  <si>
    <t>NOMBRE RETIRA: OSCAR SUR . RUT RETIRA: 8952197-1</t>
  </si>
  <si>
    <t>Susana Valenzuela</t>
  </si>
  <si>
    <t>Arturo prat 3120, Depa 294</t>
  </si>
  <si>
    <t>Sag_9749</t>
  </si>
  <si>
    <t>250066160</t>
  </si>
  <si>
    <t>NOMBRE RETIRA: GIORYO ARIAS . RUT RETIRA: 9956567-5</t>
  </si>
  <si>
    <t>Sandra Arias</t>
  </si>
  <si>
    <t>Blumell 0105 Playa Blanca</t>
  </si>
  <si>
    <t>2025-07-28 15:04</t>
  </si>
  <si>
    <t>Sag_9788</t>
  </si>
  <si>
    <t>250066187</t>
  </si>
  <si>
    <t>NOMBRE RETIRA: HECTOR VARELA . RUT RETIRA: 26929532-5</t>
  </si>
  <si>
    <t>sendero del sol 585, F-32</t>
  </si>
  <si>
    <t>Sag_10930</t>
  </si>
  <si>
    <t>712939793602</t>
  </si>
  <si>
    <t>Nombre: Alvaro Carreno - Rut: 163558068</t>
  </si>
  <si>
    <t>Alvaro Carreño</t>
  </si>
  <si>
    <t>Virginia Subercaseaux 4605, Parcela 2a</t>
  </si>
  <si>
    <t>Sag_10945</t>
  </si>
  <si>
    <t>712940091802</t>
  </si>
  <si>
    <t>Nombre: tiare tobar - Rut: 180506640</t>
  </si>
  <si>
    <t>Tiare Tobar Torres</t>
  </si>
  <si>
    <t>Av. Los Molinos #630, Casa</t>
  </si>
  <si>
    <t>Sag_10892</t>
  </si>
  <si>
    <t>712939793370</t>
  </si>
  <si>
    <t>Nombre: Valeska Jimenez - Rut: 168441592</t>
  </si>
  <si>
    <t>Matias Jorquera Campos</t>
  </si>
  <si>
    <t>Libertad 402</t>
  </si>
  <si>
    <t>Sag_10479</t>
  </si>
  <si>
    <t>712935016916</t>
  </si>
  <si>
    <t>Nombre: Marcela Schenke - Rut: 9714280</t>
  </si>
  <si>
    <t>Marcela Schwenke</t>
  </si>
  <si>
    <t>Pasaje el maiten 1047, Villa Errazuriz</t>
  </si>
  <si>
    <t>Sag_10383</t>
  </si>
  <si>
    <t>712934697661</t>
  </si>
  <si>
    <t>Nombre: Monica mella - Rut: 104947859</t>
  </si>
  <si>
    <t>Gabriel Poblete</t>
  </si>
  <si>
    <t>Los Nardos, 92</t>
  </si>
  <si>
    <t>Sag_10598</t>
  </si>
  <si>
    <t>9363158394</t>
  </si>
  <si>
    <t>Joaquin Venegas</t>
  </si>
  <si>
    <t>Avenida Bernardo O'Higgins 54</t>
  </si>
  <si>
    <t>Sag_10700</t>
  </si>
  <si>
    <t>9357180803</t>
  </si>
  <si>
    <t>Andrea Held</t>
  </si>
  <si>
    <t>Baquedano 931, Kiosko la carreta</t>
  </si>
  <si>
    <t>Sag_10526</t>
  </si>
  <si>
    <t>9357067856</t>
  </si>
  <si>
    <t>Italo Saavedra Valderrama</t>
  </si>
  <si>
    <t>pasaje el maiten #8, Villa andalican</t>
  </si>
  <si>
    <t>Sag_10537</t>
  </si>
  <si>
    <t>9357504601</t>
  </si>
  <si>
    <t>Ana Alvarado</t>
  </si>
  <si>
    <t>Camino oonquen sur 20380 paradero 27, Gps mohneblume dulceria alemana lonquen</t>
  </si>
  <si>
    <t>2025-08-13 10:51</t>
  </si>
  <si>
    <t>Sag_10435</t>
  </si>
  <si>
    <t>9359229423</t>
  </si>
  <si>
    <t>Sag_10500</t>
  </si>
  <si>
    <t>9358192336</t>
  </si>
  <si>
    <t>Maria León Fuentes</t>
  </si>
  <si>
    <t>215, Casa en villa</t>
  </si>
  <si>
    <t>Sag_10345</t>
  </si>
  <si>
    <t>9360686215</t>
  </si>
  <si>
    <t>Javiera Padilla Pérez</t>
  </si>
  <si>
    <t>El Carmen 9-42, paradero 12, Los Bajos</t>
  </si>
  <si>
    <t>Sag_10359</t>
  </si>
  <si>
    <t>9360449000</t>
  </si>
  <si>
    <t>Cerco lago sur 3655</t>
  </si>
  <si>
    <t>Sag_10255</t>
  </si>
  <si>
    <t>9362553255</t>
  </si>
  <si>
    <t>Felipe Ovalle Perez</t>
  </si>
  <si>
    <t>Camino padre hurtado 5758 Parcela 101B</t>
  </si>
  <si>
    <t>Sag_10127</t>
  </si>
  <si>
    <t>9359037240</t>
  </si>
  <si>
    <t>Temporera De La Nuez #0362</t>
  </si>
  <si>
    <t>#NTVA5367</t>
  </si>
  <si>
    <t>251835645</t>
  </si>
  <si>
    <t>NATIVA ELEMENTS</t>
  </si>
  <si>
    <t>NOMBRE RETIRA: ORLANDO MUNOZ ... RUT RETIRA: 13719263-2</t>
  </si>
  <si>
    <t>Magdalena Muñoz Banda</t>
  </si>
  <si>
    <t>Villa teniente Calle Mercurio #01752, Casa</t>
  </si>
  <si>
    <t>#NTVA5337</t>
  </si>
  <si>
    <t>251626918</t>
  </si>
  <si>
    <t>NOMBRE RETIRA: FERNANDO . IRIARTE RUT RETIRA: 21287053-6</t>
  </si>
  <si>
    <t>Fernando Iriarte</t>
  </si>
  <si>
    <t>Cruz de caña Loteo San Joaquín psje añañucas, Sitio 32</t>
  </si>
  <si>
    <t>#NTVA5229</t>
  </si>
  <si>
    <t>250611078</t>
  </si>
  <si>
    <t>NOMBRE RETIRA: JAIME CIFUENTES . RUT RETIRA: 5720273-4</t>
  </si>
  <si>
    <t>Esteban Ocares Espinoza</t>
  </si>
  <si>
    <t>Condominio Bahia Oriente Dpto 502 Torre F, Serrano 2050</t>
  </si>
  <si>
    <t>#NTVA5384</t>
  </si>
  <si>
    <t>Santiago Radovic</t>
  </si>
  <si>
    <t>francisco de aguirre 3816, 3816</t>
  </si>
  <si>
    <t>#NTVA5381</t>
  </si>
  <si>
    <t>Abel Lizana</t>
  </si>
  <si>
    <t>Chaiten 9047</t>
  </si>
  <si>
    <t>#NTVA5356</t>
  </si>
  <si>
    <t>san sebastián 2970, 83</t>
  </si>
  <si>
    <t>#NTVA5345</t>
  </si>
  <si>
    <t>Paolo Fuentes</t>
  </si>
  <si>
    <t>avenida apostol santiago 2665</t>
  </si>
  <si>
    <t>#NTVA5352</t>
  </si>
  <si>
    <t>Antonia San Martin Navarro</t>
  </si>
  <si>
    <t>Avenida Portales 97, Depto 126</t>
  </si>
  <si>
    <t>#NTVA5355</t>
  </si>
  <si>
    <t>Juan Claro</t>
  </si>
  <si>
    <t>Camino del monasterio 9464, Casa</t>
  </si>
  <si>
    <t>#NTVA5346</t>
  </si>
  <si>
    <t>#NTVA5344</t>
  </si>
  <si>
    <t>Mía flores Flores</t>
  </si>
  <si>
    <t>Pasaje 457, 1721</t>
  </si>
  <si>
    <t>#NTVA5339</t>
  </si>
  <si>
    <t>Lucas Villela</t>
  </si>
  <si>
    <t>Av los presidentes 8040, 406 B</t>
  </si>
  <si>
    <t>#NTVA5336</t>
  </si>
  <si>
    <t>Edgar Sanchez arias</t>
  </si>
  <si>
    <t>Camino los Talaveras 1250, Condominio jardines del Sol casa 10</t>
  </si>
  <si>
    <t>#NTVA5341</t>
  </si>
  <si>
    <t>Mateo Pinto</t>
  </si>
  <si>
    <t>Chicureo  Av padre sergio correa 15300, refugio 2, 97</t>
  </si>
  <si>
    <t>#NTVA5322</t>
  </si>
  <si>
    <t>Gisselle Baeza Schwarzenberg</t>
  </si>
  <si>
    <t>Av. Irarrazabal #4345, Ñuñoa, Depto 1003</t>
  </si>
  <si>
    <t>#NTVA5323</t>
  </si>
  <si>
    <t>Eduardo Villarroel Madariaga</t>
  </si>
  <si>
    <t>Piedra Blanca Sur 06485, Casa</t>
  </si>
  <si>
    <t>#NTVA5324</t>
  </si>
  <si>
    <t>Renan Yañez</t>
  </si>
  <si>
    <t>Camino a melipilla 11246, Oficina RR.HH</t>
  </si>
  <si>
    <t>#NTVA5325</t>
  </si>
  <si>
    <t>Clemente Ruiz</t>
  </si>
  <si>
    <t>La cabaña 211, Casa</t>
  </si>
  <si>
    <t>#NTVA5326</t>
  </si>
  <si>
    <t>Santiago San Martin</t>
  </si>
  <si>
    <t>Avenida Presidente Kennedy Lateral 10050, Departamento 1104</t>
  </si>
  <si>
    <t>#NTVA5329</t>
  </si>
  <si>
    <t>Anais Barrera Ortiz</t>
  </si>
  <si>
    <t>Vivaldi 106 106 106 106, 106, 106</t>
  </si>
  <si>
    <t>#NTVA5334</t>
  </si>
  <si>
    <t>Giorgio Cabrera Sepúlveda</t>
  </si>
  <si>
    <t>Avenida Independencia 1133, Depto 1101</t>
  </si>
  <si>
    <t>#NTVA5319</t>
  </si>
  <si>
    <t>Domingo Escobedo</t>
  </si>
  <si>
    <t>Pedro de valdivia 2099, Depto 706</t>
  </si>
  <si>
    <t>#NTVA5315</t>
  </si>
  <si>
    <t>Nicolas Nachmann</t>
  </si>
  <si>
    <t>Berna 4751, Casa E</t>
  </si>
  <si>
    <t>#NTVA5314</t>
  </si>
  <si>
    <t>Javiera Alfaro Cares</t>
  </si>
  <si>
    <t>Maria quindos 4862, Quinta Normal</t>
  </si>
  <si>
    <t>#NTVA5313</t>
  </si>
  <si>
    <t>Avenida El Descanso 926, Casa</t>
  </si>
  <si>
    <t>#NTVA5307</t>
  </si>
  <si>
    <t>José Yañez</t>
  </si>
  <si>
    <t>Pedro donoso vergara 459, Casa verde con azul, entre campanario y maria del pilar</t>
  </si>
  <si>
    <t>#NTVA5306</t>
  </si>
  <si>
    <t>Juan Arrizaga Fernandez</t>
  </si>
  <si>
    <t>Camino el huinganal 3578 Lo barnechea, depto. 201 coihue</t>
  </si>
  <si>
    <t>#NTVA5310</t>
  </si>
  <si>
    <t>Miguel Guzman Droguet</t>
  </si>
  <si>
    <t>Grumete Briceno 8035, Casa</t>
  </si>
  <si>
    <t>#NTVA5283</t>
  </si>
  <si>
    <t>Las pircas 7400, Casa</t>
  </si>
  <si>
    <t>#NTVA5281</t>
  </si>
  <si>
    <t>Martin Irarrazaval uauy</t>
  </si>
  <si>
    <t>Camino las hualtatas 5101, Casa 301</t>
  </si>
  <si>
    <t>#NTVA5274</t>
  </si>
  <si>
    <t>Martin Godoy Parra</t>
  </si>
  <si>
    <t>Los supervisores 5818, Casa</t>
  </si>
  <si>
    <t>#NTVA5275</t>
  </si>
  <si>
    <t>Yoav Ochayon</t>
  </si>
  <si>
    <t>Camino los refugios del arrayan 18129, Casa 9</t>
  </si>
  <si>
    <t>#NTVA5280</t>
  </si>
  <si>
    <t>Paula Rebolledo Rojas</t>
  </si>
  <si>
    <t>Urmeneta 476, Oficina 401</t>
  </si>
  <si>
    <t>#NTVA5264</t>
  </si>
  <si>
    <t>Avenida santa marta 934, 934</t>
  </si>
  <si>
    <t>#NTVA5272</t>
  </si>
  <si>
    <t>Benjamín Nuñez Alday</t>
  </si>
  <si>
    <t>Alvaro Casanova Poniente 4222, Casa D</t>
  </si>
  <si>
    <t>2025-08-12 12:56</t>
  </si>
  <si>
    <t>#NTVA5255</t>
  </si>
  <si>
    <t>Alexander Salvatierra Toledo</t>
  </si>
  <si>
    <t>Psj Sergio Marin Galliano 0377, Casa</t>
  </si>
  <si>
    <t>#NTVA5261</t>
  </si>
  <si>
    <t>Yungay 2570, C2-302</t>
  </si>
  <si>
    <t>#NTVA5262</t>
  </si>
  <si>
    <t>Carlos Maturana</t>
  </si>
  <si>
    <t>Colina 3155</t>
  </si>
  <si>
    <t>#NTVA5265</t>
  </si>
  <si>
    <t>Sofia Rivas Morales</t>
  </si>
  <si>
    <t>Av. Quilín 4811, depto 909</t>
  </si>
  <si>
    <t>#NTVA5267</t>
  </si>
  <si>
    <t>Felipe Fernandez</t>
  </si>
  <si>
    <t>Pasaje 20 sur</t>
  </si>
  <si>
    <t>#NTVA5263</t>
  </si>
  <si>
    <t>Matias Sagredo</t>
  </si>
  <si>
    <t>Camino del roble 1783, Casa 25</t>
  </si>
  <si>
    <t>#NTVA5249</t>
  </si>
  <si>
    <t>Matias Duran</t>
  </si>
  <si>
    <t>Teresa Concha Walker 1244, 402</t>
  </si>
  <si>
    <t>#NTVA5248</t>
  </si>
  <si>
    <t>Francisca Bascuñan</t>
  </si>
  <si>
    <t>Avenida Quilin Norte 8231, Casa 22, Casa 22</t>
  </si>
  <si>
    <t>#NTVA5242</t>
  </si>
  <si>
    <t>Mar del Sur 1140, 63</t>
  </si>
  <si>
    <t>#NTVA5239</t>
  </si>
  <si>
    <t>Ian Cava</t>
  </si>
  <si>
    <t>Piedra Roja 125, Casa 28</t>
  </si>
  <si>
    <t>#NTVA5224</t>
  </si>
  <si>
    <t>Compañia de jesus 1656, depto 512</t>
  </si>
  <si>
    <t>#NTVA5225</t>
  </si>
  <si>
    <t>benjamin opazo</t>
  </si>
  <si>
    <t>santos dumont 70, Recoleta, 1406</t>
  </si>
  <si>
    <t>#NTVA5222</t>
  </si>
  <si>
    <t>María de los Angeles Correa Malschafsky</t>
  </si>
  <si>
    <t>Santa Blanca 716, B</t>
  </si>
  <si>
    <t>#NTVA5230</t>
  </si>
  <si>
    <t>250611033</t>
  </si>
  <si>
    <t>NOMBRE RETIRA: FELIPE TORO . RUT RETIRA: 20030082-3</t>
  </si>
  <si>
    <t>Felipe Toro Olguín</t>
  </si>
  <si>
    <t>Carretera H30 3727 Lo Miranda</t>
  </si>
  <si>
    <t>#NTVA5368</t>
  </si>
  <si>
    <t>251835497</t>
  </si>
  <si>
    <t>NOMBRE RETIRA: ENRIQUE VULYSTEKE . RUT RETIRA: 65041846-8</t>
  </si>
  <si>
    <t>Julian Quezada</t>
  </si>
  <si>
    <t>3 norte 220 edificio marina poniente, Depto 1906</t>
  </si>
  <si>
    <t>2025-08-23 12:31</t>
  </si>
  <si>
    <t>#NTVA5354</t>
  </si>
  <si>
    <t>251698620</t>
  </si>
  <si>
    <t>NOMBRE RETIRA: CRISTOBAL CRUZ . RUT RETIRA: 16000469-K</t>
  </si>
  <si>
    <t>CRISTÓBAL CRUZ</t>
  </si>
  <si>
    <t>Villa Don Camilo, Lago Ranco 22, Lago Ranco 22</t>
  </si>
  <si>
    <t>#NTVA5331</t>
  </si>
  <si>
    <t>251548028</t>
  </si>
  <si>
    <t>NOMBRE RETIRA: MAGDALENA MUNOZ . RUT RETIRA: 21819321-8</t>
  </si>
  <si>
    <t>Magdalena Muñoz</t>
  </si>
  <si>
    <t>Villa Teniente, Calle Mercurio 01752, Casa</t>
  </si>
  <si>
    <t>#NTVA5290</t>
  </si>
  <si>
    <t>251374189</t>
  </si>
  <si>
    <t>NOMBRE RETIRA: JUANVARLOS CAMUS N RUT RETIRA: 17807645-0</t>
  </si>
  <si>
    <t>Muelle Prat Sin Numero Piso 2, Restaurant Bote Salvavidas</t>
  </si>
  <si>
    <t>2025-08-16 13:05</t>
  </si>
  <si>
    <t>#NTVA5278</t>
  </si>
  <si>
    <t>251192476</t>
  </si>
  <si>
    <t>NOMBRE RETIRA: DANIELA GARRIDO . RUT RETIRA: 19852074-8</t>
  </si>
  <si>
    <t>Roberto Garrido González</t>
  </si>
  <si>
    <t>Pje Rafael Sanzio 2830, Villa Florencia</t>
  </si>
  <si>
    <t>#NTVA5251</t>
  </si>
  <si>
    <t>250933102</t>
  </si>
  <si>
    <t>NOMBRE RETIRA: DIEGO AGUILERA M RUT RETIRA: 21567275-1</t>
  </si>
  <si>
    <t>Diego Aguilera Reyes</t>
  </si>
  <si>
    <t>Avenida illanes 01616</t>
  </si>
  <si>
    <t>#NTVA5241</t>
  </si>
  <si>
    <t>250781389</t>
  </si>
  <si>
    <t>NOMBRE RETIRA: NICOLAS HERRERA . RUT RETIRA: 11109822-0</t>
  </si>
  <si>
    <t>Nicolas Herrera Espinoza</t>
  </si>
  <si>
    <t>Volcan Puyehue 2198</t>
  </si>
  <si>
    <t>#NTVA5234</t>
  </si>
  <si>
    <t>250702935</t>
  </si>
  <si>
    <t>NOMBRE RETIRA: CAROLINA GOMEZ .OMEO.W RUT RETIRA: 13749744-1</t>
  </si>
  <si>
    <t>Ignacio alexander Alfaro gomez</t>
  </si>
  <si>
    <t>Gabriel dazarola 763, Casa</t>
  </si>
  <si>
    <t>#NTVA5228</t>
  </si>
  <si>
    <t>250611084</t>
  </si>
  <si>
    <t>NOMBRE RETIRA: JORGE TORO . RUT RETIRA: 17791501-7</t>
  </si>
  <si>
    <t>ALBERTO MIÑO OLAVARRIA</t>
  </si>
  <si>
    <t>CALLE MELIPILLA 5TO SECTOR PLAYA ANCHA VALPARAISO, BLOCK 5A DPTO 13</t>
  </si>
  <si>
    <t>#NTVA5216</t>
  </si>
  <si>
    <t>250349795</t>
  </si>
  <si>
    <t>NOMBRE RETIRA: BETSY AVERSUA N RUT RETIRA: 12624725-7</t>
  </si>
  <si>
    <t>Vanessa Cataldo Abarzua</t>
  </si>
  <si>
    <t>Alemparte #0747, Casa</t>
  </si>
  <si>
    <t>#NTVA5212</t>
  </si>
  <si>
    <t>250349828</t>
  </si>
  <si>
    <t>NOMBRE RETIRA: MARIA LOBOS . RUT RETIRA: 10141063-3</t>
  </si>
  <si>
    <t>María José Lobos</t>
  </si>
  <si>
    <t>Lago caburga 1937 Villa Araucania, Rengo, Cada</t>
  </si>
  <si>
    <t>#NTVA5206</t>
  </si>
  <si>
    <t>250277433</t>
  </si>
  <si>
    <t>NOMBRE RETIRA: NICOLAS HERRERA . RUT RETIRA: 10435596-K</t>
  </si>
  <si>
    <t>volcan puyehue 2198, 2198</t>
  </si>
  <si>
    <t>#NTVA5256</t>
  </si>
  <si>
    <t>251027562</t>
  </si>
  <si>
    <t>NOMBRE RETIRA: SOLANGE GONZALEZ RE RUT RETIRA: 13092904-4</t>
  </si>
  <si>
    <t>Luis Nieva</t>
  </si>
  <si>
    <t>EdifÍcio Don Lorenzo, El Faro 15, Depto 1103</t>
  </si>
  <si>
    <t>#NTVA5332</t>
  </si>
  <si>
    <t>251548008</t>
  </si>
  <si>
    <t>NOMBRE RETIRA: JONATAN MELLADO 0 RUT RETIRA: 19574881-0</t>
  </si>
  <si>
    <t>Paula Leyton Vilches</t>
  </si>
  <si>
    <t>24 y media oriente con 5 norte, 1757</t>
  </si>
  <si>
    <t>#NTVA5309</t>
  </si>
  <si>
    <t>251461384</t>
  </si>
  <si>
    <t>NOMBRE RETIRA: BERTA VILLARROEL A RUT RETIRA: 14908468-1</t>
  </si>
  <si>
    <t>Michelle Madariaga</t>
  </si>
  <si>
    <t>Villa don Matías, pasaje Ramón Freire, Sarmiento, Curicó, 96</t>
  </si>
  <si>
    <t>#NTVA5292</t>
  </si>
  <si>
    <t>251374177</t>
  </si>
  <si>
    <t>NOMBRE RETIRA: SYLVIA ZANATA B RUT RETIRA: 12607161-2</t>
  </si>
  <si>
    <t>Francisco Javier Núñez Valenzuela</t>
  </si>
  <si>
    <t>21 Poniente 28 y 29 SUR 872 Talca, Condominio Jardin del Valle Departamento 301A</t>
  </si>
  <si>
    <t>#NTVA5284</t>
  </si>
  <si>
    <t>251267564</t>
  </si>
  <si>
    <t>NOMBRE RETIRA: YORKA ANDRADE H RUT RETIRA: 7374047-9</t>
  </si>
  <si>
    <t>Matías Ignacio Oyarce Bravo</t>
  </si>
  <si>
    <t>La Florida, 20 sur 6 poniente #266, Casa amarilla esquina dos pisos #266</t>
  </si>
  <si>
    <t>#NTVA5271</t>
  </si>
  <si>
    <t>251027382</t>
  </si>
  <si>
    <t>NOMBRE RETIRA: SYLVIA ZAPATA B RUT RETIRA: 12607161-2</t>
  </si>
  <si>
    <t>Calle 21 poniente 872, dpto 301A</t>
  </si>
  <si>
    <t>#NTVA5247</t>
  </si>
  <si>
    <t>250863561</t>
  </si>
  <si>
    <t>NOMBRE RETIRA: CATALINA RIVERO . RUT RETIRA: 21569251-5</t>
  </si>
  <si>
    <t>vicente riveros castillo</t>
  </si>
  <si>
    <t>7 1/2 oriente E 3723, departamento</t>
  </si>
  <si>
    <t>#NTVA5227</t>
  </si>
  <si>
    <t>250516640</t>
  </si>
  <si>
    <t>NOMBRE RETIRA: JAQUELINE AVILA .. RUT RETIRA: 10673989-7</t>
  </si>
  <si>
    <t>Fernando Jara Donoso</t>
  </si>
  <si>
    <t>Loteo el golf,22</t>
  </si>
  <si>
    <t>#NTVA5288</t>
  </si>
  <si>
    <t>251374204</t>
  </si>
  <si>
    <t>NOMBRE RETIRA: MARIO MORA M RUT RETIRA: 10721884-K</t>
  </si>
  <si>
    <t>Francisco Vigueras Gonzalez</t>
  </si>
  <si>
    <t>Las Heras 1025, 1608</t>
  </si>
  <si>
    <t>#NTVA5270</t>
  </si>
  <si>
    <t>251027400</t>
  </si>
  <si>
    <t>NOMBRE RETIRA: JOSE VELASQUEZ . RUT RETIRA: 18285158-2</t>
  </si>
  <si>
    <t>Jose Velasquez Santana</t>
  </si>
  <si>
    <t>Passje Canal El Refugio 6037</t>
  </si>
  <si>
    <t>#NTVA5257</t>
  </si>
  <si>
    <t>251027519</t>
  </si>
  <si>
    <t>NOMBRE RETIRA: PAULO PENAFIEL . RUT RETIRA: 18816881-7</t>
  </si>
  <si>
    <t>Jaime Muro bascur</t>
  </si>
  <si>
    <t>Senador estebanez 575, Dpto 801</t>
  </si>
  <si>
    <t>#NTVA5253</t>
  </si>
  <si>
    <t>250933077</t>
  </si>
  <si>
    <t>NOMBRE RETIRA: LORENA VALDEBENITO . RUT RETIRA: 12356971-7</t>
  </si>
  <si>
    <t>Benjamin Arroyo Valdebenito</t>
  </si>
  <si>
    <t>Pozo Almonte 561, 29</t>
  </si>
  <si>
    <t>#NTVA5223</t>
  </si>
  <si>
    <t>250516665</t>
  </si>
  <si>
    <t>NOMBRE RETIRA: NELSON SILVA . RUT RETIRA: 10875749-3</t>
  </si>
  <si>
    <t>Josue silva</t>
  </si>
  <si>
    <t>Arturo prat, Correos de chile</t>
  </si>
  <si>
    <t>#NTVA5396</t>
  </si>
  <si>
    <t>252147383</t>
  </si>
  <si>
    <t>NOMBRE RETIRA: JEDEON PIZARRO H RUT RETIRA: 53333480-6</t>
  </si>
  <si>
    <t>Ignacio Ekdahl</t>
  </si>
  <si>
    <t>Barros Arana 1672, 1801</t>
  </si>
  <si>
    <t>#NTVA5373</t>
  </si>
  <si>
    <t>251835494</t>
  </si>
  <si>
    <t>NOMBRE RETIRA: BRYAN DANILO . RUT RETIRA: 18686873-0</t>
  </si>
  <si>
    <t>Bryan Ruben Danilo Aguayo Muñoz</t>
  </si>
  <si>
    <t>Arturo Prat 775, Departamento 204</t>
  </si>
  <si>
    <t>#NTVA5340</t>
  </si>
  <si>
    <t>251626896</t>
  </si>
  <si>
    <t>NOMBRE RETIRA: RAIMUNDO ORTIZ M RUT RETIRA: 17989081-K</t>
  </si>
  <si>
    <t>Raimundo Ortiz moya</t>
  </si>
  <si>
    <t>Pasaje aliro Oyarzun 1929, Casa</t>
  </si>
  <si>
    <t>#NTVA5327</t>
  </si>
  <si>
    <t>251548046</t>
  </si>
  <si>
    <t>NOMBRE RETIRA: BENJAMIN CASTRO . RUT RETIRA: 19474912-0</t>
  </si>
  <si>
    <t>Matias Iubini Cortez</t>
  </si>
  <si>
    <t>Almirante Latorre 1430, Capitanía de Puerto de San Vicente</t>
  </si>
  <si>
    <t>#NTVA5317</t>
  </si>
  <si>
    <t>251461414</t>
  </si>
  <si>
    <t>NOMBRE RETIRA: KIMBERLU . . RUT RETIRA: 28327014-9</t>
  </si>
  <si>
    <t>Casa, Berna 3051</t>
  </si>
  <si>
    <t>#NTVA5312</t>
  </si>
  <si>
    <t>251461398</t>
  </si>
  <si>
    <t>NOMBRE RETIRA: TERESA FIGUEROA . RUT RETIRA: 10655144-8</t>
  </si>
  <si>
    <t>Ruben Benitez Figueroa</t>
  </si>
  <si>
    <t>Población Irene Frei, pasaje ocho 24, Casa numero 24</t>
  </si>
  <si>
    <t>#NTVA5286</t>
  </si>
  <si>
    <t>251374196</t>
  </si>
  <si>
    <t>NOMBRE RETIRA: CAMILA MUNOZ . RUT RETIRA: 15519880-K</t>
  </si>
  <si>
    <t>Camila Lagos Alvarez</t>
  </si>
  <si>
    <t>Rio petrohue 1053 coronel yobilo 2, Casa</t>
  </si>
  <si>
    <t>#NTVA5302</t>
  </si>
  <si>
    <t>251461346</t>
  </si>
  <si>
    <t>NOMBRE RETIRA: MARIA ISABEL SOTO RUT RETIRA: 12380331-0</t>
  </si>
  <si>
    <t>Marcelo Soto</t>
  </si>
  <si>
    <t>Monseñor alarcon 138, Es casa interior, tiene un porton rojo</t>
  </si>
  <si>
    <t>#NTVA5293</t>
  </si>
  <si>
    <t>251374156</t>
  </si>
  <si>
    <t>Ramon Carrasco 239, Condominio Antilhue casa 46</t>
  </si>
  <si>
    <t>#NTVA5279</t>
  </si>
  <si>
    <t>251192481</t>
  </si>
  <si>
    <t>NOMBRE RETIRA: GLORIA MELOUSLAN R RUT RETIRA: 4906029-7</t>
  </si>
  <si>
    <t>Victor Arriagada</t>
  </si>
  <si>
    <t>Pasaje 4, N°407 Villa Pie de Monte, Chiguayante, Casa</t>
  </si>
  <si>
    <t>#NTVA5269</t>
  </si>
  <si>
    <t>251027389</t>
  </si>
  <si>
    <t>NOMBRE RETIRA: ALFONSO LOPEZ . RUT RETIRA: 6672912-5</t>
  </si>
  <si>
    <t>alfonso lopez barrera</t>
  </si>
  <si>
    <t>poblacion el roble pasaje 3 sur casa 988, poblacion el roble pasaje 3 sur casa 988</t>
  </si>
  <si>
    <t>#NTVA5258</t>
  </si>
  <si>
    <t>251027526</t>
  </si>
  <si>
    <t>NOMBRE RETIRA: MAXI PON . RUT RETIRA: 13951536-6</t>
  </si>
  <si>
    <t>maximiliano pin</t>
  </si>
  <si>
    <t>santa teresa de los andes 27, condominio don fernando casa 13</t>
  </si>
  <si>
    <t>#NTVA5237</t>
  </si>
  <si>
    <t>250781395</t>
  </si>
  <si>
    <t>NOMBRE RETIRA: DANIELA CONTRERAS . RUT RETIRA: 23779232-7</t>
  </si>
  <si>
    <t>Anaís Contreras Gutiérrez</t>
  </si>
  <si>
    <t>Pasaje 23, #7611, Casa, se ingresa por Calle Interior 12</t>
  </si>
  <si>
    <t>#NTVA5243</t>
  </si>
  <si>
    <t>250781351</t>
  </si>
  <si>
    <t>NOMBRE RETIRA: SERGIO ARRIAGADA . RUT RETIRA: 5065268-8</t>
  </si>
  <si>
    <t>#NTVA5214</t>
  </si>
  <si>
    <t>250349790</t>
  </si>
  <si>
    <t>NOMBRE RETIRA: MATIAS VASQUEZ . RUT RETIRA: 19619827-K</t>
  </si>
  <si>
    <t>Matias Vasquez Barraza</t>
  </si>
  <si>
    <t>Pasaje 25 casa 4377 San Marcos 2000, Casa 4377</t>
  </si>
  <si>
    <t>#NTVA5207</t>
  </si>
  <si>
    <t>250277450</t>
  </si>
  <si>
    <t>NOMBRE RETIRA: MARCOS INOSTROZA . RUT RETIRA: 12525735-6</t>
  </si>
  <si>
    <t>Marilyn Cifuentes saez</t>
  </si>
  <si>
    <t>Torreón 2650, Concepción, Casa</t>
  </si>
  <si>
    <t>#NTVA5347</t>
  </si>
  <si>
    <t>251698612</t>
  </si>
  <si>
    <t>NOMBRE RETIRA: NICOL ROMERO . RUT RETIRA: 19666307-K</t>
  </si>
  <si>
    <t>Jorge Quiroz castillo</t>
  </si>
  <si>
    <t>Eduardo de la barra 242, Villa talinay</t>
  </si>
  <si>
    <t>#NTVA5320</t>
  </si>
  <si>
    <t>251461443</t>
  </si>
  <si>
    <t>NOMBRE RETIRA: MARTA CURAZ . RUT RETIRA: 4994958-8</t>
  </si>
  <si>
    <t>Colón 428, casa</t>
  </si>
  <si>
    <t>#NTVA5295</t>
  </si>
  <si>
    <t>251374175</t>
  </si>
  <si>
    <t>NOMBRE RETIRA: FLORENCIA OJEDA . RUT RETIRA: 23192329-2</t>
  </si>
  <si>
    <t>Florencia Ojeda</t>
  </si>
  <si>
    <t>Avenida Rodolfo Wagenknecht 2794</t>
  </si>
  <si>
    <t>#NTVA5276</t>
  </si>
  <si>
    <t>251192491</t>
  </si>
  <si>
    <t>NOMBRE RETIRA: DILAN OLIVAR S . RUT RETIRA: 20556092-0</t>
  </si>
  <si>
    <t>Dilan Olivares</t>
  </si>
  <si>
    <t>4 oriente casa n7, Casa</t>
  </si>
  <si>
    <t>#NTVA5221</t>
  </si>
  <si>
    <t>250421010</t>
  </si>
  <si>
    <t>NOMBRE RETIRA: VINCENZO MURA . RUT RETIRA: 20213678-8</t>
  </si>
  <si>
    <t>patricia muñoz carter</t>
  </si>
  <si>
    <t>rio tomes 1126, casa</t>
  </si>
  <si>
    <t>2025-08-02 13:01</t>
  </si>
  <si>
    <t>#NTVA5203</t>
  </si>
  <si>
    <t>250279331</t>
  </si>
  <si>
    <t>NOMBRE RETIRA: JOAQUIN HENRIQUEZ __ RUT RETIRA: 22786362-5</t>
  </si>
  <si>
    <t>Joaquin Henriquez</t>
  </si>
  <si>
    <t>Avenida el bosque 1431, Casa</t>
  </si>
  <si>
    <t>#NTVA5374</t>
  </si>
  <si>
    <t>251835618</t>
  </si>
  <si>
    <t>NOMBRE RETIRA: BRAYAN ROUNET . RUT RETIRA: 12345678-5</t>
  </si>
  <si>
    <t>Braian Rouanet</t>
  </si>
  <si>
    <t>Uruguay 235, Oficina 3, departamento niñez</t>
  </si>
  <si>
    <t>#NTVA5349</t>
  </si>
  <si>
    <t>251698640</t>
  </si>
  <si>
    <t>NOMBRE RETIRA: PEDRO VARGAS HB RUT RETIRA: 17067982-2</t>
  </si>
  <si>
    <t>Leandro Otey diaz</t>
  </si>
  <si>
    <t>Pedro Ruiz Manríquez 11, Casa</t>
  </si>
  <si>
    <t>#NTVA5321</t>
  </si>
  <si>
    <t>251548115</t>
  </si>
  <si>
    <t>NOMBRE RETIRA: BARBARA SEPULVEDA X RUT RETIRA: 18848665-7</t>
  </si>
  <si>
    <t>San Francisco 1485, Minimarket Chalo</t>
  </si>
  <si>
    <t>#NTVA5333</t>
  </si>
  <si>
    <t>251547985</t>
  </si>
  <si>
    <t>NOMBRE RETIRA: ESTEBAN ROJAS K RUT RETIRA: 12593992-9</t>
  </si>
  <si>
    <t>Esteban Rojas kram</t>
  </si>
  <si>
    <t>Los bananos 2469</t>
  </si>
  <si>
    <t>#NTVA5299</t>
  </si>
  <si>
    <t>251374170</t>
  </si>
  <si>
    <t>Benjamin Baeza Daettwyler</t>
  </si>
  <si>
    <t>Avenida Los Pablos 2500, Departamento 301</t>
  </si>
  <si>
    <t>#NTVA5259</t>
  </si>
  <si>
    <t>251027471</t>
  </si>
  <si>
    <t>NOMBRE RETIRA: JORGE RUIZ . RUT RETIRA: 12345678-5</t>
  </si>
  <si>
    <t>Jorge Ruiz Diaz</t>
  </si>
  <si>
    <t>Camino al volcan Bella Vista primera entrada a la derecha, Parcelas soumaley, por el recinto municipal.</t>
  </si>
  <si>
    <t>#NTVA5260</t>
  </si>
  <si>
    <t>251027466</t>
  </si>
  <si>
    <t>NOMBRE RETIRA: FRANCISCO ARAVENA . RUT RETIRA: 10558077-0</t>
  </si>
  <si>
    <t>Francisca Aravena gonzalez</t>
  </si>
  <si>
    <t>Jose fruto saez 753, Casa 753</t>
  </si>
  <si>
    <t>#NTVA5266</t>
  </si>
  <si>
    <t>251027423</t>
  </si>
  <si>
    <t>NOMBRE RETIRA: ELIZABETH JAQUE M RUT RETIRA: 13396185-2</t>
  </si>
  <si>
    <t>Elizabeth jaque</t>
  </si>
  <si>
    <t>VÍctor Manuel Estay 0701, Casa 0701, casa 0701</t>
  </si>
  <si>
    <t>#NTVA5268</t>
  </si>
  <si>
    <t>251027312</t>
  </si>
  <si>
    <t>NOMBRE RETIRA: SILVIA MILLANAO . RUT RETIRA: 13112585-2</t>
  </si>
  <si>
    <t>Jose Ignacio Boehmwald Muñoz</t>
  </si>
  <si>
    <t>Calatayud 290</t>
  </si>
  <si>
    <t>#NTVA5226</t>
  </si>
  <si>
    <t>250516629</t>
  </si>
  <si>
    <t>NOMBRE RETIRA: DIEGO RIVAS MARIN RUT RETIRA: 22191953-K</t>
  </si>
  <si>
    <t>Diego Rivas Marín</t>
  </si>
  <si>
    <t>Pasaje mina guanaquita 747</t>
  </si>
  <si>
    <t>#NTVA5208</t>
  </si>
  <si>
    <t>250277435</t>
  </si>
  <si>
    <t>NOMBRE RETIRA: YOAGNI LEAL . RUT RETIRA: 26896495-9</t>
  </si>
  <si>
    <t>Eric Hernández</t>
  </si>
  <si>
    <t>volcan lascar 113</t>
  </si>
  <si>
    <t>#NTVA5318</t>
  </si>
  <si>
    <t>251461409</t>
  </si>
  <si>
    <t>NOMBRE RETIRA: JAVIERA CASTILLO . RUT RETIRA: 19287018-6</t>
  </si>
  <si>
    <t>JAVIERA CASTILLO JARA</t>
  </si>
  <si>
    <t>Tucapel 1207 , lomas 4, Casa</t>
  </si>
  <si>
    <t>#NTVA5165</t>
  </si>
  <si>
    <t>9349054923</t>
  </si>
  <si>
    <t>José Smith</t>
  </si>
  <si>
    <t>Correoschile, Prado Tagle 156, Casilla 208</t>
  </si>
  <si>
    <t>2025-07-24 12:41</t>
  </si>
  <si>
    <t>#NTVA5303</t>
  </si>
  <si>
    <t>251461353</t>
  </si>
  <si>
    <t>NOMBRE RETIRA: RUTH CHAVEZ .. RUT RETIRA: 17736384-7</t>
  </si>
  <si>
    <t>Javier Mera</t>
  </si>
  <si>
    <t>Avenida Cerro Paranal 380, 186C</t>
  </si>
  <si>
    <t>#NTVA5200</t>
  </si>
  <si>
    <t>250130271</t>
  </si>
  <si>
    <t>NOMBRE RETIRA: JOSADAC VELIZ X RUT RETIRA: 21457829-8</t>
  </si>
  <si>
    <t>Josadac Veliz Ubilla</t>
  </si>
  <si>
    <t>Pasaje Sloman, 616</t>
  </si>
  <si>
    <t>2025-07-29 11:56</t>
  </si>
  <si>
    <t>#NTVA5218</t>
  </si>
  <si>
    <t>250421015</t>
  </si>
  <si>
    <t>NOMBRE RETIRA: CAMILO ALVAREZ . RUT RETIRA: 17159543-6</t>
  </si>
  <si>
    <t>Camilo Álvarez valenzuela</t>
  </si>
  <si>
    <t>Pasaje conde duque, 1674</t>
  </si>
  <si>
    <t>#NTVA5311</t>
  </si>
  <si>
    <t>251461392</t>
  </si>
  <si>
    <t>NOMBRE RETIRA: NESOLN FIERRO Q RUT RETIRA: 11233813-6</t>
  </si>
  <si>
    <t>Nelson Fierro Torres</t>
  </si>
  <si>
    <t>Paramaribo 2126, Casa</t>
  </si>
  <si>
    <t>#NTVA5187</t>
  </si>
  <si>
    <t>250047506</t>
  </si>
  <si>
    <t>NOMBRE RETIRA: CARLA ROBLES . RUT RETIRA: 13174917-1</t>
  </si>
  <si>
    <t>Diego González Muñoz</t>
  </si>
  <si>
    <t>Calle Astilla, 907. Vallenar. Villa los Yacimientos., Casa</t>
  </si>
  <si>
    <t>#NTVA5199</t>
  </si>
  <si>
    <t>712929904702</t>
  </si>
  <si>
    <t>Catalina Riveros</t>
  </si>
  <si>
    <t>Juanita Fernández 1019 Villa Santa Teresita, Casa roja esquina lado de plazoleta</t>
  </si>
  <si>
    <t>#NTVA5273</t>
  </si>
  <si>
    <t>712935020534</t>
  </si>
  <si>
    <t>Nombre: Elena Rodriguez - Rut: 141666339</t>
  </si>
  <si>
    <t>El Poleo 06361</t>
  </si>
  <si>
    <t>#NTVA5232</t>
  </si>
  <si>
    <t>712932469723</t>
  </si>
  <si>
    <t>Nombre: Claudia artigas - Rut: 116968681</t>
  </si>
  <si>
    <t>Claudia Artigas Menares</t>
  </si>
  <si>
    <t>Egaña 846 B, Casa, reja gris</t>
  </si>
  <si>
    <t>#NTVA5308</t>
  </si>
  <si>
    <t>9363023434</t>
  </si>
  <si>
    <t>cristofer Perez Aguilera</t>
  </si>
  <si>
    <t>Las palmas de arriba callejón los Pérez 080</t>
  </si>
  <si>
    <t>#NTVA5188</t>
  </si>
  <si>
    <t>9355371432</t>
  </si>
  <si>
    <t>Gonzalo De la fuente israel</t>
  </si>
  <si>
    <t>Los espinos 3356, las vertientes</t>
  </si>
  <si>
    <t>#NTVA5195</t>
  </si>
  <si>
    <t>9356345740</t>
  </si>
  <si>
    <t>Nicolás Iribarren Areco</t>
  </si>
  <si>
    <t>Las Cinerarias 1155, Concón</t>
  </si>
  <si>
    <t>RCT CHILE</t>
  </si>
  <si>
    <t>Andrea Gomara</t>
  </si>
  <si>
    <t>Tomas moro 895, Depto 114</t>
  </si>
  <si>
    <t>10916</t>
  </si>
  <si>
    <t>9352494222</t>
  </si>
  <si>
    <t>Ocurica y Leonor</t>
  </si>
  <si>
    <t>2025-07-21 16:57</t>
  </si>
  <si>
    <t>11174</t>
  </si>
  <si>
    <t>Gustavo Jorquera León</t>
  </si>
  <si>
    <t>Pirámide 1000</t>
  </si>
  <si>
    <t>2025-08-13 20:50</t>
  </si>
  <si>
    <t>11162</t>
  </si>
  <si>
    <t>Victor Pucci Labatut</t>
  </si>
  <si>
    <t>Los Queltehues 11796</t>
  </si>
  <si>
    <t>11067</t>
  </si>
  <si>
    <t>FERNANDA BAEZA FERNANDEZ</t>
  </si>
  <si>
    <t>AVENIDA MARIANO SANCHEZ FONTECILLA 13500</t>
  </si>
  <si>
    <t>Alvaro Muller ramos</t>
  </si>
  <si>
    <t>Rio lontud 776</t>
  </si>
  <si>
    <t>11142</t>
  </si>
  <si>
    <t>Alejandra gonzález</t>
  </si>
  <si>
    <t>miraflores 6129 r</t>
  </si>
  <si>
    <t>10992</t>
  </si>
  <si>
    <t>9355104463</t>
  </si>
  <si>
    <t>Miguel Zúñiga</t>
  </si>
  <si>
    <t>Berlin 824</t>
  </si>
  <si>
    <t>2025-07-25 21:17</t>
  </si>
  <si>
    <t>10988</t>
  </si>
  <si>
    <t>9355963072</t>
  </si>
  <si>
    <t>Juan Aguilar catalan</t>
  </si>
  <si>
    <t>Gacitua # 21</t>
  </si>
  <si>
    <t>2025-07-25 11:05</t>
  </si>
  <si>
    <t>11222</t>
  </si>
  <si>
    <t>9357304364</t>
  </si>
  <si>
    <t>Pedro Gonzalez flores</t>
  </si>
  <si>
    <t>jj Oliver 811 san Juan coquimbo</t>
  </si>
  <si>
    <t>11179</t>
  </si>
  <si>
    <t>9363016073</t>
  </si>
  <si>
    <t>Dulcelina santander Espinoza</t>
  </si>
  <si>
    <t>San Francisco 78 Gabriela Mistral, Lirquen</t>
  </si>
  <si>
    <t>11211</t>
  </si>
  <si>
    <t>9356731521</t>
  </si>
  <si>
    <t>ANDREA ARELLANO FERNANDEZ</t>
  </si>
  <si>
    <t>PINTOR GUSTAVO CABELLO OLGUIN 835 DPTO 106</t>
  </si>
  <si>
    <t>2025-08-19 14:07</t>
  </si>
  <si>
    <t>9363845245</t>
  </si>
  <si>
    <t>Daniel Ernesto Zepeda Astudillo</t>
  </si>
  <si>
    <t>Obispo Francisco Gonzalez De Jalledo 2711, la cantera</t>
  </si>
  <si>
    <t>9356465613</t>
  </si>
  <si>
    <t>Gustavo Eduardo Espinoza González</t>
  </si>
  <si>
    <t>Dr Edmundo Luchsinger</t>
  </si>
  <si>
    <t>9363252205</t>
  </si>
  <si>
    <t>SERGIO ACUÑA</t>
  </si>
  <si>
    <t>julio ramirez 2307</t>
  </si>
  <si>
    <t>2025-08-19 00:23</t>
  </si>
  <si>
    <t>9363488654</t>
  </si>
  <si>
    <t>2025-08-16 13:54</t>
  </si>
  <si>
    <t>9363205596</t>
  </si>
  <si>
    <t>Benjamin Rifo Arenas</t>
  </si>
  <si>
    <t>Camino Santa Ana Ruta G-398, Condominio Santa Isabel, 50.</t>
  </si>
  <si>
    <t>2025-08-16 13:15</t>
  </si>
  <si>
    <t>9363889091</t>
  </si>
  <si>
    <t>Jaime Venegas Robles</t>
  </si>
  <si>
    <t>Calle El Lucumillo 414</t>
  </si>
  <si>
    <t>2025-08-18 18:39</t>
  </si>
  <si>
    <t>9360120092</t>
  </si>
  <si>
    <t>juan carlos burgos vargas</t>
  </si>
  <si>
    <t>alberto vanz 2677 - quellon</t>
  </si>
  <si>
    <t>2025-08-08 22:54</t>
  </si>
  <si>
    <t>9358041836</t>
  </si>
  <si>
    <t>Felipe Taucare Cruz</t>
  </si>
  <si>
    <t>Avenida Salvador Allende Gossens 450 Torre Reina Isabel depto 1008</t>
  </si>
  <si>
    <t>11159</t>
  </si>
  <si>
    <t>9359641804</t>
  </si>
  <si>
    <t>Víctor manuel Galea naranjo</t>
  </si>
  <si>
    <t>Matucana #666</t>
  </si>
  <si>
    <t>9358053121</t>
  </si>
  <si>
    <t>Hernán Rojas muñoz</t>
  </si>
  <si>
    <t>Camino Las Flores 1076</t>
  </si>
  <si>
    <t>11166</t>
  </si>
  <si>
    <t>9360119075</t>
  </si>
  <si>
    <t>francisco Olate Gonzalez</t>
  </si>
  <si>
    <t>avenida libertad 1155A</t>
  </si>
  <si>
    <t>9359383375</t>
  </si>
  <si>
    <t>Carlos Soto Yunge</t>
  </si>
  <si>
    <t>camino interior jardin del este 2548, condominio del real 2 casa 4</t>
  </si>
  <si>
    <t>9359360544</t>
  </si>
  <si>
    <t>Giovanny Herrera</t>
  </si>
  <si>
    <t>Avenida Torreones Oeste 1986 casa 24 condominio asturias lomas de bella vista</t>
  </si>
  <si>
    <t>2025-08-10 16:29</t>
  </si>
  <si>
    <t>9359972462</t>
  </si>
  <si>
    <t>Leodan Iraira</t>
  </si>
  <si>
    <t>Av 731</t>
  </si>
  <si>
    <t>2025-08-10 12:45</t>
  </si>
  <si>
    <t>RCT1108251</t>
  </si>
  <si>
    <t>9359450472</t>
  </si>
  <si>
    <t>Alexis Fabián Antimil Millanao</t>
  </si>
  <si>
    <t>Llanos de cogotí 681</t>
  </si>
  <si>
    <t>11028</t>
  </si>
  <si>
    <t>9359733622</t>
  </si>
  <si>
    <t>Eugenio De La Fuente</t>
  </si>
  <si>
    <t>Calle Nueva 834</t>
  </si>
  <si>
    <t>9357818046</t>
  </si>
  <si>
    <t>Diego Alvarez Besa</t>
  </si>
  <si>
    <t>Loteo Santa Margarita De Huilquilemu, lote 23</t>
  </si>
  <si>
    <t>9357347786</t>
  </si>
  <si>
    <t>Hector Rubilar Saavedra</t>
  </si>
  <si>
    <t>Ohiggins 937, Casa 31 (timbre malo, llamar 940098590)</t>
  </si>
  <si>
    <t>9359228675</t>
  </si>
  <si>
    <t>Alfredo Donoso Parot</t>
  </si>
  <si>
    <t>camino al agua 79</t>
  </si>
  <si>
    <t>9360177035</t>
  </si>
  <si>
    <t>PAOLA VIVIANA COLAIACOVO</t>
  </si>
  <si>
    <t>DOCTOR ANGEL MENENDEZ 1910</t>
  </si>
  <si>
    <t>2025-08-07 01:03</t>
  </si>
  <si>
    <t>11036</t>
  </si>
  <si>
    <t>9362832463</t>
  </si>
  <si>
    <t>Nicolás Fica Mira</t>
  </si>
  <si>
    <t>Lincoln Norte 2200, dpto 1097</t>
  </si>
  <si>
    <t>9362350572</t>
  </si>
  <si>
    <t>Ronald Novoa carretti</t>
  </si>
  <si>
    <t>Pasaje 16 casa 22 Villa cap</t>
  </si>
  <si>
    <t>11056</t>
  </si>
  <si>
    <t>9362676330</t>
  </si>
  <si>
    <t>Matias Alejandro Cortes Loo</t>
  </si>
  <si>
    <t>Genaro Gallo #2261</t>
  </si>
  <si>
    <t>11034</t>
  </si>
  <si>
    <t>9362154384</t>
  </si>
  <si>
    <t>Hugo Villanueva Sepulveda</t>
  </si>
  <si>
    <t>Camino Padre Hurtado 12551</t>
  </si>
  <si>
    <t>2025-08-04 17:57</t>
  </si>
  <si>
    <t>11141</t>
  </si>
  <si>
    <t>9360661575</t>
  </si>
  <si>
    <t>Paula Andrea Soto Baes</t>
  </si>
  <si>
    <t>Cruz 414</t>
  </si>
  <si>
    <t>2025-08-07 08:46</t>
  </si>
  <si>
    <t>11011</t>
  </si>
  <si>
    <t>9362250435</t>
  </si>
  <si>
    <t>Carlos Marin morales</t>
  </si>
  <si>
    <t>Chorrillos 1146</t>
  </si>
  <si>
    <t>2025-08-02 15:53</t>
  </si>
  <si>
    <t>11065</t>
  </si>
  <si>
    <t>9360799416</t>
  </si>
  <si>
    <t>Manuel Mejias</t>
  </si>
  <si>
    <t>Ruta 27 ch, intersección ruta b241. Estación Copec</t>
  </si>
  <si>
    <t>11046</t>
  </si>
  <si>
    <t>9360291356</t>
  </si>
  <si>
    <t>Asesores Seguhogar</t>
  </si>
  <si>
    <t>Queulat 1148 Villa España</t>
  </si>
  <si>
    <t>2025-08-05 19:25</t>
  </si>
  <si>
    <t>11052</t>
  </si>
  <si>
    <t>9360421910</t>
  </si>
  <si>
    <t>Felipe Andrés Soto</t>
  </si>
  <si>
    <t>Avenida El Rodeo Norte 1613, casa 47</t>
  </si>
  <si>
    <t>2025-08-06 02:54</t>
  </si>
  <si>
    <t>11054</t>
  </si>
  <si>
    <t>9360601250</t>
  </si>
  <si>
    <t>Aldo Esteban Medina Miranda</t>
  </si>
  <si>
    <t>Pasaje ocho 791, villa eucaliptus</t>
  </si>
  <si>
    <t>11029</t>
  </si>
  <si>
    <t>9362343443</t>
  </si>
  <si>
    <t>Marco Bertolini</t>
  </si>
  <si>
    <t>Alfonso Alcalde 1178</t>
  </si>
  <si>
    <t>11138</t>
  </si>
  <si>
    <t>9360679333</t>
  </si>
  <si>
    <t>Mucia Yañez Muñoz</t>
  </si>
  <si>
    <t>Traumen 1781 dpto 505</t>
  </si>
  <si>
    <t>2025-08-06 22:28</t>
  </si>
  <si>
    <t>11007</t>
  </si>
  <si>
    <t>9362399572</t>
  </si>
  <si>
    <t>Barbara Andrea Saez Rodriguez</t>
  </si>
  <si>
    <t>Ohiggins 096, Poblacion Cooperativa limitada Cañete</t>
  </si>
  <si>
    <t>11010</t>
  </si>
  <si>
    <t>9362976243</t>
  </si>
  <si>
    <t>Nathalie Michelle Gross Pizarro</t>
  </si>
  <si>
    <t>Balmaceda #5371 casa 37</t>
  </si>
  <si>
    <t>11018</t>
  </si>
  <si>
    <t>9362161336</t>
  </si>
  <si>
    <t>Alexis Canelo</t>
  </si>
  <si>
    <t>Eduardo Alquinta 1260, Casa 200</t>
  </si>
  <si>
    <t>2025-08-03 02:51</t>
  </si>
  <si>
    <t>11023</t>
  </si>
  <si>
    <t>9362443731</t>
  </si>
  <si>
    <t>Tomas Roco olmos</t>
  </si>
  <si>
    <t>Navío San Martín 395</t>
  </si>
  <si>
    <t>11037</t>
  </si>
  <si>
    <t>9360320756</t>
  </si>
  <si>
    <t>Lucas Borje cea</t>
  </si>
  <si>
    <t>Avenida alto bio bio 790, sucursal correos de chile</t>
  </si>
  <si>
    <t>11050</t>
  </si>
  <si>
    <t>9362750821</t>
  </si>
  <si>
    <t>Sofia Oyarzun</t>
  </si>
  <si>
    <t>Libertad 1279</t>
  </si>
  <si>
    <t>2025-08-05 22:07</t>
  </si>
  <si>
    <t>10996</t>
  </si>
  <si>
    <t>9355344972</t>
  </si>
  <si>
    <t>Carlos Elgueta Soto</t>
  </si>
  <si>
    <t>Parcelación Los Arrayanes , Parcela 13</t>
  </si>
  <si>
    <t>2025-07-27 17:01</t>
  </si>
  <si>
    <t>11003</t>
  </si>
  <si>
    <t>9358820085</t>
  </si>
  <si>
    <t>felipe carcamo</t>
  </si>
  <si>
    <t>liagora 440</t>
  </si>
  <si>
    <t>REL74777</t>
  </si>
  <si>
    <t>252062392</t>
  </si>
  <si>
    <t>RELAJARTE</t>
  </si>
  <si>
    <t>NOMBRE RETIRA: FERNANDA ARANCIBIA . RUT RETIRA: 19692915-0</t>
  </si>
  <si>
    <t>Fernanda Arancibia Pizarro</t>
  </si>
  <si>
    <t>Av. Alcalde Fernando Castillo Velasco 8146</t>
  </si>
  <si>
    <t>Rebeca Mate 650, Departamento 103</t>
  </si>
  <si>
    <t>REL74780</t>
  </si>
  <si>
    <t>252062365</t>
  </si>
  <si>
    <t>NOMBRE RETIRA: ALICIA MANQUEO . RUT RETIRA: 11441774-2</t>
  </si>
  <si>
    <t>Claudio López</t>
  </si>
  <si>
    <t>Ricaventura 10651, Casa 37</t>
  </si>
  <si>
    <t>REL74755</t>
  </si>
  <si>
    <t>252062472</t>
  </si>
  <si>
    <t>NOMBRE RETIRA: IRIS SIATEZ M RUT RETIRA: 8727709-7</t>
  </si>
  <si>
    <t>Claudia Jopia Sarmiento</t>
  </si>
  <si>
    <t>Avenida Cerro Paranal 360, Departamento 132</t>
  </si>
  <si>
    <t>REL74476</t>
  </si>
  <si>
    <t>251448949</t>
  </si>
  <si>
    <t>NOMBRE RETIRA: FRANCO ANSALDI P RUT RETIRA: 8711350-7</t>
  </si>
  <si>
    <t>Franco Ansaldi</t>
  </si>
  <si>
    <t>Arturo Prat 283, Casa</t>
  </si>
  <si>
    <t>REL74408</t>
  </si>
  <si>
    <t>251449323</t>
  </si>
  <si>
    <t>NOMBRE RETIRA: ARIEL CORVALAN . RUT RETIRA: 16055328-6</t>
  </si>
  <si>
    <t>Obispo labbe 1268, Dpto 2104</t>
  </si>
  <si>
    <t>REL74483</t>
  </si>
  <si>
    <t>251448960</t>
  </si>
  <si>
    <t>NOMBRE RETIRA: DANIEL FREDES . RUT RETIRA: 10249568-3</t>
  </si>
  <si>
    <t>Daniel Fredes</t>
  </si>
  <si>
    <t>Av. Santiago Arata 4075, Depto E 53</t>
  </si>
  <si>
    <t>REL74521</t>
  </si>
  <si>
    <t>251539282</t>
  </si>
  <si>
    <t>NOMBRE RETIRA: BASTHIAN CERDA . RUT RETIRA: 16884277-5</t>
  </si>
  <si>
    <t>Basthian Cerda Valdes</t>
  </si>
  <si>
    <t>Pasaje Cancosa 2398, Villa Alameda, Rancagua, Segunda casa del pasaje</t>
  </si>
  <si>
    <t>REL74443</t>
  </si>
  <si>
    <t>251449172</t>
  </si>
  <si>
    <t>NOMBRE RETIRA: FREDY LOPEZ ... RUT RETIRA: 17354890-7</t>
  </si>
  <si>
    <t>Valeska Lopez Palacios</t>
  </si>
  <si>
    <t>Borinquen 163 recreo, Casa 163</t>
  </si>
  <si>
    <t>REL74396</t>
  </si>
  <si>
    <t>251449392</t>
  </si>
  <si>
    <t>NOMBRE RETIRA: GUEIDA CHACEZ C RUT RETIRA: 28602059-3</t>
  </si>
  <si>
    <t>Rosa Delgado Saez</t>
  </si>
  <si>
    <t>Avda. Salvador Allende 560, Departamento 1804-A</t>
  </si>
  <si>
    <t>REL74394</t>
  </si>
  <si>
    <t>251449358</t>
  </si>
  <si>
    <t>NOMBRE RETIRA: RAUL TELLO . RUT RETIRA: 10152946-0</t>
  </si>
  <si>
    <t>Xabiera Alzaga Carvajal</t>
  </si>
  <si>
    <t>Sierra Nevada 10464, Depto A72</t>
  </si>
  <si>
    <t>REL74461</t>
  </si>
  <si>
    <t>251449110</t>
  </si>
  <si>
    <t>NOMBRE RETIRA: ANA MOLINA . RUT RETIRA: 7232825-6</t>
  </si>
  <si>
    <t>Ana belen Molina fuentes</t>
  </si>
  <si>
    <t>ministro Zenteno 928, Entre Av. San San Martín Y Bernardo O'Higgins, Esquina de callejón Zenteno con Zenteno</t>
  </si>
  <si>
    <t>REL74487</t>
  </si>
  <si>
    <t>251448917</t>
  </si>
  <si>
    <t>NOMBRE RETIRA: ENIO BELMONTE . RUT RETIRA: 17747431-2</t>
  </si>
  <si>
    <t>Enio Belmonte</t>
  </si>
  <si>
    <t>Medio Poniente 1080 Entre 11 Y 12 Norte, Casa</t>
  </si>
  <si>
    <t>REL74389</t>
  </si>
  <si>
    <t>251449426</t>
  </si>
  <si>
    <t>NOMBRE RETIRA: HECTOR NECULMAN . RUT RETIRA: 10023544-7</t>
  </si>
  <si>
    <t>Sandra Neculman</t>
  </si>
  <si>
    <t>Tupanes 1461</t>
  </si>
  <si>
    <t>REL74421</t>
  </si>
  <si>
    <t>251449246</t>
  </si>
  <si>
    <t>NOMBRE RETIRA: JESSICA SOTO H RUT RETIRA: 13852279-2</t>
  </si>
  <si>
    <t>Jessica Soto</t>
  </si>
  <si>
    <t>Rawson 334, Local Rapa nui</t>
  </si>
  <si>
    <t>REL74457</t>
  </si>
  <si>
    <t>251449138</t>
  </si>
  <si>
    <t>NOMBRE RETIRA: PAULINA PALMA H RUT RETIRA: 11206660-8</t>
  </si>
  <si>
    <t>Alejandra Benavides Palma</t>
  </si>
  <si>
    <t>Nazran 2658, 2658 (casa)</t>
  </si>
  <si>
    <t>REL74413</t>
  </si>
  <si>
    <t>251449302</t>
  </si>
  <si>
    <t>NOMBRE RETIRA: CLAUDIA PASTEN , RUT RETIRA: 15069303-9</t>
  </si>
  <si>
    <t>Claudia Pasten</t>
  </si>
  <si>
    <t>Altair 2645</t>
  </si>
  <si>
    <t>REL74385</t>
  </si>
  <si>
    <t>251449436</t>
  </si>
  <si>
    <t>NOMBRE RETIRA: ISAN ANACONAN EE RUT RETIRA: 65059547-5</t>
  </si>
  <si>
    <t>Darío Salas 1011, Departamento 1106 torre 1</t>
  </si>
  <si>
    <t>REL74397</t>
  </si>
  <si>
    <t>251449388</t>
  </si>
  <si>
    <t>Caroll Vasquez</t>
  </si>
  <si>
    <t>Los jardines 1029, Casa</t>
  </si>
  <si>
    <t>REL74444</t>
  </si>
  <si>
    <t>251449155</t>
  </si>
  <si>
    <t>NOMBRE RETIRA: CLAUDINS AGUAYO LA RUT RETIRA: 15988892-4</t>
  </si>
  <si>
    <t>CLAUDINA AGUAYO</t>
  </si>
  <si>
    <t>Prieto Norte 303, Depto 907</t>
  </si>
  <si>
    <t>REL74475</t>
  </si>
  <si>
    <t>251449043</t>
  </si>
  <si>
    <t>NOMBRE RETIRA: CLAUDIO ALTAMIRANO . RUT RETIRA: 65085959-6</t>
  </si>
  <si>
    <t>Paula andrea Cortes duran</t>
  </si>
  <si>
    <t>6 Oriente 230, 101, edificio terra</t>
  </si>
  <si>
    <t>REL74393</t>
  </si>
  <si>
    <t>251449376</t>
  </si>
  <si>
    <t>Veronica Valdebenito</t>
  </si>
  <si>
    <t>2 Norte 1013, 403</t>
  </si>
  <si>
    <t>REL74237</t>
  </si>
  <si>
    <t>251017029</t>
  </si>
  <si>
    <t>NOMBRE RETIRA: MIRIAM ESPINOZA . RUT RETIRA: 76669508-6</t>
  </si>
  <si>
    <t>Miriam Espinoza Contreras</t>
  </si>
  <si>
    <t>El Trigo 1814</t>
  </si>
  <si>
    <t>2025-08-11 00:36</t>
  </si>
  <si>
    <t>REL74280</t>
  </si>
  <si>
    <t>251104243</t>
  </si>
  <si>
    <t>NOMBRE RETIRA: MIRIAM POBLETE . RUT RETIRA: 11679625-2</t>
  </si>
  <si>
    <t>Miriam Poblete</t>
  </si>
  <si>
    <t>Los Mañíos 470, Casa Villa Renacer</t>
  </si>
  <si>
    <t>2025-08-12 00:12</t>
  </si>
  <si>
    <t>REL74275</t>
  </si>
  <si>
    <t>251104262</t>
  </si>
  <si>
    <t>NOMBRE RETIRA: DARLIM . . RUT RETIRA: 26381732-K</t>
  </si>
  <si>
    <t>Merced 565, San Felipe, IST</t>
  </si>
  <si>
    <t>REL74198</t>
  </si>
  <si>
    <t>251017214</t>
  </si>
  <si>
    <t>Fernanda Ramirez Valenzuela</t>
  </si>
  <si>
    <t>Limahue 1747</t>
  </si>
  <si>
    <t>2025-08-09 10:47</t>
  </si>
  <si>
    <t>REL74296</t>
  </si>
  <si>
    <t>251104160</t>
  </si>
  <si>
    <t>NOMBRE RETIRA: MARIANA PAXIFICO M RUT RETIRA: 21567275-1</t>
  </si>
  <si>
    <t>Mariana Pacifico</t>
  </si>
  <si>
    <t>Grecia 429, Pastelería deliux</t>
  </si>
  <si>
    <t>REL74287</t>
  </si>
  <si>
    <t>251104220</t>
  </si>
  <si>
    <t>NOMBRE RETIRA: EUGENIA CONTULIANO . . RUT RETIRA: 65200509-8</t>
  </si>
  <si>
    <t>Av. Juan Cisternas 2497, 402</t>
  </si>
  <si>
    <t>REL74232</t>
  </si>
  <si>
    <t>251017013</t>
  </si>
  <si>
    <t>NOMBRE RETIRA: OLAYA CASTRO . RUT RETIRA: 19603822-1</t>
  </si>
  <si>
    <t>Oslaya Castro</t>
  </si>
  <si>
    <t>Minero Ricardo Albornoz Cifuentes 908</t>
  </si>
  <si>
    <t>REL74111</t>
  </si>
  <si>
    <t>250777376</t>
  </si>
  <si>
    <t>NOMBRE RETIRA: MARIO ERICE E RUT RETIRA: 19248643-2</t>
  </si>
  <si>
    <t>Marion Erices</t>
  </si>
  <si>
    <t>Errazuriz 2486, 2486</t>
  </si>
  <si>
    <t>REL74091</t>
  </si>
  <si>
    <t>250692825</t>
  </si>
  <si>
    <t>NOMBRE RETIRA: MILAGROS CONTRERAS . RUT RETIRA: 28715506-9</t>
  </si>
  <si>
    <t>Milagros Contreras</t>
  </si>
  <si>
    <t>Papa pio IX, 1702 Villa Napoli, 1702</t>
  </si>
  <si>
    <t>REL74133</t>
  </si>
  <si>
    <t>250777256</t>
  </si>
  <si>
    <t>NOMBRE RETIRA: PUPERTO ROJAS M RUT RETIRA: 10674920-5</t>
  </si>
  <si>
    <t>RUPERTO ROJAS</t>
  </si>
  <si>
    <t>Rapahue 972, Casa</t>
  </si>
  <si>
    <t>REL74094</t>
  </si>
  <si>
    <t>250692787</t>
  </si>
  <si>
    <t>NOMBRE RETIRA: SONIA FUENTES . RUT RETIRA: 6292084-K</t>
  </si>
  <si>
    <t>Hellen Fuentes</t>
  </si>
  <si>
    <t>Calle Ocho Norte 3091 Gomez Carreño 3091</t>
  </si>
  <si>
    <t>REL74097</t>
  </si>
  <si>
    <t>250777429</t>
  </si>
  <si>
    <t>NOMBRE RETIRA: MONICA VILLEGAS X RUT RETIRA: 11819973-1</t>
  </si>
  <si>
    <t>Ruth Molina Ganga</t>
  </si>
  <si>
    <t>Av. Argentina 1340, Dpto 1305B</t>
  </si>
  <si>
    <t>REL74146</t>
  </si>
  <si>
    <t>250777199</t>
  </si>
  <si>
    <t>NOMBRE RETIRA: EDIFICIO DULCE DULCE RUT RETIRA: 53332196-8</t>
  </si>
  <si>
    <t>Kevin Castellano Flores</t>
  </si>
  <si>
    <t>Eduardo Titus 410, 1301</t>
  </si>
  <si>
    <t>REL74121</t>
  </si>
  <si>
    <t>250777307</t>
  </si>
  <si>
    <t>NOMBRE RETIRA: DARIO LOPEZ . RUT RETIRA: 10147344-9</t>
  </si>
  <si>
    <t>Marianela Cisternas lillo</t>
  </si>
  <si>
    <t>Maturana 1324, Casa</t>
  </si>
  <si>
    <t>REL74055</t>
  </si>
  <si>
    <t>250693000</t>
  </si>
  <si>
    <t>Loretp Palma</t>
  </si>
  <si>
    <t>Los potrerillos 3086, casa esquina</t>
  </si>
  <si>
    <t>REL74023</t>
  </si>
  <si>
    <t>250597729</t>
  </si>
  <si>
    <t>NOMBRE RETIRA: CAMI MURILL . RUT RETIRA: 13951536-6</t>
  </si>
  <si>
    <t>Roberto Matta 204, Departamento 124</t>
  </si>
  <si>
    <t>REL73819</t>
  </si>
  <si>
    <t>250039472</t>
  </si>
  <si>
    <t>NOMBRE RETIRA: JOAN TOLEDO 0 RUT RETIRA: 12345678-5</t>
  </si>
  <si>
    <t>Joan Toledo Reyes</t>
  </si>
  <si>
    <t>TravesÍa Del Cerro 02939, 201A</t>
  </si>
  <si>
    <t>2025-07-28 10:53</t>
  </si>
  <si>
    <t>REL74770</t>
  </si>
  <si>
    <t>252062395</t>
  </si>
  <si>
    <t>NOMBRE RETIRA: KAREN VENEGAS . RUT RETIRA: 14549656-K</t>
  </si>
  <si>
    <t>Paula Herrera</t>
  </si>
  <si>
    <t>Gregorio Marañon 1469, 1469</t>
  </si>
  <si>
    <t>REL74785</t>
  </si>
  <si>
    <t>252062381</t>
  </si>
  <si>
    <t>NOMBRE RETIRA: LOMAS LOS PINOS 2 CONSEEJE LADISLAV RUT RETIRA: 53330480-K</t>
  </si>
  <si>
    <t>Bernarda Diaz villouta</t>
  </si>
  <si>
    <t>Piedra Lanceta 2518, 294-D</t>
  </si>
  <si>
    <t>REL74642</t>
  </si>
  <si>
    <t>251902537</t>
  </si>
  <si>
    <t>NOMBRE RETIRA: CARLOS MALDONADO * RUT RETIRA: 53320270-5</t>
  </si>
  <si>
    <t>Mirza Trujillo</t>
  </si>
  <si>
    <t>Csncha 125, 102</t>
  </si>
  <si>
    <t>2025-08-23 12:19</t>
  </si>
  <si>
    <t>REL74650</t>
  </si>
  <si>
    <t>251902526</t>
  </si>
  <si>
    <t>NOMBRE RETIRA: EDUERDO VION . RUT RETIRA: 16451505-2</t>
  </si>
  <si>
    <t>Vicente Naser Palavecino</t>
  </si>
  <si>
    <t>Avenida blanca estela 270, 230</t>
  </si>
  <si>
    <t>REL74689</t>
  </si>
  <si>
    <t>251902381</t>
  </si>
  <si>
    <t>NOMBRE RETIRA: AGUSTIN VARELA . RUT RETIRA: 11944131-5</t>
  </si>
  <si>
    <t>Agustin Varela</t>
  </si>
  <si>
    <t>Amador OlavarrÍa 1971</t>
  </si>
  <si>
    <t>REL74732</t>
  </si>
  <si>
    <t>251988334</t>
  </si>
  <si>
    <t>NOMBRE RETIRA: BARRIO BOSQUE INGLES A RUT RETIRA: 20137133-3</t>
  </si>
  <si>
    <t>Maximiliano Aguirre</t>
  </si>
  <si>
    <t>Navío San Martín 101, 1104A</t>
  </si>
  <si>
    <t>REL74706</t>
  </si>
  <si>
    <t>251902277</t>
  </si>
  <si>
    <t>NOMBRE RETIRA: EIKA ROJAS .. RUT RETIRA: 11115120-2</t>
  </si>
  <si>
    <t>Fernando Acevedo Perez</t>
  </si>
  <si>
    <t>Isla Mocha 950</t>
  </si>
  <si>
    <t>REL74643</t>
  </si>
  <si>
    <t>251902575</t>
  </si>
  <si>
    <t>NOMBRE RETIRA: RICARDO GALLARDO . RUT RETIRA: 53311887-9</t>
  </si>
  <si>
    <t>Nathaly Gutierrez</t>
  </si>
  <si>
    <t>3 oriente 1331, 1703</t>
  </si>
  <si>
    <t>REL74600</t>
  </si>
  <si>
    <t>251764326</t>
  </si>
  <si>
    <t>NOMBRE RETIRA: JESUS PEREZ . RUT RETIRA: 7213470-2</t>
  </si>
  <si>
    <t>Jesús Perez</t>
  </si>
  <si>
    <t>Av. la Piscina 635, Casa</t>
  </si>
  <si>
    <t>REL74592</t>
  </si>
  <si>
    <t>251764369</t>
  </si>
  <si>
    <t>NOMBRE RETIRA: MARIA GOMEZ . RUT RETIRA: 17971129-K</t>
  </si>
  <si>
    <t>MARIA CRISTINA GOMEZ  BARRERA</t>
  </si>
  <si>
    <t>Orompello Serrano 1515 , Villa El Señorial</t>
  </si>
  <si>
    <t>REL74574</t>
  </si>
  <si>
    <t>251695049</t>
  </si>
  <si>
    <t>NOMBRE RETIRA: PIA CACERES . RUT RETIRA: 53324529-3</t>
  </si>
  <si>
    <t>Pia Tamara Cáceres</t>
  </si>
  <si>
    <t>Manuel Antonio Matta 2189, Edificio Los Placeres, , Depto. 1005. Cerro Los Placeres</t>
  </si>
  <si>
    <t>2025-08-21 00:00</t>
  </si>
  <si>
    <t>REL74590</t>
  </si>
  <si>
    <t>251694990</t>
  </si>
  <si>
    <t>NOMBRE RETIRA: JUDITH VARAS . RUT RETIRA: 65202476-9</t>
  </si>
  <si>
    <t>Katherine Llanten</t>
  </si>
  <si>
    <t>5 Norte 1246, Depto 501</t>
  </si>
  <si>
    <t>REL74587</t>
  </si>
  <si>
    <t>251694999</t>
  </si>
  <si>
    <t>NOMBRE RETIRA: KATERIN BLAGUERO .... RUT RETIRA: 17337686-3</t>
  </si>
  <si>
    <t>Paula Latoja cornejo</t>
  </si>
  <si>
    <t>pedro polanco 263, local cv</t>
  </si>
  <si>
    <t>REL74575</t>
  </si>
  <si>
    <t>251695060</t>
  </si>
  <si>
    <t>Sandra Diaz rozas</t>
  </si>
  <si>
    <t>Camino del Sol 2300, Casa N-4</t>
  </si>
  <si>
    <t>REL74549</t>
  </si>
  <si>
    <t>251621866</t>
  </si>
  <si>
    <t>NOMBRE RETIRA: OSCAR MUNOZ H RUT RETIRA: 65913650-3</t>
  </si>
  <si>
    <t>Alexanders Araos</t>
  </si>
  <si>
    <t>General Cruz 151, 151</t>
  </si>
  <si>
    <t>REL74538</t>
  </si>
  <si>
    <t>251621927</t>
  </si>
  <si>
    <t>NOMBRE RETIRA: OSCAR ANGUITA . RUT RETIRA: 19038421-7</t>
  </si>
  <si>
    <t>Natalia Pino Bravo</t>
  </si>
  <si>
    <t>Pasaje Combarbalá 2933, Casa</t>
  </si>
  <si>
    <t>2025-08-20 00:33</t>
  </si>
  <si>
    <t>REL74496</t>
  </si>
  <si>
    <t>251539317</t>
  </si>
  <si>
    <t>Ocho Norte 3091, Gomez Carreño</t>
  </si>
  <si>
    <t>REL74468</t>
  </si>
  <si>
    <t>251449083</t>
  </si>
  <si>
    <t>NOMBRE RETIRA: VIVIANA MIRANDA . RUT RETIRA: 11624727-5</t>
  </si>
  <si>
    <t>Daniela Cortes Miranda</t>
  </si>
  <si>
    <t>Sendero Los Eucaliptus 2127, Casa 2127</t>
  </si>
  <si>
    <t>REL74491</t>
  </si>
  <si>
    <t>251448905</t>
  </si>
  <si>
    <t>NOMBRE RETIRA: TAMARA CONTRERAS . RUT RETIRA: 17635167-5</t>
  </si>
  <si>
    <t>Claudio Orellana reyes</t>
  </si>
  <si>
    <t>Libertad 269, Piso 12 (bci)</t>
  </si>
  <si>
    <t>REL74360</t>
  </si>
  <si>
    <t>251258519</t>
  </si>
  <si>
    <t>NOMBRE RETIRA: ALDANA HERRERA . RUT RETIRA: 8224174-4</t>
  </si>
  <si>
    <t>Aldana HERRERA VEGA</t>
  </si>
  <si>
    <t>Recreo 1246 , Casa Población el Tranque</t>
  </si>
  <si>
    <t>REL74369</t>
  </si>
  <si>
    <t>251258487</t>
  </si>
  <si>
    <t>NOMBRE RETIRA: CAROL PALMA . RUT RETIRA: 19740740-9</t>
  </si>
  <si>
    <t>Carol Palma guerrero</t>
  </si>
  <si>
    <t>Lago Riñihue 21</t>
  </si>
  <si>
    <t>REL74347</t>
  </si>
  <si>
    <t>251182926</t>
  </si>
  <si>
    <t>NOMBRE RETIRA: JOSE SECO . RUT RETIRA: 17971129-K</t>
  </si>
  <si>
    <t>jose seco</t>
  </si>
  <si>
    <t>san martin 1971, villa el señorial</t>
  </si>
  <si>
    <t>REL74340</t>
  </si>
  <si>
    <t>251182935</t>
  </si>
  <si>
    <t>NOMBRE RETIRA: IGNACIO GONZALEZ . RUT RETIRA: 6045389-6</t>
  </si>
  <si>
    <t>ignacio gonzalez</t>
  </si>
  <si>
    <t>Calle Ranco 1243, Casa</t>
  </si>
  <si>
    <t>REL74217</t>
  </si>
  <si>
    <t>251017111</t>
  </si>
  <si>
    <t>NOMBRE RETIRA: ARMANDO VERDUGO . RUT RETIRA: 65243235-2</t>
  </si>
  <si>
    <t>Mauricio Abricot</t>
  </si>
  <si>
    <t>Av Alessandri 3201, 207</t>
  </si>
  <si>
    <t>2025-08-09 11:35</t>
  </si>
  <si>
    <t>REL74183</t>
  </si>
  <si>
    <t>251017250</t>
  </si>
  <si>
    <t>NOMBRE RETIRA: LORENA SALAZAR . RUT RETIRA: 9029770-8</t>
  </si>
  <si>
    <t>Loredana Olavarria</t>
  </si>
  <si>
    <t>Almirante Wilson 1053, Casa</t>
  </si>
  <si>
    <t>REL74283</t>
  </si>
  <si>
    <t>251104217</t>
  </si>
  <si>
    <t>NOMBRE RETIRA: MARIA CORTEZ . RUT RETIRA: 21306987-K</t>
  </si>
  <si>
    <t>Pablo Neruda 16, Forestal, Casa 16</t>
  </si>
  <si>
    <t>REL74277</t>
  </si>
  <si>
    <t>251104250</t>
  </si>
  <si>
    <t>NOMBRE RETIRA: GLORIA RJAA . RUT RETIRA: 13193746-6</t>
  </si>
  <si>
    <t>Gloria Rojas</t>
  </si>
  <si>
    <t>La Vinilla 3089 , Casa Alto Manquehue Los Pinos</t>
  </si>
  <si>
    <t>2025-08-12 00:11</t>
  </si>
  <si>
    <t>REL74193</t>
  </si>
  <si>
    <t>251017239</t>
  </si>
  <si>
    <t>NOMBRE RETIRA: MARCO ABARCA . RUT RETIRA: 13781491-9</t>
  </si>
  <si>
    <t>Diego Guzman Carrasco</t>
  </si>
  <si>
    <t>Hector Zamorano 740, Departamento 412 torre 1</t>
  </si>
  <si>
    <t>REL74218</t>
  </si>
  <si>
    <t>251017090</t>
  </si>
  <si>
    <t>NOMBRE RETIRA: PAULINA GUNKEL P RUT RETIRA: 7058759-9</t>
  </si>
  <si>
    <t>Carmen Vivanco</t>
  </si>
  <si>
    <t>Av. Porvenir 1570, 54</t>
  </si>
  <si>
    <t>REL74258</t>
  </si>
  <si>
    <t>251016904</t>
  </si>
  <si>
    <t>NOMBRE RETIRA: HANS DOMINGUEZ . RUT RETIRA: 13230086-0</t>
  </si>
  <si>
    <t>Hans Domínguez Sterquel</t>
  </si>
  <si>
    <t>Tierras Rojas 969, Belloto Sur</t>
  </si>
  <si>
    <t>2025-08-11 00:37</t>
  </si>
  <si>
    <t>REL74125</t>
  </si>
  <si>
    <t>250777264</t>
  </si>
  <si>
    <t>NOMBRE RETIRA: JEAN PIERRE RAMOS RUT RETIRA: 19176888-4</t>
  </si>
  <si>
    <t>Jean pierre Ramos</t>
  </si>
  <si>
    <t>Chacabuco 2872, Sector Almendral, Ferreteria Her-Gas, chacabuco #2872, detras del terminal de buses rodoviario.</t>
  </si>
  <si>
    <t>REL74135</t>
  </si>
  <si>
    <t>250777251</t>
  </si>
  <si>
    <t>NOMBRE RETIRA: IRIS DELGADO . RUT RETIRA: 17971129-K</t>
  </si>
  <si>
    <t>José García Astudillo 3360, 3360</t>
  </si>
  <si>
    <t>REL74172</t>
  </si>
  <si>
    <t>250856176</t>
  </si>
  <si>
    <t>NOMBRE RETIRA: FLAVIA MARIN . RUT RETIRA: 16077237-9</t>
  </si>
  <si>
    <t>Flavia Corvalán Leiva</t>
  </si>
  <si>
    <t>Diego de Almagro 234, Casa</t>
  </si>
  <si>
    <t>REL74177</t>
  </si>
  <si>
    <t>250856344</t>
  </si>
  <si>
    <t>NOMBRE RETIRA: MARIANELA VALENCIA . RUT RETIRA: 65141001-0</t>
  </si>
  <si>
    <t>Marianela Valencia</t>
  </si>
  <si>
    <t>Los Ciruelos 401 Condominio Altos de Yungay IV, Torre 2 Departamento 402</t>
  </si>
  <si>
    <t>REL74144</t>
  </si>
  <si>
    <t>250777217</t>
  </si>
  <si>
    <t>NOMBRE RETIRA: PAULINA TAPIA . RUT RETIRA: 15818943-7</t>
  </si>
  <si>
    <t>Paulina Tapia Burgos</t>
  </si>
  <si>
    <t>Felipillo 1434</t>
  </si>
  <si>
    <t>REL74108</t>
  </si>
  <si>
    <t>250777409</t>
  </si>
  <si>
    <t>NOMBRE RETIRA: PAULA CABELLO M RUT RETIRA: 6697332-8</t>
  </si>
  <si>
    <t>Paula Cabello</t>
  </si>
  <si>
    <t>Urriola 563</t>
  </si>
  <si>
    <t>REL74072</t>
  </si>
  <si>
    <t>250692907</t>
  </si>
  <si>
    <t>NOMBRE RETIRA: YENI MADARIAGA . RUT RETIRA: 12312344-1</t>
  </si>
  <si>
    <t>Franco Lobos</t>
  </si>
  <si>
    <t>Martin ruckers sotomayor 24, Casa, Villa Hermanos Maristas</t>
  </si>
  <si>
    <t>REL74083</t>
  </si>
  <si>
    <t>250692841</t>
  </si>
  <si>
    <t>NOMBRE RETIRA: GASTON GARRIDO . RUT RETIRA: 53332851-2</t>
  </si>
  <si>
    <t>Petalonia 475, 112A</t>
  </si>
  <si>
    <t>REL74007</t>
  </si>
  <si>
    <t>250508006</t>
  </si>
  <si>
    <t>NOMBRE RETIRA: GINO ALVADOR . RUT RETIRA: 65051133-6</t>
  </si>
  <si>
    <t>Monica Juarez Erbetta</t>
  </si>
  <si>
    <t>Av. 21 de Mayo 1531, Casa 97</t>
  </si>
  <si>
    <t>2025-08-04 01:06</t>
  </si>
  <si>
    <t>REL73983</t>
  </si>
  <si>
    <t>250508140</t>
  </si>
  <si>
    <t>NOMBRE RETIRA: KARLA FUENTES . RUT RETIRA: 16251123-8</t>
  </si>
  <si>
    <t>Karla Fuentes Morales</t>
  </si>
  <si>
    <t>Los Estanqueros 712, Población Diego Portales</t>
  </si>
  <si>
    <t>REL73958</t>
  </si>
  <si>
    <t>250508321</t>
  </si>
  <si>
    <t>NOMBRE RETIRA: LEYLA CARVAJAL . RUT RETIRA: 17161139-3</t>
  </si>
  <si>
    <t>Leyla Carvajal</t>
  </si>
  <si>
    <t>Calle Teniente Merino 41, Población Expresos vina maxiletrero</t>
  </si>
  <si>
    <t>REL73937</t>
  </si>
  <si>
    <t>250508395</t>
  </si>
  <si>
    <t>NOMBRE RETIRA: SILVIA ROJAS .. RUT RETIRA: 15869752-1</t>
  </si>
  <si>
    <t>Sebastian Tapia</t>
  </si>
  <si>
    <t>Vicente Huidobro 1580, Villa El Remanso</t>
  </si>
  <si>
    <t>2025-08-02 00:04</t>
  </si>
  <si>
    <t>REL73999</t>
  </si>
  <si>
    <t>250508045</t>
  </si>
  <si>
    <t>NOMBRE RETIRA: DANIELA M M RUT RETIRA: 15103844-1</t>
  </si>
  <si>
    <t>Daniela Marín Morales</t>
  </si>
  <si>
    <t>Av. Diagonal Doñihue 2303, Galilea G</t>
  </si>
  <si>
    <t>REL73959</t>
  </si>
  <si>
    <t>250508319</t>
  </si>
  <si>
    <t>NOMBRE RETIRA: ANDRES SOTO . RUT RETIRA: 27649120-2</t>
  </si>
  <si>
    <t>Laura Maldonado</t>
  </si>
  <si>
    <t>Alto Manquehue 3029, Casa</t>
  </si>
  <si>
    <t>REL73970</t>
  </si>
  <si>
    <t>250508243</t>
  </si>
  <si>
    <t>NOMBRE RETIRA: FRANCISCO SANDOVAL . RUT RETIRA: 17214088-2</t>
  </si>
  <si>
    <t>Francisco Sandoval Arriaza</t>
  </si>
  <si>
    <t>Alejandro Navarrete 3035, Casa</t>
  </si>
  <si>
    <t>REL74041</t>
  </si>
  <si>
    <t>250597665</t>
  </si>
  <si>
    <t>NOMBRE RETIRA: MICHELL VALENZUELA . RUT RETIRA: 13482435-2</t>
  </si>
  <si>
    <t>Felipe Zuñiga vera</t>
  </si>
  <si>
    <t>Av. Padre Hurtado 750, Universidad adolfo ibañez</t>
  </si>
  <si>
    <t>REL74040</t>
  </si>
  <si>
    <t>250597661</t>
  </si>
  <si>
    <t>NOMBRE RETIRA: FABIANA M M RUT RETIRA: 15103844-1</t>
  </si>
  <si>
    <t>Fabiana Albornoz Grandón</t>
  </si>
  <si>
    <t>Avenida Santa Filomena 1794, Villa Lourdes</t>
  </si>
  <si>
    <t>REL74049</t>
  </si>
  <si>
    <t>250597647</t>
  </si>
  <si>
    <t>NOMBRE RETIRA: ELIUS ROJAS N RUT RETIRA: 53331607-7</t>
  </si>
  <si>
    <t>Canela Salinas</t>
  </si>
  <si>
    <t>Estero maitenlahue 975, B2 203</t>
  </si>
  <si>
    <t>REL73904</t>
  </si>
  <si>
    <t>250342656</t>
  </si>
  <si>
    <t>NOMBRE RETIRA: MARCOS OSORIO ... RUT RETIRA: 53330439-7</t>
  </si>
  <si>
    <t>María Fernanda Arenas Vera</t>
  </si>
  <si>
    <t>Ocoa 65, Depto. 1108 (Edificio Concepto Pacific)</t>
  </si>
  <si>
    <t>REL73908</t>
  </si>
  <si>
    <t>250342645</t>
  </si>
  <si>
    <t>NOMBRE RETIRA: REBECA LAUDE X RUT RETIRA: 65085959-6</t>
  </si>
  <si>
    <t>Rebeca Laude</t>
  </si>
  <si>
    <t>6 Oriente 230, 105</t>
  </si>
  <si>
    <t>REL74856</t>
  </si>
  <si>
    <t>252206416</t>
  </si>
  <si>
    <t>NOMBRE RETIRA: EDIFICIO CONCEPTO PACIFIC RUT RETIRA: 5330439-7</t>
  </si>
  <si>
    <t>Antonia Taiba Aguirre</t>
  </si>
  <si>
    <t>Ocoa 65, Depto 602</t>
  </si>
  <si>
    <t>REL74805</t>
  </si>
  <si>
    <t>252135918</t>
  </si>
  <si>
    <t>NOMBRE RETIRA: PABLO ASOCAR X RUT RETIRA: 65603540-4</t>
  </si>
  <si>
    <t>Sandra Clark lazcano</t>
  </si>
  <si>
    <t>Nueva Libertad 1690, Departamento 1901</t>
  </si>
  <si>
    <t>REL74808</t>
  </si>
  <si>
    <t>252135894</t>
  </si>
  <si>
    <t>MO PALACIOS</t>
  </si>
  <si>
    <t>Nelson Roumat 749, CUMBRES DE MIRAMAR 2, DTO 934</t>
  </si>
  <si>
    <t>REL74766</t>
  </si>
  <si>
    <t>252062412</t>
  </si>
  <si>
    <t>NOMBRE RETIRA: DANIELA MERIN M RUT RETIRA: 21688617-8</t>
  </si>
  <si>
    <t>Avenida Diagonal Doñihue 2303, 2303</t>
  </si>
  <si>
    <t>REL74796</t>
  </si>
  <si>
    <t>252062359</t>
  </si>
  <si>
    <t>NOMBRE RETIRA: NADIA ORTEGA M RUT RETIRA: 6931456-2</t>
  </si>
  <si>
    <t>Nadia Ortega</t>
  </si>
  <si>
    <t>Manuel Montt 650, Casa Esquina N 3, Casa 3</t>
  </si>
  <si>
    <t>REL74781</t>
  </si>
  <si>
    <t>252062370</t>
  </si>
  <si>
    <t>NOMBRE RETIRA: SARA FUENTES . RUT RETIRA: 12345879-6</t>
  </si>
  <si>
    <t>Sara Abigail Fuentes Soto</t>
  </si>
  <si>
    <t>Pje San Bernardo #478 San Benito, Rengo</t>
  </si>
  <si>
    <t>REL74739</t>
  </si>
  <si>
    <t>251988251</t>
  </si>
  <si>
    <t>NOMBRE RETIRA: CAMILA COBO . RUT RETIRA: 18896665-9</t>
  </si>
  <si>
    <t>Milena Diaz</t>
  </si>
  <si>
    <t>Valdivia 472</t>
  </si>
  <si>
    <t>REL74591</t>
  </si>
  <si>
    <t>251764385</t>
  </si>
  <si>
    <t>REL74568</t>
  </si>
  <si>
    <t>251695102</t>
  </si>
  <si>
    <t>NOMBRE RETIRA: CATALINA AGUILERA . RUT RETIRA: 17118056-2</t>
  </si>
  <si>
    <t>Manuel Rodríguez 1439, Depto KA6</t>
  </si>
  <si>
    <t>REL74579</t>
  </si>
  <si>
    <t>251695035</t>
  </si>
  <si>
    <t>NOMBRE RETIRA: FRAMCISCO BUGUENO B RUT RETIRA: 16889745-6</t>
  </si>
  <si>
    <t>Lidia Jara Araya</t>
  </si>
  <si>
    <t>Villa San Luis, Calle el retoño, Casa #23</t>
  </si>
  <si>
    <t>REL74505</t>
  </si>
  <si>
    <t>251539310</t>
  </si>
  <si>
    <t>NOMBRE RETIRA: JAVIER GARRIDO . RUT RETIRA: 20658077-1</t>
  </si>
  <si>
    <t>Stefany Acevedo Varas</t>
  </si>
  <si>
    <t>Chorrillos 12, Casa 6, Condominio Los Maitenes</t>
  </si>
  <si>
    <t>REL74464</t>
  </si>
  <si>
    <t>251449101</t>
  </si>
  <si>
    <t>NOMBRE RETIRA: HECTOR BECERRA H RUT RETIRA: 26608148-0</t>
  </si>
  <si>
    <t>Josefa Rieutord</t>
  </si>
  <si>
    <t>Los Palacios 580, Casa juan pablo montes</t>
  </si>
  <si>
    <t>REL74409</t>
  </si>
  <si>
    <t>251449268</t>
  </si>
  <si>
    <t>NOMBRE RETIRA: CESAR SANTELICE . RUT RETIRA: 17189593-6</t>
  </si>
  <si>
    <t>Micaela Urbina</t>
  </si>
  <si>
    <t>7 Norte 153</t>
  </si>
  <si>
    <t>REL74375</t>
  </si>
  <si>
    <t>251258466</t>
  </si>
  <si>
    <t>NOMBRE RETIRA: RICARDO CASTRO . RUT RETIRA: 19588770-5</t>
  </si>
  <si>
    <t>Hector Flores</t>
  </si>
  <si>
    <t>Palmera kentia 2895, Las palmas de tuniche, Avenida La Compañia 0321</t>
  </si>
  <si>
    <t>REL74231</t>
  </si>
  <si>
    <t>251017036</t>
  </si>
  <si>
    <t>NOMBRE RETIRA: BRIDGIT PEREZ B RUT RETIRA: 22228693-K</t>
  </si>
  <si>
    <t>Roxana Castillo Rubilar</t>
  </si>
  <si>
    <t>Avda Antonio Nuñez de Fonseca 1552, Oficina</t>
  </si>
  <si>
    <t>REL74274</t>
  </si>
  <si>
    <t>251104259</t>
  </si>
  <si>
    <t>NOMBRE RETIRA: CLAUDIO FLORES . RUT RETIRA: 65215678-9</t>
  </si>
  <si>
    <t>Luis Gutierrez</t>
  </si>
  <si>
    <t>Camino Troncal 5955, 123, Dep. 123</t>
  </si>
  <si>
    <t>REL74284</t>
  </si>
  <si>
    <t>251104187</t>
  </si>
  <si>
    <t>NOMBRE RETIRA: CELINA LEON . RUT RETIRA: 10833702-8</t>
  </si>
  <si>
    <t>celina leon</t>
  </si>
  <si>
    <t>Minerales 120, Condominio Miravalle, Casa 11</t>
  </si>
  <si>
    <t>REL74174</t>
  </si>
  <si>
    <t>250856169</t>
  </si>
  <si>
    <t>Amapola Brante</t>
  </si>
  <si>
    <t>Nelson Roumat 705, Depto 144 torre 1</t>
  </si>
  <si>
    <t>REL74139</t>
  </si>
  <si>
    <t>250777245</t>
  </si>
  <si>
    <t>NOMBRE RETIRA: EVA PAZ SEPULVEDA RUT RETIRA: 20174270-6</t>
  </si>
  <si>
    <t>Eva Paz Sepúlveda Cavieres</t>
  </si>
  <si>
    <t>Los Lirios 205 , Villa Berlín, Cerro Placeres</t>
  </si>
  <si>
    <t>REL74063</t>
  </si>
  <si>
    <t>250692979</t>
  </si>
  <si>
    <t>NOMBRE RETIRA: TAMARA ANTONIA .. RUT RETIRA: 9415392-1</t>
  </si>
  <si>
    <t>Tamara Antonia Villatoro Briceño</t>
  </si>
  <si>
    <t>Patria 1909, Casa color ladrillo, reja negra con madera</t>
  </si>
  <si>
    <t>REL74032</t>
  </si>
  <si>
    <t>250597726</t>
  </si>
  <si>
    <t>NOMBRE RETIRA: FRANCISCO OYARCE . RUT RETIRA: 14016915-3</t>
  </si>
  <si>
    <t>Aurelia Conejeros</t>
  </si>
  <si>
    <t>Av. San Joaquín Norte 0628, Alto Rancagua</t>
  </si>
  <si>
    <t>REL73961</t>
  </si>
  <si>
    <t>250508299</t>
  </si>
  <si>
    <t>NOMBRE RETIRA: CAMILA GONZALEZ A RUT RETIRA: 7456669-3</t>
  </si>
  <si>
    <t>Buenos Aires 1771, 1771</t>
  </si>
  <si>
    <t>REL73941</t>
  </si>
  <si>
    <t>250508383</t>
  </si>
  <si>
    <t>NOMBRE RETIRA: MARIA M M RUT RETIRA: 15103844-1</t>
  </si>
  <si>
    <t>María Guerrero Riquelme</t>
  </si>
  <si>
    <t>Pasaje Los Palos Colorados 2279, Casa esquina</t>
  </si>
  <si>
    <t>REL73985</t>
  </si>
  <si>
    <t>250508112</t>
  </si>
  <si>
    <t>NOMBRE RETIRA: MACARENA LOPEZ . RUT RETIRA: 20556192-7</t>
  </si>
  <si>
    <t>Palazuelo 585, Casa</t>
  </si>
  <si>
    <t>REL74000</t>
  </si>
  <si>
    <t>250508042</t>
  </si>
  <si>
    <t>NOMBRE RETIRA: JOSE BRQVO B RUT RETIRA: 65067074-4</t>
  </si>
  <si>
    <t>Myriam Hirt</t>
  </si>
  <si>
    <t>Avenida General Bartolomé Mitre 775, 305</t>
  </si>
  <si>
    <t>REL74004</t>
  </si>
  <si>
    <t>250508023</t>
  </si>
  <si>
    <t>Nelson Roumat 748, Departamento 402</t>
  </si>
  <si>
    <t>REL73919</t>
  </si>
  <si>
    <t>250342591</t>
  </si>
  <si>
    <t>NOMBRE RETIRA: LISSETTE ZAMORA . RUT RETIRA: 21540933-3</t>
  </si>
  <si>
    <t>Lissette Zamora</t>
  </si>
  <si>
    <t>Avenida los carrera 501, Los robles 217 cond alto belloto quilpue</t>
  </si>
  <si>
    <t>REL73907</t>
  </si>
  <si>
    <t>250342652</t>
  </si>
  <si>
    <t>NOMBRE RETIRA: PAULINA LARA . RUT RETIRA: 18914558-6</t>
  </si>
  <si>
    <t>Soutullo Kalinka</t>
  </si>
  <si>
    <t>Calle Novena 1487, Placilla</t>
  </si>
  <si>
    <t>REL73883</t>
  </si>
  <si>
    <t>250270162</t>
  </si>
  <si>
    <t>NOMBRE RETIRA: VALENTINA ARAYA . RUT RETIRA: 16510588-5</t>
  </si>
  <si>
    <t>Valentina Araya liberona</t>
  </si>
  <si>
    <t>Domingo García Huidobro Fernández 795, Casa</t>
  </si>
  <si>
    <t>REL74861</t>
  </si>
  <si>
    <t>252206406</t>
  </si>
  <si>
    <t>NOMBRE RETIRA: SARA GERALDO . RUT RETIRA: 6628728-9</t>
  </si>
  <si>
    <t>Manuel herrera jeraldo</t>
  </si>
  <si>
    <t>Pasaje Alemania 405, 405</t>
  </si>
  <si>
    <t>REL74705</t>
  </si>
  <si>
    <t>251902291</t>
  </si>
  <si>
    <t>NOMBRE RETIRA: DILIA RIERA -- RUT RETIRA: 21606608-1</t>
  </si>
  <si>
    <t>Dilia Riera</t>
  </si>
  <si>
    <t>Ulmo 1903, Casa 75</t>
  </si>
  <si>
    <t>REL74634</t>
  </si>
  <si>
    <t>251902623</t>
  </si>
  <si>
    <t>NOMBRE RETIRA: BELARMINIA BARRAZA . . RUT RETIRA: 17295493-6</t>
  </si>
  <si>
    <t>BRYAN humeres</t>
  </si>
  <si>
    <t>LARRAIN ALCALDE 3322, Apt. Local punto tuerca</t>
  </si>
  <si>
    <t>REL74716</t>
  </si>
  <si>
    <t>251988389</t>
  </si>
  <si>
    <t>NOMBRE RETIRA: HERNAN MUNOZ . RUT RETIRA: 6620591-6</t>
  </si>
  <si>
    <t>Las Espigas 1075, 1075</t>
  </si>
  <si>
    <t>REL74678</t>
  </si>
  <si>
    <t>251902398</t>
  </si>
  <si>
    <t>NOMBRE RETIRA: PABLO RIVERA 0 RUT RETIRA: 12345678-5</t>
  </si>
  <si>
    <t>Pablo Rivera</t>
  </si>
  <si>
    <t>C. Ramon Subercaseaux 924, 924</t>
  </si>
  <si>
    <t>REL74664</t>
  </si>
  <si>
    <t>251902466</t>
  </si>
  <si>
    <t>NOMBRE RETIRA: CARLOS SALINAS . RUT RETIRA: 15611966-0</t>
  </si>
  <si>
    <t>Carlos Salinas</t>
  </si>
  <si>
    <t>Pasaje Puerto de Palos 569, Pasaje cerrado, tocar citofono o llamar al celular. Ideal avisar cuando vayan en camino.</t>
  </si>
  <si>
    <t>REL74629</t>
  </si>
  <si>
    <t>251764269</t>
  </si>
  <si>
    <t>NOMBRE RETIRA: LUIS CALDERON .. RUT RETIRA: 19041203-2</t>
  </si>
  <si>
    <t>Bernarda Morin 838</t>
  </si>
  <si>
    <t>REL74578</t>
  </si>
  <si>
    <t>251695012</t>
  </si>
  <si>
    <t>NOMBRE RETIRA: ANGIE TORRES B RUT RETIRA: 16120449-8</t>
  </si>
  <si>
    <t>Angie Torres</t>
  </si>
  <si>
    <t>Avenida 26 sur media oriente villa pucara 782, Casa</t>
  </si>
  <si>
    <t>REL74553</t>
  </si>
  <si>
    <t>251621879</t>
  </si>
  <si>
    <t>NOMBRE RETIRA: CECILIA ROJAS ... RUT RETIRA: 16023683-3</t>
  </si>
  <si>
    <t>Paz Gómez</t>
  </si>
  <si>
    <t>Manuel Montt 625 B, Farmacia La Botica, 625 B, Curico</t>
  </si>
  <si>
    <t>REL74516</t>
  </si>
  <si>
    <t>251539295</t>
  </si>
  <si>
    <t>NOMBRE RETIRA: MARIA VARGAS __ RUT RETIRA: 12345678-5</t>
  </si>
  <si>
    <t>miguel alvarez</t>
  </si>
  <si>
    <t>Pje. Tirso de Molina 1948, casa</t>
  </si>
  <si>
    <t>REL74339</t>
  </si>
  <si>
    <t>251182983</t>
  </si>
  <si>
    <t>NOMBRE RETIRA: ALEJANDRA BAHAMONDEZ B RUT RETIRA: 8759962-0</t>
  </si>
  <si>
    <t>Alejandra Bahamondez</t>
  </si>
  <si>
    <t>9 1/2 Norte C, 35 y 36 Oriente 3767</t>
  </si>
  <si>
    <t>REL74320</t>
  </si>
  <si>
    <t>251183042</t>
  </si>
  <si>
    <t>NOMBRE RETIRA: MARIA CASTILLO . RUT RETIRA: 13424340-6</t>
  </si>
  <si>
    <t>María Jeanette Castillo Ochoa</t>
  </si>
  <si>
    <t>Juan Luis Sanfuentes 071, 071</t>
  </si>
  <si>
    <t>REL74326</t>
  </si>
  <si>
    <t>251183025</t>
  </si>
  <si>
    <t>NOMBRE RETIRA: BARBARA MEDEL -- RUT RETIRA: 15611562-2</t>
  </si>
  <si>
    <t>Barbara Medel</t>
  </si>
  <si>
    <t>Juvenal Calderón 1336, Casa 26</t>
  </si>
  <si>
    <t>REL74299</t>
  </si>
  <si>
    <t>251104123</t>
  </si>
  <si>
    <t>NOMBRE RETIRA: MONICA CASTILLO . RUT RETIRA: 9692100-4</t>
  </si>
  <si>
    <t>Sara Cortés Castillo</t>
  </si>
  <si>
    <t>2 poniente, 688</t>
  </si>
  <si>
    <t>REL74116</t>
  </si>
  <si>
    <t>250777347</t>
  </si>
  <si>
    <t>NOMBRE RETIRA: CRISTINA SAN MARTIN __ RUT RETIRA: 17492171-7</t>
  </si>
  <si>
    <t>Cristina San martin</t>
  </si>
  <si>
    <t>Sergio Covasevic Tolmo 1749, Casa esquina</t>
  </si>
  <si>
    <t>REL74117</t>
  </si>
  <si>
    <t>250777317</t>
  </si>
  <si>
    <t>NOMBRE RETIRA: EMILI BRAVO . RUT RETIRA: 17824548-1</t>
  </si>
  <si>
    <t>Emilia Bravo</t>
  </si>
  <si>
    <t>5 Oriente 1421, Trabajo</t>
  </si>
  <si>
    <t>REL74126</t>
  </si>
  <si>
    <t>250777276</t>
  </si>
  <si>
    <t>16 Sur 688, 688</t>
  </si>
  <si>
    <t>REL74081</t>
  </si>
  <si>
    <t>250692885</t>
  </si>
  <si>
    <t>NOMBRE RETIRA: FRANCISCABOZO .. . RUT RETIRA: 19298649-4</t>
  </si>
  <si>
    <t>Francisca Bozo correa</t>
  </si>
  <si>
    <t>Carmen 747, Edificio luis cruz martinez of 12A</t>
  </si>
  <si>
    <t>REL73994</t>
  </si>
  <si>
    <t>250508057</t>
  </si>
  <si>
    <t>NOMBRE RETIRA: CYNDI GONZALES . RUT RETIRA: 12345678-5</t>
  </si>
  <si>
    <t>Cindy González Morel</t>
  </si>
  <si>
    <t>Pasaje María Ramos 464, Portal San Ramón, Tierras Blancas</t>
  </si>
  <si>
    <t>REL74046</t>
  </si>
  <si>
    <t>250597650</t>
  </si>
  <si>
    <t>NOMBRE RETIRA: FELIPE RODRIGUEZ . RUT RETIRA: 19948386-2</t>
  </si>
  <si>
    <t>Pasaje Playa ReÑaca 2666</t>
  </si>
  <si>
    <t>REL74015</t>
  </si>
  <si>
    <t>250597734</t>
  </si>
  <si>
    <t>NOMBRE RETIRA: SUSANA ARAYA . RUT RETIRA: 10453559-3</t>
  </si>
  <si>
    <t>Santo Cura de Ars Oriente 1057, Esquina Eloísa poppe</t>
  </si>
  <si>
    <t>REL73996</t>
  </si>
  <si>
    <t>250508051</t>
  </si>
  <si>
    <t>NOMBRE RETIRA: MIGUEL FLORES . RUT RETIRA: 8372951-1</t>
  </si>
  <si>
    <t>Raul Riquelme</t>
  </si>
  <si>
    <t>2 Oriente 832, Depto. 501. Edificio Los Robles</t>
  </si>
  <si>
    <t>REL73992</t>
  </si>
  <si>
    <t>250508100</t>
  </si>
  <si>
    <t>NOMBRE RETIRA: PATRICIA LEBLANC . RUT RETIRA: 5743836-3</t>
  </si>
  <si>
    <t>Maria graciela Zuñiga Leblanc</t>
  </si>
  <si>
    <t>Pasaje Romerillo 4216</t>
  </si>
  <si>
    <t>REL73917</t>
  </si>
  <si>
    <t>250342620</t>
  </si>
  <si>
    <t>NOMBRE RETIRA: MIRTA BRUNEL B RUT RETIRA: 10968979-3</t>
  </si>
  <si>
    <t>Mirta Brunel</t>
  </si>
  <si>
    <t>4 y media norte A  3476</t>
  </si>
  <si>
    <t>REL74649</t>
  </si>
  <si>
    <t>251902521</t>
  </si>
  <si>
    <t>Natalia Bustamante Letelier</t>
  </si>
  <si>
    <t>23 norte 4116, casa 137</t>
  </si>
  <si>
    <t>REL74713</t>
  </si>
  <si>
    <t>251988407</t>
  </si>
  <si>
    <t>NOMBRE RETIRA: ALPHA SANTOS S RUT RETIRA: 21248155-6</t>
  </si>
  <si>
    <t>Alpha Santos Villena</t>
  </si>
  <si>
    <t>Calle 4 Medio Poniente D 01089</t>
  </si>
  <si>
    <t>REL74552</t>
  </si>
  <si>
    <t>251621889</t>
  </si>
  <si>
    <t>NOMBRE RETIRA: ANA SANCHEZ . RUT RETIRA: 26548407-7</t>
  </si>
  <si>
    <t>Rafaella Casale</t>
  </si>
  <si>
    <t>Camino A Tutuquén 1500, Panadería Tutuquen</t>
  </si>
  <si>
    <t>REL74188</t>
  </si>
  <si>
    <t>251017238</t>
  </si>
  <si>
    <t>NOMBRE RETIRA: PAULINA ZULIGA TT RUT RETIRA: 14326370-3</t>
  </si>
  <si>
    <t>Paulina Zúñiga</t>
  </si>
  <si>
    <t>Av manso de velasco 298</t>
  </si>
  <si>
    <t>REL74077</t>
  </si>
  <si>
    <t>250692893</t>
  </si>
  <si>
    <t>NOMBRE RETIRA: VIVIANA SILVA VERA RUT RETIRA: 8603799-8</t>
  </si>
  <si>
    <t>Viviana Silva Vera</t>
  </si>
  <si>
    <t>Calle 37 Oriente 1195, 406</t>
  </si>
  <si>
    <t>REL73912</t>
  </si>
  <si>
    <t>250342628</t>
  </si>
  <si>
    <t>NOMBRE RETIRA: LORETO AGUILERA , RUT RETIRA: 16049698-3</t>
  </si>
  <si>
    <t>Loreto Aguilera Carrillo</t>
  </si>
  <si>
    <t>5 11/2 Norte 679</t>
  </si>
  <si>
    <t>REL74868</t>
  </si>
  <si>
    <t>252206389</t>
  </si>
  <si>
    <t>NOMBRE RETIRA: CATALINA QUEZADA . RUT RETIRA: 12533484-9</t>
  </si>
  <si>
    <t>Alberto Córdova 49, 49</t>
  </si>
  <si>
    <t>REL74836</t>
  </si>
  <si>
    <t>252206483</t>
  </si>
  <si>
    <t>NOMBRE RETIRA: NICOLE SANHUEZA . RUT RETIRA: 16514108-3</t>
  </si>
  <si>
    <t>Nicole Sanhueza Monsalve</t>
  </si>
  <si>
    <t>Parque Nacional Torres Del Paine 7783, Casa</t>
  </si>
  <si>
    <t>REL74848</t>
  </si>
  <si>
    <t>252206462</t>
  </si>
  <si>
    <t>NOMBRE RETIRA: VIVIANE GUELL NN RUT RETIRA: 7039775-7</t>
  </si>
  <si>
    <t>Viviane Guell</t>
  </si>
  <si>
    <t>San Carlos 1982, Casa, Villa Dorada</t>
  </si>
  <si>
    <t>REL74844</t>
  </si>
  <si>
    <t>252206446</t>
  </si>
  <si>
    <t>NOMBRE RETIRA: EVA MONTOYA . RUT RETIRA: 9569907-3</t>
  </si>
  <si>
    <t>Jorge Vilugrón</t>
  </si>
  <si>
    <t>Calle 8 Oriente 1508, Sierra 302</t>
  </si>
  <si>
    <t>REL74874</t>
  </si>
  <si>
    <t>252206367</t>
  </si>
  <si>
    <t>NOMBRE RETIRA: MARIA ANCAPI . RUT RETIRA: 15777962-1</t>
  </si>
  <si>
    <t>MONICA INOSTROZA</t>
  </si>
  <si>
    <t>Diego Portales Palazuelos 596, Verdureria</t>
  </si>
  <si>
    <t>REL74827</t>
  </si>
  <si>
    <t>252135878</t>
  </si>
  <si>
    <t>NOMBRE RETIRA: CRISHNA ALMONACID . RUT RETIRA: 18285158-2</t>
  </si>
  <si>
    <t>Crishna Almonacid</t>
  </si>
  <si>
    <t>Pasaje regor 3008</t>
  </si>
  <si>
    <t>REL74802</t>
  </si>
  <si>
    <t>252135935</t>
  </si>
  <si>
    <t>NOMBRE RETIRA: ZAIDA VILCHES . RUT RETIRA: 6130871-7</t>
  </si>
  <si>
    <t>Ximena Bardisa</t>
  </si>
  <si>
    <t>Pasaje Santa Fe 2939, Doña francisca</t>
  </si>
  <si>
    <t>REL74786</t>
  </si>
  <si>
    <t>252063101</t>
  </si>
  <si>
    <t>NOMBRE RETIRA: HERIBERTO GARRIDO 0 RUT RETIRA: 16979855-9</t>
  </si>
  <si>
    <t>Oscar Beneventi</t>
  </si>
  <si>
    <t>Riquelme 098</t>
  </si>
  <si>
    <t>REL74818</t>
  </si>
  <si>
    <t>252135883</t>
  </si>
  <si>
    <t>NOMBRE RETIRA: ALDA GUTIERREZ GARBARINO RUT RETIRA: 8669206-6</t>
  </si>
  <si>
    <t>Alda Gutierrez Garbarino</t>
  </si>
  <si>
    <t>Guillermo Franke 156</t>
  </si>
  <si>
    <t>REL74726</t>
  </si>
  <si>
    <t>251988266</t>
  </si>
  <si>
    <t>NOMBRE RETIRA: JAVIERQ DIAZ . RUT RETIRA: 12345678-5</t>
  </si>
  <si>
    <t>Geronimo de Alderete 276, Restaurante la maga</t>
  </si>
  <si>
    <t>REL74646</t>
  </si>
  <si>
    <t>251902557</t>
  </si>
  <si>
    <t>NOMBRE RETIRA: NATALIA BORQUEZ . RUT RETIRA: 12345678-5</t>
  </si>
  <si>
    <t>Jasmin Contreras</t>
  </si>
  <si>
    <t>Isla picton 400, 506 torre c</t>
  </si>
  <si>
    <t>REL74758</t>
  </si>
  <si>
    <t>252062438</t>
  </si>
  <si>
    <t>NOMBRE RETIRA: MARXELO REYEA . RUT RETIRA: 13951536-6</t>
  </si>
  <si>
    <t>Marcelo Reyes Polanco</t>
  </si>
  <si>
    <t>CALLE VALLE ANDALIEN 1224, Apt. 306</t>
  </si>
  <si>
    <t>REL74682</t>
  </si>
  <si>
    <t>251902335</t>
  </si>
  <si>
    <t>NOMBRE RETIRA: LILA FUENTES ... RUT RETIRA: 5494493-4</t>
  </si>
  <si>
    <t>Karem Leticia Aguilera Scherer</t>
  </si>
  <si>
    <t>Tucapel 1474</t>
  </si>
  <si>
    <t>REL74709</t>
  </si>
  <si>
    <t>251902273</t>
  </si>
  <si>
    <t>NOMBRE RETIRA: ELIZABETH MAYOLQFQUEN . RUT RETIRA: 13160291-K</t>
  </si>
  <si>
    <t>Elizabeth Tamara Mayolafquén Manque</t>
  </si>
  <si>
    <t>Pasaje los Andes 648, Casa</t>
  </si>
  <si>
    <t>REL74636</t>
  </si>
  <si>
    <t>251902641</t>
  </si>
  <si>
    <t>NOMBRE RETIRA: ZORAIDA CERDA . RUT RETIRA: 20514715-2</t>
  </si>
  <si>
    <t>Zoraida Cerda</t>
  </si>
  <si>
    <t>Camino A Bulnes 2845, Pronto Copec Palomares</t>
  </si>
  <si>
    <t>REL74701</t>
  </si>
  <si>
    <t>251902312</t>
  </si>
  <si>
    <t>NOMBRE RETIRA: JOAQUIN PEZO . RUT RETIRA: 21020724-4</t>
  </si>
  <si>
    <t>Carlos Toledo</t>
  </si>
  <si>
    <t>Complejo Penitenciario Alto Bonito, Km 2,5 Camino a Pargua S/N, Laboral</t>
  </si>
  <si>
    <t>REL74661</t>
  </si>
  <si>
    <t>251902478</t>
  </si>
  <si>
    <t>NOMBRE RETIRA: FRANCISCO SULIGAS . RUT RETIRA: 10311425-K</t>
  </si>
  <si>
    <t>Francisco Zuñiga jara</t>
  </si>
  <si>
    <t>Senda sur, la vara puerto montt kilometro 1, Pasaje conquistadores</t>
  </si>
  <si>
    <t>REL74667</t>
  </si>
  <si>
    <t>251902458</t>
  </si>
  <si>
    <t>NOMBRE RETIRA: EDILIA NEIRA . RUT RETIRA: 7072386-7</t>
  </si>
  <si>
    <t>Edilia Neira</t>
  </si>
  <si>
    <t>Las araucarias 495 Isla Teja</t>
  </si>
  <si>
    <t>REL74660</t>
  </si>
  <si>
    <t>251902485</t>
  </si>
  <si>
    <t>NOMBRE RETIRA: MARCELA JELDRES JELDRES RUT RETIRA: 16363521-6</t>
  </si>
  <si>
    <t>Ariel Geldres</t>
  </si>
  <si>
    <t>Avenida inglesa 55, Oficina</t>
  </si>
  <si>
    <t>REL74707</t>
  </si>
  <si>
    <t>251902301</t>
  </si>
  <si>
    <t>NOMBRE RETIRA: LUISRUMOMOT E O RUT RETIRA: 76266076-8</t>
  </si>
  <si>
    <t>Javiera Dinamarca</t>
  </si>
  <si>
    <t>Avenida laguna grande 533, casa 27, condominio los lleuques</t>
  </si>
  <si>
    <t>REL74658</t>
  </si>
  <si>
    <t>251902475</t>
  </si>
  <si>
    <t>NOMBRE RETIRA: SOFIA . . RUT RETIRA: 53310370-7</t>
  </si>
  <si>
    <t>Erika Quezada</t>
  </si>
  <si>
    <t>Casa, El Mirador 951</t>
  </si>
  <si>
    <t>REL74697</t>
  </si>
  <si>
    <t>251902346</t>
  </si>
  <si>
    <t>NOMBRE RETIRA: NOCOLAS TAPB G RUT RETIRA: 15224269-7</t>
  </si>
  <si>
    <t>Cesar Ramírez Sierra</t>
  </si>
  <si>
    <t>Av. Parques de Carriel 9279</t>
  </si>
  <si>
    <t>REL74712</t>
  </si>
  <si>
    <t>251988418</t>
  </si>
  <si>
    <t>NOMBRE RETIRA: MARELYS TOBOZO . RUT RETIRA: 27536238-7</t>
  </si>
  <si>
    <t>Maria eugenia Carrasco hernwneez</t>
  </si>
  <si>
    <t>Victoria 370 B. Barrio universitario. Concepcion, Victoria 370 casa B (interior)</t>
  </si>
  <si>
    <t>REL74669</t>
  </si>
  <si>
    <t>251902445</t>
  </si>
  <si>
    <t>NOMBRE RETIRA: JAIME YANEZ . RUT RETIRA: 190811076-1</t>
  </si>
  <si>
    <t>Valencia 882, Casa 31A, Condominio Portal Anibal Pinto</t>
  </si>
  <si>
    <t>REL74595</t>
  </si>
  <si>
    <t>251764362</t>
  </si>
  <si>
    <t>NOMBRE RETIRA: MARIO BARVO X RUT RETIRA: 19607568-2</t>
  </si>
  <si>
    <t>Mario Bravo Hernández</t>
  </si>
  <si>
    <t>José Joaquín Prieto #68, Casa #68</t>
  </si>
  <si>
    <t>REL74602</t>
  </si>
  <si>
    <t>251764341</t>
  </si>
  <si>
    <t>NOMBRE RETIRA: SORAYA VASQUEZ . RUT RETIRA: 19371410-2</t>
  </si>
  <si>
    <t>Soraya Vasquez Contreras</t>
  </si>
  <si>
    <t>Valdivia 487, Local D</t>
  </si>
  <si>
    <t>REL74617</t>
  </si>
  <si>
    <t>251764277</t>
  </si>
  <si>
    <t>NOMBRE RETIRA: ROXANA MORA M. RUT RETIRA: 12757428-6</t>
  </si>
  <si>
    <t>Roxana Mora</t>
  </si>
  <si>
    <t>Viracocha</t>
  </si>
  <si>
    <t>REL74616</t>
  </si>
  <si>
    <t>251764300</t>
  </si>
  <si>
    <t>NOMBRE RETIRA: ELISABETH GAYOSO M RUT RETIRA: 13396185-2</t>
  </si>
  <si>
    <t>Elisabeth Gayoso Lillo</t>
  </si>
  <si>
    <t>Isla Chiloé 03330, Torre D departamento 309</t>
  </si>
  <si>
    <t>REL74589</t>
  </si>
  <si>
    <t>251694977</t>
  </si>
  <si>
    <t>NOMBRE RETIRA: WILSON ARAVENA .. RUT RETIRA: 8393048-9</t>
  </si>
  <si>
    <t>Ana Bravo Hernández</t>
  </si>
  <si>
    <t>Arturo Prat 955, Dpto 1104</t>
  </si>
  <si>
    <t>REL74569</t>
  </si>
  <si>
    <t>251695081</t>
  </si>
  <si>
    <t>NOMBRE RETIRA: PATRICIA SANCHEZ . RUT RETIRA: 9236551-4</t>
  </si>
  <si>
    <t>Natalia Lillo Sánchez</t>
  </si>
  <si>
    <t>Jorge Montt 2260, 2260</t>
  </si>
  <si>
    <t>REL74580</t>
  </si>
  <si>
    <t>251695009</t>
  </si>
  <si>
    <t>NOMBRE RETIRA: ANGEL HARROS . RUT RETIRA: 10210618-0</t>
  </si>
  <si>
    <t>Hugo Soto</t>
  </si>
  <si>
    <t>Avenida Andalue 1440, Dpto 1102 torre 4</t>
  </si>
  <si>
    <t>REL74560</t>
  </si>
  <si>
    <t>251695159</t>
  </si>
  <si>
    <t>NOMBRE RETIRA: KIMBERLY SALAZAR . RUT RETIRA: 53331362-0</t>
  </si>
  <si>
    <t>Maritza Muñoz Quijada</t>
  </si>
  <si>
    <t>Catirai 35, Casa 16</t>
  </si>
  <si>
    <t>REL74392</t>
  </si>
  <si>
    <t>251449401</t>
  </si>
  <si>
    <t>NOMBRE RETIRA: MACARENA MORALES X RUT RETIRA: 13581864-K</t>
  </si>
  <si>
    <t>Robinson Avila</t>
  </si>
  <si>
    <t>Aviador Acevedo 747, 1</t>
  </si>
  <si>
    <t>REL74535</t>
  </si>
  <si>
    <t>251621931</t>
  </si>
  <si>
    <t>NOMBRE RETIRA: CAMILA NUNEZ M RUT RETIRA: 13396185-2</t>
  </si>
  <si>
    <t>Pasaje Juanita Otiñano 01850, 301, torre arrayan</t>
  </si>
  <si>
    <t>REL74493</t>
  </si>
  <si>
    <t>251448892</t>
  </si>
  <si>
    <t>NOMBRE RETIRA: ENRIQUE DIAZ . RUT RETIRA: 4903237-4</t>
  </si>
  <si>
    <t>Nicolas Diaz caceres</t>
  </si>
  <si>
    <t>Si, Calle Manuel Balmaceda # 93</t>
  </si>
  <si>
    <t>REL74547</t>
  </si>
  <si>
    <t>251621895</t>
  </si>
  <si>
    <t>NOMBRE RETIRA: MACARENA VASQUEZ . RUT RETIRA: 13489453-9</t>
  </si>
  <si>
    <t>Arquitecto Carlos Valentin 3272</t>
  </si>
  <si>
    <t>REL74525</t>
  </si>
  <si>
    <t>251621950</t>
  </si>
  <si>
    <t>NOMBRE RETIRA: VIOLETA GUTIERREZ J RUT RETIRA: 16329287-4</t>
  </si>
  <si>
    <t>alvaro hinojosa</t>
  </si>
  <si>
    <t>Exequiel Larenas 419</t>
  </si>
  <si>
    <t>REL74506</t>
  </si>
  <si>
    <t>251539297</t>
  </si>
  <si>
    <t>NOMBRE RETIRA: MARIEL COVARRUBIAS BUSTAMNATE RUT RETIRA: 17631701-9</t>
  </si>
  <si>
    <t>Mariela Covarrubias Bustamante</t>
  </si>
  <si>
    <t>Vía del Mediterráneo 2201, Casa</t>
  </si>
  <si>
    <t>REL74486</t>
  </si>
  <si>
    <t>251448943</t>
  </si>
  <si>
    <t>NOMBRE RETIRA: MAURICIO ROJAS . RUT RETIRA: 13979587-3</t>
  </si>
  <si>
    <t>Volcán Nevado 1538 , jardín oriente</t>
  </si>
  <si>
    <t>REL74446</t>
  </si>
  <si>
    <t>251449160</t>
  </si>
  <si>
    <t>NOMBRE RETIRA: RAUL LEPIN . RUT RETIRA: 12183308-5</t>
  </si>
  <si>
    <t>Judith Verdugo Diaz</t>
  </si>
  <si>
    <t>Av. Alemania 0587, 82</t>
  </si>
  <si>
    <t>REL74439</t>
  </si>
  <si>
    <t>251449189</t>
  </si>
  <si>
    <t>NOMBRE RETIRA: YESENIA BARRIENTIS . RUT RETIRA: 17299428-8</t>
  </si>
  <si>
    <t>Yesenia Barrientos</t>
  </si>
  <si>
    <t>Chacayal 700, Villa Antihual</t>
  </si>
  <si>
    <t>REL74481</t>
  </si>
  <si>
    <t>251448985</t>
  </si>
  <si>
    <t>NOMBRE RETIRA: RUFINO LIZAMA . RUT RETIRA: 19335046-1</t>
  </si>
  <si>
    <t>Rufino Lizama Reyes</t>
  </si>
  <si>
    <t>Barros Arana 565, Dentro de galería internacional, Local 34, Piso 2</t>
  </si>
  <si>
    <t>REL74400</t>
  </si>
  <si>
    <t>251449382</t>
  </si>
  <si>
    <t>NOMBRE RETIRA: FREDDY OPAZO J RUT RETIRA: 53312826-2</t>
  </si>
  <si>
    <t>Karen Sáez</t>
  </si>
  <si>
    <t>Freire 1255, 2101</t>
  </si>
  <si>
    <t>REL74471</t>
  </si>
  <si>
    <t>251449053</t>
  </si>
  <si>
    <t>NOMBRE RETIRA: PATRICIA ARANGUIZ M RUT RETIRA: 17457878-8</t>
  </si>
  <si>
    <t>JAVIERA BARRIA OLIVARES</t>
  </si>
  <si>
    <t>YERBAS BUENAS 351, 1004</t>
  </si>
  <si>
    <t>REL74382</t>
  </si>
  <si>
    <t>251449448</t>
  </si>
  <si>
    <t>NOMBRE RETIRA: ALEXIS JARA . RUT RETIRA: 14346345-1</t>
  </si>
  <si>
    <t>Julia Soto Muñoz</t>
  </si>
  <si>
    <t>Longitudinal Sur 01077, Empresa Copeval, Entregar a Manuel Jeldres Morales, Rut 13.511.155-4</t>
  </si>
  <si>
    <t>REL74316</t>
  </si>
  <si>
    <t>251183049</t>
  </si>
  <si>
    <t>NOMBRE RETIRA: MARCIA GARCES X RUT RETIRA: 18139184-7</t>
  </si>
  <si>
    <t>Marcia Garcés</t>
  </si>
  <si>
    <t>Pasaje Suiza 2665, Villa europa</t>
  </si>
  <si>
    <t>REL74362</t>
  </si>
  <si>
    <t>251258498</t>
  </si>
  <si>
    <t>NOMBRE RETIRA: CLAUDIA JARA . RUT RETIRA: 22771849-8</t>
  </si>
  <si>
    <t>Juanita Quinteros 2135, Villa Hermosa</t>
  </si>
  <si>
    <t>REL74278</t>
  </si>
  <si>
    <t>251104247</t>
  </si>
  <si>
    <t>NOMBRE RETIRA: FERNANDA ARAVENA 0 RUT RETIRA: 18106990-2</t>
  </si>
  <si>
    <t>Fernanda Aravena</t>
  </si>
  <si>
    <t>Volcán Lonquimay 57, Villa Don Carlos</t>
  </si>
  <si>
    <t>REL74329</t>
  </si>
  <si>
    <t>251182999</t>
  </si>
  <si>
    <t>NOMBRE RETIRA: LUCAS HIGUERAS . RUT RETIRA: 18963747-0</t>
  </si>
  <si>
    <t>Paula Romero</t>
  </si>
  <si>
    <t>Francisco Bilbao 1072, Depto 407</t>
  </si>
  <si>
    <t>REL74328</t>
  </si>
  <si>
    <t>251183005</t>
  </si>
  <si>
    <t>NOMBRE RETIRA: ANGELINA MONTECINOS SALAZAR RUT RETIRA: 11902403-K</t>
  </si>
  <si>
    <t>Alexandra Varela</t>
  </si>
  <si>
    <t>Pérez Gacitúa 341</t>
  </si>
  <si>
    <t>REL74321</t>
  </si>
  <si>
    <t>251183013</t>
  </si>
  <si>
    <t>NOMBRE RETIRA: FRANCISCA . . RUT RETIRA: 53310370-7</t>
  </si>
  <si>
    <t>Pasaje Almirante Nelson 2716</t>
  </si>
  <si>
    <t>REL74334</t>
  </si>
  <si>
    <t>251182994</t>
  </si>
  <si>
    <t>NOMBRE RETIRA: CECILIA ROJAS 0 RUT RETIRA: 10878851-8</t>
  </si>
  <si>
    <t>Queule Sur 1376, 1376</t>
  </si>
  <si>
    <t>REL74315</t>
  </si>
  <si>
    <t>251183063</t>
  </si>
  <si>
    <t>NOMBRE RETIRA: MAUTICIO BYRGOS . RUT RETIRA: 18686443-3</t>
  </si>
  <si>
    <t>Mauricio Burgos</t>
  </si>
  <si>
    <t>O'Higgins 100, depto. J-339</t>
  </si>
  <si>
    <t>REL74229</t>
  </si>
  <si>
    <t>251017062</t>
  </si>
  <si>
    <t>NOMBRE RETIRA: FRANCISCA DELPINO . RUT RETIRA: 19597366-0</t>
  </si>
  <si>
    <t>Francisca Del Pino Campos</t>
  </si>
  <si>
    <t>El Alba 1410</t>
  </si>
  <si>
    <t>REL74223</t>
  </si>
  <si>
    <t>251017075</t>
  </si>
  <si>
    <t>NOMBRE RETIRA: NORMA SOLIS . RUT RETIRA: 17888965-6</t>
  </si>
  <si>
    <t>Norma Solis Zuñiga</t>
  </si>
  <si>
    <t>Avenida La Cruz 2000</t>
  </si>
  <si>
    <t>REL74291</t>
  </si>
  <si>
    <t>251104171</t>
  </si>
  <si>
    <t>NOMBRE RETIRA: BRUNO CORRAL .. RUT RETIRA: 20016021-5</t>
  </si>
  <si>
    <t>ROMINA SANHUEZA VILLABLANCA</t>
  </si>
  <si>
    <t>Rocura 153 , C408</t>
  </si>
  <si>
    <t>REL74273</t>
  </si>
  <si>
    <t>251104266</t>
  </si>
  <si>
    <t>NOMBRE RETIRA: SUBILDA LEFIAN M RUT RETIRA: 9650834-4</t>
  </si>
  <si>
    <t>Yessica Marigual</t>
  </si>
  <si>
    <t>Venecia 2279, 2279</t>
  </si>
  <si>
    <t>REL74204</t>
  </si>
  <si>
    <t>251017257</t>
  </si>
  <si>
    <t>NOMBRE RETIRA: JORGE HERMOSILLA . RUT RETIRA: 65021402-1</t>
  </si>
  <si>
    <t>Macarena Bastias</t>
  </si>
  <si>
    <t>Salas 445, 1301</t>
  </si>
  <si>
    <t>REL74288</t>
  </si>
  <si>
    <t>251104196</t>
  </si>
  <si>
    <t>NOMBRE RETIRA: XIMENA CONTRERAS CONTRERAS RUT RETIRA: 9592800-5</t>
  </si>
  <si>
    <t>Francisco de Aguirre 147, 2</t>
  </si>
  <si>
    <t>REL74186</t>
  </si>
  <si>
    <t>251017228</t>
  </si>
  <si>
    <t>NOMBRE RETIRA: EDGAR GUILLON .. RUT RETIRA: 15206622-8</t>
  </si>
  <si>
    <t>Figueras 1996, Torre F depto 414</t>
  </si>
  <si>
    <t>REL74250</t>
  </si>
  <si>
    <t>251016942</t>
  </si>
  <si>
    <t>NOMBRE RETIRA: JOSE EUIZ . RUT RETIRA: 8353590-3</t>
  </si>
  <si>
    <t>José Ruiz Barrientos</t>
  </si>
  <si>
    <t>Ochagavía 458</t>
  </si>
  <si>
    <t>REL74257</t>
  </si>
  <si>
    <t>251016890</t>
  </si>
  <si>
    <t>NOMBRE RETIRA: JESSICA OLATE . RUT RETIRA: 9263022-6</t>
  </si>
  <si>
    <t>Virginio Arias 3059, Villa antuco</t>
  </si>
  <si>
    <t>REL74243</t>
  </si>
  <si>
    <t>251016963</t>
  </si>
  <si>
    <t>NOMBRE RETIRA: HAYLEN GONZALEZ . RUT RETIRA: 53331886-K</t>
  </si>
  <si>
    <t>Dalcahue 1180, Depto. 207 Torre Oriente</t>
  </si>
  <si>
    <t>REL74252</t>
  </si>
  <si>
    <t>251016919</t>
  </si>
  <si>
    <t>NOMBRE RETIRA: LEORNIS ROJAS H RUT RETIRA: 26792537-2</t>
  </si>
  <si>
    <t>Av. Torreones Oeste 1953, Depto 502 A</t>
  </si>
  <si>
    <t>REL74247</t>
  </si>
  <si>
    <t>251016931</t>
  </si>
  <si>
    <t>NOMBRE RETIRA: JORGE CAMPO H RUT RETIRA: 5625691-1</t>
  </si>
  <si>
    <t>Maipú 1430, Dpto 305</t>
  </si>
  <si>
    <t>REL74169</t>
  </si>
  <si>
    <t>250856200</t>
  </si>
  <si>
    <t>NOMBRE RETIRA: HAYDEE ALARCON . RUT RETIRA: 17296994-1</t>
  </si>
  <si>
    <t>Haydee Alarcon</t>
  </si>
  <si>
    <t>Antonio Varas 55. Piso 10, Seremi de Salud</t>
  </si>
  <si>
    <t>2025-08-08 00:19</t>
  </si>
  <si>
    <t>REL74166</t>
  </si>
  <si>
    <t>250856203</t>
  </si>
  <si>
    <t>NOMBRE RETIRA: MACARENA FERNANDEZ . RUT RETIRA: 22659520-1</t>
  </si>
  <si>
    <t>Villa Nueva 1177, Valle escondido de paicavi</t>
  </si>
  <si>
    <t>REL74155</t>
  </si>
  <si>
    <t>250856245</t>
  </si>
  <si>
    <t>NOMBRE RETIRA: ARMIN ALMENDRAS .... RUT RETIRA: 7850766-7</t>
  </si>
  <si>
    <t>Marissel Figueroa Vallejos</t>
  </si>
  <si>
    <t>Camino María Dolores 3309, Casa 112, Condominio Cordillera</t>
  </si>
  <si>
    <t>REL74163</t>
  </si>
  <si>
    <t>250856223</t>
  </si>
  <si>
    <t>NOMBRE RETIRA: BRANDON GARCES CONSERJE RUT RETIRA: 20196731-7</t>
  </si>
  <si>
    <t>Gilma Maurelia</t>
  </si>
  <si>
    <t>Av. las Margaritas 1945, Depto 511 A</t>
  </si>
  <si>
    <t>REL74107</t>
  </si>
  <si>
    <t>250777388</t>
  </si>
  <si>
    <t>NOMBRE RETIRA: YONATHAN MILLACURA . RUT RETIRA: 19150250-7</t>
  </si>
  <si>
    <t>Gabriela Carolina Schaefer Cutiño</t>
  </si>
  <si>
    <t>Pje Augusta Schwerter 2161, depto E207</t>
  </si>
  <si>
    <t>REL74110</t>
  </si>
  <si>
    <t>250777406</t>
  </si>
  <si>
    <t>NOMBRE RETIRA: MARTA DUZARRAT B RUT RETIRA: 10721237-K</t>
  </si>
  <si>
    <t>Marta Dussarrat gallardo</t>
  </si>
  <si>
    <t>Vigo 02170, Casa Villa Galicia 3</t>
  </si>
  <si>
    <t>REL73972</t>
  </si>
  <si>
    <t>250508238</t>
  </si>
  <si>
    <t>NOMBRE RETIRA: TANIA . . RUT RETIRA: 12738139-9</t>
  </si>
  <si>
    <t>Tania Saavedra Saavedra Flores</t>
  </si>
  <si>
    <t>El Golf 2596, 2596</t>
  </si>
  <si>
    <t>REL74120</t>
  </si>
  <si>
    <t>250777312</t>
  </si>
  <si>
    <t>NOMBRE RETIRA: PRISCILA CUEVAS . RUT RETIRA: 17616705-K</t>
  </si>
  <si>
    <t>Priscilla Cuevas Rojas</t>
  </si>
  <si>
    <t>Río Loa 1397, Villa Nonguen</t>
  </si>
  <si>
    <t>REL74118</t>
  </si>
  <si>
    <t>250777316</t>
  </si>
  <si>
    <t>NOMBRE RETIRA: CHISTIAN BURKART K RUT RETIRA: 10721237-K</t>
  </si>
  <si>
    <t>Cristian Burkart</t>
  </si>
  <si>
    <t>Imperia 1926</t>
  </si>
  <si>
    <t>REL74124</t>
  </si>
  <si>
    <t>250777301</t>
  </si>
  <si>
    <t>NOMBRE RETIRA: NICOLAS SANTANDER . RUT RETIRA: 19808999-0</t>
  </si>
  <si>
    <t>Erwin Bravo</t>
  </si>
  <si>
    <t>Av. Alemania 0175, Restaurante Vittoria</t>
  </si>
  <si>
    <t>REL74037</t>
  </si>
  <si>
    <t>250597673</t>
  </si>
  <si>
    <t>Daniela Zepeda</t>
  </si>
  <si>
    <t>El teniente 169, Autotrans, Oficina 1, Barrio Industrial</t>
  </si>
  <si>
    <t>REL74082</t>
  </si>
  <si>
    <t>250692856</t>
  </si>
  <si>
    <t>NOMBRE RETIRA: CAROLINA CID ESPINOZA RUT RETIRA: 13109861-8</t>
  </si>
  <si>
    <t>carolina cid</t>
  </si>
  <si>
    <t>Sotomayor 1691, 1691</t>
  </si>
  <si>
    <t>REL74050</t>
  </si>
  <si>
    <t>250693007</t>
  </si>
  <si>
    <t>NOMBRE RETIRA: ALEJANDRO ROMO .ARAVENA RUT RETIRA: 10423632-4</t>
  </si>
  <si>
    <t>Bárbara Sepulveda</t>
  </si>
  <si>
    <t>Av Chacabuco 539, Universidad de las Americas</t>
  </si>
  <si>
    <t>REL74073</t>
  </si>
  <si>
    <t>250692903</t>
  </si>
  <si>
    <t>NOMBRE RETIRA: MARCELA U URENDA . RUT RETIRA: 11962975-6</t>
  </si>
  <si>
    <t>Marcela Urenda</t>
  </si>
  <si>
    <t>Av. Oriente 1346 , Villa Italia</t>
  </si>
  <si>
    <t>REL73962</t>
  </si>
  <si>
    <t>250508279</t>
  </si>
  <si>
    <t>NOMBRE RETIRA: KARERIN VEGA . RUT RETIRA: 15235240-9</t>
  </si>
  <si>
    <t>Adolfo Kachele 200, Cesfam Pucón</t>
  </si>
  <si>
    <t>REL74090</t>
  </si>
  <si>
    <t>250692797</t>
  </si>
  <si>
    <t>NOMBRE RETIRA: CATALINA NEIRA . RUT RETIRA: 18683483-6</t>
  </si>
  <si>
    <t>Catalina Neira lagos</t>
  </si>
  <si>
    <t>Claudio gay 4660, Casa</t>
  </si>
  <si>
    <t>REL74035</t>
  </si>
  <si>
    <t>250597721</t>
  </si>
  <si>
    <t>NOMBRE RETIRA: RICARDO ULE . RUT RETIRA: 20540656-5</t>
  </si>
  <si>
    <t>Ricardo Ule Bahamonde</t>
  </si>
  <si>
    <t>Urmeneta 996, Tienda Austral Motosport</t>
  </si>
  <si>
    <t>REL73977</t>
  </si>
  <si>
    <t>250508145</t>
  </si>
  <si>
    <t>NOMBRE RETIRA: JUAN TRIVINOS T RUT RETIRA: 5947553-3</t>
  </si>
  <si>
    <t>Barbara Buschmann</t>
  </si>
  <si>
    <t>Ramón Freire 515, Depto 1102</t>
  </si>
  <si>
    <t>REL73967</t>
  </si>
  <si>
    <t>250508187</t>
  </si>
  <si>
    <t>NOMBRE RETIRA: INNACIO RESTREPO P RUT RETIRA: 14393411-K</t>
  </si>
  <si>
    <t>Ignacia Gárate Cordero</t>
  </si>
  <si>
    <t>Copiapó 354, Casa</t>
  </si>
  <si>
    <t>REL74034</t>
  </si>
  <si>
    <t>250597674</t>
  </si>
  <si>
    <t>NOMBRE RETIRA: GABRIEL G . RUT RETIRA: 19461891-3</t>
  </si>
  <si>
    <t>Gabriel Gajardo Ramirez</t>
  </si>
  <si>
    <t>Los Pehuenches S/N, Ruta 5, Freire, Saprosem Freire</t>
  </si>
  <si>
    <t>REL73990</t>
  </si>
  <si>
    <t>250508106</t>
  </si>
  <si>
    <t>NOMBRE RETIRA: JUAN CARDENAS . RUT RETIRA: 8736334-1</t>
  </si>
  <si>
    <t>Verena Vargas Rodriguez</t>
  </si>
  <si>
    <t>Alsacia 1143, Departamento 407</t>
  </si>
  <si>
    <t>REL73949</t>
  </si>
  <si>
    <t>250508353</t>
  </si>
  <si>
    <t>NOMBRE RETIRA: ROMINA LUARTE MOLINA RUT RETIRA: 19331649-2</t>
  </si>
  <si>
    <t>Romina Luarte</t>
  </si>
  <si>
    <t>fray Bartolomé del Pozo 2722, 32</t>
  </si>
  <si>
    <t>REL73966</t>
  </si>
  <si>
    <t>250508156</t>
  </si>
  <si>
    <t>NOMBRE RETIRA: ESTEFANI CUINIR J RUT RETIRA: 10721237-K</t>
  </si>
  <si>
    <t>Sthefania Coñueñir</t>
  </si>
  <si>
    <t>Las Quilas 1761, Torre itata dep 502</t>
  </si>
  <si>
    <t>REL73909</t>
  </si>
  <si>
    <t>250342640</t>
  </si>
  <si>
    <t>NOMBRE RETIRA: GABRIELA CARRILLO HIDALGO RUT RETIRA: 18592690-7</t>
  </si>
  <si>
    <t>Gabriela Carrillo Hidalgo</t>
  </si>
  <si>
    <t>Av. Diagonal Bio Bio 15. Entrada candelaria, Local de pintura fast color</t>
  </si>
  <si>
    <t>REL73910</t>
  </si>
  <si>
    <t>250342610</t>
  </si>
  <si>
    <t>NOMBRE RETIRA: FREDY YEFI . RUT RETIRA: 15952428-0</t>
  </si>
  <si>
    <t>Pablo Velásquez Barria</t>
  </si>
  <si>
    <t>Santiago De Rosas 2401, Torre 1. Depto 604</t>
  </si>
  <si>
    <t>REL73903</t>
  </si>
  <si>
    <t>250342681</t>
  </si>
  <si>
    <t>CATALINA NICOL QUEZADA CONTRERAS</t>
  </si>
  <si>
    <t>Alberto Córdova 49</t>
  </si>
  <si>
    <t>REL73920</t>
  </si>
  <si>
    <t>250342604</t>
  </si>
  <si>
    <t>NOMBRE RETIRA: MARICEL PRADENAS . RUT RETIRA: 13509077-8</t>
  </si>
  <si>
    <t>Maricel Pradenas</t>
  </si>
  <si>
    <t>Diagonal  oriente, 2036</t>
  </si>
  <si>
    <t>REL73927</t>
  </si>
  <si>
    <t>250342576</t>
  </si>
  <si>
    <t>NOMBRE RETIRA: ROBIN CONCHA 6 RUT RETIRA: 65018133-6</t>
  </si>
  <si>
    <t>Freire 1627, Dpto 504</t>
  </si>
  <si>
    <t>REL73902</t>
  </si>
  <si>
    <t>250275107</t>
  </si>
  <si>
    <t>NOMBRE RETIRA: ALONSO ROA . RUT RETIRA: 12163985-8</t>
  </si>
  <si>
    <t>PRISCILLA VARGAS SALCEDO</t>
  </si>
  <si>
    <t>Diagonal Pedro Aguirre Cerda 1075, Departamento 204 edificio amarillo</t>
  </si>
  <si>
    <t>REL73897</t>
  </si>
  <si>
    <t>250275123</t>
  </si>
  <si>
    <t>NOMBRE RETIRA: CAROLINA . Q RUT RETIRA: 15268381-2</t>
  </si>
  <si>
    <t>Carolina Ostale</t>
  </si>
  <si>
    <t>Rene Soriano 2162, 2162</t>
  </si>
  <si>
    <t>REL73882</t>
  </si>
  <si>
    <t>250270186</t>
  </si>
  <si>
    <t>NOMBRE RETIRA: FRANCISCO ORMENO U RUT RETIRA: 7023168-9</t>
  </si>
  <si>
    <t>Ivanna Toyo semeco</t>
  </si>
  <si>
    <t>O'Higgins 1354, 1104</t>
  </si>
  <si>
    <t>REL74857</t>
  </si>
  <si>
    <t>252206438</t>
  </si>
  <si>
    <t>NOMBRE RETIRA: EVELYN AGUAYO . RUT RETIRA: 13972553-0</t>
  </si>
  <si>
    <t>Carolina Fermandois Ferrada</t>
  </si>
  <si>
    <t>Granada 220 , Casa 54, Vilumanque</t>
  </si>
  <si>
    <t>REL74850</t>
  </si>
  <si>
    <t>252206461</t>
  </si>
  <si>
    <t>NOMBRE RETIRA: PAMELA RISTO P RUT RETIRA: 26149189-3</t>
  </si>
  <si>
    <t>Pamela Garrido Jara</t>
  </si>
  <si>
    <t>Calle i 832 Condominio Mirador del Caucaso I, 602 (brisa del sol, talcahuano )</t>
  </si>
  <si>
    <t>REL74711</t>
  </si>
  <si>
    <t>251988423</t>
  </si>
  <si>
    <t>NOMBRE RETIRA: FERNANXA RODRIGUEZ 0 RUT RETIRA: 19122753-0</t>
  </si>
  <si>
    <t>Antonio de Las Penas 1831, Tecmevet</t>
  </si>
  <si>
    <t>REL74699</t>
  </si>
  <si>
    <t>251902340</t>
  </si>
  <si>
    <t>Felipe Thompson</t>
  </si>
  <si>
    <t>Freire 1062, depto 1111, Concepción centro</t>
  </si>
  <si>
    <t>REL74734</t>
  </si>
  <si>
    <t>251988292</t>
  </si>
  <si>
    <t>NOMBRE RETIRA: HECTOR OVIRDO Y RUT RETIRA: 65212278-7</t>
  </si>
  <si>
    <t>Cristian Cerro Rivera</t>
  </si>
  <si>
    <t>Orompello 767, Departamento 409</t>
  </si>
  <si>
    <t>REL74576</t>
  </si>
  <si>
    <t>251695016</t>
  </si>
  <si>
    <t>Ana Hurtado</t>
  </si>
  <si>
    <t>Yerbas Buenas 351, 807, 807</t>
  </si>
  <si>
    <t>REL74478</t>
  </si>
  <si>
    <t>251448995</t>
  </si>
  <si>
    <t>NOMBRE RETIRA: ANDREA RUIZ . RUT RETIRA: 15234894-0</t>
  </si>
  <si>
    <t>Andrea Ruiz Fuentes</t>
  </si>
  <si>
    <t>John Macnab 3650, casa 29</t>
  </si>
  <si>
    <t>REL74470</t>
  </si>
  <si>
    <t>251449069</t>
  </si>
  <si>
    <t>María Paz Suazo Torres</t>
  </si>
  <si>
    <t>Av. Alemana 28, Dpto 154</t>
  </si>
  <si>
    <t>REL74202</t>
  </si>
  <si>
    <t>251017206</t>
  </si>
  <si>
    <t>NOMBRE RETIRA: NAMUR AGUIKERA . RUT RETIRA: 6755421-3</t>
  </si>
  <si>
    <t>William Condón 3156</t>
  </si>
  <si>
    <t>REL74309</t>
  </si>
  <si>
    <t>251104110</t>
  </si>
  <si>
    <t>NOMBRE RETIRA: CATHERINE MENADIER S RUT RETIRA: 10628400-8</t>
  </si>
  <si>
    <t>Catherine Menadier</t>
  </si>
  <si>
    <t>Pasaje Río Ter 2175, 2175</t>
  </si>
  <si>
    <t>REL74297</t>
  </si>
  <si>
    <t>251104130</t>
  </si>
  <si>
    <t>NOMBRE RETIRA: ROZABAN SALAMANCA F RUT RETIRA: 9112655-9</t>
  </si>
  <si>
    <t>Roxanna Salamanca Arriagada</t>
  </si>
  <si>
    <t>Jardín del Paraíso 334, Lomas de San Sebastián Jardines de Antilhue</t>
  </si>
  <si>
    <t>REL74162</t>
  </si>
  <si>
    <t>250856244</t>
  </si>
  <si>
    <t>NOMBRE RETIRA: MARICEL PRADENA . RUT RETIRA: 13509077-8</t>
  </si>
  <si>
    <t>Diagonal  Oriente 2036, 2036</t>
  </si>
  <si>
    <t>REL74112</t>
  </si>
  <si>
    <t>250777371</t>
  </si>
  <si>
    <t>NOMBRE RETIRA: VALENTINA ARRIAGADA . RUT RETIRA: 18686873-0</t>
  </si>
  <si>
    <t>Valentina Arriagada Torres</t>
  </si>
  <si>
    <t>Ignacio Carrera Pinto 28. Sector Ramadillas, casa verde de dos pisos, ubicada justo frente a la escuela de Ramadillas</t>
  </si>
  <si>
    <t>REL74156</t>
  </si>
  <si>
    <t>250856211</t>
  </si>
  <si>
    <t>NOMBRE RETIRA: YAIR SILVA . RUT RETIRA: 65210697-8</t>
  </si>
  <si>
    <t>CLAUDIA AMESTICA AMESTICA</t>
  </si>
  <si>
    <t>Av. Manuel Rodríguez 140, DEPTO 709</t>
  </si>
  <si>
    <t>REL74113</t>
  </si>
  <si>
    <t>250777360</t>
  </si>
  <si>
    <t>NOMBRE RETIRA: CLAUDIA SILVA . RUT RETIRA: 16038263-5</t>
  </si>
  <si>
    <t>Andrea Vidal Silva</t>
  </si>
  <si>
    <t>Los Araucanos 1410, Casa</t>
  </si>
  <si>
    <t>REL73960</t>
  </si>
  <si>
    <t>250508288</t>
  </si>
  <si>
    <t>NOMBRE RETIRA: CARMEN VARELA . RUT RETIRA: 5062496-K</t>
  </si>
  <si>
    <t>Carolina Peñailillo</t>
  </si>
  <si>
    <t>Pasaje Los Álamos 72, Nonguen (Los Álamos con las vertientes)</t>
  </si>
  <si>
    <t>REL74088</t>
  </si>
  <si>
    <t>250692834</t>
  </si>
  <si>
    <t>NOMBRE RETIRA: PAMELA CALABRANO . RUT RETIRA: 19109789-0</t>
  </si>
  <si>
    <t>Pamela Calabrano Delis</t>
  </si>
  <si>
    <t>Calle 1  #455, Mirador del Río (cerca Municipalidad)</t>
  </si>
  <si>
    <t>REL73952</t>
  </si>
  <si>
    <t>250508346</t>
  </si>
  <si>
    <t>NOMBRE RETIRA: AMIR AVAITUA CONSERJE RUT RETIRA: 19324914-0</t>
  </si>
  <si>
    <t>Gonzalo Rivas</t>
  </si>
  <si>
    <t>Av Las Margaritas 1945, Dpto 407</t>
  </si>
  <si>
    <t>REL74603</t>
  </si>
  <si>
    <t>251764311</t>
  </si>
  <si>
    <t>NOMBRE RETIRA: CRISTIAN BRAVO . . RUT RETIRA: 16187503-1</t>
  </si>
  <si>
    <t>Yijung Kang</t>
  </si>
  <si>
    <t>Av. Juan Cisternas 1500, Casa 20</t>
  </si>
  <si>
    <t>REL74581</t>
  </si>
  <si>
    <t>251695003</t>
  </si>
  <si>
    <t>NOMBRE RETIRA: MARCELO CUEVAS . RUT RETIRA: 14072742-3</t>
  </si>
  <si>
    <t>Marcelo Cuevas</t>
  </si>
  <si>
    <t>Los Glaciares 812, Casa</t>
  </si>
  <si>
    <t>REL74565</t>
  </si>
  <si>
    <t>251695097</t>
  </si>
  <si>
    <t>NOMBRE RETIRA: ALICIA ARCOS . RUT RETIRA: 12340923-K</t>
  </si>
  <si>
    <t>carolina barraza</t>
  </si>
  <si>
    <t>CALLE CINCO 1271  (CON AVDA. GERONIMO MENDEZ), BARRIO INDUSTRIAL</t>
  </si>
  <si>
    <t>REL74531</t>
  </si>
  <si>
    <t>251621902</t>
  </si>
  <si>
    <t>NOMBRE RETIRA: VERONICA RIQUELME . RUT RETIRA: 16159159-9</t>
  </si>
  <si>
    <t>Ximena Acuña</t>
  </si>
  <si>
    <t>Compañía de María 347, Casa</t>
  </si>
  <si>
    <t>REL74450</t>
  </si>
  <si>
    <t>251449060</t>
  </si>
  <si>
    <t>NOMBRE RETIRA: EVELYN PALLERO . . RUT RETIRA: 15976175-4</t>
  </si>
  <si>
    <t>evelyn pallero</t>
  </si>
  <si>
    <t>Lidia Urrutia 3157</t>
  </si>
  <si>
    <t>REL74420</t>
  </si>
  <si>
    <t>251449230</t>
  </si>
  <si>
    <t>NOMBRE RETIRA: MARITZA . . RUT RETIRA: 19667118-8</t>
  </si>
  <si>
    <t>Yaricza López</t>
  </si>
  <si>
    <t>Benjamín Vicuña Mackenna 212</t>
  </si>
  <si>
    <t>REL74366</t>
  </si>
  <si>
    <t>251258494</t>
  </si>
  <si>
    <t>NOMBRE RETIRA: JOSELIN MUNOZ RE RUT RETIRA: 18633195-8</t>
  </si>
  <si>
    <t>Trinidad Iduya</t>
  </si>
  <si>
    <t>El Faro 15, Dpto 1102</t>
  </si>
  <si>
    <t>REL74373</t>
  </si>
  <si>
    <t>251258461</t>
  </si>
  <si>
    <t>NOMBRE RETIRA: GIOVANI ROJAS CONSERJERIA RUT RETIRA: 19303184-6</t>
  </si>
  <si>
    <t>Carolina Luco</t>
  </si>
  <si>
    <t>Enrique Lihn 4332, 308-2</t>
  </si>
  <si>
    <t>REL74295</t>
  </si>
  <si>
    <t>251104179</t>
  </si>
  <si>
    <t>NOMBRE RETIRA: ELENA ANGEL . RUT RETIRA: 6734366-2</t>
  </si>
  <si>
    <t>analya cid</t>
  </si>
  <si>
    <t>Los Lúcumos 516, Casa</t>
  </si>
  <si>
    <t>REL74210</t>
  </si>
  <si>
    <t>251017141</t>
  </si>
  <si>
    <t>NOMBRE RETIRA: ORNELLA LUCERO .. RUT RETIRA: 10316897-K</t>
  </si>
  <si>
    <t>Ornella Lucero</t>
  </si>
  <si>
    <t>Benito Rebolledo Correa 2429</t>
  </si>
  <si>
    <t>REL74068</t>
  </si>
  <si>
    <t>250692926</t>
  </si>
  <si>
    <t>NOMBRE RETIRA: MARIBEL PIZARRO CONSERJE RUT RETIRA: 15366020-4</t>
  </si>
  <si>
    <t>Rodrigo Vergara Salas</t>
  </si>
  <si>
    <t>Calle Esmeralda 90, dpto 1501</t>
  </si>
  <si>
    <t>REL74703</t>
  </si>
  <si>
    <t>251902308</t>
  </si>
  <si>
    <t>Sebastian Arancibia</t>
  </si>
  <si>
    <t>Los Perales 1115</t>
  </si>
  <si>
    <t>REL74216</t>
  </si>
  <si>
    <t>251017114</t>
  </si>
  <si>
    <t>NOMBRE RETIRA: ANA VEGA . RUT RETIRA: 5678627-9</t>
  </si>
  <si>
    <t>Monica Tobar bastias</t>
  </si>
  <si>
    <t>Calle cerro san juan, 116</t>
  </si>
  <si>
    <t>REL74203</t>
  </si>
  <si>
    <t>251017199</t>
  </si>
  <si>
    <t>NOMBRE RETIRA: MAGALY HERMANDEZ B RUT RETIRA: 26608148-0</t>
  </si>
  <si>
    <t>Magaly Hernandez pizarro</t>
  </si>
  <si>
    <t>Luis Fernando Toledo Orellana 944, calle la tuna, Villa parrones de santa cruz</t>
  </si>
  <si>
    <t>REL74103</t>
  </si>
  <si>
    <t>250777419</t>
  </si>
  <si>
    <t>NOMBRE RETIRA: ESTEBAN VALENZUELA ... RUT RETIRA: 13501609-8</t>
  </si>
  <si>
    <t>El Estribo Poniente 27, Casa</t>
  </si>
  <si>
    <t>REL74807</t>
  </si>
  <si>
    <t>252135891</t>
  </si>
  <si>
    <t>NOMBRE RETIRA: MARCIA AILLAPE . RUT RETIRA: 9930855-9</t>
  </si>
  <si>
    <t>Marcia Aillape</t>
  </si>
  <si>
    <t>Antonio Varas 426, Casa</t>
  </si>
  <si>
    <t>REL74762</t>
  </si>
  <si>
    <t>252062427</t>
  </si>
  <si>
    <t>NOMBRE RETIRA: MARTINO CHIROLINU K RUT RETIRA: 6490347-0</t>
  </si>
  <si>
    <t>Martino Cherubini Chiarolini</t>
  </si>
  <si>
    <t>Parecela 62 La Compañia,</t>
  </si>
  <si>
    <t>REL74582</t>
  </si>
  <si>
    <t>251694984</t>
  </si>
  <si>
    <t>NOMBRE RETIRA: VANIA PINTO M RUT RETIRA: 18833869-0</t>
  </si>
  <si>
    <t>Vania Pinto Marambio</t>
  </si>
  <si>
    <t>Pasaje San Sebastián 0126, Villa Monasterio</t>
  </si>
  <si>
    <t>REL73988</t>
  </si>
  <si>
    <t>250508091</t>
  </si>
  <si>
    <t>NOMBRE RETIRA: PATRICIA SEPULVEDA S RUT RETIRA: 12293057-2</t>
  </si>
  <si>
    <t>Patricia Sepúlveda  Gómez</t>
  </si>
  <si>
    <t>Guillermo Berrios 430</t>
  </si>
  <si>
    <t>REL74876</t>
  </si>
  <si>
    <t>252217820</t>
  </si>
  <si>
    <t>NOMBRE RETIRA: ALDO PEREZ . RUT RETIRA: 26962909-6</t>
  </si>
  <si>
    <t>Ivana Gómez Jacque</t>
  </si>
  <si>
    <t>Los Álamos 1151, isla teja condominio ribera del cruces departamento 61 A</t>
  </si>
  <si>
    <t>REL74757</t>
  </si>
  <si>
    <t>252062447</t>
  </si>
  <si>
    <t>NOMBRE RETIRA: GLADYS MARIN A RUT RETIRA: 11610801-1</t>
  </si>
  <si>
    <t>Camila Alejandra Valencia Ibana</t>
  </si>
  <si>
    <t>Av Capitán avalos 2855, Casa</t>
  </si>
  <si>
    <t>REL74753</t>
  </si>
  <si>
    <t>252062473</t>
  </si>
  <si>
    <t>NOMBRE RETIRA: AMANDA VALDEZ Y RUT RETIRA: 21597222-4</t>
  </si>
  <si>
    <t>Tamara Alcaino Torres</t>
  </si>
  <si>
    <t>Av.Tadeo Haenke 2221, Depto 154 torre B</t>
  </si>
  <si>
    <t>REL74637</t>
  </si>
  <si>
    <t>251902609</t>
  </si>
  <si>
    <t>NOMBRE RETIRA: VERSA MONSALVE X RUT RETIRA: 22640336-1</t>
  </si>
  <si>
    <t>patricio Gonzalez trigo</t>
  </si>
  <si>
    <t>Pasaje el tololo 1385, casa</t>
  </si>
  <si>
    <t>REL74721</t>
  </si>
  <si>
    <t>251988375</t>
  </si>
  <si>
    <t>NOMBRE RETIRA: GLORIA TELLO TIRADO RUT RETIRA: 10606756-2</t>
  </si>
  <si>
    <t>Leonardo Pereira Contreras</t>
  </si>
  <si>
    <t>Javiera Carrera 3067, Casa</t>
  </si>
  <si>
    <t>REL74680</t>
  </si>
  <si>
    <t>251902393</t>
  </si>
  <si>
    <t>NOMBRE RETIRA: JASHIEL TORO TORO RUT RETIRA: 18791057-9</t>
  </si>
  <si>
    <t>Jahaziel Toro</t>
  </si>
  <si>
    <t>Av. Salvador Allende 560, 603 A</t>
  </si>
  <si>
    <t>REL74737</t>
  </si>
  <si>
    <t>251988275</t>
  </si>
  <si>
    <t>NOMBRE RETIRA: NATALIA GUSMAN . RUT RETIRA: 27358890-6</t>
  </si>
  <si>
    <t>Maheba paz Diaz caceres</t>
  </si>
  <si>
    <t>José Miguel Carrera 1821, Depto 1901</t>
  </si>
  <si>
    <t>REL74672</t>
  </si>
  <si>
    <t>251902415</t>
  </si>
  <si>
    <t>NOMBRE RETIRA: GIOVANNA RIFFO G RUT RETIRA: 19248643-2</t>
  </si>
  <si>
    <t>Giovanna Riffo</t>
  </si>
  <si>
    <t>Errazuriz 1795, Casa esquina</t>
  </si>
  <si>
    <t>REL74695</t>
  </si>
  <si>
    <t>251902351</t>
  </si>
  <si>
    <t>NOMBRE RETIRA: ALEXANDRA ASENJO .... RUT RETIRA: 15268101-1</t>
  </si>
  <si>
    <t>Alexandra Asenjo</t>
  </si>
  <si>
    <t>Los peumos 498, Casa esquina</t>
  </si>
  <si>
    <t>REL74693</t>
  </si>
  <si>
    <t>251902358</t>
  </si>
  <si>
    <t>NOMBRE RETIRA: SOFIA GALDAMES . RUT RETIRA: 10630633-8</t>
  </si>
  <si>
    <t>Vallejo 480 , Dpto. 202 Centro</t>
  </si>
  <si>
    <t>REL74731</t>
  </si>
  <si>
    <t>251988327</t>
  </si>
  <si>
    <t>NOMBRE RETIRA: MARIA TERESA .. RUT RETIRA: 53310370-7</t>
  </si>
  <si>
    <t>Maria Teresa Bucarey</t>
  </si>
  <si>
    <t>Camino Botrolhue 1474</t>
  </si>
  <si>
    <t>REL74687</t>
  </si>
  <si>
    <t>251902390</t>
  </si>
  <si>
    <t>NOMBRE RETIRA: HECTOT ARDILES ARDILES RUT RETIRA: 8464540-0</t>
  </si>
  <si>
    <t>Paulina Ardiles Diaz</t>
  </si>
  <si>
    <t>termas del flaco 786, Casa sector la pradera</t>
  </si>
  <si>
    <t>REL74597</t>
  </si>
  <si>
    <t>251764356</t>
  </si>
  <si>
    <t>NOMBRE RETIRA: JORGE CAMARGO . RUT RETIRA: 26550008-0</t>
  </si>
  <si>
    <t>Rodrigo Selman</t>
  </si>
  <si>
    <t>Av. Rica Aventura 11888, Casa 12</t>
  </si>
  <si>
    <t>REL74584</t>
  </si>
  <si>
    <t>251695025</t>
  </si>
  <si>
    <t>Daniela Barra Orellana</t>
  </si>
  <si>
    <t>Avenida Jaime Guzmán Errazuriz 4200, Depto 203</t>
  </si>
  <si>
    <t>REL74526</t>
  </si>
  <si>
    <t>251621947</t>
  </si>
  <si>
    <t>NOMBRE RETIRA: GIOVANS RIFFO R RUT RETIRA: 14472022-9</t>
  </si>
  <si>
    <t>Errázuriz 1795, Casa  esquina</t>
  </si>
  <si>
    <t>REL74533</t>
  </si>
  <si>
    <t>251621937</t>
  </si>
  <si>
    <t>NOMBRE RETIRA: LORETO VALDEZ .. RUT RETIRA: 9459681-5</t>
  </si>
  <si>
    <t>Silvana Koch</t>
  </si>
  <si>
    <t>Andrés Bello 831, Oficina BICEVIDA</t>
  </si>
  <si>
    <t>REL74406</t>
  </si>
  <si>
    <t>251449318</t>
  </si>
  <si>
    <t>NOMBRE RETIRA: ELIMAR PEREZ P RUT RETIRA: 23144914-0</t>
  </si>
  <si>
    <t>Mónica Codriansky Rodriguez</t>
  </si>
  <si>
    <t>Eleuterio Ramirez 436</t>
  </si>
  <si>
    <t>REL74518</t>
  </si>
  <si>
    <t>251539285</t>
  </si>
  <si>
    <t>NOMBRE RETIRA: CINTIA ALVAREZ . RUT RETIRA: 12837605-4</t>
  </si>
  <si>
    <t>Gayro Troncoso</t>
  </si>
  <si>
    <t>Manuel Verbal 1545, 803 B</t>
  </si>
  <si>
    <t>REL74402</t>
  </si>
  <si>
    <t>251449378</t>
  </si>
  <si>
    <t>NOMBRE RETIRA: YAMILETH LOZANO L RUT RETIRA: 23144914-0</t>
  </si>
  <si>
    <t>Sebastián Troncoso Molina</t>
  </si>
  <si>
    <t>Las Palmas Poniente 195, Block A Depto. 44. Condominio las Palmas V</t>
  </si>
  <si>
    <t>REL74488</t>
  </si>
  <si>
    <t>251448919</t>
  </si>
  <si>
    <t>NOMBRE RETIRA: HELEN FAJARDO . RUT RETIRA: 16437827-6</t>
  </si>
  <si>
    <t>Aura Useche</t>
  </si>
  <si>
    <t>Estación de los Vientos 281, 10</t>
  </si>
  <si>
    <t>REL74405</t>
  </si>
  <si>
    <t>251449273</t>
  </si>
  <si>
    <t>NOMBRE RETIRA: MAKARENA DIAZ M RUT RETIRA: 13396185-2</t>
  </si>
  <si>
    <t>Makarena Diaz</t>
  </si>
  <si>
    <t>Pasaje los Chequenes 02175</t>
  </si>
  <si>
    <t>REL74437</t>
  </si>
  <si>
    <t>251449210</t>
  </si>
  <si>
    <t>Marcela Bugueño Alvarez</t>
  </si>
  <si>
    <t>Edificio Porto Belo, Avenida Los Pablos 2190, Depto 601</t>
  </si>
  <si>
    <t>2025-08-16 12:57</t>
  </si>
  <si>
    <t>REL74453</t>
  </si>
  <si>
    <t>251449144</t>
  </si>
  <si>
    <t>Diego Godoy</t>
  </si>
  <si>
    <t>Av. Alemania 0587, Depto 63</t>
  </si>
  <si>
    <t>REL74376</t>
  </si>
  <si>
    <t>251258465</t>
  </si>
  <si>
    <t>NOMBRE RETIRA: SANDRA FLOCH . RUT RETIRA: 10950376-2</t>
  </si>
  <si>
    <t>Camila Jofre Folch</t>
  </si>
  <si>
    <t>Casa, Puritama 301</t>
  </si>
  <si>
    <t>REL74352</t>
  </si>
  <si>
    <t>251258541</t>
  </si>
  <si>
    <t>NOMBRE RETIRA: DANIELA BASTIAS X RUT RETIRA: 22640336-1</t>
  </si>
  <si>
    <t>daniela bastias</t>
  </si>
  <si>
    <t>Félix García 820, Liceo new heaven hs</t>
  </si>
  <si>
    <t>REL74343</t>
  </si>
  <si>
    <t>251182928</t>
  </si>
  <si>
    <t>NOMBRE RETIRA: BETTY FERNANDEZ . RUT RETIRA: 8727709-7</t>
  </si>
  <si>
    <t>Cristian Carreño cañete</t>
  </si>
  <si>
    <t>C. Salar Grande 121-b, 212b</t>
  </si>
  <si>
    <t>REL74361</t>
  </si>
  <si>
    <t>251258476</t>
  </si>
  <si>
    <t>NOMBRE RETIRA: CARMEN HUAQUIMILLA . RUT RETIRA: 15270808-4</t>
  </si>
  <si>
    <t>Carmen Huaiquimilla Rodríguez</t>
  </si>
  <si>
    <t>Volcán Antillanca 3590, 3590, Villa Entre Ríos</t>
  </si>
  <si>
    <t>REL74266</t>
  </si>
  <si>
    <t>251104297</t>
  </si>
  <si>
    <t>NOMBRE RETIRA: PAULINA SILVA RUIZ RUT RETIRA: 20338742-3</t>
  </si>
  <si>
    <t>Paulina Silva Ruiz</t>
  </si>
  <si>
    <t>Pasaje Union Familiar 3509, Casas Nuevas Al Lado Colegio Don Bosco, Por Av. Prat Sur</t>
  </si>
  <si>
    <t>REL73986</t>
  </si>
  <si>
    <t>250508117</t>
  </si>
  <si>
    <t>NOMBRE RETIRA: LUIS DURAN X RUT RETIRA: 17556581-7</t>
  </si>
  <si>
    <t>Macarena Baeza</t>
  </si>
  <si>
    <t>Av. Alcalde Manuel Castillo Ibaceta 3015, Depto. 333. Condominio Neo Azapa</t>
  </si>
  <si>
    <t>REL74173</t>
  </si>
  <si>
    <t>250856171</t>
  </si>
  <si>
    <t>NOMBRE RETIRA: ISOLINA CRUZ CRUZ. RUT RETIRA: 8159649-2</t>
  </si>
  <si>
    <t>Juan Carlos Zepeda Cruz</t>
  </si>
  <si>
    <t>Corcovado 1265, Casa</t>
  </si>
  <si>
    <t>REL74164</t>
  </si>
  <si>
    <t>250856207</t>
  </si>
  <si>
    <t>NOMBRE RETIRA: CRISTINA PEREZ . RUT RETIRA: 10714874-4</t>
  </si>
  <si>
    <t>Daiana Goye</t>
  </si>
  <si>
    <t>Avenida Francia 1771, Torre 2. Depto. 301</t>
  </si>
  <si>
    <t>REL74056</t>
  </si>
  <si>
    <t>250693006</t>
  </si>
  <si>
    <t>NOMBRE RETIRA: FABIOLA BANDA . RUT RETIRA: 19692915-0</t>
  </si>
  <si>
    <t>Fabiola Banda</t>
  </si>
  <si>
    <t>Jose Toribio Medina 254, Depto 603, Depto 603</t>
  </si>
  <si>
    <t>REL74095</t>
  </si>
  <si>
    <t>250692781</t>
  </si>
  <si>
    <t>NOMBRE RETIRA: TRINIDAD AGUIRRE Z RUT RETIRA: 19494392-K</t>
  </si>
  <si>
    <t>TRINIDAD AGUIRRE</t>
  </si>
  <si>
    <t>SAN SALVADOR 2414, SAUCACHE</t>
  </si>
  <si>
    <t>REL73881</t>
  </si>
  <si>
    <t>250270198</t>
  </si>
  <si>
    <t>NOMBRE RETIRA: PEDRO REGODECEDES . RUT RETIRA: 6159524-4</t>
  </si>
  <si>
    <t>Paulina Regodeceves</t>
  </si>
  <si>
    <t>Chaihuen 8652</t>
  </si>
  <si>
    <t>REL73894</t>
  </si>
  <si>
    <t>250275139</t>
  </si>
  <si>
    <t>Maria paz Rivas valdebenito</t>
  </si>
  <si>
    <t>Avenida alemania 0587, 157</t>
  </si>
  <si>
    <t>REL74336</t>
  </si>
  <si>
    <t>251182988</t>
  </si>
  <si>
    <t>NOMBRE RETIRA: ANA FARFAN . RUT RETIRA: 8762919-8</t>
  </si>
  <si>
    <t>JOSEFINA Palominos farfan</t>
  </si>
  <si>
    <t>Manuel Rodríguez Erdoiza 1276, Casa</t>
  </si>
  <si>
    <t>REL74607</t>
  </si>
  <si>
    <t>251764320</t>
  </si>
  <si>
    <t>NOMBRE RETIRA: VALENTINA ZAGESMUNDO . RUT RETIRA: 76669508-6</t>
  </si>
  <si>
    <t>Valentina ZargesMuñoz</t>
  </si>
  <si>
    <t>Maipo 1170, Casa 2</t>
  </si>
  <si>
    <t>REL74561</t>
  </si>
  <si>
    <t>251695116</t>
  </si>
  <si>
    <t>NOMBRE RETIRA: JAQUELIN ACUNA . RUT RETIRA: 9847542-7</t>
  </si>
  <si>
    <t>Claudia Gallardo</t>
  </si>
  <si>
    <t>Deber Cunplido Con Calle Huasco 624</t>
  </si>
  <si>
    <t>REL74556</t>
  </si>
  <si>
    <t>251621863</t>
  </si>
  <si>
    <t>NOMBRE RETIRA: CARLOS BOHLE . RUT RETIRA: 20264218-7</t>
  </si>
  <si>
    <t>Carlos Bohle Jorquera</t>
  </si>
  <si>
    <t>Antonio Varas 525, Oficina 402</t>
  </si>
  <si>
    <t>REL74002</t>
  </si>
  <si>
    <t>250508028</t>
  </si>
  <si>
    <t>NOMBRE RETIRA: BELEN BELERRIN . RUT RETIRA: 15639212-K</t>
  </si>
  <si>
    <t>María Belén Ballarín del Valle</t>
  </si>
  <si>
    <t>Los Copihues 191, Cabaña A</t>
  </si>
  <si>
    <t>REL73981</t>
  </si>
  <si>
    <t>250508151</t>
  </si>
  <si>
    <t>NOMBRE RETIRA: JAVIERA BRAVO 0 RUT RETIRA: 17651843-K</t>
  </si>
  <si>
    <t>Javiera Bravo Canales</t>
  </si>
  <si>
    <t>Pasaje 32 Casa 1725</t>
  </si>
  <si>
    <t>REL74411</t>
  </si>
  <si>
    <t>251449253</t>
  </si>
  <si>
    <t>NOMBRE RETIRA: MARIA PENA . RUT RETIRA: 17473063-6</t>
  </si>
  <si>
    <t>María Cristina Martínez Coloma</t>
  </si>
  <si>
    <t>Gabriela Mistral 2655</t>
  </si>
  <si>
    <t>REL74474</t>
  </si>
  <si>
    <t>251449015</t>
  </si>
  <si>
    <t>NOMBRE RETIRA: TERESA MORALES . RUT RETIRA: 9234462-2</t>
  </si>
  <si>
    <t>Valeska Salazar Morales</t>
  </si>
  <si>
    <t>Jorge Saba Ananías 1053</t>
  </si>
  <si>
    <t>REL74154</t>
  </si>
  <si>
    <t>250856237</t>
  </si>
  <si>
    <t>NOMBRE RETIRA: NORMA CIFUENTES . RUT RETIRA: 8463178-7</t>
  </si>
  <si>
    <t>Norma Cifuentes Osses</t>
  </si>
  <si>
    <t>Andrés Bello 951, Casa Villa Magisterio</t>
  </si>
  <si>
    <t>2025-08-08 00:18</t>
  </si>
  <si>
    <t>REL73971</t>
  </si>
  <si>
    <t>250508211</t>
  </si>
  <si>
    <t>NOMBRE RETIRA: RITA VERA . RUT RETIRA: 8525104-K</t>
  </si>
  <si>
    <t>Alejandra Vera</t>
  </si>
  <si>
    <t>Volcán Antillanca 608, Casa</t>
  </si>
  <si>
    <t>REL74656</t>
  </si>
  <si>
    <t>251902506</t>
  </si>
  <si>
    <t>NOMBRE RETIRA: CARLOS CASALI . RUT RETIRA: 10029278-5</t>
  </si>
  <si>
    <t>Oficina petronila 160 casa 42, 42</t>
  </si>
  <si>
    <t>REL74618</t>
  </si>
  <si>
    <t>251764280</t>
  </si>
  <si>
    <t>NOMBRE RETIRA: ANDREA VALLE4O V RUT RETIRA: 15692291-9</t>
  </si>
  <si>
    <t>Sebastian Araya Cuevas</t>
  </si>
  <si>
    <t>Bellavista 4086, Departamento 801</t>
  </si>
  <si>
    <t>REL74499</t>
  </si>
  <si>
    <t>251539315</t>
  </si>
  <si>
    <t>Carlos Pizarro araya</t>
  </si>
  <si>
    <t>Av. Libertador Bernardo O Higgins 1650, Depto. 701, Edificio Leblon</t>
  </si>
  <si>
    <t>REL74412</t>
  </si>
  <si>
    <t>251449309</t>
  </si>
  <si>
    <t>NOMBRE RETIRA: RODOLFO OSPINA . RUT RETIRA: 17736384-7</t>
  </si>
  <si>
    <t>Pia Ordenes</t>
  </si>
  <si>
    <t>Av. Cerro Paranal 310, 163</t>
  </si>
  <si>
    <t>REL74205</t>
  </si>
  <si>
    <t>251017188</t>
  </si>
  <si>
    <t>NOMBRE RETIRA: CAMILA TABILO . RUT RETIRA: 20936458-1</t>
  </si>
  <si>
    <t>Elizabeth Tabilo</t>
  </si>
  <si>
    <t>Juan Bravo 7423</t>
  </si>
  <si>
    <t>REL74209</t>
  </si>
  <si>
    <t>251017132</t>
  </si>
  <si>
    <t>NOMBRE RETIRA: MARIA SOTO B RUT RETIRA: 6563202-0</t>
  </si>
  <si>
    <t>Simone Neira</t>
  </si>
  <si>
    <t>Antonio Poupin 1042, 1202</t>
  </si>
  <si>
    <t>REL74227</t>
  </si>
  <si>
    <t>251016997</t>
  </si>
  <si>
    <t>NOMBRE RETIRA: ELENA AREVALO J RUT RETIRA: 23785646-5</t>
  </si>
  <si>
    <t>Emmanuel Salguero</t>
  </si>
  <si>
    <t>Blanco Encalada 1961, Casa</t>
  </si>
  <si>
    <t>REL74080</t>
  </si>
  <si>
    <t>250692845</t>
  </si>
  <si>
    <t>Ana sofia Perdomo</t>
  </si>
  <si>
    <t>Ascotán 155, Condominio Faro Norte, Depto. 1610 Torre B</t>
  </si>
  <si>
    <t>REL73946</t>
  </si>
  <si>
    <t>250508388</t>
  </si>
  <si>
    <t>NOMBRE RETIRA: NATALIA LAGOS . RUT RETIRA: 17175804-1</t>
  </si>
  <si>
    <t>Zapallar 650, Casa 3</t>
  </si>
  <si>
    <t>REL73938</t>
  </si>
  <si>
    <t>250508391</t>
  </si>
  <si>
    <t>NOMBRE RETIRA: PATRICIO VEGA X RUT RETIRA: 22640336-1</t>
  </si>
  <si>
    <t>Patricio Vega Garcia</t>
  </si>
  <si>
    <t>Pasaje Los Ñandues 9695</t>
  </si>
  <si>
    <t>REL73969</t>
  </si>
  <si>
    <t>250508152</t>
  </si>
  <si>
    <t>NOMBRE RETIRA: JESSICA . . RUT RETIRA: 14110979-0</t>
  </si>
  <si>
    <t>Gislaine Borquez</t>
  </si>
  <si>
    <t>Ascotán Norte 155, Depto 311, torre A</t>
  </si>
  <si>
    <t>REL74017</t>
  </si>
  <si>
    <t>250597732</t>
  </si>
  <si>
    <t>NOMBRE RETIRA: DIEGO VARAONA . RUT RETIRA: 17006205-1</t>
  </si>
  <si>
    <t>Alejandro Silva</t>
  </si>
  <si>
    <t>Base Aérea Cerro Moreno S/N. Pabellón 15 Casa 4</t>
  </si>
  <si>
    <t>REL73925</t>
  </si>
  <si>
    <t>250342586</t>
  </si>
  <si>
    <t>NOMBRE RETIRA: CARLOS REIMBERG X RUT RETIRA: 12345678-5</t>
  </si>
  <si>
    <t>Carlos Reimberg Lopez</t>
  </si>
  <si>
    <t>Las palmeras 20, Casa 10</t>
  </si>
  <si>
    <t>REL74586</t>
  </si>
  <si>
    <t>251695021</t>
  </si>
  <si>
    <t>NOMBRE RETIRA: JOSE FIGUEROA . RUT RETIRA: 11111111-1</t>
  </si>
  <si>
    <t>Jose Figueroa</t>
  </si>
  <si>
    <t>Pasaje Ongolmo 663, 1</t>
  </si>
  <si>
    <t>REL74477</t>
  </si>
  <si>
    <t>251448993</t>
  </si>
  <si>
    <t>NOMBRE RETIRA: JERSON HERNANDEZ K RUT RETIRA: 18643056-5</t>
  </si>
  <si>
    <t>Mar Tirreno 01238</t>
  </si>
  <si>
    <t>REL74354</t>
  </si>
  <si>
    <t>251258513</t>
  </si>
  <si>
    <t>NOMBRE RETIRA: OAKLEY INZUNZA . RUT RETIRA: 7790928-1</t>
  </si>
  <si>
    <t>Oakley Inzunza</t>
  </si>
  <si>
    <t>Quinta 51, parte baja, 6</t>
  </si>
  <si>
    <t>REL74403</t>
  </si>
  <si>
    <t>251449333</t>
  </si>
  <si>
    <t>NOMBRE RETIRA: VIVIAN MIRANDA . RUT RETIRA: 16975248-6</t>
  </si>
  <si>
    <t>Cristóbal Colón 473</t>
  </si>
  <si>
    <t>REL74069</t>
  </si>
  <si>
    <t>250692935</t>
  </si>
  <si>
    <t>NOMBRE RETIRA: LORETO GONZALES . RUT RETIRA: 28199179-5</t>
  </si>
  <si>
    <t>Loreto González Miranda</t>
  </si>
  <si>
    <t>Teniente Luis Uribe 402, Casa. Sector Barrio Prat</t>
  </si>
  <si>
    <t>REL73956</t>
  </si>
  <si>
    <t>250508328</t>
  </si>
  <si>
    <t>NOMBRE RETIRA: MARISOL TRABA . RUT RETIRA: 9277663-8</t>
  </si>
  <si>
    <t>Marisol Traba Stambuk</t>
  </si>
  <si>
    <t>Lucerna 0780  , Colonia Suiza</t>
  </si>
  <si>
    <t>REL74645</t>
  </si>
  <si>
    <t>251902497</t>
  </si>
  <si>
    <t>NOMBRE RETIRA: PAUBLO BERNAL X RUT RETIRA: 19253113-6</t>
  </si>
  <si>
    <t>Vania Cárdenas</t>
  </si>
  <si>
    <t>Av. El Sol 148</t>
  </si>
  <si>
    <t>REL74671</t>
  </si>
  <si>
    <t>251902427</t>
  </si>
  <si>
    <t>NOMBRE RETIRA: CATALINA MAMANI . RUT RETIRA: 28419206-0</t>
  </si>
  <si>
    <t>REL74638</t>
  </si>
  <si>
    <t>251902592</t>
  </si>
  <si>
    <t>NOMBRE RETIRA: LISETTE CIFUENTES CIFUENTES C RUT RETIRA: 17011103-6</t>
  </si>
  <si>
    <t>arlette cifuentes</t>
  </si>
  <si>
    <t>Lauca 2245</t>
  </si>
  <si>
    <t>REL74666</t>
  </si>
  <si>
    <t>251902450</t>
  </si>
  <si>
    <t>NOMBRE RETIRA: PALOMA LOPEZ LOPEZ RUT RETIRA: 19356049-0</t>
  </si>
  <si>
    <t>Avenida Comandante San MartÍn 0320, D. 204 Torre 1 no, d. 204 torre 1</t>
  </si>
  <si>
    <t>REL74640</t>
  </si>
  <si>
    <t>251902591</t>
  </si>
  <si>
    <t>NOMBRE RETIRA: MARCELA FERNANDSZ A1 RUT RETIRA: 15693253-1</t>
  </si>
  <si>
    <t>Los cipreses 2845</t>
  </si>
  <si>
    <t>REL74226</t>
  </si>
  <si>
    <t>251017069</t>
  </si>
  <si>
    <t>NOMBRE RETIRA: JORGE GUIC . RUT RETIRA: 17586159-9</t>
  </si>
  <si>
    <t>Jroge Guic zolezzi</t>
  </si>
  <si>
    <t>Pdte. Jorge Montt 255, Casa</t>
  </si>
  <si>
    <t>REL74530</t>
  </si>
  <si>
    <t>251621916</t>
  </si>
  <si>
    <t>NOMBRE RETIRA: CECILIA TOJAS . RUT RETIRA: 8459825-9</t>
  </si>
  <si>
    <t>Cecilia Rojas Martin</t>
  </si>
  <si>
    <t>Santiago Canales 1174</t>
  </si>
  <si>
    <t>REL74253</t>
  </si>
  <si>
    <t>251016901</t>
  </si>
  <si>
    <t>NOMBRE RETIRA: AIDE PINO F RUT RETIRA: 16120039-5</t>
  </si>
  <si>
    <t>Karina Zuñiga</t>
  </si>
  <si>
    <t>Lautaro 88</t>
  </si>
  <si>
    <t>REL74353</t>
  </si>
  <si>
    <t>251258517</t>
  </si>
  <si>
    <t>NOMBRE RETIRA: SEBASTIAN RODRIGUEZ . RUT RETIRA: 17800782-3</t>
  </si>
  <si>
    <t>Felipe castillo</t>
  </si>
  <si>
    <t>Rancagua 3118, Clínica veterinaria</t>
  </si>
  <si>
    <t>REL74265</t>
  </si>
  <si>
    <t>251104273</t>
  </si>
  <si>
    <t>Av. Salvador Allende Gossens 450, Depto 708 margarita condominio cuatro reinas</t>
  </si>
  <si>
    <t>REL74282</t>
  </si>
  <si>
    <t>251104225</t>
  </si>
  <si>
    <t>NOMBRE RETIRA: FRANK RUIS . RUT RETIRA: 21270363-K</t>
  </si>
  <si>
    <t>Frank Ruiz Bonilla</t>
  </si>
  <si>
    <t>Armando Cortínez 2379, Casa con una señal de ambulancia</t>
  </si>
  <si>
    <t>REL74065</t>
  </si>
  <si>
    <t>250692949</t>
  </si>
  <si>
    <t>NOMBRE RETIRA: EMA RIVERA . RUT RETIRA: 6396688-6</t>
  </si>
  <si>
    <t>Salitrera Dolores 3235, casa</t>
  </si>
  <si>
    <t>REL73777</t>
  </si>
  <si>
    <t>250039663</t>
  </si>
  <si>
    <t>NOMBRE RETIRA: JOSE ALFARO X RUT RETIRA: 15401465-9</t>
  </si>
  <si>
    <t>Lady Vera</t>
  </si>
  <si>
    <t>Pasaje los pomelos , borde voipir parcela c -2, Parcelacion borde voipir</t>
  </si>
  <si>
    <t>2025-07-26 11:41</t>
  </si>
  <si>
    <t>REL74540</t>
  </si>
  <si>
    <t>251621924</t>
  </si>
  <si>
    <t>NOMBRE RETIRA: GABRIELA MUNOZ . RUT RETIRA: 19552547-1</t>
  </si>
  <si>
    <t>18 de Octubre 755, Carro comida negro</t>
  </si>
  <si>
    <t>REL73761</t>
  </si>
  <si>
    <t>249895299</t>
  </si>
  <si>
    <t>NOMBRE RETIRA: CAMILA MENA . RUT RETIRA: 11111111-1</t>
  </si>
  <si>
    <t>Camila Mena oggero</t>
  </si>
  <si>
    <t>Ramón Freire 1047, Casa</t>
  </si>
  <si>
    <t>REL73796</t>
  </si>
  <si>
    <t>712929465861</t>
  </si>
  <si>
    <t>Claudia Verdugo</t>
  </si>
  <si>
    <t>El Manzano 285-2, Altura parcela El Manzano 021</t>
  </si>
  <si>
    <t>REL74829</t>
  </si>
  <si>
    <t>712940048273</t>
  </si>
  <si>
    <t>Nombre: Catalina CAMPOS - Rut: 211233206</t>
  </si>
  <si>
    <t>C. Grandes Alamedas 706 , Población Orlando Letelier</t>
  </si>
  <si>
    <t>REL74873</t>
  </si>
  <si>
    <t>712940047783</t>
  </si>
  <si>
    <t>Nombre: abner millahual - Rut: 174994587</t>
  </si>
  <si>
    <t>Abner Millahual carrasco</t>
  </si>
  <si>
    <t>Rosalia gallardo 645, 645</t>
  </si>
  <si>
    <t>REL74851</t>
  </si>
  <si>
    <t>712940048063</t>
  </si>
  <si>
    <t>Nombre: Javier hernandez - Rut: 138264203</t>
  </si>
  <si>
    <t>Camila Vasquez Ibañez</t>
  </si>
  <si>
    <t>Lautaro 275, Hospital</t>
  </si>
  <si>
    <t>REL74819</t>
  </si>
  <si>
    <t>712939729530</t>
  </si>
  <si>
    <t>Nombre: hortensia moraga - Rut: 6215750</t>
  </si>
  <si>
    <t>Hortensia Moraga</t>
  </si>
  <si>
    <t>Martiniano Urriola 431, 431</t>
  </si>
  <si>
    <t>REL74756</t>
  </si>
  <si>
    <t>712939389481</t>
  </si>
  <si>
    <t>Nombre: Barbara cisternas - Rut: 191283864</t>
  </si>
  <si>
    <t>Barbara Cisternas</t>
  </si>
  <si>
    <t>Villa SAN Pedro IV calle 1, 309</t>
  </si>
  <si>
    <t>REL74795</t>
  </si>
  <si>
    <t>712939389094</t>
  </si>
  <si>
    <t>Nombre: Danae tapia - Rut: 207601918</t>
  </si>
  <si>
    <t>Carolina Marambio Muñoz</t>
  </si>
  <si>
    <t>Mario Carreño 0908, 0908</t>
  </si>
  <si>
    <t>REL74804</t>
  </si>
  <si>
    <t>712939729703</t>
  </si>
  <si>
    <t>Camila Brunner Carvacho</t>
  </si>
  <si>
    <t>Dr. Steffens 730, Hospital Cochrane</t>
  </si>
  <si>
    <t>REL74747</t>
  </si>
  <si>
    <t>712939076743</t>
  </si>
  <si>
    <t>Nombre: carolina lagos - Rut: 168095481</t>
  </si>
  <si>
    <t>Calle manuel rodriguez 654, Casa 20</t>
  </si>
  <si>
    <t>REL74728</t>
  </si>
  <si>
    <t>712939077406</t>
  </si>
  <si>
    <t>Nombre: edid pizarro - Rut: 98278923</t>
  </si>
  <si>
    <t>Nicole Cortes Pizarro</t>
  </si>
  <si>
    <t>Juan Ignacio Flores 16</t>
  </si>
  <si>
    <t>REL74572</t>
  </si>
  <si>
    <t>712937690371</t>
  </si>
  <si>
    <t>Nombre: lastenia parra - Rut: 7499394</t>
  </si>
  <si>
    <t>Viviana Bravo Cerda</t>
  </si>
  <si>
    <t>Maximiliano Ibáñez 132</t>
  </si>
  <si>
    <t>REL74546</t>
  </si>
  <si>
    <t>712937360063</t>
  </si>
  <si>
    <t>Nombre: Jorge Saliste Vega - Rut: 209153254</t>
  </si>
  <si>
    <t>María Elena Vega Lépez</t>
  </si>
  <si>
    <t>Pasaje Rio Longaví 1316, Villa Entre Ríos</t>
  </si>
  <si>
    <t>REL74519</t>
  </si>
  <si>
    <t>712937024332</t>
  </si>
  <si>
    <t>Nombre: Christian Rivera - Rut: 18619864</t>
  </si>
  <si>
    <t>Christian Rivera</t>
  </si>
  <si>
    <t>Parcelacion los volcanes, 19</t>
  </si>
  <si>
    <t>REL74498</t>
  </si>
  <si>
    <t>712937024693</t>
  </si>
  <si>
    <t>Nombre: Juan utreras - Rut: 190718387</t>
  </si>
  <si>
    <t>carla Quilodran</t>
  </si>
  <si>
    <t>villa andes calle pedro esteimbrecher 984 coihueco, casa 984</t>
  </si>
  <si>
    <t>REL74511</t>
  </si>
  <si>
    <t>712937024435</t>
  </si>
  <si>
    <t>Nombre: Doris Pizarro - Rut: 96101651</t>
  </si>
  <si>
    <t>Karina Zambra pizarro</t>
  </si>
  <si>
    <t>Las Dalias 42, Casa blanca dos pisos</t>
  </si>
  <si>
    <t>REL74489</t>
  </si>
  <si>
    <t>712936636694</t>
  </si>
  <si>
    <t>Nombre: ruben aguero - Rut: 0</t>
  </si>
  <si>
    <t>Gisela Foitzick</t>
  </si>
  <si>
    <t>San Martín 369, Farmacia</t>
  </si>
  <si>
    <t>REL74432</t>
  </si>
  <si>
    <t>712936638131</t>
  </si>
  <si>
    <t>Nombre: Maria Lira Lira - Rut: 53581447</t>
  </si>
  <si>
    <t>María José Ruz lira</t>
  </si>
  <si>
    <t>Los carreras 242, Casa verde esquina</t>
  </si>
  <si>
    <t>REL74190</t>
  </si>
  <si>
    <t>712934608573</t>
  </si>
  <si>
    <t>Nombre: Jose acuna - Rut: 121855860</t>
  </si>
  <si>
    <t>nataly landero valladares</t>
  </si>
  <si>
    <t>pasaje mora 730, casa 730</t>
  </si>
  <si>
    <t>REL74244</t>
  </si>
  <si>
    <t>712934607545</t>
  </si>
  <si>
    <t>Nombre: nicole hitchfeld - Rut: 144521951</t>
  </si>
  <si>
    <t>NICOLE HITSCHFELD</t>
  </si>
  <si>
    <t>VALDIVIESO 683, CASA</t>
  </si>
  <si>
    <t>REL74181</t>
  </si>
  <si>
    <t>712934608746</t>
  </si>
  <si>
    <t>Nombre: Natalie Munoz - Rut: 19476717</t>
  </si>
  <si>
    <t>Natalie Muñoz</t>
  </si>
  <si>
    <t>Rauco Rural S/n</t>
  </si>
  <si>
    <t>REL74230</t>
  </si>
  <si>
    <t>712934607766</t>
  </si>
  <si>
    <t>Nombre: Lidia Rain - Rut: 108202017</t>
  </si>
  <si>
    <t>Camila Perez Rain</t>
  </si>
  <si>
    <t>Laura goguel 784, Villa alerce</t>
  </si>
  <si>
    <t>REL74199</t>
  </si>
  <si>
    <t>712934608271</t>
  </si>
  <si>
    <t>Nombre: lidia miranda - Rut: 166124158</t>
  </si>
  <si>
    <t>NIXIA MAYORGA GALLARDO</t>
  </si>
  <si>
    <t>SAN MARTIN #1045, EMPORIO COLIBRI</t>
  </si>
  <si>
    <t>REL73974</t>
  </si>
  <si>
    <t>712931964010</t>
  </si>
  <si>
    <t>Nombre: jazmin Eugenio - Rut: 169661650</t>
  </si>
  <si>
    <t>Jazmine Eugenin</t>
  </si>
  <si>
    <t>Pasaje 1 sur 939</t>
  </si>
  <si>
    <t>REL74005</t>
  </si>
  <si>
    <t>712931963004</t>
  </si>
  <si>
    <t>Nombre: fernanda aranda - Rut: 16669499</t>
  </si>
  <si>
    <t>Fernanda Aranda Lillo</t>
  </si>
  <si>
    <t>San Valentín 555, Oficina Centro Cultural Municipal</t>
  </si>
  <si>
    <t>REL73995</t>
  </si>
  <si>
    <t>712931963332</t>
  </si>
  <si>
    <t>Bastián Muñoz</t>
  </si>
  <si>
    <t>Centenario 653, Serviteca Borquez</t>
  </si>
  <si>
    <t>REL73911</t>
  </si>
  <si>
    <t>712930989643</t>
  </si>
  <si>
    <t>Nombre: Rodrigo parra - Rut: 127903581</t>
  </si>
  <si>
    <t>Daniel Pérez</t>
  </si>
  <si>
    <t>Guadantún 409, 205 Torre B</t>
  </si>
  <si>
    <t>REL73900</t>
  </si>
  <si>
    <t>712930622353</t>
  </si>
  <si>
    <t>Nombre: Rodrigo Godoy - Rut: 161748234</t>
  </si>
  <si>
    <t>Rachel Isla</t>
  </si>
  <si>
    <t>Pedro montt 431, Cafeteria bauda</t>
  </si>
  <si>
    <t>REL74440</t>
  </si>
  <si>
    <t>9363288826</t>
  </si>
  <si>
    <t>Av La Siembra 4831, Casa 47 Condominio las tranqueras de chicauma</t>
  </si>
  <si>
    <t>REL74606</t>
  </si>
  <si>
    <t>9357185655</t>
  </si>
  <si>
    <t>Eugenia Barquin</t>
  </si>
  <si>
    <t>Ruta E-30-F 841 Papudo, Condominio Bosquemar</t>
  </si>
  <si>
    <t>REL74482</t>
  </si>
  <si>
    <t>9363451296</t>
  </si>
  <si>
    <t>ELISA Urquiaga</t>
  </si>
  <si>
    <t>Camino el Toro km 6.5  Parcela 165, Condominio Valle los Naranjos</t>
  </si>
  <si>
    <t>REL74460</t>
  </si>
  <si>
    <t>9363584274</t>
  </si>
  <si>
    <t>Marianela Matus</t>
  </si>
  <si>
    <t>3,5 km camino el Toro Condominio Lomas del Puangue P124, P124</t>
  </si>
  <si>
    <t>REL74462</t>
  </si>
  <si>
    <t>9363659292</t>
  </si>
  <si>
    <t>Mauricio adolfo Zamora toro</t>
  </si>
  <si>
    <t>El Arenal 34</t>
  </si>
  <si>
    <t>REL74465</t>
  </si>
  <si>
    <t>9363200081</t>
  </si>
  <si>
    <t>Tatiana Huerta</t>
  </si>
  <si>
    <t>Condominio Sta Rosa de Linderos 4676, Casa 23</t>
  </si>
  <si>
    <t>REL74598</t>
  </si>
  <si>
    <t>9356443445</t>
  </si>
  <si>
    <t>Horacio Larraín 91, Casa 1</t>
  </si>
  <si>
    <t>REL74414</t>
  </si>
  <si>
    <t>9363522803</t>
  </si>
  <si>
    <t>Berta Saldivia</t>
  </si>
  <si>
    <t>Av. El Parque 1641, 17</t>
  </si>
  <si>
    <t>REL74451</t>
  </si>
  <si>
    <t>9363437311</t>
  </si>
  <si>
    <t>Edward Domínguez salazar</t>
  </si>
  <si>
    <t>Camino Las Flores 1000, Casa mil</t>
  </si>
  <si>
    <t>REL74342</t>
  </si>
  <si>
    <t>9357310804</t>
  </si>
  <si>
    <t>Nicol Perez Mercado</t>
  </si>
  <si>
    <t>Chañarcillo 1283, Casa</t>
  </si>
  <si>
    <t>REL74290</t>
  </si>
  <si>
    <t>9359631912</t>
  </si>
  <si>
    <t>Dania Gonzalez</t>
  </si>
  <si>
    <t>Av. Carlos Fresno 1105, Casa esquina azul</t>
  </si>
  <si>
    <t>REL74368</t>
  </si>
  <si>
    <t>9357598666</t>
  </si>
  <si>
    <t>Daniela San Martín</t>
  </si>
  <si>
    <t>Av. Rosales 1983, Casa muralla amarilla porton negro</t>
  </si>
  <si>
    <t>REL74349</t>
  </si>
  <si>
    <t>9357941202</t>
  </si>
  <si>
    <t>Katalina Guerrero</t>
  </si>
  <si>
    <t>18 de Septiembre 601, Cesfam peralillo</t>
  </si>
  <si>
    <t>REL74268</t>
  </si>
  <si>
    <t>9359665280</t>
  </si>
  <si>
    <t>Edward Dominguez salazar</t>
  </si>
  <si>
    <t>Camino Las Flores 1000, Casa 1000</t>
  </si>
  <si>
    <t>REL74298</t>
  </si>
  <si>
    <t>9359485800</t>
  </si>
  <si>
    <t>Danny Ramirez Ramirez</t>
  </si>
  <si>
    <t>Pasaje Uno 143, Población Nueva Oriente</t>
  </si>
  <si>
    <t>REL74305</t>
  </si>
  <si>
    <t>9359275940</t>
  </si>
  <si>
    <t>Kevin Vergara</t>
  </si>
  <si>
    <t>O'Higgins 898, Oficina</t>
  </si>
  <si>
    <t>REL74241</t>
  </si>
  <si>
    <t>9360014602</t>
  </si>
  <si>
    <t>Lissette Aguilera Guajardo</t>
  </si>
  <si>
    <t>Rafael Sotomayor 2339, Casa</t>
  </si>
  <si>
    <t>REL74337</t>
  </si>
  <si>
    <t>9357653782</t>
  </si>
  <si>
    <t>Nieves Vasquez</t>
  </si>
  <si>
    <t>Bicentenario, Av. Hospital 2339, Casa</t>
  </si>
  <si>
    <t>REL74338</t>
  </si>
  <si>
    <t>9357326075</t>
  </si>
  <si>
    <t>Francisco Salas</t>
  </si>
  <si>
    <t>Ruta f50 km3, P33 B condominio hacienda lo Orozco Casablanca</t>
  </si>
  <si>
    <t>REL74251</t>
  </si>
  <si>
    <t>9360101424</t>
  </si>
  <si>
    <t>Condominio Sta Teresita de Lisieux, Parcela 226</t>
  </si>
  <si>
    <t>REL74319</t>
  </si>
  <si>
    <t>9358010524</t>
  </si>
  <si>
    <t>Maria Fernanda Riquelme</t>
  </si>
  <si>
    <t>Guacolda 298, Casa</t>
  </si>
  <si>
    <t>REL74151</t>
  </si>
  <si>
    <t>9360625794</t>
  </si>
  <si>
    <t>Rodrigo Ibañez</t>
  </si>
  <si>
    <t>Chorrillos 1481</t>
  </si>
  <si>
    <t>REL73963</t>
  </si>
  <si>
    <t>9361365285</t>
  </si>
  <si>
    <t>Elisa Chandao</t>
  </si>
  <si>
    <t>O'Higgins 905, Oficina banco Santander</t>
  </si>
  <si>
    <t>REL74145</t>
  </si>
  <si>
    <t>9361081343</t>
  </si>
  <si>
    <t>thiare soza</t>
  </si>
  <si>
    <t>Av. Jaime Guzmán 309, valle la reserva , isla de maipo</t>
  </si>
  <si>
    <t>REL73940</t>
  </si>
  <si>
    <t>9361267300</t>
  </si>
  <si>
    <t>Marta⁹ Rojas Orrego</t>
  </si>
  <si>
    <t>San Ignacio 543 Maipo, Casa</t>
  </si>
  <si>
    <t>REL73947</t>
  </si>
  <si>
    <t>9361119235</t>
  </si>
  <si>
    <t>Catalina Páez Plaza</t>
  </si>
  <si>
    <t>Santa Rosa de Santiago 1380, Parcela 13</t>
  </si>
  <si>
    <t>REL73997</t>
  </si>
  <si>
    <t>9361163033</t>
  </si>
  <si>
    <t>Johanna Jamen</t>
  </si>
  <si>
    <t>San Fernando 46, Depto 113</t>
  </si>
  <si>
    <t>REL74058</t>
  </si>
  <si>
    <t>9362200783</t>
  </si>
  <si>
    <t>Soledad Lefimil</t>
  </si>
  <si>
    <t>Avenida Concon-Reñaca 4357, 601 torre b</t>
  </si>
  <si>
    <t>REL74027</t>
  </si>
  <si>
    <t>9362077933</t>
  </si>
  <si>
    <t>Pasaje Santa Victoria 26</t>
  </si>
  <si>
    <t>REL74070</t>
  </si>
  <si>
    <t>9361091014</t>
  </si>
  <si>
    <t>Paloma Loreto Araya Oviedo</t>
  </si>
  <si>
    <t>Reyes 270, Parcela 9</t>
  </si>
  <si>
    <t>REL74099</t>
  </si>
  <si>
    <t>9360399436</t>
  </si>
  <si>
    <t>Jeannette Araneda Tapia</t>
  </si>
  <si>
    <t>Av. German Riesco 813-B Curacaví</t>
  </si>
  <si>
    <t>REL74150</t>
  </si>
  <si>
    <t>9360433633</t>
  </si>
  <si>
    <t>Valentina Morales</t>
  </si>
  <si>
    <t>Sebastián Yáñez 45, Casa El Pellín</t>
  </si>
  <si>
    <t>REL74129</t>
  </si>
  <si>
    <t>9361081450</t>
  </si>
  <si>
    <t>Andrea Quiroz</t>
  </si>
  <si>
    <t>Avellaneda 137, 137</t>
  </si>
  <si>
    <t>REL74137</t>
  </si>
  <si>
    <t>9360500391</t>
  </si>
  <si>
    <t>María alejandra Vargas González</t>
  </si>
  <si>
    <t>Camino el Guanaco lote 2B</t>
  </si>
  <si>
    <t>REL74066</t>
  </si>
  <si>
    <t>9362320984</t>
  </si>
  <si>
    <t>Estefany Escobar Villalobos</t>
  </si>
  <si>
    <t>1 Oriente 224, Ilustre municipalidad longavi, dpto secplan</t>
  </si>
  <si>
    <t>REL74031</t>
  </si>
  <si>
    <t>9362077524</t>
  </si>
  <si>
    <t>Noelia Alcarruz Zúñiga</t>
  </si>
  <si>
    <t>Los Acacios 8</t>
  </si>
  <si>
    <t>REL73982</t>
  </si>
  <si>
    <t>9361460566</t>
  </si>
  <si>
    <t>Luz Belen Lopez Tobar</t>
  </si>
  <si>
    <t>Pasaje Tokio 943</t>
  </si>
  <si>
    <t>REL74011</t>
  </si>
  <si>
    <t>9362256466</t>
  </si>
  <si>
    <t>Julio Hurtado 1118, Casa 1118</t>
  </si>
  <si>
    <t>REL74048</t>
  </si>
  <si>
    <t>9362091804</t>
  </si>
  <si>
    <t>Angélica Belén Salinas</t>
  </si>
  <si>
    <t>Los buinenses 196, Casa</t>
  </si>
  <si>
    <t>REL73776</t>
  </si>
  <si>
    <t>9355671721</t>
  </si>
  <si>
    <t>Avenida 18 de septiembre 2099, Carniceria javiera paz</t>
  </si>
  <si>
    <t>REL73899</t>
  </si>
  <si>
    <t>9358271834</t>
  </si>
  <si>
    <t>Viviana Rodríguez</t>
  </si>
  <si>
    <t>Parcelacion los litres ( camino las dichas km1), 26</t>
  </si>
  <si>
    <t>REL73848</t>
  </si>
  <si>
    <t>9356285374</t>
  </si>
  <si>
    <t>Liliana Cortés</t>
  </si>
  <si>
    <t>Calle Blanca Estela Norte 4182, Casa</t>
  </si>
  <si>
    <t>REL73830</t>
  </si>
  <si>
    <t>9356337616</t>
  </si>
  <si>
    <t>Yesenia Verdugo</t>
  </si>
  <si>
    <t>Pasaje Rio Las Leñas 12, Villa Valle Central</t>
  </si>
  <si>
    <t>2025-07-28 23:33</t>
  </si>
  <si>
    <t>REL73791</t>
  </si>
  <si>
    <t>9355707966</t>
  </si>
  <si>
    <t>Valentina aris</t>
  </si>
  <si>
    <t>Av. Edmundo Eluchans 2485, Depto 75</t>
  </si>
  <si>
    <t>REL73879</t>
  </si>
  <si>
    <t>9358747366</t>
  </si>
  <si>
    <t>Solange de la sotta</t>
  </si>
  <si>
    <t>Av. Calera De Tango, Paradero 3, Condominio El Trebolar, Parcela 18-B</t>
  </si>
  <si>
    <t>REL73890</t>
  </si>
  <si>
    <t>9358672945</t>
  </si>
  <si>
    <t>Benjamin González Rivera</t>
  </si>
  <si>
    <t>Luis Cruz Martínez 1717, Hostal</t>
  </si>
  <si>
    <t>REL73889</t>
  </si>
  <si>
    <t>9359083613</t>
  </si>
  <si>
    <t>Ruta F 74 G .Condominio Atalaya, Parcela 21, Parcela 21</t>
  </si>
  <si>
    <t>LAQ10288</t>
  </si>
  <si>
    <t>Stocka - Logística Ecommerce</t>
  </si>
  <si>
    <t>Tamara Orellana</t>
  </si>
  <si>
    <t>Agustinas 1612, 503</t>
  </si>
  <si>
    <t>2025-08-28 13:17</t>
  </si>
  <si>
    <t>MMED770</t>
  </si>
  <si>
    <t>Mateo Teves</t>
  </si>
  <si>
    <t>Avenida Vitacura 130, 325, Hotel AC Costanera, entregar en recepción</t>
  </si>
  <si>
    <t>MSE2921</t>
  </si>
  <si>
    <t>AILEEN ROSE COSGROVE VERGARA</t>
  </si>
  <si>
    <t>Avenida Manuel Rodriguez norte 90, depto 609</t>
  </si>
  <si>
    <t>MSE2920</t>
  </si>
  <si>
    <t>Maria jose Matus cabezas</t>
  </si>
  <si>
    <t>LAQ10285</t>
  </si>
  <si>
    <t>Isabel Martinez</t>
  </si>
  <si>
    <t>Darío Urzúa 2021</t>
  </si>
  <si>
    <t>MMED764</t>
  </si>
  <si>
    <t>Jesús Rondón</t>
  </si>
  <si>
    <t>ROMAN DIAZ 300, 1504</t>
  </si>
  <si>
    <t>MMED765</t>
  </si>
  <si>
    <t>avenida las perdices 5060, casa 60</t>
  </si>
  <si>
    <t>GMP10824</t>
  </si>
  <si>
    <t>Joaquin Victoriano</t>
  </si>
  <si>
    <t>Matte Hurtado 5330</t>
  </si>
  <si>
    <t>OPARD1302</t>
  </si>
  <si>
    <t>Juan Lazcano Hinrichsen</t>
  </si>
  <si>
    <t>Las Nieves 3477, vitacura, depto 85</t>
  </si>
  <si>
    <t>opard140825</t>
  </si>
  <si>
    <t>Valentina Bustos</t>
  </si>
  <si>
    <t>Ascencio de Zavala 2700, dpto 35; Vitacura</t>
  </si>
  <si>
    <t>POR2788</t>
  </si>
  <si>
    <t>Pasaje el hualle 14075</t>
  </si>
  <si>
    <t>MMED752</t>
  </si>
  <si>
    <t>Blenda Leal leon</t>
  </si>
  <si>
    <t>Nicanor plaza , 1926, 1901e</t>
  </si>
  <si>
    <t>MSE2903</t>
  </si>
  <si>
    <t>Cinthia Baeza Fuentes</t>
  </si>
  <si>
    <t>Las Sophoras 110</t>
  </si>
  <si>
    <t>gmp1277</t>
  </si>
  <si>
    <t>Paola Richards</t>
  </si>
  <si>
    <t>Francisco Bulnes Correa 3640, G32</t>
  </si>
  <si>
    <t>POR130825</t>
  </si>
  <si>
    <t>Sebastian Luchsinger</t>
  </si>
  <si>
    <t>Av. La Dehesa 2274</t>
  </si>
  <si>
    <t>2025-08-13 11:30</t>
  </si>
  <si>
    <t>MSE2902</t>
  </si>
  <si>
    <t>MMED749</t>
  </si>
  <si>
    <t>Luis Escobar duarte</t>
  </si>
  <si>
    <t>Moneda 1744, 1002</t>
  </si>
  <si>
    <t>GMP1274</t>
  </si>
  <si>
    <t>Alejandra Sanchez Medel</t>
  </si>
  <si>
    <t>La Escuela 562, CASA</t>
  </si>
  <si>
    <t>MSE2896</t>
  </si>
  <si>
    <t>Leonardo Nesbet Jaramillo</t>
  </si>
  <si>
    <t>Tucapel Jiménez 76, DEPTO 2808</t>
  </si>
  <si>
    <t>MMED746</t>
  </si>
  <si>
    <t>Camino del bajo , 9461, Es un porton grande de madera</t>
  </si>
  <si>
    <t>MMED744</t>
  </si>
  <si>
    <t>Salvador Allende 1190, 1705</t>
  </si>
  <si>
    <t>MMED743</t>
  </si>
  <si>
    <t>Meliza Reyes</t>
  </si>
  <si>
    <t>Urmeneta 663</t>
  </si>
  <si>
    <t>MMED733</t>
  </si>
  <si>
    <t>dramanuelaferrin@gmail.com</t>
  </si>
  <si>
    <t>Av. Manquehue Nte 882, Piso: Reserva N 68948317000</t>
  </si>
  <si>
    <t>MMED732</t>
  </si>
  <si>
    <t>Valeria Flores</t>
  </si>
  <si>
    <t>Las vegas 7071</t>
  </si>
  <si>
    <t>GMP1263</t>
  </si>
  <si>
    <t>250613010</t>
  </si>
  <si>
    <t>NOMBRE RETIRA: MARCOS CABRERA M RUT RETIRA: 16004919-7</t>
  </si>
  <si>
    <t>Natalia Gil</t>
  </si>
  <si>
    <t>El Cerrillo 2375, Condominio Tierrabuena, PARCELA 35</t>
  </si>
  <si>
    <t>MMED767</t>
  </si>
  <si>
    <t>252009090</t>
  </si>
  <si>
    <t>NOMBRE RETIRA: JOSE VARGAS . RUT RETIRA: 56070150-0</t>
  </si>
  <si>
    <t>Valentina Assen</t>
  </si>
  <si>
    <t>Avenida Borgoño , 23110  Piso: 1004</t>
  </si>
  <si>
    <t>GMP1281</t>
  </si>
  <si>
    <t>251547293</t>
  </si>
  <si>
    <t>NOMBRE RETIRA: FERNANDO PINO A RUT RETIRA: 53323401-1</t>
  </si>
  <si>
    <t>Rodrigo Godoy Bugueño</t>
  </si>
  <si>
    <t>El Mirador 741. Condominio Alto los Robles, CASA 51</t>
  </si>
  <si>
    <t>gmp1279</t>
  </si>
  <si>
    <t>251465568</t>
  </si>
  <si>
    <t>NOMBRE RETIRA: AIDA VELIZ . RUT RETIRA: 5114551-8</t>
  </si>
  <si>
    <t>Aida Veliz Prado</t>
  </si>
  <si>
    <t>Pedro Caniguante 731 PoblaciÓn Orolonco San Felipe</t>
  </si>
  <si>
    <t>MMED742</t>
  </si>
  <si>
    <t>251050211</t>
  </si>
  <si>
    <t>NOMBRE RETIRA: EVELYN VIDELA . . RUT RETIRA: 18444649-9</t>
  </si>
  <si>
    <t>Avenida Miguel Ramírez, 1802, 302</t>
  </si>
  <si>
    <t>GMP1269</t>
  </si>
  <si>
    <t>251046730</t>
  </si>
  <si>
    <t>NOMBRE RETIRA: VANIA PEIRANO . RUT RETIRA: 6526833-7</t>
  </si>
  <si>
    <t>Vania Peirano</t>
  </si>
  <si>
    <t>Pasaje B 668 Villa Serena 2</t>
  </si>
  <si>
    <t>2025-08-11 15:54</t>
  </si>
  <si>
    <t>MMED745</t>
  </si>
  <si>
    <t>251113220</t>
  </si>
  <si>
    <t>NOMBRE RETIRA: JOSE DA SILVA .. RUT RETIRA: 70262500-9</t>
  </si>
  <si>
    <t>María José Antonia Rondanelli Bezama</t>
  </si>
  <si>
    <t>Alcalde Prieto Nieto, 353, DEPTO 38-4</t>
  </si>
  <si>
    <t>MMED735</t>
  </si>
  <si>
    <t>250789399</t>
  </si>
  <si>
    <t>NOMBRE RETIRA: BELGICA IVAREZ . . RUT RETIRA: 10332255-3</t>
  </si>
  <si>
    <t>DIEGO PORTALES 332</t>
  </si>
  <si>
    <t>LAQ10263</t>
  </si>
  <si>
    <t>250616899</t>
  </si>
  <si>
    <t>NOMBRE RETIRA: PATRICIO VEAS CONSERJE RUT RETIRA: 65195224-7</t>
  </si>
  <si>
    <t>Paz Contreras</t>
  </si>
  <si>
    <t>Los Abedules 1739, dpto 173</t>
  </si>
  <si>
    <t>2025-08-05 13:39</t>
  </si>
  <si>
    <t>MMED722</t>
  </si>
  <si>
    <t>250518012</t>
  </si>
  <si>
    <t>Emilio Jamett</t>
  </si>
  <si>
    <t>Avenida lomas de la luz 1645, Curauma, Valparaíso , 1645</t>
  </si>
  <si>
    <t>MSE2878</t>
  </si>
  <si>
    <t>250359696</t>
  </si>
  <si>
    <t>NOMBRE RETIRA: MIGUEL FUENTES N RUT RETIRA: 9836741-1</t>
  </si>
  <si>
    <t>Miguel Fuentes Rojas</t>
  </si>
  <si>
    <t>Calle Viena 050 A</t>
  </si>
  <si>
    <t>2025-08-01 14:56</t>
  </si>
  <si>
    <t>MMED768</t>
  </si>
  <si>
    <t>252009174</t>
  </si>
  <si>
    <t>Jaime Aedo</t>
  </si>
  <si>
    <t>Carlos pezoa veliz , 828  Piso: Jardin Infantil Castillo tia paola  Barrio: Villa costa verde</t>
  </si>
  <si>
    <t>GMP#1295</t>
  </si>
  <si>
    <t>251946738</t>
  </si>
  <si>
    <t>NOMBRE RETIRA: ROMINA PAZ . RUT RETIRA: 14206928-8</t>
  </si>
  <si>
    <t>Tucapel 515</t>
  </si>
  <si>
    <t>MSE2898</t>
  </si>
  <si>
    <t>251112797</t>
  </si>
  <si>
    <t>NOMBRE RETIRA: VOCTOR DOMINGYES H RUT RETIRA: 53333753-8</t>
  </si>
  <si>
    <t>Vanessa Barrueto</t>
  </si>
  <si>
    <t>Av. Parques de Carriel 5745,Casa 38 condominio Valle de Huasco</t>
  </si>
  <si>
    <t>OPARD11082025</t>
  </si>
  <si>
    <t>251047064</t>
  </si>
  <si>
    <t>Carla Alarcón</t>
  </si>
  <si>
    <t>Camino del río 899, Idahue, San Pedro de la Paz, Concepción</t>
  </si>
  <si>
    <t>medskills5829</t>
  </si>
  <si>
    <t>252009616</t>
  </si>
  <si>
    <t>NOMBRE RETIRA: VERONICA FUENTES . RUT RETIRA: 13345864-6</t>
  </si>
  <si>
    <t>veronica fuentes</t>
  </si>
  <si>
    <t>el genario 4910</t>
  </si>
  <si>
    <t>2025-08-26 14:24</t>
  </si>
  <si>
    <t>POR2508251</t>
  </si>
  <si>
    <t>251939530</t>
  </si>
  <si>
    <t>NOMBRE RETIRA: JEINY GRANADA MARTINEZ RUT RETIRA: 25583406-1</t>
  </si>
  <si>
    <t>Dania Franco</t>
  </si>
  <si>
    <t>MMED763</t>
  </si>
  <si>
    <t>251911008</t>
  </si>
  <si>
    <t>NOMBRE RETIRA: OSVALDO MUNOZ MUNOZ RUT RETIRA: 11203895-7</t>
  </si>
  <si>
    <t>Jamilet Rivera</t>
  </si>
  <si>
    <t>bruno pizarro 232, 105b</t>
  </si>
  <si>
    <t>mmed762</t>
  </si>
  <si>
    <t>251710418</t>
  </si>
  <si>
    <t>NOMBRE RETIRA: SERGIO VILLEGAS. . RUT RETIRA: 18971593-5</t>
  </si>
  <si>
    <t>Sergio Matias Villegas Llanquilef</t>
  </si>
  <si>
    <t>MSE2907</t>
  </si>
  <si>
    <t>251547501</t>
  </si>
  <si>
    <t>NOMBRE RETIRA: NATALIA SEPULVEDA . RUT RETIRA: 17047930-0</t>
  </si>
  <si>
    <t>Natalia Paz Sepúlveda Márquez</t>
  </si>
  <si>
    <t>Juan Francisco Adriazola 4272</t>
  </si>
  <si>
    <t>gmp1284</t>
  </si>
  <si>
    <t>251465408</t>
  </si>
  <si>
    <t>NOMBRE RETIRA: ROXANA SARABIA . RUT RETIRA: 18619874-3</t>
  </si>
  <si>
    <t>Enrique Espinoza Hund</t>
  </si>
  <si>
    <t>Juan Esteban Montero 1320</t>
  </si>
  <si>
    <t>MMED736-737</t>
  </si>
  <si>
    <t>250860849</t>
  </si>
  <si>
    <t>NOMBRE RETIRA: MATIAS VILLEGAS. , RUT RETIRA: 18971593-5</t>
  </si>
  <si>
    <t>MMED725</t>
  </si>
  <si>
    <t>250612466</t>
  </si>
  <si>
    <t>NOMBRE RETIRA: JORGE JARAMILLO J RUT RETIRA: 21501600-5</t>
  </si>
  <si>
    <t>ramon freire 1219</t>
  </si>
  <si>
    <t>MMED766</t>
  </si>
  <si>
    <t>252009109</t>
  </si>
  <si>
    <t>NOMBRE RETIRA: NATALIA ARAVENA . RUT RETIRA: 18285158-2</t>
  </si>
  <si>
    <t>Ojos de tigre 5786 mirador de la cordillera , 5786</t>
  </si>
  <si>
    <t>2025-08-26 14:17</t>
  </si>
  <si>
    <t>MMED756</t>
  </si>
  <si>
    <t>251546932</t>
  </si>
  <si>
    <t>NOMBRE RETIRA: DIEGO HERRERA . RUT RETIRA: 21496005-2</t>
  </si>
  <si>
    <t>Hernan cantillana</t>
  </si>
  <si>
    <t>ANDRES BELLO 807, EL CARMEN</t>
  </si>
  <si>
    <t>gmp1283</t>
  </si>
  <si>
    <t>251465232</t>
  </si>
  <si>
    <t>NOMBRE RETIRA: MARIANA ALONSO . RUT RETIRA: 19469134-3</t>
  </si>
  <si>
    <t>Mariana Alonso</t>
  </si>
  <si>
    <t>Viña Aurora 2919</t>
  </si>
  <si>
    <t>MSE2911</t>
  </si>
  <si>
    <t>251756965</t>
  </si>
  <si>
    <t>Alan Ronald Calderón Cervantes</t>
  </si>
  <si>
    <t>Pasaje Escudo Chileno 809</t>
  </si>
  <si>
    <t>GMP1271</t>
  </si>
  <si>
    <t>251045902</t>
  </si>
  <si>
    <t>NOMBRE RETIRA: NORMA NIEVES M K RUT RETIRA: 16985513-7</t>
  </si>
  <si>
    <t>Libertador Bernardo OHiggins 3800</t>
  </si>
  <si>
    <t>GMP1258</t>
  </si>
  <si>
    <t>250360465</t>
  </si>
  <si>
    <t>NOMBRE RETIRA: AURORA MELILLAN . RUT RETIRA: 13245298-9</t>
  </si>
  <si>
    <t>Aurora Melillan</t>
  </si>
  <si>
    <t>Alto Rumay parcela 8</t>
  </si>
  <si>
    <t>MMED703</t>
  </si>
  <si>
    <t>251559894</t>
  </si>
  <si>
    <t>NOMBRE RETIRA: AXEL CARVAJAL O RUT RETIRA: 18149289-9</t>
  </si>
  <si>
    <t>Axel Daniel CARVAJAL ACOSTA</t>
  </si>
  <si>
    <t>avenida o'higgins 285</t>
  </si>
  <si>
    <t>MMED750</t>
  </si>
  <si>
    <t>251185558</t>
  </si>
  <si>
    <t>NOMBRE RETIRA: ANGELO MATURANA . RUT RETIRA: 16695839-3</t>
  </si>
  <si>
    <t>Matias aguilera</t>
  </si>
  <si>
    <t>filomena valenzuela 770,  dep 32</t>
  </si>
  <si>
    <t>GMP#1298</t>
  </si>
  <si>
    <t>251946742</t>
  </si>
  <si>
    <t>NOMBRE RETIRA: PAULINA PALMA M RUT RETIRA: 14388216-0</t>
  </si>
  <si>
    <t>250629405</t>
  </si>
  <si>
    <t>AVENIDA O"HIGGINS, 285, maria elena</t>
  </si>
  <si>
    <t>2025-07-21 13:45</t>
  </si>
  <si>
    <t>ANLU1007</t>
  </si>
  <si>
    <t>712938611453</t>
  </si>
  <si>
    <t>Nombre: Lidia del Carmen Uribe Uribe - Rut: 7442597</t>
  </si>
  <si>
    <t>Lidia del Carmen Uribe Uribe</t>
  </si>
  <si>
    <t>PROGRESO - 33 -</t>
  </si>
  <si>
    <t>2025-08-25 01:21</t>
  </si>
  <si>
    <t>ANLU1006</t>
  </si>
  <si>
    <t>712937081975</t>
  </si>
  <si>
    <t>Nombre: viviana - Rut: 159265293</t>
  </si>
  <si>
    <t>Viviana Mansilla Munoz</t>
  </si>
  <si>
    <t>O'Higgins 80, Dalcahue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</si>
</sst>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[$$-340A]\ * #,##0_-;\-[$$-340A]\ * #,##0_-;_-[$$-340A]\ * &quot;-&quot;_-;_-@_-"/>
    <numFmt numFmtId="166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4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5" fontId="7" fillId="0" borderId="12" xfId="0" applyNumberFormat="1" applyFont="1" applyBorder="1"/>
    <xf numFmtId="165" fontId="2" fillId="0" borderId="12" xfId="0" applyNumberFormat="1" applyFont="1" applyBorder="1"/>
    <xf numFmtId="165" fontId="4" fillId="0" borderId="1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6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6" fontId="6" fillId="0" borderId="14" xfId="42" applyNumberFormat="1" applyFont="1" applyBorder="1" applyAlignment="1">
      <alignment horizontal="center"/>
    </xf>
    <xf numFmtId="165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1077125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5" sqref="E15"/>
    </sheetView>
  </sheetViews>
  <sheetFormatPr baseColWidth="10" defaultRowHeight="15" x14ac:dyDescent="0.25"/>
  <cols>
    <col min="2" max="2" width="16.7109375" customWidth="1"/>
    <col min="3" max="3" width="18.7109375" customWidth="1"/>
    <col min="4" max="4" width="44.140625" style="15" bestFit="1" customWidth="1"/>
    <col min="5" max="5" width="16.42578125" customWidth="1"/>
  </cols>
  <sheetData>
    <row r="2" spans="3:5" ht="21" x14ac:dyDescent="0.35">
      <c r="C2" s="1" t="s">
        <v>5</v>
      </c>
      <c r="D2" t="str">
        <f>IF(Detalle!F2="",Detalle!E2,Detalle!F2)</f>
        <v>Stocka</v>
      </c>
      <c r="E2" s="4">
        <v>45910</v>
      </c>
    </row>
    <row r="3" spans="3:5" x14ac:dyDescent="0.25">
      <c r="C3" s="5" t="s">
        <v>6</v>
      </c>
    </row>
    <row r="4" spans="3:5" ht="15.75" x14ac:dyDescent="0.25">
      <c r="C4" s="6" t="s">
        <v>3</v>
      </c>
      <c r="D4" s="9" t="s">
        <v>4</v>
      </c>
      <c r="E4" s="10"/>
    </row>
    <row r="5" spans="3:5" ht="15.75" x14ac:dyDescent="0.25">
      <c r="C5" s="7" t="s">
        <v>31</v>
      </c>
      <c r="D5" s="8">
        <f>COUNTIF(Detalle!I:I,"connect")</f>
        <v>0</v>
      </c>
      <c r="E5" s="11">
        <f>SUMIF(Detalle!I:I,"connect",Detalle!V:V)</f>
        <v>0</v>
      </c>
    </row>
    <row r="6" spans="3:5" ht="15.75" x14ac:dyDescent="0.25">
      <c r="C6" s="7" t="s">
        <v>32</v>
      </c>
      <c r="D6" s="8">
        <f>COUNTIF(Detalle!I:I,"distribucion")</f>
        <v>1635</v>
      </c>
      <c r="E6" s="11">
        <f>SUMIF(Detalle!I:I,"distribucion",Detalle!V:V)</f>
        <v>7071340.0100000082</v>
      </c>
    </row>
    <row r="7" spans="3:5" ht="15.75" x14ac:dyDescent="0.25">
      <c r="C7" s="7" t="s">
        <v>33</v>
      </c>
      <c r="D7" s="8">
        <f>COUNTIF(Detalle!I:I,"pasarela-pro")</f>
        <v>0</v>
      </c>
      <c r="E7" s="11">
        <f>SUMIF(Detalle!I:I,"pasarela-pro",Detalle!V:V)</f>
        <v>0</v>
      </c>
    </row>
    <row r="8" spans="3:5" ht="15.75" x14ac:dyDescent="0.25">
      <c r="C8" s="7" t="s">
        <v>34</v>
      </c>
      <c r="D8" s="8">
        <f>COUNTIF(Detalle!I:I,"enviatrack")</f>
        <v>0</v>
      </c>
      <c r="E8" s="11">
        <f>SUMIF(Detalle!I:I,"enviatrack",Detalle!V:V)</f>
        <v>0</v>
      </c>
    </row>
    <row r="9" spans="3:5" ht="15.75" x14ac:dyDescent="0.25">
      <c r="C9" s="7" t="s">
        <v>24</v>
      </c>
      <c r="D9" s="8">
        <f>COUNTIF(Detalle!I:I,"Retiros S/C")</f>
        <v>12</v>
      </c>
      <c r="E9" s="11">
        <f>SUMIF(Detalle!I:I,"Retiros S/C",Detalle!V:V)</f>
        <v>39600</v>
      </c>
    </row>
    <row r="10" spans="3:5" ht="15.75" x14ac:dyDescent="0.25">
      <c r="C10" s="7" t="s">
        <v>25</v>
      </c>
      <c r="D10" s="8">
        <f>COUNTIF(Detalle!I:I,"porPagar")</f>
        <v>0</v>
      </c>
      <c r="E10" s="11">
        <f>SUMIF(Detalle!I:I,"porPagar",Detalle!V:V)</f>
        <v>0</v>
      </c>
    </row>
    <row r="11" spans="3:5" ht="15.75" x14ac:dyDescent="0.25">
      <c r="C11" s="7" t="s">
        <v>26</v>
      </c>
      <c r="D11" s="8">
        <f>COUNTIF(Detalle!I:I,"marketcenter")</f>
        <v>0</v>
      </c>
      <c r="E11" s="11">
        <f>SUMIF(Detalle!I:I,"marketcenter",Detalle!V:V)</f>
        <v>0</v>
      </c>
    </row>
    <row r="12" spans="3:5" ht="15.75" x14ac:dyDescent="0.25">
      <c r="C12" s="7" t="s">
        <v>91</v>
      </c>
      <c r="D12" s="8">
        <f>COUNTIF(Detalle!I:I,"flex")</f>
        <v>0</v>
      </c>
      <c r="E12" s="11">
        <f>SUMIF(Detalle!I:I,"flex",Detalle!V:V)</f>
        <v>0</v>
      </c>
    </row>
    <row r="13" spans="3:5" ht="15.75" x14ac:dyDescent="0.25">
      <c r="C13" s="7" t="s">
        <v>27</v>
      </c>
      <c r="D13" s="8">
        <f>COUNTIF(Detalle!I:I,"mensajeria")</f>
        <v>0</v>
      </c>
      <c r="E13" s="11">
        <f>SUMIF(Detalle!I:I,"mensajeria",Detalle!V:V)</f>
        <v>0</v>
      </c>
    </row>
    <row r="14" spans="3:5" ht="15.75" x14ac:dyDescent="0.25">
      <c r="C14" s="7"/>
      <c r="D14" s="8"/>
      <c r="E14" s="21"/>
    </row>
    <row r="15" spans="3:5" ht="15.75" x14ac:dyDescent="0.25">
      <c r="C15" s="18" t="s">
        <v>7</v>
      </c>
      <c r="D15" s="19"/>
      <c r="E15" s="20">
        <v>146300</v>
      </c>
    </row>
    <row r="16" spans="3:5" ht="15.75" x14ac:dyDescent="0.25">
      <c r="C16" s="2" t="s">
        <v>8</v>
      </c>
      <c r="D16" s="16"/>
      <c r="E16" s="11">
        <v>0</v>
      </c>
    </row>
    <row r="17" spans="3:5" ht="15.75" x14ac:dyDescent="0.25">
      <c r="C17" s="2" t="s">
        <v>9</v>
      </c>
      <c r="D17" s="17"/>
      <c r="E17" s="12">
        <f>SUM(E5:E16)</f>
        <v>7257240.0100000082</v>
      </c>
    </row>
    <row r="18" spans="3:5" ht="17.25" customHeight="1" x14ac:dyDescent="0.25">
      <c r="C18" s="2"/>
      <c r="D18" s="17"/>
      <c r="E18" s="12"/>
    </row>
    <row r="19" spans="3:5" ht="15.75" x14ac:dyDescent="0.25">
      <c r="C19" s="2" t="s">
        <v>0</v>
      </c>
      <c r="D19" s="17"/>
      <c r="E19" s="12">
        <f>E17*0.19</f>
        <v>1378875.6019000015</v>
      </c>
    </row>
    <row r="20" spans="3:5" ht="15.75" x14ac:dyDescent="0.25">
      <c r="C20" s="3" t="s">
        <v>1</v>
      </c>
      <c r="D20" s="17"/>
      <c r="E20" s="13">
        <f>+E17+E19</f>
        <v>8636115.6119000092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74"/>
  <sheetViews>
    <sheetView tabSelected="1" zoomScale="90" zoomScaleNormal="90" workbookViewId="0">
      <selection activeCell="F2" sqref="F2"/>
    </sheetView>
  </sheetViews>
  <sheetFormatPr baseColWidth="10" defaultColWidth="12.140625" defaultRowHeight="15" x14ac:dyDescent="0.25"/>
  <cols>
    <col min="17" max="17" width="12.140625" style="14"/>
  </cols>
  <sheetData>
    <row r="1" spans="1:22" x14ac:dyDescent="0.25">
      <c r="A1" t="s">
        <v>28</v>
      </c>
      <c r="B1" t="s">
        <v>23</v>
      </c>
      <c r="C1" t="s">
        <v>10</v>
      </c>
      <c r="D1" t="s">
        <v>11</v>
      </c>
      <c r="E1" t="s">
        <v>21</v>
      </c>
      <c r="F1" t="s">
        <v>92</v>
      </c>
      <c r="G1" t="s">
        <v>12</v>
      </c>
      <c r="H1" t="s">
        <v>13</v>
      </c>
      <c r="I1" t="s">
        <v>68</v>
      </c>
      <c r="J1" t="s">
        <v>593</v>
      </c>
      <c r="K1" t="s">
        <v>20</v>
      </c>
      <c r="L1" t="s">
        <v>14</v>
      </c>
      <c r="M1" t="s">
        <v>15</v>
      </c>
      <c r="N1" t="s">
        <v>22</v>
      </c>
      <c r="O1" t="s">
        <v>16</v>
      </c>
      <c r="P1" t="s">
        <v>17</v>
      </c>
      <c r="Q1" t="s">
        <v>18</v>
      </c>
      <c r="R1" t="s">
        <v>19</v>
      </c>
      <c r="S1" t="s">
        <v>69</v>
      </c>
      <c r="T1" t="s">
        <v>29</v>
      </c>
      <c r="U1" t="s">
        <v>597</v>
      </c>
      <c r="V1" t="s">
        <v>30</v>
      </c>
    </row>
    <row r="2" spans="1:22" x14ac:dyDescent="0.25">
      <c r="A2">
        <v>79452</v>
      </c>
      <c r="B2">
        <v>132109843</v>
      </c>
      <c r="C2" t="s">
        <v>844</v>
      </c>
      <c r="D2" t="s">
        <v>845</v>
      </c>
      <c r="E2" t="s">
        <v>846</v>
      </c>
      <c r="F2" t="s">
        <v>847</v>
      </c>
      <c r="G2" t="s">
        <v>142</v>
      </c>
      <c r="H2" t="s">
        <v>143</v>
      </c>
      <c r="I2" t="s">
        <v>35</v>
      </c>
      <c r="J2" t="s">
        <v>144</v>
      </c>
      <c r="K2" t="s">
        <v>2</v>
      </c>
      <c r="L2" t="s">
        <v>848</v>
      </c>
      <c r="M2" t="s">
        <v>849</v>
      </c>
      <c r="N2" t="s">
        <v>850</v>
      </c>
      <c r="O2" t="s">
        <v>40</v>
      </c>
      <c r="P2" t="s">
        <v>851</v>
      </c>
      <c r="Q2" t="s">
        <v>74</v>
      </c>
      <c r="R2" t="s">
        <v>852</v>
      </c>
      <c r="S2">
        <v>1</v>
      </c>
      <c r="T2">
        <v>4346</v>
      </c>
      <c r="U2">
        <v>0</v>
      </c>
      <c r="V2">
        <v>4346</v>
      </c>
    </row>
    <row r="3" spans="1:22" x14ac:dyDescent="0.25">
      <c r="A3">
        <v>79452</v>
      </c>
      <c r="B3">
        <v>132109848</v>
      </c>
      <c r="C3" t="s">
        <v>853</v>
      </c>
      <c r="D3" t="s">
        <v>854</v>
      </c>
      <c r="E3" t="s">
        <v>846</v>
      </c>
      <c r="F3" t="s">
        <v>847</v>
      </c>
      <c r="G3" t="s">
        <v>142</v>
      </c>
      <c r="H3" t="s">
        <v>143</v>
      </c>
      <c r="I3" t="s">
        <v>35</v>
      </c>
      <c r="J3" t="s">
        <v>144</v>
      </c>
      <c r="K3" t="s">
        <v>2</v>
      </c>
      <c r="L3" t="s">
        <v>855</v>
      </c>
      <c r="M3" t="s">
        <v>405</v>
      </c>
      <c r="N3" t="s">
        <v>850</v>
      </c>
      <c r="O3" t="s">
        <v>40</v>
      </c>
      <c r="P3" t="s">
        <v>856</v>
      </c>
      <c r="Q3" t="s">
        <v>50</v>
      </c>
      <c r="R3" t="s">
        <v>852</v>
      </c>
      <c r="S3">
        <v>1</v>
      </c>
      <c r="T3">
        <v>3753</v>
      </c>
      <c r="U3">
        <v>0</v>
      </c>
      <c r="V3">
        <v>3753</v>
      </c>
    </row>
    <row r="4" spans="1:22" x14ac:dyDescent="0.25">
      <c r="A4">
        <v>79452</v>
      </c>
      <c r="B4">
        <v>132073926</v>
      </c>
      <c r="C4" t="s">
        <v>857</v>
      </c>
      <c r="D4" t="s">
        <v>858</v>
      </c>
      <c r="E4" t="s">
        <v>846</v>
      </c>
      <c r="F4" t="s">
        <v>847</v>
      </c>
      <c r="G4" t="s">
        <v>142</v>
      </c>
      <c r="H4" t="s">
        <v>143</v>
      </c>
      <c r="I4" t="s">
        <v>35</v>
      </c>
      <c r="J4" t="s">
        <v>144</v>
      </c>
      <c r="K4" t="s">
        <v>2</v>
      </c>
      <c r="L4" t="s">
        <v>859</v>
      </c>
      <c r="M4" t="s">
        <v>860</v>
      </c>
      <c r="N4" t="s">
        <v>850</v>
      </c>
      <c r="O4" t="s">
        <v>40</v>
      </c>
      <c r="P4" t="s">
        <v>861</v>
      </c>
      <c r="Q4" t="s">
        <v>79</v>
      </c>
      <c r="R4" t="s">
        <v>862</v>
      </c>
      <c r="S4">
        <v>1</v>
      </c>
      <c r="T4">
        <v>3501</v>
      </c>
      <c r="U4">
        <v>0</v>
      </c>
      <c r="V4">
        <v>3501</v>
      </c>
    </row>
    <row r="5" spans="1:22" x14ac:dyDescent="0.25">
      <c r="A5">
        <v>79452</v>
      </c>
      <c r="B5">
        <v>132021645</v>
      </c>
      <c r="C5" t="s">
        <v>863</v>
      </c>
      <c r="D5" t="s">
        <v>864</v>
      </c>
      <c r="E5" t="s">
        <v>846</v>
      </c>
      <c r="F5" t="s">
        <v>847</v>
      </c>
      <c r="G5" t="s">
        <v>142</v>
      </c>
      <c r="H5" t="s">
        <v>143</v>
      </c>
      <c r="I5" t="s">
        <v>35</v>
      </c>
      <c r="J5" t="s">
        <v>144</v>
      </c>
      <c r="K5" t="s">
        <v>2</v>
      </c>
      <c r="L5" t="s">
        <v>865</v>
      </c>
      <c r="M5" t="s">
        <v>866</v>
      </c>
      <c r="N5" t="s">
        <v>850</v>
      </c>
      <c r="O5" t="s">
        <v>40</v>
      </c>
      <c r="P5" t="s">
        <v>867</v>
      </c>
      <c r="Q5" t="s">
        <v>48</v>
      </c>
      <c r="R5" t="s">
        <v>599</v>
      </c>
      <c r="S5">
        <v>1</v>
      </c>
      <c r="T5">
        <v>3366</v>
      </c>
      <c r="U5">
        <v>0</v>
      </c>
      <c r="V5">
        <v>3366</v>
      </c>
    </row>
    <row r="6" spans="1:22" x14ac:dyDescent="0.25">
      <c r="A6">
        <v>79452</v>
      </c>
      <c r="B6">
        <v>131965518</v>
      </c>
      <c r="C6" t="s">
        <v>868</v>
      </c>
      <c r="D6" t="s">
        <v>869</v>
      </c>
      <c r="E6" t="s">
        <v>846</v>
      </c>
      <c r="F6" t="s">
        <v>847</v>
      </c>
      <c r="G6" t="s">
        <v>142</v>
      </c>
      <c r="H6" t="s">
        <v>143</v>
      </c>
      <c r="I6" t="s">
        <v>35</v>
      </c>
      <c r="J6" t="s">
        <v>144</v>
      </c>
      <c r="K6" t="s">
        <v>2</v>
      </c>
      <c r="L6" t="s">
        <v>833</v>
      </c>
      <c r="M6" t="s">
        <v>870</v>
      </c>
      <c r="N6" t="s">
        <v>850</v>
      </c>
      <c r="O6" t="s">
        <v>40</v>
      </c>
      <c r="P6" t="s">
        <v>871</v>
      </c>
      <c r="Q6" t="s">
        <v>82</v>
      </c>
      <c r="R6" t="s">
        <v>285</v>
      </c>
      <c r="S6">
        <v>1</v>
      </c>
      <c r="T6">
        <v>4067</v>
      </c>
      <c r="U6">
        <v>0</v>
      </c>
      <c r="V6">
        <v>4067</v>
      </c>
    </row>
    <row r="7" spans="1:22" x14ac:dyDescent="0.25">
      <c r="A7">
        <v>79452</v>
      </c>
      <c r="B7">
        <v>132021633</v>
      </c>
      <c r="C7" t="s">
        <v>872</v>
      </c>
      <c r="D7" t="s">
        <v>873</v>
      </c>
      <c r="E7" t="s">
        <v>846</v>
      </c>
      <c r="F7" t="s">
        <v>847</v>
      </c>
      <c r="G7" t="s">
        <v>142</v>
      </c>
      <c r="H7" t="s">
        <v>143</v>
      </c>
      <c r="I7" t="s">
        <v>35</v>
      </c>
      <c r="J7" t="s">
        <v>144</v>
      </c>
      <c r="K7" t="s">
        <v>2</v>
      </c>
      <c r="L7" t="s">
        <v>874</v>
      </c>
      <c r="M7" t="s">
        <v>875</v>
      </c>
      <c r="N7" t="s">
        <v>850</v>
      </c>
      <c r="O7" t="s">
        <v>40</v>
      </c>
      <c r="P7" t="s">
        <v>876</v>
      </c>
      <c r="Q7" t="s">
        <v>48</v>
      </c>
      <c r="R7" t="s">
        <v>599</v>
      </c>
      <c r="S7">
        <v>1</v>
      </c>
      <c r="T7">
        <v>3366</v>
      </c>
      <c r="U7">
        <v>0</v>
      </c>
      <c r="V7">
        <v>3366</v>
      </c>
    </row>
    <row r="8" spans="1:22" x14ac:dyDescent="0.25">
      <c r="A8">
        <v>79452</v>
      </c>
      <c r="B8">
        <v>132021665</v>
      </c>
      <c r="C8" t="s">
        <v>877</v>
      </c>
      <c r="D8" t="s">
        <v>878</v>
      </c>
      <c r="E8" t="s">
        <v>846</v>
      </c>
      <c r="F8" t="s">
        <v>847</v>
      </c>
      <c r="G8" t="s">
        <v>142</v>
      </c>
      <c r="H8" t="s">
        <v>143</v>
      </c>
      <c r="I8" t="s">
        <v>35</v>
      </c>
      <c r="J8" t="s">
        <v>144</v>
      </c>
      <c r="K8" t="s">
        <v>2</v>
      </c>
      <c r="L8" t="s">
        <v>879</v>
      </c>
      <c r="M8" t="s">
        <v>880</v>
      </c>
      <c r="N8" t="s">
        <v>850</v>
      </c>
      <c r="O8" t="s">
        <v>40</v>
      </c>
      <c r="P8" t="s">
        <v>881</v>
      </c>
      <c r="Q8" t="s">
        <v>51</v>
      </c>
      <c r="R8" t="s">
        <v>599</v>
      </c>
      <c r="S8">
        <v>1</v>
      </c>
      <c r="T8">
        <v>3784</v>
      </c>
      <c r="U8">
        <v>0</v>
      </c>
      <c r="V8">
        <v>3784</v>
      </c>
    </row>
    <row r="9" spans="1:22" x14ac:dyDescent="0.25">
      <c r="A9">
        <v>79452</v>
      </c>
      <c r="B9">
        <v>131922177</v>
      </c>
      <c r="C9" t="s">
        <v>882</v>
      </c>
      <c r="D9" t="s">
        <v>883</v>
      </c>
      <c r="E9" t="s">
        <v>846</v>
      </c>
      <c r="F9" t="s">
        <v>847</v>
      </c>
      <c r="G9" t="s">
        <v>142</v>
      </c>
      <c r="H9" t="s">
        <v>143</v>
      </c>
      <c r="I9" t="s">
        <v>35</v>
      </c>
      <c r="J9" t="s">
        <v>144</v>
      </c>
      <c r="K9" t="s">
        <v>2</v>
      </c>
      <c r="L9" t="s">
        <v>884</v>
      </c>
      <c r="M9" t="s">
        <v>885</v>
      </c>
      <c r="N9" t="s">
        <v>850</v>
      </c>
      <c r="O9" t="s">
        <v>40</v>
      </c>
      <c r="P9" t="s">
        <v>886</v>
      </c>
      <c r="Q9" t="s">
        <v>150</v>
      </c>
      <c r="R9" t="s">
        <v>887</v>
      </c>
      <c r="S9">
        <v>1</v>
      </c>
      <c r="T9">
        <v>5476</v>
      </c>
      <c r="U9">
        <v>0</v>
      </c>
      <c r="V9">
        <v>5476</v>
      </c>
    </row>
    <row r="10" spans="1:22" x14ac:dyDescent="0.25">
      <c r="A10">
        <v>79452</v>
      </c>
      <c r="B10">
        <v>131900820</v>
      </c>
      <c r="C10" t="s">
        <v>888</v>
      </c>
      <c r="D10" t="s">
        <v>889</v>
      </c>
      <c r="E10" t="s">
        <v>846</v>
      </c>
      <c r="F10" t="s">
        <v>847</v>
      </c>
      <c r="G10" t="s">
        <v>142</v>
      </c>
      <c r="H10" t="s">
        <v>143</v>
      </c>
      <c r="I10" t="s">
        <v>35</v>
      </c>
      <c r="J10" t="s">
        <v>144</v>
      </c>
      <c r="K10" t="s">
        <v>2</v>
      </c>
      <c r="L10" t="s">
        <v>890</v>
      </c>
      <c r="M10" t="s">
        <v>891</v>
      </c>
      <c r="N10" t="s">
        <v>850</v>
      </c>
      <c r="O10" t="s">
        <v>40</v>
      </c>
      <c r="P10" t="s">
        <v>892</v>
      </c>
      <c r="Q10" t="s">
        <v>67</v>
      </c>
      <c r="R10" t="s">
        <v>687</v>
      </c>
      <c r="S10">
        <v>1</v>
      </c>
      <c r="T10">
        <v>3870</v>
      </c>
      <c r="U10">
        <v>0</v>
      </c>
      <c r="V10">
        <v>3870</v>
      </c>
    </row>
    <row r="11" spans="1:22" x14ac:dyDescent="0.25">
      <c r="A11">
        <v>79452</v>
      </c>
      <c r="B11">
        <v>131448335</v>
      </c>
      <c r="C11" t="s">
        <v>893</v>
      </c>
      <c r="D11" t="s">
        <v>894</v>
      </c>
      <c r="E11" t="s">
        <v>846</v>
      </c>
      <c r="F11" t="s">
        <v>847</v>
      </c>
      <c r="G11" t="s">
        <v>142</v>
      </c>
      <c r="H11" t="s">
        <v>143</v>
      </c>
      <c r="I11" t="s">
        <v>35</v>
      </c>
      <c r="J11" t="s">
        <v>144</v>
      </c>
      <c r="K11" t="s">
        <v>2</v>
      </c>
      <c r="L11" t="s">
        <v>895</v>
      </c>
      <c r="M11" t="s">
        <v>896</v>
      </c>
      <c r="N11" t="s">
        <v>850</v>
      </c>
      <c r="O11" t="s">
        <v>40</v>
      </c>
      <c r="P11" t="s">
        <v>897</v>
      </c>
      <c r="Q11" t="s">
        <v>82</v>
      </c>
      <c r="R11" t="s">
        <v>707</v>
      </c>
      <c r="S11">
        <v>1</v>
      </c>
      <c r="T11">
        <v>4067</v>
      </c>
      <c r="U11">
        <v>0</v>
      </c>
      <c r="V11">
        <v>4067</v>
      </c>
    </row>
    <row r="12" spans="1:22" x14ac:dyDescent="0.25">
      <c r="A12">
        <v>79452</v>
      </c>
      <c r="B12">
        <v>131277258</v>
      </c>
      <c r="C12" t="s">
        <v>898</v>
      </c>
      <c r="D12" t="s">
        <v>899</v>
      </c>
      <c r="E12" t="s">
        <v>846</v>
      </c>
      <c r="F12" t="s">
        <v>847</v>
      </c>
      <c r="G12" t="s">
        <v>142</v>
      </c>
      <c r="H12" t="s">
        <v>143</v>
      </c>
      <c r="I12" t="s">
        <v>35</v>
      </c>
      <c r="J12" t="s">
        <v>144</v>
      </c>
      <c r="K12" t="s">
        <v>169</v>
      </c>
      <c r="L12" t="s">
        <v>267</v>
      </c>
      <c r="M12" t="s">
        <v>900</v>
      </c>
      <c r="N12" t="s">
        <v>850</v>
      </c>
      <c r="O12" t="s">
        <v>40</v>
      </c>
      <c r="P12" t="s">
        <v>901</v>
      </c>
      <c r="Q12" t="s">
        <v>113</v>
      </c>
      <c r="R12" t="s">
        <v>605</v>
      </c>
      <c r="S12">
        <v>1</v>
      </c>
      <c r="T12">
        <v>6304</v>
      </c>
      <c r="U12">
        <v>0</v>
      </c>
      <c r="V12">
        <v>6304</v>
      </c>
    </row>
    <row r="13" spans="1:22" x14ac:dyDescent="0.25">
      <c r="A13">
        <v>79452</v>
      </c>
      <c r="B13">
        <v>131268013</v>
      </c>
      <c r="C13" t="s">
        <v>902</v>
      </c>
      <c r="D13" t="s">
        <v>903</v>
      </c>
      <c r="E13" t="s">
        <v>846</v>
      </c>
      <c r="F13" t="s">
        <v>847</v>
      </c>
      <c r="G13" t="s">
        <v>142</v>
      </c>
      <c r="H13" t="s">
        <v>143</v>
      </c>
      <c r="I13" t="s">
        <v>35</v>
      </c>
      <c r="J13" t="s">
        <v>144</v>
      </c>
      <c r="K13" t="s">
        <v>2</v>
      </c>
      <c r="L13" t="s">
        <v>904</v>
      </c>
      <c r="M13" t="s">
        <v>905</v>
      </c>
      <c r="N13" t="s">
        <v>850</v>
      </c>
      <c r="O13" t="s">
        <v>40</v>
      </c>
      <c r="P13" t="s">
        <v>906</v>
      </c>
      <c r="Q13" t="s">
        <v>112</v>
      </c>
      <c r="R13" t="s">
        <v>314</v>
      </c>
      <c r="S13">
        <v>1</v>
      </c>
      <c r="T13">
        <v>5910</v>
      </c>
      <c r="U13">
        <v>0</v>
      </c>
      <c r="V13">
        <v>5910</v>
      </c>
    </row>
    <row r="14" spans="1:22" x14ac:dyDescent="0.25">
      <c r="A14">
        <v>79452</v>
      </c>
      <c r="B14">
        <v>132178866</v>
      </c>
      <c r="C14" t="s">
        <v>907</v>
      </c>
      <c r="D14">
        <v>18855647</v>
      </c>
      <c r="E14" t="s">
        <v>846</v>
      </c>
      <c r="F14" t="s">
        <v>847</v>
      </c>
      <c r="G14" t="s">
        <v>504</v>
      </c>
      <c r="H14" t="s">
        <v>505</v>
      </c>
      <c r="I14" t="s">
        <v>35</v>
      </c>
      <c r="J14" t="s">
        <v>320</v>
      </c>
      <c r="K14" t="s">
        <v>2</v>
      </c>
      <c r="L14" t="s">
        <v>103</v>
      </c>
      <c r="M14" t="s">
        <v>651</v>
      </c>
      <c r="N14" t="s">
        <v>850</v>
      </c>
      <c r="O14" t="s">
        <v>40</v>
      </c>
      <c r="P14" t="s">
        <v>908</v>
      </c>
      <c r="Q14" t="s">
        <v>140</v>
      </c>
      <c r="R14" t="s">
        <v>909</v>
      </c>
      <c r="S14">
        <v>1</v>
      </c>
      <c r="T14">
        <v>2706</v>
      </c>
      <c r="U14">
        <v>0</v>
      </c>
      <c r="V14">
        <v>2706</v>
      </c>
    </row>
    <row r="15" spans="1:22" x14ac:dyDescent="0.25">
      <c r="A15">
        <v>79452</v>
      </c>
      <c r="B15">
        <v>132178879</v>
      </c>
      <c r="C15" t="s">
        <v>910</v>
      </c>
      <c r="D15">
        <v>18855646</v>
      </c>
      <c r="E15" t="s">
        <v>846</v>
      </c>
      <c r="F15" t="s">
        <v>847</v>
      </c>
      <c r="G15" t="s">
        <v>504</v>
      </c>
      <c r="H15" t="s">
        <v>505</v>
      </c>
      <c r="I15" t="s">
        <v>35</v>
      </c>
      <c r="J15" t="s">
        <v>320</v>
      </c>
      <c r="K15" t="s">
        <v>2</v>
      </c>
      <c r="L15" t="s">
        <v>103</v>
      </c>
      <c r="M15" t="s">
        <v>911</v>
      </c>
      <c r="N15" t="s">
        <v>850</v>
      </c>
      <c r="O15" t="s">
        <v>40</v>
      </c>
      <c r="P15" t="s">
        <v>912</v>
      </c>
      <c r="Q15" t="s">
        <v>41</v>
      </c>
      <c r="R15" t="s">
        <v>551</v>
      </c>
      <c r="S15">
        <v>1</v>
      </c>
      <c r="T15">
        <v>2706</v>
      </c>
      <c r="U15">
        <v>0</v>
      </c>
      <c r="V15">
        <v>2706</v>
      </c>
    </row>
    <row r="16" spans="1:22" x14ac:dyDescent="0.25">
      <c r="A16">
        <v>79452</v>
      </c>
      <c r="B16">
        <v>132178876</v>
      </c>
      <c r="C16" t="s">
        <v>913</v>
      </c>
      <c r="D16">
        <v>18855640</v>
      </c>
      <c r="E16" t="s">
        <v>846</v>
      </c>
      <c r="F16" t="s">
        <v>847</v>
      </c>
      <c r="G16" t="s">
        <v>504</v>
      </c>
      <c r="H16" t="s">
        <v>505</v>
      </c>
      <c r="I16" t="s">
        <v>35</v>
      </c>
      <c r="J16" t="s">
        <v>320</v>
      </c>
      <c r="K16" t="s">
        <v>2</v>
      </c>
      <c r="L16" t="s">
        <v>103</v>
      </c>
      <c r="M16" t="s">
        <v>914</v>
      </c>
      <c r="N16" t="s">
        <v>850</v>
      </c>
      <c r="O16" t="s">
        <v>40</v>
      </c>
      <c r="P16" t="s">
        <v>915</v>
      </c>
      <c r="Q16" t="s">
        <v>153</v>
      </c>
      <c r="R16" t="s">
        <v>551</v>
      </c>
      <c r="S16">
        <v>1</v>
      </c>
      <c r="T16">
        <v>2706</v>
      </c>
      <c r="U16">
        <v>0</v>
      </c>
      <c r="V16">
        <v>2706</v>
      </c>
    </row>
    <row r="17" spans="1:22" x14ac:dyDescent="0.25">
      <c r="A17">
        <v>79452</v>
      </c>
      <c r="B17">
        <v>132178880</v>
      </c>
      <c r="C17" t="s">
        <v>916</v>
      </c>
      <c r="D17">
        <v>18855639</v>
      </c>
      <c r="E17" t="s">
        <v>846</v>
      </c>
      <c r="F17" t="s">
        <v>847</v>
      </c>
      <c r="G17" t="s">
        <v>504</v>
      </c>
      <c r="H17" t="s">
        <v>505</v>
      </c>
      <c r="I17" t="s">
        <v>35</v>
      </c>
      <c r="J17" t="s">
        <v>320</v>
      </c>
      <c r="K17" t="s">
        <v>2</v>
      </c>
      <c r="L17" t="s">
        <v>103</v>
      </c>
      <c r="M17" t="s">
        <v>917</v>
      </c>
      <c r="N17" t="s">
        <v>850</v>
      </c>
      <c r="O17" t="s">
        <v>40</v>
      </c>
      <c r="P17" t="s">
        <v>918</v>
      </c>
      <c r="Q17" t="s">
        <v>41</v>
      </c>
      <c r="R17" t="s">
        <v>551</v>
      </c>
      <c r="S17">
        <v>1</v>
      </c>
      <c r="T17">
        <v>2706</v>
      </c>
      <c r="U17">
        <v>0</v>
      </c>
      <c r="V17">
        <v>2706</v>
      </c>
    </row>
    <row r="18" spans="1:22" x14ac:dyDescent="0.25">
      <c r="A18">
        <v>79452</v>
      </c>
      <c r="B18">
        <v>132178893</v>
      </c>
      <c r="C18" t="s">
        <v>919</v>
      </c>
      <c r="D18">
        <v>18855637</v>
      </c>
      <c r="E18" t="s">
        <v>846</v>
      </c>
      <c r="F18" t="s">
        <v>847</v>
      </c>
      <c r="G18" t="s">
        <v>504</v>
      </c>
      <c r="H18" t="s">
        <v>505</v>
      </c>
      <c r="I18" t="s">
        <v>35</v>
      </c>
      <c r="J18" t="s">
        <v>320</v>
      </c>
      <c r="K18" t="s">
        <v>2</v>
      </c>
      <c r="L18" t="s">
        <v>103</v>
      </c>
      <c r="M18" t="s">
        <v>920</v>
      </c>
      <c r="N18" t="s">
        <v>850</v>
      </c>
      <c r="O18" t="s">
        <v>40</v>
      </c>
      <c r="P18" t="s">
        <v>921</v>
      </c>
      <c r="Q18" t="s">
        <v>36</v>
      </c>
      <c r="R18" t="s">
        <v>551</v>
      </c>
      <c r="S18">
        <v>1</v>
      </c>
      <c r="T18">
        <v>2706</v>
      </c>
      <c r="U18">
        <v>0</v>
      </c>
      <c r="V18">
        <v>2706</v>
      </c>
    </row>
    <row r="19" spans="1:22" x14ac:dyDescent="0.25">
      <c r="A19">
        <v>79452</v>
      </c>
      <c r="B19">
        <v>132178896</v>
      </c>
      <c r="C19" t="s">
        <v>922</v>
      </c>
      <c r="D19">
        <v>18855636</v>
      </c>
      <c r="E19" t="s">
        <v>846</v>
      </c>
      <c r="F19" t="s">
        <v>847</v>
      </c>
      <c r="G19" t="s">
        <v>504</v>
      </c>
      <c r="H19" t="s">
        <v>505</v>
      </c>
      <c r="I19" t="s">
        <v>35</v>
      </c>
      <c r="J19" t="s">
        <v>320</v>
      </c>
      <c r="K19" t="s">
        <v>2</v>
      </c>
      <c r="L19" t="s">
        <v>103</v>
      </c>
      <c r="M19" t="s">
        <v>923</v>
      </c>
      <c r="N19" t="s">
        <v>850</v>
      </c>
      <c r="O19" t="s">
        <v>40</v>
      </c>
      <c r="P19" t="s">
        <v>924</v>
      </c>
      <c r="Q19" t="s">
        <v>102</v>
      </c>
      <c r="R19" t="s">
        <v>551</v>
      </c>
      <c r="S19">
        <v>1</v>
      </c>
      <c r="T19">
        <v>2706</v>
      </c>
      <c r="U19">
        <v>0</v>
      </c>
      <c r="V19">
        <v>2706</v>
      </c>
    </row>
    <row r="20" spans="1:22" x14ac:dyDescent="0.25">
      <c r="A20">
        <v>79452</v>
      </c>
      <c r="B20">
        <v>132194223</v>
      </c>
      <c r="C20" t="s">
        <v>925</v>
      </c>
      <c r="D20">
        <v>18855635</v>
      </c>
      <c r="E20" t="s">
        <v>846</v>
      </c>
      <c r="F20" t="s">
        <v>847</v>
      </c>
      <c r="G20" t="s">
        <v>504</v>
      </c>
      <c r="H20" t="s">
        <v>505</v>
      </c>
      <c r="I20" t="s">
        <v>35</v>
      </c>
      <c r="J20" t="s">
        <v>320</v>
      </c>
      <c r="K20" t="s">
        <v>2</v>
      </c>
      <c r="L20" t="s">
        <v>103</v>
      </c>
      <c r="M20" t="s">
        <v>926</v>
      </c>
      <c r="N20" t="s">
        <v>850</v>
      </c>
      <c r="O20" t="s">
        <v>40</v>
      </c>
      <c r="P20" t="s">
        <v>927</v>
      </c>
      <c r="Q20" t="s">
        <v>97</v>
      </c>
      <c r="R20" t="s">
        <v>378</v>
      </c>
      <c r="S20">
        <v>1</v>
      </c>
      <c r="T20">
        <v>2706</v>
      </c>
      <c r="U20">
        <v>0</v>
      </c>
      <c r="V20">
        <v>2706</v>
      </c>
    </row>
    <row r="21" spans="1:22" x14ac:dyDescent="0.25">
      <c r="A21">
        <v>79452</v>
      </c>
      <c r="B21">
        <v>132194221</v>
      </c>
      <c r="C21" t="s">
        <v>928</v>
      </c>
      <c r="D21">
        <v>18855634</v>
      </c>
      <c r="E21" t="s">
        <v>846</v>
      </c>
      <c r="F21" t="s">
        <v>847</v>
      </c>
      <c r="G21" t="s">
        <v>504</v>
      </c>
      <c r="H21" t="s">
        <v>505</v>
      </c>
      <c r="I21" t="s">
        <v>35</v>
      </c>
      <c r="J21" t="s">
        <v>320</v>
      </c>
      <c r="K21" t="s">
        <v>2</v>
      </c>
      <c r="L21" t="s">
        <v>103</v>
      </c>
      <c r="M21" t="s">
        <v>929</v>
      </c>
      <c r="N21" t="s">
        <v>850</v>
      </c>
      <c r="O21" t="s">
        <v>40</v>
      </c>
      <c r="P21" t="s">
        <v>930</v>
      </c>
      <c r="Q21" t="s">
        <v>44</v>
      </c>
      <c r="R21" t="s">
        <v>378</v>
      </c>
      <c r="S21">
        <v>1</v>
      </c>
      <c r="T21">
        <v>2706</v>
      </c>
      <c r="U21">
        <v>0</v>
      </c>
      <c r="V21">
        <v>2706</v>
      </c>
    </row>
    <row r="22" spans="1:22" x14ac:dyDescent="0.25">
      <c r="A22">
        <v>79452</v>
      </c>
      <c r="B22">
        <v>132194269</v>
      </c>
      <c r="C22" t="s">
        <v>931</v>
      </c>
      <c r="D22">
        <v>18855631</v>
      </c>
      <c r="E22" t="s">
        <v>846</v>
      </c>
      <c r="F22" t="s">
        <v>847</v>
      </c>
      <c r="G22" t="s">
        <v>504</v>
      </c>
      <c r="H22" t="s">
        <v>505</v>
      </c>
      <c r="I22" t="s">
        <v>35</v>
      </c>
      <c r="J22" t="s">
        <v>320</v>
      </c>
      <c r="K22" t="s">
        <v>2</v>
      </c>
      <c r="L22" t="s">
        <v>103</v>
      </c>
      <c r="M22" t="s">
        <v>932</v>
      </c>
      <c r="N22" t="s">
        <v>850</v>
      </c>
      <c r="O22" t="s">
        <v>40</v>
      </c>
      <c r="P22" t="s">
        <v>933</v>
      </c>
      <c r="Q22" t="s">
        <v>42</v>
      </c>
      <c r="R22" t="s">
        <v>378</v>
      </c>
      <c r="S22">
        <v>1</v>
      </c>
      <c r="T22">
        <v>2706</v>
      </c>
      <c r="U22">
        <v>0</v>
      </c>
      <c r="V22">
        <v>2706</v>
      </c>
    </row>
    <row r="23" spans="1:22" x14ac:dyDescent="0.25">
      <c r="A23">
        <v>79452</v>
      </c>
      <c r="B23">
        <v>132194231</v>
      </c>
      <c r="C23" t="s">
        <v>934</v>
      </c>
      <c r="D23">
        <v>18855629</v>
      </c>
      <c r="E23" t="s">
        <v>846</v>
      </c>
      <c r="F23" t="s">
        <v>847</v>
      </c>
      <c r="G23" t="s">
        <v>504</v>
      </c>
      <c r="H23" t="s">
        <v>505</v>
      </c>
      <c r="I23" t="s">
        <v>35</v>
      </c>
      <c r="J23" t="s">
        <v>320</v>
      </c>
      <c r="K23" t="s">
        <v>2</v>
      </c>
      <c r="L23" t="s">
        <v>103</v>
      </c>
      <c r="M23" t="s">
        <v>935</v>
      </c>
      <c r="N23" t="s">
        <v>850</v>
      </c>
      <c r="O23" t="s">
        <v>40</v>
      </c>
      <c r="P23" t="s">
        <v>936</v>
      </c>
      <c r="Q23" t="s">
        <v>98</v>
      </c>
      <c r="R23" t="s">
        <v>378</v>
      </c>
      <c r="S23">
        <v>1</v>
      </c>
      <c r="T23">
        <v>2706</v>
      </c>
      <c r="U23">
        <v>0</v>
      </c>
      <c r="V23">
        <v>2706</v>
      </c>
    </row>
    <row r="24" spans="1:22" x14ac:dyDescent="0.25">
      <c r="A24">
        <v>79452</v>
      </c>
      <c r="B24">
        <v>132194251</v>
      </c>
      <c r="C24" t="s">
        <v>937</v>
      </c>
      <c r="D24">
        <v>18855627</v>
      </c>
      <c r="E24" t="s">
        <v>846</v>
      </c>
      <c r="F24" t="s">
        <v>847</v>
      </c>
      <c r="G24" t="s">
        <v>504</v>
      </c>
      <c r="H24" t="s">
        <v>505</v>
      </c>
      <c r="I24" t="s">
        <v>35</v>
      </c>
      <c r="J24" t="s">
        <v>320</v>
      </c>
      <c r="K24" t="s">
        <v>2</v>
      </c>
      <c r="L24" t="s">
        <v>103</v>
      </c>
      <c r="M24" t="s">
        <v>938</v>
      </c>
      <c r="N24" t="s">
        <v>850</v>
      </c>
      <c r="O24" t="s">
        <v>40</v>
      </c>
      <c r="P24" t="s">
        <v>939</v>
      </c>
      <c r="Q24" t="s">
        <v>36</v>
      </c>
      <c r="R24" t="s">
        <v>378</v>
      </c>
      <c r="S24">
        <v>1</v>
      </c>
      <c r="T24">
        <v>2706</v>
      </c>
      <c r="U24">
        <v>0</v>
      </c>
      <c r="V24">
        <v>2706</v>
      </c>
    </row>
    <row r="25" spans="1:22" x14ac:dyDescent="0.25">
      <c r="A25">
        <v>79452</v>
      </c>
      <c r="B25">
        <v>132194242</v>
      </c>
      <c r="C25" t="s">
        <v>940</v>
      </c>
      <c r="D25">
        <v>18855626</v>
      </c>
      <c r="E25" t="s">
        <v>846</v>
      </c>
      <c r="F25" t="s">
        <v>847</v>
      </c>
      <c r="G25" t="s">
        <v>504</v>
      </c>
      <c r="H25" t="s">
        <v>505</v>
      </c>
      <c r="I25" t="s">
        <v>35</v>
      </c>
      <c r="J25" t="s">
        <v>320</v>
      </c>
      <c r="K25" t="s">
        <v>2</v>
      </c>
      <c r="L25" t="s">
        <v>103</v>
      </c>
      <c r="M25" t="s">
        <v>941</v>
      </c>
      <c r="N25" t="s">
        <v>850</v>
      </c>
      <c r="O25" t="s">
        <v>40</v>
      </c>
      <c r="P25" t="s">
        <v>942</v>
      </c>
      <c r="Q25" t="s">
        <v>45</v>
      </c>
      <c r="R25" t="s">
        <v>378</v>
      </c>
      <c r="S25">
        <v>1</v>
      </c>
      <c r="T25">
        <v>2706</v>
      </c>
      <c r="U25">
        <v>0</v>
      </c>
      <c r="V25">
        <v>2706</v>
      </c>
    </row>
    <row r="26" spans="1:22" x14ac:dyDescent="0.25">
      <c r="A26">
        <v>79452</v>
      </c>
      <c r="B26">
        <v>132150924</v>
      </c>
      <c r="C26" t="s">
        <v>943</v>
      </c>
      <c r="D26">
        <v>18852240</v>
      </c>
      <c r="E26" t="s">
        <v>846</v>
      </c>
      <c r="F26" t="s">
        <v>847</v>
      </c>
      <c r="G26" t="s">
        <v>504</v>
      </c>
      <c r="H26" t="s">
        <v>505</v>
      </c>
      <c r="I26" t="s">
        <v>35</v>
      </c>
      <c r="J26" t="s">
        <v>320</v>
      </c>
      <c r="K26" t="s">
        <v>2</v>
      </c>
      <c r="L26" t="s">
        <v>103</v>
      </c>
      <c r="M26" t="s">
        <v>944</v>
      </c>
      <c r="N26" t="s">
        <v>850</v>
      </c>
      <c r="O26" t="s">
        <v>40</v>
      </c>
      <c r="P26" t="s">
        <v>945</v>
      </c>
      <c r="Q26" t="s">
        <v>37</v>
      </c>
      <c r="R26" t="s">
        <v>739</v>
      </c>
      <c r="S26">
        <v>1</v>
      </c>
      <c r="T26">
        <v>2706</v>
      </c>
      <c r="U26">
        <v>0</v>
      </c>
      <c r="V26">
        <v>2706</v>
      </c>
    </row>
    <row r="27" spans="1:22" x14ac:dyDescent="0.25">
      <c r="A27">
        <v>79452</v>
      </c>
      <c r="B27">
        <v>132150943</v>
      </c>
      <c r="C27" t="s">
        <v>946</v>
      </c>
      <c r="D27">
        <v>18852239</v>
      </c>
      <c r="E27" t="s">
        <v>846</v>
      </c>
      <c r="F27" t="s">
        <v>847</v>
      </c>
      <c r="G27" t="s">
        <v>504</v>
      </c>
      <c r="H27" t="s">
        <v>505</v>
      </c>
      <c r="I27" t="s">
        <v>35</v>
      </c>
      <c r="J27" t="s">
        <v>320</v>
      </c>
      <c r="K27" t="s">
        <v>2</v>
      </c>
      <c r="L27" t="s">
        <v>103</v>
      </c>
      <c r="M27" t="s">
        <v>947</v>
      </c>
      <c r="N27" t="s">
        <v>850</v>
      </c>
      <c r="O27" t="s">
        <v>40</v>
      </c>
      <c r="P27" t="s">
        <v>948</v>
      </c>
      <c r="Q27" t="s">
        <v>98</v>
      </c>
      <c r="R27" t="s">
        <v>739</v>
      </c>
      <c r="S27">
        <v>1</v>
      </c>
      <c r="T27">
        <v>2706</v>
      </c>
      <c r="U27">
        <v>0</v>
      </c>
      <c r="V27">
        <v>2706</v>
      </c>
    </row>
    <row r="28" spans="1:22" x14ac:dyDescent="0.25">
      <c r="A28">
        <v>79452</v>
      </c>
      <c r="B28">
        <v>132150931</v>
      </c>
      <c r="C28" t="s">
        <v>949</v>
      </c>
      <c r="D28">
        <v>18852237</v>
      </c>
      <c r="E28" t="s">
        <v>846</v>
      </c>
      <c r="F28" t="s">
        <v>847</v>
      </c>
      <c r="G28" t="s">
        <v>504</v>
      </c>
      <c r="H28" t="s">
        <v>505</v>
      </c>
      <c r="I28" t="s">
        <v>35</v>
      </c>
      <c r="J28" t="s">
        <v>320</v>
      </c>
      <c r="K28" t="s">
        <v>2</v>
      </c>
      <c r="L28" t="s">
        <v>103</v>
      </c>
      <c r="M28" t="s">
        <v>950</v>
      </c>
      <c r="N28" t="s">
        <v>850</v>
      </c>
      <c r="O28" t="s">
        <v>40</v>
      </c>
      <c r="P28" t="s">
        <v>951</v>
      </c>
      <c r="Q28" t="s">
        <v>44</v>
      </c>
      <c r="R28" t="s">
        <v>739</v>
      </c>
      <c r="S28">
        <v>1</v>
      </c>
      <c r="T28">
        <v>2706</v>
      </c>
      <c r="U28">
        <v>0</v>
      </c>
      <c r="V28">
        <v>2706</v>
      </c>
    </row>
    <row r="29" spans="1:22" x14ac:dyDescent="0.25">
      <c r="A29">
        <v>79452</v>
      </c>
      <c r="B29">
        <v>132150930</v>
      </c>
      <c r="C29" t="s">
        <v>952</v>
      </c>
      <c r="D29">
        <v>18852236</v>
      </c>
      <c r="E29" t="s">
        <v>846</v>
      </c>
      <c r="F29" t="s">
        <v>847</v>
      </c>
      <c r="G29" t="s">
        <v>504</v>
      </c>
      <c r="H29" t="s">
        <v>505</v>
      </c>
      <c r="I29" t="s">
        <v>35</v>
      </c>
      <c r="J29" t="s">
        <v>320</v>
      </c>
      <c r="K29" t="s">
        <v>2</v>
      </c>
      <c r="L29" t="s">
        <v>103</v>
      </c>
      <c r="M29" t="s">
        <v>635</v>
      </c>
      <c r="N29" t="s">
        <v>850</v>
      </c>
      <c r="O29" t="s">
        <v>40</v>
      </c>
      <c r="P29" t="s">
        <v>953</v>
      </c>
      <c r="Q29" t="s">
        <v>38</v>
      </c>
      <c r="R29" t="s">
        <v>739</v>
      </c>
      <c r="S29">
        <v>1</v>
      </c>
      <c r="T29">
        <v>2706</v>
      </c>
      <c r="U29">
        <v>0</v>
      </c>
      <c r="V29">
        <v>2706</v>
      </c>
    </row>
    <row r="30" spans="1:22" x14ac:dyDescent="0.25">
      <c r="A30">
        <v>79452</v>
      </c>
      <c r="B30">
        <v>132150932</v>
      </c>
      <c r="C30" t="s">
        <v>954</v>
      </c>
      <c r="D30">
        <v>18852235</v>
      </c>
      <c r="E30" t="s">
        <v>846</v>
      </c>
      <c r="F30" t="s">
        <v>847</v>
      </c>
      <c r="G30" t="s">
        <v>504</v>
      </c>
      <c r="H30" t="s">
        <v>505</v>
      </c>
      <c r="I30" t="s">
        <v>35</v>
      </c>
      <c r="J30" t="s">
        <v>320</v>
      </c>
      <c r="K30" t="s">
        <v>2</v>
      </c>
      <c r="L30" t="s">
        <v>103</v>
      </c>
      <c r="M30" t="s">
        <v>955</v>
      </c>
      <c r="N30" t="s">
        <v>850</v>
      </c>
      <c r="O30" t="s">
        <v>40</v>
      </c>
      <c r="P30" t="s">
        <v>956</v>
      </c>
      <c r="Q30" t="s">
        <v>100</v>
      </c>
      <c r="R30" t="s">
        <v>739</v>
      </c>
      <c r="S30">
        <v>1</v>
      </c>
      <c r="T30">
        <v>2706</v>
      </c>
      <c r="U30">
        <v>0</v>
      </c>
      <c r="V30">
        <v>2706</v>
      </c>
    </row>
    <row r="31" spans="1:22" x14ac:dyDescent="0.25">
      <c r="A31">
        <v>79452</v>
      </c>
      <c r="B31">
        <v>132150934</v>
      </c>
      <c r="C31" t="s">
        <v>957</v>
      </c>
      <c r="D31">
        <v>18852234</v>
      </c>
      <c r="E31" t="s">
        <v>846</v>
      </c>
      <c r="F31" t="s">
        <v>847</v>
      </c>
      <c r="G31" t="s">
        <v>504</v>
      </c>
      <c r="H31" t="s">
        <v>505</v>
      </c>
      <c r="I31" t="s">
        <v>35</v>
      </c>
      <c r="J31" t="s">
        <v>320</v>
      </c>
      <c r="K31" t="s">
        <v>2</v>
      </c>
      <c r="L31" t="s">
        <v>103</v>
      </c>
      <c r="M31" t="s">
        <v>175</v>
      </c>
      <c r="N31" t="s">
        <v>850</v>
      </c>
      <c r="O31" t="s">
        <v>40</v>
      </c>
      <c r="P31" t="s">
        <v>958</v>
      </c>
      <c r="Q31" t="s">
        <v>41</v>
      </c>
      <c r="R31" t="s">
        <v>739</v>
      </c>
      <c r="S31">
        <v>1</v>
      </c>
      <c r="T31">
        <v>2706</v>
      </c>
      <c r="U31">
        <v>0</v>
      </c>
      <c r="V31">
        <v>2706</v>
      </c>
    </row>
    <row r="32" spans="1:22" x14ac:dyDescent="0.25">
      <c r="A32">
        <v>79452</v>
      </c>
      <c r="B32">
        <v>132150958</v>
      </c>
      <c r="C32" t="s">
        <v>959</v>
      </c>
      <c r="D32">
        <v>18852233</v>
      </c>
      <c r="E32" t="s">
        <v>846</v>
      </c>
      <c r="F32" t="s">
        <v>847</v>
      </c>
      <c r="G32" t="s">
        <v>504</v>
      </c>
      <c r="H32" t="s">
        <v>505</v>
      </c>
      <c r="I32" t="s">
        <v>35</v>
      </c>
      <c r="J32" t="s">
        <v>320</v>
      </c>
      <c r="K32" t="s">
        <v>2</v>
      </c>
      <c r="L32" t="s">
        <v>103</v>
      </c>
      <c r="M32" t="s">
        <v>960</v>
      </c>
      <c r="N32" t="s">
        <v>850</v>
      </c>
      <c r="O32" t="s">
        <v>40</v>
      </c>
      <c r="P32" t="s">
        <v>961</v>
      </c>
      <c r="Q32" t="s">
        <v>37</v>
      </c>
      <c r="R32" t="s">
        <v>667</v>
      </c>
      <c r="S32">
        <v>1</v>
      </c>
      <c r="T32">
        <v>2706</v>
      </c>
      <c r="U32">
        <v>0</v>
      </c>
      <c r="V32">
        <v>2706</v>
      </c>
    </row>
    <row r="33" spans="1:22" x14ac:dyDescent="0.25">
      <c r="A33">
        <v>79452</v>
      </c>
      <c r="B33">
        <v>132150940</v>
      </c>
      <c r="C33" t="s">
        <v>962</v>
      </c>
      <c r="D33">
        <v>18852232</v>
      </c>
      <c r="E33" t="s">
        <v>846</v>
      </c>
      <c r="F33" t="s">
        <v>847</v>
      </c>
      <c r="G33" t="s">
        <v>504</v>
      </c>
      <c r="H33" t="s">
        <v>505</v>
      </c>
      <c r="I33" t="s">
        <v>35</v>
      </c>
      <c r="J33" t="s">
        <v>320</v>
      </c>
      <c r="K33" t="s">
        <v>2</v>
      </c>
      <c r="L33" t="s">
        <v>103</v>
      </c>
      <c r="M33" t="s">
        <v>963</v>
      </c>
      <c r="N33" t="s">
        <v>850</v>
      </c>
      <c r="O33" t="s">
        <v>40</v>
      </c>
      <c r="P33" t="s">
        <v>964</v>
      </c>
      <c r="Q33" t="s">
        <v>153</v>
      </c>
      <c r="R33" t="s">
        <v>739</v>
      </c>
      <c r="S33">
        <v>1</v>
      </c>
      <c r="T33">
        <v>2706</v>
      </c>
      <c r="U33">
        <v>0</v>
      </c>
      <c r="V33">
        <v>2706</v>
      </c>
    </row>
    <row r="34" spans="1:22" x14ac:dyDescent="0.25">
      <c r="A34">
        <v>79452</v>
      </c>
      <c r="B34">
        <v>132150946</v>
      </c>
      <c r="C34" t="s">
        <v>965</v>
      </c>
      <c r="D34">
        <v>18852231</v>
      </c>
      <c r="E34" t="s">
        <v>846</v>
      </c>
      <c r="F34" t="s">
        <v>847</v>
      </c>
      <c r="G34" t="s">
        <v>504</v>
      </c>
      <c r="H34" t="s">
        <v>505</v>
      </c>
      <c r="I34" t="s">
        <v>35</v>
      </c>
      <c r="J34" t="s">
        <v>320</v>
      </c>
      <c r="K34" t="s">
        <v>2</v>
      </c>
      <c r="L34" t="s">
        <v>103</v>
      </c>
      <c r="M34" t="s">
        <v>966</v>
      </c>
      <c r="N34" t="s">
        <v>850</v>
      </c>
      <c r="O34" t="s">
        <v>40</v>
      </c>
      <c r="P34" t="s">
        <v>967</v>
      </c>
      <c r="Q34" t="s">
        <v>41</v>
      </c>
      <c r="R34" t="s">
        <v>739</v>
      </c>
      <c r="S34">
        <v>1</v>
      </c>
      <c r="T34">
        <v>2706</v>
      </c>
      <c r="U34">
        <v>0</v>
      </c>
      <c r="V34">
        <v>2706</v>
      </c>
    </row>
    <row r="35" spans="1:22" x14ac:dyDescent="0.25">
      <c r="A35">
        <v>79452</v>
      </c>
      <c r="B35">
        <v>132150956</v>
      </c>
      <c r="C35" t="s">
        <v>968</v>
      </c>
      <c r="D35">
        <v>18852230</v>
      </c>
      <c r="E35" t="s">
        <v>846</v>
      </c>
      <c r="F35" t="s">
        <v>847</v>
      </c>
      <c r="G35" t="s">
        <v>504</v>
      </c>
      <c r="H35" t="s">
        <v>505</v>
      </c>
      <c r="I35" t="s">
        <v>35</v>
      </c>
      <c r="J35" t="s">
        <v>320</v>
      </c>
      <c r="K35" t="s">
        <v>2</v>
      </c>
      <c r="L35" t="s">
        <v>103</v>
      </c>
      <c r="M35" t="s">
        <v>969</v>
      </c>
      <c r="N35" t="s">
        <v>850</v>
      </c>
      <c r="O35" t="s">
        <v>40</v>
      </c>
      <c r="P35" t="s">
        <v>970</v>
      </c>
      <c r="Q35" t="s">
        <v>44</v>
      </c>
      <c r="R35" t="s">
        <v>739</v>
      </c>
      <c r="S35">
        <v>1</v>
      </c>
      <c r="T35">
        <v>2706</v>
      </c>
      <c r="U35">
        <v>0</v>
      </c>
      <c r="V35">
        <v>2706</v>
      </c>
    </row>
    <row r="36" spans="1:22" x14ac:dyDescent="0.25">
      <c r="A36">
        <v>79452</v>
      </c>
      <c r="B36">
        <v>132125539</v>
      </c>
      <c r="C36" t="s">
        <v>971</v>
      </c>
      <c r="D36">
        <v>18848593</v>
      </c>
      <c r="E36" t="s">
        <v>846</v>
      </c>
      <c r="F36" t="s">
        <v>847</v>
      </c>
      <c r="G36" t="s">
        <v>504</v>
      </c>
      <c r="H36" t="s">
        <v>505</v>
      </c>
      <c r="I36" t="s">
        <v>35</v>
      </c>
      <c r="J36" t="s">
        <v>320</v>
      </c>
      <c r="K36" t="s">
        <v>2</v>
      </c>
      <c r="L36" t="s">
        <v>103</v>
      </c>
      <c r="M36" t="s">
        <v>972</v>
      </c>
      <c r="N36" t="s">
        <v>850</v>
      </c>
      <c r="O36" t="s">
        <v>40</v>
      </c>
      <c r="P36" t="s">
        <v>973</v>
      </c>
      <c r="Q36" t="s">
        <v>70</v>
      </c>
      <c r="R36" t="s">
        <v>552</v>
      </c>
      <c r="S36">
        <v>1</v>
      </c>
      <c r="T36">
        <v>2706</v>
      </c>
      <c r="U36">
        <v>0</v>
      </c>
      <c r="V36">
        <v>2706</v>
      </c>
    </row>
    <row r="37" spans="1:22" x14ac:dyDescent="0.25">
      <c r="A37">
        <v>79452</v>
      </c>
      <c r="B37">
        <v>132125538</v>
      </c>
      <c r="C37" t="s">
        <v>974</v>
      </c>
      <c r="D37">
        <v>18848592</v>
      </c>
      <c r="E37" t="s">
        <v>846</v>
      </c>
      <c r="F37" t="s">
        <v>847</v>
      </c>
      <c r="G37" t="s">
        <v>504</v>
      </c>
      <c r="H37" t="s">
        <v>505</v>
      </c>
      <c r="I37" t="s">
        <v>35</v>
      </c>
      <c r="J37" t="s">
        <v>320</v>
      </c>
      <c r="K37" t="s">
        <v>2</v>
      </c>
      <c r="L37" t="s">
        <v>103</v>
      </c>
      <c r="M37" t="s">
        <v>975</v>
      </c>
      <c r="N37" t="s">
        <v>850</v>
      </c>
      <c r="O37" t="s">
        <v>40</v>
      </c>
      <c r="P37" t="s">
        <v>976</v>
      </c>
      <c r="Q37" t="s">
        <v>96</v>
      </c>
      <c r="R37" t="s">
        <v>552</v>
      </c>
      <c r="S37">
        <v>1</v>
      </c>
      <c r="T37">
        <v>2706</v>
      </c>
      <c r="U37">
        <v>0</v>
      </c>
      <c r="V37">
        <v>2706</v>
      </c>
    </row>
    <row r="38" spans="1:22" x14ac:dyDescent="0.25">
      <c r="A38">
        <v>79452</v>
      </c>
      <c r="B38">
        <v>132125527</v>
      </c>
      <c r="C38" t="s">
        <v>977</v>
      </c>
      <c r="D38">
        <v>18848591</v>
      </c>
      <c r="E38" t="s">
        <v>846</v>
      </c>
      <c r="F38" t="s">
        <v>847</v>
      </c>
      <c r="G38" t="s">
        <v>504</v>
      </c>
      <c r="H38" t="s">
        <v>505</v>
      </c>
      <c r="I38" t="s">
        <v>35</v>
      </c>
      <c r="J38" t="s">
        <v>320</v>
      </c>
      <c r="K38" t="s">
        <v>2</v>
      </c>
      <c r="L38" t="s">
        <v>103</v>
      </c>
      <c r="M38" t="s">
        <v>978</v>
      </c>
      <c r="N38" t="s">
        <v>850</v>
      </c>
      <c r="O38" t="s">
        <v>40</v>
      </c>
      <c r="P38" t="s">
        <v>979</v>
      </c>
      <c r="Q38" t="s">
        <v>41</v>
      </c>
      <c r="R38" t="s">
        <v>552</v>
      </c>
      <c r="S38">
        <v>1</v>
      </c>
      <c r="T38">
        <v>2706</v>
      </c>
      <c r="U38">
        <v>0</v>
      </c>
      <c r="V38">
        <v>2706</v>
      </c>
    </row>
    <row r="39" spans="1:22" x14ac:dyDescent="0.25">
      <c r="A39">
        <v>79452</v>
      </c>
      <c r="B39">
        <v>132109842</v>
      </c>
      <c r="C39" t="s">
        <v>980</v>
      </c>
      <c r="D39">
        <v>18848589</v>
      </c>
      <c r="E39" t="s">
        <v>846</v>
      </c>
      <c r="F39" t="s">
        <v>847</v>
      </c>
      <c r="G39" t="s">
        <v>504</v>
      </c>
      <c r="H39" t="s">
        <v>505</v>
      </c>
      <c r="I39" t="s">
        <v>35</v>
      </c>
      <c r="J39" t="s">
        <v>320</v>
      </c>
      <c r="K39" t="s">
        <v>2</v>
      </c>
      <c r="L39" t="s">
        <v>103</v>
      </c>
      <c r="M39" t="s">
        <v>981</v>
      </c>
      <c r="N39" t="s">
        <v>850</v>
      </c>
      <c r="O39" t="s">
        <v>40</v>
      </c>
      <c r="P39" t="s">
        <v>982</v>
      </c>
      <c r="Q39" t="s">
        <v>37</v>
      </c>
      <c r="R39" t="s">
        <v>852</v>
      </c>
      <c r="S39">
        <v>1</v>
      </c>
      <c r="T39">
        <v>2706</v>
      </c>
      <c r="U39">
        <v>0</v>
      </c>
      <c r="V39">
        <v>2706</v>
      </c>
    </row>
    <row r="40" spans="1:22" x14ac:dyDescent="0.25">
      <c r="A40">
        <v>79452</v>
      </c>
      <c r="B40">
        <v>132109841</v>
      </c>
      <c r="C40" t="s">
        <v>983</v>
      </c>
      <c r="D40">
        <v>18848588</v>
      </c>
      <c r="E40" t="s">
        <v>846</v>
      </c>
      <c r="F40" t="s">
        <v>847</v>
      </c>
      <c r="G40" t="s">
        <v>504</v>
      </c>
      <c r="H40" t="s">
        <v>505</v>
      </c>
      <c r="I40" t="s">
        <v>35</v>
      </c>
      <c r="J40" t="s">
        <v>320</v>
      </c>
      <c r="K40" t="s">
        <v>2</v>
      </c>
      <c r="L40" t="s">
        <v>103</v>
      </c>
      <c r="M40" t="s">
        <v>984</v>
      </c>
      <c r="N40" t="s">
        <v>850</v>
      </c>
      <c r="O40" t="s">
        <v>40</v>
      </c>
      <c r="P40" t="s">
        <v>985</v>
      </c>
      <c r="Q40" t="s">
        <v>99</v>
      </c>
      <c r="R40" t="s">
        <v>852</v>
      </c>
      <c r="S40">
        <v>1</v>
      </c>
      <c r="T40">
        <v>2706</v>
      </c>
      <c r="U40">
        <v>0</v>
      </c>
      <c r="V40">
        <v>2706</v>
      </c>
    </row>
    <row r="41" spans="1:22" x14ac:dyDescent="0.25">
      <c r="A41">
        <v>79452</v>
      </c>
      <c r="B41">
        <v>132109833</v>
      </c>
      <c r="C41" t="s">
        <v>986</v>
      </c>
      <c r="D41">
        <v>18848587</v>
      </c>
      <c r="E41" t="s">
        <v>846</v>
      </c>
      <c r="F41" t="s">
        <v>847</v>
      </c>
      <c r="G41" t="s">
        <v>504</v>
      </c>
      <c r="H41" t="s">
        <v>505</v>
      </c>
      <c r="I41" t="s">
        <v>35</v>
      </c>
      <c r="J41" t="s">
        <v>320</v>
      </c>
      <c r="K41" t="s">
        <v>2</v>
      </c>
      <c r="L41" t="s">
        <v>103</v>
      </c>
      <c r="M41" t="s">
        <v>987</v>
      </c>
      <c r="N41" t="s">
        <v>850</v>
      </c>
      <c r="O41" t="s">
        <v>40</v>
      </c>
      <c r="P41" t="s">
        <v>988</v>
      </c>
      <c r="Q41" t="s">
        <v>45</v>
      </c>
      <c r="R41" t="s">
        <v>852</v>
      </c>
      <c r="S41">
        <v>1</v>
      </c>
      <c r="T41">
        <v>2706</v>
      </c>
      <c r="U41">
        <v>0</v>
      </c>
      <c r="V41">
        <v>2706</v>
      </c>
    </row>
    <row r="42" spans="1:22" x14ac:dyDescent="0.25">
      <c r="A42">
        <v>79452</v>
      </c>
      <c r="B42">
        <v>132021609</v>
      </c>
      <c r="C42" t="s">
        <v>989</v>
      </c>
      <c r="D42">
        <v>18845084</v>
      </c>
      <c r="E42" t="s">
        <v>846</v>
      </c>
      <c r="F42" t="s">
        <v>847</v>
      </c>
      <c r="G42" t="s">
        <v>504</v>
      </c>
      <c r="H42" t="s">
        <v>505</v>
      </c>
      <c r="I42" t="s">
        <v>35</v>
      </c>
      <c r="J42" t="s">
        <v>320</v>
      </c>
      <c r="K42" t="s">
        <v>2</v>
      </c>
      <c r="L42" t="s">
        <v>103</v>
      </c>
      <c r="M42" t="s">
        <v>990</v>
      </c>
      <c r="N42" t="s">
        <v>850</v>
      </c>
      <c r="O42" t="s">
        <v>40</v>
      </c>
      <c r="P42" t="s">
        <v>991</v>
      </c>
      <c r="Q42" t="s">
        <v>43</v>
      </c>
      <c r="R42" t="s">
        <v>599</v>
      </c>
      <c r="S42">
        <v>1</v>
      </c>
      <c r="T42">
        <v>2706</v>
      </c>
      <c r="U42">
        <v>0</v>
      </c>
      <c r="V42">
        <v>2706</v>
      </c>
    </row>
    <row r="43" spans="1:22" x14ac:dyDescent="0.25">
      <c r="A43">
        <v>79452</v>
      </c>
      <c r="B43">
        <v>132021652</v>
      </c>
      <c r="C43" t="s">
        <v>992</v>
      </c>
      <c r="D43">
        <v>18845083</v>
      </c>
      <c r="E43" t="s">
        <v>846</v>
      </c>
      <c r="F43" t="s">
        <v>847</v>
      </c>
      <c r="G43" t="s">
        <v>504</v>
      </c>
      <c r="H43" t="s">
        <v>505</v>
      </c>
      <c r="I43" t="s">
        <v>35</v>
      </c>
      <c r="J43" t="s">
        <v>320</v>
      </c>
      <c r="K43" t="s">
        <v>2</v>
      </c>
      <c r="L43" t="s">
        <v>103</v>
      </c>
      <c r="M43" t="s">
        <v>993</v>
      </c>
      <c r="N43" t="s">
        <v>850</v>
      </c>
      <c r="O43" t="s">
        <v>40</v>
      </c>
      <c r="P43" t="s">
        <v>994</v>
      </c>
      <c r="Q43" t="s">
        <v>43</v>
      </c>
      <c r="R43" t="s">
        <v>599</v>
      </c>
      <c r="S43">
        <v>1</v>
      </c>
      <c r="T43">
        <v>2706</v>
      </c>
      <c r="U43">
        <v>0</v>
      </c>
      <c r="V43">
        <v>2706</v>
      </c>
    </row>
    <row r="44" spans="1:22" x14ac:dyDescent="0.25">
      <c r="A44">
        <v>79452</v>
      </c>
      <c r="B44">
        <v>132021661</v>
      </c>
      <c r="C44" t="s">
        <v>995</v>
      </c>
      <c r="D44">
        <v>18845082</v>
      </c>
      <c r="E44" t="s">
        <v>846</v>
      </c>
      <c r="F44" t="s">
        <v>847</v>
      </c>
      <c r="G44" t="s">
        <v>504</v>
      </c>
      <c r="H44" t="s">
        <v>505</v>
      </c>
      <c r="I44" t="s">
        <v>35</v>
      </c>
      <c r="J44" t="s">
        <v>320</v>
      </c>
      <c r="K44" t="s">
        <v>2</v>
      </c>
      <c r="L44" t="s">
        <v>103</v>
      </c>
      <c r="M44" t="s">
        <v>996</v>
      </c>
      <c r="N44" t="s">
        <v>850</v>
      </c>
      <c r="O44" t="s">
        <v>40</v>
      </c>
      <c r="P44" t="s">
        <v>997</v>
      </c>
      <c r="Q44" t="s">
        <v>42</v>
      </c>
      <c r="R44" t="s">
        <v>599</v>
      </c>
      <c r="S44">
        <v>1</v>
      </c>
      <c r="T44">
        <v>2706</v>
      </c>
      <c r="U44">
        <v>0</v>
      </c>
      <c r="V44">
        <v>2706</v>
      </c>
    </row>
    <row r="45" spans="1:22" x14ac:dyDescent="0.25">
      <c r="A45">
        <v>79452</v>
      </c>
      <c r="B45">
        <v>132021666</v>
      </c>
      <c r="C45" t="s">
        <v>998</v>
      </c>
      <c r="D45">
        <v>18845081</v>
      </c>
      <c r="E45" t="s">
        <v>846</v>
      </c>
      <c r="F45" t="s">
        <v>847</v>
      </c>
      <c r="G45" t="s">
        <v>504</v>
      </c>
      <c r="H45" t="s">
        <v>505</v>
      </c>
      <c r="I45" t="s">
        <v>35</v>
      </c>
      <c r="J45" t="s">
        <v>320</v>
      </c>
      <c r="K45" t="s">
        <v>2</v>
      </c>
      <c r="L45" t="s">
        <v>103</v>
      </c>
      <c r="M45" t="s">
        <v>999</v>
      </c>
      <c r="N45" t="s">
        <v>850</v>
      </c>
      <c r="O45" t="s">
        <v>40</v>
      </c>
      <c r="P45" t="s">
        <v>1000</v>
      </c>
      <c r="Q45" t="s">
        <v>39</v>
      </c>
      <c r="R45" t="s">
        <v>599</v>
      </c>
      <c r="S45">
        <v>1</v>
      </c>
      <c r="T45">
        <v>2706</v>
      </c>
      <c r="U45">
        <v>0</v>
      </c>
      <c r="V45">
        <v>2706</v>
      </c>
    </row>
    <row r="46" spans="1:22" x14ac:dyDescent="0.25">
      <c r="A46">
        <v>79452</v>
      </c>
      <c r="B46">
        <v>132048398</v>
      </c>
      <c r="C46" t="s">
        <v>1001</v>
      </c>
      <c r="D46">
        <v>18845079</v>
      </c>
      <c r="E46" t="s">
        <v>846</v>
      </c>
      <c r="F46" t="s">
        <v>847</v>
      </c>
      <c r="G46" t="s">
        <v>504</v>
      </c>
      <c r="H46" t="s">
        <v>505</v>
      </c>
      <c r="I46" t="s">
        <v>35</v>
      </c>
      <c r="J46" t="s">
        <v>320</v>
      </c>
      <c r="K46" t="s">
        <v>2</v>
      </c>
      <c r="L46" t="s">
        <v>103</v>
      </c>
      <c r="M46" t="s">
        <v>1002</v>
      </c>
      <c r="N46" t="s">
        <v>850</v>
      </c>
      <c r="O46" t="s">
        <v>40</v>
      </c>
      <c r="P46" t="s">
        <v>1003</v>
      </c>
      <c r="Q46" t="s">
        <v>44</v>
      </c>
      <c r="R46" t="s">
        <v>430</v>
      </c>
      <c r="S46">
        <v>1</v>
      </c>
      <c r="T46">
        <v>2706</v>
      </c>
      <c r="U46">
        <v>0</v>
      </c>
      <c r="V46">
        <v>2706</v>
      </c>
    </row>
    <row r="47" spans="1:22" x14ac:dyDescent="0.25">
      <c r="A47">
        <v>79452</v>
      </c>
      <c r="B47">
        <v>132048400</v>
      </c>
      <c r="C47" t="s">
        <v>1004</v>
      </c>
      <c r="D47">
        <v>18845078</v>
      </c>
      <c r="E47" t="s">
        <v>846</v>
      </c>
      <c r="F47" t="s">
        <v>847</v>
      </c>
      <c r="G47" t="s">
        <v>504</v>
      </c>
      <c r="H47" t="s">
        <v>505</v>
      </c>
      <c r="I47" t="s">
        <v>35</v>
      </c>
      <c r="J47" t="s">
        <v>320</v>
      </c>
      <c r="K47" t="s">
        <v>2</v>
      </c>
      <c r="L47" t="s">
        <v>103</v>
      </c>
      <c r="M47" t="s">
        <v>1005</v>
      </c>
      <c r="N47" t="s">
        <v>850</v>
      </c>
      <c r="O47" t="s">
        <v>40</v>
      </c>
      <c r="P47" t="s">
        <v>1006</v>
      </c>
      <c r="Q47" t="s">
        <v>38</v>
      </c>
      <c r="R47" t="s">
        <v>430</v>
      </c>
      <c r="S47">
        <v>1</v>
      </c>
      <c r="T47">
        <v>2706</v>
      </c>
      <c r="U47">
        <v>0</v>
      </c>
      <c r="V47">
        <v>2706</v>
      </c>
    </row>
    <row r="48" spans="1:22" x14ac:dyDescent="0.25">
      <c r="A48">
        <v>79452</v>
      </c>
      <c r="B48">
        <v>132048410</v>
      </c>
      <c r="C48" t="s">
        <v>1007</v>
      </c>
      <c r="D48">
        <v>18845077</v>
      </c>
      <c r="E48" t="s">
        <v>846</v>
      </c>
      <c r="F48" t="s">
        <v>847</v>
      </c>
      <c r="G48" t="s">
        <v>504</v>
      </c>
      <c r="H48" t="s">
        <v>505</v>
      </c>
      <c r="I48" t="s">
        <v>35</v>
      </c>
      <c r="J48" t="s">
        <v>320</v>
      </c>
      <c r="K48" t="s">
        <v>2</v>
      </c>
      <c r="L48" t="s">
        <v>103</v>
      </c>
      <c r="M48" t="s">
        <v>1008</v>
      </c>
      <c r="N48" t="s">
        <v>850</v>
      </c>
      <c r="O48" t="s">
        <v>40</v>
      </c>
      <c r="P48" t="s">
        <v>1009</v>
      </c>
      <c r="Q48" t="s">
        <v>44</v>
      </c>
      <c r="R48" t="s">
        <v>430</v>
      </c>
      <c r="S48">
        <v>1</v>
      </c>
      <c r="T48">
        <v>2706</v>
      </c>
      <c r="U48">
        <v>0</v>
      </c>
      <c r="V48">
        <v>2706</v>
      </c>
    </row>
    <row r="49" spans="1:22" x14ac:dyDescent="0.25">
      <c r="A49">
        <v>79452</v>
      </c>
      <c r="B49">
        <v>132048409</v>
      </c>
      <c r="C49" t="s">
        <v>1010</v>
      </c>
      <c r="D49">
        <v>18845076</v>
      </c>
      <c r="E49" t="s">
        <v>846</v>
      </c>
      <c r="F49" t="s">
        <v>847</v>
      </c>
      <c r="G49" t="s">
        <v>504</v>
      </c>
      <c r="H49" t="s">
        <v>505</v>
      </c>
      <c r="I49" t="s">
        <v>35</v>
      </c>
      <c r="J49" t="s">
        <v>320</v>
      </c>
      <c r="K49" t="s">
        <v>2</v>
      </c>
      <c r="L49" t="s">
        <v>103</v>
      </c>
      <c r="M49" t="s">
        <v>1011</v>
      </c>
      <c r="N49" t="s">
        <v>850</v>
      </c>
      <c r="O49" t="s">
        <v>40</v>
      </c>
      <c r="P49" t="s">
        <v>1012</v>
      </c>
      <c r="Q49" t="s">
        <v>98</v>
      </c>
      <c r="R49" t="s">
        <v>430</v>
      </c>
      <c r="S49">
        <v>1</v>
      </c>
      <c r="T49">
        <v>2706</v>
      </c>
      <c r="U49">
        <v>0</v>
      </c>
      <c r="V49">
        <v>2706</v>
      </c>
    </row>
    <row r="50" spans="1:22" x14ac:dyDescent="0.25">
      <c r="A50">
        <v>79452</v>
      </c>
      <c r="B50">
        <v>132048431</v>
      </c>
      <c r="C50" t="s">
        <v>1013</v>
      </c>
      <c r="D50">
        <v>18845075</v>
      </c>
      <c r="E50" t="s">
        <v>846</v>
      </c>
      <c r="F50" t="s">
        <v>847</v>
      </c>
      <c r="G50" t="s">
        <v>504</v>
      </c>
      <c r="H50" t="s">
        <v>505</v>
      </c>
      <c r="I50" t="s">
        <v>35</v>
      </c>
      <c r="J50" t="s">
        <v>320</v>
      </c>
      <c r="K50" t="s">
        <v>2</v>
      </c>
      <c r="L50" t="s">
        <v>103</v>
      </c>
      <c r="M50" t="s">
        <v>1014</v>
      </c>
      <c r="N50" t="s">
        <v>850</v>
      </c>
      <c r="O50" t="s">
        <v>40</v>
      </c>
      <c r="P50" t="s">
        <v>1015</v>
      </c>
      <c r="Q50" t="s">
        <v>100</v>
      </c>
      <c r="R50" t="s">
        <v>430</v>
      </c>
      <c r="S50">
        <v>1</v>
      </c>
      <c r="T50">
        <v>2706</v>
      </c>
      <c r="U50">
        <v>0</v>
      </c>
      <c r="V50">
        <v>2706</v>
      </c>
    </row>
    <row r="51" spans="1:22" x14ac:dyDescent="0.25">
      <c r="A51">
        <v>79452</v>
      </c>
      <c r="B51">
        <v>132073931</v>
      </c>
      <c r="C51" t="s">
        <v>1016</v>
      </c>
      <c r="D51">
        <v>18845065</v>
      </c>
      <c r="E51" t="s">
        <v>846</v>
      </c>
      <c r="F51" t="s">
        <v>847</v>
      </c>
      <c r="G51" t="s">
        <v>504</v>
      </c>
      <c r="H51" t="s">
        <v>505</v>
      </c>
      <c r="I51" t="s">
        <v>35</v>
      </c>
      <c r="J51" t="s">
        <v>320</v>
      </c>
      <c r="K51" t="s">
        <v>2</v>
      </c>
      <c r="L51" t="s">
        <v>103</v>
      </c>
      <c r="M51" t="s">
        <v>1017</v>
      </c>
      <c r="N51" t="s">
        <v>850</v>
      </c>
      <c r="O51" t="s">
        <v>40</v>
      </c>
      <c r="P51" t="s">
        <v>1018</v>
      </c>
      <c r="Q51" t="s">
        <v>42</v>
      </c>
      <c r="R51" t="s">
        <v>862</v>
      </c>
      <c r="S51">
        <v>1</v>
      </c>
      <c r="T51">
        <v>2706</v>
      </c>
      <c r="U51">
        <v>0</v>
      </c>
      <c r="V51">
        <v>2706</v>
      </c>
    </row>
    <row r="52" spans="1:22" x14ac:dyDescent="0.25">
      <c r="A52">
        <v>79452</v>
      </c>
      <c r="B52">
        <v>132073942</v>
      </c>
      <c r="C52" t="s">
        <v>1019</v>
      </c>
      <c r="D52">
        <v>18845064</v>
      </c>
      <c r="E52" t="s">
        <v>846</v>
      </c>
      <c r="F52" t="s">
        <v>847</v>
      </c>
      <c r="G52" t="s">
        <v>504</v>
      </c>
      <c r="H52" t="s">
        <v>505</v>
      </c>
      <c r="I52" t="s">
        <v>35</v>
      </c>
      <c r="J52" t="s">
        <v>320</v>
      </c>
      <c r="K52" t="s">
        <v>2</v>
      </c>
      <c r="L52" t="s">
        <v>103</v>
      </c>
      <c r="M52" t="s">
        <v>1020</v>
      </c>
      <c r="N52" t="s">
        <v>850</v>
      </c>
      <c r="O52" t="s">
        <v>40</v>
      </c>
      <c r="P52" t="s">
        <v>1021</v>
      </c>
      <c r="Q52" t="s">
        <v>36</v>
      </c>
      <c r="R52" t="s">
        <v>862</v>
      </c>
      <c r="S52">
        <v>1</v>
      </c>
      <c r="T52">
        <v>2706</v>
      </c>
      <c r="U52">
        <v>0</v>
      </c>
      <c r="V52">
        <v>2706</v>
      </c>
    </row>
    <row r="53" spans="1:22" x14ac:dyDescent="0.25">
      <c r="A53">
        <v>79452</v>
      </c>
      <c r="B53">
        <v>132073934</v>
      </c>
      <c r="C53" t="s">
        <v>1022</v>
      </c>
      <c r="D53">
        <v>18845062</v>
      </c>
      <c r="E53" t="s">
        <v>846</v>
      </c>
      <c r="F53" t="s">
        <v>847</v>
      </c>
      <c r="G53" t="s">
        <v>504</v>
      </c>
      <c r="H53" t="s">
        <v>505</v>
      </c>
      <c r="I53" t="s">
        <v>35</v>
      </c>
      <c r="J53" t="s">
        <v>320</v>
      </c>
      <c r="K53" t="s">
        <v>2</v>
      </c>
      <c r="L53" t="s">
        <v>103</v>
      </c>
      <c r="M53" t="s">
        <v>1023</v>
      </c>
      <c r="N53" t="s">
        <v>850</v>
      </c>
      <c r="O53" t="s">
        <v>40</v>
      </c>
      <c r="P53" t="s">
        <v>1024</v>
      </c>
      <c r="Q53" t="s">
        <v>37</v>
      </c>
      <c r="R53" t="s">
        <v>862</v>
      </c>
      <c r="S53">
        <v>1</v>
      </c>
      <c r="T53">
        <v>2706</v>
      </c>
      <c r="U53">
        <v>0</v>
      </c>
      <c r="V53">
        <v>2706</v>
      </c>
    </row>
    <row r="54" spans="1:22" x14ac:dyDescent="0.25">
      <c r="A54">
        <v>79452</v>
      </c>
      <c r="B54">
        <v>132073941</v>
      </c>
      <c r="C54" t="s">
        <v>1025</v>
      </c>
      <c r="D54">
        <v>18845060</v>
      </c>
      <c r="E54" t="s">
        <v>846</v>
      </c>
      <c r="F54" t="s">
        <v>847</v>
      </c>
      <c r="G54" t="s">
        <v>504</v>
      </c>
      <c r="H54" t="s">
        <v>505</v>
      </c>
      <c r="I54" t="s">
        <v>35</v>
      </c>
      <c r="J54" t="s">
        <v>320</v>
      </c>
      <c r="K54" t="s">
        <v>2</v>
      </c>
      <c r="L54" t="s">
        <v>103</v>
      </c>
      <c r="M54" t="s">
        <v>1026</v>
      </c>
      <c r="N54" t="s">
        <v>850</v>
      </c>
      <c r="O54" t="s">
        <v>40</v>
      </c>
      <c r="P54" t="s">
        <v>1027</v>
      </c>
      <c r="Q54" t="s">
        <v>41</v>
      </c>
      <c r="R54" t="s">
        <v>862</v>
      </c>
      <c r="S54">
        <v>1</v>
      </c>
      <c r="T54">
        <v>2706</v>
      </c>
      <c r="U54">
        <v>0</v>
      </c>
      <c r="V54">
        <v>2706</v>
      </c>
    </row>
    <row r="55" spans="1:22" x14ac:dyDescent="0.25">
      <c r="A55">
        <v>79452</v>
      </c>
      <c r="B55">
        <v>132073952</v>
      </c>
      <c r="C55" t="s">
        <v>1028</v>
      </c>
      <c r="D55">
        <v>18845059</v>
      </c>
      <c r="E55" t="s">
        <v>846</v>
      </c>
      <c r="F55" t="s">
        <v>847</v>
      </c>
      <c r="G55" t="s">
        <v>504</v>
      </c>
      <c r="H55" t="s">
        <v>505</v>
      </c>
      <c r="I55" t="s">
        <v>35</v>
      </c>
      <c r="J55" t="s">
        <v>320</v>
      </c>
      <c r="K55" t="s">
        <v>2</v>
      </c>
      <c r="L55" t="s">
        <v>103</v>
      </c>
      <c r="M55" t="s">
        <v>1029</v>
      </c>
      <c r="N55" t="s">
        <v>850</v>
      </c>
      <c r="O55" t="s">
        <v>40</v>
      </c>
      <c r="P55" t="s">
        <v>1030</v>
      </c>
      <c r="Q55" t="s">
        <v>70</v>
      </c>
      <c r="R55" t="s">
        <v>862</v>
      </c>
      <c r="S55">
        <v>1</v>
      </c>
      <c r="T55">
        <v>2706</v>
      </c>
      <c r="U55">
        <v>0</v>
      </c>
      <c r="V55">
        <v>2706</v>
      </c>
    </row>
    <row r="56" spans="1:22" x14ac:dyDescent="0.25">
      <c r="A56">
        <v>79452</v>
      </c>
      <c r="B56">
        <v>132089189</v>
      </c>
      <c r="C56" t="s">
        <v>1031</v>
      </c>
      <c r="D56">
        <v>18845058</v>
      </c>
      <c r="E56" t="s">
        <v>846</v>
      </c>
      <c r="F56" t="s">
        <v>847</v>
      </c>
      <c r="G56" t="s">
        <v>504</v>
      </c>
      <c r="H56" t="s">
        <v>505</v>
      </c>
      <c r="I56" t="s">
        <v>35</v>
      </c>
      <c r="J56" t="s">
        <v>320</v>
      </c>
      <c r="K56" t="s">
        <v>2</v>
      </c>
      <c r="L56" t="s">
        <v>103</v>
      </c>
      <c r="M56" t="s">
        <v>1032</v>
      </c>
      <c r="N56" t="s">
        <v>850</v>
      </c>
      <c r="O56" t="s">
        <v>40</v>
      </c>
      <c r="P56" t="s">
        <v>1033</v>
      </c>
      <c r="Q56" t="s">
        <v>138</v>
      </c>
      <c r="R56" t="s">
        <v>452</v>
      </c>
      <c r="S56">
        <v>1</v>
      </c>
      <c r="T56">
        <v>2706</v>
      </c>
      <c r="U56">
        <v>0</v>
      </c>
      <c r="V56">
        <v>2706</v>
      </c>
    </row>
    <row r="57" spans="1:22" x14ac:dyDescent="0.25">
      <c r="A57">
        <v>79452</v>
      </c>
      <c r="B57">
        <v>132089192</v>
      </c>
      <c r="C57" t="s">
        <v>1034</v>
      </c>
      <c r="D57">
        <v>18845057</v>
      </c>
      <c r="E57" t="s">
        <v>846</v>
      </c>
      <c r="F57" t="s">
        <v>847</v>
      </c>
      <c r="G57" t="s">
        <v>504</v>
      </c>
      <c r="H57" t="s">
        <v>505</v>
      </c>
      <c r="I57" t="s">
        <v>35</v>
      </c>
      <c r="J57" t="s">
        <v>320</v>
      </c>
      <c r="K57" t="s">
        <v>2</v>
      </c>
      <c r="L57" t="s">
        <v>103</v>
      </c>
      <c r="M57" t="s">
        <v>1035</v>
      </c>
      <c r="N57" t="s">
        <v>850</v>
      </c>
      <c r="O57" t="s">
        <v>40</v>
      </c>
      <c r="P57" t="s">
        <v>1036</v>
      </c>
      <c r="Q57" t="s">
        <v>37</v>
      </c>
      <c r="R57" t="s">
        <v>452</v>
      </c>
      <c r="S57">
        <v>1</v>
      </c>
      <c r="T57">
        <v>2706</v>
      </c>
      <c r="U57">
        <v>0</v>
      </c>
      <c r="V57">
        <v>2706</v>
      </c>
    </row>
    <row r="58" spans="1:22" x14ac:dyDescent="0.25">
      <c r="A58">
        <v>79452</v>
      </c>
      <c r="B58">
        <v>132089200</v>
      </c>
      <c r="C58" t="s">
        <v>1037</v>
      </c>
      <c r="D58">
        <v>18845056</v>
      </c>
      <c r="E58" t="s">
        <v>846</v>
      </c>
      <c r="F58" t="s">
        <v>847</v>
      </c>
      <c r="G58" t="s">
        <v>504</v>
      </c>
      <c r="H58" t="s">
        <v>505</v>
      </c>
      <c r="I58" t="s">
        <v>35</v>
      </c>
      <c r="J58" t="s">
        <v>320</v>
      </c>
      <c r="K58" t="s">
        <v>2</v>
      </c>
      <c r="L58" t="s">
        <v>103</v>
      </c>
      <c r="M58" t="s">
        <v>752</v>
      </c>
      <c r="N58" t="s">
        <v>850</v>
      </c>
      <c r="O58" t="s">
        <v>40</v>
      </c>
      <c r="P58" t="s">
        <v>1038</v>
      </c>
      <c r="Q58" t="s">
        <v>43</v>
      </c>
      <c r="R58" t="s">
        <v>452</v>
      </c>
      <c r="S58">
        <v>1</v>
      </c>
      <c r="T58">
        <v>2706</v>
      </c>
      <c r="U58">
        <v>0</v>
      </c>
      <c r="V58">
        <v>2706</v>
      </c>
    </row>
    <row r="59" spans="1:22" x14ac:dyDescent="0.25">
      <c r="A59">
        <v>79452</v>
      </c>
      <c r="B59">
        <v>132089202</v>
      </c>
      <c r="C59" t="s">
        <v>1039</v>
      </c>
      <c r="D59">
        <v>18845055</v>
      </c>
      <c r="E59" t="s">
        <v>846</v>
      </c>
      <c r="F59" t="s">
        <v>847</v>
      </c>
      <c r="G59" t="s">
        <v>504</v>
      </c>
      <c r="H59" t="s">
        <v>505</v>
      </c>
      <c r="I59" t="s">
        <v>35</v>
      </c>
      <c r="J59" t="s">
        <v>320</v>
      </c>
      <c r="K59" t="s">
        <v>2</v>
      </c>
      <c r="L59" t="s">
        <v>103</v>
      </c>
      <c r="M59" t="s">
        <v>666</v>
      </c>
      <c r="N59" t="s">
        <v>850</v>
      </c>
      <c r="O59" t="s">
        <v>40</v>
      </c>
      <c r="P59" t="s">
        <v>1040</v>
      </c>
      <c r="Q59" t="s">
        <v>97</v>
      </c>
      <c r="R59" t="s">
        <v>452</v>
      </c>
      <c r="S59">
        <v>1</v>
      </c>
      <c r="T59">
        <v>2706</v>
      </c>
      <c r="U59">
        <v>0</v>
      </c>
      <c r="V59">
        <v>2706</v>
      </c>
    </row>
    <row r="60" spans="1:22" x14ac:dyDescent="0.25">
      <c r="A60">
        <v>79452</v>
      </c>
      <c r="B60">
        <v>132049111</v>
      </c>
      <c r="C60" t="s">
        <v>1041</v>
      </c>
      <c r="D60">
        <v>18841648</v>
      </c>
      <c r="E60" t="s">
        <v>846</v>
      </c>
      <c r="F60" t="s">
        <v>847</v>
      </c>
      <c r="G60" t="s">
        <v>504</v>
      </c>
      <c r="H60" t="s">
        <v>505</v>
      </c>
      <c r="I60" t="s">
        <v>35</v>
      </c>
      <c r="J60" t="s">
        <v>320</v>
      </c>
      <c r="K60" t="s">
        <v>2</v>
      </c>
      <c r="L60" t="s">
        <v>103</v>
      </c>
      <c r="M60" t="s">
        <v>1042</v>
      </c>
      <c r="N60" t="s">
        <v>850</v>
      </c>
      <c r="O60" t="s">
        <v>40</v>
      </c>
      <c r="P60" t="s">
        <v>1043</v>
      </c>
      <c r="Q60" t="s">
        <v>43</v>
      </c>
      <c r="R60" t="s">
        <v>284</v>
      </c>
      <c r="S60">
        <v>1</v>
      </c>
      <c r="T60">
        <v>2706</v>
      </c>
      <c r="U60">
        <v>0</v>
      </c>
      <c r="V60">
        <v>2706</v>
      </c>
    </row>
    <row r="61" spans="1:22" x14ac:dyDescent="0.25">
      <c r="A61">
        <v>79452</v>
      </c>
      <c r="B61">
        <v>132021604</v>
      </c>
      <c r="C61" t="s">
        <v>1044</v>
      </c>
      <c r="D61">
        <v>18841637</v>
      </c>
      <c r="E61" t="s">
        <v>846</v>
      </c>
      <c r="F61" t="s">
        <v>847</v>
      </c>
      <c r="G61" t="s">
        <v>504</v>
      </c>
      <c r="H61" t="s">
        <v>505</v>
      </c>
      <c r="I61" t="s">
        <v>35</v>
      </c>
      <c r="J61" t="s">
        <v>320</v>
      </c>
      <c r="K61" t="s">
        <v>2</v>
      </c>
      <c r="L61" t="s">
        <v>103</v>
      </c>
      <c r="M61" t="s">
        <v>1045</v>
      </c>
      <c r="N61" t="s">
        <v>850</v>
      </c>
      <c r="O61" t="s">
        <v>40</v>
      </c>
      <c r="P61" t="s">
        <v>1046</v>
      </c>
      <c r="Q61" t="s">
        <v>44</v>
      </c>
      <c r="R61" t="s">
        <v>599</v>
      </c>
      <c r="S61">
        <v>1</v>
      </c>
      <c r="T61">
        <v>2706</v>
      </c>
      <c r="U61">
        <v>0</v>
      </c>
      <c r="V61">
        <v>2706</v>
      </c>
    </row>
    <row r="62" spans="1:22" x14ac:dyDescent="0.25">
      <c r="A62">
        <v>79452</v>
      </c>
      <c r="B62">
        <v>132021614</v>
      </c>
      <c r="C62" t="s">
        <v>1047</v>
      </c>
      <c r="D62">
        <v>18841634</v>
      </c>
      <c r="E62" t="s">
        <v>846</v>
      </c>
      <c r="F62" t="s">
        <v>847</v>
      </c>
      <c r="G62" t="s">
        <v>504</v>
      </c>
      <c r="H62" t="s">
        <v>505</v>
      </c>
      <c r="I62" t="s">
        <v>35</v>
      </c>
      <c r="J62" t="s">
        <v>320</v>
      </c>
      <c r="K62" t="s">
        <v>2</v>
      </c>
      <c r="L62" t="s">
        <v>103</v>
      </c>
      <c r="M62" t="s">
        <v>608</v>
      </c>
      <c r="N62" t="s">
        <v>850</v>
      </c>
      <c r="O62" t="s">
        <v>40</v>
      </c>
      <c r="P62" t="s">
        <v>1048</v>
      </c>
      <c r="Q62" t="s">
        <v>222</v>
      </c>
      <c r="R62" t="s">
        <v>599</v>
      </c>
      <c r="S62">
        <v>1</v>
      </c>
      <c r="T62">
        <v>2706</v>
      </c>
      <c r="U62">
        <v>0</v>
      </c>
      <c r="V62">
        <v>2706</v>
      </c>
    </row>
    <row r="63" spans="1:22" x14ac:dyDescent="0.25">
      <c r="A63">
        <v>79452</v>
      </c>
      <c r="B63">
        <v>132021612</v>
      </c>
      <c r="C63" t="s">
        <v>1049</v>
      </c>
      <c r="D63">
        <v>18841612</v>
      </c>
      <c r="E63" t="s">
        <v>846</v>
      </c>
      <c r="F63" t="s">
        <v>847</v>
      </c>
      <c r="G63" t="s">
        <v>504</v>
      </c>
      <c r="H63" t="s">
        <v>505</v>
      </c>
      <c r="I63" t="s">
        <v>35</v>
      </c>
      <c r="J63" t="s">
        <v>320</v>
      </c>
      <c r="K63" t="s">
        <v>2</v>
      </c>
      <c r="L63" t="s">
        <v>103</v>
      </c>
      <c r="M63" t="s">
        <v>1050</v>
      </c>
      <c r="N63" t="s">
        <v>850</v>
      </c>
      <c r="O63" t="s">
        <v>40</v>
      </c>
      <c r="P63" t="s">
        <v>1051</v>
      </c>
      <c r="Q63" t="s">
        <v>38</v>
      </c>
      <c r="R63" t="s">
        <v>599</v>
      </c>
      <c r="S63">
        <v>1</v>
      </c>
      <c r="T63">
        <v>2706</v>
      </c>
      <c r="U63">
        <v>0</v>
      </c>
      <c r="V63">
        <v>2706</v>
      </c>
    </row>
    <row r="64" spans="1:22" x14ac:dyDescent="0.25">
      <c r="A64">
        <v>79452</v>
      </c>
      <c r="B64">
        <v>132021628</v>
      </c>
      <c r="C64" t="s">
        <v>1052</v>
      </c>
      <c r="D64">
        <v>18841611</v>
      </c>
      <c r="E64" t="s">
        <v>846</v>
      </c>
      <c r="F64" t="s">
        <v>847</v>
      </c>
      <c r="G64" t="s">
        <v>504</v>
      </c>
      <c r="H64" t="s">
        <v>505</v>
      </c>
      <c r="I64" t="s">
        <v>35</v>
      </c>
      <c r="J64" t="s">
        <v>320</v>
      </c>
      <c r="K64" t="s">
        <v>2</v>
      </c>
      <c r="L64" t="s">
        <v>103</v>
      </c>
      <c r="M64" t="s">
        <v>1053</v>
      </c>
      <c r="N64" t="s">
        <v>850</v>
      </c>
      <c r="O64" t="s">
        <v>40</v>
      </c>
      <c r="P64" t="s">
        <v>1054</v>
      </c>
      <c r="Q64" t="s">
        <v>70</v>
      </c>
      <c r="R64" t="s">
        <v>599</v>
      </c>
      <c r="S64">
        <v>1</v>
      </c>
      <c r="T64">
        <v>2706</v>
      </c>
      <c r="U64">
        <v>0</v>
      </c>
      <c r="V64">
        <v>2706</v>
      </c>
    </row>
    <row r="65" spans="1:22" x14ac:dyDescent="0.25">
      <c r="A65">
        <v>79452</v>
      </c>
      <c r="B65">
        <v>132021646</v>
      </c>
      <c r="C65" t="s">
        <v>1055</v>
      </c>
      <c r="D65">
        <v>18841610</v>
      </c>
      <c r="E65" t="s">
        <v>846</v>
      </c>
      <c r="F65" t="s">
        <v>847</v>
      </c>
      <c r="G65" t="s">
        <v>504</v>
      </c>
      <c r="H65" t="s">
        <v>505</v>
      </c>
      <c r="I65" t="s">
        <v>35</v>
      </c>
      <c r="J65" t="s">
        <v>320</v>
      </c>
      <c r="K65" t="s">
        <v>2</v>
      </c>
      <c r="L65" t="s">
        <v>103</v>
      </c>
      <c r="M65" t="s">
        <v>1056</v>
      </c>
      <c r="N65" t="s">
        <v>850</v>
      </c>
      <c r="O65" t="s">
        <v>40</v>
      </c>
      <c r="P65" t="s">
        <v>1057</v>
      </c>
      <c r="Q65" t="s">
        <v>70</v>
      </c>
      <c r="R65" t="s">
        <v>599</v>
      </c>
      <c r="S65">
        <v>1</v>
      </c>
      <c r="T65">
        <v>2706</v>
      </c>
      <c r="U65">
        <v>0</v>
      </c>
      <c r="V65">
        <v>2706</v>
      </c>
    </row>
    <row r="66" spans="1:22" x14ac:dyDescent="0.25">
      <c r="A66">
        <v>79452</v>
      </c>
      <c r="B66">
        <v>132021648</v>
      </c>
      <c r="C66" t="s">
        <v>1058</v>
      </c>
      <c r="D66">
        <v>18841609</v>
      </c>
      <c r="E66" t="s">
        <v>846</v>
      </c>
      <c r="F66" t="s">
        <v>847</v>
      </c>
      <c r="G66" t="s">
        <v>504</v>
      </c>
      <c r="H66" t="s">
        <v>505</v>
      </c>
      <c r="I66" t="s">
        <v>35</v>
      </c>
      <c r="J66" t="s">
        <v>320</v>
      </c>
      <c r="K66" t="s">
        <v>2</v>
      </c>
      <c r="L66" t="s">
        <v>103</v>
      </c>
      <c r="M66" t="s">
        <v>340</v>
      </c>
      <c r="N66" t="s">
        <v>850</v>
      </c>
      <c r="O66" t="s">
        <v>40</v>
      </c>
      <c r="P66" t="s">
        <v>341</v>
      </c>
      <c r="Q66" t="s">
        <v>72</v>
      </c>
      <c r="R66" t="s">
        <v>599</v>
      </c>
      <c r="S66">
        <v>1</v>
      </c>
      <c r="T66">
        <v>2706</v>
      </c>
      <c r="U66">
        <v>0</v>
      </c>
      <c r="V66">
        <v>2706</v>
      </c>
    </row>
    <row r="67" spans="1:22" x14ac:dyDescent="0.25">
      <c r="A67">
        <v>79452</v>
      </c>
      <c r="B67">
        <v>132021649</v>
      </c>
      <c r="C67" t="s">
        <v>1059</v>
      </c>
      <c r="D67">
        <v>18841608</v>
      </c>
      <c r="E67" t="s">
        <v>846</v>
      </c>
      <c r="F67" t="s">
        <v>847</v>
      </c>
      <c r="G67" t="s">
        <v>504</v>
      </c>
      <c r="H67" t="s">
        <v>505</v>
      </c>
      <c r="I67" t="s">
        <v>35</v>
      </c>
      <c r="J67" t="s">
        <v>320</v>
      </c>
      <c r="K67" t="s">
        <v>2</v>
      </c>
      <c r="L67" t="s">
        <v>103</v>
      </c>
      <c r="M67" t="s">
        <v>685</v>
      </c>
      <c r="N67" t="s">
        <v>850</v>
      </c>
      <c r="O67" t="s">
        <v>40</v>
      </c>
      <c r="P67" t="s">
        <v>1060</v>
      </c>
      <c r="Q67" t="s">
        <v>44</v>
      </c>
      <c r="R67" t="s">
        <v>599</v>
      </c>
      <c r="S67">
        <v>1</v>
      </c>
      <c r="T67">
        <v>2706</v>
      </c>
      <c r="U67">
        <v>0</v>
      </c>
      <c r="V67">
        <v>2706</v>
      </c>
    </row>
    <row r="68" spans="1:22" x14ac:dyDescent="0.25">
      <c r="A68">
        <v>79452</v>
      </c>
      <c r="B68">
        <v>132048414</v>
      </c>
      <c r="C68" t="s">
        <v>1061</v>
      </c>
      <c r="D68">
        <v>18841606</v>
      </c>
      <c r="E68" t="s">
        <v>846</v>
      </c>
      <c r="F68" t="s">
        <v>847</v>
      </c>
      <c r="G68" t="s">
        <v>504</v>
      </c>
      <c r="H68" t="s">
        <v>505</v>
      </c>
      <c r="I68" t="s">
        <v>35</v>
      </c>
      <c r="J68" t="s">
        <v>320</v>
      </c>
      <c r="K68" t="s">
        <v>2</v>
      </c>
      <c r="L68" t="s">
        <v>103</v>
      </c>
      <c r="M68" t="s">
        <v>1062</v>
      </c>
      <c r="N68" t="s">
        <v>850</v>
      </c>
      <c r="O68" t="s">
        <v>40</v>
      </c>
      <c r="P68" t="s">
        <v>1063</v>
      </c>
      <c r="Q68" t="s">
        <v>42</v>
      </c>
      <c r="R68" t="s">
        <v>430</v>
      </c>
      <c r="S68">
        <v>1</v>
      </c>
      <c r="T68">
        <v>2706</v>
      </c>
      <c r="U68">
        <v>0</v>
      </c>
      <c r="V68">
        <v>2706</v>
      </c>
    </row>
    <row r="69" spans="1:22" x14ac:dyDescent="0.25">
      <c r="A69">
        <v>79452</v>
      </c>
      <c r="B69">
        <v>131952762</v>
      </c>
      <c r="C69" t="s">
        <v>1064</v>
      </c>
      <c r="D69">
        <v>18834905</v>
      </c>
      <c r="E69" t="s">
        <v>846</v>
      </c>
      <c r="F69" t="s">
        <v>847</v>
      </c>
      <c r="G69" t="s">
        <v>504</v>
      </c>
      <c r="H69" t="s">
        <v>505</v>
      </c>
      <c r="I69" t="s">
        <v>35</v>
      </c>
      <c r="J69" t="s">
        <v>320</v>
      </c>
      <c r="K69" t="s">
        <v>2</v>
      </c>
      <c r="L69" t="s">
        <v>103</v>
      </c>
      <c r="M69" t="s">
        <v>1065</v>
      </c>
      <c r="N69" t="s">
        <v>850</v>
      </c>
      <c r="O69" t="s">
        <v>40</v>
      </c>
      <c r="P69" t="s">
        <v>1066</v>
      </c>
      <c r="Q69" t="s">
        <v>71</v>
      </c>
      <c r="R69" t="s">
        <v>541</v>
      </c>
      <c r="S69">
        <v>1</v>
      </c>
      <c r="T69">
        <v>2706</v>
      </c>
      <c r="U69">
        <v>0</v>
      </c>
      <c r="V69">
        <v>2706</v>
      </c>
    </row>
    <row r="70" spans="1:22" x14ac:dyDescent="0.25">
      <c r="A70">
        <v>79452</v>
      </c>
      <c r="B70">
        <v>131952777</v>
      </c>
      <c r="C70" t="s">
        <v>1067</v>
      </c>
      <c r="D70">
        <v>18834904</v>
      </c>
      <c r="E70" t="s">
        <v>846</v>
      </c>
      <c r="F70" t="s">
        <v>847</v>
      </c>
      <c r="G70" t="s">
        <v>504</v>
      </c>
      <c r="H70" t="s">
        <v>505</v>
      </c>
      <c r="I70" t="s">
        <v>35</v>
      </c>
      <c r="J70" t="s">
        <v>320</v>
      </c>
      <c r="K70" t="s">
        <v>2</v>
      </c>
      <c r="L70" t="s">
        <v>103</v>
      </c>
      <c r="M70" t="s">
        <v>1068</v>
      </c>
      <c r="N70" t="s">
        <v>850</v>
      </c>
      <c r="O70" t="s">
        <v>40</v>
      </c>
      <c r="P70" t="s">
        <v>1069</v>
      </c>
      <c r="Q70" t="s">
        <v>99</v>
      </c>
      <c r="R70" t="s">
        <v>541</v>
      </c>
      <c r="S70">
        <v>1</v>
      </c>
      <c r="T70">
        <v>2706</v>
      </c>
      <c r="U70">
        <v>0</v>
      </c>
      <c r="V70">
        <v>2706</v>
      </c>
    </row>
    <row r="71" spans="1:22" x14ac:dyDescent="0.25">
      <c r="A71">
        <v>79452</v>
      </c>
      <c r="B71">
        <v>131952769</v>
      </c>
      <c r="C71" t="s">
        <v>1070</v>
      </c>
      <c r="D71">
        <v>18834903</v>
      </c>
      <c r="E71" t="s">
        <v>846</v>
      </c>
      <c r="F71" t="s">
        <v>847</v>
      </c>
      <c r="G71" t="s">
        <v>504</v>
      </c>
      <c r="H71" t="s">
        <v>505</v>
      </c>
      <c r="I71" t="s">
        <v>35</v>
      </c>
      <c r="J71" t="s">
        <v>320</v>
      </c>
      <c r="K71" t="s">
        <v>2</v>
      </c>
      <c r="L71" t="s">
        <v>103</v>
      </c>
      <c r="M71" t="s">
        <v>529</v>
      </c>
      <c r="N71" t="s">
        <v>850</v>
      </c>
      <c r="O71" t="s">
        <v>40</v>
      </c>
      <c r="P71" t="s">
        <v>530</v>
      </c>
      <c r="Q71" t="s">
        <v>71</v>
      </c>
      <c r="R71" t="s">
        <v>541</v>
      </c>
      <c r="S71">
        <v>1</v>
      </c>
      <c r="T71">
        <v>2706</v>
      </c>
      <c r="U71">
        <v>0</v>
      </c>
      <c r="V71">
        <v>2706</v>
      </c>
    </row>
    <row r="72" spans="1:22" x14ac:dyDescent="0.25">
      <c r="A72">
        <v>79452</v>
      </c>
      <c r="B72">
        <v>131952768</v>
      </c>
      <c r="C72" t="s">
        <v>1071</v>
      </c>
      <c r="D72">
        <v>18834901</v>
      </c>
      <c r="E72" t="s">
        <v>846</v>
      </c>
      <c r="F72" t="s">
        <v>847</v>
      </c>
      <c r="G72" t="s">
        <v>504</v>
      </c>
      <c r="H72" t="s">
        <v>505</v>
      </c>
      <c r="I72" t="s">
        <v>35</v>
      </c>
      <c r="J72" t="s">
        <v>320</v>
      </c>
      <c r="K72" t="s">
        <v>2</v>
      </c>
      <c r="L72" t="s">
        <v>103</v>
      </c>
      <c r="M72" t="s">
        <v>1072</v>
      </c>
      <c r="N72" t="s">
        <v>850</v>
      </c>
      <c r="O72" t="s">
        <v>40</v>
      </c>
      <c r="P72" t="s">
        <v>1073</v>
      </c>
      <c r="Q72" t="s">
        <v>44</v>
      </c>
      <c r="R72" t="s">
        <v>541</v>
      </c>
      <c r="S72">
        <v>1</v>
      </c>
      <c r="T72">
        <v>2706</v>
      </c>
      <c r="U72">
        <v>0</v>
      </c>
      <c r="V72">
        <v>2706</v>
      </c>
    </row>
    <row r="73" spans="1:22" x14ac:dyDescent="0.25">
      <c r="A73">
        <v>79452</v>
      </c>
      <c r="B73">
        <v>131952775</v>
      </c>
      <c r="C73" t="s">
        <v>1074</v>
      </c>
      <c r="D73">
        <v>18834900</v>
      </c>
      <c r="E73" t="s">
        <v>846</v>
      </c>
      <c r="F73" t="s">
        <v>847</v>
      </c>
      <c r="G73" t="s">
        <v>504</v>
      </c>
      <c r="H73" t="s">
        <v>505</v>
      </c>
      <c r="I73" t="s">
        <v>35</v>
      </c>
      <c r="J73" t="s">
        <v>320</v>
      </c>
      <c r="K73" t="s">
        <v>2</v>
      </c>
      <c r="L73" t="s">
        <v>103</v>
      </c>
      <c r="M73" t="s">
        <v>1075</v>
      </c>
      <c r="N73" t="s">
        <v>850</v>
      </c>
      <c r="O73" t="s">
        <v>40</v>
      </c>
      <c r="P73" t="s">
        <v>1076</v>
      </c>
      <c r="Q73" t="s">
        <v>42</v>
      </c>
      <c r="R73" t="s">
        <v>541</v>
      </c>
      <c r="S73">
        <v>1</v>
      </c>
      <c r="T73">
        <v>2706</v>
      </c>
      <c r="U73">
        <v>0</v>
      </c>
      <c r="V73">
        <v>2706</v>
      </c>
    </row>
    <row r="74" spans="1:22" x14ac:dyDescent="0.25">
      <c r="A74">
        <v>79452</v>
      </c>
      <c r="B74">
        <v>131965507</v>
      </c>
      <c r="C74" t="s">
        <v>1077</v>
      </c>
      <c r="D74">
        <v>18834899</v>
      </c>
      <c r="E74" t="s">
        <v>846</v>
      </c>
      <c r="F74" t="s">
        <v>847</v>
      </c>
      <c r="G74" t="s">
        <v>504</v>
      </c>
      <c r="H74" t="s">
        <v>505</v>
      </c>
      <c r="I74" t="s">
        <v>35</v>
      </c>
      <c r="J74" t="s">
        <v>320</v>
      </c>
      <c r="K74" t="s">
        <v>2</v>
      </c>
      <c r="L74" t="s">
        <v>103</v>
      </c>
      <c r="M74" t="s">
        <v>332</v>
      </c>
      <c r="N74" t="s">
        <v>850</v>
      </c>
      <c r="O74" t="s">
        <v>40</v>
      </c>
      <c r="P74" t="s">
        <v>1078</v>
      </c>
      <c r="Q74" t="s">
        <v>72</v>
      </c>
      <c r="R74" t="s">
        <v>285</v>
      </c>
      <c r="S74">
        <v>1</v>
      </c>
      <c r="T74">
        <v>2706</v>
      </c>
      <c r="U74">
        <v>0</v>
      </c>
      <c r="V74">
        <v>2706</v>
      </c>
    </row>
    <row r="75" spans="1:22" x14ac:dyDescent="0.25">
      <c r="A75">
        <v>79452</v>
      </c>
      <c r="B75">
        <v>131965514</v>
      </c>
      <c r="C75" t="s">
        <v>1079</v>
      </c>
      <c r="D75">
        <v>18834898</v>
      </c>
      <c r="E75" t="s">
        <v>846</v>
      </c>
      <c r="F75" t="s">
        <v>847</v>
      </c>
      <c r="G75" t="s">
        <v>504</v>
      </c>
      <c r="H75" t="s">
        <v>505</v>
      </c>
      <c r="I75" t="s">
        <v>35</v>
      </c>
      <c r="J75" t="s">
        <v>320</v>
      </c>
      <c r="K75" t="s">
        <v>2</v>
      </c>
      <c r="L75" t="s">
        <v>103</v>
      </c>
      <c r="M75" t="s">
        <v>1080</v>
      </c>
      <c r="N75" t="s">
        <v>850</v>
      </c>
      <c r="O75" t="s">
        <v>40</v>
      </c>
      <c r="P75" t="s">
        <v>1081</v>
      </c>
      <c r="Q75" t="s">
        <v>72</v>
      </c>
      <c r="R75" t="s">
        <v>285</v>
      </c>
      <c r="S75">
        <v>1</v>
      </c>
      <c r="T75">
        <v>2706</v>
      </c>
      <c r="U75">
        <v>0</v>
      </c>
      <c r="V75">
        <v>2706</v>
      </c>
    </row>
    <row r="76" spans="1:22" x14ac:dyDescent="0.25">
      <c r="A76">
        <v>79452</v>
      </c>
      <c r="B76">
        <v>131965520</v>
      </c>
      <c r="C76" t="s">
        <v>1082</v>
      </c>
      <c r="D76">
        <v>18834897</v>
      </c>
      <c r="E76" t="s">
        <v>846</v>
      </c>
      <c r="F76" t="s">
        <v>847</v>
      </c>
      <c r="G76" t="s">
        <v>504</v>
      </c>
      <c r="H76" t="s">
        <v>505</v>
      </c>
      <c r="I76" t="s">
        <v>35</v>
      </c>
      <c r="J76" t="s">
        <v>320</v>
      </c>
      <c r="K76" t="s">
        <v>2</v>
      </c>
      <c r="L76" t="s">
        <v>103</v>
      </c>
      <c r="M76" t="s">
        <v>1083</v>
      </c>
      <c r="N76" t="s">
        <v>850</v>
      </c>
      <c r="O76" t="s">
        <v>40</v>
      </c>
      <c r="P76" t="s">
        <v>1084</v>
      </c>
      <c r="Q76" t="s">
        <v>198</v>
      </c>
      <c r="R76" t="s">
        <v>285</v>
      </c>
      <c r="S76">
        <v>1</v>
      </c>
      <c r="T76">
        <v>2706</v>
      </c>
      <c r="U76">
        <v>0</v>
      </c>
      <c r="V76">
        <v>2706</v>
      </c>
    </row>
    <row r="77" spans="1:22" x14ac:dyDescent="0.25">
      <c r="A77">
        <v>79452</v>
      </c>
      <c r="B77">
        <v>131965526</v>
      </c>
      <c r="C77" t="s">
        <v>1085</v>
      </c>
      <c r="D77">
        <v>18834895</v>
      </c>
      <c r="E77" t="s">
        <v>846</v>
      </c>
      <c r="F77" t="s">
        <v>847</v>
      </c>
      <c r="G77" t="s">
        <v>504</v>
      </c>
      <c r="H77" t="s">
        <v>505</v>
      </c>
      <c r="I77" t="s">
        <v>35</v>
      </c>
      <c r="J77" t="s">
        <v>320</v>
      </c>
      <c r="K77" t="s">
        <v>2</v>
      </c>
      <c r="L77" t="s">
        <v>103</v>
      </c>
      <c r="M77" t="s">
        <v>935</v>
      </c>
      <c r="N77" t="s">
        <v>850</v>
      </c>
      <c r="O77" t="s">
        <v>40</v>
      </c>
      <c r="P77" t="s">
        <v>936</v>
      </c>
      <c r="Q77" t="s">
        <v>98</v>
      </c>
      <c r="R77" t="s">
        <v>285</v>
      </c>
      <c r="S77">
        <v>1</v>
      </c>
      <c r="T77">
        <v>2706</v>
      </c>
      <c r="U77">
        <v>0</v>
      </c>
      <c r="V77">
        <v>2706</v>
      </c>
    </row>
    <row r="78" spans="1:22" x14ac:dyDescent="0.25">
      <c r="A78">
        <v>79452</v>
      </c>
      <c r="B78">
        <v>131922170</v>
      </c>
      <c r="C78" t="s">
        <v>1086</v>
      </c>
      <c r="D78">
        <v>18832384</v>
      </c>
      <c r="E78" t="s">
        <v>846</v>
      </c>
      <c r="F78" t="s">
        <v>847</v>
      </c>
      <c r="G78" t="s">
        <v>504</v>
      </c>
      <c r="H78" t="s">
        <v>505</v>
      </c>
      <c r="I78" t="s">
        <v>35</v>
      </c>
      <c r="J78" t="s">
        <v>320</v>
      </c>
      <c r="K78" t="s">
        <v>2</v>
      </c>
      <c r="L78" t="s">
        <v>103</v>
      </c>
      <c r="M78" t="s">
        <v>1087</v>
      </c>
      <c r="N78" t="s">
        <v>850</v>
      </c>
      <c r="O78" t="s">
        <v>40</v>
      </c>
      <c r="P78" t="s">
        <v>1088</v>
      </c>
      <c r="Q78" t="s">
        <v>70</v>
      </c>
      <c r="R78" t="s">
        <v>887</v>
      </c>
      <c r="S78">
        <v>1</v>
      </c>
      <c r="T78">
        <v>2706</v>
      </c>
      <c r="U78">
        <v>0</v>
      </c>
      <c r="V78">
        <v>2706</v>
      </c>
    </row>
    <row r="79" spans="1:22" x14ac:dyDescent="0.25">
      <c r="A79">
        <v>79452</v>
      </c>
      <c r="B79">
        <v>131922189</v>
      </c>
      <c r="C79" t="s">
        <v>1089</v>
      </c>
      <c r="D79">
        <v>18832382</v>
      </c>
      <c r="E79" t="s">
        <v>846</v>
      </c>
      <c r="F79" t="s">
        <v>847</v>
      </c>
      <c r="G79" t="s">
        <v>504</v>
      </c>
      <c r="H79" t="s">
        <v>505</v>
      </c>
      <c r="I79" t="s">
        <v>35</v>
      </c>
      <c r="J79" t="s">
        <v>320</v>
      </c>
      <c r="K79" t="s">
        <v>2</v>
      </c>
      <c r="L79" t="s">
        <v>103</v>
      </c>
      <c r="M79" t="s">
        <v>560</v>
      </c>
      <c r="N79" t="s">
        <v>850</v>
      </c>
      <c r="O79" t="s">
        <v>40</v>
      </c>
      <c r="P79" t="s">
        <v>1090</v>
      </c>
      <c r="Q79" t="s">
        <v>41</v>
      </c>
      <c r="R79" t="s">
        <v>887</v>
      </c>
      <c r="S79">
        <v>1</v>
      </c>
      <c r="T79">
        <v>2706</v>
      </c>
      <c r="U79">
        <v>0</v>
      </c>
      <c r="V79">
        <v>2706</v>
      </c>
    </row>
    <row r="80" spans="1:22" x14ac:dyDescent="0.25">
      <c r="A80">
        <v>79452</v>
      </c>
      <c r="B80">
        <v>131932277</v>
      </c>
      <c r="C80" t="s">
        <v>1091</v>
      </c>
      <c r="D80">
        <v>18832381</v>
      </c>
      <c r="E80" t="s">
        <v>846</v>
      </c>
      <c r="F80" t="s">
        <v>847</v>
      </c>
      <c r="G80" t="s">
        <v>504</v>
      </c>
      <c r="H80" t="s">
        <v>505</v>
      </c>
      <c r="I80" t="s">
        <v>35</v>
      </c>
      <c r="J80" t="s">
        <v>320</v>
      </c>
      <c r="K80" t="s">
        <v>2</v>
      </c>
      <c r="L80" t="s">
        <v>103</v>
      </c>
      <c r="M80" t="s">
        <v>1092</v>
      </c>
      <c r="N80" t="s">
        <v>850</v>
      </c>
      <c r="O80" t="s">
        <v>40</v>
      </c>
      <c r="P80" t="s">
        <v>1093</v>
      </c>
      <c r="Q80" t="s">
        <v>72</v>
      </c>
      <c r="R80" t="s">
        <v>300</v>
      </c>
      <c r="S80">
        <v>1</v>
      </c>
      <c r="T80">
        <v>2706</v>
      </c>
      <c r="U80">
        <v>0</v>
      </c>
      <c r="V80">
        <v>2706</v>
      </c>
    </row>
    <row r="81" spans="1:22" x14ac:dyDescent="0.25">
      <c r="A81">
        <v>79452</v>
      </c>
      <c r="B81">
        <v>131932278</v>
      </c>
      <c r="C81" t="s">
        <v>1094</v>
      </c>
      <c r="D81">
        <v>18832380</v>
      </c>
      <c r="E81" t="s">
        <v>846</v>
      </c>
      <c r="F81" t="s">
        <v>847</v>
      </c>
      <c r="G81" t="s">
        <v>504</v>
      </c>
      <c r="H81" t="s">
        <v>505</v>
      </c>
      <c r="I81" t="s">
        <v>35</v>
      </c>
      <c r="J81" t="s">
        <v>320</v>
      </c>
      <c r="K81" t="s">
        <v>2</v>
      </c>
      <c r="L81" t="s">
        <v>103</v>
      </c>
      <c r="M81" t="s">
        <v>1095</v>
      </c>
      <c r="N81" t="s">
        <v>850</v>
      </c>
      <c r="O81" t="s">
        <v>40</v>
      </c>
      <c r="P81" t="s">
        <v>1096</v>
      </c>
      <c r="Q81" t="s">
        <v>38</v>
      </c>
      <c r="R81" t="s">
        <v>300</v>
      </c>
      <c r="S81">
        <v>1</v>
      </c>
      <c r="T81">
        <v>2706</v>
      </c>
      <c r="U81">
        <v>0</v>
      </c>
      <c r="V81">
        <v>2706</v>
      </c>
    </row>
    <row r="82" spans="1:22" x14ac:dyDescent="0.25">
      <c r="A82">
        <v>79452</v>
      </c>
      <c r="B82">
        <v>131932284</v>
      </c>
      <c r="C82" t="s">
        <v>1097</v>
      </c>
      <c r="D82">
        <v>18832378</v>
      </c>
      <c r="E82" t="s">
        <v>846</v>
      </c>
      <c r="F82" t="s">
        <v>847</v>
      </c>
      <c r="G82" t="s">
        <v>504</v>
      </c>
      <c r="H82" t="s">
        <v>505</v>
      </c>
      <c r="I82" t="s">
        <v>35</v>
      </c>
      <c r="J82" t="s">
        <v>320</v>
      </c>
      <c r="K82" t="s">
        <v>2</v>
      </c>
      <c r="L82" t="s">
        <v>103</v>
      </c>
      <c r="M82" t="s">
        <v>1098</v>
      </c>
      <c r="N82" t="s">
        <v>850</v>
      </c>
      <c r="O82" t="s">
        <v>40</v>
      </c>
      <c r="P82" t="s">
        <v>1099</v>
      </c>
      <c r="Q82" t="s">
        <v>93</v>
      </c>
      <c r="R82" t="s">
        <v>300</v>
      </c>
      <c r="S82">
        <v>1</v>
      </c>
      <c r="T82">
        <v>2706</v>
      </c>
      <c r="U82">
        <v>0</v>
      </c>
      <c r="V82">
        <v>2706</v>
      </c>
    </row>
    <row r="83" spans="1:22" x14ac:dyDescent="0.25">
      <c r="A83">
        <v>79452</v>
      </c>
      <c r="B83">
        <v>131932285</v>
      </c>
      <c r="C83" t="s">
        <v>1100</v>
      </c>
      <c r="D83">
        <v>18832376</v>
      </c>
      <c r="E83" t="s">
        <v>846</v>
      </c>
      <c r="F83" t="s">
        <v>847</v>
      </c>
      <c r="G83" t="s">
        <v>504</v>
      </c>
      <c r="H83" t="s">
        <v>505</v>
      </c>
      <c r="I83" t="s">
        <v>35</v>
      </c>
      <c r="J83" t="s">
        <v>320</v>
      </c>
      <c r="K83" t="s">
        <v>2</v>
      </c>
      <c r="L83" t="s">
        <v>103</v>
      </c>
      <c r="M83" t="s">
        <v>1101</v>
      </c>
      <c r="N83" t="s">
        <v>850</v>
      </c>
      <c r="O83" t="s">
        <v>40</v>
      </c>
      <c r="P83" t="s">
        <v>1102</v>
      </c>
      <c r="Q83" t="s">
        <v>41</v>
      </c>
      <c r="R83" t="s">
        <v>300</v>
      </c>
      <c r="S83">
        <v>1</v>
      </c>
      <c r="T83">
        <v>2706</v>
      </c>
      <c r="U83">
        <v>0</v>
      </c>
      <c r="V83">
        <v>2706</v>
      </c>
    </row>
    <row r="84" spans="1:22" x14ac:dyDescent="0.25">
      <c r="A84">
        <v>79452</v>
      </c>
      <c r="B84">
        <v>131932287</v>
      </c>
      <c r="C84" t="s">
        <v>1103</v>
      </c>
      <c r="D84">
        <v>18832375</v>
      </c>
      <c r="E84" t="s">
        <v>846</v>
      </c>
      <c r="F84" t="s">
        <v>847</v>
      </c>
      <c r="G84" t="s">
        <v>504</v>
      </c>
      <c r="H84" t="s">
        <v>505</v>
      </c>
      <c r="I84" t="s">
        <v>35</v>
      </c>
      <c r="J84" t="s">
        <v>320</v>
      </c>
      <c r="K84" t="s">
        <v>2</v>
      </c>
      <c r="L84" t="s">
        <v>103</v>
      </c>
      <c r="M84" t="s">
        <v>1104</v>
      </c>
      <c r="N84" t="s">
        <v>850</v>
      </c>
      <c r="O84" t="s">
        <v>40</v>
      </c>
      <c r="P84" t="s">
        <v>1105</v>
      </c>
      <c r="Q84" t="s">
        <v>36</v>
      </c>
      <c r="R84" t="s">
        <v>300</v>
      </c>
      <c r="S84">
        <v>1</v>
      </c>
      <c r="T84">
        <v>2706</v>
      </c>
      <c r="U84">
        <v>0</v>
      </c>
      <c r="V84">
        <v>2706</v>
      </c>
    </row>
    <row r="85" spans="1:22" x14ac:dyDescent="0.25">
      <c r="A85">
        <v>79452</v>
      </c>
      <c r="B85">
        <v>131932288</v>
      </c>
      <c r="C85" t="s">
        <v>1106</v>
      </c>
      <c r="D85">
        <v>18832374</v>
      </c>
      <c r="E85" t="s">
        <v>846</v>
      </c>
      <c r="F85" t="s">
        <v>847</v>
      </c>
      <c r="G85" t="s">
        <v>504</v>
      </c>
      <c r="H85" t="s">
        <v>505</v>
      </c>
      <c r="I85" t="s">
        <v>35</v>
      </c>
      <c r="J85" t="s">
        <v>320</v>
      </c>
      <c r="K85" t="s">
        <v>2</v>
      </c>
      <c r="L85" t="s">
        <v>103</v>
      </c>
      <c r="M85" t="s">
        <v>1107</v>
      </c>
      <c r="N85" t="s">
        <v>850</v>
      </c>
      <c r="O85" t="s">
        <v>40</v>
      </c>
      <c r="P85" t="s">
        <v>1108</v>
      </c>
      <c r="Q85" t="s">
        <v>37</v>
      </c>
      <c r="R85" t="s">
        <v>300</v>
      </c>
      <c r="S85">
        <v>1</v>
      </c>
      <c r="T85">
        <v>2706</v>
      </c>
      <c r="U85">
        <v>0</v>
      </c>
      <c r="V85">
        <v>2706</v>
      </c>
    </row>
    <row r="86" spans="1:22" x14ac:dyDescent="0.25">
      <c r="A86">
        <v>79452</v>
      </c>
      <c r="B86">
        <v>131932297</v>
      </c>
      <c r="C86" t="s">
        <v>1109</v>
      </c>
      <c r="D86">
        <v>18832373</v>
      </c>
      <c r="E86" t="s">
        <v>846</v>
      </c>
      <c r="F86" t="s">
        <v>847</v>
      </c>
      <c r="G86" t="s">
        <v>504</v>
      </c>
      <c r="H86" t="s">
        <v>505</v>
      </c>
      <c r="I86" t="s">
        <v>35</v>
      </c>
      <c r="J86" t="s">
        <v>320</v>
      </c>
      <c r="K86" t="s">
        <v>2</v>
      </c>
      <c r="L86" t="s">
        <v>103</v>
      </c>
      <c r="M86" t="s">
        <v>1110</v>
      </c>
      <c r="N86" t="s">
        <v>850</v>
      </c>
      <c r="O86" t="s">
        <v>40</v>
      </c>
      <c r="P86" t="s">
        <v>1111</v>
      </c>
      <c r="Q86" t="s">
        <v>43</v>
      </c>
      <c r="R86" t="s">
        <v>300</v>
      </c>
      <c r="S86">
        <v>1</v>
      </c>
      <c r="T86">
        <v>2706</v>
      </c>
      <c r="U86">
        <v>0</v>
      </c>
      <c r="V86">
        <v>2706</v>
      </c>
    </row>
    <row r="87" spans="1:22" x14ac:dyDescent="0.25">
      <c r="A87">
        <v>79452</v>
      </c>
      <c r="B87">
        <v>131864615</v>
      </c>
      <c r="C87" t="s">
        <v>1112</v>
      </c>
      <c r="D87">
        <v>18829314</v>
      </c>
      <c r="E87" t="s">
        <v>846</v>
      </c>
      <c r="F87" t="s">
        <v>847</v>
      </c>
      <c r="G87" t="s">
        <v>504</v>
      </c>
      <c r="H87" t="s">
        <v>505</v>
      </c>
      <c r="I87" t="s">
        <v>35</v>
      </c>
      <c r="J87" t="s">
        <v>320</v>
      </c>
      <c r="K87" t="s">
        <v>2</v>
      </c>
      <c r="L87" t="s">
        <v>103</v>
      </c>
      <c r="M87" t="s">
        <v>1113</v>
      </c>
      <c r="N87" t="s">
        <v>850</v>
      </c>
      <c r="O87" t="s">
        <v>40</v>
      </c>
      <c r="P87" t="s">
        <v>1114</v>
      </c>
      <c r="Q87" t="s">
        <v>42</v>
      </c>
      <c r="R87" t="s">
        <v>520</v>
      </c>
      <c r="S87">
        <v>1</v>
      </c>
      <c r="T87">
        <v>2706</v>
      </c>
      <c r="U87">
        <v>0</v>
      </c>
      <c r="V87">
        <v>2706</v>
      </c>
    </row>
    <row r="88" spans="1:22" x14ac:dyDescent="0.25">
      <c r="A88">
        <v>79452</v>
      </c>
      <c r="B88">
        <v>131887895</v>
      </c>
      <c r="C88" t="s">
        <v>1115</v>
      </c>
      <c r="D88">
        <v>18829310</v>
      </c>
      <c r="E88" t="s">
        <v>846</v>
      </c>
      <c r="F88" t="s">
        <v>847</v>
      </c>
      <c r="G88" t="s">
        <v>504</v>
      </c>
      <c r="H88" t="s">
        <v>505</v>
      </c>
      <c r="I88" t="s">
        <v>35</v>
      </c>
      <c r="J88" t="s">
        <v>320</v>
      </c>
      <c r="K88" t="s">
        <v>2</v>
      </c>
      <c r="L88" t="s">
        <v>103</v>
      </c>
      <c r="M88" t="s">
        <v>1116</v>
      </c>
      <c r="N88" t="s">
        <v>850</v>
      </c>
      <c r="O88" t="s">
        <v>40</v>
      </c>
      <c r="P88" t="s">
        <v>1117</v>
      </c>
      <c r="Q88" t="s">
        <v>70</v>
      </c>
      <c r="R88" t="s">
        <v>1118</v>
      </c>
      <c r="S88">
        <v>1</v>
      </c>
      <c r="T88">
        <v>2706</v>
      </c>
      <c r="U88">
        <v>0</v>
      </c>
      <c r="V88">
        <v>2706</v>
      </c>
    </row>
    <row r="89" spans="1:22" x14ac:dyDescent="0.25">
      <c r="A89">
        <v>79452</v>
      </c>
      <c r="B89">
        <v>131887898</v>
      </c>
      <c r="C89" t="s">
        <v>1119</v>
      </c>
      <c r="D89">
        <v>18829309</v>
      </c>
      <c r="E89" t="s">
        <v>846</v>
      </c>
      <c r="F89" t="s">
        <v>847</v>
      </c>
      <c r="G89" t="s">
        <v>504</v>
      </c>
      <c r="H89" t="s">
        <v>505</v>
      </c>
      <c r="I89" t="s">
        <v>35</v>
      </c>
      <c r="J89" t="s">
        <v>320</v>
      </c>
      <c r="K89" t="s">
        <v>2</v>
      </c>
      <c r="L89" t="s">
        <v>103</v>
      </c>
      <c r="M89" t="s">
        <v>1120</v>
      </c>
      <c r="N89" t="s">
        <v>850</v>
      </c>
      <c r="O89" t="s">
        <v>40</v>
      </c>
      <c r="P89" t="s">
        <v>1121</v>
      </c>
      <c r="Q89" t="s">
        <v>153</v>
      </c>
      <c r="R89" t="s">
        <v>1118</v>
      </c>
      <c r="S89">
        <v>1</v>
      </c>
      <c r="T89">
        <v>2706</v>
      </c>
      <c r="U89">
        <v>0</v>
      </c>
      <c r="V89">
        <v>2706</v>
      </c>
    </row>
    <row r="90" spans="1:22" x14ac:dyDescent="0.25">
      <c r="A90">
        <v>79452</v>
      </c>
      <c r="B90">
        <v>131887905</v>
      </c>
      <c r="C90" t="s">
        <v>1122</v>
      </c>
      <c r="D90">
        <v>18829308</v>
      </c>
      <c r="E90" t="s">
        <v>846</v>
      </c>
      <c r="F90" t="s">
        <v>847</v>
      </c>
      <c r="G90" t="s">
        <v>504</v>
      </c>
      <c r="H90" t="s">
        <v>505</v>
      </c>
      <c r="I90" t="s">
        <v>35</v>
      </c>
      <c r="J90" t="s">
        <v>320</v>
      </c>
      <c r="K90" t="s">
        <v>2</v>
      </c>
      <c r="L90" t="s">
        <v>103</v>
      </c>
      <c r="M90" t="s">
        <v>1123</v>
      </c>
      <c r="N90" t="s">
        <v>850</v>
      </c>
      <c r="O90" t="s">
        <v>40</v>
      </c>
      <c r="P90" t="s">
        <v>1124</v>
      </c>
      <c r="Q90" t="s">
        <v>97</v>
      </c>
      <c r="R90" t="s">
        <v>1118</v>
      </c>
      <c r="S90">
        <v>1</v>
      </c>
      <c r="T90">
        <v>2706</v>
      </c>
      <c r="U90">
        <v>0</v>
      </c>
      <c r="V90">
        <v>2706</v>
      </c>
    </row>
    <row r="91" spans="1:22" x14ac:dyDescent="0.25">
      <c r="A91">
        <v>79452</v>
      </c>
      <c r="B91">
        <v>131887903</v>
      </c>
      <c r="C91" t="s">
        <v>1125</v>
      </c>
      <c r="D91">
        <v>18829307</v>
      </c>
      <c r="E91" t="s">
        <v>846</v>
      </c>
      <c r="F91" t="s">
        <v>847</v>
      </c>
      <c r="G91" t="s">
        <v>504</v>
      </c>
      <c r="H91" t="s">
        <v>505</v>
      </c>
      <c r="I91" t="s">
        <v>35</v>
      </c>
      <c r="J91" t="s">
        <v>320</v>
      </c>
      <c r="K91" t="s">
        <v>2</v>
      </c>
      <c r="L91" t="s">
        <v>103</v>
      </c>
      <c r="M91" t="s">
        <v>1126</v>
      </c>
      <c r="N91" t="s">
        <v>850</v>
      </c>
      <c r="O91" t="s">
        <v>40</v>
      </c>
      <c r="P91" t="s">
        <v>1127</v>
      </c>
      <c r="Q91" t="s">
        <v>99</v>
      </c>
      <c r="R91" t="s">
        <v>1118</v>
      </c>
      <c r="S91">
        <v>1</v>
      </c>
      <c r="T91">
        <v>2706</v>
      </c>
      <c r="U91">
        <v>0</v>
      </c>
      <c r="V91">
        <v>2706</v>
      </c>
    </row>
    <row r="92" spans="1:22" x14ac:dyDescent="0.25">
      <c r="A92">
        <v>79452</v>
      </c>
      <c r="B92">
        <v>131887899</v>
      </c>
      <c r="C92" t="s">
        <v>1128</v>
      </c>
      <c r="D92">
        <v>18829306</v>
      </c>
      <c r="E92" t="s">
        <v>846</v>
      </c>
      <c r="F92" t="s">
        <v>847</v>
      </c>
      <c r="G92" t="s">
        <v>504</v>
      </c>
      <c r="H92" t="s">
        <v>505</v>
      </c>
      <c r="I92" t="s">
        <v>35</v>
      </c>
      <c r="J92" t="s">
        <v>320</v>
      </c>
      <c r="K92" t="s">
        <v>2</v>
      </c>
      <c r="L92" t="s">
        <v>103</v>
      </c>
      <c r="M92" t="s">
        <v>1129</v>
      </c>
      <c r="N92" t="s">
        <v>850</v>
      </c>
      <c r="O92" t="s">
        <v>40</v>
      </c>
      <c r="P92" t="s">
        <v>1130</v>
      </c>
      <c r="Q92" t="s">
        <v>37</v>
      </c>
      <c r="R92" t="s">
        <v>1118</v>
      </c>
      <c r="S92">
        <v>1</v>
      </c>
      <c r="T92">
        <v>2706</v>
      </c>
      <c r="U92">
        <v>0</v>
      </c>
      <c r="V92">
        <v>2706</v>
      </c>
    </row>
    <row r="93" spans="1:22" x14ac:dyDescent="0.25">
      <c r="A93">
        <v>79452</v>
      </c>
      <c r="B93">
        <v>131887909</v>
      </c>
      <c r="C93" t="s">
        <v>1131</v>
      </c>
      <c r="D93">
        <v>18829305</v>
      </c>
      <c r="E93" t="s">
        <v>846</v>
      </c>
      <c r="F93" t="s">
        <v>847</v>
      </c>
      <c r="G93" t="s">
        <v>504</v>
      </c>
      <c r="H93" t="s">
        <v>505</v>
      </c>
      <c r="I93" t="s">
        <v>35</v>
      </c>
      <c r="J93" t="s">
        <v>320</v>
      </c>
      <c r="K93" t="s">
        <v>2</v>
      </c>
      <c r="L93" t="s">
        <v>103</v>
      </c>
      <c r="M93" t="s">
        <v>185</v>
      </c>
      <c r="N93" t="s">
        <v>850</v>
      </c>
      <c r="O93" t="s">
        <v>40</v>
      </c>
      <c r="P93" t="s">
        <v>1132</v>
      </c>
      <c r="Q93" t="s">
        <v>37</v>
      </c>
      <c r="R93" t="s">
        <v>1118</v>
      </c>
      <c r="S93">
        <v>1</v>
      </c>
      <c r="T93">
        <v>2706</v>
      </c>
      <c r="U93">
        <v>0</v>
      </c>
      <c r="V93">
        <v>2706</v>
      </c>
    </row>
    <row r="94" spans="1:22" x14ac:dyDescent="0.25">
      <c r="A94">
        <v>79452</v>
      </c>
      <c r="B94">
        <v>131900815</v>
      </c>
      <c r="C94" t="s">
        <v>1133</v>
      </c>
      <c r="D94">
        <v>18829304</v>
      </c>
      <c r="E94" t="s">
        <v>846</v>
      </c>
      <c r="F94" t="s">
        <v>847</v>
      </c>
      <c r="G94" t="s">
        <v>504</v>
      </c>
      <c r="H94" t="s">
        <v>505</v>
      </c>
      <c r="I94" t="s">
        <v>35</v>
      </c>
      <c r="J94" t="s">
        <v>320</v>
      </c>
      <c r="K94" t="s">
        <v>2</v>
      </c>
      <c r="L94" t="s">
        <v>103</v>
      </c>
      <c r="M94" t="s">
        <v>1134</v>
      </c>
      <c r="N94" t="s">
        <v>850</v>
      </c>
      <c r="O94" t="s">
        <v>40</v>
      </c>
      <c r="P94" t="s">
        <v>1135</v>
      </c>
      <c r="Q94" t="s">
        <v>37</v>
      </c>
      <c r="R94" t="s">
        <v>687</v>
      </c>
      <c r="S94">
        <v>1</v>
      </c>
      <c r="T94">
        <v>2706</v>
      </c>
      <c r="U94">
        <v>0</v>
      </c>
      <c r="V94">
        <v>2706</v>
      </c>
    </row>
    <row r="95" spans="1:22" x14ac:dyDescent="0.25">
      <c r="A95">
        <v>79452</v>
      </c>
      <c r="B95">
        <v>131900825</v>
      </c>
      <c r="C95" t="s">
        <v>1136</v>
      </c>
      <c r="D95">
        <v>18829303</v>
      </c>
      <c r="E95" t="s">
        <v>846</v>
      </c>
      <c r="F95" t="s">
        <v>847</v>
      </c>
      <c r="G95" t="s">
        <v>504</v>
      </c>
      <c r="H95" t="s">
        <v>505</v>
      </c>
      <c r="I95" t="s">
        <v>35</v>
      </c>
      <c r="J95" t="s">
        <v>320</v>
      </c>
      <c r="K95" t="s">
        <v>2</v>
      </c>
      <c r="L95" t="s">
        <v>103</v>
      </c>
      <c r="M95" t="s">
        <v>1137</v>
      </c>
      <c r="N95" t="s">
        <v>850</v>
      </c>
      <c r="O95" t="s">
        <v>40</v>
      </c>
      <c r="P95" t="s">
        <v>1138</v>
      </c>
      <c r="Q95" t="s">
        <v>39</v>
      </c>
      <c r="R95" t="s">
        <v>687</v>
      </c>
      <c r="S95">
        <v>1</v>
      </c>
      <c r="T95">
        <v>2706</v>
      </c>
      <c r="U95">
        <v>0</v>
      </c>
      <c r="V95">
        <v>2706</v>
      </c>
    </row>
    <row r="96" spans="1:22" x14ac:dyDescent="0.25">
      <c r="A96">
        <v>79452</v>
      </c>
      <c r="B96">
        <v>131823033</v>
      </c>
      <c r="C96" t="s">
        <v>1139</v>
      </c>
      <c r="D96">
        <v>18825926</v>
      </c>
      <c r="E96" t="s">
        <v>846</v>
      </c>
      <c r="F96" t="s">
        <v>847</v>
      </c>
      <c r="G96" t="s">
        <v>504</v>
      </c>
      <c r="H96" t="s">
        <v>505</v>
      </c>
      <c r="I96" t="s">
        <v>35</v>
      </c>
      <c r="J96" t="s">
        <v>320</v>
      </c>
      <c r="K96" t="s">
        <v>2</v>
      </c>
      <c r="L96" t="s">
        <v>103</v>
      </c>
      <c r="M96" t="s">
        <v>337</v>
      </c>
      <c r="N96" t="s">
        <v>850</v>
      </c>
      <c r="O96" t="s">
        <v>40</v>
      </c>
      <c r="P96" t="s">
        <v>1140</v>
      </c>
      <c r="Q96" t="s">
        <v>43</v>
      </c>
      <c r="R96" t="s">
        <v>282</v>
      </c>
      <c r="S96">
        <v>1</v>
      </c>
      <c r="T96">
        <v>2706</v>
      </c>
      <c r="U96">
        <v>0</v>
      </c>
      <c r="V96">
        <v>2706</v>
      </c>
    </row>
    <row r="97" spans="1:22" x14ac:dyDescent="0.25">
      <c r="A97">
        <v>79452</v>
      </c>
      <c r="B97">
        <v>131823056</v>
      </c>
      <c r="C97" t="s">
        <v>1141</v>
      </c>
      <c r="D97">
        <v>18825924</v>
      </c>
      <c r="E97" t="s">
        <v>846</v>
      </c>
      <c r="F97" t="s">
        <v>847</v>
      </c>
      <c r="G97" t="s">
        <v>504</v>
      </c>
      <c r="H97" t="s">
        <v>505</v>
      </c>
      <c r="I97" t="s">
        <v>35</v>
      </c>
      <c r="J97" t="s">
        <v>320</v>
      </c>
      <c r="K97" t="s">
        <v>2</v>
      </c>
      <c r="L97" t="s">
        <v>103</v>
      </c>
      <c r="M97" t="s">
        <v>1142</v>
      </c>
      <c r="N97" t="s">
        <v>850</v>
      </c>
      <c r="O97" t="s">
        <v>40</v>
      </c>
      <c r="P97" t="s">
        <v>1143</v>
      </c>
      <c r="Q97" t="s">
        <v>71</v>
      </c>
      <c r="R97" t="s">
        <v>282</v>
      </c>
      <c r="S97">
        <v>1</v>
      </c>
      <c r="T97">
        <v>2706</v>
      </c>
      <c r="U97">
        <v>0</v>
      </c>
      <c r="V97">
        <v>2706</v>
      </c>
    </row>
    <row r="98" spans="1:22" x14ac:dyDescent="0.25">
      <c r="A98">
        <v>79452</v>
      </c>
      <c r="B98">
        <v>131855942</v>
      </c>
      <c r="C98" t="s">
        <v>1144</v>
      </c>
      <c r="D98">
        <v>18825922</v>
      </c>
      <c r="E98" t="s">
        <v>846</v>
      </c>
      <c r="F98" t="s">
        <v>847</v>
      </c>
      <c r="G98" t="s">
        <v>504</v>
      </c>
      <c r="H98" t="s">
        <v>505</v>
      </c>
      <c r="I98" t="s">
        <v>35</v>
      </c>
      <c r="J98" t="s">
        <v>320</v>
      </c>
      <c r="K98" t="s">
        <v>2</v>
      </c>
      <c r="L98" t="s">
        <v>103</v>
      </c>
      <c r="M98" t="s">
        <v>1145</v>
      </c>
      <c r="N98" t="s">
        <v>850</v>
      </c>
      <c r="O98" t="s">
        <v>40</v>
      </c>
      <c r="P98" t="s">
        <v>1146</v>
      </c>
      <c r="Q98" t="s">
        <v>70</v>
      </c>
      <c r="R98" t="s">
        <v>393</v>
      </c>
      <c r="S98">
        <v>1</v>
      </c>
      <c r="T98">
        <v>2706</v>
      </c>
      <c r="U98">
        <v>0</v>
      </c>
      <c r="V98">
        <v>2706</v>
      </c>
    </row>
    <row r="99" spans="1:22" x14ac:dyDescent="0.25">
      <c r="A99">
        <v>79452</v>
      </c>
      <c r="B99">
        <v>131855955</v>
      </c>
      <c r="C99" t="s">
        <v>1147</v>
      </c>
      <c r="D99">
        <v>18825921</v>
      </c>
      <c r="E99" t="s">
        <v>846</v>
      </c>
      <c r="F99" t="s">
        <v>847</v>
      </c>
      <c r="G99" t="s">
        <v>504</v>
      </c>
      <c r="H99" t="s">
        <v>505</v>
      </c>
      <c r="I99" t="s">
        <v>35</v>
      </c>
      <c r="J99" t="s">
        <v>320</v>
      </c>
      <c r="K99" t="s">
        <v>2</v>
      </c>
      <c r="L99" t="s">
        <v>103</v>
      </c>
      <c r="M99" t="s">
        <v>479</v>
      </c>
      <c r="N99" t="s">
        <v>850</v>
      </c>
      <c r="O99" t="s">
        <v>40</v>
      </c>
      <c r="P99" t="s">
        <v>1148</v>
      </c>
      <c r="Q99" t="s">
        <v>37</v>
      </c>
      <c r="R99" t="s">
        <v>393</v>
      </c>
      <c r="S99">
        <v>1</v>
      </c>
      <c r="T99">
        <v>2706</v>
      </c>
      <c r="U99">
        <v>0</v>
      </c>
      <c r="V99">
        <v>2706</v>
      </c>
    </row>
    <row r="100" spans="1:22" x14ac:dyDescent="0.25">
      <c r="A100">
        <v>79452</v>
      </c>
      <c r="B100">
        <v>131864614</v>
      </c>
      <c r="C100" t="s">
        <v>1149</v>
      </c>
      <c r="D100">
        <v>18825919</v>
      </c>
      <c r="E100" t="s">
        <v>846</v>
      </c>
      <c r="F100" t="s">
        <v>847</v>
      </c>
      <c r="G100" t="s">
        <v>504</v>
      </c>
      <c r="H100" t="s">
        <v>505</v>
      </c>
      <c r="I100" t="s">
        <v>35</v>
      </c>
      <c r="J100" t="s">
        <v>320</v>
      </c>
      <c r="K100" t="s">
        <v>2</v>
      </c>
      <c r="L100" t="s">
        <v>103</v>
      </c>
      <c r="M100" t="s">
        <v>1150</v>
      </c>
      <c r="N100" t="s">
        <v>850</v>
      </c>
      <c r="O100" t="s">
        <v>40</v>
      </c>
      <c r="P100" t="s">
        <v>1151</v>
      </c>
      <c r="Q100" t="s">
        <v>97</v>
      </c>
      <c r="R100" t="s">
        <v>520</v>
      </c>
      <c r="S100">
        <v>1</v>
      </c>
      <c r="T100">
        <v>2706</v>
      </c>
      <c r="U100">
        <v>0</v>
      </c>
      <c r="V100">
        <v>2706</v>
      </c>
    </row>
    <row r="101" spans="1:22" x14ac:dyDescent="0.25">
      <c r="A101">
        <v>79452</v>
      </c>
      <c r="B101">
        <v>131864628</v>
      </c>
      <c r="C101" t="s">
        <v>1152</v>
      </c>
      <c r="D101">
        <v>18825918</v>
      </c>
      <c r="E101" t="s">
        <v>846</v>
      </c>
      <c r="F101" t="s">
        <v>847</v>
      </c>
      <c r="G101" t="s">
        <v>504</v>
      </c>
      <c r="H101" t="s">
        <v>505</v>
      </c>
      <c r="I101" t="s">
        <v>35</v>
      </c>
      <c r="J101" t="s">
        <v>320</v>
      </c>
      <c r="K101" t="s">
        <v>2</v>
      </c>
      <c r="L101" t="s">
        <v>103</v>
      </c>
      <c r="M101" t="s">
        <v>1153</v>
      </c>
      <c r="N101" t="s">
        <v>850</v>
      </c>
      <c r="O101" t="s">
        <v>40</v>
      </c>
      <c r="P101" t="s">
        <v>1154</v>
      </c>
      <c r="Q101" t="s">
        <v>71</v>
      </c>
      <c r="R101" t="s">
        <v>520</v>
      </c>
      <c r="S101">
        <v>1</v>
      </c>
      <c r="T101">
        <v>2706</v>
      </c>
      <c r="U101">
        <v>0</v>
      </c>
      <c r="V101">
        <v>2706</v>
      </c>
    </row>
    <row r="102" spans="1:22" x14ac:dyDescent="0.25">
      <c r="A102">
        <v>79452</v>
      </c>
      <c r="B102">
        <v>131864678</v>
      </c>
      <c r="C102" t="s">
        <v>1155</v>
      </c>
      <c r="D102">
        <v>18825917</v>
      </c>
      <c r="E102" t="s">
        <v>846</v>
      </c>
      <c r="F102" t="s">
        <v>847</v>
      </c>
      <c r="G102" t="s">
        <v>504</v>
      </c>
      <c r="H102" t="s">
        <v>505</v>
      </c>
      <c r="I102" t="s">
        <v>35</v>
      </c>
      <c r="J102" t="s">
        <v>320</v>
      </c>
      <c r="K102" t="s">
        <v>2</v>
      </c>
      <c r="L102" t="s">
        <v>103</v>
      </c>
      <c r="M102" t="s">
        <v>1156</v>
      </c>
      <c r="N102" t="s">
        <v>850</v>
      </c>
      <c r="O102" t="s">
        <v>40</v>
      </c>
      <c r="P102" t="s">
        <v>1157</v>
      </c>
      <c r="Q102" t="s">
        <v>70</v>
      </c>
      <c r="R102" t="s">
        <v>520</v>
      </c>
      <c r="S102">
        <v>1</v>
      </c>
      <c r="T102">
        <v>2706</v>
      </c>
      <c r="U102">
        <v>0</v>
      </c>
      <c r="V102">
        <v>2706</v>
      </c>
    </row>
    <row r="103" spans="1:22" x14ac:dyDescent="0.25">
      <c r="A103">
        <v>79452</v>
      </c>
      <c r="B103">
        <v>131864656</v>
      </c>
      <c r="C103" t="s">
        <v>1158</v>
      </c>
      <c r="D103">
        <v>18825916</v>
      </c>
      <c r="E103" t="s">
        <v>846</v>
      </c>
      <c r="F103" t="s">
        <v>847</v>
      </c>
      <c r="G103" t="s">
        <v>504</v>
      </c>
      <c r="H103" t="s">
        <v>505</v>
      </c>
      <c r="I103" t="s">
        <v>35</v>
      </c>
      <c r="J103" t="s">
        <v>320</v>
      </c>
      <c r="K103" t="s">
        <v>2</v>
      </c>
      <c r="L103" t="s">
        <v>103</v>
      </c>
      <c r="M103" t="s">
        <v>569</v>
      </c>
      <c r="N103" t="s">
        <v>850</v>
      </c>
      <c r="O103" t="s">
        <v>40</v>
      </c>
      <c r="P103" t="s">
        <v>1159</v>
      </c>
      <c r="Q103" t="s">
        <v>97</v>
      </c>
      <c r="R103" t="s">
        <v>520</v>
      </c>
      <c r="S103">
        <v>1</v>
      </c>
      <c r="T103">
        <v>2706</v>
      </c>
      <c r="U103">
        <v>0</v>
      </c>
      <c r="V103">
        <v>2706</v>
      </c>
    </row>
    <row r="104" spans="1:22" x14ac:dyDescent="0.25">
      <c r="A104">
        <v>79452</v>
      </c>
      <c r="B104">
        <v>131864679</v>
      </c>
      <c r="C104" t="s">
        <v>1160</v>
      </c>
      <c r="D104">
        <v>18825915</v>
      </c>
      <c r="E104" t="s">
        <v>846</v>
      </c>
      <c r="F104" t="s">
        <v>847</v>
      </c>
      <c r="G104" t="s">
        <v>504</v>
      </c>
      <c r="H104" t="s">
        <v>505</v>
      </c>
      <c r="I104" t="s">
        <v>35</v>
      </c>
      <c r="J104" t="s">
        <v>320</v>
      </c>
      <c r="K104" t="s">
        <v>2</v>
      </c>
      <c r="L104" t="s">
        <v>103</v>
      </c>
      <c r="M104" t="s">
        <v>1161</v>
      </c>
      <c r="N104" t="s">
        <v>850</v>
      </c>
      <c r="O104" t="s">
        <v>40</v>
      </c>
      <c r="P104" t="s">
        <v>1162</v>
      </c>
      <c r="Q104" t="s">
        <v>37</v>
      </c>
      <c r="R104" t="s">
        <v>520</v>
      </c>
      <c r="S104">
        <v>1</v>
      </c>
      <c r="T104">
        <v>2706</v>
      </c>
      <c r="U104">
        <v>0</v>
      </c>
      <c r="V104">
        <v>2706</v>
      </c>
    </row>
    <row r="105" spans="1:22" x14ac:dyDescent="0.25">
      <c r="A105">
        <v>79452</v>
      </c>
      <c r="B105">
        <v>131780088</v>
      </c>
      <c r="C105" t="s">
        <v>1163</v>
      </c>
      <c r="D105">
        <v>18821872</v>
      </c>
      <c r="E105" t="s">
        <v>846</v>
      </c>
      <c r="F105" t="s">
        <v>847</v>
      </c>
      <c r="G105" t="s">
        <v>504</v>
      </c>
      <c r="H105" t="s">
        <v>505</v>
      </c>
      <c r="I105" t="s">
        <v>35</v>
      </c>
      <c r="J105" t="s">
        <v>320</v>
      </c>
      <c r="K105" t="s">
        <v>2</v>
      </c>
      <c r="L105" t="s">
        <v>103</v>
      </c>
      <c r="M105" t="s">
        <v>1164</v>
      </c>
      <c r="N105" t="s">
        <v>850</v>
      </c>
      <c r="O105" t="s">
        <v>40</v>
      </c>
      <c r="P105" t="s">
        <v>1165</v>
      </c>
      <c r="Q105" t="s">
        <v>42</v>
      </c>
      <c r="R105" t="s">
        <v>641</v>
      </c>
      <c r="S105">
        <v>1</v>
      </c>
      <c r="T105">
        <v>2706</v>
      </c>
      <c r="U105">
        <v>0</v>
      </c>
      <c r="V105">
        <v>2706</v>
      </c>
    </row>
    <row r="106" spans="1:22" x14ac:dyDescent="0.25">
      <c r="A106">
        <v>79452</v>
      </c>
      <c r="B106">
        <v>131822964</v>
      </c>
      <c r="C106" t="s">
        <v>1166</v>
      </c>
      <c r="D106">
        <v>18821871</v>
      </c>
      <c r="E106" t="s">
        <v>846</v>
      </c>
      <c r="F106" t="s">
        <v>847</v>
      </c>
      <c r="G106" t="s">
        <v>504</v>
      </c>
      <c r="H106" t="s">
        <v>505</v>
      </c>
      <c r="I106" t="s">
        <v>35</v>
      </c>
      <c r="J106" t="s">
        <v>320</v>
      </c>
      <c r="K106" t="s">
        <v>2</v>
      </c>
      <c r="L106" t="s">
        <v>103</v>
      </c>
      <c r="M106" t="s">
        <v>1167</v>
      </c>
      <c r="N106" t="s">
        <v>850</v>
      </c>
      <c r="O106" t="s">
        <v>40</v>
      </c>
      <c r="P106" t="s">
        <v>1168</v>
      </c>
      <c r="Q106" t="s">
        <v>43</v>
      </c>
      <c r="R106" t="s">
        <v>282</v>
      </c>
      <c r="S106">
        <v>1</v>
      </c>
      <c r="T106">
        <v>2706</v>
      </c>
      <c r="U106">
        <v>0</v>
      </c>
      <c r="V106">
        <v>2706</v>
      </c>
    </row>
    <row r="107" spans="1:22" x14ac:dyDescent="0.25">
      <c r="A107">
        <v>79452</v>
      </c>
      <c r="B107">
        <v>131822968</v>
      </c>
      <c r="C107" t="s">
        <v>1169</v>
      </c>
      <c r="D107">
        <v>18821870</v>
      </c>
      <c r="E107" t="s">
        <v>846</v>
      </c>
      <c r="F107" t="s">
        <v>847</v>
      </c>
      <c r="G107" t="s">
        <v>504</v>
      </c>
      <c r="H107" t="s">
        <v>505</v>
      </c>
      <c r="I107" t="s">
        <v>35</v>
      </c>
      <c r="J107" t="s">
        <v>320</v>
      </c>
      <c r="K107" t="s">
        <v>2</v>
      </c>
      <c r="L107" t="s">
        <v>103</v>
      </c>
      <c r="M107" t="s">
        <v>1170</v>
      </c>
      <c r="N107" t="s">
        <v>850</v>
      </c>
      <c r="O107" t="s">
        <v>40</v>
      </c>
      <c r="P107" t="s">
        <v>1171</v>
      </c>
      <c r="Q107" t="s">
        <v>43</v>
      </c>
      <c r="R107" t="s">
        <v>282</v>
      </c>
      <c r="S107">
        <v>1</v>
      </c>
      <c r="T107">
        <v>2706</v>
      </c>
      <c r="U107">
        <v>0</v>
      </c>
      <c r="V107">
        <v>2706</v>
      </c>
    </row>
    <row r="108" spans="1:22" x14ac:dyDescent="0.25">
      <c r="A108">
        <v>79452</v>
      </c>
      <c r="B108">
        <v>131822999</v>
      </c>
      <c r="C108" t="s">
        <v>1172</v>
      </c>
      <c r="D108">
        <v>18821868</v>
      </c>
      <c r="E108" t="s">
        <v>846</v>
      </c>
      <c r="F108" t="s">
        <v>847</v>
      </c>
      <c r="G108" t="s">
        <v>504</v>
      </c>
      <c r="H108" t="s">
        <v>505</v>
      </c>
      <c r="I108" t="s">
        <v>35</v>
      </c>
      <c r="J108" t="s">
        <v>320</v>
      </c>
      <c r="K108" t="s">
        <v>2</v>
      </c>
      <c r="L108" t="s">
        <v>103</v>
      </c>
      <c r="M108" t="s">
        <v>1173</v>
      </c>
      <c r="N108" t="s">
        <v>850</v>
      </c>
      <c r="O108" t="s">
        <v>40</v>
      </c>
      <c r="P108" t="s">
        <v>1174</v>
      </c>
      <c r="Q108" t="s">
        <v>37</v>
      </c>
      <c r="R108" t="s">
        <v>282</v>
      </c>
      <c r="S108">
        <v>1</v>
      </c>
      <c r="T108">
        <v>2706</v>
      </c>
      <c r="U108">
        <v>0</v>
      </c>
      <c r="V108">
        <v>2706</v>
      </c>
    </row>
    <row r="109" spans="1:22" x14ac:dyDescent="0.25">
      <c r="A109">
        <v>79452</v>
      </c>
      <c r="B109">
        <v>131823004</v>
      </c>
      <c r="C109" t="s">
        <v>1175</v>
      </c>
      <c r="D109">
        <v>18821865</v>
      </c>
      <c r="E109" t="s">
        <v>846</v>
      </c>
      <c r="F109" t="s">
        <v>847</v>
      </c>
      <c r="G109" t="s">
        <v>504</v>
      </c>
      <c r="H109" t="s">
        <v>505</v>
      </c>
      <c r="I109" t="s">
        <v>35</v>
      </c>
      <c r="J109" t="s">
        <v>320</v>
      </c>
      <c r="K109" t="s">
        <v>2</v>
      </c>
      <c r="L109" t="s">
        <v>103</v>
      </c>
      <c r="M109" t="s">
        <v>1176</v>
      </c>
      <c r="N109" t="s">
        <v>850</v>
      </c>
      <c r="O109" t="s">
        <v>40</v>
      </c>
      <c r="P109" t="s">
        <v>1177</v>
      </c>
      <c r="Q109" t="s">
        <v>37</v>
      </c>
      <c r="R109" t="s">
        <v>282</v>
      </c>
      <c r="S109">
        <v>1</v>
      </c>
      <c r="T109">
        <v>2706</v>
      </c>
      <c r="U109">
        <v>0</v>
      </c>
      <c r="V109">
        <v>2706</v>
      </c>
    </row>
    <row r="110" spans="1:22" x14ac:dyDescent="0.25">
      <c r="A110">
        <v>79452</v>
      </c>
      <c r="B110">
        <v>131823026</v>
      </c>
      <c r="C110" t="s">
        <v>1178</v>
      </c>
      <c r="D110">
        <v>18821864</v>
      </c>
      <c r="E110" t="s">
        <v>846</v>
      </c>
      <c r="F110" t="s">
        <v>847</v>
      </c>
      <c r="G110" t="s">
        <v>504</v>
      </c>
      <c r="H110" t="s">
        <v>505</v>
      </c>
      <c r="I110" t="s">
        <v>35</v>
      </c>
      <c r="J110" t="s">
        <v>320</v>
      </c>
      <c r="K110" t="s">
        <v>2</v>
      </c>
      <c r="L110" t="s">
        <v>103</v>
      </c>
      <c r="M110" t="s">
        <v>1179</v>
      </c>
      <c r="N110" t="s">
        <v>850</v>
      </c>
      <c r="O110" t="s">
        <v>40</v>
      </c>
      <c r="P110" t="s">
        <v>1180</v>
      </c>
      <c r="Q110" t="s">
        <v>153</v>
      </c>
      <c r="R110" t="s">
        <v>282</v>
      </c>
      <c r="S110">
        <v>1</v>
      </c>
      <c r="T110">
        <v>2706</v>
      </c>
      <c r="U110">
        <v>0</v>
      </c>
      <c r="V110">
        <v>2706</v>
      </c>
    </row>
    <row r="111" spans="1:22" x14ac:dyDescent="0.25">
      <c r="A111">
        <v>79452</v>
      </c>
      <c r="B111">
        <v>131823018</v>
      </c>
      <c r="C111" t="s">
        <v>1181</v>
      </c>
      <c r="D111">
        <v>18821855</v>
      </c>
      <c r="E111" t="s">
        <v>846</v>
      </c>
      <c r="F111" t="s">
        <v>847</v>
      </c>
      <c r="G111" t="s">
        <v>504</v>
      </c>
      <c r="H111" t="s">
        <v>505</v>
      </c>
      <c r="I111" t="s">
        <v>35</v>
      </c>
      <c r="J111" t="s">
        <v>320</v>
      </c>
      <c r="K111" t="s">
        <v>2</v>
      </c>
      <c r="L111" t="s">
        <v>103</v>
      </c>
      <c r="M111" t="s">
        <v>1182</v>
      </c>
      <c r="N111" t="s">
        <v>850</v>
      </c>
      <c r="O111" t="s">
        <v>40</v>
      </c>
      <c r="P111" t="s">
        <v>1183</v>
      </c>
      <c r="Q111" t="s">
        <v>37</v>
      </c>
      <c r="R111" t="s">
        <v>282</v>
      </c>
      <c r="S111">
        <v>1</v>
      </c>
      <c r="T111">
        <v>2706</v>
      </c>
      <c r="U111">
        <v>0</v>
      </c>
      <c r="V111">
        <v>2706</v>
      </c>
    </row>
    <row r="112" spans="1:22" x14ac:dyDescent="0.25">
      <c r="A112">
        <v>79452</v>
      </c>
      <c r="B112">
        <v>131823037</v>
      </c>
      <c r="C112" t="s">
        <v>1184</v>
      </c>
      <c r="D112">
        <v>18821853</v>
      </c>
      <c r="E112" t="s">
        <v>846</v>
      </c>
      <c r="F112" t="s">
        <v>847</v>
      </c>
      <c r="G112" t="s">
        <v>504</v>
      </c>
      <c r="H112" t="s">
        <v>505</v>
      </c>
      <c r="I112" t="s">
        <v>35</v>
      </c>
      <c r="J112" t="s">
        <v>320</v>
      </c>
      <c r="K112" t="s">
        <v>2</v>
      </c>
      <c r="L112" t="s">
        <v>103</v>
      </c>
      <c r="M112" t="s">
        <v>1185</v>
      </c>
      <c r="N112" t="s">
        <v>850</v>
      </c>
      <c r="O112" t="s">
        <v>40</v>
      </c>
      <c r="P112" t="s">
        <v>1186</v>
      </c>
      <c r="Q112" t="s">
        <v>98</v>
      </c>
      <c r="R112" t="s">
        <v>282</v>
      </c>
      <c r="S112">
        <v>1</v>
      </c>
      <c r="T112">
        <v>2706</v>
      </c>
      <c r="U112">
        <v>0</v>
      </c>
      <c r="V112">
        <v>2706</v>
      </c>
    </row>
    <row r="113" spans="1:22" x14ac:dyDescent="0.25">
      <c r="A113">
        <v>79452</v>
      </c>
      <c r="B113">
        <v>131823048</v>
      </c>
      <c r="C113" t="s">
        <v>1187</v>
      </c>
      <c r="D113">
        <v>18821849</v>
      </c>
      <c r="E113" t="s">
        <v>846</v>
      </c>
      <c r="F113" t="s">
        <v>847</v>
      </c>
      <c r="G113" t="s">
        <v>504</v>
      </c>
      <c r="H113" t="s">
        <v>505</v>
      </c>
      <c r="I113" t="s">
        <v>35</v>
      </c>
      <c r="J113" t="s">
        <v>320</v>
      </c>
      <c r="K113" t="s">
        <v>2</v>
      </c>
      <c r="L113" t="s">
        <v>103</v>
      </c>
      <c r="M113" t="s">
        <v>1188</v>
      </c>
      <c r="N113" t="s">
        <v>850</v>
      </c>
      <c r="O113" t="s">
        <v>40</v>
      </c>
      <c r="P113" t="s">
        <v>1189</v>
      </c>
      <c r="Q113" t="s">
        <v>37</v>
      </c>
      <c r="R113" t="s">
        <v>282</v>
      </c>
      <c r="S113">
        <v>1</v>
      </c>
      <c r="T113">
        <v>2706</v>
      </c>
      <c r="U113">
        <v>0</v>
      </c>
      <c r="V113">
        <v>2706</v>
      </c>
    </row>
    <row r="114" spans="1:22" x14ac:dyDescent="0.25">
      <c r="A114">
        <v>79452</v>
      </c>
      <c r="B114">
        <v>131732401</v>
      </c>
      <c r="C114" t="s">
        <v>1190</v>
      </c>
      <c r="D114">
        <v>18814778</v>
      </c>
      <c r="E114" t="s">
        <v>846</v>
      </c>
      <c r="F114" t="s">
        <v>847</v>
      </c>
      <c r="G114" t="s">
        <v>504</v>
      </c>
      <c r="H114" t="s">
        <v>505</v>
      </c>
      <c r="I114" t="s">
        <v>35</v>
      </c>
      <c r="J114" t="s">
        <v>320</v>
      </c>
      <c r="K114" t="s">
        <v>2</v>
      </c>
      <c r="L114" t="s">
        <v>103</v>
      </c>
      <c r="M114" t="s">
        <v>1191</v>
      </c>
      <c r="N114" t="s">
        <v>850</v>
      </c>
      <c r="O114" t="s">
        <v>40</v>
      </c>
      <c r="P114" t="s">
        <v>1192</v>
      </c>
      <c r="Q114" t="s">
        <v>37</v>
      </c>
      <c r="R114" t="s">
        <v>684</v>
      </c>
      <c r="S114">
        <v>1</v>
      </c>
      <c r="T114">
        <v>2706</v>
      </c>
      <c r="U114">
        <v>0</v>
      </c>
      <c r="V114">
        <v>2706</v>
      </c>
    </row>
    <row r="115" spans="1:22" x14ac:dyDescent="0.25">
      <c r="A115">
        <v>79452</v>
      </c>
      <c r="B115">
        <v>131732403</v>
      </c>
      <c r="C115" t="s">
        <v>1193</v>
      </c>
      <c r="D115">
        <v>18814774</v>
      </c>
      <c r="E115" t="s">
        <v>846</v>
      </c>
      <c r="F115" t="s">
        <v>847</v>
      </c>
      <c r="G115" t="s">
        <v>504</v>
      </c>
      <c r="H115" t="s">
        <v>505</v>
      </c>
      <c r="I115" t="s">
        <v>35</v>
      </c>
      <c r="J115" t="s">
        <v>320</v>
      </c>
      <c r="K115" t="s">
        <v>169</v>
      </c>
      <c r="L115" t="s">
        <v>103</v>
      </c>
      <c r="M115" t="s">
        <v>1194</v>
      </c>
      <c r="N115" t="s">
        <v>850</v>
      </c>
      <c r="O115" t="s">
        <v>40</v>
      </c>
      <c r="P115" t="s">
        <v>1195</v>
      </c>
      <c r="Q115" t="s">
        <v>44</v>
      </c>
      <c r="R115" t="s">
        <v>684</v>
      </c>
      <c r="S115">
        <v>1</v>
      </c>
      <c r="T115">
        <v>2706</v>
      </c>
      <c r="U115">
        <v>0</v>
      </c>
      <c r="V115">
        <v>2706</v>
      </c>
    </row>
    <row r="116" spans="1:22" x14ac:dyDescent="0.25">
      <c r="A116">
        <v>79452</v>
      </c>
      <c r="B116">
        <v>131732411</v>
      </c>
      <c r="C116" t="s">
        <v>1196</v>
      </c>
      <c r="D116">
        <v>18814771</v>
      </c>
      <c r="E116" t="s">
        <v>846</v>
      </c>
      <c r="F116" t="s">
        <v>847</v>
      </c>
      <c r="G116" t="s">
        <v>504</v>
      </c>
      <c r="H116" t="s">
        <v>505</v>
      </c>
      <c r="I116" t="s">
        <v>35</v>
      </c>
      <c r="J116" t="s">
        <v>320</v>
      </c>
      <c r="K116" t="s">
        <v>2</v>
      </c>
      <c r="L116" t="s">
        <v>103</v>
      </c>
      <c r="M116" t="s">
        <v>579</v>
      </c>
      <c r="N116" t="s">
        <v>850</v>
      </c>
      <c r="O116" t="s">
        <v>40</v>
      </c>
      <c r="P116" t="s">
        <v>1197</v>
      </c>
      <c r="Q116" t="s">
        <v>97</v>
      </c>
      <c r="R116" t="s">
        <v>684</v>
      </c>
      <c r="S116">
        <v>1</v>
      </c>
      <c r="T116">
        <v>2706</v>
      </c>
      <c r="U116">
        <v>0</v>
      </c>
      <c r="V116">
        <v>2706</v>
      </c>
    </row>
    <row r="117" spans="1:22" x14ac:dyDescent="0.25">
      <c r="A117">
        <v>79452</v>
      </c>
      <c r="B117">
        <v>131732406</v>
      </c>
      <c r="C117" t="s">
        <v>1198</v>
      </c>
      <c r="D117">
        <v>18814770</v>
      </c>
      <c r="E117" t="s">
        <v>846</v>
      </c>
      <c r="F117" t="s">
        <v>847</v>
      </c>
      <c r="G117" t="s">
        <v>504</v>
      </c>
      <c r="H117" t="s">
        <v>505</v>
      </c>
      <c r="I117" t="s">
        <v>35</v>
      </c>
      <c r="J117" t="s">
        <v>320</v>
      </c>
      <c r="K117" t="s">
        <v>2</v>
      </c>
      <c r="L117" t="s">
        <v>103</v>
      </c>
      <c r="M117" t="s">
        <v>1199</v>
      </c>
      <c r="N117" t="s">
        <v>850</v>
      </c>
      <c r="O117" t="s">
        <v>40</v>
      </c>
      <c r="P117" t="s">
        <v>1200</v>
      </c>
      <c r="Q117" t="s">
        <v>41</v>
      </c>
      <c r="R117" t="s">
        <v>684</v>
      </c>
      <c r="S117">
        <v>1</v>
      </c>
      <c r="T117">
        <v>2706</v>
      </c>
      <c r="U117">
        <v>0</v>
      </c>
      <c r="V117">
        <v>2706</v>
      </c>
    </row>
    <row r="118" spans="1:22" x14ac:dyDescent="0.25">
      <c r="A118">
        <v>79452</v>
      </c>
      <c r="B118">
        <v>131741862</v>
      </c>
      <c r="C118" t="s">
        <v>1201</v>
      </c>
      <c r="D118">
        <v>18814769</v>
      </c>
      <c r="E118" t="s">
        <v>846</v>
      </c>
      <c r="F118" t="s">
        <v>847</v>
      </c>
      <c r="G118" t="s">
        <v>504</v>
      </c>
      <c r="H118" t="s">
        <v>505</v>
      </c>
      <c r="I118" t="s">
        <v>35</v>
      </c>
      <c r="J118" t="s">
        <v>320</v>
      </c>
      <c r="K118" t="s">
        <v>2</v>
      </c>
      <c r="L118" t="s">
        <v>103</v>
      </c>
      <c r="M118" t="s">
        <v>345</v>
      </c>
      <c r="N118" t="s">
        <v>850</v>
      </c>
      <c r="O118" t="s">
        <v>40</v>
      </c>
      <c r="P118" t="s">
        <v>1202</v>
      </c>
      <c r="Q118" t="s">
        <v>41</v>
      </c>
      <c r="R118" t="s">
        <v>365</v>
      </c>
      <c r="S118">
        <v>1</v>
      </c>
      <c r="T118">
        <v>2706</v>
      </c>
      <c r="U118">
        <v>0</v>
      </c>
      <c r="V118">
        <v>2706</v>
      </c>
    </row>
    <row r="119" spans="1:22" x14ac:dyDescent="0.25">
      <c r="A119">
        <v>79452</v>
      </c>
      <c r="B119">
        <v>131741857</v>
      </c>
      <c r="C119" t="s">
        <v>1203</v>
      </c>
      <c r="D119">
        <v>18814768</v>
      </c>
      <c r="E119" t="s">
        <v>846</v>
      </c>
      <c r="F119" t="s">
        <v>847</v>
      </c>
      <c r="G119" t="s">
        <v>504</v>
      </c>
      <c r="H119" t="s">
        <v>505</v>
      </c>
      <c r="I119" t="s">
        <v>35</v>
      </c>
      <c r="J119" t="s">
        <v>320</v>
      </c>
      <c r="K119" t="s">
        <v>2</v>
      </c>
      <c r="L119" t="s">
        <v>103</v>
      </c>
      <c r="M119" t="s">
        <v>1204</v>
      </c>
      <c r="N119" t="s">
        <v>850</v>
      </c>
      <c r="O119" t="s">
        <v>40</v>
      </c>
      <c r="P119" t="s">
        <v>1205</v>
      </c>
      <c r="Q119" t="s">
        <v>44</v>
      </c>
      <c r="R119" t="s">
        <v>365</v>
      </c>
      <c r="S119">
        <v>1</v>
      </c>
      <c r="T119">
        <v>2706</v>
      </c>
      <c r="U119">
        <v>0</v>
      </c>
      <c r="V119">
        <v>2706</v>
      </c>
    </row>
    <row r="120" spans="1:22" x14ac:dyDescent="0.25">
      <c r="A120">
        <v>79452</v>
      </c>
      <c r="B120">
        <v>131741860</v>
      </c>
      <c r="C120" t="s">
        <v>1206</v>
      </c>
      <c r="D120">
        <v>18814767</v>
      </c>
      <c r="E120" t="s">
        <v>846</v>
      </c>
      <c r="F120" t="s">
        <v>847</v>
      </c>
      <c r="G120" t="s">
        <v>504</v>
      </c>
      <c r="H120" t="s">
        <v>505</v>
      </c>
      <c r="I120" t="s">
        <v>35</v>
      </c>
      <c r="J120" t="s">
        <v>320</v>
      </c>
      <c r="K120" t="s">
        <v>2</v>
      </c>
      <c r="L120" t="s">
        <v>103</v>
      </c>
      <c r="M120" t="s">
        <v>1207</v>
      </c>
      <c r="N120" t="s">
        <v>850</v>
      </c>
      <c r="O120" t="s">
        <v>40</v>
      </c>
      <c r="P120" t="s">
        <v>1208</v>
      </c>
      <c r="Q120" t="s">
        <v>44</v>
      </c>
      <c r="R120" t="s">
        <v>365</v>
      </c>
      <c r="S120">
        <v>1</v>
      </c>
      <c r="T120">
        <v>2706</v>
      </c>
      <c r="U120">
        <v>0</v>
      </c>
      <c r="V120">
        <v>2706</v>
      </c>
    </row>
    <row r="121" spans="1:22" x14ac:dyDescent="0.25">
      <c r="A121">
        <v>79452</v>
      </c>
      <c r="B121">
        <v>131741858</v>
      </c>
      <c r="C121" t="s">
        <v>1209</v>
      </c>
      <c r="D121">
        <v>18814766</v>
      </c>
      <c r="E121" t="s">
        <v>846</v>
      </c>
      <c r="F121" t="s">
        <v>847</v>
      </c>
      <c r="G121" t="s">
        <v>504</v>
      </c>
      <c r="H121" t="s">
        <v>505</v>
      </c>
      <c r="I121" t="s">
        <v>35</v>
      </c>
      <c r="J121" t="s">
        <v>320</v>
      </c>
      <c r="K121" t="s">
        <v>2</v>
      </c>
      <c r="L121" t="s">
        <v>103</v>
      </c>
      <c r="M121" t="s">
        <v>1210</v>
      </c>
      <c r="N121" t="s">
        <v>850</v>
      </c>
      <c r="O121" t="s">
        <v>40</v>
      </c>
      <c r="P121" t="s">
        <v>1211</v>
      </c>
      <c r="Q121" t="s">
        <v>37</v>
      </c>
      <c r="R121" t="s">
        <v>365</v>
      </c>
      <c r="S121">
        <v>1</v>
      </c>
      <c r="T121">
        <v>2706</v>
      </c>
      <c r="U121">
        <v>0</v>
      </c>
      <c r="V121">
        <v>2706</v>
      </c>
    </row>
    <row r="122" spans="1:22" x14ac:dyDescent="0.25">
      <c r="A122">
        <v>79452</v>
      </c>
      <c r="B122">
        <v>131707073</v>
      </c>
      <c r="C122" t="s">
        <v>1212</v>
      </c>
      <c r="D122">
        <v>18811632</v>
      </c>
      <c r="E122" t="s">
        <v>846</v>
      </c>
      <c r="F122" t="s">
        <v>847</v>
      </c>
      <c r="G122" t="s">
        <v>504</v>
      </c>
      <c r="H122" t="s">
        <v>505</v>
      </c>
      <c r="I122" t="s">
        <v>35</v>
      </c>
      <c r="J122" t="s">
        <v>320</v>
      </c>
      <c r="K122" t="s">
        <v>2</v>
      </c>
      <c r="L122" t="s">
        <v>103</v>
      </c>
      <c r="M122" t="s">
        <v>1213</v>
      </c>
      <c r="N122" t="s">
        <v>850</v>
      </c>
      <c r="O122" t="s">
        <v>40</v>
      </c>
      <c r="P122" t="s">
        <v>1214</v>
      </c>
      <c r="Q122" t="s">
        <v>42</v>
      </c>
      <c r="R122" t="s">
        <v>812</v>
      </c>
      <c r="S122">
        <v>1</v>
      </c>
      <c r="T122">
        <v>2706</v>
      </c>
      <c r="U122">
        <v>0</v>
      </c>
      <c r="V122">
        <v>2706</v>
      </c>
    </row>
    <row r="123" spans="1:22" x14ac:dyDescent="0.25">
      <c r="A123">
        <v>79452</v>
      </c>
      <c r="B123">
        <v>131705203</v>
      </c>
      <c r="C123" t="s">
        <v>1215</v>
      </c>
      <c r="D123">
        <v>18811556</v>
      </c>
      <c r="E123" t="s">
        <v>846</v>
      </c>
      <c r="F123" t="s">
        <v>847</v>
      </c>
      <c r="G123" t="s">
        <v>504</v>
      </c>
      <c r="H123" t="s">
        <v>505</v>
      </c>
      <c r="I123" t="s">
        <v>35</v>
      </c>
      <c r="J123" t="s">
        <v>320</v>
      </c>
      <c r="K123" t="s">
        <v>2</v>
      </c>
      <c r="L123" t="s">
        <v>103</v>
      </c>
      <c r="M123" t="s">
        <v>1216</v>
      </c>
      <c r="N123" t="s">
        <v>850</v>
      </c>
      <c r="O123" t="s">
        <v>40</v>
      </c>
      <c r="P123" t="s">
        <v>1217</v>
      </c>
      <c r="Q123" t="s">
        <v>43</v>
      </c>
      <c r="R123" t="s">
        <v>297</v>
      </c>
      <c r="S123">
        <v>1</v>
      </c>
      <c r="T123">
        <v>2706</v>
      </c>
      <c r="U123">
        <v>0</v>
      </c>
      <c r="V123">
        <v>2706</v>
      </c>
    </row>
    <row r="124" spans="1:22" x14ac:dyDescent="0.25">
      <c r="A124">
        <v>79452</v>
      </c>
      <c r="B124">
        <v>131705236</v>
      </c>
      <c r="C124" t="s">
        <v>1218</v>
      </c>
      <c r="D124">
        <v>18811546</v>
      </c>
      <c r="E124" t="s">
        <v>846</v>
      </c>
      <c r="F124" t="s">
        <v>847</v>
      </c>
      <c r="G124" t="s">
        <v>504</v>
      </c>
      <c r="H124" t="s">
        <v>505</v>
      </c>
      <c r="I124" t="s">
        <v>35</v>
      </c>
      <c r="J124" t="s">
        <v>320</v>
      </c>
      <c r="K124" t="s">
        <v>2</v>
      </c>
      <c r="L124" t="s">
        <v>103</v>
      </c>
      <c r="M124" t="s">
        <v>1219</v>
      </c>
      <c r="N124" t="s">
        <v>850</v>
      </c>
      <c r="O124" t="s">
        <v>40</v>
      </c>
      <c r="P124" t="s">
        <v>1220</v>
      </c>
      <c r="Q124" t="s">
        <v>42</v>
      </c>
      <c r="R124" t="s">
        <v>297</v>
      </c>
      <c r="S124">
        <v>1</v>
      </c>
      <c r="T124">
        <v>2706</v>
      </c>
      <c r="U124">
        <v>0</v>
      </c>
      <c r="V124">
        <v>2706</v>
      </c>
    </row>
    <row r="125" spans="1:22" x14ac:dyDescent="0.25">
      <c r="A125">
        <v>79452</v>
      </c>
      <c r="B125">
        <v>131705239</v>
      </c>
      <c r="C125" t="s">
        <v>1221</v>
      </c>
      <c r="D125">
        <v>18811545</v>
      </c>
      <c r="E125" t="s">
        <v>846</v>
      </c>
      <c r="F125" t="s">
        <v>847</v>
      </c>
      <c r="G125" t="s">
        <v>504</v>
      </c>
      <c r="H125" t="s">
        <v>505</v>
      </c>
      <c r="I125" t="s">
        <v>35</v>
      </c>
      <c r="J125" t="s">
        <v>320</v>
      </c>
      <c r="K125" t="s">
        <v>2</v>
      </c>
      <c r="L125" t="s">
        <v>103</v>
      </c>
      <c r="M125" t="s">
        <v>636</v>
      </c>
      <c r="N125" t="s">
        <v>850</v>
      </c>
      <c r="O125" t="s">
        <v>40</v>
      </c>
      <c r="P125" t="s">
        <v>637</v>
      </c>
      <c r="Q125" t="s">
        <v>37</v>
      </c>
      <c r="R125" t="s">
        <v>297</v>
      </c>
      <c r="S125">
        <v>1</v>
      </c>
      <c r="T125">
        <v>2706</v>
      </c>
      <c r="U125">
        <v>0</v>
      </c>
      <c r="V125">
        <v>2706</v>
      </c>
    </row>
    <row r="126" spans="1:22" x14ac:dyDescent="0.25">
      <c r="A126">
        <v>79452</v>
      </c>
      <c r="B126">
        <v>131705244</v>
      </c>
      <c r="C126" t="s">
        <v>1222</v>
      </c>
      <c r="D126">
        <v>18811544</v>
      </c>
      <c r="E126" t="s">
        <v>846</v>
      </c>
      <c r="F126" t="s">
        <v>847</v>
      </c>
      <c r="G126" t="s">
        <v>504</v>
      </c>
      <c r="H126" t="s">
        <v>505</v>
      </c>
      <c r="I126" t="s">
        <v>35</v>
      </c>
      <c r="J126" t="s">
        <v>320</v>
      </c>
      <c r="K126" t="s">
        <v>2</v>
      </c>
      <c r="L126" t="s">
        <v>103</v>
      </c>
      <c r="M126" t="s">
        <v>1223</v>
      </c>
      <c r="N126" t="s">
        <v>850</v>
      </c>
      <c r="O126" t="s">
        <v>40</v>
      </c>
      <c r="P126" t="s">
        <v>1224</v>
      </c>
      <c r="Q126" t="s">
        <v>44</v>
      </c>
      <c r="R126" t="s">
        <v>297</v>
      </c>
      <c r="S126">
        <v>1</v>
      </c>
      <c r="T126">
        <v>2706</v>
      </c>
      <c r="U126">
        <v>0</v>
      </c>
      <c r="V126">
        <v>2706</v>
      </c>
    </row>
    <row r="127" spans="1:22" x14ac:dyDescent="0.25">
      <c r="A127">
        <v>79452</v>
      </c>
      <c r="B127">
        <v>131705221</v>
      </c>
      <c r="C127" t="s">
        <v>1225</v>
      </c>
      <c r="D127">
        <v>18811543</v>
      </c>
      <c r="E127" t="s">
        <v>846</v>
      </c>
      <c r="F127" t="s">
        <v>847</v>
      </c>
      <c r="G127" t="s">
        <v>504</v>
      </c>
      <c r="H127" t="s">
        <v>505</v>
      </c>
      <c r="I127" t="s">
        <v>35</v>
      </c>
      <c r="J127" t="s">
        <v>320</v>
      </c>
      <c r="K127" t="s">
        <v>2</v>
      </c>
      <c r="L127" t="s">
        <v>103</v>
      </c>
      <c r="M127" t="s">
        <v>1226</v>
      </c>
      <c r="N127" t="s">
        <v>850</v>
      </c>
      <c r="O127" t="s">
        <v>40</v>
      </c>
      <c r="P127" t="s">
        <v>1227</v>
      </c>
      <c r="Q127" t="s">
        <v>153</v>
      </c>
      <c r="R127" t="s">
        <v>297</v>
      </c>
      <c r="S127">
        <v>1</v>
      </c>
      <c r="T127">
        <v>2706</v>
      </c>
      <c r="U127">
        <v>0</v>
      </c>
      <c r="V127">
        <v>2706</v>
      </c>
    </row>
    <row r="128" spans="1:22" x14ac:dyDescent="0.25">
      <c r="A128">
        <v>79452</v>
      </c>
      <c r="B128">
        <v>131705218</v>
      </c>
      <c r="C128" t="s">
        <v>1228</v>
      </c>
      <c r="D128">
        <v>18811542</v>
      </c>
      <c r="E128" t="s">
        <v>846</v>
      </c>
      <c r="F128" t="s">
        <v>847</v>
      </c>
      <c r="G128" t="s">
        <v>504</v>
      </c>
      <c r="H128" t="s">
        <v>505</v>
      </c>
      <c r="I128" t="s">
        <v>35</v>
      </c>
      <c r="J128" t="s">
        <v>320</v>
      </c>
      <c r="K128" t="s">
        <v>2</v>
      </c>
      <c r="L128" t="s">
        <v>103</v>
      </c>
      <c r="M128" t="s">
        <v>1229</v>
      </c>
      <c r="N128" t="s">
        <v>850</v>
      </c>
      <c r="O128" t="s">
        <v>40</v>
      </c>
      <c r="P128" t="s">
        <v>1230</v>
      </c>
      <c r="Q128" t="s">
        <v>198</v>
      </c>
      <c r="R128" t="s">
        <v>297</v>
      </c>
      <c r="S128">
        <v>1</v>
      </c>
      <c r="T128">
        <v>2706</v>
      </c>
      <c r="U128">
        <v>0</v>
      </c>
      <c r="V128">
        <v>2706</v>
      </c>
    </row>
    <row r="129" spans="1:22" x14ac:dyDescent="0.25">
      <c r="A129">
        <v>79452</v>
      </c>
      <c r="B129">
        <v>131705209</v>
      </c>
      <c r="C129" t="s">
        <v>1231</v>
      </c>
      <c r="D129">
        <v>18811541</v>
      </c>
      <c r="E129" t="s">
        <v>846</v>
      </c>
      <c r="F129" t="s">
        <v>847</v>
      </c>
      <c r="G129" t="s">
        <v>504</v>
      </c>
      <c r="H129" t="s">
        <v>505</v>
      </c>
      <c r="I129" t="s">
        <v>35</v>
      </c>
      <c r="J129" t="s">
        <v>320</v>
      </c>
      <c r="K129" t="s">
        <v>2</v>
      </c>
      <c r="L129" t="s">
        <v>103</v>
      </c>
      <c r="M129" t="s">
        <v>1232</v>
      </c>
      <c r="N129" t="s">
        <v>850</v>
      </c>
      <c r="O129" t="s">
        <v>40</v>
      </c>
      <c r="P129" t="s">
        <v>945</v>
      </c>
      <c r="Q129" t="s">
        <v>37</v>
      </c>
      <c r="R129" t="s">
        <v>297</v>
      </c>
      <c r="S129">
        <v>1</v>
      </c>
      <c r="T129">
        <v>2706</v>
      </c>
      <c r="U129">
        <v>0</v>
      </c>
      <c r="V129">
        <v>2706</v>
      </c>
    </row>
    <row r="130" spans="1:22" x14ac:dyDescent="0.25">
      <c r="A130">
        <v>79452</v>
      </c>
      <c r="B130">
        <v>131677539</v>
      </c>
      <c r="C130" t="s">
        <v>1233</v>
      </c>
      <c r="D130">
        <v>18811540</v>
      </c>
      <c r="E130" t="s">
        <v>846</v>
      </c>
      <c r="F130" t="s">
        <v>847</v>
      </c>
      <c r="G130" t="s">
        <v>504</v>
      </c>
      <c r="H130" t="s">
        <v>505</v>
      </c>
      <c r="I130" t="s">
        <v>35</v>
      </c>
      <c r="J130" t="s">
        <v>320</v>
      </c>
      <c r="K130" t="s">
        <v>2</v>
      </c>
      <c r="L130" t="s">
        <v>103</v>
      </c>
      <c r="M130" t="s">
        <v>1234</v>
      </c>
      <c r="N130" t="s">
        <v>850</v>
      </c>
      <c r="O130" t="s">
        <v>40</v>
      </c>
      <c r="P130" t="s">
        <v>1235</v>
      </c>
      <c r="Q130" t="s">
        <v>39</v>
      </c>
      <c r="R130" t="s">
        <v>662</v>
      </c>
      <c r="S130">
        <v>1</v>
      </c>
      <c r="T130">
        <v>2706</v>
      </c>
      <c r="U130">
        <v>0</v>
      </c>
      <c r="V130">
        <v>2706</v>
      </c>
    </row>
    <row r="131" spans="1:22" x14ac:dyDescent="0.25">
      <c r="A131">
        <v>79452</v>
      </c>
      <c r="B131">
        <v>131677527</v>
      </c>
      <c r="C131" t="s">
        <v>1236</v>
      </c>
      <c r="D131">
        <v>18811539</v>
      </c>
      <c r="E131" t="s">
        <v>846</v>
      </c>
      <c r="F131" t="s">
        <v>847</v>
      </c>
      <c r="G131" t="s">
        <v>504</v>
      </c>
      <c r="H131" t="s">
        <v>505</v>
      </c>
      <c r="I131" t="s">
        <v>35</v>
      </c>
      <c r="J131" t="s">
        <v>320</v>
      </c>
      <c r="K131" t="s">
        <v>2</v>
      </c>
      <c r="L131" t="s">
        <v>103</v>
      </c>
      <c r="M131" t="s">
        <v>1237</v>
      </c>
      <c r="N131" t="s">
        <v>850</v>
      </c>
      <c r="O131" t="s">
        <v>40</v>
      </c>
      <c r="P131" t="s">
        <v>1238</v>
      </c>
      <c r="Q131" t="s">
        <v>42</v>
      </c>
      <c r="R131" t="s">
        <v>662</v>
      </c>
      <c r="S131">
        <v>1</v>
      </c>
      <c r="T131">
        <v>2706</v>
      </c>
      <c r="U131">
        <v>0</v>
      </c>
      <c r="V131">
        <v>2706</v>
      </c>
    </row>
    <row r="132" spans="1:22" x14ac:dyDescent="0.25">
      <c r="A132">
        <v>79452</v>
      </c>
      <c r="B132">
        <v>131662654</v>
      </c>
      <c r="C132" t="s">
        <v>1239</v>
      </c>
      <c r="D132">
        <v>18811538</v>
      </c>
      <c r="E132" t="s">
        <v>846</v>
      </c>
      <c r="F132" t="s">
        <v>847</v>
      </c>
      <c r="G132" t="s">
        <v>504</v>
      </c>
      <c r="H132" t="s">
        <v>505</v>
      </c>
      <c r="I132" t="s">
        <v>35</v>
      </c>
      <c r="J132" t="s">
        <v>320</v>
      </c>
      <c r="K132" t="s">
        <v>2</v>
      </c>
      <c r="L132" t="s">
        <v>103</v>
      </c>
      <c r="M132" t="s">
        <v>1240</v>
      </c>
      <c r="N132" t="s">
        <v>850</v>
      </c>
      <c r="O132" t="s">
        <v>40</v>
      </c>
      <c r="P132" t="s">
        <v>1241</v>
      </c>
      <c r="Q132" t="s">
        <v>39</v>
      </c>
      <c r="R132" t="s">
        <v>1242</v>
      </c>
      <c r="S132">
        <v>1</v>
      </c>
      <c r="T132">
        <v>2706</v>
      </c>
      <c r="U132">
        <v>0</v>
      </c>
      <c r="V132">
        <v>2706</v>
      </c>
    </row>
    <row r="133" spans="1:22" x14ac:dyDescent="0.25">
      <c r="A133">
        <v>79452</v>
      </c>
      <c r="B133">
        <v>131662638</v>
      </c>
      <c r="C133" t="s">
        <v>1243</v>
      </c>
      <c r="D133">
        <v>18811537</v>
      </c>
      <c r="E133" t="s">
        <v>846</v>
      </c>
      <c r="F133" t="s">
        <v>847</v>
      </c>
      <c r="G133" t="s">
        <v>504</v>
      </c>
      <c r="H133" t="s">
        <v>505</v>
      </c>
      <c r="I133" t="s">
        <v>35</v>
      </c>
      <c r="J133" t="s">
        <v>320</v>
      </c>
      <c r="K133" t="s">
        <v>2</v>
      </c>
      <c r="L133" t="s">
        <v>103</v>
      </c>
      <c r="M133" t="s">
        <v>1244</v>
      </c>
      <c r="N133" t="s">
        <v>850</v>
      </c>
      <c r="O133" t="s">
        <v>40</v>
      </c>
      <c r="P133" t="s">
        <v>1245</v>
      </c>
      <c r="Q133" t="s">
        <v>37</v>
      </c>
      <c r="R133" t="s">
        <v>1242</v>
      </c>
      <c r="S133">
        <v>1</v>
      </c>
      <c r="T133">
        <v>2706</v>
      </c>
      <c r="U133">
        <v>0</v>
      </c>
      <c r="V133">
        <v>2706</v>
      </c>
    </row>
    <row r="134" spans="1:22" x14ac:dyDescent="0.25">
      <c r="A134">
        <v>79452</v>
      </c>
      <c r="B134">
        <v>131662622</v>
      </c>
      <c r="C134" t="s">
        <v>1246</v>
      </c>
      <c r="D134">
        <v>18811536</v>
      </c>
      <c r="E134" t="s">
        <v>846</v>
      </c>
      <c r="F134" t="s">
        <v>847</v>
      </c>
      <c r="G134" t="s">
        <v>504</v>
      </c>
      <c r="H134" t="s">
        <v>505</v>
      </c>
      <c r="I134" t="s">
        <v>35</v>
      </c>
      <c r="J134" t="s">
        <v>320</v>
      </c>
      <c r="K134" t="s">
        <v>2</v>
      </c>
      <c r="L134" t="s">
        <v>103</v>
      </c>
      <c r="M134" t="s">
        <v>1247</v>
      </c>
      <c r="N134" t="s">
        <v>850</v>
      </c>
      <c r="O134" t="s">
        <v>40</v>
      </c>
      <c r="P134" t="s">
        <v>1248</v>
      </c>
      <c r="Q134" t="s">
        <v>40</v>
      </c>
      <c r="R134" t="s">
        <v>1242</v>
      </c>
      <c r="S134">
        <v>1</v>
      </c>
      <c r="T134">
        <v>2706</v>
      </c>
      <c r="U134">
        <v>0</v>
      </c>
      <c r="V134">
        <v>2706</v>
      </c>
    </row>
    <row r="135" spans="1:22" x14ac:dyDescent="0.25">
      <c r="A135">
        <v>79452</v>
      </c>
      <c r="B135">
        <v>131677528</v>
      </c>
      <c r="C135" t="s">
        <v>1249</v>
      </c>
      <c r="D135">
        <v>18808005</v>
      </c>
      <c r="E135" t="s">
        <v>846</v>
      </c>
      <c r="F135" t="s">
        <v>847</v>
      </c>
      <c r="G135" t="s">
        <v>504</v>
      </c>
      <c r="H135" t="s">
        <v>505</v>
      </c>
      <c r="I135" t="s">
        <v>35</v>
      </c>
      <c r="J135" t="s">
        <v>320</v>
      </c>
      <c r="K135" t="s">
        <v>2</v>
      </c>
      <c r="L135" t="s">
        <v>103</v>
      </c>
      <c r="M135" t="s">
        <v>1250</v>
      </c>
      <c r="N135" t="s">
        <v>850</v>
      </c>
      <c r="O135" t="s">
        <v>40</v>
      </c>
      <c r="P135" t="s">
        <v>1251</v>
      </c>
      <c r="Q135" t="s">
        <v>44</v>
      </c>
      <c r="R135" t="s">
        <v>662</v>
      </c>
      <c r="S135">
        <v>1</v>
      </c>
      <c r="T135">
        <v>2706</v>
      </c>
      <c r="U135">
        <v>0</v>
      </c>
      <c r="V135">
        <v>2706</v>
      </c>
    </row>
    <row r="136" spans="1:22" x14ac:dyDescent="0.25">
      <c r="A136">
        <v>79452</v>
      </c>
      <c r="B136">
        <v>131677531</v>
      </c>
      <c r="C136" t="s">
        <v>1252</v>
      </c>
      <c r="D136">
        <v>18808004</v>
      </c>
      <c r="E136" t="s">
        <v>846</v>
      </c>
      <c r="F136" t="s">
        <v>847</v>
      </c>
      <c r="G136" t="s">
        <v>504</v>
      </c>
      <c r="H136" t="s">
        <v>505</v>
      </c>
      <c r="I136" t="s">
        <v>35</v>
      </c>
      <c r="J136" t="s">
        <v>320</v>
      </c>
      <c r="K136" t="s">
        <v>2</v>
      </c>
      <c r="L136" t="s">
        <v>103</v>
      </c>
      <c r="M136" t="s">
        <v>1253</v>
      </c>
      <c r="N136" t="s">
        <v>850</v>
      </c>
      <c r="O136" t="s">
        <v>40</v>
      </c>
      <c r="P136" t="s">
        <v>1254</v>
      </c>
      <c r="Q136" t="s">
        <v>38</v>
      </c>
      <c r="R136" t="s">
        <v>662</v>
      </c>
      <c r="S136">
        <v>1</v>
      </c>
      <c r="T136">
        <v>2706</v>
      </c>
      <c r="U136">
        <v>0</v>
      </c>
      <c r="V136">
        <v>2706</v>
      </c>
    </row>
    <row r="137" spans="1:22" x14ac:dyDescent="0.25">
      <c r="A137">
        <v>79452</v>
      </c>
      <c r="B137">
        <v>131677529</v>
      </c>
      <c r="C137" t="s">
        <v>1255</v>
      </c>
      <c r="D137">
        <v>18807998</v>
      </c>
      <c r="E137" t="s">
        <v>846</v>
      </c>
      <c r="F137" t="s">
        <v>847</v>
      </c>
      <c r="G137" t="s">
        <v>504</v>
      </c>
      <c r="H137" t="s">
        <v>505</v>
      </c>
      <c r="I137" t="s">
        <v>35</v>
      </c>
      <c r="J137" t="s">
        <v>320</v>
      </c>
      <c r="K137" t="s">
        <v>2</v>
      </c>
      <c r="L137" t="s">
        <v>103</v>
      </c>
      <c r="M137" t="s">
        <v>407</v>
      </c>
      <c r="N137" t="s">
        <v>850</v>
      </c>
      <c r="O137" t="s">
        <v>40</v>
      </c>
      <c r="P137" t="s">
        <v>1256</v>
      </c>
      <c r="Q137" t="s">
        <v>43</v>
      </c>
      <c r="R137" t="s">
        <v>662</v>
      </c>
      <c r="S137">
        <v>1</v>
      </c>
      <c r="T137">
        <v>2706</v>
      </c>
      <c r="U137">
        <v>0</v>
      </c>
      <c r="V137">
        <v>2706</v>
      </c>
    </row>
    <row r="138" spans="1:22" x14ac:dyDescent="0.25">
      <c r="A138">
        <v>79452</v>
      </c>
      <c r="B138">
        <v>131677520</v>
      </c>
      <c r="C138" t="s">
        <v>1257</v>
      </c>
      <c r="D138">
        <v>18807997</v>
      </c>
      <c r="E138" t="s">
        <v>846</v>
      </c>
      <c r="F138" t="s">
        <v>847</v>
      </c>
      <c r="G138" t="s">
        <v>504</v>
      </c>
      <c r="H138" t="s">
        <v>505</v>
      </c>
      <c r="I138" t="s">
        <v>35</v>
      </c>
      <c r="J138" t="s">
        <v>320</v>
      </c>
      <c r="K138" t="s">
        <v>2</v>
      </c>
      <c r="L138" t="s">
        <v>103</v>
      </c>
      <c r="M138" t="s">
        <v>1258</v>
      </c>
      <c r="N138" t="s">
        <v>850</v>
      </c>
      <c r="O138" t="s">
        <v>40</v>
      </c>
      <c r="P138" t="s">
        <v>1259</v>
      </c>
      <c r="Q138" t="s">
        <v>40</v>
      </c>
      <c r="R138" t="s">
        <v>662</v>
      </c>
      <c r="S138">
        <v>1</v>
      </c>
      <c r="T138">
        <v>2706</v>
      </c>
      <c r="U138">
        <v>0</v>
      </c>
      <c r="V138">
        <v>2706</v>
      </c>
    </row>
    <row r="139" spans="1:22" x14ac:dyDescent="0.25">
      <c r="A139">
        <v>79452</v>
      </c>
      <c r="B139">
        <v>131662656</v>
      </c>
      <c r="C139" t="s">
        <v>1260</v>
      </c>
      <c r="D139">
        <v>18807996</v>
      </c>
      <c r="E139" t="s">
        <v>846</v>
      </c>
      <c r="F139" t="s">
        <v>847</v>
      </c>
      <c r="G139" t="s">
        <v>504</v>
      </c>
      <c r="H139" t="s">
        <v>505</v>
      </c>
      <c r="I139" t="s">
        <v>35</v>
      </c>
      <c r="J139" t="s">
        <v>320</v>
      </c>
      <c r="K139" t="s">
        <v>2</v>
      </c>
      <c r="L139" t="s">
        <v>103</v>
      </c>
      <c r="M139" t="s">
        <v>1261</v>
      </c>
      <c r="N139" t="s">
        <v>850</v>
      </c>
      <c r="O139" t="s">
        <v>40</v>
      </c>
      <c r="P139" t="s">
        <v>1262</v>
      </c>
      <c r="Q139" t="s">
        <v>38</v>
      </c>
      <c r="R139" t="s">
        <v>1242</v>
      </c>
      <c r="S139">
        <v>1</v>
      </c>
      <c r="T139">
        <v>2706</v>
      </c>
      <c r="U139">
        <v>0</v>
      </c>
      <c r="V139">
        <v>2706</v>
      </c>
    </row>
    <row r="140" spans="1:22" x14ac:dyDescent="0.25">
      <c r="A140">
        <v>79452</v>
      </c>
      <c r="B140">
        <v>131662649</v>
      </c>
      <c r="C140" t="s">
        <v>1263</v>
      </c>
      <c r="D140">
        <v>18807995</v>
      </c>
      <c r="E140" t="s">
        <v>846</v>
      </c>
      <c r="F140" t="s">
        <v>847</v>
      </c>
      <c r="G140" t="s">
        <v>504</v>
      </c>
      <c r="H140" t="s">
        <v>505</v>
      </c>
      <c r="I140" t="s">
        <v>35</v>
      </c>
      <c r="J140" t="s">
        <v>320</v>
      </c>
      <c r="K140" t="s">
        <v>2</v>
      </c>
      <c r="L140" t="s">
        <v>103</v>
      </c>
      <c r="M140" t="s">
        <v>1264</v>
      </c>
      <c r="N140" t="s">
        <v>850</v>
      </c>
      <c r="O140" t="s">
        <v>40</v>
      </c>
      <c r="P140" t="s">
        <v>1265</v>
      </c>
      <c r="Q140" t="s">
        <v>97</v>
      </c>
      <c r="R140" t="s">
        <v>1242</v>
      </c>
      <c r="S140">
        <v>1</v>
      </c>
      <c r="T140">
        <v>2706</v>
      </c>
      <c r="U140">
        <v>0</v>
      </c>
      <c r="V140">
        <v>2706</v>
      </c>
    </row>
    <row r="141" spans="1:22" x14ac:dyDescent="0.25">
      <c r="A141">
        <v>79452</v>
      </c>
      <c r="B141">
        <v>131662646</v>
      </c>
      <c r="C141" t="s">
        <v>1266</v>
      </c>
      <c r="D141">
        <v>18807994</v>
      </c>
      <c r="E141" t="s">
        <v>846</v>
      </c>
      <c r="F141" t="s">
        <v>847</v>
      </c>
      <c r="G141" t="s">
        <v>504</v>
      </c>
      <c r="H141" t="s">
        <v>505</v>
      </c>
      <c r="I141" t="s">
        <v>35</v>
      </c>
      <c r="J141" t="s">
        <v>320</v>
      </c>
      <c r="K141" t="s">
        <v>2</v>
      </c>
      <c r="L141" t="s">
        <v>103</v>
      </c>
      <c r="M141" t="s">
        <v>1267</v>
      </c>
      <c r="N141" t="s">
        <v>850</v>
      </c>
      <c r="O141" t="s">
        <v>40</v>
      </c>
      <c r="P141" t="s">
        <v>1268</v>
      </c>
      <c r="Q141" t="s">
        <v>70</v>
      </c>
      <c r="R141" t="s">
        <v>1242</v>
      </c>
      <c r="S141">
        <v>1</v>
      </c>
      <c r="T141">
        <v>2706</v>
      </c>
      <c r="U141">
        <v>0</v>
      </c>
      <c r="V141">
        <v>2706</v>
      </c>
    </row>
    <row r="142" spans="1:22" x14ac:dyDescent="0.25">
      <c r="A142">
        <v>79452</v>
      </c>
      <c r="B142">
        <v>131662643</v>
      </c>
      <c r="C142" t="s">
        <v>1269</v>
      </c>
      <c r="D142">
        <v>18807993</v>
      </c>
      <c r="E142" t="s">
        <v>846</v>
      </c>
      <c r="F142" t="s">
        <v>847</v>
      </c>
      <c r="G142" t="s">
        <v>504</v>
      </c>
      <c r="H142" t="s">
        <v>505</v>
      </c>
      <c r="I142" t="s">
        <v>35</v>
      </c>
      <c r="J142" t="s">
        <v>320</v>
      </c>
      <c r="K142" t="s">
        <v>2</v>
      </c>
      <c r="L142" t="s">
        <v>103</v>
      </c>
      <c r="M142" t="s">
        <v>784</v>
      </c>
      <c r="N142" t="s">
        <v>850</v>
      </c>
      <c r="O142" t="s">
        <v>40</v>
      </c>
      <c r="P142" t="s">
        <v>1270</v>
      </c>
      <c r="Q142" t="s">
        <v>70</v>
      </c>
      <c r="R142" t="s">
        <v>1242</v>
      </c>
      <c r="S142">
        <v>1</v>
      </c>
      <c r="T142">
        <v>2706</v>
      </c>
      <c r="U142">
        <v>0</v>
      </c>
      <c r="V142">
        <v>2706</v>
      </c>
    </row>
    <row r="143" spans="1:22" x14ac:dyDescent="0.25">
      <c r="A143">
        <v>79452</v>
      </c>
      <c r="B143">
        <v>131662635</v>
      </c>
      <c r="C143" t="s">
        <v>1271</v>
      </c>
      <c r="D143">
        <v>18807992</v>
      </c>
      <c r="E143" t="s">
        <v>846</v>
      </c>
      <c r="F143" t="s">
        <v>847</v>
      </c>
      <c r="G143" t="s">
        <v>504</v>
      </c>
      <c r="H143" t="s">
        <v>505</v>
      </c>
      <c r="I143" t="s">
        <v>35</v>
      </c>
      <c r="J143" t="s">
        <v>320</v>
      </c>
      <c r="K143" t="s">
        <v>2</v>
      </c>
      <c r="L143" t="s">
        <v>103</v>
      </c>
      <c r="M143" t="s">
        <v>1272</v>
      </c>
      <c r="N143" t="s">
        <v>850</v>
      </c>
      <c r="O143" t="s">
        <v>40</v>
      </c>
      <c r="P143" t="s">
        <v>1273</v>
      </c>
      <c r="Q143" t="s">
        <v>70</v>
      </c>
      <c r="R143" t="s">
        <v>1242</v>
      </c>
      <c r="S143">
        <v>1</v>
      </c>
      <c r="T143">
        <v>2706</v>
      </c>
      <c r="U143">
        <v>0</v>
      </c>
      <c r="V143">
        <v>2706</v>
      </c>
    </row>
    <row r="144" spans="1:22" x14ac:dyDescent="0.25">
      <c r="A144">
        <v>79452</v>
      </c>
      <c r="B144">
        <v>131618360</v>
      </c>
      <c r="C144" t="s">
        <v>1274</v>
      </c>
      <c r="D144">
        <v>18807991</v>
      </c>
      <c r="E144" t="s">
        <v>846</v>
      </c>
      <c r="F144" t="s">
        <v>847</v>
      </c>
      <c r="G144" t="s">
        <v>504</v>
      </c>
      <c r="H144" t="s">
        <v>505</v>
      </c>
      <c r="I144" t="s">
        <v>35</v>
      </c>
      <c r="J144" t="s">
        <v>320</v>
      </c>
      <c r="K144" t="s">
        <v>2</v>
      </c>
      <c r="L144" t="s">
        <v>103</v>
      </c>
      <c r="M144" t="s">
        <v>1275</v>
      </c>
      <c r="N144" t="s">
        <v>850</v>
      </c>
      <c r="O144" t="s">
        <v>40</v>
      </c>
      <c r="P144" t="s">
        <v>1276</v>
      </c>
      <c r="Q144" t="s">
        <v>40</v>
      </c>
      <c r="R144" t="s">
        <v>1277</v>
      </c>
      <c r="S144">
        <v>1</v>
      </c>
      <c r="T144">
        <v>2706</v>
      </c>
      <c r="U144">
        <v>0</v>
      </c>
      <c r="V144">
        <v>2706</v>
      </c>
    </row>
    <row r="145" spans="1:22" x14ac:dyDescent="0.25">
      <c r="A145">
        <v>79452</v>
      </c>
      <c r="B145">
        <v>131618344</v>
      </c>
      <c r="C145" t="s">
        <v>1278</v>
      </c>
      <c r="D145">
        <v>18807990</v>
      </c>
      <c r="E145" t="s">
        <v>846</v>
      </c>
      <c r="F145" t="s">
        <v>847</v>
      </c>
      <c r="G145" t="s">
        <v>504</v>
      </c>
      <c r="H145" t="s">
        <v>505</v>
      </c>
      <c r="I145" t="s">
        <v>35</v>
      </c>
      <c r="J145" t="s">
        <v>320</v>
      </c>
      <c r="K145" t="s">
        <v>2</v>
      </c>
      <c r="L145" t="s">
        <v>103</v>
      </c>
      <c r="M145" t="s">
        <v>1279</v>
      </c>
      <c r="N145" t="s">
        <v>850</v>
      </c>
      <c r="O145" t="s">
        <v>40</v>
      </c>
      <c r="P145" t="s">
        <v>1280</v>
      </c>
      <c r="Q145" t="s">
        <v>42</v>
      </c>
      <c r="R145" t="s">
        <v>1277</v>
      </c>
      <c r="S145">
        <v>1</v>
      </c>
      <c r="T145">
        <v>2706</v>
      </c>
      <c r="U145">
        <v>0</v>
      </c>
      <c r="V145">
        <v>2706</v>
      </c>
    </row>
    <row r="146" spans="1:22" x14ac:dyDescent="0.25">
      <c r="A146">
        <v>79452</v>
      </c>
      <c r="B146">
        <v>131618327</v>
      </c>
      <c r="C146" t="s">
        <v>1281</v>
      </c>
      <c r="D146">
        <v>18807989</v>
      </c>
      <c r="E146" t="s">
        <v>846</v>
      </c>
      <c r="F146" t="s">
        <v>847</v>
      </c>
      <c r="G146" t="s">
        <v>504</v>
      </c>
      <c r="H146" t="s">
        <v>505</v>
      </c>
      <c r="I146" t="s">
        <v>35</v>
      </c>
      <c r="J146" t="s">
        <v>320</v>
      </c>
      <c r="K146" t="s">
        <v>2</v>
      </c>
      <c r="L146" t="s">
        <v>103</v>
      </c>
      <c r="M146" t="s">
        <v>181</v>
      </c>
      <c r="N146" t="s">
        <v>850</v>
      </c>
      <c r="O146" t="s">
        <v>40</v>
      </c>
      <c r="P146" t="s">
        <v>1282</v>
      </c>
      <c r="Q146" t="s">
        <v>71</v>
      </c>
      <c r="R146" t="s">
        <v>1277</v>
      </c>
      <c r="S146">
        <v>1</v>
      </c>
      <c r="T146">
        <v>2706</v>
      </c>
      <c r="U146">
        <v>0</v>
      </c>
      <c r="V146">
        <v>2706</v>
      </c>
    </row>
    <row r="147" spans="1:22" x14ac:dyDescent="0.25">
      <c r="A147">
        <v>79452</v>
      </c>
      <c r="B147">
        <v>131618365</v>
      </c>
      <c r="C147" t="s">
        <v>1283</v>
      </c>
      <c r="D147">
        <v>18804163</v>
      </c>
      <c r="E147" t="s">
        <v>846</v>
      </c>
      <c r="F147" t="s">
        <v>847</v>
      </c>
      <c r="G147" t="s">
        <v>504</v>
      </c>
      <c r="H147" t="s">
        <v>505</v>
      </c>
      <c r="I147" t="s">
        <v>35</v>
      </c>
      <c r="J147" t="s">
        <v>320</v>
      </c>
      <c r="K147" t="s">
        <v>2</v>
      </c>
      <c r="L147" t="s">
        <v>103</v>
      </c>
      <c r="M147" t="s">
        <v>807</v>
      </c>
      <c r="N147" t="s">
        <v>850</v>
      </c>
      <c r="O147" t="s">
        <v>40</v>
      </c>
      <c r="P147" t="s">
        <v>1284</v>
      </c>
      <c r="Q147" t="s">
        <v>44</v>
      </c>
      <c r="R147" t="s">
        <v>532</v>
      </c>
      <c r="S147">
        <v>1</v>
      </c>
      <c r="T147">
        <v>2706</v>
      </c>
      <c r="U147">
        <v>0</v>
      </c>
      <c r="V147">
        <v>2706</v>
      </c>
    </row>
    <row r="148" spans="1:22" x14ac:dyDescent="0.25">
      <c r="A148">
        <v>79452</v>
      </c>
      <c r="B148">
        <v>131618362</v>
      </c>
      <c r="C148" t="s">
        <v>1285</v>
      </c>
      <c r="D148">
        <v>18804162</v>
      </c>
      <c r="E148" t="s">
        <v>846</v>
      </c>
      <c r="F148" t="s">
        <v>847</v>
      </c>
      <c r="G148" t="s">
        <v>504</v>
      </c>
      <c r="H148" t="s">
        <v>505</v>
      </c>
      <c r="I148" t="s">
        <v>35</v>
      </c>
      <c r="J148" t="s">
        <v>320</v>
      </c>
      <c r="K148" t="s">
        <v>2</v>
      </c>
      <c r="L148" t="s">
        <v>103</v>
      </c>
      <c r="M148" t="s">
        <v>1286</v>
      </c>
      <c r="N148" t="s">
        <v>850</v>
      </c>
      <c r="O148" t="s">
        <v>40</v>
      </c>
      <c r="P148" t="s">
        <v>1287</v>
      </c>
      <c r="Q148" t="s">
        <v>41</v>
      </c>
      <c r="R148" t="s">
        <v>1277</v>
      </c>
      <c r="S148">
        <v>1</v>
      </c>
      <c r="T148">
        <v>2706</v>
      </c>
      <c r="U148">
        <v>0</v>
      </c>
      <c r="V148">
        <v>2706</v>
      </c>
    </row>
    <row r="149" spans="1:22" x14ac:dyDescent="0.25">
      <c r="A149">
        <v>79452</v>
      </c>
      <c r="B149">
        <v>131618345</v>
      </c>
      <c r="C149" t="s">
        <v>1288</v>
      </c>
      <c r="D149">
        <v>18804161</v>
      </c>
      <c r="E149" t="s">
        <v>846</v>
      </c>
      <c r="F149" t="s">
        <v>847</v>
      </c>
      <c r="G149" t="s">
        <v>504</v>
      </c>
      <c r="H149" t="s">
        <v>505</v>
      </c>
      <c r="I149" t="s">
        <v>35</v>
      </c>
      <c r="J149" t="s">
        <v>320</v>
      </c>
      <c r="K149" t="s">
        <v>2</v>
      </c>
      <c r="L149" t="s">
        <v>103</v>
      </c>
      <c r="M149" t="s">
        <v>1289</v>
      </c>
      <c r="N149" t="s">
        <v>850</v>
      </c>
      <c r="O149" t="s">
        <v>40</v>
      </c>
      <c r="P149" t="s">
        <v>1290</v>
      </c>
      <c r="Q149" t="s">
        <v>41</v>
      </c>
      <c r="R149" t="s">
        <v>1277</v>
      </c>
      <c r="S149">
        <v>1</v>
      </c>
      <c r="T149">
        <v>2706</v>
      </c>
      <c r="U149">
        <v>0</v>
      </c>
      <c r="V149">
        <v>2706</v>
      </c>
    </row>
    <row r="150" spans="1:22" x14ac:dyDescent="0.25">
      <c r="A150">
        <v>79452</v>
      </c>
      <c r="B150">
        <v>131618336</v>
      </c>
      <c r="C150" t="s">
        <v>1291</v>
      </c>
      <c r="D150">
        <v>18804160</v>
      </c>
      <c r="E150" t="s">
        <v>846</v>
      </c>
      <c r="F150" t="s">
        <v>847</v>
      </c>
      <c r="G150" t="s">
        <v>504</v>
      </c>
      <c r="H150" t="s">
        <v>505</v>
      </c>
      <c r="I150" t="s">
        <v>35</v>
      </c>
      <c r="J150" t="s">
        <v>320</v>
      </c>
      <c r="K150" t="s">
        <v>2</v>
      </c>
      <c r="L150" t="s">
        <v>103</v>
      </c>
      <c r="M150" t="s">
        <v>1292</v>
      </c>
      <c r="N150" t="s">
        <v>850</v>
      </c>
      <c r="O150" t="s">
        <v>40</v>
      </c>
      <c r="P150" t="s">
        <v>1293</v>
      </c>
      <c r="Q150" t="s">
        <v>37</v>
      </c>
      <c r="R150" t="s">
        <v>1277</v>
      </c>
      <c r="S150">
        <v>1</v>
      </c>
      <c r="T150">
        <v>2706</v>
      </c>
      <c r="U150">
        <v>0</v>
      </c>
      <c r="V150">
        <v>2706</v>
      </c>
    </row>
    <row r="151" spans="1:22" x14ac:dyDescent="0.25">
      <c r="A151">
        <v>79452</v>
      </c>
      <c r="B151">
        <v>131618337</v>
      </c>
      <c r="C151" t="s">
        <v>1294</v>
      </c>
      <c r="D151">
        <v>18804159</v>
      </c>
      <c r="E151" t="s">
        <v>846</v>
      </c>
      <c r="F151" t="s">
        <v>847</v>
      </c>
      <c r="G151" t="s">
        <v>504</v>
      </c>
      <c r="H151" t="s">
        <v>505</v>
      </c>
      <c r="I151" t="s">
        <v>35</v>
      </c>
      <c r="J151" t="s">
        <v>320</v>
      </c>
      <c r="K151" t="s">
        <v>2</v>
      </c>
      <c r="L151" t="s">
        <v>103</v>
      </c>
      <c r="M151" t="s">
        <v>1120</v>
      </c>
      <c r="N151" t="s">
        <v>850</v>
      </c>
      <c r="O151" t="s">
        <v>40</v>
      </c>
      <c r="P151" t="s">
        <v>1121</v>
      </c>
      <c r="Q151" t="s">
        <v>153</v>
      </c>
      <c r="R151" t="s">
        <v>1277</v>
      </c>
      <c r="S151">
        <v>1</v>
      </c>
      <c r="T151">
        <v>2706</v>
      </c>
      <c r="U151">
        <v>0</v>
      </c>
      <c r="V151">
        <v>2706</v>
      </c>
    </row>
    <row r="152" spans="1:22" x14ac:dyDescent="0.25">
      <c r="A152">
        <v>79452</v>
      </c>
      <c r="B152">
        <v>131618334</v>
      </c>
      <c r="C152" t="s">
        <v>1295</v>
      </c>
      <c r="D152">
        <v>18804158</v>
      </c>
      <c r="E152" t="s">
        <v>846</v>
      </c>
      <c r="F152" t="s">
        <v>847</v>
      </c>
      <c r="G152" t="s">
        <v>504</v>
      </c>
      <c r="H152" t="s">
        <v>505</v>
      </c>
      <c r="I152" t="s">
        <v>35</v>
      </c>
      <c r="J152" t="s">
        <v>320</v>
      </c>
      <c r="K152" t="s">
        <v>2</v>
      </c>
      <c r="L152" t="s">
        <v>103</v>
      </c>
      <c r="M152" t="s">
        <v>1134</v>
      </c>
      <c r="N152" t="s">
        <v>850</v>
      </c>
      <c r="O152" t="s">
        <v>40</v>
      </c>
      <c r="P152" t="s">
        <v>1135</v>
      </c>
      <c r="Q152" t="s">
        <v>37</v>
      </c>
      <c r="R152" t="s">
        <v>1277</v>
      </c>
      <c r="S152">
        <v>1</v>
      </c>
      <c r="T152">
        <v>2706</v>
      </c>
      <c r="U152">
        <v>0</v>
      </c>
      <c r="V152">
        <v>2706</v>
      </c>
    </row>
    <row r="153" spans="1:22" x14ac:dyDescent="0.25">
      <c r="A153">
        <v>79452</v>
      </c>
      <c r="B153">
        <v>131618325</v>
      </c>
      <c r="C153" t="s">
        <v>1296</v>
      </c>
      <c r="D153">
        <v>18804156</v>
      </c>
      <c r="E153" t="s">
        <v>846</v>
      </c>
      <c r="F153" t="s">
        <v>847</v>
      </c>
      <c r="G153" t="s">
        <v>504</v>
      </c>
      <c r="H153" t="s">
        <v>505</v>
      </c>
      <c r="I153" t="s">
        <v>35</v>
      </c>
      <c r="J153" t="s">
        <v>320</v>
      </c>
      <c r="K153" t="s">
        <v>2</v>
      </c>
      <c r="L153" t="s">
        <v>103</v>
      </c>
      <c r="M153" t="s">
        <v>1297</v>
      </c>
      <c r="N153" t="s">
        <v>850</v>
      </c>
      <c r="O153" t="s">
        <v>40</v>
      </c>
      <c r="P153" t="s">
        <v>1298</v>
      </c>
      <c r="Q153" t="s">
        <v>141</v>
      </c>
      <c r="R153" t="s">
        <v>1277</v>
      </c>
      <c r="S153">
        <v>1</v>
      </c>
      <c r="T153">
        <v>2706</v>
      </c>
      <c r="U153">
        <v>0</v>
      </c>
      <c r="V153">
        <v>2706</v>
      </c>
    </row>
    <row r="154" spans="1:22" x14ac:dyDescent="0.25">
      <c r="A154">
        <v>79452</v>
      </c>
      <c r="B154">
        <v>131618326</v>
      </c>
      <c r="C154" t="s">
        <v>1299</v>
      </c>
      <c r="D154">
        <v>18804155</v>
      </c>
      <c r="E154" t="s">
        <v>846</v>
      </c>
      <c r="F154" t="s">
        <v>847</v>
      </c>
      <c r="G154" t="s">
        <v>504</v>
      </c>
      <c r="H154" t="s">
        <v>505</v>
      </c>
      <c r="I154" t="s">
        <v>35</v>
      </c>
      <c r="J154" t="s">
        <v>320</v>
      </c>
      <c r="K154" t="s">
        <v>2</v>
      </c>
      <c r="L154" t="s">
        <v>103</v>
      </c>
      <c r="M154" t="s">
        <v>1300</v>
      </c>
      <c r="N154" t="s">
        <v>850</v>
      </c>
      <c r="O154" t="s">
        <v>40</v>
      </c>
      <c r="P154" t="s">
        <v>1301</v>
      </c>
      <c r="Q154" t="s">
        <v>93</v>
      </c>
      <c r="R154" t="s">
        <v>1277</v>
      </c>
      <c r="S154">
        <v>1</v>
      </c>
      <c r="T154">
        <v>2706</v>
      </c>
      <c r="U154">
        <v>0</v>
      </c>
      <c r="V154">
        <v>2706</v>
      </c>
    </row>
    <row r="155" spans="1:22" x14ac:dyDescent="0.25">
      <c r="A155">
        <v>79452</v>
      </c>
      <c r="B155">
        <v>131569572</v>
      </c>
      <c r="C155" t="s">
        <v>1302</v>
      </c>
      <c r="D155">
        <v>18796524</v>
      </c>
      <c r="E155" t="s">
        <v>846</v>
      </c>
      <c r="F155" t="s">
        <v>847</v>
      </c>
      <c r="G155" t="s">
        <v>504</v>
      </c>
      <c r="H155" t="s">
        <v>505</v>
      </c>
      <c r="I155" t="s">
        <v>35</v>
      </c>
      <c r="J155" t="s">
        <v>320</v>
      </c>
      <c r="K155" t="s">
        <v>2</v>
      </c>
      <c r="L155" t="s">
        <v>103</v>
      </c>
      <c r="M155" t="s">
        <v>1303</v>
      </c>
      <c r="N155" t="s">
        <v>850</v>
      </c>
      <c r="O155" t="s">
        <v>40</v>
      </c>
      <c r="P155" t="s">
        <v>1304</v>
      </c>
      <c r="Q155" t="s">
        <v>37</v>
      </c>
      <c r="R155" t="s">
        <v>293</v>
      </c>
      <c r="S155">
        <v>1</v>
      </c>
      <c r="T155">
        <v>2706</v>
      </c>
      <c r="U155">
        <v>0</v>
      </c>
      <c r="V155">
        <v>2706</v>
      </c>
    </row>
    <row r="156" spans="1:22" x14ac:dyDescent="0.25">
      <c r="A156">
        <v>79452</v>
      </c>
      <c r="B156">
        <v>131554971</v>
      </c>
      <c r="C156" t="s">
        <v>1305</v>
      </c>
      <c r="D156">
        <v>18796523</v>
      </c>
      <c r="E156" t="s">
        <v>846</v>
      </c>
      <c r="F156" t="s">
        <v>847</v>
      </c>
      <c r="G156" t="s">
        <v>504</v>
      </c>
      <c r="H156" t="s">
        <v>505</v>
      </c>
      <c r="I156" t="s">
        <v>35</v>
      </c>
      <c r="J156" t="s">
        <v>320</v>
      </c>
      <c r="K156" t="s">
        <v>2</v>
      </c>
      <c r="L156" t="s">
        <v>103</v>
      </c>
      <c r="M156" t="s">
        <v>374</v>
      </c>
      <c r="N156" t="s">
        <v>850</v>
      </c>
      <c r="O156" t="s">
        <v>40</v>
      </c>
      <c r="P156" t="s">
        <v>1306</v>
      </c>
      <c r="Q156" t="s">
        <v>95</v>
      </c>
      <c r="R156" t="s">
        <v>1307</v>
      </c>
      <c r="S156">
        <v>1</v>
      </c>
      <c r="T156">
        <v>2706</v>
      </c>
      <c r="U156">
        <v>0</v>
      </c>
      <c r="V156">
        <v>2706</v>
      </c>
    </row>
    <row r="157" spans="1:22" x14ac:dyDescent="0.25">
      <c r="A157">
        <v>79452</v>
      </c>
      <c r="B157">
        <v>131554977</v>
      </c>
      <c r="C157" t="s">
        <v>1308</v>
      </c>
      <c r="D157">
        <v>18796520</v>
      </c>
      <c r="E157" t="s">
        <v>846</v>
      </c>
      <c r="F157" t="s">
        <v>847</v>
      </c>
      <c r="G157" t="s">
        <v>504</v>
      </c>
      <c r="H157" t="s">
        <v>505</v>
      </c>
      <c r="I157" t="s">
        <v>35</v>
      </c>
      <c r="J157" t="s">
        <v>320</v>
      </c>
      <c r="K157" t="s">
        <v>2</v>
      </c>
      <c r="L157" t="s">
        <v>103</v>
      </c>
      <c r="M157" t="s">
        <v>1309</v>
      </c>
      <c r="N157" t="s">
        <v>850</v>
      </c>
      <c r="O157" t="s">
        <v>40</v>
      </c>
      <c r="P157" t="s">
        <v>1310</v>
      </c>
      <c r="Q157" t="s">
        <v>41</v>
      </c>
      <c r="R157" t="s">
        <v>1307</v>
      </c>
      <c r="S157">
        <v>1</v>
      </c>
      <c r="T157">
        <v>2706</v>
      </c>
      <c r="U157">
        <v>0</v>
      </c>
      <c r="V157">
        <v>2706</v>
      </c>
    </row>
    <row r="158" spans="1:22" x14ac:dyDescent="0.25">
      <c r="A158">
        <v>79452</v>
      </c>
      <c r="B158">
        <v>131554981</v>
      </c>
      <c r="C158" t="s">
        <v>1311</v>
      </c>
      <c r="D158">
        <v>18796519</v>
      </c>
      <c r="E158" t="s">
        <v>846</v>
      </c>
      <c r="F158" t="s">
        <v>847</v>
      </c>
      <c r="G158" t="s">
        <v>504</v>
      </c>
      <c r="H158" t="s">
        <v>505</v>
      </c>
      <c r="I158" t="s">
        <v>35</v>
      </c>
      <c r="J158" t="s">
        <v>320</v>
      </c>
      <c r="K158" t="s">
        <v>2</v>
      </c>
      <c r="L158" t="s">
        <v>103</v>
      </c>
      <c r="M158" t="s">
        <v>1312</v>
      </c>
      <c r="N158" t="s">
        <v>850</v>
      </c>
      <c r="O158" t="s">
        <v>40</v>
      </c>
      <c r="P158" t="s">
        <v>1313</v>
      </c>
      <c r="Q158" t="s">
        <v>97</v>
      </c>
      <c r="R158" t="s">
        <v>1307</v>
      </c>
      <c r="S158">
        <v>1</v>
      </c>
      <c r="T158">
        <v>2706</v>
      </c>
      <c r="U158">
        <v>0</v>
      </c>
      <c r="V158">
        <v>2706</v>
      </c>
    </row>
    <row r="159" spans="1:22" x14ac:dyDescent="0.25">
      <c r="A159">
        <v>79452</v>
      </c>
      <c r="B159">
        <v>131554975</v>
      </c>
      <c r="C159" t="s">
        <v>1314</v>
      </c>
      <c r="D159">
        <v>18796517</v>
      </c>
      <c r="E159" t="s">
        <v>846</v>
      </c>
      <c r="F159" t="s">
        <v>847</v>
      </c>
      <c r="G159" t="s">
        <v>504</v>
      </c>
      <c r="H159" t="s">
        <v>505</v>
      </c>
      <c r="I159" t="s">
        <v>35</v>
      </c>
      <c r="J159" t="s">
        <v>320</v>
      </c>
      <c r="K159" t="s">
        <v>2</v>
      </c>
      <c r="L159" t="s">
        <v>103</v>
      </c>
      <c r="M159" t="s">
        <v>1315</v>
      </c>
      <c r="N159" t="s">
        <v>850</v>
      </c>
      <c r="O159" t="s">
        <v>40</v>
      </c>
      <c r="P159" t="s">
        <v>1316</v>
      </c>
      <c r="Q159" t="s">
        <v>141</v>
      </c>
      <c r="R159" t="s">
        <v>1307</v>
      </c>
      <c r="S159">
        <v>1</v>
      </c>
      <c r="T159">
        <v>2706</v>
      </c>
      <c r="U159">
        <v>0</v>
      </c>
      <c r="V159">
        <v>2706</v>
      </c>
    </row>
    <row r="160" spans="1:22" x14ac:dyDescent="0.25">
      <c r="A160">
        <v>79452</v>
      </c>
      <c r="B160">
        <v>131489619</v>
      </c>
      <c r="C160" t="s">
        <v>1317</v>
      </c>
      <c r="D160">
        <v>18796511</v>
      </c>
      <c r="E160" t="s">
        <v>846</v>
      </c>
      <c r="F160" t="s">
        <v>847</v>
      </c>
      <c r="G160" t="s">
        <v>504</v>
      </c>
      <c r="H160" t="s">
        <v>505</v>
      </c>
      <c r="I160" t="s">
        <v>35</v>
      </c>
      <c r="J160" t="s">
        <v>320</v>
      </c>
      <c r="K160" t="s">
        <v>2</v>
      </c>
      <c r="L160" t="s">
        <v>103</v>
      </c>
      <c r="M160" t="s">
        <v>1318</v>
      </c>
      <c r="N160" t="s">
        <v>850</v>
      </c>
      <c r="O160" t="s">
        <v>40</v>
      </c>
      <c r="P160" t="s">
        <v>1319</v>
      </c>
      <c r="Q160" t="s">
        <v>71</v>
      </c>
      <c r="R160" t="s">
        <v>304</v>
      </c>
      <c r="S160">
        <v>1</v>
      </c>
      <c r="T160">
        <v>2706</v>
      </c>
      <c r="U160">
        <v>0</v>
      </c>
      <c r="V160">
        <v>2706</v>
      </c>
    </row>
    <row r="161" spans="1:22" x14ac:dyDescent="0.25">
      <c r="A161">
        <v>79452</v>
      </c>
      <c r="B161">
        <v>131534055</v>
      </c>
      <c r="C161" t="s">
        <v>1320</v>
      </c>
      <c r="D161">
        <v>18792606</v>
      </c>
      <c r="E161" t="s">
        <v>846</v>
      </c>
      <c r="F161" t="s">
        <v>847</v>
      </c>
      <c r="G161" t="s">
        <v>504</v>
      </c>
      <c r="H161" t="s">
        <v>505</v>
      </c>
      <c r="I161" t="s">
        <v>35</v>
      </c>
      <c r="J161" t="s">
        <v>320</v>
      </c>
      <c r="K161" t="s">
        <v>2</v>
      </c>
      <c r="L161" t="s">
        <v>103</v>
      </c>
      <c r="M161" t="s">
        <v>1321</v>
      </c>
      <c r="N161" t="s">
        <v>850</v>
      </c>
      <c r="O161" t="s">
        <v>40</v>
      </c>
      <c r="P161" t="s">
        <v>1322</v>
      </c>
      <c r="Q161" t="s">
        <v>43</v>
      </c>
      <c r="R161" t="s">
        <v>431</v>
      </c>
      <c r="S161">
        <v>1</v>
      </c>
      <c r="T161">
        <v>2706</v>
      </c>
      <c r="U161">
        <v>0</v>
      </c>
      <c r="V161">
        <v>2706</v>
      </c>
    </row>
    <row r="162" spans="1:22" x14ac:dyDescent="0.25">
      <c r="A162">
        <v>79452</v>
      </c>
      <c r="B162">
        <v>131529876</v>
      </c>
      <c r="C162" t="s">
        <v>1323</v>
      </c>
      <c r="D162">
        <v>18792602</v>
      </c>
      <c r="E162" t="s">
        <v>846</v>
      </c>
      <c r="F162" t="s">
        <v>847</v>
      </c>
      <c r="G162" t="s">
        <v>504</v>
      </c>
      <c r="H162" t="s">
        <v>505</v>
      </c>
      <c r="I162" t="s">
        <v>35</v>
      </c>
      <c r="J162" t="s">
        <v>320</v>
      </c>
      <c r="K162" t="s">
        <v>2</v>
      </c>
      <c r="L162" t="s">
        <v>103</v>
      </c>
      <c r="M162" t="s">
        <v>1324</v>
      </c>
      <c r="N162" t="s">
        <v>850</v>
      </c>
      <c r="O162" t="s">
        <v>40</v>
      </c>
      <c r="P162" t="s">
        <v>1325</v>
      </c>
      <c r="Q162" t="s">
        <v>72</v>
      </c>
      <c r="R162" t="s">
        <v>381</v>
      </c>
      <c r="S162">
        <v>1</v>
      </c>
      <c r="T162">
        <v>2706</v>
      </c>
      <c r="U162">
        <v>0</v>
      </c>
      <c r="V162">
        <v>2706</v>
      </c>
    </row>
    <row r="163" spans="1:22" x14ac:dyDescent="0.25">
      <c r="A163">
        <v>79452</v>
      </c>
      <c r="B163">
        <v>131529871</v>
      </c>
      <c r="C163" t="s">
        <v>1326</v>
      </c>
      <c r="D163">
        <v>18792601</v>
      </c>
      <c r="E163" t="s">
        <v>846</v>
      </c>
      <c r="F163" t="s">
        <v>847</v>
      </c>
      <c r="G163" t="s">
        <v>504</v>
      </c>
      <c r="H163" t="s">
        <v>505</v>
      </c>
      <c r="I163" t="s">
        <v>35</v>
      </c>
      <c r="J163" t="s">
        <v>320</v>
      </c>
      <c r="K163" t="s">
        <v>2</v>
      </c>
      <c r="L163" t="s">
        <v>103</v>
      </c>
      <c r="M163" t="s">
        <v>1327</v>
      </c>
      <c r="N163" t="s">
        <v>850</v>
      </c>
      <c r="O163" t="s">
        <v>40</v>
      </c>
      <c r="P163" t="s">
        <v>1328</v>
      </c>
      <c r="Q163" t="s">
        <v>41</v>
      </c>
      <c r="R163" t="s">
        <v>381</v>
      </c>
      <c r="S163">
        <v>1</v>
      </c>
      <c r="T163">
        <v>2706</v>
      </c>
      <c r="U163">
        <v>0</v>
      </c>
      <c r="V163">
        <v>2706</v>
      </c>
    </row>
    <row r="164" spans="1:22" x14ac:dyDescent="0.25">
      <c r="A164">
        <v>79452</v>
      </c>
      <c r="B164">
        <v>131529868</v>
      </c>
      <c r="C164" t="s">
        <v>1329</v>
      </c>
      <c r="D164">
        <v>18792600</v>
      </c>
      <c r="E164" t="s">
        <v>846</v>
      </c>
      <c r="F164" t="s">
        <v>847</v>
      </c>
      <c r="G164" t="s">
        <v>504</v>
      </c>
      <c r="H164" t="s">
        <v>505</v>
      </c>
      <c r="I164" t="s">
        <v>35</v>
      </c>
      <c r="J164" t="s">
        <v>320</v>
      </c>
      <c r="K164" t="s">
        <v>2</v>
      </c>
      <c r="L164" t="s">
        <v>103</v>
      </c>
      <c r="M164" t="s">
        <v>1330</v>
      </c>
      <c r="N164" t="s">
        <v>850</v>
      </c>
      <c r="O164" t="s">
        <v>40</v>
      </c>
      <c r="P164" t="s">
        <v>1331</v>
      </c>
      <c r="Q164" t="s">
        <v>70</v>
      </c>
      <c r="R164" t="s">
        <v>381</v>
      </c>
      <c r="S164">
        <v>1</v>
      </c>
      <c r="T164">
        <v>2706</v>
      </c>
      <c r="U164">
        <v>0</v>
      </c>
      <c r="V164">
        <v>2706</v>
      </c>
    </row>
    <row r="165" spans="1:22" x14ac:dyDescent="0.25">
      <c r="A165">
        <v>79452</v>
      </c>
      <c r="B165">
        <v>131529879</v>
      </c>
      <c r="C165" t="s">
        <v>1332</v>
      </c>
      <c r="D165">
        <v>18792598</v>
      </c>
      <c r="E165" t="s">
        <v>846</v>
      </c>
      <c r="F165" t="s">
        <v>847</v>
      </c>
      <c r="G165" t="s">
        <v>504</v>
      </c>
      <c r="H165" t="s">
        <v>505</v>
      </c>
      <c r="I165" t="s">
        <v>35</v>
      </c>
      <c r="J165" t="s">
        <v>320</v>
      </c>
      <c r="K165" t="s">
        <v>2</v>
      </c>
      <c r="L165" t="s">
        <v>103</v>
      </c>
      <c r="M165" t="s">
        <v>1173</v>
      </c>
      <c r="N165" t="s">
        <v>850</v>
      </c>
      <c r="O165" t="s">
        <v>40</v>
      </c>
      <c r="P165" t="s">
        <v>1174</v>
      </c>
      <c r="Q165" t="s">
        <v>37</v>
      </c>
      <c r="R165" t="s">
        <v>381</v>
      </c>
      <c r="S165">
        <v>1</v>
      </c>
      <c r="T165">
        <v>2706</v>
      </c>
      <c r="U165">
        <v>0</v>
      </c>
      <c r="V165">
        <v>2706</v>
      </c>
    </row>
    <row r="166" spans="1:22" x14ac:dyDescent="0.25">
      <c r="A166">
        <v>79452</v>
      </c>
      <c r="B166">
        <v>131489569</v>
      </c>
      <c r="C166" t="s">
        <v>1333</v>
      </c>
      <c r="D166">
        <v>18788742</v>
      </c>
      <c r="E166" t="s">
        <v>846</v>
      </c>
      <c r="F166" t="s">
        <v>847</v>
      </c>
      <c r="G166" t="s">
        <v>504</v>
      </c>
      <c r="H166" t="s">
        <v>505</v>
      </c>
      <c r="I166" t="s">
        <v>35</v>
      </c>
      <c r="J166" t="s">
        <v>320</v>
      </c>
      <c r="K166" t="s">
        <v>2</v>
      </c>
      <c r="L166" t="s">
        <v>103</v>
      </c>
      <c r="M166" t="s">
        <v>1334</v>
      </c>
      <c r="N166" t="s">
        <v>850</v>
      </c>
      <c r="O166" t="s">
        <v>40</v>
      </c>
      <c r="P166" t="s">
        <v>1335</v>
      </c>
      <c r="Q166" t="s">
        <v>72</v>
      </c>
      <c r="R166" t="s">
        <v>304</v>
      </c>
      <c r="S166">
        <v>1</v>
      </c>
      <c r="T166">
        <v>2706</v>
      </c>
      <c r="U166">
        <v>0</v>
      </c>
      <c r="V166">
        <v>2706</v>
      </c>
    </row>
    <row r="167" spans="1:22" x14ac:dyDescent="0.25">
      <c r="A167">
        <v>79452</v>
      </c>
      <c r="B167">
        <v>131489574</v>
      </c>
      <c r="C167" t="s">
        <v>1336</v>
      </c>
      <c r="D167">
        <v>18788741</v>
      </c>
      <c r="E167" t="s">
        <v>846</v>
      </c>
      <c r="F167" t="s">
        <v>847</v>
      </c>
      <c r="G167" t="s">
        <v>504</v>
      </c>
      <c r="H167" t="s">
        <v>505</v>
      </c>
      <c r="I167" t="s">
        <v>35</v>
      </c>
      <c r="J167" t="s">
        <v>320</v>
      </c>
      <c r="K167" t="s">
        <v>2</v>
      </c>
      <c r="L167" t="s">
        <v>103</v>
      </c>
      <c r="M167" t="s">
        <v>1337</v>
      </c>
      <c r="N167" t="s">
        <v>850</v>
      </c>
      <c r="O167" t="s">
        <v>40</v>
      </c>
      <c r="P167" t="s">
        <v>1338</v>
      </c>
      <c r="Q167" t="s">
        <v>42</v>
      </c>
      <c r="R167" t="s">
        <v>304</v>
      </c>
      <c r="S167">
        <v>1</v>
      </c>
      <c r="T167">
        <v>2706</v>
      </c>
      <c r="U167">
        <v>0</v>
      </c>
      <c r="V167">
        <v>2706</v>
      </c>
    </row>
    <row r="168" spans="1:22" x14ac:dyDescent="0.25">
      <c r="A168">
        <v>79452</v>
      </c>
      <c r="B168">
        <v>131489576</v>
      </c>
      <c r="C168" t="s">
        <v>1339</v>
      </c>
      <c r="D168">
        <v>18788740</v>
      </c>
      <c r="E168" t="s">
        <v>846</v>
      </c>
      <c r="F168" t="s">
        <v>847</v>
      </c>
      <c r="G168" t="s">
        <v>504</v>
      </c>
      <c r="H168" t="s">
        <v>505</v>
      </c>
      <c r="I168" t="s">
        <v>35</v>
      </c>
      <c r="J168" t="s">
        <v>320</v>
      </c>
      <c r="K168" t="s">
        <v>2</v>
      </c>
      <c r="L168" t="s">
        <v>103</v>
      </c>
      <c r="M168" t="s">
        <v>1340</v>
      </c>
      <c r="N168" t="s">
        <v>850</v>
      </c>
      <c r="O168" t="s">
        <v>40</v>
      </c>
      <c r="P168" t="s">
        <v>1341</v>
      </c>
      <c r="Q168" t="s">
        <v>41</v>
      </c>
      <c r="R168" t="s">
        <v>304</v>
      </c>
      <c r="S168">
        <v>1</v>
      </c>
      <c r="T168">
        <v>2706</v>
      </c>
      <c r="U168">
        <v>0</v>
      </c>
      <c r="V168">
        <v>2706</v>
      </c>
    </row>
    <row r="169" spans="1:22" x14ac:dyDescent="0.25">
      <c r="A169">
        <v>79452</v>
      </c>
      <c r="B169">
        <v>131489579</v>
      </c>
      <c r="C169" t="s">
        <v>1342</v>
      </c>
      <c r="D169">
        <v>18788739</v>
      </c>
      <c r="E169" t="s">
        <v>846</v>
      </c>
      <c r="F169" t="s">
        <v>847</v>
      </c>
      <c r="G169" t="s">
        <v>504</v>
      </c>
      <c r="H169" t="s">
        <v>505</v>
      </c>
      <c r="I169" t="s">
        <v>35</v>
      </c>
      <c r="J169" t="s">
        <v>320</v>
      </c>
      <c r="K169" t="s">
        <v>2</v>
      </c>
      <c r="L169" t="s">
        <v>103</v>
      </c>
      <c r="M169" t="s">
        <v>1343</v>
      </c>
      <c r="N169" t="s">
        <v>850</v>
      </c>
      <c r="O169" t="s">
        <v>40</v>
      </c>
      <c r="P169" t="s">
        <v>1344</v>
      </c>
      <c r="Q169" t="s">
        <v>36</v>
      </c>
      <c r="R169" t="s">
        <v>304</v>
      </c>
      <c r="S169">
        <v>1</v>
      </c>
      <c r="T169">
        <v>2706</v>
      </c>
      <c r="U169">
        <v>0</v>
      </c>
      <c r="V169">
        <v>2706</v>
      </c>
    </row>
    <row r="170" spans="1:22" x14ac:dyDescent="0.25">
      <c r="A170">
        <v>79452</v>
      </c>
      <c r="B170">
        <v>131489585</v>
      </c>
      <c r="C170" t="s">
        <v>1345</v>
      </c>
      <c r="D170">
        <v>18788738</v>
      </c>
      <c r="E170" t="s">
        <v>846</v>
      </c>
      <c r="F170" t="s">
        <v>847</v>
      </c>
      <c r="G170" t="s">
        <v>504</v>
      </c>
      <c r="H170" t="s">
        <v>505</v>
      </c>
      <c r="I170" t="s">
        <v>35</v>
      </c>
      <c r="J170" t="s">
        <v>320</v>
      </c>
      <c r="K170" t="s">
        <v>2</v>
      </c>
      <c r="L170" t="s">
        <v>103</v>
      </c>
      <c r="M170" t="s">
        <v>1346</v>
      </c>
      <c r="N170" t="s">
        <v>850</v>
      </c>
      <c r="O170" t="s">
        <v>40</v>
      </c>
      <c r="P170" t="s">
        <v>1347</v>
      </c>
      <c r="Q170" t="s">
        <v>37</v>
      </c>
      <c r="R170" t="s">
        <v>304</v>
      </c>
      <c r="S170">
        <v>1</v>
      </c>
      <c r="T170">
        <v>2706</v>
      </c>
      <c r="U170">
        <v>0</v>
      </c>
      <c r="V170">
        <v>2706</v>
      </c>
    </row>
    <row r="171" spans="1:22" x14ac:dyDescent="0.25">
      <c r="A171">
        <v>79452</v>
      </c>
      <c r="B171">
        <v>131489594</v>
      </c>
      <c r="C171" t="s">
        <v>1348</v>
      </c>
      <c r="D171">
        <v>18788735</v>
      </c>
      <c r="E171" t="s">
        <v>846</v>
      </c>
      <c r="F171" t="s">
        <v>847</v>
      </c>
      <c r="G171" t="s">
        <v>504</v>
      </c>
      <c r="H171" t="s">
        <v>505</v>
      </c>
      <c r="I171" t="s">
        <v>35</v>
      </c>
      <c r="J171" t="s">
        <v>320</v>
      </c>
      <c r="K171" t="s">
        <v>2</v>
      </c>
      <c r="L171" t="s">
        <v>103</v>
      </c>
      <c r="M171" t="s">
        <v>1349</v>
      </c>
      <c r="N171" t="s">
        <v>850</v>
      </c>
      <c r="O171" t="s">
        <v>40</v>
      </c>
      <c r="P171" t="s">
        <v>1350</v>
      </c>
      <c r="Q171" t="s">
        <v>141</v>
      </c>
      <c r="R171" t="s">
        <v>304</v>
      </c>
      <c r="S171">
        <v>1</v>
      </c>
      <c r="T171">
        <v>2706</v>
      </c>
      <c r="U171">
        <v>0</v>
      </c>
      <c r="V171">
        <v>2706</v>
      </c>
    </row>
    <row r="172" spans="1:22" x14ac:dyDescent="0.25">
      <c r="A172">
        <v>79452</v>
      </c>
      <c r="B172">
        <v>131499748</v>
      </c>
      <c r="C172" t="s">
        <v>1351</v>
      </c>
      <c r="D172">
        <v>18788733</v>
      </c>
      <c r="E172" t="s">
        <v>846</v>
      </c>
      <c r="F172" t="s">
        <v>847</v>
      </c>
      <c r="G172" t="s">
        <v>504</v>
      </c>
      <c r="H172" t="s">
        <v>505</v>
      </c>
      <c r="I172" t="s">
        <v>35</v>
      </c>
      <c r="J172" t="s">
        <v>320</v>
      </c>
      <c r="K172" t="s">
        <v>2</v>
      </c>
      <c r="L172" t="s">
        <v>103</v>
      </c>
      <c r="M172" t="s">
        <v>1352</v>
      </c>
      <c r="N172" t="s">
        <v>850</v>
      </c>
      <c r="O172" t="s">
        <v>40</v>
      </c>
      <c r="P172" t="s">
        <v>1353</v>
      </c>
      <c r="Q172" t="s">
        <v>153</v>
      </c>
      <c r="R172" t="s">
        <v>618</v>
      </c>
      <c r="S172">
        <v>1</v>
      </c>
      <c r="T172">
        <v>2706</v>
      </c>
      <c r="U172">
        <v>0</v>
      </c>
      <c r="V172">
        <v>2706</v>
      </c>
    </row>
    <row r="173" spans="1:22" x14ac:dyDescent="0.25">
      <c r="A173">
        <v>79452</v>
      </c>
      <c r="B173">
        <v>131489590</v>
      </c>
      <c r="C173" t="s">
        <v>1354</v>
      </c>
      <c r="D173">
        <v>18788730</v>
      </c>
      <c r="E173" t="s">
        <v>846</v>
      </c>
      <c r="F173" t="s">
        <v>847</v>
      </c>
      <c r="G173" t="s">
        <v>504</v>
      </c>
      <c r="H173" t="s">
        <v>505</v>
      </c>
      <c r="I173" t="s">
        <v>35</v>
      </c>
      <c r="J173" t="s">
        <v>320</v>
      </c>
      <c r="K173" t="s">
        <v>2</v>
      </c>
      <c r="L173" t="s">
        <v>103</v>
      </c>
      <c r="M173" t="s">
        <v>1355</v>
      </c>
      <c r="N173" t="s">
        <v>850</v>
      </c>
      <c r="O173" t="s">
        <v>40</v>
      </c>
      <c r="P173" t="s">
        <v>1356</v>
      </c>
      <c r="Q173" t="s">
        <v>45</v>
      </c>
      <c r="R173" t="s">
        <v>304</v>
      </c>
      <c r="S173">
        <v>1</v>
      </c>
      <c r="T173">
        <v>2706</v>
      </c>
      <c r="U173">
        <v>0</v>
      </c>
      <c r="V173">
        <v>2706</v>
      </c>
    </row>
    <row r="174" spans="1:22" x14ac:dyDescent="0.25">
      <c r="A174">
        <v>79452</v>
      </c>
      <c r="B174">
        <v>131458376</v>
      </c>
      <c r="C174" t="s">
        <v>1357</v>
      </c>
      <c r="D174">
        <v>18784432</v>
      </c>
      <c r="E174" t="s">
        <v>846</v>
      </c>
      <c r="F174" t="s">
        <v>847</v>
      </c>
      <c r="G174" t="s">
        <v>504</v>
      </c>
      <c r="H174" t="s">
        <v>505</v>
      </c>
      <c r="I174" t="s">
        <v>35</v>
      </c>
      <c r="J174" t="s">
        <v>320</v>
      </c>
      <c r="K174" t="s">
        <v>2</v>
      </c>
      <c r="L174" t="s">
        <v>103</v>
      </c>
      <c r="M174" t="s">
        <v>1358</v>
      </c>
      <c r="N174" t="s">
        <v>850</v>
      </c>
      <c r="O174" t="s">
        <v>40</v>
      </c>
      <c r="P174" t="s">
        <v>1359</v>
      </c>
      <c r="Q174" t="s">
        <v>42</v>
      </c>
      <c r="R174" t="s">
        <v>672</v>
      </c>
      <c r="S174">
        <v>1</v>
      </c>
      <c r="T174">
        <v>2706</v>
      </c>
      <c r="U174">
        <v>0</v>
      </c>
      <c r="V174">
        <v>2706</v>
      </c>
    </row>
    <row r="175" spans="1:22" x14ac:dyDescent="0.25">
      <c r="A175">
        <v>79452</v>
      </c>
      <c r="B175">
        <v>131458374</v>
      </c>
      <c r="C175" t="s">
        <v>1360</v>
      </c>
      <c r="D175">
        <v>18784430</v>
      </c>
      <c r="E175" t="s">
        <v>846</v>
      </c>
      <c r="F175" t="s">
        <v>847</v>
      </c>
      <c r="G175" t="s">
        <v>504</v>
      </c>
      <c r="H175" t="s">
        <v>505</v>
      </c>
      <c r="I175" t="s">
        <v>35</v>
      </c>
      <c r="J175" t="s">
        <v>320</v>
      </c>
      <c r="K175" t="s">
        <v>2</v>
      </c>
      <c r="L175" t="s">
        <v>103</v>
      </c>
      <c r="M175" t="s">
        <v>1361</v>
      </c>
      <c r="N175" t="s">
        <v>850</v>
      </c>
      <c r="O175" t="s">
        <v>40</v>
      </c>
      <c r="P175" t="s">
        <v>1362</v>
      </c>
      <c r="Q175" t="s">
        <v>44</v>
      </c>
      <c r="R175" t="s">
        <v>672</v>
      </c>
      <c r="S175">
        <v>1</v>
      </c>
      <c r="T175">
        <v>2706</v>
      </c>
      <c r="U175">
        <v>0</v>
      </c>
      <c r="V175">
        <v>2706</v>
      </c>
    </row>
    <row r="176" spans="1:22" x14ac:dyDescent="0.25">
      <c r="A176">
        <v>79452</v>
      </c>
      <c r="B176">
        <v>131448358</v>
      </c>
      <c r="C176" t="s">
        <v>1363</v>
      </c>
      <c r="D176">
        <v>18784428</v>
      </c>
      <c r="E176" t="s">
        <v>846</v>
      </c>
      <c r="F176" t="s">
        <v>847</v>
      </c>
      <c r="G176" t="s">
        <v>504</v>
      </c>
      <c r="H176" t="s">
        <v>505</v>
      </c>
      <c r="I176" t="s">
        <v>35</v>
      </c>
      <c r="J176" t="s">
        <v>320</v>
      </c>
      <c r="K176" t="s">
        <v>2</v>
      </c>
      <c r="L176" t="s">
        <v>103</v>
      </c>
      <c r="M176" t="s">
        <v>627</v>
      </c>
      <c r="N176" t="s">
        <v>850</v>
      </c>
      <c r="O176" t="s">
        <v>40</v>
      </c>
      <c r="P176" t="s">
        <v>1364</v>
      </c>
      <c r="Q176" t="s">
        <v>98</v>
      </c>
      <c r="R176" t="s">
        <v>707</v>
      </c>
      <c r="S176">
        <v>1</v>
      </c>
      <c r="T176">
        <v>2706</v>
      </c>
      <c r="U176">
        <v>0</v>
      </c>
      <c r="V176">
        <v>2706</v>
      </c>
    </row>
    <row r="177" spans="1:22" x14ac:dyDescent="0.25">
      <c r="A177">
        <v>79452</v>
      </c>
      <c r="B177">
        <v>131448357</v>
      </c>
      <c r="C177" t="s">
        <v>1365</v>
      </c>
      <c r="D177">
        <v>18784426</v>
      </c>
      <c r="E177" t="s">
        <v>846</v>
      </c>
      <c r="F177" t="s">
        <v>847</v>
      </c>
      <c r="G177" t="s">
        <v>504</v>
      </c>
      <c r="H177" t="s">
        <v>505</v>
      </c>
      <c r="I177" t="s">
        <v>35</v>
      </c>
      <c r="J177" t="s">
        <v>320</v>
      </c>
      <c r="K177" t="s">
        <v>2</v>
      </c>
      <c r="L177" t="s">
        <v>103</v>
      </c>
      <c r="M177" t="s">
        <v>1366</v>
      </c>
      <c r="N177" t="s">
        <v>850</v>
      </c>
      <c r="O177" t="s">
        <v>40</v>
      </c>
      <c r="P177" t="s">
        <v>1197</v>
      </c>
      <c r="Q177" t="s">
        <v>97</v>
      </c>
      <c r="R177" t="s">
        <v>707</v>
      </c>
      <c r="S177">
        <v>1</v>
      </c>
      <c r="T177">
        <v>2706</v>
      </c>
      <c r="U177">
        <v>0</v>
      </c>
      <c r="V177">
        <v>2706</v>
      </c>
    </row>
    <row r="178" spans="1:22" x14ac:dyDescent="0.25">
      <c r="A178">
        <v>79452</v>
      </c>
      <c r="B178">
        <v>131448347</v>
      </c>
      <c r="C178" t="s">
        <v>1367</v>
      </c>
      <c r="D178">
        <v>18784424</v>
      </c>
      <c r="E178" t="s">
        <v>846</v>
      </c>
      <c r="F178" t="s">
        <v>847</v>
      </c>
      <c r="G178" t="s">
        <v>504</v>
      </c>
      <c r="H178" t="s">
        <v>505</v>
      </c>
      <c r="I178" t="s">
        <v>35</v>
      </c>
      <c r="J178" t="s">
        <v>320</v>
      </c>
      <c r="K178" t="s">
        <v>2</v>
      </c>
      <c r="L178" t="s">
        <v>103</v>
      </c>
      <c r="M178" t="s">
        <v>944</v>
      </c>
      <c r="N178" t="s">
        <v>850</v>
      </c>
      <c r="O178" t="s">
        <v>40</v>
      </c>
      <c r="P178" t="s">
        <v>945</v>
      </c>
      <c r="Q178" t="s">
        <v>37</v>
      </c>
      <c r="R178" t="s">
        <v>707</v>
      </c>
      <c r="S178">
        <v>1</v>
      </c>
      <c r="T178">
        <v>2706</v>
      </c>
      <c r="U178">
        <v>0</v>
      </c>
      <c r="V178">
        <v>2706</v>
      </c>
    </row>
    <row r="179" spans="1:22" x14ac:dyDescent="0.25">
      <c r="A179">
        <v>79452</v>
      </c>
      <c r="B179">
        <v>131448342</v>
      </c>
      <c r="C179" t="s">
        <v>1368</v>
      </c>
      <c r="D179">
        <v>18784423</v>
      </c>
      <c r="E179" t="s">
        <v>846</v>
      </c>
      <c r="F179" t="s">
        <v>847</v>
      </c>
      <c r="G179" t="s">
        <v>504</v>
      </c>
      <c r="H179" t="s">
        <v>505</v>
      </c>
      <c r="I179" t="s">
        <v>35</v>
      </c>
      <c r="J179" t="s">
        <v>320</v>
      </c>
      <c r="K179" t="s">
        <v>2</v>
      </c>
      <c r="L179" t="s">
        <v>103</v>
      </c>
      <c r="M179" t="s">
        <v>1369</v>
      </c>
      <c r="N179" t="s">
        <v>850</v>
      </c>
      <c r="O179" t="s">
        <v>40</v>
      </c>
      <c r="P179" t="s">
        <v>1370</v>
      </c>
      <c r="Q179" t="s">
        <v>37</v>
      </c>
      <c r="R179" t="s">
        <v>707</v>
      </c>
      <c r="S179">
        <v>1</v>
      </c>
      <c r="T179">
        <v>2706</v>
      </c>
      <c r="U179">
        <v>0</v>
      </c>
      <c r="V179">
        <v>2706</v>
      </c>
    </row>
    <row r="180" spans="1:22" x14ac:dyDescent="0.25">
      <c r="A180">
        <v>79452</v>
      </c>
      <c r="B180">
        <v>131448344</v>
      </c>
      <c r="C180" t="s">
        <v>1371</v>
      </c>
      <c r="D180">
        <v>18784421</v>
      </c>
      <c r="E180" t="s">
        <v>846</v>
      </c>
      <c r="F180" t="s">
        <v>847</v>
      </c>
      <c r="G180" t="s">
        <v>504</v>
      </c>
      <c r="H180" t="s">
        <v>505</v>
      </c>
      <c r="I180" t="s">
        <v>35</v>
      </c>
      <c r="J180" t="s">
        <v>320</v>
      </c>
      <c r="K180" t="s">
        <v>2</v>
      </c>
      <c r="L180" t="s">
        <v>103</v>
      </c>
      <c r="M180" t="s">
        <v>1372</v>
      </c>
      <c r="N180" t="s">
        <v>850</v>
      </c>
      <c r="O180" t="s">
        <v>40</v>
      </c>
      <c r="P180" t="s">
        <v>1373</v>
      </c>
      <c r="Q180" t="s">
        <v>93</v>
      </c>
      <c r="R180" t="s">
        <v>707</v>
      </c>
      <c r="S180">
        <v>1</v>
      </c>
      <c r="T180">
        <v>2706</v>
      </c>
      <c r="U180">
        <v>0</v>
      </c>
      <c r="V180">
        <v>2706</v>
      </c>
    </row>
    <row r="181" spans="1:22" x14ac:dyDescent="0.25">
      <c r="A181">
        <v>79452</v>
      </c>
      <c r="B181">
        <v>131448349</v>
      </c>
      <c r="C181" t="s">
        <v>1374</v>
      </c>
      <c r="D181">
        <v>18784420</v>
      </c>
      <c r="E181" t="s">
        <v>846</v>
      </c>
      <c r="F181" t="s">
        <v>847</v>
      </c>
      <c r="G181" t="s">
        <v>504</v>
      </c>
      <c r="H181" t="s">
        <v>505</v>
      </c>
      <c r="I181" t="s">
        <v>35</v>
      </c>
      <c r="J181" t="s">
        <v>320</v>
      </c>
      <c r="K181" t="s">
        <v>2</v>
      </c>
      <c r="L181" t="s">
        <v>103</v>
      </c>
      <c r="M181" t="s">
        <v>1375</v>
      </c>
      <c r="N181" t="s">
        <v>850</v>
      </c>
      <c r="O181" t="s">
        <v>40</v>
      </c>
      <c r="P181" t="s">
        <v>1376</v>
      </c>
      <c r="Q181" t="s">
        <v>41</v>
      </c>
      <c r="R181" t="s">
        <v>707</v>
      </c>
      <c r="S181">
        <v>1</v>
      </c>
      <c r="T181">
        <v>2706</v>
      </c>
      <c r="U181">
        <v>0</v>
      </c>
      <c r="V181">
        <v>2706</v>
      </c>
    </row>
    <row r="182" spans="1:22" x14ac:dyDescent="0.25">
      <c r="A182">
        <v>79452</v>
      </c>
      <c r="B182">
        <v>131448334</v>
      </c>
      <c r="C182" t="s">
        <v>1377</v>
      </c>
      <c r="D182">
        <v>18784418</v>
      </c>
      <c r="E182" t="s">
        <v>846</v>
      </c>
      <c r="F182" t="s">
        <v>847</v>
      </c>
      <c r="G182" t="s">
        <v>504</v>
      </c>
      <c r="H182" t="s">
        <v>505</v>
      </c>
      <c r="I182" t="s">
        <v>35</v>
      </c>
      <c r="J182" t="s">
        <v>320</v>
      </c>
      <c r="K182" t="s">
        <v>2</v>
      </c>
      <c r="L182" t="s">
        <v>103</v>
      </c>
      <c r="M182" t="s">
        <v>1378</v>
      </c>
      <c r="N182" t="s">
        <v>850</v>
      </c>
      <c r="O182" t="s">
        <v>40</v>
      </c>
      <c r="P182" t="s">
        <v>1379</v>
      </c>
      <c r="Q182" t="s">
        <v>97</v>
      </c>
      <c r="R182" t="s">
        <v>707</v>
      </c>
      <c r="S182">
        <v>1</v>
      </c>
      <c r="T182">
        <v>2706</v>
      </c>
      <c r="U182">
        <v>0</v>
      </c>
      <c r="V182">
        <v>2706</v>
      </c>
    </row>
    <row r="183" spans="1:22" x14ac:dyDescent="0.25">
      <c r="A183">
        <v>79452</v>
      </c>
      <c r="B183">
        <v>131448318</v>
      </c>
      <c r="C183" t="s">
        <v>1380</v>
      </c>
      <c r="D183">
        <v>18784417</v>
      </c>
      <c r="E183" t="s">
        <v>846</v>
      </c>
      <c r="F183" t="s">
        <v>847</v>
      </c>
      <c r="G183" t="s">
        <v>504</v>
      </c>
      <c r="H183" t="s">
        <v>505</v>
      </c>
      <c r="I183" t="s">
        <v>35</v>
      </c>
      <c r="J183" t="s">
        <v>320</v>
      </c>
      <c r="K183" t="s">
        <v>2</v>
      </c>
      <c r="L183" t="s">
        <v>103</v>
      </c>
      <c r="M183" t="s">
        <v>1381</v>
      </c>
      <c r="N183" t="s">
        <v>850</v>
      </c>
      <c r="O183" t="s">
        <v>40</v>
      </c>
      <c r="P183" t="s">
        <v>1382</v>
      </c>
      <c r="Q183" t="s">
        <v>70</v>
      </c>
      <c r="R183" t="s">
        <v>619</v>
      </c>
      <c r="S183">
        <v>1</v>
      </c>
      <c r="T183">
        <v>2706</v>
      </c>
      <c r="U183">
        <v>0</v>
      </c>
      <c r="V183">
        <v>2706</v>
      </c>
    </row>
    <row r="184" spans="1:22" x14ac:dyDescent="0.25">
      <c r="A184">
        <v>79452</v>
      </c>
      <c r="B184">
        <v>131383492</v>
      </c>
      <c r="C184" t="s">
        <v>1383</v>
      </c>
      <c r="D184">
        <v>18779243</v>
      </c>
      <c r="E184" t="s">
        <v>846</v>
      </c>
      <c r="F184" t="s">
        <v>847</v>
      </c>
      <c r="G184" t="s">
        <v>504</v>
      </c>
      <c r="H184" t="s">
        <v>505</v>
      </c>
      <c r="I184" t="s">
        <v>35</v>
      </c>
      <c r="J184" t="s">
        <v>320</v>
      </c>
      <c r="K184" t="s">
        <v>2</v>
      </c>
      <c r="L184" t="s">
        <v>103</v>
      </c>
      <c r="M184" t="s">
        <v>1384</v>
      </c>
      <c r="N184" t="s">
        <v>850</v>
      </c>
      <c r="O184" t="s">
        <v>40</v>
      </c>
      <c r="P184" t="s">
        <v>1385</v>
      </c>
      <c r="Q184" t="s">
        <v>100</v>
      </c>
      <c r="R184" t="s">
        <v>1386</v>
      </c>
      <c r="S184">
        <v>1</v>
      </c>
      <c r="T184">
        <v>2706</v>
      </c>
      <c r="U184">
        <v>0</v>
      </c>
      <c r="V184">
        <v>2706</v>
      </c>
    </row>
    <row r="185" spans="1:22" x14ac:dyDescent="0.25">
      <c r="A185">
        <v>79452</v>
      </c>
      <c r="B185">
        <v>131383490</v>
      </c>
      <c r="C185" t="s">
        <v>1387</v>
      </c>
      <c r="D185">
        <v>18779241</v>
      </c>
      <c r="E185" t="s">
        <v>846</v>
      </c>
      <c r="F185" t="s">
        <v>847</v>
      </c>
      <c r="G185" t="s">
        <v>504</v>
      </c>
      <c r="H185" t="s">
        <v>505</v>
      </c>
      <c r="I185" t="s">
        <v>35</v>
      </c>
      <c r="J185" t="s">
        <v>320</v>
      </c>
      <c r="K185" t="s">
        <v>2</v>
      </c>
      <c r="L185" t="s">
        <v>103</v>
      </c>
      <c r="M185" t="s">
        <v>316</v>
      </c>
      <c r="N185" t="s">
        <v>850</v>
      </c>
      <c r="O185" t="s">
        <v>40</v>
      </c>
      <c r="P185" t="s">
        <v>1388</v>
      </c>
      <c r="Q185" t="s">
        <v>41</v>
      </c>
      <c r="R185" t="s">
        <v>1386</v>
      </c>
      <c r="S185">
        <v>1</v>
      </c>
      <c r="T185">
        <v>2706</v>
      </c>
      <c r="U185">
        <v>0</v>
      </c>
      <c r="V185">
        <v>2706</v>
      </c>
    </row>
    <row r="186" spans="1:22" x14ac:dyDescent="0.25">
      <c r="A186">
        <v>79452</v>
      </c>
      <c r="B186">
        <v>131383487</v>
      </c>
      <c r="C186" t="s">
        <v>1389</v>
      </c>
      <c r="D186">
        <v>18779237</v>
      </c>
      <c r="E186" t="s">
        <v>846</v>
      </c>
      <c r="F186" t="s">
        <v>847</v>
      </c>
      <c r="G186" t="s">
        <v>504</v>
      </c>
      <c r="H186" t="s">
        <v>505</v>
      </c>
      <c r="I186" t="s">
        <v>35</v>
      </c>
      <c r="J186" t="s">
        <v>320</v>
      </c>
      <c r="K186" t="s">
        <v>2</v>
      </c>
      <c r="L186" t="s">
        <v>103</v>
      </c>
      <c r="M186" t="s">
        <v>1390</v>
      </c>
      <c r="N186" t="s">
        <v>850</v>
      </c>
      <c r="O186" t="s">
        <v>40</v>
      </c>
      <c r="P186" t="s">
        <v>1391</v>
      </c>
      <c r="Q186" t="s">
        <v>36</v>
      </c>
      <c r="R186" t="s">
        <v>1386</v>
      </c>
      <c r="S186">
        <v>1</v>
      </c>
      <c r="T186">
        <v>2706</v>
      </c>
      <c r="U186">
        <v>0</v>
      </c>
      <c r="V186">
        <v>2706</v>
      </c>
    </row>
    <row r="187" spans="1:22" x14ac:dyDescent="0.25">
      <c r="A187">
        <v>79452</v>
      </c>
      <c r="B187">
        <v>131383483</v>
      </c>
      <c r="C187" t="s">
        <v>1392</v>
      </c>
      <c r="D187">
        <v>18779236</v>
      </c>
      <c r="E187" t="s">
        <v>846</v>
      </c>
      <c r="F187" t="s">
        <v>847</v>
      </c>
      <c r="G187" t="s">
        <v>504</v>
      </c>
      <c r="H187" t="s">
        <v>505</v>
      </c>
      <c r="I187" t="s">
        <v>35</v>
      </c>
      <c r="J187" t="s">
        <v>320</v>
      </c>
      <c r="K187" t="s">
        <v>2</v>
      </c>
      <c r="L187" t="s">
        <v>103</v>
      </c>
      <c r="M187" t="s">
        <v>1393</v>
      </c>
      <c r="N187" t="s">
        <v>850</v>
      </c>
      <c r="O187" t="s">
        <v>40</v>
      </c>
      <c r="P187" t="s">
        <v>1394</v>
      </c>
      <c r="Q187" t="s">
        <v>42</v>
      </c>
      <c r="R187" t="s">
        <v>1386</v>
      </c>
      <c r="S187">
        <v>1</v>
      </c>
      <c r="T187">
        <v>2706</v>
      </c>
      <c r="U187">
        <v>0</v>
      </c>
      <c r="V187">
        <v>2706</v>
      </c>
    </row>
    <row r="188" spans="1:22" x14ac:dyDescent="0.25">
      <c r="A188">
        <v>79452</v>
      </c>
      <c r="B188">
        <v>131383484</v>
      </c>
      <c r="C188" t="s">
        <v>1395</v>
      </c>
      <c r="D188">
        <v>18779233</v>
      </c>
      <c r="E188" t="s">
        <v>846</v>
      </c>
      <c r="F188" t="s">
        <v>847</v>
      </c>
      <c r="G188" t="s">
        <v>504</v>
      </c>
      <c r="H188" t="s">
        <v>505</v>
      </c>
      <c r="I188" t="s">
        <v>35</v>
      </c>
      <c r="J188" t="s">
        <v>320</v>
      </c>
      <c r="K188" t="s">
        <v>2</v>
      </c>
      <c r="L188" t="s">
        <v>103</v>
      </c>
      <c r="M188" t="s">
        <v>1396</v>
      </c>
      <c r="N188" t="s">
        <v>850</v>
      </c>
      <c r="O188" t="s">
        <v>40</v>
      </c>
      <c r="P188" t="s">
        <v>1397</v>
      </c>
      <c r="Q188" t="s">
        <v>37</v>
      </c>
      <c r="R188" t="s">
        <v>1386</v>
      </c>
      <c r="S188">
        <v>1</v>
      </c>
      <c r="T188">
        <v>2706</v>
      </c>
      <c r="U188">
        <v>0</v>
      </c>
      <c r="V188">
        <v>2706</v>
      </c>
    </row>
    <row r="189" spans="1:22" x14ac:dyDescent="0.25">
      <c r="A189">
        <v>79452</v>
      </c>
      <c r="B189">
        <v>131383481</v>
      </c>
      <c r="C189" t="s">
        <v>1398</v>
      </c>
      <c r="D189">
        <v>18779232</v>
      </c>
      <c r="E189" t="s">
        <v>846</v>
      </c>
      <c r="F189" t="s">
        <v>847</v>
      </c>
      <c r="G189" t="s">
        <v>504</v>
      </c>
      <c r="H189" t="s">
        <v>505</v>
      </c>
      <c r="I189" t="s">
        <v>35</v>
      </c>
      <c r="J189" t="s">
        <v>320</v>
      </c>
      <c r="K189" t="s">
        <v>2</v>
      </c>
      <c r="L189" t="s">
        <v>103</v>
      </c>
      <c r="M189" t="s">
        <v>1399</v>
      </c>
      <c r="N189" t="s">
        <v>850</v>
      </c>
      <c r="O189" t="s">
        <v>40</v>
      </c>
      <c r="P189" t="s">
        <v>1400</v>
      </c>
      <c r="Q189" t="s">
        <v>37</v>
      </c>
      <c r="R189" t="s">
        <v>1386</v>
      </c>
      <c r="S189">
        <v>1</v>
      </c>
      <c r="T189">
        <v>2706</v>
      </c>
      <c r="U189">
        <v>0</v>
      </c>
      <c r="V189">
        <v>2706</v>
      </c>
    </row>
    <row r="190" spans="1:22" x14ac:dyDescent="0.25">
      <c r="A190">
        <v>79452</v>
      </c>
      <c r="B190">
        <v>131383480</v>
      </c>
      <c r="C190" t="s">
        <v>1401</v>
      </c>
      <c r="D190">
        <v>18779231</v>
      </c>
      <c r="E190" t="s">
        <v>846</v>
      </c>
      <c r="F190" t="s">
        <v>847</v>
      </c>
      <c r="G190" t="s">
        <v>504</v>
      </c>
      <c r="H190" t="s">
        <v>505</v>
      </c>
      <c r="I190" t="s">
        <v>35</v>
      </c>
      <c r="J190" t="s">
        <v>320</v>
      </c>
      <c r="K190" t="s">
        <v>2</v>
      </c>
      <c r="L190" t="s">
        <v>103</v>
      </c>
      <c r="M190" t="s">
        <v>1402</v>
      </c>
      <c r="N190" t="s">
        <v>850</v>
      </c>
      <c r="O190" t="s">
        <v>40</v>
      </c>
      <c r="P190" t="s">
        <v>1403</v>
      </c>
      <c r="Q190" t="s">
        <v>37</v>
      </c>
      <c r="R190" t="s">
        <v>1386</v>
      </c>
      <c r="S190">
        <v>1</v>
      </c>
      <c r="T190">
        <v>2706</v>
      </c>
      <c r="U190">
        <v>0</v>
      </c>
      <c r="V190">
        <v>2706</v>
      </c>
    </row>
    <row r="191" spans="1:22" x14ac:dyDescent="0.25">
      <c r="A191">
        <v>79452</v>
      </c>
      <c r="B191">
        <v>131383474</v>
      </c>
      <c r="C191" t="s">
        <v>1404</v>
      </c>
      <c r="D191">
        <v>18779230</v>
      </c>
      <c r="E191" t="s">
        <v>846</v>
      </c>
      <c r="F191" t="s">
        <v>847</v>
      </c>
      <c r="G191" t="s">
        <v>504</v>
      </c>
      <c r="H191" t="s">
        <v>505</v>
      </c>
      <c r="I191" t="s">
        <v>35</v>
      </c>
      <c r="J191" t="s">
        <v>320</v>
      </c>
      <c r="K191" t="s">
        <v>2</v>
      </c>
      <c r="L191" t="s">
        <v>103</v>
      </c>
      <c r="M191" t="s">
        <v>1405</v>
      </c>
      <c r="N191" t="s">
        <v>850</v>
      </c>
      <c r="O191" t="s">
        <v>40</v>
      </c>
      <c r="P191" t="s">
        <v>1406</v>
      </c>
      <c r="Q191" t="s">
        <v>37</v>
      </c>
      <c r="R191" t="s">
        <v>1386</v>
      </c>
      <c r="S191">
        <v>1</v>
      </c>
      <c r="T191">
        <v>2706</v>
      </c>
      <c r="U191">
        <v>0</v>
      </c>
      <c r="V191">
        <v>2706</v>
      </c>
    </row>
    <row r="192" spans="1:22" x14ac:dyDescent="0.25">
      <c r="A192">
        <v>79452</v>
      </c>
      <c r="B192">
        <v>131383469</v>
      </c>
      <c r="C192" t="s">
        <v>1407</v>
      </c>
      <c r="D192">
        <v>18779229</v>
      </c>
      <c r="E192" t="s">
        <v>846</v>
      </c>
      <c r="F192" t="s">
        <v>847</v>
      </c>
      <c r="G192" t="s">
        <v>504</v>
      </c>
      <c r="H192" t="s">
        <v>505</v>
      </c>
      <c r="I192" t="s">
        <v>35</v>
      </c>
      <c r="J192" t="s">
        <v>320</v>
      </c>
      <c r="K192" t="s">
        <v>2</v>
      </c>
      <c r="L192" t="s">
        <v>103</v>
      </c>
      <c r="M192" t="s">
        <v>1408</v>
      </c>
      <c r="N192" t="s">
        <v>850</v>
      </c>
      <c r="O192" t="s">
        <v>40</v>
      </c>
      <c r="P192" t="s">
        <v>1409</v>
      </c>
      <c r="Q192" t="s">
        <v>36</v>
      </c>
      <c r="R192" t="s">
        <v>1386</v>
      </c>
      <c r="S192">
        <v>1</v>
      </c>
      <c r="T192">
        <v>2706</v>
      </c>
      <c r="U192">
        <v>0</v>
      </c>
      <c r="V192">
        <v>2706</v>
      </c>
    </row>
    <row r="193" spans="1:22" x14ac:dyDescent="0.25">
      <c r="A193">
        <v>79452</v>
      </c>
      <c r="B193">
        <v>131383461</v>
      </c>
      <c r="C193" t="s">
        <v>1410</v>
      </c>
      <c r="D193">
        <v>18779228</v>
      </c>
      <c r="E193" t="s">
        <v>846</v>
      </c>
      <c r="F193" t="s">
        <v>847</v>
      </c>
      <c r="G193" t="s">
        <v>504</v>
      </c>
      <c r="H193" t="s">
        <v>505</v>
      </c>
      <c r="I193" t="s">
        <v>35</v>
      </c>
      <c r="J193" t="s">
        <v>320</v>
      </c>
      <c r="K193" t="s">
        <v>2</v>
      </c>
      <c r="L193" t="s">
        <v>103</v>
      </c>
      <c r="M193" t="s">
        <v>1411</v>
      </c>
      <c r="N193" t="s">
        <v>850</v>
      </c>
      <c r="O193" t="s">
        <v>40</v>
      </c>
      <c r="P193" t="s">
        <v>1412</v>
      </c>
      <c r="Q193" t="s">
        <v>72</v>
      </c>
      <c r="R193" t="s">
        <v>1386</v>
      </c>
      <c r="S193">
        <v>1</v>
      </c>
      <c r="T193">
        <v>2706</v>
      </c>
      <c r="U193">
        <v>0</v>
      </c>
      <c r="V193">
        <v>2706</v>
      </c>
    </row>
    <row r="194" spans="1:22" x14ac:dyDescent="0.25">
      <c r="A194">
        <v>79452</v>
      </c>
      <c r="B194">
        <v>131383446</v>
      </c>
      <c r="C194" t="s">
        <v>1413</v>
      </c>
      <c r="D194">
        <v>18779226</v>
      </c>
      <c r="E194" t="s">
        <v>846</v>
      </c>
      <c r="F194" t="s">
        <v>847</v>
      </c>
      <c r="G194" t="s">
        <v>504</v>
      </c>
      <c r="H194" t="s">
        <v>505</v>
      </c>
      <c r="I194" t="s">
        <v>35</v>
      </c>
      <c r="J194" t="s">
        <v>320</v>
      </c>
      <c r="K194" t="s">
        <v>2</v>
      </c>
      <c r="L194" t="s">
        <v>103</v>
      </c>
      <c r="M194" t="s">
        <v>345</v>
      </c>
      <c r="N194" t="s">
        <v>850</v>
      </c>
      <c r="O194" t="s">
        <v>40</v>
      </c>
      <c r="P194" t="s">
        <v>1414</v>
      </c>
      <c r="Q194" t="s">
        <v>41</v>
      </c>
      <c r="R194" t="s">
        <v>1386</v>
      </c>
      <c r="S194">
        <v>1</v>
      </c>
      <c r="T194">
        <v>2706</v>
      </c>
      <c r="U194">
        <v>0</v>
      </c>
      <c r="V194">
        <v>2706</v>
      </c>
    </row>
    <row r="195" spans="1:22" x14ac:dyDescent="0.25">
      <c r="A195">
        <v>79452</v>
      </c>
      <c r="B195">
        <v>131383439</v>
      </c>
      <c r="C195" t="s">
        <v>1415</v>
      </c>
      <c r="D195">
        <v>18779223</v>
      </c>
      <c r="E195" t="s">
        <v>846</v>
      </c>
      <c r="F195" t="s">
        <v>847</v>
      </c>
      <c r="G195" t="s">
        <v>504</v>
      </c>
      <c r="H195" t="s">
        <v>505</v>
      </c>
      <c r="I195" t="s">
        <v>35</v>
      </c>
      <c r="J195" t="s">
        <v>320</v>
      </c>
      <c r="K195" t="s">
        <v>2</v>
      </c>
      <c r="L195" t="s">
        <v>103</v>
      </c>
      <c r="M195" t="s">
        <v>1416</v>
      </c>
      <c r="N195" t="s">
        <v>850</v>
      </c>
      <c r="O195" t="s">
        <v>40</v>
      </c>
      <c r="P195" t="s">
        <v>1417</v>
      </c>
      <c r="Q195" t="s">
        <v>72</v>
      </c>
      <c r="R195" t="s">
        <v>1386</v>
      </c>
      <c r="S195">
        <v>1</v>
      </c>
      <c r="T195">
        <v>2706</v>
      </c>
      <c r="U195">
        <v>0</v>
      </c>
      <c r="V195">
        <v>2706</v>
      </c>
    </row>
    <row r="196" spans="1:22" x14ac:dyDescent="0.25">
      <c r="A196">
        <v>79452</v>
      </c>
      <c r="B196">
        <v>131383441</v>
      </c>
      <c r="C196" t="s">
        <v>1418</v>
      </c>
      <c r="D196">
        <v>18779221</v>
      </c>
      <c r="E196" t="s">
        <v>846</v>
      </c>
      <c r="F196" t="s">
        <v>847</v>
      </c>
      <c r="G196" t="s">
        <v>504</v>
      </c>
      <c r="H196" t="s">
        <v>505</v>
      </c>
      <c r="I196" t="s">
        <v>35</v>
      </c>
      <c r="J196" t="s">
        <v>320</v>
      </c>
      <c r="K196" t="s">
        <v>2</v>
      </c>
      <c r="L196" t="s">
        <v>103</v>
      </c>
      <c r="M196" t="s">
        <v>1352</v>
      </c>
      <c r="N196" t="s">
        <v>850</v>
      </c>
      <c r="O196" t="s">
        <v>40</v>
      </c>
      <c r="P196" t="s">
        <v>1419</v>
      </c>
      <c r="Q196" t="s">
        <v>153</v>
      </c>
      <c r="R196" t="s">
        <v>1386</v>
      </c>
      <c r="S196">
        <v>1</v>
      </c>
      <c r="T196">
        <v>2706</v>
      </c>
      <c r="U196">
        <v>0</v>
      </c>
      <c r="V196">
        <v>2706</v>
      </c>
    </row>
    <row r="197" spans="1:22" x14ac:dyDescent="0.25">
      <c r="A197">
        <v>79452</v>
      </c>
      <c r="B197">
        <v>131230232</v>
      </c>
      <c r="C197" t="s">
        <v>1420</v>
      </c>
      <c r="D197">
        <v>18762459</v>
      </c>
      <c r="E197" t="s">
        <v>846</v>
      </c>
      <c r="F197" t="s">
        <v>847</v>
      </c>
      <c r="G197" t="s">
        <v>504</v>
      </c>
      <c r="H197" t="s">
        <v>505</v>
      </c>
      <c r="I197" t="s">
        <v>35</v>
      </c>
      <c r="J197" t="s">
        <v>320</v>
      </c>
      <c r="K197" t="s">
        <v>2</v>
      </c>
      <c r="L197" t="s">
        <v>103</v>
      </c>
      <c r="M197" t="s">
        <v>1421</v>
      </c>
      <c r="N197" t="s">
        <v>850</v>
      </c>
      <c r="O197" t="s">
        <v>40</v>
      </c>
      <c r="P197" t="s">
        <v>1422</v>
      </c>
      <c r="Q197" t="s">
        <v>37</v>
      </c>
      <c r="R197" t="s">
        <v>514</v>
      </c>
      <c r="S197">
        <v>1</v>
      </c>
      <c r="T197">
        <v>2706</v>
      </c>
      <c r="U197">
        <v>0</v>
      </c>
      <c r="V197">
        <v>2706</v>
      </c>
    </row>
    <row r="198" spans="1:22" x14ac:dyDescent="0.25">
      <c r="A198">
        <v>79452</v>
      </c>
      <c r="B198">
        <v>132194224</v>
      </c>
      <c r="C198" t="s">
        <v>1423</v>
      </c>
      <c r="D198" t="s">
        <v>1424</v>
      </c>
      <c r="E198" t="s">
        <v>846</v>
      </c>
      <c r="F198" t="s">
        <v>847</v>
      </c>
      <c r="G198" t="s">
        <v>142</v>
      </c>
      <c r="H198" t="s">
        <v>143</v>
      </c>
      <c r="I198" t="s">
        <v>35</v>
      </c>
      <c r="J198" t="s">
        <v>144</v>
      </c>
      <c r="K198" t="s">
        <v>2</v>
      </c>
      <c r="L198" t="s">
        <v>1425</v>
      </c>
      <c r="M198" t="s">
        <v>1426</v>
      </c>
      <c r="N198" t="s">
        <v>850</v>
      </c>
      <c r="O198" t="s">
        <v>40</v>
      </c>
      <c r="P198" t="s">
        <v>1427</v>
      </c>
      <c r="Q198" t="s">
        <v>60</v>
      </c>
      <c r="R198" t="s">
        <v>378</v>
      </c>
      <c r="S198">
        <v>1</v>
      </c>
      <c r="T198">
        <v>3366</v>
      </c>
      <c r="U198">
        <v>0</v>
      </c>
      <c r="V198">
        <v>3366</v>
      </c>
    </row>
    <row r="199" spans="1:22" x14ac:dyDescent="0.25">
      <c r="A199">
        <v>79452</v>
      </c>
      <c r="B199">
        <v>132125537</v>
      </c>
      <c r="C199" t="s">
        <v>1428</v>
      </c>
      <c r="D199" t="s">
        <v>1429</v>
      </c>
      <c r="E199" t="s">
        <v>846</v>
      </c>
      <c r="F199" t="s">
        <v>847</v>
      </c>
      <c r="G199" t="s">
        <v>142</v>
      </c>
      <c r="H199" t="s">
        <v>143</v>
      </c>
      <c r="I199" t="s">
        <v>35</v>
      </c>
      <c r="J199" t="s">
        <v>144</v>
      </c>
      <c r="K199" t="s">
        <v>2</v>
      </c>
      <c r="L199" t="s">
        <v>1430</v>
      </c>
      <c r="M199" t="s">
        <v>1431</v>
      </c>
      <c r="N199" t="s">
        <v>850</v>
      </c>
      <c r="O199" t="s">
        <v>40</v>
      </c>
      <c r="P199" t="s">
        <v>1432</v>
      </c>
      <c r="Q199" t="s">
        <v>48</v>
      </c>
      <c r="R199" t="s">
        <v>552</v>
      </c>
      <c r="S199">
        <v>0.19</v>
      </c>
      <c r="T199">
        <v>3299</v>
      </c>
      <c r="U199">
        <v>0</v>
      </c>
      <c r="V199">
        <v>3299</v>
      </c>
    </row>
    <row r="200" spans="1:22" x14ac:dyDescent="0.25">
      <c r="A200">
        <v>79452</v>
      </c>
      <c r="B200">
        <v>132150935</v>
      </c>
      <c r="C200" t="s">
        <v>1433</v>
      </c>
      <c r="D200" t="s">
        <v>1434</v>
      </c>
      <c r="E200" t="s">
        <v>846</v>
      </c>
      <c r="F200" t="s">
        <v>847</v>
      </c>
      <c r="G200" t="s">
        <v>142</v>
      </c>
      <c r="H200" t="s">
        <v>143</v>
      </c>
      <c r="I200" t="s">
        <v>35</v>
      </c>
      <c r="J200" t="s">
        <v>144</v>
      </c>
      <c r="K200" t="s">
        <v>2</v>
      </c>
      <c r="L200" t="s">
        <v>1435</v>
      </c>
      <c r="M200" t="s">
        <v>1436</v>
      </c>
      <c r="N200" t="s">
        <v>850</v>
      </c>
      <c r="O200" t="s">
        <v>40</v>
      </c>
      <c r="P200" t="s">
        <v>1437</v>
      </c>
      <c r="Q200" t="s">
        <v>161</v>
      </c>
      <c r="R200" t="s">
        <v>739</v>
      </c>
      <c r="S200">
        <v>1</v>
      </c>
      <c r="T200">
        <v>3366</v>
      </c>
      <c r="U200">
        <v>0</v>
      </c>
      <c r="V200">
        <v>3366</v>
      </c>
    </row>
    <row r="201" spans="1:22" x14ac:dyDescent="0.25">
      <c r="A201">
        <v>79452</v>
      </c>
      <c r="B201">
        <v>132125535</v>
      </c>
      <c r="C201" t="s">
        <v>1438</v>
      </c>
      <c r="D201" t="s">
        <v>1439</v>
      </c>
      <c r="E201" t="s">
        <v>846</v>
      </c>
      <c r="F201" t="s">
        <v>847</v>
      </c>
      <c r="G201" t="s">
        <v>142</v>
      </c>
      <c r="H201" t="s">
        <v>143</v>
      </c>
      <c r="I201" t="s">
        <v>35</v>
      </c>
      <c r="J201" t="s">
        <v>144</v>
      </c>
      <c r="K201" t="s">
        <v>2</v>
      </c>
      <c r="L201" t="s">
        <v>1440</v>
      </c>
      <c r="M201" t="s">
        <v>1441</v>
      </c>
      <c r="N201" t="s">
        <v>850</v>
      </c>
      <c r="O201" t="s">
        <v>40</v>
      </c>
      <c r="P201" t="s">
        <v>1442</v>
      </c>
      <c r="Q201" t="s">
        <v>48</v>
      </c>
      <c r="R201" t="s">
        <v>552</v>
      </c>
      <c r="S201">
        <v>0.85</v>
      </c>
      <c r="T201">
        <v>3366</v>
      </c>
      <c r="U201">
        <v>0</v>
      </c>
      <c r="V201">
        <v>3366</v>
      </c>
    </row>
    <row r="202" spans="1:22" x14ac:dyDescent="0.25">
      <c r="A202">
        <v>79452</v>
      </c>
      <c r="B202">
        <v>132073946</v>
      </c>
      <c r="C202" t="s">
        <v>1443</v>
      </c>
      <c r="D202" t="s">
        <v>1444</v>
      </c>
      <c r="E202" t="s">
        <v>846</v>
      </c>
      <c r="F202" t="s">
        <v>847</v>
      </c>
      <c r="G202" t="s">
        <v>142</v>
      </c>
      <c r="H202" t="s">
        <v>143</v>
      </c>
      <c r="I202" t="s">
        <v>35</v>
      </c>
      <c r="J202" t="s">
        <v>144</v>
      </c>
      <c r="K202" t="s">
        <v>2</v>
      </c>
      <c r="L202" t="s">
        <v>1445</v>
      </c>
      <c r="M202" t="s">
        <v>462</v>
      </c>
      <c r="N202" t="s">
        <v>850</v>
      </c>
      <c r="O202" t="s">
        <v>40</v>
      </c>
      <c r="P202" t="s">
        <v>1446</v>
      </c>
      <c r="Q202" t="s">
        <v>73</v>
      </c>
      <c r="R202" t="s">
        <v>862</v>
      </c>
      <c r="S202">
        <v>0.24</v>
      </c>
      <c r="T202">
        <v>3299</v>
      </c>
      <c r="U202">
        <v>0</v>
      </c>
      <c r="V202">
        <v>3299</v>
      </c>
    </row>
    <row r="203" spans="1:22" x14ac:dyDescent="0.25">
      <c r="A203">
        <v>79452</v>
      </c>
      <c r="B203">
        <v>132021653</v>
      </c>
      <c r="C203" t="s">
        <v>1447</v>
      </c>
      <c r="D203" t="s">
        <v>1448</v>
      </c>
      <c r="E203" t="s">
        <v>846</v>
      </c>
      <c r="F203" t="s">
        <v>847</v>
      </c>
      <c r="G203" t="s">
        <v>142</v>
      </c>
      <c r="H203" t="s">
        <v>143</v>
      </c>
      <c r="I203" t="s">
        <v>35</v>
      </c>
      <c r="J203" t="s">
        <v>144</v>
      </c>
      <c r="K203" t="s">
        <v>2</v>
      </c>
      <c r="L203" t="s">
        <v>1449</v>
      </c>
      <c r="M203" t="s">
        <v>1450</v>
      </c>
      <c r="N203" t="s">
        <v>850</v>
      </c>
      <c r="O203" t="s">
        <v>40</v>
      </c>
      <c r="P203" t="s">
        <v>1451</v>
      </c>
      <c r="Q203" t="s">
        <v>73</v>
      </c>
      <c r="R203" t="s">
        <v>599</v>
      </c>
      <c r="S203">
        <v>1</v>
      </c>
      <c r="T203">
        <v>3366</v>
      </c>
      <c r="U203">
        <v>0</v>
      </c>
      <c r="V203">
        <v>3366</v>
      </c>
    </row>
    <row r="204" spans="1:22" x14ac:dyDescent="0.25">
      <c r="A204">
        <v>79452</v>
      </c>
      <c r="B204">
        <v>132021623</v>
      </c>
      <c r="C204" t="s">
        <v>1452</v>
      </c>
      <c r="D204" t="s">
        <v>1453</v>
      </c>
      <c r="E204" t="s">
        <v>846</v>
      </c>
      <c r="F204" t="s">
        <v>847</v>
      </c>
      <c r="G204" t="s">
        <v>142</v>
      </c>
      <c r="H204" t="s">
        <v>143</v>
      </c>
      <c r="I204" t="s">
        <v>35</v>
      </c>
      <c r="J204" t="s">
        <v>144</v>
      </c>
      <c r="K204" t="s">
        <v>2</v>
      </c>
      <c r="L204" t="s">
        <v>1454</v>
      </c>
      <c r="M204" t="s">
        <v>1455</v>
      </c>
      <c r="N204" t="s">
        <v>850</v>
      </c>
      <c r="O204" t="s">
        <v>40</v>
      </c>
      <c r="P204" t="s">
        <v>1456</v>
      </c>
      <c r="Q204" t="s">
        <v>161</v>
      </c>
      <c r="R204" t="s">
        <v>599</v>
      </c>
      <c r="S204">
        <v>1</v>
      </c>
      <c r="T204">
        <v>3366</v>
      </c>
      <c r="U204">
        <v>0</v>
      </c>
      <c r="V204">
        <v>3366</v>
      </c>
    </row>
    <row r="205" spans="1:22" x14ac:dyDescent="0.25">
      <c r="A205">
        <v>79452</v>
      </c>
      <c r="B205">
        <v>132021644</v>
      </c>
      <c r="C205" t="s">
        <v>1457</v>
      </c>
      <c r="D205" t="s">
        <v>1458</v>
      </c>
      <c r="E205" t="s">
        <v>846</v>
      </c>
      <c r="F205" t="s">
        <v>847</v>
      </c>
      <c r="G205" t="s">
        <v>142</v>
      </c>
      <c r="H205" t="s">
        <v>143</v>
      </c>
      <c r="I205" t="s">
        <v>35</v>
      </c>
      <c r="J205" t="s">
        <v>144</v>
      </c>
      <c r="K205" t="s">
        <v>2</v>
      </c>
      <c r="L205" t="s">
        <v>1459</v>
      </c>
      <c r="M205" t="s">
        <v>1460</v>
      </c>
      <c r="N205" t="s">
        <v>850</v>
      </c>
      <c r="O205" t="s">
        <v>40</v>
      </c>
      <c r="P205" t="s">
        <v>1461</v>
      </c>
      <c r="Q205" t="s">
        <v>60</v>
      </c>
      <c r="R205" t="s">
        <v>599</v>
      </c>
      <c r="S205">
        <v>1</v>
      </c>
      <c r="T205">
        <v>3366</v>
      </c>
      <c r="U205">
        <v>0</v>
      </c>
      <c r="V205">
        <v>3366</v>
      </c>
    </row>
    <row r="206" spans="1:22" x14ac:dyDescent="0.25">
      <c r="A206">
        <v>79452</v>
      </c>
      <c r="B206">
        <v>131989999</v>
      </c>
      <c r="C206" t="s">
        <v>1462</v>
      </c>
      <c r="D206" t="s">
        <v>1463</v>
      </c>
      <c r="E206" t="s">
        <v>846</v>
      </c>
      <c r="F206" t="s">
        <v>847</v>
      </c>
      <c r="G206" t="s">
        <v>142</v>
      </c>
      <c r="H206" t="s">
        <v>143</v>
      </c>
      <c r="I206" t="s">
        <v>35</v>
      </c>
      <c r="J206" t="s">
        <v>144</v>
      </c>
      <c r="K206" t="s">
        <v>2</v>
      </c>
      <c r="L206" t="s">
        <v>1464</v>
      </c>
      <c r="M206" t="s">
        <v>1465</v>
      </c>
      <c r="N206" t="s">
        <v>850</v>
      </c>
      <c r="O206" t="s">
        <v>40</v>
      </c>
      <c r="P206" t="s">
        <v>1466</v>
      </c>
      <c r="Q206" t="s">
        <v>48</v>
      </c>
      <c r="R206" t="s">
        <v>539</v>
      </c>
      <c r="S206">
        <v>0.25</v>
      </c>
      <c r="T206">
        <v>3299</v>
      </c>
      <c r="U206">
        <v>0</v>
      </c>
      <c r="V206">
        <v>3299</v>
      </c>
    </row>
    <row r="207" spans="1:22" x14ac:dyDescent="0.25">
      <c r="A207">
        <v>79452</v>
      </c>
      <c r="B207">
        <v>131922176</v>
      </c>
      <c r="C207" t="s">
        <v>1467</v>
      </c>
      <c r="D207" t="s">
        <v>1468</v>
      </c>
      <c r="E207" t="s">
        <v>846</v>
      </c>
      <c r="F207" t="s">
        <v>847</v>
      </c>
      <c r="G207" t="s">
        <v>142</v>
      </c>
      <c r="H207" t="s">
        <v>143</v>
      </c>
      <c r="I207" t="s">
        <v>35</v>
      </c>
      <c r="J207" t="s">
        <v>144</v>
      </c>
      <c r="K207" t="s">
        <v>2</v>
      </c>
      <c r="L207" t="s">
        <v>1469</v>
      </c>
      <c r="M207" t="s">
        <v>1470</v>
      </c>
      <c r="N207" t="s">
        <v>850</v>
      </c>
      <c r="O207" t="s">
        <v>40</v>
      </c>
      <c r="P207" t="s">
        <v>1471</v>
      </c>
      <c r="Q207" t="s">
        <v>60</v>
      </c>
      <c r="R207" t="s">
        <v>887</v>
      </c>
      <c r="S207">
        <v>0.4</v>
      </c>
      <c r="T207">
        <v>3299</v>
      </c>
      <c r="U207">
        <v>0</v>
      </c>
      <c r="V207">
        <v>3299</v>
      </c>
    </row>
    <row r="208" spans="1:22" x14ac:dyDescent="0.25">
      <c r="A208">
        <v>79452</v>
      </c>
      <c r="B208">
        <v>131780075</v>
      </c>
      <c r="C208" t="s">
        <v>1472</v>
      </c>
      <c r="D208" t="s">
        <v>1473</v>
      </c>
      <c r="E208" t="s">
        <v>846</v>
      </c>
      <c r="F208" t="s">
        <v>847</v>
      </c>
      <c r="G208" t="s">
        <v>142</v>
      </c>
      <c r="H208" t="s">
        <v>143</v>
      </c>
      <c r="I208" t="s">
        <v>35</v>
      </c>
      <c r="J208" t="s">
        <v>144</v>
      </c>
      <c r="K208" t="s">
        <v>2</v>
      </c>
      <c r="L208" t="s">
        <v>1474</v>
      </c>
      <c r="M208" t="s">
        <v>1475</v>
      </c>
      <c r="N208" t="s">
        <v>850</v>
      </c>
      <c r="O208" t="s">
        <v>40</v>
      </c>
      <c r="P208" t="s">
        <v>1476</v>
      </c>
      <c r="Q208" t="s">
        <v>48</v>
      </c>
      <c r="R208" t="s">
        <v>641</v>
      </c>
      <c r="S208">
        <v>1</v>
      </c>
      <c r="T208">
        <v>3366</v>
      </c>
      <c r="U208">
        <v>0</v>
      </c>
      <c r="V208">
        <v>3366</v>
      </c>
    </row>
    <row r="209" spans="1:22" x14ac:dyDescent="0.25">
      <c r="A209">
        <v>79452</v>
      </c>
      <c r="B209">
        <v>131822973</v>
      </c>
      <c r="C209" t="s">
        <v>1477</v>
      </c>
      <c r="D209" t="s">
        <v>1478</v>
      </c>
      <c r="E209" t="s">
        <v>846</v>
      </c>
      <c r="F209" t="s">
        <v>847</v>
      </c>
      <c r="G209" t="s">
        <v>142</v>
      </c>
      <c r="H209" t="s">
        <v>143</v>
      </c>
      <c r="I209" t="s">
        <v>35</v>
      </c>
      <c r="J209" t="s">
        <v>144</v>
      </c>
      <c r="K209" t="s">
        <v>2</v>
      </c>
      <c r="L209" t="s">
        <v>1479</v>
      </c>
      <c r="M209" t="s">
        <v>1480</v>
      </c>
      <c r="N209" t="s">
        <v>850</v>
      </c>
      <c r="O209" t="s">
        <v>40</v>
      </c>
      <c r="P209" t="s">
        <v>1481</v>
      </c>
      <c r="Q209" t="s">
        <v>49</v>
      </c>
      <c r="R209" t="s">
        <v>282</v>
      </c>
      <c r="S209">
        <v>1</v>
      </c>
      <c r="T209">
        <v>3366</v>
      </c>
      <c r="U209">
        <v>0</v>
      </c>
      <c r="V209">
        <v>3366</v>
      </c>
    </row>
    <row r="210" spans="1:22" x14ac:dyDescent="0.25">
      <c r="A210">
        <v>79452</v>
      </c>
      <c r="B210">
        <v>131855949</v>
      </c>
      <c r="C210" t="s">
        <v>1482</v>
      </c>
      <c r="D210" t="s">
        <v>1483</v>
      </c>
      <c r="E210" t="s">
        <v>846</v>
      </c>
      <c r="F210" t="s">
        <v>847</v>
      </c>
      <c r="G210" t="s">
        <v>142</v>
      </c>
      <c r="H210" t="s">
        <v>143</v>
      </c>
      <c r="I210" t="s">
        <v>35</v>
      </c>
      <c r="J210" t="s">
        <v>144</v>
      </c>
      <c r="K210" t="s">
        <v>2</v>
      </c>
      <c r="L210" t="s">
        <v>1484</v>
      </c>
      <c r="M210" t="s">
        <v>1485</v>
      </c>
      <c r="N210" t="s">
        <v>850</v>
      </c>
      <c r="O210" t="s">
        <v>40</v>
      </c>
      <c r="P210" t="s">
        <v>1486</v>
      </c>
      <c r="Q210" t="s">
        <v>48</v>
      </c>
      <c r="R210" t="s">
        <v>393</v>
      </c>
      <c r="S210">
        <v>1</v>
      </c>
      <c r="T210">
        <v>3366</v>
      </c>
      <c r="U210">
        <v>0</v>
      </c>
      <c r="V210">
        <v>3366</v>
      </c>
    </row>
    <row r="211" spans="1:22" x14ac:dyDescent="0.25">
      <c r="A211">
        <v>79452</v>
      </c>
      <c r="B211">
        <v>131855962</v>
      </c>
      <c r="C211" t="s">
        <v>1487</v>
      </c>
      <c r="D211" t="s">
        <v>1488</v>
      </c>
      <c r="E211" t="s">
        <v>846</v>
      </c>
      <c r="F211" t="s">
        <v>847</v>
      </c>
      <c r="G211" t="s">
        <v>142</v>
      </c>
      <c r="H211" t="s">
        <v>143</v>
      </c>
      <c r="I211" t="s">
        <v>35</v>
      </c>
      <c r="J211" t="s">
        <v>144</v>
      </c>
      <c r="K211" t="s">
        <v>2</v>
      </c>
      <c r="L211" t="s">
        <v>1489</v>
      </c>
      <c r="M211" t="s">
        <v>1490</v>
      </c>
      <c r="N211" t="s">
        <v>850</v>
      </c>
      <c r="O211" t="s">
        <v>40</v>
      </c>
      <c r="P211" t="s">
        <v>1491</v>
      </c>
      <c r="Q211" t="s">
        <v>60</v>
      </c>
      <c r="R211" t="s">
        <v>393</v>
      </c>
      <c r="S211">
        <v>1</v>
      </c>
      <c r="T211">
        <v>3366</v>
      </c>
      <c r="U211">
        <v>0</v>
      </c>
      <c r="V211">
        <v>3366</v>
      </c>
    </row>
    <row r="212" spans="1:22" x14ac:dyDescent="0.25">
      <c r="A212">
        <v>79452</v>
      </c>
      <c r="B212">
        <v>131822986</v>
      </c>
      <c r="C212" t="s">
        <v>1492</v>
      </c>
      <c r="D212" t="s">
        <v>1493</v>
      </c>
      <c r="E212" t="s">
        <v>846</v>
      </c>
      <c r="F212" t="s">
        <v>847</v>
      </c>
      <c r="G212" t="s">
        <v>142</v>
      </c>
      <c r="H212" t="s">
        <v>143</v>
      </c>
      <c r="I212" t="s">
        <v>35</v>
      </c>
      <c r="J212" t="s">
        <v>144</v>
      </c>
      <c r="K212" t="s">
        <v>2</v>
      </c>
      <c r="L212" t="s">
        <v>1494</v>
      </c>
      <c r="M212" t="s">
        <v>1495</v>
      </c>
      <c r="N212" t="s">
        <v>850</v>
      </c>
      <c r="O212" t="s">
        <v>40</v>
      </c>
      <c r="P212" t="s">
        <v>1496</v>
      </c>
      <c r="Q212" t="s">
        <v>130</v>
      </c>
      <c r="R212" t="s">
        <v>282</v>
      </c>
      <c r="S212">
        <v>1</v>
      </c>
      <c r="T212">
        <v>3366</v>
      </c>
      <c r="U212">
        <v>0</v>
      </c>
      <c r="V212">
        <v>3366</v>
      </c>
    </row>
    <row r="213" spans="1:22" x14ac:dyDescent="0.25">
      <c r="A213">
        <v>79452</v>
      </c>
      <c r="B213">
        <v>131855938</v>
      </c>
      <c r="C213" t="s">
        <v>1497</v>
      </c>
      <c r="D213" t="s">
        <v>1498</v>
      </c>
      <c r="E213" t="s">
        <v>846</v>
      </c>
      <c r="F213" t="s">
        <v>847</v>
      </c>
      <c r="G213" t="s">
        <v>142</v>
      </c>
      <c r="H213" t="s">
        <v>143</v>
      </c>
      <c r="I213" t="s">
        <v>35</v>
      </c>
      <c r="J213" t="s">
        <v>144</v>
      </c>
      <c r="K213" t="s">
        <v>2</v>
      </c>
      <c r="L213" t="s">
        <v>1499</v>
      </c>
      <c r="M213" t="s">
        <v>1500</v>
      </c>
      <c r="N213" t="s">
        <v>850</v>
      </c>
      <c r="O213" t="s">
        <v>40</v>
      </c>
      <c r="P213" t="s">
        <v>1501</v>
      </c>
      <c r="Q213" t="s">
        <v>46</v>
      </c>
      <c r="R213" t="s">
        <v>393</v>
      </c>
      <c r="S213">
        <v>1</v>
      </c>
      <c r="T213">
        <v>3366</v>
      </c>
      <c r="U213">
        <v>0</v>
      </c>
      <c r="V213">
        <v>3366</v>
      </c>
    </row>
    <row r="214" spans="1:22" x14ac:dyDescent="0.25">
      <c r="A214">
        <v>79452</v>
      </c>
      <c r="B214">
        <v>131855953</v>
      </c>
      <c r="C214" t="s">
        <v>1502</v>
      </c>
      <c r="D214" t="s">
        <v>1503</v>
      </c>
      <c r="E214" t="s">
        <v>846</v>
      </c>
      <c r="F214" t="s">
        <v>847</v>
      </c>
      <c r="G214" t="s">
        <v>142</v>
      </c>
      <c r="H214" t="s">
        <v>143</v>
      </c>
      <c r="I214" t="s">
        <v>35</v>
      </c>
      <c r="J214" t="s">
        <v>144</v>
      </c>
      <c r="K214" t="s">
        <v>2</v>
      </c>
      <c r="L214" t="s">
        <v>1504</v>
      </c>
      <c r="M214" t="s">
        <v>1505</v>
      </c>
      <c r="N214" t="s">
        <v>850</v>
      </c>
      <c r="O214" t="s">
        <v>40</v>
      </c>
      <c r="P214" t="s">
        <v>1506</v>
      </c>
      <c r="Q214" t="s">
        <v>48</v>
      </c>
      <c r="R214" t="s">
        <v>393</v>
      </c>
      <c r="S214">
        <v>1</v>
      </c>
      <c r="T214">
        <v>3366</v>
      </c>
      <c r="U214">
        <v>0</v>
      </c>
      <c r="V214">
        <v>3366</v>
      </c>
    </row>
    <row r="215" spans="1:22" x14ac:dyDescent="0.25">
      <c r="A215">
        <v>79452</v>
      </c>
      <c r="B215">
        <v>131823022</v>
      </c>
      <c r="C215" t="s">
        <v>1507</v>
      </c>
      <c r="D215" t="s">
        <v>1508</v>
      </c>
      <c r="E215" t="s">
        <v>846</v>
      </c>
      <c r="F215" t="s">
        <v>847</v>
      </c>
      <c r="G215" t="s">
        <v>142</v>
      </c>
      <c r="H215" t="s">
        <v>143</v>
      </c>
      <c r="I215" t="s">
        <v>35</v>
      </c>
      <c r="J215" t="s">
        <v>144</v>
      </c>
      <c r="K215" t="s">
        <v>2</v>
      </c>
      <c r="L215" t="s">
        <v>1509</v>
      </c>
      <c r="M215" t="s">
        <v>1510</v>
      </c>
      <c r="N215" t="s">
        <v>850</v>
      </c>
      <c r="O215" t="s">
        <v>40</v>
      </c>
      <c r="P215" t="s">
        <v>1511</v>
      </c>
      <c r="Q215" t="s">
        <v>73</v>
      </c>
      <c r="R215" t="s">
        <v>282</v>
      </c>
      <c r="S215">
        <v>1</v>
      </c>
      <c r="T215">
        <v>3366</v>
      </c>
      <c r="U215">
        <v>0</v>
      </c>
      <c r="V215">
        <v>3366</v>
      </c>
    </row>
    <row r="216" spans="1:22" x14ac:dyDescent="0.25">
      <c r="A216">
        <v>79452</v>
      </c>
      <c r="B216">
        <v>131822971</v>
      </c>
      <c r="C216" t="s">
        <v>1512</v>
      </c>
      <c r="D216" t="s">
        <v>1513</v>
      </c>
      <c r="E216" t="s">
        <v>846</v>
      </c>
      <c r="F216" t="s">
        <v>847</v>
      </c>
      <c r="G216" t="s">
        <v>142</v>
      </c>
      <c r="H216" t="s">
        <v>143</v>
      </c>
      <c r="I216" t="s">
        <v>35</v>
      </c>
      <c r="J216" t="s">
        <v>144</v>
      </c>
      <c r="K216" t="s">
        <v>2</v>
      </c>
      <c r="L216" t="s">
        <v>1514</v>
      </c>
      <c r="M216" t="s">
        <v>1515</v>
      </c>
      <c r="N216" t="s">
        <v>850</v>
      </c>
      <c r="O216" t="s">
        <v>40</v>
      </c>
      <c r="P216" t="s">
        <v>1516</v>
      </c>
      <c r="Q216" t="s">
        <v>73</v>
      </c>
      <c r="R216" t="s">
        <v>282</v>
      </c>
      <c r="S216">
        <v>1</v>
      </c>
      <c r="T216">
        <v>3366</v>
      </c>
      <c r="U216">
        <v>0</v>
      </c>
      <c r="V216">
        <v>3366</v>
      </c>
    </row>
    <row r="217" spans="1:22" x14ac:dyDescent="0.25">
      <c r="A217">
        <v>79452</v>
      </c>
      <c r="B217">
        <v>131823043</v>
      </c>
      <c r="C217" t="s">
        <v>1517</v>
      </c>
      <c r="D217" t="s">
        <v>1518</v>
      </c>
      <c r="E217" t="s">
        <v>846</v>
      </c>
      <c r="F217" t="s">
        <v>847</v>
      </c>
      <c r="G217" t="s">
        <v>142</v>
      </c>
      <c r="H217" t="s">
        <v>143</v>
      </c>
      <c r="I217" t="s">
        <v>35</v>
      </c>
      <c r="J217" t="s">
        <v>144</v>
      </c>
      <c r="K217" t="s">
        <v>2</v>
      </c>
      <c r="L217" t="s">
        <v>1519</v>
      </c>
      <c r="M217" t="s">
        <v>1520</v>
      </c>
      <c r="N217" t="s">
        <v>850</v>
      </c>
      <c r="O217" t="s">
        <v>40</v>
      </c>
      <c r="P217" t="s">
        <v>1521</v>
      </c>
      <c r="Q217" t="s">
        <v>47</v>
      </c>
      <c r="R217" t="s">
        <v>282</v>
      </c>
      <c r="S217">
        <v>1</v>
      </c>
      <c r="T217">
        <v>3366</v>
      </c>
      <c r="U217">
        <v>0</v>
      </c>
      <c r="V217">
        <v>3366</v>
      </c>
    </row>
    <row r="218" spans="1:22" x14ac:dyDescent="0.25">
      <c r="A218">
        <v>79452</v>
      </c>
      <c r="B218">
        <v>131780079</v>
      </c>
      <c r="C218" t="s">
        <v>1522</v>
      </c>
      <c r="D218" t="s">
        <v>1523</v>
      </c>
      <c r="E218" t="s">
        <v>846</v>
      </c>
      <c r="F218" t="s">
        <v>847</v>
      </c>
      <c r="G218" t="s">
        <v>142</v>
      </c>
      <c r="H218" t="s">
        <v>143</v>
      </c>
      <c r="I218" t="s">
        <v>35</v>
      </c>
      <c r="J218" t="s">
        <v>144</v>
      </c>
      <c r="K218" t="s">
        <v>2</v>
      </c>
      <c r="L218" t="s">
        <v>1524</v>
      </c>
      <c r="M218" t="s">
        <v>1525</v>
      </c>
      <c r="N218" t="s">
        <v>850</v>
      </c>
      <c r="O218" t="s">
        <v>40</v>
      </c>
      <c r="P218" t="s">
        <v>1526</v>
      </c>
      <c r="Q218" t="s">
        <v>46</v>
      </c>
      <c r="R218" t="s">
        <v>641</v>
      </c>
      <c r="S218">
        <v>1</v>
      </c>
      <c r="T218">
        <v>3366</v>
      </c>
      <c r="U218">
        <v>0</v>
      </c>
      <c r="V218">
        <v>3366</v>
      </c>
    </row>
    <row r="219" spans="1:22" x14ac:dyDescent="0.25">
      <c r="A219">
        <v>79452</v>
      </c>
      <c r="B219">
        <v>131774005</v>
      </c>
      <c r="C219" t="s">
        <v>1527</v>
      </c>
      <c r="D219" t="s">
        <v>1528</v>
      </c>
      <c r="E219" t="s">
        <v>846</v>
      </c>
      <c r="F219" t="s">
        <v>847</v>
      </c>
      <c r="G219" t="s">
        <v>142</v>
      </c>
      <c r="H219" t="s">
        <v>143</v>
      </c>
      <c r="I219" t="s">
        <v>35</v>
      </c>
      <c r="J219" t="s">
        <v>144</v>
      </c>
      <c r="K219" t="s">
        <v>2</v>
      </c>
      <c r="L219" t="s">
        <v>1529</v>
      </c>
      <c r="M219" t="s">
        <v>1530</v>
      </c>
      <c r="N219" t="s">
        <v>850</v>
      </c>
      <c r="O219" t="s">
        <v>40</v>
      </c>
      <c r="P219" t="s">
        <v>1531</v>
      </c>
      <c r="Q219" t="s">
        <v>86</v>
      </c>
      <c r="R219" t="s">
        <v>612</v>
      </c>
      <c r="S219">
        <v>1</v>
      </c>
      <c r="T219">
        <v>3366</v>
      </c>
      <c r="U219">
        <v>0</v>
      </c>
      <c r="V219">
        <v>3366</v>
      </c>
    </row>
    <row r="220" spans="1:22" x14ac:dyDescent="0.25">
      <c r="A220">
        <v>79452</v>
      </c>
      <c r="B220">
        <v>131773986</v>
      </c>
      <c r="C220" t="s">
        <v>1532</v>
      </c>
      <c r="D220" t="s">
        <v>1533</v>
      </c>
      <c r="E220" t="s">
        <v>846</v>
      </c>
      <c r="F220" t="s">
        <v>847</v>
      </c>
      <c r="G220" t="s">
        <v>142</v>
      </c>
      <c r="H220" t="s">
        <v>143</v>
      </c>
      <c r="I220" t="s">
        <v>35</v>
      </c>
      <c r="J220" t="s">
        <v>144</v>
      </c>
      <c r="K220" t="s">
        <v>2</v>
      </c>
      <c r="L220" t="s">
        <v>1534</v>
      </c>
      <c r="M220" t="s">
        <v>188</v>
      </c>
      <c r="N220" t="s">
        <v>850</v>
      </c>
      <c r="O220" t="s">
        <v>40</v>
      </c>
      <c r="P220" t="s">
        <v>1535</v>
      </c>
      <c r="Q220" t="s">
        <v>48</v>
      </c>
      <c r="R220" t="s">
        <v>612</v>
      </c>
      <c r="S220">
        <v>1</v>
      </c>
      <c r="T220">
        <v>3366</v>
      </c>
      <c r="U220">
        <v>0</v>
      </c>
      <c r="V220">
        <v>3366</v>
      </c>
    </row>
    <row r="221" spans="1:22" x14ac:dyDescent="0.25">
      <c r="A221">
        <v>79452</v>
      </c>
      <c r="B221">
        <v>131773992</v>
      </c>
      <c r="C221" t="s">
        <v>1536</v>
      </c>
      <c r="D221" t="s">
        <v>1537</v>
      </c>
      <c r="E221" t="s">
        <v>846</v>
      </c>
      <c r="F221" t="s">
        <v>847</v>
      </c>
      <c r="G221" t="s">
        <v>142</v>
      </c>
      <c r="H221" t="s">
        <v>143</v>
      </c>
      <c r="I221" t="s">
        <v>35</v>
      </c>
      <c r="J221" t="s">
        <v>144</v>
      </c>
      <c r="K221" t="s">
        <v>2</v>
      </c>
      <c r="L221" t="s">
        <v>1538</v>
      </c>
      <c r="M221" t="s">
        <v>1539</v>
      </c>
      <c r="N221" t="s">
        <v>850</v>
      </c>
      <c r="O221" t="s">
        <v>40</v>
      </c>
      <c r="P221" t="s">
        <v>1540</v>
      </c>
      <c r="Q221" t="s">
        <v>73</v>
      </c>
      <c r="R221" t="s">
        <v>612</v>
      </c>
      <c r="S221">
        <v>1</v>
      </c>
      <c r="T221">
        <v>3366</v>
      </c>
      <c r="U221">
        <v>0</v>
      </c>
      <c r="V221">
        <v>3366</v>
      </c>
    </row>
    <row r="222" spans="1:22" x14ac:dyDescent="0.25">
      <c r="A222">
        <v>79452</v>
      </c>
      <c r="B222">
        <v>131705248</v>
      </c>
      <c r="C222" t="s">
        <v>1541</v>
      </c>
      <c r="D222" t="s">
        <v>1542</v>
      </c>
      <c r="E222" t="s">
        <v>846</v>
      </c>
      <c r="F222" t="s">
        <v>847</v>
      </c>
      <c r="G222" t="s">
        <v>142</v>
      </c>
      <c r="H222" t="s">
        <v>143</v>
      </c>
      <c r="I222" t="s">
        <v>35</v>
      </c>
      <c r="J222" t="s">
        <v>144</v>
      </c>
      <c r="K222" t="s">
        <v>2</v>
      </c>
      <c r="L222" t="s">
        <v>1543</v>
      </c>
      <c r="M222" t="s">
        <v>1544</v>
      </c>
      <c r="N222" t="s">
        <v>850</v>
      </c>
      <c r="O222" t="s">
        <v>40</v>
      </c>
      <c r="P222" t="s">
        <v>1545</v>
      </c>
      <c r="Q222" t="s">
        <v>48</v>
      </c>
      <c r="R222" t="s">
        <v>297</v>
      </c>
      <c r="S222">
        <v>1</v>
      </c>
      <c r="T222">
        <v>3366</v>
      </c>
      <c r="U222">
        <v>0</v>
      </c>
      <c r="V222">
        <v>3366</v>
      </c>
    </row>
    <row r="223" spans="1:22" x14ac:dyDescent="0.25">
      <c r="A223">
        <v>79452</v>
      </c>
      <c r="B223">
        <v>131618348</v>
      </c>
      <c r="C223" t="s">
        <v>1546</v>
      </c>
      <c r="D223" t="s">
        <v>1547</v>
      </c>
      <c r="E223" t="s">
        <v>846</v>
      </c>
      <c r="F223" t="s">
        <v>847</v>
      </c>
      <c r="G223" t="s">
        <v>142</v>
      </c>
      <c r="H223" t="s">
        <v>143</v>
      </c>
      <c r="I223" t="s">
        <v>35</v>
      </c>
      <c r="J223" t="s">
        <v>144</v>
      </c>
      <c r="K223" t="s">
        <v>169</v>
      </c>
      <c r="L223" t="s">
        <v>267</v>
      </c>
      <c r="M223" t="s">
        <v>1548</v>
      </c>
      <c r="N223" t="s">
        <v>850</v>
      </c>
      <c r="O223" t="s">
        <v>40</v>
      </c>
      <c r="P223" t="s">
        <v>1549</v>
      </c>
      <c r="Q223" t="s">
        <v>46</v>
      </c>
      <c r="R223" t="s">
        <v>1277</v>
      </c>
      <c r="S223">
        <v>1</v>
      </c>
      <c r="T223">
        <v>3366</v>
      </c>
      <c r="U223">
        <v>0</v>
      </c>
      <c r="V223">
        <v>3366</v>
      </c>
    </row>
    <row r="224" spans="1:22" x14ac:dyDescent="0.25">
      <c r="A224">
        <v>79452</v>
      </c>
      <c r="B224">
        <v>131662651</v>
      </c>
      <c r="C224" t="s">
        <v>1550</v>
      </c>
      <c r="D224" t="s">
        <v>1551</v>
      </c>
      <c r="E224" t="s">
        <v>846</v>
      </c>
      <c r="F224" t="s">
        <v>847</v>
      </c>
      <c r="G224" t="s">
        <v>142</v>
      </c>
      <c r="H224" t="s">
        <v>143</v>
      </c>
      <c r="I224" t="s">
        <v>35</v>
      </c>
      <c r="J224" t="s">
        <v>144</v>
      </c>
      <c r="K224" t="s">
        <v>2</v>
      </c>
      <c r="L224" t="s">
        <v>1552</v>
      </c>
      <c r="M224" t="s">
        <v>1553</v>
      </c>
      <c r="N224" t="s">
        <v>850</v>
      </c>
      <c r="O224" t="s">
        <v>40</v>
      </c>
      <c r="P224" t="s">
        <v>1554</v>
      </c>
      <c r="Q224" t="s">
        <v>46</v>
      </c>
      <c r="R224" t="s">
        <v>1242</v>
      </c>
      <c r="S224">
        <v>1</v>
      </c>
      <c r="T224">
        <v>3366</v>
      </c>
      <c r="U224">
        <v>0</v>
      </c>
      <c r="V224">
        <v>3366</v>
      </c>
    </row>
    <row r="225" spans="1:22" x14ac:dyDescent="0.25">
      <c r="A225">
        <v>79452</v>
      </c>
      <c r="B225">
        <v>131662650</v>
      </c>
      <c r="C225" t="s">
        <v>1555</v>
      </c>
      <c r="D225" t="s">
        <v>1556</v>
      </c>
      <c r="E225" t="s">
        <v>846</v>
      </c>
      <c r="F225" t="s">
        <v>847</v>
      </c>
      <c r="G225" t="s">
        <v>142</v>
      </c>
      <c r="H225" t="s">
        <v>143</v>
      </c>
      <c r="I225" t="s">
        <v>35</v>
      </c>
      <c r="J225" t="s">
        <v>144</v>
      </c>
      <c r="K225" t="s">
        <v>2</v>
      </c>
      <c r="L225" t="s">
        <v>1557</v>
      </c>
      <c r="M225" t="s">
        <v>1558</v>
      </c>
      <c r="N225" t="s">
        <v>850</v>
      </c>
      <c r="O225" t="s">
        <v>40</v>
      </c>
      <c r="P225" t="s">
        <v>1559</v>
      </c>
      <c r="Q225" t="s">
        <v>48</v>
      </c>
      <c r="R225" t="s">
        <v>1242</v>
      </c>
      <c r="S225">
        <v>1</v>
      </c>
      <c r="T225">
        <v>3366</v>
      </c>
      <c r="U225">
        <v>0</v>
      </c>
      <c r="V225">
        <v>3366</v>
      </c>
    </row>
    <row r="226" spans="1:22" x14ac:dyDescent="0.25">
      <c r="A226">
        <v>79452</v>
      </c>
      <c r="B226">
        <v>131677523</v>
      </c>
      <c r="C226" t="s">
        <v>1560</v>
      </c>
      <c r="D226" t="s">
        <v>1561</v>
      </c>
      <c r="E226" t="s">
        <v>846</v>
      </c>
      <c r="F226" t="s">
        <v>847</v>
      </c>
      <c r="G226" t="s">
        <v>142</v>
      </c>
      <c r="H226" t="s">
        <v>143</v>
      </c>
      <c r="I226" t="s">
        <v>35</v>
      </c>
      <c r="J226" t="s">
        <v>144</v>
      </c>
      <c r="K226" t="s">
        <v>2</v>
      </c>
      <c r="L226" t="s">
        <v>1562</v>
      </c>
      <c r="M226" t="s">
        <v>1563</v>
      </c>
      <c r="N226" t="s">
        <v>850</v>
      </c>
      <c r="O226" t="s">
        <v>40</v>
      </c>
      <c r="P226" t="s">
        <v>1564</v>
      </c>
      <c r="Q226" t="s">
        <v>49</v>
      </c>
      <c r="R226" t="s">
        <v>662</v>
      </c>
      <c r="S226">
        <v>1</v>
      </c>
      <c r="T226">
        <v>3366</v>
      </c>
      <c r="U226">
        <v>0</v>
      </c>
      <c r="V226">
        <v>3366</v>
      </c>
    </row>
    <row r="227" spans="1:22" x14ac:dyDescent="0.25">
      <c r="A227">
        <v>79452</v>
      </c>
      <c r="B227">
        <v>131618320</v>
      </c>
      <c r="C227" t="s">
        <v>1565</v>
      </c>
      <c r="D227" t="s">
        <v>1566</v>
      </c>
      <c r="E227" t="s">
        <v>846</v>
      </c>
      <c r="F227" t="s">
        <v>847</v>
      </c>
      <c r="G227" t="s">
        <v>142</v>
      </c>
      <c r="H227" t="s">
        <v>143</v>
      </c>
      <c r="I227" t="s">
        <v>35</v>
      </c>
      <c r="J227" t="s">
        <v>144</v>
      </c>
      <c r="K227" t="s">
        <v>2</v>
      </c>
      <c r="L227" t="s">
        <v>1567</v>
      </c>
      <c r="M227" t="s">
        <v>1568</v>
      </c>
      <c r="N227" t="s">
        <v>850</v>
      </c>
      <c r="O227" t="s">
        <v>40</v>
      </c>
      <c r="P227" t="s">
        <v>1569</v>
      </c>
      <c r="Q227" t="s">
        <v>48</v>
      </c>
      <c r="R227" t="s">
        <v>1277</v>
      </c>
      <c r="S227">
        <v>1</v>
      </c>
      <c r="T227">
        <v>3366</v>
      </c>
      <c r="U227">
        <v>0</v>
      </c>
      <c r="V227">
        <v>3366</v>
      </c>
    </row>
    <row r="228" spans="1:22" x14ac:dyDescent="0.25">
      <c r="A228">
        <v>79452</v>
      </c>
      <c r="B228">
        <v>131618358</v>
      </c>
      <c r="C228" t="s">
        <v>1570</v>
      </c>
      <c r="D228" t="s">
        <v>1571</v>
      </c>
      <c r="E228" t="s">
        <v>846</v>
      </c>
      <c r="F228" t="s">
        <v>847</v>
      </c>
      <c r="G228" t="s">
        <v>142</v>
      </c>
      <c r="H228" t="s">
        <v>143</v>
      </c>
      <c r="I228" t="s">
        <v>35</v>
      </c>
      <c r="J228" t="s">
        <v>144</v>
      </c>
      <c r="K228" t="s">
        <v>2</v>
      </c>
      <c r="L228" t="s">
        <v>645</v>
      </c>
      <c r="M228" t="s">
        <v>1572</v>
      </c>
      <c r="N228" t="s">
        <v>850</v>
      </c>
      <c r="O228" t="s">
        <v>40</v>
      </c>
      <c r="P228" t="s">
        <v>1573</v>
      </c>
      <c r="Q228" t="s">
        <v>130</v>
      </c>
      <c r="R228" t="s">
        <v>1277</v>
      </c>
      <c r="S228">
        <v>1</v>
      </c>
      <c r="T228">
        <v>3366</v>
      </c>
      <c r="U228">
        <v>0</v>
      </c>
      <c r="V228">
        <v>3366</v>
      </c>
    </row>
    <row r="229" spans="1:22" x14ac:dyDescent="0.25">
      <c r="A229">
        <v>79452</v>
      </c>
      <c r="B229">
        <v>131489597</v>
      </c>
      <c r="C229" t="s">
        <v>1574</v>
      </c>
      <c r="D229" t="s">
        <v>1575</v>
      </c>
      <c r="E229" t="s">
        <v>846</v>
      </c>
      <c r="F229" t="s">
        <v>847</v>
      </c>
      <c r="G229" t="s">
        <v>142</v>
      </c>
      <c r="H229" t="s">
        <v>143</v>
      </c>
      <c r="I229" t="s">
        <v>35</v>
      </c>
      <c r="J229" t="s">
        <v>144</v>
      </c>
      <c r="K229" t="s">
        <v>2</v>
      </c>
      <c r="L229" t="s">
        <v>1576</v>
      </c>
      <c r="M229" t="s">
        <v>1577</v>
      </c>
      <c r="N229" t="s">
        <v>850</v>
      </c>
      <c r="O229" t="s">
        <v>40</v>
      </c>
      <c r="P229" t="s">
        <v>1578</v>
      </c>
      <c r="Q229" t="s">
        <v>46</v>
      </c>
      <c r="R229" t="s">
        <v>304</v>
      </c>
      <c r="S229">
        <v>1</v>
      </c>
      <c r="T229">
        <v>3366</v>
      </c>
      <c r="U229">
        <v>0</v>
      </c>
      <c r="V229">
        <v>3366</v>
      </c>
    </row>
    <row r="230" spans="1:22" x14ac:dyDescent="0.25">
      <c r="A230">
        <v>79452</v>
      </c>
      <c r="B230">
        <v>131489614</v>
      </c>
      <c r="C230" t="s">
        <v>1579</v>
      </c>
      <c r="D230" t="s">
        <v>1580</v>
      </c>
      <c r="E230" t="s">
        <v>846</v>
      </c>
      <c r="F230" t="s">
        <v>847</v>
      </c>
      <c r="G230" t="s">
        <v>142</v>
      </c>
      <c r="H230" t="s">
        <v>143</v>
      </c>
      <c r="I230" t="s">
        <v>35</v>
      </c>
      <c r="J230" t="s">
        <v>144</v>
      </c>
      <c r="K230" t="s">
        <v>2</v>
      </c>
      <c r="L230" t="s">
        <v>1581</v>
      </c>
      <c r="M230" t="s">
        <v>1582</v>
      </c>
      <c r="N230" t="s">
        <v>850</v>
      </c>
      <c r="O230" t="s">
        <v>40</v>
      </c>
      <c r="P230" t="s">
        <v>1583</v>
      </c>
      <c r="Q230" t="s">
        <v>49</v>
      </c>
      <c r="R230" t="s">
        <v>304</v>
      </c>
      <c r="S230">
        <v>1</v>
      </c>
      <c r="T230">
        <v>3366</v>
      </c>
      <c r="U230">
        <v>0</v>
      </c>
      <c r="V230">
        <v>3366</v>
      </c>
    </row>
    <row r="231" spans="1:22" x14ac:dyDescent="0.25">
      <c r="A231">
        <v>79452</v>
      </c>
      <c r="B231">
        <v>131448320</v>
      </c>
      <c r="C231" t="s">
        <v>1584</v>
      </c>
      <c r="D231" t="s">
        <v>1585</v>
      </c>
      <c r="E231" t="s">
        <v>846</v>
      </c>
      <c r="F231" t="s">
        <v>847</v>
      </c>
      <c r="G231" t="s">
        <v>142</v>
      </c>
      <c r="H231" t="s">
        <v>143</v>
      </c>
      <c r="I231" t="s">
        <v>35</v>
      </c>
      <c r="J231" t="s">
        <v>144</v>
      </c>
      <c r="K231" t="s">
        <v>2</v>
      </c>
      <c r="L231" t="s">
        <v>1586</v>
      </c>
      <c r="M231" t="s">
        <v>1587</v>
      </c>
      <c r="N231" t="s">
        <v>850</v>
      </c>
      <c r="O231" t="s">
        <v>40</v>
      </c>
      <c r="P231" t="s">
        <v>1588</v>
      </c>
      <c r="Q231" t="s">
        <v>126</v>
      </c>
      <c r="R231" t="s">
        <v>619</v>
      </c>
      <c r="S231">
        <v>1.04</v>
      </c>
      <c r="T231">
        <v>3366</v>
      </c>
      <c r="U231">
        <v>0</v>
      </c>
      <c r="V231">
        <v>3366</v>
      </c>
    </row>
    <row r="232" spans="1:22" x14ac:dyDescent="0.25">
      <c r="A232">
        <v>79452</v>
      </c>
      <c r="B232">
        <v>131383448</v>
      </c>
      <c r="C232" t="s">
        <v>1589</v>
      </c>
      <c r="D232" t="s">
        <v>1590</v>
      </c>
      <c r="E232" t="s">
        <v>846</v>
      </c>
      <c r="F232" t="s">
        <v>847</v>
      </c>
      <c r="G232" t="s">
        <v>142</v>
      </c>
      <c r="H232" t="s">
        <v>143</v>
      </c>
      <c r="I232" t="s">
        <v>35</v>
      </c>
      <c r="J232" t="s">
        <v>144</v>
      </c>
      <c r="K232" t="s">
        <v>2</v>
      </c>
      <c r="L232" t="s">
        <v>1591</v>
      </c>
      <c r="M232" t="s">
        <v>1592</v>
      </c>
      <c r="N232" t="s">
        <v>850</v>
      </c>
      <c r="O232" t="s">
        <v>40</v>
      </c>
      <c r="P232" t="s">
        <v>1593</v>
      </c>
      <c r="Q232" t="s">
        <v>60</v>
      </c>
      <c r="R232" t="s">
        <v>1386</v>
      </c>
      <c r="S232">
        <v>1</v>
      </c>
      <c r="T232">
        <v>3366</v>
      </c>
      <c r="U232">
        <v>0</v>
      </c>
      <c r="V232">
        <v>3366</v>
      </c>
    </row>
    <row r="233" spans="1:22" x14ac:dyDescent="0.25">
      <c r="A233">
        <v>79452</v>
      </c>
      <c r="B233">
        <v>131383445</v>
      </c>
      <c r="C233" t="s">
        <v>1594</v>
      </c>
      <c r="D233" t="s">
        <v>1595</v>
      </c>
      <c r="E233" t="s">
        <v>846</v>
      </c>
      <c r="F233" t="s">
        <v>847</v>
      </c>
      <c r="G233" t="s">
        <v>142</v>
      </c>
      <c r="H233" t="s">
        <v>143</v>
      </c>
      <c r="I233" t="s">
        <v>35</v>
      </c>
      <c r="J233" t="s">
        <v>144</v>
      </c>
      <c r="K233" t="s">
        <v>2</v>
      </c>
      <c r="L233" t="s">
        <v>1596</v>
      </c>
      <c r="M233" t="s">
        <v>1597</v>
      </c>
      <c r="N233" t="s">
        <v>850</v>
      </c>
      <c r="O233" t="s">
        <v>40</v>
      </c>
      <c r="P233" t="s">
        <v>1598</v>
      </c>
      <c r="Q233" t="s">
        <v>47</v>
      </c>
      <c r="R233" t="s">
        <v>1386</v>
      </c>
      <c r="S233">
        <v>1</v>
      </c>
      <c r="T233">
        <v>3366</v>
      </c>
      <c r="U233">
        <v>0</v>
      </c>
      <c r="V233">
        <v>3366</v>
      </c>
    </row>
    <row r="234" spans="1:22" x14ac:dyDescent="0.25">
      <c r="A234">
        <v>79452</v>
      </c>
      <c r="B234">
        <v>131383479</v>
      </c>
      <c r="C234" t="s">
        <v>1599</v>
      </c>
      <c r="D234" t="s">
        <v>1600</v>
      </c>
      <c r="E234" t="s">
        <v>846</v>
      </c>
      <c r="F234" t="s">
        <v>847</v>
      </c>
      <c r="G234" t="s">
        <v>142</v>
      </c>
      <c r="H234" t="s">
        <v>143</v>
      </c>
      <c r="I234" t="s">
        <v>35</v>
      </c>
      <c r="J234" t="s">
        <v>144</v>
      </c>
      <c r="K234" t="s">
        <v>2</v>
      </c>
      <c r="L234" t="s">
        <v>1601</v>
      </c>
      <c r="M234" t="s">
        <v>1602</v>
      </c>
      <c r="N234" t="s">
        <v>850</v>
      </c>
      <c r="O234" t="s">
        <v>40</v>
      </c>
      <c r="P234" t="s">
        <v>1603</v>
      </c>
      <c r="Q234" t="s">
        <v>46</v>
      </c>
      <c r="R234" t="s">
        <v>1386</v>
      </c>
      <c r="S234">
        <v>1</v>
      </c>
      <c r="T234">
        <v>3366</v>
      </c>
      <c r="U234">
        <v>0</v>
      </c>
      <c r="V234">
        <v>3366</v>
      </c>
    </row>
    <row r="235" spans="1:22" x14ac:dyDescent="0.25">
      <c r="A235">
        <v>79452</v>
      </c>
      <c r="B235">
        <v>131383444</v>
      </c>
      <c r="C235" t="s">
        <v>1604</v>
      </c>
      <c r="D235" t="s">
        <v>1605</v>
      </c>
      <c r="E235" t="s">
        <v>846</v>
      </c>
      <c r="F235" t="s">
        <v>847</v>
      </c>
      <c r="G235" t="s">
        <v>142</v>
      </c>
      <c r="H235" t="s">
        <v>143</v>
      </c>
      <c r="I235" t="s">
        <v>35</v>
      </c>
      <c r="J235" t="s">
        <v>144</v>
      </c>
      <c r="K235" t="s">
        <v>2</v>
      </c>
      <c r="L235" t="s">
        <v>1606</v>
      </c>
      <c r="M235" t="s">
        <v>1607</v>
      </c>
      <c r="N235" t="s">
        <v>850</v>
      </c>
      <c r="O235" t="s">
        <v>40</v>
      </c>
      <c r="P235" t="s">
        <v>1608</v>
      </c>
      <c r="Q235" t="s">
        <v>49</v>
      </c>
      <c r="R235" t="s">
        <v>1386</v>
      </c>
      <c r="S235">
        <v>1</v>
      </c>
      <c r="T235">
        <v>3366</v>
      </c>
      <c r="U235">
        <v>0</v>
      </c>
      <c r="V235">
        <v>3366</v>
      </c>
    </row>
    <row r="236" spans="1:22" x14ac:dyDescent="0.25">
      <c r="A236">
        <v>79452</v>
      </c>
      <c r="B236">
        <v>131311823</v>
      </c>
      <c r="C236" t="s">
        <v>1609</v>
      </c>
      <c r="D236" t="s">
        <v>1610</v>
      </c>
      <c r="E236" t="s">
        <v>846</v>
      </c>
      <c r="F236" t="s">
        <v>847</v>
      </c>
      <c r="G236" t="s">
        <v>142</v>
      </c>
      <c r="H236" t="s">
        <v>143</v>
      </c>
      <c r="I236" t="s">
        <v>35</v>
      </c>
      <c r="J236" t="s">
        <v>144</v>
      </c>
      <c r="K236" t="s">
        <v>2</v>
      </c>
      <c r="L236" t="s">
        <v>1611</v>
      </c>
      <c r="M236" t="s">
        <v>1612</v>
      </c>
      <c r="N236" t="s">
        <v>850</v>
      </c>
      <c r="O236" t="s">
        <v>40</v>
      </c>
      <c r="P236" t="s">
        <v>1613</v>
      </c>
      <c r="Q236" t="s">
        <v>48</v>
      </c>
      <c r="R236" t="s">
        <v>811</v>
      </c>
      <c r="S236">
        <v>1</v>
      </c>
      <c r="T236">
        <v>3366</v>
      </c>
      <c r="U236">
        <v>0</v>
      </c>
      <c r="V236">
        <v>3366</v>
      </c>
    </row>
    <row r="237" spans="1:22" x14ac:dyDescent="0.25">
      <c r="A237">
        <v>79452</v>
      </c>
      <c r="B237">
        <v>131311822</v>
      </c>
      <c r="C237" t="s">
        <v>1614</v>
      </c>
      <c r="D237" t="s">
        <v>1615</v>
      </c>
      <c r="E237" t="s">
        <v>846</v>
      </c>
      <c r="F237" t="s">
        <v>847</v>
      </c>
      <c r="G237" t="s">
        <v>142</v>
      </c>
      <c r="H237" t="s">
        <v>143</v>
      </c>
      <c r="I237" t="s">
        <v>35</v>
      </c>
      <c r="J237" t="s">
        <v>144</v>
      </c>
      <c r="K237" t="s">
        <v>2</v>
      </c>
      <c r="L237" t="s">
        <v>1616</v>
      </c>
      <c r="M237" t="s">
        <v>675</v>
      </c>
      <c r="N237" t="s">
        <v>850</v>
      </c>
      <c r="O237" t="s">
        <v>40</v>
      </c>
      <c r="P237" t="s">
        <v>1617</v>
      </c>
      <c r="Q237" t="s">
        <v>49</v>
      </c>
      <c r="R237" t="s">
        <v>811</v>
      </c>
      <c r="S237">
        <v>1</v>
      </c>
      <c r="T237">
        <v>3366</v>
      </c>
      <c r="U237">
        <v>0</v>
      </c>
      <c r="V237">
        <v>3366</v>
      </c>
    </row>
    <row r="238" spans="1:22" x14ac:dyDescent="0.25">
      <c r="A238">
        <v>79452</v>
      </c>
      <c r="B238">
        <v>131311824</v>
      </c>
      <c r="C238" t="s">
        <v>1618</v>
      </c>
      <c r="D238" t="s">
        <v>1619</v>
      </c>
      <c r="E238" t="s">
        <v>846</v>
      </c>
      <c r="F238" t="s">
        <v>847</v>
      </c>
      <c r="G238" t="s">
        <v>142</v>
      </c>
      <c r="H238" t="s">
        <v>143</v>
      </c>
      <c r="I238" t="s">
        <v>35</v>
      </c>
      <c r="J238" t="s">
        <v>144</v>
      </c>
      <c r="K238" t="s">
        <v>2</v>
      </c>
      <c r="L238" t="s">
        <v>1620</v>
      </c>
      <c r="M238" t="s">
        <v>1568</v>
      </c>
      <c r="N238" t="s">
        <v>850</v>
      </c>
      <c r="O238" t="s">
        <v>40</v>
      </c>
      <c r="P238" t="s">
        <v>1569</v>
      </c>
      <c r="Q238" t="s">
        <v>48</v>
      </c>
      <c r="R238" t="s">
        <v>811</v>
      </c>
      <c r="S238">
        <v>1</v>
      </c>
      <c r="T238">
        <v>3366</v>
      </c>
      <c r="U238">
        <v>0</v>
      </c>
      <c r="V238">
        <v>3366</v>
      </c>
    </row>
    <row r="239" spans="1:22" x14ac:dyDescent="0.25">
      <c r="A239">
        <v>79452</v>
      </c>
      <c r="B239">
        <v>131311833</v>
      </c>
      <c r="C239" t="s">
        <v>1621</v>
      </c>
      <c r="D239" t="s">
        <v>1622</v>
      </c>
      <c r="E239" t="s">
        <v>846</v>
      </c>
      <c r="F239" t="s">
        <v>847</v>
      </c>
      <c r="G239" t="s">
        <v>142</v>
      </c>
      <c r="H239" t="s">
        <v>143</v>
      </c>
      <c r="I239" t="s">
        <v>35</v>
      </c>
      <c r="J239" t="s">
        <v>144</v>
      </c>
      <c r="K239" t="s">
        <v>2</v>
      </c>
      <c r="L239" t="s">
        <v>1623</v>
      </c>
      <c r="M239" t="s">
        <v>1624</v>
      </c>
      <c r="N239" t="s">
        <v>850</v>
      </c>
      <c r="O239" t="s">
        <v>40</v>
      </c>
      <c r="P239" t="s">
        <v>1625</v>
      </c>
      <c r="Q239" t="s">
        <v>130</v>
      </c>
      <c r="R239" t="s">
        <v>376</v>
      </c>
      <c r="S239">
        <v>1</v>
      </c>
      <c r="T239">
        <v>3366</v>
      </c>
      <c r="U239">
        <v>0</v>
      </c>
      <c r="V239">
        <v>3366</v>
      </c>
    </row>
    <row r="240" spans="1:22" x14ac:dyDescent="0.25">
      <c r="A240">
        <v>79452</v>
      </c>
      <c r="B240">
        <v>131311812</v>
      </c>
      <c r="C240" t="s">
        <v>1626</v>
      </c>
      <c r="D240" t="s">
        <v>1627</v>
      </c>
      <c r="E240" t="s">
        <v>846</v>
      </c>
      <c r="F240" t="s">
        <v>847</v>
      </c>
      <c r="G240" t="s">
        <v>142</v>
      </c>
      <c r="H240" t="s">
        <v>143</v>
      </c>
      <c r="I240" t="s">
        <v>35</v>
      </c>
      <c r="J240" t="s">
        <v>144</v>
      </c>
      <c r="K240" t="s">
        <v>2</v>
      </c>
      <c r="L240" t="s">
        <v>1628</v>
      </c>
      <c r="M240" t="s">
        <v>1629</v>
      </c>
      <c r="N240" t="s">
        <v>850</v>
      </c>
      <c r="O240" t="s">
        <v>40</v>
      </c>
      <c r="P240" t="s">
        <v>1630</v>
      </c>
      <c r="Q240" t="s">
        <v>191</v>
      </c>
      <c r="R240" t="s">
        <v>811</v>
      </c>
      <c r="S240">
        <v>1</v>
      </c>
      <c r="T240">
        <v>3366</v>
      </c>
      <c r="U240">
        <v>0</v>
      </c>
      <c r="V240">
        <v>3366</v>
      </c>
    </row>
    <row r="241" spans="1:22" x14ac:dyDescent="0.25">
      <c r="A241">
        <v>79452</v>
      </c>
      <c r="B241">
        <v>131267974</v>
      </c>
      <c r="C241" t="s">
        <v>1631</v>
      </c>
      <c r="D241" t="s">
        <v>1632</v>
      </c>
      <c r="E241" t="s">
        <v>846</v>
      </c>
      <c r="F241" t="s">
        <v>847</v>
      </c>
      <c r="G241" t="s">
        <v>142</v>
      </c>
      <c r="H241" t="s">
        <v>143</v>
      </c>
      <c r="I241" t="s">
        <v>35</v>
      </c>
      <c r="J241" t="s">
        <v>144</v>
      </c>
      <c r="K241" t="s">
        <v>2</v>
      </c>
      <c r="L241" t="s">
        <v>1633</v>
      </c>
      <c r="M241" t="s">
        <v>1455</v>
      </c>
      <c r="N241" t="s">
        <v>850</v>
      </c>
      <c r="O241" t="s">
        <v>40</v>
      </c>
      <c r="P241" t="s">
        <v>1456</v>
      </c>
      <c r="Q241" t="s">
        <v>161</v>
      </c>
      <c r="R241" t="s">
        <v>314</v>
      </c>
      <c r="S241">
        <v>0.44</v>
      </c>
      <c r="T241">
        <v>4338</v>
      </c>
      <c r="U241">
        <v>0</v>
      </c>
      <c r="V241">
        <v>4338</v>
      </c>
    </row>
    <row r="242" spans="1:22" x14ac:dyDescent="0.25">
      <c r="A242">
        <v>79452</v>
      </c>
      <c r="B242">
        <v>131268004</v>
      </c>
      <c r="C242" t="s">
        <v>1634</v>
      </c>
      <c r="D242" t="s">
        <v>1635</v>
      </c>
      <c r="E242" t="s">
        <v>846</v>
      </c>
      <c r="F242" t="s">
        <v>847</v>
      </c>
      <c r="G242" t="s">
        <v>142</v>
      </c>
      <c r="H242" t="s">
        <v>143</v>
      </c>
      <c r="I242" t="s">
        <v>35</v>
      </c>
      <c r="J242" t="s">
        <v>144</v>
      </c>
      <c r="K242" t="s">
        <v>2</v>
      </c>
      <c r="L242" t="s">
        <v>1636</v>
      </c>
      <c r="M242" t="s">
        <v>436</v>
      </c>
      <c r="N242" t="s">
        <v>850</v>
      </c>
      <c r="O242" t="s">
        <v>40</v>
      </c>
      <c r="P242" t="s">
        <v>1637</v>
      </c>
      <c r="Q242" t="s">
        <v>48</v>
      </c>
      <c r="R242" t="s">
        <v>314</v>
      </c>
      <c r="S242">
        <v>1</v>
      </c>
      <c r="T242">
        <v>4338</v>
      </c>
      <c r="U242">
        <v>0</v>
      </c>
      <c r="V242">
        <v>4338</v>
      </c>
    </row>
    <row r="243" spans="1:22" x14ac:dyDescent="0.25">
      <c r="A243">
        <v>79452</v>
      </c>
      <c r="B243">
        <v>131267966</v>
      </c>
      <c r="C243" t="s">
        <v>1638</v>
      </c>
      <c r="D243" t="s">
        <v>1639</v>
      </c>
      <c r="E243" t="s">
        <v>846</v>
      </c>
      <c r="F243" t="s">
        <v>847</v>
      </c>
      <c r="G243" t="s">
        <v>142</v>
      </c>
      <c r="H243" t="s">
        <v>143</v>
      </c>
      <c r="I243" t="s">
        <v>35</v>
      </c>
      <c r="J243" t="s">
        <v>144</v>
      </c>
      <c r="K243" t="s">
        <v>2</v>
      </c>
      <c r="L243" t="s">
        <v>1640</v>
      </c>
      <c r="M243" t="s">
        <v>1641</v>
      </c>
      <c r="N243" t="s">
        <v>850</v>
      </c>
      <c r="O243" t="s">
        <v>40</v>
      </c>
      <c r="P243" t="s">
        <v>1642</v>
      </c>
      <c r="Q243" t="s">
        <v>73</v>
      </c>
      <c r="R243" t="s">
        <v>296</v>
      </c>
      <c r="S243">
        <v>0.33</v>
      </c>
      <c r="T243">
        <v>4338</v>
      </c>
      <c r="U243">
        <v>0</v>
      </c>
      <c r="V243">
        <v>4338</v>
      </c>
    </row>
    <row r="244" spans="1:22" x14ac:dyDescent="0.25">
      <c r="A244">
        <v>79452</v>
      </c>
      <c r="B244">
        <v>132150920</v>
      </c>
      <c r="C244" t="s">
        <v>1643</v>
      </c>
      <c r="D244" t="s">
        <v>1644</v>
      </c>
      <c r="E244" t="s">
        <v>846</v>
      </c>
      <c r="F244" t="s">
        <v>847</v>
      </c>
      <c r="G244" t="s">
        <v>142</v>
      </c>
      <c r="H244" t="s">
        <v>143</v>
      </c>
      <c r="I244" t="s">
        <v>35</v>
      </c>
      <c r="J244" t="s">
        <v>144</v>
      </c>
      <c r="K244" t="s">
        <v>2</v>
      </c>
      <c r="L244" t="s">
        <v>1645</v>
      </c>
      <c r="M244" t="s">
        <v>1646</v>
      </c>
      <c r="N244" t="s">
        <v>850</v>
      </c>
      <c r="O244" t="s">
        <v>40</v>
      </c>
      <c r="P244" t="s">
        <v>1647</v>
      </c>
      <c r="Q244" t="s">
        <v>79</v>
      </c>
      <c r="R244" t="s">
        <v>739</v>
      </c>
      <c r="S244">
        <v>1.55</v>
      </c>
      <c r="T244">
        <v>3501</v>
      </c>
      <c r="U244">
        <v>0</v>
      </c>
      <c r="V244">
        <v>3501</v>
      </c>
    </row>
    <row r="245" spans="1:22" x14ac:dyDescent="0.25">
      <c r="A245">
        <v>79452</v>
      </c>
      <c r="B245">
        <v>132150944</v>
      </c>
      <c r="C245" t="s">
        <v>1648</v>
      </c>
      <c r="D245" t="s">
        <v>1649</v>
      </c>
      <c r="E245" t="s">
        <v>846</v>
      </c>
      <c r="F245" t="s">
        <v>847</v>
      </c>
      <c r="G245" t="s">
        <v>142</v>
      </c>
      <c r="H245" t="s">
        <v>143</v>
      </c>
      <c r="I245" t="s">
        <v>35</v>
      </c>
      <c r="J245" t="s">
        <v>144</v>
      </c>
      <c r="K245" t="s">
        <v>2</v>
      </c>
      <c r="L245" t="s">
        <v>507</v>
      </c>
      <c r="M245" t="s">
        <v>1650</v>
      </c>
      <c r="N245" t="s">
        <v>850</v>
      </c>
      <c r="O245" t="s">
        <v>40</v>
      </c>
      <c r="P245" t="s">
        <v>1651</v>
      </c>
      <c r="Q245" t="s">
        <v>79</v>
      </c>
      <c r="R245" t="s">
        <v>739</v>
      </c>
      <c r="S245">
        <v>0.34</v>
      </c>
      <c r="T245">
        <v>3449</v>
      </c>
      <c r="U245">
        <v>0</v>
      </c>
      <c r="V245">
        <v>3449</v>
      </c>
    </row>
    <row r="246" spans="1:22" x14ac:dyDescent="0.25">
      <c r="A246">
        <v>79452</v>
      </c>
      <c r="B246">
        <v>131989995</v>
      </c>
      <c r="C246" t="s">
        <v>1652</v>
      </c>
      <c r="D246" t="s">
        <v>1653</v>
      </c>
      <c r="E246" t="s">
        <v>846</v>
      </c>
      <c r="F246" t="s">
        <v>847</v>
      </c>
      <c r="G246" t="s">
        <v>142</v>
      </c>
      <c r="H246" t="s">
        <v>143</v>
      </c>
      <c r="I246" t="s">
        <v>35</v>
      </c>
      <c r="J246" t="s">
        <v>144</v>
      </c>
      <c r="K246" t="s">
        <v>2</v>
      </c>
      <c r="L246" t="s">
        <v>1654</v>
      </c>
      <c r="M246" t="s">
        <v>1655</v>
      </c>
      <c r="N246" t="s">
        <v>850</v>
      </c>
      <c r="O246" t="s">
        <v>40</v>
      </c>
      <c r="P246" t="s">
        <v>1656</v>
      </c>
      <c r="Q246" t="s">
        <v>55</v>
      </c>
      <c r="R246" t="s">
        <v>539</v>
      </c>
      <c r="S246">
        <v>0.55000000000000004</v>
      </c>
      <c r="T246">
        <v>3501</v>
      </c>
      <c r="U246">
        <v>0</v>
      </c>
      <c r="V246">
        <v>3501</v>
      </c>
    </row>
    <row r="247" spans="1:22" x14ac:dyDescent="0.25">
      <c r="A247">
        <v>79452</v>
      </c>
      <c r="B247">
        <v>131922187</v>
      </c>
      <c r="C247" t="s">
        <v>1657</v>
      </c>
      <c r="D247" t="s">
        <v>1658</v>
      </c>
      <c r="E247" t="s">
        <v>846</v>
      </c>
      <c r="F247" t="s">
        <v>847</v>
      </c>
      <c r="G247" t="s">
        <v>142</v>
      </c>
      <c r="H247" t="s">
        <v>143</v>
      </c>
      <c r="I247" t="s">
        <v>35</v>
      </c>
      <c r="J247" t="s">
        <v>144</v>
      </c>
      <c r="K247" t="s">
        <v>2</v>
      </c>
      <c r="L247" t="s">
        <v>1659</v>
      </c>
      <c r="M247" t="s">
        <v>1660</v>
      </c>
      <c r="N247" t="s">
        <v>850</v>
      </c>
      <c r="O247" t="s">
        <v>40</v>
      </c>
      <c r="P247" t="s">
        <v>1661</v>
      </c>
      <c r="Q247" t="s">
        <v>55</v>
      </c>
      <c r="R247" t="s">
        <v>887</v>
      </c>
      <c r="S247">
        <v>1</v>
      </c>
      <c r="T247">
        <v>3501</v>
      </c>
      <c r="U247">
        <v>0</v>
      </c>
      <c r="V247">
        <v>3501</v>
      </c>
    </row>
    <row r="248" spans="1:22" x14ac:dyDescent="0.25">
      <c r="A248">
        <v>79452</v>
      </c>
      <c r="B248">
        <v>131707075</v>
      </c>
      <c r="C248" t="s">
        <v>1662</v>
      </c>
      <c r="D248" t="s">
        <v>1663</v>
      </c>
      <c r="E248" t="s">
        <v>846</v>
      </c>
      <c r="F248" t="s">
        <v>847</v>
      </c>
      <c r="G248" t="s">
        <v>142</v>
      </c>
      <c r="H248" t="s">
        <v>143</v>
      </c>
      <c r="I248" t="s">
        <v>35</v>
      </c>
      <c r="J248" t="s">
        <v>144</v>
      </c>
      <c r="K248" t="s">
        <v>2</v>
      </c>
      <c r="L248" t="s">
        <v>1664</v>
      </c>
      <c r="M248" t="s">
        <v>1665</v>
      </c>
      <c r="N248" t="s">
        <v>850</v>
      </c>
      <c r="O248" t="s">
        <v>40</v>
      </c>
      <c r="P248" t="s">
        <v>1666</v>
      </c>
      <c r="Q248" t="s">
        <v>79</v>
      </c>
      <c r="R248" t="s">
        <v>812</v>
      </c>
      <c r="S248">
        <v>1</v>
      </c>
      <c r="T248">
        <v>3501</v>
      </c>
      <c r="U248">
        <v>0</v>
      </c>
      <c r="V248">
        <v>3501</v>
      </c>
    </row>
    <row r="249" spans="1:22" x14ac:dyDescent="0.25">
      <c r="A249">
        <v>79452</v>
      </c>
      <c r="B249">
        <v>131590434</v>
      </c>
      <c r="C249" t="s">
        <v>1667</v>
      </c>
      <c r="D249" t="s">
        <v>1668</v>
      </c>
      <c r="E249" t="s">
        <v>846</v>
      </c>
      <c r="F249" t="s">
        <v>847</v>
      </c>
      <c r="G249" t="s">
        <v>142</v>
      </c>
      <c r="H249" t="s">
        <v>143</v>
      </c>
      <c r="I249" t="s">
        <v>35</v>
      </c>
      <c r="J249" t="s">
        <v>144</v>
      </c>
      <c r="K249" t="s">
        <v>2</v>
      </c>
      <c r="L249" t="s">
        <v>1669</v>
      </c>
      <c r="M249" t="s">
        <v>808</v>
      </c>
      <c r="N249" t="s">
        <v>850</v>
      </c>
      <c r="O249" t="s">
        <v>40</v>
      </c>
      <c r="P249" t="s">
        <v>1670</v>
      </c>
      <c r="Q249" t="s">
        <v>79</v>
      </c>
      <c r="R249" t="s">
        <v>1671</v>
      </c>
      <c r="S249">
        <v>1</v>
      </c>
      <c r="T249">
        <v>3501</v>
      </c>
      <c r="U249">
        <v>0</v>
      </c>
      <c r="V249">
        <v>3501</v>
      </c>
    </row>
    <row r="250" spans="1:22" x14ac:dyDescent="0.25">
      <c r="A250">
        <v>79452</v>
      </c>
      <c r="B250">
        <v>131569564</v>
      </c>
      <c r="C250" t="s">
        <v>1672</v>
      </c>
      <c r="D250" t="s">
        <v>1673</v>
      </c>
      <c r="E250" t="s">
        <v>846</v>
      </c>
      <c r="F250" t="s">
        <v>847</v>
      </c>
      <c r="G250" t="s">
        <v>142</v>
      </c>
      <c r="H250" t="s">
        <v>143</v>
      </c>
      <c r="I250" t="s">
        <v>35</v>
      </c>
      <c r="J250" t="s">
        <v>144</v>
      </c>
      <c r="K250" t="s">
        <v>2</v>
      </c>
      <c r="L250" t="s">
        <v>1674</v>
      </c>
      <c r="M250" t="s">
        <v>1675</v>
      </c>
      <c r="N250" t="s">
        <v>850</v>
      </c>
      <c r="O250" t="s">
        <v>40</v>
      </c>
      <c r="P250" t="s">
        <v>1676</v>
      </c>
      <c r="Q250" t="s">
        <v>55</v>
      </c>
      <c r="R250" t="s">
        <v>293</v>
      </c>
      <c r="S250">
        <v>1</v>
      </c>
      <c r="T250">
        <v>3501</v>
      </c>
      <c r="U250">
        <v>0</v>
      </c>
      <c r="V250">
        <v>3501</v>
      </c>
    </row>
    <row r="251" spans="1:22" x14ac:dyDescent="0.25">
      <c r="A251">
        <v>79452</v>
      </c>
      <c r="B251">
        <v>131277255</v>
      </c>
      <c r="C251" t="s">
        <v>1677</v>
      </c>
      <c r="D251" t="s">
        <v>1678</v>
      </c>
      <c r="E251" t="s">
        <v>846</v>
      </c>
      <c r="F251" t="s">
        <v>847</v>
      </c>
      <c r="G251" t="s">
        <v>142</v>
      </c>
      <c r="H251" t="s">
        <v>143</v>
      </c>
      <c r="I251" t="s">
        <v>35</v>
      </c>
      <c r="J251" t="s">
        <v>144</v>
      </c>
      <c r="K251" t="s">
        <v>2</v>
      </c>
      <c r="L251" t="s">
        <v>1679</v>
      </c>
      <c r="M251" t="s">
        <v>1680</v>
      </c>
      <c r="N251" t="s">
        <v>850</v>
      </c>
      <c r="O251" t="s">
        <v>40</v>
      </c>
      <c r="P251" t="s">
        <v>1681</v>
      </c>
      <c r="Q251" t="s">
        <v>55</v>
      </c>
      <c r="R251" t="s">
        <v>605</v>
      </c>
      <c r="S251">
        <v>0.26</v>
      </c>
      <c r="T251">
        <v>4870</v>
      </c>
      <c r="U251">
        <v>0</v>
      </c>
      <c r="V251">
        <v>4870</v>
      </c>
    </row>
    <row r="252" spans="1:22" x14ac:dyDescent="0.25">
      <c r="A252">
        <v>79452</v>
      </c>
      <c r="B252">
        <v>132178868</v>
      </c>
      <c r="C252" t="s">
        <v>1682</v>
      </c>
      <c r="D252" t="s">
        <v>1683</v>
      </c>
      <c r="E252" t="s">
        <v>846</v>
      </c>
      <c r="F252" t="s">
        <v>847</v>
      </c>
      <c r="G252" t="s">
        <v>142</v>
      </c>
      <c r="H252" t="s">
        <v>143</v>
      </c>
      <c r="I252" t="s">
        <v>35</v>
      </c>
      <c r="J252" t="s">
        <v>144</v>
      </c>
      <c r="K252" t="s">
        <v>2</v>
      </c>
      <c r="L252" t="s">
        <v>1684</v>
      </c>
      <c r="M252" t="s">
        <v>1685</v>
      </c>
      <c r="N252" t="s">
        <v>850</v>
      </c>
      <c r="O252" t="s">
        <v>40</v>
      </c>
      <c r="P252" t="s">
        <v>1686</v>
      </c>
      <c r="Q252" t="s">
        <v>58</v>
      </c>
      <c r="R252" t="s">
        <v>909</v>
      </c>
      <c r="S252">
        <v>1</v>
      </c>
      <c r="T252">
        <v>3753</v>
      </c>
      <c r="U252">
        <v>0</v>
      </c>
      <c r="V252">
        <v>3753</v>
      </c>
    </row>
    <row r="253" spans="1:22" x14ac:dyDescent="0.25">
      <c r="A253">
        <v>79452</v>
      </c>
      <c r="B253">
        <v>132150933</v>
      </c>
      <c r="C253" t="s">
        <v>1687</v>
      </c>
      <c r="D253" t="s">
        <v>1688</v>
      </c>
      <c r="E253" t="s">
        <v>846</v>
      </c>
      <c r="F253" t="s">
        <v>847</v>
      </c>
      <c r="G253" t="s">
        <v>142</v>
      </c>
      <c r="H253" t="s">
        <v>143</v>
      </c>
      <c r="I253" t="s">
        <v>35</v>
      </c>
      <c r="J253" t="s">
        <v>144</v>
      </c>
      <c r="K253" t="s">
        <v>2</v>
      </c>
      <c r="L253" t="s">
        <v>1689</v>
      </c>
      <c r="M253" t="s">
        <v>1690</v>
      </c>
      <c r="N253" t="s">
        <v>850</v>
      </c>
      <c r="O253" t="s">
        <v>40</v>
      </c>
      <c r="P253" t="s">
        <v>1691</v>
      </c>
      <c r="Q253" t="s">
        <v>50</v>
      </c>
      <c r="R253" t="s">
        <v>739</v>
      </c>
      <c r="S253">
        <v>1</v>
      </c>
      <c r="T253">
        <v>3753</v>
      </c>
      <c r="U253">
        <v>0</v>
      </c>
      <c r="V253">
        <v>3753</v>
      </c>
    </row>
    <row r="254" spans="1:22" x14ac:dyDescent="0.25">
      <c r="A254">
        <v>79452</v>
      </c>
      <c r="B254">
        <v>132150936</v>
      </c>
      <c r="C254" t="s">
        <v>1692</v>
      </c>
      <c r="D254" t="s">
        <v>1693</v>
      </c>
      <c r="E254" t="s">
        <v>846</v>
      </c>
      <c r="F254" t="s">
        <v>847</v>
      </c>
      <c r="G254" t="s">
        <v>142</v>
      </c>
      <c r="H254" t="s">
        <v>143</v>
      </c>
      <c r="I254" t="s">
        <v>35</v>
      </c>
      <c r="J254" t="s">
        <v>144</v>
      </c>
      <c r="K254" t="s">
        <v>169</v>
      </c>
      <c r="L254" t="s">
        <v>267</v>
      </c>
      <c r="M254" t="s">
        <v>1694</v>
      </c>
      <c r="N254" t="s">
        <v>850</v>
      </c>
      <c r="O254" t="s">
        <v>40</v>
      </c>
      <c r="P254" t="s">
        <v>1695</v>
      </c>
      <c r="Q254" t="s">
        <v>50</v>
      </c>
      <c r="R254" t="s">
        <v>739</v>
      </c>
      <c r="S254">
        <v>0.35</v>
      </c>
      <c r="T254">
        <v>3680</v>
      </c>
      <c r="U254">
        <v>0</v>
      </c>
      <c r="V254">
        <v>3680</v>
      </c>
    </row>
    <row r="255" spans="1:22" x14ac:dyDescent="0.25">
      <c r="A255">
        <v>79452</v>
      </c>
      <c r="B255">
        <v>132048420</v>
      </c>
      <c r="C255" t="s">
        <v>1696</v>
      </c>
      <c r="D255" t="s">
        <v>1697</v>
      </c>
      <c r="E255" t="s">
        <v>846</v>
      </c>
      <c r="F255" t="s">
        <v>847</v>
      </c>
      <c r="G255" t="s">
        <v>142</v>
      </c>
      <c r="H255" t="s">
        <v>143</v>
      </c>
      <c r="I255" t="s">
        <v>35</v>
      </c>
      <c r="J255" t="s">
        <v>144</v>
      </c>
      <c r="K255" t="s">
        <v>2</v>
      </c>
      <c r="L255" t="s">
        <v>1698</v>
      </c>
      <c r="M255" t="s">
        <v>759</v>
      </c>
      <c r="N255" t="s">
        <v>850</v>
      </c>
      <c r="O255" t="s">
        <v>40</v>
      </c>
      <c r="P255" t="s">
        <v>1699</v>
      </c>
      <c r="Q255" t="s">
        <v>52</v>
      </c>
      <c r="R255" t="s">
        <v>430</v>
      </c>
      <c r="S255">
        <v>0.8</v>
      </c>
      <c r="T255">
        <v>3753</v>
      </c>
      <c r="U255">
        <v>0</v>
      </c>
      <c r="V255">
        <v>3753</v>
      </c>
    </row>
    <row r="256" spans="1:22" x14ac:dyDescent="0.25">
      <c r="A256">
        <v>79452</v>
      </c>
      <c r="B256">
        <v>132073938</v>
      </c>
      <c r="C256" t="s">
        <v>1700</v>
      </c>
      <c r="D256" t="s">
        <v>1701</v>
      </c>
      <c r="E256" t="s">
        <v>846</v>
      </c>
      <c r="F256" t="s">
        <v>847</v>
      </c>
      <c r="G256" t="s">
        <v>142</v>
      </c>
      <c r="H256" t="s">
        <v>143</v>
      </c>
      <c r="I256" t="s">
        <v>35</v>
      </c>
      <c r="J256" t="s">
        <v>144</v>
      </c>
      <c r="K256" t="s">
        <v>2</v>
      </c>
      <c r="L256" t="s">
        <v>1702</v>
      </c>
      <c r="M256" t="s">
        <v>1703</v>
      </c>
      <c r="N256" t="s">
        <v>850</v>
      </c>
      <c r="O256" t="s">
        <v>40</v>
      </c>
      <c r="P256" t="s">
        <v>1704</v>
      </c>
      <c r="Q256" t="s">
        <v>50</v>
      </c>
      <c r="R256" t="s">
        <v>862</v>
      </c>
      <c r="S256">
        <v>1.05</v>
      </c>
      <c r="T256">
        <v>3753</v>
      </c>
      <c r="U256">
        <v>0</v>
      </c>
      <c r="V256">
        <v>3753</v>
      </c>
    </row>
    <row r="257" spans="1:22" x14ac:dyDescent="0.25">
      <c r="A257">
        <v>79452</v>
      </c>
      <c r="B257">
        <v>132021626</v>
      </c>
      <c r="C257" t="s">
        <v>1705</v>
      </c>
      <c r="D257" t="s">
        <v>1706</v>
      </c>
      <c r="E257" t="s">
        <v>846</v>
      </c>
      <c r="F257" t="s">
        <v>847</v>
      </c>
      <c r="G257" t="s">
        <v>142</v>
      </c>
      <c r="H257" t="s">
        <v>143</v>
      </c>
      <c r="I257" t="s">
        <v>35</v>
      </c>
      <c r="J257" t="s">
        <v>144</v>
      </c>
      <c r="K257" t="s">
        <v>2</v>
      </c>
      <c r="L257" t="s">
        <v>1707</v>
      </c>
      <c r="M257" t="s">
        <v>512</v>
      </c>
      <c r="N257" t="s">
        <v>850</v>
      </c>
      <c r="O257" t="s">
        <v>40</v>
      </c>
      <c r="P257" t="s">
        <v>1708</v>
      </c>
      <c r="Q257" t="s">
        <v>81</v>
      </c>
      <c r="R257" t="s">
        <v>599</v>
      </c>
      <c r="S257">
        <v>1</v>
      </c>
      <c r="T257">
        <v>3753</v>
      </c>
      <c r="U257">
        <v>0</v>
      </c>
      <c r="V257">
        <v>3753</v>
      </c>
    </row>
    <row r="258" spans="1:22" x14ac:dyDescent="0.25">
      <c r="A258">
        <v>79452</v>
      </c>
      <c r="B258">
        <v>132021634</v>
      </c>
      <c r="C258" t="s">
        <v>1709</v>
      </c>
      <c r="D258" t="s">
        <v>1710</v>
      </c>
      <c r="E258" t="s">
        <v>846</v>
      </c>
      <c r="F258" t="s">
        <v>847</v>
      </c>
      <c r="G258" t="s">
        <v>142</v>
      </c>
      <c r="H258" t="s">
        <v>143</v>
      </c>
      <c r="I258" t="s">
        <v>35</v>
      </c>
      <c r="J258" t="s">
        <v>144</v>
      </c>
      <c r="K258" t="s">
        <v>2</v>
      </c>
      <c r="L258" t="s">
        <v>1711</v>
      </c>
      <c r="M258" t="s">
        <v>1712</v>
      </c>
      <c r="N258" t="s">
        <v>850</v>
      </c>
      <c r="O258" t="s">
        <v>40</v>
      </c>
      <c r="P258" t="s">
        <v>1713</v>
      </c>
      <c r="Q258" t="s">
        <v>62</v>
      </c>
      <c r="R258" t="s">
        <v>599</v>
      </c>
      <c r="S258">
        <v>1</v>
      </c>
      <c r="T258">
        <v>3753</v>
      </c>
      <c r="U258">
        <v>0</v>
      </c>
      <c r="V258">
        <v>3753</v>
      </c>
    </row>
    <row r="259" spans="1:22" x14ac:dyDescent="0.25">
      <c r="A259">
        <v>79452</v>
      </c>
      <c r="B259">
        <v>131990004</v>
      </c>
      <c r="C259" t="s">
        <v>1714</v>
      </c>
      <c r="D259" t="s">
        <v>1715</v>
      </c>
      <c r="E259" t="s">
        <v>846</v>
      </c>
      <c r="F259" t="s">
        <v>847</v>
      </c>
      <c r="G259" t="s">
        <v>142</v>
      </c>
      <c r="H259" t="s">
        <v>143</v>
      </c>
      <c r="I259" t="s">
        <v>35</v>
      </c>
      <c r="J259" t="s">
        <v>144</v>
      </c>
      <c r="K259" t="s">
        <v>2</v>
      </c>
      <c r="L259" t="s">
        <v>1716</v>
      </c>
      <c r="M259" t="s">
        <v>356</v>
      </c>
      <c r="N259" t="s">
        <v>850</v>
      </c>
      <c r="O259" t="s">
        <v>40</v>
      </c>
      <c r="P259" t="s">
        <v>1717</v>
      </c>
      <c r="Q259" t="s">
        <v>52</v>
      </c>
      <c r="R259" t="s">
        <v>539</v>
      </c>
      <c r="S259">
        <v>1</v>
      </c>
      <c r="T259">
        <v>3753</v>
      </c>
      <c r="U259">
        <v>0</v>
      </c>
      <c r="V259">
        <v>3753</v>
      </c>
    </row>
    <row r="260" spans="1:22" x14ac:dyDescent="0.25">
      <c r="A260">
        <v>79452</v>
      </c>
      <c r="B260">
        <v>132021629</v>
      </c>
      <c r="C260" t="s">
        <v>1718</v>
      </c>
      <c r="D260" t="s">
        <v>1719</v>
      </c>
      <c r="E260" t="s">
        <v>846</v>
      </c>
      <c r="F260" t="s">
        <v>847</v>
      </c>
      <c r="G260" t="s">
        <v>142</v>
      </c>
      <c r="H260" t="s">
        <v>143</v>
      </c>
      <c r="I260" t="s">
        <v>35</v>
      </c>
      <c r="J260" t="s">
        <v>144</v>
      </c>
      <c r="K260" t="s">
        <v>2</v>
      </c>
      <c r="L260" t="s">
        <v>1720</v>
      </c>
      <c r="M260" t="s">
        <v>792</v>
      </c>
      <c r="N260" t="s">
        <v>850</v>
      </c>
      <c r="O260" t="s">
        <v>40</v>
      </c>
      <c r="P260" t="s">
        <v>1721</v>
      </c>
      <c r="Q260" t="s">
        <v>50</v>
      </c>
      <c r="R260" t="s">
        <v>599</v>
      </c>
      <c r="S260">
        <v>1</v>
      </c>
      <c r="T260">
        <v>3753</v>
      </c>
      <c r="U260">
        <v>0</v>
      </c>
      <c r="V260">
        <v>3753</v>
      </c>
    </row>
    <row r="261" spans="1:22" x14ac:dyDescent="0.25">
      <c r="A261">
        <v>79452</v>
      </c>
      <c r="B261">
        <v>132021611</v>
      </c>
      <c r="C261" t="s">
        <v>1722</v>
      </c>
      <c r="D261" t="s">
        <v>1723</v>
      </c>
      <c r="E261" t="s">
        <v>846</v>
      </c>
      <c r="F261" t="s">
        <v>847</v>
      </c>
      <c r="G261" t="s">
        <v>142</v>
      </c>
      <c r="H261" t="s">
        <v>143</v>
      </c>
      <c r="I261" t="s">
        <v>35</v>
      </c>
      <c r="J261" t="s">
        <v>144</v>
      </c>
      <c r="K261" t="s">
        <v>2</v>
      </c>
      <c r="L261" t="s">
        <v>1724</v>
      </c>
      <c r="M261" t="s">
        <v>1725</v>
      </c>
      <c r="N261" t="s">
        <v>850</v>
      </c>
      <c r="O261" t="s">
        <v>40</v>
      </c>
      <c r="P261" t="s">
        <v>1726</v>
      </c>
      <c r="Q261" t="s">
        <v>50</v>
      </c>
      <c r="R261" t="s">
        <v>599</v>
      </c>
      <c r="S261">
        <v>1</v>
      </c>
      <c r="T261">
        <v>3753</v>
      </c>
      <c r="U261">
        <v>0</v>
      </c>
      <c r="V261">
        <v>3753</v>
      </c>
    </row>
    <row r="262" spans="1:22" x14ac:dyDescent="0.25">
      <c r="A262">
        <v>79452</v>
      </c>
      <c r="B262">
        <v>131922171</v>
      </c>
      <c r="C262" t="s">
        <v>1727</v>
      </c>
      <c r="D262" t="s">
        <v>1728</v>
      </c>
      <c r="E262" t="s">
        <v>846</v>
      </c>
      <c r="F262" t="s">
        <v>847</v>
      </c>
      <c r="G262" t="s">
        <v>142</v>
      </c>
      <c r="H262" t="s">
        <v>143</v>
      </c>
      <c r="I262" t="s">
        <v>35</v>
      </c>
      <c r="J262" t="s">
        <v>144</v>
      </c>
      <c r="K262" t="s">
        <v>2</v>
      </c>
      <c r="L262" t="s">
        <v>1729</v>
      </c>
      <c r="M262" t="s">
        <v>1730</v>
      </c>
      <c r="N262" t="s">
        <v>850</v>
      </c>
      <c r="O262" t="s">
        <v>40</v>
      </c>
      <c r="P262" t="s">
        <v>1731</v>
      </c>
      <c r="Q262" t="s">
        <v>209</v>
      </c>
      <c r="R262" t="s">
        <v>887</v>
      </c>
      <c r="S262">
        <v>1</v>
      </c>
      <c r="T262">
        <v>3753</v>
      </c>
      <c r="U262">
        <v>0</v>
      </c>
      <c r="V262">
        <v>3753</v>
      </c>
    </row>
    <row r="263" spans="1:22" x14ac:dyDescent="0.25">
      <c r="A263">
        <v>79452</v>
      </c>
      <c r="B263">
        <v>131922175</v>
      </c>
      <c r="C263" t="s">
        <v>1732</v>
      </c>
      <c r="D263" t="s">
        <v>1733</v>
      </c>
      <c r="E263" t="s">
        <v>846</v>
      </c>
      <c r="F263" t="s">
        <v>847</v>
      </c>
      <c r="G263" t="s">
        <v>142</v>
      </c>
      <c r="H263" t="s">
        <v>143</v>
      </c>
      <c r="I263" t="s">
        <v>35</v>
      </c>
      <c r="J263" t="s">
        <v>144</v>
      </c>
      <c r="K263" t="s">
        <v>2</v>
      </c>
      <c r="L263" t="s">
        <v>1734</v>
      </c>
      <c r="M263" t="s">
        <v>1735</v>
      </c>
      <c r="N263" t="s">
        <v>850</v>
      </c>
      <c r="O263" t="s">
        <v>40</v>
      </c>
      <c r="P263" t="s">
        <v>1736</v>
      </c>
      <c r="Q263" t="s">
        <v>120</v>
      </c>
      <c r="R263" t="s">
        <v>887</v>
      </c>
      <c r="S263">
        <v>0.4</v>
      </c>
      <c r="T263">
        <v>3680</v>
      </c>
      <c r="U263">
        <v>0</v>
      </c>
      <c r="V263">
        <v>3680</v>
      </c>
    </row>
    <row r="264" spans="1:22" x14ac:dyDescent="0.25">
      <c r="A264">
        <v>79452</v>
      </c>
      <c r="B264">
        <v>131922190</v>
      </c>
      <c r="C264" t="s">
        <v>1737</v>
      </c>
      <c r="D264" t="s">
        <v>1738</v>
      </c>
      <c r="E264" t="s">
        <v>846</v>
      </c>
      <c r="F264" t="s">
        <v>847</v>
      </c>
      <c r="G264" t="s">
        <v>142</v>
      </c>
      <c r="H264" t="s">
        <v>143</v>
      </c>
      <c r="I264" t="s">
        <v>35</v>
      </c>
      <c r="J264" t="s">
        <v>144</v>
      </c>
      <c r="K264" t="s">
        <v>2</v>
      </c>
      <c r="L264" t="s">
        <v>1739</v>
      </c>
      <c r="M264" t="s">
        <v>574</v>
      </c>
      <c r="N264" t="s">
        <v>850</v>
      </c>
      <c r="O264" t="s">
        <v>40</v>
      </c>
      <c r="P264" t="s">
        <v>1740</v>
      </c>
      <c r="Q264" t="s">
        <v>62</v>
      </c>
      <c r="R264" t="s">
        <v>887</v>
      </c>
      <c r="S264">
        <v>1</v>
      </c>
      <c r="T264">
        <v>3753</v>
      </c>
      <c r="U264">
        <v>0</v>
      </c>
      <c r="V264">
        <v>3753</v>
      </c>
    </row>
    <row r="265" spans="1:22" x14ac:dyDescent="0.25">
      <c r="A265">
        <v>79452</v>
      </c>
      <c r="B265">
        <v>131855939</v>
      </c>
      <c r="C265" t="s">
        <v>1741</v>
      </c>
      <c r="D265" t="s">
        <v>1742</v>
      </c>
      <c r="E265" t="s">
        <v>846</v>
      </c>
      <c r="F265" t="s">
        <v>847</v>
      </c>
      <c r="G265" t="s">
        <v>142</v>
      </c>
      <c r="H265" t="s">
        <v>143</v>
      </c>
      <c r="I265" t="s">
        <v>35</v>
      </c>
      <c r="J265" t="s">
        <v>144</v>
      </c>
      <c r="K265" t="s">
        <v>2</v>
      </c>
      <c r="L265" t="s">
        <v>1743</v>
      </c>
      <c r="M265" t="s">
        <v>1685</v>
      </c>
      <c r="N265" t="s">
        <v>850</v>
      </c>
      <c r="O265" t="s">
        <v>40</v>
      </c>
      <c r="P265" t="s">
        <v>1686</v>
      </c>
      <c r="Q265" t="s">
        <v>58</v>
      </c>
      <c r="R265" t="s">
        <v>393</v>
      </c>
      <c r="S265">
        <v>1.1499999999999999</v>
      </c>
      <c r="T265">
        <v>3753</v>
      </c>
      <c r="U265">
        <v>0</v>
      </c>
      <c r="V265">
        <v>3753</v>
      </c>
    </row>
    <row r="266" spans="1:22" x14ac:dyDescent="0.25">
      <c r="A266">
        <v>79452</v>
      </c>
      <c r="B266">
        <v>131823038</v>
      </c>
      <c r="C266" t="s">
        <v>1744</v>
      </c>
      <c r="D266" t="s">
        <v>1745</v>
      </c>
      <c r="E266" t="s">
        <v>846</v>
      </c>
      <c r="F266" t="s">
        <v>847</v>
      </c>
      <c r="G266" t="s">
        <v>142</v>
      </c>
      <c r="H266" t="s">
        <v>143</v>
      </c>
      <c r="I266" t="s">
        <v>35</v>
      </c>
      <c r="J266" t="s">
        <v>144</v>
      </c>
      <c r="K266" t="s">
        <v>2</v>
      </c>
      <c r="L266" t="s">
        <v>1746</v>
      </c>
      <c r="M266" t="s">
        <v>1694</v>
      </c>
      <c r="N266" t="s">
        <v>850</v>
      </c>
      <c r="O266" t="s">
        <v>40</v>
      </c>
      <c r="P266" t="s">
        <v>1695</v>
      </c>
      <c r="Q266" t="s">
        <v>50</v>
      </c>
      <c r="R266" t="s">
        <v>282</v>
      </c>
      <c r="S266">
        <v>1</v>
      </c>
      <c r="T266">
        <v>3753</v>
      </c>
      <c r="U266">
        <v>0</v>
      </c>
      <c r="V266">
        <v>3753</v>
      </c>
    </row>
    <row r="267" spans="1:22" x14ac:dyDescent="0.25">
      <c r="A267">
        <v>79452</v>
      </c>
      <c r="B267">
        <v>131774007</v>
      </c>
      <c r="C267" t="s">
        <v>1747</v>
      </c>
      <c r="D267" t="s">
        <v>1748</v>
      </c>
      <c r="E267" t="s">
        <v>846</v>
      </c>
      <c r="F267" t="s">
        <v>847</v>
      </c>
      <c r="G267" t="s">
        <v>142</v>
      </c>
      <c r="H267" t="s">
        <v>143</v>
      </c>
      <c r="I267" t="s">
        <v>35</v>
      </c>
      <c r="J267" t="s">
        <v>144</v>
      </c>
      <c r="K267" t="s">
        <v>2</v>
      </c>
      <c r="L267" t="s">
        <v>678</v>
      </c>
      <c r="M267" t="s">
        <v>1749</v>
      </c>
      <c r="N267" t="s">
        <v>850</v>
      </c>
      <c r="O267" t="s">
        <v>40</v>
      </c>
      <c r="P267" t="s">
        <v>679</v>
      </c>
      <c r="Q267" t="s">
        <v>121</v>
      </c>
      <c r="R267" t="s">
        <v>612</v>
      </c>
      <c r="S267">
        <v>1</v>
      </c>
      <c r="T267">
        <v>3753</v>
      </c>
      <c r="U267">
        <v>0</v>
      </c>
      <c r="V267">
        <v>3753</v>
      </c>
    </row>
    <row r="268" spans="1:22" x14ac:dyDescent="0.25">
      <c r="A268">
        <v>79452</v>
      </c>
      <c r="B268">
        <v>131822969</v>
      </c>
      <c r="C268" t="s">
        <v>1750</v>
      </c>
      <c r="D268" t="s">
        <v>1751</v>
      </c>
      <c r="E268" t="s">
        <v>846</v>
      </c>
      <c r="F268" t="s">
        <v>847</v>
      </c>
      <c r="G268" t="s">
        <v>142</v>
      </c>
      <c r="H268" t="s">
        <v>143</v>
      </c>
      <c r="I268" t="s">
        <v>35</v>
      </c>
      <c r="J268" t="s">
        <v>144</v>
      </c>
      <c r="K268" t="s">
        <v>2</v>
      </c>
      <c r="L268" t="s">
        <v>1752</v>
      </c>
      <c r="M268" t="s">
        <v>1753</v>
      </c>
      <c r="N268" t="s">
        <v>850</v>
      </c>
      <c r="O268" t="s">
        <v>40</v>
      </c>
      <c r="P268" t="s">
        <v>1754</v>
      </c>
      <c r="Q268" t="s">
        <v>52</v>
      </c>
      <c r="R268" t="s">
        <v>282</v>
      </c>
      <c r="S268">
        <v>1</v>
      </c>
      <c r="T268">
        <v>3753</v>
      </c>
      <c r="U268">
        <v>0</v>
      </c>
      <c r="V268">
        <v>3753</v>
      </c>
    </row>
    <row r="269" spans="1:22" x14ac:dyDescent="0.25">
      <c r="A269">
        <v>79452</v>
      </c>
      <c r="B269">
        <v>131823034</v>
      </c>
      <c r="C269" t="s">
        <v>1755</v>
      </c>
      <c r="D269" t="s">
        <v>1756</v>
      </c>
      <c r="E269" t="s">
        <v>846</v>
      </c>
      <c r="F269" t="s">
        <v>847</v>
      </c>
      <c r="G269" t="s">
        <v>142</v>
      </c>
      <c r="H269" t="s">
        <v>143</v>
      </c>
      <c r="I269" t="s">
        <v>35</v>
      </c>
      <c r="J269" t="s">
        <v>144</v>
      </c>
      <c r="K269" t="s">
        <v>2</v>
      </c>
      <c r="L269" t="s">
        <v>1757</v>
      </c>
      <c r="M269" t="s">
        <v>1758</v>
      </c>
      <c r="N269" t="s">
        <v>850</v>
      </c>
      <c r="O269" t="s">
        <v>40</v>
      </c>
      <c r="P269" t="s">
        <v>1759</v>
      </c>
      <c r="Q269" t="s">
        <v>58</v>
      </c>
      <c r="R269" t="s">
        <v>282</v>
      </c>
      <c r="S269">
        <v>1</v>
      </c>
      <c r="T269">
        <v>3753</v>
      </c>
      <c r="U269">
        <v>0</v>
      </c>
      <c r="V269">
        <v>3753</v>
      </c>
    </row>
    <row r="270" spans="1:22" x14ac:dyDescent="0.25">
      <c r="A270">
        <v>79452</v>
      </c>
      <c r="B270">
        <v>131780076</v>
      </c>
      <c r="C270" t="s">
        <v>1760</v>
      </c>
      <c r="D270" t="s">
        <v>1761</v>
      </c>
      <c r="E270" t="s">
        <v>846</v>
      </c>
      <c r="F270" t="s">
        <v>847</v>
      </c>
      <c r="G270" t="s">
        <v>142</v>
      </c>
      <c r="H270" t="s">
        <v>143</v>
      </c>
      <c r="I270" t="s">
        <v>35</v>
      </c>
      <c r="J270" t="s">
        <v>144</v>
      </c>
      <c r="K270" t="s">
        <v>2</v>
      </c>
      <c r="L270" t="s">
        <v>1762</v>
      </c>
      <c r="M270" t="s">
        <v>1763</v>
      </c>
      <c r="N270" t="s">
        <v>850</v>
      </c>
      <c r="O270" t="s">
        <v>40</v>
      </c>
      <c r="P270" t="s">
        <v>1764</v>
      </c>
      <c r="Q270" t="s">
        <v>121</v>
      </c>
      <c r="R270" t="s">
        <v>641</v>
      </c>
      <c r="S270">
        <v>1</v>
      </c>
      <c r="T270">
        <v>3753</v>
      </c>
      <c r="U270">
        <v>0</v>
      </c>
      <c r="V270">
        <v>3753</v>
      </c>
    </row>
    <row r="271" spans="1:22" x14ac:dyDescent="0.25">
      <c r="A271">
        <v>79452</v>
      </c>
      <c r="B271">
        <v>131780081</v>
      </c>
      <c r="C271" t="s">
        <v>1765</v>
      </c>
      <c r="D271" t="s">
        <v>1766</v>
      </c>
      <c r="E271" t="s">
        <v>846</v>
      </c>
      <c r="F271" t="s">
        <v>847</v>
      </c>
      <c r="G271" t="s">
        <v>142</v>
      </c>
      <c r="H271" t="s">
        <v>143</v>
      </c>
      <c r="I271" t="s">
        <v>35</v>
      </c>
      <c r="J271" t="s">
        <v>144</v>
      </c>
      <c r="K271" t="s">
        <v>2</v>
      </c>
      <c r="L271" t="s">
        <v>1767</v>
      </c>
      <c r="M271" t="s">
        <v>1768</v>
      </c>
      <c r="N271" t="s">
        <v>850</v>
      </c>
      <c r="O271" t="s">
        <v>40</v>
      </c>
      <c r="P271" t="s">
        <v>1769</v>
      </c>
      <c r="Q271" t="s">
        <v>50</v>
      </c>
      <c r="R271" t="s">
        <v>641</v>
      </c>
      <c r="S271">
        <v>1</v>
      </c>
      <c r="T271">
        <v>3753</v>
      </c>
      <c r="U271">
        <v>0</v>
      </c>
      <c r="V271">
        <v>3753</v>
      </c>
    </row>
    <row r="272" spans="1:22" x14ac:dyDescent="0.25">
      <c r="A272">
        <v>79452</v>
      </c>
      <c r="B272">
        <v>131741869</v>
      </c>
      <c r="C272" t="s">
        <v>1770</v>
      </c>
      <c r="D272" t="s">
        <v>1771</v>
      </c>
      <c r="E272" t="s">
        <v>846</v>
      </c>
      <c r="F272" t="s">
        <v>847</v>
      </c>
      <c r="G272" t="s">
        <v>142</v>
      </c>
      <c r="H272" t="s">
        <v>143</v>
      </c>
      <c r="I272" t="s">
        <v>35</v>
      </c>
      <c r="J272" t="s">
        <v>144</v>
      </c>
      <c r="K272" t="s">
        <v>2</v>
      </c>
      <c r="L272" t="s">
        <v>1772</v>
      </c>
      <c r="M272" t="s">
        <v>1773</v>
      </c>
      <c r="N272" t="s">
        <v>850</v>
      </c>
      <c r="O272" t="s">
        <v>40</v>
      </c>
      <c r="P272" t="s">
        <v>1774</v>
      </c>
      <c r="Q272" t="s">
        <v>52</v>
      </c>
      <c r="R272" t="s">
        <v>365</v>
      </c>
      <c r="S272">
        <v>1</v>
      </c>
      <c r="T272">
        <v>3753</v>
      </c>
      <c r="U272">
        <v>0</v>
      </c>
      <c r="V272">
        <v>3753</v>
      </c>
    </row>
    <row r="273" spans="1:22" x14ac:dyDescent="0.25">
      <c r="A273">
        <v>79452</v>
      </c>
      <c r="B273">
        <v>131732399</v>
      </c>
      <c r="C273" t="s">
        <v>1775</v>
      </c>
      <c r="D273" t="s">
        <v>1776</v>
      </c>
      <c r="E273" t="s">
        <v>846</v>
      </c>
      <c r="F273" t="s">
        <v>847</v>
      </c>
      <c r="G273" t="s">
        <v>142</v>
      </c>
      <c r="H273" t="s">
        <v>143</v>
      </c>
      <c r="I273" t="s">
        <v>35</v>
      </c>
      <c r="J273" t="s">
        <v>144</v>
      </c>
      <c r="K273" t="s">
        <v>2</v>
      </c>
      <c r="L273" t="s">
        <v>387</v>
      </c>
      <c r="M273" t="s">
        <v>1777</v>
      </c>
      <c r="N273" t="s">
        <v>850</v>
      </c>
      <c r="O273" t="s">
        <v>40</v>
      </c>
      <c r="P273" t="s">
        <v>1778</v>
      </c>
      <c r="Q273" t="s">
        <v>120</v>
      </c>
      <c r="R273" t="s">
        <v>684</v>
      </c>
      <c r="S273">
        <v>1</v>
      </c>
      <c r="T273">
        <v>3753</v>
      </c>
      <c r="U273">
        <v>0</v>
      </c>
      <c r="V273">
        <v>3753</v>
      </c>
    </row>
    <row r="274" spans="1:22" x14ac:dyDescent="0.25">
      <c r="A274">
        <v>79452</v>
      </c>
      <c r="B274">
        <v>131741870</v>
      </c>
      <c r="C274" t="s">
        <v>1779</v>
      </c>
      <c r="D274" t="s">
        <v>1780</v>
      </c>
      <c r="E274" t="s">
        <v>846</v>
      </c>
      <c r="F274" t="s">
        <v>847</v>
      </c>
      <c r="G274" t="s">
        <v>142</v>
      </c>
      <c r="H274" t="s">
        <v>143</v>
      </c>
      <c r="I274" t="s">
        <v>35</v>
      </c>
      <c r="J274" t="s">
        <v>144</v>
      </c>
      <c r="K274" t="s">
        <v>2</v>
      </c>
      <c r="L274" t="s">
        <v>1781</v>
      </c>
      <c r="M274" t="s">
        <v>1782</v>
      </c>
      <c r="N274" t="s">
        <v>850</v>
      </c>
      <c r="O274" t="s">
        <v>40</v>
      </c>
      <c r="P274" t="s">
        <v>1783</v>
      </c>
      <c r="Q274" t="s">
        <v>50</v>
      </c>
      <c r="R274" t="s">
        <v>365</v>
      </c>
      <c r="S274">
        <v>1</v>
      </c>
      <c r="T274">
        <v>3753</v>
      </c>
      <c r="U274">
        <v>0</v>
      </c>
      <c r="V274">
        <v>3753</v>
      </c>
    </row>
    <row r="275" spans="1:22" x14ac:dyDescent="0.25">
      <c r="A275">
        <v>79452</v>
      </c>
      <c r="B275">
        <v>131705235</v>
      </c>
      <c r="C275" t="s">
        <v>1784</v>
      </c>
      <c r="D275" t="s">
        <v>1785</v>
      </c>
      <c r="E275" t="s">
        <v>846</v>
      </c>
      <c r="F275" t="s">
        <v>847</v>
      </c>
      <c r="G275" t="s">
        <v>142</v>
      </c>
      <c r="H275" t="s">
        <v>143</v>
      </c>
      <c r="I275" t="s">
        <v>35</v>
      </c>
      <c r="J275" t="s">
        <v>144</v>
      </c>
      <c r="K275" t="s">
        <v>2</v>
      </c>
      <c r="L275" t="s">
        <v>1786</v>
      </c>
      <c r="M275" t="s">
        <v>1787</v>
      </c>
      <c r="N275" t="s">
        <v>850</v>
      </c>
      <c r="O275" t="s">
        <v>40</v>
      </c>
      <c r="P275" t="s">
        <v>1788</v>
      </c>
      <c r="Q275" t="s">
        <v>81</v>
      </c>
      <c r="R275" t="s">
        <v>297</v>
      </c>
      <c r="S275">
        <v>1</v>
      </c>
      <c r="T275">
        <v>3753</v>
      </c>
      <c r="U275">
        <v>0</v>
      </c>
      <c r="V275">
        <v>3753</v>
      </c>
    </row>
    <row r="276" spans="1:22" x14ac:dyDescent="0.25">
      <c r="A276">
        <v>79452</v>
      </c>
      <c r="B276">
        <v>131662630</v>
      </c>
      <c r="C276" t="s">
        <v>1789</v>
      </c>
      <c r="D276" t="s">
        <v>1790</v>
      </c>
      <c r="E276" t="s">
        <v>846</v>
      </c>
      <c r="F276" t="s">
        <v>847</v>
      </c>
      <c r="G276" t="s">
        <v>142</v>
      </c>
      <c r="H276" t="s">
        <v>143</v>
      </c>
      <c r="I276" t="s">
        <v>35</v>
      </c>
      <c r="J276" t="s">
        <v>144</v>
      </c>
      <c r="K276" t="s">
        <v>2</v>
      </c>
      <c r="L276" t="s">
        <v>1791</v>
      </c>
      <c r="M276" t="s">
        <v>1792</v>
      </c>
      <c r="N276" t="s">
        <v>850</v>
      </c>
      <c r="O276" t="s">
        <v>40</v>
      </c>
      <c r="P276" t="s">
        <v>1793</v>
      </c>
      <c r="Q276" t="s">
        <v>50</v>
      </c>
      <c r="R276" t="s">
        <v>1242</v>
      </c>
      <c r="S276">
        <v>1</v>
      </c>
      <c r="T276">
        <v>3753</v>
      </c>
      <c r="U276">
        <v>0</v>
      </c>
      <c r="V276">
        <v>3753</v>
      </c>
    </row>
    <row r="277" spans="1:22" x14ac:dyDescent="0.25">
      <c r="A277">
        <v>79452</v>
      </c>
      <c r="B277">
        <v>131677534</v>
      </c>
      <c r="C277" t="s">
        <v>1794</v>
      </c>
      <c r="D277" t="s">
        <v>1795</v>
      </c>
      <c r="E277" t="s">
        <v>846</v>
      </c>
      <c r="F277" t="s">
        <v>847</v>
      </c>
      <c r="G277" t="s">
        <v>142</v>
      </c>
      <c r="H277" t="s">
        <v>143</v>
      </c>
      <c r="I277" t="s">
        <v>35</v>
      </c>
      <c r="J277" t="s">
        <v>144</v>
      </c>
      <c r="K277" t="s">
        <v>2</v>
      </c>
      <c r="L277" t="s">
        <v>1796</v>
      </c>
      <c r="M277" t="s">
        <v>1777</v>
      </c>
      <c r="N277" t="s">
        <v>850</v>
      </c>
      <c r="O277" t="s">
        <v>40</v>
      </c>
      <c r="P277" t="s">
        <v>1778</v>
      </c>
      <c r="Q277" t="s">
        <v>120</v>
      </c>
      <c r="R277" t="s">
        <v>662</v>
      </c>
      <c r="S277">
        <v>1</v>
      </c>
      <c r="T277">
        <v>3753</v>
      </c>
      <c r="U277">
        <v>0</v>
      </c>
      <c r="V277">
        <v>3753</v>
      </c>
    </row>
    <row r="278" spans="1:22" x14ac:dyDescent="0.25">
      <c r="A278">
        <v>79452</v>
      </c>
      <c r="B278">
        <v>131662613</v>
      </c>
      <c r="C278" t="s">
        <v>1797</v>
      </c>
      <c r="D278" t="s">
        <v>1798</v>
      </c>
      <c r="E278" t="s">
        <v>846</v>
      </c>
      <c r="F278" t="s">
        <v>847</v>
      </c>
      <c r="G278" t="s">
        <v>142</v>
      </c>
      <c r="H278" t="s">
        <v>143</v>
      </c>
      <c r="I278" t="s">
        <v>35</v>
      </c>
      <c r="J278" t="s">
        <v>144</v>
      </c>
      <c r="K278" t="s">
        <v>2</v>
      </c>
      <c r="L278" t="s">
        <v>1799</v>
      </c>
      <c r="M278" t="s">
        <v>1800</v>
      </c>
      <c r="N278" t="s">
        <v>850</v>
      </c>
      <c r="O278" t="s">
        <v>40</v>
      </c>
      <c r="P278" t="s">
        <v>1801</v>
      </c>
      <c r="Q278" t="s">
        <v>50</v>
      </c>
      <c r="R278" t="s">
        <v>1242</v>
      </c>
      <c r="S278">
        <v>1</v>
      </c>
      <c r="T278">
        <v>3753</v>
      </c>
      <c r="U278">
        <v>0</v>
      </c>
      <c r="V278">
        <v>3753</v>
      </c>
    </row>
    <row r="279" spans="1:22" x14ac:dyDescent="0.25">
      <c r="A279">
        <v>79452</v>
      </c>
      <c r="B279">
        <v>131618353</v>
      </c>
      <c r="C279" t="s">
        <v>1802</v>
      </c>
      <c r="D279" t="s">
        <v>1803</v>
      </c>
      <c r="E279" t="s">
        <v>846</v>
      </c>
      <c r="F279" t="s">
        <v>847</v>
      </c>
      <c r="G279" t="s">
        <v>142</v>
      </c>
      <c r="H279" t="s">
        <v>143</v>
      </c>
      <c r="I279" t="s">
        <v>35</v>
      </c>
      <c r="J279" t="s">
        <v>144</v>
      </c>
      <c r="K279" t="s">
        <v>169</v>
      </c>
      <c r="L279" t="s">
        <v>267</v>
      </c>
      <c r="M279" t="s">
        <v>1804</v>
      </c>
      <c r="N279" t="s">
        <v>850</v>
      </c>
      <c r="O279" t="s">
        <v>40</v>
      </c>
      <c r="P279" t="s">
        <v>1805</v>
      </c>
      <c r="Q279" t="s">
        <v>50</v>
      </c>
      <c r="R279" t="s">
        <v>1277</v>
      </c>
      <c r="S279">
        <v>1</v>
      </c>
      <c r="T279">
        <v>3753</v>
      </c>
      <c r="U279">
        <v>0</v>
      </c>
      <c r="V279">
        <v>3753</v>
      </c>
    </row>
    <row r="280" spans="1:22" x14ac:dyDescent="0.25">
      <c r="A280">
        <v>79452</v>
      </c>
      <c r="B280">
        <v>131590449</v>
      </c>
      <c r="C280" t="s">
        <v>1806</v>
      </c>
      <c r="D280" t="s">
        <v>1807</v>
      </c>
      <c r="E280" t="s">
        <v>846</v>
      </c>
      <c r="F280" t="s">
        <v>847</v>
      </c>
      <c r="G280" t="s">
        <v>142</v>
      </c>
      <c r="H280" t="s">
        <v>143</v>
      </c>
      <c r="I280" t="s">
        <v>35</v>
      </c>
      <c r="J280" t="s">
        <v>144</v>
      </c>
      <c r="K280" t="s">
        <v>2</v>
      </c>
      <c r="L280" t="s">
        <v>1808</v>
      </c>
      <c r="M280" t="s">
        <v>1809</v>
      </c>
      <c r="N280" t="s">
        <v>850</v>
      </c>
      <c r="O280" t="s">
        <v>40</v>
      </c>
      <c r="P280" t="s">
        <v>1810</v>
      </c>
      <c r="Q280" t="s">
        <v>62</v>
      </c>
      <c r="R280" t="s">
        <v>1671</v>
      </c>
      <c r="S280">
        <v>1</v>
      </c>
      <c r="T280">
        <v>3753</v>
      </c>
      <c r="U280">
        <v>0</v>
      </c>
      <c r="V280">
        <v>3753</v>
      </c>
    </row>
    <row r="281" spans="1:22" x14ac:dyDescent="0.25">
      <c r="A281">
        <v>79452</v>
      </c>
      <c r="B281">
        <v>131554967</v>
      </c>
      <c r="C281" t="s">
        <v>1811</v>
      </c>
      <c r="D281" t="s">
        <v>1812</v>
      </c>
      <c r="E281" t="s">
        <v>846</v>
      </c>
      <c r="F281" t="s">
        <v>847</v>
      </c>
      <c r="G281" t="s">
        <v>142</v>
      </c>
      <c r="H281" t="s">
        <v>143</v>
      </c>
      <c r="I281" t="s">
        <v>35</v>
      </c>
      <c r="J281" t="s">
        <v>144</v>
      </c>
      <c r="K281" t="s">
        <v>2</v>
      </c>
      <c r="L281" t="s">
        <v>1813</v>
      </c>
      <c r="M281" t="s">
        <v>1814</v>
      </c>
      <c r="N281" t="s">
        <v>850</v>
      </c>
      <c r="O281" t="s">
        <v>40</v>
      </c>
      <c r="P281" t="s">
        <v>1815</v>
      </c>
      <c r="Q281" t="s">
        <v>62</v>
      </c>
      <c r="R281" t="s">
        <v>1307</v>
      </c>
      <c r="S281">
        <v>1</v>
      </c>
      <c r="T281">
        <v>3753</v>
      </c>
      <c r="U281">
        <v>0</v>
      </c>
      <c r="V281">
        <v>3753</v>
      </c>
    </row>
    <row r="282" spans="1:22" x14ac:dyDescent="0.25">
      <c r="A282">
        <v>79452</v>
      </c>
      <c r="B282">
        <v>131529862</v>
      </c>
      <c r="C282" t="s">
        <v>1816</v>
      </c>
      <c r="D282" t="s">
        <v>1817</v>
      </c>
      <c r="E282" t="s">
        <v>846</v>
      </c>
      <c r="F282" t="s">
        <v>847</v>
      </c>
      <c r="G282" t="s">
        <v>142</v>
      </c>
      <c r="H282" t="s">
        <v>143</v>
      </c>
      <c r="I282" t="s">
        <v>35</v>
      </c>
      <c r="J282" t="s">
        <v>144</v>
      </c>
      <c r="K282" t="s">
        <v>2</v>
      </c>
      <c r="L282" t="s">
        <v>1818</v>
      </c>
      <c r="M282" t="s">
        <v>592</v>
      </c>
      <c r="N282" t="s">
        <v>850</v>
      </c>
      <c r="O282" t="s">
        <v>40</v>
      </c>
      <c r="P282" t="s">
        <v>1819</v>
      </c>
      <c r="Q282" t="s">
        <v>81</v>
      </c>
      <c r="R282" t="s">
        <v>614</v>
      </c>
      <c r="S282">
        <v>1</v>
      </c>
      <c r="T282">
        <v>3753</v>
      </c>
      <c r="U282">
        <v>0</v>
      </c>
      <c r="V282">
        <v>3753</v>
      </c>
    </row>
    <row r="283" spans="1:22" x14ac:dyDescent="0.25">
      <c r="A283">
        <v>79452</v>
      </c>
      <c r="B283">
        <v>131529867</v>
      </c>
      <c r="C283" t="s">
        <v>1820</v>
      </c>
      <c r="D283" t="s">
        <v>1821</v>
      </c>
      <c r="E283" t="s">
        <v>846</v>
      </c>
      <c r="F283" t="s">
        <v>847</v>
      </c>
      <c r="G283" t="s">
        <v>142</v>
      </c>
      <c r="H283" t="s">
        <v>143</v>
      </c>
      <c r="I283" t="s">
        <v>35</v>
      </c>
      <c r="J283" t="s">
        <v>144</v>
      </c>
      <c r="K283" t="s">
        <v>2</v>
      </c>
      <c r="L283" t="s">
        <v>799</v>
      </c>
      <c r="M283" t="s">
        <v>1822</v>
      </c>
      <c r="N283" t="s">
        <v>850</v>
      </c>
      <c r="O283" t="s">
        <v>40</v>
      </c>
      <c r="P283" t="s">
        <v>1823</v>
      </c>
      <c r="Q283" t="s">
        <v>50</v>
      </c>
      <c r="R283" t="s">
        <v>381</v>
      </c>
      <c r="S283">
        <v>1</v>
      </c>
      <c r="T283">
        <v>3753</v>
      </c>
      <c r="U283">
        <v>0</v>
      </c>
      <c r="V283">
        <v>3753</v>
      </c>
    </row>
    <row r="284" spans="1:22" x14ac:dyDescent="0.25">
      <c r="A284">
        <v>79452</v>
      </c>
      <c r="B284">
        <v>131489606</v>
      </c>
      <c r="C284" t="s">
        <v>1824</v>
      </c>
      <c r="D284" t="s">
        <v>1825</v>
      </c>
      <c r="E284" t="s">
        <v>846</v>
      </c>
      <c r="F284" t="s">
        <v>847</v>
      </c>
      <c r="G284" t="s">
        <v>142</v>
      </c>
      <c r="H284" t="s">
        <v>143</v>
      </c>
      <c r="I284" t="s">
        <v>35</v>
      </c>
      <c r="J284" t="s">
        <v>144</v>
      </c>
      <c r="K284" t="s">
        <v>2</v>
      </c>
      <c r="L284" t="s">
        <v>1826</v>
      </c>
      <c r="M284" t="s">
        <v>759</v>
      </c>
      <c r="N284" t="s">
        <v>850</v>
      </c>
      <c r="O284" t="s">
        <v>40</v>
      </c>
      <c r="P284" t="s">
        <v>1827</v>
      </c>
      <c r="Q284" t="s">
        <v>52</v>
      </c>
      <c r="R284" t="s">
        <v>304</v>
      </c>
      <c r="S284">
        <v>1</v>
      </c>
      <c r="T284">
        <v>3753</v>
      </c>
      <c r="U284">
        <v>0</v>
      </c>
      <c r="V284">
        <v>3753</v>
      </c>
    </row>
    <row r="285" spans="1:22" x14ac:dyDescent="0.25">
      <c r="A285">
        <v>79452</v>
      </c>
      <c r="B285">
        <v>131448328</v>
      </c>
      <c r="C285" t="s">
        <v>1828</v>
      </c>
      <c r="D285" t="s">
        <v>1829</v>
      </c>
      <c r="E285" t="s">
        <v>846</v>
      </c>
      <c r="F285" t="s">
        <v>847</v>
      </c>
      <c r="G285" t="s">
        <v>142</v>
      </c>
      <c r="H285" t="s">
        <v>143</v>
      </c>
      <c r="I285" t="s">
        <v>35</v>
      </c>
      <c r="J285" t="s">
        <v>144</v>
      </c>
      <c r="K285" t="s">
        <v>169</v>
      </c>
      <c r="L285" t="s">
        <v>267</v>
      </c>
      <c r="M285" t="s">
        <v>781</v>
      </c>
      <c r="N285" t="s">
        <v>850</v>
      </c>
      <c r="O285" t="s">
        <v>40</v>
      </c>
      <c r="P285" t="s">
        <v>1830</v>
      </c>
      <c r="Q285" t="s">
        <v>62</v>
      </c>
      <c r="R285" t="s">
        <v>619</v>
      </c>
      <c r="S285">
        <v>1</v>
      </c>
      <c r="T285">
        <v>3753</v>
      </c>
      <c r="U285">
        <v>0</v>
      </c>
      <c r="V285">
        <v>3753</v>
      </c>
    </row>
    <row r="286" spans="1:22" x14ac:dyDescent="0.25">
      <c r="A286">
        <v>79452</v>
      </c>
      <c r="B286">
        <v>131489588</v>
      </c>
      <c r="C286" t="s">
        <v>1831</v>
      </c>
      <c r="D286" t="s">
        <v>1832</v>
      </c>
      <c r="E286" t="s">
        <v>846</v>
      </c>
      <c r="F286" t="s">
        <v>847</v>
      </c>
      <c r="G286" t="s">
        <v>142</v>
      </c>
      <c r="H286" t="s">
        <v>143</v>
      </c>
      <c r="I286" t="s">
        <v>35</v>
      </c>
      <c r="J286" t="s">
        <v>144</v>
      </c>
      <c r="K286" t="s">
        <v>169</v>
      </c>
      <c r="L286" t="s">
        <v>267</v>
      </c>
      <c r="M286" t="s">
        <v>1833</v>
      </c>
      <c r="N286" t="s">
        <v>850</v>
      </c>
      <c r="O286" t="s">
        <v>40</v>
      </c>
      <c r="P286" t="s">
        <v>1834</v>
      </c>
      <c r="Q286" t="s">
        <v>50</v>
      </c>
      <c r="R286" t="s">
        <v>304</v>
      </c>
      <c r="S286">
        <v>1</v>
      </c>
      <c r="T286">
        <v>3753</v>
      </c>
      <c r="U286">
        <v>0</v>
      </c>
      <c r="V286">
        <v>3753</v>
      </c>
    </row>
    <row r="287" spans="1:22" x14ac:dyDescent="0.25">
      <c r="A287">
        <v>79452</v>
      </c>
      <c r="B287">
        <v>131448353</v>
      </c>
      <c r="C287" t="s">
        <v>1835</v>
      </c>
      <c r="D287" t="s">
        <v>1836</v>
      </c>
      <c r="E287" t="s">
        <v>846</v>
      </c>
      <c r="F287" t="s">
        <v>847</v>
      </c>
      <c r="G287" t="s">
        <v>142</v>
      </c>
      <c r="H287" t="s">
        <v>143</v>
      </c>
      <c r="I287" t="s">
        <v>35</v>
      </c>
      <c r="J287" t="s">
        <v>144</v>
      </c>
      <c r="K287" t="s">
        <v>2</v>
      </c>
      <c r="L287" t="s">
        <v>1837</v>
      </c>
      <c r="M287" t="s">
        <v>1838</v>
      </c>
      <c r="N287" t="s">
        <v>850</v>
      </c>
      <c r="O287" t="s">
        <v>40</v>
      </c>
      <c r="P287" t="s">
        <v>1839</v>
      </c>
      <c r="Q287" t="s">
        <v>62</v>
      </c>
      <c r="R287" t="s">
        <v>707</v>
      </c>
      <c r="S287">
        <v>0.47</v>
      </c>
      <c r="T287">
        <v>3680</v>
      </c>
      <c r="U287">
        <v>0</v>
      </c>
      <c r="V287">
        <v>3680</v>
      </c>
    </row>
    <row r="288" spans="1:22" x14ac:dyDescent="0.25">
      <c r="A288">
        <v>79452</v>
      </c>
      <c r="B288">
        <v>131448341</v>
      </c>
      <c r="C288" t="s">
        <v>1840</v>
      </c>
      <c r="D288" t="s">
        <v>1841</v>
      </c>
      <c r="E288" t="s">
        <v>846</v>
      </c>
      <c r="F288" t="s">
        <v>847</v>
      </c>
      <c r="G288" t="s">
        <v>142</v>
      </c>
      <c r="H288" t="s">
        <v>143</v>
      </c>
      <c r="I288" t="s">
        <v>35</v>
      </c>
      <c r="J288" t="s">
        <v>144</v>
      </c>
      <c r="K288" t="s">
        <v>2</v>
      </c>
      <c r="L288" t="s">
        <v>1842</v>
      </c>
      <c r="M288" t="s">
        <v>1843</v>
      </c>
      <c r="N288" t="s">
        <v>850</v>
      </c>
      <c r="O288" t="s">
        <v>40</v>
      </c>
      <c r="P288" t="s">
        <v>1844</v>
      </c>
      <c r="Q288" t="s">
        <v>52</v>
      </c>
      <c r="R288" t="s">
        <v>707</v>
      </c>
      <c r="S288">
        <v>1</v>
      </c>
      <c r="T288">
        <v>3753</v>
      </c>
      <c r="U288">
        <v>0</v>
      </c>
      <c r="V288">
        <v>3753</v>
      </c>
    </row>
    <row r="289" spans="1:22" x14ac:dyDescent="0.25">
      <c r="A289">
        <v>79452</v>
      </c>
      <c r="B289">
        <v>131383455</v>
      </c>
      <c r="C289" t="s">
        <v>1845</v>
      </c>
      <c r="D289" t="s">
        <v>1846</v>
      </c>
      <c r="E289" t="s">
        <v>846</v>
      </c>
      <c r="F289" t="s">
        <v>847</v>
      </c>
      <c r="G289" t="s">
        <v>142</v>
      </c>
      <c r="H289" t="s">
        <v>143</v>
      </c>
      <c r="I289" t="s">
        <v>35</v>
      </c>
      <c r="J289" t="s">
        <v>144</v>
      </c>
      <c r="K289" t="s">
        <v>2</v>
      </c>
      <c r="L289" t="s">
        <v>1847</v>
      </c>
      <c r="M289" t="s">
        <v>1848</v>
      </c>
      <c r="N289" t="s">
        <v>850</v>
      </c>
      <c r="O289" t="s">
        <v>40</v>
      </c>
      <c r="P289" t="s">
        <v>1849</v>
      </c>
      <c r="Q289" t="s">
        <v>62</v>
      </c>
      <c r="R289" t="s">
        <v>1386</v>
      </c>
      <c r="S289">
        <v>1</v>
      </c>
      <c r="T289">
        <v>3753</v>
      </c>
      <c r="U289">
        <v>0</v>
      </c>
      <c r="V289">
        <v>3753</v>
      </c>
    </row>
    <row r="290" spans="1:22" x14ac:dyDescent="0.25">
      <c r="A290">
        <v>79452</v>
      </c>
      <c r="B290">
        <v>131107348</v>
      </c>
      <c r="C290" t="s">
        <v>1850</v>
      </c>
      <c r="D290" t="s">
        <v>1851</v>
      </c>
      <c r="E290" t="s">
        <v>846</v>
      </c>
      <c r="F290" t="s">
        <v>847</v>
      </c>
      <c r="G290" t="s">
        <v>156</v>
      </c>
      <c r="H290" t="s">
        <v>157</v>
      </c>
      <c r="I290" t="s">
        <v>35</v>
      </c>
      <c r="J290" t="s">
        <v>166</v>
      </c>
      <c r="K290" t="s">
        <v>2</v>
      </c>
      <c r="L290" t="s">
        <v>158</v>
      </c>
      <c r="M290" t="s">
        <v>1852</v>
      </c>
      <c r="N290" t="s">
        <v>850</v>
      </c>
      <c r="O290" t="s">
        <v>40</v>
      </c>
      <c r="P290" t="s">
        <v>1853</v>
      </c>
      <c r="Q290" t="s">
        <v>147</v>
      </c>
      <c r="R290" t="s">
        <v>1854</v>
      </c>
      <c r="S290">
        <v>0.65</v>
      </c>
      <c r="T290">
        <v>3915</v>
      </c>
      <c r="U290">
        <v>0</v>
      </c>
      <c r="V290">
        <v>3915</v>
      </c>
    </row>
    <row r="291" spans="1:22" x14ac:dyDescent="0.25">
      <c r="A291">
        <v>79452</v>
      </c>
      <c r="B291">
        <v>131383477</v>
      </c>
      <c r="C291" t="s">
        <v>1855</v>
      </c>
      <c r="D291" t="s">
        <v>1856</v>
      </c>
      <c r="E291" t="s">
        <v>846</v>
      </c>
      <c r="F291" t="s">
        <v>847</v>
      </c>
      <c r="G291" t="s">
        <v>142</v>
      </c>
      <c r="H291" t="s">
        <v>143</v>
      </c>
      <c r="I291" t="s">
        <v>35</v>
      </c>
      <c r="J291" t="s">
        <v>144</v>
      </c>
      <c r="K291" t="s">
        <v>2</v>
      </c>
      <c r="L291" t="s">
        <v>1857</v>
      </c>
      <c r="M291" t="s">
        <v>1858</v>
      </c>
      <c r="N291" t="s">
        <v>850</v>
      </c>
      <c r="O291" t="s">
        <v>40</v>
      </c>
      <c r="P291" t="s">
        <v>1859</v>
      </c>
      <c r="Q291" t="s">
        <v>52</v>
      </c>
      <c r="R291" t="s">
        <v>1386</v>
      </c>
      <c r="S291">
        <v>1</v>
      </c>
      <c r="T291">
        <v>3753</v>
      </c>
      <c r="U291">
        <v>0</v>
      </c>
      <c r="V291">
        <v>3753</v>
      </c>
    </row>
    <row r="292" spans="1:22" x14ac:dyDescent="0.25">
      <c r="A292">
        <v>79452</v>
      </c>
      <c r="B292">
        <v>131383471</v>
      </c>
      <c r="C292" t="s">
        <v>1860</v>
      </c>
      <c r="D292" t="s">
        <v>1861</v>
      </c>
      <c r="E292" t="s">
        <v>846</v>
      </c>
      <c r="F292" t="s">
        <v>847</v>
      </c>
      <c r="G292" t="s">
        <v>142</v>
      </c>
      <c r="H292" t="s">
        <v>143</v>
      </c>
      <c r="I292" t="s">
        <v>35</v>
      </c>
      <c r="J292" t="s">
        <v>144</v>
      </c>
      <c r="K292" t="s">
        <v>2</v>
      </c>
      <c r="L292" t="s">
        <v>1862</v>
      </c>
      <c r="M292" t="s">
        <v>1863</v>
      </c>
      <c r="N292" t="s">
        <v>850</v>
      </c>
      <c r="O292" t="s">
        <v>40</v>
      </c>
      <c r="P292" t="s">
        <v>1864</v>
      </c>
      <c r="Q292" t="s">
        <v>50</v>
      </c>
      <c r="R292" t="s">
        <v>1386</v>
      </c>
      <c r="S292">
        <v>1</v>
      </c>
      <c r="T292">
        <v>3753</v>
      </c>
      <c r="U292">
        <v>0</v>
      </c>
      <c r="V292">
        <v>3753</v>
      </c>
    </row>
    <row r="293" spans="1:22" x14ac:dyDescent="0.25">
      <c r="A293">
        <v>79452</v>
      </c>
      <c r="B293">
        <v>131383438</v>
      </c>
      <c r="C293" t="s">
        <v>1865</v>
      </c>
      <c r="D293" t="s">
        <v>1866</v>
      </c>
      <c r="E293" t="s">
        <v>846</v>
      </c>
      <c r="F293" t="s">
        <v>847</v>
      </c>
      <c r="G293" t="s">
        <v>142</v>
      </c>
      <c r="H293" t="s">
        <v>143</v>
      </c>
      <c r="I293" t="s">
        <v>35</v>
      </c>
      <c r="J293" t="s">
        <v>144</v>
      </c>
      <c r="K293" t="s">
        <v>2</v>
      </c>
      <c r="L293" t="s">
        <v>1867</v>
      </c>
      <c r="M293" t="s">
        <v>1868</v>
      </c>
      <c r="N293" t="s">
        <v>850</v>
      </c>
      <c r="O293" t="s">
        <v>40</v>
      </c>
      <c r="P293" t="s">
        <v>1869</v>
      </c>
      <c r="Q293" t="s">
        <v>50</v>
      </c>
      <c r="R293" t="s">
        <v>1386</v>
      </c>
      <c r="S293">
        <v>1</v>
      </c>
      <c r="T293">
        <v>3753</v>
      </c>
      <c r="U293">
        <v>0</v>
      </c>
      <c r="V293">
        <v>3753</v>
      </c>
    </row>
    <row r="294" spans="1:22" x14ac:dyDescent="0.25">
      <c r="A294">
        <v>79452</v>
      </c>
      <c r="B294">
        <v>131383486</v>
      </c>
      <c r="C294" t="s">
        <v>1870</v>
      </c>
      <c r="D294" t="s">
        <v>1871</v>
      </c>
      <c r="E294" t="s">
        <v>846</v>
      </c>
      <c r="F294" t="s">
        <v>847</v>
      </c>
      <c r="G294" t="s">
        <v>142</v>
      </c>
      <c r="H294" t="s">
        <v>143</v>
      </c>
      <c r="I294" t="s">
        <v>35</v>
      </c>
      <c r="J294" t="s">
        <v>144</v>
      </c>
      <c r="K294" t="s">
        <v>2</v>
      </c>
      <c r="L294" t="s">
        <v>1872</v>
      </c>
      <c r="M294" t="s">
        <v>1873</v>
      </c>
      <c r="N294" t="s">
        <v>850</v>
      </c>
      <c r="O294" t="s">
        <v>40</v>
      </c>
      <c r="P294" t="s">
        <v>1874</v>
      </c>
      <c r="Q294" t="s">
        <v>52</v>
      </c>
      <c r="R294" t="s">
        <v>1386</v>
      </c>
      <c r="S294">
        <v>1</v>
      </c>
      <c r="T294">
        <v>3753</v>
      </c>
      <c r="U294">
        <v>0</v>
      </c>
      <c r="V294">
        <v>3753</v>
      </c>
    </row>
    <row r="295" spans="1:22" x14ac:dyDescent="0.25">
      <c r="A295">
        <v>79452</v>
      </c>
      <c r="B295">
        <v>131383491</v>
      </c>
      <c r="C295" t="s">
        <v>1875</v>
      </c>
      <c r="D295" t="s">
        <v>1876</v>
      </c>
      <c r="E295" t="s">
        <v>846</v>
      </c>
      <c r="F295" t="s">
        <v>847</v>
      </c>
      <c r="G295" t="s">
        <v>142</v>
      </c>
      <c r="H295" t="s">
        <v>143</v>
      </c>
      <c r="I295" t="s">
        <v>35</v>
      </c>
      <c r="J295" t="s">
        <v>144</v>
      </c>
      <c r="K295" t="s">
        <v>2</v>
      </c>
      <c r="L295" t="s">
        <v>1872</v>
      </c>
      <c r="M295" t="s">
        <v>1873</v>
      </c>
      <c r="N295" t="s">
        <v>850</v>
      </c>
      <c r="O295" t="s">
        <v>40</v>
      </c>
      <c r="P295" t="s">
        <v>1874</v>
      </c>
      <c r="Q295" t="s">
        <v>52</v>
      </c>
      <c r="R295" t="s">
        <v>1386</v>
      </c>
      <c r="S295">
        <v>1</v>
      </c>
      <c r="T295">
        <v>3753</v>
      </c>
      <c r="U295">
        <v>0</v>
      </c>
      <c r="V295">
        <v>3753</v>
      </c>
    </row>
    <row r="296" spans="1:22" x14ac:dyDescent="0.25">
      <c r="A296">
        <v>79452</v>
      </c>
      <c r="B296">
        <v>131311808</v>
      </c>
      <c r="C296" t="s">
        <v>1877</v>
      </c>
      <c r="D296" t="s">
        <v>1878</v>
      </c>
      <c r="E296" t="s">
        <v>846</v>
      </c>
      <c r="F296" t="s">
        <v>847</v>
      </c>
      <c r="G296" t="s">
        <v>142</v>
      </c>
      <c r="H296" t="s">
        <v>143</v>
      </c>
      <c r="I296" t="s">
        <v>35</v>
      </c>
      <c r="J296" t="s">
        <v>144</v>
      </c>
      <c r="K296" t="s">
        <v>2</v>
      </c>
      <c r="L296" t="s">
        <v>1842</v>
      </c>
      <c r="M296" t="s">
        <v>1843</v>
      </c>
      <c r="N296" t="s">
        <v>850</v>
      </c>
      <c r="O296" t="s">
        <v>40</v>
      </c>
      <c r="P296" t="s">
        <v>1844</v>
      </c>
      <c r="Q296" t="s">
        <v>52</v>
      </c>
      <c r="R296" t="s">
        <v>811</v>
      </c>
      <c r="S296">
        <v>1</v>
      </c>
      <c r="T296">
        <v>3753</v>
      </c>
      <c r="U296">
        <v>0</v>
      </c>
      <c r="V296">
        <v>3753</v>
      </c>
    </row>
    <row r="297" spans="1:22" x14ac:dyDescent="0.25">
      <c r="A297">
        <v>79452</v>
      </c>
      <c r="B297">
        <v>131267991</v>
      </c>
      <c r="C297" t="s">
        <v>1879</v>
      </c>
      <c r="D297" t="s">
        <v>1880</v>
      </c>
      <c r="E297" t="s">
        <v>846</v>
      </c>
      <c r="F297" t="s">
        <v>847</v>
      </c>
      <c r="G297" t="s">
        <v>142</v>
      </c>
      <c r="H297" t="s">
        <v>143</v>
      </c>
      <c r="I297" t="s">
        <v>35</v>
      </c>
      <c r="J297" t="s">
        <v>144</v>
      </c>
      <c r="K297" t="s">
        <v>2</v>
      </c>
      <c r="L297" t="s">
        <v>273</v>
      </c>
      <c r="M297" t="s">
        <v>418</v>
      </c>
      <c r="N297" t="s">
        <v>850</v>
      </c>
      <c r="O297" t="s">
        <v>40</v>
      </c>
      <c r="P297" t="s">
        <v>1881</v>
      </c>
      <c r="Q297" t="s">
        <v>50</v>
      </c>
      <c r="R297" t="s">
        <v>314</v>
      </c>
      <c r="S297">
        <v>0.79</v>
      </c>
      <c r="T297">
        <v>4800</v>
      </c>
      <c r="U297">
        <v>0</v>
      </c>
      <c r="V297">
        <v>4800</v>
      </c>
    </row>
    <row r="298" spans="1:22" x14ac:dyDescent="0.25">
      <c r="A298">
        <v>79452</v>
      </c>
      <c r="B298">
        <v>131107334</v>
      </c>
      <c r="C298" t="s">
        <v>1882</v>
      </c>
      <c r="D298" t="s">
        <v>1883</v>
      </c>
      <c r="E298" t="s">
        <v>846</v>
      </c>
      <c r="F298" t="s">
        <v>847</v>
      </c>
      <c r="G298" t="s">
        <v>156</v>
      </c>
      <c r="H298" t="s">
        <v>157</v>
      </c>
      <c r="I298" t="s">
        <v>35</v>
      </c>
      <c r="J298" t="s">
        <v>166</v>
      </c>
      <c r="K298" t="s">
        <v>2</v>
      </c>
      <c r="L298" t="s">
        <v>158</v>
      </c>
      <c r="M298" t="s">
        <v>1884</v>
      </c>
      <c r="N298" t="s">
        <v>850</v>
      </c>
      <c r="O298" t="s">
        <v>40</v>
      </c>
      <c r="P298" t="s">
        <v>1885</v>
      </c>
      <c r="Q298" t="s">
        <v>212</v>
      </c>
      <c r="R298" t="s">
        <v>1854</v>
      </c>
      <c r="S298">
        <v>2.4</v>
      </c>
      <c r="T298">
        <v>8410</v>
      </c>
      <c r="U298">
        <v>0</v>
      </c>
      <c r="V298">
        <v>8410</v>
      </c>
    </row>
    <row r="299" spans="1:22" x14ac:dyDescent="0.25">
      <c r="A299">
        <v>79452</v>
      </c>
      <c r="B299">
        <v>131267989</v>
      </c>
      <c r="C299" t="s">
        <v>1886</v>
      </c>
      <c r="D299" t="s">
        <v>1887</v>
      </c>
      <c r="E299" t="s">
        <v>846</v>
      </c>
      <c r="F299" t="s">
        <v>847</v>
      </c>
      <c r="G299" t="s">
        <v>142</v>
      </c>
      <c r="H299" t="s">
        <v>143</v>
      </c>
      <c r="I299" t="s">
        <v>35</v>
      </c>
      <c r="J299" t="s">
        <v>144</v>
      </c>
      <c r="K299" t="s">
        <v>2</v>
      </c>
      <c r="L299" t="s">
        <v>1888</v>
      </c>
      <c r="M299" t="s">
        <v>1889</v>
      </c>
      <c r="N299" t="s">
        <v>850</v>
      </c>
      <c r="O299" t="s">
        <v>40</v>
      </c>
      <c r="P299" t="s">
        <v>1890</v>
      </c>
      <c r="Q299" t="s">
        <v>120</v>
      </c>
      <c r="R299" t="s">
        <v>314</v>
      </c>
      <c r="S299">
        <v>0.37</v>
      </c>
      <c r="T299">
        <v>4800</v>
      </c>
      <c r="U299">
        <v>0</v>
      </c>
      <c r="V299">
        <v>4800</v>
      </c>
    </row>
    <row r="300" spans="1:22" x14ac:dyDescent="0.25">
      <c r="A300">
        <v>79452</v>
      </c>
      <c r="B300">
        <v>131267985</v>
      </c>
      <c r="C300" t="s">
        <v>1891</v>
      </c>
      <c r="D300" t="s">
        <v>1892</v>
      </c>
      <c r="E300" t="s">
        <v>846</v>
      </c>
      <c r="F300" t="s">
        <v>847</v>
      </c>
      <c r="G300" t="s">
        <v>142</v>
      </c>
      <c r="H300" t="s">
        <v>143</v>
      </c>
      <c r="I300" t="s">
        <v>35</v>
      </c>
      <c r="J300" t="s">
        <v>144</v>
      </c>
      <c r="K300" t="s">
        <v>2</v>
      </c>
      <c r="L300" t="s">
        <v>1893</v>
      </c>
      <c r="M300" t="s">
        <v>1894</v>
      </c>
      <c r="N300" t="s">
        <v>850</v>
      </c>
      <c r="O300" t="s">
        <v>40</v>
      </c>
      <c r="P300" t="s">
        <v>1895</v>
      </c>
      <c r="Q300" t="s">
        <v>52</v>
      </c>
      <c r="R300" t="s">
        <v>314</v>
      </c>
      <c r="S300">
        <v>1</v>
      </c>
      <c r="T300">
        <v>4800</v>
      </c>
      <c r="U300">
        <v>0</v>
      </c>
      <c r="V300">
        <v>4800</v>
      </c>
    </row>
    <row r="301" spans="1:22" x14ac:dyDescent="0.25">
      <c r="A301">
        <v>79452</v>
      </c>
      <c r="B301">
        <v>132178881</v>
      </c>
      <c r="C301" t="s">
        <v>1896</v>
      </c>
      <c r="D301" t="s">
        <v>1897</v>
      </c>
      <c r="E301" t="s">
        <v>846</v>
      </c>
      <c r="F301" t="s">
        <v>847</v>
      </c>
      <c r="G301" t="s">
        <v>142</v>
      </c>
      <c r="H301" t="s">
        <v>143</v>
      </c>
      <c r="I301" t="s">
        <v>35</v>
      </c>
      <c r="J301" t="s">
        <v>144</v>
      </c>
      <c r="K301" t="s">
        <v>2</v>
      </c>
      <c r="L301" t="s">
        <v>1898</v>
      </c>
      <c r="M301" t="s">
        <v>1899</v>
      </c>
      <c r="N301" t="s">
        <v>850</v>
      </c>
      <c r="O301" t="s">
        <v>40</v>
      </c>
      <c r="P301" t="s">
        <v>1900</v>
      </c>
      <c r="Q301" t="s">
        <v>64</v>
      </c>
      <c r="R301" t="s">
        <v>551</v>
      </c>
      <c r="S301">
        <v>1</v>
      </c>
      <c r="T301">
        <v>3784</v>
      </c>
      <c r="U301">
        <v>0</v>
      </c>
      <c r="V301">
        <v>3784</v>
      </c>
    </row>
    <row r="302" spans="1:22" x14ac:dyDescent="0.25">
      <c r="A302">
        <v>79452</v>
      </c>
      <c r="B302">
        <v>132089201</v>
      </c>
      <c r="C302" t="s">
        <v>1901</v>
      </c>
      <c r="D302" t="s">
        <v>1902</v>
      </c>
      <c r="E302" t="s">
        <v>846</v>
      </c>
      <c r="F302" t="s">
        <v>847</v>
      </c>
      <c r="G302" t="s">
        <v>142</v>
      </c>
      <c r="H302" t="s">
        <v>143</v>
      </c>
      <c r="I302" t="s">
        <v>35</v>
      </c>
      <c r="J302" t="s">
        <v>144</v>
      </c>
      <c r="K302" t="s">
        <v>2</v>
      </c>
      <c r="L302" t="s">
        <v>1903</v>
      </c>
      <c r="M302" t="s">
        <v>1904</v>
      </c>
      <c r="N302" t="s">
        <v>850</v>
      </c>
      <c r="O302" t="s">
        <v>40</v>
      </c>
      <c r="P302" t="s">
        <v>1905</v>
      </c>
      <c r="Q302" t="s">
        <v>201</v>
      </c>
      <c r="R302" t="s">
        <v>452</v>
      </c>
      <c r="S302">
        <v>0.28999999999999998</v>
      </c>
      <c r="T302">
        <v>3680</v>
      </c>
      <c r="U302">
        <v>0</v>
      </c>
      <c r="V302">
        <v>3680</v>
      </c>
    </row>
    <row r="303" spans="1:22" x14ac:dyDescent="0.25">
      <c r="A303">
        <v>79452</v>
      </c>
      <c r="B303">
        <v>132150942</v>
      </c>
      <c r="C303" t="s">
        <v>1906</v>
      </c>
      <c r="D303" t="s">
        <v>1907</v>
      </c>
      <c r="E303" t="s">
        <v>846</v>
      </c>
      <c r="F303" t="s">
        <v>847</v>
      </c>
      <c r="G303" t="s">
        <v>142</v>
      </c>
      <c r="H303" t="s">
        <v>143</v>
      </c>
      <c r="I303" t="s">
        <v>35</v>
      </c>
      <c r="J303" t="s">
        <v>144</v>
      </c>
      <c r="K303" t="s">
        <v>2</v>
      </c>
      <c r="L303" t="s">
        <v>1908</v>
      </c>
      <c r="M303" t="s">
        <v>1909</v>
      </c>
      <c r="N303" t="s">
        <v>850</v>
      </c>
      <c r="O303" t="s">
        <v>40</v>
      </c>
      <c r="P303" t="s">
        <v>1910</v>
      </c>
      <c r="Q303" t="s">
        <v>64</v>
      </c>
      <c r="R303" t="s">
        <v>739</v>
      </c>
      <c r="S303">
        <v>1</v>
      </c>
      <c r="T303">
        <v>3784</v>
      </c>
      <c r="U303">
        <v>0</v>
      </c>
      <c r="V303">
        <v>3784</v>
      </c>
    </row>
    <row r="304" spans="1:22" x14ac:dyDescent="0.25">
      <c r="A304">
        <v>79452</v>
      </c>
      <c r="B304">
        <v>131107358</v>
      </c>
      <c r="C304" t="s">
        <v>1911</v>
      </c>
      <c r="D304" t="s">
        <v>1912</v>
      </c>
      <c r="E304" t="s">
        <v>846</v>
      </c>
      <c r="F304" t="s">
        <v>847</v>
      </c>
      <c r="G304" t="s">
        <v>156</v>
      </c>
      <c r="H304" t="s">
        <v>157</v>
      </c>
      <c r="I304" t="s">
        <v>35</v>
      </c>
      <c r="J304" t="s">
        <v>166</v>
      </c>
      <c r="K304" t="s">
        <v>2</v>
      </c>
      <c r="L304" t="s">
        <v>158</v>
      </c>
      <c r="M304" t="s">
        <v>1913</v>
      </c>
      <c r="N304" t="s">
        <v>850</v>
      </c>
      <c r="O304" t="s">
        <v>40</v>
      </c>
      <c r="P304" t="s">
        <v>1914</v>
      </c>
      <c r="Q304" t="s">
        <v>348</v>
      </c>
      <c r="R304" t="s">
        <v>1854</v>
      </c>
      <c r="S304">
        <v>0.73</v>
      </c>
      <c r="T304">
        <v>6381</v>
      </c>
      <c r="U304">
        <v>0</v>
      </c>
      <c r="V304">
        <v>6381</v>
      </c>
    </row>
    <row r="305" spans="1:22" x14ac:dyDescent="0.25">
      <c r="A305">
        <v>79452</v>
      </c>
      <c r="B305">
        <v>132073930</v>
      </c>
      <c r="C305" t="s">
        <v>1915</v>
      </c>
      <c r="D305" t="s">
        <v>1916</v>
      </c>
      <c r="E305" t="s">
        <v>846</v>
      </c>
      <c r="F305" t="s">
        <v>847</v>
      </c>
      <c r="G305" t="s">
        <v>142</v>
      </c>
      <c r="H305" t="s">
        <v>143</v>
      </c>
      <c r="I305" t="s">
        <v>35</v>
      </c>
      <c r="J305" t="s">
        <v>144</v>
      </c>
      <c r="K305" t="s">
        <v>2</v>
      </c>
      <c r="L305" t="s">
        <v>1917</v>
      </c>
      <c r="M305" t="s">
        <v>1918</v>
      </c>
      <c r="N305" t="s">
        <v>850</v>
      </c>
      <c r="O305" t="s">
        <v>40</v>
      </c>
      <c r="P305" t="s">
        <v>1919</v>
      </c>
      <c r="Q305" t="s">
        <v>57</v>
      </c>
      <c r="R305" t="s">
        <v>862</v>
      </c>
      <c r="S305">
        <v>0.65</v>
      </c>
      <c r="T305">
        <v>3784</v>
      </c>
      <c r="U305">
        <v>0</v>
      </c>
      <c r="V305">
        <v>3784</v>
      </c>
    </row>
    <row r="306" spans="1:22" x14ac:dyDescent="0.25">
      <c r="A306">
        <v>79452</v>
      </c>
      <c r="B306">
        <v>132073940</v>
      </c>
      <c r="C306" t="s">
        <v>1920</v>
      </c>
      <c r="D306" t="s">
        <v>1921</v>
      </c>
      <c r="E306" t="s">
        <v>846</v>
      </c>
      <c r="F306" t="s">
        <v>847</v>
      </c>
      <c r="G306" t="s">
        <v>142</v>
      </c>
      <c r="H306" t="s">
        <v>143</v>
      </c>
      <c r="I306" t="s">
        <v>35</v>
      </c>
      <c r="J306" t="s">
        <v>144</v>
      </c>
      <c r="K306" t="s">
        <v>2</v>
      </c>
      <c r="L306" t="s">
        <v>1922</v>
      </c>
      <c r="M306" t="s">
        <v>1923</v>
      </c>
      <c r="N306" t="s">
        <v>850</v>
      </c>
      <c r="O306" t="s">
        <v>40</v>
      </c>
      <c r="P306" t="s">
        <v>1924</v>
      </c>
      <c r="Q306" t="s">
        <v>64</v>
      </c>
      <c r="R306" t="s">
        <v>862</v>
      </c>
      <c r="S306">
        <v>0.55000000000000004</v>
      </c>
      <c r="T306">
        <v>3784</v>
      </c>
      <c r="U306">
        <v>0</v>
      </c>
      <c r="V306">
        <v>3784</v>
      </c>
    </row>
    <row r="307" spans="1:22" x14ac:dyDescent="0.25">
      <c r="A307">
        <v>79452</v>
      </c>
      <c r="B307">
        <v>132089195</v>
      </c>
      <c r="C307" t="s">
        <v>1925</v>
      </c>
      <c r="D307" t="s">
        <v>1926</v>
      </c>
      <c r="E307" t="s">
        <v>846</v>
      </c>
      <c r="F307" t="s">
        <v>847</v>
      </c>
      <c r="G307" t="s">
        <v>142</v>
      </c>
      <c r="H307" t="s">
        <v>143</v>
      </c>
      <c r="I307" t="s">
        <v>35</v>
      </c>
      <c r="J307" t="s">
        <v>144</v>
      </c>
      <c r="K307" t="s">
        <v>2</v>
      </c>
      <c r="L307" t="s">
        <v>1927</v>
      </c>
      <c r="M307" t="s">
        <v>674</v>
      </c>
      <c r="N307" t="s">
        <v>850</v>
      </c>
      <c r="O307" t="s">
        <v>40</v>
      </c>
      <c r="P307" t="s">
        <v>1928</v>
      </c>
      <c r="Q307" t="s">
        <v>64</v>
      </c>
      <c r="R307" t="s">
        <v>452</v>
      </c>
      <c r="S307">
        <v>0.52</v>
      </c>
      <c r="T307">
        <v>3784</v>
      </c>
      <c r="U307">
        <v>0</v>
      </c>
      <c r="V307">
        <v>3784</v>
      </c>
    </row>
    <row r="308" spans="1:22" x14ac:dyDescent="0.25">
      <c r="A308">
        <v>79452</v>
      </c>
      <c r="B308">
        <v>132073932</v>
      </c>
      <c r="C308" t="s">
        <v>1929</v>
      </c>
      <c r="D308" t="s">
        <v>1930</v>
      </c>
      <c r="E308" t="s">
        <v>846</v>
      </c>
      <c r="F308" t="s">
        <v>847</v>
      </c>
      <c r="G308" t="s">
        <v>142</v>
      </c>
      <c r="H308" t="s">
        <v>143</v>
      </c>
      <c r="I308" t="s">
        <v>35</v>
      </c>
      <c r="J308" t="s">
        <v>144</v>
      </c>
      <c r="K308" t="s">
        <v>2</v>
      </c>
      <c r="L308" t="s">
        <v>1931</v>
      </c>
      <c r="M308" t="s">
        <v>1932</v>
      </c>
      <c r="N308" t="s">
        <v>850</v>
      </c>
      <c r="O308" t="s">
        <v>40</v>
      </c>
      <c r="P308" t="s">
        <v>1933</v>
      </c>
      <c r="Q308" t="s">
        <v>64</v>
      </c>
      <c r="R308" t="s">
        <v>862</v>
      </c>
      <c r="S308">
        <v>0.79</v>
      </c>
      <c r="T308">
        <v>3784</v>
      </c>
      <c r="U308">
        <v>0</v>
      </c>
      <c r="V308">
        <v>3784</v>
      </c>
    </row>
    <row r="309" spans="1:22" x14ac:dyDescent="0.25">
      <c r="A309">
        <v>79452</v>
      </c>
      <c r="B309">
        <v>132021650</v>
      </c>
      <c r="C309" t="s">
        <v>1934</v>
      </c>
      <c r="D309" t="s">
        <v>1935</v>
      </c>
      <c r="E309" t="s">
        <v>846</v>
      </c>
      <c r="F309" t="s">
        <v>847</v>
      </c>
      <c r="G309" t="s">
        <v>142</v>
      </c>
      <c r="H309" t="s">
        <v>143</v>
      </c>
      <c r="I309" t="s">
        <v>35</v>
      </c>
      <c r="J309" t="s">
        <v>144</v>
      </c>
      <c r="K309" t="s">
        <v>2</v>
      </c>
      <c r="L309" t="s">
        <v>1936</v>
      </c>
      <c r="M309" t="s">
        <v>1937</v>
      </c>
      <c r="N309" t="s">
        <v>850</v>
      </c>
      <c r="O309" t="s">
        <v>40</v>
      </c>
      <c r="P309" t="s">
        <v>1938</v>
      </c>
      <c r="Q309" t="s">
        <v>64</v>
      </c>
      <c r="R309" t="s">
        <v>599</v>
      </c>
      <c r="S309">
        <v>1</v>
      </c>
      <c r="T309">
        <v>3784</v>
      </c>
      <c r="U309">
        <v>0</v>
      </c>
      <c r="V309">
        <v>3784</v>
      </c>
    </row>
    <row r="310" spans="1:22" x14ac:dyDescent="0.25">
      <c r="A310">
        <v>79452</v>
      </c>
      <c r="B310">
        <v>132021636</v>
      </c>
      <c r="C310" t="s">
        <v>1939</v>
      </c>
      <c r="D310" t="s">
        <v>1940</v>
      </c>
      <c r="E310" t="s">
        <v>846</v>
      </c>
      <c r="F310" t="s">
        <v>847</v>
      </c>
      <c r="G310" t="s">
        <v>142</v>
      </c>
      <c r="H310" t="s">
        <v>143</v>
      </c>
      <c r="I310" t="s">
        <v>35</v>
      </c>
      <c r="J310" t="s">
        <v>144</v>
      </c>
      <c r="K310" t="s">
        <v>2</v>
      </c>
      <c r="L310" t="s">
        <v>1941</v>
      </c>
      <c r="M310" t="s">
        <v>1942</v>
      </c>
      <c r="N310" t="s">
        <v>850</v>
      </c>
      <c r="O310" t="s">
        <v>40</v>
      </c>
      <c r="P310" t="s">
        <v>1943</v>
      </c>
      <c r="Q310" t="s">
        <v>51</v>
      </c>
      <c r="R310" t="s">
        <v>599</v>
      </c>
      <c r="S310">
        <v>1.05</v>
      </c>
      <c r="T310">
        <v>3784</v>
      </c>
      <c r="U310">
        <v>0</v>
      </c>
      <c r="V310">
        <v>3784</v>
      </c>
    </row>
    <row r="311" spans="1:22" x14ac:dyDescent="0.25">
      <c r="A311">
        <v>79452</v>
      </c>
      <c r="B311">
        <v>131965517</v>
      </c>
      <c r="C311" t="s">
        <v>1944</v>
      </c>
      <c r="D311" t="s">
        <v>1945</v>
      </c>
      <c r="E311" t="s">
        <v>846</v>
      </c>
      <c r="F311" t="s">
        <v>847</v>
      </c>
      <c r="G311" t="s">
        <v>142</v>
      </c>
      <c r="H311" t="s">
        <v>143</v>
      </c>
      <c r="I311" t="s">
        <v>35</v>
      </c>
      <c r="J311" t="s">
        <v>144</v>
      </c>
      <c r="K311" t="s">
        <v>2</v>
      </c>
      <c r="L311" t="s">
        <v>1946</v>
      </c>
      <c r="M311" t="s">
        <v>1947</v>
      </c>
      <c r="N311" t="s">
        <v>850</v>
      </c>
      <c r="O311" t="s">
        <v>40</v>
      </c>
      <c r="P311" t="s">
        <v>1948</v>
      </c>
      <c r="Q311" t="s">
        <v>64</v>
      </c>
      <c r="R311" t="s">
        <v>285</v>
      </c>
      <c r="S311">
        <v>6.45</v>
      </c>
      <c r="T311">
        <v>5476</v>
      </c>
      <c r="U311">
        <v>0</v>
      </c>
      <c r="V311">
        <v>5476</v>
      </c>
    </row>
    <row r="312" spans="1:22" x14ac:dyDescent="0.25">
      <c r="A312">
        <v>79452</v>
      </c>
      <c r="B312">
        <v>131952771</v>
      </c>
      <c r="C312" t="s">
        <v>1949</v>
      </c>
      <c r="D312" t="s">
        <v>1950</v>
      </c>
      <c r="E312" t="s">
        <v>846</v>
      </c>
      <c r="F312" t="s">
        <v>847</v>
      </c>
      <c r="G312" t="s">
        <v>142</v>
      </c>
      <c r="H312" t="s">
        <v>143</v>
      </c>
      <c r="I312" t="s">
        <v>35</v>
      </c>
      <c r="J312" t="s">
        <v>144</v>
      </c>
      <c r="K312" t="s">
        <v>2</v>
      </c>
      <c r="L312" t="s">
        <v>1951</v>
      </c>
      <c r="M312" t="s">
        <v>1952</v>
      </c>
      <c r="N312" t="s">
        <v>850</v>
      </c>
      <c r="O312" t="s">
        <v>40</v>
      </c>
      <c r="P312" t="s">
        <v>1953</v>
      </c>
      <c r="Q312" t="s">
        <v>51</v>
      </c>
      <c r="R312" t="s">
        <v>541</v>
      </c>
      <c r="S312">
        <v>0.85</v>
      </c>
      <c r="T312">
        <v>3784</v>
      </c>
      <c r="U312">
        <v>0</v>
      </c>
      <c r="V312">
        <v>3784</v>
      </c>
    </row>
    <row r="313" spans="1:22" x14ac:dyDescent="0.25">
      <c r="A313">
        <v>79452</v>
      </c>
      <c r="B313">
        <v>131922182</v>
      </c>
      <c r="C313" t="s">
        <v>1954</v>
      </c>
      <c r="D313" t="s">
        <v>1955</v>
      </c>
      <c r="E313" t="s">
        <v>846</v>
      </c>
      <c r="F313" t="s">
        <v>847</v>
      </c>
      <c r="G313" t="s">
        <v>142</v>
      </c>
      <c r="H313" t="s">
        <v>143</v>
      </c>
      <c r="I313" t="s">
        <v>35</v>
      </c>
      <c r="J313" t="s">
        <v>144</v>
      </c>
      <c r="K313" t="s">
        <v>2</v>
      </c>
      <c r="L313" t="s">
        <v>1956</v>
      </c>
      <c r="M313" t="s">
        <v>1957</v>
      </c>
      <c r="N313" t="s">
        <v>850</v>
      </c>
      <c r="O313" t="s">
        <v>40</v>
      </c>
      <c r="P313" t="s">
        <v>1958</v>
      </c>
      <c r="Q313" t="s">
        <v>57</v>
      </c>
      <c r="R313" t="s">
        <v>887</v>
      </c>
      <c r="S313">
        <v>1</v>
      </c>
      <c r="T313">
        <v>3784</v>
      </c>
      <c r="U313">
        <v>0</v>
      </c>
      <c r="V313">
        <v>3784</v>
      </c>
    </row>
    <row r="314" spans="1:22" x14ac:dyDescent="0.25">
      <c r="A314">
        <v>79452</v>
      </c>
      <c r="B314">
        <v>131922169</v>
      </c>
      <c r="C314" t="s">
        <v>1959</v>
      </c>
      <c r="D314" t="s">
        <v>1960</v>
      </c>
      <c r="E314" t="s">
        <v>846</v>
      </c>
      <c r="F314" t="s">
        <v>847</v>
      </c>
      <c r="G314" t="s">
        <v>142</v>
      </c>
      <c r="H314" t="s">
        <v>143</v>
      </c>
      <c r="I314" t="s">
        <v>35</v>
      </c>
      <c r="J314" t="s">
        <v>144</v>
      </c>
      <c r="K314" t="s">
        <v>2</v>
      </c>
      <c r="L314" t="s">
        <v>1961</v>
      </c>
      <c r="M314" t="s">
        <v>805</v>
      </c>
      <c r="N314" t="s">
        <v>850</v>
      </c>
      <c r="O314" t="s">
        <v>40</v>
      </c>
      <c r="P314" t="s">
        <v>1962</v>
      </c>
      <c r="Q314" t="s">
        <v>154</v>
      </c>
      <c r="R314" t="s">
        <v>887</v>
      </c>
      <c r="S314">
        <v>1</v>
      </c>
      <c r="T314">
        <v>3784</v>
      </c>
      <c r="U314">
        <v>0</v>
      </c>
      <c r="V314">
        <v>3784</v>
      </c>
    </row>
    <row r="315" spans="1:22" x14ac:dyDescent="0.25">
      <c r="A315">
        <v>79452</v>
      </c>
      <c r="B315">
        <v>131900818</v>
      </c>
      <c r="C315" t="s">
        <v>1963</v>
      </c>
      <c r="D315" t="s">
        <v>1964</v>
      </c>
      <c r="E315" t="s">
        <v>846</v>
      </c>
      <c r="F315" t="s">
        <v>847</v>
      </c>
      <c r="G315" t="s">
        <v>142</v>
      </c>
      <c r="H315" t="s">
        <v>143</v>
      </c>
      <c r="I315" t="s">
        <v>35</v>
      </c>
      <c r="J315" t="s">
        <v>144</v>
      </c>
      <c r="K315" t="s">
        <v>2</v>
      </c>
      <c r="L315" t="s">
        <v>1965</v>
      </c>
      <c r="M315" t="s">
        <v>567</v>
      </c>
      <c r="N315" t="s">
        <v>850</v>
      </c>
      <c r="O315" t="s">
        <v>40</v>
      </c>
      <c r="P315" t="s">
        <v>1966</v>
      </c>
      <c r="Q315" t="s">
        <v>51</v>
      </c>
      <c r="R315" t="s">
        <v>687</v>
      </c>
      <c r="S315">
        <v>1</v>
      </c>
      <c r="T315">
        <v>3784</v>
      </c>
      <c r="U315">
        <v>0</v>
      </c>
      <c r="V315">
        <v>3784</v>
      </c>
    </row>
    <row r="316" spans="1:22" x14ac:dyDescent="0.25">
      <c r="A316">
        <v>79452</v>
      </c>
      <c r="B316">
        <v>131823007</v>
      </c>
      <c r="C316" t="s">
        <v>1967</v>
      </c>
      <c r="D316" t="s">
        <v>1968</v>
      </c>
      <c r="E316" t="s">
        <v>846</v>
      </c>
      <c r="F316" t="s">
        <v>847</v>
      </c>
      <c r="G316" t="s">
        <v>142</v>
      </c>
      <c r="H316" t="s">
        <v>143</v>
      </c>
      <c r="I316" t="s">
        <v>35</v>
      </c>
      <c r="J316" t="s">
        <v>144</v>
      </c>
      <c r="K316" t="s">
        <v>169</v>
      </c>
      <c r="L316" t="s">
        <v>267</v>
      </c>
      <c r="M316" t="s">
        <v>1969</v>
      </c>
      <c r="N316" t="s">
        <v>850</v>
      </c>
      <c r="O316" t="s">
        <v>40</v>
      </c>
      <c r="P316" t="s">
        <v>1970</v>
      </c>
      <c r="Q316" t="s">
        <v>64</v>
      </c>
      <c r="R316" t="s">
        <v>282</v>
      </c>
      <c r="S316">
        <v>1</v>
      </c>
      <c r="T316">
        <v>3784</v>
      </c>
      <c r="U316">
        <v>0</v>
      </c>
      <c r="V316">
        <v>3784</v>
      </c>
    </row>
    <row r="317" spans="1:22" x14ac:dyDescent="0.25">
      <c r="A317">
        <v>79452</v>
      </c>
      <c r="B317">
        <v>131823029</v>
      </c>
      <c r="C317" t="s">
        <v>1971</v>
      </c>
      <c r="D317" t="s">
        <v>1972</v>
      </c>
      <c r="E317" t="s">
        <v>846</v>
      </c>
      <c r="F317" t="s">
        <v>847</v>
      </c>
      <c r="G317" t="s">
        <v>142</v>
      </c>
      <c r="H317" t="s">
        <v>143</v>
      </c>
      <c r="I317" t="s">
        <v>35</v>
      </c>
      <c r="J317" t="s">
        <v>144</v>
      </c>
      <c r="K317" t="s">
        <v>2</v>
      </c>
      <c r="L317" t="s">
        <v>737</v>
      </c>
      <c r="M317" t="s">
        <v>1973</v>
      </c>
      <c r="N317" t="s">
        <v>850</v>
      </c>
      <c r="O317" t="s">
        <v>40</v>
      </c>
      <c r="P317" t="s">
        <v>1974</v>
      </c>
      <c r="Q317" t="s">
        <v>154</v>
      </c>
      <c r="R317" t="s">
        <v>282</v>
      </c>
      <c r="S317">
        <v>1</v>
      </c>
      <c r="T317">
        <v>3784</v>
      </c>
      <c r="U317">
        <v>0</v>
      </c>
      <c r="V317">
        <v>3784</v>
      </c>
    </row>
    <row r="318" spans="1:22" x14ac:dyDescent="0.25">
      <c r="A318">
        <v>79452</v>
      </c>
      <c r="B318">
        <v>131855943</v>
      </c>
      <c r="C318" t="s">
        <v>1975</v>
      </c>
      <c r="D318" t="s">
        <v>1976</v>
      </c>
      <c r="E318" t="s">
        <v>846</v>
      </c>
      <c r="F318" t="s">
        <v>847</v>
      </c>
      <c r="G318" t="s">
        <v>142</v>
      </c>
      <c r="H318" t="s">
        <v>143</v>
      </c>
      <c r="I318" t="s">
        <v>35</v>
      </c>
      <c r="J318" t="s">
        <v>144</v>
      </c>
      <c r="K318" t="s">
        <v>2</v>
      </c>
      <c r="L318" t="s">
        <v>1977</v>
      </c>
      <c r="M318" t="s">
        <v>1978</v>
      </c>
      <c r="N318" t="s">
        <v>850</v>
      </c>
      <c r="O318" t="s">
        <v>40</v>
      </c>
      <c r="P318" t="s">
        <v>1979</v>
      </c>
      <c r="Q318" t="s">
        <v>154</v>
      </c>
      <c r="R318" t="s">
        <v>393</v>
      </c>
      <c r="S318">
        <v>1</v>
      </c>
      <c r="T318">
        <v>3784</v>
      </c>
      <c r="U318">
        <v>0</v>
      </c>
      <c r="V318">
        <v>3784</v>
      </c>
    </row>
    <row r="319" spans="1:22" x14ac:dyDescent="0.25">
      <c r="A319">
        <v>79452</v>
      </c>
      <c r="B319">
        <v>131741855</v>
      </c>
      <c r="C319" t="s">
        <v>1980</v>
      </c>
      <c r="D319" t="s">
        <v>1981</v>
      </c>
      <c r="E319" t="s">
        <v>846</v>
      </c>
      <c r="F319" t="s">
        <v>847</v>
      </c>
      <c r="G319" t="s">
        <v>142</v>
      </c>
      <c r="H319" t="s">
        <v>143</v>
      </c>
      <c r="I319" t="s">
        <v>35</v>
      </c>
      <c r="J319" t="s">
        <v>144</v>
      </c>
      <c r="K319" t="s">
        <v>2</v>
      </c>
      <c r="L319" t="s">
        <v>1982</v>
      </c>
      <c r="M319" t="s">
        <v>1983</v>
      </c>
      <c r="N319" t="s">
        <v>850</v>
      </c>
      <c r="O319" t="s">
        <v>40</v>
      </c>
      <c r="P319" t="s">
        <v>1984</v>
      </c>
      <c r="Q319" t="s">
        <v>154</v>
      </c>
      <c r="R319" t="s">
        <v>365</v>
      </c>
      <c r="S319">
        <v>1</v>
      </c>
      <c r="T319">
        <v>3784</v>
      </c>
      <c r="U319">
        <v>0</v>
      </c>
      <c r="V319">
        <v>3784</v>
      </c>
    </row>
    <row r="320" spans="1:22" x14ac:dyDescent="0.25">
      <c r="A320">
        <v>79452</v>
      </c>
      <c r="B320">
        <v>131705243</v>
      </c>
      <c r="C320" t="s">
        <v>1985</v>
      </c>
      <c r="D320" t="s">
        <v>1986</v>
      </c>
      <c r="E320" t="s">
        <v>846</v>
      </c>
      <c r="F320" t="s">
        <v>847</v>
      </c>
      <c r="G320" t="s">
        <v>142</v>
      </c>
      <c r="H320" t="s">
        <v>143</v>
      </c>
      <c r="I320" t="s">
        <v>35</v>
      </c>
      <c r="J320" t="s">
        <v>144</v>
      </c>
      <c r="K320" t="s">
        <v>2</v>
      </c>
      <c r="L320" t="s">
        <v>545</v>
      </c>
      <c r="M320" t="s">
        <v>546</v>
      </c>
      <c r="N320" t="s">
        <v>850</v>
      </c>
      <c r="O320" t="s">
        <v>40</v>
      </c>
      <c r="P320" t="s">
        <v>1987</v>
      </c>
      <c r="Q320" t="s">
        <v>201</v>
      </c>
      <c r="R320" t="s">
        <v>297</v>
      </c>
      <c r="S320">
        <v>16.2</v>
      </c>
      <c r="T320">
        <v>12510</v>
      </c>
      <c r="U320">
        <v>0</v>
      </c>
      <c r="V320">
        <v>12510</v>
      </c>
    </row>
    <row r="321" spans="1:22" x14ac:dyDescent="0.25">
      <c r="A321">
        <v>79452</v>
      </c>
      <c r="B321">
        <v>131705238</v>
      </c>
      <c r="C321" t="s">
        <v>1988</v>
      </c>
      <c r="D321" t="s">
        <v>1989</v>
      </c>
      <c r="E321" t="s">
        <v>846</v>
      </c>
      <c r="F321" t="s">
        <v>847</v>
      </c>
      <c r="G321" t="s">
        <v>142</v>
      </c>
      <c r="H321" t="s">
        <v>143</v>
      </c>
      <c r="I321" t="s">
        <v>35</v>
      </c>
      <c r="J321" t="s">
        <v>144</v>
      </c>
      <c r="K321" t="s">
        <v>169</v>
      </c>
      <c r="L321" t="s">
        <v>267</v>
      </c>
      <c r="M321" t="s">
        <v>764</v>
      </c>
      <c r="N321" t="s">
        <v>850</v>
      </c>
      <c r="O321" t="s">
        <v>40</v>
      </c>
      <c r="P321" t="s">
        <v>1990</v>
      </c>
      <c r="Q321" t="s">
        <v>51</v>
      </c>
      <c r="R321" t="s">
        <v>297</v>
      </c>
      <c r="S321">
        <v>1</v>
      </c>
      <c r="T321">
        <v>3784</v>
      </c>
      <c r="U321">
        <v>0</v>
      </c>
      <c r="V321">
        <v>3784</v>
      </c>
    </row>
    <row r="322" spans="1:22" x14ac:dyDescent="0.25">
      <c r="A322">
        <v>79452</v>
      </c>
      <c r="B322">
        <v>131705215</v>
      </c>
      <c r="C322" t="s">
        <v>1991</v>
      </c>
      <c r="D322" t="s">
        <v>1992</v>
      </c>
      <c r="E322" t="s">
        <v>846</v>
      </c>
      <c r="F322" t="s">
        <v>847</v>
      </c>
      <c r="G322" t="s">
        <v>142</v>
      </c>
      <c r="H322" t="s">
        <v>143</v>
      </c>
      <c r="I322" t="s">
        <v>35</v>
      </c>
      <c r="J322" t="s">
        <v>144</v>
      </c>
      <c r="K322" t="s">
        <v>2</v>
      </c>
      <c r="L322" t="s">
        <v>1993</v>
      </c>
      <c r="M322" t="s">
        <v>1994</v>
      </c>
      <c r="N322" t="s">
        <v>850</v>
      </c>
      <c r="O322" t="s">
        <v>40</v>
      </c>
      <c r="P322" t="s">
        <v>1995</v>
      </c>
      <c r="Q322" t="s">
        <v>51</v>
      </c>
      <c r="R322" t="s">
        <v>297</v>
      </c>
      <c r="S322">
        <v>1</v>
      </c>
      <c r="T322">
        <v>3784</v>
      </c>
      <c r="U322">
        <v>0</v>
      </c>
      <c r="V322">
        <v>3784</v>
      </c>
    </row>
    <row r="323" spans="1:22" x14ac:dyDescent="0.25">
      <c r="A323">
        <v>79452</v>
      </c>
      <c r="B323">
        <v>131618355</v>
      </c>
      <c r="C323" t="s">
        <v>1996</v>
      </c>
      <c r="D323" t="s">
        <v>1997</v>
      </c>
      <c r="E323" t="s">
        <v>846</v>
      </c>
      <c r="F323" t="s">
        <v>847</v>
      </c>
      <c r="G323" t="s">
        <v>142</v>
      </c>
      <c r="H323" t="s">
        <v>143</v>
      </c>
      <c r="I323" t="s">
        <v>35</v>
      </c>
      <c r="J323" t="s">
        <v>144</v>
      </c>
      <c r="K323" t="s">
        <v>2</v>
      </c>
      <c r="L323" t="s">
        <v>1998</v>
      </c>
      <c r="M323" t="s">
        <v>567</v>
      </c>
      <c r="N323" t="s">
        <v>850</v>
      </c>
      <c r="O323" t="s">
        <v>40</v>
      </c>
      <c r="P323" t="s">
        <v>1966</v>
      </c>
      <c r="Q323" t="s">
        <v>51</v>
      </c>
      <c r="R323" t="s">
        <v>1277</v>
      </c>
      <c r="S323">
        <v>1</v>
      </c>
      <c r="T323">
        <v>3784</v>
      </c>
      <c r="U323">
        <v>0</v>
      </c>
      <c r="V323">
        <v>3784</v>
      </c>
    </row>
    <row r="324" spans="1:22" x14ac:dyDescent="0.25">
      <c r="A324">
        <v>79452</v>
      </c>
      <c r="B324">
        <v>131618317</v>
      </c>
      <c r="C324" t="s">
        <v>1999</v>
      </c>
      <c r="D324" t="s">
        <v>2000</v>
      </c>
      <c r="E324" t="s">
        <v>846</v>
      </c>
      <c r="F324" t="s">
        <v>847</v>
      </c>
      <c r="G324" t="s">
        <v>142</v>
      </c>
      <c r="H324" t="s">
        <v>143</v>
      </c>
      <c r="I324" t="s">
        <v>35</v>
      </c>
      <c r="J324" t="s">
        <v>144</v>
      </c>
      <c r="K324" t="s">
        <v>2</v>
      </c>
      <c r="L324" t="s">
        <v>2001</v>
      </c>
      <c r="M324" t="s">
        <v>2002</v>
      </c>
      <c r="N324" t="s">
        <v>850</v>
      </c>
      <c r="O324" t="s">
        <v>40</v>
      </c>
      <c r="P324" t="s">
        <v>2003</v>
      </c>
      <c r="Q324" t="s">
        <v>51</v>
      </c>
      <c r="R324" t="s">
        <v>1277</v>
      </c>
      <c r="S324">
        <v>1</v>
      </c>
      <c r="T324">
        <v>3784</v>
      </c>
      <c r="U324">
        <v>0</v>
      </c>
      <c r="V324">
        <v>3784</v>
      </c>
    </row>
    <row r="325" spans="1:22" x14ac:dyDescent="0.25">
      <c r="A325">
        <v>79452</v>
      </c>
      <c r="B325">
        <v>131529851</v>
      </c>
      <c r="C325" t="s">
        <v>2004</v>
      </c>
      <c r="D325" t="s">
        <v>2005</v>
      </c>
      <c r="E325" t="s">
        <v>846</v>
      </c>
      <c r="F325" t="s">
        <v>847</v>
      </c>
      <c r="G325" t="s">
        <v>142</v>
      </c>
      <c r="H325" t="s">
        <v>143</v>
      </c>
      <c r="I325" t="s">
        <v>35</v>
      </c>
      <c r="J325" t="s">
        <v>144</v>
      </c>
      <c r="K325" t="s">
        <v>2</v>
      </c>
      <c r="L325" t="s">
        <v>2006</v>
      </c>
      <c r="M325" t="s">
        <v>2007</v>
      </c>
      <c r="N325" t="s">
        <v>850</v>
      </c>
      <c r="O325" t="s">
        <v>40</v>
      </c>
      <c r="P325" t="s">
        <v>2008</v>
      </c>
      <c r="Q325" t="s">
        <v>64</v>
      </c>
      <c r="R325" t="s">
        <v>614</v>
      </c>
      <c r="S325">
        <v>1</v>
      </c>
      <c r="T325">
        <v>3784</v>
      </c>
      <c r="U325">
        <v>0</v>
      </c>
      <c r="V325">
        <v>3784</v>
      </c>
    </row>
    <row r="326" spans="1:22" x14ac:dyDescent="0.25">
      <c r="A326">
        <v>79452</v>
      </c>
      <c r="B326">
        <v>131499746</v>
      </c>
      <c r="C326" t="s">
        <v>2009</v>
      </c>
      <c r="D326" t="s">
        <v>2010</v>
      </c>
      <c r="E326" t="s">
        <v>846</v>
      </c>
      <c r="F326" t="s">
        <v>847</v>
      </c>
      <c r="G326" t="s">
        <v>142</v>
      </c>
      <c r="H326" t="s">
        <v>143</v>
      </c>
      <c r="I326" t="s">
        <v>35</v>
      </c>
      <c r="J326" t="s">
        <v>144</v>
      </c>
      <c r="K326" t="s">
        <v>2</v>
      </c>
      <c r="L326" t="s">
        <v>2011</v>
      </c>
      <c r="M326" t="s">
        <v>2012</v>
      </c>
      <c r="N326" t="s">
        <v>850</v>
      </c>
      <c r="O326" t="s">
        <v>40</v>
      </c>
      <c r="P326" t="s">
        <v>2013</v>
      </c>
      <c r="Q326" t="s">
        <v>57</v>
      </c>
      <c r="R326" t="s">
        <v>618</v>
      </c>
      <c r="S326">
        <v>1</v>
      </c>
      <c r="T326">
        <v>3784</v>
      </c>
      <c r="U326">
        <v>0</v>
      </c>
      <c r="V326">
        <v>3784</v>
      </c>
    </row>
    <row r="327" spans="1:22" x14ac:dyDescent="0.25">
      <c r="A327">
        <v>79452</v>
      </c>
      <c r="B327">
        <v>131499747</v>
      </c>
      <c r="C327" t="s">
        <v>2014</v>
      </c>
      <c r="D327" t="s">
        <v>2015</v>
      </c>
      <c r="E327" t="s">
        <v>846</v>
      </c>
      <c r="F327" t="s">
        <v>847</v>
      </c>
      <c r="G327" t="s">
        <v>142</v>
      </c>
      <c r="H327" t="s">
        <v>143</v>
      </c>
      <c r="I327" t="s">
        <v>35</v>
      </c>
      <c r="J327" t="s">
        <v>144</v>
      </c>
      <c r="K327" t="s">
        <v>2</v>
      </c>
      <c r="L327" t="s">
        <v>2016</v>
      </c>
      <c r="M327" t="s">
        <v>2017</v>
      </c>
      <c r="N327" t="s">
        <v>850</v>
      </c>
      <c r="O327" t="s">
        <v>40</v>
      </c>
      <c r="P327" t="s">
        <v>2018</v>
      </c>
      <c r="Q327" t="s">
        <v>64</v>
      </c>
      <c r="R327" t="s">
        <v>618</v>
      </c>
      <c r="S327">
        <v>1</v>
      </c>
      <c r="T327">
        <v>3784</v>
      </c>
      <c r="U327">
        <v>0</v>
      </c>
      <c r="V327">
        <v>3784</v>
      </c>
    </row>
    <row r="328" spans="1:22" x14ac:dyDescent="0.25">
      <c r="A328">
        <v>79452</v>
      </c>
      <c r="B328">
        <v>131458375</v>
      </c>
      <c r="C328" t="s">
        <v>2019</v>
      </c>
      <c r="D328" t="s">
        <v>2020</v>
      </c>
      <c r="E328" t="s">
        <v>846</v>
      </c>
      <c r="F328" t="s">
        <v>847</v>
      </c>
      <c r="G328" t="s">
        <v>142</v>
      </c>
      <c r="H328" t="s">
        <v>143</v>
      </c>
      <c r="I328" t="s">
        <v>35</v>
      </c>
      <c r="J328" t="s">
        <v>144</v>
      </c>
      <c r="K328" t="s">
        <v>2</v>
      </c>
      <c r="L328" t="s">
        <v>2021</v>
      </c>
      <c r="M328" t="s">
        <v>824</v>
      </c>
      <c r="N328" t="s">
        <v>850</v>
      </c>
      <c r="O328" t="s">
        <v>40</v>
      </c>
      <c r="P328" t="s">
        <v>2022</v>
      </c>
      <c r="Q328" t="s">
        <v>64</v>
      </c>
      <c r="R328" t="s">
        <v>672</v>
      </c>
      <c r="S328">
        <v>0.95</v>
      </c>
      <c r="T328">
        <v>3784</v>
      </c>
      <c r="U328">
        <v>0</v>
      </c>
      <c r="V328">
        <v>3784</v>
      </c>
    </row>
    <row r="329" spans="1:22" x14ac:dyDescent="0.25">
      <c r="A329">
        <v>79452</v>
      </c>
      <c r="B329">
        <v>131458371</v>
      </c>
      <c r="C329" t="s">
        <v>2023</v>
      </c>
      <c r="D329" t="s">
        <v>2024</v>
      </c>
      <c r="E329" t="s">
        <v>846</v>
      </c>
      <c r="F329" t="s">
        <v>847</v>
      </c>
      <c r="G329" t="s">
        <v>142</v>
      </c>
      <c r="H329" t="s">
        <v>143</v>
      </c>
      <c r="I329" t="s">
        <v>35</v>
      </c>
      <c r="J329" t="s">
        <v>144</v>
      </c>
      <c r="K329" t="s">
        <v>2</v>
      </c>
      <c r="L329" t="s">
        <v>2025</v>
      </c>
      <c r="M329" t="s">
        <v>2026</v>
      </c>
      <c r="N329" t="s">
        <v>850</v>
      </c>
      <c r="O329" t="s">
        <v>40</v>
      </c>
      <c r="P329" t="s">
        <v>2027</v>
      </c>
      <c r="Q329" t="s">
        <v>51</v>
      </c>
      <c r="R329" t="s">
        <v>672</v>
      </c>
      <c r="S329">
        <v>0.69</v>
      </c>
      <c r="T329">
        <v>3784</v>
      </c>
      <c r="U329">
        <v>0</v>
      </c>
      <c r="V329">
        <v>3784</v>
      </c>
    </row>
    <row r="330" spans="1:22" x14ac:dyDescent="0.25">
      <c r="A330">
        <v>79452</v>
      </c>
      <c r="B330">
        <v>131458368</v>
      </c>
      <c r="C330" t="s">
        <v>2028</v>
      </c>
      <c r="D330" t="s">
        <v>2029</v>
      </c>
      <c r="E330" t="s">
        <v>846</v>
      </c>
      <c r="F330" t="s">
        <v>847</v>
      </c>
      <c r="G330" t="s">
        <v>142</v>
      </c>
      <c r="H330" t="s">
        <v>143</v>
      </c>
      <c r="I330" t="s">
        <v>35</v>
      </c>
      <c r="J330" t="s">
        <v>144</v>
      </c>
      <c r="K330" t="s">
        <v>2</v>
      </c>
      <c r="L330" t="s">
        <v>2030</v>
      </c>
      <c r="M330" t="s">
        <v>2002</v>
      </c>
      <c r="N330" t="s">
        <v>850</v>
      </c>
      <c r="O330" t="s">
        <v>40</v>
      </c>
      <c r="P330" t="s">
        <v>2003</v>
      </c>
      <c r="Q330" t="s">
        <v>51</v>
      </c>
      <c r="R330" t="s">
        <v>672</v>
      </c>
      <c r="S330">
        <v>0.68</v>
      </c>
      <c r="T330">
        <v>3784</v>
      </c>
      <c r="U330">
        <v>0</v>
      </c>
      <c r="V330">
        <v>3784</v>
      </c>
    </row>
    <row r="331" spans="1:22" x14ac:dyDescent="0.25">
      <c r="A331">
        <v>79452</v>
      </c>
      <c r="B331">
        <v>131448362</v>
      </c>
      <c r="C331" t="s">
        <v>2031</v>
      </c>
      <c r="D331" t="s">
        <v>2032</v>
      </c>
      <c r="E331" t="s">
        <v>846</v>
      </c>
      <c r="F331" t="s">
        <v>847</v>
      </c>
      <c r="G331" t="s">
        <v>142</v>
      </c>
      <c r="H331" t="s">
        <v>143</v>
      </c>
      <c r="I331" t="s">
        <v>35</v>
      </c>
      <c r="J331" t="s">
        <v>144</v>
      </c>
      <c r="K331" t="s">
        <v>2</v>
      </c>
      <c r="L331" t="s">
        <v>2033</v>
      </c>
      <c r="M331" t="s">
        <v>555</v>
      </c>
      <c r="N331" t="s">
        <v>850</v>
      </c>
      <c r="O331" t="s">
        <v>40</v>
      </c>
      <c r="P331" t="s">
        <v>2034</v>
      </c>
      <c r="Q331" t="s">
        <v>216</v>
      </c>
      <c r="R331" t="s">
        <v>707</v>
      </c>
      <c r="S331">
        <v>0.56999999999999995</v>
      </c>
      <c r="T331">
        <v>3784</v>
      </c>
      <c r="U331">
        <v>0</v>
      </c>
      <c r="V331">
        <v>3784</v>
      </c>
    </row>
    <row r="332" spans="1:22" x14ac:dyDescent="0.25">
      <c r="A332">
        <v>79452</v>
      </c>
      <c r="B332">
        <v>131458372</v>
      </c>
      <c r="C332" t="s">
        <v>2035</v>
      </c>
      <c r="D332" t="s">
        <v>2036</v>
      </c>
      <c r="E332" t="s">
        <v>846</v>
      </c>
      <c r="F332" t="s">
        <v>847</v>
      </c>
      <c r="G332" t="s">
        <v>142</v>
      </c>
      <c r="H332" t="s">
        <v>143</v>
      </c>
      <c r="I332" t="s">
        <v>35</v>
      </c>
      <c r="J332" t="s">
        <v>144</v>
      </c>
      <c r="K332" t="s">
        <v>2</v>
      </c>
      <c r="L332" t="s">
        <v>2037</v>
      </c>
      <c r="M332" t="s">
        <v>2038</v>
      </c>
      <c r="N332" t="s">
        <v>850</v>
      </c>
      <c r="O332" t="s">
        <v>40</v>
      </c>
      <c r="P332" t="s">
        <v>2039</v>
      </c>
      <c r="Q332" t="s">
        <v>51</v>
      </c>
      <c r="R332" t="s">
        <v>672</v>
      </c>
      <c r="S332">
        <v>0.93</v>
      </c>
      <c r="T332">
        <v>3784</v>
      </c>
      <c r="U332">
        <v>0</v>
      </c>
      <c r="V332">
        <v>3784</v>
      </c>
    </row>
    <row r="333" spans="1:22" x14ac:dyDescent="0.25">
      <c r="A333">
        <v>79452</v>
      </c>
      <c r="B333">
        <v>131383465</v>
      </c>
      <c r="C333" t="s">
        <v>2040</v>
      </c>
      <c r="D333" t="s">
        <v>2041</v>
      </c>
      <c r="E333" t="s">
        <v>846</v>
      </c>
      <c r="F333" t="s">
        <v>847</v>
      </c>
      <c r="G333" t="s">
        <v>142</v>
      </c>
      <c r="H333" t="s">
        <v>143</v>
      </c>
      <c r="I333" t="s">
        <v>35</v>
      </c>
      <c r="J333" t="s">
        <v>144</v>
      </c>
      <c r="K333" t="s">
        <v>2</v>
      </c>
      <c r="L333" t="s">
        <v>2042</v>
      </c>
      <c r="M333" t="s">
        <v>2043</v>
      </c>
      <c r="N333" t="s">
        <v>850</v>
      </c>
      <c r="O333" t="s">
        <v>40</v>
      </c>
      <c r="P333" t="s">
        <v>2044</v>
      </c>
      <c r="Q333" t="s">
        <v>154</v>
      </c>
      <c r="R333" t="s">
        <v>1386</v>
      </c>
      <c r="S333">
        <v>1</v>
      </c>
      <c r="T333">
        <v>3784</v>
      </c>
      <c r="U333">
        <v>0</v>
      </c>
      <c r="V333">
        <v>3784</v>
      </c>
    </row>
    <row r="334" spans="1:22" x14ac:dyDescent="0.25">
      <c r="A334">
        <v>79452</v>
      </c>
      <c r="B334">
        <v>131311825</v>
      </c>
      <c r="C334" t="s">
        <v>2045</v>
      </c>
      <c r="D334" t="s">
        <v>2046</v>
      </c>
      <c r="E334" t="s">
        <v>846</v>
      </c>
      <c r="F334" t="s">
        <v>847</v>
      </c>
      <c r="G334" t="s">
        <v>142</v>
      </c>
      <c r="H334" t="s">
        <v>143</v>
      </c>
      <c r="I334" t="s">
        <v>35</v>
      </c>
      <c r="J334" t="s">
        <v>144</v>
      </c>
      <c r="K334" t="s">
        <v>2</v>
      </c>
      <c r="L334" t="s">
        <v>2047</v>
      </c>
      <c r="M334" t="s">
        <v>2048</v>
      </c>
      <c r="N334" t="s">
        <v>850</v>
      </c>
      <c r="O334" t="s">
        <v>40</v>
      </c>
      <c r="P334" t="s">
        <v>2049</v>
      </c>
      <c r="Q334" t="s">
        <v>64</v>
      </c>
      <c r="R334" t="s">
        <v>811</v>
      </c>
      <c r="S334">
        <v>1</v>
      </c>
      <c r="T334">
        <v>3784</v>
      </c>
      <c r="U334">
        <v>0</v>
      </c>
      <c r="V334">
        <v>3784</v>
      </c>
    </row>
    <row r="335" spans="1:22" x14ac:dyDescent="0.25">
      <c r="A335">
        <v>79452</v>
      </c>
      <c r="B335">
        <v>131311828</v>
      </c>
      <c r="C335" t="s">
        <v>2050</v>
      </c>
      <c r="D335" t="s">
        <v>2051</v>
      </c>
      <c r="E335" t="s">
        <v>846</v>
      </c>
      <c r="F335" t="s">
        <v>847</v>
      </c>
      <c r="G335" t="s">
        <v>142</v>
      </c>
      <c r="H335" t="s">
        <v>143</v>
      </c>
      <c r="I335" t="s">
        <v>35</v>
      </c>
      <c r="J335" t="s">
        <v>144</v>
      </c>
      <c r="K335" t="s">
        <v>2</v>
      </c>
      <c r="L335" t="s">
        <v>2052</v>
      </c>
      <c r="M335" t="s">
        <v>2053</v>
      </c>
      <c r="N335" t="s">
        <v>850</v>
      </c>
      <c r="O335" t="s">
        <v>40</v>
      </c>
      <c r="P335" t="s">
        <v>2054</v>
      </c>
      <c r="Q335" t="s">
        <v>51</v>
      </c>
      <c r="R335" t="s">
        <v>376</v>
      </c>
      <c r="S335">
        <v>1</v>
      </c>
      <c r="T335">
        <v>3784</v>
      </c>
      <c r="U335">
        <v>0</v>
      </c>
      <c r="V335">
        <v>3784</v>
      </c>
    </row>
    <row r="336" spans="1:22" x14ac:dyDescent="0.25">
      <c r="A336">
        <v>79452</v>
      </c>
      <c r="B336">
        <v>131268005</v>
      </c>
      <c r="C336" t="s">
        <v>2055</v>
      </c>
      <c r="D336" t="s">
        <v>2056</v>
      </c>
      <c r="E336" t="s">
        <v>846</v>
      </c>
      <c r="F336" t="s">
        <v>847</v>
      </c>
      <c r="G336" t="s">
        <v>142</v>
      </c>
      <c r="H336" t="s">
        <v>143</v>
      </c>
      <c r="I336" t="s">
        <v>35</v>
      </c>
      <c r="J336" t="s">
        <v>144</v>
      </c>
      <c r="K336" t="s">
        <v>2</v>
      </c>
      <c r="L336" t="s">
        <v>2057</v>
      </c>
      <c r="M336" t="s">
        <v>2058</v>
      </c>
      <c r="N336" t="s">
        <v>850</v>
      </c>
      <c r="O336" t="s">
        <v>40</v>
      </c>
      <c r="P336" t="s">
        <v>2059</v>
      </c>
      <c r="Q336" t="s">
        <v>64</v>
      </c>
      <c r="R336" t="s">
        <v>314</v>
      </c>
      <c r="S336">
        <v>1</v>
      </c>
      <c r="T336">
        <v>5113</v>
      </c>
      <c r="U336">
        <v>0</v>
      </c>
      <c r="V336">
        <v>5113</v>
      </c>
    </row>
    <row r="337" spans="1:22" x14ac:dyDescent="0.25">
      <c r="A337">
        <v>79452</v>
      </c>
      <c r="B337">
        <v>132109838</v>
      </c>
      <c r="C337" t="s">
        <v>2060</v>
      </c>
      <c r="D337" t="s">
        <v>2061</v>
      </c>
      <c r="E337" t="s">
        <v>846</v>
      </c>
      <c r="F337" t="s">
        <v>847</v>
      </c>
      <c r="G337" t="s">
        <v>142</v>
      </c>
      <c r="H337" t="s">
        <v>143</v>
      </c>
      <c r="I337" t="s">
        <v>35</v>
      </c>
      <c r="J337" t="s">
        <v>144</v>
      </c>
      <c r="K337" t="s">
        <v>2</v>
      </c>
      <c r="L337" t="s">
        <v>2062</v>
      </c>
      <c r="M337" t="s">
        <v>2063</v>
      </c>
      <c r="N337" t="s">
        <v>850</v>
      </c>
      <c r="O337" t="s">
        <v>40</v>
      </c>
      <c r="P337" t="s">
        <v>2064</v>
      </c>
      <c r="Q337" t="s">
        <v>217</v>
      </c>
      <c r="R337" t="s">
        <v>852</v>
      </c>
      <c r="S337">
        <v>0.51</v>
      </c>
      <c r="T337">
        <v>3870</v>
      </c>
      <c r="U337">
        <v>0</v>
      </c>
      <c r="V337">
        <v>3870</v>
      </c>
    </row>
    <row r="338" spans="1:22" x14ac:dyDescent="0.25">
      <c r="A338">
        <v>79452</v>
      </c>
      <c r="B338">
        <v>131822993</v>
      </c>
      <c r="C338" t="s">
        <v>2065</v>
      </c>
      <c r="D338" t="s">
        <v>2066</v>
      </c>
      <c r="E338" t="s">
        <v>846</v>
      </c>
      <c r="F338" t="s">
        <v>847</v>
      </c>
      <c r="G338" t="s">
        <v>142</v>
      </c>
      <c r="H338" t="s">
        <v>143</v>
      </c>
      <c r="I338" t="s">
        <v>35</v>
      </c>
      <c r="J338" t="s">
        <v>144</v>
      </c>
      <c r="K338" t="s">
        <v>2</v>
      </c>
      <c r="L338" t="s">
        <v>2067</v>
      </c>
      <c r="M338" t="s">
        <v>2068</v>
      </c>
      <c r="N338" t="s">
        <v>850</v>
      </c>
      <c r="O338" t="s">
        <v>40</v>
      </c>
      <c r="P338" t="s">
        <v>2069</v>
      </c>
      <c r="Q338" t="s">
        <v>67</v>
      </c>
      <c r="R338" t="s">
        <v>282</v>
      </c>
      <c r="S338">
        <v>1</v>
      </c>
      <c r="T338">
        <v>3870</v>
      </c>
      <c r="U338">
        <v>0</v>
      </c>
      <c r="V338">
        <v>3870</v>
      </c>
    </row>
    <row r="339" spans="1:22" x14ac:dyDescent="0.25">
      <c r="A339">
        <v>79452</v>
      </c>
      <c r="B339">
        <v>131773984</v>
      </c>
      <c r="C339" t="s">
        <v>2070</v>
      </c>
      <c r="D339" t="s">
        <v>2071</v>
      </c>
      <c r="E339" t="s">
        <v>846</v>
      </c>
      <c r="F339" t="s">
        <v>847</v>
      </c>
      <c r="G339" t="s">
        <v>142</v>
      </c>
      <c r="H339" t="s">
        <v>143</v>
      </c>
      <c r="I339" t="s">
        <v>35</v>
      </c>
      <c r="J339" t="s">
        <v>144</v>
      </c>
      <c r="K339" t="s">
        <v>2</v>
      </c>
      <c r="L339" t="s">
        <v>2072</v>
      </c>
      <c r="M339" t="s">
        <v>2073</v>
      </c>
      <c r="N339" t="s">
        <v>850</v>
      </c>
      <c r="O339" t="s">
        <v>40</v>
      </c>
      <c r="P339" t="s">
        <v>2074</v>
      </c>
      <c r="Q339" t="s">
        <v>129</v>
      </c>
      <c r="R339" t="s">
        <v>612</v>
      </c>
      <c r="S339">
        <v>1</v>
      </c>
      <c r="T339">
        <v>3870</v>
      </c>
      <c r="U339">
        <v>0</v>
      </c>
      <c r="V339">
        <v>3870</v>
      </c>
    </row>
    <row r="340" spans="1:22" x14ac:dyDescent="0.25">
      <c r="A340">
        <v>79452</v>
      </c>
      <c r="B340">
        <v>131780080</v>
      </c>
      <c r="C340" t="s">
        <v>2075</v>
      </c>
      <c r="D340" t="s">
        <v>2076</v>
      </c>
      <c r="E340" t="s">
        <v>846</v>
      </c>
      <c r="F340" t="s">
        <v>847</v>
      </c>
      <c r="G340" t="s">
        <v>142</v>
      </c>
      <c r="H340" t="s">
        <v>143</v>
      </c>
      <c r="I340" t="s">
        <v>35</v>
      </c>
      <c r="J340" t="s">
        <v>144</v>
      </c>
      <c r="K340" t="s">
        <v>2</v>
      </c>
      <c r="L340" t="s">
        <v>2077</v>
      </c>
      <c r="M340" t="s">
        <v>2078</v>
      </c>
      <c r="N340" t="s">
        <v>850</v>
      </c>
      <c r="O340" t="s">
        <v>40</v>
      </c>
      <c r="P340" t="s">
        <v>2079</v>
      </c>
      <c r="Q340" t="s">
        <v>129</v>
      </c>
      <c r="R340" t="s">
        <v>641</v>
      </c>
      <c r="S340">
        <v>1</v>
      </c>
      <c r="T340">
        <v>3870</v>
      </c>
      <c r="U340">
        <v>0</v>
      </c>
      <c r="V340">
        <v>3870</v>
      </c>
    </row>
    <row r="341" spans="1:22" x14ac:dyDescent="0.25">
      <c r="A341">
        <v>79452</v>
      </c>
      <c r="B341">
        <v>131780084</v>
      </c>
      <c r="C341" t="s">
        <v>2080</v>
      </c>
      <c r="D341" t="s">
        <v>2081</v>
      </c>
      <c r="E341" t="s">
        <v>846</v>
      </c>
      <c r="F341" t="s">
        <v>847</v>
      </c>
      <c r="G341" t="s">
        <v>142</v>
      </c>
      <c r="H341" t="s">
        <v>143</v>
      </c>
      <c r="I341" t="s">
        <v>35</v>
      </c>
      <c r="J341" t="s">
        <v>144</v>
      </c>
      <c r="K341" t="s">
        <v>2</v>
      </c>
      <c r="L341" t="s">
        <v>2077</v>
      </c>
      <c r="M341" t="s">
        <v>2082</v>
      </c>
      <c r="N341" t="s">
        <v>850</v>
      </c>
      <c r="O341" t="s">
        <v>40</v>
      </c>
      <c r="P341" t="s">
        <v>2083</v>
      </c>
      <c r="Q341" t="s">
        <v>129</v>
      </c>
      <c r="R341" t="s">
        <v>641</v>
      </c>
      <c r="S341">
        <v>1</v>
      </c>
      <c r="T341">
        <v>3870</v>
      </c>
      <c r="U341">
        <v>0</v>
      </c>
      <c r="V341">
        <v>3870</v>
      </c>
    </row>
    <row r="342" spans="1:22" x14ac:dyDescent="0.25">
      <c r="A342">
        <v>79452</v>
      </c>
      <c r="B342">
        <v>131774004</v>
      </c>
      <c r="C342" t="s">
        <v>2084</v>
      </c>
      <c r="D342" t="s">
        <v>2085</v>
      </c>
      <c r="E342" t="s">
        <v>846</v>
      </c>
      <c r="F342" t="s">
        <v>847</v>
      </c>
      <c r="G342" t="s">
        <v>142</v>
      </c>
      <c r="H342" t="s">
        <v>143</v>
      </c>
      <c r="I342" t="s">
        <v>35</v>
      </c>
      <c r="J342" t="s">
        <v>144</v>
      </c>
      <c r="K342" t="s">
        <v>2</v>
      </c>
      <c r="L342" t="s">
        <v>2086</v>
      </c>
      <c r="M342" t="s">
        <v>2087</v>
      </c>
      <c r="N342" t="s">
        <v>850</v>
      </c>
      <c r="O342" t="s">
        <v>40</v>
      </c>
      <c r="P342" t="s">
        <v>2088</v>
      </c>
      <c r="Q342" t="s">
        <v>129</v>
      </c>
      <c r="R342" t="s">
        <v>612</v>
      </c>
      <c r="S342">
        <v>1</v>
      </c>
      <c r="T342">
        <v>3870</v>
      </c>
      <c r="U342">
        <v>0</v>
      </c>
      <c r="V342">
        <v>3870</v>
      </c>
    </row>
    <row r="343" spans="1:22" x14ac:dyDescent="0.25">
      <c r="A343">
        <v>79452</v>
      </c>
      <c r="B343">
        <v>131554983</v>
      </c>
      <c r="C343" t="s">
        <v>2089</v>
      </c>
      <c r="D343" t="s">
        <v>2090</v>
      </c>
      <c r="E343" t="s">
        <v>846</v>
      </c>
      <c r="F343" t="s">
        <v>847</v>
      </c>
      <c r="G343" t="s">
        <v>142</v>
      </c>
      <c r="H343" t="s">
        <v>143</v>
      </c>
      <c r="I343" t="s">
        <v>35</v>
      </c>
      <c r="J343" t="s">
        <v>144</v>
      </c>
      <c r="K343" t="s">
        <v>2</v>
      </c>
      <c r="L343" t="s">
        <v>2091</v>
      </c>
      <c r="M343" t="s">
        <v>2092</v>
      </c>
      <c r="N343" t="s">
        <v>850</v>
      </c>
      <c r="O343" t="s">
        <v>40</v>
      </c>
      <c r="P343" t="s">
        <v>2093</v>
      </c>
      <c r="Q343" t="s">
        <v>129</v>
      </c>
      <c r="R343" t="s">
        <v>1307</v>
      </c>
      <c r="S343">
        <v>1</v>
      </c>
      <c r="T343">
        <v>3870</v>
      </c>
      <c r="U343">
        <v>0</v>
      </c>
      <c r="V343">
        <v>3870</v>
      </c>
    </row>
    <row r="344" spans="1:22" x14ac:dyDescent="0.25">
      <c r="A344">
        <v>79452</v>
      </c>
      <c r="B344">
        <v>131339908</v>
      </c>
      <c r="C344" t="s">
        <v>2094</v>
      </c>
      <c r="D344" t="s">
        <v>2095</v>
      </c>
      <c r="E344" t="s">
        <v>846</v>
      </c>
      <c r="F344" t="s">
        <v>847</v>
      </c>
      <c r="G344" t="s">
        <v>142</v>
      </c>
      <c r="H344" t="s">
        <v>143</v>
      </c>
      <c r="I344" t="s">
        <v>35</v>
      </c>
      <c r="J344" t="s">
        <v>144</v>
      </c>
      <c r="K344" t="s">
        <v>2</v>
      </c>
      <c r="L344" t="s">
        <v>273</v>
      </c>
      <c r="M344" t="s">
        <v>2063</v>
      </c>
      <c r="N344" t="s">
        <v>850</v>
      </c>
      <c r="O344" t="s">
        <v>40</v>
      </c>
      <c r="P344" t="s">
        <v>2064</v>
      </c>
      <c r="Q344" t="s">
        <v>217</v>
      </c>
      <c r="R344" t="s">
        <v>2096</v>
      </c>
      <c r="S344">
        <v>1</v>
      </c>
      <c r="T344">
        <v>3870</v>
      </c>
      <c r="U344">
        <v>0</v>
      </c>
      <c r="V344">
        <v>3870</v>
      </c>
    </row>
    <row r="345" spans="1:22" x14ac:dyDescent="0.25">
      <c r="A345">
        <v>79452</v>
      </c>
      <c r="B345">
        <v>131346674</v>
      </c>
      <c r="C345" t="s">
        <v>2097</v>
      </c>
      <c r="D345" t="s">
        <v>2098</v>
      </c>
      <c r="E345" t="s">
        <v>846</v>
      </c>
      <c r="F345" t="s">
        <v>847</v>
      </c>
      <c r="G345" t="s">
        <v>142</v>
      </c>
      <c r="H345" t="s">
        <v>143</v>
      </c>
      <c r="I345" t="s">
        <v>35</v>
      </c>
      <c r="J345" t="s">
        <v>144</v>
      </c>
      <c r="K345" t="s">
        <v>2</v>
      </c>
      <c r="L345" t="s">
        <v>2099</v>
      </c>
      <c r="M345" t="s">
        <v>2100</v>
      </c>
      <c r="N345" t="s">
        <v>850</v>
      </c>
      <c r="O345" t="s">
        <v>40</v>
      </c>
      <c r="P345" t="s">
        <v>2101</v>
      </c>
      <c r="Q345" t="s">
        <v>129</v>
      </c>
      <c r="R345" t="s">
        <v>2102</v>
      </c>
      <c r="S345">
        <v>1</v>
      </c>
      <c r="T345">
        <v>3870</v>
      </c>
      <c r="U345">
        <v>0</v>
      </c>
      <c r="V345">
        <v>3870</v>
      </c>
    </row>
    <row r="346" spans="1:22" x14ac:dyDescent="0.25">
      <c r="A346">
        <v>79452</v>
      </c>
      <c r="B346">
        <v>131989997</v>
      </c>
      <c r="C346" t="s">
        <v>2103</v>
      </c>
      <c r="D346" t="s">
        <v>2104</v>
      </c>
      <c r="E346" t="s">
        <v>846</v>
      </c>
      <c r="F346" t="s">
        <v>847</v>
      </c>
      <c r="G346" t="s">
        <v>142</v>
      </c>
      <c r="H346" t="s">
        <v>143</v>
      </c>
      <c r="I346" t="s">
        <v>35</v>
      </c>
      <c r="J346" t="s">
        <v>144</v>
      </c>
      <c r="K346" t="s">
        <v>2</v>
      </c>
      <c r="L346" t="s">
        <v>2105</v>
      </c>
      <c r="M346" t="s">
        <v>622</v>
      </c>
      <c r="N346" t="s">
        <v>850</v>
      </c>
      <c r="O346" t="s">
        <v>40</v>
      </c>
      <c r="P346" t="s">
        <v>2106</v>
      </c>
      <c r="Q346" t="s">
        <v>232</v>
      </c>
      <c r="R346" t="s">
        <v>539</v>
      </c>
      <c r="S346">
        <v>1</v>
      </c>
      <c r="T346">
        <v>4038</v>
      </c>
      <c r="U346">
        <v>0</v>
      </c>
      <c r="V346">
        <v>4038</v>
      </c>
    </row>
    <row r="347" spans="1:22" x14ac:dyDescent="0.25">
      <c r="A347">
        <v>79452</v>
      </c>
      <c r="B347">
        <v>132178890</v>
      </c>
      <c r="C347" t="s">
        <v>2107</v>
      </c>
      <c r="D347" t="s">
        <v>2108</v>
      </c>
      <c r="E347" t="s">
        <v>846</v>
      </c>
      <c r="F347" t="s">
        <v>847</v>
      </c>
      <c r="G347" t="s">
        <v>142</v>
      </c>
      <c r="H347" t="s">
        <v>143</v>
      </c>
      <c r="I347" t="s">
        <v>35</v>
      </c>
      <c r="J347" t="s">
        <v>144</v>
      </c>
      <c r="K347" t="s">
        <v>169</v>
      </c>
      <c r="L347" t="s">
        <v>267</v>
      </c>
      <c r="M347" t="s">
        <v>2109</v>
      </c>
      <c r="N347" t="s">
        <v>850</v>
      </c>
      <c r="O347" t="s">
        <v>40</v>
      </c>
      <c r="P347" t="s">
        <v>2110</v>
      </c>
      <c r="Q347" t="s">
        <v>82</v>
      </c>
      <c r="R347" t="s">
        <v>551</v>
      </c>
      <c r="S347">
        <v>1</v>
      </c>
      <c r="T347">
        <v>4067</v>
      </c>
      <c r="U347">
        <v>0</v>
      </c>
      <c r="V347">
        <v>4067</v>
      </c>
    </row>
    <row r="348" spans="1:22" x14ac:dyDescent="0.25">
      <c r="A348">
        <v>79452</v>
      </c>
      <c r="B348">
        <v>132048394</v>
      </c>
      <c r="C348" t="s">
        <v>2111</v>
      </c>
      <c r="D348" t="s">
        <v>2112</v>
      </c>
      <c r="E348" t="s">
        <v>846</v>
      </c>
      <c r="F348" t="s">
        <v>847</v>
      </c>
      <c r="G348" t="s">
        <v>142</v>
      </c>
      <c r="H348" t="s">
        <v>143</v>
      </c>
      <c r="I348" t="s">
        <v>35</v>
      </c>
      <c r="J348" t="s">
        <v>144</v>
      </c>
      <c r="K348" t="s">
        <v>2</v>
      </c>
      <c r="L348" t="s">
        <v>2113</v>
      </c>
      <c r="M348" t="s">
        <v>2114</v>
      </c>
      <c r="N348" t="s">
        <v>850</v>
      </c>
      <c r="O348" t="s">
        <v>40</v>
      </c>
      <c r="P348" t="s">
        <v>2115</v>
      </c>
      <c r="Q348" t="s">
        <v>56</v>
      </c>
      <c r="R348" t="s">
        <v>430</v>
      </c>
      <c r="S348">
        <v>0.22</v>
      </c>
      <c r="T348">
        <v>3680</v>
      </c>
      <c r="U348">
        <v>0</v>
      </c>
      <c r="V348">
        <v>3680</v>
      </c>
    </row>
    <row r="349" spans="1:22" x14ac:dyDescent="0.25">
      <c r="A349">
        <v>79452</v>
      </c>
      <c r="B349">
        <v>132048415</v>
      </c>
      <c r="C349" t="s">
        <v>2116</v>
      </c>
      <c r="D349" t="s">
        <v>2117</v>
      </c>
      <c r="E349" t="s">
        <v>846</v>
      </c>
      <c r="F349" t="s">
        <v>847</v>
      </c>
      <c r="G349" t="s">
        <v>142</v>
      </c>
      <c r="H349" t="s">
        <v>143</v>
      </c>
      <c r="I349" t="s">
        <v>35</v>
      </c>
      <c r="J349" t="s">
        <v>144</v>
      </c>
      <c r="K349" t="s">
        <v>2</v>
      </c>
      <c r="L349" t="s">
        <v>2118</v>
      </c>
      <c r="M349" t="s">
        <v>2119</v>
      </c>
      <c r="N349" t="s">
        <v>850</v>
      </c>
      <c r="O349" t="s">
        <v>40</v>
      </c>
      <c r="P349" t="s">
        <v>2120</v>
      </c>
      <c r="Q349" t="s">
        <v>82</v>
      </c>
      <c r="R349" t="s">
        <v>430</v>
      </c>
      <c r="S349">
        <v>0.5</v>
      </c>
      <c r="T349">
        <v>3680</v>
      </c>
      <c r="U349">
        <v>0</v>
      </c>
      <c r="V349">
        <v>3680</v>
      </c>
    </row>
    <row r="350" spans="1:22" x14ac:dyDescent="0.25">
      <c r="A350">
        <v>79452</v>
      </c>
      <c r="B350">
        <v>132117031</v>
      </c>
      <c r="C350" t="s">
        <v>2121</v>
      </c>
      <c r="D350" t="s">
        <v>2122</v>
      </c>
      <c r="E350" t="s">
        <v>846</v>
      </c>
      <c r="F350" t="s">
        <v>847</v>
      </c>
      <c r="G350" t="s">
        <v>142</v>
      </c>
      <c r="H350" t="s">
        <v>143</v>
      </c>
      <c r="I350" t="s">
        <v>35</v>
      </c>
      <c r="J350" t="s">
        <v>144</v>
      </c>
      <c r="K350" t="s">
        <v>2</v>
      </c>
      <c r="L350" t="s">
        <v>2123</v>
      </c>
      <c r="M350" t="s">
        <v>2124</v>
      </c>
      <c r="N350" t="s">
        <v>850</v>
      </c>
      <c r="O350" t="s">
        <v>40</v>
      </c>
      <c r="P350" t="s">
        <v>2125</v>
      </c>
      <c r="Q350" t="s">
        <v>82</v>
      </c>
      <c r="R350" t="s">
        <v>738</v>
      </c>
      <c r="S350">
        <v>0.31</v>
      </c>
      <c r="T350">
        <v>3680</v>
      </c>
      <c r="U350">
        <v>0</v>
      </c>
      <c r="V350">
        <v>3680</v>
      </c>
    </row>
    <row r="351" spans="1:22" x14ac:dyDescent="0.25">
      <c r="A351">
        <v>79452</v>
      </c>
      <c r="B351">
        <v>132073933</v>
      </c>
      <c r="C351" t="s">
        <v>2126</v>
      </c>
      <c r="D351" t="s">
        <v>2127</v>
      </c>
      <c r="E351" t="s">
        <v>846</v>
      </c>
      <c r="F351" t="s">
        <v>847</v>
      </c>
      <c r="G351" t="s">
        <v>142</v>
      </c>
      <c r="H351" t="s">
        <v>143</v>
      </c>
      <c r="I351" t="s">
        <v>35</v>
      </c>
      <c r="J351" t="s">
        <v>144</v>
      </c>
      <c r="K351" t="s">
        <v>2</v>
      </c>
      <c r="L351" t="s">
        <v>2128</v>
      </c>
      <c r="M351" t="s">
        <v>2129</v>
      </c>
      <c r="N351" t="s">
        <v>850</v>
      </c>
      <c r="O351" t="s">
        <v>40</v>
      </c>
      <c r="P351" t="s">
        <v>2130</v>
      </c>
      <c r="Q351" t="s">
        <v>82</v>
      </c>
      <c r="R351" t="s">
        <v>862</v>
      </c>
      <c r="S351">
        <v>0.54</v>
      </c>
      <c r="T351">
        <v>4067</v>
      </c>
      <c r="U351">
        <v>0</v>
      </c>
      <c r="V351">
        <v>4067</v>
      </c>
    </row>
    <row r="352" spans="1:22" x14ac:dyDescent="0.25">
      <c r="A352">
        <v>79452</v>
      </c>
      <c r="B352">
        <v>131990001</v>
      </c>
      <c r="C352" t="s">
        <v>2131</v>
      </c>
      <c r="D352" t="s">
        <v>2132</v>
      </c>
      <c r="E352" t="s">
        <v>846</v>
      </c>
      <c r="F352" t="s">
        <v>847</v>
      </c>
      <c r="G352" t="s">
        <v>142</v>
      </c>
      <c r="H352" t="s">
        <v>143</v>
      </c>
      <c r="I352" t="s">
        <v>35</v>
      </c>
      <c r="J352" t="s">
        <v>144</v>
      </c>
      <c r="K352" t="s">
        <v>2</v>
      </c>
      <c r="L352" t="s">
        <v>2133</v>
      </c>
      <c r="M352" t="s">
        <v>2134</v>
      </c>
      <c r="N352" t="s">
        <v>850</v>
      </c>
      <c r="O352" t="s">
        <v>40</v>
      </c>
      <c r="P352" t="s">
        <v>2135</v>
      </c>
      <c r="Q352" t="s">
        <v>63</v>
      </c>
      <c r="R352" t="s">
        <v>539</v>
      </c>
      <c r="S352">
        <v>1</v>
      </c>
      <c r="T352">
        <v>4067</v>
      </c>
      <c r="U352">
        <v>0</v>
      </c>
      <c r="V352">
        <v>4067</v>
      </c>
    </row>
    <row r="353" spans="1:22" x14ac:dyDescent="0.25">
      <c r="A353">
        <v>79452</v>
      </c>
      <c r="B353">
        <v>131990003</v>
      </c>
      <c r="C353" t="s">
        <v>2136</v>
      </c>
      <c r="D353" t="s">
        <v>2137</v>
      </c>
      <c r="E353" t="s">
        <v>846</v>
      </c>
      <c r="F353" t="s">
        <v>847</v>
      </c>
      <c r="G353" t="s">
        <v>142</v>
      </c>
      <c r="H353" t="s">
        <v>143</v>
      </c>
      <c r="I353" t="s">
        <v>35</v>
      </c>
      <c r="J353" t="s">
        <v>144</v>
      </c>
      <c r="K353" t="s">
        <v>2</v>
      </c>
      <c r="L353" t="s">
        <v>833</v>
      </c>
      <c r="M353" t="s">
        <v>2138</v>
      </c>
      <c r="N353" t="s">
        <v>850</v>
      </c>
      <c r="O353" t="s">
        <v>40</v>
      </c>
      <c r="P353" t="s">
        <v>2139</v>
      </c>
      <c r="Q353" t="s">
        <v>82</v>
      </c>
      <c r="R353" t="s">
        <v>539</v>
      </c>
      <c r="S353">
        <v>1</v>
      </c>
      <c r="T353">
        <v>4067</v>
      </c>
      <c r="U353">
        <v>0</v>
      </c>
      <c r="V353">
        <v>4067</v>
      </c>
    </row>
    <row r="354" spans="1:22" x14ac:dyDescent="0.25">
      <c r="A354">
        <v>79452</v>
      </c>
      <c r="B354">
        <v>132021638</v>
      </c>
      <c r="C354" t="s">
        <v>2140</v>
      </c>
      <c r="D354" t="s">
        <v>2141</v>
      </c>
      <c r="E354" t="s">
        <v>846</v>
      </c>
      <c r="F354" t="s">
        <v>847</v>
      </c>
      <c r="G354" t="s">
        <v>142</v>
      </c>
      <c r="H354" t="s">
        <v>143</v>
      </c>
      <c r="I354" t="s">
        <v>35</v>
      </c>
      <c r="J354" t="s">
        <v>144</v>
      </c>
      <c r="K354" t="s">
        <v>2</v>
      </c>
      <c r="L354" t="s">
        <v>2142</v>
      </c>
      <c r="M354" t="s">
        <v>905</v>
      </c>
      <c r="N354" t="s">
        <v>850</v>
      </c>
      <c r="O354" t="s">
        <v>40</v>
      </c>
      <c r="P354" t="s">
        <v>2143</v>
      </c>
      <c r="Q354" t="s">
        <v>112</v>
      </c>
      <c r="R354" t="s">
        <v>599</v>
      </c>
      <c r="S354">
        <v>1</v>
      </c>
      <c r="T354">
        <v>4067</v>
      </c>
      <c r="U354">
        <v>0</v>
      </c>
      <c r="V354">
        <v>4067</v>
      </c>
    </row>
    <row r="355" spans="1:22" x14ac:dyDescent="0.25">
      <c r="A355">
        <v>79452</v>
      </c>
      <c r="B355">
        <v>132021610</v>
      </c>
      <c r="C355" t="s">
        <v>2144</v>
      </c>
      <c r="D355" t="s">
        <v>2145</v>
      </c>
      <c r="E355" t="s">
        <v>846</v>
      </c>
      <c r="F355" t="s">
        <v>847</v>
      </c>
      <c r="G355" t="s">
        <v>142</v>
      </c>
      <c r="H355" t="s">
        <v>143</v>
      </c>
      <c r="I355" t="s">
        <v>35</v>
      </c>
      <c r="J355" t="s">
        <v>144</v>
      </c>
      <c r="K355" t="s">
        <v>2</v>
      </c>
      <c r="L355" t="s">
        <v>2146</v>
      </c>
      <c r="M355" t="s">
        <v>2147</v>
      </c>
      <c r="N355" t="s">
        <v>850</v>
      </c>
      <c r="O355" t="s">
        <v>40</v>
      </c>
      <c r="P355" t="s">
        <v>2148</v>
      </c>
      <c r="Q355" t="s">
        <v>80</v>
      </c>
      <c r="R355" t="s">
        <v>599</v>
      </c>
      <c r="S355">
        <v>1</v>
      </c>
      <c r="T355">
        <v>4067</v>
      </c>
      <c r="U355">
        <v>0</v>
      </c>
      <c r="V355">
        <v>4067</v>
      </c>
    </row>
    <row r="356" spans="1:22" x14ac:dyDescent="0.25">
      <c r="A356">
        <v>79452</v>
      </c>
      <c r="B356">
        <v>131989993</v>
      </c>
      <c r="C356" t="s">
        <v>2149</v>
      </c>
      <c r="D356" t="s">
        <v>2150</v>
      </c>
      <c r="E356" t="s">
        <v>846</v>
      </c>
      <c r="F356" t="s">
        <v>847</v>
      </c>
      <c r="G356" t="s">
        <v>142</v>
      </c>
      <c r="H356" t="s">
        <v>143</v>
      </c>
      <c r="I356" t="s">
        <v>35</v>
      </c>
      <c r="J356" t="s">
        <v>144</v>
      </c>
      <c r="K356" t="s">
        <v>2</v>
      </c>
      <c r="L356" t="s">
        <v>2151</v>
      </c>
      <c r="M356" t="s">
        <v>2152</v>
      </c>
      <c r="N356" t="s">
        <v>850</v>
      </c>
      <c r="O356" t="s">
        <v>40</v>
      </c>
      <c r="P356" t="s">
        <v>2153</v>
      </c>
      <c r="Q356" t="s">
        <v>82</v>
      </c>
      <c r="R356" t="s">
        <v>539</v>
      </c>
      <c r="S356">
        <v>1</v>
      </c>
      <c r="T356">
        <v>4067</v>
      </c>
      <c r="U356">
        <v>0</v>
      </c>
      <c r="V356">
        <v>4067</v>
      </c>
    </row>
    <row r="357" spans="1:22" x14ac:dyDescent="0.25">
      <c r="A357">
        <v>79452</v>
      </c>
      <c r="B357">
        <v>131990005</v>
      </c>
      <c r="C357" t="s">
        <v>2154</v>
      </c>
      <c r="D357" t="s">
        <v>2155</v>
      </c>
      <c r="E357" t="s">
        <v>846</v>
      </c>
      <c r="F357" t="s">
        <v>847</v>
      </c>
      <c r="G357" t="s">
        <v>142</v>
      </c>
      <c r="H357" t="s">
        <v>143</v>
      </c>
      <c r="I357" t="s">
        <v>35</v>
      </c>
      <c r="J357" t="s">
        <v>144</v>
      </c>
      <c r="K357" t="s">
        <v>2</v>
      </c>
      <c r="L357" t="s">
        <v>2156</v>
      </c>
      <c r="M357" t="s">
        <v>2157</v>
      </c>
      <c r="N357" t="s">
        <v>850</v>
      </c>
      <c r="O357" t="s">
        <v>40</v>
      </c>
      <c r="P357" t="s">
        <v>2158</v>
      </c>
      <c r="Q357" t="s">
        <v>82</v>
      </c>
      <c r="R357" t="s">
        <v>539</v>
      </c>
      <c r="S357">
        <v>0.93</v>
      </c>
      <c r="T357">
        <v>4067</v>
      </c>
      <c r="U357">
        <v>0</v>
      </c>
      <c r="V357">
        <v>4067</v>
      </c>
    </row>
    <row r="358" spans="1:22" x14ac:dyDescent="0.25">
      <c r="A358">
        <v>79452</v>
      </c>
      <c r="B358">
        <v>131990002</v>
      </c>
      <c r="C358" t="s">
        <v>2159</v>
      </c>
      <c r="D358" t="s">
        <v>2160</v>
      </c>
      <c r="E358" t="s">
        <v>846</v>
      </c>
      <c r="F358" t="s">
        <v>847</v>
      </c>
      <c r="G358" t="s">
        <v>142</v>
      </c>
      <c r="H358" t="s">
        <v>143</v>
      </c>
      <c r="I358" t="s">
        <v>35</v>
      </c>
      <c r="J358" t="s">
        <v>144</v>
      </c>
      <c r="K358" t="s">
        <v>2</v>
      </c>
      <c r="L358" t="s">
        <v>701</v>
      </c>
      <c r="M358" t="s">
        <v>2161</v>
      </c>
      <c r="N358" t="s">
        <v>850</v>
      </c>
      <c r="O358" t="s">
        <v>40</v>
      </c>
      <c r="P358" t="s">
        <v>2162</v>
      </c>
      <c r="Q358" t="s">
        <v>112</v>
      </c>
      <c r="R358" t="s">
        <v>539</v>
      </c>
      <c r="S358">
        <v>1</v>
      </c>
      <c r="T358">
        <v>4067</v>
      </c>
      <c r="U358">
        <v>0</v>
      </c>
      <c r="V358">
        <v>4067</v>
      </c>
    </row>
    <row r="359" spans="1:22" x14ac:dyDescent="0.25">
      <c r="A359">
        <v>79452</v>
      </c>
      <c r="B359">
        <v>132021647</v>
      </c>
      <c r="C359" t="s">
        <v>2163</v>
      </c>
      <c r="D359" t="s">
        <v>2164</v>
      </c>
      <c r="E359" t="s">
        <v>846</v>
      </c>
      <c r="F359" t="s">
        <v>847</v>
      </c>
      <c r="G359" t="s">
        <v>142</v>
      </c>
      <c r="H359" t="s">
        <v>143</v>
      </c>
      <c r="I359" t="s">
        <v>35</v>
      </c>
      <c r="J359" t="s">
        <v>144</v>
      </c>
      <c r="K359" t="s">
        <v>2</v>
      </c>
      <c r="L359" t="s">
        <v>2165</v>
      </c>
      <c r="M359" t="s">
        <v>2166</v>
      </c>
      <c r="N359" t="s">
        <v>850</v>
      </c>
      <c r="O359" t="s">
        <v>40</v>
      </c>
      <c r="P359" t="s">
        <v>2167</v>
      </c>
      <c r="Q359" t="s">
        <v>63</v>
      </c>
      <c r="R359" t="s">
        <v>599</v>
      </c>
      <c r="S359">
        <v>1</v>
      </c>
      <c r="T359">
        <v>4067</v>
      </c>
      <c r="U359">
        <v>0</v>
      </c>
      <c r="V359">
        <v>4067</v>
      </c>
    </row>
    <row r="360" spans="1:22" x14ac:dyDescent="0.25">
      <c r="A360">
        <v>79452</v>
      </c>
      <c r="B360">
        <v>131932290</v>
      </c>
      <c r="C360" t="s">
        <v>2168</v>
      </c>
      <c r="D360" t="s">
        <v>2169</v>
      </c>
      <c r="E360" t="s">
        <v>846</v>
      </c>
      <c r="F360" t="s">
        <v>847</v>
      </c>
      <c r="G360" t="s">
        <v>142</v>
      </c>
      <c r="H360" t="s">
        <v>143</v>
      </c>
      <c r="I360" t="s">
        <v>35</v>
      </c>
      <c r="J360" t="s">
        <v>144</v>
      </c>
      <c r="K360" t="s">
        <v>2</v>
      </c>
      <c r="L360" t="s">
        <v>2170</v>
      </c>
      <c r="M360" t="s">
        <v>2171</v>
      </c>
      <c r="N360" t="s">
        <v>850</v>
      </c>
      <c r="O360" t="s">
        <v>40</v>
      </c>
      <c r="P360" t="s">
        <v>2172</v>
      </c>
      <c r="Q360" t="s">
        <v>151</v>
      </c>
      <c r="R360" t="s">
        <v>300</v>
      </c>
      <c r="S360">
        <v>1</v>
      </c>
      <c r="T360">
        <v>4067</v>
      </c>
      <c r="U360">
        <v>0</v>
      </c>
      <c r="V360">
        <v>4067</v>
      </c>
    </row>
    <row r="361" spans="1:22" x14ac:dyDescent="0.25">
      <c r="A361">
        <v>79452</v>
      </c>
      <c r="B361">
        <v>131965525</v>
      </c>
      <c r="C361" t="s">
        <v>2173</v>
      </c>
      <c r="D361" t="s">
        <v>2174</v>
      </c>
      <c r="E361" t="s">
        <v>846</v>
      </c>
      <c r="F361" t="s">
        <v>847</v>
      </c>
      <c r="G361" t="s">
        <v>142</v>
      </c>
      <c r="H361" t="s">
        <v>143</v>
      </c>
      <c r="I361" t="s">
        <v>35</v>
      </c>
      <c r="J361" t="s">
        <v>144</v>
      </c>
      <c r="K361" t="s">
        <v>2</v>
      </c>
      <c r="L361" t="s">
        <v>2175</v>
      </c>
      <c r="M361" t="s">
        <v>2176</v>
      </c>
      <c r="N361" t="s">
        <v>850</v>
      </c>
      <c r="O361" t="s">
        <v>40</v>
      </c>
      <c r="P361" t="s">
        <v>2167</v>
      </c>
      <c r="Q361" t="s">
        <v>63</v>
      </c>
      <c r="R361" t="s">
        <v>285</v>
      </c>
      <c r="S361">
        <v>1</v>
      </c>
      <c r="T361">
        <v>4067</v>
      </c>
      <c r="U361">
        <v>0</v>
      </c>
      <c r="V361">
        <v>4067</v>
      </c>
    </row>
    <row r="362" spans="1:22" x14ac:dyDescent="0.25">
      <c r="A362">
        <v>79452</v>
      </c>
      <c r="B362">
        <v>131952764</v>
      </c>
      <c r="C362" t="s">
        <v>2177</v>
      </c>
      <c r="D362" t="s">
        <v>2178</v>
      </c>
      <c r="E362" t="s">
        <v>846</v>
      </c>
      <c r="F362" t="s">
        <v>847</v>
      </c>
      <c r="G362" t="s">
        <v>142</v>
      </c>
      <c r="H362" t="s">
        <v>143</v>
      </c>
      <c r="I362" t="s">
        <v>35</v>
      </c>
      <c r="J362" t="s">
        <v>144</v>
      </c>
      <c r="K362" t="s">
        <v>2</v>
      </c>
      <c r="L362" t="s">
        <v>2179</v>
      </c>
      <c r="M362" t="s">
        <v>2180</v>
      </c>
      <c r="N362" t="s">
        <v>850</v>
      </c>
      <c r="O362" t="s">
        <v>40</v>
      </c>
      <c r="P362" t="s">
        <v>2181</v>
      </c>
      <c r="Q362" t="s">
        <v>63</v>
      </c>
      <c r="R362" t="s">
        <v>541</v>
      </c>
      <c r="S362">
        <v>1</v>
      </c>
      <c r="T362">
        <v>4067</v>
      </c>
      <c r="U362">
        <v>0</v>
      </c>
      <c r="V362">
        <v>4067</v>
      </c>
    </row>
    <row r="363" spans="1:22" x14ac:dyDescent="0.25">
      <c r="A363">
        <v>79452</v>
      </c>
      <c r="B363">
        <v>131965524</v>
      </c>
      <c r="C363" t="s">
        <v>2182</v>
      </c>
      <c r="D363" t="s">
        <v>2183</v>
      </c>
      <c r="E363" t="s">
        <v>846</v>
      </c>
      <c r="F363" t="s">
        <v>847</v>
      </c>
      <c r="G363" t="s">
        <v>142</v>
      </c>
      <c r="H363" t="s">
        <v>143</v>
      </c>
      <c r="I363" t="s">
        <v>35</v>
      </c>
      <c r="J363" t="s">
        <v>144</v>
      </c>
      <c r="K363" t="s">
        <v>2</v>
      </c>
      <c r="L363" t="s">
        <v>2184</v>
      </c>
      <c r="M363" t="s">
        <v>2185</v>
      </c>
      <c r="N363" t="s">
        <v>850</v>
      </c>
      <c r="O363" t="s">
        <v>40</v>
      </c>
      <c r="P363" t="s">
        <v>2186</v>
      </c>
      <c r="Q363" t="s">
        <v>112</v>
      </c>
      <c r="R363" t="s">
        <v>285</v>
      </c>
      <c r="S363">
        <v>1</v>
      </c>
      <c r="T363">
        <v>4067</v>
      </c>
      <c r="U363">
        <v>0</v>
      </c>
      <c r="V363">
        <v>4067</v>
      </c>
    </row>
    <row r="364" spans="1:22" x14ac:dyDescent="0.25">
      <c r="A364">
        <v>79452</v>
      </c>
      <c r="B364">
        <v>131952774</v>
      </c>
      <c r="C364" t="s">
        <v>2187</v>
      </c>
      <c r="D364" t="s">
        <v>2188</v>
      </c>
      <c r="E364" t="s">
        <v>846</v>
      </c>
      <c r="F364" t="s">
        <v>847</v>
      </c>
      <c r="G364" t="s">
        <v>142</v>
      </c>
      <c r="H364" t="s">
        <v>143</v>
      </c>
      <c r="I364" t="s">
        <v>35</v>
      </c>
      <c r="J364" t="s">
        <v>144</v>
      </c>
      <c r="K364" t="s">
        <v>2</v>
      </c>
      <c r="L364" t="s">
        <v>2189</v>
      </c>
      <c r="M364" t="s">
        <v>2190</v>
      </c>
      <c r="N364" t="s">
        <v>850</v>
      </c>
      <c r="O364" t="s">
        <v>40</v>
      </c>
      <c r="P364" t="s">
        <v>2191</v>
      </c>
      <c r="Q364" t="s">
        <v>82</v>
      </c>
      <c r="R364" t="s">
        <v>541</v>
      </c>
      <c r="S364">
        <v>1</v>
      </c>
      <c r="T364">
        <v>4067</v>
      </c>
      <c r="U364">
        <v>0</v>
      </c>
      <c r="V364">
        <v>4067</v>
      </c>
    </row>
    <row r="365" spans="1:22" x14ac:dyDescent="0.25">
      <c r="A365">
        <v>79452</v>
      </c>
      <c r="B365">
        <v>131932282</v>
      </c>
      <c r="C365" t="s">
        <v>2192</v>
      </c>
      <c r="D365" t="s">
        <v>2193</v>
      </c>
      <c r="E365" t="s">
        <v>846</v>
      </c>
      <c r="F365" t="s">
        <v>847</v>
      </c>
      <c r="G365" t="s">
        <v>142</v>
      </c>
      <c r="H365" t="s">
        <v>143</v>
      </c>
      <c r="I365" t="s">
        <v>35</v>
      </c>
      <c r="J365" t="s">
        <v>144</v>
      </c>
      <c r="K365" t="s">
        <v>2</v>
      </c>
      <c r="L365" t="s">
        <v>2194</v>
      </c>
      <c r="M365" t="s">
        <v>172</v>
      </c>
      <c r="N365" t="s">
        <v>850</v>
      </c>
      <c r="O365" t="s">
        <v>40</v>
      </c>
      <c r="P365" t="s">
        <v>2195</v>
      </c>
      <c r="Q365" t="s">
        <v>82</v>
      </c>
      <c r="R365" t="s">
        <v>300</v>
      </c>
      <c r="S365">
        <v>1</v>
      </c>
      <c r="T365">
        <v>4067</v>
      </c>
      <c r="U365">
        <v>0</v>
      </c>
      <c r="V365">
        <v>4067</v>
      </c>
    </row>
    <row r="366" spans="1:22" x14ac:dyDescent="0.25">
      <c r="A366">
        <v>79452</v>
      </c>
      <c r="B366">
        <v>131823046</v>
      </c>
      <c r="C366" t="s">
        <v>2196</v>
      </c>
      <c r="D366" t="s">
        <v>2197</v>
      </c>
      <c r="E366" t="s">
        <v>846</v>
      </c>
      <c r="F366" t="s">
        <v>847</v>
      </c>
      <c r="G366" t="s">
        <v>142</v>
      </c>
      <c r="H366" t="s">
        <v>143</v>
      </c>
      <c r="I366" t="s">
        <v>35</v>
      </c>
      <c r="J366" t="s">
        <v>144</v>
      </c>
      <c r="K366" t="s">
        <v>2</v>
      </c>
      <c r="L366" t="s">
        <v>2198</v>
      </c>
      <c r="M366" t="s">
        <v>2199</v>
      </c>
      <c r="N366" t="s">
        <v>850</v>
      </c>
      <c r="O366" t="s">
        <v>40</v>
      </c>
      <c r="P366" t="s">
        <v>2200</v>
      </c>
      <c r="Q366" t="s">
        <v>82</v>
      </c>
      <c r="R366" t="s">
        <v>282</v>
      </c>
      <c r="S366">
        <v>1</v>
      </c>
      <c r="T366">
        <v>4067</v>
      </c>
      <c r="U366">
        <v>0</v>
      </c>
      <c r="V366">
        <v>4067</v>
      </c>
    </row>
    <row r="367" spans="1:22" x14ac:dyDescent="0.25">
      <c r="A367">
        <v>79452</v>
      </c>
      <c r="B367">
        <v>131864677</v>
      </c>
      <c r="C367" t="s">
        <v>2201</v>
      </c>
      <c r="D367" t="s">
        <v>2202</v>
      </c>
      <c r="E367" t="s">
        <v>846</v>
      </c>
      <c r="F367" t="s">
        <v>847</v>
      </c>
      <c r="G367" t="s">
        <v>142</v>
      </c>
      <c r="H367" t="s">
        <v>143</v>
      </c>
      <c r="I367" t="s">
        <v>35</v>
      </c>
      <c r="J367" t="s">
        <v>144</v>
      </c>
      <c r="K367" t="s">
        <v>169</v>
      </c>
      <c r="L367" t="s">
        <v>267</v>
      </c>
      <c r="M367" t="s">
        <v>2203</v>
      </c>
      <c r="N367" t="s">
        <v>850</v>
      </c>
      <c r="O367" t="s">
        <v>40</v>
      </c>
      <c r="P367" t="s">
        <v>2204</v>
      </c>
      <c r="Q367" t="s">
        <v>85</v>
      </c>
      <c r="R367" t="s">
        <v>520</v>
      </c>
      <c r="S367">
        <v>1</v>
      </c>
      <c r="T367">
        <v>4067</v>
      </c>
      <c r="U367">
        <v>0</v>
      </c>
      <c r="V367">
        <v>4067</v>
      </c>
    </row>
    <row r="368" spans="1:22" x14ac:dyDescent="0.25">
      <c r="A368">
        <v>79452</v>
      </c>
      <c r="B368">
        <v>131823001</v>
      </c>
      <c r="C368" t="s">
        <v>2205</v>
      </c>
      <c r="D368" t="s">
        <v>2206</v>
      </c>
      <c r="E368" t="s">
        <v>846</v>
      </c>
      <c r="F368" t="s">
        <v>847</v>
      </c>
      <c r="G368" t="s">
        <v>142</v>
      </c>
      <c r="H368" t="s">
        <v>143</v>
      </c>
      <c r="I368" t="s">
        <v>35</v>
      </c>
      <c r="J368" t="s">
        <v>144</v>
      </c>
      <c r="K368" t="s">
        <v>2</v>
      </c>
      <c r="L368" t="s">
        <v>2189</v>
      </c>
      <c r="M368" t="s">
        <v>2190</v>
      </c>
      <c r="N368" t="s">
        <v>850</v>
      </c>
      <c r="O368" t="s">
        <v>40</v>
      </c>
      <c r="P368" t="s">
        <v>2191</v>
      </c>
      <c r="Q368" t="s">
        <v>82</v>
      </c>
      <c r="R368" t="s">
        <v>282</v>
      </c>
      <c r="S368">
        <v>1</v>
      </c>
      <c r="T368">
        <v>4067</v>
      </c>
      <c r="U368">
        <v>0</v>
      </c>
      <c r="V368">
        <v>4067</v>
      </c>
    </row>
    <row r="369" spans="1:22" x14ac:dyDescent="0.25">
      <c r="A369">
        <v>79452</v>
      </c>
      <c r="B369">
        <v>131823036</v>
      </c>
      <c r="C369" t="s">
        <v>2207</v>
      </c>
      <c r="D369" t="s">
        <v>2208</v>
      </c>
      <c r="E369" t="s">
        <v>846</v>
      </c>
      <c r="F369" t="s">
        <v>847</v>
      </c>
      <c r="G369" t="s">
        <v>142</v>
      </c>
      <c r="H369" t="s">
        <v>143</v>
      </c>
      <c r="I369" t="s">
        <v>35</v>
      </c>
      <c r="J369" t="s">
        <v>144</v>
      </c>
      <c r="K369" t="s">
        <v>2</v>
      </c>
      <c r="L369" t="s">
        <v>2209</v>
      </c>
      <c r="M369" t="s">
        <v>2210</v>
      </c>
      <c r="N369" t="s">
        <v>850</v>
      </c>
      <c r="O369" t="s">
        <v>40</v>
      </c>
      <c r="P369" t="s">
        <v>2211</v>
      </c>
      <c r="Q369" t="s">
        <v>248</v>
      </c>
      <c r="R369" t="s">
        <v>282</v>
      </c>
      <c r="S369">
        <v>1</v>
      </c>
      <c r="T369">
        <v>4067</v>
      </c>
      <c r="U369">
        <v>0</v>
      </c>
      <c r="V369">
        <v>4067</v>
      </c>
    </row>
    <row r="370" spans="1:22" x14ac:dyDescent="0.25">
      <c r="A370">
        <v>79452</v>
      </c>
      <c r="B370">
        <v>131773990</v>
      </c>
      <c r="C370" t="s">
        <v>2212</v>
      </c>
      <c r="D370" t="s">
        <v>2213</v>
      </c>
      <c r="E370" t="s">
        <v>846</v>
      </c>
      <c r="F370" t="s">
        <v>847</v>
      </c>
      <c r="G370" t="s">
        <v>142</v>
      </c>
      <c r="H370" t="s">
        <v>143</v>
      </c>
      <c r="I370" t="s">
        <v>35</v>
      </c>
      <c r="J370" t="s">
        <v>144</v>
      </c>
      <c r="K370" t="s">
        <v>2</v>
      </c>
      <c r="L370" t="s">
        <v>2214</v>
      </c>
      <c r="M370" t="s">
        <v>2215</v>
      </c>
      <c r="N370" t="s">
        <v>850</v>
      </c>
      <c r="O370" t="s">
        <v>40</v>
      </c>
      <c r="P370" t="s">
        <v>2216</v>
      </c>
      <c r="Q370" t="s">
        <v>254</v>
      </c>
      <c r="R370" t="s">
        <v>612</v>
      </c>
      <c r="S370">
        <v>1</v>
      </c>
      <c r="T370">
        <v>4067</v>
      </c>
      <c r="U370">
        <v>0</v>
      </c>
      <c r="V370">
        <v>4067</v>
      </c>
    </row>
    <row r="371" spans="1:22" x14ac:dyDescent="0.25">
      <c r="A371">
        <v>79452</v>
      </c>
      <c r="B371">
        <v>131822985</v>
      </c>
      <c r="C371" t="s">
        <v>2217</v>
      </c>
      <c r="D371" t="s">
        <v>2218</v>
      </c>
      <c r="E371" t="s">
        <v>846</v>
      </c>
      <c r="F371" t="s">
        <v>847</v>
      </c>
      <c r="G371" t="s">
        <v>142</v>
      </c>
      <c r="H371" t="s">
        <v>143</v>
      </c>
      <c r="I371" t="s">
        <v>35</v>
      </c>
      <c r="J371" t="s">
        <v>144</v>
      </c>
      <c r="K371" t="s">
        <v>169</v>
      </c>
      <c r="L371" t="s">
        <v>267</v>
      </c>
      <c r="M371" t="s">
        <v>2219</v>
      </c>
      <c r="N371" t="s">
        <v>850</v>
      </c>
      <c r="O371" t="s">
        <v>40</v>
      </c>
      <c r="P371" t="s">
        <v>2220</v>
      </c>
      <c r="Q371" t="s">
        <v>112</v>
      </c>
      <c r="R371" t="s">
        <v>282</v>
      </c>
      <c r="S371">
        <v>1</v>
      </c>
      <c r="T371">
        <v>4067</v>
      </c>
      <c r="U371">
        <v>0</v>
      </c>
      <c r="V371">
        <v>4067</v>
      </c>
    </row>
    <row r="372" spans="1:22" x14ac:dyDescent="0.25">
      <c r="A372">
        <v>79452</v>
      </c>
      <c r="B372">
        <v>131773996</v>
      </c>
      <c r="C372" t="s">
        <v>2221</v>
      </c>
      <c r="D372" t="s">
        <v>2222</v>
      </c>
      <c r="E372" t="s">
        <v>846</v>
      </c>
      <c r="F372" t="s">
        <v>847</v>
      </c>
      <c r="G372" t="s">
        <v>142</v>
      </c>
      <c r="H372" t="s">
        <v>143</v>
      </c>
      <c r="I372" t="s">
        <v>35</v>
      </c>
      <c r="J372" t="s">
        <v>144</v>
      </c>
      <c r="K372" t="s">
        <v>2</v>
      </c>
      <c r="L372" t="s">
        <v>2223</v>
      </c>
      <c r="M372" t="s">
        <v>2224</v>
      </c>
      <c r="N372" t="s">
        <v>850</v>
      </c>
      <c r="O372" t="s">
        <v>40</v>
      </c>
      <c r="P372" t="s">
        <v>2225</v>
      </c>
      <c r="Q372" t="s">
        <v>56</v>
      </c>
      <c r="R372" t="s">
        <v>612</v>
      </c>
      <c r="S372">
        <v>1</v>
      </c>
      <c r="T372">
        <v>4067</v>
      </c>
      <c r="U372">
        <v>0</v>
      </c>
      <c r="V372">
        <v>4067</v>
      </c>
    </row>
    <row r="373" spans="1:22" x14ac:dyDescent="0.25">
      <c r="A373">
        <v>79452</v>
      </c>
      <c r="B373">
        <v>131773993</v>
      </c>
      <c r="C373" t="s">
        <v>2226</v>
      </c>
      <c r="D373" t="s">
        <v>2227</v>
      </c>
      <c r="E373" t="s">
        <v>846</v>
      </c>
      <c r="F373" t="s">
        <v>847</v>
      </c>
      <c r="G373" t="s">
        <v>142</v>
      </c>
      <c r="H373" t="s">
        <v>143</v>
      </c>
      <c r="I373" t="s">
        <v>35</v>
      </c>
      <c r="J373" t="s">
        <v>144</v>
      </c>
      <c r="K373" t="s">
        <v>2</v>
      </c>
      <c r="L373" t="s">
        <v>582</v>
      </c>
      <c r="M373" t="s">
        <v>2228</v>
      </c>
      <c r="N373" t="s">
        <v>850</v>
      </c>
      <c r="O373" t="s">
        <v>40</v>
      </c>
      <c r="P373" t="s">
        <v>2229</v>
      </c>
      <c r="Q373" t="s">
        <v>82</v>
      </c>
      <c r="R373" t="s">
        <v>612</v>
      </c>
      <c r="S373">
        <v>1</v>
      </c>
      <c r="T373">
        <v>4067</v>
      </c>
      <c r="U373">
        <v>0</v>
      </c>
      <c r="V373">
        <v>4067</v>
      </c>
    </row>
    <row r="374" spans="1:22" x14ac:dyDescent="0.25">
      <c r="A374">
        <v>79452</v>
      </c>
      <c r="B374">
        <v>131773982</v>
      </c>
      <c r="C374" t="s">
        <v>2230</v>
      </c>
      <c r="D374" t="s">
        <v>2231</v>
      </c>
      <c r="E374" t="s">
        <v>846</v>
      </c>
      <c r="F374" t="s">
        <v>847</v>
      </c>
      <c r="G374" t="s">
        <v>142</v>
      </c>
      <c r="H374" t="s">
        <v>143</v>
      </c>
      <c r="I374" t="s">
        <v>35</v>
      </c>
      <c r="J374" t="s">
        <v>144</v>
      </c>
      <c r="K374" t="s">
        <v>2</v>
      </c>
      <c r="L374" t="s">
        <v>2232</v>
      </c>
      <c r="M374" t="s">
        <v>2233</v>
      </c>
      <c r="N374" t="s">
        <v>850</v>
      </c>
      <c r="O374" t="s">
        <v>40</v>
      </c>
      <c r="P374" t="s">
        <v>2234</v>
      </c>
      <c r="Q374" t="s">
        <v>63</v>
      </c>
      <c r="R374" t="s">
        <v>612</v>
      </c>
      <c r="S374">
        <v>1</v>
      </c>
      <c r="T374">
        <v>4067</v>
      </c>
      <c r="U374">
        <v>0</v>
      </c>
      <c r="V374">
        <v>4067</v>
      </c>
    </row>
    <row r="375" spans="1:22" x14ac:dyDescent="0.25">
      <c r="A375">
        <v>79452</v>
      </c>
      <c r="B375">
        <v>131773997</v>
      </c>
      <c r="C375" t="s">
        <v>2235</v>
      </c>
      <c r="D375" t="s">
        <v>2236</v>
      </c>
      <c r="E375" t="s">
        <v>846</v>
      </c>
      <c r="F375" t="s">
        <v>847</v>
      </c>
      <c r="G375" t="s">
        <v>142</v>
      </c>
      <c r="H375" t="s">
        <v>143</v>
      </c>
      <c r="I375" t="s">
        <v>35</v>
      </c>
      <c r="J375" t="s">
        <v>144</v>
      </c>
      <c r="K375" t="s">
        <v>2</v>
      </c>
      <c r="L375" t="s">
        <v>2237</v>
      </c>
      <c r="M375" t="s">
        <v>414</v>
      </c>
      <c r="N375" t="s">
        <v>850</v>
      </c>
      <c r="O375" t="s">
        <v>40</v>
      </c>
      <c r="P375" t="s">
        <v>2238</v>
      </c>
      <c r="Q375" t="s">
        <v>82</v>
      </c>
      <c r="R375" t="s">
        <v>612</v>
      </c>
      <c r="S375">
        <v>0.26</v>
      </c>
      <c r="T375">
        <v>3680</v>
      </c>
      <c r="U375">
        <v>0</v>
      </c>
      <c r="V375">
        <v>3680</v>
      </c>
    </row>
    <row r="376" spans="1:22" x14ac:dyDescent="0.25">
      <c r="A376">
        <v>79452</v>
      </c>
      <c r="B376">
        <v>131732409</v>
      </c>
      <c r="C376" t="s">
        <v>2239</v>
      </c>
      <c r="D376" t="s">
        <v>2240</v>
      </c>
      <c r="E376" t="s">
        <v>846</v>
      </c>
      <c r="F376" t="s">
        <v>847</v>
      </c>
      <c r="G376" t="s">
        <v>142</v>
      </c>
      <c r="H376" t="s">
        <v>143</v>
      </c>
      <c r="I376" t="s">
        <v>35</v>
      </c>
      <c r="J376" t="s">
        <v>144</v>
      </c>
      <c r="K376" t="s">
        <v>2</v>
      </c>
      <c r="L376" t="s">
        <v>2241</v>
      </c>
      <c r="M376" t="s">
        <v>2242</v>
      </c>
      <c r="N376" t="s">
        <v>850</v>
      </c>
      <c r="O376" t="s">
        <v>40</v>
      </c>
      <c r="P376" t="s">
        <v>2243</v>
      </c>
      <c r="Q376" t="s">
        <v>202</v>
      </c>
      <c r="R376" t="s">
        <v>684</v>
      </c>
      <c r="S376">
        <v>1</v>
      </c>
      <c r="T376">
        <v>4067</v>
      </c>
      <c r="U376">
        <v>0</v>
      </c>
      <c r="V376">
        <v>4067</v>
      </c>
    </row>
    <row r="377" spans="1:22" x14ac:dyDescent="0.25">
      <c r="A377">
        <v>79452</v>
      </c>
      <c r="B377">
        <v>131741853</v>
      </c>
      <c r="C377" t="s">
        <v>2244</v>
      </c>
      <c r="D377" t="s">
        <v>2245</v>
      </c>
      <c r="E377" t="s">
        <v>846</v>
      </c>
      <c r="F377" t="s">
        <v>847</v>
      </c>
      <c r="G377" t="s">
        <v>142</v>
      </c>
      <c r="H377" t="s">
        <v>143</v>
      </c>
      <c r="I377" t="s">
        <v>35</v>
      </c>
      <c r="J377" t="s">
        <v>144</v>
      </c>
      <c r="K377" t="s">
        <v>2</v>
      </c>
      <c r="L377" t="s">
        <v>2246</v>
      </c>
      <c r="M377" t="s">
        <v>2247</v>
      </c>
      <c r="N377" t="s">
        <v>850</v>
      </c>
      <c r="O377" t="s">
        <v>40</v>
      </c>
      <c r="P377" t="s">
        <v>2248</v>
      </c>
      <c r="Q377" t="s">
        <v>116</v>
      </c>
      <c r="R377" t="s">
        <v>365</v>
      </c>
      <c r="S377">
        <v>1</v>
      </c>
      <c r="T377">
        <v>4067</v>
      </c>
      <c r="U377">
        <v>0</v>
      </c>
      <c r="V377">
        <v>4067</v>
      </c>
    </row>
    <row r="378" spans="1:22" x14ac:dyDescent="0.25">
      <c r="A378">
        <v>79452</v>
      </c>
      <c r="B378">
        <v>131741856</v>
      </c>
      <c r="C378" t="s">
        <v>2249</v>
      </c>
      <c r="D378" t="s">
        <v>2250</v>
      </c>
      <c r="E378" t="s">
        <v>846</v>
      </c>
      <c r="F378" t="s">
        <v>847</v>
      </c>
      <c r="G378" t="s">
        <v>142</v>
      </c>
      <c r="H378" t="s">
        <v>143</v>
      </c>
      <c r="I378" t="s">
        <v>35</v>
      </c>
      <c r="J378" t="s">
        <v>144</v>
      </c>
      <c r="K378" t="s">
        <v>2</v>
      </c>
      <c r="L378" t="s">
        <v>829</v>
      </c>
      <c r="M378" t="s">
        <v>2251</v>
      </c>
      <c r="N378" t="s">
        <v>850</v>
      </c>
      <c r="O378" t="s">
        <v>40</v>
      </c>
      <c r="P378" t="s">
        <v>2252</v>
      </c>
      <c r="Q378" t="s">
        <v>82</v>
      </c>
      <c r="R378" t="s">
        <v>365</v>
      </c>
      <c r="S378">
        <v>1</v>
      </c>
      <c r="T378">
        <v>4067</v>
      </c>
      <c r="U378">
        <v>0</v>
      </c>
      <c r="V378">
        <v>4067</v>
      </c>
    </row>
    <row r="379" spans="1:22" x14ac:dyDescent="0.25">
      <c r="A379">
        <v>79452</v>
      </c>
      <c r="B379">
        <v>131732410</v>
      </c>
      <c r="C379" t="s">
        <v>2253</v>
      </c>
      <c r="D379" t="s">
        <v>2254</v>
      </c>
      <c r="E379" t="s">
        <v>846</v>
      </c>
      <c r="F379" t="s">
        <v>847</v>
      </c>
      <c r="G379" t="s">
        <v>142</v>
      </c>
      <c r="H379" t="s">
        <v>143</v>
      </c>
      <c r="I379" t="s">
        <v>35</v>
      </c>
      <c r="J379" t="s">
        <v>144</v>
      </c>
      <c r="K379" t="s">
        <v>2</v>
      </c>
      <c r="L379" t="s">
        <v>2255</v>
      </c>
      <c r="M379" t="s">
        <v>2256</v>
      </c>
      <c r="N379" t="s">
        <v>850</v>
      </c>
      <c r="O379" t="s">
        <v>40</v>
      </c>
      <c r="P379" t="s">
        <v>2257</v>
      </c>
      <c r="Q379" t="s">
        <v>82</v>
      </c>
      <c r="R379" t="s">
        <v>684</v>
      </c>
      <c r="S379">
        <v>1</v>
      </c>
      <c r="T379">
        <v>4067</v>
      </c>
      <c r="U379">
        <v>0</v>
      </c>
      <c r="V379">
        <v>4067</v>
      </c>
    </row>
    <row r="380" spans="1:22" x14ac:dyDescent="0.25">
      <c r="A380">
        <v>79452</v>
      </c>
      <c r="B380">
        <v>131662648</v>
      </c>
      <c r="C380" t="s">
        <v>2258</v>
      </c>
      <c r="D380" t="s">
        <v>2259</v>
      </c>
      <c r="E380" t="s">
        <v>846</v>
      </c>
      <c r="F380" t="s">
        <v>847</v>
      </c>
      <c r="G380" t="s">
        <v>142</v>
      </c>
      <c r="H380" t="s">
        <v>143</v>
      </c>
      <c r="I380" t="s">
        <v>35</v>
      </c>
      <c r="J380" t="s">
        <v>144</v>
      </c>
      <c r="K380" t="s">
        <v>2</v>
      </c>
      <c r="L380" t="s">
        <v>2260</v>
      </c>
      <c r="M380" t="s">
        <v>896</v>
      </c>
      <c r="N380" t="s">
        <v>850</v>
      </c>
      <c r="O380" t="s">
        <v>40</v>
      </c>
      <c r="P380" t="s">
        <v>2261</v>
      </c>
      <c r="Q380" t="s">
        <v>82</v>
      </c>
      <c r="R380" t="s">
        <v>1242</v>
      </c>
      <c r="S380">
        <v>1</v>
      </c>
      <c r="T380">
        <v>4067</v>
      </c>
      <c r="U380">
        <v>0</v>
      </c>
      <c r="V380">
        <v>4067</v>
      </c>
    </row>
    <row r="381" spans="1:22" x14ac:dyDescent="0.25">
      <c r="A381">
        <v>79452</v>
      </c>
      <c r="B381">
        <v>131662640</v>
      </c>
      <c r="C381" t="s">
        <v>2262</v>
      </c>
      <c r="D381" t="s">
        <v>2263</v>
      </c>
      <c r="E381" t="s">
        <v>846</v>
      </c>
      <c r="F381" t="s">
        <v>847</v>
      </c>
      <c r="G381" t="s">
        <v>142</v>
      </c>
      <c r="H381" t="s">
        <v>143</v>
      </c>
      <c r="I381" t="s">
        <v>35</v>
      </c>
      <c r="J381" t="s">
        <v>144</v>
      </c>
      <c r="K381" t="s">
        <v>2</v>
      </c>
      <c r="L381" t="s">
        <v>702</v>
      </c>
      <c r="M381" t="s">
        <v>831</v>
      </c>
      <c r="N381" t="s">
        <v>850</v>
      </c>
      <c r="O381" t="s">
        <v>40</v>
      </c>
      <c r="P381" t="s">
        <v>2264</v>
      </c>
      <c r="Q381" t="s">
        <v>112</v>
      </c>
      <c r="R381" t="s">
        <v>1242</v>
      </c>
      <c r="S381">
        <v>1</v>
      </c>
      <c r="T381">
        <v>4067</v>
      </c>
      <c r="U381">
        <v>0</v>
      </c>
      <c r="V381">
        <v>4067</v>
      </c>
    </row>
    <row r="382" spans="1:22" x14ac:dyDescent="0.25">
      <c r="A382">
        <v>79452</v>
      </c>
      <c r="B382">
        <v>131662637</v>
      </c>
      <c r="C382" t="s">
        <v>2265</v>
      </c>
      <c r="D382" t="s">
        <v>2266</v>
      </c>
      <c r="E382" t="s">
        <v>846</v>
      </c>
      <c r="F382" t="s">
        <v>847</v>
      </c>
      <c r="G382" t="s">
        <v>142</v>
      </c>
      <c r="H382" t="s">
        <v>143</v>
      </c>
      <c r="I382" t="s">
        <v>35</v>
      </c>
      <c r="J382" t="s">
        <v>144</v>
      </c>
      <c r="K382" t="s">
        <v>2</v>
      </c>
      <c r="L382" t="s">
        <v>2267</v>
      </c>
      <c r="M382" t="s">
        <v>2268</v>
      </c>
      <c r="N382" t="s">
        <v>850</v>
      </c>
      <c r="O382" t="s">
        <v>40</v>
      </c>
      <c r="P382" t="s">
        <v>2269</v>
      </c>
      <c r="Q382" t="s">
        <v>63</v>
      </c>
      <c r="R382" t="s">
        <v>1242</v>
      </c>
      <c r="S382">
        <v>1</v>
      </c>
      <c r="T382">
        <v>4067</v>
      </c>
      <c r="U382">
        <v>0</v>
      </c>
      <c r="V382">
        <v>4067</v>
      </c>
    </row>
    <row r="383" spans="1:22" x14ac:dyDescent="0.25">
      <c r="A383">
        <v>79452</v>
      </c>
      <c r="B383">
        <v>131618356</v>
      </c>
      <c r="C383" t="s">
        <v>2270</v>
      </c>
      <c r="D383" t="s">
        <v>2271</v>
      </c>
      <c r="E383" t="s">
        <v>846</v>
      </c>
      <c r="F383" t="s">
        <v>847</v>
      </c>
      <c r="G383" t="s">
        <v>142</v>
      </c>
      <c r="H383" t="s">
        <v>143</v>
      </c>
      <c r="I383" t="s">
        <v>35</v>
      </c>
      <c r="J383" t="s">
        <v>144</v>
      </c>
      <c r="K383" t="s">
        <v>2</v>
      </c>
      <c r="L383" t="s">
        <v>2272</v>
      </c>
      <c r="M383" t="s">
        <v>2273</v>
      </c>
      <c r="N383" t="s">
        <v>850</v>
      </c>
      <c r="O383" t="s">
        <v>40</v>
      </c>
      <c r="P383" t="s">
        <v>2274</v>
      </c>
      <c r="Q383" t="s">
        <v>82</v>
      </c>
      <c r="R383" t="s">
        <v>1277</v>
      </c>
      <c r="S383">
        <v>1</v>
      </c>
      <c r="T383">
        <v>4067</v>
      </c>
      <c r="U383">
        <v>0</v>
      </c>
      <c r="V383">
        <v>4067</v>
      </c>
    </row>
    <row r="384" spans="1:22" x14ac:dyDescent="0.25">
      <c r="A384">
        <v>79452</v>
      </c>
      <c r="B384">
        <v>131618363</v>
      </c>
      <c r="C384" t="s">
        <v>2275</v>
      </c>
      <c r="D384" t="s">
        <v>2276</v>
      </c>
      <c r="E384" t="s">
        <v>846</v>
      </c>
      <c r="F384" t="s">
        <v>847</v>
      </c>
      <c r="G384" t="s">
        <v>142</v>
      </c>
      <c r="H384" t="s">
        <v>143</v>
      </c>
      <c r="I384" t="s">
        <v>35</v>
      </c>
      <c r="J384" t="s">
        <v>144</v>
      </c>
      <c r="K384" t="s">
        <v>2</v>
      </c>
      <c r="L384" t="s">
        <v>2277</v>
      </c>
      <c r="M384" t="s">
        <v>2278</v>
      </c>
      <c r="N384" t="s">
        <v>850</v>
      </c>
      <c r="O384" t="s">
        <v>40</v>
      </c>
      <c r="P384" t="s">
        <v>2279</v>
      </c>
      <c r="Q384" t="s">
        <v>63</v>
      </c>
      <c r="R384" t="s">
        <v>532</v>
      </c>
      <c r="S384">
        <v>1</v>
      </c>
      <c r="T384">
        <v>4067</v>
      </c>
      <c r="U384">
        <v>0</v>
      </c>
      <c r="V384">
        <v>4067</v>
      </c>
    </row>
    <row r="385" spans="1:22" x14ac:dyDescent="0.25">
      <c r="A385">
        <v>79452</v>
      </c>
      <c r="B385">
        <v>131618368</v>
      </c>
      <c r="C385" t="s">
        <v>2280</v>
      </c>
      <c r="D385" t="s">
        <v>2281</v>
      </c>
      <c r="E385" t="s">
        <v>846</v>
      </c>
      <c r="F385" t="s">
        <v>847</v>
      </c>
      <c r="G385" t="s">
        <v>142</v>
      </c>
      <c r="H385" t="s">
        <v>143</v>
      </c>
      <c r="I385" t="s">
        <v>35</v>
      </c>
      <c r="J385" t="s">
        <v>144</v>
      </c>
      <c r="K385" t="s">
        <v>2</v>
      </c>
      <c r="L385" t="s">
        <v>2282</v>
      </c>
      <c r="M385" t="s">
        <v>639</v>
      </c>
      <c r="N385" t="s">
        <v>850</v>
      </c>
      <c r="O385" t="s">
        <v>40</v>
      </c>
      <c r="P385" t="s">
        <v>2283</v>
      </c>
      <c r="Q385" t="s">
        <v>112</v>
      </c>
      <c r="R385" t="s">
        <v>532</v>
      </c>
      <c r="S385">
        <v>1</v>
      </c>
      <c r="T385">
        <v>4067</v>
      </c>
      <c r="U385">
        <v>0</v>
      </c>
      <c r="V385">
        <v>4067</v>
      </c>
    </row>
    <row r="386" spans="1:22" x14ac:dyDescent="0.25">
      <c r="A386">
        <v>79452</v>
      </c>
      <c r="B386">
        <v>131554978</v>
      </c>
      <c r="C386" t="s">
        <v>2284</v>
      </c>
      <c r="D386" t="s">
        <v>2285</v>
      </c>
      <c r="E386" t="s">
        <v>846</v>
      </c>
      <c r="F386" t="s">
        <v>847</v>
      </c>
      <c r="G386" t="s">
        <v>142</v>
      </c>
      <c r="H386" t="s">
        <v>143</v>
      </c>
      <c r="I386" t="s">
        <v>35</v>
      </c>
      <c r="J386" t="s">
        <v>144</v>
      </c>
      <c r="K386" t="s">
        <v>2</v>
      </c>
      <c r="L386" t="s">
        <v>2286</v>
      </c>
      <c r="M386" t="s">
        <v>2287</v>
      </c>
      <c r="N386" t="s">
        <v>850</v>
      </c>
      <c r="O386" t="s">
        <v>40</v>
      </c>
      <c r="P386" t="s">
        <v>2288</v>
      </c>
      <c r="Q386" t="s">
        <v>115</v>
      </c>
      <c r="R386" t="s">
        <v>1307</v>
      </c>
      <c r="S386">
        <v>1</v>
      </c>
      <c r="T386">
        <v>3784</v>
      </c>
      <c r="U386">
        <v>0</v>
      </c>
      <c r="V386">
        <v>3784</v>
      </c>
    </row>
    <row r="387" spans="1:22" x14ac:dyDescent="0.25">
      <c r="A387">
        <v>79452</v>
      </c>
      <c r="B387">
        <v>131529877</v>
      </c>
      <c r="C387" t="s">
        <v>2289</v>
      </c>
      <c r="D387" t="s">
        <v>2290</v>
      </c>
      <c r="E387" t="s">
        <v>846</v>
      </c>
      <c r="F387" t="s">
        <v>847</v>
      </c>
      <c r="G387" t="s">
        <v>142</v>
      </c>
      <c r="H387" t="s">
        <v>143</v>
      </c>
      <c r="I387" t="s">
        <v>35</v>
      </c>
      <c r="J387" t="s">
        <v>144</v>
      </c>
      <c r="K387" t="s">
        <v>2</v>
      </c>
      <c r="L387" t="s">
        <v>2291</v>
      </c>
      <c r="M387" t="s">
        <v>2292</v>
      </c>
      <c r="N387" t="s">
        <v>850</v>
      </c>
      <c r="O387" t="s">
        <v>40</v>
      </c>
      <c r="P387" t="s">
        <v>2293</v>
      </c>
      <c r="Q387" t="s">
        <v>76</v>
      </c>
      <c r="R387" t="s">
        <v>381</v>
      </c>
      <c r="S387">
        <v>1</v>
      </c>
      <c r="T387">
        <v>4067</v>
      </c>
      <c r="U387">
        <v>0</v>
      </c>
      <c r="V387">
        <v>4067</v>
      </c>
    </row>
    <row r="388" spans="1:22" x14ac:dyDescent="0.25">
      <c r="A388">
        <v>79452</v>
      </c>
      <c r="B388">
        <v>131534053</v>
      </c>
      <c r="C388" t="s">
        <v>2294</v>
      </c>
      <c r="D388" t="s">
        <v>2295</v>
      </c>
      <c r="E388" t="s">
        <v>846</v>
      </c>
      <c r="F388" t="s">
        <v>847</v>
      </c>
      <c r="G388" t="s">
        <v>142</v>
      </c>
      <c r="H388" t="s">
        <v>143</v>
      </c>
      <c r="I388" t="s">
        <v>35</v>
      </c>
      <c r="J388" t="s">
        <v>144</v>
      </c>
      <c r="K388" t="s">
        <v>2</v>
      </c>
      <c r="L388" t="s">
        <v>2296</v>
      </c>
      <c r="M388" t="s">
        <v>905</v>
      </c>
      <c r="N388" t="s">
        <v>850</v>
      </c>
      <c r="O388" t="s">
        <v>40</v>
      </c>
      <c r="P388" t="s">
        <v>906</v>
      </c>
      <c r="Q388" t="s">
        <v>112</v>
      </c>
      <c r="R388" t="s">
        <v>431</v>
      </c>
      <c r="S388">
        <v>1</v>
      </c>
      <c r="T388">
        <v>4067</v>
      </c>
      <c r="U388">
        <v>0</v>
      </c>
      <c r="V388">
        <v>4067</v>
      </c>
    </row>
    <row r="389" spans="1:22" x14ac:dyDescent="0.25">
      <c r="A389">
        <v>79452</v>
      </c>
      <c r="B389">
        <v>131534057</v>
      </c>
      <c r="C389" t="s">
        <v>2297</v>
      </c>
      <c r="D389" t="s">
        <v>2298</v>
      </c>
      <c r="E389" t="s">
        <v>846</v>
      </c>
      <c r="F389" t="s">
        <v>847</v>
      </c>
      <c r="G389" t="s">
        <v>142</v>
      </c>
      <c r="H389" t="s">
        <v>143</v>
      </c>
      <c r="I389" t="s">
        <v>35</v>
      </c>
      <c r="J389" t="s">
        <v>144</v>
      </c>
      <c r="K389" t="s">
        <v>169</v>
      </c>
      <c r="L389" t="s">
        <v>267</v>
      </c>
      <c r="M389" t="s">
        <v>2299</v>
      </c>
      <c r="N389" t="s">
        <v>850</v>
      </c>
      <c r="O389" t="s">
        <v>40</v>
      </c>
      <c r="P389" t="s">
        <v>2300</v>
      </c>
      <c r="Q389" t="s">
        <v>82</v>
      </c>
      <c r="R389" t="s">
        <v>431</v>
      </c>
      <c r="S389">
        <v>1</v>
      </c>
      <c r="T389">
        <v>4067</v>
      </c>
      <c r="U389">
        <v>0</v>
      </c>
      <c r="V389">
        <v>4067</v>
      </c>
    </row>
    <row r="390" spans="1:22" x14ac:dyDescent="0.25">
      <c r="A390">
        <v>79452</v>
      </c>
      <c r="B390">
        <v>131529873</v>
      </c>
      <c r="C390" t="s">
        <v>2301</v>
      </c>
      <c r="D390" t="s">
        <v>2302</v>
      </c>
      <c r="E390" t="s">
        <v>846</v>
      </c>
      <c r="F390" t="s">
        <v>847</v>
      </c>
      <c r="G390" t="s">
        <v>142</v>
      </c>
      <c r="H390" t="s">
        <v>143</v>
      </c>
      <c r="I390" t="s">
        <v>35</v>
      </c>
      <c r="J390" t="s">
        <v>144</v>
      </c>
      <c r="K390" t="s">
        <v>2</v>
      </c>
      <c r="L390" t="s">
        <v>2303</v>
      </c>
      <c r="M390" t="s">
        <v>2304</v>
      </c>
      <c r="N390" t="s">
        <v>850</v>
      </c>
      <c r="O390" t="s">
        <v>40</v>
      </c>
      <c r="P390" t="s">
        <v>2305</v>
      </c>
      <c r="Q390" t="s">
        <v>56</v>
      </c>
      <c r="R390" t="s">
        <v>381</v>
      </c>
      <c r="S390">
        <v>1</v>
      </c>
      <c r="T390">
        <v>4067</v>
      </c>
      <c r="U390">
        <v>0</v>
      </c>
      <c r="V390">
        <v>4067</v>
      </c>
    </row>
    <row r="391" spans="1:22" x14ac:dyDescent="0.25">
      <c r="A391">
        <v>79452</v>
      </c>
      <c r="B391">
        <v>131489577</v>
      </c>
      <c r="C391" t="s">
        <v>2306</v>
      </c>
      <c r="D391" t="s">
        <v>2307</v>
      </c>
      <c r="E391" t="s">
        <v>846</v>
      </c>
      <c r="F391" t="s">
        <v>847</v>
      </c>
      <c r="G391" t="s">
        <v>142</v>
      </c>
      <c r="H391" t="s">
        <v>143</v>
      </c>
      <c r="I391" t="s">
        <v>35</v>
      </c>
      <c r="J391" t="s">
        <v>144</v>
      </c>
      <c r="K391" t="s">
        <v>2</v>
      </c>
      <c r="L391" t="s">
        <v>2308</v>
      </c>
      <c r="M391" t="s">
        <v>2309</v>
      </c>
      <c r="N391" t="s">
        <v>850</v>
      </c>
      <c r="O391" t="s">
        <v>40</v>
      </c>
      <c r="P391" t="s">
        <v>2310</v>
      </c>
      <c r="Q391" t="s">
        <v>116</v>
      </c>
      <c r="R391" t="s">
        <v>304</v>
      </c>
      <c r="S391">
        <v>1</v>
      </c>
      <c r="T391">
        <v>4067</v>
      </c>
      <c r="U391">
        <v>0</v>
      </c>
      <c r="V391">
        <v>4067</v>
      </c>
    </row>
    <row r="392" spans="1:22" x14ac:dyDescent="0.25">
      <c r="A392">
        <v>79452</v>
      </c>
      <c r="B392">
        <v>131489596</v>
      </c>
      <c r="C392" t="s">
        <v>2311</v>
      </c>
      <c r="D392" t="s">
        <v>2312</v>
      </c>
      <c r="E392" t="s">
        <v>846</v>
      </c>
      <c r="F392" t="s">
        <v>847</v>
      </c>
      <c r="G392" t="s">
        <v>142</v>
      </c>
      <c r="H392" t="s">
        <v>143</v>
      </c>
      <c r="I392" t="s">
        <v>35</v>
      </c>
      <c r="J392" t="s">
        <v>144</v>
      </c>
      <c r="K392" t="s">
        <v>2</v>
      </c>
      <c r="L392" t="s">
        <v>2313</v>
      </c>
      <c r="M392" t="s">
        <v>414</v>
      </c>
      <c r="N392" t="s">
        <v>850</v>
      </c>
      <c r="O392" t="s">
        <v>40</v>
      </c>
      <c r="P392" t="s">
        <v>2314</v>
      </c>
      <c r="Q392" t="s">
        <v>82</v>
      </c>
      <c r="R392" t="s">
        <v>304</v>
      </c>
      <c r="S392">
        <v>1</v>
      </c>
      <c r="T392">
        <v>4067</v>
      </c>
      <c r="U392">
        <v>0</v>
      </c>
      <c r="V392">
        <v>4067</v>
      </c>
    </row>
    <row r="393" spans="1:22" x14ac:dyDescent="0.25">
      <c r="A393">
        <v>79452</v>
      </c>
      <c r="B393">
        <v>131448315</v>
      </c>
      <c r="C393" t="s">
        <v>2315</v>
      </c>
      <c r="D393" t="s">
        <v>2316</v>
      </c>
      <c r="E393" t="s">
        <v>846</v>
      </c>
      <c r="F393" t="s">
        <v>847</v>
      </c>
      <c r="G393" t="s">
        <v>142</v>
      </c>
      <c r="H393" t="s">
        <v>143</v>
      </c>
      <c r="I393" t="s">
        <v>35</v>
      </c>
      <c r="J393" t="s">
        <v>144</v>
      </c>
      <c r="K393" t="s">
        <v>2</v>
      </c>
      <c r="L393" t="s">
        <v>2317</v>
      </c>
      <c r="M393" t="s">
        <v>2318</v>
      </c>
      <c r="N393" t="s">
        <v>850</v>
      </c>
      <c r="O393" t="s">
        <v>40</v>
      </c>
      <c r="P393" t="s">
        <v>2319</v>
      </c>
      <c r="Q393" t="s">
        <v>56</v>
      </c>
      <c r="R393" t="s">
        <v>619</v>
      </c>
      <c r="S393">
        <v>0.86</v>
      </c>
      <c r="T393">
        <v>4067</v>
      </c>
      <c r="U393">
        <v>0</v>
      </c>
      <c r="V393">
        <v>4067</v>
      </c>
    </row>
    <row r="394" spans="1:22" x14ac:dyDescent="0.25">
      <c r="A394">
        <v>79452</v>
      </c>
      <c r="B394">
        <v>131448330</v>
      </c>
      <c r="C394" t="s">
        <v>2320</v>
      </c>
      <c r="D394" t="s">
        <v>2321</v>
      </c>
      <c r="E394" t="s">
        <v>846</v>
      </c>
      <c r="F394" t="s">
        <v>847</v>
      </c>
      <c r="G394" t="s">
        <v>142</v>
      </c>
      <c r="H394" t="s">
        <v>143</v>
      </c>
      <c r="I394" t="s">
        <v>35</v>
      </c>
      <c r="J394" t="s">
        <v>144</v>
      </c>
      <c r="K394" t="s">
        <v>2</v>
      </c>
      <c r="L394" t="s">
        <v>2322</v>
      </c>
      <c r="M394" t="s">
        <v>2224</v>
      </c>
      <c r="N394" t="s">
        <v>850</v>
      </c>
      <c r="O394" t="s">
        <v>40</v>
      </c>
      <c r="P394" t="s">
        <v>2225</v>
      </c>
      <c r="Q394" t="s">
        <v>56</v>
      </c>
      <c r="R394" t="s">
        <v>707</v>
      </c>
      <c r="S394">
        <v>0.68</v>
      </c>
      <c r="T394">
        <v>4067</v>
      </c>
      <c r="U394">
        <v>0</v>
      </c>
      <c r="V394">
        <v>4067</v>
      </c>
    </row>
    <row r="395" spans="1:22" x14ac:dyDescent="0.25">
      <c r="A395">
        <v>79452</v>
      </c>
      <c r="B395">
        <v>131339913</v>
      </c>
      <c r="C395" t="s">
        <v>2323</v>
      </c>
      <c r="D395" t="s">
        <v>2324</v>
      </c>
      <c r="E395" t="s">
        <v>846</v>
      </c>
      <c r="F395" t="s">
        <v>847</v>
      </c>
      <c r="G395" t="s">
        <v>142</v>
      </c>
      <c r="H395" t="s">
        <v>143</v>
      </c>
      <c r="I395" t="s">
        <v>35</v>
      </c>
      <c r="J395" t="s">
        <v>144</v>
      </c>
      <c r="K395" t="s">
        <v>2</v>
      </c>
      <c r="L395" t="s">
        <v>2325</v>
      </c>
      <c r="M395" t="s">
        <v>180</v>
      </c>
      <c r="N395" t="s">
        <v>850</v>
      </c>
      <c r="O395" t="s">
        <v>40</v>
      </c>
      <c r="P395" t="s">
        <v>2326</v>
      </c>
      <c r="Q395" t="s">
        <v>63</v>
      </c>
      <c r="R395" t="s">
        <v>2096</v>
      </c>
      <c r="S395">
        <v>1</v>
      </c>
      <c r="T395">
        <v>4067</v>
      </c>
      <c r="U395">
        <v>0</v>
      </c>
      <c r="V395">
        <v>4067</v>
      </c>
    </row>
    <row r="396" spans="1:22" x14ac:dyDescent="0.25">
      <c r="A396">
        <v>79452</v>
      </c>
      <c r="B396">
        <v>131383472</v>
      </c>
      <c r="C396" t="s">
        <v>2327</v>
      </c>
      <c r="D396" t="s">
        <v>2328</v>
      </c>
      <c r="E396" t="s">
        <v>846</v>
      </c>
      <c r="F396" t="s">
        <v>847</v>
      </c>
      <c r="G396" t="s">
        <v>142</v>
      </c>
      <c r="H396" t="s">
        <v>143</v>
      </c>
      <c r="I396" t="s">
        <v>35</v>
      </c>
      <c r="J396" t="s">
        <v>144</v>
      </c>
      <c r="K396" t="s">
        <v>2</v>
      </c>
      <c r="L396" t="s">
        <v>2329</v>
      </c>
      <c r="M396" t="s">
        <v>2330</v>
      </c>
      <c r="N396" t="s">
        <v>850</v>
      </c>
      <c r="O396" t="s">
        <v>40</v>
      </c>
      <c r="P396" t="s">
        <v>2331</v>
      </c>
      <c r="Q396" t="s">
        <v>63</v>
      </c>
      <c r="R396" t="s">
        <v>1386</v>
      </c>
      <c r="S396">
        <v>1</v>
      </c>
      <c r="T396">
        <v>4067</v>
      </c>
      <c r="U396">
        <v>0</v>
      </c>
      <c r="V396">
        <v>4067</v>
      </c>
    </row>
    <row r="397" spans="1:22" x14ac:dyDescent="0.25">
      <c r="A397">
        <v>79452</v>
      </c>
      <c r="B397">
        <v>131383454</v>
      </c>
      <c r="C397" t="s">
        <v>2332</v>
      </c>
      <c r="D397" t="s">
        <v>2333</v>
      </c>
      <c r="E397" t="s">
        <v>846</v>
      </c>
      <c r="F397" t="s">
        <v>847</v>
      </c>
      <c r="G397" t="s">
        <v>142</v>
      </c>
      <c r="H397" t="s">
        <v>143</v>
      </c>
      <c r="I397" t="s">
        <v>35</v>
      </c>
      <c r="J397" t="s">
        <v>144</v>
      </c>
      <c r="K397" t="s">
        <v>2</v>
      </c>
      <c r="L397" t="s">
        <v>2334</v>
      </c>
      <c r="M397" t="s">
        <v>2335</v>
      </c>
      <c r="N397" t="s">
        <v>850</v>
      </c>
      <c r="O397" t="s">
        <v>40</v>
      </c>
      <c r="P397" t="s">
        <v>2336</v>
      </c>
      <c r="Q397" t="s">
        <v>231</v>
      </c>
      <c r="R397" t="s">
        <v>1386</v>
      </c>
      <c r="S397">
        <v>1</v>
      </c>
      <c r="T397">
        <v>4067</v>
      </c>
      <c r="U397">
        <v>0</v>
      </c>
      <c r="V397">
        <v>4067</v>
      </c>
    </row>
    <row r="398" spans="1:22" x14ac:dyDescent="0.25">
      <c r="A398">
        <v>79452</v>
      </c>
      <c r="B398">
        <v>131383450</v>
      </c>
      <c r="C398" t="s">
        <v>2337</v>
      </c>
      <c r="D398" t="s">
        <v>2338</v>
      </c>
      <c r="E398" t="s">
        <v>846</v>
      </c>
      <c r="F398" t="s">
        <v>847</v>
      </c>
      <c r="G398" t="s">
        <v>142</v>
      </c>
      <c r="H398" t="s">
        <v>143</v>
      </c>
      <c r="I398" t="s">
        <v>35</v>
      </c>
      <c r="J398" t="s">
        <v>144</v>
      </c>
      <c r="K398" t="s">
        <v>2</v>
      </c>
      <c r="L398" t="s">
        <v>2339</v>
      </c>
      <c r="M398" t="s">
        <v>2340</v>
      </c>
      <c r="N398" t="s">
        <v>850</v>
      </c>
      <c r="O398" t="s">
        <v>40</v>
      </c>
      <c r="P398" t="s">
        <v>2341</v>
      </c>
      <c r="Q398" t="s">
        <v>112</v>
      </c>
      <c r="R398" t="s">
        <v>1386</v>
      </c>
      <c r="S398">
        <v>1</v>
      </c>
      <c r="T398">
        <v>4067</v>
      </c>
      <c r="U398">
        <v>0</v>
      </c>
      <c r="V398">
        <v>4067</v>
      </c>
    </row>
    <row r="399" spans="1:22" x14ac:dyDescent="0.25">
      <c r="A399">
        <v>79452</v>
      </c>
      <c r="B399">
        <v>131339927</v>
      </c>
      <c r="C399" t="s">
        <v>2342</v>
      </c>
      <c r="D399" t="s">
        <v>2343</v>
      </c>
      <c r="E399" t="s">
        <v>846</v>
      </c>
      <c r="F399" t="s">
        <v>847</v>
      </c>
      <c r="G399" t="s">
        <v>142</v>
      </c>
      <c r="H399" t="s">
        <v>143</v>
      </c>
      <c r="I399" t="s">
        <v>35</v>
      </c>
      <c r="J399" t="s">
        <v>144</v>
      </c>
      <c r="K399" t="s">
        <v>2</v>
      </c>
      <c r="L399" t="s">
        <v>2344</v>
      </c>
      <c r="M399" t="s">
        <v>2345</v>
      </c>
      <c r="N399" t="s">
        <v>850</v>
      </c>
      <c r="O399" t="s">
        <v>40</v>
      </c>
      <c r="P399" t="s">
        <v>2346</v>
      </c>
      <c r="Q399" t="s">
        <v>56</v>
      </c>
      <c r="R399" t="s">
        <v>2096</v>
      </c>
      <c r="S399">
        <v>1</v>
      </c>
      <c r="T399">
        <v>4067</v>
      </c>
      <c r="U399">
        <v>0</v>
      </c>
      <c r="V399">
        <v>4067</v>
      </c>
    </row>
    <row r="400" spans="1:22" x14ac:dyDescent="0.25">
      <c r="A400">
        <v>79452</v>
      </c>
      <c r="B400">
        <v>131277250</v>
      </c>
      <c r="C400" t="s">
        <v>2347</v>
      </c>
      <c r="D400" t="s">
        <v>2348</v>
      </c>
      <c r="E400" t="s">
        <v>846</v>
      </c>
      <c r="F400" t="s">
        <v>847</v>
      </c>
      <c r="G400" t="s">
        <v>142</v>
      </c>
      <c r="H400" t="s">
        <v>143</v>
      </c>
      <c r="I400" t="s">
        <v>35</v>
      </c>
      <c r="J400" t="s">
        <v>144</v>
      </c>
      <c r="K400" t="s">
        <v>2</v>
      </c>
      <c r="L400" t="s">
        <v>2349</v>
      </c>
      <c r="M400" t="s">
        <v>2350</v>
      </c>
      <c r="N400" t="s">
        <v>850</v>
      </c>
      <c r="O400" t="s">
        <v>40</v>
      </c>
      <c r="P400" t="s">
        <v>2351</v>
      </c>
      <c r="Q400" t="s">
        <v>151</v>
      </c>
      <c r="R400" t="s">
        <v>605</v>
      </c>
      <c r="S400">
        <v>0.2</v>
      </c>
      <c r="T400">
        <v>5910</v>
      </c>
      <c r="U400">
        <v>0</v>
      </c>
      <c r="V400">
        <v>5910</v>
      </c>
    </row>
    <row r="401" spans="1:22" x14ac:dyDescent="0.25">
      <c r="A401">
        <v>79452</v>
      </c>
      <c r="B401">
        <v>131311829</v>
      </c>
      <c r="C401" t="s">
        <v>2352</v>
      </c>
      <c r="D401" t="s">
        <v>2353</v>
      </c>
      <c r="E401" t="s">
        <v>846</v>
      </c>
      <c r="F401" t="s">
        <v>847</v>
      </c>
      <c r="G401" t="s">
        <v>142</v>
      </c>
      <c r="H401" t="s">
        <v>143</v>
      </c>
      <c r="I401" t="s">
        <v>35</v>
      </c>
      <c r="J401" t="s">
        <v>144</v>
      </c>
      <c r="K401" t="s">
        <v>2</v>
      </c>
      <c r="L401" t="s">
        <v>2354</v>
      </c>
      <c r="M401" t="s">
        <v>2355</v>
      </c>
      <c r="N401" t="s">
        <v>850</v>
      </c>
      <c r="O401" t="s">
        <v>40</v>
      </c>
      <c r="P401" t="s">
        <v>2356</v>
      </c>
      <c r="Q401" t="s">
        <v>82</v>
      </c>
      <c r="R401" t="s">
        <v>376</v>
      </c>
      <c r="S401">
        <v>1</v>
      </c>
      <c r="T401">
        <v>4067</v>
      </c>
      <c r="U401">
        <v>0</v>
      </c>
      <c r="V401">
        <v>4067</v>
      </c>
    </row>
    <row r="402" spans="1:22" x14ac:dyDescent="0.25">
      <c r="A402">
        <v>79452</v>
      </c>
      <c r="B402">
        <v>131311799</v>
      </c>
      <c r="C402" t="s">
        <v>2357</v>
      </c>
      <c r="D402" t="s">
        <v>2358</v>
      </c>
      <c r="E402" t="s">
        <v>846</v>
      </c>
      <c r="F402" t="s">
        <v>847</v>
      </c>
      <c r="G402" t="s">
        <v>142</v>
      </c>
      <c r="H402" t="s">
        <v>143</v>
      </c>
      <c r="I402" t="s">
        <v>35</v>
      </c>
      <c r="J402" t="s">
        <v>144</v>
      </c>
      <c r="K402" t="s">
        <v>2</v>
      </c>
      <c r="L402" t="s">
        <v>829</v>
      </c>
      <c r="M402" t="s">
        <v>2251</v>
      </c>
      <c r="N402" t="s">
        <v>850</v>
      </c>
      <c r="O402" t="s">
        <v>40</v>
      </c>
      <c r="P402" t="s">
        <v>2252</v>
      </c>
      <c r="Q402" t="s">
        <v>82</v>
      </c>
      <c r="R402" t="s">
        <v>811</v>
      </c>
      <c r="S402">
        <v>1</v>
      </c>
      <c r="T402">
        <v>4067</v>
      </c>
      <c r="U402">
        <v>0</v>
      </c>
      <c r="V402">
        <v>4067</v>
      </c>
    </row>
    <row r="403" spans="1:22" x14ac:dyDescent="0.25">
      <c r="A403">
        <v>79452</v>
      </c>
      <c r="B403">
        <v>131268000</v>
      </c>
      <c r="C403" t="s">
        <v>2359</v>
      </c>
      <c r="D403" t="s">
        <v>2360</v>
      </c>
      <c r="E403" t="s">
        <v>846</v>
      </c>
      <c r="F403" t="s">
        <v>847</v>
      </c>
      <c r="G403" t="s">
        <v>142</v>
      </c>
      <c r="H403" t="s">
        <v>143</v>
      </c>
      <c r="I403" t="s">
        <v>35</v>
      </c>
      <c r="J403" t="s">
        <v>144</v>
      </c>
      <c r="K403" t="s">
        <v>2</v>
      </c>
      <c r="L403" t="s">
        <v>2361</v>
      </c>
      <c r="M403" t="s">
        <v>2362</v>
      </c>
      <c r="N403" t="s">
        <v>850</v>
      </c>
      <c r="O403" t="s">
        <v>40</v>
      </c>
      <c r="P403" t="s">
        <v>2363</v>
      </c>
      <c r="Q403" t="s">
        <v>56</v>
      </c>
      <c r="R403" t="s">
        <v>314</v>
      </c>
      <c r="S403">
        <v>0.56999999999999995</v>
      </c>
      <c r="T403">
        <v>5910</v>
      </c>
      <c r="U403">
        <v>0</v>
      </c>
      <c r="V403">
        <v>5910</v>
      </c>
    </row>
    <row r="404" spans="1:22" x14ac:dyDescent="0.25">
      <c r="A404">
        <v>79452</v>
      </c>
      <c r="B404">
        <v>132073929</v>
      </c>
      <c r="C404" t="s">
        <v>2364</v>
      </c>
      <c r="D404" t="s">
        <v>2365</v>
      </c>
      <c r="E404" t="s">
        <v>846</v>
      </c>
      <c r="F404" t="s">
        <v>847</v>
      </c>
      <c r="G404" t="s">
        <v>142</v>
      </c>
      <c r="H404" t="s">
        <v>143</v>
      </c>
      <c r="I404" t="s">
        <v>35</v>
      </c>
      <c r="J404" t="s">
        <v>144</v>
      </c>
      <c r="K404" t="s">
        <v>2</v>
      </c>
      <c r="L404" t="s">
        <v>2366</v>
      </c>
      <c r="M404" t="s">
        <v>2367</v>
      </c>
      <c r="N404" t="s">
        <v>850</v>
      </c>
      <c r="O404" t="s">
        <v>40</v>
      </c>
      <c r="P404" t="s">
        <v>2368</v>
      </c>
      <c r="Q404" t="s">
        <v>89</v>
      </c>
      <c r="R404" t="s">
        <v>862</v>
      </c>
      <c r="S404">
        <v>0.56000000000000005</v>
      </c>
      <c r="T404">
        <v>4173</v>
      </c>
      <c r="U404">
        <v>0</v>
      </c>
      <c r="V404">
        <v>4173</v>
      </c>
    </row>
    <row r="405" spans="1:22" x14ac:dyDescent="0.25">
      <c r="A405">
        <v>79452</v>
      </c>
      <c r="B405">
        <v>131965523</v>
      </c>
      <c r="C405" t="s">
        <v>2369</v>
      </c>
      <c r="D405" t="s">
        <v>2370</v>
      </c>
      <c r="E405" t="s">
        <v>846</v>
      </c>
      <c r="F405" t="s">
        <v>847</v>
      </c>
      <c r="G405" t="s">
        <v>142</v>
      </c>
      <c r="H405" t="s">
        <v>143</v>
      </c>
      <c r="I405" t="s">
        <v>35</v>
      </c>
      <c r="J405" t="s">
        <v>144</v>
      </c>
      <c r="K405" t="s">
        <v>2</v>
      </c>
      <c r="L405" t="s">
        <v>2366</v>
      </c>
      <c r="M405" t="s">
        <v>2371</v>
      </c>
      <c r="N405" t="s">
        <v>850</v>
      </c>
      <c r="O405" t="s">
        <v>40</v>
      </c>
      <c r="P405" t="s">
        <v>2372</v>
      </c>
      <c r="Q405" t="s">
        <v>89</v>
      </c>
      <c r="R405" t="s">
        <v>285</v>
      </c>
      <c r="S405">
        <v>1</v>
      </c>
      <c r="T405">
        <v>4173</v>
      </c>
      <c r="U405">
        <v>0</v>
      </c>
      <c r="V405">
        <v>4173</v>
      </c>
    </row>
    <row r="406" spans="1:22" x14ac:dyDescent="0.25">
      <c r="A406">
        <v>79452</v>
      </c>
      <c r="B406">
        <v>131732413</v>
      </c>
      <c r="C406" t="s">
        <v>2373</v>
      </c>
      <c r="D406" t="s">
        <v>2374</v>
      </c>
      <c r="E406" t="s">
        <v>846</v>
      </c>
      <c r="F406" t="s">
        <v>847</v>
      </c>
      <c r="G406" t="s">
        <v>142</v>
      </c>
      <c r="H406" t="s">
        <v>143</v>
      </c>
      <c r="I406" t="s">
        <v>35</v>
      </c>
      <c r="J406" t="s">
        <v>144</v>
      </c>
      <c r="K406" t="s">
        <v>2</v>
      </c>
      <c r="L406" t="s">
        <v>2375</v>
      </c>
      <c r="M406" t="s">
        <v>2376</v>
      </c>
      <c r="N406" t="s">
        <v>850</v>
      </c>
      <c r="O406" t="s">
        <v>40</v>
      </c>
      <c r="P406" t="s">
        <v>2377</v>
      </c>
      <c r="Q406" t="s">
        <v>89</v>
      </c>
      <c r="R406" t="s">
        <v>708</v>
      </c>
      <c r="S406">
        <v>0.25</v>
      </c>
      <c r="T406">
        <v>4091</v>
      </c>
      <c r="U406">
        <v>0</v>
      </c>
      <c r="V406">
        <v>4091</v>
      </c>
    </row>
    <row r="407" spans="1:22" x14ac:dyDescent="0.25">
      <c r="A407">
        <v>79452</v>
      </c>
      <c r="B407">
        <v>132178886</v>
      </c>
      <c r="C407" t="s">
        <v>2378</v>
      </c>
      <c r="D407" t="s">
        <v>2379</v>
      </c>
      <c r="E407" t="s">
        <v>846</v>
      </c>
      <c r="F407" t="s">
        <v>847</v>
      </c>
      <c r="G407" t="s">
        <v>142</v>
      </c>
      <c r="H407" t="s">
        <v>143</v>
      </c>
      <c r="I407" t="s">
        <v>35</v>
      </c>
      <c r="J407" t="s">
        <v>144</v>
      </c>
      <c r="K407" t="s">
        <v>2</v>
      </c>
      <c r="L407" t="s">
        <v>2380</v>
      </c>
      <c r="M407" t="s">
        <v>2381</v>
      </c>
      <c r="N407" t="s">
        <v>850</v>
      </c>
      <c r="O407" t="s">
        <v>40</v>
      </c>
      <c r="P407" t="s">
        <v>2382</v>
      </c>
      <c r="Q407" t="s">
        <v>74</v>
      </c>
      <c r="R407" t="s">
        <v>551</v>
      </c>
      <c r="S407">
        <v>1</v>
      </c>
      <c r="T407">
        <v>4346</v>
      </c>
      <c r="U407">
        <v>0</v>
      </c>
      <c r="V407">
        <v>4346</v>
      </c>
    </row>
    <row r="408" spans="1:22" x14ac:dyDescent="0.25">
      <c r="A408">
        <v>79452</v>
      </c>
      <c r="B408">
        <v>132109832</v>
      </c>
      <c r="C408" t="s">
        <v>2383</v>
      </c>
      <c r="D408" t="s">
        <v>2384</v>
      </c>
      <c r="E408" t="s">
        <v>846</v>
      </c>
      <c r="F408" t="s">
        <v>847</v>
      </c>
      <c r="G408" t="s">
        <v>142</v>
      </c>
      <c r="H408" t="s">
        <v>143</v>
      </c>
      <c r="I408" t="s">
        <v>35</v>
      </c>
      <c r="J408" t="s">
        <v>144</v>
      </c>
      <c r="K408" t="s">
        <v>2</v>
      </c>
      <c r="L408" t="s">
        <v>2385</v>
      </c>
      <c r="M408" t="s">
        <v>2386</v>
      </c>
      <c r="N408" t="s">
        <v>850</v>
      </c>
      <c r="O408" t="s">
        <v>40</v>
      </c>
      <c r="P408" t="s">
        <v>2387</v>
      </c>
      <c r="Q408" t="s">
        <v>74</v>
      </c>
      <c r="R408" t="s">
        <v>852</v>
      </c>
      <c r="S408">
        <v>0.21</v>
      </c>
      <c r="T408">
        <v>3680</v>
      </c>
      <c r="U408">
        <v>0</v>
      </c>
      <c r="V408">
        <v>3680</v>
      </c>
    </row>
    <row r="409" spans="1:22" x14ac:dyDescent="0.25">
      <c r="A409">
        <v>79452</v>
      </c>
      <c r="B409">
        <v>132021658</v>
      </c>
      <c r="C409" t="s">
        <v>2388</v>
      </c>
      <c r="D409" t="s">
        <v>2389</v>
      </c>
      <c r="E409" t="s">
        <v>846</v>
      </c>
      <c r="F409" t="s">
        <v>847</v>
      </c>
      <c r="G409" t="s">
        <v>142</v>
      </c>
      <c r="H409" t="s">
        <v>143</v>
      </c>
      <c r="I409" t="s">
        <v>35</v>
      </c>
      <c r="J409" t="s">
        <v>144</v>
      </c>
      <c r="K409" t="s">
        <v>2</v>
      </c>
      <c r="L409" t="s">
        <v>2390</v>
      </c>
      <c r="M409" t="s">
        <v>2391</v>
      </c>
      <c r="N409" t="s">
        <v>850</v>
      </c>
      <c r="O409" t="s">
        <v>40</v>
      </c>
      <c r="P409" t="s">
        <v>2392</v>
      </c>
      <c r="Q409" t="s">
        <v>111</v>
      </c>
      <c r="R409" t="s">
        <v>599</v>
      </c>
      <c r="S409">
        <v>7.15</v>
      </c>
      <c r="T409">
        <v>6888</v>
      </c>
      <c r="U409">
        <v>0</v>
      </c>
      <c r="V409">
        <v>6888</v>
      </c>
    </row>
    <row r="410" spans="1:22" x14ac:dyDescent="0.25">
      <c r="A410">
        <v>79452</v>
      </c>
      <c r="B410">
        <v>131989989</v>
      </c>
      <c r="C410" t="s">
        <v>2393</v>
      </c>
      <c r="D410" t="s">
        <v>2394</v>
      </c>
      <c r="E410" t="s">
        <v>846</v>
      </c>
      <c r="F410" t="s">
        <v>847</v>
      </c>
      <c r="G410" t="s">
        <v>142</v>
      </c>
      <c r="H410" t="s">
        <v>143</v>
      </c>
      <c r="I410" t="s">
        <v>35</v>
      </c>
      <c r="J410" t="s">
        <v>144</v>
      </c>
      <c r="K410" t="s">
        <v>2</v>
      </c>
      <c r="L410" t="s">
        <v>2395</v>
      </c>
      <c r="M410" t="s">
        <v>2396</v>
      </c>
      <c r="N410" t="s">
        <v>850</v>
      </c>
      <c r="O410" t="s">
        <v>40</v>
      </c>
      <c r="P410" t="s">
        <v>2397</v>
      </c>
      <c r="Q410" t="s">
        <v>74</v>
      </c>
      <c r="R410" t="s">
        <v>539</v>
      </c>
      <c r="S410">
        <v>1</v>
      </c>
      <c r="T410">
        <v>4346</v>
      </c>
      <c r="U410">
        <v>0</v>
      </c>
      <c r="V410">
        <v>4346</v>
      </c>
    </row>
    <row r="411" spans="1:22" x14ac:dyDescent="0.25">
      <c r="A411">
        <v>79452</v>
      </c>
      <c r="B411">
        <v>131887908</v>
      </c>
      <c r="C411" t="s">
        <v>2398</v>
      </c>
      <c r="D411" t="s">
        <v>2399</v>
      </c>
      <c r="E411" t="s">
        <v>846</v>
      </c>
      <c r="F411" t="s">
        <v>847</v>
      </c>
      <c r="G411" t="s">
        <v>142</v>
      </c>
      <c r="H411" t="s">
        <v>143</v>
      </c>
      <c r="I411" t="s">
        <v>35</v>
      </c>
      <c r="J411" t="s">
        <v>144</v>
      </c>
      <c r="K411" t="s">
        <v>2</v>
      </c>
      <c r="L411" t="s">
        <v>2400</v>
      </c>
      <c r="M411" t="s">
        <v>2401</v>
      </c>
      <c r="N411" t="s">
        <v>850</v>
      </c>
      <c r="O411" t="s">
        <v>40</v>
      </c>
      <c r="P411" t="s">
        <v>2402</v>
      </c>
      <c r="Q411" t="s">
        <v>111</v>
      </c>
      <c r="R411" t="s">
        <v>1118</v>
      </c>
      <c r="S411">
        <v>1</v>
      </c>
      <c r="T411">
        <v>4346</v>
      </c>
      <c r="U411">
        <v>0</v>
      </c>
      <c r="V411">
        <v>4346</v>
      </c>
    </row>
    <row r="412" spans="1:22" x14ac:dyDescent="0.25">
      <c r="A412">
        <v>79452</v>
      </c>
      <c r="B412">
        <v>131855950</v>
      </c>
      <c r="C412" t="s">
        <v>2403</v>
      </c>
      <c r="D412" t="s">
        <v>2404</v>
      </c>
      <c r="E412" t="s">
        <v>846</v>
      </c>
      <c r="F412" t="s">
        <v>847</v>
      </c>
      <c r="G412" t="s">
        <v>142</v>
      </c>
      <c r="H412" t="s">
        <v>143</v>
      </c>
      <c r="I412" t="s">
        <v>35</v>
      </c>
      <c r="J412" t="s">
        <v>144</v>
      </c>
      <c r="K412" t="s">
        <v>2</v>
      </c>
      <c r="L412" t="s">
        <v>2405</v>
      </c>
      <c r="M412" t="s">
        <v>2406</v>
      </c>
      <c r="N412" t="s">
        <v>850</v>
      </c>
      <c r="O412" t="s">
        <v>40</v>
      </c>
      <c r="P412" t="s">
        <v>2407</v>
      </c>
      <c r="Q412" t="s">
        <v>61</v>
      </c>
      <c r="R412" t="s">
        <v>393</v>
      </c>
      <c r="S412">
        <v>1</v>
      </c>
      <c r="T412">
        <v>4346</v>
      </c>
      <c r="U412">
        <v>0</v>
      </c>
      <c r="V412">
        <v>4346</v>
      </c>
    </row>
    <row r="413" spans="1:22" x14ac:dyDescent="0.25">
      <c r="A413">
        <v>79452</v>
      </c>
      <c r="B413">
        <v>131855951</v>
      </c>
      <c r="C413" t="s">
        <v>2408</v>
      </c>
      <c r="D413" t="s">
        <v>2409</v>
      </c>
      <c r="E413" t="s">
        <v>846</v>
      </c>
      <c r="F413" t="s">
        <v>847</v>
      </c>
      <c r="G413" t="s">
        <v>142</v>
      </c>
      <c r="H413" t="s">
        <v>143</v>
      </c>
      <c r="I413" t="s">
        <v>35</v>
      </c>
      <c r="J413" t="s">
        <v>144</v>
      </c>
      <c r="K413" t="s">
        <v>2</v>
      </c>
      <c r="L413" t="s">
        <v>2410</v>
      </c>
      <c r="M413" t="s">
        <v>433</v>
      </c>
      <c r="N413" t="s">
        <v>850</v>
      </c>
      <c r="O413" t="s">
        <v>40</v>
      </c>
      <c r="P413" t="s">
        <v>2411</v>
      </c>
      <c r="Q413" t="s">
        <v>111</v>
      </c>
      <c r="R413" t="s">
        <v>393</v>
      </c>
      <c r="S413">
        <v>1</v>
      </c>
      <c r="T413">
        <v>4346</v>
      </c>
      <c r="U413">
        <v>0</v>
      </c>
      <c r="V413">
        <v>4346</v>
      </c>
    </row>
    <row r="414" spans="1:22" x14ac:dyDescent="0.25">
      <c r="A414">
        <v>79452</v>
      </c>
      <c r="B414">
        <v>131773991</v>
      </c>
      <c r="C414" t="s">
        <v>2412</v>
      </c>
      <c r="D414" t="s">
        <v>2413</v>
      </c>
      <c r="E414" t="s">
        <v>846</v>
      </c>
      <c r="F414" t="s">
        <v>847</v>
      </c>
      <c r="G414" t="s">
        <v>142</v>
      </c>
      <c r="H414" t="s">
        <v>143</v>
      </c>
      <c r="I414" t="s">
        <v>35</v>
      </c>
      <c r="J414" t="s">
        <v>144</v>
      </c>
      <c r="K414" t="s">
        <v>2</v>
      </c>
      <c r="L414" t="s">
        <v>2414</v>
      </c>
      <c r="M414" t="s">
        <v>2415</v>
      </c>
      <c r="N414" t="s">
        <v>850</v>
      </c>
      <c r="O414" t="s">
        <v>40</v>
      </c>
      <c r="P414" t="s">
        <v>2416</v>
      </c>
      <c r="Q414" t="s">
        <v>111</v>
      </c>
      <c r="R414" t="s">
        <v>612</v>
      </c>
      <c r="S414">
        <v>1</v>
      </c>
      <c r="T414">
        <v>4346</v>
      </c>
      <c r="U414">
        <v>0</v>
      </c>
      <c r="V414">
        <v>4346</v>
      </c>
    </row>
    <row r="415" spans="1:22" x14ac:dyDescent="0.25">
      <c r="A415">
        <v>79452</v>
      </c>
      <c r="B415">
        <v>131780083</v>
      </c>
      <c r="C415" t="s">
        <v>2417</v>
      </c>
      <c r="D415" t="s">
        <v>2418</v>
      </c>
      <c r="E415" t="s">
        <v>846</v>
      </c>
      <c r="F415" t="s">
        <v>847</v>
      </c>
      <c r="G415" t="s">
        <v>142</v>
      </c>
      <c r="H415" t="s">
        <v>143</v>
      </c>
      <c r="I415" t="s">
        <v>35</v>
      </c>
      <c r="J415" t="s">
        <v>144</v>
      </c>
      <c r="K415" t="s">
        <v>2</v>
      </c>
      <c r="L415" t="s">
        <v>2419</v>
      </c>
      <c r="M415" t="s">
        <v>2420</v>
      </c>
      <c r="N415" t="s">
        <v>850</v>
      </c>
      <c r="O415" t="s">
        <v>40</v>
      </c>
      <c r="P415" t="s">
        <v>2421</v>
      </c>
      <c r="Q415" t="s">
        <v>74</v>
      </c>
      <c r="R415" t="s">
        <v>641</v>
      </c>
      <c r="S415">
        <v>1</v>
      </c>
      <c r="T415">
        <v>4346</v>
      </c>
      <c r="U415">
        <v>0</v>
      </c>
      <c r="V415">
        <v>4346</v>
      </c>
    </row>
    <row r="416" spans="1:22" x14ac:dyDescent="0.25">
      <c r="A416">
        <v>79452</v>
      </c>
      <c r="B416">
        <v>131662623</v>
      </c>
      <c r="C416" t="s">
        <v>2422</v>
      </c>
      <c r="D416" t="s">
        <v>2423</v>
      </c>
      <c r="E416" t="s">
        <v>846</v>
      </c>
      <c r="F416" t="s">
        <v>847</v>
      </c>
      <c r="G416" t="s">
        <v>142</v>
      </c>
      <c r="H416" t="s">
        <v>143</v>
      </c>
      <c r="I416" t="s">
        <v>35</v>
      </c>
      <c r="J416" t="s">
        <v>144</v>
      </c>
      <c r="K416" t="s">
        <v>2</v>
      </c>
      <c r="L416" t="s">
        <v>2424</v>
      </c>
      <c r="M416" t="s">
        <v>2425</v>
      </c>
      <c r="N416" t="s">
        <v>850</v>
      </c>
      <c r="O416" t="s">
        <v>40</v>
      </c>
      <c r="P416" t="s">
        <v>2426</v>
      </c>
      <c r="Q416" t="s">
        <v>74</v>
      </c>
      <c r="R416" t="s">
        <v>1242</v>
      </c>
      <c r="S416">
        <v>1</v>
      </c>
      <c r="T416">
        <v>4346</v>
      </c>
      <c r="U416">
        <v>0</v>
      </c>
      <c r="V416">
        <v>4346</v>
      </c>
    </row>
    <row r="417" spans="1:22" x14ac:dyDescent="0.25">
      <c r="A417">
        <v>79452</v>
      </c>
      <c r="B417">
        <v>131618354</v>
      </c>
      <c r="C417" t="s">
        <v>2427</v>
      </c>
      <c r="D417" t="s">
        <v>2428</v>
      </c>
      <c r="E417" t="s">
        <v>846</v>
      </c>
      <c r="F417" t="s">
        <v>847</v>
      </c>
      <c r="G417" t="s">
        <v>142</v>
      </c>
      <c r="H417" t="s">
        <v>143</v>
      </c>
      <c r="I417" t="s">
        <v>35</v>
      </c>
      <c r="J417" t="s">
        <v>144</v>
      </c>
      <c r="K417" t="s">
        <v>2</v>
      </c>
      <c r="L417" t="s">
        <v>2429</v>
      </c>
      <c r="M417" t="s">
        <v>2430</v>
      </c>
      <c r="N417" t="s">
        <v>850</v>
      </c>
      <c r="O417" t="s">
        <v>40</v>
      </c>
      <c r="P417" t="s">
        <v>2431</v>
      </c>
      <c r="Q417" t="s">
        <v>74</v>
      </c>
      <c r="R417" t="s">
        <v>1277</v>
      </c>
      <c r="S417">
        <v>1</v>
      </c>
      <c r="T417">
        <v>4346</v>
      </c>
      <c r="U417">
        <v>0</v>
      </c>
      <c r="V417">
        <v>4346</v>
      </c>
    </row>
    <row r="418" spans="1:22" x14ac:dyDescent="0.25">
      <c r="A418">
        <v>79452</v>
      </c>
      <c r="B418">
        <v>131339915</v>
      </c>
      <c r="C418" t="s">
        <v>2432</v>
      </c>
      <c r="D418" t="s">
        <v>2433</v>
      </c>
      <c r="E418" t="s">
        <v>846</v>
      </c>
      <c r="F418" t="s">
        <v>847</v>
      </c>
      <c r="G418" t="s">
        <v>142</v>
      </c>
      <c r="H418" t="s">
        <v>143</v>
      </c>
      <c r="I418" t="s">
        <v>35</v>
      </c>
      <c r="J418" t="s">
        <v>144</v>
      </c>
      <c r="K418" t="s">
        <v>2</v>
      </c>
      <c r="L418" t="s">
        <v>2434</v>
      </c>
      <c r="M418" t="s">
        <v>2435</v>
      </c>
      <c r="N418" t="s">
        <v>850</v>
      </c>
      <c r="O418" t="s">
        <v>40</v>
      </c>
      <c r="P418" t="s">
        <v>2436</v>
      </c>
      <c r="Q418" t="s">
        <v>61</v>
      </c>
      <c r="R418" t="s">
        <v>2096</v>
      </c>
      <c r="S418">
        <v>1</v>
      </c>
      <c r="T418">
        <v>4346</v>
      </c>
      <c r="U418">
        <v>0</v>
      </c>
      <c r="V418">
        <v>4346</v>
      </c>
    </row>
    <row r="419" spans="1:22" x14ac:dyDescent="0.25">
      <c r="A419">
        <v>79452</v>
      </c>
      <c r="B419">
        <v>131448339</v>
      </c>
      <c r="C419" t="s">
        <v>2437</v>
      </c>
      <c r="D419" t="s">
        <v>2438</v>
      </c>
      <c r="E419" t="s">
        <v>846</v>
      </c>
      <c r="F419" t="s">
        <v>847</v>
      </c>
      <c r="G419" t="s">
        <v>142</v>
      </c>
      <c r="H419" t="s">
        <v>143</v>
      </c>
      <c r="I419" t="s">
        <v>35</v>
      </c>
      <c r="J419" t="s">
        <v>144</v>
      </c>
      <c r="K419" t="s">
        <v>2</v>
      </c>
      <c r="L419" t="s">
        <v>2439</v>
      </c>
      <c r="M419" t="s">
        <v>2440</v>
      </c>
      <c r="N419" t="s">
        <v>850</v>
      </c>
      <c r="O419" t="s">
        <v>40</v>
      </c>
      <c r="P419" t="s">
        <v>2441</v>
      </c>
      <c r="Q419" t="s">
        <v>74</v>
      </c>
      <c r="R419" t="s">
        <v>707</v>
      </c>
      <c r="S419">
        <v>0.68</v>
      </c>
      <c r="T419">
        <v>4346</v>
      </c>
      <c r="U419">
        <v>0</v>
      </c>
      <c r="V419">
        <v>4346</v>
      </c>
    </row>
    <row r="420" spans="1:22" x14ac:dyDescent="0.25">
      <c r="A420">
        <v>79452</v>
      </c>
      <c r="B420">
        <v>131383488</v>
      </c>
      <c r="C420" t="s">
        <v>2442</v>
      </c>
      <c r="D420" t="s">
        <v>2443</v>
      </c>
      <c r="E420" t="s">
        <v>846</v>
      </c>
      <c r="F420" t="s">
        <v>847</v>
      </c>
      <c r="G420" t="s">
        <v>142</v>
      </c>
      <c r="H420" t="s">
        <v>143</v>
      </c>
      <c r="I420" t="s">
        <v>35</v>
      </c>
      <c r="J420" t="s">
        <v>144</v>
      </c>
      <c r="K420" t="s">
        <v>2</v>
      </c>
      <c r="L420" t="s">
        <v>2444</v>
      </c>
      <c r="M420" t="s">
        <v>2445</v>
      </c>
      <c r="N420" t="s">
        <v>850</v>
      </c>
      <c r="O420" t="s">
        <v>40</v>
      </c>
      <c r="P420" t="s">
        <v>2446</v>
      </c>
      <c r="Q420" t="s">
        <v>74</v>
      </c>
      <c r="R420" t="s">
        <v>1386</v>
      </c>
      <c r="S420">
        <v>1</v>
      </c>
      <c r="T420">
        <v>4346</v>
      </c>
      <c r="U420">
        <v>0</v>
      </c>
      <c r="V420">
        <v>4346</v>
      </c>
    </row>
    <row r="421" spans="1:22" x14ac:dyDescent="0.25">
      <c r="A421">
        <v>79452</v>
      </c>
      <c r="B421">
        <v>131311830</v>
      </c>
      <c r="C421" t="s">
        <v>2447</v>
      </c>
      <c r="D421" t="s">
        <v>2448</v>
      </c>
      <c r="E421" t="s">
        <v>846</v>
      </c>
      <c r="F421" t="s">
        <v>847</v>
      </c>
      <c r="G421" t="s">
        <v>142</v>
      </c>
      <c r="H421" t="s">
        <v>143</v>
      </c>
      <c r="I421" t="s">
        <v>35</v>
      </c>
      <c r="J421" t="s">
        <v>144</v>
      </c>
      <c r="K421" t="s">
        <v>2</v>
      </c>
      <c r="L421" t="s">
        <v>2449</v>
      </c>
      <c r="M421" t="s">
        <v>2450</v>
      </c>
      <c r="N421" t="s">
        <v>850</v>
      </c>
      <c r="O421" t="s">
        <v>40</v>
      </c>
      <c r="P421" t="s">
        <v>2451</v>
      </c>
      <c r="Q421" t="s">
        <v>111</v>
      </c>
      <c r="R421" t="s">
        <v>376</v>
      </c>
      <c r="S421">
        <v>1</v>
      </c>
      <c r="T421">
        <v>4346</v>
      </c>
      <c r="U421">
        <v>0</v>
      </c>
      <c r="V421">
        <v>4346</v>
      </c>
    </row>
    <row r="422" spans="1:22" x14ac:dyDescent="0.25">
      <c r="A422">
        <v>79452</v>
      </c>
      <c r="B422">
        <v>131311795</v>
      </c>
      <c r="C422" t="s">
        <v>2452</v>
      </c>
      <c r="D422" t="s">
        <v>2453</v>
      </c>
      <c r="E422" t="s">
        <v>846</v>
      </c>
      <c r="F422" t="s">
        <v>847</v>
      </c>
      <c r="G422" t="s">
        <v>142</v>
      </c>
      <c r="H422" t="s">
        <v>143</v>
      </c>
      <c r="I422" t="s">
        <v>35</v>
      </c>
      <c r="J422" t="s">
        <v>144</v>
      </c>
      <c r="K422" t="s">
        <v>2</v>
      </c>
      <c r="L422" t="s">
        <v>2454</v>
      </c>
      <c r="M422" t="s">
        <v>575</v>
      </c>
      <c r="N422" t="s">
        <v>850</v>
      </c>
      <c r="O422" t="s">
        <v>40</v>
      </c>
      <c r="P422" t="s">
        <v>2455</v>
      </c>
      <c r="Q422" t="s">
        <v>113</v>
      </c>
      <c r="R422" t="s">
        <v>811</v>
      </c>
      <c r="S422">
        <v>1</v>
      </c>
      <c r="T422">
        <v>4346</v>
      </c>
      <c r="U422">
        <v>0</v>
      </c>
      <c r="V422">
        <v>4346</v>
      </c>
    </row>
    <row r="423" spans="1:22" x14ac:dyDescent="0.25">
      <c r="A423">
        <v>79452</v>
      </c>
      <c r="B423">
        <v>131311810</v>
      </c>
      <c r="C423" t="s">
        <v>2456</v>
      </c>
      <c r="D423" t="s">
        <v>2457</v>
      </c>
      <c r="E423" t="s">
        <v>846</v>
      </c>
      <c r="F423" t="s">
        <v>847</v>
      </c>
      <c r="G423" t="s">
        <v>142</v>
      </c>
      <c r="H423" t="s">
        <v>143</v>
      </c>
      <c r="I423" t="s">
        <v>35</v>
      </c>
      <c r="J423" t="s">
        <v>144</v>
      </c>
      <c r="K423" t="s">
        <v>2</v>
      </c>
      <c r="L423" t="s">
        <v>2458</v>
      </c>
      <c r="M423" t="s">
        <v>2459</v>
      </c>
      <c r="N423" t="s">
        <v>850</v>
      </c>
      <c r="O423" t="s">
        <v>40</v>
      </c>
      <c r="P423" t="s">
        <v>2460</v>
      </c>
      <c r="Q423" t="s">
        <v>77</v>
      </c>
      <c r="R423" t="s">
        <v>811</v>
      </c>
      <c r="S423">
        <v>1</v>
      </c>
      <c r="T423">
        <v>4352</v>
      </c>
      <c r="U423">
        <v>0</v>
      </c>
      <c r="V423">
        <v>4352</v>
      </c>
    </row>
    <row r="424" spans="1:22" x14ac:dyDescent="0.25">
      <c r="A424">
        <v>79452</v>
      </c>
      <c r="B424">
        <v>132178871</v>
      </c>
      <c r="C424" t="s">
        <v>2461</v>
      </c>
      <c r="D424" t="s">
        <v>2462</v>
      </c>
      <c r="E424" t="s">
        <v>846</v>
      </c>
      <c r="F424" t="s">
        <v>847</v>
      </c>
      <c r="G424" t="s">
        <v>142</v>
      </c>
      <c r="H424" t="s">
        <v>143</v>
      </c>
      <c r="I424" t="s">
        <v>35</v>
      </c>
      <c r="J424" t="s">
        <v>144</v>
      </c>
      <c r="K424" t="s">
        <v>2</v>
      </c>
      <c r="L424" t="s">
        <v>2463</v>
      </c>
      <c r="M424" t="s">
        <v>2464</v>
      </c>
      <c r="N424" t="s">
        <v>850</v>
      </c>
      <c r="O424" t="s">
        <v>40</v>
      </c>
      <c r="P424" t="s">
        <v>2465</v>
      </c>
      <c r="Q424" t="s">
        <v>229</v>
      </c>
      <c r="R424" t="s">
        <v>551</v>
      </c>
      <c r="S424">
        <v>1</v>
      </c>
      <c r="T424">
        <v>4542</v>
      </c>
      <c r="U424">
        <v>0</v>
      </c>
      <c r="V424">
        <v>4542</v>
      </c>
    </row>
    <row r="425" spans="1:22" x14ac:dyDescent="0.25">
      <c r="A425">
        <v>79452</v>
      </c>
      <c r="B425">
        <v>131554969</v>
      </c>
      <c r="C425" t="s">
        <v>2466</v>
      </c>
      <c r="D425" t="s">
        <v>2467</v>
      </c>
      <c r="E425" t="s">
        <v>846</v>
      </c>
      <c r="F425" t="s">
        <v>847</v>
      </c>
      <c r="G425" t="s">
        <v>142</v>
      </c>
      <c r="H425" t="s">
        <v>143</v>
      </c>
      <c r="I425" t="s">
        <v>35</v>
      </c>
      <c r="J425" t="s">
        <v>144</v>
      </c>
      <c r="K425" t="s">
        <v>2</v>
      </c>
      <c r="L425" t="s">
        <v>2468</v>
      </c>
      <c r="M425" t="s">
        <v>2469</v>
      </c>
      <c r="N425" t="s">
        <v>850</v>
      </c>
      <c r="O425" t="s">
        <v>40</v>
      </c>
      <c r="P425" t="s">
        <v>2470</v>
      </c>
      <c r="Q425" t="s">
        <v>272</v>
      </c>
      <c r="R425" t="s">
        <v>1307</v>
      </c>
      <c r="S425">
        <v>1</v>
      </c>
      <c r="T425">
        <v>4730</v>
      </c>
      <c r="U425">
        <v>0</v>
      </c>
      <c r="V425">
        <v>4730</v>
      </c>
    </row>
    <row r="426" spans="1:22" x14ac:dyDescent="0.25">
      <c r="A426">
        <v>79452</v>
      </c>
      <c r="B426">
        <v>132150925</v>
      </c>
      <c r="C426" t="s">
        <v>2471</v>
      </c>
      <c r="D426" t="s">
        <v>2472</v>
      </c>
      <c r="E426" t="s">
        <v>846</v>
      </c>
      <c r="F426" t="s">
        <v>847</v>
      </c>
      <c r="G426" t="s">
        <v>142</v>
      </c>
      <c r="H426" t="s">
        <v>143</v>
      </c>
      <c r="I426" t="s">
        <v>35</v>
      </c>
      <c r="J426" t="s">
        <v>144</v>
      </c>
      <c r="K426" t="s">
        <v>2</v>
      </c>
      <c r="L426" t="s">
        <v>2473</v>
      </c>
      <c r="M426" t="s">
        <v>2474</v>
      </c>
      <c r="N426" t="s">
        <v>850</v>
      </c>
      <c r="O426" t="s">
        <v>40</v>
      </c>
      <c r="P426" t="s">
        <v>2475</v>
      </c>
      <c r="Q426" t="s">
        <v>107</v>
      </c>
      <c r="R426" t="s">
        <v>739</v>
      </c>
      <c r="S426">
        <v>1.1499999999999999</v>
      </c>
      <c r="T426">
        <v>5198</v>
      </c>
      <c r="U426">
        <v>0</v>
      </c>
      <c r="V426">
        <v>5198</v>
      </c>
    </row>
    <row r="427" spans="1:22" x14ac:dyDescent="0.25">
      <c r="A427">
        <v>79452</v>
      </c>
      <c r="B427">
        <v>132150941</v>
      </c>
      <c r="C427" t="s">
        <v>2476</v>
      </c>
      <c r="D427" t="s">
        <v>2477</v>
      </c>
      <c r="E427" t="s">
        <v>846</v>
      </c>
      <c r="F427" t="s">
        <v>847</v>
      </c>
      <c r="G427" t="s">
        <v>142</v>
      </c>
      <c r="H427" t="s">
        <v>143</v>
      </c>
      <c r="I427" t="s">
        <v>35</v>
      </c>
      <c r="J427" t="s">
        <v>144</v>
      </c>
      <c r="K427" t="s">
        <v>2</v>
      </c>
      <c r="L427" t="s">
        <v>2478</v>
      </c>
      <c r="M427" t="s">
        <v>2479</v>
      </c>
      <c r="N427" t="s">
        <v>850</v>
      </c>
      <c r="O427" t="s">
        <v>40</v>
      </c>
      <c r="P427" t="s">
        <v>2480</v>
      </c>
      <c r="Q427" t="s">
        <v>107</v>
      </c>
      <c r="R427" t="s">
        <v>739</v>
      </c>
      <c r="S427">
        <v>0.45</v>
      </c>
      <c r="T427">
        <v>4067</v>
      </c>
      <c r="U427">
        <v>0</v>
      </c>
      <c r="V427">
        <v>4067</v>
      </c>
    </row>
    <row r="428" spans="1:22" x14ac:dyDescent="0.25">
      <c r="A428">
        <v>79452</v>
      </c>
      <c r="B428">
        <v>132089203</v>
      </c>
      <c r="C428" t="s">
        <v>2481</v>
      </c>
      <c r="D428" t="s">
        <v>2482</v>
      </c>
      <c r="E428" t="s">
        <v>846</v>
      </c>
      <c r="F428" t="s">
        <v>847</v>
      </c>
      <c r="G428" t="s">
        <v>142</v>
      </c>
      <c r="H428" t="s">
        <v>143</v>
      </c>
      <c r="I428" t="s">
        <v>35</v>
      </c>
      <c r="J428" t="s">
        <v>144</v>
      </c>
      <c r="K428" t="s">
        <v>2</v>
      </c>
      <c r="L428" t="s">
        <v>2483</v>
      </c>
      <c r="M428" t="s">
        <v>2484</v>
      </c>
      <c r="N428" t="s">
        <v>850</v>
      </c>
      <c r="O428" t="s">
        <v>40</v>
      </c>
      <c r="P428" t="s">
        <v>2485</v>
      </c>
      <c r="Q428" t="s">
        <v>107</v>
      </c>
      <c r="R428" t="s">
        <v>452</v>
      </c>
      <c r="S428">
        <v>1</v>
      </c>
      <c r="T428">
        <v>5198</v>
      </c>
      <c r="U428">
        <v>0</v>
      </c>
      <c r="V428">
        <v>5198</v>
      </c>
    </row>
    <row r="429" spans="1:22" x14ac:dyDescent="0.25">
      <c r="A429">
        <v>79452</v>
      </c>
      <c r="B429">
        <v>132048408</v>
      </c>
      <c r="C429" t="s">
        <v>2486</v>
      </c>
      <c r="D429" t="s">
        <v>2487</v>
      </c>
      <c r="E429" t="s">
        <v>846</v>
      </c>
      <c r="F429" t="s">
        <v>847</v>
      </c>
      <c r="G429" t="s">
        <v>142</v>
      </c>
      <c r="H429" t="s">
        <v>143</v>
      </c>
      <c r="I429" t="s">
        <v>35</v>
      </c>
      <c r="J429" t="s">
        <v>144</v>
      </c>
      <c r="K429" t="s">
        <v>2</v>
      </c>
      <c r="L429" t="s">
        <v>2488</v>
      </c>
      <c r="M429" t="s">
        <v>2489</v>
      </c>
      <c r="N429" t="s">
        <v>850</v>
      </c>
      <c r="O429" t="s">
        <v>40</v>
      </c>
      <c r="P429" t="s">
        <v>2490</v>
      </c>
      <c r="Q429" t="s">
        <v>107</v>
      </c>
      <c r="R429" t="s">
        <v>430</v>
      </c>
      <c r="S429">
        <v>0.52</v>
      </c>
      <c r="T429">
        <v>5198</v>
      </c>
      <c r="U429">
        <v>0</v>
      </c>
      <c r="V429">
        <v>5198</v>
      </c>
    </row>
    <row r="430" spans="1:22" x14ac:dyDescent="0.25">
      <c r="A430">
        <v>79452</v>
      </c>
      <c r="B430">
        <v>132117030</v>
      </c>
      <c r="C430" t="s">
        <v>2491</v>
      </c>
      <c r="D430" t="s">
        <v>2492</v>
      </c>
      <c r="E430" t="s">
        <v>846</v>
      </c>
      <c r="F430" t="s">
        <v>847</v>
      </c>
      <c r="G430" t="s">
        <v>142</v>
      </c>
      <c r="H430" t="s">
        <v>143</v>
      </c>
      <c r="I430" t="s">
        <v>35</v>
      </c>
      <c r="J430" t="s">
        <v>144</v>
      </c>
      <c r="K430" t="s">
        <v>2</v>
      </c>
      <c r="L430" t="s">
        <v>2493</v>
      </c>
      <c r="M430" t="s">
        <v>404</v>
      </c>
      <c r="N430" t="s">
        <v>850</v>
      </c>
      <c r="O430" t="s">
        <v>40</v>
      </c>
      <c r="P430" t="s">
        <v>2494</v>
      </c>
      <c r="Q430" t="s">
        <v>107</v>
      </c>
      <c r="R430" t="s">
        <v>738</v>
      </c>
      <c r="S430">
        <v>0.61</v>
      </c>
      <c r="T430">
        <v>5198</v>
      </c>
      <c r="U430">
        <v>0</v>
      </c>
      <c r="V430">
        <v>5198</v>
      </c>
    </row>
    <row r="431" spans="1:22" x14ac:dyDescent="0.25">
      <c r="A431">
        <v>79452</v>
      </c>
      <c r="B431">
        <v>132048413</v>
      </c>
      <c r="C431" t="s">
        <v>2495</v>
      </c>
      <c r="D431" t="s">
        <v>2496</v>
      </c>
      <c r="E431" t="s">
        <v>846</v>
      </c>
      <c r="F431" t="s">
        <v>847</v>
      </c>
      <c r="G431" t="s">
        <v>142</v>
      </c>
      <c r="H431" t="s">
        <v>143</v>
      </c>
      <c r="I431" t="s">
        <v>35</v>
      </c>
      <c r="J431" t="s">
        <v>144</v>
      </c>
      <c r="K431" t="s">
        <v>2</v>
      </c>
      <c r="L431" t="s">
        <v>2497</v>
      </c>
      <c r="M431" t="s">
        <v>2498</v>
      </c>
      <c r="N431" t="s">
        <v>850</v>
      </c>
      <c r="O431" t="s">
        <v>40</v>
      </c>
      <c r="P431" t="s">
        <v>2499</v>
      </c>
      <c r="Q431" t="s">
        <v>107</v>
      </c>
      <c r="R431" t="s">
        <v>430</v>
      </c>
      <c r="S431">
        <v>0.21</v>
      </c>
      <c r="T431">
        <v>4067</v>
      </c>
      <c r="U431">
        <v>0</v>
      </c>
      <c r="V431">
        <v>4067</v>
      </c>
    </row>
    <row r="432" spans="1:22" x14ac:dyDescent="0.25">
      <c r="A432">
        <v>79452</v>
      </c>
      <c r="B432">
        <v>132109831</v>
      </c>
      <c r="C432" t="s">
        <v>2500</v>
      </c>
      <c r="D432" t="s">
        <v>2501</v>
      </c>
      <c r="E432" t="s">
        <v>846</v>
      </c>
      <c r="F432" t="s">
        <v>847</v>
      </c>
      <c r="G432" t="s">
        <v>142</v>
      </c>
      <c r="H432" t="s">
        <v>143</v>
      </c>
      <c r="I432" t="s">
        <v>35</v>
      </c>
      <c r="J432" t="s">
        <v>144</v>
      </c>
      <c r="K432" t="s">
        <v>2</v>
      </c>
      <c r="L432" t="s">
        <v>2502</v>
      </c>
      <c r="M432" t="s">
        <v>2503</v>
      </c>
      <c r="N432" t="s">
        <v>850</v>
      </c>
      <c r="O432" t="s">
        <v>40</v>
      </c>
      <c r="P432" t="s">
        <v>2504</v>
      </c>
      <c r="Q432" t="s">
        <v>107</v>
      </c>
      <c r="R432" t="s">
        <v>852</v>
      </c>
      <c r="S432">
        <v>0.2</v>
      </c>
      <c r="T432">
        <v>4067</v>
      </c>
      <c r="U432">
        <v>0</v>
      </c>
      <c r="V432">
        <v>4067</v>
      </c>
    </row>
    <row r="433" spans="1:22" x14ac:dyDescent="0.25">
      <c r="A433">
        <v>79452</v>
      </c>
      <c r="B433">
        <v>132021607</v>
      </c>
      <c r="C433" t="s">
        <v>2505</v>
      </c>
      <c r="D433" t="s">
        <v>2506</v>
      </c>
      <c r="E433" t="s">
        <v>846</v>
      </c>
      <c r="F433" t="s">
        <v>847</v>
      </c>
      <c r="G433" t="s">
        <v>142</v>
      </c>
      <c r="H433" t="s">
        <v>143</v>
      </c>
      <c r="I433" t="s">
        <v>35</v>
      </c>
      <c r="J433" t="s">
        <v>144</v>
      </c>
      <c r="K433" t="s">
        <v>2</v>
      </c>
      <c r="L433" t="s">
        <v>2507</v>
      </c>
      <c r="M433" t="s">
        <v>2508</v>
      </c>
      <c r="N433" t="s">
        <v>850</v>
      </c>
      <c r="O433" t="s">
        <v>40</v>
      </c>
      <c r="P433" t="s">
        <v>2509</v>
      </c>
      <c r="Q433" t="s">
        <v>107</v>
      </c>
      <c r="R433" t="s">
        <v>599</v>
      </c>
      <c r="S433">
        <v>0.65</v>
      </c>
      <c r="T433">
        <v>5198</v>
      </c>
      <c r="U433">
        <v>0</v>
      </c>
      <c r="V433">
        <v>5198</v>
      </c>
    </row>
    <row r="434" spans="1:22" x14ac:dyDescent="0.25">
      <c r="A434">
        <v>79452</v>
      </c>
      <c r="B434">
        <v>131989990</v>
      </c>
      <c r="C434" t="s">
        <v>2510</v>
      </c>
      <c r="D434" t="s">
        <v>2511</v>
      </c>
      <c r="E434" t="s">
        <v>846</v>
      </c>
      <c r="F434" t="s">
        <v>847</v>
      </c>
      <c r="G434" t="s">
        <v>142</v>
      </c>
      <c r="H434" t="s">
        <v>143</v>
      </c>
      <c r="I434" t="s">
        <v>35</v>
      </c>
      <c r="J434" t="s">
        <v>144</v>
      </c>
      <c r="K434" t="s">
        <v>2</v>
      </c>
      <c r="L434" t="s">
        <v>2512</v>
      </c>
      <c r="M434" t="s">
        <v>2513</v>
      </c>
      <c r="N434" t="s">
        <v>850</v>
      </c>
      <c r="O434" t="s">
        <v>40</v>
      </c>
      <c r="P434" t="s">
        <v>2514</v>
      </c>
      <c r="Q434" t="s">
        <v>107</v>
      </c>
      <c r="R434" t="s">
        <v>539</v>
      </c>
      <c r="S434">
        <v>0.54</v>
      </c>
      <c r="T434">
        <v>5198</v>
      </c>
      <c r="U434">
        <v>0</v>
      </c>
      <c r="V434">
        <v>5198</v>
      </c>
    </row>
    <row r="435" spans="1:22" x14ac:dyDescent="0.25">
      <c r="A435">
        <v>79452</v>
      </c>
      <c r="B435">
        <v>131965522</v>
      </c>
      <c r="C435" t="s">
        <v>2515</v>
      </c>
      <c r="D435" t="s">
        <v>2516</v>
      </c>
      <c r="E435" t="s">
        <v>846</v>
      </c>
      <c r="F435" t="s">
        <v>847</v>
      </c>
      <c r="G435" t="s">
        <v>142</v>
      </c>
      <c r="H435" t="s">
        <v>143</v>
      </c>
      <c r="I435" t="s">
        <v>35</v>
      </c>
      <c r="J435" t="s">
        <v>144</v>
      </c>
      <c r="K435" t="s">
        <v>2</v>
      </c>
      <c r="L435" t="s">
        <v>2517</v>
      </c>
      <c r="M435" t="s">
        <v>2518</v>
      </c>
      <c r="N435" t="s">
        <v>850</v>
      </c>
      <c r="O435" t="s">
        <v>40</v>
      </c>
      <c r="P435" t="s">
        <v>2519</v>
      </c>
      <c r="Q435" t="s">
        <v>107</v>
      </c>
      <c r="R435" t="s">
        <v>285</v>
      </c>
      <c r="S435">
        <v>1</v>
      </c>
      <c r="T435">
        <v>5198</v>
      </c>
      <c r="U435">
        <v>0</v>
      </c>
      <c r="V435">
        <v>5198</v>
      </c>
    </row>
    <row r="436" spans="1:22" x14ac:dyDescent="0.25">
      <c r="A436">
        <v>79452</v>
      </c>
      <c r="B436">
        <v>131952779</v>
      </c>
      <c r="C436" t="s">
        <v>2520</v>
      </c>
      <c r="D436" t="s">
        <v>2521</v>
      </c>
      <c r="E436" t="s">
        <v>846</v>
      </c>
      <c r="F436" t="s">
        <v>847</v>
      </c>
      <c r="G436" t="s">
        <v>142</v>
      </c>
      <c r="H436" t="s">
        <v>143</v>
      </c>
      <c r="I436" t="s">
        <v>35</v>
      </c>
      <c r="J436" t="s">
        <v>144</v>
      </c>
      <c r="K436" t="s">
        <v>2</v>
      </c>
      <c r="L436" t="s">
        <v>2522</v>
      </c>
      <c r="M436" t="s">
        <v>2523</v>
      </c>
      <c r="N436" t="s">
        <v>850</v>
      </c>
      <c r="O436" t="s">
        <v>40</v>
      </c>
      <c r="P436" t="s">
        <v>2524</v>
      </c>
      <c r="Q436" t="s">
        <v>107</v>
      </c>
      <c r="R436" t="s">
        <v>2525</v>
      </c>
      <c r="S436">
        <v>1</v>
      </c>
      <c r="T436">
        <v>5198</v>
      </c>
      <c r="U436">
        <v>0</v>
      </c>
      <c r="V436">
        <v>5198</v>
      </c>
    </row>
    <row r="437" spans="1:22" x14ac:dyDescent="0.25">
      <c r="A437">
        <v>79452</v>
      </c>
      <c r="B437">
        <v>131965534</v>
      </c>
      <c r="C437" t="s">
        <v>2526</v>
      </c>
      <c r="D437" t="s">
        <v>2527</v>
      </c>
      <c r="E437" t="s">
        <v>846</v>
      </c>
      <c r="F437" t="s">
        <v>847</v>
      </c>
      <c r="G437" t="s">
        <v>142</v>
      </c>
      <c r="H437" t="s">
        <v>143</v>
      </c>
      <c r="I437" t="s">
        <v>35</v>
      </c>
      <c r="J437" t="s">
        <v>144</v>
      </c>
      <c r="K437" t="s">
        <v>2</v>
      </c>
      <c r="L437" t="s">
        <v>2528</v>
      </c>
      <c r="M437" t="s">
        <v>2529</v>
      </c>
      <c r="N437" t="s">
        <v>850</v>
      </c>
      <c r="O437" t="s">
        <v>40</v>
      </c>
      <c r="P437" t="s">
        <v>2530</v>
      </c>
      <c r="Q437" t="s">
        <v>107</v>
      </c>
      <c r="R437" t="s">
        <v>285</v>
      </c>
      <c r="S437">
        <v>1</v>
      </c>
      <c r="T437">
        <v>5198</v>
      </c>
      <c r="U437">
        <v>0</v>
      </c>
      <c r="V437">
        <v>5198</v>
      </c>
    </row>
    <row r="438" spans="1:22" x14ac:dyDescent="0.25">
      <c r="A438">
        <v>79452</v>
      </c>
      <c r="B438">
        <v>131922188</v>
      </c>
      <c r="C438" t="s">
        <v>2531</v>
      </c>
      <c r="D438" t="s">
        <v>2532</v>
      </c>
      <c r="E438" t="s">
        <v>846</v>
      </c>
      <c r="F438" t="s">
        <v>847</v>
      </c>
      <c r="G438" t="s">
        <v>142</v>
      </c>
      <c r="H438" t="s">
        <v>143</v>
      </c>
      <c r="I438" t="s">
        <v>35</v>
      </c>
      <c r="J438" t="s">
        <v>144</v>
      </c>
      <c r="K438" t="s">
        <v>2</v>
      </c>
      <c r="L438" t="s">
        <v>2533</v>
      </c>
      <c r="M438" t="s">
        <v>2534</v>
      </c>
      <c r="N438" t="s">
        <v>850</v>
      </c>
      <c r="O438" t="s">
        <v>40</v>
      </c>
      <c r="P438" t="s">
        <v>2535</v>
      </c>
      <c r="Q438" t="s">
        <v>107</v>
      </c>
      <c r="R438" t="s">
        <v>887</v>
      </c>
      <c r="S438">
        <v>1</v>
      </c>
      <c r="T438">
        <v>5198</v>
      </c>
      <c r="U438">
        <v>0</v>
      </c>
      <c r="V438">
        <v>5198</v>
      </c>
    </row>
    <row r="439" spans="1:22" x14ac:dyDescent="0.25">
      <c r="A439">
        <v>79452</v>
      </c>
      <c r="B439">
        <v>131822995</v>
      </c>
      <c r="C439" t="s">
        <v>2536</v>
      </c>
      <c r="D439" t="s">
        <v>2537</v>
      </c>
      <c r="E439" t="s">
        <v>846</v>
      </c>
      <c r="F439" t="s">
        <v>847</v>
      </c>
      <c r="G439" t="s">
        <v>142</v>
      </c>
      <c r="H439" t="s">
        <v>143</v>
      </c>
      <c r="I439" t="s">
        <v>35</v>
      </c>
      <c r="J439" t="s">
        <v>144</v>
      </c>
      <c r="K439" t="s">
        <v>2</v>
      </c>
      <c r="L439" t="s">
        <v>2538</v>
      </c>
      <c r="M439" t="s">
        <v>791</v>
      </c>
      <c r="N439" t="s">
        <v>850</v>
      </c>
      <c r="O439" t="s">
        <v>40</v>
      </c>
      <c r="P439" t="s">
        <v>2539</v>
      </c>
      <c r="Q439" t="s">
        <v>107</v>
      </c>
      <c r="R439" t="s">
        <v>282</v>
      </c>
      <c r="S439">
        <v>1</v>
      </c>
      <c r="T439">
        <v>5198</v>
      </c>
      <c r="U439">
        <v>0</v>
      </c>
      <c r="V439">
        <v>5198</v>
      </c>
    </row>
    <row r="440" spans="1:22" x14ac:dyDescent="0.25">
      <c r="A440">
        <v>79452</v>
      </c>
      <c r="B440">
        <v>131864680</v>
      </c>
      <c r="C440" t="s">
        <v>2540</v>
      </c>
      <c r="D440" t="s">
        <v>2541</v>
      </c>
      <c r="E440" t="s">
        <v>846</v>
      </c>
      <c r="F440" t="s">
        <v>847</v>
      </c>
      <c r="G440" t="s">
        <v>142</v>
      </c>
      <c r="H440" t="s">
        <v>143</v>
      </c>
      <c r="I440" t="s">
        <v>35</v>
      </c>
      <c r="J440" t="s">
        <v>144</v>
      </c>
      <c r="K440" t="s">
        <v>2</v>
      </c>
      <c r="L440" t="s">
        <v>2542</v>
      </c>
      <c r="M440" t="s">
        <v>2543</v>
      </c>
      <c r="N440" t="s">
        <v>850</v>
      </c>
      <c r="O440" t="s">
        <v>40</v>
      </c>
      <c r="P440" t="s">
        <v>2544</v>
      </c>
      <c r="Q440" t="s">
        <v>107</v>
      </c>
      <c r="R440" t="s">
        <v>520</v>
      </c>
      <c r="S440">
        <v>1</v>
      </c>
      <c r="T440">
        <v>5198</v>
      </c>
      <c r="U440">
        <v>0</v>
      </c>
      <c r="V440">
        <v>5198</v>
      </c>
    </row>
    <row r="441" spans="1:22" x14ac:dyDescent="0.25">
      <c r="A441">
        <v>79452</v>
      </c>
      <c r="B441">
        <v>131864613</v>
      </c>
      <c r="C441" t="s">
        <v>2545</v>
      </c>
      <c r="D441" t="s">
        <v>2546</v>
      </c>
      <c r="E441" t="s">
        <v>846</v>
      </c>
      <c r="F441" t="s">
        <v>847</v>
      </c>
      <c r="G441" t="s">
        <v>142</v>
      </c>
      <c r="H441" t="s">
        <v>143</v>
      </c>
      <c r="I441" t="s">
        <v>35</v>
      </c>
      <c r="J441" t="s">
        <v>144</v>
      </c>
      <c r="K441" t="s">
        <v>2</v>
      </c>
      <c r="L441" t="s">
        <v>2547</v>
      </c>
      <c r="M441" t="s">
        <v>2548</v>
      </c>
      <c r="N441" t="s">
        <v>850</v>
      </c>
      <c r="O441" t="s">
        <v>40</v>
      </c>
      <c r="P441" t="s">
        <v>2549</v>
      </c>
      <c r="Q441" t="s">
        <v>107</v>
      </c>
      <c r="R441" t="s">
        <v>520</v>
      </c>
      <c r="S441">
        <v>1</v>
      </c>
      <c r="T441">
        <v>5198</v>
      </c>
      <c r="U441">
        <v>0</v>
      </c>
      <c r="V441">
        <v>5198</v>
      </c>
    </row>
    <row r="442" spans="1:22" x14ac:dyDescent="0.25">
      <c r="A442">
        <v>79452</v>
      </c>
      <c r="B442">
        <v>131774008</v>
      </c>
      <c r="C442" t="s">
        <v>2550</v>
      </c>
      <c r="D442" t="s">
        <v>2551</v>
      </c>
      <c r="E442" t="s">
        <v>846</v>
      </c>
      <c r="F442" t="s">
        <v>847</v>
      </c>
      <c r="G442" t="s">
        <v>142</v>
      </c>
      <c r="H442" t="s">
        <v>143</v>
      </c>
      <c r="I442" t="s">
        <v>35</v>
      </c>
      <c r="J442" t="s">
        <v>144</v>
      </c>
      <c r="K442" t="s">
        <v>2</v>
      </c>
      <c r="L442" t="s">
        <v>2552</v>
      </c>
      <c r="M442" t="s">
        <v>2553</v>
      </c>
      <c r="N442" t="s">
        <v>850</v>
      </c>
      <c r="O442" t="s">
        <v>40</v>
      </c>
      <c r="P442" t="s">
        <v>2554</v>
      </c>
      <c r="Q442" t="s">
        <v>107</v>
      </c>
      <c r="R442" t="s">
        <v>612</v>
      </c>
      <c r="S442">
        <v>1</v>
      </c>
      <c r="T442">
        <v>5198</v>
      </c>
      <c r="U442">
        <v>0</v>
      </c>
      <c r="V442">
        <v>5198</v>
      </c>
    </row>
    <row r="443" spans="1:22" x14ac:dyDescent="0.25">
      <c r="A443">
        <v>79452</v>
      </c>
      <c r="B443">
        <v>131732415</v>
      </c>
      <c r="C443" t="s">
        <v>2555</v>
      </c>
      <c r="D443" t="s">
        <v>2556</v>
      </c>
      <c r="E443" t="s">
        <v>846</v>
      </c>
      <c r="F443" t="s">
        <v>847</v>
      </c>
      <c r="G443" t="s">
        <v>142</v>
      </c>
      <c r="H443" t="s">
        <v>143</v>
      </c>
      <c r="I443" t="s">
        <v>35</v>
      </c>
      <c r="J443" t="s">
        <v>144</v>
      </c>
      <c r="K443" t="s">
        <v>2</v>
      </c>
      <c r="L443" t="s">
        <v>2557</v>
      </c>
      <c r="M443" t="s">
        <v>2558</v>
      </c>
      <c r="N443" t="s">
        <v>850</v>
      </c>
      <c r="O443" t="s">
        <v>40</v>
      </c>
      <c r="P443" t="s">
        <v>2559</v>
      </c>
      <c r="Q443" t="s">
        <v>107</v>
      </c>
      <c r="R443" t="s">
        <v>708</v>
      </c>
      <c r="S443">
        <v>1</v>
      </c>
      <c r="T443">
        <v>5198</v>
      </c>
      <c r="U443">
        <v>0</v>
      </c>
      <c r="V443">
        <v>5198</v>
      </c>
    </row>
    <row r="444" spans="1:22" x14ac:dyDescent="0.25">
      <c r="A444">
        <v>79452</v>
      </c>
      <c r="B444">
        <v>131662631</v>
      </c>
      <c r="C444" t="s">
        <v>2560</v>
      </c>
      <c r="D444" t="s">
        <v>2561</v>
      </c>
      <c r="E444" t="s">
        <v>846</v>
      </c>
      <c r="F444" t="s">
        <v>847</v>
      </c>
      <c r="G444" t="s">
        <v>142</v>
      </c>
      <c r="H444" t="s">
        <v>143</v>
      </c>
      <c r="I444" t="s">
        <v>35</v>
      </c>
      <c r="J444" t="s">
        <v>144</v>
      </c>
      <c r="K444" t="s">
        <v>2</v>
      </c>
      <c r="L444" t="s">
        <v>2562</v>
      </c>
      <c r="M444" t="s">
        <v>2563</v>
      </c>
      <c r="N444" t="s">
        <v>850</v>
      </c>
      <c r="O444" t="s">
        <v>40</v>
      </c>
      <c r="P444" t="s">
        <v>2564</v>
      </c>
      <c r="Q444" t="s">
        <v>107</v>
      </c>
      <c r="R444" t="s">
        <v>1242</v>
      </c>
      <c r="S444">
        <v>1</v>
      </c>
      <c r="T444">
        <v>5198</v>
      </c>
      <c r="U444">
        <v>0</v>
      </c>
      <c r="V444">
        <v>5198</v>
      </c>
    </row>
    <row r="445" spans="1:22" x14ac:dyDescent="0.25">
      <c r="A445">
        <v>79452</v>
      </c>
      <c r="B445">
        <v>131590445</v>
      </c>
      <c r="C445" t="s">
        <v>2565</v>
      </c>
      <c r="D445" t="s">
        <v>2566</v>
      </c>
      <c r="E445" t="s">
        <v>846</v>
      </c>
      <c r="F445" t="s">
        <v>847</v>
      </c>
      <c r="G445" t="s">
        <v>142</v>
      </c>
      <c r="H445" t="s">
        <v>143</v>
      </c>
      <c r="I445" t="s">
        <v>35</v>
      </c>
      <c r="J445" t="s">
        <v>144</v>
      </c>
      <c r="K445" t="s">
        <v>2</v>
      </c>
      <c r="L445" t="s">
        <v>2567</v>
      </c>
      <c r="M445" t="s">
        <v>2568</v>
      </c>
      <c r="N445" t="s">
        <v>850</v>
      </c>
      <c r="O445" t="s">
        <v>40</v>
      </c>
      <c r="P445" t="s">
        <v>2569</v>
      </c>
      <c r="Q445" t="s">
        <v>107</v>
      </c>
      <c r="R445" t="s">
        <v>1671</v>
      </c>
      <c r="S445">
        <v>1</v>
      </c>
      <c r="T445">
        <v>5198</v>
      </c>
      <c r="U445">
        <v>0</v>
      </c>
      <c r="V445">
        <v>5198</v>
      </c>
    </row>
    <row r="446" spans="1:22" x14ac:dyDescent="0.25">
      <c r="A446">
        <v>79452</v>
      </c>
      <c r="B446">
        <v>131590440</v>
      </c>
      <c r="C446" t="s">
        <v>2570</v>
      </c>
      <c r="D446" t="s">
        <v>2571</v>
      </c>
      <c r="E446" t="s">
        <v>846</v>
      </c>
      <c r="F446" t="s">
        <v>847</v>
      </c>
      <c r="G446" t="s">
        <v>142</v>
      </c>
      <c r="H446" t="s">
        <v>143</v>
      </c>
      <c r="I446" t="s">
        <v>35</v>
      </c>
      <c r="J446" t="s">
        <v>144</v>
      </c>
      <c r="K446" t="s">
        <v>2</v>
      </c>
      <c r="L446" t="s">
        <v>2572</v>
      </c>
      <c r="M446" t="s">
        <v>2573</v>
      </c>
      <c r="N446" t="s">
        <v>850</v>
      </c>
      <c r="O446" t="s">
        <v>40</v>
      </c>
      <c r="P446" t="s">
        <v>2574</v>
      </c>
      <c r="Q446" t="s">
        <v>107</v>
      </c>
      <c r="R446" t="s">
        <v>1671</v>
      </c>
      <c r="S446">
        <v>1</v>
      </c>
      <c r="T446">
        <v>5198</v>
      </c>
      <c r="U446">
        <v>0</v>
      </c>
      <c r="V446">
        <v>5198</v>
      </c>
    </row>
    <row r="447" spans="1:22" x14ac:dyDescent="0.25">
      <c r="A447">
        <v>79452</v>
      </c>
      <c r="B447">
        <v>131618364</v>
      </c>
      <c r="C447" t="s">
        <v>2575</v>
      </c>
      <c r="D447" t="s">
        <v>2576</v>
      </c>
      <c r="E447" t="s">
        <v>846</v>
      </c>
      <c r="F447" t="s">
        <v>847</v>
      </c>
      <c r="G447" t="s">
        <v>142</v>
      </c>
      <c r="H447" t="s">
        <v>143</v>
      </c>
      <c r="I447" t="s">
        <v>35</v>
      </c>
      <c r="J447" t="s">
        <v>144</v>
      </c>
      <c r="K447" t="s">
        <v>2</v>
      </c>
      <c r="L447" t="s">
        <v>2577</v>
      </c>
      <c r="M447" t="s">
        <v>2578</v>
      </c>
      <c r="N447" t="s">
        <v>850</v>
      </c>
      <c r="O447" t="s">
        <v>40</v>
      </c>
      <c r="P447" t="s">
        <v>2579</v>
      </c>
      <c r="Q447" t="s">
        <v>107</v>
      </c>
      <c r="R447" t="s">
        <v>532</v>
      </c>
      <c r="S447">
        <v>1</v>
      </c>
      <c r="T447">
        <v>5198</v>
      </c>
      <c r="U447">
        <v>0</v>
      </c>
      <c r="V447">
        <v>5198</v>
      </c>
    </row>
    <row r="448" spans="1:22" x14ac:dyDescent="0.25">
      <c r="A448">
        <v>79452</v>
      </c>
      <c r="B448">
        <v>131569575</v>
      </c>
      <c r="C448" t="s">
        <v>2580</v>
      </c>
      <c r="D448" t="s">
        <v>2581</v>
      </c>
      <c r="E448" t="s">
        <v>846</v>
      </c>
      <c r="F448" t="s">
        <v>847</v>
      </c>
      <c r="G448" t="s">
        <v>142</v>
      </c>
      <c r="H448" t="s">
        <v>143</v>
      </c>
      <c r="I448" t="s">
        <v>35</v>
      </c>
      <c r="J448" t="s">
        <v>144</v>
      </c>
      <c r="K448" t="s">
        <v>2</v>
      </c>
      <c r="L448" t="s">
        <v>2582</v>
      </c>
      <c r="M448" t="s">
        <v>2583</v>
      </c>
      <c r="N448" t="s">
        <v>850</v>
      </c>
      <c r="O448" t="s">
        <v>40</v>
      </c>
      <c r="P448" t="s">
        <v>2485</v>
      </c>
      <c r="Q448" t="s">
        <v>107</v>
      </c>
      <c r="R448" t="s">
        <v>293</v>
      </c>
      <c r="S448">
        <v>1</v>
      </c>
      <c r="T448">
        <v>5198</v>
      </c>
      <c r="U448">
        <v>0</v>
      </c>
      <c r="V448">
        <v>5198</v>
      </c>
    </row>
    <row r="449" spans="1:22" x14ac:dyDescent="0.25">
      <c r="A449">
        <v>79452</v>
      </c>
      <c r="B449">
        <v>131554984</v>
      </c>
      <c r="C449" t="s">
        <v>2584</v>
      </c>
      <c r="D449" t="s">
        <v>2585</v>
      </c>
      <c r="E449" t="s">
        <v>846</v>
      </c>
      <c r="F449" t="s">
        <v>847</v>
      </c>
      <c r="G449" t="s">
        <v>142</v>
      </c>
      <c r="H449" t="s">
        <v>143</v>
      </c>
      <c r="I449" t="s">
        <v>35</v>
      </c>
      <c r="J449" t="s">
        <v>144</v>
      </c>
      <c r="K449" t="s">
        <v>2</v>
      </c>
      <c r="L449" t="s">
        <v>2586</v>
      </c>
      <c r="M449" t="s">
        <v>2587</v>
      </c>
      <c r="N449" t="s">
        <v>850</v>
      </c>
      <c r="O449" t="s">
        <v>40</v>
      </c>
      <c r="P449" t="s">
        <v>2588</v>
      </c>
      <c r="Q449" t="s">
        <v>107</v>
      </c>
      <c r="R449" t="s">
        <v>1307</v>
      </c>
      <c r="S449">
        <v>1</v>
      </c>
      <c r="T449">
        <v>5198</v>
      </c>
      <c r="U449">
        <v>0</v>
      </c>
      <c r="V449">
        <v>5198</v>
      </c>
    </row>
    <row r="450" spans="1:22" x14ac:dyDescent="0.25">
      <c r="A450">
        <v>79452</v>
      </c>
      <c r="B450">
        <v>131529866</v>
      </c>
      <c r="C450" t="s">
        <v>2589</v>
      </c>
      <c r="D450" t="s">
        <v>2590</v>
      </c>
      <c r="E450" t="s">
        <v>846</v>
      </c>
      <c r="F450" t="s">
        <v>847</v>
      </c>
      <c r="G450" t="s">
        <v>142</v>
      </c>
      <c r="H450" t="s">
        <v>143</v>
      </c>
      <c r="I450" t="s">
        <v>35</v>
      </c>
      <c r="J450" t="s">
        <v>144</v>
      </c>
      <c r="K450" t="s">
        <v>2</v>
      </c>
      <c r="L450" t="s">
        <v>2591</v>
      </c>
      <c r="M450" t="s">
        <v>689</v>
      </c>
      <c r="N450" t="s">
        <v>850</v>
      </c>
      <c r="O450" t="s">
        <v>40</v>
      </c>
      <c r="P450" t="s">
        <v>2592</v>
      </c>
      <c r="Q450" t="s">
        <v>108</v>
      </c>
      <c r="R450" t="s">
        <v>614</v>
      </c>
      <c r="S450">
        <v>1</v>
      </c>
      <c r="T450">
        <v>5476</v>
      </c>
      <c r="U450">
        <v>0</v>
      </c>
      <c r="V450">
        <v>5476</v>
      </c>
    </row>
    <row r="451" spans="1:22" x14ac:dyDescent="0.25">
      <c r="A451">
        <v>79452</v>
      </c>
      <c r="B451">
        <v>131346685</v>
      </c>
      <c r="C451" t="s">
        <v>2593</v>
      </c>
      <c r="D451" t="s">
        <v>2594</v>
      </c>
      <c r="E451" t="s">
        <v>846</v>
      </c>
      <c r="F451" t="s">
        <v>847</v>
      </c>
      <c r="G451" t="s">
        <v>142</v>
      </c>
      <c r="H451" t="s">
        <v>143</v>
      </c>
      <c r="I451" t="s">
        <v>35</v>
      </c>
      <c r="J451" t="s">
        <v>144</v>
      </c>
      <c r="K451" t="s">
        <v>2</v>
      </c>
      <c r="L451" t="s">
        <v>2595</v>
      </c>
      <c r="M451" t="s">
        <v>2596</v>
      </c>
      <c r="N451" t="s">
        <v>850</v>
      </c>
      <c r="O451" t="s">
        <v>40</v>
      </c>
      <c r="P451" t="s">
        <v>2597</v>
      </c>
      <c r="Q451" t="s">
        <v>107</v>
      </c>
      <c r="R451" t="s">
        <v>2102</v>
      </c>
      <c r="S451">
        <v>1</v>
      </c>
      <c r="T451">
        <v>5198</v>
      </c>
      <c r="U451">
        <v>0</v>
      </c>
      <c r="V451">
        <v>5198</v>
      </c>
    </row>
    <row r="452" spans="1:22" x14ac:dyDescent="0.25">
      <c r="A452">
        <v>79452</v>
      </c>
      <c r="B452">
        <v>131383473</v>
      </c>
      <c r="C452" t="s">
        <v>2598</v>
      </c>
      <c r="D452" t="s">
        <v>2599</v>
      </c>
      <c r="E452" t="s">
        <v>846</v>
      </c>
      <c r="F452" t="s">
        <v>847</v>
      </c>
      <c r="G452" t="s">
        <v>142</v>
      </c>
      <c r="H452" t="s">
        <v>143</v>
      </c>
      <c r="I452" t="s">
        <v>35</v>
      </c>
      <c r="J452" t="s">
        <v>144</v>
      </c>
      <c r="K452" t="s">
        <v>2</v>
      </c>
      <c r="L452" t="s">
        <v>2600</v>
      </c>
      <c r="M452" t="s">
        <v>2601</v>
      </c>
      <c r="N452" t="s">
        <v>850</v>
      </c>
      <c r="O452" t="s">
        <v>40</v>
      </c>
      <c r="P452" t="s">
        <v>2602</v>
      </c>
      <c r="Q452" t="s">
        <v>107</v>
      </c>
      <c r="R452" t="s">
        <v>1386</v>
      </c>
      <c r="S452">
        <v>1</v>
      </c>
      <c r="T452">
        <v>5198</v>
      </c>
      <c r="U452">
        <v>0</v>
      </c>
      <c r="V452">
        <v>5198</v>
      </c>
    </row>
    <row r="453" spans="1:22" x14ac:dyDescent="0.25">
      <c r="A453">
        <v>79452</v>
      </c>
      <c r="B453">
        <v>131383451</v>
      </c>
      <c r="C453" t="s">
        <v>2603</v>
      </c>
      <c r="D453" t="s">
        <v>2604</v>
      </c>
      <c r="E453" t="s">
        <v>846</v>
      </c>
      <c r="F453" t="s">
        <v>847</v>
      </c>
      <c r="G453" t="s">
        <v>142</v>
      </c>
      <c r="H453" t="s">
        <v>143</v>
      </c>
      <c r="I453" t="s">
        <v>35</v>
      </c>
      <c r="J453" t="s">
        <v>144</v>
      </c>
      <c r="K453" t="s">
        <v>2</v>
      </c>
      <c r="L453" t="s">
        <v>2605</v>
      </c>
      <c r="M453" t="s">
        <v>2606</v>
      </c>
      <c r="N453" t="s">
        <v>850</v>
      </c>
      <c r="O453" t="s">
        <v>40</v>
      </c>
      <c r="P453" t="s">
        <v>2607</v>
      </c>
      <c r="Q453" t="s">
        <v>107</v>
      </c>
      <c r="R453" t="s">
        <v>1386</v>
      </c>
      <c r="S453">
        <v>1</v>
      </c>
      <c r="T453">
        <v>5198</v>
      </c>
      <c r="U453">
        <v>0</v>
      </c>
      <c r="V453">
        <v>5198</v>
      </c>
    </row>
    <row r="454" spans="1:22" x14ac:dyDescent="0.25">
      <c r="A454">
        <v>79452</v>
      </c>
      <c r="B454">
        <v>131267993</v>
      </c>
      <c r="C454" t="s">
        <v>2608</v>
      </c>
      <c r="D454" t="s">
        <v>2609</v>
      </c>
      <c r="E454" t="s">
        <v>846</v>
      </c>
      <c r="F454" t="s">
        <v>847</v>
      </c>
      <c r="G454" t="s">
        <v>142</v>
      </c>
      <c r="H454" t="s">
        <v>143</v>
      </c>
      <c r="I454" t="s">
        <v>35</v>
      </c>
      <c r="J454" t="s">
        <v>144</v>
      </c>
      <c r="K454" t="s">
        <v>2</v>
      </c>
      <c r="L454" t="s">
        <v>2610</v>
      </c>
      <c r="M454" t="s">
        <v>2611</v>
      </c>
      <c r="N454" t="s">
        <v>850</v>
      </c>
      <c r="O454" t="s">
        <v>40</v>
      </c>
      <c r="P454" t="s">
        <v>2612</v>
      </c>
      <c r="Q454" t="s">
        <v>107</v>
      </c>
      <c r="R454" t="s">
        <v>314</v>
      </c>
      <c r="S454">
        <v>0.47</v>
      </c>
      <c r="T454">
        <v>7414</v>
      </c>
      <c r="U454">
        <v>0</v>
      </c>
      <c r="V454">
        <v>7414</v>
      </c>
    </row>
    <row r="455" spans="1:22" x14ac:dyDescent="0.25">
      <c r="A455">
        <v>79452</v>
      </c>
      <c r="B455">
        <v>131182281</v>
      </c>
      <c r="C455" t="s">
        <v>2613</v>
      </c>
      <c r="D455" t="s">
        <v>2614</v>
      </c>
      <c r="E455" t="s">
        <v>846</v>
      </c>
      <c r="F455" t="s">
        <v>847</v>
      </c>
      <c r="G455" t="s">
        <v>142</v>
      </c>
      <c r="H455" t="s">
        <v>143</v>
      </c>
      <c r="I455" t="s">
        <v>35</v>
      </c>
      <c r="J455" t="s">
        <v>144</v>
      </c>
      <c r="K455" t="s">
        <v>2</v>
      </c>
      <c r="L455" t="s">
        <v>835</v>
      </c>
      <c r="M455" t="s">
        <v>836</v>
      </c>
      <c r="N455" t="s">
        <v>850</v>
      </c>
      <c r="O455" t="s">
        <v>40</v>
      </c>
      <c r="P455" t="s">
        <v>2615</v>
      </c>
      <c r="Q455" t="s">
        <v>107</v>
      </c>
      <c r="R455" t="s">
        <v>2616</v>
      </c>
      <c r="S455">
        <v>1</v>
      </c>
      <c r="T455">
        <v>7212</v>
      </c>
      <c r="U455">
        <v>0</v>
      </c>
      <c r="V455">
        <v>7212</v>
      </c>
    </row>
    <row r="456" spans="1:22" x14ac:dyDescent="0.25">
      <c r="A456">
        <v>79452</v>
      </c>
      <c r="B456">
        <v>131182279</v>
      </c>
      <c r="C456" t="s">
        <v>2617</v>
      </c>
      <c r="D456" t="s">
        <v>2618</v>
      </c>
      <c r="E456" t="s">
        <v>846</v>
      </c>
      <c r="F456" t="s">
        <v>847</v>
      </c>
      <c r="G456" t="s">
        <v>142</v>
      </c>
      <c r="H456" t="s">
        <v>143</v>
      </c>
      <c r="I456" t="s">
        <v>35</v>
      </c>
      <c r="J456" t="s">
        <v>144</v>
      </c>
      <c r="K456" t="s">
        <v>2</v>
      </c>
      <c r="L456" t="s">
        <v>2619</v>
      </c>
      <c r="M456" t="s">
        <v>170</v>
      </c>
      <c r="N456" t="s">
        <v>850</v>
      </c>
      <c r="O456" t="s">
        <v>40</v>
      </c>
      <c r="P456" t="s">
        <v>2620</v>
      </c>
      <c r="Q456" t="s">
        <v>107</v>
      </c>
      <c r="R456" t="s">
        <v>2616</v>
      </c>
      <c r="S456">
        <v>0.24</v>
      </c>
      <c r="T456">
        <v>7212</v>
      </c>
      <c r="U456">
        <v>0</v>
      </c>
      <c r="V456">
        <v>7212</v>
      </c>
    </row>
    <row r="457" spans="1:22" x14ac:dyDescent="0.25">
      <c r="A457">
        <v>79452</v>
      </c>
      <c r="B457">
        <v>131182270</v>
      </c>
      <c r="C457" t="s">
        <v>2621</v>
      </c>
      <c r="D457" t="s">
        <v>2622</v>
      </c>
      <c r="E457" t="s">
        <v>846</v>
      </c>
      <c r="F457" t="s">
        <v>847</v>
      </c>
      <c r="G457" t="s">
        <v>142</v>
      </c>
      <c r="H457" t="s">
        <v>143</v>
      </c>
      <c r="I457" t="s">
        <v>35</v>
      </c>
      <c r="J457" t="s">
        <v>144</v>
      </c>
      <c r="K457" t="s">
        <v>2</v>
      </c>
      <c r="L457" t="s">
        <v>2623</v>
      </c>
      <c r="M457" t="s">
        <v>2624</v>
      </c>
      <c r="N457" t="s">
        <v>850</v>
      </c>
      <c r="O457" t="s">
        <v>40</v>
      </c>
      <c r="P457" t="s">
        <v>2625</v>
      </c>
      <c r="Q457" t="s">
        <v>107</v>
      </c>
      <c r="R457" t="s">
        <v>2626</v>
      </c>
      <c r="S457">
        <v>0.6</v>
      </c>
      <c r="T457">
        <v>7212</v>
      </c>
      <c r="U457">
        <v>0</v>
      </c>
      <c r="V457">
        <v>7212</v>
      </c>
    </row>
    <row r="458" spans="1:22" x14ac:dyDescent="0.25">
      <c r="A458">
        <v>79452</v>
      </c>
      <c r="B458">
        <v>131182272</v>
      </c>
      <c r="C458" t="s">
        <v>2627</v>
      </c>
      <c r="D458" t="s">
        <v>2628</v>
      </c>
      <c r="E458" t="s">
        <v>846</v>
      </c>
      <c r="F458" t="s">
        <v>847</v>
      </c>
      <c r="G458" t="s">
        <v>142</v>
      </c>
      <c r="H458" t="s">
        <v>143</v>
      </c>
      <c r="I458" t="s">
        <v>35</v>
      </c>
      <c r="J458" t="s">
        <v>144</v>
      </c>
      <c r="K458" t="s">
        <v>2</v>
      </c>
      <c r="L458" t="s">
        <v>2629</v>
      </c>
      <c r="M458" t="s">
        <v>2630</v>
      </c>
      <c r="N458" t="s">
        <v>850</v>
      </c>
      <c r="O458" t="s">
        <v>40</v>
      </c>
      <c r="P458" t="s">
        <v>2631</v>
      </c>
      <c r="Q458" t="s">
        <v>107</v>
      </c>
      <c r="R458" t="s">
        <v>2616</v>
      </c>
      <c r="S458">
        <v>0.83</v>
      </c>
      <c r="T458">
        <v>7212</v>
      </c>
      <c r="U458">
        <v>0</v>
      </c>
      <c r="V458">
        <v>7212</v>
      </c>
    </row>
    <row r="459" spans="1:22" x14ac:dyDescent="0.25">
      <c r="A459">
        <v>79452</v>
      </c>
      <c r="B459">
        <v>131198458</v>
      </c>
      <c r="C459" t="s">
        <v>2632</v>
      </c>
      <c r="D459" t="s">
        <v>2633</v>
      </c>
      <c r="E459" t="s">
        <v>846</v>
      </c>
      <c r="F459" t="s">
        <v>847</v>
      </c>
      <c r="G459" t="s">
        <v>142</v>
      </c>
      <c r="H459" t="s">
        <v>143</v>
      </c>
      <c r="I459" t="s">
        <v>35</v>
      </c>
      <c r="J459" t="s">
        <v>144</v>
      </c>
      <c r="K459" t="s">
        <v>2</v>
      </c>
      <c r="L459" t="s">
        <v>2634</v>
      </c>
      <c r="M459" t="s">
        <v>2635</v>
      </c>
      <c r="N459" t="s">
        <v>850</v>
      </c>
      <c r="O459" t="s">
        <v>40</v>
      </c>
      <c r="P459" t="s">
        <v>2636</v>
      </c>
      <c r="Q459" t="s">
        <v>107</v>
      </c>
      <c r="R459" t="s">
        <v>621</v>
      </c>
      <c r="S459">
        <v>1.75</v>
      </c>
      <c r="T459">
        <v>7684</v>
      </c>
      <c r="U459">
        <v>0</v>
      </c>
      <c r="V459">
        <v>7684</v>
      </c>
    </row>
    <row r="460" spans="1:22" x14ac:dyDescent="0.25">
      <c r="A460">
        <v>79452</v>
      </c>
      <c r="B460">
        <v>131823045</v>
      </c>
      <c r="C460" t="s">
        <v>2637</v>
      </c>
      <c r="D460" t="s">
        <v>2638</v>
      </c>
      <c r="E460" t="s">
        <v>846</v>
      </c>
      <c r="F460" t="s">
        <v>847</v>
      </c>
      <c r="G460" t="s">
        <v>142</v>
      </c>
      <c r="H460" t="s">
        <v>143</v>
      </c>
      <c r="I460" t="s">
        <v>35</v>
      </c>
      <c r="J460" t="s">
        <v>144</v>
      </c>
      <c r="K460" t="s">
        <v>2</v>
      </c>
      <c r="L460" t="s">
        <v>2639</v>
      </c>
      <c r="M460" t="s">
        <v>2640</v>
      </c>
      <c r="N460" t="s">
        <v>850</v>
      </c>
      <c r="O460" t="s">
        <v>40</v>
      </c>
      <c r="P460" t="s">
        <v>2641</v>
      </c>
      <c r="Q460" t="s">
        <v>117</v>
      </c>
      <c r="R460" t="s">
        <v>282</v>
      </c>
      <c r="S460">
        <v>1</v>
      </c>
      <c r="T460">
        <v>5256</v>
      </c>
      <c r="U460">
        <v>0</v>
      </c>
      <c r="V460">
        <v>5256</v>
      </c>
    </row>
    <row r="461" spans="1:22" x14ac:dyDescent="0.25">
      <c r="A461">
        <v>79452</v>
      </c>
      <c r="B461">
        <v>131952767</v>
      </c>
      <c r="C461" t="s">
        <v>2642</v>
      </c>
      <c r="D461" t="s">
        <v>2643</v>
      </c>
      <c r="E461" t="s">
        <v>846</v>
      </c>
      <c r="F461" t="s">
        <v>847</v>
      </c>
      <c r="G461" t="s">
        <v>142</v>
      </c>
      <c r="H461" t="s">
        <v>143</v>
      </c>
      <c r="I461" t="s">
        <v>35</v>
      </c>
      <c r="J461" t="s">
        <v>144</v>
      </c>
      <c r="K461" t="s">
        <v>2</v>
      </c>
      <c r="L461" t="s">
        <v>2644</v>
      </c>
      <c r="M461" t="s">
        <v>2645</v>
      </c>
      <c r="N461" t="s">
        <v>850</v>
      </c>
      <c r="O461" t="s">
        <v>40</v>
      </c>
      <c r="P461" t="s">
        <v>2646</v>
      </c>
      <c r="Q461" t="s">
        <v>150</v>
      </c>
      <c r="R461" t="s">
        <v>541</v>
      </c>
      <c r="S461">
        <v>1</v>
      </c>
      <c r="T461">
        <v>5476</v>
      </c>
      <c r="U461">
        <v>0</v>
      </c>
      <c r="V461">
        <v>5476</v>
      </c>
    </row>
    <row r="462" spans="1:22" x14ac:dyDescent="0.25">
      <c r="A462">
        <v>79452</v>
      </c>
      <c r="B462">
        <v>131823015</v>
      </c>
      <c r="C462" t="s">
        <v>2647</v>
      </c>
      <c r="D462" t="s">
        <v>2648</v>
      </c>
      <c r="E462" t="s">
        <v>846</v>
      </c>
      <c r="F462" t="s">
        <v>847</v>
      </c>
      <c r="G462" t="s">
        <v>142</v>
      </c>
      <c r="H462" t="s">
        <v>143</v>
      </c>
      <c r="I462" t="s">
        <v>35</v>
      </c>
      <c r="J462" t="s">
        <v>144</v>
      </c>
      <c r="K462" t="s">
        <v>2</v>
      </c>
      <c r="L462" t="s">
        <v>2649</v>
      </c>
      <c r="M462" t="s">
        <v>615</v>
      </c>
      <c r="N462" t="s">
        <v>850</v>
      </c>
      <c r="O462" t="s">
        <v>40</v>
      </c>
      <c r="P462" t="s">
        <v>2650</v>
      </c>
      <c r="Q462" t="s">
        <v>150</v>
      </c>
      <c r="R462" t="s">
        <v>282</v>
      </c>
      <c r="S462">
        <v>1</v>
      </c>
      <c r="T462">
        <v>5476</v>
      </c>
      <c r="U462">
        <v>0</v>
      </c>
      <c r="V462">
        <v>5476</v>
      </c>
    </row>
    <row r="463" spans="1:22" x14ac:dyDescent="0.25">
      <c r="A463">
        <v>79452</v>
      </c>
      <c r="B463">
        <v>131618338</v>
      </c>
      <c r="C463" t="s">
        <v>2651</v>
      </c>
      <c r="D463" t="s">
        <v>2652</v>
      </c>
      <c r="E463" t="s">
        <v>846</v>
      </c>
      <c r="F463" t="s">
        <v>847</v>
      </c>
      <c r="G463" t="s">
        <v>142</v>
      </c>
      <c r="H463" t="s">
        <v>143</v>
      </c>
      <c r="I463" t="s">
        <v>35</v>
      </c>
      <c r="J463" t="s">
        <v>144</v>
      </c>
      <c r="K463" t="s">
        <v>2</v>
      </c>
      <c r="L463" t="s">
        <v>2653</v>
      </c>
      <c r="M463" t="s">
        <v>615</v>
      </c>
      <c r="N463" t="s">
        <v>850</v>
      </c>
      <c r="O463" t="s">
        <v>40</v>
      </c>
      <c r="P463" t="s">
        <v>2650</v>
      </c>
      <c r="Q463" t="s">
        <v>150</v>
      </c>
      <c r="R463" t="s">
        <v>1277</v>
      </c>
      <c r="S463">
        <v>1</v>
      </c>
      <c r="T463">
        <v>5476</v>
      </c>
      <c r="U463">
        <v>0</v>
      </c>
      <c r="V463">
        <v>5476</v>
      </c>
    </row>
    <row r="464" spans="1:22" x14ac:dyDescent="0.25">
      <c r="A464">
        <v>79452</v>
      </c>
      <c r="B464">
        <v>131590429</v>
      </c>
      <c r="C464" t="s">
        <v>2654</v>
      </c>
      <c r="D464" t="s">
        <v>2655</v>
      </c>
      <c r="E464" t="s">
        <v>846</v>
      </c>
      <c r="F464" t="s">
        <v>847</v>
      </c>
      <c r="G464" t="s">
        <v>142</v>
      </c>
      <c r="H464" t="s">
        <v>143</v>
      </c>
      <c r="I464" t="s">
        <v>35</v>
      </c>
      <c r="J464" t="s">
        <v>144</v>
      </c>
      <c r="K464" t="s">
        <v>2</v>
      </c>
      <c r="L464" t="s">
        <v>2656</v>
      </c>
      <c r="M464" t="s">
        <v>2657</v>
      </c>
      <c r="N464" t="s">
        <v>850</v>
      </c>
      <c r="O464" t="s">
        <v>40</v>
      </c>
      <c r="P464" t="s">
        <v>2658</v>
      </c>
      <c r="Q464" t="s">
        <v>252</v>
      </c>
      <c r="R464" t="s">
        <v>1671</v>
      </c>
      <c r="S464">
        <v>1</v>
      </c>
      <c r="T464">
        <v>5476</v>
      </c>
      <c r="U464">
        <v>0</v>
      </c>
      <c r="V464">
        <v>5476</v>
      </c>
    </row>
    <row r="465" spans="1:22" x14ac:dyDescent="0.25">
      <c r="A465">
        <v>79452</v>
      </c>
      <c r="B465">
        <v>131618319</v>
      </c>
      <c r="C465" t="s">
        <v>2659</v>
      </c>
      <c r="D465" t="s">
        <v>2660</v>
      </c>
      <c r="E465" t="s">
        <v>846</v>
      </c>
      <c r="F465" t="s">
        <v>847</v>
      </c>
      <c r="G465" t="s">
        <v>142</v>
      </c>
      <c r="H465" t="s">
        <v>143</v>
      </c>
      <c r="I465" t="s">
        <v>35</v>
      </c>
      <c r="J465" t="s">
        <v>144</v>
      </c>
      <c r="K465" t="s">
        <v>2</v>
      </c>
      <c r="L465" t="s">
        <v>2661</v>
      </c>
      <c r="M465" t="s">
        <v>562</v>
      </c>
      <c r="N465" t="s">
        <v>850</v>
      </c>
      <c r="O465" t="s">
        <v>40</v>
      </c>
      <c r="P465" t="s">
        <v>2662</v>
      </c>
      <c r="Q465" t="s">
        <v>150</v>
      </c>
      <c r="R465" t="s">
        <v>1277</v>
      </c>
      <c r="S465">
        <v>1</v>
      </c>
      <c r="T465">
        <v>5476</v>
      </c>
      <c r="U465">
        <v>0</v>
      </c>
      <c r="V465">
        <v>5476</v>
      </c>
    </row>
    <row r="466" spans="1:22" x14ac:dyDescent="0.25">
      <c r="A466">
        <v>79452</v>
      </c>
      <c r="B466">
        <v>131569571</v>
      </c>
      <c r="C466" t="s">
        <v>2663</v>
      </c>
      <c r="D466" t="s">
        <v>2664</v>
      </c>
      <c r="E466" t="s">
        <v>846</v>
      </c>
      <c r="F466" t="s">
        <v>847</v>
      </c>
      <c r="G466" t="s">
        <v>142</v>
      </c>
      <c r="H466" t="s">
        <v>143</v>
      </c>
      <c r="I466" t="s">
        <v>35</v>
      </c>
      <c r="J466" t="s">
        <v>144</v>
      </c>
      <c r="K466" t="s">
        <v>2</v>
      </c>
      <c r="L466" t="s">
        <v>2665</v>
      </c>
      <c r="M466" t="s">
        <v>2666</v>
      </c>
      <c r="N466" t="s">
        <v>850</v>
      </c>
      <c r="O466" t="s">
        <v>40</v>
      </c>
      <c r="P466" t="s">
        <v>2667</v>
      </c>
      <c r="Q466" t="s">
        <v>150</v>
      </c>
      <c r="R466" t="s">
        <v>293</v>
      </c>
      <c r="S466">
        <v>1</v>
      </c>
      <c r="T466">
        <v>5476</v>
      </c>
      <c r="U466">
        <v>0</v>
      </c>
      <c r="V466">
        <v>5476</v>
      </c>
    </row>
    <row r="467" spans="1:22" x14ac:dyDescent="0.25">
      <c r="A467">
        <v>79452</v>
      </c>
      <c r="B467">
        <v>131489582</v>
      </c>
      <c r="C467" t="s">
        <v>2668</v>
      </c>
      <c r="D467" t="s">
        <v>2669</v>
      </c>
      <c r="E467" t="s">
        <v>846</v>
      </c>
      <c r="F467" t="s">
        <v>847</v>
      </c>
      <c r="G467" t="s">
        <v>142</v>
      </c>
      <c r="H467" t="s">
        <v>143</v>
      </c>
      <c r="I467" t="s">
        <v>35</v>
      </c>
      <c r="J467" t="s">
        <v>144</v>
      </c>
      <c r="K467" t="s">
        <v>2</v>
      </c>
      <c r="L467" t="s">
        <v>2670</v>
      </c>
      <c r="M467" t="s">
        <v>650</v>
      </c>
      <c r="N467" t="s">
        <v>850</v>
      </c>
      <c r="O467" t="s">
        <v>40</v>
      </c>
      <c r="P467" t="s">
        <v>2671</v>
      </c>
      <c r="Q467" t="s">
        <v>150</v>
      </c>
      <c r="R467" t="s">
        <v>304</v>
      </c>
      <c r="S467">
        <v>1</v>
      </c>
      <c r="T467">
        <v>5476</v>
      </c>
      <c r="U467">
        <v>0</v>
      </c>
      <c r="V467">
        <v>5476</v>
      </c>
    </row>
    <row r="468" spans="1:22" x14ac:dyDescent="0.25">
      <c r="A468">
        <v>79452</v>
      </c>
      <c r="B468">
        <v>131448326</v>
      </c>
      <c r="C468" t="s">
        <v>2672</v>
      </c>
      <c r="D468" t="s">
        <v>2673</v>
      </c>
      <c r="E468" t="s">
        <v>846</v>
      </c>
      <c r="F468" t="s">
        <v>847</v>
      </c>
      <c r="G468" t="s">
        <v>142</v>
      </c>
      <c r="H468" t="s">
        <v>143</v>
      </c>
      <c r="I468" t="s">
        <v>35</v>
      </c>
      <c r="J468" t="s">
        <v>144</v>
      </c>
      <c r="K468" t="s">
        <v>2</v>
      </c>
      <c r="L468" t="s">
        <v>2674</v>
      </c>
      <c r="M468" t="s">
        <v>2675</v>
      </c>
      <c r="N468" t="s">
        <v>850</v>
      </c>
      <c r="O468" t="s">
        <v>40</v>
      </c>
      <c r="P468" t="s">
        <v>2676</v>
      </c>
      <c r="Q468" t="s">
        <v>150</v>
      </c>
      <c r="R468" t="s">
        <v>619</v>
      </c>
      <c r="S468">
        <v>0.62</v>
      </c>
      <c r="T468">
        <v>5476</v>
      </c>
      <c r="U468">
        <v>0</v>
      </c>
      <c r="V468">
        <v>5476</v>
      </c>
    </row>
    <row r="469" spans="1:22" x14ac:dyDescent="0.25">
      <c r="A469">
        <v>79452</v>
      </c>
      <c r="B469">
        <v>131383453</v>
      </c>
      <c r="C469" t="s">
        <v>2677</v>
      </c>
      <c r="D469" t="s">
        <v>2678</v>
      </c>
      <c r="E469" t="s">
        <v>846</v>
      </c>
      <c r="F469" t="s">
        <v>847</v>
      </c>
      <c r="G469" t="s">
        <v>142</v>
      </c>
      <c r="H469" t="s">
        <v>143</v>
      </c>
      <c r="I469" t="s">
        <v>35</v>
      </c>
      <c r="J469" t="s">
        <v>144</v>
      </c>
      <c r="K469" t="s">
        <v>2</v>
      </c>
      <c r="L469" t="s">
        <v>2679</v>
      </c>
      <c r="M469" t="s">
        <v>2680</v>
      </c>
      <c r="N469" t="s">
        <v>850</v>
      </c>
      <c r="O469" t="s">
        <v>40</v>
      </c>
      <c r="P469" t="s">
        <v>2681</v>
      </c>
      <c r="Q469" t="s">
        <v>150</v>
      </c>
      <c r="R469" t="s">
        <v>1386</v>
      </c>
      <c r="S469">
        <v>1</v>
      </c>
      <c r="T469">
        <v>5476</v>
      </c>
      <c r="U469">
        <v>0</v>
      </c>
      <c r="V469">
        <v>5476</v>
      </c>
    </row>
    <row r="470" spans="1:22" x14ac:dyDescent="0.25">
      <c r="A470">
        <v>79452</v>
      </c>
      <c r="B470">
        <v>131346678</v>
      </c>
      <c r="C470" t="s">
        <v>2682</v>
      </c>
      <c r="D470" t="s">
        <v>2683</v>
      </c>
      <c r="E470" t="s">
        <v>846</v>
      </c>
      <c r="F470" t="s">
        <v>847</v>
      </c>
      <c r="G470" t="s">
        <v>142</v>
      </c>
      <c r="H470" t="s">
        <v>143</v>
      </c>
      <c r="I470" t="s">
        <v>35</v>
      </c>
      <c r="J470" t="s">
        <v>144</v>
      </c>
      <c r="K470" t="s">
        <v>2</v>
      </c>
      <c r="L470" t="s">
        <v>2684</v>
      </c>
      <c r="M470" t="s">
        <v>2685</v>
      </c>
      <c r="N470" t="s">
        <v>850</v>
      </c>
      <c r="O470" t="s">
        <v>40</v>
      </c>
      <c r="P470" t="s">
        <v>2686</v>
      </c>
      <c r="Q470" t="s">
        <v>150</v>
      </c>
      <c r="R470" t="s">
        <v>2102</v>
      </c>
      <c r="S470">
        <v>17.5</v>
      </c>
      <c r="T470">
        <v>24853</v>
      </c>
      <c r="U470">
        <v>0</v>
      </c>
      <c r="V470">
        <v>24853</v>
      </c>
    </row>
    <row r="471" spans="1:22" x14ac:dyDescent="0.25">
      <c r="A471">
        <v>79452</v>
      </c>
      <c r="B471">
        <v>131267980</v>
      </c>
      <c r="C471" t="s">
        <v>2687</v>
      </c>
      <c r="D471" t="s">
        <v>2688</v>
      </c>
      <c r="E471" t="s">
        <v>846</v>
      </c>
      <c r="F471" t="s">
        <v>847</v>
      </c>
      <c r="G471" t="s">
        <v>142</v>
      </c>
      <c r="H471" t="s">
        <v>143</v>
      </c>
      <c r="I471" t="s">
        <v>35</v>
      </c>
      <c r="J471" t="s">
        <v>144</v>
      </c>
      <c r="K471" t="s">
        <v>2</v>
      </c>
      <c r="L471" t="s">
        <v>2689</v>
      </c>
      <c r="M471" t="s">
        <v>2690</v>
      </c>
      <c r="N471" t="s">
        <v>850</v>
      </c>
      <c r="O471" t="s">
        <v>40</v>
      </c>
      <c r="P471" t="s">
        <v>2691</v>
      </c>
      <c r="Q471" t="s">
        <v>150</v>
      </c>
      <c r="R471" t="s">
        <v>314</v>
      </c>
      <c r="S471">
        <v>1</v>
      </c>
      <c r="T471">
        <v>7414</v>
      </c>
      <c r="U471">
        <v>0</v>
      </c>
      <c r="V471">
        <v>7414</v>
      </c>
    </row>
    <row r="472" spans="1:22" x14ac:dyDescent="0.25">
      <c r="A472">
        <v>79452</v>
      </c>
      <c r="B472">
        <v>132125526</v>
      </c>
      <c r="C472" t="s">
        <v>2692</v>
      </c>
      <c r="D472" t="s">
        <v>2693</v>
      </c>
      <c r="E472" t="s">
        <v>846</v>
      </c>
      <c r="F472" t="s">
        <v>847</v>
      </c>
      <c r="G472" t="s">
        <v>142</v>
      </c>
      <c r="H472" t="s">
        <v>143</v>
      </c>
      <c r="I472" t="s">
        <v>35</v>
      </c>
      <c r="J472" t="s">
        <v>144</v>
      </c>
      <c r="K472" t="s">
        <v>2</v>
      </c>
      <c r="L472" t="s">
        <v>2694</v>
      </c>
      <c r="M472" t="s">
        <v>2695</v>
      </c>
      <c r="N472" t="s">
        <v>850</v>
      </c>
      <c r="O472" t="s">
        <v>40</v>
      </c>
      <c r="P472" t="s">
        <v>2696</v>
      </c>
      <c r="Q472" t="s">
        <v>149</v>
      </c>
      <c r="R472" t="s">
        <v>552</v>
      </c>
      <c r="S472">
        <v>0.65</v>
      </c>
      <c r="T472">
        <v>5759</v>
      </c>
      <c r="U472">
        <v>0</v>
      </c>
      <c r="V472">
        <v>5759</v>
      </c>
    </row>
    <row r="473" spans="1:22" x14ac:dyDescent="0.25">
      <c r="A473">
        <v>79452</v>
      </c>
      <c r="B473">
        <v>131780077</v>
      </c>
      <c r="C473" t="s">
        <v>2697</v>
      </c>
      <c r="D473" t="s">
        <v>2698</v>
      </c>
      <c r="E473" t="s">
        <v>846</v>
      </c>
      <c r="F473" t="s">
        <v>847</v>
      </c>
      <c r="G473" t="s">
        <v>142</v>
      </c>
      <c r="H473" t="s">
        <v>143</v>
      </c>
      <c r="I473" t="s">
        <v>35</v>
      </c>
      <c r="J473" t="s">
        <v>144</v>
      </c>
      <c r="K473" t="s">
        <v>2</v>
      </c>
      <c r="L473" t="s">
        <v>2699</v>
      </c>
      <c r="M473" t="s">
        <v>780</v>
      </c>
      <c r="N473" t="s">
        <v>850</v>
      </c>
      <c r="O473" t="s">
        <v>40</v>
      </c>
      <c r="P473" t="s">
        <v>2700</v>
      </c>
      <c r="Q473" t="s">
        <v>105</v>
      </c>
      <c r="R473" t="s">
        <v>641</v>
      </c>
      <c r="S473">
        <v>1</v>
      </c>
      <c r="T473">
        <v>5759</v>
      </c>
      <c r="U473">
        <v>0</v>
      </c>
      <c r="V473">
        <v>5759</v>
      </c>
    </row>
    <row r="474" spans="1:22" x14ac:dyDescent="0.25">
      <c r="A474">
        <v>79452</v>
      </c>
      <c r="B474">
        <v>132089209</v>
      </c>
      <c r="C474" t="s">
        <v>2701</v>
      </c>
      <c r="D474" t="s">
        <v>2702</v>
      </c>
      <c r="E474" t="s">
        <v>846</v>
      </c>
      <c r="F474" t="s">
        <v>847</v>
      </c>
      <c r="G474" t="s">
        <v>142</v>
      </c>
      <c r="H474" t="s">
        <v>143</v>
      </c>
      <c r="I474" t="s">
        <v>35</v>
      </c>
      <c r="J474" t="s">
        <v>144</v>
      </c>
      <c r="K474" t="s">
        <v>2</v>
      </c>
      <c r="L474" t="s">
        <v>2703</v>
      </c>
      <c r="M474" t="s">
        <v>809</v>
      </c>
      <c r="N474" t="s">
        <v>850</v>
      </c>
      <c r="O474" t="s">
        <v>40</v>
      </c>
      <c r="P474" t="s">
        <v>2704</v>
      </c>
      <c r="Q474" t="s">
        <v>149</v>
      </c>
      <c r="R474" t="s">
        <v>452</v>
      </c>
      <c r="S474">
        <v>0.39</v>
      </c>
      <c r="T474">
        <v>4067</v>
      </c>
      <c r="U474">
        <v>0</v>
      </c>
      <c r="V474">
        <v>4067</v>
      </c>
    </row>
    <row r="475" spans="1:22" x14ac:dyDescent="0.25">
      <c r="A475">
        <v>79452</v>
      </c>
      <c r="B475">
        <v>131990000</v>
      </c>
      <c r="C475" t="s">
        <v>2705</v>
      </c>
      <c r="D475" t="s">
        <v>2706</v>
      </c>
      <c r="E475" t="s">
        <v>846</v>
      </c>
      <c r="F475" t="s">
        <v>847</v>
      </c>
      <c r="G475" t="s">
        <v>142</v>
      </c>
      <c r="H475" t="s">
        <v>143</v>
      </c>
      <c r="I475" t="s">
        <v>35</v>
      </c>
      <c r="J475" t="s">
        <v>144</v>
      </c>
      <c r="K475" t="s">
        <v>2</v>
      </c>
      <c r="L475" t="s">
        <v>2707</v>
      </c>
      <c r="M475" t="s">
        <v>638</v>
      </c>
      <c r="N475" t="s">
        <v>850</v>
      </c>
      <c r="O475" t="s">
        <v>40</v>
      </c>
      <c r="P475" t="s">
        <v>2708</v>
      </c>
      <c r="Q475" t="s">
        <v>109</v>
      </c>
      <c r="R475" t="s">
        <v>539</v>
      </c>
      <c r="S475">
        <v>1</v>
      </c>
      <c r="T475">
        <v>5759</v>
      </c>
      <c r="U475">
        <v>0</v>
      </c>
      <c r="V475">
        <v>5759</v>
      </c>
    </row>
    <row r="476" spans="1:22" x14ac:dyDescent="0.25">
      <c r="A476">
        <v>79452</v>
      </c>
      <c r="B476">
        <v>132021662</v>
      </c>
      <c r="C476" t="s">
        <v>2709</v>
      </c>
      <c r="D476" t="s">
        <v>2710</v>
      </c>
      <c r="E476" t="s">
        <v>846</v>
      </c>
      <c r="F476" t="s">
        <v>847</v>
      </c>
      <c r="G476" t="s">
        <v>142</v>
      </c>
      <c r="H476" t="s">
        <v>143</v>
      </c>
      <c r="I476" t="s">
        <v>35</v>
      </c>
      <c r="J476" t="s">
        <v>144</v>
      </c>
      <c r="K476" t="s">
        <v>2</v>
      </c>
      <c r="L476" t="s">
        <v>2711</v>
      </c>
      <c r="M476" t="s">
        <v>2712</v>
      </c>
      <c r="N476" t="s">
        <v>850</v>
      </c>
      <c r="O476" t="s">
        <v>40</v>
      </c>
      <c r="P476" t="s">
        <v>2713</v>
      </c>
      <c r="Q476" t="s">
        <v>149</v>
      </c>
      <c r="R476" t="s">
        <v>599</v>
      </c>
      <c r="S476">
        <v>1</v>
      </c>
      <c r="T476">
        <v>5759</v>
      </c>
      <c r="U476">
        <v>0</v>
      </c>
      <c r="V476">
        <v>5759</v>
      </c>
    </row>
    <row r="477" spans="1:22" x14ac:dyDescent="0.25">
      <c r="A477">
        <v>79452</v>
      </c>
      <c r="B477">
        <v>132021640</v>
      </c>
      <c r="C477" t="s">
        <v>2714</v>
      </c>
      <c r="D477" t="s">
        <v>2715</v>
      </c>
      <c r="E477" t="s">
        <v>846</v>
      </c>
      <c r="F477" t="s">
        <v>847</v>
      </c>
      <c r="G477" t="s">
        <v>142</v>
      </c>
      <c r="H477" t="s">
        <v>143</v>
      </c>
      <c r="I477" t="s">
        <v>35</v>
      </c>
      <c r="J477" t="s">
        <v>144</v>
      </c>
      <c r="K477" t="s">
        <v>2</v>
      </c>
      <c r="L477" t="s">
        <v>2716</v>
      </c>
      <c r="M477" t="s">
        <v>2717</v>
      </c>
      <c r="N477" t="s">
        <v>850</v>
      </c>
      <c r="O477" t="s">
        <v>40</v>
      </c>
      <c r="P477" t="s">
        <v>2718</v>
      </c>
      <c r="Q477" t="s">
        <v>149</v>
      </c>
      <c r="R477" t="s">
        <v>599</v>
      </c>
      <c r="S477">
        <v>0.6</v>
      </c>
      <c r="T477">
        <v>5759</v>
      </c>
      <c r="U477">
        <v>0</v>
      </c>
      <c r="V477">
        <v>5759</v>
      </c>
    </row>
    <row r="478" spans="1:22" x14ac:dyDescent="0.25">
      <c r="A478">
        <v>79452</v>
      </c>
      <c r="B478">
        <v>131662641</v>
      </c>
      <c r="C478" t="s">
        <v>2719</v>
      </c>
      <c r="D478" t="s">
        <v>2720</v>
      </c>
      <c r="E478" t="s">
        <v>846</v>
      </c>
      <c r="F478" t="s">
        <v>847</v>
      </c>
      <c r="G478" t="s">
        <v>142</v>
      </c>
      <c r="H478" t="s">
        <v>143</v>
      </c>
      <c r="I478" t="s">
        <v>35</v>
      </c>
      <c r="J478" t="s">
        <v>144</v>
      </c>
      <c r="K478" t="s">
        <v>2</v>
      </c>
      <c r="L478" t="s">
        <v>2721</v>
      </c>
      <c r="M478" t="s">
        <v>132</v>
      </c>
      <c r="N478" t="s">
        <v>850</v>
      </c>
      <c r="O478" t="s">
        <v>40</v>
      </c>
      <c r="P478" t="s">
        <v>2722</v>
      </c>
      <c r="Q478" t="s">
        <v>105</v>
      </c>
      <c r="R478" t="s">
        <v>1242</v>
      </c>
      <c r="S478">
        <v>1</v>
      </c>
      <c r="T478">
        <v>5759</v>
      </c>
      <c r="U478">
        <v>0</v>
      </c>
      <c r="V478">
        <v>5759</v>
      </c>
    </row>
    <row r="479" spans="1:22" x14ac:dyDescent="0.25">
      <c r="A479">
        <v>79452</v>
      </c>
      <c r="B479">
        <v>131922174</v>
      </c>
      <c r="C479" t="s">
        <v>2723</v>
      </c>
      <c r="D479" t="s">
        <v>2724</v>
      </c>
      <c r="E479" t="s">
        <v>846</v>
      </c>
      <c r="F479" t="s">
        <v>847</v>
      </c>
      <c r="G479" t="s">
        <v>142</v>
      </c>
      <c r="H479" t="s">
        <v>143</v>
      </c>
      <c r="I479" t="s">
        <v>35</v>
      </c>
      <c r="J479" t="s">
        <v>144</v>
      </c>
      <c r="K479" t="s">
        <v>2</v>
      </c>
      <c r="L479" t="s">
        <v>2725</v>
      </c>
      <c r="M479" t="s">
        <v>2726</v>
      </c>
      <c r="N479" t="s">
        <v>850</v>
      </c>
      <c r="O479" t="s">
        <v>40</v>
      </c>
      <c r="P479" t="s">
        <v>2727</v>
      </c>
      <c r="Q479" t="s">
        <v>149</v>
      </c>
      <c r="R479" t="s">
        <v>887</v>
      </c>
      <c r="S479">
        <v>1</v>
      </c>
      <c r="T479">
        <v>5759</v>
      </c>
      <c r="U479">
        <v>0</v>
      </c>
      <c r="V479">
        <v>5759</v>
      </c>
    </row>
    <row r="480" spans="1:22" x14ac:dyDescent="0.25">
      <c r="A480">
        <v>79452</v>
      </c>
      <c r="B480">
        <v>131823000</v>
      </c>
      <c r="C480" t="s">
        <v>2728</v>
      </c>
      <c r="D480" t="s">
        <v>2729</v>
      </c>
      <c r="E480" t="s">
        <v>846</v>
      </c>
      <c r="F480" t="s">
        <v>847</v>
      </c>
      <c r="G480" t="s">
        <v>142</v>
      </c>
      <c r="H480" t="s">
        <v>143</v>
      </c>
      <c r="I480" t="s">
        <v>35</v>
      </c>
      <c r="J480" t="s">
        <v>144</v>
      </c>
      <c r="K480" t="s">
        <v>2</v>
      </c>
      <c r="L480" t="s">
        <v>2730</v>
      </c>
      <c r="M480" t="s">
        <v>2731</v>
      </c>
      <c r="N480" t="s">
        <v>850</v>
      </c>
      <c r="O480" t="s">
        <v>40</v>
      </c>
      <c r="P480" t="s">
        <v>2732</v>
      </c>
      <c r="Q480" t="s">
        <v>109</v>
      </c>
      <c r="R480" t="s">
        <v>282</v>
      </c>
      <c r="S480">
        <v>1</v>
      </c>
      <c r="T480">
        <v>5759</v>
      </c>
      <c r="U480">
        <v>0</v>
      </c>
      <c r="V480">
        <v>5759</v>
      </c>
    </row>
    <row r="481" spans="1:22" x14ac:dyDescent="0.25">
      <c r="A481">
        <v>79452</v>
      </c>
      <c r="B481">
        <v>131864681</v>
      </c>
      <c r="C481" t="s">
        <v>2733</v>
      </c>
      <c r="D481" t="s">
        <v>2734</v>
      </c>
      <c r="E481" t="s">
        <v>846</v>
      </c>
      <c r="F481" t="s">
        <v>847</v>
      </c>
      <c r="G481" t="s">
        <v>142</v>
      </c>
      <c r="H481" t="s">
        <v>143</v>
      </c>
      <c r="I481" t="s">
        <v>35</v>
      </c>
      <c r="J481" t="s">
        <v>144</v>
      </c>
      <c r="K481" t="s">
        <v>2</v>
      </c>
      <c r="L481" t="s">
        <v>2735</v>
      </c>
      <c r="M481" t="s">
        <v>315</v>
      </c>
      <c r="N481" t="s">
        <v>850</v>
      </c>
      <c r="O481" t="s">
        <v>40</v>
      </c>
      <c r="P481" t="s">
        <v>2736</v>
      </c>
      <c r="Q481" t="s">
        <v>149</v>
      </c>
      <c r="R481" t="s">
        <v>520</v>
      </c>
      <c r="S481">
        <v>1</v>
      </c>
      <c r="T481">
        <v>5759</v>
      </c>
      <c r="U481">
        <v>0</v>
      </c>
      <c r="V481">
        <v>5759</v>
      </c>
    </row>
    <row r="482" spans="1:22" x14ac:dyDescent="0.25">
      <c r="A482">
        <v>79452</v>
      </c>
      <c r="B482">
        <v>131864668</v>
      </c>
      <c r="C482" t="s">
        <v>2737</v>
      </c>
      <c r="D482" t="s">
        <v>2738</v>
      </c>
      <c r="E482" t="s">
        <v>846</v>
      </c>
      <c r="F482" t="s">
        <v>847</v>
      </c>
      <c r="G482" t="s">
        <v>142</v>
      </c>
      <c r="H482" t="s">
        <v>143</v>
      </c>
      <c r="I482" t="s">
        <v>35</v>
      </c>
      <c r="J482" t="s">
        <v>144</v>
      </c>
      <c r="K482" t="s">
        <v>2</v>
      </c>
      <c r="L482" t="s">
        <v>2739</v>
      </c>
      <c r="M482" t="s">
        <v>2740</v>
      </c>
      <c r="N482" t="s">
        <v>850</v>
      </c>
      <c r="O482" t="s">
        <v>40</v>
      </c>
      <c r="P482" t="s">
        <v>2741</v>
      </c>
      <c r="Q482" t="s">
        <v>149</v>
      </c>
      <c r="R482" t="s">
        <v>520</v>
      </c>
      <c r="S482">
        <v>1</v>
      </c>
      <c r="T482">
        <v>5759</v>
      </c>
      <c r="U482">
        <v>0</v>
      </c>
      <c r="V482">
        <v>5759</v>
      </c>
    </row>
    <row r="483" spans="1:22" x14ac:dyDescent="0.25">
      <c r="A483">
        <v>79452</v>
      </c>
      <c r="B483">
        <v>131773983</v>
      </c>
      <c r="C483" t="s">
        <v>2742</v>
      </c>
      <c r="D483" t="s">
        <v>2743</v>
      </c>
      <c r="E483" t="s">
        <v>846</v>
      </c>
      <c r="F483" t="s">
        <v>847</v>
      </c>
      <c r="G483" t="s">
        <v>142</v>
      </c>
      <c r="H483" t="s">
        <v>143</v>
      </c>
      <c r="I483" t="s">
        <v>35</v>
      </c>
      <c r="J483" t="s">
        <v>144</v>
      </c>
      <c r="K483" t="s">
        <v>2</v>
      </c>
      <c r="L483" t="s">
        <v>2744</v>
      </c>
      <c r="M483" t="s">
        <v>2745</v>
      </c>
      <c r="N483" t="s">
        <v>850</v>
      </c>
      <c r="O483" t="s">
        <v>40</v>
      </c>
      <c r="P483" t="s">
        <v>2746</v>
      </c>
      <c r="Q483" t="s">
        <v>109</v>
      </c>
      <c r="R483" t="s">
        <v>612</v>
      </c>
      <c r="S483">
        <v>1</v>
      </c>
      <c r="T483">
        <v>5759</v>
      </c>
      <c r="U483">
        <v>0</v>
      </c>
      <c r="V483">
        <v>5759</v>
      </c>
    </row>
    <row r="484" spans="1:22" x14ac:dyDescent="0.25">
      <c r="A484">
        <v>79452</v>
      </c>
      <c r="B484">
        <v>131590441</v>
      </c>
      <c r="C484" t="s">
        <v>2747</v>
      </c>
      <c r="D484" t="s">
        <v>2748</v>
      </c>
      <c r="E484" t="s">
        <v>846</v>
      </c>
      <c r="F484" t="s">
        <v>847</v>
      </c>
      <c r="G484" t="s">
        <v>142</v>
      </c>
      <c r="H484" t="s">
        <v>143</v>
      </c>
      <c r="I484" t="s">
        <v>35</v>
      </c>
      <c r="J484" t="s">
        <v>144</v>
      </c>
      <c r="K484" t="s">
        <v>2</v>
      </c>
      <c r="L484" t="s">
        <v>2749</v>
      </c>
      <c r="M484" t="s">
        <v>2750</v>
      </c>
      <c r="N484" t="s">
        <v>850</v>
      </c>
      <c r="O484" t="s">
        <v>40</v>
      </c>
      <c r="P484" t="s">
        <v>2751</v>
      </c>
      <c r="Q484" t="s">
        <v>149</v>
      </c>
      <c r="R484" t="s">
        <v>1671</v>
      </c>
      <c r="S484">
        <v>1</v>
      </c>
      <c r="T484">
        <v>5759</v>
      </c>
      <c r="U484">
        <v>0</v>
      </c>
      <c r="V484">
        <v>5759</v>
      </c>
    </row>
    <row r="485" spans="1:22" x14ac:dyDescent="0.25">
      <c r="A485">
        <v>79452</v>
      </c>
      <c r="B485">
        <v>131448317</v>
      </c>
      <c r="C485" t="s">
        <v>2752</v>
      </c>
      <c r="D485" t="s">
        <v>2753</v>
      </c>
      <c r="E485" t="s">
        <v>846</v>
      </c>
      <c r="F485" t="s">
        <v>847</v>
      </c>
      <c r="G485" t="s">
        <v>142</v>
      </c>
      <c r="H485" t="s">
        <v>143</v>
      </c>
      <c r="I485" t="s">
        <v>35</v>
      </c>
      <c r="J485" t="s">
        <v>144</v>
      </c>
      <c r="K485" t="s">
        <v>2</v>
      </c>
      <c r="L485" t="s">
        <v>2754</v>
      </c>
      <c r="M485" t="s">
        <v>2755</v>
      </c>
      <c r="N485" t="s">
        <v>850</v>
      </c>
      <c r="O485" t="s">
        <v>40</v>
      </c>
      <c r="P485" t="s">
        <v>2756</v>
      </c>
      <c r="Q485" t="s">
        <v>106</v>
      </c>
      <c r="R485" t="s">
        <v>619</v>
      </c>
      <c r="S485">
        <v>0.34</v>
      </c>
      <c r="T485">
        <v>5367</v>
      </c>
      <c r="U485">
        <v>0</v>
      </c>
      <c r="V485">
        <v>5367</v>
      </c>
    </row>
    <row r="486" spans="1:22" x14ac:dyDescent="0.25">
      <c r="A486">
        <v>79452</v>
      </c>
      <c r="B486">
        <v>131554974</v>
      </c>
      <c r="C486" t="s">
        <v>2757</v>
      </c>
      <c r="D486" t="s">
        <v>2758</v>
      </c>
      <c r="E486" t="s">
        <v>846</v>
      </c>
      <c r="F486" t="s">
        <v>847</v>
      </c>
      <c r="G486" t="s">
        <v>142</v>
      </c>
      <c r="H486" t="s">
        <v>143</v>
      </c>
      <c r="I486" t="s">
        <v>35</v>
      </c>
      <c r="J486" t="s">
        <v>144</v>
      </c>
      <c r="K486" t="s">
        <v>2</v>
      </c>
      <c r="L486" t="s">
        <v>2759</v>
      </c>
      <c r="M486" t="s">
        <v>2760</v>
      </c>
      <c r="N486" t="s">
        <v>850</v>
      </c>
      <c r="O486" t="s">
        <v>40</v>
      </c>
      <c r="P486" t="s">
        <v>2761</v>
      </c>
      <c r="Q486" t="s">
        <v>105</v>
      </c>
      <c r="R486" t="s">
        <v>1307</v>
      </c>
      <c r="S486">
        <v>1</v>
      </c>
      <c r="T486">
        <v>5759</v>
      </c>
      <c r="U486">
        <v>0</v>
      </c>
      <c r="V486">
        <v>5759</v>
      </c>
    </row>
    <row r="487" spans="1:22" x14ac:dyDescent="0.25">
      <c r="A487">
        <v>79452</v>
      </c>
      <c r="B487">
        <v>131732404</v>
      </c>
      <c r="C487" t="s">
        <v>2762</v>
      </c>
      <c r="D487" t="s">
        <v>2763</v>
      </c>
      <c r="E487" t="s">
        <v>846</v>
      </c>
      <c r="F487" t="s">
        <v>847</v>
      </c>
      <c r="G487" t="s">
        <v>142</v>
      </c>
      <c r="H487" t="s">
        <v>143</v>
      </c>
      <c r="I487" t="s">
        <v>35</v>
      </c>
      <c r="J487" t="s">
        <v>144</v>
      </c>
      <c r="K487" t="s">
        <v>2</v>
      </c>
      <c r="L487" t="s">
        <v>705</v>
      </c>
      <c r="M487" t="s">
        <v>2764</v>
      </c>
      <c r="N487" t="s">
        <v>850</v>
      </c>
      <c r="O487" t="s">
        <v>40</v>
      </c>
      <c r="P487" t="s">
        <v>2765</v>
      </c>
      <c r="Q487" t="s">
        <v>149</v>
      </c>
      <c r="R487" t="s">
        <v>684</v>
      </c>
      <c r="S487">
        <v>1</v>
      </c>
      <c r="T487">
        <v>5759</v>
      </c>
      <c r="U487">
        <v>0</v>
      </c>
      <c r="V487">
        <v>5759</v>
      </c>
    </row>
    <row r="488" spans="1:22" x14ac:dyDescent="0.25">
      <c r="A488">
        <v>79452</v>
      </c>
      <c r="B488">
        <v>131705206</v>
      </c>
      <c r="C488" t="s">
        <v>2766</v>
      </c>
      <c r="D488" t="s">
        <v>2767</v>
      </c>
      <c r="E488" t="s">
        <v>846</v>
      </c>
      <c r="F488" t="s">
        <v>847</v>
      </c>
      <c r="G488" t="s">
        <v>142</v>
      </c>
      <c r="H488" t="s">
        <v>143</v>
      </c>
      <c r="I488" t="s">
        <v>35</v>
      </c>
      <c r="J488" t="s">
        <v>144</v>
      </c>
      <c r="K488" t="s">
        <v>2</v>
      </c>
      <c r="L488" t="s">
        <v>2768</v>
      </c>
      <c r="M488" t="s">
        <v>2769</v>
      </c>
      <c r="N488" t="s">
        <v>850</v>
      </c>
      <c r="O488" t="s">
        <v>40</v>
      </c>
      <c r="P488" t="s">
        <v>2770</v>
      </c>
      <c r="Q488" t="s">
        <v>149</v>
      </c>
      <c r="R488" t="s">
        <v>297</v>
      </c>
      <c r="S488">
        <v>1</v>
      </c>
      <c r="T488">
        <v>5759</v>
      </c>
      <c r="U488">
        <v>0</v>
      </c>
      <c r="V488">
        <v>5759</v>
      </c>
    </row>
    <row r="489" spans="1:22" x14ac:dyDescent="0.25">
      <c r="A489">
        <v>79452</v>
      </c>
      <c r="B489">
        <v>131707077</v>
      </c>
      <c r="C489" t="s">
        <v>2771</v>
      </c>
      <c r="D489" t="s">
        <v>2772</v>
      </c>
      <c r="E489" t="s">
        <v>846</v>
      </c>
      <c r="F489" t="s">
        <v>847</v>
      </c>
      <c r="G489" t="s">
        <v>142</v>
      </c>
      <c r="H489" t="s">
        <v>143</v>
      </c>
      <c r="I489" t="s">
        <v>35</v>
      </c>
      <c r="J489" t="s">
        <v>144</v>
      </c>
      <c r="K489" t="s">
        <v>2</v>
      </c>
      <c r="L489" t="s">
        <v>2773</v>
      </c>
      <c r="M489" t="s">
        <v>2774</v>
      </c>
      <c r="N489" t="s">
        <v>850</v>
      </c>
      <c r="O489" t="s">
        <v>40</v>
      </c>
      <c r="P489" t="s">
        <v>2775</v>
      </c>
      <c r="Q489" t="s">
        <v>149</v>
      </c>
      <c r="R489" t="s">
        <v>812</v>
      </c>
      <c r="S489">
        <v>1</v>
      </c>
      <c r="T489">
        <v>5759</v>
      </c>
      <c r="U489">
        <v>0</v>
      </c>
      <c r="V489">
        <v>5759</v>
      </c>
    </row>
    <row r="490" spans="1:22" x14ac:dyDescent="0.25">
      <c r="A490">
        <v>79452</v>
      </c>
      <c r="B490">
        <v>131705240</v>
      </c>
      <c r="C490" t="s">
        <v>2776</v>
      </c>
      <c r="D490" t="s">
        <v>2777</v>
      </c>
      <c r="E490" t="s">
        <v>846</v>
      </c>
      <c r="F490" t="s">
        <v>847</v>
      </c>
      <c r="G490" t="s">
        <v>142</v>
      </c>
      <c r="H490" t="s">
        <v>143</v>
      </c>
      <c r="I490" t="s">
        <v>35</v>
      </c>
      <c r="J490" t="s">
        <v>144</v>
      </c>
      <c r="K490" t="s">
        <v>2</v>
      </c>
      <c r="L490" t="s">
        <v>2778</v>
      </c>
      <c r="M490" t="s">
        <v>2779</v>
      </c>
      <c r="N490" t="s">
        <v>850</v>
      </c>
      <c r="O490" t="s">
        <v>40</v>
      </c>
      <c r="P490" t="s">
        <v>2780</v>
      </c>
      <c r="Q490" t="s">
        <v>149</v>
      </c>
      <c r="R490" t="s">
        <v>297</v>
      </c>
      <c r="S490">
        <v>1</v>
      </c>
      <c r="T490">
        <v>5759</v>
      </c>
      <c r="U490">
        <v>0</v>
      </c>
      <c r="V490">
        <v>5759</v>
      </c>
    </row>
    <row r="491" spans="1:22" x14ac:dyDescent="0.25">
      <c r="A491">
        <v>79452</v>
      </c>
      <c r="B491">
        <v>131662621</v>
      </c>
      <c r="C491" t="s">
        <v>2781</v>
      </c>
      <c r="D491" t="s">
        <v>2782</v>
      </c>
      <c r="E491" t="s">
        <v>846</v>
      </c>
      <c r="F491" t="s">
        <v>847</v>
      </c>
      <c r="G491" t="s">
        <v>142</v>
      </c>
      <c r="H491" t="s">
        <v>143</v>
      </c>
      <c r="I491" t="s">
        <v>35</v>
      </c>
      <c r="J491" t="s">
        <v>144</v>
      </c>
      <c r="K491" t="s">
        <v>169</v>
      </c>
      <c r="L491" t="s">
        <v>267</v>
      </c>
      <c r="M491" t="s">
        <v>2783</v>
      </c>
      <c r="N491" t="s">
        <v>850</v>
      </c>
      <c r="O491" t="s">
        <v>40</v>
      </c>
      <c r="P491" t="s">
        <v>2784</v>
      </c>
      <c r="Q491" t="s">
        <v>149</v>
      </c>
      <c r="R491" t="s">
        <v>1242</v>
      </c>
      <c r="S491">
        <v>1</v>
      </c>
      <c r="T491">
        <v>5759</v>
      </c>
      <c r="U491">
        <v>0</v>
      </c>
      <c r="V491">
        <v>5759</v>
      </c>
    </row>
    <row r="492" spans="1:22" x14ac:dyDescent="0.25">
      <c r="A492">
        <v>79452</v>
      </c>
      <c r="B492">
        <v>131590446</v>
      </c>
      <c r="C492" t="s">
        <v>2785</v>
      </c>
      <c r="D492" t="s">
        <v>2786</v>
      </c>
      <c r="E492" t="s">
        <v>846</v>
      </c>
      <c r="F492" t="s">
        <v>847</v>
      </c>
      <c r="G492" t="s">
        <v>142</v>
      </c>
      <c r="H492" t="s">
        <v>143</v>
      </c>
      <c r="I492" t="s">
        <v>35</v>
      </c>
      <c r="J492" t="s">
        <v>144</v>
      </c>
      <c r="K492" t="s">
        <v>2</v>
      </c>
      <c r="L492" t="s">
        <v>2787</v>
      </c>
      <c r="M492" t="s">
        <v>2788</v>
      </c>
      <c r="N492" t="s">
        <v>850</v>
      </c>
      <c r="O492" t="s">
        <v>40</v>
      </c>
      <c r="P492" t="s">
        <v>2789</v>
      </c>
      <c r="Q492" t="s">
        <v>149</v>
      </c>
      <c r="R492" t="s">
        <v>1671</v>
      </c>
      <c r="S492">
        <v>1</v>
      </c>
      <c r="T492">
        <v>5759</v>
      </c>
      <c r="U492">
        <v>0</v>
      </c>
      <c r="V492">
        <v>5759</v>
      </c>
    </row>
    <row r="493" spans="1:22" x14ac:dyDescent="0.25">
      <c r="A493">
        <v>79452</v>
      </c>
      <c r="B493">
        <v>131339924</v>
      </c>
      <c r="C493" t="s">
        <v>2790</v>
      </c>
      <c r="D493" t="s">
        <v>2791</v>
      </c>
      <c r="E493" t="s">
        <v>846</v>
      </c>
      <c r="F493" t="s">
        <v>847</v>
      </c>
      <c r="G493" t="s">
        <v>142</v>
      </c>
      <c r="H493" t="s">
        <v>143</v>
      </c>
      <c r="I493" t="s">
        <v>35</v>
      </c>
      <c r="J493" t="s">
        <v>144</v>
      </c>
      <c r="K493" t="s">
        <v>2</v>
      </c>
      <c r="L493" t="s">
        <v>2792</v>
      </c>
      <c r="M493" t="s">
        <v>2793</v>
      </c>
      <c r="N493" t="s">
        <v>850</v>
      </c>
      <c r="O493" t="s">
        <v>40</v>
      </c>
      <c r="P493" t="s">
        <v>2794</v>
      </c>
      <c r="Q493" t="s">
        <v>106</v>
      </c>
      <c r="R493" t="s">
        <v>2096</v>
      </c>
      <c r="S493">
        <v>1</v>
      </c>
      <c r="T493">
        <v>5759</v>
      </c>
      <c r="U493">
        <v>0</v>
      </c>
      <c r="V493">
        <v>5759</v>
      </c>
    </row>
    <row r="494" spans="1:22" x14ac:dyDescent="0.25">
      <c r="A494">
        <v>79452</v>
      </c>
      <c r="B494">
        <v>131346675</v>
      </c>
      <c r="C494" t="s">
        <v>2795</v>
      </c>
      <c r="D494" t="s">
        <v>2796</v>
      </c>
      <c r="E494" t="s">
        <v>846</v>
      </c>
      <c r="F494" t="s">
        <v>847</v>
      </c>
      <c r="G494" t="s">
        <v>142</v>
      </c>
      <c r="H494" t="s">
        <v>143</v>
      </c>
      <c r="I494" t="s">
        <v>35</v>
      </c>
      <c r="J494" t="s">
        <v>144</v>
      </c>
      <c r="K494" t="s">
        <v>2</v>
      </c>
      <c r="L494" t="s">
        <v>2797</v>
      </c>
      <c r="M494" t="s">
        <v>2798</v>
      </c>
      <c r="N494" t="s">
        <v>850</v>
      </c>
      <c r="O494" t="s">
        <v>40</v>
      </c>
      <c r="P494" t="s">
        <v>2799</v>
      </c>
      <c r="Q494" t="s">
        <v>105</v>
      </c>
      <c r="R494" t="s">
        <v>2102</v>
      </c>
      <c r="S494">
        <v>1</v>
      </c>
      <c r="T494">
        <v>5759</v>
      </c>
      <c r="U494">
        <v>0</v>
      </c>
      <c r="V494">
        <v>5759</v>
      </c>
    </row>
    <row r="495" spans="1:22" x14ac:dyDescent="0.25">
      <c r="A495">
        <v>79452</v>
      </c>
      <c r="B495">
        <v>131529870</v>
      </c>
      <c r="C495" t="s">
        <v>2800</v>
      </c>
      <c r="D495" t="s">
        <v>2801</v>
      </c>
      <c r="E495" t="s">
        <v>846</v>
      </c>
      <c r="F495" t="s">
        <v>847</v>
      </c>
      <c r="G495" t="s">
        <v>142</v>
      </c>
      <c r="H495" t="s">
        <v>143</v>
      </c>
      <c r="I495" t="s">
        <v>35</v>
      </c>
      <c r="J495" t="s">
        <v>144</v>
      </c>
      <c r="K495" t="s">
        <v>2</v>
      </c>
      <c r="L495" t="s">
        <v>2802</v>
      </c>
      <c r="M495" t="s">
        <v>2803</v>
      </c>
      <c r="N495" t="s">
        <v>850</v>
      </c>
      <c r="O495" t="s">
        <v>40</v>
      </c>
      <c r="P495" t="s">
        <v>2804</v>
      </c>
      <c r="Q495" t="s">
        <v>149</v>
      </c>
      <c r="R495" t="s">
        <v>381</v>
      </c>
      <c r="S495">
        <v>1</v>
      </c>
      <c r="T495">
        <v>5759</v>
      </c>
      <c r="U495">
        <v>0</v>
      </c>
      <c r="V495">
        <v>5759</v>
      </c>
    </row>
    <row r="496" spans="1:22" x14ac:dyDescent="0.25">
      <c r="A496">
        <v>79452</v>
      </c>
      <c r="B496">
        <v>131489615</v>
      </c>
      <c r="C496" t="s">
        <v>2805</v>
      </c>
      <c r="D496" t="s">
        <v>2806</v>
      </c>
      <c r="E496" t="s">
        <v>846</v>
      </c>
      <c r="F496" t="s">
        <v>847</v>
      </c>
      <c r="G496" t="s">
        <v>142</v>
      </c>
      <c r="H496" t="s">
        <v>143</v>
      </c>
      <c r="I496" t="s">
        <v>35</v>
      </c>
      <c r="J496" t="s">
        <v>144</v>
      </c>
      <c r="K496" t="s">
        <v>2</v>
      </c>
      <c r="L496" t="s">
        <v>2807</v>
      </c>
      <c r="M496" t="s">
        <v>2808</v>
      </c>
      <c r="N496" t="s">
        <v>850</v>
      </c>
      <c r="O496" t="s">
        <v>40</v>
      </c>
      <c r="P496" t="s">
        <v>2809</v>
      </c>
      <c r="Q496" t="s">
        <v>149</v>
      </c>
      <c r="R496" t="s">
        <v>304</v>
      </c>
      <c r="S496">
        <v>1</v>
      </c>
      <c r="T496">
        <v>5759</v>
      </c>
      <c r="U496">
        <v>0</v>
      </c>
      <c r="V496">
        <v>5759</v>
      </c>
    </row>
    <row r="497" spans="1:22" x14ac:dyDescent="0.25">
      <c r="A497">
        <v>79452</v>
      </c>
      <c r="B497">
        <v>131346683</v>
      </c>
      <c r="C497" t="s">
        <v>2810</v>
      </c>
      <c r="D497" t="s">
        <v>2811</v>
      </c>
      <c r="E497" t="s">
        <v>846</v>
      </c>
      <c r="F497" t="s">
        <v>847</v>
      </c>
      <c r="G497" t="s">
        <v>142</v>
      </c>
      <c r="H497" t="s">
        <v>143</v>
      </c>
      <c r="I497" t="s">
        <v>35</v>
      </c>
      <c r="J497" t="s">
        <v>144</v>
      </c>
      <c r="K497" t="s">
        <v>2</v>
      </c>
      <c r="L497" t="s">
        <v>2812</v>
      </c>
      <c r="M497" t="s">
        <v>548</v>
      </c>
      <c r="N497" t="s">
        <v>850</v>
      </c>
      <c r="O497" t="s">
        <v>40</v>
      </c>
      <c r="P497" t="s">
        <v>2813</v>
      </c>
      <c r="Q497" t="s">
        <v>149</v>
      </c>
      <c r="R497" t="s">
        <v>2102</v>
      </c>
      <c r="S497">
        <v>1</v>
      </c>
      <c r="T497">
        <v>5759</v>
      </c>
      <c r="U497">
        <v>0</v>
      </c>
      <c r="V497">
        <v>5759</v>
      </c>
    </row>
    <row r="498" spans="1:22" x14ac:dyDescent="0.25">
      <c r="A498">
        <v>79452</v>
      </c>
      <c r="B498">
        <v>131339916</v>
      </c>
      <c r="C498" t="s">
        <v>2814</v>
      </c>
      <c r="D498" t="s">
        <v>2815</v>
      </c>
      <c r="E498" t="s">
        <v>846</v>
      </c>
      <c r="F498" t="s">
        <v>847</v>
      </c>
      <c r="G498" t="s">
        <v>142</v>
      </c>
      <c r="H498" t="s">
        <v>143</v>
      </c>
      <c r="I498" t="s">
        <v>35</v>
      </c>
      <c r="J498" t="s">
        <v>144</v>
      </c>
      <c r="K498" t="s">
        <v>2</v>
      </c>
      <c r="L498" t="s">
        <v>2816</v>
      </c>
      <c r="M498" t="s">
        <v>2817</v>
      </c>
      <c r="N498" t="s">
        <v>850</v>
      </c>
      <c r="O498" t="s">
        <v>40</v>
      </c>
      <c r="P498" t="s">
        <v>2818</v>
      </c>
      <c r="Q498" t="s">
        <v>109</v>
      </c>
      <c r="R498" t="s">
        <v>2096</v>
      </c>
      <c r="S498">
        <v>1</v>
      </c>
      <c r="T498">
        <v>5759</v>
      </c>
      <c r="U498">
        <v>0</v>
      </c>
      <c r="V498">
        <v>5759</v>
      </c>
    </row>
    <row r="499" spans="1:22" x14ac:dyDescent="0.25">
      <c r="A499">
        <v>79452</v>
      </c>
      <c r="B499">
        <v>131383475</v>
      </c>
      <c r="C499" t="s">
        <v>2819</v>
      </c>
      <c r="D499" t="s">
        <v>2820</v>
      </c>
      <c r="E499" t="s">
        <v>846</v>
      </c>
      <c r="F499" t="s">
        <v>847</v>
      </c>
      <c r="G499" t="s">
        <v>142</v>
      </c>
      <c r="H499" t="s">
        <v>143</v>
      </c>
      <c r="I499" t="s">
        <v>35</v>
      </c>
      <c r="J499" t="s">
        <v>144</v>
      </c>
      <c r="K499" t="s">
        <v>2</v>
      </c>
      <c r="L499" t="s">
        <v>2821</v>
      </c>
      <c r="M499" t="s">
        <v>2740</v>
      </c>
      <c r="N499" t="s">
        <v>850</v>
      </c>
      <c r="O499" t="s">
        <v>40</v>
      </c>
      <c r="P499" t="s">
        <v>2741</v>
      </c>
      <c r="Q499" t="s">
        <v>149</v>
      </c>
      <c r="R499" t="s">
        <v>1386</v>
      </c>
      <c r="S499">
        <v>1</v>
      </c>
      <c r="T499">
        <v>5759</v>
      </c>
      <c r="U499">
        <v>0</v>
      </c>
      <c r="V499">
        <v>5759</v>
      </c>
    </row>
    <row r="500" spans="1:22" x14ac:dyDescent="0.25">
      <c r="A500">
        <v>79452</v>
      </c>
      <c r="B500">
        <v>131311804</v>
      </c>
      <c r="C500" t="s">
        <v>2822</v>
      </c>
      <c r="D500" t="s">
        <v>2823</v>
      </c>
      <c r="E500" t="s">
        <v>846</v>
      </c>
      <c r="F500" t="s">
        <v>847</v>
      </c>
      <c r="G500" t="s">
        <v>142</v>
      </c>
      <c r="H500" t="s">
        <v>143</v>
      </c>
      <c r="I500" t="s">
        <v>35</v>
      </c>
      <c r="J500" t="s">
        <v>144</v>
      </c>
      <c r="K500" t="s">
        <v>2</v>
      </c>
      <c r="L500" t="s">
        <v>2824</v>
      </c>
      <c r="M500" t="s">
        <v>2825</v>
      </c>
      <c r="N500" t="s">
        <v>850</v>
      </c>
      <c r="O500" t="s">
        <v>40</v>
      </c>
      <c r="P500" t="s">
        <v>2826</v>
      </c>
      <c r="Q500" t="s">
        <v>149</v>
      </c>
      <c r="R500" t="s">
        <v>811</v>
      </c>
      <c r="S500">
        <v>1</v>
      </c>
      <c r="T500">
        <v>5759</v>
      </c>
      <c r="U500">
        <v>0</v>
      </c>
      <c r="V500">
        <v>5759</v>
      </c>
    </row>
    <row r="501" spans="1:22" x14ac:dyDescent="0.25">
      <c r="A501">
        <v>79452</v>
      </c>
      <c r="B501">
        <v>131277253</v>
      </c>
      <c r="C501" t="s">
        <v>2827</v>
      </c>
      <c r="D501" t="s">
        <v>2828</v>
      </c>
      <c r="E501" t="s">
        <v>846</v>
      </c>
      <c r="F501" t="s">
        <v>847</v>
      </c>
      <c r="G501" t="s">
        <v>142</v>
      </c>
      <c r="H501" t="s">
        <v>143</v>
      </c>
      <c r="I501" t="s">
        <v>35</v>
      </c>
      <c r="J501" t="s">
        <v>144</v>
      </c>
      <c r="K501" t="s">
        <v>2</v>
      </c>
      <c r="L501" t="s">
        <v>2829</v>
      </c>
      <c r="M501" t="s">
        <v>2830</v>
      </c>
      <c r="N501" t="s">
        <v>850</v>
      </c>
      <c r="O501" t="s">
        <v>40</v>
      </c>
      <c r="P501" t="s">
        <v>2831</v>
      </c>
      <c r="Q501" t="s">
        <v>149</v>
      </c>
      <c r="R501" t="s">
        <v>605</v>
      </c>
      <c r="S501">
        <v>0.25</v>
      </c>
      <c r="T501">
        <v>8085</v>
      </c>
      <c r="U501">
        <v>0</v>
      </c>
      <c r="V501">
        <v>8085</v>
      </c>
    </row>
    <row r="502" spans="1:22" x14ac:dyDescent="0.25">
      <c r="A502">
        <v>79452</v>
      </c>
      <c r="B502">
        <v>131236059</v>
      </c>
      <c r="C502" t="s">
        <v>2832</v>
      </c>
      <c r="D502" t="s">
        <v>2833</v>
      </c>
      <c r="E502" t="s">
        <v>846</v>
      </c>
      <c r="F502" t="s">
        <v>847</v>
      </c>
      <c r="G502" t="s">
        <v>142</v>
      </c>
      <c r="H502" t="s">
        <v>143</v>
      </c>
      <c r="I502" t="s">
        <v>35</v>
      </c>
      <c r="J502" t="s">
        <v>144</v>
      </c>
      <c r="K502" t="s">
        <v>2</v>
      </c>
      <c r="L502" t="s">
        <v>2834</v>
      </c>
      <c r="M502" t="s">
        <v>2835</v>
      </c>
      <c r="N502" t="s">
        <v>850</v>
      </c>
      <c r="O502" t="s">
        <v>40</v>
      </c>
      <c r="P502" t="s">
        <v>2836</v>
      </c>
      <c r="Q502" t="s">
        <v>149</v>
      </c>
      <c r="R502" t="s">
        <v>603</v>
      </c>
      <c r="S502">
        <v>1</v>
      </c>
      <c r="T502">
        <v>7864</v>
      </c>
      <c r="U502">
        <v>0</v>
      </c>
      <c r="V502">
        <v>7864</v>
      </c>
    </row>
    <row r="503" spans="1:22" x14ac:dyDescent="0.25">
      <c r="A503">
        <v>79452</v>
      </c>
      <c r="B503">
        <v>131182287</v>
      </c>
      <c r="C503" t="s">
        <v>2837</v>
      </c>
      <c r="D503" t="s">
        <v>2838</v>
      </c>
      <c r="E503" t="s">
        <v>846</v>
      </c>
      <c r="F503" t="s">
        <v>847</v>
      </c>
      <c r="G503" t="s">
        <v>142</v>
      </c>
      <c r="H503" t="s">
        <v>143</v>
      </c>
      <c r="I503" t="s">
        <v>35</v>
      </c>
      <c r="J503" t="s">
        <v>144</v>
      </c>
      <c r="K503" t="s">
        <v>2</v>
      </c>
      <c r="L503" t="s">
        <v>2839</v>
      </c>
      <c r="M503" t="s">
        <v>2840</v>
      </c>
      <c r="N503" t="s">
        <v>850</v>
      </c>
      <c r="O503" t="s">
        <v>40</v>
      </c>
      <c r="P503" t="s">
        <v>2841</v>
      </c>
      <c r="Q503" t="s">
        <v>109</v>
      </c>
      <c r="R503" t="s">
        <v>2616</v>
      </c>
      <c r="S503">
        <v>1</v>
      </c>
      <c r="T503">
        <v>8415</v>
      </c>
      <c r="U503">
        <v>0</v>
      </c>
      <c r="V503">
        <v>8415</v>
      </c>
    </row>
    <row r="504" spans="1:22" x14ac:dyDescent="0.25">
      <c r="A504">
        <v>79452</v>
      </c>
      <c r="B504">
        <v>131236056</v>
      </c>
      <c r="C504" t="s">
        <v>2842</v>
      </c>
      <c r="D504" t="s">
        <v>2843</v>
      </c>
      <c r="E504" t="s">
        <v>846</v>
      </c>
      <c r="F504" t="s">
        <v>847</v>
      </c>
      <c r="G504" t="s">
        <v>142</v>
      </c>
      <c r="H504" t="s">
        <v>143</v>
      </c>
      <c r="I504" t="s">
        <v>35</v>
      </c>
      <c r="J504" t="s">
        <v>144</v>
      </c>
      <c r="K504" t="s">
        <v>2</v>
      </c>
      <c r="L504" t="s">
        <v>2844</v>
      </c>
      <c r="M504" t="s">
        <v>2845</v>
      </c>
      <c r="N504" t="s">
        <v>850</v>
      </c>
      <c r="O504" t="s">
        <v>40</v>
      </c>
      <c r="P504" t="s">
        <v>2846</v>
      </c>
      <c r="Q504" t="s">
        <v>149</v>
      </c>
      <c r="R504" t="s">
        <v>603</v>
      </c>
      <c r="S504">
        <v>1</v>
      </c>
      <c r="T504">
        <v>7864</v>
      </c>
      <c r="U504">
        <v>0</v>
      </c>
      <c r="V504">
        <v>7864</v>
      </c>
    </row>
    <row r="505" spans="1:22" x14ac:dyDescent="0.25">
      <c r="A505">
        <v>79452</v>
      </c>
      <c r="B505">
        <v>131041023</v>
      </c>
      <c r="C505" t="s">
        <v>2847</v>
      </c>
      <c r="D505" t="s">
        <v>2848</v>
      </c>
      <c r="E505" t="s">
        <v>846</v>
      </c>
      <c r="F505" t="s">
        <v>847</v>
      </c>
      <c r="G505" t="s">
        <v>142</v>
      </c>
      <c r="H505" t="s">
        <v>143</v>
      </c>
      <c r="I505" t="s">
        <v>35</v>
      </c>
      <c r="J505" t="s">
        <v>144</v>
      </c>
      <c r="K505" t="s">
        <v>2</v>
      </c>
      <c r="L505" t="s">
        <v>703</v>
      </c>
      <c r="M505" t="s">
        <v>2849</v>
      </c>
      <c r="N505" t="s">
        <v>850</v>
      </c>
      <c r="O505" t="s">
        <v>40</v>
      </c>
      <c r="P505" t="s">
        <v>2850</v>
      </c>
      <c r="Q505" t="s">
        <v>107</v>
      </c>
      <c r="R505" t="s">
        <v>2851</v>
      </c>
      <c r="S505">
        <v>1</v>
      </c>
      <c r="T505">
        <v>7212</v>
      </c>
      <c r="U505">
        <v>0</v>
      </c>
      <c r="V505">
        <v>7212</v>
      </c>
    </row>
    <row r="506" spans="1:22" x14ac:dyDescent="0.25">
      <c r="A506">
        <v>79452</v>
      </c>
      <c r="B506">
        <v>132194239</v>
      </c>
      <c r="C506" t="s">
        <v>2852</v>
      </c>
      <c r="D506" t="s">
        <v>2853</v>
      </c>
      <c r="E506" t="s">
        <v>846</v>
      </c>
      <c r="F506" t="s">
        <v>847</v>
      </c>
      <c r="G506" t="s">
        <v>162</v>
      </c>
      <c r="H506" t="s">
        <v>163</v>
      </c>
      <c r="I506" t="s">
        <v>35</v>
      </c>
      <c r="J506" t="s">
        <v>164</v>
      </c>
      <c r="K506" t="s">
        <v>2</v>
      </c>
      <c r="L506" t="s">
        <v>2854</v>
      </c>
      <c r="M506" t="s">
        <v>2855</v>
      </c>
      <c r="N506" t="s">
        <v>850</v>
      </c>
      <c r="O506" t="s">
        <v>40</v>
      </c>
      <c r="P506" t="s">
        <v>2856</v>
      </c>
      <c r="Q506" t="s">
        <v>228</v>
      </c>
      <c r="R506" t="s">
        <v>378</v>
      </c>
      <c r="S506">
        <v>0.73</v>
      </c>
      <c r="T506">
        <v>5461</v>
      </c>
      <c r="U506">
        <v>449.85</v>
      </c>
      <c r="V506">
        <v>5910.85</v>
      </c>
    </row>
    <row r="507" spans="1:22" x14ac:dyDescent="0.25">
      <c r="A507">
        <v>79452</v>
      </c>
      <c r="B507">
        <v>132125529</v>
      </c>
      <c r="C507" t="s">
        <v>2857</v>
      </c>
      <c r="D507" t="s">
        <v>2858</v>
      </c>
      <c r="E507" t="s">
        <v>846</v>
      </c>
      <c r="F507" t="s">
        <v>847</v>
      </c>
      <c r="G507" t="s">
        <v>162</v>
      </c>
      <c r="H507" t="s">
        <v>163</v>
      </c>
      <c r="I507" t="s">
        <v>35</v>
      </c>
      <c r="J507" t="s">
        <v>164</v>
      </c>
      <c r="K507" t="s">
        <v>2</v>
      </c>
      <c r="L507" t="s">
        <v>2859</v>
      </c>
      <c r="M507" t="s">
        <v>527</v>
      </c>
      <c r="N507" t="s">
        <v>850</v>
      </c>
      <c r="O507" t="s">
        <v>40</v>
      </c>
      <c r="P507" t="s">
        <v>2860</v>
      </c>
      <c r="Q507" t="s">
        <v>264</v>
      </c>
      <c r="R507" t="s">
        <v>552</v>
      </c>
      <c r="S507">
        <v>0.61</v>
      </c>
      <c r="T507">
        <v>8367</v>
      </c>
      <c r="U507">
        <v>299.89999999999998</v>
      </c>
      <c r="V507">
        <v>8666.9</v>
      </c>
    </row>
    <row r="508" spans="1:22" x14ac:dyDescent="0.25">
      <c r="A508">
        <v>79452</v>
      </c>
      <c r="B508">
        <v>132178869</v>
      </c>
      <c r="C508" t="s">
        <v>2861</v>
      </c>
      <c r="D508" t="s">
        <v>2862</v>
      </c>
      <c r="E508" t="s">
        <v>846</v>
      </c>
      <c r="F508" t="s">
        <v>847</v>
      </c>
      <c r="G508" t="s">
        <v>162</v>
      </c>
      <c r="H508" t="s">
        <v>163</v>
      </c>
      <c r="I508" t="s">
        <v>35</v>
      </c>
      <c r="J508" t="s">
        <v>164</v>
      </c>
      <c r="K508" t="s">
        <v>2</v>
      </c>
      <c r="L508" t="s">
        <v>2863</v>
      </c>
      <c r="M508" t="s">
        <v>2864</v>
      </c>
      <c r="N508" t="s">
        <v>850</v>
      </c>
      <c r="O508" t="s">
        <v>40</v>
      </c>
      <c r="P508" t="s">
        <v>2865</v>
      </c>
      <c r="Q508" t="s">
        <v>227</v>
      </c>
      <c r="R508" t="s">
        <v>551</v>
      </c>
      <c r="S508">
        <v>0.78</v>
      </c>
      <c r="T508">
        <v>5282</v>
      </c>
      <c r="U508">
        <v>149.94999999999999</v>
      </c>
      <c r="V508">
        <v>5431.95</v>
      </c>
    </row>
    <row r="509" spans="1:22" x14ac:dyDescent="0.25">
      <c r="A509">
        <v>79452</v>
      </c>
      <c r="B509">
        <v>132150929</v>
      </c>
      <c r="C509" t="s">
        <v>2866</v>
      </c>
      <c r="D509" t="s">
        <v>2867</v>
      </c>
      <c r="E509" t="s">
        <v>846</v>
      </c>
      <c r="F509" t="s">
        <v>847</v>
      </c>
      <c r="G509" t="s">
        <v>162</v>
      </c>
      <c r="H509" t="s">
        <v>163</v>
      </c>
      <c r="I509" t="s">
        <v>35</v>
      </c>
      <c r="J509" t="s">
        <v>164</v>
      </c>
      <c r="K509" t="s">
        <v>2</v>
      </c>
      <c r="L509" t="s">
        <v>2868</v>
      </c>
      <c r="M509" t="s">
        <v>2869</v>
      </c>
      <c r="N509" t="s">
        <v>850</v>
      </c>
      <c r="O509" t="s">
        <v>40</v>
      </c>
      <c r="P509" t="s">
        <v>2870</v>
      </c>
      <c r="Q509" t="s">
        <v>246</v>
      </c>
      <c r="R509" t="s">
        <v>739</v>
      </c>
      <c r="S509">
        <v>0.28999999999999998</v>
      </c>
      <c r="T509">
        <v>4192</v>
      </c>
      <c r="U509">
        <v>149.94999999999999</v>
      </c>
      <c r="V509">
        <v>4341.95</v>
      </c>
    </row>
    <row r="510" spans="1:22" x14ac:dyDescent="0.25">
      <c r="A510">
        <v>79452</v>
      </c>
      <c r="B510">
        <v>132048397</v>
      </c>
      <c r="C510" t="s">
        <v>2871</v>
      </c>
      <c r="D510" t="s">
        <v>2872</v>
      </c>
      <c r="E510" t="s">
        <v>846</v>
      </c>
      <c r="F510" t="s">
        <v>847</v>
      </c>
      <c r="G510" t="s">
        <v>162</v>
      </c>
      <c r="H510" t="s">
        <v>163</v>
      </c>
      <c r="I510" t="s">
        <v>35</v>
      </c>
      <c r="J510" t="s">
        <v>164</v>
      </c>
      <c r="K510" t="s">
        <v>2</v>
      </c>
      <c r="L510" t="s">
        <v>2873</v>
      </c>
      <c r="M510" t="s">
        <v>2874</v>
      </c>
      <c r="N510" t="s">
        <v>850</v>
      </c>
      <c r="O510" t="s">
        <v>40</v>
      </c>
      <c r="P510" t="s">
        <v>2875</v>
      </c>
      <c r="Q510" t="s">
        <v>192</v>
      </c>
      <c r="R510" t="s">
        <v>430</v>
      </c>
      <c r="S510">
        <v>0.28999999999999998</v>
      </c>
      <c r="T510">
        <v>3711</v>
      </c>
      <c r="U510">
        <v>149.94999999999999</v>
      </c>
      <c r="V510">
        <v>3860.95</v>
      </c>
    </row>
    <row r="511" spans="1:22" x14ac:dyDescent="0.25">
      <c r="A511">
        <v>79452</v>
      </c>
      <c r="B511">
        <v>132021669</v>
      </c>
      <c r="C511" t="s">
        <v>2876</v>
      </c>
      <c r="D511" t="s">
        <v>2877</v>
      </c>
      <c r="E511" t="s">
        <v>846</v>
      </c>
      <c r="F511" t="s">
        <v>847</v>
      </c>
      <c r="G511" t="s">
        <v>162</v>
      </c>
      <c r="H511" t="s">
        <v>163</v>
      </c>
      <c r="I511" t="s">
        <v>35</v>
      </c>
      <c r="J511" t="s">
        <v>164</v>
      </c>
      <c r="K511" t="s">
        <v>2</v>
      </c>
      <c r="L511" t="s">
        <v>2878</v>
      </c>
      <c r="M511" t="s">
        <v>2879</v>
      </c>
      <c r="N511" t="s">
        <v>850</v>
      </c>
      <c r="O511" t="s">
        <v>40</v>
      </c>
      <c r="P511" t="s">
        <v>2880</v>
      </c>
      <c r="Q511" t="s">
        <v>238</v>
      </c>
      <c r="R511" t="s">
        <v>599</v>
      </c>
      <c r="S511">
        <v>0.47</v>
      </c>
      <c r="T511">
        <v>5282</v>
      </c>
      <c r="U511">
        <v>299.89999999999998</v>
      </c>
      <c r="V511">
        <v>5581.9</v>
      </c>
    </row>
    <row r="512" spans="1:22" x14ac:dyDescent="0.25">
      <c r="A512">
        <v>79452</v>
      </c>
      <c r="B512">
        <v>132021660</v>
      </c>
      <c r="C512" t="s">
        <v>2881</v>
      </c>
      <c r="D512" t="s">
        <v>2882</v>
      </c>
      <c r="E512" t="s">
        <v>846</v>
      </c>
      <c r="F512" t="s">
        <v>847</v>
      </c>
      <c r="G512" t="s">
        <v>162</v>
      </c>
      <c r="H512" t="s">
        <v>163</v>
      </c>
      <c r="I512" t="s">
        <v>35</v>
      </c>
      <c r="J512" t="s">
        <v>164</v>
      </c>
      <c r="K512" t="s">
        <v>2</v>
      </c>
      <c r="L512" t="s">
        <v>2883</v>
      </c>
      <c r="M512" t="s">
        <v>2884</v>
      </c>
      <c r="N512" t="s">
        <v>850</v>
      </c>
      <c r="O512" t="s">
        <v>40</v>
      </c>
      <c r="P512" t="s">
        <v>2885</v>
      </c>
      <c r="Q512" t="s">
        <v>137</v>
      </c>
      <c r="R512" t="s">
        <v>599</v>
      </c>
      <c r="S512">
        <v>0.55000000000000004</v>
      </c>
      <c r="T512">
        <v>3711</v>
      </c>
      <c r="U512">
        <v>299.89999999999998</v>
      </c>
      <c r="V512">
        <v>4010.9</v>
      </c>
    </row>
    <row r="513" spans="1:22" x14ac:dyDescent="0.25">
      <c r="A513">
        <v>79452</v>
      </c>
      <c r="B513">
        <v>132021641</v>
      </c>
      <c r="C513" t="s">
        <v>2886</v>
      </c>
      <c r="D513" t="s">
        <v>2887</v>
      </c>
      <c r="E513" t="s">
        <v>846</v>
      </c>
      <c r="F513" t="s">
        <v>847</v>
      </c>
      <c r="G513" t="s">
        <v>162</v>
      </c>
      <c r="H513" t="s">
        <v>163</v>
      </c>
      <c r="I513" t="s">
        <v>35</v>
      </c>
      <c r="J513" t="s">
        <v>164</v>
      </c>
      <c r="K513" t="s">
        <v>2</v>
      </c>
      <c r="L513" t="s">
        <v>2888</v>
      </c>
      <c r="M513" t="s">
        <v>2889</v>
      </c>
      <c r="N513" t="s">
        <v>850</v>
      </c>
      <c r="O513" t="s">
        <v>40</v>
      </c>
      <c r="P513" t="s">
        <v>2890</v>
      </c>
      <c r="Q513" t="s">
        <v>54</v>
      </c>
      <c r="R513" t="s">
        <v>599</v>
      </c>
      <c r="S513">
        <v>0.61</v>
      </c>
      <c r="T513">
        <v>4402</v>
      </c>
      <c r="U513">
        <v>299.89999999999998</v>
      </c>
      <c r="V513">
        <v>4701.8999999999996</v>
      </c>
    </row>
    <row r="514" spans="1:22" x14ac:dyDescent="0.25">
      <c r="A514">
        <v>79452</v>
      </c>
      <c r="B514">
        <v>132021656</v>
      </c>
      <c r="C514" t="s">
        <v>2891</v>
      </c>
      <c r="D514" t="s">
        <v>2892</v>
      </c>
      <c r="E514" t="s">
        <v>846</v>
      </c>
      <c r="F514" t="s">
        <v>847</v>
      </c>
      <c r="G514" t="s">
        <v>162</v>
      </c>
      <c r="H514" t="s">
        <v>163</v>
      </c>
      <c r="I514" t="s">
        <v>35</v>
      </c>
      <c r="J514" t="s">
        <v>164</v>
      </c>
      <c r="K514" t="s">
        <v>2</v>
      </c>
      <c r="L514" t="s">
        <v>2893</v>
      </c>
      <c r="M514" t="s">
        <v>2894</v>
      </c>
      <c r="N514" t="s">
        <v>850</v>
      </c>
      <c r="O514" t="s">
        <v>40</v>
      </c>
      <c r="P514" t="s">
        <v>2895</v>
      </c>
      <c r="Q514" t="s">
        <v>114</v>
      </c>
      <c r="R514" t="s">
        <v>599</v>
      </c>
      <c r="S514">
        <v>0.57999999999999996</v>
      </c>
      <c r="T514">
        <v>6795</v>
      </c>
      <c r="U514">
        <v>324.89999999999998</v>
      </c>
      <c r="V514">
        <v>7119.9</v>
      </c>
    </row>
    <row r="515" spans="1:22" x14ac:dyDescent="0.25">
      <c r="A515">
        <v>79452</v>
      </c>
      <c r="B515">
        <v>131965506</v>
      </c>
      <c r="C515" t="s">
        <v>2896</v>
      </c>
      <c r="D515" t="s">
        <v>2897</v>
      </c>
      <c r="E515" t="s">
        <v>846</v>
      </c>
      <c r="F515" t="s">
        <v>847</v>
      </c>
      <c r="G515" t="s">
        <v>162</v>
      </c>
      <c r="H515" t="s">
        <v>163</v>
      </c>
      <c r="I515" t="s">
        <v>35</v>
      </c>
      <c r="J515" t="s">
        <v>164</v>
      </c>
      <c r="K515" t="s">
        <v>2</v>
      </c>
      <c r="L515" t="s">
        <v>2898</v>
      </c>
      <c r="M515" t="s">
        <v>2899</v>
      </c>
      <c r="N515" t="s">
        <v>850</v>
      </c>
      <c r="O515" t="s">
        <v>40</v>
      </c>
      <c r="P515" t="s">
        <v>2900</v>
      </c>
      <c r="Q515" t="s">
        <v>200</v>
      </c>
      <c r="R515" t="s">
        <v>285</v>
      </c>
      <c r="S515">
        <v>0.28000000000000003</v>
      </c>
      <c r="T515">
        <v>4607</v>
      </c>
      <c r="U515">
        <v>149.94999999999999</v>
      </c>
      <c r="V515">
        <v>4756.95</v>
      </c>
    </row>
    <row r="516" spans="1:22" x14ac:dyDescent="0.25">
      <c r="A516">
        <v>79452</v>
      </c>
      <c r="B516">
        <v>131952763</v>
      </c>
      <c r="C516" t="s">
        <v>2901</v>
      </c>
      <c r="D516" t="s">
        <v>2902</v>
      </c>
      <c r="E516" t="s">
        <v>846</v>
      </c>
      <c r="F516" t="s">
        <v>847</v>
      </c>
      <c r="G516" t="s">
        <v>162</v>
      </c>
      <c r="H516" t="s">
        <v>163</v>
      </c>
      <c r="I516" t="s">
        <v>35</v>
      </c>
      <c r="J516" t="s">
        <v>164</v>
      </c>
      <c r="K516" t="s">
        <v>2</v>
      </c>
      <c r="L516" t="s">
        <v>2903</v>
      </c>
      <c r="M516" t="s">
        <v>2904</v>
      </c>
      <c r="N516" t="s">
        <v>850</v>
      </c>
      <c r="O516" t="s">
        <v>40</v>
      </c>
      <c r="P516" t="s">
        <v>2905</v>
      </c>
      <c r="Q516" t="s">
        <v>54</v>
      </c>
      <c r="R516" t="s">
        <v>541</v>
      </c>
      <c r="S516">
        <v>0.43</v>
      </c>
      <c r="T516">
        <v>4402</v>
      </c>
      <c r="U516">
        <v>299.89999999999998</v>
      </c>
      <c r="V516">
        <v>4701.8999999999996</v>
      </c>
    </row>
    <row r="517" spans="1:22" x14ac:dyDescent="0.25">
      <c r="A517">
        <v>79452</v>
      </c>
      <c r="B517">
        <v>131887900</v>
      </c>
      <c r="C517" t="s">
        <v>2906</v>
      </c>
      <c r="D517" t="s">
        <v>2907</v>
      </c>
      <c r="E517" t="s">
        <v>846</v>
      </c>
      <c r="F517" t="s">
        <v>847</v>
      </c>
      <c r="G517" t="s">
        <v>162</v>
      </c>
      <c r="H517" t="s">
        <v>163</v>
      </c>
      <c r="I517" t="s">
        <v>35</v>
      </c>
      <c r="J517" t="s">
        <v>164</v>
      </c>
      <c r="K517" t="s">
        <v>2</v>
      </c>
      <c r="L517" t="s">
        <v>2908</v>
      </c>
      <c r="M517" t="s">
        <v>2909</v>
      </c>
      <c r="N517" t="s">
        <v>850</v>
      </c>
      <c r="O517" t="s">
        <v>40</v>
      </c>
      <c r="P517" t="s">
        <v>2910</v>
      </c>
      <c r="Q517" t="s">
        <v>54</v>
      </c>
      <c r="R517" t="s">
        <v>1118</v>
      </c>
      <c r="S517">
        <v>1.1599999999999999</v>
      </c>
      <c r="T517">
        <v>5064</v>
      </c>
      <c r="U517">
        <v>349.95</v>
      </c>
      <c r="V517">
        <v>5413.95</v>
      </c>
    </row>
    <row r="518" spans="1:22" x14ac:dyDescent="0.25">
      <c r="A518">
        <v>79452</v>
      </c>
      <c r="B518">
        <v>131900810</v>
      </c>
      <c r="C518" t="s">
        <v>2911</v>
      </c>
      <c r="D518" t="s">
        <v>2912</v>
      </c>
      <c r="E518" t="s">
        <v>846</v>
      </c>
      <c r="F518" t="s">
        <v>847</v>
      </c>
      <c r="G518" t="s">
        <v>162</v>
      </c>
      <c r="H518" t="s">
        <v>163</v>
      </c>
      <c r="I518" t="s">
        <v>35</v>
      </c>
      <c r="J518" t="s">
        <v>164</v>
      </c>
      <c r="K518" t="s">
        <v>2</v>
      </c>
      <c r="L518" t="s">
        <v>2913</v>
      </c>
      <c r="M518" t="s">
        <v>2914</v>
      </c>
      <c r="N518" t="s">
        <v>850</v>
      </c>
      <c r="O518" t="s">
        <v>40</v>
      </c>
      <c r="P518" t="s">
        <v>2915</v>
      </c>
      <c r="Q518" t="s">
        <v>54</v>
      </c>
      <c r="R518" t="s">
        <v>687</v>
      </c>
      <c r="S518">
        <v>0.62</v>
      </c>
      <c r="T518">
        <v>4402</v>
      </c>
      <c r="U518">
        <v>299.89999999999998</v>
      </c>
      <c r="V518">
        <v>4701.8999999999996</v>
      </c>
    </row>
    <row r="519" spans="1:22" x14ac:dyDescent="0.25">
      <c r="A519">
        <v>79452</v>
      </c>
      <c r="B519">
        <v>131900813</v>
      </c>
      <c r="C519" t="s">
        <v>2916</v>
      </c>
      <c r="D519" t="s">
        <v>2917</v>
      </c>
      <c r="E519" t="s">
        <v>846</v>
      </c>
      <c r="F519" t="s">
        <v>847</v>
      </c>
      <c r="G519" t="s">
        <v>162</v>
      </c>
      <c r="H519" t="s">
        <v>163</v>
      </c>
      <c r="I519" t="s">
        <v>35</v>
      </c>
      <c r="J519" t="s">
        <v>164</v>
      </c>
      <c r="K519" t="s">
        <v>2</v>
      </c>
      <c r="L519" t="s">
        <v>2918</v>
      </c>
      <c r="M519" t="s">
        <v>2919</v>
      </c>
      <c r="N519" t="s">
        <v>850</v>
      </c>
      <c r="O519" t="s">
        <v>40</v>
      </c>
      <c r="P519" t="s">
        <v>2920</v>
      </c>
      <c r="Q519" t="s">
        <v>114</v>
      </c>
      <c r="R519" t="s">
        <v>687</v>
      </c>
      <c r="S519">
        <v>1.22</v>
      </c>
      <c r="T519">
        <v>8061</v>
      </c>
      <c r="U519">
        <v>299.89999999999998</v>
      </c>
      <c r="V519">
        <v>8360.9</v>
      </c>
    </row>
    <row r="520" spans="1:22" x14ac:dyDescent="0.25">
      <c r="A520">
        <v>79452</v>
      </c>
      <c r="B520">
        <v>131773998</v>
      </c>
      <c r="C520" t="s">
        <v>2921</v>
      </c>
      <c r="D520" t="s">
        <v>2922</v>
      </c>
      <c r="E520" t="s">
        <v>846</v>
      </c>
      <c r="F520" t="s">
        <v>847</v>
      </c>
      <c r="G520" t="s">
        <v>162</v>
      </c>
      <c r="H520" t="s">
        <v>163</v>
      </c>
      <c r="I520" t="s">
        <v>35</v>
      </c>
      <c r="J520" t="s">
        <v>164</v>
      </c>
      <c r="K520" t="s">
        <v>2</v>
      </c>
      <c r="L520" t="s">
        <v>2923</v>
      </c>
      <c r="M520" t="s">
        <v>2924</v>
      </c>
      <c r="N520" t="s">
        <v>850</v>
      </c>
      <c r="O520" t="s">
        <v>40</v>
      </c>
      <c r="P520" t="s">
        <v>2925</v>
      </c>
      <c r="Q520" t="s">
        <v>264</v>
      </c>
      <c r="R520" t="s">
        <v>612</v>
      </c>
      <c r="S520">
        <v>1.1100000000000001</v>
      </c>
      <c r="T520">
        <v>11203</v>
      </c>
      <c r="U520">
        <v>299.89999999999998</v>
      </c>
      <c r="V520">
        <v>11502.9</v>
      </c>
    </row>
    <row r="521" spans="1:22" x14ac:dyDescent="0.25">
      <c r="A521">
        <v>79452</v>
      </c>
      <c r="B521">
        <v>131705230</v>
      </c>
      <c r="C521" t="s">
        <v>2926</v>
      </c>
      <c r="D521" t="s">
        <v>2927</v>
      </c>
      <c r="E521" t="s">
        <v>846</v>
      </c>
      <c r="F521" t="s">
        <v>847</v>
      </c>
      <c r="G521" t="s">
        <v>162</v>
      </c>
      <c r="H521" t="s">
        <v>163</v>
      </c>
      <c r="I521" t="s">
        <v>35</v>
      </c>
      <c r="J521" t="s">
        <v>164</v>
      </c>
      <c r="K521" t="s">
        <v>2</v>
      </c>
      <c r="L521" t="s">
        <v>2928</v>
      </c>
      <c r="M521" t="s">
        <v>2929</v>
      </c>
      <c r="N521" t="s">
        <v>850</v>
      </c>
      <c r="O521" t="s">
        <v>40</v>
      </c>
      <c r="P521" t="s">
        <v>2930</v>
      </c>
      <c r="Q521" t="s">
        <v>192</v>
      </c>
      <c r="R521" t="s">
        <v>297</v>
      </c>
      <c r="S521">
        <v>0.51</v>
      </c>
      <c r="T521">
        <v>3711</v>
      </c>
      <c r="U521">
        <v>299.89999999999998</v>
      </c>
      <c r="V521">
        <v>4010.9</v>
      </c>
    </row>
    <row r="522" spans="1:22" x14ac:dyDescent="0.25">
      <c r="A522">
        <v>79452</v>
      </c>
      <c r="B522">
        <v>131618339</v>
      </c>
      <c r="C522" t="s">
        <v>2931</v>
      </c>
      <c r="D522" t="s">
        <v>2932</v>
      </c>
      <c r="E522" t="s">
        <v>846</v>
      </c>
      <c r="F522" t="s">
        <v>847</v>
      </c>
      <c r="G522" t="s">
        <v>162</v>
      </c>
      <c r="H522" t="s">
        <v>163</v>
      </c>
      <c r="I522" t="s">
        <v>35</v>
      </c>
      <c r="J522" t="s">
        <v>164</v>
      </c>
      <c r="K522" t="s">
        <v>2</v>
      </c>
      <c r="L522" t="s">
        <v>2933</v>
      </c>
      <c r="M522" t="s">
        <v>527</v>
      </c>
      <c r="N522" t="s">
        <v>850</v>
      </c>
      <c r="O522" t="s">
        <v>40</v>
      </c>
      <c r="P522" t="s">
        <v>2860</v>
      </c>
      <c r="Q522" t="s">
        <v>264</v>
      </c>
      <c r="R522" t="s">
        <v>1277</v>
      </c>
      <c r="S522">
        <v>0.52</v>
      </c>
      <c r="T522">
        <v>8367</v>
      </c>
      <c r="U522">
        <v>299.89999999999998</v>
      </c>
      <c r="V522">
        <v>8666.9</v>
      </c>
    </row>
    <row r="523" spans="1:22" x14ac:dyDescent="0.25">
      <c r="A523">
        <v>79452</v>
      </c>
      <c r="B523">
        <v>131590439</v>
      </c>
      <c r="C523" t="s">
        <v>2934</v>
      </c>
      <c r="D523" t="s">
        <v>2935</v>
      </c>
      <c r="E523" t="s">
        <v>846</v>
      </c>
      <c r="F523" t="s">
        <v>847</v>
      </c>
      <c r="G523" t="s">
        <v>162</v>
      </c>
      <c r="H523" t="s">
        <v>163</v>
      </c>
      <c r="I523" t="s">
        <v>35</v>
      </c>
      <c r="J523" t="s">
        <v>164</v>
      </c>
      <c r="K523" t="s">
        <v>2</v>
      </c>
      <c r="L523" t="s">
        <v>2936</v>
      </c>
      <c r="M523" t="s">
        <v>2937</v>
      </c>
      <c r="N523" t="s">
        <v>850</v>
      </c>
      <c r="O523" t="s">
        <v>40</v>
      </c>
      <c r="P523" t="s">
        <v>2938</v>
      </c>
      <c r="Q523" t="s">
        <v>114</v>
      </c>
      <c r="R523" t="s">
        <v>1671</v>
      </c>
      <c r="S523">
        <v>0.2</v>
      </c>
      <c r="T523">
        <v>6795</v>
      </c>
      <c r="U523">
        <v>149.94999999999999</v>
      </c>
      <c r="V523">
        <v>6944.95</v>
      </c>
    </row>
    <row r="524" spans="1:22" x14ac:dyDescent="0.25">
      <c r="A524">
        <v>79452</v>
      </c>
      <c r="B524">
        <v>131489570</v>
      </c>
      <c r="C524" t="s">
        <v>2939</v>
      </c>
      <c r="D524" t="s">
        <v>2940</v>
      </c>
      <c r="E524" t="s">
        <v>846</v>
      </c>
      <c r="F524" t="s">
        <v>847</v>
      </c>
      <c r="G524" t="s">
        <v>162</v>
      </c>
      <c r="H524" t="s">
        <v>163</v>
      </c>
      <c r="I524" t="s">
        <v>35</v>
      </c>
      <c r="J524" t="s">
        <v>164</v>
      </c>
      <c r="K524" t="s">
        <v>2</v>
      </c>
      <c r="L524" t="s">
        <v>2941</v>
      </c>
      <c r="M524" t="s">
        <v>2942</v>
      </c>
      <c r="N524" t="s">
        <v>850</v>
      </c>
      <c r="O524" t="s">
        <v>40</v>
      </c>
      <c r="P524" t="s">
        <v>2943</v>
      </c>
      <c r="Q524" t="s">
        <v>237</v>
      </c>
      <c r="R524" t="s">
        <v>304</v>
      </c>
      <c r="S524">
        <v>0.28000000000000003</v>
      </c>
      <c r="T524">
        <v>5461</v>
      </c>
      <c r="U524">
        <v>149.94999999999999</v>
      </c>
      <c r="V524">
        <v>5610.95</v>
      </c>
    </row>
    <row r="525" spans="1:22" x14ac:dyDescent="0.25">
      <c r="A525">
        <v>79452</v>
      </c>
      <c r="B525">
        <v>131383466</v>
      </c>
      <c r="C525" t="s">
        <v>2944</v>
      </c>
      <c r="D525" t="s">
        <v>2945</v>
      </c>
      <c r="E525" t="s">
        <v>846</v>
      </c>
      <c r="F525" t="s">
        <v>847</v>
      </c>
      <c r="G525" t="s">
        <v>162</v>
      </c>
      <c r="H525" t="s">
        <v>163</v>
      </c>
      <c r="I525" t="s">
        <v>35</v>
      </c>
      <c r="J525" t="s">
        <v>164</v>
      </c>
      <c r="K525" t="s">
        <v>2</v>
      </c>
      <c r="L525" t="s">
        <v>2946</v>
      </c>
      <c r="M525" t="s">
        <v>2947</v>
      </c>
      <c r="N525" t="s">
        <v>850</v>
      </c>
      <c r="O525" t="s">
        <v>40</v>
      </c>
      <c r="P525" t="s">
        <v>2948</v>
      </c>
      <c r="Q525" t="s">
        <v>238</v>
      </c>
      <c r="R525" t="s">
        <v>1386</v>
      </c>
      <c r="S525">
        <v>0.31</v>
      </c>
      <c r="T525">
        <v>5282</v>
      </c>
      <c r="U525">
        <v>449.85</v>
      </c>
      <c r="V525">
        <v>5731.85</v>
      </c>
    </row>
    <row r="526" spans="1:22" x14ac:dyDescent="0.25">
      <c r="A526">
        <v>79452</v>
      </c>
      <c r="B526">
        <v>131383485</v>
      </c>
      <c r="C526" t="s">
        <v>2949</v>
      </c>
      <c r="D526" t="s">
        <v>2950</v>
      </c>
      <c r="E526" t="s">
        <v>846</v>
      </c>
      <c r="F526" t="s">
        <v>847</v>
      </c>
      <c r="G526" t="s">
        <v>162</v>
      </c>
      <c r="H526" t="s">
        <v>163</v>
      </c>
      <c r="I526" t="s">
        <v>35</v>
      </c>
      <c r="J526" t="s">
        <v>164</v>
      </c>
      <c r="K526" t="s">
        <v>2</v>
      </c>
      <c r="L526" t="s">
        <v>2951</v>
      </c>
      <c r="M526" t="s">
        <v>2952</v>
      </c>
      <c r="N526" t="s">
        <v>850</v>
      </c>
      <c r="O526" t="s">
        <v>40</v>
      </c>
      <c r="P526" t="s">
        <v>2953</v>
      </c>
      <c r="Q526" t="s">
        <v>137</v>
      </c>
      <c r="R526" t="s">
        <v>1386</v>
      </c>
      <c r="S526">
        <v>0.53</v>
      </c>
      <c r="T526">
        <v>3711</v>
      </c>
      <c r="U526">
        <v>299.89999999999998</v>
      </c>
      <c r="V526">
        <v>4010.9</v>
      </c>
    </row>
    <row r="527" spans="1:22" x14ac:dyDescent="0.25">
      <c r="A527">
        <v>79452</v>
      </c>
      <c r="B527">
        <v>131383463</v>
      </c>
      <c r="C527" t="s">
        <v>2954</v>
      </c>
      <c r="D527" t="s">
        <v>2955</v>
      </c>
      <c r="E527" t="s">
        <v>846</v>
      </c>
      <c r="F527" t="s">
        <v>847</v>
      </c>
      <c r="G527" t="s">
        <v>162</v>
      </c>
      <c r="H527" t="s">
        <v>163</v>
      </c>
      <c r="I527" t="s">
        <v>35</v>
      </c>
      <c r="J527" t="s">
        <v>164</v>
      </c>
      <c r="K527" t="s">
        <v>2</v>
      </c>
      <c r="L527" t="s">
        <v>2956</v>
      </c>
      <c r="M527" t="s">
        <v>2957</v>
      </c>
      <c r="N527" t="s">
        <v>850</v>
      </c>
      <c r="O527" t="s">
        <v>40</v>
      </c>
      <c r="P527" t="s">
        <v>2958</v>
      </c>
      <c r="Q527" t="s">
        <v>114</v>
      </c>
      <c r="R527" t="s">
        <v>1386</v>
      </c>
      <c r="S527">
        <v>1.02</v>
      </c>
      <c r="T527">
        <v>8061</v>
      </c>
      <c r="U527">
        <v>749.75</v>
      </c>
      <c r="V527">
        <v>8810.75</v>
      </c>
    </row>
    <row r="528" spans="1:22" x14ac:dyDescent="0.25">
      <c r="A528">
        <v>79452</v>
      </c>
      <c r="B528">
        <v>131230247</v>
      </c>
      <c r="C528" t="s">
        <v>2959</v>
      </c>
      <c r="D528" t="s">
        <v>2960</v>
      </c>
      <c r="E528" t="s">
        <v>846</v>
      </c>
      <c r="F528" t="s">
        <v>847</v>
      </c>
      <c r="G528" t="s">
        <v>162</v>
      </c>
      <c r="H528" t="s">
        <v>163</v>
      </c>
      <c r="I528" t="s">
        <v>35</v>
      </c>
      <c r="J528" t="s">
        <v>164</v>
      </c>
      <c r="K528" t="s">
        <v>2</v>
      </c>
      <c r="L528" t="s">
        <v>2961</v>
      </c>
      <c r="M528" t="s">
        <v>2962</v>
      </c>
      <c r="N528" t="s">
        <v>850</v>
      </c>
      <c r="O528" t="s">
        <v>40</v>
      </c>
      <c r="P528" t="s">
        <v>2963</v>
      </c>
      <c r="Q528" t="s">
        <v>192</v>
      </c>
      <c r="R528" t="s">
        <v>2964</v>
      </c>
      <c r="S528">
        <v>1.01</v>
      </c>
      <c r="T528">
        <v>3924</v>
      </c>
      <c r="U528">
        <v>574.9</v>
      </c>
      <c r="V528">
        <v>4498.8999999999996</v>
      </c>
    </row>
    <row r="529" spans="1:22" x14ac:dyDescent="0.25">
      <c r="A529">
        <v>79452</v>
      </c>
      <c r="B529">
        <v>131230207</v>
      </c>
      <c r="C529" t="s">
        <v>2965</v>
      </c>
      <c r="D529" t="s">
        <v>2966</v>
      </c>
      <c r="E529" t="s">
        <v>846</v>
      </c>
      <c r="F529" t="s">
        <v>847</v>
      </c>
      <c r="G529" t="s">
        <v>162</v>
      </c>
      <c r="H529" t="s">
        <v>163</v>
      </c>
      <c r="I529" t="s">
        <v>35</v>
      </c>
      <c r="J529" t="s">
        <v>164</v>
      </c>
      <c r="K529" t="s">
        <v>2</v>
      </c>
      <c r="L529" t="s">
        <v>2967</v>
      </c>
      <c r="M529" t="s">
        <v>2968</v>
      </c>
      <c r="N529" t="s">
        <v>850</v>
      </c>
      <c r="O529" t="s">
        <v>40</v>
      </c>
      <c r="P529" t="s">
        <v>2969</v>
      </c>
      <c r="Q529" t="s">
        <v>192</v>
      </c>
      <c r="R529" t="s">
        <v>514</v>
      </c>
      <c r="S529">
        <v>0.35</v>
      </c>
      <c r="T529">
        <v>3711</v>
      </c>
      <c r="U529">
        <v>174.95</v>
      </c>
      <c r="V529">
        <v>3885.95</v>
      </c>
    </row>
    <row r="530" spans="1:22" x14ac:dyDescent="0.25">
      <c r="A530">
        <v>79452</v>
      </c>
      <c r="B530">
        <v>131855958</v>
      </c>
      <c r="C530" t="s">
        <v>2970</v>
      </c>
      <c r="D530" t="s">
        <v>2971</v>
      </c>
      <c r="E530" t="s">
        <v>846</v>
      </c>
      <c r="F530" t="s">
        <v>847</v>
      </c>
      <c r="G530" t="s">
        <v>156</v>
      </c>
      <c r="H530" t="s">
        <v>157</v>
      </c>
      <c r="I530" t="s">
        <v>35</v>
      </c>
      <c r="J530" t="s">
        <v>166</v>
      </c>
      <c r="K530" t="s">
        <v>2</v>
      </c>
      <c r="L530" t="s">
        <v>158</v>
      </c>
      <c r="M530" t="s">
        <v>2972</v>
      </c>
      <c r="N530" t="s">
        <v>850</v>
      </c>
      <c r="O530" t="s">
        <v>40</v>
      </c>
      <c r="P530" t="s">
        <v>2973</v>
      </c>
      <c r="Q530" t="s">
        <v>84</v>
      </c>
      <c r="R530" t="s">
        <v>393</v>
      </c>
      <c r="S530">
        <v>3.05</v>
      </c>
      <c r="T530">
        <v>4537</v>
      </c>
      <c r="U530">
        <v>0</v>
      </c>
      <c r="V530">
        <v>4537</v>
      </c>
    </row>
    <row r="531" spans="1:22" x14ac:dyDescent="0.25">
      <c r="A531">
        <v>79452</v>
      </c>
      <c r="B531">
        <v>131887901</v>
      </c>
      <c r="C531" t="s">
        <v>2974</v>
      </c>
      <c r="D531" t="s">
        <v>2975</v>
      </c>
      <c r="E531" t="s">
        <v>846</v>
      </c>
      <c r="F531" t="s">
        <v>847</v>
      </c>
      <c r="G531" t="s">
        <v>156</v>
      </c>
      <c r="H531" t="s">
        <v>157</v>
      </c>
      <c r="I531" t="s">
        <v>35</v>
      </c>
      <c r="J531" t="s">
        <v>166</v>
      </c>
      <c r="K531" t="s">
        <v>2</v>
      </c>
      <c r="L531" t="s">
        <v>158</v>
      </c>
      <c r="M531" t="s">
        <v>2976</v>
      </c>
      <c r="N531" t="s">
        <v>850</v>
      </c>
      <c r="O531" t="s">
        <v>40</v>
      </c>
      <c r="P531" t="s">
        <v>2977</v>
      </c>
      <c r="Q531" t="s">
        <v>53</v>
      </c>
      <c r="R531" t="s">
        <v>1118</v>
      </c>
      <c r="S531">
        <v>4.32</v>
      </c>
      <c r="T531">
        <v>4537</v>
      </c>
      <c r="U531">
        <v>0</v>
      </c>
      <c r="V531">
        <v>4537</v>
      </c>
    </row>
    <row r="532" spans="1:22" x14ac:dyDescent="0.25">
      <c r="A532">
        <v>79452</v>
      </c>
      <c r="B532">
        <v>131922185</v>
      </c>
      <c r="C532" t="s">
        <v>2978</v>
      </c>
      <c r="D532" t="s">
        <v>2979</v>
      </c>
      <c r="E532" t="s">
        <v>846</v>
      </c>
      <c r="F532" t="s">
        <v>847</v>
      </c>
      <c r="G532" t="s">
        <v>156</v>
      </c>
      <c r="H532" t="s">
        <v>157</v>
      </c>
      <c r="I532" t="s">
        <v>35</v>
      </c>
      <c r="J532" t="s">
        <v>166</v>
      </c>
      <c r="K532" t="s">
        <v>2</v>
      </c>
      <c r="L532" t="s">
        <v>158</v>
      </c>
      <c r="M532" t="s">
        <v>2980</v>
      </c>
      <c r="N532" t="s">
        <v>850</v>
      </c>
      <c r="O532" t="s">
        <v>40</v>
      </c>
      <c r="P532" t="s">
        <v>2981</v>
      </c>
      <c r="Q532" t="s">
        <v>125</v>
      </c>
      <c r="R532" t="s">
        <v>887</v>
      </c>
      <c r="S532">
        <v>0.82</v>
      </c>
      <c r="T532">
        <v>6381</v>
      </c>
      <c r="U532">
        <v>0</v>
      </c>
      <c r="V532">
        <v>6381</v>
      </c>
    </row>
    <row r="533" spans="1:22" x14ac:dyDescent="0.25">
      <c r="A533">
        <v>79452</v>
      </c>
      <c r="B533">
        <v>131822981</v>
      </c>
      <c r="C533" t="s">
        <v>2982</v>
      </c>
      <c r="D533" t="s">
        <v>2983</v>
      </c>
      <c r="E533" t="s">
        <v>846</v>
      </c>
      <c r="F533" t="s">
        <v>847</v>
      </c>
      <c r="G533" t="s">
        <v>156</v>
      </c>
      <c r="H533" t="s">
        <v>157</v>
      </c>
      <c r="I533" t="s">
        <v>35</v>
      </c>
      <c r="J533" t="s">
        <v>166</v>
      </c>
      <c r="K533" t="s">
        <v>2</v>
      </c>
      <c r="L533" t="s">
        <v>158</v>
      </c>
      <c r="M533" t="s">
        <v>2984</v>
      </c>
      <c r="N533" t="s">
        <v>850</v>
      </c>
      <c r="O533" t="s">
        <v>40</v>
      </c>
      <c r="P533" t="s">
        <v>2985</v>
      </c>
      <c r="Q533" t="s">
        <v>134</v>
      </c>
      <c r="R533" t="s">
        <v>282</v>
      </c>
      <c r="S533">
        <v>1.87</v>
      </c>
      <c r="T533">
        <v>4168</v>
      </c>
      <c r="U533">
        <v>0</v>
      </c>
      <c r="V533">
        <v>4168</v>
      </c>
    </row>
    <row r="534" spans="1:22" x14ac:dyDescent="0.25">
      <c r="A534">
        <v>79452</v>
      </c>
      <c r="B534">
        <v>131864675</v>
      </c>
      <c r="C534" t="s">
        <v>2986</v>
      </c>
      <c r="D534" t="s">
        <v>2987</v>
      </c>
      <c r="E534" t="s">
        <v>846</v>
      </c>
      <c r="F534" t="s">
        <v>847</v>
      </c>
      <c r="G534" t="s">
        <v>156</v>
      </c>
      <c r="H534" t="s">
        <v>157</v>
      </c>
      <c r="I534" t="s">
        <v>35</v>
      </c>
      <c r="J534" t="s">
        <v>166</v>
      </c>
      <c r="K534" t="s">
        <v>2</v>
      </c>
      <c r="L534" t="s">
        <v>158</v>
      </c>
      <c r="M534" t="s">
        <v>2988</v>
      </c>
      <c r="N534" t="s">
        <v>850</v>
      </c>
      <c r="O534" t="s">
        <v>40</v>
      </c>
      <c r="P534" t="s">
        <v>2989</v>
      </c>
      <c r="Q534" t="s">
        <v>84</v>
      </c>
      <c r="R534" t="s">
        <v>520</v>
      </c>
      <c r="S534">
        <v>0.85</v>
      </c>
      <c r="T534">
        <v>3915</v>
      </c>
      <c r="U534">
        <v>0</v>
      </c>
      <c r="V534">
        <v>3915</v>
      </c>
    </row>
    <row r="535" spans="1:22" x14ac:dyDescent="0.25">
      <c r="A535">
        <v>79452</v>
      </c>
      <c r="B535">
        <v>131823019</v>
      </c>
      <c r="C535" t="s">
        <v>2990</v>
      </c>
      <c r="D535" t="s">
        <v>2991</v>
      </c>
      <c r="E535" t="s">
        <v>846</v>
      </c>
      <c r="F535" t="s">
        <v>847</v>
      </c>
      <c r="G535" t="s">
        <v>156</v>
      </c>
      <c r="H535" t="s">
        <v>157</v>
      </c>
      <c r="I535" t="s">
        <v>35</v>
      </c>
      <c r="J535" t="s">
        <v>166</v>
      </c>
      <c r="K535" t="s">
        <v>2</v>
      </c>
      <c r="L535" t="s">
        <v>158</v>
      </c>
      <c r="M535" t="s">
        <v>2992</v>
      </c>
      <c r="N535" t="s">
        <v>850</v>
      </c>
      <c r="O535" t="s">
        <v>40</v>
      </c>
      <c r="P535" t="s">
        <v>2993</v>
      </c>
      <c r="Q535" t="s">
        <v>134</v>
      </c>
      <c r="R535" t="s">
        <v>282</v>
      </c>
      <c r="S535">
        <v>0.95</v>
      </c>
      <c r="T535">
        <v>3915</v>
      </c>
      <c r="U535">
        <v>0</v>
      </c>
      <c r="V535">
        <v>3915</v>
      </c>
    </row>
    <row r="536" spans="1:22" x14ac:dyDescent="0.25">
      <c r="A536">
        <v>79452</v>
      </c>
      <c r="B536">
        <v>131823059</v>
      </c>
      <c r="C536" t="s">
        <v>2994</v>
      </c>
      <c r="D536" t="s">
        <v>2995</v>
      </c>
      <c r="E536" t="s">
        <v>846</v>
      </c>
      <c r="F536" t="s">
        <v>847</v>
      </c>
      <c r="G536" t="s">
        <v>156</v>
      </c>
      <c r="H536" t="s">
        <v>157</v>
      </c>
      <c r="I536" t="s">
        <v>35</v>
      </c>
      <c r="J536" t="s">
        <v>166</v>
      </c>
      <c r="K536" t="s">
        <v>2</v>
      </c>
      <c r="L536" t="s">
        <v>158</v>
      </c>
      <c r="M536" t="s">
        <v>2996</v>
      </c>
      <c r="N536" t="s">
        <v>850</v>
      </c>
      <c r="O536" t="s">
        <v>40</v>
      </c>
      <c r="P536" t="s">
        <v>2997</v>
      </c>
      <c r="Q536" t="s">
        <v>243</v>
      </c>
      <c r="R536" t="s">
        <v>282</v>
      </c>
      <c r="S536">
        <v>0.85</v>
      </c>
      <c r="T536">
        <v>5992</v>
      </c>
      <c r="U536">
        <v>0</v>
      </c>
      <c r="V536">
        <v>5992</v>
      </c>
    </row>
    <row r="537" spans="1:22" x14ac:dyDescent="0.25">
      <c r="A537">
        <v>79452</v>
      </c>
      <c r="B537">
        <v>131823051</v>
      </c>
      <c r="C537" t="s">
        <v>2998</v>
      </c>
      <c r="D537" t="s">
        <v>2999</v>
      </c>
      <c r="E537" t="s">
        <v>846</v>
      </c>
      <c r="F537" t="s">
        <v>847</v>
      </c>
      <c r="G537" t="s">
        <v>156</v>
      </c>
      <c r="H537" t="s">
        <v>157</v>
      </c>
      <c r="I537" t="s">
        <v>35</v>
      </c>
      <c r="J537" t="s">
        <v>166</v>
      </c>
      <c r="K537" t="s">
        <v>2</v>
      </c>
      <c r="L537" t="s">
        <v>158</v>
      </c>
      <c r="M537" t="s">
        <v>3000</v>
      </c>
      <c r="N537" t="s">
        <v>850</v>
      </c>
      <c r="O537" t="s">
        <v>40</v>
      </c>
      <c r="P537" t="s">
        <v>3001</v>
      </c>
      <c r="Q537" t="s">
        <v>59</v>
      </c>
      <c r="R537" t="s">
        <v>282</v>
      </c>
      <c r="S537">
        <v>2.38</v>
      </c>
      <c r="T537">
        <v>6800</v>
      </c>
      <c r="U537">
        <v>0</v>
      </c>
      <c r="V537">
        <v>6800</v>
      </c>
    </row>
    <row r="538" spans="1:22" x14ac:dyDescent="0.25">
      <c r="A538">
        <v>79452</v>
      </c>
      <c r="B538">
        <v>131618361</v>
      </c>
      <c r="C538" t="s">
        <v>3002</v>
      </c>
      <c r="D538" t="s">
        <v>3003</v>
      </c>
      <c r="E538" t="s">
        <v>846</v>
      </c>
      <c r="F538" t="s">
        <v>847</v>
      </c>
      <c r="G538" t="s">
        <v>156</v>
      </c>
      <c r="H538" t="s">
        <v>157</v>
      </c>
      <c r="I538" t="s">
        <v>35</v>
      </c>
      <c r="J538" t="s">
        <v>166</v>
      </c>
      <c r="K538" t="s">
        <v>2</v>
      </c>
      <c r="L538" t="s">
        <v>158</v>
      </c>
      <c r="M538" t="s">
        <v>3004</v>
      </c>
      <c r="N538" t="s">
        <v>850</v>
      </c>
      <c r="O538" t="s">
        <v>40</v>
      </c>
      <c r="P538" t="s">
        <v>3005</v>
      </c>
      <c r="Q538" t="s">
        <v>168</v>
      </c>
      <c r="R538" t="s">
        <v>1277</v>
      </c>
      <c r="S538">
        <v>0.19</v>
      </c>
      <c r="T538">
        <v>3776</v>
      </c>
      <c r="U538">
        <v>0</v>
      </c>
      <c r="V538">
        <v>3776</v>
      </c>
    </row>
    <row r="539" spans="1:22" x14ac:dyDescent="0.25">
      <c r="A539">
        <v>79452</v>
      </c>
      <c r="B539">
        <v>131618367</v>
      </c>
      <c r="C539" t="s">
        <v>3006</v>
      </c>
      <c r="D539" t="s">
        <v>3007</v>
      </c>
      <c r="E539" t="s">
        <v>846</v>
      </c>
      <c r="F539" t="s">
        <v>847</v>
      </c>
      <c r="G539" t="s">
        <v>156</v>
      </c>
      <c r="H539" t="s">
        <v>157</v>
      </c>
      <c r="I539" t="s">
        <v>35</v>
      </c>
      <c r="J539" t="s">
        <v>166</v>
      </c>
      <c r="K539" t="s">
        <v>2</v>
      </c>
      <c r="L539" t="s">
        <v>158</v>
      </c>
      <c r="M539" t="s">
        <v>3008</v>
      </c>
      <c r="N539" t="s">
        <v>850</v>
      </c>
      <c r="O539" t="s">
        <v>40</v>
      </c>
      <c r="P539" t="s">
        <v>3009</v>
      </c>
      <c r="Q539" t="s">
        <v>247</v>
      </c>
      <c r="R539" t="s">
        <v>532</v>
      </c>
      <c r="S539">
        <v>0.4</v>
      </c>
      <c r="T539">
        <v>5601</v>
      </c>
      <c r="U539">
        <v>0</v>
      </c>
      <c r="V539">
        <v>5601</v>
      </c>
    </row>
    <row r="540" spans="1:22" x14ac:dyDescent="0.25">
      <c r="A540">
        <v>79452</v>
      </c>
      <c r="B540">
        <v>131618347</v>
      </c>
      <c r="C540" t="s">
        <v>3010</v>
      </c>
      <c r="D540" t="s">
        <v>3011</v>
      </c>
      <c r="E540" t="s">
        <v>846</v>
      </c>
      <c r="F540" t="s">
        <v>847</v>
      </c>
      <c r="G540" t="s">
        <v>156</v>
      </c>
      <c r="H540" t="s">
        <v>157</v>
      </c>
      <c r="I540" t="s">
        <v>35</v>
      </c>
      <c r="J540" t="s">
        <v>166</v>
      </c>
      <c r="K540" t="s">
        <v>2</v>
      </c>
      <c r="L540" t="s">
        <v>158</v>
      </c>
      <c r="M540" t="s">
        <v>3012</v>
      </c>
      <c r="N540" t="s">
        <v>850</v>
      </c>
      <c r="O540" t="s">
        <v>40</v>
      </c>
      <c r="P540" t="s">
        <v>3013</v>
      </c>
      <c r="Q540" t="s">
        <v>263</v>
      </c>
      <c r="R540" t="s">
        <v>1277</v>
      </c>
      <c r="S540">
        <v>3.6</v>
      </c>
      <c r="T540">
        <v>7224</v>
      </c>
      <c r="U540">
        <v>0</v>
      </c>
      <c r="V540">
        <v>7224</v>
      </c>
    </row>
    <row r="541" spans="1:22" x14ac:dyDescent="0.25">
      <c r="A541">
        <v>79452</v>
      </c>
      <c r="B541">
        <v>131732398</v>
      </c>
      <c r="C541" t="s">
        <v>3014</v>
      </c>
      <c r="D541" t="s">
        <v>3015</v>
      </c>
      <c r="E541" t="s">
        <v>846</v>
      </c>
      <c r="F541" t="s">
        <v>847</v>
      </c>
      <c r="G541" t="s">
        <v>156</v>
      </c>
      <c r="H541" t="s">
        <v>157</v>
      </c>
      <c r="I541" t="s">
        <v>35</v>
      </c>
      <c r="J541" t="s">
        <v>166</v>
      </c>
      <c r="K541" t="s">
        <v>2</v>
      </c>
      <c r="L541" t="s">
        <v>158</v>
      </c>
      <c r="M541" t="s">
        <v>686</v>
      </c>
      <c r="N541" t="s">
        <v>850</v>
      </c>
      <c r="O541" t="s">
        <v>40</v>
      </c>
      <c r="P541" t="s">
        <v>3016</v>
      </c>
      <c r="Q541" t="s">
        <v>125</v>
      </c>
      <c r="R541" t="s">
        <v>684</v>
      </c>
      <c r="S541">
        <v>0.64</v>
      </c>
      <c r="T541">
        <v>6381</v>
      </c>
      <c r="U541">
        <v>0</v>
      </c>
      <c r="V541">
        <v>6381</v>
      </c>
    </row>
    <row r="542" spans="1:22" x14ac:dyDescent="0.25">
      <c r="A542">
        <v>79452</v>
      </c>
      <c r="B542">
        <v>131618349</v>
      </c>
      <c r="C542" t="s">
        <v>3017</v>
      </c>
      <c r="D542" t="s">
        <v>3018</v>
      </c>
      <c r="E542" t="s">
        <v>846</v>
      </c>
      <c r="F542" t="s">
        <v>847</v>
      </c>
      <c r="G542" t="s">
        <v>156</v>
      </c>
      <c r="H542" t="s">
        <v>157</v>
      </c>
      <c r="I542" t="s">
        <v>35</v>
      </c>
      <c r="J542" t="s">
        <v>166</v>
      </c>
      <c r="K542" t="s">
        <v>2</v>
      </c>
      <c r="L542" t="s">
        <v>158</v>
      </c>
      <c r="M542" t="s">
        <v>2984</v>
      </c>
      <c r="N542" t="s">
        <v>850</v>
      </c>
      <c r="O542" t="s">
        <v>40</v>
      </c>
      <c r="P542" t="s">
        <v>3019</v>
      </c>
      <c r="Q542" t="s">
        <v>134</v>
      </c>
      <c r="R542" t="s">
        <v>1277</v>
      </c>
      <c r="S542">
        <v>3.8</v>
      </c>
      <c r="T542">
        <v>4537</v>
      </c>
      <c r="U542">
        <v>0</v>
      </c>
      <c r="V542">
        <v>4537</v>
      </c>
    </row>
    <row r="543" spans="1:22" x14ac:dyDescent="0.25">
      <c r="A543">
        <v>79452</v>
      </c>
      <c r="B543">
        <v>131662644</v>
      </c>
      <c r="C543" t="s">
        <v>3020</v>
      </c>
      <c r="D543" t="s">
        <v>3021</v>
      </c>
      <c r="E543" t="s">
        <v>846</v>
      </c>
      <c r="F543" t="s">
        <v>847</v>
      </c>
      <c r="G543" t="s">
        <v>156</v>
      </c>
      <c r="H543" t="s">
        <v>157</v>
      </c>
      <c r="I543" t="s">
        <v>35</v>
      </c>
      <c r="J543" t="s">
        <v>166</v>
      </c>
      <c r="K543" t="s">
        <v>2</v>
      </c>
      <c r="L543" t="s">
        <v>158</v>
      </c>
      <c r="M543" t="s">
        <v>570</v>
      </c>
      <c r="N543" t="s">
        <v>850</v>
      </c>
      <c r="O543" t="s">
        <v>40</v>
      </c>
      <c r="P543" t="s">
        <v>3022</v>
      </c>
      <c r="Q543" t="s">
        <v>53</v>
      </c>
      <c r="R543" t="s">
        <v>1242</v>
      </c>
      <c r="S543">
        <v>1.54</v>
      </c>
      <c r="T543">
        <v>4168</v>
      </c>
      <c r="U543">
        <v>0</v>
      </c>
      <c r="V543">
        <v>4168</v>
      </c>
    </row>
    <row r="544" spans="1:22" x14ac:dyDescent="0.25">
      <c r="A544">
        <v>79452</v>
      </c>
      <c r="B544">
        <v>131662620</v>
      </c>
      <c r="C544" t="s">
        <v>3023</v>
      </c>
      <c r="D544" t="s">
        <v>3024</v>
      </c>
      <c r="E544" t="s">
        <v>846</v>
      </c>
      <c r="F544" t="s">
        <v>847</v>
      </c>
      <c r="G544" t="s">
        <v>156</v>
      </c>
      <c r="H544" t="s">
        <v>157</v>
      </c>
      <c r="I544" t="s">
        <v>35</v>
      </c>
      <c r="J544" t="s">
        <v>166</v>
      </c>
      <c r="K544" t="s">
        <v>2</v>
      </c>
      <c r="L544" t="s">
        <v>158</v>
      </c>
      <c r="M544" t="s">
        <v>3025</v>
      </c>
      <c r="N544" t="s">
        <v>850</v>
      </c>
      <c r="O544" t="s">
        <v>40</v>
      </c>
      <c r="P544" t="s">
        <v>3026</v>
      </c>
      <c r="Q544" t="s">
        <v>125</v>
      </c>
      <c r="R544" t="s">
        <v>1242</v>
      </c>
      <c r="S544">
        <v>0.44</v>
      </c>
      <c r="T544">
        <v>5964</v>
      </c>
      <c r="U544">
        <v>0</v>
      </c>
      <c r="V544">
        <v>5964</v>
      </c>
    </row>
    <row r="545" spans="1:22" x14ac:dyDescent="0.25">
      <c r="A545">
        <v>79452</v>
      </c>
      <c r="B545">
        <v>131590453</v>
      </c>
      <c r="C545" t="s">
        <v>3027</v>
      </c>
      <c r="D545" t="s">
        <v>3028</v>
      </c>
      <c r="E545" t="s">
        <v>846</v>
      </c>
      <c r="F545" t="s">
        <v>847</v>
      </c>
      <c r="G545" t="s">
        <v>156</v>
      </c>
      <c r="H545" t="s">
        <v>157</v>
      </c>
      <c r="I545" t="s">
        <v>35</v>
      </c>
      <c r="J545" t="s">
        <v>166</v>
      </c>
      <c r="K545" t="s">
        <v>2</v>
      </c>
      <c r="L545" t="s">
        <v>158</v>
      </c>
      <c r="M545" t="s">
        <v>2215</v>
      </c>
      <c r="N545" t="s">
        <v>850</v>
      </c>
      <c r="O545" t="s">
        <v>40</v>
      </c>
      <c r="P545" t="s">
        <v>2216</v>
      </c>
      <c r="Q545" t="s">
        <v>254</v>
      </c>
      <c r="R545" t="s">
        <v>1671</v>
      </c>
      <c r="S545">
        <v>0.46</v>
      </c>
      <c r="T545">
        <v>10592</v>
      </c>
      <c r="U545">
        <v>0</v>
      </c>
      <c r="V545">
        <v>10592</v>
      </c>
    </row>
    <row r="546" spans="1:22" x14ac:dyDescent="0.25">
      <c r="A546">
        <v>79452</v>
      </c>
      <c r="B546">
        <v>131773976</v>
      </c>
      <c r="C546" t="s">
        <v>3029</v>
      </c>
      <c r="D546" t="s">
        <v>3030</v>
      </c>
      <c r="E546" t="s">
        <v>846</v>
      </c>
      <c r="F546" t="s">
        <v>847</v>
      </c>
      <c r="G546" t="s">
        <v>156</v>
      </c>
      <c r="H546" t="s">
        <v>157</v>
      </c>
      <c r="I546" t="s">
        <v>35</v>
      </c>
      <c r="J546" t="s">
        <v>166</v>
      </c>
      <c r="K546" t="s">
        <v>2</v>
      </c>
      <c r="L546" t="s">
        <v>158</v>
      </c>
      <c r="M546" t="s">
        <v>565</v>
      </c>
      <c r="N546" t="s">
        <v>850</v>
      </c>
      <c r="O546" t="s">
        <v>40</v>
      </c>
      <c r="P546" t="s">
        <v>3031</v>
      </c>
      <c r="Q546" t="s">
        <v>84</v>
      </c>
      <c r="R546" t="s">
        <v>612</v>
      </c>
      <c r="S546">
        <v>0.56000000000000005</v>
      </c>
      <c r="T546">
        <v>3915</v>
      </c>
      <c r="U546">
        <v>0</v>
      </c>
      <c r="V546">
        <v>3915</v>
      </c>
    </row>
    <row r="547" spans="1:22" x14ac:dyDescent="0.25">
      <c r="A547">
        <v>79452</v>
      </c>
      <c r="B547">
        <v>131705249</v>
      </c>
      <c r="C547" t="s">
        <v>3032</v>
      </c>
      <c r="D547" t="s">
        <v>3033</v>
      </c>
      <c r="E547" t="s">
        <v>846</v>
      </c>
      <c r="F547" t="s">
        <v>847</v>
      </c>
      <c r="G547" t="s">
        <v>156</v>
      </c>
      <c r="H547" t="s">
        <v>157</v>
      </c>
      <c r="I547" t="s">
        <v>35</v>
      </c>
      <c r="J547" t="s">
        <v>166</v>
      </c>
      <c r="K547" t="s">
        <v>2</v>
      </c>
      <c r="L547" t="s">
        <v>158</v>
      </c>
      <c r="M547" t="s">
        <v>3034</v>
      </c>
      <c r="N547" t="s">
        <v>850</v>
      </c>
      <c r="O547" t="s">
        <v>40</v>
      </c>
      <c r="P547" t="s">
        <v>3035</v>
      </c>
      <c r="Q547" t="s">
        <v>124</v>
      </c>
      <c r="R547" t="s">
        <v>297</v>
      </c>
      <c r="S547">
        <v>0.25</v>
      </c>
      <c r="T547">
        <v>5964</v>
      </c>
      <c r="U547">
        <v>0</v>
      </c>
      <c r="V547">
        <v>5964</v>
      </c>
    </row>
    <row r="548" spans="1:22" x14ac:dyDescent="0.25">
      <c r="A548">
        <v>79452</v>
      </c>
      <c r="B548">
        <v>131732395</v>
      </c>
      <c r="C548" t="s">
        <v>3036</v>
      </c>
      <c r="D548" t="s">
        <v>3037</v>
      </c>
      <c r="E548" t="s">
        <v>846</v>
      </c>
      <c r="F548" t="s">
        <v>847</v>
      </c>
      <c r="G548" t="s">
        <v>156</v>
      </c>
      <c r="H548" t="s">
        <v>157</v>
      </c>
      <c r="I548" t="s">
        <v>35</v>
      </c>
      <c r="J548" t="s">
        <v>166</v>
      </c>
      <c r="K548" t="s">
        <v>2</v>
      </c>
      <c r="L548" t="s">
        <v>158</v>
      </c>
      <c r="M548" t="s">
        <v>3038</v>
      </c>
      <c r="N548" t="s">
        <v>850</v>
      </c>
      <c r="O548" t="s">
        <v>40</v>
      </c>
      <c r="P548" t="s">
        <v>3039</v>
      </c>
      <c r="Q548" t="s">
        <v>205</v>
      </c>
      <c r="R548" t="s">
        <v>684</v>
      </c>
      <c r="S548">
        <v>0.47</v>
      </c>
      <c r="T548">
        <v>5733</v>
      </c>
      <c r="U548">
        <v>0</v>
      </c>
      <c r="V548">
        <v>5733</v>
      </c>
    </row>
    <row r="549" spans="1:22" x14ac:dyDescent="0.25">
      <c r="A549">
        <v>79452</v>
      </c>
      <c r="B549">
        <v>131529854</v>
      </c>
      <c r="C549" t="s">
        <v>3040</v>
      </c>
      <c r="D549" t="s">
        <v>3041</v>
      </c>
      <c r="E549" t="s">
        <v>846</v>
      </c>
      <c r="F549" t="s">
        <v>847</v>
      </c>
      <c r="G549" t="s">
        <v>156</v>
      </c>
      <c r="H549" t="s">
        <v>157</v>
      </c>
      <c r="I549" t="s">
        <v>35</v>
      </c>
      <c r="J549" t="s">
        <v>166</v>
      </c>
      <c r="K549" t="s">
        <v>2</v>
      </c>
      <c r="L549" t="s">
        <v>158</v>
      </c>
      <c r="M549" t="s">
        <v>1852</v>
      </c>
      <c r="N549" t="s">
        <v>850</v>
      </c>
      <c r="O549" t="s">
        <v>40</v>
      </c>
      <c r="P549" t="s">
        <v>1853</v>
      </c>
      <c r="Q549" t="s">
        <v>147</v>
      </c>
      <c r="R549" t="s">
        <v>614</v>
      </c>
      <c r="S549">
        <v>0.26</v>
      </c>
      <c r="T549">
        <v>3776</v>
      </c>
      <c r="U549">
        <v>0</v>
      </c>
      <c r="V549">
        <v>3776</v>
      </c>
    </row>
    <row r="550" spans="1:22" x14ac:dyDescent="0.25">
      <c r="A550">
        <v>79452</v>
      </c>
      <c r="B550">
        <v>131383482</v>
      </c>
      <c r="C550" t="s">
        <v>3042</v>
      </c>
      <c r="D550" t="s">
        <v>3043</v>
      </c>
      <c r="E550" t="s">
        <v>846</v>
      </c>
      <c r="F550" t="s">
        <v>847</v>
      </c>
      <c r="G550" t="s">
        <v>156</v>
      </c>
      <c r="H550" t="s">
        <v>157</v>
      </c>
      <c r="I550" t="s">
        <v>35</v>
      </c>
      <c r="J550" t="s">
        <v>166</v>
      </c>
      <c r="K550" t="s">
        <v>2</v>
      </c>
      <c r="L550" t="s">
        <v>158</v>
      </c>
      <c r="M550" t="s">
        <v>3044</v>
      </c>
      <c r="N550" t="s">
        <v>850</v>
      </c>
      <c r="O550" t="s">
        <v>40</v>
      </c>
      <c r="P550" t="s">
        <v>3045</v>
      </c>
      <c r="Q550" t="s">
        <v>236</v>
      </c>
      <c r="R550" t="s">
        <v>1386</v>
      </c>
      <c r="S550">
        <v>0.68</v>
      </c>
      <c r="T550">
        <v>5992</v>
      </c>
      <c r="U550">
        <v>0</v>
      </c>
      <c r="V550">
        <v>5992</v>
      </c>
    </row>
    <row r="551" spans="1:22" x14ac:dyDescent="0.25">
      <c r="A551">
        <v>79452</v>
      </c>
      <c r="B551">
        <v>131529883</v>
      </c>
      <c r="C551" t="s">
        <v>3046</v>
      </c>
      <c r="D551" t="s">
        <v>3047</v>
      </c>
      <c r="E551" t="s">
        <v>846</v>
      </c>
      <c r="F551" t="s">
        <v>847</v>
      </c>
      <c r="G551" t="s">
        <v>156</v>
      </c>
      <c r="H551" t="s">
        <v>157</v>
      </c>
      <c r="I551" t="s">
        <v>35</v>
      </c>
      <c r="J551" t="s">
        <v>166</v>
      </c>
      <c r="K551" t="s">
        <v>2</v>
      </c>
      <c r="L551" t="s">
        <v>158</v>
      </c>
      <c r="M551" t="s">
        <v>3048</v>
      </c>
      <c r="N551" t="s">
        <v>850</v>
      </c>
      <c r="O551" t="s">
        <v>40</v>
      </c>
      <c r="P551" t="s">
        <v>595</v>
      </c>
      <c r="Q551" t="s">
        <v>195</v>
      </c>
      <c r="R551" t="s">
        <v>381</v>
      </c>
      <c r="S551">
        <v>0.33</v>
      </c>
      <c r="T551">
        <v>3776</v>
      </c>
      <c r="U551">
        <v>0</v>
      </c>
      <c r="V551">
        <v>3776</v>
      </c>
    </row>
    <row r="552" spans="1:22" x14ac:dyDescent="0.25">
      <c r="A552">
        <v>79452</v>
      </c>
      <c r="B552">
        <v>131569573</v>
      </c>
      <c r="C552" t="s">
        <v>3049</v>
      </c>
      <c r="D552" t="s">
        <v>3050</v>
      </c>
      <c r="E552" t="s">
        <v>846</v>
      </c>
      <c r="F552" t="s">
        <v>847</v>
      </c>
      <c r="G552" t="s">
        <v>156</v>
      </c>
      <c r="H552" t="s">
        <v>157</v>
      </c>
      <c r="I552" t="s">
        <v>35</v>
      </c>
      <c r="J552" t="s">
        <v>166</v>
      </c>
      <c r="K552" t="s">
        <v>2</v>
      </c>
      <c r="L552" t="s">
        <v>158</v>
      </c>
      <c r="M552" t="s">
        <v>534</v>
      </c>
      <c r="N552" t="s">
        <v>850</v>
      </c>
      <c r="O552" t="s">
        <v>40</v>
      </c>
      <c r="P552" t="s">
        <v>3051</v>
      </c>
      <c r="Q552" t="s">
        <v>59</v>
      </c>
      <c r="R552" t="s">
        <v>293</v>
      </c>
      <c r="S552">
        <v>2.0699999999999998</v>
      </c>
      <c r="T552">
        <v>6800</v>
      </c>
      <c r="U552">
        <v>0</v>
      </c>
      <c r="V552">
        <v>6800</v>
      </c>
    </row>
    <row r="553" spans="1:22" x14ac:dyDescent="0.25">
      <c r="A553">
        <v>79452</v>
      </c>
      <c r="B553">
        <v>131448352</v>
      </c>
      <c r="C553" t="s">
        <v>3052</v>
      </c>
      <c r="D553" t="s">
        <v>3053</v>
      </c>
      <c r="E553" t="s">
        <v>846</v>
      </c>
      <c r="F553" t="s">
        <v>847</v>
      </c>
      <c r="G553" t="s">
        <v>156</v>
      </c>
      <c r="H553" t="s">
        <v>157</v>
      </c>
      <c r="I553" t="s">
        <v>35</v>
      </c>
      <c r="J553" t="s">
        <v>166</v>
      </c>
      <c r="K553" t="s">
        <v>2</v>
      </c>
      <c r="L553" t="s">
        <v>158</v>
      </c>
      <c r="M553" t="s">
        <v>572</v>
      </c>
      <c r="N553" t="s">
        <v>850</v>
      </c>
      <c r="O553" t="s">
        <v>40</v>
      </c>
      <c r="P553" t="s">
        <v>3054</v>
      </c>
      <c r="Q553" t="s">
        <v>59</v>
      </c>
      <c r="R553" t="s">
        <v>707</v>
      </c>
      <c r="S553">
        <v>0.41</v>
      </c>
      <c r="T553">
        <v>5601</v>
      </c>
      <c r="U553">
        <v>0</v>
      </c>
      <c r="V553">
        <v>5601</v>
      </c>
    </row>
    <row r="554" spans="1:22" x14ac:dyDescent="0.25">
      <c r="A554">
        <v>79452</v>
      </c>
      <c r="B554">
        <v>131448348</v>
      </c>
      <c r="C554" t="s">
        <v>3055</v>
      </c>
      <c r="D554" t="s">
        <v>3056</v>
      </c>
      <c r="E554" t="s">
        <v>846</v>
      </c>
      <c r="F554" t="s">
        <v>847</v>
      </c>
      <c r="G554" t="s">
        <v>156</v>
      </c>
      <c r="H554" t="s">
        <v>157</v>
      </c>
      <c r="I554" t="s">
        <v>35</v>
      </c>
      <c r="J554" t="s">
        <v>166</v>
      </c>
      <c r="K554" t="s">
        <v>2</v>
      </c>
      <c r="L554" t="s">
        <v>158</v>
      </c>
      <c r="M554" t="s">
        <v>3057</v>
      </c>
      <c r="N554" t="s">
        <v>850</v>
      </c>
      <c r="O554" t="s">
        <v>40</v>
      </c>
      <c r="P554" t="s">
        <v>3058</v>
      </c>
      <c r="Q554" t="s">
        <v>53</v>
      </c>
      <c r="R554" t="s">
        <v>707</v>
      </c>
      <c r="S554">
        <v>0.94</v>
      </c>
      <c r="T554">
        <v>3915</v>
      </c>
      <c r="U554">
        <v>0</v>
      </c>
      <c r="V554">
        <v>3915</v>
      </c>
    </row>
    <row r="555" spans="1:22" x14ac:dyDescent="0.25">
      <c r="A555">
        <v>79452</v>
      </c>
      <c r="B555">
        <v>131383452</v>
      </c>
      <c r="C555" t="s">
        <v>3059</v>
      </c>
      <c r="D555" t="s">
        <v>3060</v>
      </c>
      <c r="E555" t="s">
        <v>846</v>
      </c>
      <c r="F555" t="s">
        <v>847</v>
      </c>
      <c r="G555" t="s">
        <v>156</v>
      </c>
      <c r="H555" t="s">
        <v>157</v>
      </c>
      <c r="I555" t="s">
        <v>35</v>
      </c>
      <c r="J555" t="s">
        <v>166</v>
      </c>
      <c r="K555" t="s">
        <v>2</v>
      </c>
      <c r="L555" t="s">
        <v>158</v>
      </c>
      <c r="M555" t="s">
        <v>3061</v>
      </c>
      <c r="N555" t="s">
        <v>850</v>
      </c>
      <c r="O555" t="s">
        <v>40</v>
      </c>
      <c r="P555" t="s">
        <v>3062</v>
      </c>
      <c r="Q555" t="s">
        <v>131</v>
      </c>
      <c r="R555" t="s">
        <v>1386</v>
      </c>
      <c r="S555">
        <v>1.52</v>
      </c>
      <c r="T555">
        <v>7087</v>
      </c>
      <c r="U555">
        <v>0</v>
      </c>
      <c r="V555">
        <v>7087</v>
      </c>
    </row>
    <row r="556" spans="1:22" x14ac:dyDescent="0.25">
      <c r="A556">
        <v>79452</v>
      </c>
      <c r="B556">
        <v>131267960</v>
      </c>
      <c r="C556" t="s">
        <v>3063</v>
      </c>
      <c r="D556" t="s">
        <v>3064</v>
      </c>
      <c r="E556" t="s">
        <v>846</v>
      </c>
      <c r="F556" t="s">
        <v>847</v>
      </c>
      <c r="G556" t="s">
        <v>156</v>
      </c>
      <c r="H556" t="s">
        <v>157</v>
      </c>
      <c r="I556" t="s">
        <v>35</v>
      </c>
      <c r="J556" t="s">
        <v>166</v>
      </c>
      <c r="K556" t="s">
        <v>2</v>
      </c>
      <c r="L556" t="s">
        <v>158</v>
      </c>
      <c r="M556" t="s">
        <v>3065</v>
      </c>
      <c r="N556" t="s">
        <v>850</v>
      </c>
      <c r="O556" t="s">
        <v>40</v>
      </c>
      <c r="P556" t="s">
        <v>3066</v>
      </c>
      <c r="Q556" t="s">
        <v>53</v>
      </c>
      <c r="R556" t="s">
        <v>296</v>
      </c>
      <c r="S556">
        <v>0.78</v>
      </c>
      <c r="T556">
        <v>3915</v>
      </c>
      <c r="U556">
        <v>0</v>
      </c>
      <c r="V556">
        <v>3915</v>
      </c>
    </row>
    <row r="557" spans="1:22" x14ac:dyDescent="0.25">
      <c r="A557">
        <v>79452</v>
      </c>
      <c r="B557">
        <v>131182285</v>
      </c>
      <c r="C557" t="s">
        <v>3067</v>
      </c>
      <c r="D557" t="s">
        <v>3068</v>
      </c>
      <c r="E557" t="s">
        <v>846</v>
      </c>
      <c r="F557" t="s">
        <v>847</v>
      </c>
      <c r="G557" t="s">
        <v>156</v>
      </c>
      <c r="H557" t="s">
        <v>157</v>
      </c>
      <c r="I557" t="s">
        <v>35</v>
      </c>
      <c r="J557" t="s">
        <v>166</v>
      </c>
      <c r="K557" t="s">
        <v>2</v>
      </c>
      <c r="L557" t="s">
        <v>158</v>
      </c>
      <c r="M557" t="s">
        <v>3069</v>
      </c>
      <c r="N557" t="s">
        <v>850</v>
      </c>
      <c r="O557" t="s">
        <v>40</v>
      </c>
      <c r="P557" t="s">
        <v>3070</v>
      </c>
      <c r="Q557" t="s">
        <v>203</v>
      </c>
      <c r="R557" t="s">
        <v>2616</v>
      </c>
      <c r="S557">
        <v>0.8</v>
      </c>
      <c r="T557">
        <v>6381</v>
      </c>
      <c r="U557">
        <v>0</v>
      </c>
      <c r="V557">
        <v>6381</v>
      </c>
    </row>
    <row r="558" spans="1:22" x14ac:dyDescent="0.25">
      <c r="A558">
        <v>79452</v>
      </c>
      <c r="B558">
        <v>131267976</v>
      </c>
      <c r="C558" t="s">
        <v>3071</v>
      </c>
      <c r="D558" t="s">
        <v>3072</v>
      </c>
      <c r="E558" t="s">
        <v>846</v>
      </c>
      <c r="F558" t="s">
        <v>847</v>
      </c>
      <c r="G558" t="s">
        <v>156</v>
      </c>
      <c r="H558" t="s">
        <v>157</v>
      </c>
      <c r="I558" t="s">
        <v>35</v>
      </c>
      <c r="J558" t="s">
        <v>166</v>
      </c>
      <c r="K558" t="s">
        <v>2</v>
      </c>
      <c r="L558" t="s">
        <v>158</v>
      </c>
      <c r="M558" t="s">
        <v>3073</v>
      </c>
      <c r="N558" t="s">
        <v>850</v>
      </c>
      <c r="O558" t="s">
        <v>40</v>
      </c>
      <c r="P558" t="s">
        <v>3074</v>
      </c>
      <c r="Q558" t="s">
        <v>159</v>
      </c>
      <c r="R558" t="s">
        <v>314</v>
      </c>
      <c r="S558">
        <v>1.04</v>
      </c>
      <c r="T558">
        <v>6064</v>
      </c>
      <c r="U558">
        <v>0</v>
      </c>
      <c r="V558">
        <v>6064</v>
      </c>
    </row>
    <row r="559" spans="1:22" x14ac:dyDescent="0.25">
      <c r="A559">
        <v>79452</v>
      </c>
      <c r="B559">
        <v>131267972</v>
      </c>
      <c r="C559" t="s">
        <v>3075</v>
      </c>
      <c r="D559" t="s">
        <v>3076</v>
      </c>
      <c r="E559" t="s">
        <v>846</v>
      </c>
      <c r="F559" t="s">
        <v>847</v>
      </c>
      <c r="G559" t="s">
        <v>156</v>
      </c>
      <c r="H559" t="s">
        <v>157</v>
      </c>
      <c r="I559" t="s">
        <v>35</v>
      </c>
      <c r="J559" t="s">
        <v>166</v>
      </c>
      <c r="K559" t="s">
        <v>2</v>
      </c>
      <c r="L559" t="s">
        <v>158</v>
      </c>
      <c r="M559" t="s">
        <v>3077</v>
      </c>
      <c r="N559" t="s">
        <v>850</v>
      </c>
      <c r="O559" t="s">
        <v>40</v>
      </c>
      <c r="P559" t="s">
        <v>3078</v>
      </c>
      <c r="Q559" t="s">
        <v>59</v>
      </c>
      <c r="R559" t="s">
        <v>296</v>
      </c>
      <c r="S559">
        <v>0.18</v>
      </c>
      <c r="T559">
        <v>5601</v>
      </c>
      <c r="U559">
        <v>0</v>
      </c>
      <c r="V559">
        <v>5601</v>
      </c>
    </row>
    <row r="560" spans="1:22" x14ac:dyDescent="0.25">
      <c r="A560">
        <v>79452</v>
      </c>
      <c r="B560">
        <v>131134392</v>
      </c>
      <c r="C560" t="s">
        <v>3079</v>
      </c>
      <c r="D560" t="s">
        <v>3080</v>
      </c>
      <c r="E560" t="s">
        <v>846</v>
      </c>
      <c r="F560" t="s">
        <v>847</v>
      </c>
      <c r="G560" t="s">
        <v>156</v>
      </c>
      <c r="H560" t="s">
        <v>157</v>
      </c>
      <c r="I560" t="s">
        <v>35</v>
      </c>
      <c r="J560" t="s">
        <v>166</v>
      </c>
      <c r="K560" t="s">
        <v>2</v>
      </c>
      <c r="L560" t="s">
        <v>158</v>
      </c>
      <c r="M560" t="s">
        <v>3081</v>
      </c>
      <c r="N560" t="s">
        <v>850</v>
      </c>
      <c r="O560" t="s">
        <v>40</v>
      </c>
      <c r="P560" t="s">
        <v>3082</v>
      </c>
      <c r="Q560" t="s">
        <v>59</v>
      </c>
      <c r="R560" t="s">
        <v>3083</v>
      </c>
      <c r="S560">
        <v>1.18</v>
      </c>
      <c r="T560">
        <v>5992</v>
      </c>
      <c r="U560">
        <v>0</v>
      </c>
      <c r="V560">
        <v>5992</v>
      </c>
    </row>
    <row r="561" spans="1:22" x14ac:dyDescent="0.25">
      <c r="A561">
        <v>79452</v>
      </c>
      <c r="B561">
        <v>131268011</v>
      </c>
      <c r="C561" t="s">
        <v>3084</v>
      </c>
      <c r="D561" t="s">
        <v>3085</v>
      </c>
      <c r="E561" t="s">
        <v>846</v>
      </c>
      <c r="F561" t="s">
        <v>847</v>
      </c>
      <c r="G561" t="s">
        <v>156</v>
      </c>
      <c r="H561" t="s">
        <v>157</v>
      </c>
      <c r="I561" t="s">
        <v>35</v>
      </c>
      <c r="J561" t="s">
        <v>166</v>
      </c>
      <c r="K561" t="s">
        <v>2</v>
      </c>
      <c r="L561" t="s">
        <v>158</v>
      </c>
      <c r="M561" t="s">
        <v>3086</v>
      </c>
      <c r="N561" t="s">
        <v>850</v>
      </c>
      <c r="O561" t="s">
        <v>40</v>
      </c>
      <c r="P561" t="s">
        <v>3087</v>
      </c>
      <c r="Q561" t="s">
        <v>168</v>
      </c>
      <c r="R561" t="s">
        <v>314</v>
      </c>
      <c r="S561">
        <v>1.29</v>
      </c>
      <c r="T561">
        <v>3915</v>
      </c>
      <c r="U561">
        <v>0</v>
      </c>
      <c r="V561">
        <v>3915</v>
      </c>
    </row>
    <row r="562" spans="1:22" x14ac:dyDescent="0.25">
      <c r="A562">
        <v>79452</v>
      </c>
      <c r="B562">
        <v>131311836</v>
      </c>
      <c r="C562" t="s">
        <v>3088</v>
      </c>
      <c r="D562" t="s">
        <v>3089</v>
      </c>
      <c r="E562" t="s">
        <v>846</v>
      </c>
      <c r="F562" t="s">
        <v>847</v>
      </c>
      <c r="G562" t="s">
        <v>156</v>
      </c>
      <c r="H562" t="s">
        <v>157</v>
      </c>
      <c r="I562" t="s">
        <v>35</v>
      </c>
      <c r="J562" t="s">
        <v>166</v>
      </c>
      <c r="K562" t="s">
        <v>2</v>
      </c>
      <c r="L562" t="s">
        <v>158</v>
      </c>
      <c r="M562" t="s">
        <v>3090</v>
      </c>
      <c r="N562" t="s">
        <v>850</v>
      </c>
      <c r="O562" t="s">
        <v>40</v>
      </c>
      <c r="P562" t="s">
        <v>3091</v>
      </c>
      <c r="Q562" t="s">
        <v>53</v>
      </c>
      <c r="R562" t="s">
        <v>376</v>
      </c>
      <c r="S562">
        <v>6.03</v>
      </c>
      <c r="T562">
        <v>5255</v>
      </c>
      <c r="U562">
        <v>0</v>
      </c>
      <c r="V562">
        <v>5255</v>
      </c>
    </row>
    <row r="563" spans="1:22" x14ac:dyDescent="0.25">
      <c r="A563">
        <v>79452</v>
      </c>
      <c r="B563">
        <v>131134410</v>
      </c>
      <c r="C563" t="s">
        <v>3092</v>
      </c>
      <c r="D563" t="s">
        <v>3093</v>
      </c>
      <c r="E563" t="s">
        <v>846</v>
      </c>
      <c r="F563" t="s">
        <v>847</v>
      </c>
      <c r="G563" t="s">
        <v>156</v>
      </c>
      <c r="H563" t="s">
        <v>157</v>
      </c>
      <c r="I563" t="s">
        <v>35</v>
      </c>
      <c r="J563" t="s">
        <v>166</v>
      </c>
      <c r="K563" t="s">
        <v>2</v>
      </c>
      <c r="L563" t="s">
        <v>158</v>
      </c>
      <c r="M563" t="s">
        <v>3094</v>
      </c>
      <c r="N563" t="s">
        <v>850</v>
      </c>
      <c r="O563" t="s">
        <v>40</v>
      </c>
      <c r="P563" t="s">
        <v>3095</v>
      </c>
      <c r="Q563" t="s">
        <v>59</v>
      </c>
      <c r="R563" t="s">
        <v>3083</v>
      </c>
      <c r="S563">
        <v>1.1200000000000001</v>
      </c>
      <c r="T563">
        <v>5992</v>
      </c>
      <c r="U563">
        <v>0</v>
      </c>
      <c r="V563">
        <v>5992</v>
      </c>
    </row>
    <row r="564" spans="1:22" x14ac:dyDescent="0.25">
      <c r="A564">
        <v>79452</v>
      </c>
      <c r="B564">
        <v>131134413</v>
      </c>
      <c r="C564" t="s">
        <v>3096</v>
      </c>
      <c r="D564" t="s">
        <v>3097</v>
      </c>
      <c r="E564" t="s">
        <v>846</v>
      </c>
      <c r="F564" t="s">
        <v>847</v>
      </c>
      <c r="G564" t="s">
        <v>156</v>
      </c>
      <c r="H564" t="s">
        <v>157</v>
      </c>
      <c r="I564" t="s">
        <v>35</v>
      </c>
      <c r="J564" t="s">
        <v>166</v>
      </c>
      <c r="K564" t="s">
        <v>2</v>
      </c>
      <c r="L564" t="s">
        <v>158</v>
      </c>
      <c r="M564" t="s">
        <v>3098</v>
      </c>
      <c r="N564" t="s">
        <v>850</v>
      </c>
      <c r="O564" t="s">
        <v>40</v>
      </c>
      <c r="P564" t="s">
        <v>3099</v>
      </c>
      <c r="Q564" t="s">
        <v>84</v>
      </c>
      <c r="R564" t="s">
        <v>3083</v>
      </c>
      <c r="S564">
        <v>0.56000000000000005</v>
      </c>
      <c r="T564">
        <v>3915</v>
      </c>
      <c r="U564">
        <v>0</v>
      </c>
      <c r="V564">
        <v>3915</v>
      </c>
    </row>
    <row r="565" spans="1:22" x14ac:dyDescent="0.25">
      <c r="A565">
        <v>79452</v>
      </c>
      <c r="B565">
        <v>131134397</v>
      </c>
      <c r="C565" t="s">
        <v>3100</v>
      </c>
      <c r="D565" t="s">
        <v>3101</v>
      </c>
      <c r="E565" t="s">
        <v>846</v>
      </c>
      <c r="F565" t="s">
        <v>847</v>
      </c>
      <c r="G565" t="s">
        <v>156</v>
      </c>
      <c r="H565" t="s">
        <v>157</v>
      </c>
      <c r="I565" t="s">
        <v>35</v>
      </c>
      <c r="J565" t="s">
        <v>166</v>
      </c>
      <c r="K565" t="s">
        <v>2</v>
      </c>
      <c r="L565" t="s">
        <v>158</v>
      </c>
      <c r="M565" t="s">
        <v>3102</v>
      </c>
      <c r="N565" t="s">
        <v>850</v>
      </c>
      <c r="O565" t="s">
        <v>40</v>
      </c>
      <c r="P565" t="s">
        <v>3103</v>
      </c>
      <c r="Q565" t="s">
        <v>247</v>
      </c>
      <c r="R565" t="s">
        <v>3083</v>
      </c>
      <c r="S565">
        <v>0.74</v>
      </c>
      <c r="T565">
        <v>5992</v>
      </c>
      <c r="U565">
        <v>0</v>
      </c>
      <c r="V565">
        <v>5992</v>
      </c>
    </row>
    <row r="566" spans="1:22" x14ac:dyDescent="0.25">
      <c r="A566">
        <v>79452</v>
      </c>
      <c r="B566">
        <v>131198448</v>
      </c>
      <c r="C566" t="s">
        <v>3104</v>
      </c>
      <c r="D566" t="s">
        <v>3105</v>
      </c>
      <c r="E566" t="s">
        <v>846</v>
      </c>
      <c r="F566" t="s">
        <v>847</v>
      </c>
      <c r="G566" t="s">
        <v>156</v>
      </c>
      <c r="H566" t="s">
        <v>157</v>
      </c>
      <c r="I566" t="s">
        <v>35</v>
      </c>
      <c r="J566" t="s">
        <v>166</v>
      </c>
      <c r="K566" t="s">
        <v>2</v>
      </c>
      <c r="L566" t="s">
        <v>158</v>
      </c>
      <c r="M566" t="s">
        <v>3106</v>
      </c>
      <c r="N566" t="s">
        <v>850</v>
      </c>
      <c r="O566" t="s">
        <v>40</v>
      </c>
      <c r="P566" t="s">
        <v>3107</v>
      </c>
      <c r="Q566" t="s">
        <v>225</v>
      </c>
      <c r="R566" t="s">
        <v>621</v>
      </c>
      <c r="S566">
        <v>0.32</v>
      </c>
      <c r="T566">
        <v>5733</v>
      </c>
      <c r="U566">
        <v>0</v>
      </c>
      <c r="V566">
        <v>5733</v>
      </c>
    </row>
    <row r="567" spans="1:22" x14ac:dyDescent="0.25">
      <c r="A567">
        <v>79452</v>
      </c>
      <c r="B567">
        <v>131268006</v>
      </c>
      <c r="C567" t="s">
        <v>3108</v>
      </c>
      <c r="D567" t="s">
        <v>3109</v>
      </c>
      <c r="E567" t="s">
        <v>846</v>
      </c>
      <c r="F567" t="s">
        <v>847</v>
      </c>
      <c r="G567" t="s">
        <v>156</v>
      </c>
      <c r="H567" t="s">
        <v>157</v>
      </c>
      <c r="I567" t="s">
        <v>35</v>
      </c>
      <c r="J567" t="s">
        <v>166</v>
      </c>
      <c r="K567" t="s">
        <v>2</v>
      </c>
      <c r="L567" t="s">
        <v>158</v>
      </c>
      <c r="M567" t="s">
        <v>3110</v>
      </c>
      <c r="N567" t="s">
        <v>850</v>
      </c>
      <c r="O567" t="s">
        <v>40</v>
      </c>
      <c r="P567" t="s">
        <v>3111</v>
      </c>
      <c r="Q567" t="s">
        <v>263</v>
      </c>
      <c r="R567" t="s">
        <v>314</v>
      </c>
      <c r="S567">
        <v>1.04</v>
      </c>
      <c r="T567">
        <v>6064</v>
      </c>
      <c r="U567">
        <v>0</v>
      </c>
      <c r="V567">
        <v>6064</v>
      </c>
    </row>
    <row r="568" spans="1:22" x14ac:dyDescent="0.25">
      <c r="A568">
        <v>79452</v>
      </c>
      <c r="B568">
        <v>131236055</v>
      </c>
      <c r="C568" t="s">
        <v>3112</v>
      </c>
      <c r="D568" t="s">
        <v>3113</v>
      </c>
      <c r="E568" t="s">
        <v>846</v>
      </c>
      <c r="F568" t="s">
        <v>847</v>
      </c>
      <c r="G568" t="s">
        <v>156</v>
      </c>
      <c r="H568" t="s">
        <v>157</v>
      </c>
      <c r="I568" t="s">
        <v>35</v>
      </c>
      <c r="J568" t="s">
        <v>166</v>
      </c>
      <c r="K568" t="s">
        <v>2</v>
      </c>
      <c r="L568" t="s">
        <v>158</v>
      </c>
      <c r="M568" t="s">
        <v>3114</v>
      </c>
      <c r="N568" t="s">
        <v>850</v>
      </c>
      <c r="O568" t="s">
        <v>40</v>
      </c>
      <c r="P568" t="s">
        <v>3115</v>
      </c>
      <c r="Q568" t="s">
        <v>196</v>
      </c>
      <c r="R568" t="s">
        <v>603</v>
      </c>
      <c r="S568">
        <v>0.21</v>
      </c>
      <c r="T568">
        <v>5526</v>
      </c>
      <c r="U568">
        <v>0</v>
      </c>
      <c r="V568">
        <v>5526</v>
      </c>
    </row>
    <row r="569" spans="1:22" x14ac:dyDescent="0.25">
      <c r="A569">
        <v>80147</v>
      </c>
      <c r="B569">
        <v>132161516</v>
      </c>
      <c r="C569" t="s">
        <v>3116</v>
      </c>
      <c r="D569" t="s">
        <v>3117</v>
      </c>
      <c r="E569" t="s">
        <v>3118</v>
      </c>
      <c r="F569" t="s">
        <v>847</v>
      </c>
      <c r="G569" t="s">
        <v>142</v>
      </c>
      <c r="H569" t="s">
        <v>143</v>
      </c>
      <c r="I569" t="s">
        <v>35</v>
      </c>
      <c r="J569" t="s">
        <v>144</v>
      </c>
      <c r="K569" t="s">
        <v>2</v>
      </c>
      <c r="L569" t="s">
        <v>3119</v>
      </c>
      <c r="M569" t="s">
        <v>3120</v>
      </c>
      <c r="N569" t="s">
        <v>850</v>
      </c>
      <c r="O569" t="s">
        <v>40</v>
      </c>
      <c r="P569" t="s">
        <v>3121</v>
      </c>
      <c r="Q569" t="s">
        <v>49</v>
      </c>
      <c r="R569" t="s">
        <v>368</v>
      </c>
      <c r="S569">
        <v>1</v>
      </c>
      <c r="T569">
        <v>3366</v>
      </c>
      <c r="U569">
        <v>0</v>
      </c>
      <c r="V569">
        <v>3366</v>
      </c>
    </row>
    <row r="570" spans="1:22" x14ac:dyDescent="0.25">
      <c r="A570">
        <v>80147</v>
      </c>
      <c r="B570">
        <v>131856135</v>
      </c>
      <c r="C570" t="s">
        <v>3122</v>
      </c>
      <c r="D570" t="s">
        <v>3123</v>
      </c>
      <c r="E570" t="s">
        <v>3118</v>
      </c>
      <c r="F570" t="s">
        <v>847</v>
      </c>
      <c r="G570" t="s">
        <v>142</v>
      </c>
      <c r="H570" t="s">
        <v>143</v>
      </c>
      <c r="I570" t="s">
        <v>35</v>
      </c>
      <c r="J570" t="s">
        <v>144</v>
      </c>
      <c r="K570" t="s">
        <v>2</v>
      </c>
      <c r="L570" t="s">
        <v>3124</v>
      </c>
      <c r="M570" t="s">
        <v>3125</v>
      </c>
      <c r="N570" t="s">
        <v>850</v>
      </c>
      <c r="O570" t="s">
        <v>40</v>
      </c>
      <c r="P570" t="s">
        <v>3126</v>
      </c>
      <c r="Q570" t="s">
        <v>208</v>
      </c>
      <c r="R570" t="s">
        <v>397</v>
      </c>
      <c r="S570">
        <v>1</v>
      </c>
      <c r="T570">
        <v>3366</v>
      </c>
      <c r="U570">
        <v>0</v>
      </c>
      <c r="V570">
        <v>3366</v>
      </c>
    </row>
    <row r="571" spans="1:22" x14ac:dyDescent="0.25">
      <c r="A571">
        <v>80147</v>
      </c>
      <c r="B571">
        <v>131489622</v>
      </c>
      <c r="C571" t="s">
        <v>3127</v>
      </c>
      <c r="D571" t="s">
        <v>3128</v>
      </c>
      <c r="E571" t="s">
        <v>3118</v>
      </c>
      <c r="F571" t="s">
        <v>847</v>
      </c>
      <c r="G571" t="s">
        <v>142</v>
      </c>
      <c r="H571" t="s">
        <v>143</v>
      </c>
      <c r="I571" t="s">
        <v>35</v>
      </c>
      <c r="J571" t="s">
        <v>144</v>
      </c>
      <c r="K571" t="s">
        <v>2</v>
      </c>
      <c r="L571" t="s">
        <v>3129</v>
      </c>
      <c r="M571" t="s">
        <v>3130</v>
      </c>
      <c r="N571" t="s">
        <v>850</v>
      </c>
      <c r="O571" t="s">
        <v>40</v>
      </c>
      <c r="P571" t="s">
        <v>3131</v>
      </c>
      <c r="Q571" t="s">
        <v>264</v>
      </c>
      <c r="R571" t="s">
        <v>304</v>
      </c>
      <c r="S571">
        <v>1</v>
      </c>
      <c r="T571">
        <v>10395</v>
      </c>
      <c r="U571">
        <v>0</v>
      </c>
      <c r="V571">
        <v>10395</v>
      </c>
    </row>
    <row r="572" spans="1:22" x14ac:dyDescent="0.25">
      <c r="A572">
        <v>80147</v>
      </c>
      <c r="B572">
        <v>131990759</v>
      </c>
      <c r="C572" t="s">
        <v>3132</v>
      </c>
      <c r="D572" t="s">
        <v>3133</v>
      </c>
      <c r="E572" t="s">
        <v>3118</v>
      </c>
      <c r="F572" t="s">
        <v>847</v>
      </c>
      <c r="G572" t="s">
        <v>142</v>
      </c>
      <c r="H572" t="s">
        <v>143</v>
      </c>
      <c r="I572" t="s">
        <v>35</v>
      </c>
      <c r="J572" t="s">
        <v>144</v>
      </c>
      <c r="K572" t="s">
        <v>2</v>
      </c>
      <c r="L572" t="s">
        <v>3134</v>
      </c>
      <c r="M572" t="s">
        <v>3135</v>
      </c>
      <c r="N572" t="s">
        <v>850</v>
      </c>
      <c r="O572" t="s">
        <v>40</v>
      </c>
      <c r="P572" t="s">
        <v>3136</v>
      </c>
      <c r="Q572" t="s">
        <v>48</v>
      </c>
      <c r="R572" t="s">
        <v>3137</v>
      </c>
      <c r="S572">
        <v>1</v>
      </c>
      <c r="T572">
        <v>3366</v>
      </c>
      <c r="U572">
        <v>0</v>
      </c>
      <c r="V572">
        <v>3366</v>
      </c>
    </row>
    <row r="573" spans="1:22" x14ac:dyDescent="0.25">
      <c r="A573">
        <v>80147</v>
      </c>
      <c r="B573">
        <v>132151063</v>
      </c>
      <c r="C573" t="s">
        <v>3138</v>
      </c>
      <c r="D573" t="s">
        <v>3139</v>
      </c>
      <c r="E573" t="s">
        <v>3118</v>
      </c>
      <c r="F573" t="s">
        <v>847</v>
      </c>
      <c r="G573" t="s">
        <v>142</v>
      </c>
      <c r="H573" t="s">
        <v>143</v>
      </c>
      <c r="I573" t="s">
        <v>35</v>
      </c>
      <c r="J573" t="s">
        <v>144</v>
      </c>
      <c r="K573" t="s">
        <v>2</v>
      </c>
      <c r="L573" t="s">
        <v>3140</v>
      </c>
      <c r="M573" t="s">
        <v>3141</v>
      </c>
      <c r="N573" t="s">
        <v>850</v>
      </c>
      <c r="O573" t="s">
        <v>40</v>
      </c>
      <c r="P573" t="s">
        <v>3142</v>
      </c>
      <c r="Q573" t="s">
        <v>73</v>
      </c>
      <c r="R573" t="s">
        <v>358</v>
      </c>
      <c r="S573">
        <v>1</v>
      </c>
      <c r="T573">
        <v>3366</v>
      </c>
      <c r="U573">
        <v>0</v>
      </c>
      <c r="V573">
        <v>3366</v>
      </c>
    </row>
    <row r="574" spans="1:22" x14ac:dyDescent="0.25">
      <c r="A574">
        <v>80147</v>
      </c>
      <c r="B574">
        <v>132151066</v>
      </c>
      <c r="C574" t="s">
        <v>3143</v>
      </c>
      <c r="D574" t="s">
        <v>3144</v>
      </c>
      <c r="E574" t="s">
        <v>3118</v>
      </c>
      <c r="F574" t="s">
        <v>847</v>
      </c>
      <c r="G574" t="s">
        <v>142</v>
      </c>
      <c r="H574" t="s">
        <v>143</v>
      </c>
      <c r="I574" t="s">
        <v>35</v>
      </c>
      <c r="J574" t="s">
        <v>144</v>
      </c>
      <c r="K574" t="s">
        <v>2</v>
      </c>
      <c r="L574" t="s">
        <v>3145</v>
      </c>
      <c r="M574" t="s">
        <v>3146</v>
      </c>
      <c r="N574" t="s">
        <v>850</v>
      </c>
      <c r="O574" t="s">
        <v>40</v>
      </c>
      <c r="P574" t="s">
        <v>3147</v>
      </c>
      <c r="Q574" t="s">
        <v>73</v>
      </c>
      <c r="R574" t="s">
        <v>358</v>
      </c>
      <c r="S574">
        <v>1</v>
      </c>
      <c r="T574">
        <v>3366</v>
      </c>
      <c r="U574">
        <v>0</v>
      </c>
      <c r="V574">
        <v>3366</v>
      </c>
    </row>
    <row r="575" spans="1:22" x14ac:dyDescent="0.25">
      <c r="A575">
        <v>80147</v>
      </c>
      <c r="B575">
        <v>132088237</v>
      </c>
      <c r="C575" t="s">
        <v>3148</v>
      </c>
      <c r="D575" t="s">
        <v>3149</v>
      </c>
      <c r="E575" t="s">
        <v>3118</v>
      </c>
      <c r="F575" t="s">
        <v>847</v>
      </c>
      <c r="G575" t="s">
        <v>142</v>
      </c>
      <c r="H575" t="s">
        <v>143</v>
      </c>
      <c r="I575" t="s">
        <v>35</v>
      </c>
      <c r="J575" t="s">
        <v>144</v>
      </c>
      <c r="K575" t="s">
        <v>2</v>
      </c>
      <c r="L575" t="s">
        <v>3150</v>
      </c>
      <c r="M575" t="s">
        <v>3151</v>
      </c>
      <c r="N575" t="s">
        <v>850</v>
      </c>
      <c r="O575" t="s">
        <v>40</v>
      </c>
      <c r="P575" t="s">
        <v>3152</v>
      </c>
      <c r="Q575" t="s">
        <v>130</v>
      </c>
      <c r="R575" t="s">
        <v>648</v>
      </c>
      <c r="S575">
        <v>1</v>
      </c>
      <c r="T575">
        <v>3366</v>
      </c>
      <c r="U575">
        <v>0</v>
      </c>
      <c r="V575">
        <v>3366</v>
      </c>
    </row>
    <row r="576" spans="1:22" x14ac:dyDescent="0.25">
      <c r="A576">
        <v>80147</v>
      </c>
      <c r="B576">
        <v>132109926</v>
      </c>
      <c r="C576" t="s">
        <v>3153</v>
      </c>
      <c r="D576" t="s">
        <v>3154</v>
      </c>
      <c r="E576" t="s">
        <v>3118</v>
      </c>
      <c r="F576" t="s">
        <v>847</v>
      </c>
      <c r="G576" t="s">
        <v>142</v>
      </c>
      <c r="H576" t="s">
        <v>143</v>
      </c>
      <c r="I576" t="s">
        <v>35</v>
      </c>
      <c r="J576" t="s">
        <v>144</v>
      </c>
      <c r="K576" t="s">
        <v>2</v>
      </c>
      <c r="L576" t="s">
        <v>3155</v>
      </c>
      <c r="M576" t="s">
        <v>3156</v>
      </c>
      <c r="N576" t="s">
        <v>850</v>
      </c>
      <c r="O576" t="s">
        <v>40</v>
      </c>
      <c r="P576" t="s">
        <v>3157</v>
      </c>
      <c r="Q576" t="s">
        <v>49</v>
      </c>
      <c r="R576" t="s">
        <v>3158</v>
      </c>
      <c r="S576">
        <v>1</v>
      </c>
      <c r="T576">
        <v>3366</v>
      </c>
      <c r="U576">
        <v>0</v>
      </c>
      <c r="V576">
        <v>3366</v>
      </c>
    </row>
    <row r="577" spans="1:22" x14ac:dyDescent="0.25">
      <c r="A577">
        <v>80147</v>
      </c>
      <c r="B577">
        <v>132109929</v>
      </c>
      <c r="C577" t="s">
        <v>3159</v>
      </c>
      <c r="D577" t="s">
        <v>3160</v>
      </c>
      <c r="E577" t="s">
        <v>3118</v>
      </c>
      <c r="F577" t="s">
        <v>847</v>
      </c>
      <c r="G577" t="s">
        <v>142</v>
      </c>
      <c r="H577" t="s">
        <v>143</v>
      </c>
      <c r="I577" t="s">
        <v>35</v>
      </c>
      <c r="J577" t="s">
        <v>144</v>
      </c>
      <c r="K577" t="s">
        <v>2</v>
      </c>
      <c r="L577" t="s">
        <v>3161</v>
      </c>
      <c r="M577" t="s">
        <v>3162</v>
      </c>
      <c r="N577" t="s">
        <v>850</v>
      </c>
      <c r="O577" t="s">
        <v>40</v>
      </c>
      <c r="P577" t="s">
        <v>3163</v>
      </c>
      <c r="Q577" t="s">
        <v>48</v>
      </c>
      <c r="R577" t="s">
        <v>3158</v>
      </c>
      <c r="S577">
        <v>1</v>
      </c>
      <c r="T577">
        <v>3366</v>
      </c>
      <c r="U577">
        <v>0</v>
      </c>
      <c r="V577">
        <v>3366</v>
      </c>
    </row>
    <row r="578" spans="1:22" x14ac:dyDescent="0.25">
      <c r="A578">
        <v>80147</v>
      </c>
      <c r="B578">
        <v>132109931</v>
      </c>
      <c r="C578" t="s">
        <v>3164</v>
      </c>
      <c r="D578" t="s">
        <v>3165</v>
      </c>
      <c r="E578" t="s">
        <v>3118</v>
      </c>
      <c r="F578" t="s">
        <v>847</v>
      </c>
      <c r="G578" t="s">
        <v>142</v>
      </c>
      <c r="H578" t="s">
        <v>143</v>
      </c>
      <c r="I578" t="s">
        <v>35</v>
      </c>
      <c r="J578" t="s">
        <v>144</v>
      </c>
      <c r="K578" t="s">
        <v>2</v>
      </c>
      <c r="L578" t="s">
        <v>3166</v>
      </c>
      <c r="M578" t="s">
        <v>3167</v>
      </c>
      <c r="N578" t="s">
        <v>850</v>
      </c>
      <c r="O578" t="s">
        <v>40</v>
      </c>
      <c r="P578" t="s">
        <v>3168</v>
      </c>
      <c r="Q578" t="s">
        <v>49</v>
      </c>
      <c r="R578" t="s">
        <v>3158</v>
      </c>
      <c r="S578">
        <v>1</v>
      </c>
      <c r="T578">
        <v>3366</v>
      </c>
      <c r="U578">
        <v>0</v>
      </c>
      <c r="V578">
        <v>3366</v>
      </c>
    </row>
    <row r="579" spans="1:22" x14ac:dyDescent="0.25">
      <c r="A579">
        <v>80147</v>
      </c>
      <c r="B579">
        <v>132117211</v>
      </c>
      <c r="C579" t="s">
        <v>3169</v>
      </c>
      <c r="D579" t="s">
        <v>3170</v>
      </c>
      <c r="E579" t="s">
        <v>3118</v>
      </c>
      <c r="F579" t="s">
        <v>847</v>
      </c>
      <c r="G579" t="s">
        <v>142</v>
      </c>
      <c r="H579" t="s">
        <v>143</v>
      </c>
      <c r="I579" t="s">
        <v>35</v>
      </c>
      <c r="J579" t="s">
        <v>144</v>
      </c>
      <c r="K579" t="s">
        <v>2</v>
      </c>
      <c r="L579" t="s">
        <v>3171</v>
      </c>
      <c r="M579" t="s">
        <v>3172</v>
      </c>
      <c r="N579" t="s">
        <v>850</v>
      </c>
      <c r="O579" t="s">
        <v>40</v>
      </c>
      <c r="P579" t="s">
        <v>3173</v>
      </c>
      <c r="Q579" t="s">
        <v>160</v>
      </c>
      <c r="R579" t="s">
        <v>420</v>
      </c>
      <c r="S579">
        <v>1</v>
      </c>
      <c r="T579">
        <v>3366</v>
      </c>
      <c r="U579">
        <v>0</v>
      </c>
      <c r="V579">
        <v>3366</v>
      </c>
    </row>
    <row r="580" spans="1:22" x14ac:dyDescent="0.25">
      <c r="A580">
        <v>80147</v>
      </c>
      <c r="B580">
        <v>132109924</v>
      </c>
      <c r="C580" t="s">
        <v>3174</v>
      </c>
      <c r="D580" t="s">
        <v>3175</v>
      </c>
      <c r="E580" t="s">
        <v>3118</v>
      </c>
      <c r="F580" t="s">
        <v>847</v>
      </c>
      <c r="G580" t="s">
        <v>142</v>
      </c>
      <c r="H580" t="s">
        <v>143</v>
      </c>
      <c r="I580" t="s">
        <v>35</v>
      </c>
      <c r="J580" t="s">
        <v>144</v>
      </c>
      <c r="K580" t="s">
        <v>2</v>
      </c>
      <c r="L580" t="s">
        <v>3176</v>
      </c>
      <c r="M580" t="s">
        <v>573</v>
      </c>
      <c r="N580" t="s">
        <v>850</v>
      </c>
      <c r="O580" t="s">
        <v>40</v>
      </c>
      <c r="P580" t="s">
        <v>3177</v>
      </c>
      <c r="Q580" t="s">
        <v>191</v>
      </c>
      <c r="R580" t="s">
        <v>3158</v>
      </c>
      <c r="S580">
        <v>1</v>
      </c>
      <c r="T580">
        <v>3366</v>
      </c>
      <c r="U580">
        <v>0</v>
      </c>
      <c r="V580">
        <v>3366</v>
      </c>
    </row>
    <row r="581" spans="1:22" x14ac:dyDescent="0.25">
      <c r="A581">
        <v>80147</v>
      </c>
      <c r="B581">
        <v>132109933</v>
      </c>
      <c r="C581" t="s">
        <v>3178</v>
      </c>
      <c r="D581" t="s">
        <v>3179</v>
      </c>
      <c r="E581" t="s">
        <v>3118</v>
      </c>
      <c r="F581" t="s">
        <v>847</v>
      </c>
      <c r="G581" t="s">
        <v>142</v>
      </c>
      <c r="H581" t="s">
        <v>143</v>
      </c>
      <c r="I581" t="s">
        <v>35</v>
      </c>
      <c r="J581" t="s">
        <v>144</v>
      </c>
      <c r="K581" t="s">
        <v>2</v>
      </c>
      <c r="L581" t="s">
        <v>3180</v>
      </c>
      <c r="M581" t="s">
        <v>3181</v>
      </c>
      <c r="N581" t="s">
        <v>850</v>
      </c>
      <c r="O581" t="s">
        <v>40</v>
      </c>
      <c r="P581" t="s">
        <v>3182</v>
      </c>
      <c r="Q581" t="s">
        <v>47</v>
      </c>
      <c r="R581" t="s">
        <v>3158</v>
      </c>
      <c r="S581">
        <v>1</v>
      </c>
      <c r="T581">
        <v>3366</v>
      </c>
      <c r="U581">
        <v>0</v>
      </c>
      <c r="V581">
        <v>3366</v>
      </c>
    </row>
    <row r="582" spans="1:22" x14ac:dyDescent="0.25">
      <c r="A582">
        <v>80147</v>
      </c>
      <c r="B582">
        <v>132022388</v>
      </c>
      <c r="C582" t="s">
        <v>3183</v>
      </c>
      <c r="D582" t="s">
        <v>3184</v>
      </c>
      <c r="E582" t="s">
        <v>3118</v>
      </c>
      <c r="F582" t="s">
        <v>847</v>
      </c>
      <c r="G582" t="s">
        <v>142</v>
      </c>
      <c r="H582" t="s">
        <v>143</v>
      </c>
      <c r="I582" t="s">
        <v>35</v>
      </c>
      <c r="J582" t="s">
        <v>144</v>
      </c>
      <c r="K582" t="s">
        <v>2</v>
      </c>
      <c r="L582" t="s">
        <v>3185</v>
      </c>
      <c r="M582" t="s">
        <v>3186</v>
      </c>
      <c r="N582" t="s">
        <v>850</v>
      </c>
      <c r="O582" t="s">
        <v>40</v>
      </c>
      <c r="P582" t="s">
        <v>3187</v>
      </c>
      <c r="Q582" t="s">
        <v>60</v>
      </c>
      <c r="R582" t="s">
        <v>3188</v>
      </c>
      <c r="S582">
        <v>1</v>
      </c>
      <c r="T582">
        <v>3366</v>
      </c>
      <c r="U582">
        <v>0</v>
      </c>
      <c r="V582">
        <v>3366</v>
      </c>
    </row>
    <row r="583" spans="1:22" x14ac:dyDescent="0.25">
      <c r="A583">
        <v>80147</v>
      </c>
      <c r="B583">
        <v>132073995</v>
      </c>
      <c r="C583" t="s">
        <v>3189</v>
      </c>
      <c r="D583" t="s">
        <v>3190</v>
      </c>
      <c r="E583" t="s">
        <v>3118</v>
      </c>
      <c r="F583" t="s">
        <v>847</v>
      </c>
      <c r="G583" t="s">
        <v>142</v>
      </c>
      <c r="H583" t="s">
        <v>143</v>
      </c>
      <c r="I583" t="s">
        <v>35</v>
      </c>
      <c r="J583" t="s">
        <v>144</v>
      </c>
      <c r="K583" t="s">
        <v>2</v>
      </c>
      <c r="L583" t="s">
        <v>3191</v>
      </c>
      <c r="M583" t="s">
        <v>3192</v>
      </c>
      <c r="N583" t="s">
        <v>850</v>
      </c>
      <c r="O583" t="s">
        <v>40</v>
      </c>
      <c r="P583" t="s">
        <v>3193</v>
      </c>
      <c r="Q583" t="s">
        <v>130</v>
      </c>
      <c r="R583" t="s">
        <v>3194</v>
      </c>
      <c r="S583">
        <v>1</v>
      </c>
      <c r="T583">
        <v>3366</v>
      </c>
      <c r="U583">
        <v>0</v>
      </c>
      <c r="V583">
        <v>3366</v>
      </c>
    </row>
    <row r="584" spans="1:22" x14ac:dyDescent="0.25">
      <c r="A584">
        <v>80147</v>
      </c>
      <c r="B584">
        <v>132022361</v>
      </c>
      <c r="C584" t="s">
        <v>3195</v>
      </c>
      <c r="D584" t="s">
        <v>3196</v>
      </c>
      <c r="E584" t="s">
        <v>3118</v>
      </c>
      <c r="F584" t="s">
        <v>847</v>
      </c>
      <c r="G584" t="s">
        <v>142</v>
      </c>
      <c r="H584" t="s">
        <v>143</v>
      </c>
      <c r="I584" t="s">
        <v>35</v>
      </c>
      <c r="J584" t="s">
        <v>144</v>
      </c>
      <c r="K584" t="s">
        <v>2</v>
      </c>
      <c r="L584" t="s">
        <v>3197</v>
      </c>
      <c r="M584" t="s">
        <v>3198</v>
      </c>
      <c r="N584" t="s">
        <v>850</v>
      </c>
      <c r="O584" t="s">
        <v>40</v>
      </c>
      <c r="P584" t="s">
        <v>3199</v>
      </c>
      <c r="Q584" t="s">
        <v>161</v>
      </c>
      <c r="R584" t="s">
        <v>3188</v>
      </c>
      <c r="S584">
        <v>1</v>
      </c>
      <c r="T584">
        <v>3366</v>
      </c>
      <c r="U584">
        <v>0</v>
      </c>
      <c r="V584">
        <v>3366</v>
      </c>
    </row>
    <row r="585" spans="1:22" x14ac:dyDescent="0.25">
      <c r="A585">
        <v>80147</v>
      </c>
      <c r="B585">
        <v>132022373</v>
      </c>
      <c r="C585" t="s">
        <v>3200</v>
      </c>
      <c r="D585" t="s">
        <v>3201</v>
      </c>
      <c r="E585" t="s">
        <v>3118</v>
      </c>
      <c r="F585" t="s">
        <v>847</v>
      </c>
      <c r="G585" t="s">
        <v>142</v>
      </c>
      <c r="H585" t="s">
        <v>143</v>
      </c>
      <c r="I585" t="s">
        <v>35</v>
      </c>
      <c r="J585" t="s">
        <v>144</v>
      </c>
      <c r="K585" t="s">
        <v>2</v>
      </c>
      <c r="L585" t="s">
        <v>3202</v>
      </c>
      <c r="M585" t="s">
        <v>3203</v>
      </c>
      <c r="N585" t="s">
        <v>850</v>
      </c>
      <c r="O585" t="s">
        <v>40</v>
      </c>
      <c r="P585" t="s">
        <v>3204</v>
      </c>
      <c r="Q585" t="s">
        <v>46</v>
      </c>
      <c r="R585" t="s">
        <v>3188</v>
      </c>
      <c r="S585">
        <v>1</v>
      </c>
      <c r="T585">
        <v>3366</v>
      </c>
      <c r="U585">
        <v>0</v>
      </c>
      <c r="V585">
        <v>3366</v>
      </c>
    </row>
    <row r="586" spans="1:22" x14ac:dyDescent="0.25">
      <c r="A586">
        <v>80147</v>
      </c>
      <c r="B586">
        <v>132042021</v>
      </c>
      <c r="C586" t="s">
        <v>3205</v>
      </c>
      <c r="D586" t="s">
        <v>3206</v>
      </c>
      <c r="E586" t="s">
        <v>3118</v>
      </c>
      <c r="F586" t="s">
        <v>847</v>
      </c>
      <c r="G586" t="s">
        <v>142</v>
      </c>
      <c r="H586" t="s">
        <v>143</v>
      </c>
      <c r="I586" t="s">
        <v>35</v>
      </c>
      <c r="J586" t="s">
        <v>144</v>
      </c>
      <c r="K586" t="s">
        <v>2</v>
      </c>
      <c r="L586" t="s">
        <v>3207</v>
      </c>
      <c r="M586" t="s">
        <v>3208</v>
      </c>
      <c r="N586" t="s">
        <v>850</v>
      </c>
      <c r="O586" t="s">
        <v>40</v>
      </c>
      <c r="P586" t="s">
        <v>3209</v>
      </c>
      <c r="Q586" t="s">
        <v>160</v>
      </c>
      <c r="R586" t="s">
        <v>352</v>
      </c>
      <c r="S586">
        <v>1</v>
      </c>
      <c r="T586">
        <v>3366</v>
      </c>
      <c r="U586">
        <v>0</v>
      </c>
      <c r="V586">
        <v>3366</v>
      </c>
    </row>
    <row r="587" spans="1:22" x14ac:dyDescent="0.25">
      <c r="A587">
        <v>80147</v>
      </c>
      <c r="B587">
        <v>132042028</v>
      </c>
      <c r="C587" t="s">
        <v>3210</v>
      </c>
      <c r="D587" t="s">
        <v>3211</v>
      </c>
      <c r="E587" t="s">
        <v>3118</v>
      </c>
      <c r="F587" t="s">
        <v>847</v>
      </c>
      <c r="G587" t="s">
        <v>142</v>
      </c>
      <c r="H587" t="s">
        <v>143</v>
      </c>
      <c r="I587" t="s">
        <v>35</v>
      </c>
      <c r="J587" t="s">
        <v>144</v>
      </c>
      <c r="K587" t="s">
        <v>2</v>
      </c>
      <c r="L587" t="s">
        <v>3212</v>
      </c>
      <c r="M587" t="s">
        <v>3213</v>
      </c>
      <c r="N587" t="s">
        <v>850</v>
      </c>
      <c r="O587" t="s">
        <v>40</v>
      </c>
      <c r="P587" t="s">
        <v>3214</v>
      </c>
      <c r="Q587" t="s">
        <v>213</v>
      </c>
      <c r="R587" t="s">
        <v>352</v>
      </c>
      <c r="S587">
        <v>1</v>
      </c>
      <c r="T587">
        <v>3366</v>
      </c>
      <c r="U587">
        <v>0</v>
      </c>
      <c r="V587">
        <v>3366</v>
      </c>
    </row>
    <row r="588" spans="1:22" x14ac:dyDescent="0.25">
      <c r="A588">
        <v>80147</v>
      </c>
      <c r="B588">
        <v>132022381</v>
      </c>
      <c r="C588" t="s">
        <v>3215</v>
      </c>
      <c r="D588" t="s">
        <v>3216</v>
      </c>
      <c r="E588" t="s">
        <v>3118</v>
      </c>
      <c r="F588" t="s">
        <v>847</v>
      </c>
      <c r="G588" t="s">
        <v>142</v>
      </c>
      <c r="H588" t="s">
        <v>143</v>
      </c>
      <c r="I588" t="s">
        <v>35</v>
      </c>
      <c r="J588" t="s">
        <v>144</v>
      </c>
      <c r="K588" t="s">
        <v>2</v>
      </c>
      <c r="L588" t="s">
        <v>3217</v>
      </c>
      <c r="M588" t="s">
        <v>3218</v>
      </c>
      <c r="N588" t="s">
        <v>850</v>
      </c>
      <c r="O588" t="s">
        <v>40</v>
      </c>
      <c r="P588" t="s">
        <v>3219</v>
      </c>
      <c r="Q588" t="s">
        <v>126</v>
      </c>
      <c r="R588" t="s">
        <v>3188</v>
      </c>
      <c r="S588">
        <v>1</v>
      </c>
      <c r="T588">
        <v>3366</v>
      </c>
      <c r="U588">
        <v>0</v>
      </c>
      <c r="V588">
        <v>3366</v>
      </c>
    </row>
    <row r="589" spans="1:22" x14ac:dyDescent="0.25">
      <c r="A589">
        <v>80147</v>
      </c>
      <c r="B589">
        <v>131922204</v>
      </c>
      <c r="C589" t="s">
        <v>3220</v>
      </c>
      <c r="D589" t="s">
        <v>3221</v>
      </c>
      <c r="E589" t="s">
        <v>3118</v>
      </c>
      <c r="F589" t="s">
        <v>847</v>
      </c>
      <c r="G589" t="s">
        <v>142</v>
      </c>
      <c r="H589" t="s">
        <v>143</v>
      </c>
      <c r="I589" t="s">
        <v>35</v>
      </c>
      <c r="J589" t="s">
        <v>144</v>
      </c>
      <c r="K589" t="s">
        <v>2</v>
      </c>
      <c r="L589" t="s">
        <v>3222</v>
      </c>
      <c r="M589" t="s">
        <v>3223</v>
      </c>
      <c r="N589" t="s">
        <v>850</v>
      </c>
      <c r="O589" t="s">
        <v>40</v>
      </c>
      <c r="P589" t="s">
        <v>3224</v>
      </c>
      <c r="Q589" t="s">
        <v>60</v>
      </c>
      <c r="R589" t="s">
        <v>887</v>
      </c>
      <c r="S589">
        <v>1</v>
      </c>
      <c r="T589">
        <v>3366</v>
      </c>
      <c r="U589">
        <v>0</v>
      </c>
      <c r="V589">
        <v>3366</v>
      </c>
    </row>
    <row r="590" spans="1:22" x14ac:dyDescent="0.25">
      <c r="A590">
        <v>80147</v>
      </c>
      <c r="B590">
        <v>131856150</v>
      </c>
      <c r="C590" t="s">
        <v>3225</v>
      </c>
      <c r="D590" t="s">
        <v>3226</v>
      </c>
      <c r="E590" t="s">
        <v>3118</v>
      </c>
      <c r="F590" t="s">
        <v>847</v>
      </c>
      <c r="G590" t="s">
        <v>142</v>
      </c>
      <c r="H590" t="s">
        <v>143</v>
      </c>
      <c r="I590" t="s">
        <v>35</v>
      </c>
      <c r="J590" t="s">
        <v>144</v>
      </c>
      <c r="K590" t="s">
        <v>2</v>
      </c>
      <c r="L590" t="s">
        <v>3227</v>
      </c>
      <c r="M590" t="s">
        <v>3228</v>
      </c>
      <c r="N590" t="s">
        <v>850</v>
      </c>
      <c r="O590" t="s">
        <v>40</v>
      </c>
      <c r="P590" t="s">
        <v>3229</v>
      </c>
      <c r="Q590" t="s">
        <v>48</v>
      </c>
      <c r="R590" t="s">
        <v>397</v>
      </c>
      <c r="S590">
        <v>2.95</v>
      </c>
      <c r="T590">
        <v>3366</v>
      </c>
      <c r="U590">
        <v>0</v>
      </c>
      <c r="V590">
        <v>3366</v>
      </c>
    </row>
    <row r="591" spans="1:22" x14ac:dyDescent="0.25">
      <c r="A591">
        <v>80147</v>
      </c>
      <c r="B591">
        <v>131780124</v>
      </c>
      <c r="C591" t="s">
        <v>3230</v>
      </c>
      <c r="D591" t="s">
        <v>3231</v>
      </c>
      <c r="E591" t="s">
        <v>3118</v>
      </c>
      <c r="F591" t="s">
        <v>847</v>
      </c>
      <c r="G591" t="s">
        <v>142</v>
      </c>
      <c r="H591" t="s">
        <v>143</v>
      </c>
      <c r="I591" t="s">
        <v>35</v>
      </c>
      <c r="J591" t="s">
        <v>144</v>
      </c>
      <c r="K591" t="s">
        <v>2</v>
      </c>
      <c r="L591" t="s">
        <v>3232</v>
      </c>
      <c r="M591" t="s">
        <v>3233</v>
      </c>
      <c r="N591" t="s">
        <v>850</v>
      </c>
      <c r="O591" t="s">
        <v>40</v>
      </c>
      <c r="P591" t="s">
        <v>3234</v>
      </c>
      <c r="Q591" t="s">
        <v>47</v>
      </c>
      <c r="R591" t="s">
        <v>714</v>
      </c>
      <c r="S591">
        <v>1</v>
      </c>
      <c r="T591">
        <v>3366</v>
      </c>
      <c r="U591">
        <v>0</v>
      </c>
      <c r="V591">
        <v>3366</v>
      </c>
    </row>
    <row r="592" spans="1:22" x14ac:dyDescent="0.25">
      <c r="A592">
        <v>80147</v>
      </c>
      <c r="B592">
        <v>131774025</v>
      </c>
      <c r="C592" t="s">
        <v>3235</v>
      </c>
      <c r="D592" t="s">
        <v>3236</v>
      </c>
      <c r="E592" t="s">
        <v>3118</v>
      </c>
      <c r="F592" t="s">
        <v>847</v>
      </c>
      <c r="G592" t="s">
        <v>142</v>
      </c>
      <c r="H592" t="s">
        <v>143</v>
      </c>
      <c r="I592" t="s">
        <v>35</v>
      </c>
      <c r="J592" t="s">
        <v>144</v>
      </c>
      <c r="K592" t="s">
        <v>2</v>
      </c>
      <c r="L592" t="s">
        <v>3237</v>
      </c>
      <c r="M592" t="s">
        <v>3238</v>
      </c>
      <c r="N592" t="s">
        <v>850</v>
      </c>
      <c r="O592" t="s">
        <v>40</v>
      </c>
      <c r="P592" t="s">
        <v>3239</v>
      </c>
      <c r="Q592" t="s">
        <v>86</v>
      </c>
      <c r="R592" t="s">
        <v>3240</v>
      </c>
      <c r="S592">
        <v>2.95</v>
      </c>
      <c r="T592">
        <v>3366</v>
      </c>
      <c r="U592">
        <v>0</v>
      </c>
      <c r="V592">
        <v>3366</v>
      </c>
    </row>
    <row r="593" spans="1:22" x14ac:dyDescent="0.25">
      <c r="A593">
        <v>80147</v>
      </c>
      <c r="B593">
        <v>131641377</v>
      </c>
      <c r="C593" t="s">
        <v>3241</v>
      </c>
      <c r="D593" t="s">
        <v>3242</v>
      </c>
      <c r="E593" t="s">
        <v>3118</v>
      </c>
      <c r="F593" t="s">
        <v>847</v>
      </c>
      <c r="G593" t="s">
        <v>142</v>
      </c>
      <c r="H593" t="s">
        <v>143</v>
      </c>
      <c r="I593" t="s">
        <v>35</v>
      </c>
      <c r="J593" t="s">
        <v>144</v>
      </c>
      <c r="K593" t="s">
        <v>2</v>
      </c>
      <c r="L593" t="s">
        <v>3243</v>
      </c>
      <c r="M593" t="s">
        <v>3244</v>
      </c>
      <c r="N593" t="s">
        <v>850</v>
      </c>
      <c r="O593" t="s">
        <v>40</v>
      </c>
      <c r="P593" t="s">
        <v>3245</v>
      </c>
      <c r="Q593" t="s">
        <v>49</v>
      </c>
      <c r="R593" t="s">
        <v>754</v>
      </c>
      <c r="S593">
        <v>1</v>
      </c>
      <c r="T593">
        <v>3366</v>
      </c>
      <c r="U593">
        <v>0</v>
      </c>
      <c r="V593">
        <v>3366</v>
      </c>
    </row>
    <row r="594" spans="1:22" x14ac:dyDescent="0.25">
      <c r="A594">
        <v>80147</v>
      </c>
      <c r="B594">
        <v>131618391</v>
      </c>
      <c r="C594" t="s">
        <v>3246</v>
      </c>
      <c r="D594" t="s">
        <v>3247</v>
      </c>
      <c r="E594" t="s">
        <v>3118</v>
      </c>
      <c r="F594" t="s">
        <v>847</v>
      </c>
      <c r="G594" t="s">
        <v>142</v>
      </c>
      <c r="H594" t="s">
        <v>143</v>
      </c>
      <c r="I594" t="s">
        <v>35</v>
      </c>
      <c r="J594" t="s">
        <v>144</v>
      </c>
      <c r="K594" t="s">
        <v>2</v>
      </c>
      <c r="L594" t="s">
        <v>3248</v>
      </c>
      <c r="M594" t="s">
        <v>3249</v>
      </c>
      <c r="N594" t="s">
        <v>850</v>
      </c>
      <c r="O594" t="s">
        <v>40</v>
      </c>
      <c r="P594" t="s">
        <v>3250</v>
      </c>
      <c r="Q594" t="s">
        <v>60</v>
      </c>
      <c r="R594" t="s">
        <v>3251</v>
      </c>
      <c r="S594">
        <v>1</v>
      </c>
      <c r="T594">
        <v>3366</v>
      </c>
      <c r="U594">
        <v>0</v>
      </c>
      <c r="V594">
        <v>3366</v>
      </c>
    </row>
    <row r="595" spans="1:22" x14ac:dyDescent="0.25">
      <c r="A595">
        <v>80147</v>
      </c>
      <c r="B595">
        <v>131555009</v>
      </c>
      <c r="C595" t="s">
        <v>3252</v>
      </c>
      <c r="D595" t="s">
        <v>3253</v>
      </c>
      <c r="E595" t="s">
        <v>3118</v>
      </c>
      <c r="F595" t="s">
        <v>847</v>
      </c>
      <c r="G595" t="s">
        <v>142</v>
      </c>
      <c r="H595" t="s">
        <v>143</v>
      </c>
      <c r="I595" t="s">
        <v>35</v>
      </c>
      <c r="J595" t="s">
        <v>144</v>
      </c>
      <c r="K595" t="s">
        <v>2</v>
      </c>
      <c r="L595" t="s">
        <v>3254</v>
      </c>
      <c r="M595" t="s">
        <v>3255</v>
      </c>
      <c r="N595" t="s">
        <v>850</v>
      </c>
      <c r="O595" t="s">
        <v>40</v>
      </c>
      <c r="P595" t="s">
        <v>3256</v>
      </c>
      <c r="Q595" t="s">
        <v>48</v>
      </c>
      <c r="R595" t="s">
        <v>323</v>
      </c>
      <c r="S595">
        <v>1</v>
      </c>
      <c r="T595">
        <v>3366</v>
      </c>
      <c r="U595">
        <v>0</v>
      </c>
      <c r="V595">
        <v>3366</v>
      </c>
    </row>
    <row r="596" spans="1:22" x14ac:dyDescent="0.25">
      <c r="A596">
        <v>80147</v>
      </c>
      <c r="B596">
        <v>131554999</v>
      </c>
      <c r="C596" t="s">
        <v>3257</v>
      </c>
      <c r="D596" t="s">
        <v>3258</v>
      </c>
      <c r="E596" t="s">
        <v>3118</v>
      </c>
      <c r="F596" t="s">
        <v>847</v>
      </c>
      <c r="G596" t="s">
        <v>142</v>
      </c>
      <c r="H596" t="s">
        <v>143</v>
      </c>
      <c r="I596" t="s">
        <v>35</v>
      </c>
      <c r="J596" t="s">
        <v>144</v>
      </c>
      <c r="K596" t="s">
        <v>2</v>
      </c>
      <c r="L596" t="s">
        <v>3259</v>
      </c>
      <c r="M596" t="s">
        <v>3260</v>
      </c>
      <c r="N596" t="s">
        <v>850</v>
      </c>
      <c r="O596" t="s">
        <v>40</v>
      </c>
      <c r="P596" t="s">
        <v>3261</v>
      </c>
      <c r="Q596" t="s">
        <v>49</v>
      </c>
      <c r="R596" t="s">
        <v>323</v>
      </c>
      <c r="S596">
        <v>1</v>
      </c>
      <c r="T596">
        <v>3366</v>
      </c>
      <c r="U596">
        <v>0</v>
      </c>
      <c r="V596">
        <v>3366</v>
      </c>
    </row>
    <row r="597" spans="1:22" x14ac:dyDescent="0.25">
      <c r="A597">
        <v>80147</v>
      </c>
      <c r="B597">
        <v>131529951</v>
      </c>
      <c r="C597" t="s">
        <v>3262</v>
      </c>
      <c r="D597" t="s">
        <v>3263</v>
      </c>
      <c r="E597" t="s">
        <v>3118</v>
      </c>
      <c r="F597" t="s">
        <v>847</v>
      </c>
      <c r="G597" t="s">
        <v>142</v>
      </c>
      <c r="H597" t="s">
        <v>143</v>
      </c>
      <c r="I597" t="s">
        <v>35</v>
      </c>
      <c r="J597" t="s">
        <v>144</v>
      </c>
      <c r="K597" t="s">
        <v>2</v>
      </c>
      <c r="L597" t="s">
        <v>3264</v>
      </c>
      <c r="M597" t="s">
        <v>3265</v>
      </c>
      <c r="N597" t="s">
        <v>850</v>
      </c>
      <c r="O597" t="s">
        <v>40</v>
      </c>
      <c r="P597" t="s">
        <v>3266</v>
      </c>
      <c r="Q597" t="s">
        <v>48</v>
      </c>
      <c r="R597" t="s">
        <v>577</v>
      </c>
      <c r="S597">
        <v>1</v>
      </c>
      <c r="T597">
        <v>3366</v>
      </c>
      <c r="U597">
        <v>0</v>
      </c>
      <c r="V597">
        <v>3366</v>
      </c>
    </row>
    <row r="598" spans="1:22" x14ac:dyDescent="0.25">
      <c r="A598">
        <v>80147</v>
      </c>
      <c r="B598">
        <v>131529946</v>
      </c>
      <c r="C598" t="s">
        <v>3267</v>
      </c>
      <c r="D598" t="s">
        <v>3268</v>
      </c>
      <c r="E598" t="s">
        <v>3118</v>
      </c>
      <c r="F598" t="s">
        <v>847</v>
      </c>
      <c r="G598" t="s">
        <v>142</v>
      </c>
      <c r="H598" t="s">
        <v>143</v>
      </c>
      <c r="I598" t="s">
        <v>35</v>
      </c>
      <c r="J598" t="s">
        <v>144</v>
      </c>
      <c r="K598" t="s">
        <v>2</v>
      </c>
      <c r="L598" t="s">
        <v>3269</v>
      </c>
      <c r="M598" t="s">
        <v>3270</v>
      </c>
      <c r="N598" t="s">
        <v>850</v>
      </c>
      <c r="O598" t="s">
        <v>40</v>
      </c>
      <c r="P598" t="s">
        <v>3271</v>
      </c>
      <c r="Q598" t="s">
        <v>59</v>
      </c>
      <c r="R598" t="s">
        <v>577</v>
      </c>
      <c r="S598">
        <v>1</v>
      </c>
      <c r="T598">
        <v>3366</v>
      </c>
      <c r="U598">
        <v>0</v>
      </c>
      <c r="V598">
        <v>3366</v>
      </c>
    </row>
    <row r="599" spans="1:22" x14ac:dyDescent="0.25">
      <c r="A599">
        <v>80147</v>
      </c>
      <c r="B599">
        <v>131529950</v>
      </c>
      <c r="C599" t="s">
        <v>3272</v>
      </c>
      <c r="D599" t="s">
        <v>3273</v>
      </c>
      <c r="E599" t="s">
        <v>3118</v>
      </c>
      <c r="F599" t="s">
        <v>847</v>
      </c>
      <c r="G599" t="s">
        <v>142</v>
      </c>
      <c r="H599" t="s">
        <v>143</v>
      </c>
      <c r="I599" t="s">
        <v>35</v>
      </c>
      <c r="J599" t="s">
        <v>144</v>
      </c>
      <c r="K599" t="s">
        <v>2</v>
      </c>
      <c r="L599" t="s">
        <v>3274</v>
      </c>
      <c r="M599" t="s">
        <v>3275</v>
      </c>
      <c r="N599" t="s">
        <v>850</v>
      </c>
      <c r="O599" t="s">
        <v>40</v>
      </c>
      <c r="P599" t="s">
        <v>3276</v>
      </c>
      <c r="Q599" t="s">
        <v>160</v>
      </c>
      <c r="R599" t="s">
        <v>577</v>
      </c>
      <c r="S599">
        <v>1</v>
      </c>
      <c r="T599">
        <v>3366</v>
      </c>
      <c r="U599">
        <v>0</v>
      </c>
      <c r="V599">
        <v>3366</v>
      </c>
    </row>
    <row r="600" spans="1:22" x14ac:dyDescent="0.25">
      <c r="A600">
        <v>80147</v>
      </c>
      <c r="B600">
        <v>131529931</v>
      </c>
      <c r="C600" t="s">
        <v>3277</v>
      </c>
      <c r="D600" t="s">
        <v>3278</v>
      </c>
      <c r="E600" t="s">
        <v>3118</v>
      </c>
      <c r="F600" t="s">
        <v>847</v>
      </c>
      <c r="G600" t="s">
        <v>142</v>
      </c>
      <c r="H600" t="s">
        <v>143</v>
      </c>
      <c r="I600" t="s">
        <v>35</v>
      </c>
      <c r="J600" t="s">
        <v>144</v>
      </c>
      <c r="K600" t="s">
        <v>2</v>
      </c>
      <c r="L600" t="s">
        <v>3279</v>
      </c>
      <c r="M600" t="s">
        <v>3280</v>
      </c>
      <c r="N600" t="s">
        <v>850</v>
      </c>
      <c r="O600" t="s">
        <v>40</v>
      </c>
      <c r="P600" t="s">
        <v>3281</v>
      </c>
      <c r="Q600" t="s">
        <v>49</v>
      </c>
      <c r="R600" t="s">
        <v>577</v>
      </c>
      <c r="S600">
        <v>1</v>
      </c>
      <c r="T600">
        <v>3366</v>
      </c>
      <c r="U600">
        <v>0</v>
      </c>
      <c r="V600">
        <v>3366</v>
      </c>
    </row>
    <row r="601" spans="1:22" x14ac:dyDescent="0.25">
      <c r="A601">
        <v>80147</v>
      </c>
      <c r="B601">
        <v>131489580</v>
      </c>
      <c r="C601" t="s">
        <v>3282</v>
      </c>
      <c r="D601" t="s">
        <v>3283</v>
      </c>
      <c r="E601" t="s">
        <v>3118</v>
      </c>
      <c r="F601" t="s">
        <v>847</v>
      </c>
      <c r="G601" t="s">
        <v>142</v>
      </c>
      <c r="H601" t="s">
        <v>143</v>
      </c>
      <c r="I601" t="s">
        <v>35</v>
      </c>
      <c r="J601" t="s">
        <v>144</v>
      </c>
      <c r="K601" t="s">
        <v>2</v>
      </c>
      <c r="L601" t="s">
        <v>3284</v>
      </c>
      <c r="M601" t="s">
        <v>3285</v>
      </c>
      <c r="N601" t="s">
        <v>850</v>
      </c>
      <c r="O601" t="s">
        <v>40</v>
      </c>
      <c r="P601" t="s">
        <v>3286</v>
      </c>
      <c r="Q601" t="s">
        <v>86</v>
      </c>
      <c r="R601" t="s">
        <v>304</v>
      </c>
      <c r="S601">
        <v>2.9</v>
      </c>
      <c r="T601">
        <v>3366</v>
      </c>
      <c r="U601">
        <v>0</v>
      </c>
      <c r="V601">
        <v>3366</v>
      </c>
    </row>
    <row r="602" spans="1:22" x14ac:dyDescent="0.25">
      <c r="A602">
        <v>80147</v>
      </c>
      <c r="B602">
        <v>131489584</v>
      </c>
      <c r="C602" t="s">
        <v>3287</v>
      </c>
      <c r="D602" t="s">
        <v>3288</v>
      </c>
      <c r="E602" t="s">
        <v>3118</v>
      </c>
      <c r="F602" t="s">
        <v>847</v>
      </c>
      <c r="G602" t="s">
        <v>142</v>
      </c>
      <c r="H602" t="s">
        <v>143</v>
      </c>
      <c r="I602" t="s">
        <v>35</v>
      </c>
      <c r="J602" t="s">
        <v>144</v>
      </c>
      <c r="K602" t="s">
        <v>2</v>
      </c>
      <c r="L602" t="s">
        <v>3289</v>
      </c>
      <c r="M602" t="s">
        <v>3290</v>
      </c>
      <c r="N602" t="s">
        <v>850</v>
      </c>
      <c r="O602" t="s">
        <v>40</v>
      </c>
      <c r="P602" t="s">
        <v>3291</v>
      </c>
      <c r="Q602" t="s">
        <v>161</v>
      </c>
      <c r="R602" t="s">
        <v>304</v>
      </c>
      <c r="S602">
        <v>1</v>
      </c>
      <c r="T602">
        <v>3366</v>
      </c>
      <c r="U602">
        <v>0</v>
      </c>
      <c r="V602">
        <v>3366</v>
      </c>
    </row>
    <row r="603" spans="1:22" x14ac:dyDescent="0.25">
      <c r="A603">
        <v>80147</v>
      </c>
      <c r="B603">
        <v>131347071</v>
      </c>
      <c r="C603" t="s">
        <v>3292</v>
      </c>
      <c r="D603" t="s">
        <v>3293</v>
      </c>
      <c r="E603" t="s">
        <v>3118</v>
      </c>
      <c r="F603" t="s">
        <v>847</v>
      </c>
      <c r="G603" t="s">
        <v>142</v>
      </c>
      <c r="H603" t="s">
        <v>143</v>
      </c>
      <c r="I603" t="s">
        <v>35</v>
      </c>
      <c r="J603" t="s">
        <v>144</v>
      </c>
      <c r="K603" t="s">
        <v>2</v>
      </c>
      <c r="L603" t="s">
        <v>273</v>
      </c>
      <c r="M603" t="s">
        <v>400</v>
      </c>
      <c r="N603" t="s">
        <v>850</v>
      </c>
      <c r="O603" t="s">
        <v>40</v>
      </c>
      <c r="P603" t="s">
        <v>3294</v>
      </c>
      <c r="Q603" t="s">
        <v>46</v>
      </c>
      <c r="R603" t="s">
        <v>487</v>
      </c>
      <c r="S603">
        <v>1</v>
      </c>
      <c r="T603">
        <v>3366</v>
      </c>
      <c r="U603">
        <v>0</v>
      </c>
      <c r="V603">
        <v>3366</v>
      </c>
    </row>
    <row r="604" spans="1:22" x14ac:dyDescent="0.25">
      <c r="A604">
        <v>80147</v>
      </c>
      <c r="B604">
        <v>131383593</v>
      </c>
      <c r="C604" t="s">
        <v>3295</v>
      </c>
      <c r="D604" t="s">
        <v>3296</v>
      </c>
      <c r="E604" t="s">
        <v>3118</v>
      </c>
      <c r="F604" t="s">
        <v>847</v>
      </c>
      <c r="G604" t="s">
        <v>142</v>
      </c>
      <c r="H604" t="s">
        <v>143</v>
      </c>
      <c r="I604" t="s">
        <v>35</v>
      </c>
      <c r="J604" t="s">
        <v>144</v>
      </c>
      <c r="K604" t="s">
        <v>2</v>
      </c>
      <c r="L604" t="s">
        <v>3297</v>
      </c>
      <c r="M604" t="s">
        <v>3298</v>
      </c>
      <c r="N604" t="s">
        <v>850</v>
      </c>
      <c r="O604" t="s">
        <v>40</v>
      </c>
      <c r="P604" t="s">
        <v>3299</v>
      </c>
      <c r="Q604" t="s">
        <v>48</v>
      </c>
      <c r="R604" t="s">
        <v>3300</v>
      </c>
      <c r="S604">
        <v>1</v>
      </c>
      <c r="T604">
        <v>3366</v>
      </c>
      <c r="U604">
        <v>0</v>
      </c>
      <c r="V604">
        <v>3366</v>
      </c>
    </row>
    <row r="605" spans="1:22" x14ac:dyDescent="0.25">
      <c r="A605">
        <v>80147</v>
      </c>
      <c r="B605">
        <v>131383599</v>
      </c>
      <c r="C605" t="s">
        <v>3301</v>
      </c>
      <c r="D605" t="s">
        <v>3302</v>
      </c>
      <c r="E605" t="s">
        <v>3118</v>
      </c>
      <c r="F605" t="s">
        <v>847</v>
      </c>
      <c r="G605" t="s">
        <v>142</v>
      </c>
      <c r="H605" t="s">
        <v>143</v>
      </c>
      <c r="I605" t="s">
        <v>35</v>
      </c>
      <c r="J605" t="s">
        <v>144</v>
      </c>
      <c r="K605" t="s">
        <v>2</v>
      </c>
      <c r="L605" t="s">
        <v>3303</v>
      </c>
      <c r="M605" t="s">
        <v>3304</v>
      </c>
      <c r="N605" t="s">
        <v>850</v>
      </c>
      <c r="O605" t="s">
        <v>40</v>
      </c>
      <c r="P605" t="s">
        <v>3305</v>
      </c>
      <c r="Q605" t="s">
        <v>48</v>
      </c>
      <c r="R605" t="s">
        <v>3300</v>
      </c>
      <c r="S605">
        <v>1</v>
      </c>
      <c r="T605">
        <v>3366</v>
      </c>
      <c r="U605">
        <v>0</v>
      </c>
      <c r="V605">
        <v>3366</v>
      </c>
    </row>
    <row r="606" spans="1:22" x14ac:dyDescent="0.25">
      <c r="A606">
        <v>80147</v>
      </c>
      <c r="B606">
        <v>131448764</v>
      </c>
      <c r="C606" t="s">
        <v>3306</v>
      </c>
      <c r="D606" t="s">
        <v>3307</v>
      </c>
      <c r="E606" t="s">
        <v>3118</v>
      </c>
      <c r="F606" t="s">
        <v>847</v>
      </c>
      <c r="G606" t="s">
        <v>142</v>
      </c>
      <c r="H606" t="s">
        <v>143</v>
      </c>
      <c r="I606" t="s">
        <v>35</v>
      </c>
      <c r="J606" t="s">
        <v>144</v>
      </c>
      <c r="K606" t="s">
        <v>2</v>
      </c>
      <c r="L606" t="s">
        <v>3308</v>
      </c>
      <c r="M606" t="s">
        <v>558</v>
      </c>
      <c r="N606" t="s">
        <v>850</v>
      </c>
      <c r="O606" t="s">
        <v>40</v>
      </c>
      <c r="P606" t="s">
        <v>3309</v>
      </c>
      <c r="Q606" t="s">
        <v>48</v>
      </c>
      <c r="R606" t="s">
        <v>683</v>
      </c>
      <c r="S606">
        <v>11.85</v>
      </c>
      <c r="T606">
        <v>6400</v>
      </c>
      <c r="U606">
        <v>0</v>
      </c>
      <c r="V606">
        <v>6400</v>
      </c>
    </row>
    <row r="607" spans="1:22" x14ac:dyDescent="0.25">
      <c r="A607">
        <v>80147</v>
      </c>
      <c r="B607">
        <v>131347074</v>
      </c>
      <c r="C607" t="s">
        <v>3310</v>
      </c>
      <c r="D607" t="s">
        <v>3311</v>
      </c>
      <c r="E607" t="s">
        <v>3118</v>
      </c>
      <c r="F607" t="s">
        <v>847</v>
      </c>
      <c r="G607" t="s">
        <v>142</v>
      </c>
      <c r="H607" t="s">
        <v>143</v>
      </c>
      <c r="I607" t="s">
        <v>35</v>
      </c>
      <c r="J607" t="s">
        <v>144</v>
      </c>
      <c r="K607" t="s">
        <v>2</v>
      </c>
      <c r="L607" t="s">
        <v>3312</v>
      </c>
      <c r="M607" t="s">
        <v>3313</v>
      </c>
      <c r="N607" t="s">
        <v>850</v>
      </c>
      <c r="O607" t="s">
        <v>40</v>
      </c>
      <c r="P607" t="s">
        <v>3314</v>
      </c>
      <c r="Q607" t="s">
        <v>59</v>
      </c>
      <c r="R607" t="s">
        <v>487</v>
      </c>
      <c r="S607">
        <v>1</v>
      </c>
      <c r="T607">
        <v>3366</v>
      </c>
      <c r="U607">
        <v>0</v>
      </c>
      <c r="V607">
        <v>3366</v>
      </c>
    </row>
    <row r="608" spans="1:22" x14ac:dyDescent="0.25">
      <c r="A608">
        <v>80147</v>
      </c>
      <c r="B608">
        <v>131268052</v>
      </c>
      <c r="C608" t="s">
        <v>3315</v>
      </c>
      <c r="D608" t="s">
        <v>3316</v>
      </c>
      <c r="E608" t="s">
        <v>3118</v>
      </c>
      <c r="F608" t="s">
        <v>847</v>
      </c>
      <c r="G608" t="s">
        <v>142</v>
      </c>
      <c r="H608" t="s">
        <v>143</v>
      </c>
      <c r="I608" t="s">
        <v>35</v>
      </c>
      <c r="J608" t="s">
        <v>144</v>
      </c>
      <c r="K608" t="s">
        <v>2</v>
      </c>
      <c r="L608" t="s">
        <v>3317</v>
      </c>
      <c r="M608" t="s">
        <v>3318</v>
      </c>
      <c r="N608" t="s">
        <v>850</v>
      </c>
      <c r="O608" t="s">
        <v>40</v>
      </c>
      <c r="P608" t="s">
        <v>3319</v>
      </c>
      <c r="Q608" t="s">
        <v>60</v>
      </c>
      <c r="R608" t="s">
        <v>299</v>
      </c>
      <c r="S608">
        <v>1</v>
      </c>
      <c r="T608">
        <v>4338</v>
      </c>
      <c r="U608">
        <v>0</v>
      </c>
      <c r="V608">
        <v>4338</v>
      </c>
    </row>
    <row r="609" spans="1:22" x14ac:dyDescent="0.25">
      <c r="A609">
        <v>80147</v>
      </c>
      <c r="B609">
        <v>131268064</v>
      </c>
      <c r="C609" t="s">
        <v>3320</v>
      </c>
      <c r="D609" t="s">
        <v>3321</v>
      </c>
      <c r="E609" t="s">
        <v>3118</v>
      </c>
      <c r="F609" t="s">
        <v>847</v>
      </c>
      <c r="G609" t="s">
        <v>142</v>
      </c>
      <c r="H609" t="s">
        <v>143</v>
      </c>
      <c r="I609" t="s">
        <v>35</v>
      </c>
      <c r="J609" t="s">
        <v>144</v>
      </c>
      <c r="K609" t="s">
        <v>2</v>
      </c>
      <c r="L609" t="s">
        <v>3322</v>
      </c>
      <c r="M609" t="s">
        <v>686</v>
      </c>
      <c r="N609" t="s">
        <v>850</v>
      </c>
      <c r="O609" t="s">
        <v>40</v>
      </c>
      <c r="P609" t="s">
        <v>3323</v>
      </c>
      <c r="Q609" t="s">
        <v>49</v>
      </c>
      <c r="R609" t="s">
        <v>299</v>
      </c>
      <c r="S609">
        <v>0.9</v>
      </c>
      <c r="T609">
        <v>4338</v>
      </c>
      <c r="U609">
        <v>0</v>
      </c>
      <c r="V609">
        <v>4338</v>
      </c>
    </row>
    <row r="610" spans="1:22" x14ac:dyDescent="0.25">
      <c r="A610">
        <v>80147</v>
      </c>
      <c r="B610">
        <v>132117199</v>
      </c>
      <c r="C610" t="s">
        <v>3324</v>
      </c>
      <c r="D610" t="s">
        <v>3325</v>
      </c>
      <c r="E610" t="s">
        <v>3118</v>
      </c>
      <c r="F610" t="s">
        <v>847</v>
      </c>
      <c r="G610" t="s">
        <v>142</v>
      </c>
      <c r="H610" t="s">
        <v>143</v>
      </c>
      <c r="I610" t="s">
        <v>35</v>
      </c>
      <c r="J610" t="s">
        <v>144</v>
      </c>
      <c r="K610" t="s">
        <v>2</v>
      </c>
      <c r="L610" t="s">
        <v>3326</v>
      </c>
      <c r="M610" t="s">
        <v>3327</v>
      </c>
      <c r="N610" t="s">
        <v>850</v>
      </c>
      <c r="O610" t="s">
        <v>40</v>
      </c>
      <c r="P610" t="s">
        <v>3328</v>
      </c>
      <c r="Q610" t="s">
        <v>79</v>
      </c>
      <c r="R610" t="s">
        <v>420</v>
      </c>
      <c r="S610">
        <v>3.3</v>
      </c>
      <c r="T610">
        <v>4322</v>
      </c>
      <c r="U610">
        <v>0</v>
      </c>
      <c r="V610">
        <v>4322</v>
      </c>
    </row>
    <row r="611" spans="1:22" x14ac:dyDescent="0.25">
      <c r="A611">
        <v>80147</v>
      </c>
      <c r="B611">
        <v>132042033</v>
      </c>
      <c r="C611" t="s">
        <v>3329</v>
      </c>
      <c r="D611" t="s">
        <v>3330</v>
      </c>
      <c r="E611" t="s">
        <v>3118</v>
      </c>
      <c r="F611" t="s">
        <v>847</v>
      </c>
      <c r="G611" t="s">
        <v>142</v>
      </c>
      <c r="H611" t="s">
        <v>143</v>
      </c>
      <c r="I611" t="s">
        <v>35</v>
      </c>
      <c r="J611" t="s">
        <v>144</v>
      </c>
      <c r="K611" t="s">
        <v>2</v>
      </c>
      <c r="L611" t="s">
        <v>3331</v>
      </c>
      <c r="M611" t="s">
        <v>3332</v>
      </c>
      <c r="N611" t="s">
        <v>850</v>
      </c>
      <c r="O611" t="s">
        <v>40</v>
      </c>
      <c r="P611" t="s">
        <v>3333</v>
      </c>
      <c r="Q611" t="s">
        <v>79</v>
      </c>
      <c r="R611" t="s">
        <v>352</v>
      </c>
      <c r="S611">
        <v>1</v>
      </c>
      <c r="T611">
        <v>3501</v>
      </c>
      <c r="U611">
        <v>0</v>
      </c>
      <c r="V611">
        <v>3501</v>
      </c>
    </row>
    <row r="612" spans="1:22" x14ac:dyDescent="0.25">
      <c r="A612">
        <v>80147</v>
      </c>
      <c r="B612">
        <v>132073993</v>
      </c>
      <c r="C612" t="s">
        <v>3334</v>
      </c>
      <c r="D612" t="s">
        <v>3335</v>
      </c>
      <c r="E612" t="s">
        <v>3118</v>
      </c>
      <c r="F612" t="s">
        <v>847</v>
      </c>
      <c r="G612" t="s">
        <v>142</v>
      </c>
      <c r="H612" t="s">
        <v>143</v>
      </c>
      <c r="I612" t="s">
        <v>35</v>
      </c>
      <c r="J612" t="s">
        <v>144</v>
      </c>
      <c r="K612" t="s">
        <v>2</v>
      </c>
      <c r="L612" t="s">
        <v>3336</v>
      </c>
      <c r="M612" t="s">
        <v>561</v>
      </c>
      <c r="N612" t="s">
        <v>850</v>
      </c>
      <c r="O612" t="s">
        <v>40</v>
      </c>
      <c r="P612" t="s">
        <v>3337</v>
      </c>
      <c r="Q612" t="s">
        <v>79</v>
      </c>
      <c r="R612" t="s">
        <v>3194</v>
      </c>
      <c r="S612">
        <v>1</v>
      </c>
      <c r="T612">
        <v>3501</v>
      </c>
      <c r="U612">
        <v>0</v>
      </c>
      <c r="V612">
        <v>3501</v>
      </c>
    </row>
    <row r="613" spans="1:22" x14ac:dyDescent="0.25">
      <c r="A613">
        <v>80147</v>
      </c>
      <c r="B613">
        <v>132073992</v>
      </c>
      <c r="C613" t="s">
        <v>3338</v>
      </c>
      <c r="D613" t="s">
        <v>3339</v>
      </c>
      <c r="E613" t="s">
        <v>3118</v>
      </c>
      <c r="F613" t="s">
        <v>847</v>
      </c>
      <c r="G613" t="s">
        <v>142</v>
      </c>
      <c r="H613" t="s">
        <v>143</v>
      </c>
      <c r="I613" t="s">
        <v>35</v>
      </c>
      <c r="J613" t="s">
        <v>144</v>
      </c>
      <c r="K613" t="s">
        <v>2</v>
      </c>
      <c r="L613" t="s">
        <v>3340</v>
      </c>
      <c r="M613" t="s">
        <v>3341</v>
      </c>
      <c r="N613" t="s">
        <v>850</v>
      </c>
      <c r="O613" t="s">
        <v>40</v>
      </c>
      <c r="P613" t="s">
        <v>3342</v>
      </c>
      <c r="Q613" t="s">
        <v>79</v>
      </c>
      <c r="R613" t="s">
        <v>3194</v>
      </c>
      <c r="S613">
        <v>1</v>
      </c>
      <c r="T613">
        <v>3501</v>
      </c>
      <c r="U613">
        <v>0</v>
      </c>
      <c r="V613">
        <v>3501</v>
      </c>
    </row>
    <row r="614" spans="1:22" x14ac:dyDescent="0.25">
      <c r="A614">
        <v>80147</v>
      </c>
      <c r="B614">
        <v>131953404</v>
      </c>
      <c r="C614" t="s">
        <v>3343</v>
      </c>
      <c r="D614" t="s">
        <v>3344</v>
      </c>
      <c r="E614" t="s">
        <v>3118</v>
      </c>
      <c r="F614" t="s">
        <v>847</v>
      </c>
      <c r="G614" t="s">
        <v>142</v>
      </c>
      <c r="H614" t="s">
        <v>143</v>
      </c>
      <c r="I614" t="s">
        <v>35</v>
      </c>
      <c r="J614" t="s">
        <v>144</v>
      </c>
      <c r="K614" t="s">
        <v>2</v>
      </c>
      <c r="L614" t="s">
        <v>3345</v>
      </c>
      <c r="M614" t="s">
        <v>3346</v>
      </c>
      <c r="N614" t="s">
        <v>850</v>
      </c>
      <c r="O614" t="s">
        <v>40</v>
      </c>
      <c r="P614" t="s">
        <v>3347</v>
      </c>
      <c r="Q614" t="s">
        <v>79</v>
      </c>
      <c r="R614" t="s">
        <v>821</v>
      </c>
      <c r="S614">
        <v>1</v>
      </c>
      <c r="T614">
        <v>3501</v>
      </c>
      <c r="U614">
        <v>0</v>
      </c>
      <c r="V614">
        <v>3501</v>
      </c>
    </row>
    <row r="615" spans="1:22" x14ac:dyDescent="0.25">
      <c r="A615">
        <v>80147</v>
      </c>
      <c r="B615">
        <v>131774030</v>
      </c>
      <c r="C615" t="s">
        <v>3348</v>
      </c>
      <c r="D615" t="s">
        <v>3349</v>
      </c>
      <c r="E615" t="s">
        <v>3118</v>
      </c>
      <c r="F615" t="s">
        <v>847</v>
      </c>
      <c r="G615" t="s">
        <v>142</v>
      </c>
      <c r="H615" t="s">
        <v>143</v>
      </c>
      <c r="I615" t="s">
        <v>35</v>
      </c>
      <c r="J615" t="s">
        <v>144</v>
      </c>
      <c r="K615" t="s">
        <v>2</v>
      </c>
      <c r="L615" t="s">
        <v>3350</v>
      </c>
      <c r="M615" t="s">
        <v>655</v>
      </c>
      <c r="N615" t="s">
        <v>850</v>
      </c>
      <c r="O615" t="s">
        <v>40</v>
      </c>
      <c r="P615" t="s">
        <v>3351</v>
      </c>
      <c r="Q615" t="s">
        <v>55</v>
      </c>
      <c r="R615" t="s">
        <v>3240</v>
      </c>
      <c r="S615">
        <v>1</v>
      </c>
      <c r="T615">
        <v>3501</v>
      </c>
      <c r="U615">
        <v>0</v>
      </c>
      <c r="V615">
        <v>3501</v>
      </c>
    </row>
    <row r="616" spans="1:22" x14ac:dyDescent="0.25">
      <c r="A616">
        <v>80147</v>
      </c>
      <c r="B616">
        <v>131774032</v>
      </c>
      <c r="C616" t="s">
        <v>3352</v>
      </c>
      <c r="D616" t="s">
        <v>3353</v>
      </c>
      <c r="E616" t="s">
        <v>3118</v>
      </c>
      <c r="F616" t="s">
        <v>847</v>
      </c>
      <c r="G616" t="s">
        <v>142</v>
      </c>
      <c r="H616" t="s">
        <v>143</v>
      </c>
      <c r="I616" t="s">
        <v>35</v>
      </c>
      <c r="J616" t="s">
        <v>144</v>
      </c>
      <c r="K616" t="s">
        <v>2</v>
      </c>
      <c r="L616" t="s">
        <v>3354</v>
      </c>
      <c r="M616" t="s">
        <v>3355</v>
      </c>
      <c r="N616" t="s">
        <v>850</v>
      </c>
      <c r="O616" t="s">
        <v>40</v>
      </c>
      <c r="P616" t="s">
        <v>3356</v>
      </c>
      <c r="Q616" t="s">
        <v>55</v>
      </c>
      <c r="R616" t="s">
        <v>3240</v>
      </c>
      <c r="S616">
        <v>1</v>
      </c>
      <c r="T616">
        <v>3501</v>
      </c>
      <c r="U616">
        <v>0</v>
      </c>
      <c r="V616">
        <v>3501</v>
      </c>
    </row>
    <row r="617" spans="1:22" x14ac:dyDescent="0.25">
      <c r="A617">
        <v>80147</v>
      </c>
      <c r="B617">
        <v>131732479</v>
      </c>
      <c r="C617" t="s">
        <v>3357</v>
      </c>
      <c r="D617" t="s">
        <v>3358</v>
      </c>
      <c r="E617" t="s">
        <v>3118</v>
      </c>
      <c r="F617" t="s">
        <v>847</v>
      </c>
      <c r="G617" t="s">
        <v>142</v>
      </c>
      <c r="H617" t="s">
        <v>143</v>
      </c>
      <c r="I617" t="s">
        <v>35</v>
      </c>
      <c r="J617" t="s">
        <v>144</v>
      </c>
      <c r="K617" t="s">
        <v>2</v>
      </c>
      <c r="L617" t="s">
        <v>3359</v>
      </c>
      <c r="M617" t="s">
        <v>3360</v>
      </c>
      <c r="N617" t="s">
        <v>850</v>
      </c>
      <c r="O617" t="s">
        <v>40</v>
      </c>
      <c r="P617" t="s">
        <v>3361</v>
      </c>
      <c r="Q617" t="s">
        <v>79</v>
      </c>
      <c r="R617" t="s">
        <v>708</v>
      </c>
      <c r="S617">
        <v>2.95</v>
      </c>
      <c r="T617">
        <v>3501</v>
      </c>
      <c r="U617">
        <v>0</v>
      </c>
      <c r="V617">
        <v>3501</v>
      </c>
    </row>
    <row r="618" spans="1:22" x14ac:dyDescent="0.25">
      <c r="A618">
        <v>80147</v>
      </c>
      <c r="B618">
        <v>131589726</v>
      </c>
      <c r="C618" t="s">
        <v>3362</v>
      </c>
      <c r="D618" t="s">
        <v>3363</v>
      </c>
      <c r="E618" t="s">
        <v>3118</v>
      </c>
      <c r="F618" t="s">
        <v>847</v>
      </c>
      <c r="G618" t="s">
        <v>142</v>
      </c>
      <c r="H618" t="s">
        <v>143</v>
      </c>
      <c r="I618" t="s">
        <v>35</v>
      </c>
      <c r="J618" t="s">
        <v>144</v>
      </c>
      <c r="K618" t="s">
        <v>2</v>
      </c>
      <c r="L618" t="s">
        <v>3364</v>
      </c>
      <c r="M618" t="s">
        <v>3365</v>
      </c>
      <c r="N618" t="s">
        <v>850</v>
      </c>
      <c r="O618" t="s">
        <v>40</v>
      </c>
      <c r="P618" t="s">
        <v>3366</v>
      </c>
      <c r="Q618" t="s">
        <v>79</v>
      </c>
      <c r="R618" t="s">
        <v>494</v>
      </c>
      <c r="S618">
        <v>1</v>
      </c>
      <c r="T618">
        <v>3501</v>
      </c>
      <c r="U618">
        <v>0</v>
      </c>
      <c r="V618">
        <v>3501</v>
      </c>
    </row>
    <row r="619" spans="1:22" x14ac:dyDescent="0.25">
      <c r="A619">
        <v>80147</v>
      </c>
      <c r="B619">
        <v>131567351</v>
      </c>
      <c r="C619" t="s">
        <v>3367</v>
      </c>
      <c r="D619" t="s">
        <v>3368</v>
      </c>
      <c r="E619" t="s">
        <v>3118</v>
      </c>
      <c r="F619" t="s">
        <v>847</v>
      </c>
      <c r="G619" t="s">
        <v>142</v>
      </c>
      <c r="H619" t="s">
        <v>143</v>
      </c>
      <c r="I619" t="s">
        <v>35</v>
      </c>
      <c r="J619" t="s">
        <v>144</v>
      </c>
      <c r="K619" t="s">
        <v>2</v>
      </c>
      <c r="L619" t="s">
        <v>3369</v>
      </c>
      <c r="M619" t="s">
        <v>3370</v>
      </c>
      <c r="N619" t="s">
        <v>850</v>
      </c>
      <c r="O619" t="s">
        <v>40</v>
      </c>
      <c r="P619" t="s">
        <v>3371</v>
      </c>
      <c r="Q619" t="s">
        <v>79</v>
      </c>
      <c r="R619" t="s">
        <v>465</v>
      </c>
      <c r="S619">
        <v>1</v>
      </c>
      <c r="T619">
        <v>3501</v>
      </c>
      <c r="U619">
        <v>0</v>
      </c>
      <c r="V619">
        <v>3501</v>
      </c>
    </row>
    <row r="620" spans="1:22" x14ac:dyDescent="0.25">
      <c r="A620">
        <v>80147</v>
      </c>
      <c r="B620">
        <v>131489593</v>
      </c>
      <c r="C620" t="s">
        <v>3372</v>
      </c>
      <c r="D620" t="s">
        <v>3373</v>
      </c>
      <c r="E620" t="s">
        <v>3118</v>
      </c>
      <c r="F620" t="s">
        <v>847</v>
      </c>
      <c r="G620" t="s">
        <v>142</v>
      </c>
      <c r="H620" t="s">
        <v>143</v>
      </c>
      <c r="I620" t="s">
        <v>35</v>
      </c>
      <c r="J620" t="s">
        <v>144</v>
      </c>
      <c r="K620" t="s">
        <v>2</v>
      </c>
      <c r="L620" t="s">
        <v>3374</v>
      </c>
      <c r="M620" t="s">
        <v>357</v>
      </c>
      <c r="N620" t="s">
        <v>850</v>
      </c>
      <c r="O620" t="s">
        <v>40</v>
      </c>
      <c r="P620" t="s">
        <v>3375</v>
      </c>
      <c r="Q620" t="s">
        <v>79</v>
      </c>
      <c r="R620" t="s">
        <v>304</v>
      </c>
      <c r="S620">
        <v>1</v>
      </c>
      <c r="T620">
        <v>3501</v>
      </c>
      <c r="U620">
        <v>0</v>
      </c>
      <c r="V620">
        <v>3501</v>
      </c>
    </row>
    <row r="621" spans="1:22" x14ac:dyDescent="0.25">
      <c r="A621">
        <v>80147</v>
      </c>
      <c r="B621">
        <v>131339968</v>
      </c>
      <c r="C621" t="s">
        <v>3376</v>
      </c>
      <c r="D621" t="s">
        <v>3377</v>
      </c>
      <c r="E621" t="s">
        <v>3118</v>
      </c>
      <c r="F621" t="s">
        <v>847</v>
      </c>
      <c r="G621" t="s">
        <v>142</v>
      </c>
      <c r="H621" t="s">
        <v>143</v>
      </c>
      <c r="I621" t="s">
        <v>35</v>
      </c>
      <c r="J621" t="s">
        <v>144</v>
      </c>
      <c r="K621" t="s">
        <v>2</v>
      </c>
      <c r="L621" t="s">
        <v>3378</v>
      </c>
      <c r="M621" t="s">
        <v>3379</v>
      </c>
      <c r="N621" t="s">
        <v>850</v>
      </c>
      <c r="O621" t="s">
        <v>40</v>
      </c>
      <c r="P621" t="s">
        <v>3380</v>
      </c>
      <c r="Q621" t="s">
        <v>79</v>
      </c>
      <c r="R621" t="s">
        <v>3381</v>
      </c>
      <c r="S621">
        <v>1</v>
      </c>
      <c r="T621">
        <v>3501</v>
      </c>
      <c r="U621">
        <v>0</v>
      </c>
      <c r="V621">
        <v>3501</v>
      </c>
    </row>
    <row r="622" spans="1:22" x14ac:dyDescent="0.25">
      <c r="A622">
        <v>80147</v>
      </c>
      <c r="B622">
        <v>131312067</v>
      </c>
      <c r="C622" t="s">
        <v>3382</v>
      </c>
      <c r="D622" t="s">
        <v>3383</v>
      </c>
      <c r="E622" t="s">
        <v>3118</v>
      </c>
      <c r="F622" t="s">
        <v>847</v>
      </c>
      <c r="G622" t="s">
        <v>142</v>
      </c>
      <c r="H622" t="s">
        <v>143</v>
      </c>
      <c r="I622" t="s">
        <v>35</v>
      </c>
      <c r="J622" t="s">
        <v>144</v>
      </c>
      <c r="K622" t="s">
        <v>2</v>
      </c>
      <c r="L622" t="s">
        <v>3384</v>
      </c>
      <c r="M622" t="s">
        <v>3385</v>
      </c>
      <c r="N622" t="s">
        <v>850</v>
      </c>
      <c r="O622" t="s">
        <v>40</v>
      </c>
      <c r="P622" t="s">
        <v>3386</v>
      </c>
      <c r="Q622" t="s">
        <v>55</v>
      </c>
      <c r="R622" t="s">
        <v>589</v>
      </c>
      <c r="S622">
        <v>1</v>
      </c>
      <c r="T622">
        <v>3501</v>
      </c>
      <c r="U622">
        <v>0</v>
      </c>
      <c r="V622">
        <v>3501</v>
      </c>
    </row>
    <row r="623" spans="1:22" x14ac:dyDescent="0.25">
      <c r="A623">
        <v>80147</v>
      </c>
      <c r="B623">
        <v>131312069</v>
      </c>
      <c r="C623" t="s">
        <v>3387</v>
      </c>
      <c r="D623" t="s">
        <v>3388</v>
      </c>
      <c r="E623" t="s">
        <v>3118</v>
      </c>
      <c r="F623" t="s">
        <v>847</v>
      </c>
      <c r="G623" t="s">
        <v>142</v>
      </c>
      <c r="H623" t="s">
        <v>143</v>
      </c>
      <c r="I623" t="s">
        <v>35</v>
      </c>
      <c r="J623" t="s">
        <v>144</v>
      </c>
      <c r="K623" t="s">
        <v>2</v>
      </c>
      <c r="L623" t="s">
        <v>3384</v>
      </c>
      <c r="M623" t="s">
        <v>3385</v>
      </c>
      <c r="N623" t="s">
        <v>850</v>
      </c>
      <c r="O623" t="s">
        <v>40</v>
      </c>
      <c r="P623" t="s">
        <v>3386</v>
      </c>
      <c r="Q623" t="s">
        <v>55</v>
      </c>
      <c r="R623" t="s">
        <v>589</v>
      </c>
      <c r="S623">
        <v>1</v>
      </c>
      <c r="T623">
        <v>3501</v>
      </c>
      <c r="U623">
        <v>0</v>
      </c>
      <c r="V623">
        <v>3501</v>
      </c>
    </row>
    <row r="624" spans="1:22" x14ac:dyDescent="0.25">
      <c r="A624">
        <v>80147</v>
      </c>
      <c r="B624">
        <v>132190352</v>
      </c>
      <c r="C624" t="s">
        <v>3389</v>
      </c>
      <c r="D624" t="s">
        <v>3390</v>
      </c>
      <c r="E624" t="s">
        <v>3118</v>
      </c>
      <c r="F624" t="s">
        <v>847</v>
      </c>
      <c r="G624" t="s">
        <v>142</v>
      </c>
      <c r="H624" t="s">
        <v>143</v>
      </c>
      <c r="I624" t="s">
        <v>35</v>
      </c>
      <c r="J624" t="s">
        <v>144</v>
      </c>
      <c r="K624" t="s">
        <v>2</v>
      </c>
      <c r="L624" t="s">
        <v>3391</v>
      </c>
      <c r="M624" t="s">
        <v>633</v>
      </c>
      <c r="N624" t="s">
        <v>850</v>
      </c>
      <c r="O624" t="s">
        <v>40</v>
      </c>
      <c r="P624" t="s">
        <v>3392</v>
      </c>
      <c r="Q624" t="s">
        <v>50</v>
      </c>
      <c r="R624" t="s">
        <v>419</v>
      </c>
      <c r="S624">
        <v>2.95</v>
      </c>
      <c r="T624">
        <v>3753</v>
      </c>
      <c r="U624">
        <v>0</v>
      </c>
      <c r="V624">
        <v>3753</v>
      </c>
    </row>
    <row r="625" spans="1:22" x14ac:dyDescent="0.25">
      <c r="A625">
        <v>80147</v>
      </c>
      <c r="B625">
        <v>132151085</v>
      </c>
      <c r="C625" t="s">
        <v>3393</v>
      </c>
      <c r="D625" t="s">
        <v>3394</v>
      </c>
      <c r="E625" t="s">
        <v>3118</v>
      </c>
      <c r="F625" t="s">
        <v>847</v>
      </c>
      <c r="G625" t="s">
        <v>142</v>
      </c>
      <c r="H625" t="s">
        <v>143</v>
      </c>
      <c r="I625" t="s">
        <v>35</v>
      </c>
      <c r="J625" t="s">
        <v>144</v>
      </c>
      <c r="K625" t="s">
        <v>2</v>
      </c>
      <c r="L625" t="s">
        <v>3395</v>
      </c>
      <c r="M625" t="s">
        <v>793</v>
      </c>
      <c r="N625" t="s">
        <v>850</v>
      </c>
      <c r="O625" t="s">
        <v>40</v>
      </c>
      <c r="P625" t="s">
        <v>3396</v>
      </c>
      <c r="Q625" t="s">
        <v>50</v>
      </c>
      <c r="R625" t="s">
        <v>358</v>
      </c>
      <c r="S625">
        <v>0.39</v>
      </c>
      <c r="T625">
        <v>3680</v>
      </c>
      <c r="U625">
        <v>0</v>
      </c>
      <c r="V625">
        <v>3680</v>
      </c>
    </row>
    <row r="626" spans="1:22" x14ac:dyDescent="0.25">
      <c r="A626">
        <v>80147</v>
      </c>
      <c r="B626">
        <v>132151077</v>
      </c>
      <c r="C626" t="s">
        <v>3397</v>
      </c>
      <c r="D626" t="s">
        <v>3398</v>
      </c>
      <c r="E626" t="s">
        <v>3118</v>
      </c>
      <c r="F626" t="s">
        <v>847</v>
      </c>
      <c r="G626" t="s">
        <v>142</v>
      </c>
      <c r="H626" t="s">
        <v>143</v>
      </c>
      <c r="I626" t="s">
        <v>35</v>
      </c>
      <c r="J626" t="s">
        <v>144</v>
      </c>
      <c r="K626" t="s">
        <v>2</v>
      </c>
      <c r="L626" t="s">
        <v>3399</v>
      </c>
      <c r="M626" t="s">
        <v>3400</v>
      </c>
      <c r="N626" t="s">
        <v>850</v>
      </c>
      <c r="O626" t="s">
        <v>40</v>
      </c>
      <c r="P626" t="s">
        <v>3401</v>
      </c>
      <c r="Q626" t="s">
        <v>50</v>
      </c>
      <c r="R626" t="s">
        <v>358</v>
      </c>
      <c r="S626">
        <v>1</v>
      </c>
      <c r="T626">
        <v>3753</v>
      </c>
      <c r="U626">
        <v>0</v>
      </c>
      <c r="V626">
        <v>3753</v>
      </c>
    </row>
    <row r="627" spans="1:22" x14ac:dyDescent="0.25">
      <c r="A627">
        <v>80147</v>
      </c>
      <c r="B627">
        <v>132117218</v>
      </c>
      <c r="C627" t="s">
        <v>3402</v>
      </c>
      <c r="D627" t="s">
        <v>3403</v>
      </c>
      <c r="E627" t="s">
        <v>3118</v>
      </c>
      <c r="F627" t="s">
        <v>847</v>
      </c>
      <c r="G627" t="s">
        <v>142</v>
      </c>
      <c r="H627" t="s">
        <v>143</v>
      </c>
      <c r="I627" t="s">
        <v>35</v>
      </c>
      <c r="J627" t="s">
        <v>144</v>
      </c>
      <c r="K627" t="s">
        <v>2</v>
      </c>
      <c r="L627" t="s">
        <v>3404</v>
      </c>
      <c r="M627" t="s">
        <v>3405</v>
      </c>
      <c r="N627" t="s">
        <v>850</v>
      </c>
      <c r="O627" t="s">
        <v>40</v>
      </c>
      <c r="P627" t="s">
        <v>3406</v>
      </c>
      <c r="Q627" t="s">
        <v>52</v>
      </c>
      <c r="R627" t="s">
        <v>420</v>
      </c>
      <c r="S627">
        <v>1</v>
      </c>
      <c r="T627">
        <v>3753</v>
      </c>
      <c r="U627">
        <v>0</v>
      </c>
      <c r="V627">
        <v>3753</v>
      </c>
    </row>
    <row r="628" spans="1:22" x14ac:dyDescent="0.25">
      <c r="A628">
        <v>80147</v>
      </c>
      <c r="B628">
        <v>132022383</v>
      </c>
      <c r="C628" t="s">
        <v>3407</v>
      </c>
      <c r="D628" t="s">
        <v>3408</v>
      </c>
      <c r="E628" t="s">
        <v>3118</v>
      </c>
      <c r="F628" t="s">
        <v>847</v>
      </c>
      <c r="G628" t="s">
        <v>142</v>
      </c>
      <c r="H628" t="s">
        <v>143</v>
      </c>
      <c r="I628" t="s">
        <v>35</v>
      </c>
      <c r="J628" t="s">
        <v>144</v>
      </c>
      <c r="K628" t="s">
        <v>2</v>
      </c>
      <c r="L628" t="s">
        <v>3409</v>
      </c>
      <c r="M628" t="s">
        <v>3410</v>
      </c>
      <c r="N628" t="s">
        <v>850</v>
      </c>
      <c r="O628" t="s">
        <v>40</v>
      </c>
      <c r="P628" t="s">
        <v>3411</v>
      </c>
      <c r="Q628" t="s">
        <v>50</v>
      </c>
      <c r="R628" t="s">
        <v>3188</v>
      </c>
      <c r="S628">
        <v>1</v>
      </c>
      <c r="T628">
        <v>3753</v>
      </c>
      <c r="U628">
        <v>0</v>
      </c>
      <c r="V628">
        <v>3753</v>
      </c>
    </row>
    <row r="629" spans="1:22" x14ac:dyDescent="0.25">
      <c r="A629">
        <v>80147</v>
      </c>
      <c r="B629">
        <v>132022382</v>
      </c>
      <c r="C629" t="s">
        <v>3412</v>
      </c>
      <c r="D629" t="s">
        <v>3413</v>
      </c>
      <c r="E629" t="s">
        <v>3118</v>
      </c>
      <c r="F629" t="s">
        <v>847</v>
      </c>
      <c r="G629" t="s">
        <v>142</v>
      </c>
      <c r="H629" t="s">
        <v>143</v>
      </c>
      <c r="I629" t="s">
        <v>35</v>
      </c>
      <c r="J629" t="s">
        <v>144</v>
      </c>
      <c r="K629" t="s">
        <v>2</v>
      </c>
      <c r="L629" t="s">
        <v>3414</v>
      </c>
      <c r="M629" t="s">
        <v>3415</v>
      </c>
      <c r="N629" t="s">
        <v>850</v>
      </c>
      <c r="O629" t="s">
        <v>40</v>
      </c>
      <c r="P629" t="s">
        <v>3416</v>
      </c>
      <c r="Q629" t="s">
        <v>50</v>
      </c>
      <c r="R629" t="s">
        <v>3188</v>
      </c>
      <c r="S629">
        <v>1</v>
      </c>
      <c r="T629">
        <v>3753</v>
      </c>
      <c r="U629">
        <v>0</v>
      </c>
      <c r="V629">
        <v>3753</v>
      </c>
    </row>
    <row r="630" spans="1:22" x14ac:dyDescent="0.25">
      <c r="A630">
        <v>80147</v>
      </c>
      <c r="B630">
        <v>132022385</v>
      </c>
      <c r="C630" t="s">
        <v>3417</v>
      </c>
      <c r="D630" t="s">
        <v>3418</v>
      </c>
      <c r="E630" t="s">
        <v>3118</v>
      </c>
      <c r="F630" t="s">
        <v>847</v>
      </c>
      <c r="G630" t="s">
        <v>142</v>
      </c>
      <c r="H630" t="s">
        <v>143</v>
      </c>
      <c r="I630" t="s">
        <v>35</v>
      </c>
      <c r="J630" t="s">
        <v>144</v>
      </c>
      <c r="K630" t="s">
        <v>2</v>
      </c>
      <c r="L630" t="s">
        <v>3419</v>
      </c>
      <c r="M630" t="s">
        <v>3420</v>
      </c>
      <c r="N630" t="s">
        <v>850</v>
      </c>
      <c r="O630" t="s">
        <v>40</v>
      </c>
      <c r="P630" t="s">
        <v>3421</v>
      </c>
      <c r="Q630" t="s">
        <v>50</v>
      </c>
      <c r="R630" t="s">
        <v>3188</v>
      </c>
      <c r="S630">
        <v>1</v>
      </c>
      <c r="T630">
        <v>3753</v>
      </c>
      <c r="U630">
        <v>0</v>
      </c>
      <c r="V630">
        <v>3753</v>
      </c>
    </row>
    <row r="631" spans="1:22" x14ac:dyDescent="0.25">
      <c r="A631">
        <v>80147</v>
      </c>
      <c r="B631">
        <v>132022379</v>
      </c>
      <c r="C631" t="s">
        <v>3422</v>
      </c>
      <c r="D631" t="s">
        <v>3423</v>
      </c>
      <c r="E631" t="s">
        <v>3118</v>
      </c>
      <c r="F631" t="s">
        <v>847</v>
      </c>
      <c r="G631" t="s">
        <v>142</v>
      </c>
      <c r="H631" t="s">
        <v>143</v>
      </c>
      <c r="I631" t="s">
        <v>35</v>
      </c>
      <c r="J631" t="s">
        <v>144</v>
      </c>
      <c r="K631" t="s">
        <v>2</v>
      </c>
      <c r="L631" t="s">
        <v>3424</v>
      </c>
      <c r="M631" t="s">
        <v>3425</v>
      </c>
      <c r="N631" t="s">
        <v>850</v>
      </c>
      <c r="O631" t="s">
        <v>40</v>
      </c>
      <c r="P631" t="s">
        <v>3426</v>
      </c>
      <c r="Q631" t="s">
        <v>120</v>
      </c>
      <c r="R631" t="s">
        <v>3188</v>
      </c>
      <c r="S631">
        <v>1</v>
      </c>
      <c r="T631">
        <v>3753</v>
      </c>
      <c r="U631">
        <v>0</v>
      </c>
      <c r="V631">
        <v>3753</v>
      </c>
    </row>
    <row r="632" spans="1:22" x14ac:dyDescent="0.25">
      <c r="A632">
        <v>80147</v>
      </c>
      <c r="B632">
        <v>131922207</v>
      </c>
      <c r="C632" t="s">
        <v>3427</v>
      </c>
      <c r="D632" t="s">
        <v>3428</v>
      </c>
      <c r="E632" t="s">
        <v>3118</v>
      </c>
      <c r="F632" t="s">
        <v>847</v>
      </c>
      <c r="G632" t="s">
        <v>142</v>
      </c>
      <c r="H632" t="s">
        <v>143</v>
      </c>
      <c r="I632" t="s">
        <v>35</v>
      </c>
      <c r="J632" t="s">
        <v>144</v>
      </c>
      <c r="K632" t="s">
        <v>2</v>
      </c>
      <c r="L632" t="s">
        <v>3429</v>
      </c>
      <c r="M632" t="s">
        <v>3430</v>
      </c>
      <c r="N632" t="s">
        <v>850</v>
      </c>
      <c r="O632" t="s">
        <v>40</v>
      </c>
      <c r="P632" t="s">
        <v>3431</v>
      </c>
      <c r="Q632" t="s">
        <v>120</v>
      </c>
      <c r="R632" t="s">
        <v>838</v>
      </c>
      <c r="S632">
        <v>1</v>
      </c>
      <c r="T632">
        <v>3753</v>
      </c>
      <c r="U632">
        <v>0</v>
      </c>
      <c r="V632">
        <v>3753</v>
      </c>
    </row>
    <row r="633" spans="1:22" x14ac:dyDescent="0.25">
      <c r="A633">
        <v>80147</v>
      </c>
      <c r="B633">
        <v>131922206</v>
      </c>
      <c r="C633" t="s">
        <v>3432</v>
      </c>
      <c r="D633" t="s">
        <v>3433</v>
      </c>
      <c r="E633" t="s">
        <v>3118</v>
      </c>
      <c r="F633" t="s">
        <v>847</v>
      </c>
      <c r="G633" t="s">
        <v>142</v>
      </c>
      <c r="H633" t="s">
        <v>143</v>
      </c>
      <c r="I633" t="s">
        <v>35</v>
      </c>
      <c r="J633" t="s">
        <v>144</v>
      </c>
      <c r="K633" t="s">
        <v>2</v>
      </c>
      <c r="L633" t="s">
        <v>3434</v>
      </c>
      <c r="M633" t="s">
        <v>3435</v>
      </c>
      <c r="N633" t="s">
        <v>850</v>
      </c>
      <c r="O633" t="s">
        <v>40</v>
      </c>
      <c r="P633" t="s">
        <v>3436</v>
      </c>
      <c r="Q633" t="s">
        <v>62</v>
      </c>
      <c r="R633" t="s">
        <v>887</v>
      </c>
      <c r="S633">
        <v>1</v>
      </c>
      <c r="T633">
        <v>3753</v>
      </c>
      <c r="U633">
        <v>0</v>
      </c>
      <c r="V633">
        <v>3753</v>
      </c>
    </row>
    <row r="634" spans="1:22" x14ac:dyDescent="0.25">
      <c r="A634">
        <v>80147</v>
      </c>
      <c r="B634">
        <v>131887934</v>
      </c>
      <c r="C634" t="s">
        <v>3437</v>
      </c>
      <c r="D634" t="s">
        <v>3438</v>
      </c>
      <c r="E634" t="s">
        <v>3118</v>
      </c>
      <c r="F634" t="s">
        <v>847</v>
      </c>
      <c r="G634" t="s">
        <v>142</v>
      </c>
      <c r="H634" t="s">
        <v>143</v>
      </c>
      <c r="I634" t="s">
        <v>35</v>
      </c>
      <c r="J634" t="s">
        <v>144</v>
      </c>
      <c r="K634" t="s">
        <v>169</v>
      </c>
      <c r="L634" t="s">
        <v>267</v>
      </c>
      <c r="M634" t="s">
        <v>3439</v>
      </c>
      <c r="N634" t="s">
        <v>850</v>
      </c>
      <c r="O634" t="s">
        <v>40</v>
      </c>
      <c r="P634" t="s">
        <v>3440</v>
      </c>
      <c r="Q634" t="s">
        <v>62</v>
      </c>
      <c r="R634" t="s">
        <v>3441</v>
      </c>
      <c r="S634">
        <v>1</v>
      </c>
      <c r="T634">
        <v>3753</v>
      </c>
      <c r="U634">
        <v>0</v>
      </c>
      <c r="V634">
        <v>3753</v>
      </c>
    </row>
    <row r="635" spans="1:22" x14ac:dyDescent="0.25">
      <c r="A635">
        <v>80147</v>
      </c>
      <c r="B635">
        <v>131856145</v>
      </c>
      <c r="C635" t="s">
        <v>3442</v>
      </c>
      <c r="D635" t="s">
        <v>3443</v>
      </c>
      <c r="E635" t="s">
        <v>3118</v>
      </c>
      <c r="F635" t="s">
        <v>847</v>
      </c>
      <c r="G635" t="s">
        <v>142</v>
      </c>
      <c r="H635" t="s">
        <v>143</v>
      </c>
      <c r="I635" t="s">
        <v>35</v>
      </c>
      <c r="J635" t="s">
        <v>144</v>
      </c>
      <c r="K635" t="s">
        <v>2</v>
      </c>
      <c r="L635" t="s">
        <v>3444</v>
      </c>
      <c r="M635" t="s">
        <v>3445</v>
      </c>
      <c r="N635" t="s">
        <v>850</v>
      </c>
      <c r="O635" t="s">
        <v>40</v>
      </c>
      <c r="P635" t="s">
        <v>3446</v>
      </c>
      <c r="Q635" t="s">
        <v>58</v>
      </c>
      <c r="R635" t="s">
        <v>397</v>
      </c>
      <c r="S635">
        <v>3</v>
      </c>
      <c r="T635">
        <v>3753</v>
      </c>
      <c r="U635">
        <v>0</v>
      </c>
      <c r="V635">
        <v>3753</v>
      </c>
    </row>
    <row r="636" spans="1:22" x14ac:dyDescent="0.25">
      <c r="A636">
        <v>80147</v>
      </c>
      <c r="B636">
        <v>131856130</v>
      </c>
      <c r="C636" t="s">
        <v>3447</v>
      </c>
      <c r="D636" t="s">
        <v>3448</v>
      </c>
      <c r="E636" t="s">
        <v>3118</v>
      </c>
      <c r="F636" t="s">
        <v>847</v>
      </c>
      <c r="G636" t="s">
        <v>142</v>
      </c>
      <c r="H636" t="s">
        <v>143</v>
      </c>
      <c r="I636" t="s">
        <v>35</v>
      </c>
      <c r="J636" t="s">
        <v>144</v>
      </c>
      <c r="K636" t="s">
        <v>2</v>
      </c>
      <c r="L636" t="s">
        <v>3449</v>
      </c>
      <c r="M636" t="s">
        <v>3450</v>
      </c>
      <c r="N636" t="s">
        <v>850</v>
      </c>
      <c r="O636" t="s">
        <v>40</v>
      </c>
      <c r="P636" t="s">
        <v>3451</v>
      </c>
      <c r="Q636" t="s">
        <v>120</v>
      </c>
      <c r="R636" t="s">
        <v>397</v>
      </c>
      <c r="S636">
        <v>2.95</v>
      </c>
      <c r="T636">
        <v>3753</v>
      </c>
      <c r="U636">
        <v>0</v>
      </c>
      <c r="V636">
        <v>3753</v>
      </c>
    </row>
    <row r="637" spans="1:22" x14ac:dyDescent="0.25">
      <c r="A637">
        <v>80147</v>
      </c>
      <c r="B637">
        <v>131819754</v>
      </c>
      <c r="C637" t="s">
        <v>3452</v>
      </c>
      <c r="D637" t="s">
        <v>3453</v>
      </c>
      <c r="E637" t="s">
        <v>3118</v>
      </c>
      <c r="F637" t="s">
        <v>847</v>
      </c>
      <c r="G637" t="s">
        <v>142</v>
      </c>
      <c r="H637" t="s">
        <v>143</v>
      </c>
      <c r="I637" t="s">
        <v>35</v>
      </c>
      <c r="J637" t="s">
        <v>144</v>
      </c>
      <c r="K637" t="s">
        <v>2</v>
      </c>
      <c r="L637" t="s">
        <v>3454</v>
      </c>
      <c r="M637" t="s">
        <v>3455</v>
      </c>
      <c r="N637" t="s">
        <v>850</v>
      </c>
      <c r="O637" t="s">
        <v>40</v>
      </c>
      <c r="P637" t="s">
        <v>3456</v>
      </c>
      <c r="Q637" t="s">
        <v>81</v>
      </c>
      <c r="R637" t="s">
        <v>499</v>
      </c>
      <c r="S637">
        <v>1</v>
      </c>
      <c r="T637">
        <v>3753</v>
      </c>
      <c r="U637">
        <v>0</v>
      </c>
      <c r="V637">
        <v>3753</v>
      </c>
    </row>
    <row r="638" spans="1:22" x14ac:dyDescent="0.25">
      <c r="A638">
        <v>80147</v>
      </c>
      <c r="B638">
        <v>131774040</v>
      </c>
      <c r="C638" t="s">
        <v>3457</v>
      </c>
      <c r="D638" t="s">
        <v>3458</v>
      </c>
      <c r="E638" t="s">
        <v>3118</v>
      </c>
      <c r="F638" t="s">
        <v>847</v>
      </c>
      <c r="G638" t="s">
        <v>142</v>
      </c>
      <c r="H638" t="s">
        <v>143</v>
      </c>
      <c r="I638" t="s">
        <v>35</v>
      </c>
      <c r="J638" t="s">
        <v>144</v>
      </c>
      <c r="K638" t="s">
        <v>2</v>
      </c>
      <c r="L638" t="s">
        <v>3459</v>
      </c>
      <c r="M638" t="s">
        <v>3460</v>
      </c>
      <c r="N638" t="s">
        <v>850</v>
      </c>
      <c r="O638" t="s">
        <v>40</v>
      </c>
      <c r="P638" t="s">
        <v>3461</v>
      </c>
      <c r="Q638" t="s">
        <v>62</v>
      </c>
      <c r="R638" t="s">
        <v>3240</v>
      </c>
      <c r="S638">
        <v>3</v>
      </c>
      <c r="T638">
        <v>3753</v>
      </c>
      <c r="U638">
        <v>0</v>
      </c>
      <c r="V638">
        <v>3753</v>
      </c>
    </row>
    <row r="639" spans="1:22" x14ac:dyDescent="0.25">
      <c r="A639">
        <v>80147</v>
      </c>
      <c r="B639">
        <v>131819771</v>
      </c>
      <c r="C639" t="s">
        <v>3462</v>
      </c>
      <c r="D639" t="s">
        <v>3463</v>
      </c>
      <c r="E639" t="s">
        <v>3118</v>
      </c>
      <c r="F639" t="s">
        <v>847</v>
      </c>
      <c r="G639" t="s">
        <v>142</v>
      </c>
      <c r="H639" t="s">
        <v>143</v>
      </c>
      <c r="I639" t="s">
        <v>35</v>
      </c>
      <c r="J639" t="s">
        <v>144</v>
      </c>
      <c r="K639" t="s">
        <v>2</v>
      </c>
      <c r="L639" t="s">
        <v>3464</v>
      </c>
      <c r="M639" t="s">
        <v>3465</v>
      </c>
      <c r="N639" t="s">
        <v>850</v>
      </c>
      <c r="O639" t="s">
        <v>40</v>
      </c>
      <c r="P639" t="s">
        <v>3466</v>
      </c>
      <c r="Q639" t="s">
        <v>214</v>
      </c>
      <c r="R639" t="s">
        <v>499</v>
      </c>
      <c r="S639">
        <v>1</v>
      </c>
      <c r="T639">
        <v>3753</v>
      </c>
      <c r="U639">
        <v>0</v>
      </c>
      <c r="V639">
        <v>3753</v>
      </c>
    </row>
    <row r="640" spans="1:22" x14ac:dyDescent="0.25">
      <c r="A640">
        <v>80147</v>
      </c>
      <c r="B640">
        <v>131732480</v>
      </c>
      <c r="C640" t="s">
        <v>3467</v>
      </c>
      <c r="D640" t="s">
        <v>3468</v>
      </c>
      <c r="E640" t="s">
        <v>3118</v>
      </c>
      <c r="F640" t="s">
        <v>847</v>
      </c>
      <c r="G640" t="s">
        <v>142</v>
      </c>
      <c r="H640" t="s">
        <v>143</v>
      </c>
      <c r="I640" t="s">
        <v>35</v>
      </c>
      <c r="J640" t="s">
        <v>144</v>
      </c>
      <c r="K640" t="s">
        <v>2</v>
      </c>
      <c r="L640" t="s">
        <v>3469</v>
      </c>
      <c r="M640" t="s">
        <v>3470</v>
      </c>
      <c r="N640" t="s">
        <v>850</v>
      </c>
      <c r="O640" t="s">
        <v>40</v>
      </c>
      <c r="P640" t="s">
        <v>3471</v>
      </c>
      <c r="Q640" t="s">
        <v>50</v>
      </c>
      <c r="R640" t="s">
        <v>708</v>
      </c>
      <c r="S640">
        <v>1</v>
      </c>
      <c r="T640">
        <v>3753</v>
      </c>
      <c r="U640">
        <v>0</v>
      </c>
      <c r="V640">
        <v>3753</v>
      </c>
    </row>
    <row r="641" spans="1:22" x14ac:dyDescent="0.25">
      <c r="A641">
        <v>80147</v>
      </c>
      <c r="B641">
        <v>131732488</v>
      </c>
      <c r="C641" t="s">
        <v>3472</v>
      </c>
      <c r="D641" t="s">
        <v>3473</v>
      </c>
      <c r="E641" t="s">
        <v>3118</v>
      </c>
      <c r="F641" t="s">
        <v>847</v>
      </c>
      <c r="G641" t="s">
        <v>142</v>
      </c>
      <c r="H641" t="s">
        <v>143</v>
      </c>
      <c r="I641" t="s">
        <v>35</v>
      </c>
      <c r="J641" t="s">
        <v>144</v>
      </c>
      <c r="K641" t="s">
        <v>2</v>
      </c>
      <c r="L641" t="s">
        <v>3474</v>
      </c>
      <c r="M641" t="s">
        <v>3475</v>
      </c>
      <c r="N641" t="s">
        <v>850</v>
      </c>
      <c r="O641" t="s">
        <v>40</v>
      </c>
      <c r="P641" t="s">
        <v>3476</v>
      </c>
      <c r="Q641" t="s">
        <v>120</v>
      </c>
      <c r="R641" t="s">
        <v>708</v>
      </c>
      <c r="S641">
        <v>1</v>
      </c>
      <c r="T641">
        <v>3753</v>
      </c>
      <c r="U641">
        <v>0</v>
      </c>
      <c r="V641">
        <v>3753</v>
      </c>
    </row>
    <row r="642" spans="1:22" x14ac:dyDescent="0.25">
      <c r="A642">
        <v>80147</v>
      </c>
      <c r="B642">
        <v>131705217</v>
      </c>
      <c r="C642" t="s">
        <v>3477</v>
      </c>
      <c r="D642" t="s">
        <v>3478</v>
      </c>
      <c r="E642" t="s">
        <v>3118</v>
      </c>
      <c r="F642" t="s">
        <v>847</v>
      </c>
      <c r="G642" t="s">
        <v>142</v>
      </c>
      <c r="H642" t="s">
        <v>143</v>
      </c>
      <c r="I642" t="s">
        <v>35</v>
      </c>
      <c r="J642" t="s">
        <v>144</v>
      </c>
      <c r="K642" t="s">
        <v>169</v>
      </c>
      <c r="L642" t="s">
        <v>267</v>
      </c>
      <c r="M642" t="s">
        <v>3479</v>
      </c>
      <c r="N642" t="s">
        <v>850</v>
      </c>
      <c r="O642" t="s">
        <v>40</v>
      </c>
      <c r="P642" t="s">
        <v>3480</v>
      </c>
      <c r="Q642" t="s">
        <v>62</v>
      </c>
      <c r="R642" t="s">
        <v>297</v>
      </c>
      <c r="S642">
        <v>1</v>
      </c>
      <c r="T642">
        <v>3753</v>
      </c>
      <c r="U642">
        <v>0</v>
      </c>
      <c r="V642">
        <v>3753</v>
      </c>
    </row>
    <row r="643" spans="1:22" x14ac:dyDescent="0.25">
      <c r="A643">
        <v>80147</v>
      </c>
      <c r="B643">
        <v>131662615</v>
      </c>
      <c r="C643" t="s">
        <v>3481</v>
      </c>
      <c r="D643" t="s">
        <v>3482</v>
      </c>
      <c r="E643" t="s">
        <v>3118</v>
      </c>
      <c r="F643" t="s">
        <v>847</v>
      </c>
      <c r="G643" t="s">
        <v>142</v>
      </c>
      <c r="H643" t="s">
        <v>143</v>
      </c>
      <c r="I643" t="s">
        <v>35</v>
      </c>
      <c r="J643" t="s">
        <v>144</v>
      </c>
      <c r="K643" t="s">
        <v>2</v>
      </c>
      <c r="L643" t="s">
        <v>3483</v>
      </c>
      <c r="M643" t="s">
        <v>3484</v>
      </c>
      <c r="N643" t="s">
        <v>850</v>
      </c>
      <c r="O643" t="s">
        <v>40</v>
      </c>
      <c r="P643" t="s">
        <v>3485</v>
      </c>
      <c r="Q643" t="s">
        <v>50</v>
      </c>
      <c r="R643" t="s">
        <v>1242</v>
      </c>
      <c r="S643">
        <v>1</v>
      </c>
      <c r="T643">
        <v>3753</v>
      </c>
      <c r="U643">
        <v>0</v>
      </c>
      <c r="V643">
        <v>3753</v>
      </c>
    </row>
    <row r="644" spans="1:22" x14ac:dyDescent="0.25">
      <c r="A644">
        <v>80147</v>
      </c>
      <c r="B644">
        <v>131589727</v>
      </c>
      <c r="C644" t="s">
        <v>3486</v>
      </c>
      <c r="D644" t="s">
        <v>3487</v>
      </c>
      <c r="E644" t="s">
        <v>3118</v>
      </c>
      <c r="F644" t="s">
        <v>847</v>
      </c>
      <c r="G644" t="s">
        <v>142</v>
      </c>
      <c r="H644" t="s">
        <v>143</v>
      </c>
      <c r="I644" t="s">
        <v>35</v>
      </c>
      <c r="J644" t="s">
        <v>144</v>
      </c>
      <c r="K644" t="s">
        <v>2</v>
      </c>
      <c r="L644" t="s">
        <v>3488</v>
      </c>
      <c r="M644" t="s">
        <v>3489</v>
      </c>
      <c r="N644" t="s">
        <v>850</v>
      </c>
      <c r="O644" t="s">
        <v>40</v>
      </c>
      <c r="P644" t="s">
        <v>3490</v>
      </c>
      <c r="Q644" t="s">
        <v>209</v>
      </c>
      <c r="R644" t="s">
        <v>494</v>
      </c>
      <c r="S644">
        <v>1</v>
      </c>
      <c r="T644">
        <v>3753</v>
      </c>
      <c r="U644">
        <v>0</v>
      </c>
      <c r="V644">
        <v>3753</v>
      </c>
    </row>
    <row r="645" spans="1:22" x14ac:dyDescent="0.25">
      <c r="A645">
        <v>80147</v>
      </c>
      <c r="B645">
        <v>131589734</v>
      </c>
      <c r="C645" t="s">
        <v>3491</v>
      </c>
      <c r="D645" t="s">
        <v>3492</v>
      </c>
      <c r="E645" t="s">
        <v>3118</v>
      </c>
      <c r="F645" t="s">
        <v>847</v>
      </c>
      <c r="G645" t="s">
        <v>142</v>
      </c>
      <c r="H645" t="s">
        <v>143</v>
      </c>
      <c r="I645" t="s">
        <v>35</v>
      </c>
      <c r="J645" t="s">
        <v>144</v>
      </c>
      <c r="K645" t="s">
        <v>2</v>
      </c>
      <c r="L645" t="s">
        <v>3493</v>
      </c>
      <c r="M645" t="s">
        <v>3494</v>
      </c>
      <c r="N645" t="s">
        <v>850</v>
      </c>
      <c r="O645" t="s">
        <v>40</v>
      </c>
      <c r="P645" t="s">
        <v>3495</v>
      </c>
      <c r="Q645" t="s">
        <v>50</v>
      </c>
      <c r="R645" t="s">
        <v>494</v>
      </c>
      <c r="S645">
        <v>1</v>
      </c>
      <c r="T645">
        <v>3753</v>
      </c>
      <c r="U645">
        <v>0</v>
      </c>
      <c r="V645">
        <v>3753</v>
      </c>
    </row>
    <row r="646" spans="1:22" x14ac:dyDescent="0.25">
      <c r="A646">
        <v>80147</v>
      </c>
      <c r="B646">
        <v>131618381</v>
      </c>
      <c r="C646" t="s">
        <v>3496</v>
      </c>
      <c r="D646" t="s">
        <v>3497</v>
      </c>
      <c r="E646" t="s">
        <v>3118</v>
      </c>
      <c r="F646" t="s">
        <v>847</v>
      </c>
      <c r="G646" t="s">
        <v>142</v>
      </c>
      <c r="H646" t="s">
        <v>143</v>
      </c>
      <c r="I646" t="s">
        <v>35</v>
      </c>
      <c r="J646" t="s">
        <v>144</v>
      </c>
      <c r="K646" t="s">
        <v>2</v>
      </c>
      <c r="L646" t="s">
        <v>3498</v>
      </c>
      <c r="M646" t="s">
        <v>3499</v>
      </c>
      <c r="N646" t="s">
        <v>850</v>
      </c>
      <c r="O646" t="s">
        <v>40</v>
      </c>
      <c r="P646" t="s">
        <v>3500</v>
      </c>
      <c r="Q646" t="s">
        <v>52</v>
      </c>
      <c r="R646" t="s">
        <v>3251</v>
      </c>
      <c r="S646">
        <v>2.95</v>
      </c>
      <c r="T646">
        <v>3753</v>
      </c>
      <c r="U646">
        <v>0</v>
      </c>
      <c r="V646">
        <v>3753</v>
      </c>
    </row>
    <row r="647" spans="1:22" x14ac:dyDescent="0.25">
      <c r="A647">
        <v>80147</v>
      </c>
      <c r="B647">
        <v>131567356</v>
      </c>
      <c r="C647" t="s">
        <v>3501</v>
      </c>
      <c r="D647" t="s">
        <v>3502</v>
      </c>
      <c r="E647" t="s">
        <v>3118</v>
      </c>
      <c r="F647" t="s">
        <v>847</v>
      </c>
      <c r="G647" t="s">
        <v>142</v>
      </c>
      <c r="H647" t="s">
        <v>143</v>
      </c>
      <c r="I647" t="s">
        <v>35</v>
      </c>
      <c r="J647" t="s">
        <v>144</v>
      </c>
      <c r="K647" t="s">
        <v>2</v>
      </c>
      <c r="L647" t="s">
        <v>3503</v>
      </c>
      <c r="M647" t="s">
        <v>3504</v>
      </c>
      <c r="N647" t="s">
        <v>850</v>
      </c>
      <c r="O647" t="s">
        <v>40</v>
      </c>
      <c r="P647" t="s">
        <v>3505</v>
      </c>
      <c r="Q647" t="s">
        <v>50</v>
      </c>
      <c r="R647" t="s">
        <v>465</v>
      </c>
      <c r="S647">
        <v>1</v>
      </c>
      <c r="T647">
        <v>3753</v>
      </c>
      <c r="U647">
        <v>0</v>
      </c>
      <c r="V647">
        <v>3753</v>
      </c>
    </row>
    <row r="648" spans="1:22" x14ac:dyDescent="0.25">
      <c r="A648">
        <v>80147</v>
      </c>
      <c r="B648">
        <v>131555015</v>
      </c>
      <c r="C648" t="s">
        <v>3506</v>
      </c>
      <c r="D648" t="s">
        <v>3507</v>
      </c>
      <c r="E648" t="s">
        <v>3118</v>
      </c>
      <c r="F648" t="s">
        <v>847</v>
      </c>
      <c r="G648" t="s">
        <v>142</v>
      </c>
      <c r="H648" t="s">
        <v>143</v>
      </c>
      <c r="I648" t="s">
        <v>35</v>
      </c>
      <c r="J648" t="s">
        <v>144</v>
      </c>
      <c r="K648" t="s">
        <v>2</v>
      </c>
      <c r="L648" t="s">
        <v>3508</v>
      </c>
      <c r="M648" t="s">
        <v>3509</v>
      </c>
      <c r="N648" t="s">
        <v>850</v>
      </c>
      <c r="O648" t="s">
        <v>40</v>
      </c>
      <c r="P648" t="s">
        <v>3510</v>
      </c>
      <c r="Q648" t="s">
        <v>123</v>
      </c>
      <c r="R648" t="s">
        <v>323</v>
      </c>
      <c r="S648">
        <v>1</v>
      </c>
      <c r="T648">
        <v>7506</v>
      </c>
      <c r="U648">
        <v>0</v>
      </c>
      <c r="V648">
        <v>7506</v>
      </c>
    </row>
    <row r="649" spans="1:22" x14ac:dyDescent="0.25">
      <c r="A649">
        <v>80147</v>
      </c>
      <c r="B649">
        <v>131555013</v>
      </c>
      <c r="C649" t="s">
        <v>3511</v>
      </c>
      <c r="D649" t="s">
        <v>3512</v>
      </c>
      <c r="E649" t="s">
        <v>3118</v>
      </c>
      <c r="F649" t="s">
        <v>847</v>
      </c>
      <c r="G649" t="s">
        <v>142</v>
      </c>
      <c r="H649" t="s">
        <v>143</v>
      </c>
      <c r="I649" t="s">
        <v>35</v>
      </c>
      <c r="J649" t="s">
        <v>144</v>
      </c>
      <c r="K649" t="s">
        <v>2</v>
      </c>
      <c r="L649" t="s">
        <v>3513</v>
      </c>
      <c r="M649" t="s">
        <v>3514</v>
      </c>
      <c r="N649" t="s">
        <v>850</v>
      </c>
      <c r="O649" t="s">
        <v>40</v>
      </c>
      <c r="P649" t="s">
        <v>3515</v>
      </c>
      <c r="Q649" t="s">
        <v>50</v>
      </c>
      <c r="R649" t="s">
        <v>323</v>
      </c>
      <c r="S649">
        <v>0.9</v>
      </c>
      <c r="T649">
        <v>3753</v>
      </c>
      <c r="U649">
        <v>0</v>
      </c>
      <c r="V649">
        <v>3753</v>
      </c>
    </row>
    <row r="650" spans="1:22" x14ac:dyDescent="0.25">
      <c r="A650">
        <v>80147</v>
      </c>
      <c r="B650">
        <v>131529948</v>
      </c>
      <c r="C650" t="s">
        <v>3516</v>
      </c>
      <c r="D650" t="s">
        <v>3517</v>
      </c>
      <c r="E650" t="s">
        <v>3118</v>
      </c>
      <c r="F650" t="s">
        <v>847</v>
      </c>
      <c r="G650" t="s">
        <v>142</v>
      </c>
      <c r="H650" t="s">
        <v>143</v>
      </c>
      <c r="I650" t="s">
        <v>35</v>
      </c>
      <c r="J650" t="s">
        <v>144</v>
      </c>
      <c r="K650" t="s">
        <v>2</v>
      </c>
      <c r="L650" t="s">
        <v>3518</v>
      </c>
      <c r="M650" t="s">
        <v>3519</v>
      </c>
      <c r="N650" t="s">
        <v>850</v>
      </c>
      <c r="O650" t="s">
        <v>40</v>
      </c>
      <c r="P650" t="s">
        <v>3520</v>
      </c>
      <c r="Q650" t="s">
        <v>50</v>
      </c>
      <c r="R650" t="s">
        <v>577</v>
      </c>
      <c r="S650">
        <v>2.95</v>
      </c>
      <c r="T650">
        <v>3753</v>
      </c>
      <c r="U650">
        <v>0</v>
      </c>
      <c r="V650">
        <v>3753</v>
      </c>
    </row>
    <row r="651" spans="1:22" x14ac:dyDescent="0.25">
      <c r="A651">
        <v>80147</v>
      </c>
      <c r="B651">
        <v>131448743</v>
      </c>
      <c r="C651" t="s">
        <v>3521</v>
      </c>
      <c r="D651" t="s">
        <v>3522</v>
      </c>
      <c r="E651" t="s">
        <v>3118</v>
      </c>
      <c r="F651" t="s">
        <v>847</v>
      </c>
      <c r="G651" t="s">
        <v>142</v>
      </c>
      <c r="H651" t="s">
        <v>143</v>
      </c>
      <c r="I651" t="s">
        <v>35</v>
      </c>
      <c r="J651" t="s">
        <v>144</v>
      </c>
      <c r="K651" t="s">
        <v>2</v>
      </c>
      <c r="L651" t="s">
        <v>3523</v>
      </c>
      <c r="M651" t="s">
        <v>3524</v>
      </c>
      <c r="N651" t="s">
        <v>850</v>
      </c>
      <c r="O651" t="s">
        <v>40</v>
      </c>
      <c r="P651" t="s">
        <v>3525</v>
      </c>
      <c r="Q651" t="s">
        <v>52</v>
      </c>
      <c r="R651" t="s">
        <v>683</v>
      </c>
      <c r="S651">
        <v>1</v>
      </c>
      <c r="T651">
        <v>3753</v>
      </c>
      <c r="U651">
        <v>0</v>
      </c>
      <c r="V651">
        <v>3753</v>
      </c>
    </row>
    <row r="652" spans="1:22" x14ac:dyDescent="0.25">
      <c r="A652">
        <v>80147</v>
      </c>
      <c r="B652">
        <v>131448769</v>
      </c>
      <c r="C652" t="s">
        <v>3526</v>
      </c>
      <c r="D652" t="s">
        <v>3527</v>
      </c>
      <c r="E652" t="s">
        <v>3118</v>
      </c>
      <c r="F652" t="s">
        <v>847</v>
      </c>
      <c r="G652" t="s">
        <v>142</v>
      </c>
      <c r="H652" t="s">
        <v>143</v>
      </c>
      <c r="I652" t="s">
        <v>35</v>
      </c>
      <c r="J652" t="s">
        <v>144</v>
      </c>
      <c r="K652" t="s">
        <v>2</v>
      </c>
      <c r="L652" t="s">
        <v>3528</v>
      </c>
      <c r="M652" t="s">
        <v>3529</v>
      </c>
      <c r="N652" t="s">
        <v>850</v>
      </c>
      <c r="O652" t="s">
        <v>40</v>
      </c>
      <c r="P652" t="s">
        <v>3530</v>
      </c>
      <c r="Q652" t="s">
        <v>50</v>
      </c>
      <c r="R652" t="s">
        <v>683</v>
      </c>
      <c r="S652">
        <v>1</v>
      </c>
      <c r="T652">
        <v>3753</v>
      </c>
      <c r="U652">
        <v>0</v>
      </c>
      <c r="V652">
        <v>3753</v>
      </c>
    </row>
    <row r="653" spans="1:22" x14ac:dyDescent="0.25">
      <c r="A653">
        <v>80147</v>
      </c>
      <c r="B653">
        <v>131312055</v>
      </c>
      <c r="C653" t="s">
        <v>3531</v>
      </c>
      <c r="D653" t="s">
        <v>3532</v>
      </c>
      <c r="E653" t="s">
        <v>3118</v>
      </c>
      <c r="F653" t="s">
        <v>847</v>
      </c>
      <c r="G653" t="s">
        <v>142</v>
      </c>
      <c r="H653" t="s">
        <v>143</v>
      </c>
      <c r="I653" t="s">
        <v>35</v>
      </c>
      <c r="J653" t="s">
        <v>144</v>
      </c>
      <c r="K653" t="s">
        <v>2</v>
      </c>
      <c r="L653" t="s">
        <v>3533</v>
      </c>
      <c r="M653" t="s">
        <v>3534</v>
      </c>
      <c r="N653" t="s">
        <v>850</v>
      </c>
      <c r="O653" t="s">
        <v>40</v>
      </c>
      <c r="P653" t="s">
        <v>3535</v>
      </c>
      <c r="Q653" t="s">
        <v>58</v>
      </c>
      <c r="R653" t="s">
        <v>589</v>
      </c>
      <c r="S653">
        <v>2.95</v>
      </c>
      <c r="T653">
        <v>3753</v>
      </c>
      <c r="U653">
        <v>0</v>
      </c>
      <c r="V653">
        <v>3753</v>
      </c>
    </row>
    <row r="654" spans="1:22" x14ac:dyDescent="0.25">
      <c r="A654">
        <v>80147</v>
      </c>
      <c r="B654">
        <v>131312065</v>
      </c>
      <c r="C654" t="s">
        <v>3536</v>
      </c>
      <c r="D654" t="s">
        <v>3537</v>
      </c>
      <c r="E654" t="s">
        <v>3118</v>
      </c>
      <c r="F654" t="s">
        <v>847</v>
      </c>
      <c r="G654" t="s">
        <v>142</v>
      </c>
      <c r="H654" t="s">
        <v>143</v>
      </c>
      <c r="I654" t="s">
        <v>35</v>
      </c>
      <c r="J654" t="s">
        <v>144</v>
      </c>
      <c r="K654" t="s">
        <v>2</v>
      </c>
      <c r="L654" t="s">
        <v>3538</v>
      </c>
      <c r="M654" t="s">
        <v>3539</v>
      </c>
      <c r="N654" t="s">
        <v>850</v>
      </c>
      <c r="O654" t="s">
        <v>40</v>
      </c>
      <c r="P654" t="s">
        <v>3540</v>
      </c>
      <c r="Q654" t="s">
        <v>62</v>
      </c>
      <c r="R654" t="s">
        <v>589</v>
      </c>
      <c r="S654">
        <v>1</v>
      </c>
      <c r="T654">
        <v>3753</v>
      </c>
      <c r="U654">
        <v>0</v>
      </c>
      <c r="V654">
        <v>3753</v>
      </c>
    </row>
    <row r="655" spans="1:22" x14ac:dyDescent="0.25">
      <c r="A655">
        <v>80147</v>
      </c>
      <c r="B655">
        <v>131277394</v>
      </c>
      <c r="C655" t="s">
        <v>3541</v>
      </c>
      <c r="D655" t="s">
        <v>3542</v>
      </c>
      <c r="E655" t="s">
        <v>3118</v>
      </c>
      <c r="F655" t="s">
        <v>847</v>
      </c>
      <c r="G655" t="s">
        <v>142</v>
      </c>
      <c r="H655" t="s">
        <v>143</v>
      </c>
      <c r="I655" t="s">
        <v>35</v>
      </c>
      <c r="J655" t="s">
        <v>144</v>
      </c>
      <c r="K655" t="s">
        <v>2</v>
      </c>
      <c r="L655" t="s">
        <v>3543</v>
      </c>
      <c r="M655" t="s">
        <v>566</v>
      </c>
      <c r="N655" t="s">
        <v>850</v>
      </c>
      <c r="O655" t="s">
        <v>40</v>
      </c>
      <c r="P655" t="s">
        <v>3544</v>
      </c>
      <c r="Q655" t="s">
        <v>58</v>
      </c>
      <c r="R655" t="s">
        <v>735</v>
      </c>
      <c r="S655">
        <v>1</v>
      </c>
      <c r="T655">
        <v>4800</v>
      </c>
      <c r="U655">
        <v>0</v>
      </c>
      <c r="V655">
        <v>4800</v>
      </c>
    </row>
    <row r="656" spans="1:22" x14ac:dyDescent="0.25">
      <c r="A656">
        <v>80147</v>
      </c>
      <c r="B656">
        <v>132088249</v>
      </c>
      <c r="C656" t="s">
        <v>3545</v>
      </c>
      <c r="D656" t="s">
        <v>3546</v>
      </c>
      <c r="E656" t="s">
        <v>3118</v>
      </c>
      <c r="F656" t="s">
        <v>847</v>
      </c>
      <c r="G656" t="s">
        <v>142</v>
      </c>
      <c r="H656" t="s">
        <v>143</v>
      </c>
      <c r="I656" t="s">
        <v>35</v>
      </c>
      <c r="J656" t="s">
        <v>144</v>
      </c>
      <c r="K656" t="s">
        <v>2</v>
      </c>
      <c r="L656" t="s">
        <v>3547</v>
      </c>
      <c r="M656" t="s">
        <v>3548</v>
      </c>
      <c r="N656" t="s">
        <v>850</v>
      </c>
      <c r="O656" t="s">
        <v>40</v>
      </c>
      <c r="P656" t="s">
        <v>3549</v>
      </c>
      <c r="Q656" t="s">
        <v>154</v>
      </c>
      <c r="R656" t="s">
        <v>648</v>
      </c>
      <c r="S656">
        <v>1</v>
      </c>
      <c r="T656">
        <v>3784</v>
      </c>
      <c r="U656">
        <v>0</v>
      </c>
      <c r="V656">
        <v>3784</v>
      </c>
    </row>
    <row r="657" spans="1:22" x14ac:dyDescent="0.25">
      <c r="A657">
        <v>80147</v>
      </c>
      <c r="B657">
        <v>132088241</v>
      </c>
      <c r="C657" t="s">
        <v>3550</v>
      </c>
      <c r="D657" t="s">
        <v>3551</v>
      </c>
      <c r="E657" t="s">
        <v>3118</v>
      </c>
      <c r="F657" t="s">
        <v>847</v>
      </c>
      <c r="G657" t="s">
        <v>142</v>
      </c>
      <c r="H657" t="s">
        <v>143</v>
      </c>
      <c r="I657" t="s">
        <v>35</v>
      </c>
      <c r="J657" t="s">
        <v>144</v>
      </c>
      <c r="K657" t="s">
        <v>2</v>
      </c>
      <c r="L657" t="s">
        <v>3552</v>
      </c>
      <c r="M657" t="s">
        <v>3553</v>
      </c>
      <c r="N657" t="s">
        <v>850</v>
      </c>
      <c r="O657" t="s">
        <v>40</v>
      </c>
      <c r="P657" t="s">
        <v>3554</v>
      </c>
      <c r="Q657" t="s">
        <v>57</v>
      </c>
      <c r="R657" t="s">
        <v>648</v>
      </c>
      <c r="S657">
        <v>1</v>
      </c>
      <c r="T657">
        <v>3784</v>
      </c>
      <c r="U657">
        <v>0</v>
      </c>
      <c r="V657">
        <v>3784</v>
      </c>
    </row>
    <row r="658" spans="1:22" x14ac:dyDescent="0.25">
      <c r="A658">
        <v>80147</v>
      </c>
      <c r="B658">
        <v>132022369</v>
      </c>
      <c r="C658" t="s">
        <v>3555</v>
      </c>
      <c r="D658" t="s">
        <v>3556</v>
      </c>
      <c r="E658" t="s">
        <v>3118</v>
      </c>
      <c r="F658" t="s">
        <v>847</v>
      </c>
      <c r="G658" t="s">
        <v>142</v>
      </c>
      <c r="H658" t="s">
        <v>143</v>
      </c>
      <c r="I658" t="s">
        <v>35</v>
      </c>
      <c r="J658" t="s">
        <v>144</v>
      </c>
      <c r="K658" t="s">
        <v>2</v>
      </c>
      <c r="L658" t="s">
        <v>3557</v>
      </c>
      <c r="M658" t="s">
        <v>435</v>
      </c>
      <c r="N658" t="s">
        <v>850</v>
      </c>
      <c r="O658" t="s">
        <v>40</v>
      </c>
      <c r="P658" t="s">
        <v>3558</v>
      </c>
      <c r="Q658" t="s">
        <v>64</v>
      </c>
      <c r="R658" t="s">
        <v>3188</v>
      </c>
      <c r="S658">
        <v>1</v>
      </c>
      <c r="T658">
        <v>3784</v>
      </c>
      <c r="U658">
        <v>0</v>
      </c>
      <c r="V658">
        <v>3784</v>
      </c>
    </row>
    <row r="659" spans="1:22" x14ac:dyDescent="0.25">
      <c r="A659">
        <v>80147</v>
      </c>
      <c r="B659">
        <v>131922200</v>
      </c>
      <c r="C659" t="s">
        <v>3559</v>
      </c>
      <c r="D659" t="s">
        <v>3560</v>
      </c>
      <c r="E659" t="s">
        <v>3118</v>
      </c>
      <c r="F659" t="s">
        <v>847</v>
      </c>
      <c r="G659" t="s">
        <v>142</v>
      </c>
      <c r="H659" t="s">
        <v>143</v>
      </c>
      <c r="I659" t="s">
        <v>35</v>
      </c>
      <c r="J659" t="s">
        <v>144</v>
      </c>
      <c r="K659" t="s">
        <v>2</v>
      </c>
      <c r="L659" t="s">
        <v>3561</v>
      </c>
      <c r="M659" t="s">
        <v>3562</v>
      </c>
      <c r="N659" t="s">
        <v>850</v>
      </c>
      <c r="O659" t="s">
        <v>40</v>
      </c>
      <c r="P659" t="s">
        <v>3563</v>
      </c>
      <c r="Q659" t="s">
        <v>51</v>
      </c>
      <c r="R659" t="s">
        <v>887</v>
      </c>
      <c r="S659">
        <v>1</v>
      </c>
      <c r="T659">
        <v>3784</v>
      </c>
      <c r="U659">
        <v>0</v>
      </c>
      <c r="V659">
        <v>3784</v>
      </c>
    </row>
    <row r="660" spans="1:22" x14ac:dyDescent="0.25">
      <c r="A660">
        <v>80147</v>
      </c>
      <c r="B660">
        <v>131774027</v>
      </c>
      <c r="C660" t="s">
        <v>3564</v>
      </c>
      <c r="D660" t="s">
        <v>3565</v>
      </c>
      <c r="E660" t="s">
        <v>3118</v>
      </c>
      <c r="F660" t="s">
        <v>847</v>
      </c>
      <c r="G660" t="s">
        <v>142</v>
      </c>
      <c r="H660" t="s">
        <v>143</v>
      </c>
      <c r="I660" t="s">
        <v>35</v>
      </c>
      <c r="J660" t="s">
        <v>144</v>
      </c>
      <c r="K660" t="s">
        <v>2</v>
      </c>
      <c r="L660" t="s">
        <v>3566</v>
      </c>
      <c r="M660" t="s">
        <v>3567</v>
      </c>
      <c r="N660" t="s">
        <v>850</v>
      </c>
      <c r="O660" t="s">
        <v>40</v>
      </c>
      <c r="P660" t="s">
        <v>3568</v>
      </c>
      <c r="Q660" t="s">
        <v>201</v>
      </c>
      <c r="R660" t="s">
        <v>3240</v>
      </c>
      <c r="S660">
        <v>1</v>
      </c>
      <c r="T660">
        <v>3784</v>
      </c>
      <c r="U660">
        <v>0</v>
      </c>
      <c r="V660">
        <v>3784</v>
      </c>
    </row>
    <row r="661" spans="1:22" x14ac:dyDescent="0.25">
      <c r="A661">
        <v>80147</v>
      </c>
      <c r="B661">
        <v>131819770</v>
      </c>
      <c r="C661" t="s">
        <v>3569</v>
      </c>
      <c r="D661" t="s">
        <v>3570</v>
      </c>
      <c r="E661" t="s">
        <v>3118</v>
      </c>
      <c r="F661" t="s">
        <v>847</v>
      </c>
      <c r="G661" t="s">
        <v>142</v>
      </c>
      <c r="H661" t="s">
        <v>143</v>
      </c>
      <c r="I661" t="s">
        <v>35</v>
      </c>
      <c r="J661" t="s">
        <v>144</v>
      </c>
      <c r="K661" t="s">
        <v>2</v>
      </c>
      <c r="L661" t="s">
        <v>3571</v>
      </c>
      <c r="M661" t="s">
        <v>804</v>
      </c>
      <c r="N661" t="s">
        <v>850</v>
      </c>
      <c r="O661" t="s">
        <v>40</v>
      </c>
      <c r="P661" t="s">
        <v>3572</v>
      </c>
      <c r="Q661" t="s">
        <v>64</v>
      </c>
      <c r="R661" t="s">
        <v>499</v>
      </c>
      <c r="S661">
        <v>1</v>
      </c>
      <c r="T661">
        <v>3784</v>
      </c>
      <c r="U661">
        <v>0</v>
      </c>
      <c r="V661">
        <v>3784</v>
      </c>
    </row>
    <row r="662" spans="1:22" x14ac:dyDescent="0.25">
      <c r="A662">
        <v>80147</v>
      </c>
      <c r="B662">
        <v>131705226</v>
      </c>
      <c r="C662" t="s">
        <v>3573</v>
      </c>
      <c r="D662" t="s">
        <v>3574</v>
      </c>
      <c r="E662" t="s">
        <v>3118</v>
      </c>
      <c r="F662" t="s">
        <v>847</v>
      </c>
      <c r="G662" t="s">
        <v>142</v>
      </c>
      <c r="H662" t="s">
        <v>143</v>
      </c>
      <c r="I662" t="s">
        <v>35</v>
      </c>
      <c r="J662" t="s">
        <v>144</v>
      </c>
      <c r="K662" t="s">
        <v>2</v>
      </c>
      <c r="L662" t="s">
        <v>3575</v>
      </c>
      <c r="M662" t="s">
        <v>3576</v>
      </c>
      <c r="N662" t="s">
        <v>850</v>
      </c>
      <c r="O662" t="s">
        <v>40</v>
      </c>
      <c r="P662" t="s">
        <v>3577</v>
      </c>
      <c r="Q662" t="s">
        <v>51</v>
      </c>
      <c r="R662" t="s">
        <v>297</v>
      </c>
      <c r="S662">
        <v>1</v>
      </c>
      <c r="T662">
        <v>3784</v>
      </c>
      <c r="U662">
        <v>0</v>
      </c>
      <c r="V662">
        <v>3784</v>
      </c>
    </row>
    <row r="663" spans="1:22" x14ac:dyDescent="0.25">
      <c r="A663">
        <v>80147</v>
      </c>
      <c r="B663">
        <v>131662629</v>
      </c>
      <c r="C663" t="s">
        <v>3578</v>
      </c>
      <c r="D663" t="s">
        <v>3579</v>
      </c>
      <c r="E663" t="s">
        <v>3118</v>
      </c>
      <c r="F663" t="s">
        <v>847</v>
      </c>
      <c r="G663" t="s">
        <v>142</v>
      </c>
      <c r="H663" t="s">
        <v>143</v>
      </c>
      <c r="I663" t="s">
        <v>35</v>
      </c>
      <c r="J663" t="s">
        <v>144</v>
      </c>
      <c r="K663" t="s">
        <v>2</v>
      </c>
      <c r="L663" t="s">
        <v>3580</v>
      </c>
      <c r="M663" t="s">
        <v>3581</v>
      </c>
      <c r="N663" t="s">
        <v>850</v>
      </c>
      <c r="O663" t="s">
        <v>40</v>
      </c>
      <c r="P663" t="s">
        <v>3582</v>
      </c>
      <c r="Q663" t="s">
        <v>51</v>
      </c>
      <c r="R663" t="s">
        <v>1242</v>
      </c>
      <c r="S663">
        <v>1</v>
      </c>
      <c r="T663">
        <v>3784</v>
      </c>
      <c r="U663">
        <v>0</v>
      </c>
      <c r="V663">
        <v>3784</v>
      </c>
    </row>
    <row r="664" spans="1:22" x14ac:dyDescent="0.25">
      <c r="A664">
        <v>80147</v>
      </c>
      <c r="B664">
        <v>131618386</v>
      </c>
      <c r="C664" t="s">
        <v>3583</v>
      </c>
      <c r="D664" t="s">
        <v>3584</v>
      </c>
      <c r="E664" t="s">
        <v>3118</v>
      </c>
      <c r="F664" t="s">
        <v>847</v>
      </c>
      <c r="G664" t="s">
        <v>142</v>
      </c>
      <c r="H664" t="s">
        <v>143</v>
      </c>
      <c r="I664" t="s">
        <v>35</v>
      </c>
      <c r="J664" t="s">
        <v>144</v>
      </c>
      <c r="K664" t="s">
        <v>2</v>
      </c>
      <c r="L664" t="s">
        <v>3585</v>
      </c>
      <c r="M664" t="s">
        <v>3586</v>
      </c>
      <c r="N664" t="s">
        <v>850</v>
      </c>
      <c r="O664" t="s">
        <v>40</v>
      </c>
      <c r="P664" t="s">
        <v>3587</v>
      </c>
      <c r="Q664" t="s">
        <v>64</v>
      </c>
      <c r="R664" t="s">
        <v>3251</v>
      </c>
      <c r="S664">
        <v>1</v>
      </c>
      <c r="T664">
        <v>3784</v>
      </c>
      <c r="U664">
        <v>0</v>
      </c>
      <c r="V664">
        <v>3784</v>
      </c>
    </row>
    <row r="665" spans="1:22" x14ac:dyDescent="0.25">
      <c r="A665">
        <v>80147</v>
      </c>
      <c r="B665">
        <v>131618385</v>
      </c>
      <c r="C665" t="s">
        <v>3588</v>
      </c>
      <c r="D665" t="s">
        <v>3589</v>
      </c>
      <c r="E665" t="s">
        <v>3118</v>
      </c>
      <c r="F665" t="s">
        <v>847</v>
      </c>
      <c r="G665" t="s">
        <v>142</v>
      </c>
      <c r="H665" t="s">
        <v>143</v>
      </c>
      <c r="I665" t="s">
        <v>35</v>
      </c>
      <c r="J665" t="s">
        <v>144</v>
      </c>
      <c r="K665" t="s">
        <v>2</v>
      </c>
      <c r="L665" t="s">
        <v>3590</v>
      </c>
      <c r="M665" t="s">
        <v>3591</v>
      </c>
      <c r="N665" t="s">
        <v>850</v>
      </c>
      <c r="O665" t="s">
        <v>40</v>
      </c>
      <c r="P665" t="s">
        <v>3592</v>
      </c>
      <c r="Q665" t="s">
        <v>57</v>
      </c>
      <c r="R665" t="s">
        <v>3251</v>
      </c>
      <c r="S665">
        <v>1</v>
      </c>
      <c r="T665">
        <v>3784</v>
      </c>
      <c r="U665">
        <v>0</v>
      </c>
      <c r="V665">
        <v>3784</v>
      </c>
    </row>
    <row r="666" spans="1:22" x14ac:dyDescent="0.25">
      <c r="A666">
        <v>80147</v>
      </c>
      <c r="B666">
        <v>131618387</v>
      </c>
      <c r="C666" t="s">
        <v>3593</v>
      </c>
      <c r="D666" t="s">
        <v>3594</v>
      </c>
      <c r="E666" t="s">
        <v>3118</v>
      </c>
      <c r="F666" t="s">
        <v>847</v>
      </c>
      <c r="G666" t="s">
        <v>142</v>
      </c>
      <c r="H666" t="s">
        <v>143</v>
      </c>
      <c r="I666" t="s">
        <v>35</v>
      </c>
      <c r="J666" t="s">
        <v>144</v>
      </c>
      <c r="K666" t="s">
        <v>2</v>
      </c>
      <c r="L666" t="s">
        <v>3595</v>
      </c>
      <c r="M666" t="s">
        <v>317</v>
      </c>
      <c r="N666" t="s">
        <v>850</v>
      </c>
      <c r="O666" t="s">
        <v>40</v>
      </c>
      <c r="P666" t="s">
        <v>3596</v>
      </c>
      <c r="Q666" t="s">
        <v>64</v>
      </c>
      <c r="R666" t="s">
        <v>3251</v>
      </c>
      <c r="S666">
        <v>1</v>
      </c>
      <c r="T666">
        <v>3784</v>
      </c>
      <c r="U666">
        <v>0</v>
      </c>
      <c r="V666">
        <v>3784</v>
      </c>
    </row>
    <row r="667" spans="1:22" x14ac:dyDescent="0.25">
      <c r="A667">
        <v>80147</v>
      </c>
      <c r="B667">
        <v>131489616</v>
      </c>
      <c r="C667" t="s">
        <v>3597</v>
      </c>
      <c r="D667" t="s">
        <v>3598</v>
      </c>
      <c r="E667" t="s">
        <v>3118</v>
      </c>
      <c r="F667" t="s">
        <v>847</v>
      </c>
      <c r="G667" t="s">
        <v>142</v>
      </c>
      <c r="H667" t="s">
        <v>143</v>
      </c>
      <c r="I667" t="s">
        <v>35</v>
      </c>
      <c r="J667" t="s">
        <v>144</v>
      </c>
      <c r="K667" t="s">
        <v>2</v>
      </c>
      <c r="L667" t="s">
        <v>3599</v>
      </c>
      <c r="M667" t="s">
        <v>3600</v>
      </c>
      <c r="N667" t="s">
        <v>850</v>
      </c>
      <c r="O667" t="s">
        <v>40</v>
      </c>
      <c r="P667" t="s">
        <v>3601</v>
      </c>
      <c r="Q667" t="s">
        <v>51</v>
      </c>
      <c r="R667" t="s">
        <v>304</v>
      </c>
      <c r="S667">
        <v>1</v>
      </c>
      <c r="T667">
        <v>3784</v>
      </c>
      <c r="U667">
        <v>0</v>
      </c>
      <c r="V667">
        <v>3784</v>
      </c>
    </row>
    <row r="668" spans="1:22" x14ac:dyDescent="0.25">
      <c r="A668">
        <v>80147</v>
      </c>
      <c r="B668">
        <v>131383585</v>
      </c>
      <c r="C668" t="s">
        <v>3602</v>
      </c>
      <c r="D668" t="s">
        <v>3603</v>
      </c>
      <c r="E668" t="s">
        <v>3118</v>
      </c>
      <c r="F668" t="s">
        <v>847</v>
      </c>
      <c r="G668" t="s">
        <v>142</v>
      </c>
      <c r="H668" t="s">
        <v>143</v>
      </c>
      <c r="I668" t="s">
        <v>35</v>
      </c>
      <c r="J668" t="s">
        <v>144</v>
      </c>
      <c r="K668" t="s">
        <v>2</v>
      </c>
      <c r="L668" t="s">
        <v>3604</v>
      </c>
      <c r="M668" t="s">
        <v>3605</v>
      </c>
      <c r="N668" t="s">
        <v>850</v>
      </c>
      <c r="O668" t="s">
        <v>40</v>
      </c>
      <c r="P668" t="s">
        <v>3606</v>
      </c>
      <c r="Q668" t="s">
        <v>64</v>
      </c>
      <c r="R668" t="s">
        <v>3300</v>
      </c>
      <c r="S668">
        <v>1</v>
      </c>
      <c r="T668">
        <v>3784</v>
      </c>
      <c r="U668">
        <v>0</v>
      </c>
      <c r="V668">
        <v>3784</v>
      </c>
    </row>
    <row r="669" spans="1:22" x14ac:dyDescent="0.25">
      <c r="A669">
        <v>80147</v>
      </c>
      <c r="B669">
        <v>131339967</v>
      </c>
      <c r="C669" t="s">
        <v>3607</v>
      </c>
      <c r="D669" t="s">
        <v>3608</v>
      </c>
      <c r="E669" t="s">
        <v>3118</v>
      </c>
      <c r="F669" t="s">
        <v>847</v>
      </c>
      <c r="G669" t="s">
        <v>142</v>
      </c>
      <c r="H669" t="s">
        <v>143</v>
      </c>
      <c r="I669" t="s">
        <v>35</v>
      </c>
      <c r="J669" t="s">
        <v>144</v>
      </c>
      <c r="K669" t="s">
        <v>2</v>
      </c>
      <c r="L669" t="s">
        <v>3609</v>
      </c>
      <c r="M669" t="s">
        <v>3610</v>
      </c>
      <c r="N669" t="s">
        <v>850</v>
      </c>
      <c r="O669" t="s">
        <v>40</v>
      </c>
      <c r="P669" t="s">
        <v>3611</v>
      </c>
      <c r="Q669" t="s">
        <v>51</v>
      </c>
      <c r="R669" t="s">
        <v>3381</v>
      </c>
      <c r="S669">
        <v>1</v>
      </c>
      <c r="T669">
        <v>3784</v>
      </c>
      <c r="U669">
        <v>0</v>
      </c>
      <c r="V669">
        <v>3784</v>
      </c>
    </row>
    <row r="670" spans="1:22" x14ac:dyDescent="0.25">
      <c r="A670">
        <v>80147</v>
      </c>
      <c r="B670">
        <v>131268060</v>
      </c>
      <c r="C670" t="s">
        <v>3612</v>
      </c>
      <c r="D670" t="s">
        <v>3613</v>
      </c>
      <c r="E670" t="s">
        <v>3118</v>
      </c>
      <c r="F670" t="s">
        <v>847</v>
      </c>
      <c r="G670" t="s">
        <v>142</v>
      </c>
      <c r="H670" t="s">
        <v>143</v>
      </c>
      <c r="I670" t="s">
        <v>35</v>
      </c>
      <c r="J670" t="s">
        <v>144</v>
      </c>
      <c r="K670" t="s">
        <v>2</v>
      </c>
      <c r="L670" t="s">
        <v>3614</v>
      </c>
      <c r="M670" t="s">
        <v>790</v>
      </c>
      <c r="N670" t="s">
        <v>850</v>
      </c>
      <c r="O670" t="s">
        <v>40</v>
      </c>
      <c r="P670" t="s">
        <v>3615</v>
      </c>
      <c r="Q670" t="s">
        <v>154</v>
      </c>
      <c r="R670" t="s">
        <v>299</v>
      </c>
      <c r="S670">
        <v>1</v>
      </c>
      <c r="T670">
        <v>5113</v>
      </c>
      <c r="U670">
        <v>0</v>
      </c>
      <c r="V670">
        <v>5113</v>
      </c>
    </row>
    <row r="671" spans="1:22" x14ac:dyDescent="0.25">
      <c r="A671">
        <v>80147</v>
      </c>
      <c r="B671">
        <v>131819763</v>
      </c>
      <c r="C671" t="s">
        <v>3616</v>
      </c>
      <c r="D671" t="s">
        <v>3617</v>
      </c>
      <c r="E671" t="s">
        <v>3118</v>
      </c>
      <c r="F671" t="s">
        <v>847</v>
      </c>
      <c r="G671" t="s">
        <v>142</v>
      </c>
      <c r="H671" t="s">
        <v>143</v>
      </c>
      <c r="I671" t="s">
        <v>35</v>
      </c>
      <c r="J671" t="s">
        <v>144</v>
      </c>
      <c r="K671" t="s">
        <v>2</v>
      </c>
      <c r="L671" t="s">
        <v>3618</v>
      </c>
      <c r="M671" t="s">
        <v>3619</v>
      </c>
      <c r="N671" t="s">
        <v>850</v>
      </c>
      <c r="O671" t="s">
        <v>40</v>
      </c>
      <c r="P671" t="s">
        <v>3620</v>
      </c>
      <c r="Q671" t="s">
        <v>129</v>
      </c>
      <c r="R671" t="s">
        <v>499</v>
      </c>
      <c r="S671">
        <v>3</v>
      </c>
      <c r="T671">
        <v>3870</v>
      </c>
      <c r="U671">
        <v>0</v>
      </c>
      <c r="V671">
        <v>3870</v>
      </c>
    </row>
    <row r="672" spans="1:22" x14ac:dyDescent="0.25">
      <c r="A672">
        <v>80147</v>
      </c>
      <c r="B672">
        <v>131339969</v>
      </c>
      <c r="C672" t="s">
        <v>3621</v>
      </c>
      <c r="D672" t="s">
        <v>3622</v>
      </c>
      <c r="E672" t="s">
        <v>3118</v>
      </c>
      <c r="F672" t="s">
        <v>847</v>
      </c>
      <c r="G672" t="s">
        <v>142</v>
      </c>
      <c r="H672" t="s">
        <v>143</v>
      </c>
      <c r="I672" t="s">
        <v>35</v>
      </c>
      <c r="J672" t="s">
        <v>144</v>
      </c>
      <c r="K672" t="s">
        <v>2</v>
      </c>
      <c r="L672" t="s">
        <v>3623</v>
      </c>
      <c r="M672" t="s">
        <v>3624</v>
      </c>
      <c r="N672" t="s">
        <v>850</v>
      </c>
      <c r="O672" t="s">
        <v>40</v>
      </c>
      <c r="P672" t="s">
        <v>3625</v>
      </c>
      <c r="Q672" t="s">
        <v>129</v>
      </c>
      <c r="R672" t="s">
        <v>3381</v>
      </c>
      <c r="S672">
        <v>1</v>
      </c>
      <c r="T672">
        <v>3870</v>
      </c>
      <c r="U672">
        <v>0</v>
      </c>
      <c r="V672">
        <v>3870</v>
      </c>
    </row>
    <row r="673" spans="1:22" x14ac:dyDescent="0.25">
      <c r="A673">
        <v>80147</v>
      </c>
      <c r="B673">
        <v>132088257</v>
      </c>
      <c r="C673" t="s">
        <v>3626</v>
      </c>
      <c r="D673" t="s">
        <v>3627</v>
      </c>
      <c r="E673" t="s">
        <v>3118</v>
      </c>
      <c r="F673" t="s">
        <v>847</v>
      </c>
      <c r="G673" t="s">
        <v>142</v>
      </c>
      <c r="H673" t="s">
        <v>143</v>
      </c>
      <c r="I673" t="s">
        <v>35</v>
      </c>
      <c r="J673" t="s">
        <v>144</v>
      </c>
      <c r="K673" t="s">
        <v>2</v>
      </c>
      <c r="L673" t="s">
        <v>3628</v>
      </c>
      <c r="M673" t="s">
        <v>813</v>
      </c>
      <c r="N673" t="s">
        <v>850</v>
      </c>
      <c r="O673" t="s">
        <v>40</v>
      </c>
      <c r="P673" t="s">
        <v>3629</v>
      </c>
      <c r="Q673" t="s">
        <v>56</v>
      </c>
      <c r="R673" t="s">
        <v>648</v>
      </c>
      <c r="S673">
        <v>1</v>
      </c>
      <c r="T673">
        <v>4067</v>
      </c>
      <c r="U673">
        <v>0</v>
      </c>
      <c r="V673">
        <v>4067</v>
      </c>
    </row>
    <row r="674" spans="1:22" x14ac:dyDescent="0.25">
      <c r="A674">
        <v>80147</v>
      </c>
      <c r="B674">
        <v>132022374</v>
      </c>
      <c r="C674" t="s">
        <v>3630</v>
      </c>
      <c r="D674" t="s">
        <v>3631</v>
      </c>
      <c r="E674" t="s">
        <v>3118</v>
      </c>
      <c r="F674" t="s">
        <v>847</v>
      </c>
      <c r="G674" t="s">
        <v>142</v>
      </c>
      <c r="H674" t="s">
        <v>143</v>
      </c>
      <c r="I674" t="s">
        <v>35</v>
      </c>
      <c r="J674" t="s">
        <v>144</v>
      </c>
      <c r="K674" t="s">
        <v>2</v>
      </c>
      <c r="L674" t="s">
        <v>3632</v>
      </c>
      <c r="M674" t="s">
        <v>3633</v>
      </c>
      <c r="N674" t="s">
        <v>850</v>
      </c>
      <c r="O674" t="s">
        <v>40</v>
      </c>
      <c r="P674" t="s">
        <v>3634</v>
      </c>
      <c r="Q674" t="s">
        <v>82</v>
      </c>
      <c r="R674" t="s">
        <v>3188</v>
      </c>
      <c r="S674">
        <v>1</v>
      </c>
      <c r="T674">
        <v>4067</v>
      </c>
      <c r="U674">
        <v>0</v>
      </c>
      <c r="V674">
        <v>4067</v>
      </c>
    </row>
    <row r="675" spans="1:22" x14ac:dyDescent="0.25">
      <c r="A675">
        <v>80147</v>
      </c>
      <c r="B675">
        <v>132083092</v>
      </c>
      <c r="C675" t="s">
        <v>3635</v>
      </c>
      <c r="D675" t="s">
        <v>3636</v>
      </c>
      <c r="E675" t="s">
        <v>3118</v>
      </c>
      <c r="F675" t="s">
        <v>847</v>
      </c>
      <c r="G675" t="s">
        <v>142</v>
      </c>
      <c r="H675" t="s">
        <v>143</v>
      </c>
      <c r="I675" t="s">
        <v>35</v>
      </c>
      <c r="J675" t="s">
        <v>144</v>
      </c>
      <c r="K675" t="s">
        <v>2</v>
      </c>
      <c r="L675" t="s">
        <v>3637</v>
      </c>
      <c r="M675" t="s">
        <v>3638</v>
      </c>
      <c r="N675" t="s">
        <v>3639</v>
      </c>
      <c r="O675" t="s">
        <v>71</v>
      </c>
      <c r="P675" t="s">
        <v>3640</v>
      </c>
      <c r="Q675" t="s">
        <v>85</v>
      </c>
      <c r="R675" t="s">
        <v>276</v>
      </c>
      <c r="S675">
        <v>1</v>
      </c>
      <c r="T675">
        <v>4067</v>
      </c>
      <c r="U675">
        <v>0</v>
      </c>
      <c r="V675">
        <v>4067</v>
      </c>
    </row>
    <row r="676" spans="1:22" x14ac:dyDescent="0.25">
      <c r="A676">
        <v>80147</v>
      </c>
      <c r="B676">
        <v>131922201</v>
      </c>
      <c r="C676" t="s">
        <v>3641</v>
      </c>
      <c r="D676" t="s">
        <v>3642</v>
      </c>
      <c r="E676" t="s">
        <v>3118</v>
      </c>
      <c r="F676" t="s">
        <v>847</v>
      </c>
      <c r="G676" t="s">
        <v>142</v>
      </c>
      <c r="H676" t="s">
        <v>143</v>
      </c>
      <c r="I676" t="s">
        <v>35</v>
      </c>
      <c r="J676" t="s">
        <v>144</v>
      </c>
      <c r="K676" t="s">
        <v>2</v>
      </c>
      <c r="L676" t="s">
        <v>3643</v>
      </c>
      <c r="M676" t="s">
        <v>3644</v>
      </c>
      <c r="N676" t="s">
        <v>850</v>
      </c>
      <c r="O676" t="s">
        <v>40</v>
      </c>
      <c r="P676" t="s">
        <v>3645</v>
      </c>
      <c r="Q676" t="s">
        <v>82</v>
      </c>
      <c r="R676" t="s">
        <v>887</v>
      </c>
      <c r="S676">
        <v>1</v>
      </c>
      <c r="T676">
        <v>4067</v>
      </c>
      <c r="U676">
        <v>0</v>
      </c>
      <c r="V676">
        <v>4067</v>
      </c>
    </row>
    <row r="677" spans="1:22" x14ac:dyDescent="0.25">
      <c r="A677">
        <v>80147</v>
      </c>
      <c r="B677">
        <v>131922199</v>
      </c>
      <c r="C677" t="s">
        <v>3646</v>
      </c>
      <c r="D677" t="s">
        <v>3647</v>
      </c>
      <c r="E677" t="s">
        <v>3118</v>
      </c>
      <c r="F677" t="s">
        <v>847</v>
      </c>
      <c r="G677" t="s">
        <v>142</v>
      </c>
      <c r="H677" t="s">
        <v>143</v>
      </c>
      <c r="I677" t="s">
        <v>35</v>
      </c>
      <c r="J677" t="s">
        <v>144</v>
      </c>
      <c r="K677" t="s">
        <v>2</v>
      </c>
      <c r="L677" t="s">
        <v>3648</v>
      </c>
      <c r="M677" t="s">
        <v>3649</v>
      </c>
      <c r="N677" t="s">
        <v>850</v>
      </c>
      <c r="O677" t="s">
        <v>40</v>
      </c>
      <c r="P677" t="s">
        <v>3650</v>
      </c>
      <c r="Q677" t="s">
        <v>82</v>
      </c>
      <c r="R677" t="s">
        <v>887</v>
      </c>
      <c r="S677">
        <v>1</v>
      </c>
      <c r="T677">
        <v>4067</v>
      </c>
      <c r="U677">
        <v>0</v>
      </c>
      <c r="V677">
        <v>4067</v>
      </c>
    </row>
    <row r="678" spans="1:22" x14ac:dyDescent="0.25">
      <c r="A678">
        <v>80147</v>
      </c>
      <c r="B678">
        <v>131589724</v>
      </c>
      <c r="C678" t="s">
        <v>3651</v>
      </c>
      <c r="D678" t="s">
        <v>3652</v>
      </c>
      <c r="E678" t="s">
        <v>3118</v>
      </c>
      <c r="F678" t="s">
        <v>847</v>
      </c>
      <c r="G678" t="s">
        <v>142</v>
      </c>
      <c r="H678" t="s">
        <v>143</v>
      </c>
      <c r="I678" t="s">
        <v>35</v>
      </c>
      <c r="J678" t="s">
        <v>144</v>
      </c>
      <c r="K678" t="s">
        <v>2</v>
      </c>
      <c r="L678" t="s">
        <v>3653</v>
      </c>
      <c r="M678" t="s">
        <v>173</v>
      </c>
      <c r="N678" t="s">
        <v>850</v>
      </c>
      <c r="O678" t="s">
        <v>40</v>
      </c>
      <c r="P678" t="s">
        <v>3654</v>
      </c>
      <c r="Q678" t="s">
        <v>56</v>
      </c>
      <c r="R678" t="s">
        <v>494</v>
      </c>
      <c r="S678">
        <v>2.95</v>
      </c>
      <c r="T678">
        <v>4067</v>
      </c>
      <c r="U678">
        <v>0</v>
      </c>
      <c r="V678">
        <v>4067</v>
      </c>
    </row>
    <row r="679" spans="1:22" x14ac:dyDescent="0.25">
      <c r="A679">
        <v>80147</v>
      </c>
      <c r="B679">
        <v>131897811</v>
      </c>
      <c r="C679" t="s">
        <v>3655</v>
      </c>
      <c r="D679" t="s">
        <v>3656</v>
      </c>
      <c r="E679" t="s">
        <v>3118</v>
      </c>
      <c r="F679" t="s">
        <v>847</v>
      </c>
      <c r="G679" t="s">
        <v>142</v>
      </c>
      <c r="H679" t="s">
        <v>143</v>
      </c>
      <c r="I679" t="s">
        <v>35</v>
      </c>
      <c r="J679" t="s">
        <v>144</v>
      </c>
      <c r="K679" t="s">
        <v>2</v>
      </c>
      <c r="L679" t="s">
        <v>3657</v>
      </c>
      <c r="M679" t="s">
        <v>3658</v>
      </c>
      <c r="N679" t="s">
        <v>850</v>
      </c>
      <c r="O679" t="s">
        <v>40</v>
      </c>
      <c r="P679" t="s">
        <v>3659</v>
      </c>
      <c r="Q679" t="s">
        <v>112</v>
      </c>
      <c r="R679" t="s">
        <v>428</v>
      </c>
      <c r="S679">
        <v>2.95</v>
      </c>
      <c r="T679">
        <v>4067</v>
      </c>
      <c r="U679">
        <v>0</v>
      </c>
      <c r="V679">
        <v>4067</v>
      </c>
    </row>
    <row r="680" spans="1:22" x14ac:dyDescent="0.25">
      <c r="A680">
        <v>80147</v>
      </c>
      <c r="B680">
        <v>131056286</v>
      </c>
      <c r="C680" t="s">
        <v>3660</v>
      </c>
      <c r="D680" t="s">
        <v>3661</v>
      </c>
      <c r="E680" t="s">
        <v>3118</v>
      </c>
      <c r="F680" t="s">
        <v>847</v>
      </c>
      <c r="G680" t="s">
        <v>156</v>
      </c>
      <c r="H680" t="s">
        <v>157</v>
      </c>
      <c r="I680" t="s">
        <v>35</v>
      </c>
      <c r="J680" t="s">
        <v>166</v>
      </c>
      <c r="K680" t="s">
        <v>2</v>
      </c>
      <c r="L680" t="s">
        <v>158</v>
      </c>
      <c r="M680" t="s">
        <v>3662</v>
      </c>
      <c r="N680" t="s">
        <v>850</v>
      </c>
      <c r="O680" t="s">
        <v>40</v>
      </c>
      <c r="P680" t="s">
        <v>3663</v>
      </c>
      <c r="Q680" t="s">
        <v>145</v>
      </c>
      <c r="R680" t="s">
        <v>3664</v>
      </c>
      <c r="S680">
        <v>11.66</v>
      </c>
      <c r="T680">
        <v>5714</v>
      </c>
      <c r="U680">
        <v>0</v>
      </c>
      <c r="V680">
        <v>5714</v>
      </c>
    </row>
    <row r="681" spans="1:22" x14ac:dyDescent="0.25">
      <c r="A681">
        <v>80147</v>
      </c>
      <c r="B681">
        <v>131780121</v>
      </c>
      <c r="C681" t="s">
        <v>3665</v>
      </c>
      <c r="D681" t="s">
        <v>3666</v>
      </c>
      <c r="E681" t="s">
        <v>3118</v>
      </c>
      <c r="F681" t="s">
        <v>847</v>
      </c>
      <c r="G681" t="s">
        <v>142</v>
      </c>
      <c r="H681" t="s">
        <v>143</v>
      </c>
      <c r="I681" t="s">
        <v>35</v>
      </c>
      <c r="J681" t="s">
        <v>144</v>
      </c>
      <c r="K681" t="s">
        <v>2</v>
      </c>
      <c r="L681" t="s">
        <v>3667</v>
      </c>
      <c r="M681" t="s">
        <v>3668</v>
      </c>
      <c r="N681" t="s">
        <v>850</v>
      </c>
      <c r="O681" t="s">
        <v>40</v>
      </c>
      <c r="P681" t="s">
        <v>3669</v>
      </c>
      <c r="Q681" t="s">
        <v>63</v>
      </c>
      <c r="R681" t="s">
        <v>714</v>
      </c>
      <c r="S681">
        <v>6</v>
      </c>
      <c r="T681">
        <v>4852</v>
      </c>
      <c r="U681">
        <v>0</v>
      </c>
      <c r="V681">
        <v>4852</v>
      </c>
    </row>
    <row r="682" spans="1:22" x14ac:dyDescent="0.25">
      <c r="A682">
        <v>80147</v>
      </c>
      <c r="B682">
        <v>131819764</v>
      </c>
      <c r="C682" t="s">
        <v>3670</v>
      </c>
      <c r="D682" t="s">
        <v>3671</v>
      </c>
      <c r="E682" t="s">
        <v>3118</v>
      </c>
      <c r="F682" t="s">
        <v>847</v>
      </c>
      <c r="G682" t="s">
        <v>142</v>
      </c>
      <c r="H682" t="s">
        <v>143</v>
      </c>
      <c r="I682" t="s">
        <v>35</v>
      </c>
      <c r="J682" t="s">
        <v>144</v>
      </c>
      <c r="K682" t="s">
        <v>2</v>
      </c>
      <c r="L682" t="s">
        <v>3672</v>
      </c>
      <c r="M682" t="s">
        <v>3673</v>
      </c>
      <c r="N682" t="s">
        <v>850</v>
      </c>
      <c r="O682" t="s">
        <v>40</v>
      </c>
      <c r="P682" t="s">
        <v>3674</v>
      </c>
      <c r="Q682" t="s">
        <v>231</v>
      </c>
      <c r="R682" t="s">
        <v>499</v>
      </c>
      <c r="S682">
        <v>1</v>
      </c>
      <c r="T682">
        <v>4067</v>
      </c>
      <c r="U682">
        <v>0</v>
      </c>
      <c r="V682">
        <v>4067</v>
      </c>
    </row>
    <row r="683" spans="1:22" x14ac:dyDescent="0.25">
      <c r="A683">
        <v>80147</v>
      </c>
      <c r="B683">
        <v>131774041</v>
      </c>
      <c r="C683" t="s">
        <v>3675</v>
      </c>
      <c r="D683" t="s">
        <v>3676</v>
      </c>
      <c r="E683" t="s">
        <v>3118</v>
      </c>
      <c r="F683" t="s">
        <v>847</v>
      </c>
      <c r="G683" t="s">
        <v>142</v>
      </c>
      <c r="H683" t="s">
        <v>143</v>
      </c>
      <c r="I683" t="s">
        <v>35</v>
      </c>
      <c r="J683" t="s">
        <v>144</v>
      </c>
      <c r="K683" t="s">
        <v>2</v>
      </c>
      <c r="L683" t="s">
        <v>3677</v>
      </c>
      <c r="M683" t="s">
        <v>3678</v>
      </c>
      <c r="N683" t="s">
        <v>850</v>
      </c>
      <c r="O683" t="s">
        <v>40</v>
      </c>
      <c r="P683" t="s">
        <v>3679</v>
      </c>
      <c r="Q683" t="s">
        <v>82</v>
      </c>
      <c r="R683" t="s">
        <v>3240</v>
      </c>
      <c r="S683">
        <v>1</v>
      </c>
      <c r="T683">
        <v>4067</v>
      </c>
      <c r="U683">
        <v>0</v>
      </c>
      <c r="V683">
        <v>4067</v>
      </c>
    </row>
    <row r="684" spans="1:22" x14ac:dyDescent="0.25">
      <c r="A684">
        <v>80147</v>
      </c>
      <c r="B684">
        <v>131705220</v>
      </c>
      <c r="C684" t="s">
        <v>3680</v>
      </c>
      <c r="D684" t="s">
        <v>3681</v>
      </c>
      <c r="E684" t="s">
        <v>3118</v>
      </c>
      <c r="F684" t="s">
        <v>847</v>
      </c>
      <c r="G684" t="s">
        <v>142</v>
      </c>
      <c r="H684" t="s">
        <v>143</v>
      </c>
      <c r="I684" t="s">
        <v>35</v>
      </c>
      <c r="J684" t="s">
        <v>144</v>
      </c>
      <c r="K684" t="s">
        <v>2</v>
      </c>
      <c r="L684" t="s">
        <v>3682</v>
      </c>
      <c r="M684" t="s">
        <v>709</v>
      </c>
      <c r="N684" t="s">
        <v>850</v>
      </c>
      <c r="O684" t="s">
        <v>40</v>
      </c>
      <c r="P684" t="s">
        <v>3683</v>
      </c>
      <c r="Q684" t="s">
        <v>82</v>
      </c>
      <c r="R684" t="s">
        <v>297</v>
      </c>
      <c r="S684">
        <v>1</v>
      </c>
      <c r="T684">
        <v>4067</v>
      </c>
      <c r="U684">
        <v>0</v>
      </c>
      <c r="V684">
        <v>4067</v>
      </c>
    </row>
    <row r="685" spans="1:22" x14ac:dyDescent="0.25">
      <c r="A685">
        <v>80147</v>
      </c>
      <c r="B685">
        <v>131489602</v>
      </c>
      <c r="C685" t="s">
        <v>3684</v>
      </c>
      <c r="D685" t="s">
        <v>3685</v>
      </c>
      <c r="E685" t="s">
        <v>3118</v>
      </c>
      <c r="F685" t="s">
        <v>847</v>
      </c>
      <c r="G685" t="s">
        <v>142</v>
      </c>
      <c r="H685" t="s">
        <v>143</v>
      </c>
      <c r="I685" t="s">
        <v>35</v>
      </c>
      <c r="J685" t="s">
        <v>144</v>
      </c>
      <c r="K685" t="s">
        <v>2</v>
      </c>
      <c r="L685" t="s">
        <v>3686</v>
      </c>
      <c r="M685" t="s">
        <v>3687</v>
      </c>
      <c r="N685" t="s">
        <v>850</v>
      </c>
      <c r="O685" t="s">
        <v>40</v>
      </c>
      <c r="P685" t="s">
        <v>3688</v>
      </c>
      <c r="Q685" t="s">
        <v>63</v>
      </c>
      <c r="R685" t="s">
        <v>304</v>
      </c>
      <c r="S685">
        <v>1</v>
      </c>
      <c r="T685">
        <v>4067</v>
      </c>
      <c r="U685">
        <v>0</v>
      </c>
      <c r="V685">
        <v>4067</v>
      </c>
    </row>
    <row r="686" spans="1:22" x14ac:dyDescent="0.25">
      <c r="A686">
        <v>80147</v>
      </c>
      <c r="B686">
        <v>131383575</v>
      </c>
      <c r="C686" t="s">
        <v>3689</v>
      </c>
      <c r="D686" t="s">
        <v>3690</v>
      </c>
      <c r="E686" t="s">
        <v>3118</v>
      </c>
      <c r="F686" t="s">
        <v>847</v>
      </c>
      <c r="G686" t="s">
        <v>142</v>
      </c>
      <c r="H686" t="s">
        <v>143</v>
      </c>
      <c r="I686" t="s">
        <v>35</v>
      </c>
      <c r="J686" t="s">
        <v>144</v>
      </c>
      <c r="K686" t="s">
        <v>2</v>
      </c>
      <c r="L686" t="s">
        <v>578</v>
      </c>
      <c r="M686" t="s">
        <v>802</v>
      </c>
      <c r="N686" t="s">
        <v>850</v>
      </c>
      <c r="O686" t="s">
        <v>40</v>
      </c>
      <c r="P686" t="s">
        <v>3691</v>
      </c>
      <c r="Q686" t="s">
        <v>82</v>
      </c>
      <c r="R686" t="s">
        <v>3300</v>
      </c>
      <c r="S686">
        <v>1</v>
      </c>
      <c r="T686">
        <v>4067</v>
      </c>
      <c r="U686">
        <v>0</v>
      </c>
      <c r="V686">
        <v>4067</v>
      </c>
    </row>
    <row r="687" spans="1:22" x14ac:dyDescent="0.25">
      <c r="A687">
        <v>80147</v>
      </c>
      <c r="B687">
        <v>131448741</v>
      </c>
      <c r="C687" t="s">
        <v>3692</v>
      </c>
      <c r="D687" t="s">
        <v>3693</v>
      </c>
      <c r="E687" t="s">
        <v>3118</v>
      </c>
      <c r="F687" t="s">
        <v>847</v>
      </c>
      <c r="G687" t="s">
        <v>142</v>
      </c>
      <c r="H687" t="s">
        <v>143</v>
      </c>
      <c r="I687" t="s">
        <v>35</v>
      </c>
      <c r="J687" t="s">
        <v>144</v>
      </c>
      <c r="K687" t="s">
        <v>2</v>
      </c>
      <c r="L687" t="s">
        <v>3694</v>
      </c>
      <c r="M687" t="s">
        <v>3695</v>
      </c>
      <c r="N687" t="s">
        <v>850</v>
      </c>
      <c r="O687" t="s">
        <v>40</v>
      </c>
      <c r="P687" t="s">
        <v>3696</v>
      </c>
      <c r="Q687" t="s">
        <v>112</v>
      </c>
      <c r="R687" t="s">
        <v>683</v>
      </c>
      <c r="S687">
        <v>1</v>
      </c>
      <c r="T687">
        <v>4067</v>
      </c>
      <c r="U687">
        <v>0</v>
      </c>
      <c r="V687">
        <v>4067</v>
      </c>
    </row>
    <row r="688" spans="1:22" x14ac:dyDescent="0.25">
      <c r="A688">
        <v>80147</v>
      </c>
      <c r="B688">
        <v>131383592</v>
      </c>
      <c r="C688" t="s">
        <v>3697</v>
      </c>
      <c r="D688" t="s">
        <v>3698</v>
      </c>
      <c r="E688" t="s">
        <v>3118</v>
      </c>
      <c r="F688" t="s">
        <v>847</v>
      </c>
      <c r="G688" t="s">
        <v>142</v>
      </c>
      <c r="H688" t="s">
        <v>143</v>
      </c>
      <c r="I688" t="s">
        <v>35</v>
      </c>
      <c r="J688" t="s">
        <v>144</v>
      </c>
      <c r="K688" t="s">
        <v>2</v>
      </c>
      <c r="L688" t="s">
        <v>3699</v>
      </c>
      <c r="M688" t="s">
        <v>3695</v>
      </c>
      <c r="N688" t="s">
        <v>850</v>
      </c>
      <c r="O688" t="s">
        <v>40</v>
      </c>
      <c r="P688" t="s">
        <v>3700</v>
      </c>
      <c r="Q688" t="s">
        <v>112</v>
      </c>
      <c r="R688" t="s">
        <v>3300</v>
      </c>
      <c r="S688">
        <v>1</v>
      </c>
      <c r="T688">
        <v>4067</v>
      </c>
      <c r="U688">
        <v>0</v>
      </c>
      <c r="V688">
        <v>4067</v>
      </c>
    </row>
    <row r="689" spans="1:22" x14ac:dyDescent="0.25">
      <c r="A689">
        <v>80147</v>
      </c>
      <c r="B689">
        <v>131448761</v>
      </c>
      <c r="C689" t="s">
        <v>3701</v>
      </c>
      <c r="D689" t="s">
        <v>3702</v>
      </c>
      <c r="E689" t="s">
        <v>3118</v>
      </c>
      <c r="F689" t="s">
        <v>847</v>
      </c>
      <c r="G689" t="s">
        <v>142</v>
      </c>
      <c r="H689" t="s">
        <v>143</v>
      </c>
      <c r="I689" t="s">
        <v>35</v>
      </c>
      <c r="J689" t="s">
        <v>144</v>
      </c>
      <c r="K689" t="s">
        <v>2</v>
      </c>
      <c r="L689" t="s">
        <v>3703</v>
      </c>
      <c r="M689" t="s">
        <v>3704</v>
      </c>
      <c r="N689" t="s">
        <v>850</v>
      </c>
      <c r="O689" t="s">
        <v>40</v>
      </c>
      <c r="P689" t="s">
        <v>3705</v>
      </c>
      <c r="Q689" t="s">
        <v>112</v>
      </c>
      <c r="R689" t="s">
        <v>683</v>
      </c>
      <c r="S689">
        <v>1</v>
      </c>
      <c r="T689">
        <v>4067</v>
      </c>
      <c r="U689">
        <v>0</v>
      </c>
      <c r="V689">
        <v>4067</v>
      </c>
    </row>
    <row r="690" spans="1:22" x14ac:dyDescent="0.25">
      <c r="A690">
        <v>80147</v>
      </c>
      <c r="B690">
        <v>131339974</v>
      </c>
      <c r="C690" t="s">
        <v>3706</v>
      </c>
      <c r="D690" t="s">
        <v>3707</v>
      </c>
      <c r="E690" t="s">
        <v>3118</v>
      </c>
      <c r="F690" t="s">
        <v>847</v>
      </c>
      <c r="G690" t="s">
        <v>142</v>
      </c>
      <c r="H690" t="s">
        <v>143</v>
      </c>
      <c r="I690" t="s">
        <v>35</v>
      </c>
      <c r="J690" t="s">
        <v>144</v>
      </c>
      <c r="K690" t="s">
        <v>2</v>
      </c>
      <c r="L690" t="s">
        <v>3708</v>
      </c>
      <c r="M690" t="s">
        <v>761</v>
      </c>
      <c r="N690" t="s">
        <v>850</v>
      </c>
      <c r="O690" t="s">
        <v>40</v>
      </c>
      <c r="P690" t="s">
        <v>3709</v>
      </c>
      <c r="Q690" t="s">
        <v>112</v>
      </c>
      <c r="R690" t="s">
        <v>3381</v>
      </c>
      <c r="S690">
        <v>1</v>
      </c>
      <c r="T690">
        <v>4067</v>
      </c>
      <c r="U690">
        <v>0</v>
      </c>
      <c r="V690">
        <v>4067</v>
      </c>
    </row>
    <row r="691" spans="1:22" x14ac:dyDescent="0.25">
      <c r="A691">
        <v>80147</v>
      </c>
      <c r="B691">
        <v>131268096</v>
      </c>
      <c r="C691" t="s">
        <v>3710</v>
      </c>
      <c r="D691" t="s">
        <v>3711</v>
      </c>
      <c r="E691" t="s">
        <v>3118</v>
      </c>
      <c r="F691" t="s">
        <v>847</v>
      </c>
      <c r="G691" t="s">
        <v>142</v>
      </c>
      <c r="H691" t="s">
        <v>143</v>
      </c>
      <c r="I691" t="s">
        <v>35</v>
      </c>
      <c r="J691" t="s">
        <v>144</v>
      </c>
      <c r="K691" t="s">
        <v>2</v>
      </c>
      <c r="L691" t="s">
        <v>3712</v>
      </c>
      <c r="M691" t="s">
        <v>3713</v>
      </c>
      <c r="N691" t="s">
        <v>850</v>
      </c>
      <c r="O691" t="s">
        <v>40</v>
      </c>
      <c r="P691" t="s">
        <v>3714</v>
      </c>
      <c r="Q691" t="s">
        <v>85</v>
      </c>
      <c r="R691" t="s">
        <v>299</v>
      </c>
      <c r="S691">
        <v>1</v>
      </c>
      <c r="T691">
        <v>5657</v>
      </c>
      <c r="U691">
        <v>0</v>
      </c>
      <c r="V691">
        <v>5657</v>
      </c>
    </row>
    <row r="692" spans="1:22" x14ac:dyDescent="0.25">
      <c r="A692">
        <v>80147</v>
      </c>
      <c r="B692">
        <v>131555010</v>
      </c>
      <c r="C692" t="s">
        <v>3715</v>
      </c>
      <c r="D692" t="s">
        <v>3716</v>
      </c>
      <c r="E692" t="s">
        <v>3118</v>
      </c>
      <c r="F692" t="s">
        <v>847</v>
      </c>
      <c r="G692" t="s">
        <v>142</v>
      </c>
      <c r="H692" t="s">
        <v>143</v>
      </c>
      <c r="I692" t="s">
        <v>35</v>
      </c>
      <c r="J692" t="s">
        <v>144</v>
      </c>
      <c r="K692" t="s">
        <v>2</v>
      </c>
      <c r="L692" t="s">
        <v>3717</v>
      </c>
      <c r="M692" t="s">
        <v>3718</v>
      </c>
      <c r="N692" t="s">
        <v>850</v>
      </c>
      <c r="O692" t="s">
        <v>40</v>
      </c>
      <c r="P692" t="s">
        <v>3719</v>
      </c>
      <c r="Q692" t="s">
        <v>89</v>
      </c>
      <c r="R692" t="s">
        <v>323</v>
      </c>
      <c r="S692">
        <v>1</v>
      </c>
      <c r="T692">
        <v>4173</v>
      </c>
      <c r="U692">
        <v>0</v>
      </c>
      <c r="V692">
        <v>4173</v>
      </c>
    </row>
    <row r="693" spans="1:22" x14ac:dyDescent="0.25">
      <c r="A693">
        <v>80147</v>
      </c>
      <c r="B693">
        <v>131448745</v>
      </c>
      <c r="C693" t="s">
        <v>3720</v>
      </c>
      <c r="D693" t="s">
        <v>3721</v>
      </c>
      <c r="E693" t="s">
        <v>3118</v>
      </c>
      <c r="F693" t="s">
        <v>847</v>
      </c>
      <c r="G693" t="s">
        <v>142</v>
      </c>
      <c r="H693" t="s">
        <v>143</v>
      </c>
      <c r="I693" t="s">
        <v>35</v>
      </c>
      <c r="J693" t="s">
        <v>144</v>
      </c>
      <c r="K693" t="s">
        <v>2</v>
      </c>
      <c r="L693" t="s">
        <v>3722</v>
      </c>
      <c r="M693" t="s">
        <v>3723</v>
      </c>
      <c r="N693" t="s">
        <v>850</v>
      </c>
      <c r="O693" t="s">
        <v>40</v>
      </c>
      <c r="P693" t="s">
        <v>3724</v>
      </c>
      <c r="Q693" t="s">
        <v>89</v>
      </c>
      <c r="R693" t="s">
        <v>683</v>
      </c>
      <c r="S693">
        <v>1</v>
      </c>
      <c r="T693">
        <v>4173</v>
      </c>
      <c r="U693">
        <v>0</v>
      </c>
      <c r="V693">
        <v>4173</v>
      </c>
    </row>
    <row r="694" spans="1:22" x14ac:dyDescent="0.25">
      <c r="A694">
        <v>80147</v>
      </c>
      <c r="B694">
        <v>131922208</v>
      </c>
      <c r="C694" t="s">
        <v>3725</v>
      </c>
      <c r="D694" t="s">
        <v>3726</v>
      </c>
      <c r="E694" t="s">
        <v>3118</v>
      </c>
      <c r="F694" t="s">
        <v>847</v>
      </c>
      <c r="G694" t="s">
        <v>142</v>
      </c>
      <c r="H694" t="s">
        <v>143</v>
      </c>
      <c r="I694" t="s">
        <v>35</v>
      </c>
      <c r="J694" t="s">
        <v>144</v>
      </c>
      <c r="K694" t="s">
        <v>2</v>
      </c>
      <c r="L694" t="s">
        <v>3727</v>
      </c>
      <c r="M694" t="s">
        <v>3728</v>
      </c>
      <c r="N694" t="s">
        <v>850</v>
      </c>
      <c r="O694" t="s">
        <v>40</v>
      </c>
      <c r="P694" t="s">
        <v>3729</v>
      </c>
      <c r="Q694" t="s">
        <v>111</v>
      </c>
      <c r="R694" t="s">
        <v>838</v>
      </c>
      <c r="S694">
        <v>1</v>
      </c>
      <c r="T694">
        <v>4346</v>
      </c>
      <c r="U694">
        <v>0</v>
      </c>
      <c r="V694">
        <v>4346</v>
      </c>
    </row>
    <row r="695" spans="1:22" x14ac:dyDescent="0.25">
      <c r="A695">
        <v>80147</v>
      </c>
      <c r="B695">
        <v>131662617</v>
      </c>
      <c r="C695" t="s">
        <v>3730</v>
      </c>
      <c r="D695" t="s">
        <v>3731</v>
      </c>
      <c r="E695" t="s">
        <v>3118</v>
      </c>
      <c r="F695" t="s">
        <v>847</v>
      </c>
      <c r="G695" t="s">
        <v>142</v>
      </c>
      <c r="H695" t="s">
        <v>143</v>
      </c>
      <c r="I695" t="s">
        <v>35</v>
      </c>
      <c r="J695" t="s">
        <v>144</v>
      </c>
      <c r="K695" t="s">
        <v>169</v>
      </c>
      <c r="L695" t="s">
        <v>267</v>
      </c>
      <c r="M695" t="s">
        <v>3732</v>
      </c>
      <c r="N695" t="s">
        <v>850</v>
      </c>
      <c r="O695" t="s">
        <v>40</v>
      </c>
      <c r="P695" t="s">
        <v>3733</v>
      </c>
      <c r="Q695" t="s">
        <v>74</v>
      </c>
      <c r="R695" t="s">
        <v>1242</v>
      </c>
      <c r="S695">
        <v>1</v>
      </c>
      <c r="T695">
        <v>4346</v>
      </c>
      <c r="U695">
        <v>0</v>
      </c>
      <c r="V695">
        <v>4346</v>
      </c>
    </row>
    <row r="696" spans="1:22" x14ac:dyDescent="0.25">
      <c r="A696">
        <v>80147</v>
      </c>
      <c r="B696">
        <v>131489613</v>
      </c>
      <c r="C696" t="s">
        <v>3734</v>
      </c>
      <c r="D696" t="s">
        <v>3735</v>
      </c>
      <c r="E696" t="s">
        <v>3118</v>
      </c>
      <c r="F696" t="s">
        <v>847</v>
      </c>
      <c r="G696" t="s">
        <v>142</v>
      </c>
      <c r="H696" t="s">
        <v>143</v>
      </c>
      <c r="I696" t="s">
        <v>35</v>
      </c>
      <c r="J696" t="s">
        <v>144</v>
      </c>
      <c r="K696" t="s">
        <v>2</v>
      </c>
      <c r="L696" t="s">
        <v>3736</v>
      </c>
      <c r="M696" t="s">
        <v>3737</v>
      </c>
      <c r="N696" t="s">
        <v>850</v>
      </c>
      <c r="O696" t="s">
        <v>40</v>
      </c>
      <c r="P696" t="s">
        <v>3738</v>
      </c>
      <c r="Q696" t="s">
        <v>74</v>
      </c>
      <c r="R696" t="s">
        <v>304</v>
      </c>
      <c r="S696">
        <v>1</v>
      </c>
      <c r="T696">
        <v>4346</v>
      </c>
      <c r="U696">
        <v>0</v>
      </c>
      <c r="V696">
        <v>4346</v>
      </c>
    </row>
    <row r="697" spans="1:22" x14ac:dyDescent="0.25">
      <c r="A697">
        <v>80147</v>
      </c>
      <c r="B697">
        <v>131383573</v>
      </c>
      <c r="C697" t="s">
        <v>3739</v>
      </c>
      <c r="D697" t="s">
        <v>3740</v>
      </c>
      <c r="E697" t="s">
        <v>3118</v>
      </c>
      <c r="F697" t="s">
        <v>847</v>
      </c>
      <c r="G697" t="s">
        <v>142</v>
      </c>
      <c r="H697" t="s">
        <v>143</v>
      </c>
      <c r="I697" t="s">
        <v>35</v>
      </c>
      <c r="J697" t="s">
        <v>144</v>
      </c>
      <c r="K697" t="s">
        <v>2</v>
      </c>
      <c r="L697" t="s">
        <v>3741</v>
      </c>
      <c r="M697" t="s">
        <v>3742</v>
      </c>
      <c r="N697" t="s">
        <v>850</v>
      </c>
      <c r="O697" t="s">
        <v>40</v>
      </c>
      <c r="P697" t="s">
        <v>3743</v>
      </c>
      <c r="Q697" t="s">
        <v>111</v>
      </c>
      <c r="R697" t="s">
        <v>3300</v>
      </c>
      <c r="S697">
        <v>1</v>
      </c>
      <c r="T697">
        <v>4346</v>
      </c>
      <c r="U697">
        <v>0</v>
      </c>
      <c r="V697">
        <v>4346</v>
      </c>
    </row>
    <row r="698" spans="1:22" x14ac:dyDescent="0.25">
      <c r="A698">
        <v>80147</v>
      </c>
      <c r="B698">
        <v>131448739</v>
      </c>
      <c r="C698" t="s">
        <v>3744</v>
      </c>
      <c r="D698" t="s">
        <v>3745</v>
      </c>
      <c r="E698" t="s">
        <v>3118</v>
      </c>
      <c r="F698" t="s">
        <v>847</v>
      </c>
      <c r="G698" t="s">
        <v>142</v>
      </c>
      <c r="H698" t="s">
        <v>143</v>
      </c>
      <c r="I698" t="s">
        <v>35</v>
      </c>
      <c r="J698" t="s">
        <v>144</v>
      </c>
      <c r="K698" t="s">
        <v>2</v>
      </c>
      <c r="L698" t="s">
        <v>3746</v>
      </c>
      <c r="M698" t="s">
        <v>3747</v>
      </c>
      <c r="N698" t="s">
        <v>850</v>
      </c>
      <c r="O698" t="s">
        <v>40</v>
      </c>
      <c r="P698" t="s">
        <v>3748</v>
      </c>
      <c r="Q698" t="s">
        <v>74</v>
      </c>
      <c r="R698" t="s">
        <v>683</v>
      </c>
      <c r="S698">
        <v>1</v>
      </c>
      <c r="T698">
        <v>4346</v>
      </c>
      <c r="U698">
        <v>0</v>
      </c>
      <c r="V698">
        <v>4346</v>
      </c>
    </row>
    <row r="699" spans="1:22" x14ac:dyDescent="0.25">
      <c r="A699">
        <v>80147</v>
      </c>
      <c r="B699">
        <v>131887932</v>
      </c>
      <c r="C699" t="s">
        <v>3749</v>
      </c>
      <c r="D699" t="s">
        <v>3750</v>
      </c>
      <c r="E699" t="s">
        <v>3118</v>
      </c>
      <c r="F699" t="s">
        <v>847</v>
      </c>
      <c r="G699" t="s">
        <v>142</v>
      </c>
      <c r="H699" t="s">
        <v>143</v>
      </c>
      <c r="I699" t="s">
        <v>35</v>
      </c>
      <c r="J699" t="s">
        <v>144</v>
      </c>
      <c r="K699" t="s">
        <v>2</v>
      </c>
      <c r="L699" t="s">
        <v>3751</v>
      </c>
      <c r="M699" t="s">
        <v>3752</v>
      </c>
      <c r="N699" t="s">
        <v>850</v>
      </c>
      <c r="O699" t="s">
        <v>40</v>
      </c>
      <c r="P699" t="s">
        <v>3753</v>
      </c>
      <c r="Q699" t="s">
        <v>194</v>
      </c>
      <c r="R699" t="s">
        <v>3441</v>
      </c>
      <c r="S699">
        <v>3.25</v>
      </c>
      <c r="T699">
        <v>5686</v>
      </c>
      <c r="U699">
        <v>0</v>
      </c>
      <c r="V699">
        <v>5686</v>
      </c>
    </row>
    <row r="700" spans="1:22" x14ac:dyDescent="0.25">
      <c r="A700">
        <v>80147</v>
      </c>
      <c r="B700">
        <v>132088226</v>
      </c>
      <c r="C700" t="s">
        <v>3754</v>
      </c>
      <c r="D700" t="s">
        <v>3755</v>
      </c>
      <c r="E700" t="s">
        <v>3118</v>
      </c>
      <c r="F700" t="s">
        <v>847</v>
      </c>
      <c r="G700" t="s">
        <v>142</v>
      </c>
      <c r="H700" t="s">
        <v>143</v>
      </c>
      <c r="I700" t="s">
        <v>35</v>
      </c>
      <c r="J700" t="s">
        <v>144</v>
      </c>
      <c r="K700" t="s">
        <v>2</v>
      </c>
      <c r="L700" t="s">
        <v>3756</v>
      </c>
      <c r="M700" t="s">
        <v>3757</v>
      </c>
      <c r="N700" t="s">
        <v>850</v>
      </c>
      <c r="O700" t="s">
        <v>40</v>
      </c>
      <c r="P700" t="s">
        <v>3758</v>
      </c>
      <c r="Q700" t="s">
        <v>87</v>
      </c>
      <c r="R700" t="s">
        <v>648</v>
      </c>
      <c r="S700">
        <v>1</v>
      </c>
      <c r="T700">
        <v>4730</v>
      </c>
      <c r="U700">
        <v>0</v>
      </c>
      <c r="V700">
        <v>4730</v>
      </c>
    </row>
    <row r="701" spans="1:22" x14ac:dyDescent="0.25">
      <c r="A701">
        <v>80147</v>
      </c>
      <c r="B701">
        <v>132022391</v>
      </c>
      <c r="C701" t="s">
        <v>3759</v>
      </c>
      <c r="D701" t="s">
        <v>3760</v>
      </c>
      <c r="E701" t="s">
        <v>3118</v>
      </c>
      <c r="F701" t="s">
        <v>847</v>
      </c>
      <c r="G701" t="s">
        <v>142</v>
      </c>
      <c r="H701" t="s">
        <v>143</v>
      </c>
      <c r="I701" t="s">
        <v>35</v>
      </c>
      <c r="J701" t="s">
        <v>144</v>
      </c>
      <c r="K701" t="s">
        <v>2</v>
      </c>
      <c r="L701" t="s">
        <v>3761</v>
      </c>
      <c r="M701" t="s">
        <v>3762</v>
      </c>
      <c r="N701" t="s">
        <v>850</v>
      </c>
      <c r="O701" t="s">
        <v>40</v>
      </c>
      <c r="P701" t="s">
        <v>3763</v>
      </c>
      <c r="Q701" t="s">
        <v>218</v>
      </c>
      <c r="R701" t="s">
        <v>3188</v>
      </c>
      <c r="S701">
        <v>1</v>
      </c>
      <c r="T701">
        <v>5476</v>
      </c>
      <c r="U701">
        <v>0</v>
      </c>
      <c r="V701">
        <v>5476</v>
      </c>
    </row>
    <row r="702" spans="1:22" x14ac:dyDescent="0.25">
      <c r="A702">
        <v>80147</v>
      </c>
      <c r="B702">
        <v>132073987</v>
      </c>
      <c r="C702" t="s">
        <v>3764</v>
      </c>
      <c r="D702" t="s">
        <v>3765</v>
      </c>
      <c r="E702" t="s">
        <v>3118</v>
      </c>
      <c r="F702" t="s">
        <v>847</v>
      </c>
      <c r="G702" t="s">
        <v>142</v>
      </c>
      <c r="H702" t="s">
        <v>143</v>
      </c>
      <c r="I702" t="s">
        <v>35</v>
      </c>
      <c r="J702" t="s">
        <v>144</v>
      </c>
      <c r="K702" t="s">
        <v>2</v>
      </c>
      <c r="L702" t="s">
        <v>3766</v>
      </c>
      <c r="M702" t="s">
        <v>3767</v>
      </c>
      <c r="N702" t="s">
        <v>850</v>
      </c>
      <c r="O702" t="s">
        <v>40</v>
      </c>
      <c r="P702" t="s">
        <v>3768</v>
      </c>
      <c r="Q702" t="s">
        <v>107</v>
      </c>
      <c r="R702" t="s">
        <v>3194</v>
      </c>
      <c r="S702">
        <v>1</v>
      </c>
      <c r="T702">
        <v>5198</v>
      </c>
      <c r="U702">
        <v>0</v>
      </c>
      <c r="V702">
        <v>5198</v>
      </c>
    </row>
    <row r="703" spans="1:22" x14ac:dyDescent="0.25">
      <c r="A703">
        <v>80147</v>
      </c>
      <c r="B703">
        <v>131774049</v>
      </c>
      <c r="C703" t="s">
        <v>3769</v>
      </c>
      <c r="D703" t="s">
        <v>3770</v>
      </c>
      <c r="E703" t="s">
        <v>3118</v>
      </c>
      <c r="F703" t="s">
        <v>847</v>
      </c>
      <c r="G703" t="s">
        <v>142</v>
      </c>
      <c r="H703" t="s">
        <v>143</v>
      </c>
      <c r="I703" t="s">
        <v>35</v>
      </c>
      <c r="J703" t="s">
        <v>144</v>
      </c>
      <c r="K703" t="s">
        <v>2</v>
      </c>
      <c r="L703" t="s">
        <v>3771</v>
      </c>
      <c r="M703" t="s">
        <v>3772</v>
      </c>
      <c r="N703" t="s">
        <v>850</v>
      </c>
      <c r="O703" t="s">
        <v>40</v>
      </c>
      <c r="P703" t="s">
        <v>3773</v>
      </c>
      <c r="Q703" t="s">
        <v>107</v>
      </c>
      <c r="R703" t="s">
        <v>3240</v>
      </c>
      <c r="S703">
        <v>1</v>
      </c>
      <c r="T703">
        <v>5198</v>
      </c>
      <c r="U703">
        <v>0</v>
      </c>
      <c r="V703">
        <v>5198</v>
      </c>
    </row>
    <row r="704" spans="1:22" x14ac:dyDescent="0.25">
      <c r="A704">
        <v>80147</v>
      </c>
      <c r="B704">
        <v>131774047</v>
      </c>
      <c r="C704" t="s">
        <v>3774</v>
      </c>
      <c r="D704" t="s">
        <v>3775</v>
      </c>
      <c r="E704" t="s">
        <v>3118</v>
      </c>
      <c r="F704" t="s">
        <v>847</v>
      </c>
      <c r="G704" t="s">
        <v>142</v>
      </c>
      <c r="H704" t="s">
        <v>143</v>
      </c>
      <c r="I704" t="s">
        <v>35</v>
      </c>
      <c r="J704" t="s">
        <v>144</v>
      </c>
      <c r="K704" t="s">
        <v>2</v>
      </c>
      <c r="L704" t="s">
        <v>3776</v>
      </c>
      <c r="M704" t="s">
        <v>3777</v>
      </c>
      <c r="N704" t="s">
        <v>850</v>
      </c>
      <c r="O704" t="s">
        <v>40</v>
      </c>
      <c r="P704" t="s">
        <v>3778</v>
      </c>
      <c r="Q704" t="s">
        <v>107</v>
      </c>
      <c r="R704" t="s">
        <v>3240</v>
      </c>
      <c r="S704">
        <v>1</v>
      </c>
      <c r="T704">
        <v>5198</v>
      </c>
      <c r="U704">
        <v>0</v>
      </c>
      <c r="V704">
        <v>5198</v>
      </c>
    </row>
    <row r="705" spans="1:22" x14ac:dyDescent="0.25">
      <c r="A705">
        <v>80147</v>
      </c>
      <c r="B705">
        <v>131780122</v>
      </c>
      <c r="C705" t="s">
        <v>3779</v>
      </c>
      <c r="D705" t="s">
        <v>3780</v>
      </c>
      <c r="E705" t="s">
        <v>3118</v>
      </c>
      <c r="F705" t="s">
        <v>847</v>
      </c>
      <c r="G705" t="s">
        <v>142</v>
      </c>
      <c r="H705" t="s">
        <v>143</v>
      </c>
      <c r="I705" t="s">
        <v>35</v>
      </c>
      <c r="J705" t="s">
        <v>144</v>
      </c>
      <c r="K705" t="s">
        <v>2</v>
      </c>
      <c r="L705" t="s">
        <v>3781</v>
      </c>
      <c r="M705" t="s">
        <v>3782</v>
      </c>
      <c r="N705" t="s">
        <v>850</v>
      </c>
      <c r="O705" t="s">
        <v>40</v>
      </c>
      <c r="P705" t="s">
        <v>3783</v>
      </c>
      <c r="Q705" t="s">
        <v>107</v>
      </c>
      <c r="R705" t="s">
        <v>714</v>
      </c>
      <c r="S705">
        <v>1</v>
      </c>
      <c r="T705">
        <v>5198</v>
      </c>
      <c r="U705">
        <v>0</v>
      </c>
      <c r="V705">
        <v>5198</v>
      </c>
    </row>
    <row r="706" spans="1:22" x14ac:dyDescent="0.25">
      <c r="A706">
        <v>80147</v>
      </c>
      <c r="B706">
        <v>131774037</v>
      </c>
      <c r="C706" t="s">
        <v>3784</v>
      </c>
      <c r="D706" t="s">
        <v>3785</v>
      </c>
      <c r="E706" t="s">
        <v>3118</v>
      </c>
      <c r="F706" t="s">
        <v>847</v>
      </c>
      <c r="G706" t="s">
        <v>142</v>
      </c>
      <c r="H706" t="s">
        <v>143</v>
      </c>
      <c r="I706" t="s">
        <v>35</v>
      </c>
      <c r="J706" t="s">
        <v>144</v>
      </c>
      <c r="K706" t="s">
        <v>2</v>
      </c>
      <c r="L706" t="s">
        <v>3786</v>
      </c>
      <c r="M706" t="s">
        <v>3787</v>
      </c>
      <c r="N706" t="s">
        <v>850</v>
      </c>
      <c r="O706" t="s">
        <v>40</v>
      </c>
      <c r="P706" t="s">
        <v>3788</v>
      </c>
      <c r="Q706" t="s">
        <v>107</v>
      </c>
      <c r="R706" t="s">
        <v>3240</v>
      </c>
      <c r="S706">
        <v>1</v>
      </c>
      <c r="T706">
        <v>5198</v>
      </c>
      <c r="U706">
        <v>0</v>
      </c>
      <c r="V706">
        <v>5198</v>
      </c>
    </row>
    <row r="707" spans="1:22" x14ac:dyDescent="0.25">
      <c r="A707">
        <v>80147</v>
      </c>
      <c r="B707">
        <v>131705237</v>
      </c>
      <c r="C707" t="s">
        <v>3789</v>
      </c>
      <c r="D707" t="s">
        <v>3790</v>
      </c>
      <c r="E707" t="s">
        <v>3118</v>
      </c>
      <c r="F707" t="s">
        <v>847</v>
      </c>
      <c r="G707" t="s">
        <v>142</v>
      </c>
      <c r="H707" t="s">
        <v>143</v>
      </c>
      <c r="I707" t="s">
        <v>35</v>
      </c>
      <c r="J707" t="s">
        <v>144</v>
      </c>
      <c r="K707" t="s">
        <v>2</v>
      </c>
      <c r="L707" t="s">
        <v>3791</v>
      </c>
      <c r="M707" t="s">
        <v>3792</v>
      </c>
      <c r="N707" t="s">
        <v>850</v>
      </c>
      <c r="O707" t="s">
        <v>40</v>
      </c>
      <c r="P707" t="s">
        <v>3793</v>
      </c>
      <c r="Q707" t="s">
        <v>107</v>
      </c>
      <c r="R707" t="s">
        <v>297</v>
      </c>
      <c r="S707">
        <v>1</v>
      </c>
      <c r="T707">
        <v>5198</v>
      </c>
      <c r="U707">
        <v>0</v>
      </c>
      <c r="V707">
        <v>5198</v>
      </c>
    </row>
    <row r="708" spans="1:22" x14ac:dyDescent="0.25">
      <c r="A708">
        <v>80147</v>
      </c>
      <c r="B708">
        <v>131678714</v>
      </c>
      <c r="C708" t="s">
        <v>3794</v>
      </c>
      <c r="D708" t="s">
        <v>3795</v>
      </c>
      <c r="E708" t="s">
        <v>3118</v>
      </c>
      <c r="F708" t="s">
        <v>847</v>
      </c>
      <c r="G708" t="s">
        <v>142</v>
      </c>
      <c r="H708" t="s">
        <v>143</v>
      </c>
      <c r="I708" t="s">
        <v>35</v>
      </c>
      <c r="J708" t="s">
        <v>144</v>
      </c>
      <c r="K708" t="s">
        <v>2</v>
      </c>
      <c r="L708" t="s">
        <v>3796</v>
      </c>
      <c r="M708" t="s">
        <v>3797</v>
      </c>
      <c r="N708" t="s">
        <v>850</v>
      </c>
      <c r="O708" t="s">
        <v>40</v>
      </c>
      <c r="P708" t="s">
        <v>3798</v>
      </c>
      <c r="Q708" t="s">
        <v>107</v>
      </c>
      <c r="R708" t="s">
        <v>383</v>
      </c>
      <c r="S708">
        <v>3.05</v>
      </c>
      <c r="T708">
        <v>7484</v>
      </c>
      <c r="U708">
        <v>0</v>
      </c>
      <c r="V708">
        <v>7484</v>
      </c>
    </row>
    <row r="709" spans="1:22" x14ac:dyDescent="0.25">
      <c r="A709">
        <v>80147</v>
      </c>
      <c r="B709">
        <v>131641370</v>
      </c>
      <c r="C709" t="s">
        <v>3799</v>
      </c>
      <c r="D709" t="s">
        <v>3800</v>
      </c>
      <c r="E709" t="s">
        <v>3118</v>
      </c>
      <c r="F709" t="s">
        <v>847</v>
      </c>
      <c r="G709" t="s">
        <v>142</v>
      </c>
      <c r="H709" t="s">
        <v>143</v>
      </c>
      <c r="I709" t="s">
        <v>35</v>
      </c>
      <c r="J709" t="s">
        <v>144</v>
      </c>
      <c r="K709" t="s">
        <v>2</v>
      </c>
      <c r="L709" t="s">
        <v>704</v>
      </c>
      <c r="M709" t="s">
        <v>3801</v>
      </c>
      <c r="N709" t="s">
        <v>850</v>
      </c>
      <c r="O709" t="s">
        <v>40</v>
      </c>
      <c r="P709" t="s">
        <v>3802</v>
      </c>
      <c r="Q709" t="s">
        <v>107</v>
      </c>
      <c r="R709" t="s">
        <v>754</v>
      </c>
      <c r="S709">
        <v>1</v>
      </c>
      <c r="T709">
        <v>5198</v>
      </c>
      <c r="U709">
        <v>0</v>
      </c>
      <c r="V709">
        <v>5198</v>
      </c>
    </row>
    <row r="710" spans="1:22" x14ac:dyDescent="0.25">
      <c r="A710">
        <v>80147</v>
      </c>
      <c r="B710">
        <v>131589731</v>
      </c>
      <c r="C710" t="s">
        <v>3803</v>
      </c>
      <c r="D710" t="s">
        <v>3804</v>
      </c>
      <c r="E710" t="s">
        <v>3118</v>
      </c>
      <c r="F710" t="s">
        <v>847</v>
      </c>
      <c r="G710" t="s">
        <v>142</v>
      </c>
      <c r="H710" t="s">
        <v>143</v>
      </c>
      <c r="I710" t="s">
        <v>35</v>
      </c>
      <c r="J710" t="s">
        <v>144</v>
      </c>
      <c r="K710" t="s">
        <v>2</v>
      </c>
      <c r="L710" t="s">
        <v>3805</v>
      </c>
      <c r="M710" t="s">
        <v>3806</v>
      </c>
      <c r="N710" t="s">
        <v>850</v>
      </c>
      <c r="O710" t="s">
        <v>40</v>
      </c>
      <c r="P710" t="s">
        <v>3807</v>
      </c>
      <c r="Q710" t="s">
        <v>107</v>
      </c>
      <c r="R710" t="s">
        <v>494</v>
      </c>
      <c r="S710">
        <v>1</v>
      </c>
      <c r="T710">
        <v>5198</v>
      </c>
      <c r="U710">
        <v>0</v>
      </c>
      <c r="V710">
        <v>5198</v>
      </c>
    </row>
    <row r="711" spans="1:22" x14ac:dyDescent="0.25">
      <c r="A711">
        <v>80147</v>
      </c>
      <c r="B711">
        <v>131589716</v>
      </c>
      <c r="C711" t="s">
        <v>3808</v>
      </c>
      <c r="D711" t="s">
        <v>3809</v>
      </c>
      <c r="E711" t="s">
        <v>3118</v>
      </c>
      <c r="F711" t="s">
        <v>847</v>
      </c>
      <c r="G711" t="s">
        <v>142</v>
      </c>
      <c r="H711" t="s">
        <v>143</v>
      </c>
      <c r="I711" t="s">
        <v>35</v>
      </c>
      <c r="J711" t="s">
        <v>144</v>
      </c>
      <c r="K711" t="s">
        <v>2</v>
      </c>
      <c r="L711" t="s">
        <v>3810</v>
      </c>
      <c r="M711" t="s">
        <v>3811</v>
      </c>
      <c r="N711" t="s">
        <v>850</v>
      </c>
      <c r="O711" t="s">
        <v>40</v>
      </c>
      <c r="P711" t="s">
        <v>3812</v>
      </c>
      <c r="Q711" t="s">
        <v>107</v>
      </c>
      <c r="R711" t="s">
        <v>494</v>
      </c>
      <c r="S711">
        <v>1</v>
      </c>
      <c r="T711">
        <v>5198</v>
      </c>
      <c r="U711">
        <v>0</v>
      </c>
      <c r="V711">
        <v>5198</v>
      </c>
    </row>
    <row r="712" spans="1:22" x14ac:dyDescent="0.25">
      <c r="A712">
        <v>80147</v>
      </c>
      <c r="B712">
        <v>131529954</v>
      </c>
      <c r="C712" t="s">
        <v>3813</v>
      </c>
      <c r="D712" t="s">
        <v>3814</v>
      </c>
      <c r="E712" t="s">
        <v>3118</v>
      </c>
      <c r="F712" t="s">
        <v>847</v>
      </c>
      <c r="G712" t="s">
        <v>142</v>
      </c>
      <c r="H712" t="s">
        <v>143</v>
      </c>
      <c r="I712" t="s">
        <v>35</v>
      </c>
      <c r="J712" t="s">
        <v>144</v>
      </c>
      <c r="K712" t="s">
        <v>2</v>
      </c>
      <c r="L712" t="s">
        <v>3815</v>
      </c>
      <c r="M712" t="s">
        <v>3816</v>
      </c>
      <c r="N712" t="s">
        <v>850</v>
      </c>
      <c r="O712" t="s">
        <v>40</v>
      </c>
      <c r="P712" t="s">
        <v>3817</v>
      </c>
      <c r="Q712" t="s">
        <v>107</v>
      </c>
      <c r="R712" t="s">
        <v>577</v>
      </c>
      <c r="S712">
        <v>1</v>
      </c>
      <c r="T712">
        <v>5198</v>
      </c>
      <c r="U712">
        <v>0</v>
      </c>
      <c r="V712">
        <v>5198</v>
      </c>
    </row>
    <row r="713" spans="1:22" x14ac:dyDescent="0.25">
      <c r="A713">
        <v>80147</v>
      </c>
      <c r="B713">
        <v>131339975</v>
      </c>
      <c r="C713" t="s">
        <v>3818</v>
      </c>
      <c r="D713" t="s">
        <v>3819</v>
      </c>
      <c r="E713" t="s">
        <v>3118</v>
      </c>
      <c r="F713" t="s">
        <v>847</v>
      </c>
      <c r="G713" t="s">
        <v>142</v>
      </c>
      <c r="H713" t="s">
        <v>143</v>
      </c>
      <c r="I713" t="s">
        <v>35</v>
      </c>
      <c r="J713" t="s">
        <v>144</v>
      </c>
      <c r="K713" t="s">
        <v>2</v>
      </c>
      <c r="L713" t="s">
        <v>3820</v>
      </c>
      <c r="M713" t="s">
        <v>3821</v>
      </c>
      <c r="N713" t="s">
        <v>850</v>
      </c>
      <c r="O713" t="s">
        <v>40</v>
      </c>
      <c r="P713" t="s">
        <v>3822</v>
      </c>
      <c r="Q713" t="s">
        <v>107</v>
      </c>
      <c r="R713" t="s">
        <v>3381</v>
      </c>
      <c r="S713">
        <v>1</v>
      </c>
      <c r="T713">
        <v>5198</v>
      </c>
      <c r="U713">
        <v>0</v>
      </c>
      <c r="V713">
        <v>5198</v>
      </c>
    </row>
    <row r="714" spans="1:22" x14ac:dyDescent="0.25">
      <c r="A714">
        <v>80147</v>
      </c>
      <c r="B714">
        <v>131448752</v>
      </c>
      <c r="C714" t="s">
        <v>3823</v>
      </c>
      <c r="D714" t="s">
        <v>3824</v>
      </c>
      <c r="E714" t="s">
        <v>3118</v>
      </c>
      <c r="F714" t="s">
        <v>847</v>
      </c>
      <c r="G714" t="s">
        <v>142</v>
      </c>
      <c r="H714" t="s">
        <v>143</v>
      </c>
      <c r="I714" t="s">
        <v>35</v>
      </c>
      <c r="J714" t="s">
        <v>144</v>
      </c>
      <c r="K714" t="s">
        <v>2</v>
      </c>
      <c r="L714" t="s">
        <v>3825</v>
      </c>
      <c r="M714" t="s">
        <v>757</v>
      </c>
      <c r="N714" t="s">
        <v>850</v>
      </c>
      <c r="O714" t="s">
        <v>40</v>
      </c>
      <c r="P714" t="s">
        <v>3826</v>
      </c>
      <c r="Q714" t="s">
        <v>107</v>
      </c>
      <c r="R714" t="s">
        <v>683</v>
      </c>
      <c r="S714">
        <v>1</v>
      </c>
      <c r="T714">
        <v>5198</v>
      </c>
      <c r="U714">
        <v>0</v>
      </c>
      <c r="V714">
        <v>5198</v>
      </c>
    </row>
    <row r="715" spans="1:22" x14ac:dyDescent="0.25">
      <c r="A715">
        <v>80147</v>
      </c>
      <c r="B715">
        <v>131347070</v>
      </c>
      <c r="C715" t="s">
        <v>3827</v>
      </c>
      <c r="D715" t="s">
        <v>3828</v>
      </c>
      <c r="E715" t="s">
        <v>3118</v>
      </c>
      <c r="F715" t="s">
        <v>847</v>
      </c>
      <c r="G715" t="s">
        <v>142</v>
      </c>
      <c r="H715" t="s">
        <v>143</v>
      </c>
      <c r="I715" t="s">
        <v>35</v>
      </c>
      <c r="J715" t="s">
        <v>144</v>
      </c>
      <c r="K715" t="s">
        <v>2</v>
      </c>
      <c r="L715" t="s">
        <v>3829</v>
      </c>
      <c r="M715" t="s">
        <v>3830</v>
      </c>
      <c r="N715" t="s">
        <v>850</v>
      </c>
      <c r="O715" t="s">
        <v>40</v>
      </c>
      <c r="P715" t="s">
        <v>3831</v>
      </c>
      <c r="Q715" t="s">
        <v>107</v>
      </c>
      <c r="R715" t="s">
        <v>487</v>
      </c>
      <c r="S715">
        <v>1</v>
      </c>
      <c r="T715">
        <v>5198</v>
      </c>
      <c r="U715">
        <v>0</v>
      </c>
      <c r="V715">
        <v>5198</v>
      </c>
    </row>
    <row r="716" spans="1:22" x14ac:dyDescent="0.25">
      <c r="A716">
        <v>80147</v>
      </c>
      <c r="B716">
        <v>131448759</v>
      </c>
      <c r="C716" t="s">
        <v>3832</v>
      </c>
      <c r="D716" t="s">
        <v>3833</v>
      </c>
      <c r="E716" t="s">
        <v>3118</v>
      </c>
      <c r="F716" t="s">
        <v>847</v>
      </c>
      <c r="G716" t="s">
        <v>142</v>
      </c>
      <c r="H716" t="s">
        <v>143</v>
      </c>
      <c r="I716" t="s">
        <v>35</v>
      </c>
      <c r="J716" t="s">
        <v>144</v>
      </c>
      <c r="K716" t="s">
        <v>2</v>
      </c>
      <c r="L716" t="s">
        <v>839</v>
      </c>
      <c r="M716" t="s">
        <v>3834</v>
      </c>
      <c r="N716" t="s">
        <v>850</v>
      </c>
      <c r="O716" t="s">
        <v>40</v>
      </c>
      <c r="P716" t="s">
        <v>3835</v>
      </c>
      <c r="Q716" t="s">
        <v>107</v>
      </c>
      <c r="R716" t="s">
        <v>683</v>
      </c>
      <c r="S716">
        <v>1</v>
      </c>
      <c r="T716">
        <v>5198</v>
      </c>
      <c r="U716">
        <v>0</v>
      </c>
      <c r="V716">
        <v>5198</v>
      </c>
    </row>
    <row r="717" spans="1:22" x14ac:dyDescent="0.25">
      <c r="A717">
        <v>80147</v>
      </c>
      <c r="B717">
        <v>131312074</v>
      </c>
      <c r="C717" t="s">
        <v>3836</v>
      </c>
      <c r="D717" t="s">
        <v>3837</v>
      </c>
      <c r="E717" t="s">
        <v>3118</v>
      </c>
      <c r="F717" t="s">
        <v>847</v>
      </c>
      <c r="G717" t="s">
        <v>142</v>
      </c>
      <c r="H717" t="s">
        <v>143</v>
      </c>
      <c r="I717" t="s">
        <v>35</v>
      </c>
      <c r="J717" t="s">
        <v>144</v>
      </c>
      <c r="K717" t="s">
        <v>2</v>
      </c>
      <c r="L717" t="s">
        <v>3838</v>
      </c>
      <c r="M717" t="s">
        <v>3839</v>
      </c>
      <c r="N717" t="s">
        <v>850</v>
      </c>
      <c r="O717" t="s">
        <v>40</v>
      </c>
      <c r="P717" t="s">
        <v>3840</v>
      </c>
      <c r="Q717" t="s">
        <v>107</v>
      </c>
      <c r="R717" t="s">
        <v>589</v>
      </c>
      <c r="S717">
        <v>3.5</v>
      </c>
      <c r="T717">
        <v>7484</v>
      </c>
      <c r="U717">
        <v>0</v>
      </c>
      <c r="V717">
        <v>7484</v>
      </c>
    </row>
    <row r="718" spans="1:22" x14ac:dyDescent="0.25">
      <c r="A718">
        <v>80147</v>
      </c>
      <c r="B718">
        <v>131230362</v>
      </c>
      <c r="C718" t="s">
        <v>3841</v>
      </c>
      <c r="D718" t="s">
        <v>3842</v>
      </c>
      <c r="E718" t="s">
        <v>3118</v>
      </c>
      <c r="F718" t="s">
        <v>847</v>
      </c>
      <c r="G718" t="s">
        <v>142</v>
      </c>
      <c r="H718" t="s">
        <v>143</v>
      </c>
      <c r="I718" t="s">
        <v>35</v>
      </c>
      <c r="J718" t="s">
        <v>144</v>
      </c>
      <c r="K718" t="s">
        <v>2</v>
      </c>
      <c r="L718" t="s">
        <v>3843</v>
      </c>
      <c r="M718" t="s">
        <v>3844</v>
      </c>
      <c r="N718" t="s">
        <v>850</v>
      </c>
      <c r="O718" t="s">
        <v>40</v>
      </c>
      <c r="P718" t="s">
        <v>3845</v>
      </c>
      <c r="Q718" t="s">
        <v>107</v>
      </c>
      <c r="R718" t="s">
        <v>758</v>
      </c>
      <c r="S718">
        <v>1</v>
      </c>
      <c r="T718">
        <v>7212</v>
      </c>
      <c r="U718">
        <v>0</v>
      </c>
      <c r="V718">
        <v>7212</v>
      </c>
    </row>
    <row r="719" spans="1:22" x14ac:dyDescent="0.25">
      <c r="A719">
        <v>80147</v>
      </c>
      <c r="B719">
        <v>131230365</v>
      </c>
      <c r="C719" t="s">
        <v>3846</v>
      </c>
      <c r="D719" t="s">
        <v>3847</v>
      </c>
      <c r="E719" t="s">
        <v>3118</v>
      </c>
      <c r="F719" t="s">
        <v>847</v>
      </c>
      <c r="G719" t="s">
        <v>142</v>
      </c>
      <c r="H719" t="s">
        <v>143</v>
      </c>
      <c r="I719" t="s">
        <v>35</v>
      </c>
      <c r="J719" t="s">
        <v>144</v>
      </c>
      <c r="K719" t="s">
        <v>2</v>
      </c>
      <c r="L719" t="s">
        <v>3848</v>
      </c>
      <c r="M719" t="s">
        <v>3801</v>
      </c>
      <c r="N719" t="s">
        <v>850</v>
      </c>
      <c r="O719" t="s">
        <v>40</v>
      </c>
      <c r="P719" t="s">
        <v>3802</v>
      </c>
      <c r="Q719" t="s">
        <v>107</v>
      </c>
      <c r="R719" t="s">
        <v>758</v>
      </c>
      <c r="S719">
        <v>2.95</v>
      </c>
      <c r="T719">
        <v>8157</v>
      </c>
      <c r="U719">
        <v>0</v>
      </c>
      <c r="V719">
        <v>8157</v>
      </c>
    </row>
    <row r="720" spans="1:22" x14ac:dyDescent="0.25">
      <c r="A720">
        <v>80147</v>
      </c>
      <c r="B720">
        <v>131990756</v>
      </c>
      <c r="C720" t="s">
        <v>3849</v>
      </c>
      <c r="D720" t="s">
        <v>3850</v>
      </c>
      <c r="E720" t="s">
        <v>3118</v>
      </c>
      <c r="F720" t="s">
        <v>847</v>
      </c>
      <c r="G720" t="s">
        <v>142</v>
      </c>
      <c r="H720" t="s">
        <v>143</v>
      </c>
      <c r="I720" t="s">
        <v>35</v>
      </c>
      <c r="J720" t="s">
        <v>144</v>
      </c>
      <c r="K720" t="s">
        <v>2</v>
      </c>
      <c r="L720" t="s">
        <v>3851</v>
      </c>
      <c r="M720" t="s">
        <v>3852</v>
      </c>
      <c r="N720" t="s">
        <v>850</v>
      </c>
      <c r="O720" t="s">
        <v>40</v>
      </c>
      <c r="P720" t="s">
        <v>3853</v>
      </c>
      <c r="Q720" t="s">
        <v>150</v>
      </c>
      <c r="R720" t="s">
        <v>3137</v>
      </c>
      <c r="S720">
        <v>2.95</v>
      </c>
      <c r="T720">
        <v>5476</v>
      </c>
      <c r="U720">
        <v>0</v>
      </c>
      <c r="V720">
        <v>5476</v>
      </c>
    </row>
    <row r="721" spans="1:22" x14ac:dyDescent="0.25">
      <c r="A721">
        <v>80147</v>
      </c>
      <c r="B721">
        <v>131819750</v>
      </c>
      <c r="C721" t="s">
        <v>3854</v>
      </c>
      <c r="D721" t="s">
        <v>3855</v>
      </c>
      <c r="E721" t="s">
        <v>3118</v>
      </c>
      <c r="F721" t="s">
        <v>847</v>
      </c>
      <c r="G721" t="s">
        <v>142</v>
      </c>
      <c r="H721" t="s">
        <v>143</v>
      </c>
      <c r="I721" t="s">
        <v>35</v>
      </c>
      <c r="J721" t="s">
        <v>144</v>
      </c>
      <c r="K721" t="s">
        <v>2</v>
      </c>
      <c r="L721" t="s">
        <v>3856</v>
      </c>
      <c r="M721" t="s">
        <v>3857</v>
      </c>
      <c r="N721" t="s">
        <v>850</v>
      </c>
      <c r="O721" t="s">
        <v>40</v>
      </c>
      <c r="P721" t="s">
        <v>3858</v>
      </c>
      <c r="Q721" t="s">
        <v>150</v>
      </c>
      <c r="R721" t="s">
        <v>499</v>
      </c>
      <c r="S721">
        <v>1</v>
      </c>
      <c r="T721">
        <v>5476</v>
      </c>
      <c r="U721">
        <v>0</v>
      </c>
      <c r="V721">
        <v>5476</v>
      </c>
    </row>
    <row r="722" spans="1:22" x14ac:dyDescent="0.25">
      <c r="A722">
        <v>80147</v>
      </c>
      <c r="B722">
        <v>131448763</v>
      </c>
      <c r="C722" t="s">
        <v>3859</v>
      </c>
      <c r="D722" t="s">
        <v>3860</v>
      </c>
      <c r="E722" t="s">
        <v>3118</v>
      </c>
      <c r="F722" t="s">
        <v>847</v>
      </c>
      <c r="G722" t="s">
        <v>142</v>
      </c>
      <c r="H722" t="s">
        <v>143</v>
      </c>
      <c r="I722" t="s">
        <v>35</v>
      </c>
      <c r="J722" t="s">
        <v>144</v>
      </c>
      <c r="K722" t="s">
        <v>2</v>
      </c>
      <c r="L722" t="s">
        <v>3861</v>
      </c>
      <c r="M722" t="s">
        <v>3862</v>
      </c>
      <c r="N722" t="s">
        <v>850</v>
      </c>
      <c r="O722" t="s">
        <v>40</v>
      </c>
      <c r="P722" t="s">
        <v>3863</v>
      </c>
      <c r="Q722" t="s">
        <v>150</v>
      </c>
      <c r="R722" t="s">
        <v>683</v>
      </c>
      <c r="S722">
        <v>1</v>
      </c>
      <c r="T722">
        <v>5476</v>
      </c>
      <c r="U722">
        <v>0</v>
      </c>
      <c r="V722">
        <v>5476</v>
      </c>
    </row>
    <row r="723" spans="1:22" x14ac:dyDescent="0.25">
      <c r="A723">
        <v>80147</v>
      </c>
      <c r="B723">
        <v>131383580</v>
      </c>
      <c r="C723" t="s">
        <v>3864</v>
      </c>
      <c r="D723" t="s">
        <v>3865</v>
      </c>
      <c r="E723" t="s">
        <v>3118</v>
      </c>
      <c r="F723" t="s">
        <v>847</v>
      </c>
      <c r="G723" t="s">
        <v>142</v>
      </c>
      <c r="H723" t="s">
        <v>143</v>
      </c>
      <c r="I723" t="s">
        <v>35</v>
      </c>
      <c r="J723" t="s">
        <v>144</v>
      </c>
      <c r="K723" t="s">
        <v>2</v>
      </c>
      <c r="L723" t="s">
        <v>3866</v>
      </c>
      <c r="M723" t="s">
        <v>3867</v>
      </c>
      <c r="N723" t="s">
        <v>850</v>
      </c>
      <c r="O723" t="s">
        <v>40</v>
      </c>
      <c r="P723" t="s">
        <v>3868</v>
      </c>
      <c r="Q723" t="s">
        <v>150</v>
      </c>
      <c r="R723" t="s">
        <v>3300</v>
      </c>
      <c r="S723">
        <v>1</v>
      </c>
      <c r="T723">
        <v>5476</v>
      </c>
      <c r="U723">
        <v>0</v>
      </c>
      <c r="V723">
        <v>5476</v>
      </c>
    </row>
    <row r="724" spans="1:22" x14ac:dyDescent="0.25">
      <c r="A724">
        <v>80147</v>
      </c>
      <c r="B724">
        <v>131339964</v>
      </c>
      <c r="C724" t="s">
        <v>3869</v>
      </c>
      <c r="D724" t="s">
        <v>3870</v>
      </c>
      <c r="E724" t="s">
        <v>3118</v>
      </c>
      <c r="F724" t="s">
        <v>847</v>
      </c>
      <c r="G724" t="s">
        <v>142</v>
      </c>
      <c r="H724" t="s">
        <v>143</v>
      </c>
      <c r="I724" t="s">
        <v>35</v>
      </c>
      <c r="J724" t="s">
        <v>144</v>
      </c>
      <c r="K724" t="s">
        <v>2</v>
      </c>
      <c r="L724" t="s">
        <v>3871</v>
      </c>
      <c r="M724" t="s">
        <v>3872</v>
      </c>
      <c r="N724" t="s">
        <v>850</v>
      </c>
      <c r="O724" t="s">
        <v>40</v>
      </c>
      <c r="P724" t="s">
        <v>3873</v>
      </c>
      <c r="Q724" t="s">
        <v>150</v>
      </c>
      <c r="R724" t="s">
        <v>3381</v>
      </c>
      <c r="S724">
        <v>1</v>
      </c>
      <c r="T724">
        <v>5476</v>
      </c>
      <c r="U724">
        <v>0</v>
      </c>
      <c r="V724">
        <v>5476</v>
      </c>
    </row>
    <row r="725" spans="1:22" x14ac:dyDescent="0.25">
      <c r="A725">
        <v>80147</v>
      </c>
      <c r="B725">
        <v>131312072</v>
      </c>
      <c r="C725" t="s">
        <v>3874</v>
      </c>
      <c r="D725" t="s">
        <v>3875</v>
      </c>
      <c r="E725" t="s">
        <v>3118</v>
      </c>
      <c r="F725" t="s">
        <v>847</v>
      </c>
      <c r="G725" t="s">
        <v>142</v>
      </c>
      <c r="H725" t="s">
        <v>143</v>
      </c>
      <c r="I725" t="s">
        <v>35</v>
      </c>
      <c r="J725" t="s">
        <v>144</v>
      </c>
      <c r="K725" t="s">
        <v>2</v>
      </c>
      <c r="L725" t="s">
        <v>3876</v>
      </c>
      <c r="M725" t="s">
        <v>3877</v>
      </c>
      <c r="N725" t="s">
        <v>850</v>
      </c>
      <c r="O725" t="s">
        <v>40</v>
      </c>
      <c r="P725" t="s">
        <v>3878</v>
      </c>
      <c r="Q725" t="s">
        <v>150</v>
      </c>
      <c r="R725" t="s">
        <v>589</v>
      </c>
      <c r="S725">
        <v>1</v>
      </c>
      <c r="T725">
        <v>5476</v>
      </c>
      <c r="U725">
        <v>0</v>
      </c>
      <c r="V725">
        <v>5476</v>
      </c>
    </row>
    <row r="726" spans="1:22" x14ac:dyDescent="0.25">
      <c r="A726">
        <v>80147</v>
      </c>
      <c r="B726">
        <v>131312052</v>
      </c>
      <c r="C726" t="s">
        <v>3879</v>
      </c>
      <c r="D726" t="s">
        <v>3880</v>
      </c>
      <c r="E726" t="s">
        <v>3118</v>
      </c>
      <c r="F726" t="s">
        <v>847</v>
      </c>
      <c r="G726" t="s">
        <v>142</v>
      </c>
      <c r="H726" t="s">
        <v>143</v>
      </c>
      <c r="I726" t="s">
        <v>35</v>
      </c>
      <c r="J726" t="s">
        <v>144</v>
      </c>
      <c r="K726" t="s">
        <v>2</v>
      </c>
      <c r="L726" t="s">
        <v>3881</v>
      </c>
      <c r="M726" t="s">
        <v>3882</v>
      </c>
      <c r="N726" t="s">
        <v>850</v>
      </c>
      <c r="O726" t="s">
        <v>40</v>
      </c>
      <c r="P726" t="s">
        <v>3883</v>
      </c>
      <c r="Q726" t="s">
        <v>150</v>
      </c>
      <c r="R726" t="s">
        <v>589</v>
      </c>
      <c r="S726">
        <v>2.95</v>
      </c>
      <c r="T726">
        <v>5476</v>
      </c>
      <c r="U726">
        <v>0</v>
      </c>
      <c r="V726">
        <v>5476</v>
      </c>
    </row>
    <row r="727" spans="1:22" x14ac:dyDescent="0.25">
      <c r="A727">
        <v>80147</v>
      </c>
      <c r="B727">
        <v>131819744</v>
      </c>
      <c r="C727" t="s">
        <v>3884</v>
      </c>
      <c r="D727" t="s">
        <v>3885</v>
      </c>
      <c r="E727" t="s">
        <v>3118</v>
      </c>
      <c r="F727" t="s">
        <v>847</v>
      </c>
      <c r="G727" t="s">
        <v>142</v>
      </c>
      <c r="H727" t="s">
        <v>143</v>
      </c>
      <c r="I727" t="s">
        <v>35</v>
      </c>
      <c r="J727" t="s">
        <v>144</v>
      </c>
      <c r="K727" t="s">
        <v>2</v>
      </c>
      <c r="L727" t="s">
        <v>3886</v>
      </c>
      <c r="M727" t="s">
        <v>3887</v>
      </c>
      <c r="N727" t="s">
        <v>850</v>
      </c>
      <c r="O727" t="s">
        <v>40</v>
      </c>
      <c r="P727" t="s">
        <v>3888</v>
      </c>
      <c r="Q727" t="s">
        <v>105</v>
      </c>
      <c r="R727" t="s">
        <v>499</v>
      </c>
      <c r="S727">
        <v>1</v>
      </c>
      <c r="T727">
        <v>5759</v>
      </c>
      <c r="U727">
        <v>0</v>
      </c>
      <c r="V727">
        <v>5759</v>
      </c>
    </row>
    <row r="728" spans="1:22" x14ac:dyDescent="0.25">
      <c r="A728">
        <v>80147</v>
      </c>
      <c r="B728">
        <v>132109935</v>
      </c>
      <c r="C728" t="s">
        <v>3889</v>
      </c>
      <c r="D728" t="s">
        <v>3890</v>
      </c>
      <c r="E728" t="s">
        <v>3118</v>
      </c>
      <c r="F728" t="s">
        <v>847</v>
      </c>
      <c r="G728" t="s">
        <v>142</v>
      </c>
      <c r="H728" t="s">
        <v>143</v>
      </c>
      <c r="I728" t="s">
        <v>35</v>
      </c>
      <c r="J728" t="s">
        <v>144</v>
      </c>
      <c r="K728" t="s">
        <v>2</v>
      </c>
      <c r="L728" t="s">
        <v>3891</v>
      </c>
      <c r="M728" t="s">
        <v>3892</v>
      </c>
      <c r="N728" t="s">
        <v>850</v>
      </c>
      <c r="O728" t="s">
        <v>40</v>
      </c>
      <c r="P728" t="s">
        <v>3893</v>
      </c>
      <c r="Q728" t="s">
        <v>149</v>
      </c>
      <c r="R728" t="s">
        <v>3158</v>
      </c>
      <c r="S728">
        <v>1</v>
      </c>
      <c r="T728">
        <v>5759</v>
      </c>
      <c r="U728">
        <v>0</v>
      </c>
      <c r="V728">
        <v>5759</v>
      </c>
    </row>
    <row r="729" spans="1:22" x14ac:dyDescent="0.25">
      <c r="A729">
        <v>80147</v>
      </c>
      <c r="B729">
        <v>132022370</v>
      </c>
      <c r="C729" t="s">
        <v>3894</v>
      </c>
      <c r="D729" t="s">
        <v>3895</v>
      </c>
      <c r="E729" t="s">
        <v>3118</v>
      </c>
      <c r="F729" t="s">
        <v>847</v>
      </c>
      <c r="G729" t="s">
        <v>142</v>
      </c>
      <c r="H729" t="s">
        <v>143</v>
      </c>
      <c r="I729" t="s">
        <v>35</v>
      </c>
      <c r="J729" t="s">
        <v>144</v>
      </c>
      <c r="K729" t="s">
        <v>2</v>
      </c>
      <c r="L729" t="s">
        <v>3896</v>
      </c>
      <c r="M729" t="s">
        <v>3897</v>
      </c>
      <c r="N729" t="s">
        <v>850</v>
      </c>
      <c r="O729" t="s">
        <v>40</v>
      </c>
      <c r="P729" t="s">
        <v>3898</v>
      </c>
      <c r="Q729" t="s">
        <v>109</v>
      </c>
      <c r="R729" t="s">
        <v>3188</v>
      </c>
      <c r="S729">
        <v>1</v>
      </c>
      <c r="T729">
        <v>5759</v>
      </c>
      <c r="U729">
        <v>0</v>
      </c>
      <c r="V729">
        <v>5759</v>
      </c>
    </row>
    <row r="730" spans="1:22" x14ac:dyDescent="0.25">
      <c r="A730">
        <v>80147</v>
      </c>
      <c r="B730">
        <v>132042024</v>
      </c>
      <c r="C730" t="s">
        <v>3899</v>
      </c>
      <c r="D730" t="s">
        <v>3900</v>
      </c>
      <c r="E730" t="s">
        <v>3118</v>
      </c>
      <c r="F730" t="s">
        <v>847</v>
      </c>
      <c r="G730" t="s">
        <v>142</v>
      </c>
      <c r="H730" t="s">
        <v>143</v>
      </c>
      <c r="I730" t="s">
        <v>35</v>
      </c>
      <c r="J730" t="s">
        <v>144</v>
      </c>
      <c r="K730" t="s">
        <v>2</v>
      </c>
      <c r="L730" t="s">
        <v>3901</v>
      </c>
      <c r="M730" t="s">
        <v>3902</v>
      </c>
      <c r="N730" t="s">
        <v>850</v>
      </c>
      <c r="O730" t="s">
        <v>40</v>
      </c>
      <c r="P730" t="s">
        <v>3903</v>
      </c>
      <c r="Q730" t="s">
        <v>149</v>
      </c>
      <c r="R730" t="s">
        <v>352</v>
      </c>
      <c r="S730">
        <v>1</v>
      </c>
      <c r="T730">
        <v>5759</v>
      </c>
      <c r="U730">
        <v>0</v>
      </c>
      <c r="V730">
        <v>5759</v>
      </c>
    </row>
    <row r="731" spans="1:22" x14ac:dyDescent="0.25">
      <c r="A731">
        <v>80147</v>
      </c>
      <c r="B731">
        <v>131819743</v>
      </c>
      <c r="C731" t="s">
        <v>3904</v>
      </c>
      <c r="D731" t="s">
        <v>3905</v>
      </c>
      <c r="E731" t="s">
        <v>3118</v>
      </c>
      <c r="F731" t="s">
        <v>847</v>
      </c>
      <c r="G731" t="s">
        <v>142</v>
      </c>
      <c r="H731" t="s">
        <v>143</v>
      </c>
      <c r="I731" t="s">
        <v>35</v>
      </c>
      <c r="J731" t="s">
        <v>144</v>
      </c>
      <c r="K731" t="s">
        <v>2</v>
      </c>
      <c r="L731" t="s">
        <v>3906</v>
      </c>
      <c r="M731" t="s">
        <v>3907</v>
      </c>
      <c r="N731" t="s">
        <v>850</v>
      </c>
      <c r="O731" t="s">
        <v>40</v>
      </c>
      <c r="P731" t="s">
        <v>3908</v>
      </c>
      <c r="Q731" t="s">
        <v>106</v>
      </c>
      <c r="R731" t="s">
        <v>499</v>
      </c>
      <c r="S731">
        <v>1</v>
      </c>
      <c r="T731">
        <v>5759</v>
      </c>
      <c r="U731">
        <v>0</v>
      </c>
      <c r="V731">
        <v>5759</v>
      </c>
    </row>
    <row r="732" spans="1:22" x14ac:dyDescent="0.25">
      <c r="A732">
        <v>80147</v>
      </c>
      <c r="B732">
        <v>131819747</v>
      </c>
      <c r="C732" t="s">
        <v>3909</v>
      </c>
      <c r="D732" t="s">
        <v>3910</v>
      </c>
      <c r="E732" t="s">
        <v>3118</v>
      </c>
      <c r="F732" t="s">
        <v>847</v>
      </c>
      <c r="G732" t="s">
        <v>142</v>
      </c>
      <c r="H732" t="s">
        <v>143</v>
      </c>
      <c r="I732" t="s">
        <v>35</v>
      </c>
      <c r="J732" t="s">
        <v>144</v>
      </c>
      <c r="K732" t="s">
        <v>2</v>
      </c>
      <c r="L732" t="s">
        <v>3911</v>
      </c>
      <c r="M732" t="s">
        <v>3912</v>
      </c>
      <c r="N732" t="s">
        <v>850</v>
      </c>
      <c r="O732" t="s">
        <v>40</v>
      </c>
      <c r="P732" t="s">
        <v>3913</v>
      </c>
      <c r="Q732" t="s">
        <v>106</v>
      </c>
      <c r="R732" t="s">
        <v>499</v>
      </c>
      <c r="S732">
        <v>3</v>
      </c>
      <c r="T732">
        <v>5759</v>
      </c>
      <c r="U732">
        <v>0</v>
      </c>
      <c r="V732">
        <v>5759</v>
      </c>
    </row>
    <row r="733" spans="1:22" x14ac:dyDescent="0.25">
      <c r="A733">
        <v>80147</v>
      </c>
      <c r="B733">
        <v>131819753</v>
      </c>
      <c r="C733" t="s">
        <v>3914</v>
      </c>
      <c r="D733" t="s">
        <v>3915</v>
      </c>
      <c r="E733" t="s">
        <v>3118</v>
      </c>
      <c r="F733" t="s">
        <v>847</v>
      </c>
      <c r="G733" t="s">
        <v>142</v>
      </c>
      <c r="H733" t="s">
        <v>143</v>
      </c>
      <c r="I733" t="s">
        <v>35</v>
      </c>
      <c r="J733" t="s">
        <v>144</v>
      </c>
      <c r="K733" t="s">
        <v>2</v>
      </c>
      <c r="L733" t="s">
        <v>3916</v>
      </c>
      <c r="M733" t="s">
        <v>696</v>
      </c>
      <c r="N733" t="s">
        <v>850</v>
      </c>
      <c r="O733" t="s">
        <v>40</v>
      </c>
      <c r="P733" t="s">
        <v>3917</v>
      </c>
      <c r="Q733" t="s">
        <v>106</v>
      </c>
      <c r="R733" t="s">
        <v>499</v>
      </c>
      <c r="S733">
        <v>1</v>
      </c>
      <c r="T733">
        <v>5759</v>
      </c>
      <c r="U733">
        <v>0</v>
      </c>
      <c r="V733">
        <v>5759</v>
      </c>
    </row>
    <row r="734" spans="1:22" x14ac:dyDescent="0.25">
      <c r="A734">
        <v>80147</v>
      </c>
      <c r="B734">
        <v>131589714</v>
      </c>
      <c r="C734" t="s">
        <v>3918</v>
      </c>
      <c r="D734" t="s">
        <v>3919</v>
      </c>
      <c r="E734" t="s">
        <v>3118</v>
      </c>
      <c r="F734" t="s">
        <v>847</v>
      </c>
      <c r="G734" t="s">
        <v>142</v>
      </c>
      <c r="H734" t="s">
        <v>143</v>
      </c>
      <c r="I734" t="s">
        <v>35</v>
      </c>
      <c r="J734" t="s">
        <v>144</v>
      </c>
      <c r="K734" t="s">
        <v>2</v>
      </c>
      <c r="L734" t="s">
        <v>3920</v>
      </c>
      <c r="M734" t="s">
        <v>3921</v>
      </c>
      <c r="N734" t="s">
        <v>850</v>
      </c>
      <c r="O734" t="s">
        <v>40</v>
      </c>
      <c r="P734" t="s">
        <v>3922</v>
      </c>
      <c r="Q734" t="s">
        <v>105</v>
      </c>
      <c r="R734" t="s">
        <v>494</v>
      </c>
      <c r="S734">
        <v>1</v>
      </c>
      <c r="T734">
        <v>5759</v>
      </c>
      <c r="U734">
        <v>0</v>
      </c>
      <c r="V734">
        <v>5759</v>
      </c>
    </row>
    <row r="735" spans="1:22" x14ac:dyDescent="0.25">
      <c r="A735">
        <v>80147</v>
      </c>
      <c r="B735">
        <v>131589740</v>
      </c>
      <c r="C735" t="s">
        <v>3923</v>
      </c>
      <c r="D735" t="s">
        <v>3924</v>
      </c>
      <c r="E735" t="s">
        <v>3118</v>
      </c>
      <c r="F735" t="s">
        <v>847</v>
      </c>
      <c r="G735" t="s">
        <v>142</v>
      </c>
      <c r="H735" t="s">
        <v>143</v>
      </c>
      <c r="I735" t="s">
        <v>35</v>
      </c>
      <c r="J735" t="s">
        <v>144</v>
      </c>
      <c r="K735" t="s">
        <v>2</v>
      </c>
      <c r="L735" t="s">
        <v>3925</v>
      </c>
      <c r="M735" t="s">
        <v>3926</v>
      </c>
      <c r="N735" t="s">
        <v>850</v>
      </c>
      <c r="O735" t="s">
        <v>40</v>
      </c>
      <c r="P735" t="s">
        <v>3927</v>
      </c>
      <c r="Q735" t="s">
        <v>105</v>
      </c>
      <c r="R735" t="s">
        <v>494</v>
      </c>
      <c r="S735">
        <v>1</v>
      </c>
      <c r="T735">
        <v>5759</v>
      </c>
      <c r="U735">
        <v>0</v>
      </c>
      <c r="V735">
        <v>5759</v>
      </c>
    </row>
    <row r="736" spans="1:22" x14ac:dyDescent="0.25">
      <c r="A736">
        <v>80147</v>
      </c>
      <c r="B736">
        <v>131618383</v>
      </c>
      <c r="C736" t="s">
        <v>3928</v>
      </c>
      <c r="D736" t="s">
        <v>3929</v>
      </c>
      <c r="E736" t="s">
        <v>3118</v>
      </c>
      <c r="F736" t="s">
        <v>847</v>
      </c>
      <c r="G736" t="s">
        <v>142</v>
      </c>
      <c r="H736" t="s">
        <v>143</v>
      </c>
      <c r="I736" t="s">
        <v>35</v>
      </c>
      <c r="J736" t="s">
        <v>144</v>
      </c>
      <c r="K736" t="s">
        <v>2</v>
      </c>
      <c r="L736" t="s">
        <v>3930</v>
      </c>
      <c r="M736" t="s">
        <v>3931</v>
      </c>
      <c r="N736" t="s">
        <v>850</v>
      </c>
      <c r="O736" t="s">
        <v>40</v>
      </c>
      <c r="P736" t="s">
        <v>3932</v>
      </c>
      <c r="Q736" t="s">
        <v>106</v>
      </c>
      <c r="R736" t="s">
        <v>3251</v>
      </c>
      <c r="S736">
        <v>1</v>
      </c>
      <c r="T736">
        <v>5759</v>
      </c>
      <c r="U736">
        <v>0</v>
      </c>
      <c r="V736">
        <v>5759</v>
      </c>
    </row>
    <row r="737" spans="1:22" x14ac:dyDescent="0.25">
      <c r="A737">
        <v>80147</v>
      </c>
      <c r="B737">
        <v>131774029</v>
      </c>
      <c r="C737" t="s">
        <v>3933</v>
      </c>
      <c r="D737" t="s">
        <v>3934</v>
      </c>
      <c r="E737" t="s">
        <v>3118</v>
      </c>
      <c r="F737" t="s">
        <v>847</v>
      </c>
      <c r="G737" t="s">
        <v>142</v>
      </c>
      <c r="H737" t="s">
        <v>143</v>
      </c>
      <c r="I737" t="s">
        <v>35</v>
      </c>
      <c r="J737" t="s">
        <v>144</v>
      </c>
      <c r="K737" t="s">
        <v>2</v>
      </c>
      <c r="L737" t="s">
        <v>3935</v>
      </c>
      <c r="M737" t="s">
        <v>3936</v>
      </c>
      <c r="N737" t="s">
        <v>850</v>
      </c>
      <c r="O737" t="s">
        <v>40</v>
      </c>
      <c r="P737" t="s">
        <v>3937</v>
      </c>
      <c r="Q737" t="s">
        <v>149</v>
      </c>
      <c r="R737" t="s">
        <v>3240</v>
      </c>
      <c r="S737">
        <v>3</v>
      </c>
      <c r="T737">
        <v>5759</v>
      </c>
      <c r="U737">
        <v>0</v>
      </c>
      <c r="V737">
        <v>5759</v>
      </c>
    </row>
    <row r="738" spans="1:22" x14ac:dyDescent="0.25">
      <c r="A738">
        <v>80147</v>
      </c>
      <c r="B738">
        <v>131774033</v>
      </c>
      <c r="C738" t="s">
        <v>3938</v>
      </c>
      <c r="D738" t="s">
        <v>3939</v>
      </c>
      <c r="E738" t="s">
        <v>3118</v>
      </c>
      <c r="F738" t="s">
        <v>847</v>
      </c>
      <c r="G738" t="s">
        <v>142</v>
      </c>
      <c r="H738" t="s">
        <v>143</v>
      </c>
      <c r="I738" t="s">
        <v>35</v>
      </c>
      <c r="J738" t="s">
        <v>144</v>
      </c>
      <c r="K738" t="s">
        <v>2</v>
      </c>
      <c r="L738" t="s">
        <v>3940</v>
      </c>
      <c r="M738" t="s">
        <v>3941</v>
      </c>
      <c r="N738" t="s">
        <v>850</v>
      </c>
      <c r="O738" t="s">
        <v>40</v>
      </c>
      <c r="P738" t="s">
        <v>3942</v>
      </c>
      <c r="Q738" t="s">
        <v>109</v>
      </c>
      <c r="R738" t="s">
        <v>3240</v>
      </c>
      <c r="S738">
        <v>1</v>
      </c>
      <c r="T738">
        <v>5759</v>
      </c>
      <c r="U738">
        <v>0</v>
      </c>
      <c r="V738">
        <v>5759</v>
      </c>
    </row>
    <row r="739" spans="1:22" x14ac:dyDescent="0.25">
      <c r="A739">
        <v>80147</v>
      </c>
      <c r="B739">
        <v>131641376</v>
      </c>
      <c r="C739" t="s">
        <v>3943</v>
      </c>
      <c r="D739" t="s">
        <v>3944</v>
      </c>
      <c r="E739" t="s">
        <v>3118</v>
      </c>
      <c r="F739" t="s">
        <v>847</v>
      </c>
      <c r="G739" t="s">
        <v>142</v>
      </c>
      <c r="H739" t="s">
        <v>143</v>
      </c>
      <c r="I739" t="s">
        <v>35</v>
      </c>
      <c r="J739" t="s">
        <v>144</v>
      </c>
      <c r="K739" t="s">
        <v>2</v>
      </c>
      <c r="L739" t="s">
        <v>3945</v>
      </c>
      <c r="M739" t="s">
        <v>3946</v>
      </c>
      <c r="N739" t="s">
        <v>850</v>
      </c>
      <c r="O739" t="s">
        <v>40</v>
      </c>
      <c r="P739" t="s">
        <v>3947</v>
      </c>
      <c r="Q739" t="s">
        <v>110</v>
      </c>
      <c r="R739" t="s">
        <v>754</v>
      </c>
      <c r="S739">
        <v>1</v>
      </c>
      <c r="T739">
        <v>5759</v>
      </c>
      <c r="U739">
        <v>0</v>
      </c>
      <c r="V739">
        <v>5759</v>
      </c>
    </row>
    <row r="740" spans="1:22" x14ac:dyDescent="0.25">
      <c r="A740">
        <v>80147</v>
      </c>
      <c r="B740">
        <v>131529930</v>
      </c>
      <c r="C740" t="s">
        <v>3948</v>
      </c>
      <c r="D740" t="s">
        <v>3949</v>
      </c>
      <c r="E740" t="s">
        <v>3118</v>
      </c>
      <c r="F740" t="s">
        <v>847</v>
      </c>
      <c r="G740" t="s">
        <v>142</v>
      </c>
      <c r="H740" t="s">
        <v>143</v>
      </c>
      <c r="I740" t="s">
        <v>35</v>
      </c>
      <c r="J740" t="s">
        <v>144</v>
      </c>
      <c r="K740" t="s">
        <v>2</v>
      </c>
      <c r="L740" t="s">
        <v>3950</v>
      </c>
      <c r="M740" t="s">
        <v>3951</v>
      </c>
      <c r="N740" t="s">
        <v>850</v>
      </c>
      <c r="O740" t="s">
        <v>40</v>
      </c>
      <c r="P740" t="s">
        <v>3952</v>
      </c>
      <c r="Q740" t="s">
        <v>105</v>
      </c>
      <c r="R740" t="s">
        <v>577</v>
      </c>
      <c r="S740">
        <v>1</v>
      </c>
      <c r="T740">
        <v>5759</v>
      </c>
      <c r="U740">
        <v>0</v>
      </c>
      <c r="V740">
        <v>5759</v>
      </c>
    </row>
    <row r="741" spans="1:22" x14ac:dyDescent="0.25">
      <c r="A741">
        <v>80147</v>
      </c>
      <c r="B741">
        <v>131383594</v>
      </c>
      <c r="C741" t="s">
        <v>3953</v>
      </c>
      <c r="D741" t="s">
        <v>3954</v>
      </c>
      <c r="E741" t="s">
        <v>3118</v>
      </c>
      <c r="F741" t="s">
        <v>847</v>
      </c>
      <c r="G741" t="s">
        <v>142</v>
      </c>
      <c r="H741" t="s">
        <v>143</v>
      </c>
      <c r="I741" t="s">
        <v>35</v>
      </c>
      <c r="J741" t="s">
        <v>144</v>
      </c>
      <c r="K741" t="s">
        <v>2</v>
      </c>
      <c r="L741" t="s">
        <v>3955</v>
      </c>
      <c r="M741" t="s">
        <v>3956</v>
      </c>
      <c r="N741" t="s">
        <v>850</v>
      </c>
      <c r="O741" t="s">
        <v>40</v>
      </c>
      <c r="P741" t="s">
        <v>3957</v>
      </c>
      <c r="Q741" t="s">
        <v>261</v>
      </c>
      <c r="R741" t="s">
        <v>3300</v>
      </c>
      <c r="S741">
        <v>1</v>
      </c>
      <c r="T741">
        <v>5759</v>
      </c>
      <c r="U741">
        <v>0</v>
      </c>
      <c r="V741">
        <v>5759</v>
      </c>
    </row>
    <row r="742" spans="1:22" x14ac:dyDescent="0.25">
      <c r="A742">
        <v>80147</v>
      </c>
      <c r="B742">
        <v>131678715</v>
      </c>
      <c r="C742" t="s">
        <v>3958</v>
      </c>
      <c r="D742" t="s">
        <v>3959</v>
      </c>
      <c r="E742" t="s">
        <v>3118</v>
      </c>
      <c r="F742" t="s">
        <v>847</v>
      </c>
      <c r="G742" t="s">
        <v>142</v>
      </c>
      <c r="H742" t="s">
        <v>143</v>
      </c>
      <c r="I742" t="s">
        <v>35</v>
      </c>
      <c r="J742" t="s">
        <v>144</v>
      </c>
      <c r="K742" t="s">
        <v>2</v>
      </c>
      <c r="L742" t="s">
        <v>3960</v>
      </c>
      <c r="M742" t="s">
        <v>3961</v>
      </c>
      <c r="N742" t="s">
        <v>850</v>
      </c>
      <c r="O742" t="s">
        <v>40</v>
      </c>
      <c r="P742" t="s">
        <v>3962</v>
      </c>
      <c r="Q742" t="s">
        <v>109</v>
      </c>
      <c r="R742" t="s">
        <v>383</v>
      </c>
      <c r="S742">
        <v>1</v>
      </c>
      <c r="T742">
        <v>5759</v>
      </c>
      <c r="U742">
        <v>0</v>
      </c>
      <c r="V742">
        <v>5759</v>
      </c>
    </row>
    <row r="743" spans="1:22" x14ac:dyDescent="0.25">
      <c r="A743">
        <v>80147</v>
      </c>
      <c r="B743">
        <v>131383597</v>
      </c>
      <c r="C743" t="s">
        <v>3963</v>
      </c>
      <c r="D743" t="s">
        <v>3964</v>
      </c>
      <c r="E743" t="s">
        <v>3118</v>
      </c>
      <c r="F743" t="s">
        <v>847</v>
      </c>
      <c r="G743" t="s">
        <v>142</v>
      </c>
      <c r="H743" t="s">
        <v>143</v>
      </c>
      <c r="I743" t="s">
        <v>35</v>
      </c>
      <c r="J743" t="s">
        <v>144</v>
      </c>
      <c r="K743" t="s">
        <v>2</v>
      </c>
      <c r="L743" t="s">
        <v>3965</v>
      </c>
      <c r="M743" t="s">
        <v>3966</v>
      </c>
      <c r="N743" t="s">
        <v>850</v>
      </c>
      <c r="O743" t="s">
        <v>40</v>
      </c>
      <c r="P743" t="s">
        <v>3967</v>
      </c>
      <c r="Q743" t="s">
        <v>105</v>
      </c>
      <c r="R743" t="s">
        <v>3300</v>
      </c>
      <c r="S743">
        <v>1</v>
      </c>
      <c r="T743">
        <v>5759</v>
      </c>
      <c r="U743">
        <v>0</v>
      </c>
      <c r="V743">
        <v>5759</v>
      </c>
    </row>
    <row r="744" spans="1:22" x14ac:dyDescent="0.25">
      <c r="A744">
        <v>80147</v>
      </c>
      <c r="B744">
        <v>131567353</v>
      </c>
      <c r="C744" t="s">
        <v>3968</v>
      </c>
      <c r="D744" t="s">
        <v>3969</v>
      </c>
      <c r="E744" t="s">
        <v>3118</v>
      </c>
      <c r="F744" t="s">
        <v>847</v>
      </c>
      <c r="G744" t="s">
        <v>142</v>
      </c>
      <c r="H744" t="s">
        <v>143</v>
      </c>
      <c r="I744" t="s">
        <v>35</v>
      </c>
      <c r="J744" t="s">
        <v>144</v>
      </c>
      <c r="K744" t="s">
        <v>2</v>
      </c>
      <c r="L744" t="s">
        <v>3970</v>
      </c>
      <c r="M744" t="s">
        <v>571</v>
      </c>
      <c r="N744" t="s">
        <v>850</v>
      </c>
      <c r="O744" t="s">
        <v>40</v>
      </c>
      <c r="P744" t="s">
        <v>3971</v>
      </c>
      <c r="Q744" t="s">
        <v>110</v>
      </c>
      <c r="R744" t="s">
        <v>465</v>
      </c>
      <c r="S744">
        <v>1</v>
      </c>
      <c r="T744">
        <v>5759</v>
      </c>
      <c r="U744">
        <v>0</v>
      </c>
      <c r="V744">
        <v>5759</v>
      </c>
    </row>
    <row r="745" spans="1:22" x14ac:dyDescent="0.25">
      <c r="A745">
        <v>80147</v>
      </c>
      <c r="B745">
        <v>131554997</v>
      </c>
      <c r="C745" t="s">
        <v>3972</v>
      </c>
      <c r="D745" t="s">
        <v>3973</v>
      </c>
      <c r="E745" t="s">
        <v>3118</v>
      </c>
      <c r="F745" t="s">
        <v>847</v>
      </c>
      <c r="G745" t="s">
        <v>142</v>
      </c>
      <c r="H745" t="s">
        <v>143</v>
      </c>
      <c r="I745" t="s">
        <v>35</v>
      </c>
      <c r="J745" t="s">
        <v>144</v>
      </c>
      <c r="K745" t="s">
        <v>2</v>
      </c>
      <c r="L745" t="s">
        <v>3974</v>
      </c>
      <c r="M745" t="s">
        <v>3975</v>
      </c>
      <c r="N745" t="s">
        <v>850</v>
      </c>
      <c r="O745" t="s">
        <v>40</v>
      </c>
      <c r="P745" t="s">
        <v>3976</v>
      </c>
      <c r="Q745" t="s">
        <v>109</v>
      </c>
      <c r="R745" t="s">
        <v>323</v>
      </c>
      <c r="S745">
        <v>1</v>
      </c>
      <c r="T745">
        <v>5759</v>
      </c>
      <c r="U745">
        <v>0</v>
      </c>
      <c r="V745">
        <v>5759</v>
      </c>
    </row>
    <row r="746" spans="1:22" x14ac:dyDescent="0.25">
      <c r="A746">
        <v>80147</v>
      </c>
      <c r="B746">
        <v>131555000</v>
      </c>
      <c r="C746" t="s">
        <v>3977</v>
      </c>
      <c r="D746" t="s">
        <v>3978</v>
      </c>
      <c r="E746" t="s">
        <v>3118</v>
      </c>
      <c r="F746" t="s">
        <v>847</v>
      </c>
      <c r="G746" t="s">
        <v>142</v>
      </c>
      <c r="H746" t="s">
        <v>143</v>
      </c>
      <c r="I746" t="s">
        <v>35</v>
      </c>
      <c r="J746" t="s">
        <v>144</v>
      </c>
      <c r="K746" t="s">
        <v>2</v>
      </c>
      <c r="L746" t="s">
        <v>3979</v>
      </c>
      <c r="M746" t="s">
        <v>509</v>
      </c>
      <c r="N746" t="s">
        <v>850</v>
      </c>
      <c r="O746" t="s">
        <v>40</v>
      </c>
      <c r="P746" t="s">
        <v>3980</v>
      </c>
      <c r="Q746" t="s">
        <v>109</v>
      </c>
      <c r="R746" t="s">
        <v>323</v>
      </c>
      <c r="S746">
        <v>1</v>
      </c>
      <c r="T746">
        <v>5759</v>
      </c>
      <c r="U746">
        <v>0</v>
      </c>
      <c r="V746">
        <v>5759</v>
      </c>
    </row>
    <row r="747" spans="1:22" x14ac:dyDescent="0.25">
      <c r="A747">
        <v>80147</v>
      </c>
      <c r="B747">
        <v>131182367</v>
      </c>
      <c r="C747" t="s">
        <v>3981</v>
      </c>
      <c r="D747" t="s">
        <v>3982</v>
      </c>
      <c r="E747" t="s">
        <v>3118</v>
      </c>
      <c r="F747" t="s">
        <v>847</v>
      </c>
      <c r="G747" t="s">
        <v>142</v>
      </c>
      <c r="H747" t="s">
        <v>143</v>
      </c>
      <c r="I747" t="s">
        <v>35</v>
      </c>
      <c r="J747" t="s">
        <v>144</v>
      </c>
      <c r="K747" t="s">
        <v>2</v>
      </c>
      <c r="L747" t="s">
        <v>3983</v>
      </c>
      <c r="M747" t="s">
        <v>182</v>
      </c>
      <c r="N747" t="s">
        <v>850</v>
      </c>
      <c r="O747" t="s">
        <v>40</v>
      </c>
      <c r="P747" t="s">
        <v>3984</v>
      </c>
      <c r="Q747" t="s">
        <v>106</v>
      </c>
      <c r="R747" t="s">
        <v>3985</v>
      </c>
      <c r="S747">
        <v>1</v>
      </c>
      <c r="T747">
        <v>6267</v>
      </c>
      <c r="U747">
        <v>0</v>
      </c>
      <c r="V747">
        <v>6267</v>
      </c>
    </row>
    <row r="748" spans="1:22" x14ac:dyDescent="0.25">
      <c r="A748">
        <v>80147</v>
      </c>
      <c r="B748">
        <v>131312042</v>
      </c>
      <c r="C748" t="s">
        <v>3986</v>
      </c>
      <c r="D748" t="s">
        <v>3987</v>
      </c>
      <c r="E748" t="s">
        <v>3118</v>
      </c>
      <c r="F748" t="s">
        <v>847</v>
      </c>
      <c r="G748" t="s">
        <v>142</v>
      </c>
      <c r="H748" t="s">
        <v>143</v>
      </c>
      <c r="I748" t="s">
        <v>35</v>
      </c>
      <c r="J748" t="s">
        <v>144</v>
      </c>
      <c r="K748" t="s">
        <v>2</v>
      </c>
      <c r="L748" t="s">
        <v>3988</v>
      </c>
      <c r="M748" t="s">
        <v>3989</v>
      </c>
      <c r="N748" t="s">
        <v>850</v>
      </c>
      <c r="O748" t="s">
        <v>40</v>
      </c>
      <c r="P748" t="s">
        <v>3990</v>
      </c>
      <c r="Q748" t="s">
        <v>109</v>
      </c>
      <c r="R748" t="s">
        <v>589</v>
      </c>
      <c r="S748">
        <v>1</v>
      </c>
      <c r="T748">
        <v>5759</v>
      </c>
      <c r="U748">
        <v>0</v>
      </c>
      <c r="V748">
        <v>5759</v>
      </c>
    </row>
    <row r="749" spans="1:22" x14ac:dyDescent="0.25">
      <c r="A749">
        <v>80147</v>
      </c>
      <c r="B749">
        <v>131277393</v>
      </c>
      <c r="C749" t="s">
        <v>3991</v>
      </c>
      <c r="D749" t="s">
        <v>3992</v>
      </c>
      <c r="E749" t="s">
        <v>3118</v>
      </c>
      <c r="F749" t="s">
        <v>847</v>
      </c>
      <c r="G749" t="s">
        <v>142</v>
      </c>
      <c r="H749" t="s">
        <v>143</v>
      </c>
      <c r="I749" t="s">
        <v>35</v>
      </c>
      <c r="J749" t="s">
        <v>144</v>
      </c>
      <c r="K749" t="s">
        <v>2</v>
      </c>
      <c r="L749" t="s">
        <v>3993</v>
      </c>
      <c r="M749" t="s">
        <v>3994</v>
      </c>
      <c r="N749" t="s">
        <v>850</v>
      </c>
      <c r="O749" t="s">
        <v>40</v>
      </c>
      <c r="P749" t="s">
        <v>3995</v>
      </c>
      <c r="Q749" t="s">
        <v>109</v>
      </c>
      <c r="R749" t="s">
        <v>735</v>
      </c>
      <c r="S749">
        <v>1</v>
      </c>
      <c r="T749">
        <v>8651</v>
      </c>
      <c r="U749">
        <v>0</v>
      </c>
      <c r="V749">
        <v>8651</v>
      </c>
    </row>
    <row r="750" spans="1:22" x14ac:dyDescent="0.25">
      <c r="A750">
        <v>80147</v>
      </c>
      <c r="B750">
        <v>131182366</v>
      </c>
      <c r="C750" t="s">
        <v>3996</v>
      </c>
      <c r="D750" t="s">
        <v>3997</v>
      </c>
      <c r="E750" t="s">
        <v>3118</v>
      </c>
      <c r="F750" t="s">
        <v>847</v>
      </c>
      <c r="G750" t="s">
        <v>142</v>
      </c>
      <c r="H750" t="s">
        <v>143</v>
      </c>
      <c r="I750" t="s">
        <v>35</v>
      </c>
      <c r="J750" t="s">
        <v>144</v>
      </c>
      <c r="K750" t="s">
        <v>2</v>
      </c>
      <c r="L750" t="s">
        <v>3998</v>
      </c>
      <c r="M750" t="s">
        <v>508</v>
      </c>
      <c r="N750" t="s">
        <v>850</v>
      </c>
      <c r="O750" t="s">
        <v>40</v>
      </c>
      <c r="P750" t="s">
        <v>3999</v>
      </c>
      <c r="Q750" t="s">
        <v>224</v>
      </c>
      <c r="R750" t="s">
        <v>3985</v>
      </c>
      <c r="S750">
        <v>1</v>
      </c>
      <c r="T750">
        <v>7864</v>
      </c>
      <c r="U750">
        <v>0</v>
      </c>
      <c r="V750">
        <v>7864</v>
      </c>
    </row>
    <row r="751" spans="1:22" x14ac:dyDescent="0.25">
      <c r="A751">
        <v>80147</v>
      </c>
      <c r="B751">
        <v>131268093</v>
      </c>
      <c r="C751" t="s">
        <v>4000</v>
      </c>
      <c r="D751" t="s">
        <v>4001</v>
      </c>
      <c r="E751" t="s">
        <v>3118</v>
      </c>
      <c r="F751" t="s">
        <v>847</v>
      </c>
      <c r="G751" t="s">
        <v>142</v>
      </c>
      <c r="H751" t="s">
        <v>143</v>
      </c>
      <c r="I751" t="s">
        <v>35</v>
      </c>
      <c r="J751" t="s">
        <v>144</v>
      </c>
      <c r="K751" t="s">
        <v>2</v>
      </c>
      <c r="L751" t="s">
        <v>4002</v>
      </c>
      <c r="M751" t="s">
        <v>4003</v>
      </c>
      <c r="N751" t="s">
        <v>850</v>
      </c>
      <c r="O751" t="s">
        <v>40</v>
      </c>
      <c r="P751" t="s">
        <v>4004</v>
      </c>
      <c r="Q751" t="s">
        <v>149</v>
      </c>
      <c r="R751" t="s">
        <v>299</v>
      </c>
      <c r="S751">
        <v>1</v>
      </c>
      <c r="T751">
        <v>8085</v>
      </c>
      <c r="U751">
        <v>0</v>
      </c>
      <c r="V751">
        <v>8085</v>
      </c>
    </row>
    <row r="752" spans="1:22" x14ac:dyDescent="0.25">
      <c r="A752">
        <v>80147</v>
      </c>
      <c r="B752">
        <v>131230380</v>
      </c>
      <c r="C752" t="s">
        <v>4005</v>
      </c>
      <c r="D752" t="s">
        <v>4006</v>
      </c>
      <c r="E752" t="s">
        <v>3118</v>
      </c>
      <c r="F752" t="s">
        <v>847</v>
      </c>
      <c r="G752" t="s">
        <v>142</v>
      </c>
      <c r="H752" t="s">
        <v>143</v>
      </c>
      <c r="I752" t="s">
        <v>35</v>
      </c>
      <c r="J752" t="s">
        <v>144</v>
      </c>
      <c r="K752" t="s">
        <v>2</v>
      </c>
      <c r="L752" t="s">
        <v>547</v>
      </c>
      <c r="M752" t="s">
        <v>4007</v>
      </c>
      <c r="N752" t="s">
        <v>850</v>
      </c>
      <c r="O752" t="s">
        <v>40</v>
      </c>
      <c r="P752" t="s">
        <v>4008</v>
      </c>
      <c r="Q752" t="s">
        <v>149</v>
      </c>
      <c r="R752" t="s">
        <v>758</v>
      </c>
      <c r="S752">
        <v>1</v>
      </c>
      <c r="T752">
        <v>7864</v>
      </c>
      <c r="U752">
        <v>0</v>
      </c>
      <c r="V752">
        <v>7864</v>
      </c>
    </row>
    <row r="753" spans="1:22" x14ac:dyDescent="0.25">
      <c r="A753">
        <v>80147</v>
      </c>
      <c r="B753">
        <v>131078543</v>
      </c>
      <c r="C753" t="s">
        <v>4009</v>
      </c>
      <c r="D753" t="s">
        <v>4010</v>
      </c>
      <c r="E753" t="s">
        <v>3118</v>
      </c>
      <c r="F753" t="s">
        <v>847</v>
      </c>
      <c r="G753" t="s">
        <v>142</v>
      </c>
      <c r="H753" t="s">
        <v>143</v>
      </c>
      <c r="I753" t="s">
        <v>35</v>
      </c>
      <c r="J753" t="s">
        <v>144</v>
      </c>
      <c r="K753" t="s">
        <v>2</v>
      </c>
      <c r="L753" t="s">
        <v>4011</v>
      </c>
      <c r="M753" t="s">
        <v>4012</v>
      </c>
      <c r="N753" t="s">
        <v>850</v>
      </c>
      <c r="O753" t="s">
        <v>40</v>
      </c>
      <c r="P753" t="s">
        <v>4013</v>
      </c>
      <c r="Q753" t="s">
        <v>106</v>
      </c>
      <c r="R753" t="s">
        <v>4014</v>
      </c>
      <c r="S753">
        <v>1</v>
      </c>
      <c r="T753">
        <v>6267</v>
      </c>
      <c r="U753">
        <v>0</v>
      </c>
      <c r="V753">
        <v>6267</v>
      </c>
    </row>
    <row r="754" spans="1:22" x14ac:dyDescent="0.25">
      <c r="A754">
        <v>80147</v>
      </c>
      <c r="B754">
        <v>131134556</v>
      </c>
      <c r="C754" t="s">
        <v>4015</v>
      </c>
      <c r="D754" t="s">
        <v>4016</v>
      </c>
      <c r="E754" t="s">
        <v>3118</v>
      </c>
      <c r="F754" t="s">
        <v>847</v>
      </c>
      <c r="G754" t="s">
        <v>142</v>
      </c>
      <c r="H754" t="s">
        <v>143</v>
      </c>
      <c r="I754" t="s">
        <v>35</v>
      </c>
      <c r="J754" t="s">
        <v>144</v>
      </c>
      <c r="K754" t="s">
        <v>2</v>
      </c>
      <c r="L754" t="s">
        <v>4017</v>
      </c>
      <c r="M754" t="s">
        <v>4018</v>
      </c>
      <c r="N754" t="s">
        <v>850</v>
      </c>
      <c r="O754" t="s">
        <v>40</v>
      </c>
      <c r="P754" t="s">
        <v>4019</v>
      </c>
      <c r="Q754" t="s">
        <v>107</v>
      </c>
      <c r="R754" t="s">
        <v>4020</v>
      </c>
      <c r="S754">
        <v>1</v>
      </c>
      <c r="T754">
        <v>7212</v>
      </c>
      <c r="U754">
        <v>0</v>
      </c>
      <c r="V754">
        <v>7212</v>
      </c>
    </row>
    <row r="755" spans="1:22" x14ac:dyDescent="0.25">
      <c r="A755">
        <v>80147</v>
      </c>
      <c r="B755">
        <v>131134563</v>
      </c>
      <c r="C755" t="s">
        <v>4021</v>
      </c>
      <c r="D755" t="s">
        <v>4022</v>
      </c>
      <c r="E755" t="s">
        <v>3118</v>
      </c>
      <c r="F755" t="s">
        <v>847</v>
      </c>
      <c r="G755" t="s">
        <v>142</v>
      </c>
      <c r="H755" t="s">
        <v>143</v>
      </c>
      <c r="I755" t="s">
        <v>35</v>
      </c>
      <c r="J755" t="s">
        <v>144</v>
      </c>
      <c r="K755" t="s">
        <v>2</v>
      </c>
      <c r="L755" t="s">
        <v>4023</v>
      </c>
      <c r="M755" t="s">
        <v>4024</v>
      </c>
      <c r="N755" t="s">
        <v>850</v>
      </c>
      <c r="O755" t="s">
        <v>40</v>
      </c>
      <c r="P755" t="s">
        <v>4025</v>
      </c>
      <c r="Q755" t="s">
        <v>108</v>
      </c>
      <c r="R755" t="s">
        <v>4020</v>
      </c>
      <c r="S755">
        <v>1</v>
      </c>
      <c r="T755">
        <v>7212</v>
      </c>
      <c r="U755">
        <v>0</v>
      </c>
      <c r="V755">
        <v>7212</v>
      </c>
    </row>
    <row r="756" spans="1:22" x14ac:dyDescent="0.25">
      <c r="A756">
        <v>80147</v>
      </c>
      <c r="B756">
        <v>131134571</v>
      </c>
      <c r="C756" t="s">
        <v>4026</v>
      </c>
      <c r="D756" t="s">
        <v>4027</v>
      </c>
      <c r="E756" t="s">
        <v>3118</v>
      </c>
      <c r="F756" t="s">
        <v>847</v>
      </c>
      <c r="G756" t="s">
        <v>142</v>
      </c>
      <c r="H756" t="s">
        <v>143</v>
      </c>
      <c r="I756" t="s">
        <v>35</v>
      </c>
      <c r="J756" t="s">
        <v>144</v>
      </c>
      <c r="K756" t="s">
        <v>2</v>
      </c>
      <c r="L756" t="s">
        <v>4028</v>
      </c>
      <c r="M756" t="s">
        <v>4029</v>
      </c>
      <c r="N756" t="s">
        <v>850</v>
      </c>
      <c r="O756" t="s">
        <v>40</v>
      </c>
      <c r="P756" t="s">
        <v>4030</v>
      </c>
      <c r="Q756" t="s">
        <v>107</v>
      </c>
      <c r="R756" t="s">
        <v>4020</v>
      </c>
      <c r="S756">
        <v>1</v>
      </c>
      <c r="T756">
        <v>7212</v>
      </c>
      <c r="U756">
        <v>0</v>
      </c>
      <c r="V756">
        <v>7212</v>
      </c>
    </row>
    <row r="757" spans="1:22" x14ac:dyDescent="0.25">
      <c r="A757">
        <v>80147</v>
      </c>
      <c r="B757">
        <v>131134560</v>
      </c>
      <c r="C757" t="s">
        <v>4031</v>
      </c>
      <c r="D757" t="s">
        <v>4032</v>
      </c>
      <c r="E757" t="s">
        <v>3118</v>
      </c>
      <c r="F757" t="s">
        <v>847</v>
      </c>
      <c r="G757" t="s">
        <v>142</v>
      </c>
      <c r="H757" t="s">
        <v>143</v>
      </c>
      <c r="I757" t="s">
        <v>35</v>
      </c>
      <c r="J757" t="s">
        <v>144</v>
      </c>
      <c r="K757" t="s">
        <v>2</v>
      </c>
      <c r="L757" t="s">
        <v>4033</v>
      </c>
      <c r="M757" t="s">
        <v>457</v>
      </c>
      <c r="N757" t="s">
        <v>850</v>
      </c>
      <c r="O757" t="s">
        <v>40</v>
      </c>
      <c r="P757" t="s">
        <v>4034</v>
      </c>
      <c r="Q757" t="s">
        <v>109</v>
      </c>
      <c r="R757" t="s">
        <v>4020</v>
      </c>
      <c r="S757">
        <v>1</v>
      </c>
      <c r="T757">
        <v>8415</v>
      </c>
      <c r="U757">
        <v>0</v>
      </c>
      <c r="V757">
        <v>8415</v>
      </c>
    </row>
    <row r="758" spans="1:22" x14ac:dyDescent="0.25">
      <c r="A758">
        <v>80147</v>
      </c>
      <c r="B758">
        <v>131230372</v>
      </c>
      <c r="C758" t="s">
        <v>4035</v>
      </c>
      <c r="D758" t="s">
        <v>4036</v>
      </c>
      <c r="E758" t="s">
        <v>3118</v>
      </c>
      <c r="F758" t="s">
        <v>847</v>
      </c>
      <c r="G758" t="s">
        <v>142</v>
      </c>
      <c r="H758" t="s">
        <v>143</v>
      </c>
      <c r="I758" t="s">
        <v>35</v>
      </c>
      <c r="J758" t="s">
        <v>144</v>
      </c>
      <c r="K758" t="s">
        <v>2</v>
      </c>
      <c r="L758" t="s">
        <v>4037</v>
      </c>
      <c r="M758" t="s">
        <v>4038</v>
      </c>
      <c r="N758" t="s">
        <v>850</v>
      </c>
      <c r="O758" t="s">
        <v>40</v>
      </c>
      <c r="P758" t="s">
        <v>4039</v>
      </c>
      <c r="Q758" t="s">
        <v>90</v>
      </c>
      <c r="R758" t="s">
        <v>758</v>
      </c>
      <c r="S758">
        <v>1</v>
      </c>
      <c r="T758">
        <v>15722</v>
      </c>
      <c r="U758">
        <v>0</v>
      </c>
      <c r="V758">
        <v>15722</v>
      </c>
    </row>
    <row r="759" spans="1:22" x14ac:dyDescent="0.25">
      <c r="A759">
        <v>80147</v>
      </c>
      <c r="B759">
        <v>132178917</v>
      </c>
      <c r="C759" t="s">
        <v>4040</v>
      </c>
      <c r="D759" t="s">
        <v>4041</v>
      </c>
      <c r="E759" t="s">
        <v>3118</v>
      </c>
      <c r="F759" t="s">
        <v>847</v>
      </c>
      <c r="G759" t="s">
        <v>162</v>
      </c>
      <c r="H759" t="s">
        <v>163</v>
      </c>
      <c r="I759" t="s">
        <v>35</v>
      </c>
      <c r="J759" t="s">
        <v>164</v>
      </c>
      <c r="K759" t="s">
        <v>2</v>
      </c>
      <c r="L759" t="s">
        <v>4042</v>
      </c>
      <c r="M759" t="s">
        <v>4043</v>
      </c>
      <c r="N759" t="s">
        <v>850</v>
      </c>
      <c r="O759" t="s">
        <v>40</v>
      </c>
      <c r="P759" t="s">
        <v>4044</v>
      </c>
      <c r="Q759" t="s">
        <v>244</v>
      </c>
      <c r="R759" t="s">
        <v>550</v>
      </c>
      <c r="S759">
        <v>2.92</v>
      </c>
      <c r="T759">
        <v>5385</v>
      </c>
      <c r="U759">
        <v>224.95</v>
      </c>
      <c r="V759">
        <v>5609.95</v>
      </c>
    </row>
    <row r="760" spans="1:22" x14ac:dyDescent="0.25">
      <c r="A760">
        <v>80147</v>
      </c>
      <c r="B760">
        <v>132109920</v>
      </c>
      <c r="C760" t="s">
        <v>4045</v>
      </c>
      <c r="D760" t="s">
        <v>4046</v>
      </c>
      <c r="E760" t="s">
        <v>3118</v>
      </c>
      <c r="F760" t="s">
        <v>847</v>
      </c>
      <c r="G760" t="s">
        <v>162</v>
      </c>
      <c r="H760" t="s">
        <v>163</v>
      </c>
      <c r="I760" t="s">
        <v>35</v>
      </c>
      <c r="J760" t="s">
        <v>164</v>
      </c>
      <c r="K760" t="s">
        <v>2</v>
      </c>
      <c r="L760" t="s">
        <v>4047</v>
      </c>
      <c r="M760" t="s">
        <v>594</v>
      </c>
      <c r="N760" t="s">
        <v>850</v>
      </c>
      <c r="O760" t="s">
        <v>40</v>
      </c>
      <c r="P760" t="s">
        <v>4048</v>
      </c>
      <c r="Q760" t="s">
        <v>244</v>
      </c>
      <c r="R760" t="s">
        <v>3158</v>
      </c>
      <c r="S760">
        <v>2.9</v>
      </c>
      <c r="T760">
        <v>5385</v>
      </c>
      <c r="U760">
        <v>199.95</v>
      </c>
      <c r="V760">
        <v>5584.95</v>
      </c>
    </row>
    <row r="761" spans="1:22" x14ac:dyDescent="0.25">
      <c r="A761">
        <v>80147</v>
      </c>
      <c r="B761">
        <v>132073982</v>
      </c>
      <c r="C761" t="s">
        <v>4049</v>
      </c>
      <c r="D761" t="s">
        <v>4050</v>
      </c>
      <c r="E761" t="s">
        <v>3118</v>
      </c>
      <c r="F761" t="s">
        <v>847</v>
      </c>
      <c r="G761" t="s">
        <v>162</v>
      </c>
      <c r="H761" t="s">
        <v>163</v>
      </c>
      <c r="I761" t="s">
        <v>35</v>
      </c>
      <c r="J761" t="s">
        <v>164</v>
      </c>
      <c r="K761" t="s">
        <v>2</v>
      </c>
      <c r="L761" t="s">
        <v>4051</v>
      </c>
      <c r="M761" t="s">
        <v>4052</v>
      </c>
      <c r="N761" t="s">
        <v>850</v>
      </c>
      <c r="O761" t="s">
        <v>40</v>
      </c>
      <c r="P761" t="s">
        <v>4053</v>
      </c>
      <c r="Q761" t="s">
        <v>192</v>
      </c>
      <c r="R761" t="s">
        <v>3194</v>
      </c>
      <c r="S761">
        <v>2.91</v>
      </c>
      <c r="T761">
        <v>3924</v>
      </c>
      <c r="U761">
        <v>199.95</v>
      </c>
      <c r="V761">
        <v>4123.95</v>
      </c>
    </row>
    <row r="762" spans="1:22" x14ac:dyDescent="0.25">
      <c r="A762">
        <v>80147</v>
      </c>
      <c r="B762">
        <v>132073988</v>
      </c>
      <c r="C762" t="s">
        <v>4054</v>
      </c>
      <c r="D762" t="s">
        <v>4055</v>
      </c>
      <c r="E762" t="s">
        <v>3118</v>
      </c>
      <c r="F762" t="s">
        <v>847</v>
      </c>
      <c r="G762" t="s">
        <v>162</v>
      </c>
      <c r="H762" t="s">
        <v>163</v>
      </c>
      <c r="I762" t="s">
        <v>35</v>
      </c>
      <c r="J762" t="s">
        <v>164</v>
      </c>
      <c r="K762" t="s">
        <v>2</v>
      </c>
      <c r="L762" t="s">
        <v>4056</v>
      </c>
      <c r="M762" t="s">
        <v>4057</v>
      </c>
      <c r="N762" t="s">
        <v>850</v>
      </c>
      <c r="O762" t="s">
        <v>40</v>
      </c>
      <c r="P762" t="s">
        <v>4058</v>
      </c>
      <c r="Q762" t="s">
        <v>195</v>
      </c>
      <c r="R762" t="s">
        <v>3194</v>
      </c>
      <c r="S762">
        <v>3.43</v>
      </c>
      <c r="T762">
        <v>3685</v>
      </c>
      <c r="U762">
        <v>199.95</v>
      </c>
      <c r="V762">
        <v>3884.95</v>
      </c>
    </row>
    <row r="763" spans="1:22" x14ac:dyDescent="0.25">
      <c r="A763">
        <v>80147</v>
      </c>
      <c r="B763">
        <v>131662614</v>
      </c>
      <c r="C763" t="s">
        <v>4059</v>
      </c>
      <c r="D763" t="s">
        <v>4060</v>
      </c>
      <c r="E763" t="s">
        <v>3118</v>
      </c>
      <c r="F763" t="s">
        <v>847</v>
      </c>
      <c r="G763" t="s">
        <v>162</v>
      </c>
      <c r="H763" t="s">
        <v>163</v>
      </c>
      <c r="I763" t="s">
        <v>35</v>
      </c>
      <c r="J763" t="s">
        <v>164</v>
      </c>
      <c r="K763" t="s">
        <v>2</v>
      </c>
      <c r="L763" t="s">
        <v>4061</v>
      </c>
      <c r="M763" t="s">
        <v>4062</v>
      </c>
      <c r="N763" t="s">
        <v>850</v>
      </c>
      <c r="O763" t="s">
        <v>40</v>
      </c>
      <c r="P763" t="s">
        <v>4063</v>
      </c>
      <c r="Q763" t="s">
        <v>195</v>
      </c>
      <c r="R763" t="s">
        <v>1242</v>
      </c>
      <c r="S763">
        <v>2.94</v>
      </c>
      <c r="T763">
        <v>3269</v>
      </c>
      <c r="U763">
        <v>199.95</v>
      </c>
      <c r="V763">
        <v>3468.95</v>
      </c>
    </row>
    <row r="764" spans="1:22" x14ac:dyDescent="0.25">
      <c r="A764">
        <v>80147</v>
      </c>
      <c r="B764">
        <v>131589718</v>
      </c>
      <c r="C764" t="s">
        <v>4064</v>
      </c>
      <c r="D764" t="s">
        <v>4065</v>
      </c>
      <c r="E764" t="s">
        <v>3118</v>
      </c>
      <c r="F764" t="s">
        <v>847</v>
      </c>
      <c r="G764" t="s">
        <v>162</v>
      </c>
      <c r="H764" t="s">
        <v>163</v>
      </c>
      <c r="I764" t="s">
        <v>35</v>
      </c>
      <c r="J764" t="s">
        <v>164</v>
      </c>
      <c r="K764" t="s">
        <v>2</v>
      </c>
      <c r="L764" t="s">
        <v>4066</v>
      </c>
      <c r="M764" t="s">
        <v>4067</v>
      </c>
      <c r="N764" t="s">
        <v>850</v>
      </c>
      <c r="O764" t="s">
        <v>40</v>
      </c>
      <c r="P764" t="s">
        <v>4068</v>
      </c>
      <c r="Q764" t="s">
        <v>195</v>
      </c>
      <c r="R764" t="s">
        <v>494</v>
      </c>
      <c r="S764">
        <v>2.96</v>
      </c>
      <c r="T764">
        <v>3269</v>
      </c>
      <c r="U764">
        <v>199.95</v>
      </c>
      <c r="V764">
        <v>3468.95</v>
      </c>
    </row>
    <row r="765" spans="1:22" x14ac:dyDescent="0.25">
      <c r="A765">
        <v>80147</v>
      </c>
      <c r="B765">
        <v>131554998</v>
      </c>
      <c r="C765" t="s">
        <v>4069</v>
      </c>
      <c r="D765" t="s">
        <v>4070</v>
      </c>
      <c r="E765" t="s">
        <v>3118</v>
      </c>
      <c r="F765" t="s">
        <v>847</v>
      </c>
      <c r="G765" t="s">
        <v>162</v>
      </c>
      <c r="H765" t="s">
        <v>163</v>
      </c>
      <c r="I765" t="s">
        <v>35</v>
      </c>
      <c r="J765" t="s">
        <v>164</v>
      </c>
      <c r="K765" t="s">
        <v>2</v>
      </c>
      <c r="L765" t="s">
        <v>4071</v>
      </c>
      <c r="M765" t="s">
        <v>4072</v>
      </c>
      <c r="N765" t="s">
        <v>850</v>
      </c>
      <c r="O765" t="s">
        <v>40</v>
      </c>
      <c r="P765" t="s">
        <v>4073</v>
      </c>
      <c r="Q765" t="s">
        <v>210</v>
      </c>
      <c r="R765" t="s">
        <v>323</v>
      </c>
      <c r="S765">
        <v>2.95</v>
      </c>
      <c r="T765">
        <v>7025</v>
      </c>
      <c r="U765">
        <v>199.95</v>
      </c>
      <c r="V765">
        <v>7224.95</v>
      </c>
    </row>
    <row r="766" spans="1:22" x14ac:dyDescent="0.25">
      <c r="A766">
        <v>80147</v>
      </c>
      <c r="B766">
        <v>131529937</v>
      </c>
      <c r="C766" t="s">
        <v>4074</v>
      </c>
      <c r="D766" t="s">
        <v>4075</v>
      </c>
      <c r="E766" t="s">
        <v>3118</v>
      </c>
      <c r="F766" t="s">
        <v>847</v>
      </c>
      <c r="G766" t="s">
        <v>162</v>
      </c>
      <c r="H766" t="s">
        <v>163</v>
      </c>
      <c r="I766" t="s">
        <v>35</v>
      </c>
      <c r="J766" t="s">
        <v>164</v>
      </c>
      <c r="K766" t="s">
        <v>2</v>
      </c>
      <c r="L766" t="s">
        <v>4076</v>
      </c>
      <c r="M766" t="s">
        <v>4077</v>
      </c>
      <c r="N766" t="s">
        <v>850</v>
      </c>
      <c r="O766" t="s">
        <v>40</v>
      </c>
      <c r="P766" t="s">
        <v>4078</v>
      </c>
      <c r="Q766" t="s">
        <v>258</v>
      </c>
      <c r="R766" t="s">
        <v>577</v>
      </c>
      <c r="S766">
        <v>3.22</v>
      </c>
      <c r="T766">
        <v>10832</v>
      </c>
      <c r="U766">
        <v>199.95</v>
      </c>
      <c r="V766">
        <v>11031.95</v>
      </c>
    </row>
    <row r="767" spans="1:22" x14ac:dyDescent="0.25">
      <c r="A767">
        <v>80147</v>
      </c>
      <c r="B767">
        <v>131489575</v>
      </c>
      <c r="C767" t="s">
        <v>4079</v>
      </c>
      <c r="D767" t="s">
        <v>4080</v>
      </c>
      <c r="E767" t="s">
        <v>3118</v>
      </c>
      <c r="F767" t="s">
        <v>847</v>
      </c>
      <c r="G767" t="s">
        <v>162</v>
      </c>
      <c r="H767" t="s">
        <v>163</v>
      </c>
      <c r="I767" t="s">
        <v>35</v>
      </c>
      <c r="J767" t="s">
        <v>164</v>
      </c>
      <c r="K767" t="s">
        <v>2</v>
      </c>
      <c r="L767" t="s">
        <v>4081</v>
      </c>
      <c r="M767" t="s">
        <v>4082</v>
      </c>
      <c r="N767" t="s">
        <v>850</v>
      </c>
      <c r="O767" t="s">
        <v>40</v>
      </c>
      <c r="P767" t="s">
        <v>4083</v>
      </c>
      <c r="Q767" t="s">
        <v>220</v>
      </c>
      <c r="R767" t="s">
        <v>304</v>
      </c>
      <c r="S767">
        <v>3.42</v>
      </c>
      <c r="T767">
        <v>8215</v>
      </c>
      <c r="U767">
        <v>199.95</v>
      </c>
      <c r="V767">
        <v>8414.9500000000007</v>
      </c>
    </row>
    <row r="768" spans="1:22" x14ac:dyDescent="0.25">
      <c r="A768">
        <v>80147</v>
      </c>
      <c r="B768">
        <v>131383577</v>
      </c>
      <c r="C768" t="s">
        <v>4084</v>
      </c>
      <c r="D768" t="s">
        <v>4085</v>
      </c>
      <c r="E768" t="s">
        <v>3118</v>
      </c>
      <c r="F768" t="s">
        <v>847</v>
      </c>
      <c r="G768" t="s">
        <v>162</v>
      </c>
      <c r="H768" t="s">
        <v>163</v>
      </c>
      <c r="I768" t="s">
        <v>35</v>
      </c>
      <c r="J768" t="s">
        <v>164</v>
      </c>
      <c r="K768" t="s">
        <v>2</v>
      </c>
      <c r="L768" t="s">
        <v>4086</v>
      </c>
      <c r="M768" t="s">
        <v>4087</v>
      </c>
      <c r="N768" t="s">
        <v>850</v>
      </c>
      <c r="O768" t="s">
        <v>40</v>
      </c>
      <c r="P768" t="s">
        <v>4088</v>
      </c>
      <c r="Q768" t="s">
        <v>195</v>
      </c>
      <c r="R768" t="s">
        <v>3300</v>
      </c>
      <c r="S768">
        <v>2.95</v>
      </c>
      <c r="T768">
        <v>3269</v>
      </c>
      <c r="U768">
        <v>199.95</v>
      </c>
      <c r="V768">
        <v>3468.95</v>
      </c>
    </row>
    <row r="769" spans="1:22" x14ac:dyDescent="0.25">
      <c r="A769">
        <v>80147</v>
      </c>
      <c r="B769">
        <v>131277399</v>
      </c>
      <c r="C769" t="s">
        <v>4089</v>
      </c>
      <c r="D769" t="s">
        <v>4090</v>
      </c>
      <c r="E769" t="s">
        <v>3118</v>
      </c>
      <c r="F769" t="s">
        <v>847</v>
      </c>
      <c r="G769" t="s">
        <v>162</v>
      </c>
      <c r="H769" t="s">
        <v>163</v>
      </c>
      <c r="I769" t="s">
        <v>35</v>
      </c>
      <c r="J769" t="s">
        <v>164</v>
      </c>
      <c r="K769" t="s">
        <v>2</v>
      </c>
      <c r="L769" t="s">
        <v>4091</v>
      </c>
      <c r="M769" t="s">
        <v>4092</v>
      </c>
      <c r="N769" t="s">
        <v>850</v>
      </c>
      <c r="O769" t="s">
        <v>40</v>
      </c>
      <c r="P769" t="s">
        <v>642</v>
      </c>
      <c r="Q769" t="s">
        <v>137</v>
      </c>
      <c r="R769" t="s">
        <v>735</v>
      </c>
      <c r="S769">
        <v>2.93</v>
      </c>
      <c r="T769">
        <v>3924</v>
      </c>
      <c r="U769">
        <v>199.95</v>
      </c>
      <c r="V769">
        <v>4123.95</v>
      </c>
    </row>
    <row r="770" spans="1:22" x14ac:dyDescent="0.25">
      <c r="A770">
        <v>80147</v>
      </c>
      <c r="B770">
        <v>131887925</v>
      </c>
      <c r="C770" t="s">
        <v>4093</v>
      </c>
      <c r="D770" t="s">
        <v>4094</v>
      </c>
      <c r="E770" t="s">
        <v>3118</v>
      </c>
      <c r="F770" t="s">
        <v>847</v>
      </c>
      <c r="G770" t="s">
        <v>156</v>
      </c>
      <c r="H770" t="s">
        <v>157</v>
      </c>
      <c r="I770" t="s">
        <v>35</v>
      </c>
      <c r="J770" t="s">
        <v>166</v>
      </c>
      <c r="K770" t="s">
        <v>2</v>
      </c>
      <c r="L770" t="s">
        <v>158</v>
      </c>
      <c r="M770" t="s">
        <v>4095</v>
      </c>
      <c r="N770" t="s">
        <v>850</v>
      </c>
      <c r="O770" t="s">
        <v>40</v>
      </c>
      <c r="P770" t="s">
        <v>4096</v>
      </c>
      <c r="Q770" t="s">
        <v>118</v>
      </c>
      <c r="R770" t="s">
        <v>4097</v>
      </c>
      <c r="S770">
        <v>5.51</v>
      </c>
      <c r="T770">
        <v>7449</v>
      </c>
      <c r="U770">
        <v>0</v>
      </c>
      <c r="V770">
        <v>7449</v>
      </c>
    </row>
    <row r="771" spans="1:22" x14ac:dyDescent="0.25">
      <c r="A771">
        <v>80147</v>
      </c>
      <c r="B771">
        <v>131774036</v>
      </c>
      <c r="C771" t="s">
        <v>4098</v>
      </c>
      <c r="D771" t="s">
        <v>4099</v>
      </c>
      <c r="E771" t="s">
        <v>3118</v>
      </c>
      <c r="F771" t="s">
        <v>847</v>
      </c>
      <c r="G771" t="s">
        <v>156</v>
      </c>
      <c r="H771" t="s">
        <v>157</v>
      </c>
      <c r="I771" t="s">
        <v>35</v>
      </c>
      <c r="J771" t="s">
        <v>166</v>
      </c>
      <c r="K771" t="s">
        <v>2</v>
      </c>
      <c r="L771" t="s">
        <v>158</v>
      </c>
      <c r="M771" t="s">
        <v>4100</v>
      </c>
      <c r="N771" t="s">
        <v>850</v>
      </c>
      <c r="O771" t="s">
        <v>40</v>
      </c>
      <c r="P771" t="s">
        <v>4101</v>
      </c>
      <c r="Q771" t="s">
        <v>159</v>
      </c>
      <c r="R771" t="s">
        <v>3240</v>
      </c>
      <c r="S771">
        <v>6.2</v>
      </c>
      <c r="T771">
        <v>8930</v>
      </c>
      <c r="U771">
        <v>0</v>
      </c>
      <c r="V771">
        <v>8930</v>
      </c>
    </row>
    <row r="772" spans="1:22" x14ac:dyDescent="0.25">
      <c r="A772">
        <v>80147</v>
      </c>
      <c r="B772">
        <v>131078545</v>
      </c>
      <c r="C772" t="s">
        <v>4102</v>
      </c>
      <c r="D772" t="s">
        <v>4103</v>
      </c>
      <c r="E772" t="s">
        <v>3118</v>
      </c>
      <c r="F772" t="s">
        <v>847</v>
      </c>
      <c r="G772" t="s">
        <v>156</v>
      </c>
      <c r="H772" t="s">
        <v>157</v>
      </c>
      <c r="I772" t="s">
        <v>35</v>
      </c>
      <c r="J772" t="s">
        <v>166</v>
      </c>
      <c r="K772" t="s">
        <v>2</v>
      </c>
      <c r="L772" t="s">
        <v>158</v>
      </c>
      <c r="M772" t="s">
        <v>4104</v>
      </c>
      <c r="N772" t="s">
        <v>850</v>
      </c>
      <c r="O772" t="s">
        <v>40</v>
      </c>
      <c r="P772" t="s">
        <v>4105</v>
      </c>
      <c r="Q772" t="s">
        <v>114</v>
      </c>
      <c r="R772" t="s">
        <v>4014</v>
      </c>
      <c r="S772">
        <v>4.8</v>
      </c>
      <c r="T772">
        <v>11321</v>
      </c>
      <c r="U772">
        <v>0</v>
      </c>
      <c r="V772">
        <v>11321</v>
      </c>
    </row>
    <row r="773" spans="1:22" x14ac:dyDescent="0.25">
      <c r="A773">
        <v>80147</v>
      </c>
      <c r="B773">
        <v>131856138</v>
      </c>
      <c r="C773" t="s">
        <v>4106</v>
      </c>
      <c r="D773" t="s">
        <v>4107</v>
      </c>
      <c r="E773" t="s">
        <v>3118</v>
      </c>
      <c r="F773" t="s">
        <v>847</v>
      </c>
      <c r="G773" t="s">
        <v>156</v>
      </c>
      <c r="H773" t="s">
        <v>157</v>
      </c>
      <c r="I773" t="s">
        <v>35</v>
      </c>
      <c r="J773" t="s">
        <v>166</v>
      </c>
      <c r="K773" t="s">
        <v>2</v>
      </c>
      <c r="L773" t="s">
        <v>158</v>
      </c>
      <c r="M773" t="s">
        <v>401</v>
      </c>
      <c r="N773" t="s">
        <v>850</v>
      </c>
      <c r="O773" t="s">
        <v>40</v>
      </c>
      <c r="P773" t="s">
        <v>4108</v>
      </c>
      <c r="Q773" t="s">
        <v>118</v>
      </c>
      <c r="R773" t="s">
        <v>397</v>
      </c>
      <c r="S773">
        <v>8.3000000000000007</v>
      </c>
      <c r="T773">
        <v>9333</v>
      </c>
      <c r="U773">
        <v>0</v>
      </c>
      <c r="V773">
        <v>9333</v>
      </c>
    </row>
    <row r="774" spans="1:22" x14ac:dyDescent="0.25">
      <c r="A774">
        <v>80147</v>
      </c>
      <c r="B774">
        <v>131953393</v>
      </c>
      <c r="C774" t="s">
        <v>4109</v>
      </c>
      <c r="D774" t="s">
        <v>4110</v>
      </c>
      <c r="E774" t="s">
        <v>3118</v>
      </c>
      <c r="F774" t="s">
        <v>847</v>
      </c>
      <c r="G774" t="s">
        <v>156</v>
      </c>
      <c r="H774" t="s">
        <v>157</v>
      </c>
      <c r="I774" t="s">
        <v>35</v>
      </c>
      <c r="J774" t="s">
        <v>166</v>
      </c>
      <c r="K774" t="s">
        <v>2</v>
      </c>
      <c r="L774" t="s">
        <v>158</v>
      </c>
      <c r="M774" t="s">
        <v>4111</v>
      </c>
      <c r="N774" t="s">
        <v>850</v>
      </c>
      <c r="O774" t="s">
        <v>40</v>
      </c>
      <c r="P774" t="s">
        <v>4112</v>
      </c>
      <c r="Q774" t="s">
        <v>221</v>
      </c>
      <c r="R774" t="s">
        <v>699</v>
      </c>
      <c r="S774">
        <v>4.88</v>
      </c>
      <c r="T774">
        <v>7224</v>
      </c>
      <c r="U774">
        <v>0</v>
      </c>
      <c r="V774">
        <v>7224</v>
      </c>
    </row>
    <row r="775" spans="1:22" x14ac:dyDescent="0.25">
      <c r="A775">
        <v>80147</v>
      </c>
      <c r="B775">
        <v>131819760</v>
      </c>
      <c r="C775" t="s">
        <v>4113</v>
      </c>
      <c r="D775" t="s">
        <v>4114</v>
      </c>
      <c r="E775" t="s">
        <v>3118</v>
      </c>
      <c r="F775" t="s">
        <v>847</v>
      </c>
      <c r="G775" t="s">
        <v>156</v>
      </c>
      <c r="H775" t="s">
        <v>157</v>
      </c>
      <c r="I775" t="s">
        <v>35</v>
      </c>
      <c r="J775" t="s">
        <v>166</v>
      </c>
      <c r="K775" t="s">
        <v>2</v>
      </c>
      <c r="L775" t="s">
        <v>158</v>
      </c>
      <c r="M775" t="s">
        <v>4115</v>
      </c>
      <c r="N775" t="s">
        <v>850</v>
      </c>
      <c r="O775" t="s">
        <v>40</v>
      </c>
      <c r="P775" t="s">
        <v>4116</v>
      </c>
      <c r="Q775" t="s">
        <v>240</v>
      </c>
      <c r="R775" t="s">
        <v>499</v>
      </c>
      <c r="S775">
        <v>7.48</v>
      </c>
      <c r="T775">
        <v>11104</v>
      </c>
      <c r="U775">
        <v>0</v>
      </c>
      <c r="V775">
        <v>11104</v>
      </c>
    </row>
    <row r="776" spans="1:22" x14ac:dyDescent="0.25">
      <c r="A776">
        <v>80147</v>
      </c>
      <c r="B776">
        <v>131678711</v>
      </c>
      <c r="C776" t="s">
        <v>4117</v>
      </c>
      <c r="D776" t="s">
        <v>4118</v>
      </c>
      <c r="E776" t="s">
        <v>3118</v>
      </c>
      <c r="F776" t="s">
        <v>847</v>
      </c>
      <c r="G776" t="s">
        <v>156</v>
      </c>
      <c r="H776" t="s">
        <v>157</v>
      </c>
      <c r="I776" t="s">
        <v>35</v>
      </c>
      <c r="J776" t="s">
        <v>166</v>
      </c>
      <c r="K776" t="s">
        <v>2</v>
      </c>
      <c r="L776" t="s">
        <v>158</v>
      </c>
      <c r="M776" t="s">
        <v>4119</v>
      </c>
      <c r="N776" t="s">
        <v>850</v>
      </c>
      <c r="O776" t="s">
        <v>40</v>
      </c>
      <c r="P776" t="s">
        <v>4120</v>
      </c>
      <c r="Q776" t="s">
        <v>168</v>
      </c>
      <c r="R776" t="s">
        <v>383</v>
      </c>
      <c r="S776">
        <v>5.4</v>
      </c>
      <c r="T776">
        <v>4537</v>
      </c>
      <c r="U776">
        <v>0</v>
      </c>
      <c r="V776">
        <v>4537</v>
      </c>
    </row>
    <row r="777" spans="1:22" x14ac:dyDescent="0.25">
      <c r="A777">
        <v>80147</v>
      </c>
      <c r="B777">
        <v>131589720</v>
      </c>
      <c r="C777" t="s">
        <v>4121</v>
      </c>
      <c r="D777" t="s">
        <v>4122</v>
      </c>
      <c r="E777" t="s">
        <v>3118</v>
      </c>
      <c r="F777" t="s">
        <v>847</v>
      </c>
      <c r="G777" t="s">
        <v>156</v>
      </c>
      <c r="H777" t="s">
        <v>157</v>
      </c>
      <c r="I777" t="s">
        <v>35</v>
      </c>
      <c r="J777" t="s">
        <v>166</v>
      </c>
      <c r="K777" t="s">
        <v>2</v>
      </c>
      <c r="L777" t="s">
        <v>158</v>
      </c>
      <c r="M777" t="s">
        <v>4123</v>
      </c>
      <c r="N777" t="s">
        <v>850</v>
      </c>
      <c r="O777" t="s">
        <v>40</v>
      </c>
      <c r="P777" t="s">
        <v>4124</v>
      </c>
      <c r="Q777" t="s">
        <v>168</v>
      </c>
      <c r="R777" t="s">
        <v>494</v>
      </c>
      <c r="S777">
        <v>9.1</v>
      </c>
      <c r="T777">
        <v>5255</v>
      </c>
      <c r="U777">
        <v>0</v>
      </c>
      <c r="V777">
        <v>5255</v>
      </c>
    </row>
    <row r="778" spans="1:22" x14ac:dyDescent="0.25">
      <c r="A778">
        <v>80147</v>
      </c>
      <c r="B778">
        <v>131448758</v>
      </c>
      <c r="C778" t="s">
        <v>4125</v>
      </c>
      <c r="D778" t="s">
        <v>4126</v>
      </c>
      <c r="E778" t="s">
        <v>3118</v>
      </c>
      <c r="F778" t="s">
        <v>847</v>
      </c>
      <c r="G778" t="s">
        <v>156</v>
      </c>
      <c r="H778" t="s">
        <v>157</v>
      </c>
      <c r="I778" t="s">
        <v>35</v>
      </c>
      <c r="J778" t="s">
        <v>166</v>
      </c>
      <c r="K778" t="s">
        <v>2</v>
      </c>
      <c r="L778" t="s">
        <v>158</v>
      </c>
      <c r="M778" t="s">
        <v>183</v>
      </c>
      <c r="N778" t="s">
        <v>850</v>
      </c>
      <c r="O778" t="s">
        <v>40</v>
      </c>
      <c r="P778" t="s">
        <v>4127</v>
      </c>
      <c r="Q778" t="s">
        <v>53</v>
      </c>
      <c r="R778" t="s">
        <v>683</v>
      </c>
      <c r="S778">
        <v>8.8699999999999992</v>
      </c>
      <c r="T778">
        <v>5255</v>
      </c>
      <c r="U778">
        <v>0</v>
      </c>
      <c r="V778">
        <v>5255</v>
      </c>
    </row>
    <row r="779" spans="1:22" x14ac:dyDescent="0.25">
      <c r="A779">
        <v>80147</v>
      </c>
      <c r="B779">
        <v>131529941</v>
      </c>
      <c r="C779" t="s">
        <v>4128</v>
      </c>
      <c r="D779" t="s">
        <v>4129</v>
      </c>
      <c r="E779" t="s">
        <v>3118</v>
      </c>
      <c r="F779" t="s">
        <v>847</v>
      </c>
      <c r="G779" t="s">
        <v>156</v>
      </c>
      <c r="H779" t="s">
        <v>157</v>
      </c>
      <c r="I779" t="s">
        <v>35</v>
      </c>
      <c r="J779" t="s">
        <v>166</v>
      </c>
      <c r="K779" t="s">
        <v>2</v>
      </c>
      <c r="L779" t="s">
        <v>158</v>
      </c>
      <c r="M779" t="s">
        <v>4130</v>
      </c>
      <c r="N779" t="s">
        <v>850</v>
      </c>
      <c r="O779" t="s">
        <v>40</v>
      </c>
      <c r="P779" t="s">
        <v>4131</v>
      </c>
      <c r="Q779" t="s">
        <v>251</v>
      </c>
      <c r="R779" t="s">
        <v>577</v>
      </c>
      <c r="S779">
        <v>5.18</v>
      </c>
      <c r="T779">
        <v>8849</v>
      </c>
      <c r="U779">
        <v>0</v>
      </c>
      <c r="V779">
        <v>8849</v>
      </c>
    </row>
    <row r="780" spans="1:22" x14ac:dyDescent="0.25">
      <c r="A780">
        <v>80147</v>
      </c>
      <c r="B780">
        <v>131448760</v>
      </c>
      <c r="C780" t="s">
        <v>4132</v>
      </c>
      <c r="D780" t="s">
        <v>4133</v>
      </c>
      <c r="E780" t="s">
        <v>3118</v>
      </c>
      <c r="F780" t="s">
        <v>847</v>
      </c>
      <c r="G780" t="s">
        <v>156</v>
      </c>
      <c r="H780" t="s">
        <v>157</v>
      </c>
      <c r="I780" t="s">
        <v>35</v>
      </c>
      <c r="J780" t="s">
        <v>166</v>
      </c>
      <c r="K780" t="s">
        <v>2</v>
      </c>
      <c r="L780" t="s">
        <v>158</v>
      </c>
      <c r="M780" t="s">
        <v>4134</v>
      </c>
      <c r="N780" t="s">
        <v>850</v>
      </c>
      <c r="O780" t="s">
        <v>40</v>
      </c>
      <c r="P780" t="s">
        <v>4135</v>
      </c>
      <c r="Q780" t="s">
        <v>168</v>
      </c>
      <c r="R780" t="s">
        <v>683</v>
      </c>
      <c r="S780">
        <v>8.52</v>
      </c>
      <c r="T780">
        <v>5255</v>
      </c>
      <c r="U780">
        <v>0</v>
      </c>
      <c r="V780">
        <v>5255</v>
      </c>
    </row>
    <row r="781" spans="1:22" x14ac:dyDescent="0.25">
      <c r="A781">
        <v>80147</v>
      </c>
      <c r="B781">
        <v>131339970</v>
      </c>
      <c r="C781" t="s">
        <v>4136</v>
      </c>
      <c r="D781" t="s">
        <v>4137</v>
      </c>
      <c r="E781" t="s">
        <v>3118</v>
      </c>
      <c r="F781" t="s">
        <v>847</v>
      </c>
      <c r="G781" t="s">
        <v>156</v>
      </c>
      <c r="H781" t="s">
        <v>157</v>
      </c>
      <c r="I781" t="s">
        <v>35</v>
      </c>
      <c r="J781" t="s">
        <v>166</v>
      </c>
      <c r="K781" t="s">
        <v>2</v>
      </c>
      <c r="L781" t="s">
        <v>4138</v>
      </c>
      <c r="M781" t="s">
        <v>4139</v>
      </c>
      <c r="N781" t="s">
        <v>850</v>
      </c>
      <c r="O781" t="s">
        <v>40</v>
      </c>
      <c r="P781" t="s">
        <v>4140</v>
      </c>
      <c r="Q781" t="s">
        <v>396</v>
      </c>
      <c r="R781" t="s">
        <v>3381</v>
      </c>
      <c r="S781">
        <v>6.63</v>
      </c>
      <c r="T781">
        <v>23485</v>
      </c>
      <c r="U781">
        <v>0</v>
      </c>
      <c r="V781">
        <v>23485</v>
      </c>
    </row>
    <row r="782" spans="1:22" x14ac:dyDescent="0.25">
      <c r="A782">
        <v>80147</v>
      </c>
      <c r="B782">
        <v>131383596</v>
      </c>
      <c r="C782" t="s">
        <v>4141</v>
      </c>
      <c r="D782" t="s">
        <v>4142</v>
      </c>
      <c r="E782" t="s">
        <v>3118</v>
      </c>
      <c r="F782" t="s">
        <v>847</v>
      </c>
      <c r="G782" t="s">
        <v>156</v>
      </c>
      <c r="H782" t="s">
        <v>157</v>
      </c>
      <c r="I782" t="s">
        <v>35</v>
      </c>
      <c r="J782" t="s">
        <v>166</v>
      </c>
      <c r="K782" t="s">
        <v>2</v>
      </c>
      <c r="L782" t="s">
        <v>158</v>
      </c>
      <c r="M782" t="s">
        <v>4143</v>
      </c>
      <c r="N782" t="s">
        <v>850</v>
      </c>
      <c r="O782" t="s">
        <v>40</v>
      </c>
      <c r="P782" t="s">
        <v>4144</v>
      </c>
      <c r="Q782" t="s">
        <v>211</v>
      </c>
      <c r="R782" t="s">
        <v>3300</v>
      </c>
      <c r="S782">
        <v>5.65</v>
      </c>
      <c r="T782">
        <v>8305</v>
      </c>
      <c r="U782">
        <v>0</v>
      </c>
      <c r="V782">
        <v>8305</v>
      </c>
    </row>
    <row r="783" spans="1:22" x14ac:dyDescent="0.25">
      <c r="A783">
        <v>80147</v>
      </c>
      <c r="B783">
        <v>131489572</v>
      </c>
      <c r="C783" t="s">
        <v>4145</v>
      </c>
      <c r="D783" t="s">
        <v>4146</v>
      </c>
      <c r="E783" t="s">
        <v>3118</v>
      </c>
      <c r="F783" t="s">
        <v>847</v>
      </c>
      <c r="G783" t="s">
        <v>156</v>
      </c>
      <c r="H783" t="s">
        <v>157</v>
      </c>
      <c r="I783" t="s">
        <v>35</v>
      </c>
      <c r="J783" t="s">
        <v>166</v>
      </c>
      <c r="K783" t="s">
        <v>2</v>
      </c>
      <c r="L783" t="s">
        <v>158</v>
      </c>
      <c r="M783" t="s">
        <v>4147</v>
      </c>
      <c r="N783" t="s">
        <v>850</v>
      </c>
      <c r="O783" t="s">
        <v>40</v>
      </c>
      <c r="P783" t="s">
        <v>4148</v>
      </c>
      <c r="Q783" t="s">
        <v>53</v>
      </c>
      <c r="R783" t="s">
        <v>304</v>
      </c>
      <c r="S783">
        <v>5.81</v>
      </c>
      <c r="T783">
        <v>4537</v>
      </c>
      <c r="U783">
        <v>0</v>
      </c>
      <c r="V783">
        <v>4537</v>
      </c>
    </row>
    <row r="784" spans="1:22" x14ac:dyDescent="0.25">
      <c r="A784">
        <v>80147</v>
      </c>
      <c r="B784">
        <v>131383582</v>
      </c>
      <c r="C784" t="s">
        <v>4149</v>
      </c>
      <c r="D784" t="s">
        <v>4150</v>
      </c>
      <c r="E784" t="s">
        <v>3118</v>
      </c>
      <c r="F784" t="s">
        <v>847</v>
      </c>
      <c r="G784" t="s">
        <v>156</v>
      </c>
      <c r="H784" t="s">
        <v>157</v>
      </c>
      <c r="I784" t="s">
        <v>35</v>
      </c>
      <c r="J784" t="s">
        <v>166</v>
      </c>
      <c r="K784" t="s">
        <v>2</v>
      </c>
      <c r="L784" t="s">
        <v>158</v>
      </c>
      <c r="M784" t="s">
        <v>4151</v>
      </c>
      <c r="N784" t="s">
        <v>850</v>
      </c>
      <c r="O784" t="s">
        <v>40</v>
      </c>
      <c r="P784" t="s">
        <v>4152</v>
      </c>
      <c r="Q784" t="s">
        <v>219</v>
      </c>
      <c r="R784" t="s">
        <v>3300</v>
      </c>
      <c r="S784">
        <v>4.79</v>
      </c>
      <c r="T784">
        <v>7224</v>
      </c>
      <c r="U784">
        <v>0</v>
      </c>
      <c r="V784">
        <v>7224</v>
      </c>
    </row>
    <row r="785" spans="1:22" x14ac:dyDescent="0.25">
      <c r="A785">
        <v>80147</v>
      </c>
      <c r="B785">
        <v>131268091</v>
      </c>
      <c r="C785" t="s">
        <v>4153</v>
      </c>
      <c r="D785" t="s">
        <v>4154</v>
      </c>
      <c r="E785" t="s">
        <v>3118</v>
      </c>
      <c r="F785" t="s">
        <v>847</v>
      </c>
      <c r="G785" t="s">
        <v>156</v>
      </c>
      <c r="H785" t="s">
        <v>157</v>
      </c>
      <c r="I785" t="s">
        <v>35</v>
      </c>
      <c r="J785" t="s">
        <v>166</v>
      </c>
      <c r="K785" t="s">
        <v>2</v>
      </c>
      <c r="L785" t="s">
        <v>158</v>
      </c>
      <c r="M785" t="s">
        <v>511</v>
      </c>
      <c r="N785" t="s">
        <v>850</v>
      </c>
      <c r="O785" t="s">
        <v>40</v>
      </c>
      <c r="P785" t="s">
        <v>4155</v>
      </c>
      <c r="Q785" t="s">
        <v>118</v>
      </c>
      <c r="R785" t="s">
        <v>299</v>
      </c>
      <c r="S785">
        <v>5.95</v>
      </c>
      <c r="T785">
        <v>7449</v>
      </c>
      <c r="U785">
        <v>0</v>
      </c>
      <c r="V785">
        <v>7449</v>
      </c>
    </row>
    <row r="786" spans="1:22" x14ac:dyDescent="0.25">
      <c r="A786">
        <v>80147</v>
      </c>
      <c r="B786">
        <v>131182372</v>
      </c>
      <c r="C786" t="s">
        <v>4156</v>
      </c>
      <c r="D786" t="s">
        <v>4157</v>
      </c>
      <c r="E786" t="s">
        <v>3118</v>
      </c>
      <c r="F786" t="s">
        <v>847</v>
      </c>
      <c r="G786" t="s">
        <v>156</v>
      </c>
      <c r="H786" t="s">
        <v>157</v>
      </c>
      <c r="I786" t="s">
        <v>35</v>
      </c>
      <c r="J786" t="s">
        <v>166</v>
      </c>
      <c r="K786" t="s">
        <v>2</v>
      </c>
      <c r="L786" t="s">
        <v>158</v>
      </c>
      <c r="M786" t="s">
        <v>4158</v>
      </c>
      <c r="N786" t="s">
        <v>850</v>
      </c>
      <c r="O786" t="s">
        <v>40</v>
      </c>
      <c r="P786" t="s">
        <v>4159</v>
      </c>
      <c r="Q786" t="s">
        <v>84</v>
      </c>
      <c r="R786" t="s">
        <v>3985</v>
      </c>
      <c r="S786">
        <v>5.39</v>
      </c>
      <c r="T786">
        <v>4537</v>
      </c>
      <c r="U786">
        <v>0</v>
      </c>
      <c r="V786">
        <v>4537</v>
      </c>
    </row>
    <row r="787" spans="1:22" x14ac:dyDescent="0.25">
      <c r="A787">
        <v>80147</v>
      </c>
      <c r="B787">
        <v>131134559</v>
      </c>
      <c r="C787" t="s">
        <v>4160</v>
      </c>
      <c r="D787" t="s">
        <v>4161</v>
      </c>
      <c r="E787" t="s">
        <v>3118</v>
      </c>
      <c r="F787" t="s">
        <v>847</v>
      </c>
      <c r="G787" t="s">
        <v>156</v>
      </c>
      <c r="H787" t="s">
        <v>157</v>
      </c>
      <c r="I787" t="s">
        <v>35</v>
      </c>
      <c r="J787" t="s">
        <v>166</v>
      </c>
      <c r="K787" t="s">
        <v>2</v>
      </c>
      <c r="L787" t="s">
        <v>158</v>
      </c>
      <c r="M787" t="s">
        <v>4162</v>
      </c>
      <c r="N787" t="s">
        <v>850</v>
      </c>
      <c r="O787" t="s">
        <v>40</v>
      </c>
      <c r="P787" t="s">
        <v>4163</v>
      </c>
      <c r="Q787" t="s">
        <v>240</v>
      </c>
      <c r="R787" t="s">
        <v>4020</v>
      </c>
      <c r="S787">
        <v>8.49</v>
      </c>
      <c r="T787">
        <v>11104</v>
      </c>
      <c r="U787">
        <v>0</v>
      </c>
      <c r="V787">
        <v>11104</v>
      </c>
    </row>
    <row r="788" spans="1:22" x14ac:dyDescent="0.25">
      <c r="A788">
        <v>80147</v>
      </c>
      <c r="B788">
        <v>131134566</v>
      </c>
      <c r="C788" t="s">
        <v>4164</v>
      </c>
      <c r="D788" t="s">
        <v>4165</v>
      </c>
      <c r="E788" t="s">
        <v>3118</v>
      </c>
      <c r="F788" t="s">
        <v>847</v>
      </c>
      <c r="G788" t="s">
        <v>156</v>
      </c>
      <c r="H788" t="s">
        <v>157</v>
      </c>
      <c r="I788" t="s">
        <v>35</v>
      </c>
      <c r="J788" t="s">
        <v>166</v>
      </c>
      <c r="K788" t="s">
        <v>2</v>
      </c>
      <c r="L788" t="s">
        <v>158</v>
      </c>
      <c r="M788" t="s">
        <v>4166</v>
      </c>
      <c r="N788" t="s">
        <v>850</v>
      </c>
      <c r="O788" t="s">
        <v>40</v>
      </c>
      <c r="P788" t="s">
        <v>4167</v>
      </c>
      <c r="Q788" t="s">
        <v>122</v>
      </c>
      <c r="R788" t="s">
        <v>4020</v>
      </c>
      <c r="S788">
        <v>7.9</v>
      </c>
      <c r="T788">
        <v>9782</v>
      </c>
      <c r="U788">
        <v>0</v>
      </c>
      <c r="V788">
        <v>9782</v>
      </c>
    </row>
    <row r="789" spans="1:22" x14ac:dyDescent="0.25">
      <c r="A789">
        <v>187276</v>
      </c>
      <c r="B789">
        <v>131544347</v>
      </c>
      <c r="C789" t="s">
        <v>4168</v>
      </c>
      <c r="D789">
        <v>18796658</v>
      </c>
      <c r="E789" t="s">
        <v>4169</v>
      </c>
      <c r="F789" t="s">
        <v>847</v>
      </c>
      <c r="G789" t="s">
        <v>504</v>
      </c>
      <c r="H789" t="s">
        <v>505</v>
      </c>
      <c r="I789" t="s">
        <v>35</v>
      </c>
      <c r="J789" t="s">
        <v>320</v>
      </c>
      <c r="K789" t="s">
        <v>2</v>
      </c>
      <c r="L789" t="s">
        <v>103</v>
      </c>
      <c r="M789" t="s">
        <v>4170</v>
      </c>
      <c r="N789" t="s">
        <v>850</v>
      </c>
      <c r="O789" t="s">
        <v>40</v>
      </c>
      <c r="P789" t="s">
        <v>4171</v>
      </c>
      <c r="Q789" t="s">
        <v>153</v>
      </c>
      <c r="R789" t="s">
        <v>826</v>
      </c>
      <c r="S789">
        <v>1</v>
      </c>
      <c r="T789">
        <v>2706</v>
      </c>
      <c r="U789">
        <v>0</v>
      </c>
      <c r="V789">
        <v>2706</v>
      </c>
    </row>
    <row r="790" spans="1:22" x14ac:dyDescent="0.25">
      <c r="A790">
        <v>187276</v>
      </c>
      <c r="B790">
        <v>131215756</v>
      </c>
      <c r="C790" t="s">
        <v>4172</v>
      </c>
      <c r="D790">
        <v>18785339</v>
      </c>
      <c r="E790" t="s">
        <v>4169</v>
      </c>
      <c r="F790" t="s">
        <v>847</v>
      </c>
      <c r="G790" t="s">
        <v>504</v>
      </c>
      <c r="H790" t="s">
        <v>505</v>
      </c>
      <c r="I790" t="s">
        <v>35</v>
      </c>
      <c r="J790" t="s">
        <v>320</v>
      </c>
      <c r="K790" t="s">
        <v>2</v>
      </c>
      <c r="L790" t="s">
        <v>103</v>
      </c>
      <c r="M790" t="s">
        <v>4173</v>
      </c>
      <c r="N790" t="s">
        <v>850</v>
      </c>
      <c r="O790" t="s">
        <v>40</v>
      </c>
      <c r="P790" t="s">
        <v>4174</v>
      </c>
      <c r="Q790" t="s">
        <v>140</v>
      </c>
      <c r="R790" t="s">
        <v>4175</v>
      </c>
      <c r="S790">
        <v>1</v>
      </c>
      <c r="T790">
        <v>2706</v>
      </c>
      <c r="U790">
        <v>0</v>
      </c>
      <c r="V790">
        <v>2706</v>
      </c>
    </row>
    <row r="791" spans="1:22" x14ac:dyDescent="0.25">
      <c r="A791">
        <v>187276</v>
      </c>
      <c r="B791">
        <v>132019187</v>
      </c>
      <c r="C791" t="s">
        <v>4176</v>
      </c>
      <c r="D791" t="s">
        <v>4177</v>
      </c>
      <c r="E791" t="s">
        <v>4169</v>
      </c>
      <c r="F791" t="s">
        <v>847</v>
      </c>
      <c r="G791" t="s">
        <v>142</v>
      </c>
      <c r="H791" t="s">
        <v>143</v>
      </c>
      <c r="I791" t="s">
        <v>35</v>
      </c>
      <c r="J791" t="s">
        <v>144</v>
      </c>
      <c r="K791" t="s">
        <v>2</v>
      </c>
      <c r="L791" t="s">
        <v>4178</v>
      </c>
      <c r="M791" t="s">
        <v>4179</v>
      </c>
      <c r="N791" t="s">
        <v>850</v>
      </c>
      <c r="O791" t="s">
        <v>40</v>
      </c>
      <c r="P791" t="s">
        <v>4180</v>
      </c>
      <c r="Q791" t="s">
        <v>49</v>
      </c>
      <c r="R791" t="s">
        <v>4181</v>
      </c>
      <c r="S791">
        <v>0.95</v>
      </c>
      <c r="T791">
        <v>3366</v>
      </c>
      <c r="U791">
        <v>0</v>
      </c>
      <c r="V791">
        <v>3366</v>
      </c>
    </row>
    <row r="792" spans="1:22" x14ac:dyDescent="0.25">
      <c r="A792">
        <v>187276</v>
      </c>
      <c r="B792">
        <v>131714488</v>
      </c>
      <c r="C792" t="s">
        <v>4182</v>
      </c>
      <c r="D792" t="s">
        <v>4183</v>
      </c>
      <c r="E792" t="s">
        <v>4169</v>
      </c>
      <c r="F792" t="s">
        <v>847</v>
      </c>
      <c r="G792" t="s">
        <v>142</v>
      </c>
      <c r="H792" t="s">
        <v>143</v>
      </c>
      <c r="I792" t="s">
        <v>35</v>
      </c>
      <c r="J792" t="s">
        <v>144</v>
      </c>
      <c r="K792" t="s">
        <v>2</v>
      </c>
      <c r="L792" t="s">
        <v>4184</v>
      </c>
      <c r="M792" t="s">
        <v>4185</v>
      </c>
      <c r="N792" t="s">
        <v>850</v>
      </c>
      <c r="O792" t="s">
        <v>40</v>
      </c>
      <c r="P792" t="s">
        <v>4186</v>
      </c>
      <c r="Q792" t="s">
        <v>48</v>
      </c>
      <c r="R792" t="s">
        <v>496</v>
      </c>
      <c r="S792">
        <v>1</v>
      </c>
      <c r="T792">
        <v>3366</v>
      </c>
      <c r="U792">
        <v>0</v>
      </c>
      <c r="V792">
        <v>3366</v>
      </c>
    </row>
    <row r="793" spans="1:22" x14ac:dyDescent="0.25">
      <c r="A793">
        <v>187276</v>
      </c>
      <c r="B793">
        <v>131434071</v>
      </c>
      <c r="C793" t="s">
        <v>4187</v>
      </c>
      <c r="D793" t="s">
        <v>4188</v>
      </c>
      <c r="E793" t="s">
        <v>4169</v>
      </c>
      <c r="F793" t="s">
        <v>847</v>
      </c>
      <c r="G793" t="s">
        <v>142</v>
      </c>
      <c r="H793" t="s">
        <v>143</v>
      </c>
      <c r="I793" t="s">
        <v>35</v>
      </c>
      <c r="J793" t="s">
        <v>144</v>
      </c>
      <c r="K793" t="s">
        <v>169</v>
      </c>
      <c r="L793" t="s">
        <v>267</v>
      </c>
      <c r="M793" t="s">
        <v>336</v>
      </c>
      <c r="N793" t="s">
        <v>850</v>
      </c>
      <c r="O793" t="s">
        <v>40</v>
      </c>
      <c r="P793" t="s">
        <v>4189</v>
      </c>
      <c r="Q793" t="s">
        <v>46</v>
      </c>
      <c r="R793" t="s">
        <v>670</v>
      </c>
      <c r="S793">
        <v>0.9</v>
      </c>
      <c r="T793">
        <v>3366</v>
      </c>
      <c r="U793">
        <v>0</v>
      </c>
      <c r="V793">
        <v>3366</v>
      </c>
    </row>
    <row r="794" spans="1:22" x14ac:dyDescent="0.25">
      <c r="A794">
        <v>187276</v>
      </c>
      <c r="B794">
        <v>131765426</v>
      </c>
      <c r="C794" t="s">
        <v>4190</v>
      </c>
      <c r="D794" t="s">
        <v>4191</v>
      </c>
      <c r="E794" t="s">
        <v>4169</v>
      </c>
      <c r="F794" t="s">
        <v>847</v>
      </c>
      <c r="G794" t="s">
        <v>142</v>
      </c>
      <c r="H794" t="s">
        <v>143</v>
      </c>
      <c r="I794" t="s">
        <v>35</v>
      </c>
      <c r="J794" t="s">
        <v>144</v>
      </c>
      <c r="K794" t="s">
        <v>2</v>
      </c>
      <c r="L794" t="s">
        <v>4192</v>
      </c>
      <c r="M794" t="s">
        <v>4193</v>
      </c>
      <c r="N794" t="s">
        <v>850</v>
      </c>
      <c r="O794" t="s">
        <v>40</v>
      </c>
      <c r="P794" t="s">
        <v>4194</v>
      </c>
      <c r="Q794" t="s">
        <v>79</v>
      </c>
      <c r="R794" t="s">
        <v>4195</v>
      </c>
      <c r="S794">
        <v>0.31</v>
      </c>
      <c r="T794">
        <v>3449</v>
      </c>
      <c r="U794">
        <v>0</v>
      </c>
      <c r="V794">
        <v>3449</v>
      </c>
    </row>
    <row r="795" spans="1:22" x14ac:dyDescent="0.25">
      <c r="A795">
        <v>187276</v>
      </c>
      <c r="B795">
        <v>131280388</v>
      </c>
      <c r="C795" t="s">
        <v>4196</v>
      </c>
      <c r="D795" t="s">
        <v>4197</v>
      </c>
      <c r="E795" t="s">
        <v>4169</v>
      </c>
      <c r="F795" t="s">
        <v>847</v>
      </c>
      <c r="G795" t="s">
        <v>142</v>
      </c>
      <c r="H795" t="s">
        <v>143</v>
      </c>
      <c r="I795" t="s">
        <v>35</v>
      </c>
      <c r="J795" t="s">
        <v>144</v>
      </c>
      <c r="K795" t="s">
        <v>2</v>
      </c>
      <c r="L795" t="s">
        <v>4198</v>
      </c>
      <c r="M795" t="s">
        <v>4199</v>
      </c>
      <c r="N795" t="s">
        <v>850</v>
      </c>
      <c r="O795" t="s">
        <v>40</v>
      </c>
      <c r="P795" t="s">
        <v>4200</v>
      </c>
      <c r="Q795" t="s">
        <v>78</v>
      </c>
      <c r="R795" t="s">
        <v>327</v>
      </c>
      <c r="S795">
        <v>0.25</v>
      </c>
      <c r="T795">
        <v>3449</v>
      </c>
      <c r="U795">
        <v>0</v>
      </c>
      <c r="V795">
        <v>3449</v>
      </c>
    </row>
    <row r="796" spans="1:22" x14ac:dyDescent="0.25">
      <c r="A796">
        <v>187276</v>
      </c>
      <c r="B796">
        <v>131937626</v>
      </c>
      <c r="C796" t="s">
        <v>4201</v>
      </c>
      <c r="D796" t="s">
        <v>4202</v>
      </c>
      <c r="E796" t="s">
        <v>4169</v>
      </c>
      <c r="F796" t="s">
        <v>847</v>
      </c>
      <c r="G796" t="s">
        <v>142</v>
      </c>
      <c r="H796" t="s">
        <v>143</v>
      </c>
      <c r="I796" t="s">
        <v>35</v>
      </c>
      <c r="J796" t="s">
        <v>144</v>
      </c>
      <c r="K796" t="s">
        <v>2</v>
      </c>
      <c r="L796" t="s">
        <v>4203</v>
      </c>
      <c r="M796" t="s">
        <v>4204</v>
      </c>
      <c r="N796" t="s">
        <v>850</v>
      </c>
      <c r="O796" t="s">
        <v>40</v>
      </c>
      <c r="P796" t="s">
        <v>4205</v>
      </c>
      <c r="Q796" t="s">
        <v>242</v>
      </c>
      <c r="R796" t="s">
        <v>498</v>
      </c>
      <c r="S796">
        <v>3.25</v>
      </c>
      <c r="T796">
        <v>4322</v>
      </c>
      <c r="U796">
        <v>0</v>
      </c>
      <c r="V796">
        <v>4322</v>
      </c>
    </row>
    <row r="797" spans="1:22" x14ac:dyDescent="0.25">
      <c r="A797">
        <v>187276</v>
      </c>
      <c r="B797">
        <v>131849932</v>
      </c>
      <c r="C797" t="s">
        <v>4206</v>
      </c>
      <c r="D797" t="s">
        <v>4207</v>
      </c>
      <c r="E797" t="s">
        <v>4169</v>
      </c>
      <c r="F797" t="s">
        <v>847</v>
      </c>
      <c r="G797" t="s">
        <v>142</v>
      </c>
      <c r="H797" t="s">
        <v>143</v>
      </c>
      <c r="I797" t="s">
        <v>35</v>
      </c>
      <c r="J797" t="s">
        <v>144</v>
      </c>
      <c r="K797" t="s">
        <v>2</v>
      </c>
      <c r="L797" t="s">
        <v>4208</v>
      </c>
      <c r="M797" t="s">
        <v>4209</v>
      </c>
      <c r="N797" t="s">
        <v>850</v>
      </c>
      <c r="O797" t="s">
        <v>40</v>
      </c>
      <c r="P797" t="s">
        <v>4210</v>
      </c>
      <c r="Q797" t="s">
        <v>58</v>
      </c>
      <c r="R797" t="s">
        <v>4211</v>
      </c>
      <c r="S797">
        <v>1.23</v>
      </c>
      <c r="T797">
        <v>3753</v>
      </c>
      <c r="U797">
        <v>0</v>
      </c>
      <c r="V797">
        <v>3753</v>
      </c>
    </row>
    <row r="798" spans="1:22" x14ac:dyDescent="0.25">
      <c r="A798">
        <v>187276</v>
      </c>
      <c r="B798">
        <v>131251209</v>
      </c>
      <c r="C798" t="s">
        <v>4212</v>
      </c>
      <c r="D798" t="s">
        <v>4213</v>
      </c>
      <c r="E798" t="s">
        <v>4169</v>
      </c>
      <c r="F798" t="s">
        <v>847</v>
      </c>
      <c r="G798" t="s">
        <v>142</v>
      </c>
      <c r="H798" t="s">
        <v>143</v>
      </c>
      <c r="I798" t="s">
        <v>35</v>
      </c>
      <c r="J798" t="s">
        <v>144</v>
      </c>
      <c r="K798" t="s">
        <v>2</v>
      </c>
      <c r="L798" t="s">
        <v>4214</v>
      </c>
      <c r="M798" t="s">
        <v>4204</v>
      </c>
      <c r="N798" t="s">
        <v>850</v>
      </c>
      <c r="O798" t="s">
        <v>40</v>
      </c>
      <c r="P798" t="s">
        <v>4215</v>
      </c>
      <c r="Q798" t="s">
        <v>242</v>
      </c>
      <c r="R798" t="s">
        <v>4216</v>
      </c>
      <c r="S798">
        <v>3.25</v>
      </c>
      <c r="T798">
        <v>4322</v>
      </c>
      <c r="U798">
        <v>0</v>
      </c>
      <c r="V798">
        <v>4322</v>
      </c>
    </row>
    <row r="799" spans="1:22" x14ac:dyDescent="0.25">
      <c r="A799">
        <v>187276</v>
      </c>
      <c r="B799">
        <v>131321166</v>
      </c>
      <c r="C799" t="s">
        <v>4217</v>
      </c>
      <c r="D799" t="s">
        <v>4218</v>
      </c>
      <c r="E799" t="s">
        <v>4169</v>
      </c>
      <c r="F799" t="s">
        <v>847</v>
      </c>
      <c r="G799" t="s">
        <v>142</v>
      </c>
      <c r="H799" t="s">
        <v>143</v>
      </c>
      <c r="I799" t="s">
        <v>35</v>
      </c>
      <c r="J799" t="s">
        <v>144</v>
      </c>
      <c r="K799" t="s">
        <v>2</v>
      </c>
      <c r="L799" t="s">
        <v>4219</v>
      </c>
      <c r="M799" t="s">
        <v>4220</v>
      </c>
      <c r="N799" t="s">
        <v>850</v>
      </c>
      <c r="O799" t="s">
        <v>40</v>
      </c>
      <c r="P799" t="s">
        <v>4221</v>
      </c>
      <c r="Q799" t="s">
        <v>112</v>
      </c>
      <c r="R799" t="s">
        <v>312</v>
      </c>
      <c r="S799">
        <v>1.2</v>
      </c>
      <c r="T799">
        <v>4067</v>
      </c>
      <c r="U799">
        <v>0</v>
      </c>
      <c r="V799">
        <v>4067</v>
      </c>
    </row>
    <row r="800" spans="1:22" x14ac:dyDescent="0.25">
      <c r="A800">
        <v>187276</v>
      </c>
      <c r="B800">
        <v>130613975</v>
      </c>
      <c r="C800" t="s">
        <v>4222</v>
      </c>
      <c r="D800" t="s">
        <v>4223</v>
      </c>
      <c r="E800" t="s">
        <v>4169</v>
      </c>
      <c r="F800" t="s">
        <v>847</v>
      </c>
      <c r="G800" t="s">
        <v>142</v>
      </c>
      <c r="H800" t="s">
        <v>143</v>
      </c>
      <c r="I800" t="s">
        <v>35</v>
      </c>
      <c r="J800" t="s">
        <v>144</v>
      </c>
      <c r="K800" t="s">
        <v>2</v>
      </c>
      <c r="L800" t="s">
        <v>4224</v>
      </c>
      <c r="M800" t="s">
        <v>4225</v>
      </c>
      <c r="N800" t="s">
        <v>850</v>
      </c>
      <c r="O800" t="s">
        <v>40</v>
      </c>
      <c r="P800" t="s">
        <v>4226</v>
      </c>
      <c r="Q800" t="s">
        <v>74</v>
      </c>
      <c r="R800" t="s">
        <v>4227</v>
      </c>
      <c r="S800">
        <v>2.4</v>
      </c>
      <c r="T800">
        <v>5829.84</v>
      </c>
      <c r="U800">
        <v>0</v>
      </c>
      <c r="V800">
        <v>5829.84</v>
      </c>
    </row>
    <row r="801" spans="1:22" x14ac:dyDescent="0.25">
      <c r="A801">
        <v>187276</v>
      </c>
      <c r="B801">
        <v>131156954</v>
      </c>
      <c r="C801" t="s">
        <v>4228</v>
      </c>
      <c r="D801" t="s">
        <v>4229</v>
      </c>
      <c r="E801" t="s">
        <v>4169</v>
      </c>
      <c r="F801" t="s">
        <v>847</v>
      </c>
      <c r="G801" t="s">
        <v>162</v>
      </c>
      <c r="H801" t="s">
        <v>163</v>
      </c>
      <c r="I801" t="s">
        <v>35</v>
      </c>
      <c r="J801" t="s">
        <v>164</v>
      </c>
      <c r="K801" t="s">
        <v>2</v>
      </c>
      <c r="L801" t="s">
        <v>4230</v>
      </c>
      <c r="M801" t="s">
        <v>4231</v>
      </c>
      <c r="N801" t="s">
        <v>850</v>
      </c>
      <c r="O801" t="s">
        <v>40</v>
      </c>
      <c r="P801" t="s">
        <v>4232</v>
      </c>
      <c r="Q801" t="s">
        <v>54</v>
      </c>
      <c r="R801" t="s">
        <v>4233</v>
      </c>
      <c r="S801">
        <v>4.33</v>
      </c>
      <c r="T801">
        <v>6878</v>
      </c>
      <c r="U801">
        <v>313.8</v>
      </c>
      <c r="V801">
        <v>7191.8</v>
      </c>
    </row>
    <row r="802" spans="1:22" x14ac:dyDescent="0.25">
      <c r="A802">
        <v>187276</v>
      </c>
      <c r="B802">
        <v>131892399</v>
      </c>
      <c r="C802" t="s">
        <v>4234</v>
      </c>
      <c r="D802" t="s">
        <v>4235</v>
      </c>
      <c r="E802" t="s">
        <v>4169</v>
      </c>
      <c r="F802" t="s">
        <v>847</v>
      </c>
      <c r="G802" t="s">
        <v>156</v>
      </c>
      <c r="H802" t="s">
        <v>157</v>
      </c>
      <c r="I802" t="s">
        <v>35</v>
      </c>
      <c r="J802" t="s">
        <v>166</v>
      </c>
      <c r="K802" t="s">
        <v>2</v>
      </c>
      <c r="L802" t="s">
        <v>158</v>
      </c>
      <c r="M802" t="s">
        <v>676</v>
      </c>
      <c r="N802" t="s">
        <v>850</v>
      </c>
      <c r="O802" t="s">
        <v>40</v>
      </c>
      <c r="P802" t="s">
        <v>4236</v>
      </c>
      <c r="Q802" t="s">
        <v>53</v>
      </c>
      <c r="R802" t="s">
        <v>517</v>
      </c>
      <c r="S802">
        <v>3</v>
      </c>
      <c r="T802">
        <v>4168</v>
      </c>
      <c r="U802">
        <v>0</v>
      </c>
      <c r="V802">
        <v>4168</v>
      </c>
    </row>
    <row r="803" spans="1:22" x14ac:dyDescent="0.25">
      <c r="A803">
        <v>187276</v>
      </c>
      <c r="B803">
        <v>131510399</v>
      </c>
      <c r="C803" t="s">
        <v>4237</v>
      </c>
      <c r="D803" t="s">
        <v>4238</v>
      </c>
      <c r="E803" t="s">
        <v>4169</v>
      </c>
      <c r="F803" t="s">
        <v>847</v>
      </c>
      <c r="G803" t="s">
        <v>156</v>
      </c>
      <c r="H803" t="s">
        <v>157</v>
      </c>
      <c r="I803" t="s">
        <v>35</v>
      </c>
      <c r="J803" t="s">
        <v>166</v>
      </c>
      <c r="K803" t="s">
        <v>2</v>
      </c>
      <c r="L803" t="s">
        <v>158</v>
      </c>
      <c r="M803" t="s">
        <v>767</v>
      </c>
      <c r="N803" t="s">
        <v>850</v>
      </c>
      <c r="O803" t="s">
        <v>40</v>
      </c>
      <c r="P803" t="s">
        <v>4239</v>
      </c>
      <c r="Q803" t="s">
        <v>196</v>
      </c>
      <c r="R803" t="s">
        <v>294</v>
      </c>
      <c r="S803">
        <v>1.29</v>
      </c>
      <c r="T803">
        <v>5910</v>
      </c>
      <c r="U803">
        <v>0</v>
      </c>
      <c r="V803">
        <v>5910</v>
      </c>
    </row>
    <row r="804" spans="1:22" x14ac:dyDescent="0.25">
      <c r="A804">
        <v>187276</v>
      </c>
      <c r="B804">
        <v>131215892</v>
      </c>
      <c r="C804" t="s">
        <v>4240</v>
      </c>
      <c r="D804" t="s">
        <v>4241</v>
      </c>
      <c r="E804" t="s">
        <v>4169</v>
      </c>
      <c r="F804" t="s">
        <v>847</v>
      </c>
      <c r="G804" t="s">
        <v>156</v>
      </c>
      <c r="H804" t="s">
        <v>157</v>
      </c>
      <c r="I804" t="s">
        <v>35</v>
      </c>
      <c r="J804" t="s">
        <v>166</v>
      </c>
      <c r="K804" t="s">
        <v>2</v>
      </c>
      <c r="L804" t="s">
        <v>158</v>
      </c>
      <c r="M804" t="s">
        <v>774</v>
      </c>
      <c r="N804" t="s">
        <v>850</v>
      </c>
      <c r="O804" t="s">
        <v>40</v>
      </c>
      <c r="P804" t="s">
        <v>4242</v>
      </c>
      <c r="Q804" t="s">
        <v>226</v>
      </c>
      <c r="R804" t="s">
        <v>669</v>
      </c>
      <c r="S804">
        <v>3.15</v>
      </c>
      <c r="T804">
        <v>7224</v>
      </c>
      <c r="U804">
        <v>0</v>
      </c>
      <c r="V804">
        <v>7224</v>
      </c>
    </row>
    <row r="805" spans="1:22" x14ac:dyDescent="0.25">
      <c r="A805">
        <v>178778</v>
      </c>
      <c r="B805">
        <v>131537632</v>
      </c>
      <c r="C805" t="s">
        <v>4243</v>
      </c>
      <c r="D805">
        <v>18792838</v>
      </c>
      <c r="E805" t="s">
        <v>4244</v>
      </c>
      <c r="F805" t="s">
        <v>847</v>
      </c>
      <c r="G805" t="s">
        <v>504</v>
      </c>
      <c r="H805" t="s">
        <v>505</v>
      </c>
      <c r="I805" t="s">
        <v>35</v>
      </c>
      <c r="J805" t="s">
        <v>320</v>
      </c>
      <c r="K805" t="s">
        <v>2</v>
      </c>
      <c r="L805" t="s">
        <v>103</v>
      </c>
      <c r="M805" t="s">
        <v>4245</v>
      </c>
      <c r="N805" t="s">
        <v>850</v>
      </c>
      <c r="O805" t="s">
        <v>40</v>
      </c>
      <c r="P805" t="s">
        <v>4246</v>
      </c>
      <c r="Q805" t="s">
        <v>42</v>
      </c>
      <c r="R805" t="s">
        <v>673</v>
      </c>
      <c r="S805">
        <v>1</v>
      </c>
      <c r="T805">
        <v>2706</v>
      </c>
      <c r="U805">
        <v>0</v>
      </c>
      <c r="V805">
        <v>2706</v>
      </c>
    </row>
    <row r="806" spans="1:22" x14ac:dyDescent="0.25">
      <c r="A806">
        <v>178778</v>
      </c>
      <c r="B806">
        <v>131534271</v>
      </c>
      <c r="C806" t="s">
        <v>4247</v>
      </c>
      <c r="D806">
        <v>18792474</v>
      </c>
      <c r="E806" t="s">
        <v>4244</v>
      </c>
      <c r="F806" t="s">
        <v>847</v>
      </c>
      <c r="G806" t="s">
        <v>504</v>
      </c>
      <c r="H806" t="s">
        <v>505</v>
      </c>
      <c r="I806" t="s">
        <v>35</v>
      </c>
      <c r="J806" t="s">
        <v>320</v>
      </c>
      <c r="K806" t="s">
        <v>2</v>
      </c>
      <c r="L806" t="s">
        <v>103</v>
      </c>
      <c r="M806" t="s">
        <v>4248</v>
      </c>
      <c r="N806" t="s">
        <v>850</v>
      </c>
      <c r="O806" t="s">
        <v>40</v>
      </c>
      <c r="P806" t="s">
        <v>4249</v>
      </c>
      <c r="Q806" t="s">
        <v>198</v>
      </c>
      <c r="R806" t="s">
        <v>119</v>
      </c>
      <c r="S806">
        <v>1</v>
      </c>
      <c r="T806">
        <v>2706</v>
      </c>
      <c r="U806">
        <v>0</v>
      </c>
      <c r="V806">
        <v>2706</v>
      </c>
    </row>
    <row r="807" spans="1:22" x14ac:dyDescent="0.25">
      <c r="A807">
        <v>178778</v>
      </c>
      <c r="B807">
        <v>132164444</v>
      </c>
      <c r="C807" t="s">
        <v>4250</v>
      </c>
      <c r="D807" t="s">
        <v>4251</v>
      </c>
      <c r="E807" t="s">
        <v>4244</v>
      </c>
      <c r="F807" t="s">
        <v>847</v>
      </c>
      <c r="G807" t="s">
        <v>142</v>
      </c>
      <c r="H807" t="s">
        <v>143</v>
      </c>
      <c r="I807" t="s">
        <v>35</v>
      </c>
      <c r="J807" t="s">
        <v>144</v>
      </c>
      <c r="K807" t="s">
        <v>2</v>
      </c>
      <c r="L807" t="s">
        <v>4252</v>
      </c>
      <c r="M807" t="s">
        <v>4253</v>
      </c>
      <c r="N807" t="s">
        <v>850</v>
      </c>
      <c r="O807" t="s">
        <v>40</v>
      </c>
      <c r="P807" t="s">
        <v>4254</v>
      </c>
      <c r="Q807" t="s">
        <v>50</v>
      </c>
      <c r="R807" t="s">
        <v>377</v>
      </c>
      <c r="S807">
        <v>2</v>
      </c>
      <c r="T807">
        <v>3753</v>
      </c>
      <c r="U807">
        <v>0</v>
      </c>
      <c r="V807">
        <v>3753</v>
      </c>
    </row>
    <row r="808" spans="1:22" x14ac:dyDescent="0.25">
      <c r="A808">
        <v>166878</v>
      </c>
      <c r="B808">
        <v>131534682</v>
      </c>
      <c r="C808" t="s">
        <v>4255</v>
      </c>
      <c r="D808">
        <v>18792505</v>
      </c>
      <c r="E808" t="s">
        <v>4256</v>
      </c>
      <c r="F808" t="s">
        <v>847</v>
      </c>
      <c r="G808" t="s">
        <v>504</v>
      </c>
      <c r="H808" t="s">
        <v>505</v>
      </c>
      <c r="I808" t="s">
        <v>35</v>
      </c>
      <c r="J808" t="s">
        <v>320</v>
      </c>
      <c r="K808" t="s">
        <v>2</v>
      </c>
      <c r="L808" t="s">
        <v>103</v>
      </c>
      <c r="M808" t="s">
        <v>4257</v>
      </c>
      <c r="N808" t="s">
        <v>850</v>
      </c>
      <c r="O808" t="s">
        <v>40</v>
      </c>
      <c r="P808" t="s">
        <v>4258</v>
      </c>
      <c r="Q808" t="s">
        <v>140</v>
      </c>
      <c r="R808" t="s">
        <v>470</v>
      </c>
      <c r="S808">
        <v>1</v>
      </c>
      <c r="T808">
        <v>2706</v>
      </c>
      <c r="U808">
        <v>0</v>
      </c>
      <c r="V808">
        <v>2706</v>
      </c>
    </row>
    <row r="809" spans="1:22" x14ac:dyDescent="0.25">
      <c r="A809">
        <v>166878</v>
      </c>
      <c r="B809">
        <v>131534573</v>
      </c>
      <c r="C809" t="s">
        <v>4259</v>
      </c>
      <c r="D809">
        <v>18792496</v>
      </c>
      <c r="E809" t="s">
        <v>4256</v>
      </c>
      <c r="F809" t="s">
        <v>847</v>
      </c>
      <c r="G809" t="s">
        <v>504</v>
      </c>
      <c r="H809" t="s">
        <v>505</v>
      </c>
      <c r="I809" t="s">
        <v>35</v>
      </c>
      <c r="J809" t="s">
        <v>320</v>
      </c>
      <c r="K809" t="s">
        <v>2</v>
      </c>
      <c r="L809" t="s">
        <v>103</v>
      </c>
      <c r="M809" t="s">
        <v>4260</v>
      </c>
      <c r="N809" t="s">
        <v>850</v>
      </c>
      <c r="O809" t="s">
        <v>40</v>
      </c>
      <c r="P809" t="s">
        <v>4261</v>
      </c>
      <c r="Q809" t="s">
        <v>99</v>
      </c>
      <c r="R809" t="s">
        <v>742</v>
      </c>
      <c r="S809">
        <v>1</v>
      </c>
      <c r="T809">
        <v>2706</v>
      </c>
      <c r="U809">
        <v>0</v>
      </c>
      <c r="V809">
        <v>2706</v>
      </c>
    </row>
    <row r="810" spans="1:22" x14ac:dyDescent="0.25">
      <c r="A810">
        <v>187694</v>
      </c>
      <c r="B810">
        <v>131936502</v>
      </c>
      <c r="C810" t="s">
        <v>4262</v>
      </c>
      <c r="D810">
        <v>18832453</v>
      </c>
      <c r="E810" t="s">
        <v>4263</v>
      </c>
      <c r="F810" t="s">
        <v>847</v>
      </c>
      <c r="G810" t="s">
        <v>504</v>
      </c>
      <c r="H810" t="s">
        <v>505</v>
      </c>
      <c r="I810" t="s">
        <v>35</v>
      </c>
      <c r="J810" t="s">
        <v>320</v>
      </c>
      <c r="K810" t="s">
        <v>2</v>
      </c>
      <c r="L810" t="s">
        <v>103</v>
      </c>
      <c r="M810" t="s">
        <v>4264</v>
      </c>
      <c r="N810" t="s">
        <v>850</v>
      </c>
      <c r="O810" t="s">
        <v>40</v>
      </c>
      <c r="P810" t="s">
        <v>4265</v>
      </c>
      <c r="Q810" t="s">
        <v>72</v>
      </c>
      <c r="R810" t="s">
        <v>4266</v>
      </c>
      <c r="S810">
        <v>1</v>
      </c>
      <c r="T810">
        <v>2706</v>
      </c>
      <c r="U810">
        <v>0</v>
      </c>
      <c r="V810">
        <v>2706</v>
      </c>
    </row>
    <row r="811" spans="1:22" x14ac:dyDescent="0.25">
      <c r="A811">
        <v>187694</v>
      </c>
      <c r="B811">
        <v>131936504</v>
      </c>
      <c r="C811" t="s">
        <v>4267</v>
      </c>
      <c r="D811">
        <v>18832452</v>
      </c>
      <c r="E811" t="s">
        <v>4263</v>
      </c>
      <c r="F811" t="s">
        <v>847</v>
      </c>
      <c r="G811" t="s">
        <v>504</v>
      </c>
      <c r="H811" t="s">
        <v>505</v>
      </c>
      <c r="I811" t="s">
        <v>35</v>
      </c>
      <c r="J811" t="s">
        <v>320</v>
      </c>
      <c r="K811" t="s">
        <v>2</v>
      </c>
      <c r="L811" t="s">
        <v>103</v>
      </c>
      <c r="M811" t="s">
        <v>4268</v>
      </c>
      <c r="N811" t="s">
        <v>850</v>
      </c>
      <c r="O811" t="s">
        <v>40</v>
      </c>
      <c r="P811" t="s">
        <v>4269</v>
      </c>
      <c r="Q811" t="s">
        <v>38</v>
      </c>
      <c r="R811" t="s">
        <v>4266</v>
      </c>
      <c r="S811">
        <v>1</v>
      </c>
      <c r="T811">
        <v>2706</v>
      </c>
      <c r="U811">
        <v>0</v>
      </c>
      <c r="V811">
        <v>2706</v>
      </c>
    </row>
    <row r="812" spans="1:22" x14ac:dyDescent="0.25">
      <c r="A812">
        <v>187694</v>
      </c>
      <c r="B812">
        <v>131742645</v>
      </c>
      <c r="C812" t="s">
        <v>4270</v>
      </c>
      <c r="D812">
        <v>18814815</v>
      </c>
      <c r="E812" t="s">
        <v>4263</v>
      </c>
      <c r="F812" t="s">
        <v>847</v>
      </c>
      <c r="G812" t="s">
        <v>504</v>
      </c>
      <c r="H812" t="s">
        <v>505</v>
      </c>
      <c r="I812" t="s">
        <v>35</v>
      </c>
      <c r="J812" t="s">
        <v>320</v>
      </c>
      <c r="K812" t="s">
        <v>2</v>
      </c>
      <c r="L812" t="s">
        <v>103</v>
      </c>
      <c r="M812" t="s">
        <v>4271</v>
      </c>
      <c r="N812" t="s">
        <v>850</v>
      </c>
      <c r="O812" t="s">
        <v>40</v>
      </c>
      <c r="P812" t="s">
        <v>4272</v>
      </c>
      <c r="Q812" t="s">
        <v>140</v>
      </c>
      <c r="R812" t="s">
        <v>467</v>
      </c>
      <c r="S812">
        <v>1</v>
      </c>
      <c r="T812">
        <v>2706</v>
      </c>
      <c r="U812">
        <v>0</v>
      </c>
      <c r="V812">
        <v>2706</v>
      </c>
    </row>
    <row r="813" spans="1:22" x14ac:dyDescent="0.25">
      <c r="A813">
        <v>187694</v>
      </c>
      <c r="B813">
        <v>131742643</v>
      </c>
      <c r="C813" t="s">
        <v>4273</v>
      </c>
      <c r="D813">
        <v>18814814</v>
      </c>
      <c r="E813" t="s">
        <v>4263</v>
      </c>
      <c r="F813" t="s">
        <v>847</v>
      </c>
      <c r="G813" t="s">
        <v>504</v>
      </c>
      <c r="H813" t="s">
        <v>505</v>
      </c>
      <c r="I813" t="s">
        <v>35</v>
      </c>
      <c r="J813" t="s">
        <v>320</v>
      </c>
      <c r="K813" t="s">
        <v>2</v>
      </c>
      <c r="L813" t="s">
        <v>103</v>
      </c>
      <c r="M813" t="s">
        <v>4274</v>
      </c>
      <c r="N813" t="s">
        <v>850</v>
      </c>
      <c r="O813" t="s">
        <v>40</v>
      </c>
      <c r="P813" t="s">
        <v>4275</v>
      </c>
      <c r="Q813" t="s">
        <v>41</v>
      </c>
      <c r="R813" t="s">
        <v>467</v>
      </c>
      <c r="S813">
        <v>1</v>
      </c>
      <c r="T813">
        <v>2706</v>
      </c>
      <c r="U813">
        <v>0</v>
      </c>
      <c r="V813">
        <v>2706</v>
      </c>
    </row>
    <row r="814" spans="1:22" x14ac:dyDescent="0.25">
      <c r="A814">
        <v>187694</v>
      </c>
      <c r="B814">
        <v>131679904</v>
      </c>
      <c r="C814" t="s">
        <v>4276</v>
      </c>
      <c r="D814">
        <v>18808175</v>
      </c>
      <c r="E814" t="s">
        <v>4263</v>
      </c>
      <c r="F814" t="s">
        <v>847</v>
      </c>
      <c r="G814" t="s">
        <v>504</v>
      </c>
      <c r="H814" t="s">
        <v>505</v>
      </c>
      <c r="I814" t="s">
        <v>35</v>
      </c>
      <c r="J814" t="s">
        <v>320</v>
      </c>
      <c r="K814" t="s">
        <v>2</v>
      </c>
      <c r="L814" t="s">
        <v>103</v>
      </c>
      <c r="M814" t="s">
        <v>4277</v>
      </c>
      <c r="N814" t="s">
        <v>850</v>
      </c>
      <c r="O814" t="s">
        <v>40</v>
      </c>
      <c r="P814" t="s">
        <v>4278</v>
      </c>
      <c r="Q814" t="s">
        <v>70</v>
      </c>
      <c r="R814" t="s">
        <v>585</v>
      </c>
      <c r="S814">
        <v>1</v>
      </c>
      <c r="T814">
        <v>2706</v>
      </c>
      <c r="U814">
        <v>0</v>
      </c>
      <c r="V814">
        <v>2706</v>
      </c>
    </row>
    <row r="815" spans="1:22" x14ac:dyDescent="0.25">
      <c r="A815">
        <v>187694</v>
      </c>
      <c r="B815">
        <v>131679906</v>
      </c>
      <c r="C815" t="s">
        <v>4279</v>
      </c>
      <c r="D815">
        <v>18808174</v>
      </c>
      <c r="E815" t="s">
        <v>4263</v>
      </c>
      <c r="F815" t="s">
        <v>847</v>
      </c>
      <c r="G815" t="s">
        <v>504</v>
      </c>
      <c r="H815" t="s">
        <v>505</v>
      </c>
      <c r="I815" t="s">
        <v>35</v>
      </c>
      <c r="J815" t="s">
        <v>320</v>
      </c>
      <c r="K815" t="s">
        <v>2</v>
      </c>
      <c r="L815" t="s">
        <v>103</v>
      </c>
      <c r="M815" t="s">
        <v>4271</v>
      </c>
      <c r="N815" t="s">
        <v>850</v>
      </c>
      <c r="O815" t="s">
        <v>40</v>
      </c>
      <c r="P815" t="s">
        <v>4280</v>
      </c>
      <c r="Q815" t="s">
        <v>140</v>
      </c>
      <c r="R815" t="s">
        <v>585</v>
      </c>
      <c r="S815">
        <v>1</v>
      </c>
      <c r="T815">
        <v>2706</v>
      </c>
      <c r="U815">
        <v>0</v>
      </c>
      <c r="V815">
        <v>2706</v>
      </c>
    </row>
    <row r="816" spans="1:22" x14ac:dyDescent="0.25">
      <c r="A816">
        <v>187694</v>
      </c>
      <c r="B816">
        <v>131679909</v>
      </c>
      <c r="C816" t="s">
        <v>4281</v>
      </c>
      <c r="D816">
        <v>18808173</v>
      </c>
      <c r="E816" t="s">
        <v>4263</v>
      </c>
      <c r="F816" t="s">
        <v>847</v>
      </c>
      <c r="G816" t="s">
        <v>504</v>
      </c>
      <c r="H816" t="s">
        <v>505</v>
      </c>
      <c r="I816" t="s">
        <v>35</v>
      </c>
      <c r="J816" t="s">
        <v>320</v>
      </c>
      <c r="K816" t="s">
        <v>2</v>
      </c>
      <c r="L816" t="s">
        <v>103</v>
      </c>
      <c r="M816" t="s">
        <v>4282</v>
      </c>
      <c r="N816" t="s">
        <v>850</v>
      </c>
      <c r="O816" t="s">
        <v>40</v>
      </c>
      <c r="P816" t="s">
        <v>4283</v>
      </c>
      <c r="Q816" t="s">
        <v>41</v>
      </c>
      <c r="R816" t="s">
        <v>585</v>
      </c>
      <c r="S816">
        <v>1</v>
      </c>
      <c r="T816">
        <v>2706</v>
      </c>
      <c r="U816">
        <v>0</v>
      </c>
      <c r="V816">
        <v>2706</v>
      </c>
    </row>
    <row r="817" spans="1:22" x14ac:dyDescent="0.25">
      <c r="A817">
        <v>187694</v>
      </c>
      <c r="B817">
        <v>131642778</v>
      </c>
      <c r="C817" t="s">
        <v>4284</v>
      </c>
      <c r="D817">
        <v>18804328</v>
      </c>
      <c r="E817" t="s">
        <v>4263</v>
      </c>
      <c r="F817" t="s">
        <v>847</v>
      </c>
      <c r="G817" t="s">
        <v>504</v>
      </c>
      <c r="H817" t="s">
        <v>505</v>
      </c>
      <c r="I817" t="s">
        <v>35</v>
      </c>
      <c r="J817" t="s">
        <v>320</v>
      </c>
      <c r="K817" t="s">
        <v>2</v>
      </c>
      <c r="L817" t="s">
        <v>103</v>
      </c>
      <c r="M817" t="s">
        <v>4285</v>
      </c>
      <c r="N817" t="s">
        <v>850</v>
      </c>
      <c r="O817" t="s">
        <v>40</v>
      </c>
      <c r="P817" t="s">
        <v>4286</v>
      </c>
      <c r="Q817" t="s">
        <v>98</v>
      </c>
      <c r="R817" t="s">
        <v>292</v>
      </c>
      <c r="S817">
        <v>1</v>
      </c>
      <c r="T817">
        <v>2706</v>
      </c>
      <c r="U817">
        <v>0</v>
      </c>
      <c r="V817">
        <v>2706</v>
      </c>
    </row>
    <row r="818" spans="1:22" x14ac:dyDescent="0.25">
      <c r="A818">
        <v>187694</v>
      </c>
      <c r="B818">
        <v>131642781</v>
      </c>
      <c r="C818" t="s">
        <v>4287</v>
      </c>
      <c r="D818">
        <v>18804327</v>
      </c>
      <c r="E818" t="s">
        <v>4263</v>
      </c>
      <c r="F818" t="s">
        <v>847</v>
      </c>
      <c r="G818" t="s">
        <v>504</v>
      </c>
      <c r="H818" t="s">
        <v>505</v>
      </c>
      <c r="I818" t="s">
        <v>35</v>
      </c>
      <c r="J818" t="s">
        <v>320</v>
      </c>
      <c r="K818" t="s">
        <v>2</v>
      </c>
      <c r="L818" t="s">
        <v>103</v>
      </c>
      <c r="M818" t="s">
        <v>4288</v>
      </c>
      <c r="N818" t="s">
        <v>850</v>
      </c>
      <c r="O818" t="s">
        <v>40</v>
      </c>
      <c r="P818" t="s">
        <v>4289</v>
      </c>
      <c r="Q818" t="s">
        <v>98</v>
      </c>
      <c r="R818" t="s">
        <v>292</v>
      </c>
      <c r="S818">
        <v>1</v>
      </c>
      <c r="T818">
        <v>2706</v>
      </c>
      <c r="U818">
        <v>0</v>
      </c>
      <c r="V818">
        <v>2706</v>
      </c>
    </row>
    <row r="819" spans="1:22" x14ac:dyDescent="0.25">
      <c r="A819">
        <v>187694</v>
      </c>
      <c r="B819">
        <v>131501679</v>
      </c>
      <c r="C819" t="s">
        <v>4290</v>
      </c>
      <c r="D819">
        <v>18788875</v>
      </c>
      <c r="E819" t="s">
        <v>4263</v>
      </c>
      <c r="F819" t="s">
        <v>847</v>
      </c>
      <c r="G819" t="s">
        <v>504</v>
      </c>
      <c r="H819" t="s">
        <v>505</v>
      </c>
      <c r="I819" t="s">
        <v>35</v>
      </c>
      <c r="J819" t="s">
        <v>320</v>
      </c>
      <c r="K819" t="s">
        <v>2</v>
      </c>
      <c r="L819" t="s">
        <v>103</v>
      </c>
      <c r="M819" t="s">
        <v>4291</v>
      </c>
      <c r="N819" t="s">
        <v>850</v>
      </c>
      <c r="O819" t="s">
        <v>40</v>
      </c>
      <c r="P819" t="s">
        <v>4292</v>
      </c>
      <c r="Q819" t="s">
        <v>70</v>
      </c>
      <c r="R819" t="s">
        <v>367</v>
      </c>
      <c r="S819">
        <v>1</v>
      </c>
      <c r="T819">
        <v>2706</v>
      </c>
      <c r="U819">
        <v>0</v>
      </c>
      <c r="V819">
        <v>2706</v>
      </c>
    </row>
    <row r="820" spans="1:22" x14ac:dyDescent="0.25">
      <c r="A820">
        <v>187694</v>
      </c>
      <c r="B820">
        <v>131501680</v>
      </c>
      <c r="C820" t="s">
        <v>4293</v>
      </c>
      <c r="D820">
        <v>18788874</v>
      </c>
      <c r="E820" t="s">
        <v>4263</v>
      </c>
      <c r="F820" t="s">
        <v>847</v>
      </c>
      <c r="G820" t="s">
        <v>504</v>
      </c>
      <c r="H820" t="s">
        <v>505</v>
      </c>
      <c r="I820" t="s">
        <v>35</v>
      </c>
      <c r="J820" t="s">
        <v>320</v>
      </c>
      <c r="K820" t="s">
        <v>2</v>
      </c>
      <c r="L820" t="s">
        <v>103</v>
      </c>
      <c r="M820" t="s">
        <v>4294</v>
      </c>
      <c r="N820" t="s">
        <v>850</v>
      </c>
      <c r="O820" t="s">
        <v>40</v>
      </c>
      <c r="P820" t="s">
        <v>4295</v>
      </c>
      <c r="Q820" t="s">
        <v>96</v>
      </c>
      <c r="R820" t="s">
        <v>367</v>
      </c>
      <c r="S820">
        <v>1</v>
      </c>
      <c r="T820">
        <v>2706</v>
      </c>
      <c r="U820">
        <v>0</v>
      </c>
      <c r="V820">
        <v>2706</v>
      </c>
    </row>
    <row r="821" spans="1:22" x14ac:dyDescent="0.25">
      <c r="A821">
        <v>187694</v>
      </c>
      <c r="B821">
        <v>131501681</v>
      </c>
      <c r="C821" t="s">
        <v>4296</v>
      </c>
      <c r="D821">
        <v>18788873</v>
      </c>
      <c r="E821" t="s">
        <v>4263</v>
      </c>
      <c r="F821" t="s">
        <v>847</v>
      </c>
      <c r="G821" t="s">
        <v>504</v>
      </c>
      <c r="H821" t="s">
        <v>505</v>
      </c>
      <c r="I821" t="s">
        <v>35</v>
      </c>
      <c r="J821" t="s">
        <v>320</v>
      </c>
      <c r="K821" t="s">
        <v>2</v>
      </c>
      <c r="L821" t="s">
        <v>103</v>
      </c>
      <c r="M821" t="s">
        <v>4297</v>
      </c>
      <c r="N821" t="s">
        <v>850</v>
      </c>
      <c r="O821" t="s">
        <v>40</v>
      </c>
      <c r="P821" t="s">
        <v>4298</v>
      </c>
      <c r="Q821" t="s">
        <v>39</v>
      </c>
      <c r="R821" t="s">
        <v>367</v>
      </c>
      <c r="S821">
        <v>1</v>
      </c>
      <c r="T821">
        <v>2706</v>
      </c>
      <c r="U821">
        <v>0</v>
      </c>
      <c r="V821">
        <v>2706</v>
      </c>
    </row>
    <row r="822" spans="1:22" x14ac:dyDescent="0.25">
      <c r="A822">
        <v>187694</v>
      </c>
      <c r="B822">
        <v>131412403</v>
      </c>
      <c r="C822" t="s">
        <v>4299</v>
      </c>
      <c r="D822">
        <v>18779793</v>
      </c>
      <c r="E822" t="s">
        <v>4263</v>
      </c>
      <c r="F822" t="s">
        <v>847</v>
      </c>
      <c r="G822" t="s">
        <v>504</v>
      </c>
      <c r="H822" t="s">
        <v>505</v>
      </c>
      <c r="I822" t="s">
        <v>35</v>
      </c>
      <c r="J822" t="s">
        <v>320</v>
      </c>
      <c r="K822" t="s">
        <v>2</v>
      </c>
      <c r="L822" t="s">
        <v>103</v>
      </c>
      <c r="M822" t="s">
        <v>4300</v>
      </c>
      <c r="N822" t="s">
        <v>850</v>
      </c>
      <c r="O822" t="s">
        <v>40</v>
      </c>
      <c r="P822" t="s">
        <v>4301</v>
      </c>
      <c r="Q822" t="s">
        <v>37</v>
      </c>
      <c r="R822" t="s">
        <v>384</v>
      </c>
      <c r="S822">
        <v>1</v>
      </c>
      <c r="T822">
        <v>2706</v>
      </c>
      <c r="U822">
        <v>0</v>
      </c>
      <c r="V822">
        <v>2706</v>
      </c>
    </row>
    <row r="823" spans="1:22" x14ac:dyDescent="0.25">
      <c r="A823">
        <v>187694</v>
      </c>
      <c r="B823">
        <v>131642776</v>
      </c>
      <c r="C823" t="s">
        <v>4302</v>
      </c>
      <c r="D823" t="s">
        <v>4303</v>
      </c>
      <c r="E823" t="s">
        <v>4263</v>
      </c>
      <c r="F823" t="s">
        <v>847</v>
      </c>
      <c r="G823" t="s">
        <v>142</v>
      </c>
      <c r="H823" t="s">
        <v>143</v>
      </c>
      <c r="I823" t="s">
        <v>35</v>
      </c>
      <c r="J823" t="s">
        <v>144</v>
      </c>
      <c r="K823" t="s">
        <v>2</v>
      </c>
      <c r="L823" t="s">
        <v>4304</v>
      </c>
      <c r="M823" t="s">
        <v>4305</v>
      </c>
      <c r="N823" t="s">
        <v>850</v>
      </c>
      <c r="O823" t="s">
        <v>40</v>
      </c>
      <c r="P823" t="s">
        <v>4306</v>
      </c>
      <c r="Q823" t="s">
        <v>47</v>
      </c>
      <c r="R823" t="s">
        <v>292</v>
      </c>
      <c r="S823">
        <v>0.1</v>
      </c>
      <c r="T823">
        <v>3299</v>
      </c>
      <c r="U823">
        <v>0</v>
      </c>
      <c r="V823">
        <v>3299</v>
      </c>
    </row>
    <row r="824" spans="1:22" x14ac:dyDescent="0.25">
      <c r="A824">
        <v>187694</v>
      </c>
      <c r="B824">
        <v>132091963</v>
      </c>
      <c r="C824" t="s">
        <v>4307</v>
      </c>
      <c r="D824" t="s">
        <v>4308</v>
      </c>
      <c r="E824" t="s">
        <v>4263</v>
      </c>
      <c r="F824" t="s">
        <v>847</v>
      </c>
      <c r="G824" t="s">
        <v>142</v>
      </c>
      <c r="H824" t="s">
        <v>143</v>
      </c>
      <c r="I824" t="s">
        <v>35</v>
      </c>
      <c r="J824" t="s">
        <v>144</v>
      </c>
      <c r="K824" t="s">
        <v>2</v>
      </c>
      <c r="L824" t="s">
        <v>4309</v>
      </c>
      <c r="M824" t="s">
        <v>4310</v>
      </c>
      <c r="N824" t="s">
        <v>850</v>
      </c>
      <c r="O824" t="s">
        <v>40</v>
      </c>
      <c r="P824" t="s">
        <v>4311</v>
      </c>
      <c r="Q824" t="s">
        <v>46</v>
      </c>
      <c r="R824" t="s">
        <v>275</v>
      </c>
      <c r="S824">
        <v>2.65</v>
      </c>
      <c r="T824">
        <v>3366</v>
      </c>
      <c r="U824">
        <v>0</v>
      </c>
      <c r="V824">
        <v>3366</v>
      </c>
    </row>
    <row r="825" spans="1:22" x14ac:dyDescent="0.25">
      <c r="A825">
        <v>187694</v>
      </c>
      <c r="B825">
        <v>131642780</v>
      </c>
      <c r="C825" t="s">
        <v>4312</v>
      </c>
      <c r="D825" t="s">
        <v>4313</v>
      </c>
      <c r="E825" t="s">
        <v>4263</v>
      </c>
      <c r="F825" t="s">
        <v>847</v>
      </c>
      <c r="G825" t="s">
        <v>142</v>
      </c>
      <c r="H825" t="s">
        <v>143</v>
      </c>
      <c r="I825" t="s">
        <v>35</v>
      </c>
      <c r="J825" t="s">
        <v>144</v>
      </c>
      <c r="K825" t="s">
        <v>2</v>
      </c>
      <c r="L825" t="s">
        <v>4314</v>
      </c>
      <c r="M825" t="s">
        <v>4315</v>
      </c>
      <c r="N825" t="s">
        <v>850</v>
      </c>
      <c r="O825" t="s">
        <v>40</v>
      </c>
      <c r="P825" t="s">
        <v>4316</v>
      </c>
      <c r="Q825" t="s">
        <v>73</v>
      </c>
      <c r="R825" t="s">
        <v>292</v>
      </c>
      <c r="S825">
        <v>1.5</v>
      </c>
      <c r="T825">
        <v>3366</v>
      </c>
      <c r="U825">
        <v>0</v>
      </c>
      <c r="V825">
        <v>3366</v>
      </c>
    </row>
    <row r="826" spans="1:22" x14ac:dyDescent="0.25">
      <c r="A826">
        <v>187694</v>
      </c>
      <c r="B826">
        <v>131501687</v>
      </c>
      <c r="C826" t="s">
        <v>4317</v>
      </c>
      <c r="D826" t="s">
        <v>4318</v>
      </c>
      <c r="E826" t="s">
        <v>4263</v>
      </c>
      <c r="F826" t="s">
        <v>847</v>
      </c>
      <c r="G826" t="s">
        <v>142</v>
      </c>
      <c r="H826" t="s">
        <v>143</v>
      </c>
      <c r="I826" t="s">
        <v>35</v>
      </c>
      <c r="J826" t="s">
        <v>144</v>
      </c>
      <c r="K826" t="s">
        <v>2</v>
      </c>
      <c r="L826" t="s">
        <v>4319</v>
      </c>
      <c r="M826" t="s">
        <v>4320</v>
      </c>
      <c r="N826" t="s">
        <v>850</v>
      </c>
      <c r="O826" t="s">
        <v>40</v>
      </c>
      <c r="P826" t="s">
        <v>4321</v>
      </c>
      <c r="Q826" t="s">
        <v>49</v>
      </c>
      <c r="R826" t="s">
        <v>367</v>
      </c>
      <c r="S826">
        <v>2.25</v>
      </c>
      <c r="T826">
        <v>3366</v>
      </c>
      <c r="U826">
        <v>0</v>
      </c>
      <c r="V826">
        <v>3366</v>
      </c>
    </row>
    <row r="827" spans="1:22" x14ac:dyDescent="0.25">
      <c r="A827">
        <v>187694</v>
      </c>
      <c r="B827">
        <v>131412400</v>
      </c>
      <c r="C827" t="s">
        <v>4322</v>
      </c>
      <c r="D827" t="s">
        <v>4323</v>
      </c>
      <c r="E827" t="s">
        <v>4263</v>
      </c>
      <c r="F827" t="s">
        <v>847</v>
      </c>
      <c r="G827" t="s">
        <v>142</v>
      </c>
      <c r="H827" t="s">
        <v>143</v>
      </c>
      <c r="I827" t="s">
        <v>35</v>
      </c>
      <c r="J827" t="s">
        <v>144</v>
      </c>
      <c r="K827" t="s">
        <v>2</v>
      </c>
      <c r="L827" t="s">
        <v>4324</v>
      </c>
      <c r="M827" t="s">
        <v>4325</v>
      </c>
      <c r="N827" t="s">
        <v>850</v>
      </c>
      <c r="O827" t="s">
        <v>40</v>
      </c>
      <c r="P827" t="s">
        <v>4326</v>
      </c>
      <c r="Q827" t="s">
        <v>126</v>
      </c>
      <c r="R827" t="s">
        <v>384</v>
      </c>
      <c r="S827">
        <v>0.53</v>
      </c>
      <c r="T827">
        <v>3366</v>
      </c>
      <c r="U827">
        <v>0</v>
      </c>
      <c r="V827">
        <v>3366</v>
      </c>
    </row>
    <row r="828" spans="1:22" x14ac:dyDescent="0.25">
      <c r="A828">
        <v>187694</v>
      </c>
      <c r="B828">
        <v>131281360</v>
      </c>
      <c r="C828" t="s">
        <v>4327</v>
      </c>
      <c r="D828" t="s">
        <v>4328</v>
      </c>
      <c r="E828" t="s">
        <v>4263</v>
      </c>
      <c r="F828" t="s">
        <v>847</v>
      </c>
      <c r="G828" t="s">
        <v>142</v>
      </c>
      <c r="H828" t="s">
        <v>143</v>
      </c>
      <c r="I828" t="s">
        <v>35</v>
      </c>
      <c r="J828" t="s">
        <v>144</v>
      </c>
      <c r="K828" t="s">
        <v>2</v>
      </c>
      <c r="L828" t="s">
        <v>4329</v>
      </c>
      <c r="M828" t="s">
        <v>4330</v>
      </c>
      <c r="N828" t="s">
        <v>850</v>
      </c>
      <c r="O828" t="s">
        <v>40</v>
      </c>
      <c r="P828" t="s">
        <v>4331</v>
      </c>
      <c r="Q828" t="s">
        <v>161</v>
      </c>
      <c r="R828" t="s">
        <v>661</v>
      </c>
      <c r="S828">
        <v>2.95</v>
      </c>
      <c r="T828">
        <v>4870</v>
      </c>
      <c r="U828">
        <v>0</v>
      </c>
      <c r="V828">
        <v>4870</v>
      </c>
    </row>
    <row r="829" spans="1:22" x14ac:dyDescent="0.25">
      <c r="A829">
        <v>187694</v>
      </c>
      <c r="B829">
        <v>131348930</v>
      </c>
      <c r="C829" t="s">
        <v>4332</v>
      </c>
      <c r="D829" t="s">
        <v>4333</v>
      </c>
      <c r="E829" t="s">
        <v>4263</v>
      </c>
      <c r="F829" t="s">
        <v>847</v>
      </c>
      <c r="G829" t="s">
        <v>142</v>
      </c>
      <c r="H829" t="s">
        <v>143</v>
      </c>
      <c r="I829" t="s">
        <v>35</v>
      </c>
      <c r="J829" t="s">
        <v>144</v>
      </c>
      <c r="K829" t="s">
        <v>169</v>
      </c>
      <c r="L829" t="s">
        <v>267</v>
      </c>
      <c r="M829" t="s">
        <v>4334</v>
      </c>
      <c r="N829" t="s">
        <v>850</v>
      </c>
      <c r="O829" t="s">
        <v>40</v>
      </c>
      <c r="P829" t="s">
        <v>4335</v>
      </c>
      <c r="Q829" t="s">
        <v>55</v>
      </c>
      <c r="R829" t="s">
        <v>4336</v>
      </c>
      <c r="S829">
        <v>1.1000000000000001</v>
      </c>
      <c r="T829">
        <v>3501</v>
      </c>
      <c r="U829">
        <v>0</v>
      </c>
      <c r="V829">
        <v>3501</v>
      </c>
    </row>
    <row r="830" spans="1:22" x14ac:dyDescent="0.25">
      <c r="A830">
        <v>187694</v>
      </c>
      <c r="B830">
        <v>131501675</v>
      </c>
      <c r="C830" t="s">
        <v>4337</v>
      </c>
      <c r="D830" t="s">
        <v>4338</v>
      </c>
      <c r="E830" t="s">
        <v>4263</v>
      </c>
      <c r="F830" t="s">
        <v>847</v>
      </c>
      <c r="G830" t="s">
        <v>142</v>
      </c>
      <c r="H830" t="s">
        <v>143</v>
      </c>
      <c r="I830" t="s">
        <v>35</v>
      </c>
      <c r="J830" t="s">
        <v>144</v>
      </c>
      <c r="K830" t="s">
        <v>2</v>
      </c>
      <c r="L830" t="s">
        <v>4339</v>
      </c>
      <c r="M830" t="s">
        <v>338</v>
      </c>
      <c r="N830" t="s">
        <v>850</v>
      </c>
      <c r="O830" t="s">
        <v>40</v>
      </c>
      <c r="P830" t="s">
        <v>339</v>
      </c>
      <c r="Q830" t="s">
        <v>245</v>
      </c>
      <c r="R830" t="s">
        <v>367</v>
      </c>
      <c r="S830">
        <v>0.28000000000000003</v>
      </c>
      <c r="T830">
        <v>3680</v>
      </c>
      <c r="U830">
        <v>0</v>
      </c>
      <c r="V830">
        <v>3680</v>
      </c>
    </row>
    <row r="831" spans="1:22" x14ac:dyDescent="0.25">
      <c r="A831">
        <v>187694</v>
      </c>
      <c r="B831">
        <v>131323146</v>
      </c>
      <c r="C831" t="s">
        <v>4340</v>
      </c>
      <c r="D831" t="s">
        <v>4341</v>
      </c>
      <c r="E831" t="s">
        <v>4263</v>
      </c>
      <c r="F831" t="s">
        <v>847</v>
      </c>
      <c r="G831" t="s">
        <v>142</v>
      </c>
      <c r="H831" t="s">
        <v>143</v>
      </c>
      <c r="I831" t="s">
        <v>35</v>
      </c>
      <c r="J831" t="s">
        <v>144</v>
      </c>
      <c r="K831" t="s">
        <v>2</v>
      </c>
      <c r="L831" t="s">
        <v>4342</v>
      </c>
      <c r="M831" t="s">
        <v>4343</v>
      </c>
      <c r="N831" t="s">
        <v>850</v>
      </c>
      <c r="O831" t="s">
        <v>40</v>
      </c>
      <c r="P831" t="s">
        <v>4344</v>
      </c>
      <c r="Q831" t="s">
        <v>50</v>
      </c>
      <c r="R831" t="s">
        <v>4345</v>
      </c>
      <c r="S831">
        <v>1.1499999999999999</v>
      </c>
      <c r="T831">
        <v>3753</v>
      </c>
      <c r="U831">
        <v>0</v>
      </c>
      <c r="V831">
        <v>3753</v>
      </c>
    </row>
    <row r="832" spans="1:22" x14ac:dyDescent="0.25">
      <c r="A832">
        <v>187694</v>
      </c>
      <c r="B832">
        <v>131238391</v>
      </c>
      <c r="C832" t="s">
        <v>4346</v>
      </c>
      <c r="D832" t="s">
        <v>4347</v>
      </c>
      <c r="E832" t="s">
        <v>4263</v>
      </c>
      <c r="F832" t="s">
        <v>847</v>
      </c>
      <c r="G832" t="s">
        <v>142</v>
      </c>
      <c r="H832" t="s">
        <v>143</v>
      </c>
      <c r="I832" t="s">
        <v>35</v>
      </c>
      <c r="J832" t="s">
        <v>144</v>
      </c>
      <c r="K832" t="s">
        <v>2</v>
      </c>
      <c r="L832" t="s">
        <v>4348</v>
      </c>
      <c r="M832" t="s">
        <v>4349</v>
      </c>
      <c r="N832" t="s">
        <v>850</v>
      </c>
      <c r="O832" t="s">
        <v>40</v>
      </c>
      <c r="P832" t="s">
        <v>4350</v>
      </c>
      <c r="Q832" t="s">
        <v>148</v>
      </c>
      <c r="R832" t="s">
        <v>453</v>
      </c>
      <c r="S832">
        <v>1.25</v>
      </c>
      <c r="T832">
        <v>5040</v>
      </c>
      <c r="U832">
        <v>0</v>
      </c>
      <c r="V832">
        <v>5040</v>
      </c>
    </row>
    <row r="833" spans="1:22" x14ac:dyDescent="0.25">
      <c r="A833">
        <v>187694</v>
      </c>
      <c r="B833">
        <v>131571968</v>
      </c>
      <c r="C833" t="s">
        <v>4351</v>
      </c>
      <c r="D833" t="s">
        <v>4352</v>
      </c>
      <c r="E833" t="s">
        <v>4263</v>
      </c>
      <c r="F833" t="s">
        <v>847</v>
      </c>
      <c r="G833" t="s">
        <v>142</v>
      </c>
      <c r="H833" t="s">
        <v>143</v>
      </c>
      <c r="I833" t="s">
        <v>35</v>
      </c>
      <c r="J833" t="s">
        <v>144</v>
      </c>
      <c r="K833" t="s">
        <v>2</v>
      </c>
      <c r="L833" t="s">
        <v>4353</v>
      </c>
      <c r="M833" t="s">
        <v>4354</v>
      </c>
      <c r="N833" t="s">
        <v>850</v>
      </c>
      <c r="O833" t="s">
        <v>40</v>
      </c>
      <c r="P833" t="s">
        <v>4355</v>
      </c>
      <c r="Q833" t="s">
        <v>111</v>
      </c>
      <c r="R833" t="s">
        <v>468</v>
      </c>
      <c r="S833">
        <v>1.4</v>
      </c>
      <c r="T833">
        <v>4346</v>
      </c>
      <c r="U833">
        <v>0</v>
      </c>
      <c r="V833">
        <v>4346</v>
      </c>
    </row>
    <row r="834" spans="1:22" x14ac:dyDescent="0.25">
      <c r="A834">
        <v>187694</v>
      </c>
      <c r="B834">
        <v>131412398</v>
      </c>
      <c r="C834" t="s">
        <v>4356</v>
      </c>
      <c r="D834" t="s">
        <v>4357</v>
      </c>
      <c r="E834" t="s">
        <v>4263</v>
      </c>
      <c r="F834" t="s">
        <v>847</v>
      </c>
      <c r="G834" t="s">
        <v>142</v>
      </c>
      <c r="H834" t="s">
        <v>143</v>
      </c>
      <c r="I834" t="s">
        <v>35</v>
      </c>
      <c r="J834" t="s">
        <v>144</v>
      </c>
      <c r="K834" t="s">
        <v>2</v>
      </c>
      <c r="L834" t="s">
        <v>4358</v>
      </c>
      <c r="M834" t="s">
        <v>4359</v>
      </c>
      <c r="N834" t="s">
        <v>850</v>
      </c>
      <c r="O834" t="s">
        <v>40</v>
      </c>
      <c r="P834" t="s">
        <v>4360</v>
      </c>
      <c r="Q834" t="s">
        <v>61</v>
      </c>
      <c r="R834" t="s">
        <v>384</v>
      </c>
      <c r="S834">
        <v>1.04</v>
      </c>
      <c r="T834">
        <v>4346</v>
      </c>
      <c r="U834">
        <v>0</v>
      </c>
      <c r="V834">
        <v>4346</v>
      </c>
    </row>
    <row r="835" spans="1:22" x14ac:dyDescent="0.25">
      <c r="A835">
        <v>187694</v>
      </c>
      <c r="B835">
        <v>131412402</v>
      </c>
      <c r="C835" t="s">
        <v>4361</v>
      </c>
      <c r="D835" t="s">
        <v>4362</v>
      </c>
      <c r="E835" t="s">
        <v>4263</v>
      </c>
      <c r="F835" t="s">
        <v>847</v>
      </c>
      <c r="G835" t="s">
        <v>142</v>
      </c>
      <c r="H835" t="s">
        <v>143</v>
      </c>
      <c r="I835" t="s">
        <v>35</v>
      </c>
      <c r="J835" t="s">
        <v>144</v>
      </c>
      <c r="K835" t="s">
        <v>2</v>
      </c>
      <c r="L835" t="s">
        <v>4363</v>
      </c>
      <c r="M835" t="s">
        <v>4364</v>
      </c>
      <c r="N835" t="s">
        <v>850</v>
      </c>
      <c r="O835" t="s">
        <v>40</v>
      </c>
      <c r="P835" t="s">
        <v>4365</v>
      </c>
      <c r="Q835" t="s">
        <v>111</v>
      </c>
      <c r="R835" t="s">
        <v>384</v>
      </c>
      <c r="S835">
        <v>1.34</v>
      </c>
      <c r="T835">
        <v>4346</v>
      </c>
      <c r="U835">
        <v>0</v>
      </c>
      <c r="V835">
        <v>4346</v>
      </c>
    </row>
    <row r="836" spans="1:22" x14ac:dyDescent="0.25">
      <c r="A836">
        <v>187694</v>
      </c>
      <c r="B836">
        <v>131501684</v>
      </c>
      <c r="C836" t="s">
        <v>4366</v>
      </c>
      <c r="D836" t="s">
        <v>4367</v>
      </c>
      <c r="E836" t="s">
        <v>4263</v>
      </c>
      <c r="F836" t="s">
        <v>847</v>
      </c>
      <c r="G836" t="s">
        <v>156</v>
      </c>
      <c r="H836" t="s">
        <v>157</v>
      </c>
      <c r="I836" t="s">
        <v>35</v>
      </c>
      <c r="J836" t="s">
        <v>166</v>
      </c>
      <c r="K836" t="s">
        <v>2</v>
      </c>
      <c r="L836" t="s">
        <v>158</v>
      </c>
      <c r="M836" t="s">
        <v>4368</v>
      </c>
      <c r="N836" t="s">
        <v>850</v>
      </c>
      <c r="O836" t="s">
        <v>40</v>
      </c>
      <c r="P836" t="s">
        <v>4369</v>
      </c>
      <c r="Q836" t="s">
        <v>84</v>
      </c>
      <c r="R836" t="s">
        <v>367</v>
      </c>
      <c r="S836">
        <v>0.75</v>
      </c>
      <c r="T836">
        <v>3915</v>
      </c>
      <c r="U836">
        <v>0</v>
      </c>
      <c r="V836">
        <v>3915</v>
      </c>
    </row>
    <row r="837" spans="1:22" x14ac:dyDescent="0.25">
      <c r="A837">
        <v>187694</v>
      </c>
      <c r="B837">
        <v>131412405</v>
      </c>
      <c r="C837" t="s">
        <v>4370</v>
      </c>
      <c r="D837" t="s">
        <v>4371</v>
      </c>
      <c r="E837" t="s">
        <v>4263</v>
      </c>
      <c r="F837" t="s">
        <v>847</v>
      </c>
      <c r="G837" t="s">
        <v>156</v>
      </c>
      <c r="H837" t="s">
        <v>157</v>
      </c>
      <c r="I837" t="s">
        <v>35</v>
      </c>
      <c r="J837" t="s">
        <v>166</v>
      </c>
      <c r="K837" t="s">
        <v>2</v>
      </c>
      <c r="L837" t="s">
        <v>158</v>
      </c>
      <c r="M837" t="s">
        <v>4372</v>
      </c>
      <c r="N837" t="s">
        <v>850</v>
      </c>
      <c r="O837" t="s">
        <v>40</v>
      </c>
      <c r="P837" t="s">
        <v>4373</v>
      </c>
      <c r="Q837" t="s">
        <v>84</v>
      </c>
      <c r="R837" t="s">
        <v>384</v>
      </c>
      <c r="S837">
        <v>1.45</v>
      </c>
      <c r="T837">
        <v>3915</v>
      </c>
      <c r="U837">
        <v>0</v>
      </c>
      <c r="V837">
        <v>3915</v>
      </c>
    </row>
    <row r="838" spans="1:22" x14ac:dyDescent="0.25">
      <c r="A838">
        <v>187694</v>
      </c>
      <c r="B838">
        <v>131281361</v>
      </c>
      <c r="C838" t="s">
        <v>4374</v>
      </c>
      <c r="D838" t="s">
        <v>4375</v>
      </c>
      <c r="E838" t="s">
        <v>4263</v>
      </c>
      <c r="F838" t="s">
        <v>847</v>
      </c>
      <c r="G838" t="s">
        <v>156</v>
      </c>
      <c r="H838" t="s">
        <v>157</v>
      </c>
      <c r="I838" t="s">
        <v>35</v>
      </c>
      <c r="J838" t="s">
        <v>166</v>
      </c>
      <c r="K838" t="s">
        <v>2</v>
      </c>
      <c r="L838" t="s">
        <v>158</v>
      </c>
      <c r="M838" t="s">
        <v>4376</v>
      </c>
      <c r="N838" t="s">
        <v>850</v>
      </c>
      <c r="O838" t="s">
        <v>40</v>
      </c>
      <c r="P838" t="s">
        <v>4377</v>
      </c>
      <c r="Q838" t="s">
        <v>53</v>
      </c>
      <c r="R838" t="s">
        <v>661</v>
      </c>
      <c r="S838">
        <v>4.9000000000000004</v>
      </c>
      <c r="T838">
        <v>4537</v>
      </c>
      <c r="U838">
        <v>0</v>
      </c>
      <c r="V838">
        <v>4537</v>
      </c>
    </row>
    <row r="839" spans="1:22" x14ac:dyDescent="0.25">
      <c r="A839">
        <v>154063</v>
      </c>
      <c r="B839">
        <v>131959761</v>
      </c>
      <c r="C839" t="s">
        <v>4378</v>
      </c>
      <c r="D839">
        <v>18834394</v>
      </c>
      <c r="E839" t="s">
        <v>4379</v>
      </c>
      <c r="F839" t="s">
        <v>847</v>
      </c>
      <c r="G839" t="s">
        <v>504</v>
      </c>
      <c r="H839" t="s">
        <v>505</v>
      </c>
      <c r="I839" t="s">
        <v>35</v>
      </c>
      <c r="J839" t="s">
        <v>320</v>
      </c>
      <c r="K839" t="s">
        <v>2</v>
      </c>
      <c r="L839" t="s">
        <v>103</v>
      </c>
      <c r="M839" t="s">
        <v>4380</v>
      </c>
      <c r="N839" t="s">
        <v>850</v>
      </c>
      <c r="O839" t="s">
        <v>40</v>
      </c>
      <c r="P839" t="s">
        <v>4381</v>
      </c>
      <c r="Q839" t="s">
        <v>93</v>
      </c>
      <c r="R839" t="s">
        <v>654</v>
      </c>
      <c r="S839">
        <v>1</v>
      </c>
      <c r="T839">
        <v>2706</v>
      </c>
      <c r="U839">
        <v>0</v>
      </c>
      <c r="V839">
        <v>2706</v>
      </c>
    </row>
    <row r="840" spans="1:22" x14ac:dyDescent="0.25">
      <c r="A840">
        <v>154063</v>
      </c>
      <c r="B840">
        <v>131959702</v>
      </c>
      <c r="C840" t="s">
        <v>4382</v>
      </c>
      <c r="D840">
        <v>18834393</v>
      </c>
      <c r="E840" t="s">
        <v>4379</v>
      </c>
      <c r="F840" t="s">
        <v>847</v>
      </c>
      <c r="G840" t="s">
        <v>504</v>
      </c>
      <c r="H840" t="s">
        <v>505</v>
      </c>
      <c r="I840" t="s">
        <v>35</v>
      </c>
      <c r="J840" t="s">
        <v>320</v>
      </c>
      <c r="K840" t="s">
        <v>2</v>
      </c>
      <c r="L840" t="s">
        <v>103</v>
      </c>
      <c r="M840" t="s">
        <v>4383</v>
      </c>
      <c r="N840" t="s">
        <v>850</v>
      </c>
      <c r="O840" t="s">
        <v>40</v>
      </c>
      <c r="P840" t="s">
        <v>4384</v>
      </c>
      <c r="Q840" t="s">
        <v>99</v>
      </c>
      <c r="R840" t="s">
        <v>399</v>
      </c>
      <c r="S840">
        <v>1</v>
      </c>
      <c r="T840">
        <v>2706</v>
      </c>
      <c r="U840">
        <v>0</v>
      </c>
      <c r="V840">
        <v>2706</v>
      </c>
    </row>
    <row r="841" spans="1:22" x14ac:dyDescent="0.25">
      <c r="A841">
        <v>154063</v>
      </c>
      <c r="B841">
        <v>131959676</v>
      </c>
      <c r="C841" t="s">
        <v>4385</v>
      </c>
      <c r="D841">
        <v>18834390</v>
      </c>
      <c r="E841" t="s">
        <v>4379</v>
      </c>
      <c r="F841" t="s">
        <v>847</v>
      </c>
      <c r="G841" t="s">
        <v>504</v>
      </c>
      <c r="H841" t="s">
        <v>505</v>
      </c>
      <c r="I841" t="s">
        <v>35</v>
      </c>
      <c r="J841" t="s">
        <v>320</v>
      </c>
      <c r="K841" t="s">
        <v>2</v>
      </c>
      <c r="L841" t="s">
        <v>103</v>
      </c>
      <c r="M841" t="s">
        <v>4386</v>
      </c>
      <c r="N841" t="s">
        <v>850</v>
      </c>
      <c r="O841" t="s">
        <v>40</v>
      </c>
      <c r="P841" t="s">
        <v>4387</v>
      </c>
      <c r="Q841" t="s">
        <v>99</v>
      </c>
      <c r="R841" t="s">
        <v>523</v>
      </c>
      <c r="S841">
        <v>1</v>
      </c>
      <c r="T841">
        <v>2706</v>
      </c>
      <c r="U841">
        <v>0</v>
      </c>
      <c r="V841">
        <v>2706</v>
      </c>
    </row>
    <row r="842" spans="1:22" x14ac:dyDescent="0.25">
      <c r="A842">
        <v>154063</v>
      </c>
      <c r="B842">
        <v>131862745</v>
      </c>
      <c r="C842" t="s">
        <v>4388</v>
      </c>
      <c r="D842">
        <v>18825798</v>
      </c>
      <c r="E842" t="s">
        <v>4379</v>
      </c>
      <c r="F842" t="s">
        <v>847</v>
      </c>
      <c r="G842" t="s">
        <v>504</v>
      </c>
      <c r="H842" t="s">
        <v>505</v>
      </c>
      <c r="I842" t="s">
        <v>35</v>
      </c>
      <c r="J842" t="s">
        <v>320</v>
      </c>
      <c r="K842" t="s">
        <v>2</v>
      </c>
      <c r="L842" t="s">
        <v>103</v>
      </c>
      <c r="M842" t="s">
        <v>4389</v>
      </c>
      <c r="N842" t="s">
        <v>850</v>
      </c>
      <c r="O842" t="s">
        <v>40</v>
      </c>
      <c r="P842" t="s">
        <v>4390</v>
      </c>
      <c r="Q842" t="s">
        <v>43</v>
      </c>
      <c r="R842" t="s">
        <v>301</v>
      </c>
      <c r="S842">
        <v>1</v>
      </c>
      <c r="T842">
        <v>2706</v>
      </c>
      <c r="U842">
        <v>0</v>
      </c>
      <c r="V842">
        <v>2706</v>
      </c>
    </row>
    <row r="843" spans="1:22" x14ac:dyDescent="0.25">
      <c r="A843">
        <v>154063</v>
      </c>
      <c r="B843">
        <v>131862731</v>
      </c>
      <c r="C843" t="s">
        <v>4391</v>
      </c>
      <c r="D843">
        <v>18825797</v>
      </c>
      <c r="E843" t="s">
        <v>4379</v>
      </c>
      <c r="F843" t="s">
        <v>847</v>
      </c>
      <c r="G843" t="s">
        <v>504</v>
      </c>
      <c r="H843" t="s">
        <v>505</v>
      </c>
      <c r="I843" t="s">
        <v>35</v>
      </c>
      <c r="J843" t="s">
        <v>320</v>
      </c>
      <c r="K843" t="s">
        <v>2</v>
      </c>
      <c r="L843" t="s">
        <v>103</v>
      </c>
      <c r="M843" t="s">
        <v>4392</v>
      </c>
      <c r="N843" t="s">
        <v>850</v>
      </c>
      <c r="O843" t="s">
        <v>40</v>
      </c>
      <c r="P843" t="s">
        <v>4393</v>
      </c>
      <c r="Q843" t="s">
        <v>42</v>
      </c>
      <c r="R843" t="s">
        <v>301</v>
      </c>
      <c r="S843">
        <v>1</v>
      </c>
      <c r="T843">
        <v>2706</v>
      </c>
      <c r="U843">
        <v>0</v>
      </c>
      <c r="V843">
        <v>2706</v>
      </c>
    </row>
    <row r="844" spans="1:22" x14ac:dyDescent="0.25">
      <c r="A844">
        <v>154063</v>
      </c>
      <c r="B844">
        <v>131862722</v>
      </c>
      <c r="C844" t="s">
        <v>4394</v>
      </c>
      <c r="D844">
        <v>18825796</v>
      </c>
      <c r="E844" t="s">
        <v>4379</v>
      </c>
      <c r="F844" t="s">
        <v>847</v>
      </c>
      <c r="G844" t="s">
        <v>504</v>
      </c>
      <c r="H844" t="s">
        <v>505</v>
      </c>
      <c r="I844" t="s">
        <v>35</v>
      </c>
      <c r="J844" t="s">
        <v>320</v>
      </c>
      <c r="K844" t="s">
        <v>2</v>
      </c>
      <c r="L844" t="s">
        <v>103</v>
      </c>
      <c r="M844" t="s">
        <v>4395</v>
      </c>
      <c r="N844" t="s">
        <v>850</v>
      </c>
      <c r="O844" t="s">
        <v>40</v>
      </c>
      <c r="P844" t="s">
        <v>4396</v>
      </c>
      <c r="Q844" t="s">
        <v>43</v>
      </c>
      <c r="R844" t="s">
        <v>301</v>
      </c>
      <c r="S844">
        <v>1</v>
      </c>
      <c r="T844">
        <v>2706</v>
      </c>
      <c r="U844">
        <v>0</v>
      </c>
      <c r="V844">
        <v>2706</v>
      </c>
    </row>
    <row r="845" spans="1:22" x14ac:dyDescent="0.25">
      <c r="A845">
        <v>154063</v>
      </c>
      <c r="B845">
        <v>131862727</v>
      </c>
      <c r="C845" t="s">
        <v>4397</v>
      </c>
      <c r="D845">
        <v>18825795</v>
      </c>
      <c r="E845" t="s">
        <v>4379</v>
      </c>
      <c r="F845" t="s">
        <v>847</v>
      </c>
      <c r="G845" t="s">
        <v>504</v>
      </c>
      <c r="H845" t="s">
        <v>505</v>
      </c>
      <c r="I845" t="s">
        <v>35</v>
      </c>
      <c r="J845" t="s">
        <v>320</v>
      </c>
      <c r="K845" t="s">
        <v>2</v>
      </c>
      <c r="L845" t="s">
        <v>103</v>
      </c>
      <c r="M845" t="s">
        <v>4398</v>
      </c>
      <c r="N845" t="s">
        <v>850</v>
      </c>
      <c r="O845" t="s">
        <v>40</v>
      </c>
      <c r="P845" t="s">
        <v>4399</v>
      </c>
      <c r="Q845" t="s">
        <v>42</v>
      </c>
      <c r="R845" t="s">
        <v>301</v>
      </c>
      <c r="S845">
        <v>1</v>
      </c>
      <c r="T845">
        <v>2706</v>
      </c>
      <c r="U845">
        <v>0</v>
      </c>
      <c r="V845">
        <v>2706</v>
      </c>
    </row>
    <row r="846" spans="1:22" x14ac:dyDescent="0.25">
      <c r="A846">
        <v>154063</v>
      </c>
      <c r="B846">
        <v>131850278</v>
      </c>
      <c r="C846" t="s">
        <v>4400</v>
      </c>
      <c r="D846">
        <v>18824669</v>
      </c>
      <c r="E846" t="s">
        <v>4379</v>
      </c>
      <c r="F846" t="s">
        <v>847</v>
      </c>
      <c r="G846" t="s">
        <v>504</v>
      </c>
      <c r="H846" t="s">
        <v>505</v>
      </c>
      <c r="I846" t="s">
        <v>35</v>
      </c>
      <c r="J846" t="s">
        <v>320</v>
      </c>
      <c r="K846" t="s">
        <v>2</v>
      </c>
      <c r="L846" t="s">
        <v>103</v>
      </c>
      <c r="M846" t="s">
        <v>4401</v>
      </c>
      <c r="N846" t="s">
        <v>850</v>
      </c>
      <c r="O846" t="s">
        <v>40</v>
      </c>
      <c r="P846" t="s">
        <v>4402</v>
      </c>
      <c r="Q846" t="s">
        <v>97</v>
      </c>
      <c r="R846" t="s">
        <v>4403</v>
      </c>
      <c r="S846">
        <v>1</v>
      </c>
      <c r="T846">
        <v>2706</v>
      </c>
      <c r="U846">
        <v>0</v>
      </c>
      <c r="V846">
        <v>2706</v>
      </c>
    </row>
    <row r="847" spans="1:22" x14ac:dyDescent="0.25">
      <c r="A847">
        <v>154063</v>
      </c>
      <c r="B847">
        <v>131850279</v>
      </c>
      <c r="C847" t="s">
        <v>4404</v>
      </c>
      <c r="D847">
        <v>18824668</v>
      </c>
      <c r="E847" t="s">
        <v>4379</v>
      </c>
      <c r="F847" t="s">
        <v>847</v>
      </c>
      <c r="G847" t="s">
        <v>504</v>
      </c>
      <c r="H847" t="s">
        <v>505</v>
      </c>
      <c r="I847" t="s">
        <v>35</v>
      </c>
      <c r="J847" t="s">
        <v>320</v>
      </c>
      <c r="K847" t="s">
        <v>2</v>
      </c>
      <c r="L847" t="s">
        <v>103</v>
      </c>
      <c r="M847" t="s">
        <v>177</v>
      </c>
      <c r="N847" t="s">
        <v>850</v>
      </c>
      <c r="O847" t="s">
        <v>40</v>
      </c>
      <c r="P847" t="s">
        <v>4405</v>
      </c>
      <c r="Q847" t="s">
        <v>38</v>
      </c>
      <c r="R847" t="s">
        <v>4403</v>
      </c>
      <c r="S847">
        <v>1</v>
      </c>
      <c r="T847">
        <v>2706</v>
      </c>
      <c r="U847">
        <v>0</v>
      </c>
      <c r="V847">
        <v>2706</v>
      </c>
    </row>
    <row r="848" spans="1:22" x14ac:dyDescent="0.25">
      <c r="A848">
        <v>154063</v>
      </c>
      <c r="B848">
        <v>131868614</v>
      </c>
      <c r="C848" t="s">
        <v>4406</v>
      </c>
      <c r="D848" t="s">
        <v>4407</v>
      </c>
      <c r="E848" t="s">
        <v>4379</v>
      </c>
      <c r="F848" t="s">
        <v>847</v>
      </c>
      <c r="G848" t="s">
        <v>142</v>
      </c>
      <c r="H848" t="s">
        <v>143</v>
      </c>
      <c r="I848" t="s">
        <v>35</v>
      </c>
      <c r="J848" t="s">
        <v>144</v>
      </c>
      <c r="K848" t="s">
        <v>2</v>
      </c>
      <c r="L848" t="s">
        <v>4408</v>
      </c>
      <c r="M848" t="s">
        <v>4409</v>
      </c>
      <c r="N848" t="s">
        <v>850</v>
      </c>
      <c r="O848" t="s">
        <v>40</v>
      </c>
      <c r="P848" t="s">
        <v>4410</v>
      </c>
      <c r="Q848" t="s">
        <v>48</v>
      </c>
      <c r="R848" t="s">
        <v>665</v>
      </c>
      <c r="S848">
        <v>0.1</v>
      </c>
      <c r="T848">
        <v>3299</v>
      </c>
      <c r="U848">
        <v>0</v>
      </c>
      <c r="V848">
        <v>3299</v>
      </c>
    </row>
    <row r="849" spans="1:22" x14ac:dyDescent="0.25">
      <c r="A849">
        <v>154063</v>
      </c>
      <c r="B849">
        <v>131868526</v>
      </c>
      <c r="C849" t="s">
        <v>4411</v>
      </c>
      <c r="D849" t="s">
        <v>4412</v>
      </c>
      <c r="E849" t="s">
        <v>4379</v>
      </c>
      <c r="F849" t="s">
        <v>847</v>
      </c>
      <c r="G849" t="s">
        <v>142</v>
      </c>
      <c r="H849" t="s">
        <v>143</v>
      </c>
      <c r="I849" t="s">
        <v>35</v>
      </c>
      <c r="J849" t="s">
        <v>144</v>
      </c>
      <c r="K849" t="s">
        <v>2</v>
      </c>
      <c r="L849" t="s">
        <v>4413</v>
      </c>
      <c r="M849" t="s">
        <v>4414</v>
      </c>
      <c r="N849" t="s">
        <v>850</v>
      </c>
      <c r="O849" t="s">
        <v>40</v>
      </c>
      <c r="P849" t="s">
        <v>4415</v>
      </c>
      <c r="Q849" t="s">
        <v>49</v>
      </c>
      <c r="R849" t="s">
        <v>521</v>
      </c>
      <c r="S849">
        <v>0.4</v>
      </c>
      <c r="T849">
        <v>3299</v>
      </c>
      <c r="U849">
        <v>0</v>
      </c>
      <c r="V849">
        <v>3299</v>
      </c>
    </row>
    <row r="850" spans="1:22" x14ac:dyDescent="0.25">
      <c r="A850">
        <v>154063</v>
      </c>
      <c r="B850">
        <v>131831496</v>
      </c>
      <c r="C850" t="s">
        <v>4416</v>
      </c>
      <c r="D850" t="s">
        <v>4417</v>
      </c>
      <c r="E850" t="s">
        <v>4379</v>
      </c>
      <c r="F850" t="s">
        <v>847</v>
      </c>
      <c r="G850" t="s">
        <v>142</v>
      </c>
      <c r="H850" t="s">
        <v>143</v>
      </c>
      <c r="I850" t="s">
        <v>35</v>
      </c>
      <c r="J850" t="s">
        <v>144</v>
      </c>
      <c r="K850" t="s">
        <v>2</v>
      </c>
      <c r="L850" t="s">
        <v>4418</v>
      </c>
      <c r="M850" t="s">
        <v>4419</v>
      </c>
      <c r="N850" t="s">
        <v>850</v>
      </c>
      <c r="O850" t="s">
        <v>40</v>
      </c>
      <c r="P850" t="s">
        <v>4420</v>
      </c>
      <c r="Q850" t="s">
        <v>55</v>
      </c>
      <c r="R850" t="s">
        <v>394</v>
      </c>
      <c r="S850">
        <v>0.11</v>
      </c>
      <c r="T850">
        <v>3449</v>
      </c>
      <c r="U850">
        <v>0</v>
      </c>
      <c r="V850">
        <v>3449</v>
      </c>
    </row>
    <row r="851" spans="1:22" x14ac:dyDescent="0.25">
      <c r="A851">
        <v>154063</v>
      </c>
      <c r="B851">
        <v>131868539</v>
      </c>
      <c r="C851" t="s">
        <v>4421</v>
      </c>
      <c r="D851" t="s">
        <v>4422</v>
      </c>
      <c r="E851" t="s">
        <v>4379</v>
      </c>
      <c r="F851" t="s">
        <v>847</v>
      </c>
      <c r="G851" t="s">
        <v>142</v>
      </c>
      <c r="H851" t="s">
        <v>143</v>
      </c>
      <c r="I851" t="s">
        <v>35</v>
      </c>
      <c r="J851" t="s">
        <v>144</v>
      </c>
      <c r="K851" t="s">
        <v>2</v>
      </c>
      <c r="L851" t="s">
        <v>4423</v>
      </c>
      <c r="M851" t="s">
        <v>4424</v>
      </c>
      <c r="N851" t="s">
        <v>850</v>
      </c>
      <c r="O851" t="s">
        <v>40</v>
      </c>
      <c r="P851" t="s">
        <v>4425</v>
      </c>
      <c r="Q851" t="s">
        <v>79</v>
      </c>
      <c r="R851" t="s">
        <v>521</v>
      </c>
      <c r="S851">
        <v>0.4</v>
      </c>
      <c r="T851">
        <v>3449</v>
      </c>
      <c r="U851">
        <v>0</v>
      </c>
      <c r="V851">
        <v>3449</v>
      </c>
    </row>
    <row r="852" spans="1:22" x14ac:dyDescent="0.25">
      <c r="A852">
        <v>154063</v>
      </c>
      <c r="B852">
        <v>131831499</v>
      </c>
      <c r="C852" t="s">
        <v>4426</v>
      </c>
      <c r="D852" t="s">
        <v>4427</v>
      </c>
      <c r="E852" t="s">
        <v>4379</v>
      </c>
      <c r="F852" t="s">
        <v>847</v>
      </c>
      <c r="G852" t="s">
        <v>142</v>
      </c>
      <c r="H852" t="s">
        <v>143</v>
      </c>
      <c r="I852" t="s">
        <v>35</v>
      </c>
      <c r="J852" t="s">
        <v>144</v>
      </c>
      <c r="K852" t="s">
        <v>2</v>
      </c>
      <c r="L852" t="s">
        <v>4428</v>
      </c>
      <c r="M852" t="s">
        <v>4429</v>
      </c>
      <c r="N852" t="s">
        <v>850</v>
      </c>
      <c r="O852" t="s">
        <v>40</v>
      </c>
      <c r="P852" t="s">
        <v>4430</v>
      </c>
      <c r="Q852" t="s">
        <v>79</v>
      </c>
      <c r="R852" t="s">
        <v>394</v>
      </c>
      <c r="S852">
        <v>0.41</v>
      </c>
      <c r="T852">
        <v>3449</v>
      </c>
      <c r="U852">
        <v>0</v>
      </c>
      <c r="V852">
        <v>3449</v>
      </c>
    </row>
    <row r="853" spans="1:22" x14ac:dyDescent="0.25">
      <c r="A853">
        <v>154063</v>
      </c>
      <c r="B853">
        <v>131831493</v>
      </c>
      <c r="C853" t="s">
        <v>4431</v>
      </c>
      <c r="D853" t="s">
        <v>4432</v>
      </c>
      <c r="E853" t="s">
        <v>4379</v>
      </c>
      <c r="F853" t="s">
        <v>847</v>
      </c>
      <c r="G853" t="s">
        <v>142</v>
      </c>
      <c r="H853" t="s">
        <v>143</v>
      </c>
      <c r="I853" t="s">
        <v>35</v>
      </c>
      <c r="J853" t="s">
        <v>144</v>
      </c>
      <c r="K853" t="s">
        <v>2</v>
      </c>
      <c r="L853" t="s">
        <v>4433</v>
      </c>
      <c r="M853" t="s">
        <v>4434</v>
      </c>
      <c r="N853" t="s">
        <v>850</v>
      </c>
      <c r="O853" t="s">
        <v>40</v>
      </c>
      <c r="P853" t="s">
        <v>4435</v>
      </c>
      <c r="Q853" t="s">
        <v>79</v>
      </c>
      <c r="R853" t="s">
        <v>394</v>
      </c>
      <c r="S853">
        <v>0.18</v>
      </c>
      <c r="T853">
        <v>3449</v>
      </c>
      <c r="U853">
        <v>0</v>
      </c>
      <c r="V853">
        <v>3449</v>
      </c>
    </row>
    <row r="854" spans="1:22" x14ac:dyDescent="0.25">
      <c r="A854">
        <v>154063</v>
      </c>
      <c r="B854">
        <v>131500082</v>
      </c>
      <c r="C854" t="s">
        <v>4436</v>
      </c>
      <c r="D854" t="s">
        <v>4437</v>
      </c>
      <c r="E854" t="s">
        <v>4379</v>
      </c>
      <c r="F854" t="s">
        <v>847</v>
      </c>
      <c r="G854" t="s">
        <v>142</v>
      </c>
      <c r="H854" t="s">
        <v>143</v>
      </c>
      <c r="I854" t="s">
        <v>35</v>
      </c>
      <c r="J854" t="s">
        <v>144</v>
      </c>
      <c r="K854" t="s">
        <v>2</v>
      </c>
      <c r="L854" t="s">
        <v>4438</v>
      </c>
      <c r="M854" t="s">
        <v>344</v>
      </c>
      <c r="N854" t="s">
        <v>850</v>
      </c>
      <c r="O854" t="s">
        <v>40</v>
      </c>
      <c r="P854" t="s">
        <v>4439</v>
      </c>
      <c r="Q854" t="s">
        <v>79</v>
      </c>
      <c r="R854" t="s">
        <v>588</v>
      </c>
      <c r="S854">
        <v>0.6</v>
      </c>
      <c r="T854">
        <v>3501</v>
      </c>
      <c r="U854">
        <v>0</v>
      </c>
      <c r="V854">
        <v>3501</v>
      </c>
    </row>
    <row r="855" spans="1:22" x14ac:dyDescent="0.25">
      <c r="A855">
        <v>154063</v>
      </c>
      <c r="B855">
        <v>131959659</v>
      </c>
      <c r="C855" t="s">
        <v>4440</v>
      </c>
      <c r="D855" t="s">
        <v>4441</v>
      </c>
      <c r="E855" t="s">
        <v>4379</v>
      </c>
      <c r="F855" t="s">
        <v>847</v>
      </c>
      <c r="G855" t="s">
        <v>142</v>
      </c>
      <c r="H855" t="s">
        <v>143</v>
      </c>
      <c r="I855" t="s">
        <v>35</v>
      </c>
      <c r="J855" t="s">
        <v>144</v>
      </c>
      <c r="K855" t="s">
        <v>2</v>
      </c>
      <c r="L855" t="s">
        <v>4442</v>
      </c>
      <c r="M855" t="s">
        <v>4443</v>
      </c>
      <c r="N855" t="s">
        <v>850</v>
      </c>
      <c r="O855" t="s">
        <v>40</v>
      </c>
      <c r="P855" t="s">
        <v>4444</v>
      </c>
      <c r="Q855" t="s">
        <v>58</v>
      </c>
      <c r="R855" t="s">
        <v>771</v>
      </c>
      <c r="S855">
        <v>0.13</v>
      </c>
      <c r="T855">
        <v>3680</v>
      </c>
      <c r="U855">
        <v>0</v>
      </c>
      <c r="V855">
        <v>3680</v>
      </c>
    </row>
    <row r="856" spans="1:22" x14ac:dyDescent="0.25">
      <c r="A856">
        <v>154063</v>
      </c>
      <c r="B856">
        <v>131868621</v>
      </c>
      <c r="C856" t="s">
        <v>4445</v>
      </c>
      <c r="D856" t="s">
        <v>4446</v>
      </c>
      <c r="E856" t="s">
        <v>4379</v>
      </c>
      <c r="F856" t="s">
        <v>847</v>
      </c>
      <c r="G856" t="s">
        <v>142</v>
      </c>
      <c r="H856" t="s">
        <v>143</v>
      </c>
      <c r="I856" t="s">
        <v>35</v>
      </c>
      <c r="J856" t="s">
        <v>144</v>
      </c>
      <c r="K856" t="s">
        <v>2</v>
      </c>
      <c r="L856" t="s">
        <v>4447</v>
      </c>
      <c r="M856" t="s">
        <v>4448</v>
      </c>
      <c r="N856" t="s">
        <v>850</v>
      </c>
      <c r="O856" t="s">
        <v>40</v>
      </c>
      <c r="P856" t="s">
        <v>4449</v>
      </c>
      <c r="Q856" t="s">
        <v>112</v>
      </c>
      <c r="R856" t="s">
        <v>665</v>
      </c>
      <c r="S856">
        <v>0.4</v>
      </c>
      <c r="T856">
        <v>3680</v>
      </c>
      <c r="U856">
        <v>0</v>
      </c>
      <c r="V856">
        <v>3680</v>
      </c>
    </row>
    <row r="857" spans="1:22" x14ac:dyDescent="0.25">
      <c r="A857">
        <v>154063</v>
      </c>
      <c r="B857">
        <v>131831503</v>
      </c>
      <c r="C857" t="s">
        <v>4450</v>
      </c>
      <c r="D857" t="s">
        <v>4451</v>
      </c>
      <c r="E857" t="s">
        <v>4379</v>
      </c>
      <c r="F857" t="s">
        <v>847</v>
      </c>
      <c r="G857" t="s">
        <v>142</v>
      </c>
      <c r="H857" t="s">
        <v>143</v>
      </c>
      <c r="I857" t="s">
        <v>35</v>
      </c>
      <c r="J857" t="s">
        <v>144</v>
      </c>
      <c r="K857" t="s">
        <v>2</v>
      </c>
      <c r="L857" t="s">
        <v>4452</v>
      </c>
      <c r="M857" t="s">
        <v>4453</v>
      </c>
      <c r="N857" t="s">
        <v>850</v>
      </c>
      <c r="O857" t="s">
        <v>40</v>
      </c>
      <c r="P857" t="s">
        <v>4454</v>
      </c>
      <c r="Q857" t="s">
        <v>107</v>
      </c>
      <c r="R857" t="s">
        <v>394</v>
      </c>
      <c r="S857">
        <v>0.6</v>
      </c>
      <c r="T857">
        <v>5198</v>
      </c>
      <c r="U857">
        <v>0</v>
      </c>
      <c r="V857">
        <v>5198</v>
      </c>
    </row>
    <row r="858" spans="1:22" x14ac:dyDescent="0.25">
      <c r="A858">
        <v>154063</v>
      </c>
      <c r="B858">
        <v>131831502</v>
      </c>
      <c r="C858" t="s">
        <v>4455</v>
      </c>
      <c r="D858" t="s">
        <v>4456</v>
      </c>
      <c r="E858" t="s">
        <v>4379</v>
      </c>
      <c r="F858" t="s">
        <v>847</v>
      </c>
      <c r="G858" t="s">
        <v>142</v>
      </c>
      <c r="H858" t="s">
        <v>143</v>
      </c>
      <c r="I858" t="s">
        <v>35</v>
      </c>
      <c r="J858" t="s">
        <v>144</v>
      </c>
      <c r="K858" t="s">
        <v>2</v>
      </c>
      <c r="L858" t="s">
        <v>4457</v>
      </c>
      <c r="M858" t="s">
        <v>4458</v>
      </c>
      <c r="N858" t="s">
        <v>850</v>
      </c>
      <c r="O858" t="s">
        <v>40</v>
      </c>
      <c r="P858" t="s">
        <v>4459</v>
      </c>
      <c r="Q858" t="s">
        <v>244</v>
      </c>
      <c r="R858" t="s">
        <v>394</v>
      </c>
      <c r="S858">
        <v>0.2</v>
      </c>
      <c r="T858">
        <v>6597</v>
      </c>
      <c r="U858">
        <v>0</v>
      </c>
      <c r="V858">
        <v>6597</v>
      </c>
    </row>
    <row r="859" spans="1:22" x14ac:dyDescent="0.25">
      <c r="A859">
        <v>154063</v>
      </c>
      <c r="B859">
        <v>131868554</v>
      </c>
      <c r="C859" t="s">
        <v>4460</v>
      </c>
      <c r="D859" t="s">
        <v>4461</v>
      </c>
      <c r="E859" t="s">
        <v>4379</v>
      </c>
      <c r="F859" t="s">
        <v>847</v>
      </c>
      <c r="G859" t="s">
        <v>142</v>
      </c>
      <c r="H859" t="s">
        <v>143</v>
      </c>
      <c r="I859" t="s">
        <v>35</v>
      </c>
      <c r="J859" t="s">
        <v>144</v>
      </c>
      <c r="K859" t="s">
        <v>2</v>
      </c>
      <c r="L859" t="s">
        <v>4462</v>
      </c>
      <c r="M859" t="s">
        <v>4463</v>
      </c>
      <c r="N859" t="s">
        <v>850</v>
      </c>
      <c r="O859" t="s">
        <v>40</v>
      </c>
      <c r="P859" t="s">
        <v>4464</v>
      </c>
      <c r="Q859" t="s">
        <v>159</v>
      </c>
      <c r="R859" t="s">
        <v>521</v>
      </c>
      <c r="S859">
        <v>0.4</v>
      </c>
      <c r="T859">
        <v>9896</v>
      </c>
      <c r="U859">
        <v>0</v>
      </c>
      <c r="V859">
        <v>9896</v>
      </c>
    </row>
    <row r="860" spans="1:22" x14ac:dyDescent="0.25">
      <c r="A860">
        <v>154063</v>
      </c>
      <c r="B860">
        <v>131831480</v>
      </c>
      <c r="C860" t="s">
        <v>4465</v>
      </c>
      <c r="D860" t="s">
        <v>4466</v>
      </c>
      <c r="E860" t="s">
        <v>4379</v>
      </c>
      <c r="F860" t="s">
        <v>847</v>
      </c>
      <c r="G860" t="s">
        <v>142</v>
      </c>
      <c r="H860" t="s">
        <v>143</v>
      </c>
      <c r="I860" t="s">
        <v>35</v>
      </c>
      <c r="J860" t="s">
        <v>144</v>
      </c>
      <c r="K860" t="s">
        <v>2</v>
      </c>
      <c r="L860" t="s">
        <v>4467</v>
      </c>
      <c r="M860" t="s">
        <v>4468</v>
      </c>
      <c r="N860" t="s">
        <v>850</v>
      </c>
      <c r="O860" t="s">
        <v>40</v>
      </c>
      <c r="P860" t="s">
        <v>4469</v>
      </c>
      <c r="Q860" t="s">
        <v>249</v>
      </c>
      <c r="R860" t="s">
        <v>394</v>
      </c>
      <c r="S860">
        <v>0.22</v>
      </c>
      <c r="T860">
        <v>9896</v>
      </c>
      <c r="U860">
        <v>0</v>
      </c>
      <c r="V860">
        <v>9896</v>
      </c>
    </row>
    <row r="861" spans="1:22" x14ac:dyDescent="0.25">
      <c r="A861">
        <v>154063</v>
      </c>
      <c r="B861">
        <v>130929214</v>
      </c>
      <c r="C861" t="s">
        <v>4470</v>
      </c>
      <c r="D861" t="s">
        <v>4471</v>
      </c>
      <c r="E861" t="s">
        <v>4379</v>
      </c>
      <c r="F861" t="s">
        <v>847</v>
      </c>
      <c r="G861" t="s">
        <v>142</v>
      </c>
      <c r="H861" t="s">
        <v>143</v>
      </c>
      <c r="I861" t="s">
        <v>35</v>
      </c>
      <c r="J861" t="s">
        <v>144</v>
      </c>
      <c r="K861" t="s">
        <v>2</v>
      </c>
      <c r="L861" t="s">
        <v>4472</v>
      </c>
      <c r="M861" t="s">
        <v>4473</v>
      </c>
      <c r="N861" t="s">
        <v>850</v>
      </c>
      <c r="O861" t="s">
        <v>40</v>
      </c>
      <c r="P861" t="s">
        <v>4474</v>
      </c>
      <c r="Q861" t="s">
        <v>347</v>
      </c>
      <c r="R861" t="s">
        <v>4475</v>
      </c>
      <c r="S861">
        <v>0.45</v>
      </c>
      <c r="T861">
        <v>14007</v>
      </c>
      <c r="U861">
        <v>0</v>
      </c>
      <c r="V861">
        <v>14007</v>
      </c>
    </row>
    <row r="862" spans="1:22" x14ac:dyDescent="0.25">
      <c r="A862">
        <v>152577</v>
      </c>
      <c r="B862">
        <v>132132880</v>
      </c>
      <c r="C862" t="s">
        <v>4476</v>
      </c>
      <c r="D862" t="s">
        <v>4477</v>
      </c>
      <c r="E862" t="s">
        <v>4478</v>
      </c>
      <c r="F862" t="s">
        <v>847</v>
      </c>
      <c r="G862" t="s">
        <v>142</v>
      </c>
      <c r="H862" t="s">
        <v>143</v>
      </c>
      <c r="I862" t="s">
        <v>35</v>
      </c>
      <c r="J862" t="s">
        <v>144</v>
      </c>
      <c r="K862" t="s">
        <v>2</v>
      </c>
      <c r="L862" t="s">
        <v>4479</v>
      </c>
      <c r="M862" t="s">
        <v>4480</v>
      </c>
      <c r="N862" t="s">
        <v>850</v>
      </c>
      <c r="O862" t="s">
        <v>40</v>
      </c>
      <c r="P862" t="s">
        <v>4481</v>
      </c>
      <c r="Q862" t="s">
        <v>217</v>
      </c>
      <c r="R862" t="s">
        <v>270</v>
      </c>
      <c r="S862">
        <v>1</v>
      </c>
      <c r="T862">
        <v>3870</v>
      </c>
      <c r="U862">
        <v>0</v>
      </c>
      <c r="V862">
        <v>3870</v>
      </c>
    </row>
    <row r="863" spans="1:22" x14ac:dyDescent="0.25">
      <c r="A863">
        <v>152577</v>
      </c>
      <c r="B863">
        <v>131460118</v>
      </c>
      <c r="C863" t="s">
        <v>4482</v>
      </c>
      <c r="D863" t="s">
        <v>4483</v>
      </c>
      <c r="E863" t="s">
        <v>4478</v>
      </c>
      <c r="F863" t="s">
        <v>847</v>
      </c>
      <c r="G863" t="s">
        <v>142</v>
      </c>
      <c r="H863" t="s">
        <v>143</v>
      </c>
      <c r="I863" t="s">
        <v>35</v>
      </c>
      <c r="J863" t="s">
        <v>144</v>
      </c>
      <c r="K863" t="s">
        <v>2</v>
      </c>
      <c r="L863" t="s">
        <v>4484</v>
      </c>
      <c r="M863" t="s">
        <v>4485</v>
      </c>
      <c r="N863" t="s">
        <v>850</v>
      </c>
      <c r="O863" t="s">
        <v>40</v>
      </c>
      <c r="P863" t="s">
        <v>4486</v>
      </c>
      <c r="Q863" t="s">
        <v>150</v>
      </c>
      <c r="R863" t="s">
        <v>525</v>
      </c>
      <c r="S863">
        <v>1</v>
      </c>
      <c r="T863">
        <v>5476</v>
      </c>
      <c r="U863">
        <v>0</v>
      </c>
      <c r="V863">
        <v>5476</v>
      </c>
    </row>
    <row r="864" spans="1:22" x14ac:dyDescent="0.25">
      <c r="A864">
        <v>152577</v>
      </c>
      <c r="B864">
        <v>132162406</v>
      </c>
      <c r="C864" t="s">
        <v>4487</v>
      </c>
      <c r="D864">
        <v>18852280</v>
      </c>
      <c r="E864" t="s">
        <v>4478</v>
      </c>
      <c r="F864" t="s">
        <v>847</v>
      </c>
      <c r="G864" t="s">
        <v>504</v>
      </c>
      <c r="H864" t="s">
        <v>505</v>
      </c>
      <c r="I864" t="s">
        <v>35</v>
      </c>
      <c r="J864" t="s">
        <v>320</v>
      </c>
      <c r="K864" t="s">
        <v>2</v>
      </c>
      <c r="L864" t="s">
        <v>103</v>
      </c>
      <c r="M864" t="s">
        <v>4488</v>
      </c>
      <c r="N864" t="s">
        <v>850</v>
      </c>
      <c r="O864" t="s">
        <v>40</v>
      </c>
      <c r="P864" t="s">
        <v>4489</v>
      </c>
      <c r="Q864" t="s">
        <v>101</v>
      </c>
      <c r="R864" t="s">
        <v>596</v>
      </c>
      <c r="S864">
        <v>1</v>
      </c>
      <c r="T864">
        <v>2706</v>
      </c>
      <c r="U864">
        <v>0</v>
      </c>
      <c r="V864">
        <v>2706</v>
      </c>
    </row>
    <row r="865" spans="1:22" x14ac:dyDescent="0.25">
      <c r="A865">
        <v>152577</v>
      </c>
      <c r="B865">
        <v>132129110</v>
      </c>
      <c r="C865" t="s">
        <v>4490</v>
      </c>
      <c r="D865">
        <v>18848811</v>
      </c>
      <c r="E865" t="s">
        <v>4478</v>
      </c>
      <c r="F865" t="s">
        <v>847</v>
      </c>
      <c r="G865" t="s">
        <v>504</v>
      </c>
      <c r="H865" t="s">
        <v>505</v>
      </c>
      <c r="I865" t="s">
        <v>35</v>
      </c>
      <c r="J865" t="s">
        <v>320</v>
      </c>
      <c r="K865" t="s">
        <v>2</v>
      </c>
      <c r="L865" t="s">
        <v>103</v>
      </c>
      <c r="M865" t="s">
        <v>481</v>
      </c>
      <c r="N865" t="s">
        <v>850</v>
      </c>
      <c r="O865" t="s">
        <v>40</v>
      </c>
      <c r="P865" t="s">
        <v>4491</v>
      </c>
      <c r="Q865" t="s">
        <v>42</v>
      </c>
      <c r="R865" t="s">
        <v>751</v>
      </c>
      <c r="S865">
        <v>1</v>
      </c>
      <c r="T865">
        <v>2706</v>
      </c>
      <c r="U865">
        <v>0</v>
      </c>
      <c r="V865">
        <v>2706</v>
      </c>
    </row>
    <row r="866" spans="1:22" x14ac:dyDescent="0.25">
      <c r="A866">
        <v>152577</v>
      </c>
      <c r="B866">
        <v>132129065</v>
      </c>
      <c r="C866" t="s">
        <v>4492</v>
      </c>
      <c r="D866">
        <v>18848810</v>
      </c>
      <c r="E866" t="s">
        <v>4478</v>
      </c>
      <c r="F866" t="s">
        <v>847</v>
      </c>
      <c r="G866" t="s">
        <v>504</v>
      </c>
      <c r="H866" t="s">
        <v>505</v>
      </c>
      <c r="I866" t="s">
        <v>35</v>
      </c>
      <c r="J866" t="s">
        <v>320</v>
      </c>
      <c r="K866" t="s">
        <v>2</v>
      </c>
      <c r="L866" t="s">
        <v>103</v>
      </c>
      <c r="M866" t="s">
        <v>4493</v>
      </c>
      <c r="N866" t="s">
        <v>850</v>
      </c>
      <c r="O866" t="s">
        <v>40</v>
      </c>
      <c r="P866" t="s">
        <v>4494</v>
      </c>
      <c r="Q866" t="s">
        <v>97</v>
      </c>
      <c r="R866" t="s">
        <v>751</v>
      </c>
      <c r="S866">
        <v>1</v>
      </c>
      <c r="T866">
        <v>2706</v>
      </c>
      <c r="U866">
        <v>0</v>
      </c>
      <c r="V866">
        <v>2706</v>
      </c>
    </row>
    <row r="867" spans="1:22" x14ac:dyDescent="0.25">
      <c r="A867">
        <v>152577</v>
      </c>
      <c r="B867">
        <v>132072271</v>
      </c>
      <c r="C867" t="s">
        <v>4495</v>
      </c>
      <c r="D867">
        <v>18843655</v>
      </c>
      <c r="E867" t="s">
        <v>4478</v>
      </c>
      <c r="F867" t="s">
        <v>847</v>
      </c>
      <c r="G867" t="s">
        <v>504</v>
      </c>
      <c r="H867" t="s">
        <v>505</v>
      </c>
      <c r="I867" t="s">
        <v>35</v>
      </c>
      <c r="J867" t="s">
        <v>320</v>
      </c>
      <c r="K867" t="s">
        <v>2</v>
      </c>
      <c r="L867" t="s">
        <v>103</v>
      </c>
      <c r="M867" t="s">
        <v>4496</v>
      </c>
      <c r="N867" t="s">
        <v>850</v>
      </c>
      <c r="O867" t="s">
        <v>40</v>
      </c>
      <c r="P867" t="s">
        <v>4497</v>
      </c>
      <c r="Q867" t="s">
        <v>36</v>
      </c>
      <c r="R867" t="s">
        <v>4498</v>
      </c>
      <c r="S867">
        <v>1</v>
      </c>
      <c r="T867">
        <v>2706</v>
      </c>
      <c r="U867">
        <v>0</v>
      </c>
      <c r="V867">
        <v>2706</v>
      </c>
    </row>
    <row r="868" spans="1:22" x14ac:dyDescent="0.25">
      <c r="A868">
        <v>152577</v>
      </c>
      <c r="B868">
        <v>132071851</v>
      </c>
      <c r="C868" t="s">
        <v>4499</v>
      </c>
      <c r="D868">
        <v>18843592</v>
      </c>
      <c r="E868" t="s">
        <v>4478</v>
      </c>
      <c r="F868" t="s">
        <v>847</v>
      </c>
      <c r="G868" t="s">
        <v>504</v>
      </c>
      <c r="H868" t="s">
        <v>505</v>
      </c>
      <c r="I868" t="s">
        <v>35</v>
      </c>
      <c r="J868" t="s">
        <v>320</v>
      </c>
      <c r="K868" t="s">
        <v>2</v>
      </c>
      <c r="L868" t="s">
        <v>103</v>
      </c>
      <c r="M868" t="s">
        <v>4500</v>
      </c>
      <c r="N868" t="s">
        <v>850</v>
      </c>
      <c r="O868" t="s">
        <v>40</v>
      </c>
      <c r="P868" t="s">
        <v>4501</v>
      </c>
      <c r="Q868" t="s">
        <v>97</v>
      </c>
      <c r="R868" t="s">
        <v>4502</v>
      </c>
      <c r="S868">
        <v>1</v>
      </c>
      <c r="T868">
        <v>2706</v>
      </c>
      <c r="U868">
        <v>0</v>
      </c>
      <c r="V868">
        <v>2706</v>
      </c>
    </row>
    <row r="869" spans="1:22" x14ac:dyDescent="0.25">
      <c r="A869">
        <v>152577</v>
      </c>
      <c r="B869">
        <v>132071848</v>
      </c>
      <c r="C869" t="s">
        <v>4503</v>
      </c>
      <c r="D869">
        <v>18843591</v>
      </c>
      <c r="E869" t="s">
        <v>4478</v>
      </c>
      <c r="F869" t="s">
        <v>847</v>
      </c>
      <c r="G869" t="s">
        <v>504</v>
      </c>
      <c r="H869" t="s">
        <v>505</v>
      </c>
      <c r="I869" t="s">
        <v>35</v>
      </c>
      <c r="J869" t="s">
        <v>320</v>
      </c>
      <c r="K869" t="s">
        <v>2</v>
      </c>
      <c r="L869" t="s">
        <v>103</v>
      </c>
      <c r="M869" t="s">
        <v>4504</v>
      </c>
      <c r="N869" t="s">
        <v>850</v>
      </c>
      <c r="O869" t="s">
        <v>40</v>
      </c>
      <c r="P869" t="s">
        <v>4505</v>
      </c>
      <c r="Q869" t="s">
        <v>71</v>
      </c>
      <c r="R869" t="s">
        <v>4502</v>
      </c>
      <c r="S869">
        <v>1</v>
      </c>
      <c r="T869">
        <v>2706</v>
      </c>
      <c r="U869">
        <v>0</v>
      </c>
      <c r="V869">
        <v>2706</v>
      </c>
    </row>
    <row r="870" spans="1:22" x14ac:dyDescent="0.25">
      <c r="A870">
        <v>152577</v>
      </c>
      <c r="B870">
        <v>132071840</v>
      </c>
      <c r="C870" t="s">
        <v>4506</v>
      </c>
      <c r="D870">
        <v>18843590</v>
      </c>
      <c r="E870" t="s">
        <v>4478</v>
      </c>
      <c r="F870" t="s">
        <v>847</v>
      </c>
      <c r="G870" t="s">
        <v>504</v>
      </c>
      <c r="H870" t="s">
        <v>505</v>
      </c>
      <c r="I870" t="s">
        <v>35</v>
      </c>
      <c r="J870" t="s">
        <v>320</v>
      </c>
      <c r="K870" t="s">
        <v>2</v>
      </c>
      <c r="L870" t="s">
        <v>103</v>
      </c>
      <c r="M870" t="s">
        <v>4507</v>
      </c>
      <c r="N870" t="s">
        <v>850</v>
      </c>
      <c r="O870" t="s">
        <v>40</v>
      </c>
      <c r="P870" t="s">
        <v>4508</v>
      </c>
      <c r="Q870" t="s">
        <v>36</v>
      </c>
      <c r="R870" t="s">
        <v>4502</v>
      </c>
      <c r="S870">
        <v>1</v>
      </c>
      <c r="T870">
        <v>2706</v>
      </c>
      <c r="U870">
        <v>0</v>
      </c>
      <c r="V870">
        <v>2706</v>
      </c>
    </row>
    <row r="871" spans="1:22" x14ac:dyDescent="0.25">
      <c r="A871">
        <v>152577</v>
      </c>
      <c r="B871">
        <v>131960944</v>
      </c>
      <c r="C871" t="s">
        <v>4509</v>
      </c>
      <c r="D871">
        <v>18834491</v>
      </c>
      <c r="E871" t="s">
        <v>4478</v>
      </c>
      <c r="F871" t="s">
        <v>847</v>
      </c>
      <c r="G871" t="s">
        <v>504</v>
      </c>
      <c r="H871" t="s">
        <v>505</v>
      </c>
      <c r="I871" t="s">
        <v>35</v>
      </c>
      <c r="J871" t="s">
        <v>320</v>
      </c>
      <c r="K871" t="s">
        <v>2</v>
      </c>
      <c r="L871" t="s">
        <v>103</v>
      </c>
      <c r="M871" t="s">
        <v>4510</v>
      </c>
      <c r="N871" t="s">
        <v>850</v>
      </c>
      <c r="O871" t="s">
        <v>40</v>
      </c>
      <c r="P871" t="s">
        <v>4511</v>
      </c>
      <c r="Q871" t="s">
        <v>37</v>
      </c>
      <c r="R871" t="s">
        <v>4512</v>
      </c>
      <c r="S871">
        <v>1</v>
      </c>
      <c r="T871">
        <v>2706</v>
      </c>
      <c r="U871">
        <v>0</v>
      </c>
      <c r="V871">
        <v>2706</v>
      </c>
    </row>
    <row r="872" spans="1:22" x14ac:dyDescent="0.25">
      <c r="A872">
        <v>152577</v>
      </c>
      <c r="B872">
        <v>131902265</v>
      </c>
      <c r="C872" t="s">
        <v>4513</v>
      </c>
      <c r="D872">
        <v>18829327</v>
      </c>
      <c r="E872" t="s">
        <v>4478</v>
      </c>
      <c r="F872" t="s">
        <v>847</v>
      </c>
      <c r="G872" t="s">
        <v>504</v>
      </c>
      <c r="H872" t="s">
        <v>505</v>
      </c>
      <c r="I872" t="s">
        <v>35</v>
      </c>
      <c r="J872" t="s">
        <v>320</v>
      </c>
      <c r="K872" t="s">
        <v>2</v>
      </c>
      <c r="L872" t="s">
        <v>103</v>
      </c>
      <c r="M872" t="s">
        <v>4514</v>
      </c>
      <c r="N872" t="s">
        <v>850</v>
      </c>
      <c r="O872" t="s">
        <v>40</v>
      </c>
      <c r="P872" t="s">
        <v>4515</v>
      </c>
      <c r="Q872" t="s">
        <v>39</v>
      </c>
      <c r="R872" t="s">
        <v>441</v>
      </c>
      <c r="S872">
        <v>1</v>
      </c>
      <c r="T872">
        <v>2706</v>
      </c>
      <c r="U872">
        <v>0</v>
      </c>
      <c r="V872">
        <v>2706</v>
      </c>
    </row>
    <row r="873" spans="1:22" x14ac:dyDescent="0.25">
      <c r="A873">
        <v>152577</v>
      </c>
      <c r="B873">
        <v>131902269</v>
      </c>
      <c r="C873" t="s">
        <v>4516</v>
      </c>
      <c r="D873">
        <v>18829326</v>
      </c>
      <c r="E873" t="s">
        <v>4478</v>
      </c>
      <c r="F873" t="s">
        <v>847</v>
      </c>
      <c r="G873" t="s">
        <v>504</v>
      </c>
      <c r="H873" t="s">
        <v>505</v>
      </c>
      <c r="I873" t="s">
        <v>35</v>
      </c>
      <c r="J873" t="s">
        <v>320</v>
      </c>
      <c r="K873" t="s">
        <v>2</v>
      </c>
      <c r="L873" t="s">
        <v>103</v>
      </c>
      <c r="M873" t="s">
        <v>4517</v>
      </c>
      <c r="N873" t="s">
        <v>850</v>
      </c>
      <c r="O873" t="s">
        <v>40</v>
      </c>
      <c r="P873" t="s">
        <v>4518</v>
      </c>
      <c r="Q873" t="s">
        <v>37</v>
      </c>
      <c r="R873" t="s">
        <v>441</v>
      </c>
      <c r="S873">
        <v>1</v>
      </c>
      <c r="T873">
        <v>2706</v>
      </c>
      <c r="U873">
        <v>0</v>
      </c>
      <c r="V873">
        <v>2706</v>
      </c>
    </row>
    <row r="874" spans="1:22" x14ac:dyDescent="0.25">
      <c r="A874">
        <v>152577</v>
      </c>
      <c r="B874">
        <v>131849972</v>
      </c>
      <c r="C874" t="s">
        <v>4519</v>
      </c>
      <c r="D874">
        <v>18825825</v>
      </c>
      <c r="E874" t="s">
        <v>4478</v>
      </c>
      <c r="F874" t="s">
        <v>847</v>
      </c>
      <c r="G874" t="s">
        <v>504</v>
      </c>
      <c r="H874" t="s">
        <v>505</v>
      </c>
      <c r="I874" t="s">
        <v>35</v>
      </c>
      <c r="J874" t="s">
        <v>320</v>
      </c>
      <c r="K874" t="s">
        <v>2</v>
      </c>
      <c r="L874" t="s">
        <v>103</v>
      </c>
      <c r="M874" t="s">
        <v>4520</v>
      </c>
      <c r="N874" t="s">
        <v>850</v>
      </c>
      <c r="O874" t="s">
        <v>40</v>
      </c>
      <c r="P874" t="s">
        <v>4521</v>
      </c>
      <c r="Q874" t="s">
        <v>40</v>
      </c>
      <c r="R874" t="s">
        <v>706</v>
      </c>
      <c r="S874">
        <v>1</v>
      </c>
      <c r="T874">
        <v>2706</v>
      </c>
      <c r="U874">
        <v>0</v>
      </c>
      <c r="V874">
        <v>2706</v>
      </c>
    </row>
    <row r="875" spans="1:22" x14ac:dyDescent="0.25">
      <c r="A875">
        <v>152577</v>
      </c>
      <c r="B875">
        <v>131863293</v>
      </c>
      <c r="C875" t="s">
        <v>4522</v>
      </c>
      <c r="D875">
        <v>18825817</v>
      </c>
      <c r="E875" t="s">
        <v>4478</v>
      </c>
      <c r="F875" t="s">
        <v>847</v>
      </c>
      <c r="G875" t="s">
        <v>504</v>
      </c>
      <c r="H875" t="s">
        <v>505</v>
      </c>
      <c r="I875" t="s">
        <v>35</v>
      </c>
      <c r="J875" t="s">
        <v>320</v>
      </c>
      <c r="K875" t="s">
        <v>2</v>
      </c>
      <c r="L875" t="s">
        <v>103</v>
      </c>
      <c r="M875" t="s">
        <v>4523</v>
      </c>
      <c r="N875" t="s">
        <v>850</v>
      </c>
      <c r="O875" t="s">
        <v>40</v>
      </c>
      <c r="P875" t="s">
        <v>4524</v>
      </c>
      <c r="Q875" t="s">
        <v>43</v>
      </c>
      <c r="R875" t="s">
        <v>4525</v>
      </c>
      <c r="S875">
        <v>1</v>
      </c>
      <c r="T875">
        <v>2706</v>
      </c>
      <c r="U875">
        <v>0</v>
      </c>
      <c r="V875">
        <v>2706</v>
      </c>
    </row>
    <row r="876" spans="1:22" x14ac:dyDescent="0.25">
      <c r="A876">
        <v>152577</v>
      </c>
      <c r="B876">
        <v>131850245</v>
      </c>
      <c r="C876" t="s">
        <v>4526</v>
      </c>
      <c r="D876">
        <v>18824665</v>
      </c>
      <c r="E876" t="s">
        <v>4478</v>
      </c>
      <c r="F876" t="s">
        <v>847</v>
      </c>
      <c r="G876" t="s">
        <v>504</v>
      </c>
      <c r="H876" t="s">
        <v>505</v>
      </c>
      <c r="I876" t="s">
        <v>35</v>
      </c>
      <c r="J876" t="s">
        <v>320</v>
      </c>
      <c r="K876" t="s">
        <v>2</v>
      </c>
      <c r="L876" t="s">
        <v>103</v>
      </c>
      <c r="M876" t="s">
        <v>4527</v>
      </c>
      <c r="N876" t="s">
        <v>850</v>
      </c>
      <c r="O876" t="s">
        <v>40</v>
      </c>
      <c r="P876" t="s">
        <v>4528</v>
      </c>
      <c r="Q876" t="s">
        <v>100</v>
      </c>
      <c r="R876" t="s">
        <v>4529</v>
      </c>
      <c r="S876">
        <v>1</v>
      </c>
      <c r="T876">
        <v>2706</v>
      </c>
      <c r="U876">
        <v>0</v>
      </c>
      <c r="V876">
        <v>2706</v>
      </c>
    </row>
    <row r="877" spans="1:22" x14ac:dyDescent="0.25">
      <c r="A877">
        <v>152577</v>
      </c>
      <c r="B877">
        <v>131850229</v>
      </c>
      <c r="C877" t="s">
        <v>4530</v>
      </c>
      <c r="D877">
        <v>18824661</v>
      </c>
      <c r="E877" t="s">
        <v>4478</v>
      </c>
      <c r="F877" t="s">
        <v>847</v>
      </c>
      <c r="G877" t="s">
        <v>504</v>
      </c>
      <c r="H877" t="s">
        <v>505</v>
      </c>
      <c r="I877" t="s">
        <v>35</v>
      </c>
      <c r="J877" t="s">
        <v>320</v>
      </c>
      <c r="K877" t="s">
        <v>2</v>
      </c>
      <c r="L877" t="s">
        <v>103</v>
      </c>
      <c r="M877" t="s">
        <v>4531</v>
      </c>
      <c r="N877" t="s">
        <v>850</v>
      </c>
      <c r="O877" t="s">
        <v>40</v>
      </c>
      <c r="P877" t="s">
        <v>4532</v>
      </c>
      <c r="Q877" t="s">
        <v>70</v>
      </c>
      <c r="R877" t="s">
        <v>4533</v>
      </c>
      <c r="S877">
        <v>1</v>
      </c>
      <c r="T877">
        <v>2706</v>
      </c>
      <c r="U877">
        <v>0</v>
      </c>
      <c r="V877">
        <v>2706</v>
      </c>
    </row>
    <row r="878" spans="1:22" x14ac:dyDescent="0.25">
      <c r="A878">
        <v>152577</v>
      </c>
      <c r="B878">
        <v>131850190</v>
      </c>
      <c r="C878" t="s">
        <v>4534</v>
      </c>
      <c r="D878">
        <v>18824657</v>
      </c>
      <c r="E878" t="s">
        <v>4478</v>
      </c>
      <c r="F878" t="s">
        <v>847</v>
      </c>
      <c r="G878" t="s">
        <v>504</v>
      </c>
      <c r="H878" t="s">
        <v>505</v>
      </c>
      <c r="I878" t="s">
        <v>35</v>
      </c>
      <c r="J878" t="s">
        <v>320</v>
      </c>
      <c r="K878" t="s">
        <v>2</v>
      </c>
      <c r="L878" t="s">
        <v>103</v>
      </c>
      <c r="M878" t="s">
        <v>4535</v>
      </c>
      <c r="N878" t="s">
        <v>850</v>
      </c>
      <c r="O878" t="s">
        <v>40</v>
      </c>
      <c r="P878" t="s">
        <v>4536</v>
      </c>
      <c r="Q878" t="s">
        <v>37</v>
      </c>
      <c r="R878" t="s">
        <v>4537</v>
      </c>
      <c r="S878">
        <v>1</v>
      </c>
      <c r="T878">
        <v>2706</v>
      </c>
      <c r="U878">
        <v>0</v>
      </c>
      <c r="V878">
        <v>2706</v>
      </c>
    </row>
    <row r="879" spans="1:22" x14ac:dyDescent="0.25">
      <c r="A879">
        <v>152577</v>
      </c>
      <c r="B879">
        <v>131742093</v>
      </c>
      <c r="C879" t="s">
        <v>4538</v>
      </c>
      <c r="D879">
        <v>18814745</v>
      </c>
      <c r="E879" t="s">
        <v>4478</v>
      </c>
      <c r="F879" t="s">
        <v>847</v>
      </c>
      <c r="G879" t="s">
        <v>504</v>
      </c>
      <c r="H879" t="s">
        <v>505</v>
      </c>
      <c r="I879" t="s">
        <v>35</v>
      </c>
      <c r="J879" t="s">
        <v>320</v>
      </c>
      <c r="K879" t="s">
        <v>2</v>
      </c>
      <c r="L879" t="s">
        <v>103</v>
      </c>
      <c r="M879" t="s">
        <v>559</v>
      </c>
      <c r="N879" t="s">
        <v>850</v>
      </c>
      <c r="O879" t="s">
        <v>40</v>
      </c>
      <c r="P879" t="s">
        <v>4539</v>
      </c>
      <c r="Q879" t="s">
        <v>41</v>
      </c>
      <c r="R879" t="s">
        <v>4540</v>
      </c>
      <c r="S879">
        <v>1</v>
      </c>
      <c r="T879">
        <v>2706</v>
      </c>
      <c r="U879">
        <v>0</v>
      </c>
      <c r="V879">
        <v>2706</v>
      </c>
    </row>
    <row r="880" spans="1:22" x14ac:dyDescent="0.25">
      <c r="A880">
        <v>152577</v>
      </c>
      <c r="B880">
        <v>131741813</v>
      </c>
      <c r="C880" t="s">
        <v>4541</v>
      </c>
      <c r="D880">
        <v>18814731</v>
      </c>
      <c r="E880" t="s">
        <v>4478</v>
      </c>
      <c r="F880" t="s">
        <v>847</v>
      </c>
      <c r="G880" t="s">
        <v>504</v>
      </c>
      <c r="H880" t="s">
        <v>505</v>
      </c>
      <c r="I880" t="s">
        <v>35</v>
      </c>
      <c r="J880" t="s">
        <v>320</v>
      </c>
      <c r="K880" t="s">
        <v>2</v>
      </c>
      <c r="L880" t="s">
        <v>103</v>
      </c>
      <c r="M880" t="s">
        <v>4542</v>
      </c>
      <c r="N880" t="s">
        <v>850</v>
      </c>
      <c r="O880" t="s">
        <v>40</v>
      </c>
      <c r="P880" t="s">
        <v>4543</v>
      </c>
      <c r="Q880" t="s">
        <v>44</v>
      </c>
      <c r="R880" t="s">
        <v>583</v>
      </c>
      <c r="S880">
        <v>1</v>
      </c>
      <c r="T880">
        <v>2706</v>
      </c>
      <c r="U880">
        <v>0</v>
      </c>
      <c r="V880">
        <v>2706</v>
      </c>
    </row>
    <row r="881" spans="1:22" x14ac:dyDescent="0.25">
      <c r="A881">
        <v>152577</v>
      </c>
      <c r="B881">
        <v>131692458</v>
      </c>
      <c r="C881" t="s">
        <v>4544</v>
      </c>
      <c r="D881">
        <v>18814325</v>
      </c>
      <c r="E881" t="s">
        <v>4478</v>
      </c>
      <c r="F881" t="s">
        <v>847</v>
      </c>
      <c r="G881" t="s">
        <v>504</v>
      </c>
      <c r="H881" t="s">
        <v>505</v>
      </c>
      <c r="I881" t="s">
        <v>35</v>
      </c>
      <c r="J881" t="s">
        <v>320</v>
      </c>
      <c r="K881" t="s">
        <v>2</v>
      </c>
      <c r="L881" t="s">
        <v>103</v>
      </c>
      <c r="M881" t="s">
        <v>4545</v>
      </c>
      <c r="N881" t="s">
        <v>850</v>
      </c>
      <c r="O881" t="s">
        <v>40</v>
      </c>
      <c r="P881" t="s">
        <v>4546</v>
      </c>
      <c r="Q881" t="s">
        <v>39</v>
      </c>
      <c r="R881" t="s">
        <v>4547</v>
      </c>
      <c r="S881">
        <v>1</v>
      </c>
      <c r="T881">
        <v>2706</v>
      </c>
      <c r="U881">
        <v>0</v>
      </c>
      <c r="V881">
        <v>2706</v>
      </c>
    </row>
    <row r="882" spans="1:22" x14ac:dyDescent="0.25">
      <c r="A882">
        <v>152577</v>
      </c>
      <c r="B882">
        <v>131692470</v>
      </c>
      <c r="C882" t="s">
        <v>4548</v>
      </c>
      <c r="D882">
        <v>18814324</v>
      </c>
      <c r="E882" t="s">
        <v>4478</v>
      </c>
      <c r="F882" t="s">
        <v>847</v>
      </c>
      <c r="G882" t="s">
        <v>504</v>
      </c>
      <c r="H882" t="s">
        <v>505</v>
      </c>
      <c r="I882" t="s">
        <v>35</v>
      </c>
      <c r="J882" t="s">
        <v>320</v>
      </c>
      <c r="K882" t="s">
        <v>2</v>
      </c>
      <c r="L882" t="s">
        <v>103</v>
      </c>
      <c r="M882" t="s">
        <v>4549</v>
      </c>
      <c r="N882" t="s">
        <v>850</v>
      </c>
      <c r="O882" t="s">
        <v>40</v>
      </c>
      <c r="P882" t="s">
        <v>4550</v>
      </c>
      <c r="Q882" t="s">
        <v>37</v>
      </c>
      <c r="R882" t="s">
        <v>4551</v>
      </c>
      <c r="S882">
        <v>1</v>
      </c>
      <c r="T882">
        <v>2706</v>
      </c>
      <c r="U882">
        <v>0</v>
      </c>
      <c r="V882">
        <v>2706</v>
      </c>
    </row>
    <row r="883" spans="1:22" x14ac:dyDescent="0.25">
      <c r="A883">
        <v>152577</v>
      </c>
      <c r="B883">
        <v>131678268</v>
      </c>
      <c r="C883" t="s">
        <v>4552</v>
      </c>
      <c r="D883">
        <v>18808025</v>
      </c>
      <c r="E883" t="s">
        <v>4478</v>
      </c>
      <c r="F883" t="s">
        <v>847</v>
      </c>
      <c r="G883" t="s">
        <v>504</v>
      </c>
      <c r="H883" t="s">
        <v>505</v>
      </c>
      <c r="I883" t="s">
        <v>35</v>
      </c>
      <c r="J883" t="s">
        <v>320</v>
      </c>
      <c r="K883" t="s">
        <v>2</v>
      </c>
      <c r="L883" t="s">
        <v>103</v>
      </c>
      <c r="M883" t="s">
        <v>4553</v>
      </c>
      <c r="N883" t="s">
        <v>850</v>
      </c>
      <c r="O883" t="s">
        <v>40</v>
      </c>
      <c r="P883" t="s">
        <v>4554</v>
      </c>
      <c r="Q883" t="s">
        <v>42</v>
      </c>
      <c r="R883" t="s">
        <v>361</v>
      </c>
      <c r="S883">
        <v>1</v>
      </c>
      <c r="T883">
        <v>2706</v>
      </c>
      <c r="U883">
        <v>0</v>
      </c>
      <c r="V883">
        <v>2706</v>
      </c>
    </row>
    <row r="884" spans="1:22" x14ac:dyDescent="0.25">
      <c r="A884">
        <v>152577</v>
      </c>
      <c r="B884">
        <v>131678262</v>
      </c>
      <c r="C884" t="s">
        <v>4555</v>
      </c>
      <c r="D884">
        <v>18808024</v>
      </c>
      <c r="E884" t="s">
        <v>4478</v>
      </c>
      <c r="F884" t="s">
        <v>847</v>
      </c>
      <c r="G884" t="s">
        <v>504</v>
      </c>
      <c r="H884" t="s">
        <v>505</v>
      </c>
      <c r="I884" t="s">
        <v>35</v>
      </c>
      <c r="J884" t="s">
        <v>320</v>
      </c>
      <c r="K884" t="s">
        <v>2</v>
      </c>
      <c r="L884" t="s">
        <v>103</v>
      </c>
      <c r="M884" t="s">
        <v>4556</v>
      </c>
      <c r="N884" t="s">
        <v>850</v>
      </c>
      <c r="O884" t="s">
        <v>40</v>
      </c>
      <c r="P884" t="s">
        <v>4557</v>
      </c>
      <c r="Q884" t="s">
        <v>37</v>
      </c>
      <c r="R884" t="s">
        <v>361</v>
      </c>
      <c r="S884">
        <v>1</v>
      </c>
      <c r="T884">
        <v>2706</v>
      </c>
      <c r="U884">
        <v>0</v>
      </c>
      <c r="V884">
        <v>2706</v>
      </c>
    </row>
    <row r="885" spans="1:22" x14ac:dyDescent="0.25">
      <c r="A885">
        <v>152577</v>
      </c>
      <c r="B885">
        <v>131677551</v>
      </c>
      <c r="C885" t="s">
        <v>4558</v>
      </c>
      <c r="D885">
        <v>18807939</v>
      </c>
      <c r="E885" t="s">
        <v>4478</v>
      </c>
      <c r="F885" t="s">
        <v>847</v>
      </c>
      <c r="G885" t="s">
        <v>504</v>
      </c>
      <c r="H885" t="s">
        <v>505</v>
      </c>
      <c r="I885" t="s">
        <v>35</v>
      </c>
      <c r="J885" t="s">
        <v>320</v>
      </c>
      <c r="K885" t="s">
        <v>2</v>
      </c>
      <c r="L885" t="s">
        <v>103</v>
      </c>
      <c r="M885" t="s">
        <v>331</v>
      </c>
      <c r="N885" t="s">
        <v>850</v>
      </c>
      <c r="O885" t="s">
        <v>40</v>
      </c>
      <c r="P885" t="s">
        <v>4559</v>
      </c>
      <c r="Q885" t="s">
        <v>38</v>
      </c>
      <c r="R885" t="s">
        <v>662</v>
      </c>
      <c r="S885">
        <v>1</v>
      </c>
      <c r="T885">
        <v>2706</v>
      </c>
      <c r="U885">
        <v>0</v>
      </c>
      <c r="V885">
        <v>2706</v>
      </c>
    </row>
    <row r="886" spans="1:22" x14ac:dyDescent="0.25">
      <c r="A886">
        <v>152577</v>
      </c>
      <c r="B886">
        <v>131652320</v>
      </c>
      <c r="C886" t="s">
        <v>4560</v>
      </c>
      <c r="D886">
        <v>18807930</v>
      </c>
      <c r="E886" t="s">
        <v>4478</v>
      </c>
      <c r="F886" t="s">
        <v>847</v>
      </c>
      <c r="G886" t="s">
        <v>504</v>
      </c>
      <c r="H886" t="s">
        <v>505</v>
      </c>
      <c r="I886" t="s">
        <v>35</v>
      </c>
      <c r="J886" t="s">
        <v>320</v>
      </c>
      <c r="K886" t="s">
        <v>2</v>
      </c>
      <c r="L886" t="s">
        <v>103</v>
      </c>
      <c r="M886" t="s">
        <v>4561</v>
      </c>
      <c r="N886" t="s">
        <v>850</v>
      </c>
      <c r="O886" t="s">
        <v>40</v>
      </c>
      <c r="P886" t="s">
        <v>4562</v>
      </c>
      <c r="Q886" t="s">
        <v>44</v>
      </c>
      <c r="R886" t="s">
        <v>475</v>
      </c>
      <c r="S886">
        <v>1</v>
      </c>
      <c r="T886">
        <v>2706</v>
      </c>
      <c r="U886">
        <v>0</v>
      </c>
      <c r="V886">
        <v>2706</v>
      </c>
    </row>
    <row r="887" spans="1:22" x14ac:dyDescent="0.25">
      <c r="A887">
        <v>152577</v>
      </c>
      <c r="B887">
        <v>131642975</v>
      </c>
      <c r="C887" t="s">
        <v>4563</v>
      </c>
      <c r="D887">
        <v>18804332</v>
      </c>
      <c r="E887" t="s">
        <v>4478</v>
      </c>
      <c r="F887" t="s">
        <v>847</v>
      </c>
      <c r="G887" t="s">
        <v>504</v>
      </c>
      <c r="H887" t="s">
        <v>505</v>
      </c>
      <c r="I887" t="s">
        <v>35</v>
      </c>
      <c r="J887" t="s">
        <v>320</v>
      </c>
      <c r="K887" t="s">
        <v>2</v>
      </c>
      <c r="L887" t="s">
        <v>103</v>
      </c>
      <c r="M887" t="s">
        <v>4564</v>
      </c>
      <c r="N887" t="s">
        <v>850</v>
      </c>
      <c r="O887" t="s">
        <v>40</v>
      </c>
      <c r="P887" t="s">
        <v>4565</v>
      </c>
      <c r="Q887" t="s">
        <v>37</v>
      </c>
      <c r="R887" t="s">
        <v>313</v>
      </c>
      <c r="S887">
        <v>1</v>
      </c>
      <c r="T887">
        <v>2706</v>
      </c>
      <c r="U887">
        <v>0</v>
      </c>
      <c r="V887">
        <v>2706</v>
      </c>
    </row>
    <row r="888" spans="1:22" x14ac:dyDescent="0.25">
      <c r="A888">
        <v>152577</v>
      </c>
      <c r="B888">
        <v>131642931</v>
      </c>
      <c r="C888" t="s">
        <v>4566</v>
      </c>
      <c r="D888">
        <v>18804331</v>
      </c>
      <c r="E888" t="s">
        <v>4478</v>
      </c>
      <c r="F888" t="s">
        <v>847</v>
      </c>
      <c r="G888" t="s">
        <v>504</v>
      </c>
      <c r="H888" t="s">
        <v>505</v>
      </c>
      <c r="I888" t="s">
        <v>35</v>
      </c>
      <c r="J888" t="s">
        <v>320</v>
      </c>
      <c r="K888" t="s">
        <v>2</v>
      </c>
      <c r="L888" t="s">
        <v>103</v>
      </c>
      <c r="M888" t="s">
        <v>4567</v>
      </c>
      <c r="N888" t="s">
        <v>850</v>
      </c>
      <c r="O888" t="s">
        <v>40</v>
      </c>
      <c r="P888" t="s">
        <v>4568</v>
      </c>
      <c r="Q888" t="s">
        <v>94</v>
      </c>
      <c r="R888" t="s">
        <v>291</v>
      </c>
      <c r="S888">
        <v>1</v>
      </c>
      <c r="T888">
        <v>2706</v>
      </c>
      <c r="U888">
        <v>0</v>
      </c>
      <c r="V888">
        <v>2706</v>
      </c>
    </row>
    <row r="889" spans="1:22" x14ac:dyDescent="0.25">
      <c r="A889">
        <v>152577</v>
      </c>
      <c r="B889">
        <v>131571041</v>
      </c>
      <c r="C889" t="s">
        <v>4569</v>
      </c>
      <c r="D889">
        <v>18796577</v>
      </c>
      <c r="E889" t="s">
        <v>4478</v>
      </c>
      <c r="F889" t="s">
        <v>847</v>
      </c>
      <c r="G889" t="s">
        <v>504</v>
      </c>
      <c r="H889" t="s">
        <v>505</v>
      </c>
      <c r="I889" t="s">
        <v>35</v>
      </c>
      <c r="J889" t="s">
        <v>320</v>
      </c>
      <c r="K889" t="s">
        <v>2</v>
      </c>
      <c r="L889" t="s">
        <v>103</v>
      </c>
      <c r="M889" t="s">
        <v>4570</v>
      </c>
      <c r="N889" t="s">
        <v>850</v>
      </c>
      <c r="O889" t="s">
        <v>40</v>
      </c>
      <c r="P889" t="s">
        <v>4571</v>
      </c>
      <c r="Q889" t="s">
        <v>97</v>
      </c>
      <c r="R889" t="s">
        <v>533</v>
      </c>
      <c r="S889">
        <v>1</v>
      </c>
      <c r="T889">
        <v>2706</v>
      </c>
      <c r="U889">
        <v>0</v>
      </c>
      <c r="V889">
        <v>2706</v>
      </c>
    </row>
    <row r="890" spans="1:22" x14ac:dyDescent="0.25">
      <c r="A890">
        <v>152577</v>
      </c>
      <c r="B890">
        <v>131570961</v>
      </c>
      <c r="C890" t="s">
        <v>4572</v>
      </c>
      <c r="D890">
        <v>18796574</v>
      </c>
      <c r="E890" t="s">
        <v>4478</v>
      </c>
      <c r="F890" t="s">
        <v>847</v>
      </c>
      <c r="G890" t="s">
        <v>504</v>
      </c>
      <c r="H890" t="s">
        <v>505</v>
      </c>
      <c r="I890" t="s">
        <v>35</v>
      </c>
      <c r="J890" t="s">
        <v>320</v>
      </c>
      <c r="K890" t="s">
        <v>2</v>
      </c>
      <c r="L890" t="s">
        <v>103</v>
      </c>
      <c r="M890" t="s">
        <v>4573</v>
      </c>
      <c r="N890" t="s">
        <v>850</v>
      </c>
      <c r="O890" t="s">
        <v>40</v>
      </c>
      <c r="P890" t="s">
        <v>4574</v>
      </c>
      <c r="Q890" t="s">
        <v>97</v>
      </c>
      <c r="R890" t="s">
        <v>629</v>
      </c>
      <c r="S890">
        <v>1</v>
      </c>
      <c r="T890">
        <v>2706</v>
      </c>
      <c r="U890">
        <v>0</v>
      </c>
      <c r="V890">
        <v>2706</v>
      </c>
    </row>
    <row r="891" spans="1:22" x14ac:dyDescent="0.25">
      <c r="A891">
        <v>152577</v>
      </c>
      <c r="B891">
        <v>130928547</v>
      </c>
      <c r="C891" t="s">
        <v>4575</v>
      </c>
      <c r="D891">
        <v>18796568</v>
      </c>
      <c r="E891" t="s">
        <v>4478</v>
      </c>
      <c r="F891" t="s">
        <v>847</v>
      </c>
      <c r="G891" t="s">
        <v>504</v>
      </c>
      <c r="H891" t="s">
        <v>505</v>
      </c>
      <c r="I891" t="s">
        <v>35</v>
      </c>
      <c r="J891" t="s">
        <v>320</v>
      </c>
      <c r="K891" t="s">
        <v>2</v>
      </c>
      <c r="L891" t="s">
        <v>103</v>
      </c>
      <c r="M891" t="s">
        <v>4576</v>
      </c>
      <c r="N891" t="s">
        <v>850</v>
      </c>
      <c r="O891" t="s">
        <v>40</v>
      </c>
      <c r="P891" t="s">
        <v>4577</v>
      </c>
      <c r="Q891" t="s">
        <v>42</v>
      </c>
      <c r="R891" t="s">
        <v>4578</v>
      </c>
      <c r="S891">
        <v>1</v>
      </c>
      <c r="T891">
        <v>2706</v>
      </c>
      <c r="U891">
        <v>0</v>
      </c>
      <c r="V891">
        <v>2706</v>
      </c>
    </row>
    <row r="892" spans="1:22" x14ac:dyDescent="0.25">
      <c r="A892">
        <v>152577</v>
      </c>
      <c r="B892">
        <v>131501624</v>
      </c>
      <c r="C892" t="s">
        <v>4579</v>
      </c>
      <c r="D892">
        <v>18788858</v>
      </c>
      <c r="E892" t="s">
        <v>4478</v>
      </c>
      <c r="F892" t="s">
        <v>847</v>
      </c>
      <c r="G892" t="s">
        <v>504</v>
      </c>
      <c r="H892" t="s">
        <v>505</v>
      </c>
      <c r="I892" t="s">
        <v>35</v>
      </c>
      <c r="J892" t="s">
        <v>320</v>
      </c>
      <c r="K892" t="s">
        <v>2</v>
      </c>
      <c r="L892" t="s">
        <v>103</v>
      </c>
      <c r="M892" t="s">
        <v>4580</v>
      </c>
      <c r="N892" t="s">
        <v>850</v>
      </c>
      <c r="O892" t="s">
        <v>40</v>
      </c>
      <c r="P892" t="s">
        <v>4581</v>
      </c>
      <c r="Q892" t="s">
        <v>38</v>
      </c>
      <c r="R892" t="s">
        <v>366</v>
      </c>
      <c r="S892">
        <v>1</v>
      </c>
      <c r="T892">
        <v>2706</v>
      </c>
      <c r="U892">
        <v>0</v>
      </c>
      <c r="V892">
        <v>2706</v>
      </c>
    </row>
    <row r="893" spans="1:22" x14ac:dyDescent="0.25">
      <c r="A893">
        <v>152577</v>
      </c>
      <c r="B893">
        <v>131462300</v>
      </c>
      <c r="C893" t="s">
        <v>4582</v>
      </c>
      <c r="D893">
        <v>18784717</v>
      </c>
      <c r="E893" t="s">
        <v>4478</v>
      </c>
      <c r="F893" t="s">
        <v>847</v>
      </c>
      <c r="G893" t="s">
        <v>504</v>
      </c>
      <c r="H893" t="s">
        <v>505</v>
      </c>
      <c r="I893" t="s">
        <v>35</v>
      </c>
      <c r="J893" t="s">
        <v>320</v>
      </c>
      <c r="K893" t="s">
        <v>2</v>
      </c>
      <c r="L893" t="s">
        <v>103</v>
      </c>
      <c r="M893" t="s">
        <v>437</v>
      </c>
      <c r="N893" t="s">
        <v>850</v>
      </c>
      <c r="O893" t="s">
        <v>40</v>
      </c>
      <c r="P893" t="s">
        <v>4583</v>
      </c>
      <c r="Q893" t="s">
        <v>72</v>
      </c>
      <c r="R893" t="s">
        <v>370</v>
      </c>
      <c r="S893">
        <v>1</v>
      </c>
      <c r="T893">
        <v>2706</v>
      </c>
      <c r="U893">
        <v>0</v>
      </c>
      <c r="V893">
        <v>2706</v>
      </c>
    </row>
    <row r="894" spans="1:22" x14ac:dyDescent="0.25">
      <c r="A894">
        <v>152577</v>
      </c>
      <c r="B894">
        <v>131460477</v>
      </c>
      <c r="C894" t="s">
        <v>4584</v>
      </c>
      <c r="D894">
        <v>18784581</v>
      </c>
      <c r="E894" t="s">
        <v>4478</v>
      </c>
      <c r="F894" t="s">
        <v>847</v>
      </c>
      <c r="G894" t="s">
        <v>504</v>
      </c>
      <c r="H894" t="s">
        <v>505</v>
      </c>
      <c r="I894" t="s">
        <v>35</v>
      </c>
      <c r="J894" t="s">
        <v>320</v>
      </c>
      <c r="K894" t="s">
        <v>2</v>
      </c>
      <c r="L894" t="s">
        <v>103</v>
      </c>
      <c r="M894" t="s">
        <v>4585</v>
      </c>
      <c r="N894" t="s">
        <v>850</v>
      </c>
      <c r="O894" t="s">
        <v>40</v>
      </c>
      <c r="P894" t="s">
        <v>4586</v>
      </c>
      <c r="Q894" t="s">
        <v>37</v>
      </c>
      <c r="R894" t="s">
        <v>302</v>
      </c>
      <c r="S894">
        <v>1</v>
      </c>
      <c r="T894">
        <v>2706</v>
      </c>
      <c r="U894">
        <v>0</v>
      </c>
      <c r="V894">
        <v>2706</v>
      </c>
    </row>
    <row r="895" spans="1:22" x14ac:dyDescent="0.25">
      <c r="A895">
        <v>152577</v>
      </c>
      <c r="B895">
        <v>131460198</v>
      </c>
      <c r="C895" t="s">
        <v>4587</v>
      </c>
      <c r="D895">
        <v>18784571</v>
      </c>
      <c r="E895" t="s">
        <v>4478</v>
      </c>
      <c r="F895" t="s">
        <v>847</v>
      </c>
      <c r="G895" t="s">
        <v>504</v>
      </c>
      <c r="H895" t="s">
        <v>505</v>
      </c>
      <c r="I895" t="s">
        <v>35</v>
      </c>
      <c r="J895" t="s">
        <v>320</v>
      </c>
      <c r="K895" t="s">
        <v>2</v>
      </c>
      <c r="L895" t="s">
        <v>103</v>
      </c>
      <c r="M895" t="s">
        <v>4588</v>
      </c>
      <c r="N895" t="s">
        <v>850</v>
      </c>
      <c r="O895" t="s">
        <v>40</v>
      </c>
      <c r="P895" t="s">
        <v>4589</v>
      </c>
      <c r="Q895" t="s">
        <v>97</v>
      </c>
      <c r="R895" t="s">
        <v>305</v>
      </c>
      <c r="S895">
        <v>1</v>
      </c>
      <c r="T895">
        <v>2706</v>
      </c>
      <c r="U895">
        <v>0</v>
      </c>
      <c r="V895">
        <v>2706</v>
      </c>
    </row>
    <row r="896" spans="1:22" x14ac:dyDescent="0.25">
      <c r="A896">
        <v>152577</v>
      </c>
      <c r="B896">
        <v>131410564</v>
      </c>
      <c r="C896" t="s">
        <v>4590</v>
      </c>
      <c r="D896">
        <v>18779547</v>
      </c>
      <c r="E896" t="s">
        <v>4478</v>
      </c>
      <c r="F896" t="s">
        <v>847</v>
      </c>
      <c r="G896" t="s">
        <v>504</v>
      </c>
      <c r="H896" t="s">
        <v>505</v>
      </c>
      <c r="I896" t="s">
        <v>35</v>
      </c>
      <c r="J896" t="s">
        <v>320</v>
      </c>
      <c r="K896" t="s">
        <v>2</v>
      </c>
      <c r="L896" t="s">
        <v>103</v>
      </c>
      <c r="M896" t="s">
        <v>4591</v>
      </c>
      <c r="N896" t="s">
        <v>850</v>
      </c>
      <c r="O896" t="s">
        <v>40</v>
      </c>
      <c r="P896" t="s">
        <v>4592</v>
      </c>
      <c r="Q896" t="s">
        <v>40</v>
      </c>
      <c r="R896" t="s">
        <v>424</v>
      </c>
      <c r="S896">
        <v>1</v>
      </c>
      <c r="T896">
        <v>2706</v>
      </c>
      <c r="U896">
        <v>0</v>
      </c>
      <c r="V896">
        <v>2706</v>
      </c>
    </row>
    <row r="897" spans="1:22" x14ac:dyDescent="0.25">
      <c r="A897">
        <v>152577</v>
      </c>
      <c r="B897">
        <v>131409766</v>
      </c>
      <c r="C897" t="s">
        <v>4593</v>
      </c>
      <c r="D897">
        <v>18779392</v>
      </c>
      <c r="E897" t="s">
        <v>4478</v>
      </c>
      <c r="F897" t="s">
        <v>847</v>
      </c>
      <c r="G897" t="s">
        <v>504</v>
      </c>
      <c r="H897" t="s">
        <v>505</v>
      </c>
      <c r="I897" t="s">
        <v>35</v>
      </c>
      <c r="J897" t="s">
        <v>320</v>
      </c>
      <c r="K897" t="s">
        <v>2</v>
      </c>
      <c r="L897" t="s">
        <v>103</v>
      </c>
      <c r="M897" t="s">
        <v>4594</v>
      </c>
      <c r="N897" t="s">
        <v>850</v>
      </c>
      <c r="O897" t="s">
        <v>40</v>
      </c>
      <c r="P897" t="s">
        <v>4595</v>
      </c>
      <c r="Q897" t="s">
        <v>39</v>
      </c>
      <c r="R897" t="s">
        <v>408</v>
      </c>
      <c r="S897">
        <v>1</v>
      </c>
      <c r="T897">
        <v>2706</v>
      </c>
      <c r="U897">
        <v>0</v>
      </c>
      <c r="V897">
        <v>2706</v>
      </c>
    </row>
    <row r="898" spans="1:22" x14ac:dyDescent="0.25">
      <c r="A898">
        <v>152577</v>
      </c>
      <c r="B898">
        <v>132121469</v>
      </c>
      <c r="C898" t="s">
        <v>4596</v>
      </c>
      <c r="D898" t="s">
        <v>4597</v>
      </c>
      <c r="E898" t="s">
        <v>4478</v>
      </c>
      <c r="F898" t="s">
        <v>847</v>
      </c>
      <c r="G898" t="s">
        <v>142</v>
      </c>
      <c r="H898" t="s">
        <v>143</v>
      </c>
      <c r="I898" t="s">
        <v>35</v>
      </c>
      <c r="J898" t="s">
        <v>144</v>
      </c>
      <c r="K898" t="s">
        <v>2</v>
      </c>
      <c r="L898" t="s">
        <v>4598</v>
      </c>
      <c r="M898" t="s">
        <v>4599</v>
      </c>
      <c r="N898" t="s">
        <v>850</v>
      </c>
      <c r="O898" t="s">
        <v>40</v>
      </c>
      <c r="P898" t="s">
        <v>4600</v>
      </c>
      <c r="Q898" t="s">
        <v>86</v>
      </c>
      <c r="R898" t="s">
        <v>822</v>
      </c>
      <c r="S898">
        <v>0.55000000000000004</v>
      </c>
      <c r="T898">
        <v>3366</v>
      </c>
      <c r="U898">
        <v>0</v>
      </c>
      <c r="V898">
        <v>3366</v>
      </c>
    </row>
    <row r="899" spans="1:22" x14ac:dyDescent="0.25">
      <c r="A899">
        <v>152577</v>
      </c>
      <c r="B899">
        <v>132072305</v>
      </c>
      <c r="C899" t="s">
        <v>4601</v>
      </c>
      <c r="D899" t="s">
        <v>4602</v>
      </c>
      <c r="E899" t="s">
        <v>4478</v>
      </c>
      <c r="F899" t="s">
        <v>847</v>
      </c>
      <c r="G899" t="s">
        <v>142</v>
      </c>
      <c r="H899" t="s">
        <v>143</v>
      </c>
      <c r="I899" t="s">
        <v>35</v>
      </c>
      <c r="J899" t="s">
        <v>144</v>
      </c>
      <c r="K899" t="s">
        <v>2</v>
      </c>
      <c r="L899" t="s">
        <v>4603</v>
      </c>
      <c r="M899" t="s">
        <v>4604</v>
      </c>
      <c r="N899" t="s">
        <v>850</v>
      </c>
      <c r="O899" t="s">
        <v>40</v>
      </c>
      <c r="P899" t="s">
        <v>4605</v>
      </c>
      <c r="Q899" t="s">
        <v>46</v>
      </c>
      <c r="R899" t="s">
        <v>446</v>
      </c>
      <c r="S899">
        <v>0.23</v>
      </c>
      <c r="T899">
        <v>3299</v>
      </c>
      <c r="U899">
        <v>0</v>
      </c>
      <c r="V899">
        <v>3299</v>
      </c>
    </row>
    <row r="900" spans="1:22" x14ac:dyDescent="0.25">
      <c r="A900">
        <v>152577</v>
      </c>
      <c r="B900">
        <v>132043656</v>
      </c>
      <c r="C900" t="s">
        <v>4606</v>
      </c>
      <c r="D900" t="s">
        <v>4607</v>
      </c>
      <c r="E900" t="s">
        <v>4478</v>
      </c>
      <c r="F900" t="s">
        <v>847</v>
      </c>
      <c r="G900" t="s">
        <v>142</v>
      </c>
      <c r="H900" t="s">
        <v>143</v>
      </c>
      <c r="I900" t="s">
        <v>35</v>
      </c>
      <c r="J900" t="s">
        <v>144</v>
      </c>
      <c r="K900" t="s">
        <v>2</v>
      </c>
      <c r="L900" t="s">
        <v>4608</v>
      </c>
      <c r="M900" t="s">
        <v>4609</v>
      </c>
      <c r="N900" t="s">
        <v>850</v>
      </c>
      <c r="O900" t="s">
        <v>40</v>
      </c>
      <c r="P900" t="s">
        <v>4610</v>
      </c>
      <c r="Q900" t="s">
        <v>161</v>
      </c>
      <c r="R900" t="s">
        <v>693</v>
      </c>
      <c r="S900">
        <v>0.45</v>
      </c>
      <c r="T900">
        <v>3299</v>
      </c>
      <c r="U900">
        <v>0</v>
      </c>
      <c r="V900">
        <v>3299</v>
      </c>
    </row>
    <row r="901" spans="1:22" x14ac:dyDescent="0.25">
      <c r="A901">
        <v>152577</v>
      </c>
      <c r="B901">
        <v>131941619</v>
      </c>
      <c r="C901" t="s">
        <v>4611</v>
      </c>
      <c r="D901" t="s">
        <v>4612</v>
      </c>
      <c r="E901" t="s">
        <v>4478</v>
      </c>
      <c r="F901" t="s">
        <v>847</v>
      </c>
      <c r="G901" t="s">
        <v>142</v>
      </c>
      <c r="H901" t="s">
        <v>143</v>
      </c>
      <c r="I901" t="s">
        <v>35</v>
      </c>
      <c r="J901" t="s">
        <v>144</v>
      </c>
      <c r="K901" t="s">
        <v>2</v>
      </c>
      <c r="L901" t="s">
        <v>4613</v>
      </c>
      <c r="M901" t="s">
        <v>4614</v>
      </c>
      <c r="N901" t="s">
        <v>850</v>
      </c>
      <c r="O901" t="s">
        <v>40</v>
      </c>
      <c r="P901" t="s">
        <v>4615</v>
      </c>
      <c r="Q901" t="s">
        <v>126</v>
      </c>
      <c r="R901" t="s">
        <v>692</v>
      </c>
      <c r="S901">
        <v>0.42</v>
      </c>
      <c r="T901">
        <v>3299</v>
      </c>
      <c r="U901">
        <v>0</v>
      </c>
      <c r="V901">
        <v>3299</v>
      </c>
    </row>
    <row r="902" spans="1:22" x14ac:dyDescent="0.25">
      <c r="A902">
        <v>152577</v>
      </c>
      <c r="B902">
        <v>131902469</v>
      </c>
      <c r="C902" t="s">
        <v>4616</v>
      </c>
      <c r="D902" t="s">
        <v>4617</v>
      </c>
      <c r="E902" t="s">
        <v>4478</v>
      </c>
      <c r="F902" t="s">
        <v>847</v>
      </c>
      <c r="G902" t="s">
        <v>142</v>
      </c>
      <c r="H902" t="s">
        <v>143</v>
      </c>
      <c r="I902" t="s">
        <v>35</v>
      </c>
      <c r="J902" t="s">
        <v>144</v>
      </c>
      <c r="K902" t="s">
        <v>2</v>
      </c>
      <c r="L902" t="s">
        <v>4618</v>
      </c>
      <c r="M902" t="s">
        <v>4619</v>
      </c>
      <c r="N902" t="s">
        <v>850</v>
      </c>
      <c r="O902" t="s">
        <v>40</v>
      </c>
      <c r="P902" t="s">
        <v>4620</v>
      </c>
      <c r="Q902" t="s">
        <v>48</v>
      </c>
      <c r="R902" t="s">
        <v>766</v>
      </c>
      <c r="S902">
        <v>0.4</v>
      </c>
      <c r="T902">
        <v>3299</v>
      </c>
      <c r="U902">
        <v>0</v>
      </c>
      <c r="V902">
        <v>3299</v>
      </c>
    </row>
    <row r="903" spans="1:22" x14ac:dyDescent="0.25">
      <c r="A903">
        <v>152577</v>
      </c>
      <c r="B903">
        <v>131706236</v>
      </c>
      <c r="C903" t="s">
        <v>4621</v>
      </c>
      <c r="D903" t="s">
        <v>4622</v>
      </c>
      <c r="E903" t="s">
        <v>4478</v>
      </c>
      <c r="F903" t="s">
        <v>847</v>
      </c>
      <c r="G903" t="s">
        <v>142</v>
      </c>
      <c r="H903" t="s">
        <v>143</v>
      </c>
      <c r="I903" t="s">
        <v>35</v>
      </c>
      <c r="J903" t="s">
        <v>144</v>
      </c>
      <c r="K903" t="s">
        <v>2</v>
      </c>
      <c r="L903" t="s">
        <v>4623</v>
      </c>
      <c r="M903" t="s">
        <v>4624</v>
      </c>
      <c r="N903" t="s">
        <v>850</v>
      </c>
      <c r="O903" t="s">
        <v>40</v>
      </c>
      <c r="P903" t="s">
        <v>4625</v>
      </c>
      <c r="Q903" t="s">
        <v>59</v>
      </c>
      <c r="R903" t="s">
        <v>584</v>
      </c>
      <c r="S903">
        <v>0.4</v>
      </c>
      <c r="T903">
        <v>3299</v>
      </c>
      <c r="U903">
        <v>0</v>
      </c>
      <c r="V903">
        <v>3299</v>
      </c>
    </row>
    <row r="904" spans="1:22" x14ac:dyDescent="0.25">
      <c r="A904">
        <v>152577</v>
      </c>
      <c r="B904">
        <v>131679376</v>
      </c>
      <c r="C904" t="s">
        <v>4626</v>
      </c>
      <c r="D904" t="s">
        <v>4627</v>
      </c>
      <c r="E904" t="s">
        <v>4478</v>
      </c>
      <c r="F904" t="s">
        <v>847</v>
      </c>
      <c r="G904" t="s">
        <v>142</v>
      </c>
      <c r="H904" t="s">
        <v>143</v>
      </c>
      <c r="I904" t="s">
        <v>35</v>
      </c>
      <c r="J904" t="s">
        <v>144</v>
      </c>
      <c r="K904" t="s">
        <v>2</v>
      </c>
      <c r="L904" t="s">
        <v>4628</v>
      </c>
      <c r="M904" t="s">
        <v>464</v>
      </c>
      <c r="N904" t="s">
        <v>850</v>
      </c>
      <c r="O904" t="s">
        <v>40</v>
      </c>
      <c r="P904" t="s">
        <v>4629</v>
      </c>
      <c r="Q904" t="s">
        <v>48</v>
      </c>
      <c r="R904" t="s">
        <v>681</v>
      </c>
      <c r="S904">
        <v>0.4</v>
      </c>
      <c r="T904">
        <v>3299</v>
      </c>
      <c r="U904">
        <v>0</v>
      </c>
      <c r="V904">
        <v>3299</v>
      </c>
    </row>
    <row r="905" spans="1:22" x14ac:dyDescent="0.25">
      <c r="A905">
        <v>152577</v>
      </c>
      <c r="B905">
        <v>131533315</v>
      </c>
      <c r="C905" t="s">
        <v>4630</v>
      </c>
      <c r="D905" t="s">
        <v>4631</v>
      </c>
      <c r="E905" t="s">
        <v>4478</v>
      </c>
      <c r="F905" t="s">
        <v>847</v>
      </c>
      <c r="G905" t="s">
        <v>142</v>
      </c>
      <c r="H905" t="s">
        <v>143</v>
      </c>
      <c r="I905" t="s">
        <v>35</v>
      </c>
      <c r="J905" t="s">
        <v>144</v>
      </c>
      <c r="K905" t="s">
        <v>2</v>
      </c>
      <c r="L905" t="s">
        <v>4632</v>
      </c>
      <c r="M905" t="s">
        <v>4633</v>
      </c>
      <c r="N905" t="s">
        <v>850</v>
      </c>
      <c r="O905" t="s">
        <v>40</v>
      </c>
      <c r="P905" t="s">
        <v>4634</v>
      </c>
      <c r="Q905" t="s">
        <v>48</v>
      </c>
      <c r="R905" t="s">
        <v>749</v>
      </c>
      <c r="S905">
        <v>0.44</v>
      </c>
      <c r="T905">
        <v>3299</v>
      </c>
      <c r="U905">
        <v>0</v>
      </c>
      <c r="V905">
        <v>3299</v>
      </c>
    </row>
    <row r="906" spans="1:22" x14ac:dyDescent="0.25">
      <c r="A906">
        <v>152577</v>
      </c>
      <c r="B906">
        <v>132174581</v>
      </c>
      <c r="C906" t="s">
        <v>4635</v>
      </c>
      <c r="D906" t="s">
        <v>4636</v>
      </c>
      <c r="E906" t="s">
        <v>4478</v>
      </c>
      <c r="F906" t="s">
        <v>847</v>
      </c>
      <c r="G906" t="s">
        <v>142</v>
      </c>
      <c r="H906" t="s">
        <v>143</v>
      </c>
      <c r="I906" t="s">
        <v>35</v>
      </c>
      <c r="J906" t="s">
        <v>144</v>
      </c>
      <c r="K906" t="s">
        <v>2</v>
      </c>
      <c r="L906" t="s">
        <v>4637</v>
      </c>
      <c r="M906" t="s">
        <v>4638</v>
      </c>
      <c r="N906" t="s">
        <v>850</v>
      </c>
      <c r="O906" t="s">
        <v>40</v>
      </c>
      <c r="P906" t="s">
        <v>4639</v>
      </c>
      <c r="Q906" t="s">
        <v>48</v>
      </c>
      <c r="R906" t="s">
        <v>609</v>
      </c>
      <c r="S906">
        <v>0.82</v>
      </c>
      <c r="T906">
        <v>3366</v>
      </c>
      <c r="U906">
        <v>0</v>
      </c>
      <c r="V906">
        <v>3366</v>
      </c>
    </row>
    <row r="907" spans="1:22" x14ac:dyDescent="0.25">
      <c r="A907">
        <v>152577</v>
      </c>
      <c r="B907">
        <v>132197105</v>
      </c>
      <c r="C907" t="s">
        <v>4640</v>
      </c>
      <c r="D907" t="s">
        <v>4641</v>
      </c>
      <c r="E907" t="s">
        <v>4478</v>
      </c>
      <c r="F907" t="s">
        <v>847</v>
      </c>
      <c r="G907" t="s">
        <v>142</v>
      </c>
      <c r="H907" t="s">
        <v>143</v>
      </c>
      <c r="I907" t="s">
        <v>35</v>
      </c>
      <c r="J907" t="s">
        <v>144</v>
      </c>
      <c r="K907" t="s">
        <v>2</v>
      </c>
      <c r="L907" t="s">
        <v>4642</v>
      </c>
      <c r="M907" t="s">
        <v>461</v>
      </c>
      <c r="N907" t="s">
        <v>850</v>
      </c>
      <c r="O907" t="s">
        <v>40</v>
      </c>
      <c r="P907" t="s">
        <v>4643</v>
      </c>
      <c r="Q907" t="s">
        <v>48</v>
      </c>
      <c r="R907" t="s">
        <v>4644</v>
      </c>
      <c r="S907">
        <v>0.8</v>
      </c>
      <c r="T907">
        <v>3366</v>
      </c>
      <c r="U907">
        <v>0</v>
      </c>
      <c r="V907">
        <v>3366</v>
      </c>
    </row>
    <row r="908" spans="1:22" x14ac:dyDescent="0.25">
      <c r="A908">
        <v>152577</v>
      </c>
      <c r="B908">
        <v>132109539</v>
      </c>
      <c r="C908" t="s">
        <v>4645</v>
      </c>
      <c r="D908" t="s">
        <v>4646</v>
      </c>
      <c r="E908" t="s">
        <v>4478</v>
      </c>
      <c r="F908" t="s">
        <v>847</v>
      </c>
      <c r="G908" t="s">
        <v>142</v>
      </c>
      <c r="H908" t="s">
        <v>143</v>
      </c>
      <c r="I908" t="s">
        <v>35</v>
      </c>
      <c r="J908" t="s">
        <v>144</v>
      </c>
      <c r="K908" t="s">
        <v>2</v>
      </c>
      <c r="L908" t="s">
        <v>4647</v>
      </c>
      <c r="M908" t="s">
        <v>4648</v>
      </c>
      <c r="N908" t="s">
        <v>850</v>
      </c>
      <c r="O908" t="s">
        <v>40</v>
      </c>
      <c r="P908" t="s">
        <v>4649</v>
      </c>
      <c r="Q908" t="s">
        <v>48</v>
      </c>
      <c r="R908" t="s">
        <v>4650</v>
      </c>
      <c r="S908">
        <v>6.1</v>
      </c>
      <c r="T908">
        <v>5198</v>
      </c>
      <c r="U908">
        <v>0</v>
      </c>
      <c r="V908">
        <v>5198</v>
      </c>
    </row>
    <row r="909" spans="1:22" x14ac:dyDescent="0.25">
      <c r="A909">
        <v>152577</v>
      </c>
      <c r="B909">
        <v>131961471</v>
      </c>
      <c r="C909" t="s">
        <v>4651</v>
      </c>
      <c r="D909" t="s">
        <v>4652</v>
      </c>
      <c r="E909" t="s">
        <v>4478</v>
      </c>
      <c r="F909" t="s">
        <v>847</v>
      </c>
      <c r="G909" t="s">
        <v>142</v>
      </c>
      <c r="H909" t="s">
        <v>143</v>
      </c>
      <c r="I909" t="s">
        <v>35</v>
      </c>
      <c r="J909" t="s">
        <v>144</v>
      </c>
      <c r="K909" t="s">
        <v>2</v>
      </c>
      <c r="L909" t="s">
        <v>4653</v>
      </c>
      <c r="M909" t="s">
        <v>4654</v>
      </c>
      <c r="N909" t="s">
        <v>850</v>
      </c>
      <c r="O909" t="s">
        <v>40</v>
      </c>
      <c r="P909" t="s">
        <v>4655</v>
      </c>
      <c r="Q909" t="s">
        <v>48</v>
      </c>
      <c r="R909" t="s">
        <v>747</v>
      </c>
      <c r="S909">
        <v>1.1499999999999999</v>
      </c>
      <c r="T909">
        <v>3366</v>
      </c>
      <c r="U909">
        <v>0</v>
      </c>
      <c r="V909">
        <v>3366</v>
      </c>
    </row>
    <row r="910" spans="1:22" x14ac:dyDescent="0.25">
      <c r="A910">
        <v>152577</v>
      </c>
      <c r="B910">
        <v>131875022</v>
      </c>
      <c r="C910" t="s">
        <v>4656</v>
      </c>
      <c r="D910" t="s">
        <v>4657</v>
      </c>
      <c r="E910" t="s">
        <v>4478</v>
      </c>
      <c r="F910" t="s">
        <v>847</v>
      </c>
      <c r="G910" t="s">
        <v>142</v>
      </c>
      <c r="H910" t="s">
        <v>143</v>
      </c>
      <c r="I910" t="s">
        <v>35</v>
      </c>
      <c r="J910" t="s">
        <v>144</v>
      </c>
      <c r="K910" t="s">
        <v>2</v>
      </c>
      <c r="L910" t="s">
        <v>4658</v>
      </c>
      <c r="M910" t="s">
        <v>4659</v>
      </c>
      <c r="N910" t="s">
        <v>850</v>
      </c>
      <c r="O910" t="s">
        <v>40</v>
      </c>
      <c r="P910" t="s">
        <v>4660</v>
      </c>
      <c r="Q910" t="s">
        <v>47</v>
      </c>
      <c r="R910" t="s">
        <v>800</v>
      </c>
      <c r="S910">
        <v>0.86</v>
      </c>
      <c r="T910">
        <v>3366</v>
      </c>
      <c r="U910">
        <v>0</v>
      </c>
      <c r="V910">
        <v>3366</v>
      </c>
    </row>
    <row r="911" spans="1:22" x14ac:dyDescent="0.25">
      <c r="A911">
        <v>152577</v>
      </c>
      <c r="B911">
        <v>131871758</v>
      </c>
      <c r="C911" t="s">
        <v>4661</v>
      </c>
      <c r="D911" t="s">
        <v>4662</v>
      </c>
      <c r="E911" t="s">
        <v>4478</v>
      </c>
      <c r="F911" t="s">
        <v>847</v>
      </c>
      <c r="G911" t="s">
        <v>142</v>
      </c>
      <c r="H911" t="s">
        <v>143</v>
      </c>
      <c r="I911" t="s">
        <v>35</v>
      </c>
      <c r="J911" t="s">
        <v>144</v>
      </c>
      <c r="K911" t="s">
        <v>2</v>
      </c>
      <c r="L911" t="s">
        <v>4663</v>
      </c>
      <c r="M911" t="s">
        <v>4664</v>
      </c>
      <c r="N911" t="s">
        <v>850</v>
      </c>
      <c r="O911" t="s">
        <v>40</v>
      </c>
      <c r="P911" t="s">
        <v>4665</v>
      </c>
      <c r="Q911" t="s">
        <v>48</v>
      </c>
      <c r="R911" t="s">
        <v>372</v>
      </c>
      <c r="S911">
        <v>1.26</v>
      </c>
      <c r="T911">
        <v>3366</v>
      </c>
      <c r="U911">
        <v>0</v>
      </c>
      <c r="V911">
        <v>3366</v>
      </c>
    </row>
    <row r="912" spans="1:22" x14ac:dyDescent="0.25">
      <c r="A912">
        <v>152577</v>
      </c>
      <c r="B912">
        <v>131839029</v>
      </c>
      <c r="C912" t="s">
        <v>4666</v>
      </c>
      <c r="D912" t="s">
        <v>4667</v>
      </c>
      <c r="E912" t="s">
        <v>4478</v>
      </c>
      <c r="F912" t="s">
        <v>847</v>
      </c>
      <c r="G912" t="s">
        <v>142</v>
      </c>
      <c r="H912" t="s">
        <v>143</v>
      </c>
      <c r="I912" t="s">
        <v>35</v>
      </c>
      <c r="J912" t="s">
        <v>144</v>
      </c>
      <c r="K912" t="s">
        <v>2</v>
      </c>
      <c r="L912" t="s">
        <v>4668</v>
      </c>
      <c r="M912" t="s">
        <v>4669</v>
      </c>
      <c r="N912" t="s">
        <v>850</v>
      </c>
      <c r="O912" t="s">
        <v>40</v>
      </c>
      <c r="P912" t="s">
        <v>4670</v>
      </c>
      <c r="Q912" t="s">
        <v>86</v>
      </c>
      <c r="R912" t="s">
        <v>326</v>
      </c>
      <c r="S912">
        <v>0.8</v>
      </c>
      <c r="T912">
        <v>3366</v>
      </c>
      <c r="U912">
        <v>0</v>
      </c>
      <c r="V912">
        <v>3366</v>
      </c>
    </row>
    <row r="913" spans="1:22" x14ac:dyDescent="0.25">
      <c r="A913">
        <v>152577</v>
      </c>
      <c r="B913">
        <v>131738276</v>
      </c>
      <c r="C913" t="s">
        <v>4671</v>
      </c>
      <c r="D913" t="s">
        <v>4672</v>
      </c>
      <c r="E913" t="s">
        <v>4478</v>
      </c>
      <c r="F913" t="s">
        <v>847</v>
      </c>
      <c r="G913" t="s">
        <v>142</v>
      </c>
      <c r="H913" t="s">
        <v>143</v>
      </c>
      <c r="I913" t="s">
        <v>35</v>
      </c>
      <c r="J913" t="s">
        <v>144</v>
      </c>
      <c r="K913" t="s">
        <v>2</v>
      </c>
      <c r="L913" t="s">
        <v>4673</v>
      </c>
      <c r="M913" t="s">
        <v>4674</v>
      </c>
      <c r="N913" t="s">
        <v>850</v>
      </c>
      <c r="O913" t="s">
        <v>40</v>
      </c>
      <c r="P913" t="s">
        <v>4675</v>
      </c>
      <c r="Q913" t="s">
        <v>48</v>
      </c>
      <c r="R913" t="s">
        <v>513</v>
      </c>
      <c r="S913">
        <v>0.91</v>
      </c>
      <c r="T913">
        <v>3366</v>
      </c>
      <c r="U913">
        <v>0</v>
      </c>
      <c r="V913">
        <v>3366</v>
      </c>
    </row>
    <row r="914" spans="1:22" x14ac:dyDescent="0.25">
      <c r="A914">
        <v>152577</v>
      </c>
      <c r="B914">
        <v>131737700</v>
      </c>
      <c r="C914" t="s">
        <v>4676</v>
      </c>
      <c r="D914" t="s">
        <v>4677</v>
      </c>
      <c r="E914" t="s">
        <v>4478</v>
      </c>
      <c r="F914" t="s">
        <v>847</v>
      </c>
      <c r="G914" t="s">
        <v>142</v>
      </c>
      <c r="H914" t="s">
        <v>143</v>
      </c>
      <c r="I914" t="s">
        <v>35</v>
      </c>
      <c r="J914" t="s">
        <v>144</v>
      </c>
      <c r="K914" t="s">
        <v>2</v>
      </c>
      <c r="L914" t="s">
        <v>4678</v>
      </c>
      <c r="M914" t="s">
        <v>4609</v>
      </c>
      <c r="N914" t="s">
        <v>850</v>
      </c>
      <c r="O914" t="s">
        <v>40</v>
      </c>
      <c r="P914" t="s">
        <v>4679</v>
      </c>
      <c r="Q914" t="s">
        <v>161</v>
      </c>
      <c r="R914" t="s">
        <v>402</v>
      </c>
      <c r="S914">
        <v>0.63</v>
      </c>
      <c r="T914">
        <v>3366</v>
      </c>
      <c r="U914">
        <v>0</v>
      </c>
      <c r="V914">
        <v>3366</v>
      </c>
    </row>
    <row r="915" spans="1:22" x14ac:dyDescent="0.25">
      <c r="A915">
        <v>152577</v>
      </c>
      <c r="B915">
        <v>131503405</v>
      </c>
      <c r="C915" t="s">
        <v>4680</v>
      </c>
      <c r="D915" t="s">
        <v>4681</v>
      </c>
      <c r="E915" t="s">
        <v>4478</v>
      </c>
      <c r="F915" t="s">
        <v>847</v>
      </c>
      <c r="G915" t="s">
        <v>142</v>
      </c>
      <c r="H915" t="s">
        <v>143</v>
      </c>
      <c r="I915" t="s">
        <v>35</v>
      </c>
      <c r="J915" t="s">
        <v>144</v>
      </c>
      <c r="K915" t="s">
        <v>2</v>
      </c>
      <c r="L915" t="s">
        <v>4682</v>
      </c>
      <c r="M915" t="s">
        <v>4683</v>
      </c>
      <c r="N915" t="s">
        <v>850</v>
      </c>
      <c r="O915" t="s">
        <v>40</v>
      </c>
      <c r="P915" t="s">
        <v>4684</v>
      </c>
      <c r="Q915" t="s">
        <v>161</v>
      </c>
      <c r="R915" t="s">
        <v>492</v>
      </c>
      <c r="S915">
        <v>1</v>
      </c>
      <c r="T915">
        <v>3366</v>
      </c>
      <c r="U915">
        <v>0</v>
      </c>
      <c r="V915">
        <v>3366</v>
      </c>
    </row>
    <row r="916" spans="1:22" x14ac:dyDescent="0.25">
      <c r="A916">
        <v>152577</v>
      </c>
      <c r="B916">
        <v>131501703</v>
      </c>
      <c r="C916" t="s">
        <v>4685</v>
      </c>
      <c r="D916" t="s">
        <v>4686</v>
      </c>
      <c r="E916" t="s">
        <v>4478</v>
      </c>
      <c r="F916" t="s">
        <v>847</v>
      </c>
      <c r="G916" t="s">
        <v>142</v>
      </c>
      <c r="H916" t="s">
        <v>143</v>
      </c>
      <c r="I916" t="s">
        <v>35</v>
      </c>
      <c r="J916" t="s">
        <v>144</v>
      </c>
      <c r="K916" t="s">
        <v>169</v>
      </c>
      <c r="L916" t="s">
        <v>267</v>
      </c>
      <c r="M916" t="s">
        <v>4687</v>
      </c>
      <c r="N916" t="s">
        <v>850</v>
      </c>
      <c r="O916" t="s">
        <v>40</v>
      </c>
      <c r="P916" t="s">
        <v>4688</v>
      </c>
      <c r="Q916" t="s">
        <v>73</v>
      </c>
      <c r="R916" t="s">
        <v>367</v>
      </c>
      <c r="S916">
        <v>0.91</v>
      </c>
      <c r="T916">
        <v>3366</v>
      </c>
      <c r="U916">
        <v>0</v>
      </c>
      <c r="V916">
        <v>3366</v>
      </c>
    </row>
    <row r="917" spans="1:22" x14ac:dyDescent="0.25">
      <c r="A917">
        <v>152577</v>
      </c>
      <c r="B917">
        <v>132174584</v>
      </c>
      <c r="C917" t="s">
        <v>4689</v>
      </c>
      <c r="D917" t="s">
        <v>4690</v>
      </c>
      <c r="E917" t="s">
        <v>4478</v>
      </c>
      <c r="F917" t="s">
        <v>847</v>
      </c>
      <c r="G917" t="s">
        <v>142</v>
      </c>
      <c r="H917" t="s">
        <v>143</v>
      </c>
      <c r="I917" t="s">
        <v>35</v>
      </c>
      <c r="J917" t="s">
        <v>144</v>
      </c>
      <c r="K917" t="s">
        <v>2</v>
      </c>
      <c r="L917" t="s">
        <v>4691</v>
      </c>
      <c r="M917" t="s">
        <v>4692</v>
      </c>
      <c r="N917" t="s">
        <v>850</v>
      </c>
      <c r="O917" t="s">
        <v>40</v>
      </c>
      <c r="P917" t="s">
        <v>4693</v>
      </c>
      <c r="Q917" t="s">
        <v>55</v>
      </c>
      <c r="R917" t="s">
        <v>609</v>
      </c>
      <c r="S917">
        <v>0.45</v>
      </c>
      <c r="T917">
        <v>3449</v>
      </c>
      <c r="U917">
        <v>0</v>
      </c>
      <c r="V917">
        <v>3449</v>
      </c>
    </row>
    <row r="918" spans="1:22" x14ac:dyDescent="0.25">
      <c r="A918">
        <v>152577</v>
      </c>
      <c r="B918">
        <v>132072252</v>
      </c>
      <c r="C918" t="s">
        <v>4694</v>
      </c>
      <c r="D918" t="s">
        <v>4695</v>
      </c>
      <c r="E918" t="s">
        <v>4478</v>
      </c>
      <c r="F918" t="s">
        <v>847</v>
      </c>
      <c r="G918" t="s">
        <v>142</v>
      </c>
      <c r="H918" t="s">
        <v>143</v>
      </c>
      <c r="I918" t="s">
        <v>35</v>
      </c>
      <c r="J918" t="s">
        <v>144</v>
      </c>
      <c r="K918" t="s">
        <v>2</v>
      </c>
      <c r="L918" t="s">
        <v>4696</v>
      </c>
      <c r="M918" t="s">
        <v>4697</v>
      </c>
      <c r="N918" t="s">
        <v>850</v>
      </c>
      <c r="O918" t="s">
        <v>40</v>
      </c>
      <c r="P918" t="s">
        <v>4698</v>
      </c>
      <c r="Q918" t="s">
        <v>64</v>
      </c>
      <c r="R918" t="s">
        <v>4498</v>
      </c>
      <c r="S918">
        <v>0.41</v>
      </c>
      <c r="T918">
        <v>3449</v>
      </c>
      <c r="U918">
        <v>0</v>
      </c>
      <c r="V918">
        <v>3449</v>
      </c>
    </row>
    <row r="919" spans="1:22" x14ac:dyDescent="0.25">
      <c r="A919">
        <v>152577</v>
      </c>
      <c r="B919">
        <v>131849951</v>
      </c>
      <c r="C919" t="s">
        <v>4699</v>
      </c>
      <c r="D919" t="s">
        <v>4700</v>
      </c>
      <c r="E919" t="s">
        <v>4478</v>
      </c>
      <c r="F919" t="s">
        <v>847</v>
      </c>
      <c r="G919" t="s">
        <v>142</v>
      </c>
      <c r="H919" t="s">
        <v>143</v>
      </c>
      <c r="I919" t="s">
        <v>35</v>
      </c>
      <c r="J919" t="s">
        <v>144</v>
      </c>
      <c r="K919" t="s">
        <v>2</v>
      </c>
      <c r="L919" t="s">
        <v>4701</v>
      </c>
      <c r="M919" t="s">
        <v>4702</v>
      </c>
      <c r="N919" t="s">
        <v>850</v>
      </c>
      <c r="O919" t="s">
        <v>40</v>
      </c>
      <c r="P919" t="s">
        <v>4703</v>
      </c>
      <c r="Q919" t="s">
        <v>57</v>
      </c>
      <c r="R919" t="s">
        <v>4704</v>
      </c>
      <c r="S919">
        <v>0.43</v>
      </c>
      <c r="T919">
        <v>3449</v>
      </c>
      <c r="U919">
        <v>0</v>
      </c>
      <c r="V919">
        <v>3449</v>
      </c>
    </row>
    <row r="920" spans="1:22" x14ac:dyDescent="0.25">
      <c r="A920">
        <v>152577</v>
      </c>
      <c r="B920">
        <v>131832957</v>
      </c>
      <c r="C920" t="s">
        <v>4705</v>
      </c>
      <c r="D920" t="s">
        <v>4706</v>
      </c>
      <c r="E920" t="s">
        <v>4478</v>
      </c>
      <c r="F920" t="s">
        <v>847</v>
      </c>
      <c r="G920" t="s">
        <v>142</v>
      </c>
      <c r="H920" t="s">
        <v>143</v>
      </c>
      <c r="I920" t="s">
        <v>35</v>
      </c>
      <c r="J920" t="s">
        <v>144</v>
      </c>
      <c r="K920" t="s">
        <v>2</v>
      </c>
      <c r="L920" t="s">
        <v>4707</v>
      </c>
      <c r="M920" t="s">
        <v>4708</v>
      </c>
      <c r="N920" t="s">
        <v>850</v>
      </c>
      <c r="O920" t="s">
        <v>40</v>
      </c>
      <c r="P920" t="s">
        <v>4709</v>
      </c>
      <c r="Q920" t="s">
        <v>154</v>
      </c>
      <c r="R920" t="s">
        <v>146</v>
      </c>
      <c r="S920">
        <v>0.72</v>
      </c>
      <c r="T920">
        <v>3784</v>
      </c>
      <c r="U920">
        <v>0</v>
      </c>
      <c r="V920">
        <v>3784</v>
      </c>
    </row>
    <row r="921" spans="1:22" x14ac:dyDescent="0.25">
      <c r="A921">
        <v>152577</v>
      </c>
      <c r="B921">
        <v>131692435</v>
      </c>
      <c r="C921" t="s">
        <v>4710</v>
      </c>
      <c r="D921" t="s">
        <v>4711</v>
      </c>
      <c r="E921" t="s">
        <v>4478</v>
      </c>
      <c r="F921" t="s">
        <v>847</v>
      </c>
      <c r="G921" t="s">
        <v>142</v>
      </c>
      <c r="H921" t="s">
        <v>143</v>
      </c>
      <c r="I921" t="s">
        <v>35</v>
      </c>
      <c r="J921" t="s">
        <v>144</v>
      </c>
      <c r="K921" t="s">
        <v>2</v>
      </c>
      <c r="L921" t="s">
        <v>4712</v>
      </c>
      <c r="M921" t="s">
        <v>4713</v>
      </c>
      <c r="N921" t="s">
        <v>850</v>
      </c>
      <c r="O921" t="s">
        <v>40</v>
      </c>
      <c r="P921" t="s">
        <v>4714</v>
      </c>
      <c r="Q921" t="s">
        <v>154</v>
      </c>
      <c r="R921" t="s">
        <v>4715</v>
      </c>
      <c r="S921">
        <v>0.46</v>
      </c>
      <c r="T921">
        <v>3449</v>
      </c>
      <c r="U921">
        <v>0</v>
      </c>
      <c r="V921">
        <v>3449</v>
      </c>
    </row>
    <row r="922" spans="1:22" x14ac:dyDescent="0.25">
      <c r="A922">
        <v>152577</v>
      </c>
      <c r="B922">
        <v>131410447</v>
      </c>
      <c r="C922" t="s">
        <v>4716</v>
      </c>
      <c r="D922" t="s">
        <v>4717</v>
      </c>
      <c r="E922" t="s">
        <v>4478</v>
      </c>
      <c r="F922" t="s">
        <v>847</v>
      </c>
      <c r="G922" t="s">
        <v>142</v>
      </c>
      <c r="H922" t="s">
        <v>143</v>
      </c>
      <c r="I922" t="s">
        <v>35</v>
      </c>
      <c r="J922" t="s">
        <v>144</v>
      </c>
      <c r="K922" t="s">
        <v>2</v>
      </c>
      <c r="L922" t="s">
        <v>4718</v>
      </c>
      <c r="M922" t="s">
        <v>518</v>
      </c>
      <c r="N922" t="s">
        <v>850</v>
      </c>
      <c r="O922" t="s">
        <v>40</v>
      </c>
      <c r="P922" t="s">
        <v>4719</v>
      </c>
      <c r="Q922" t="s">
        <v>79</v>
      </c>
      <c r="R922" t="s">
        <v>451</v>
      </c>
      <c r="S922">
        <v>0.48</v>
      </c>
      <c r="T922">
        <v>3449</v>
      </c>
      <c r="U922">
        <v>0</v>
      </c>
      <c r="V922">
        <v>3449</v>
      </c>
    </row>
    <row r="923" spans="1:22" x14ac:dyDescent="0.25">
      <c r="A923">
        <v>152577</v>
      </c>
      <c r="B923">
        <v>132174947</v>
      </c>
      <c r="C923" t="s">
        <v>4720</v>
      </c>
      <c r="D923" t="s">
        <v>4721</v>
      </c>
      <c r="E923" t="s">
        <v>4478</v>
      </c>
      <c r="F923" t="s">
        <v>847</v>
      </c>
      <c r="G923" t="s">
        <v>142</v>
      </c>
      <c r="H923" t="s">
        <v>143</v>
      </c>
      <c r="I923" t="s">
        <v>35</v>
      </c>
      <c r="J923" t="s">
        <v>144</v>
      </c>
      <c r="K923" t="s">
        <v>2</v>
      </c>
      <c r="L923" t="s">
        <v>4722</v>
      </c>
      <c r="M923" t="s">
        <v>4723</v>
      </c>
      <c r="N923" t="s">
        <v>850</v>
      </c>
      <c r="O923" t="s">
        <v>40</v>
      </c>
      <c r="P923" t="s">
        <v>4724</v>
      </c>
      <c r="Q923" t="s">
        <v>79</v>
      </c>
      <c r="R923" t="s">
        <v>4725</v>
      </c>
      <c r="S923">
        <v>0.85</v>
      </c>
      <c r="T923">
        <v>3501</v>
      </c>
      <c r="U923">
        <v>0</v>
      </c>
      <c r="V923">
        <v>3501</v>
      </c>
    </row>
    <row r="924" spans="1:22" x14ac:dyDescent="0.25">
      <c r="A924">
        <v>152577</v>
      </c>
      <c r="B924">
        <v>132070350</v>
      </c>
      <c r="C924" t="s">
        <v>4726</v>
      </c>
      <c r="D924" t="s">
        <v>4727</v>
      </c>
      <c r="E924" t="s">
        <v>4478</v>
      </c>
      <c r="F924" t="s">
        <v>847</v>
      </c>
      <c r="G924" t="s">
        <v>142</v>
      </c>
      <c r="H924" t="s">
        <v>143</v>
      </c>
      <c r="I924" t="s">
        <v>35</v>
      </c>
      <c r="J924" t="s">
        <v>144</v>
      </c>
      <c r="K924" t="s">
        <v>2</v>
      </c>
      <c r="L924" t="s">
        <v>524</v>
      </c>
      <c r="M924" t="s">
        <v>4728</v>
      </c>
      <c r="N924" t="s">
        <v>850</v>
      </c>
      <c r="O924" t="s">
        <v>40</v>
      </c>
      <c r="P924" t="s">
        <v>4729</v>
      </c>
      <c r="Q924" t="s">
        <v>75</v>
      </c>
      <c r="R924" t="s">
        <v>322</v>
      </c>
      <c r="S924">
        <v>0.4</v>
      </c>
      <c r="T924">
        <v>3680</v>
      </c>
      <c r="U924">
        <v>0</v>
      </c>
      <c r="V924">
        <v>3680</v>
      </c>
    </row>
    <row r="925" spans="1:22" x14ac:dyDescent="0.25">
      <c r="A925">
        <v>152577</v>
      </c>
      <c r="B925">
        <v>132095116</v>
      </c>
      <c r="C925" t="s">
        <v>4730</v>
      </c>
      <c r="D925" t="s">
        <v>4731</v>
      </c>
      <c r="E925" t="s">
        <v>4478</v>
      </c>
      <c r="F925" t="s">
        <v>847</v>
      </c>
      <c r="G925" t="s">
        <v>142</v>
      </c>
      <c r="H925" t="s">
        <v>143</v>
      </c>
      <c r="I925" t="s">
        <v>35</v>
      </c>
      <c r="J925" t="s">
        <v>144</v>
      </c>
      <c r="K925" t="s">
        <v>2</v>
      </c>
      <c r="L925" t="s">
        <v>743</v>
      </c>
      <c r="M925" t="s">
        <v>744</v>
      </c>
      <c r="N925" t="s">
        <v>850</v>
      </c>
      <c r="O925" t="s">
        <v>40</v>
      </c>
      <c r="P925" t="s">
        <v>4732</v>
      </c>
      <c r="Q925" t="s">
        <v>62</v>
      </c>
      <c r="R925" t="s">
        <v>485</v>
      </c>
      <c r="S925">
        <v>0.28000000000000003</v>
      </c>
      <c r="T925">
        <v>3680</v>
      </c>
      <c r="U925">
        <v>0</v>
      </c>
      <c r="V925">
        <v>3680</v>
      </c>
    </row>
    <row r="926" spans="1:22" x14ac:dyDescent="0.25">
      <c r="A926">
        <v>152577</v>
      </c>
      <c r="B926">
        <v>131960866</v>
      </c>
      <c r="C926" t="s">
        <v>4733</v>
      </c>
      <c r="D926" t="s">
        <v>4734</v>
      </c>
      <c r="E926" t="s">
        <v>4478</v>
      </c>
      <c r="F926" t="s">
        <v>847</v>
      </c>
      <c r="G926" t="s">
        <v>142</v>
      </c>
      <c r="H926" t="s">
        <v>143</v>
      </c>
      <c r="I926" t="s">
        <v>35</v>
      </c>
      <c r="J926" t="s">
        <v>144</v>
      </c>
      <c r="K926" t="s">
        <v>2</v>
      </c>
      <c r="L926" t="s">
        <v>4735</v>
      </c>
      <c r="M926" t="s">
        <v>4736</v>
      </c>
      <c r="N926" t="s">
        <v>850</v>
      </c>
      <c r="O926" t="s">
        <v>40</v>
      </c>
      <c r="P926" t="s">
        <v>4737</v>
      </c>
      <c r="Q926" t="s">
        <v>74</v>
      </c>
      <c r="R926" t="s">
        <v>652</v>
      </c>
      <c r="S926">
        <v>0.42</v>
      </c>
      <c r="T926">
        <v>3680</v>
      </c>
      <c r="U926">
        <v>0</v>
      </c>
      <c r="V926">
        <v>3680</v>
      </c>
    </row>
    <row r="927" spans="1:22" x14ac:dyDescent="0.25">
      <c r="A927">
        <v>152577</v>
      </c>
      <c r="B927">
        <v>131832990</v>
      </c>
      <c r="C927" t="s">
        <v>4738</v>
      </c>
      <c r="D927" t="s">
        <v>4739</v>
      </c>
      <c r="E927" t="s">
        <v>4478</v>
      </c>
      <c r="F927" t="s">
        <v>847</v>
      </c>
      <c r="G927" t="s">
        <v>142</v>
      </c>
      <c r="H927" t="s">
        <v>143</v>
      </c>
      <c r="I927" t="s">
        <v>35</v>
      </c>
      <c r="J927" t="s">
        <v>144</v>
      </c>
      <c r="K927" t="s">
        <v>2</v>
      </c>
      <c r="L927" t="s">
        <v>4740</v>
      </c>
      <c r="M927" t="s">
        <v>4741</v>
      </c>
      <c r="N927" t="s">
        <v>850</v>
      </c>
      <c r="O927" t="s">
        <v>40</v>
      </c>
      <c r="P927" t="s">
        <v>4742</v>
      </c>
      <c r="Q927" t="s">
        <v>151</v>
      </c>
      <c r="R927" t="s">
        <v>432</v>
      </c>
      <c r="S927">
        <v>0.51</v>
      </c>
      <c r="T927">
        <v>4067</v>
      </c>
      <c r="U927">
        <v>0</v>
      </c>
      <c r="V927">
        <v>4067</v>
      </c>
    </row>
    <row r="928" spans="1:22" x14ac:dyDescent="0.25">
      <c r="A928">
        <v>152577</v>
      </c>
      <c r="B928">
        <v>131832920</v>
      </c>
      <c r="C928" t="s">
        <v>4743</v>
      </c>
      <c r="D928" t="s">
        <v>4744</v>
      </c>
      <c r="E928" t="s">
        <v>4478</v>
      </c>
      <c r="F928" t="s">
        <v>847</v>
      </c>
      <c r="G928" t="s">
        <v>142</v>
      </c>
      <c r="H928" t="s">
        <v>143</v>
      </c>
      <c r="I928" t="s">
        <v>35</v>
      </c>
      <c r="J928" t="s">
        <v>144</v>
      </c>
      <c r="K928" t="s">
        <v>2</v>
      </c>
      <c r="L928" t="s">
        <v>4745</v>
      </c>
      <c r="M928" t="s">
        <v>4746</v>
      </c>
      <c r="N928" t="s">
        <v>850</v>
      </c>
      <c r="O928" t="s">
        <v>40</v>
      </c>
      <c r="P928" t="s">
        <v>4747</v>
      </c>
      <c r="Q928" t="s">
        <v>62</v>
      </c>
      <c r="R928" t="s">
        <v>426</v>
      </c>
      <c r="S928">
        <v>0.57999999999999996</v>
      </c>
      <c r="T928">
        <v>3753</v>
      </c>
      <c r="U928">
        <v>0</v>
      </c>
      <c r="V928">
        <v>3753</v>
      </c>
    </row>
    <row r="929" spans="1:22" x14ac:dyDescent="0.25">
      <c r="A929">
        <v>152577</v>
      </c>
      <c r="B929">
        <v>131737637</v>
      </c>
      <c r="C929" t="s">
        <v>4748</v>
      </c>
      <c r="D929" t="s">
        <v>4749</v>
      </c>
      <c r="E929" t="s">
        <v>4478</v>
      </c>
      <c r="F929" t="s">
        <v>847</v>
      </c>
      <c r="G929" t="s">
        <v>142</v>
      </c>
      <c r="H929" t="s">
        <v>143</v>
      </c>
      <c r="I929" t="s">
        <v>35</v>
      </c>
      <c r="J929" t="s">
        <v>144</v>
      </c>
      <c r="K929" t="s">
        <v>2</v>
      </c>
      <c r="L929" t="s">
        <v>4750</v>
      </c>
      <c r="M929" t="s">
        <v>4751</v>
      </c>
      <c r="N929" t="s">
        <v>850</v>
      </c>
      <c r="O929" t="s">
        <v>40</v>
      </c>
      <c r="P929" t="s">
        <v>4752</v>
      </c>
      <c r="Q929" t="s">
        <v>50</v>
      </c>
      <c r="R929" t="s">
        <v>329</v>
      </c>
      <c r="S929">
        <v>0.53</v>
      </c>
      <c r="T929">
        <v>3753</v>
      </c>
      <c r="U929">
        <v>0</v>
      </c>
      <c r="V929">
        <v>3753</v>
      </c>
    </row>
    <row r="930" spans="1:22" x14ac:dyDescent="0.25">
      <c r="A930">
        <v>152577</v>
      </c>
      <c r="B930">
        <v>131692462</v>
      </c>
      <c r="C930" t="s">
        <v>4753</v>
      </c>
      <c r="D930" t="s">
        <v>4754</v>
      </c>
      <c r="E930" t="s">
        <v>4478</v>
      </c>
      <c r="F930" t="s">
        <v>847</v>
      </c>
      <c r="G930" t="s">
        <v>142</v>
      </c>
      <c r="H930" t="s">
        <v>143</v>
      </c>
      <c r="I930" t="s">
        <v>35</v>
      </c>
      <c r="J930" t="s">
        <v>144</v>
      </c>
      <c r="K930" t="s">
        <v>2</v>
      </c>
      <c r="L930" t="s">
        <v>4755</v>
      </c>
      <c r="M930" t="s">
        <v>4756</v>
      </c>
      <c r="N930" t="s">
        <v>850</v>
      </c>
      <c r="O930" t="s">
        <v>40</v>
      </c>
      <c r="P930" t="s">
        <v>4757</v>
      </c>
      <c r="Q930" t="s">
        <v>82</v>
      </c>
      <c r="R930" t="s">
        <v>4547</v>
      </c>
      <c r="S930">
        <v>0.45</v>
      </c>
      <c r="T930">
        <v>3680</v>
      </c>
      <c r="U930">
        <v>0</v>
      </c>
      <c r="V930">
        <v>3680</v>
      </c>
    </row>
    <row r="931" spans="1:22" x14ac:dyDescent="0.25">
      <c r="A931">
        <v>152577</v>
      </c>
      <c r="B931">
        <v>131647619</v>
      </c>
      <c r="C931" t="s">
        <v>4758</v>
      </c>
      <c r="D931" t="s">
        <v>4759</v>
      </c>
      <c r="E931" t="s">
        <v>4478</v>
      </c>
      <c r="F931" t="s">
        <v>847</v>
      </c>
      <c r="G931" t="s">
        <v>142</v>
      </c>
      <c r="H931" t="s">
        <v>143</v>
      </c>
      <c r="I931" t="s">
        <v>35</v>
      </c>
      <c r="J931" t="s">
        <v>144</v>
      </c>
      <c r="K931" t="s">
        <v>2</v>
      </c>
      <c r="L931" t="s">
        <v>4760</v>
      </c>
      <c r="M931" t="s">
        <v>4761</v>
      </c>
      <c r="N931" t="s">
        <v>850</v>
      </c>
      <c r="O931" t="s">
        <v>40</v>
      </c>
      <c r="P931" t="s">
        <v>4762</v>
      </c>
      <c r="Q931" t="s">
        <v>62</v>
      </c>
      <c r="R931" t="s">
        <v>586</v>
      </c>
      <c r="S931">
        <v>0.4</v>
      </c>
      <c r="T931">
        <v>3680</v>
      </c>
      <c r="U931">
        <v>0</v>
      </c>
      <c r="V931">
        <v>3680</v>
      </c>
    </row>
    <row r="932" spans="1:22" x14ac:dyDescent="0.25">
      <c r="A932">
        <v>152577</v>
      </c>
      <c r="B932">
        <v>131571392</v>
      </c>
      <c r="C932" t="s">
        <v>4763</v>
      </c>
      <c r="D932" t="s">
        <v>4764</v>
      </c>
      <c r="E932" t="s">
        <v>4478</v>
      </c>
      <c r="F932" t="s">
        <v>847</v>
      </c>
      <c r="G932" t="s">
        <v>142</v>
      </c>
      <c r="H932" t="s">
        <v>143</v>
      </c>
      <c r="I932" t="s">
        <v>35</v>
      </c>
      <c r="J932" t="s">
        <v>144</v>
      </c>
      <c r="K932" t="s">
        <v>2</v>
      </c>
      <c r="L932" t="s">
        <v>4765</v>
      </c>
      <c r="M932" t="s">
        <v>4766</v>
      </c>
      <c r="N932" t="s">
        <v>850</v>
      </c>
      <c r="O932" t="s">
        <v>40</v>
      </c>
      <c r="P932" t="s">
        <v>4767</v>
      </c>
      <c r="Q932" t="s">
        <v>241</v>
      </c>
      <c r="R932" t="s">
        <v>543</v>
      </c>
      <c r="S932">
        <v>0.45</v>
      </c>
      <c r="T932">
        <v>4415</v>
      </c>
      <c r="U932">
        <v>0</v>
      </c>
      <c r="V932">
        <v>4415</v>
      </c>
    </row>
    <row r="933" spans="1:22" x14ac:dyDescent="0.25">
      <c r="A933">
        <v>152577</v>
      </c>
      <c r="B933">
        <v>131409613</v>
      </c>
      <c r="C933" t="s">
        <v>4768</v>
      </c>
      <c r="D933" t="s">
        <v>4769</v>
      </c>
      <c r="E933" t="s">
        <v>4478</v>
      </c>
      <c r="F933" t="s">
        <v>847</v>
      </c>
      <c r="G933" t="s">
        <v>142</v>
      </c>
      <c r="H933" t="s">
        <v>143</v>
      </c>
      <c r="I933" t="s">
        <v>35</v>
      </c>
      <c r="J933" t="s">
        <v>144</v>
      </c>
      <c r="K933" t="s">
        <v>2</v>
      </c>
      <c r="L933" t="s">
        <v>4770</v>
      </c>
      <c r="M933" t="s">
        <v>4771</v>
      </c>
      <c r="N933" t="s">
        <v>850</v>
      </c>
      <c r="O933" t="s">
        <v>40</v>
      </c>
      <c r="P933" t="s">
        <v>4772</v>
      </c>
      <c r="Q933" t="s">
        <v>111</v>
      </c>
      <c r="R933" t="s">
        <v>469</v>
      </c>
      <c r="S933">
        <v>0.46</v>
      </c>
      <c r="T933">
        <v>3680</v>
      </c>
      <c r="U933">
        <v>0</v>
      </c>
      <c r="V933">
        <v>3680</v>
      </c>
    </row>
    <row r="934" spans="1:22" x14ac:dyDescent="0.25">
      <c r="A934">
        <v>152577</v>
      </c>
      <c r="B934">
        <v>131370132</v>
      </c>
      <c r="C934" t="s">
        <v>4773</v>
      </c>
      <c r="D934" t="s">
        <v>4774</v>
      </c>
      <c r="E934" t="s">
        <v>4478</v>
      </c>
      <c r="F934" t="s">
        <v>847</v>
      </c>
      <c r="G934" t="s">
        <v>142</v>
      </c>
      <c r="H934" t="s">
        <v>143</v>
      </c>
      <c r="I934" t="s">
        <v>35</v>
      </c>
      <c r="J934" t="s">
        <v>144</v>
      </c>
      <c r="K934" t="s">
        <v>2</v>
      </c>
      <c r="L934" t="s">
        <v>4775</v>
      </c>
      <c r="M934" t="s">
        <v>4776</v>
      </c>
      <c r="N934" t="s">
        <v>850</v>
      </c>
      <c r="O934" t="s">
        <v>40</v>
      </c>
      <c r="P934" t="s">
        <v>4777</v>
      </c>
      <c r="Q934" t="s">
        <v>50</v>
      </c>
      <c r="R934" t="s">
        <v>4778</v>
      </c>
      <c r="S934">
        <v>0.4</v>
      </c>
      <c r="T934">
        <v>3680</v>
      </c>
      <c r="U934">
        <v>0</v>
      </c>
      <c r="V934">
        <v>3680</v>
      </c>
    </row>
    <row r="935" spans="1:22" x14ac:dyDescent="0.25">
      <c r="A935">
        <v>152577</v>
      </c>
      <c r="B935">
        <v>131370153</v>
      </c>
      <c r="C935" t="s">
        <v>4779</v>
      </c>
      <c r="D935" t="s">
        <v>4780</v>
      </c>
      <c r="E935" t="s">
        <v>4478</v>
      </c>
      <c r="F935" t="s">
        <v>847</v>
      </c>
      <c r="G935" t="s">
        <v>142</v>
      </c>
      <c r="H935" t="s">
        <v>143</v>
      </c>
      <c r="I935" t="s">
        <v>35</v>
      </c>
      <c r="J935" t="s">
        <v>144</v>
      </c>
      <c r="K935" t="s">
        <v>2</v>
      </c>
      <c r="L935" t="s">
        <v>4781</v>
      </c>
      <c r="M935" t="s">
        <v>4782</v>
      </c>
      <c r="N935" t="s">
        <v>850</v>
      </c>
      <c r="O935" t="s">
        <v>40</v>
      </c>
      <c r="P935" t="s">
        <v>4783</v>
      </c>
      <c r="Q935" t="s">
        <v>61</v>
      </c>
      <c r="R935" t="s">
        <v>472</v>
      </c>
      <c r="S935">
        <v>0.4</v>
      </c>
      <c r="T935">
        <v>3680</v>
      </c>
      <c r="U935">
        <v>0</v>
      </c>
      <c r="V935">
        <v>3680</v>
      </c>
    </row>
    <row r="936" spans="1:22" x14ac:dyDescent="0.25">
      <c r="A936">
        <v>152577</v>
      </c>
      <c r="B936">
        <v>131409692</v>
      </c>
      <c r="C936" t="s">
        <v>4784</v>
      </c>
      <c r="D936" t="s">
        <v>4785</v>
      </c>
      <c r="E936" t="s">
        <v>4478</v>
      </c>
      <c r="F936" t="s">
        <v>847</v>
      </c>
      <c r="G936" t="s">
        <v>142</v>
      </c>
      <c r="H936" t="s">
        <v>143</v>
      </c>
      <c r="I936" t="s">
        <v>35</v>
      </c>
      <c r="J936" t="s">
        <v>144</v>
      </c>
      <c r="K936" t="s">
        <v>2</v>
      </c>
      <c r="L936" t="s">
        <v>4786</v>
      </c>
      <c r="M936" t="s">
        <v>4787</v>
      </c>
      <c r="N936" t="s">
        <v>850</v>
      </c>
      <c r="O936" t="s">
        <v>40</v>
      </c>
      <c r="P936" t="s">
        <v>4788</v>
      </c>
      <c r="Q936" t="s">
        <v>82</v>
      </c>
      <c r="R936" t="s">
        <v>537</v>
      </c>
      <c r="S936">
        <v>0.4</v>
      </c>
      <c r="T936">
        <v>3680</v>
      </c>
      <c r="U936">
        <v>0</v>
      </c>
      <c r="V936">
        <v>3680</v>
      </c>
    </row>
    <row r="937" spans="1:22" x14ac:dyDescent="0.25">
      <c r="A937">
        <v>152577</v>
      </c>
      <c r="B937">
        <v>132109351</v>
      </c>
      <c r="C937" t="s">
        <v>4789</v>
      </c>
      <c r="D937" t="s">
        <v>4790</v>
      </c>
      <c r="E937" t="s">
        <v>4478</v>
      </c>
      <c r="F937" t="s">
        <v>847</v>
      </c>
      <c r="G937" t="s">
        <v>142</v>
      </c>
      <c r="H937" t="s">
        <v>143</v>
      </c>
      <c r="I937" t="s">
        <v>35</v>
      </c>
      <c r="J937" t="s">
        <v>144</v>
      </c>
      <c r="K937" t="s">
        <v>2</v>
      </c>
      <c r="L937" t="s">
        <v>4791</v>
      </c>
      <c r="M937" t="s">
        <v>4792</v>
      </c>
      <c r="N937" t="s">
        <v>850</v>
      </c>
      <c r="O937" t="s">
        <v>40</v>
      </c>
      <c r="P937" t="s">
        <v>4793</v>
      </c>
      <c r="Q937" t="s">
        <v>52</v>
      </c>
      <c r="R937" t="s">
        <v>4794</v>
      </c>
      <c r="S937">
        <v>9.1999999999999993</v>
      </c>
      <c r="T937">
        <v>5759</v>
      </c>
      <c r="U937">
        <v>11518.56</v>
      </c>
      <c r="V937">
        <v>17277.559999999998</v>
      </c>
    </row>
    <row r="938" spans="1:22" x14ac:dyDescent="0.25">
      <c r="A938">
        <v>152577</v>
      </c>
      <c r="B938">
        <v>132043753</v>
      </c>
      <c r="C938" t="s">
        <v>4795</v>
      </c>
      <c r="D938" t="s">
        <v>4796</v>
      </c>
      <c r="E938" t="s">
        <v>4478</v>
      </c>
      <c r="F938" t="s">
        <v>847</v>
      </c>
      <c r="G938" t="s">
        <v>142</v>
      </c>
      <c r="H938" t="s">
        <v>143</v>
      </c>
      <c r="I938" t="s">
        <v>35</v>
      </c>
      <c r="J938" t="s">
        <v>144</v>
      </c>
      <c r="K938" t="s">
        <v>2</v>
      </c>
      <c r="L938" t="s">
        <v>4797</v>
      </c>
      <c r="M938" t="s">
        <v>4798</v>
      </c>
      <c r="N938" t="s">
        <v>850</v>
      </c>
      <c r="O938" t="s">
        <v>40</v>
      </c>
      <c r="P938" t="s">
        <v>4799</v>
      </c>
      <c r="Q938" t="s">
        <v>52</v>
      </c>
      <c r="R938" t="s">
        <v>442</v>
      </c>
      <c r="S938">
        <v>0.91</v>
      </c>
      <c r="T938">
        <v>3753</v>
      </c>
      <c r="U938">
        <v>0</v>
      </c>
      <c r="V938">
        <v>3753</v>
      </c>
    </row>
    <row r="939" spans="1:22" x14ac:dyDescent="0.25">
      <c r="A939">
        <v>152577</v>
      </c>
      <c r="B939">
        <v>131839440</v>
      </c>
      <c r="C939" t="s">
        <v>4800</v>
      </c>
      <c r="D939" t="s">
        <v>4801</v>
      </c>
      <c r="E939" t="s">
        <v>4478</v>
      </c>
      <c r="F939" t="s">
        <v>847</v>
      </c>
      <c r="G939" t="s">
        <v>142</v>
      </c>
      <c r="H939" t="s">
        <v>143</v>
      </c>
      <c r="I939" t="s">
        <v>35</v>
      </c>
      <c r="J939" t="s">
        <v>144</v>
      </c>
      <c r="K939" t="s">
        <v>2</v>
      </c>
      <c r="L939" t="s">
        <v>4802</v>
      </c>
      <c r="M939" t="s">
        <v>4803</v>
      </c>
      <c r="N939" t="s">
        <v>850</v>
      </c>
      <c r="O939" t="s">
        <v>40</v>
      </c>
      <c r="P939" t="s">
        <v>4804</v>
      </c>
      <c r="Q939" t="s">
        <v>52</v>
      </c>
      <c r="R939" t="s">
        <v>628</v>
      </c>
      <c r="S939">
        <v>1</v>
      </c>
      <c r="T939">
        <v>3753</v>
      </c>
      <c r="U939">
        <v>0</v>
      </c>
      <c r="V939">
        <v>3753</v>
      </c>
    </row>
    <row r="940" spans="1:22" x14ac:dyDescent="0.25">
      <c r="A940">
        <v>152577</v>
      </c>
      <c r="B940">
        <v>131715870</v>
      </c>
      <c r="C940" t="s">
        <v>4805</v>
      </c>
      <c r="D940" t="s">
        <v>4806</v>
      </c>
      <c r="E940" t="s">
        <v>4478</v>
      </c>
      <c r="F940" t="s">
        <v>847</v>
      </c>
      <c r="G940" t="s">
        <v>142</v>
      </c>
      <c r="H940" t="s">
        <v>143</v>
      </c>
      <c r="I940" t="s">
        <v>35</v>
      </c>
      <c r="J940" t="s">
        <v>144</v>
      </c>
      <c r="K940" t="s">
        <v>2</v>
      </c>
      <c r="L940" t="s">
        <v>4807</v>
      </c>
      <c r="M940" t="s">
        <v>4798</v>
      </c>
      <c r="N940" t="s">
        <v>850</v>
      </c>
      <c r="O940" t="s">
        <v>40</v>
      </c>
      <c r="P940" t="s">
        <v>4799</v>
      </c>
      <c r="Q940" t="s">
        <v>52</v>
      </c>
      <c r="R940" t="s">
        <v>613</v>
      </c>
      <c r="S940">
        <v>0.87</v>
      </c>
      <c r="T940">
        <v>3753</v>
      </c>
      <c r="U940">
        <v>0</v>
      </c>
      <c r="V940">
        <v>3753</v>
      </c>
    </row>
    <row r="941" spans="1:22" x14ac:dyDescent="0.25">
      <c r="A941">
        <v>152577</v>
      </c>
      <c r="B941">
        <v>131656427</v>
      </c>
      <c r="C941" t="s">
        <v>4808</v>
      </c>
      <c r="D941" t="s">
        <v>4809</v>
      </c>
      <c r="E941" t="s">
        <v>4478</v>
      </c>
      <c r="F941" t="s">
        <v>847</v>
      </c>
      <c r="G941" t="s">
        <v>142</v>
      </c>
      <c r="H941" t="s">
        <v>143</v>
      </c>
      <c r="I941" t="s">
        <v>35</v>
      </c>
      <c r="J941" t="s">
        <v>144</v>
      </c>
      <c r="K941" t="s">
        <v>2</v>
      </c>
      <c r="L941" t="s">
        <v>4810</v>
      </c>
      <c r="M941" t="s">
        <v>4811</v>
      </c>
      <c r="N941" t="s">
        <v>850</v>
      </c>
      <c r="O941" t="s">
        <v>40</v>
      </c>
      <c r="P941" t="s">
        <v>4812</v>
      </c>
      <c r="Q941" t="s">
        <v>52</v>
      </c>
      <c r="R941" t="s">
        <v>832</v>
      </c>
      <c r="S941">
        <v>1.38</v>
      </c>
      <c r="T941">
        <v>3753</v>
      </c>
      <c r="U941">
        <v>0</v>
      </c>
      <c r="V941">
        <v>3753</v>
      </c>
    </row>
    <row r="942" spans="1:22" x14ac:dyDescent="0.25">
      <c r="A942">
        <v>152577</v>
      </c>
      <c r="B942">
        <v>131370108</v>
      </c>
      <c r="C942" t="s">
        <v>4813</v>
      </c>
      <c r="D942" t="s">
        <v>4814</v>
      </c>
      <c r="E942" t="s">
        <v>4478</v>
      </c>
      <c r="F942" t="s">
        <v>847</v>
      </c>
      <c r="G942" t="s">
        <v>142</v>
      </c>
      <c r="H942" t="s">
        <v>143</v>
      </c>
      <c r="I942" t="s">
        <v>35</v>
      </c>
      <c r="J942" t="s">
        <v>144</v>
      </c>
      <c r="K942" t="s">
        <v>2</v>
      </c>
      <c r="L942" t="s">
        <v>4815</v>
      </c>
      <c r="M942" t="s">
        <v>4816</v>
      </c>
      <c r="N942" t="s">
        <v>850</v>
      </c>
      <c r="O942" t="s">
        <v>40</v>
      </c>
      <c r="P942" t="s">
        <v>4817</v>
      </c>
      <c r="Q942" t="s">
        <v>120</v>
      </c>
      <c r="R942" t="s">
        <v>818</v>
      </c>
      <c r="S942">
        <v>0.8</v>
      </c>
      <c r="T942">
        <v>3753</v>
      </c>
      <c r="U942">
        <v>0</v>
      </c>
      <c r="V942">
        <v>3753</v>
      </c>
    </row>
    <row r="943" spans="1:22" x14ac:dyDescent="0.25">
      <c r="A943">
        <v>152577</v>
      </c>
      <c r="B943">
        <v>132072322</v>
      </c>
      <c r="C943" t="s">
        <v>4818</v>
      </c>
      <c r="D943" t="s">
        <v>4819</v>
      </c>
      <c r="E943" t="s">
        <v>4478</v>
      </c>
      <c r="F943" t="s">
        <v>847</v>
      </c>
      <c r="G943" t="s">
        <v>142</v>
      </c>
      <c r="H943" t="s">
        <v>143</v>
      </c>
      <c r="I943" t="s">
        <v>35</v>
      </c>
      <c r="J943" t="s">
        <v>144</v>
      </c>
      <c r="K943" t="s">
        <v>2</v>
      </c>
      <c r="L943" t="s">
        <v>4820</v>
      </c>
      <c r="M943" t="s">
        <v>4821</v>
      </c>
      <c r="N943" t="s">
        <v>850</v>
      </c>
      <c r="O943" t="s">
        <v>40</v>
      </c>
      <c r="P943" t="s">
        <v>4822</v>
      </c>
      <c r="Q943" t="s">
        <v>64</v>
      </c>
      <c r="R943" t="s">
        <v>837</v>
      </c>
      <c r="S943">
        <v>0.63</v>
      </c>
      <c r="T943">
        <v>3784</v>
      </c>
      <c r="U943">
        <v>0</v>
      </c>
      <c r="V943">
        <v>3784</v>
      </c>
    </row>
    <row r="944" spans="1:22" x14ac:dyDescent="0.25">
      <c r="A944">
        <v>152577</v>
      </c>
      <c r="B944">
        <v>131838974</v>
      </c>
      <c r="C944" t="s">
        <v>4823</v>
      </c>
      <c r="D944" t="s">
        <v>4824</v>
      </c>
      <c r="E944" t="s">
        <v>4478</v>
      </c>
      <c r="F944" t="s">
        <v>847</v>
      </c>
      <c r="G944" t="s">
        <v>142</v>
      </c>
      <c r="H944" t="s">
        <v>143</v>
      </c>
      <c r="I944" t="s">
        <v>35</v>
      </c>
      <c r="J944" t="s">
        <v>144</v>
      </c>
      <c r="K944" t="s">
        <v>2</v>
      </c>
      <c r="L944" t="s">
        <v>4825</v>
      </c>
      <c r="M944" t="s">
        <v>4826</v>
      </c>
      <c r="N944" t="s">
        <v>850</v>
      </c>
      <c r="O944" t="s">
        <v>40</v>
      </c>
      <c r="P944" t="s">
        <v>4827</v>
      </c>
      <c r="Q944" t="s">
        <v>51</v>
      </c>
      <c r="R944" t="s">
        <v>268</v>
      </c>
      <c r="S944">
        <v>0.53</v>
      </c>
      <c r="T944">
        <v>3784</v>
      </c>
      <c r="U944">
        <v>0</v>
      </c>
      <c r="V944">
        <v>3784</v>
      </c>
    </row>
    <row r="945" spans="1:22" x14ac:dyDescent="0.25">
      <c r="A945">
        <v>152577</v>
      </c>
      <c r="B945">
        <v>131462269</v>
      </c>
      <c r="C945" t="s">
        <v>4828</v>
      </c>
      <c r="D945" t="s">
        <v>4829</v>
      </c>
      <c r="E945" t="s">
        <v>4478</v>
      </c>
      <c r="F945" t="s">
        <v>847</v>
      </c>
      <c r="G945" t="s">
        <v>142</v>
      </c>
      <c r="H945" t="s">
        <v>143</v>
      </c>
      <c r="I945" t="s">
        <v>35</v>
      </c>
      <c r="J945" t="s">
        <v>144</v>
      </c>
      <c r="K945" t="s">
        <v>2</v>
      </c>
      <c r="L945" t="s">
        <v>4712</v>
      </c>
      <c r="M945" t="s">
        <v>4713</v>
      </c>
      <c r="N945" t="s">
        <v>850</v>
      </c>
      <c r="O945" t="s">
        <v>40</v>
      </c>
      <c r="P945" t="s">
        <v>4714</v>
      </c>
      <c r="Q945" t="s">
        <v>154</v>
      </c>
      <c r="R945" t="s">
        <v>491</v>
      </c>
      <c r="S945">
        <v>0.86</v>
      </c>
      <c r="T945">
        <v>3784</v>
      </c>
      <c r="U945">
        <v>0</v>
      </c>
      <c r="V945">
        <v>3784</v>
      </c>
    </row>
    <row r="946" spans="1:22" x14ac:dyDescent="0.25">
      <c r="A946">
        <v>152577</v>
      </c>
      <c r="B946">
        <v>132095114</v>
      </c>
      <c r="C946" t="s">
        <v>4830</v>
      </c>
      <c r="D946" t="s">
        <v>4831</v>
      </c>
      <c r="E946" t="s">
        <v>4478</v>
      </c>
      <c r="F946" t="s">
        <v>847</v>
      </c>
      <c r="G946" t="s">
        <v>142</v>
      </c>
      <c r="H946" t="s">
        <v>143</v>
      </c>
      <c r="I946" t="s">
        <v>35</v>
      </c>
      <c r="J946" t="s">
        <v>144</v>
      </c>
      <c r="K946" t="s">
        <v>2</v>
      </c>
      <c r="L946" t="s">
        <v>4832</v>
      </c>
      <c r="M946" t="s">
        <v>4833</v>
      </c>
      <c r="N946" t="s">
        <v>850</v>
      </c>
      <c r="O946" t="s">
        <v>40</v>
      </c>
      <c r="P946" t="s">
        <v>4834</v>
      </c>
      <c r="Q946" t="s">
        <v>129</v>
      </c>
      <c r="R946" t="s">
        <v>485</v>
      </c>
      <c r="S946">
        <v>0.22</v>
      </c>
      <c r="T946">
        <v>3794</v>
      </c>
      <c r="U946">
        <v>0</v>
      </c>
      <c r="V946">
        <v>3794</v>
      </c>
    </row>
    <row r="947" spans="1:22" x14ac:dyDescent="0.25">
      <c r="A947">
        <v>152577</v>
      </c>
      <c r="B947">
        <v>132072280</v>
      </c>
      <c r="C947" t="s">
        <v>4835</v>
      </c>
      <c r="D947" t="s">
        <v>4836</v>
      </c>
      <c r="E947" t="s">
        <v>4478</v>
      </c>
      <c r="F947" t="s">
        <v>847</v>
      </c>
      <c r="G947" t="s">
        <v>142</v>
      </c>
      <c r="H947" t="s">
        <v>143</v>
      </c>
      <c r="I947" t="s">
        <v>35</v>
      </c>
      <c r="J947" t="s">
        <v>144</v>
      </c>
      <c r="K947" t="s">
        <v>2</v>
      </c>
      <c r="L947" t="s">
        <v>4837</v>
      </c>
      <c r="M947" t="s">
        <v>4833</v>
      </c>
      <c r="N947" t="s">
        <v>850</v>
      </c>
      <c r="O947" t="s">
        <v>40</v>
      </c>
      <c r="P947" t="s">
        <v>4834</v>
      </c>
      <c r="Q947" t="s">
        <v>129</v>
      </c>
      <c r="R947" t="s">
        <v>483</v>
      </c>
      <c r="S947">
        <v>0.2</v>
      </c>
      <c r="T947">
        <v>3794</v>
      </c>
      <c r="U947">
        <v>0</v>
      </c>
      <c r="V947">
        <v>3794</v>
      </c>
    </row>
    <row r="948" spans="1:22" x14ac:dyDescent="0.25">
      <c r="A948">
        <v>152577</v>
      </c>
      <c r="B948">
        <v>131902490</v>
      </c>
      <c r="C948" t="s">
        <v>4838</v>
      </c>
      <c r="D948" t="s">
        <v>4839</v>
      </c>
      <c r="E948" t="s">
        <v>4478</v>
      </c>
      <c r="F948" t="s">
        <v>847</v>
      </c>
      <c r="G948" t="s">
        <v>142</v>
      </c>
      <c r="H948" t="s">
        <v>143</v>
      </c>
      <c r="I948" t="s">
        <v>35</v>
      </c>
      <c r="J948" t="s">
        <v>144</v>
      </c>
      <c r="K948" t="s">
        <v>2</v>
      </c>
      <c r="L948" t="s">
        <v>4598</v>
      </c>
      <c r="M948" t="s">
        <v>4599</v>
      </c>
      <c r="N948" t="s">
        <v>850</v>
      </c>
      <c r="O948" t="s">
        <v>40</v>
      </c>
      <c r="P948" t="s">
        <v>4840</v>
      </c>
      <c r="Q948" t="s">
        <v>86</v>
      </c>
      <c r="R948" t="s">
        <v>280</v>
      </c>
      <c r="S948">
        <v>0.9</v>
      </c>
      <c r="T948">
        <v>3366</v>
      </c>
      <c r="U948">
        <v>0</v>
      </c>
      <c r="V948">
        <v>3366</v>
      </c>
    </row>
    <row r="949" spans="1:22" x14ac:dyDescent="0.25">
      <c r="A949">
        <v>152577</v>
      </c>
      <c r="B949">
        <v>132072286</v>
      </c>
      <c r="C949" t="s">
        <v>4841</v>
      </c>
      <c r="D949" t="s">
        <v>4842</v>
      </c>
      <c r="E949" t="s">
        <v>4478</v>
      </c>
      <c r="F949" t="s">
        <v>847</v>
      </c>
      <c r="G949" t="s">
        <v>142</v>
      </c>
      <c r="H949" t="s">
        <v>143</v>
      </c>
      <c r="I949" t="s">
        <v>35</v>
      </c>
      <c r="J949" t="s">
        <v>144</v>
      </c>
      <c r="K949" t="s">
        <v>2</v>
      </c>
      <c r="L949" t="s">
        <v>4843</v>
      </c>
      <c r="M949" t="s">
        <v>4844</v>
      </c>
      <c r="N949" t="s">
        <v>850</v>
      </c>
      <c r="O949" t="s">
        <v>40</v>
      </c>
      <c r="P949" t="s">
        <v>4845</v>
      </c>
      <c r="Q949" t="s">
        <v>63</v>
      </c>
      <c r="R949" t="s">
        <v>353</v>
      </c>
      <c r="S949">
        <v>0.85</v>
      </c>
      <c r="T949">
        <v>4067</v>
      </c>
      <c r="U949">
        <v>0</v>
      </c>
      <c r="V949">
        <v>4067</v>
      </c>
    </row>
    <row r="950" spans="1:22" x14ac:dyDescent="0.25">
      <c r="A950">
        <v>152577</v>
      </c>
      <c r="B950">
        <v>131838964</v>
      </c>
      <c r="C950" t="s">
        <v>4846</v>
      </c>
      <c r="D950" t="s">
        <v>4847</v>
      </c>
      <c r="E950" t="s">
        <v>4478</v>
      </c>
      <c r="F950" t="s">
        <v>847</v>
      </c>
      <c r="G950" t="s">
        <v>142</v>
      </c>
      <c r="H950" t="s">
        <v>143</v>
      </c>
      <c r="I950" t="s">
        <v>35</v>
      </c>
      <c r="J950" t="s">
        <v>144</v>
      </c>
      <c r="K950" t="s">
        <v>2</v>
      </c>
      <c r="L950" t="s">
        <v>4848</v>
      </c>
      <c r="M950" t="s">
        <v>4849</v>
      </c>
      <c r="N950" t="s">
        <v>850</v>
      </c>
      <c r="O950" t="s">
        <v>40</v>
      </c>
      <c r="P950" t="s">
        <v>4850</v>
      </c>
      <c r="Q950" t="s">
        <v>82</v>
      </c>
      <c r="R950" t="s">
        <v>268</v>
      </c>
      <c r="S950">
        <v>1.53</v>
      </c>
      <c r="T950">
        <v>4067</v>
      </c>
      <c r="U950">
        <v>0</v>
      </c>
      <c r="V950">
        <v>4067</v>
      </c>
    </row>
    <row r="951" spans="1:22" x14ac:dyDescent="0.25">
      <c r="A951">
        <v>152577</v>
      </c>
      <c r="B951">
        <v>131838968</v>
      </c>
      <c r="C951" t="s">
        <v>4851</v>
      </c>
      <c r="D951" t="s">
        <v>4852</v>
      </c>
      <c r="E951" t="s">
        <v>4478</v>
      </c>
      <c r="F951" t="s">
        <v>847</v>
      </c>
      <c r="G951" t="s">
        <v>142</v>
      </c>
      <c r="H951" t="s">
        <v>143</v>
      </c>
      <c r="I951" t="s">
        <v>35</v>
      </c>
      <c r="J951" t="s">
        <v>144</v>
      </c>
      <c r="K951" t="s">
        <v>2</v>
      </c>
      <c r="L951" t="s">
        <v>4853</v>
      </c>
      <c r="M951" t="s">
        <v>187</v>
      </c>
      <c r="N951" t="s">
        <v>850</v>
      </c>
      <c r="O951" t="s">
        <v>40</v>
      </c>
      <c r="P951" t="s">
        <v>4854</v>
      </c>
      <c r="Q951" t="s">
        <v>76</v>
      </c>
      <c r="R951" t="s">
        <v>268</v>
      </c>
      <c r="S951">
        <v>0.51</v>
      </c>
      <c r="T951">
        <v>4067</v>
      </c>
      <c r="U951">
        <v>0</v>
      </c>
      <c r="V951">
        <v>4067</v>
      </c>
    </row>
    <row r="952" spans="1:22" x14ac:dyDescent="0.25">
      <c r="A952">
        <v>152577</v>
      </c>
      <c r="B952">
        <v>131692452</v>
      </c>
      <c r="C952" t="s">
        <v>4855</v>
      </c>
      <c r="D952" t="s">
        <v>4856</v>
      </c>
      <c r="E952" t="s">
        <v>4478</v>
      </c>
      <c r="F952" t="s">
        <v>847</v>
      </c>
      <c r="G952" t="s">
        <v>142</v>
      </c>
      <c r="H952" t="s">
        <v>143</v>
      </c>
      <c r="I952" t="s">
        <v>35</v>
      </c>
      <c r="J952" t="s">
        <v>144</v>
      </c>
      <c r="K952" t="s">
        <v>2</v>
      </c>
      <c r="L952" t="s">
        <v>4857</v>
      </c>
      <c r="M952" t="s">
        <v>4858</v>
      </c>
      <c r="N952" t="s">
        <v>850</v>
      </c>
      <c r="O952" t="s">
        <v>40</v>
      </c>
      <c r="P952" t="s">
        <v>4859</v>
      </c>
      <c r="Q952" t="s">
        <v>149</v>
      </c>
      <c r="R952" t="s">
        <v>4715</v>
      </c>
      <c r="S952">
        <v>0.61</v>
      </c>
      <c r="T952">
        <v>5759</v>
      </c>
      <c r="U952">
        <v>0</v>
      </c>
      <c r="V952">
        <v>5759</v>
      </c>
    </row>
    <row r="953" spans="1:22" x14ac:dyDescent="0.25">
      <c r="A953">
        <v>152577</v>
      </c>
      <c r="B953">
        <v>131673413</v>
      </c>
      <c r="C953" t="s">
        <v>4860</v>
      </c>
      <c r="D953" t="s">
        <v>4861</v>
      </c>
      <c r="E953" t="s">
        <v>4478</v>
      </c>
      <c r="F953" t="s">
        <v>847</v>
      </c>
      <c r="G953" t="s">
        <v>142</v>
      </c>
      <c r="H953" t="s">
        <v>143</v>
      </c>
      <c r="I953" t="s">
        <v>35</v>
      </c>
      <c r="J953" t="s">
        <v>144</v>
      </c>
      <c r="K953" t="s">
        <v>2</v>
      </c>
      <c r="L953" t="s">
        <v>4862</v>
      </c>
      <c r="M953" t="s">
        <v>4863</v>
      </c>
      <c r="N953" t="s">
        <v>850</v>
      </c>
      <c r="O953" t="s">
        <v>40</v>
      </c>
      <c r="P953" t="s">
        <v>4864</v>
      </c>
      <c r="Q953" t="s">
        <v>107</v>
      </c>
      <c r="R953" t="s">
        <v>325</v>
      </c>
      <c r="S953">
        <v>0.44</v>
      </c>
      <c r="T953">
        <v>4067</v>
      </c>
      <c r="U953">
        <v>0</v>
      </c>
      <c r="V953">
        <v>4067</v>
      </c>
    </row>
    <row r="954" spans="1:22" x14ac:dyDescent="0.25">
      <c r="A954">
        <v>152577</v>
      </c>
      <c r="B954">
        <v>131742312</v>
      </c>
      <c r="C954" t="s">
        <v>4865</v>
      </c>
      <c r="D954" t="s">
        <v>4866</v>
      </c>
      <c r="E954" t="s">
        <v>4478</v>
      </c>
      <c r="F954" t="s">
        <v>847</v>
      </c>
      <c r="G954" t="s">
        <v>142</v>
      </c>
      <c r="H954" t="s">
        <v>143</v>
      </c>
      <c r="I954" t="s">
        <v>35</v>
      </c>
      <c r="J954" t="s">
        <v>144</v>
      </c>
      <c r="K954" t="s">
        <v>2</v>
      </c>
      <c r="L954" t="s">
        <v>4867</v>
      </c>
      <c r="M954" t="s">
        <v>4868</v>
      </c>
      <c r="N954" t="s">
        <v>850</v>
      </c>
      <c r="O954" t="s">
        <v>40</v>
      </c>
      <c r="P954" t="s">
        <v>4869</v>
      </c>
      <c r="Q954" t="s">
        <v>111</v>
      </c>
      <c r="R954" t="s">
        <v>474</v>
      </c>
      <c r="S954">
        <v>1.32</v>
      </c>
      <c r="T954">
        <v>4346</v>
      </c>
      <c r="U954">
        <v>0</v>
      </c>
      <c r="V954">
        <v>4346</v>
      </c>
    </row>
    <row r="955" spans="1:22" x14ac:dyDescent="0.25">
      <c r="A955">
        <v>152577</v>
      </c>
      <c r="B955">
        <v>131502747</v>
      </c>
      <c r="C955" t="s">
        <v>4870</v>
      </c>
      <c r="D955" t="s">
        <v>4871</v>
      </c>
      <c r="E955" t="s">
        <v>4478</v>
      </c>
      <c r="F955" t="s">
        <v>847</v>
      </c>
      <c r="G955" t="s">
        <v>142</v>
      </c>
      <c r="H955" t="s">
        <v>143</v>
      </c>
      <c r="I955" t="s">
        <v>35</v>
      </c>
      <c r="J955" t="s">
        <v>144</v>
      </c>
      <c r="K955" t="s">
        <v>2</v>
      </c>
      <c r="L955" t="s">
        <v>4872</v>
      </c>
      <c r="M955" t="s">
        <v>4873</v>
      </c>
      <c r="N955" t="s">
        <v>850</v>
      </c>
      <c r="O955" t="s">
        <v>40</v>
      </c>
      <c r="P955" t="s">
        <v>4874</v>
      </c>
      <c r="Q955" t="s">
        <v>149</v>
      </c>
      <c r="R955" t="s">
        <v>557</v>
      </c>
      <c r="S955">
        <v>1.35</v>
      </c>
      <c r="T955">
        <v>5759</v>
      </c>
      <c r="U955">
        <v>0</v>
      </c>
      <c r="V955">
        <v>5759</v>
      </c>
    </row>
    <row r="956" spans="1:22" x14ac:dyDescent="0.25">
      <c r="A956">
        <v>152577</v>
      </c>
      <c r="B956">
        <v>131166798</v>
      </c>
      <c r="C956" t="s">
        <v>4875</v>
      </c>
      <c r="D956" t="s">
        <v>4876</v>
      </c>
      <c r="E956" t="s">
        <v>4478</v>
      </c>
      <c r="F956" t="s">
        <v>847</v>
      </c>
      <c r="G956" t="s">
        <v>142</v>
      </c>
      <c r="H956" t="s">
        <v>143</v>
      </c>
      <c r="I956" t="s">
        <v>35</v>
      </c>
      <c r="J956" t="s">
        <v>144</v>
      </c>
      <c r="K956" t="s">
        <v>2</v>
      </c>
      <c r="L956" t="s">
        <v>4877</v>
      </c>
      <c r="M956" t="s">
        <v>4878</v>
      </c>
      <c r="N956" t="s">
        <v>850</v>
      </c>
      <c r="O956" t="s">
        <v>40</v>
      </c>
      <c r="P956" t="s">
        <v>4879</v>
      </c>
      <c r="Q956" t="s">
        <v>107</v>
      </c>
      <c r="R956" t="s">
        <v>4880</v>
      </c>
      <c r="S956">
        <v>0.57999999999999996</v>
      </c>
      <c r="T956">
        <v>7212</v>
      </c>
      <c r="U956">
        <v>0</v>
      </c>
      <c r="V956">
        <v>7212</v>
      </c>
    </row>
    <row r="957" spans="1:22" x14ac:dyDescent="0.25">
      <c r="A957">
        <v>152577</v>
      </c>
      <c r="B957">
        <v>131166796</v>
      </c>
      <c r="C957" t="s">
        <v>4881</v>
      </c>
      <c r="D957" t="s">
        <v>4882</v>
      </c>
      <c r="E957" t="s">
        <v>4478</v>
      </c>
      <c r="F957" t="s">
        <v>847</v>
      </c>
      <c r="G957" t="s">
        <v>142</v>
      </c>
      <c r="H957" t="s">
        <v>143</v>
      </c>
      <c r="I957" t="s">
        <v>35</v>
      </c>
      <c r="J957" t="s">
        <v>144</v>
      </c>
      <c r="K957" t="s">
        <v>2</v>
      </c>
      <c r="L957" t="s">
        <v>4883</v>
      </c>
      <c r="M957" t="s">
        <v>171</v>
      </c>
      <c r="N957" t="s">
        <v>850</v>
      </c>
      <c r="O957" t="s">
        <v>40</v>
      </c>
      <c r="P957" t="s">
        <v>4884</v>
      </c>
      <c r="Q957" t="s">
        <v>107</v>
      </c>
      <c r="R957" t="s">
        <v>403</v>
      </c>
      <c r="S957">
        <v>0.45</v>
      </c>
      <c r="T957">
        <v>7212</v>
      </c>
      <c r="U957">
        <v>0</v>
      </c>
      <c r="V957">
        <v>7212</v>
      </c>
    </row>
    <row r="958" spans="1:22" x14ac:dyDescent="0.25">
      <c r="A958">
        <v>152577</v>
      </c>
      <c r="B958">
        <v>132164285</v>
      </c>
      <c r="C958" t="s">
        <v>4885</v>
      </c>
      <c r="D958" t="s">
        <v>4886</v>
      </c>
      <c r="E958" t="s">
        <v>4478</v>
      </c>
      <c r="F958" t="s">
        <v>847</v>
      </c>
      <c r="G958" t="s">
        <v>162</v>
      </c>
      <c r="H958" t="s">
        <v>163</v>
      </c>
      <c r="I958" t="s">
        <v>35</v>
      </c>
      <c r="J958" t="s">
        <v>164</v>
      </c>
      <c r="K958" t="s">
        <v>2</v>
      </c>
      <c r="L958" t="s">
        <v>4887</v>
      </c>
      <c r="M958" t="s">
        <v>4888</v>
      </c>
      <c r="N958" t="s">
        <v>850</v>
      </c>
      <c r="O958" t="s">
        <v>40</v>
      </c>
      <c r="P958" t="s">
        <v>4889</v>
      </c>
      <c r="Q958" t="s">
        <v>134</v>
      </c>
      <c r="R958" t="s">
        <v>815</v>
      </c>
      <c r="S958">
        <v>2.66</v>
      </c>
      <c r="T958">
        <v>3269</v>
      </c>
      <c r="U958">
        <v>1164.8</v>
      </c>
      <c r="V958">
        <v>4433.8</v>
      </c>
    </row>
    <row r="959" spans="1:22" x14ac:dyDescent="0.25">
      <c r="A959">
        <v>152577</v>
      </c>
      <c r="B959">
        <v>132197133</v>
      </c>
      <c r="C959" t="s">
        <v>4890</v>
      </c>
      <c r="D959" t="s">
        <v>4891</v>
      </c>
      <c r="E959" t="s">
        <v>4478</v>
      </c>
      <c r="F959" t="s">
        <v>847</v>
      </c>
      <c r="G959" t="s">
        <v>162</v>
      </c>
      <c r="H959" t="s">
        <v>163</v>
      </c>
      <c r="I959" t="s">
        <v>35</v>
      </c>
      <c r="J959" t="s">
        <v>164</v>
      </c>
      <c r="K959" t="s">
        <v>2</v>
      </c>
      <c r="L959" t="s">
        <v>4892</v>
      </c>
      <c r="M959" t="s">
        <v>4893</v>
      </c>
      <c r="N959" t="s">
        <v>850</v>
      </c>
      <c r="O959" t="s">
        <v>40</v>
      </c>
      <c r="P959" t="s">
        <v>4894</v>
      </c>
      <c r="Q959" t="s">
        <v>235</v>
      </c>
      <c r="R959" t="s">
        <v>538</v>
      </c>
      <c r="S959">
        <v>0.56000000000000005</v>
      </c>
      <c r="T959">
        <v>5031</v>
      </c>
      <c r="U959">
        <v>314.95</v>
      </c>
      <c r="V959">
        <v>5345.95</v>
      </c>
    </row>
    <row r="960" spans="1:22" x14ac:dyDescent="0.25">
      <c r="A960">
        <v>152577</v>
      </c>
      <c r="B960">
        <v>132164252</v>
      </c>
      <c r="C960" t="s">
        <v>4895</v>
      </c>
      <c r="D960" t="s">
        <v>4896</v>
      </c>
      <c r="E960" t="s">
        <v>4478</v>
      </c>
      <c r="F960" t="s">
        <v>847</v>
      </c>
      <c r="G960" t="s">
        <v>162</v>
      </c>
      <c r="H960" t="s">
        <v>163</v>
      </c>
      <c r="I960" t="s">
        <v>35</v>
      </c>
      <c r="J960" t="s">
        <v>164</v>
      </c>
      <c r="K960" t="s">
        <v>2</v>
      </c>
      <c r="L960" t="s">
        <v>4897</v>
      </c>
      <c r="M960" t="s">
        <v>4898</v>
      </c>
      <c r="N960" t="s">
        <v>850</v>
      </c>
      <c r="O960" t="s">
        <v>40</v>
      </c>
      <c r="P960" t="s">
        <v>4899</v>
      </c>
      <c r="Q960" t="s">
        <v>227</v>
      </c>
      <c r="R960" t="s">
        <v>772</v>
      </c>
      <c r="S960">
        <v>1.01</v>
      </c>
      <c r="T960">
        <v>6076</v>
      </c>
      <c r="U960">
        <v>619.9</v>
      </c>
      <c r="V960">
        <v>6695.9</v>
      </c>
    </row>
    <row r="961" spans="1:22" x14ac:dyDescent="0.25">
      <c r="A961">
        <v>152577</v>
      </c>
      <c r="B961">
        <v>131679356</v>
      </c>
      <c r="C961" t="s">
        <v>4900</v>
      </c>
      <c r="D961" t="s">
        <v>4901</v>
      </c>
      <c r="E961" t="s">
        <v>4478</v>
      </c>
      <c r="F961" t="s">
        <v>847</v>
      </c>
      <c r="G961" t="s">
        <v>162</v>
      </c>
      <c r="H961" t="s">
        <v>163</v>
      </c>
      <c r="I961" t="s">
        <v>35</v>
      </c>
      <c r="J961" t="s">
        <v>164</v>
      </c>
      <c r="K961" t="s">
        <v>2</v>
      </c>
      <c r="L961" t="s">
        <v>4902</v>
      </c>
      <c r="M961" t="s">
        <v>4903</v>
      </c>
      <c r="N961" t="s">
        <v>850</v>
      </c>
      <c r="O961" t="s">
        <v>40</v>
      </c>
      <c r="P961" t="s">
        <v>4904</v>
      </c>
      <c r="Q961" t="s">
        <v>235</v>
      </c>
      <c r="R961" t="s">
        <v>681</v>
      </c>
      <c r="S961">
        <v>0.38</v>
      </c>
      <c r="T961">
        <v>5031</v>
      </c>
      <c r="U961">
        <v>199.95</v>
      </c>
      <c r="V961">
        <v>5230.95</v>
      </c>
    </row>
    <row r="962" spans="1:22" x14ac:dyDescent="0.25">
      <c r="A962">
        <v>152577</v>
      </c>
      <c r="B962">
        <v>131647525</v>
      </c>
      <c r="C962" t="s">
        <v>4905</v>
      </c>
      <c r="D962" t="s">
        <v>4906</v>
      </c>
      <c r="E962" t="s">
        <v>4478</v>
      </c>
      <c r="F962" t="s">
        <v>847</v>
      </c>
      <c r="G962" t="s">
        <v>162</v>
      </c>
      <c r="H962" t="s">
        <v>163</v>
      </c>
      <c r="I962" t="s">
        <v>35</v>
      </c>
      <c r="J962" t="s">
        <v>164</v>
      </c>
      <c r="K962" t="s">
        <v>2</v>
      </c>
      <c r="L962" t="s">
        <v>4907</v>
      </c>
      <c r="M962" t="s">
        <v>4908</v>
      </c>
      <c r="N962" t="s">
        <v>850</v>
      </c>
      <c r="O962" t="s">
        <v>40</v>
      </c>
      <c r="P962" t="s">
        <v>4909</v>
      </c>
      <c r="Q962" t="s">
        <v>225</v>
      </c>
      <c r="R962" t="s">
        <v>476</v>
      </c>
      <c r="S962">
        <v>0.81</v>
      </c>
      <c r="T962">
        <v>5032</v>
      </c>
      <c r="U962">
        <v>299.95</v>
      </c>
      <c r="V962">
        <v>5331.95</v>
      </c>
    </row>
    <row r="963" spans="1:22" x14ac:dyDescent="0.25">
      <c r="A963">
        <v>152577</v>
      </c>
      <c r="B963">
        <v>131838978</v>
      </c>
      <c r="C963" t="s">
        <v>4910</v>
      </c>
      <c r="D963" t="s">
        <v>4911</v>
      </c>
      <c r="E963" t="s">
        <v>4478</v>
      </c>
      <c r="F963" t="s">
        <v>847</v>
      </c>
      <c r="G963" t="s">
        <v>156</v>
      </c>
      <c r="H963" t="s">
        <v>157</v>
      </c>
      <c r="I963" t="s">
        <v>35</v>
      </c>
      <c r="J963" t="s">
        <v>166</v>
      </c>
      <c r="K963" t="s">
        <v>2</v>
      </c>
      <c r="L963" t="s">
        <v>158</v>
      </c>
      <c r="M963" t="s">
        <v>4912</v>
      </c>
      <c r="N963" t="s">
        <v>850</v>
      </c>
      <c r="O963" t="s">
        <v>40</v>
      </c>
      <c r="P963" t="s">
        <v>4913</v>
      </c>
      <c r="Q963" t="s">
        <v>84</v>
      </c>
      <c r="R963" t="s">
        <v>268</v>
      </c>
      <c r="S963">
        <v>1.51</v>
      </c>
      <c r="T963">
        <v>4168</v>
      </c>
      <c r="U963">
        <v>0</v>
      </c>
      <c r="V963">
        <v>4168</v>
      </c>
    </row>
    <row r="964" spans="1:22" x14ac:dyDescent="0.25">
      <c r="A964">
        <v>152577</v>
      </c>
      <c r="B964">
        <v>131922395</v>
      </c>
      <c r="C964" t="s">
        <v>4914</v>
      </c>
      <c r="D964" t="s">
        <v>4915</v>
      </c>
      <c r="E964" t="s">
        <v>4478</v>
      </c>
      <c r="F964" t="s">
        <v>847</v>
      </c>
      <c r="G964" t="s">
        <v>156</v>
      </c>
      <c r="H964" t="s">
        <v>157</v>
      </c>
      <c r="I964" t="s">
        <v>35</v>
      </c>
      <c r="J964" t="s">
        <v>166</v>
      </c>
      <c r="K964" t="s">
        <v>2</v>
      </c>
      <c r="L964" t="s">
        <v>158</v>
      </c>
      <c r="M964" t="s">
        <v>4916</v>
      </c>
      <c r="N964" t="s">
        <v>850</v>
      </c>
      <c r="O964" t="s">
        <v>40</v>
      </c>
      <c r="P964" t="s">
        <v>4917</v>
      </c>
      <c r="Q964" t="s">
        <v>240</v>
      </c>
      <c r="R964" t="s">
        <v>698</v>
      </c>
      <c r="S964">
        <v>1.8</v>
      </c>
      <c r="T964">
        <v>8940</v>
      </c>
      <c r="U964">
        <v>0</v>
      </c>
      <c r="V964">
        <v>8940</v>
      </c>
    </row>
    <row r="965" spans="1:22" x14ac:dyDescent="0.25">
      <c r="A965">
        <v>152577</v>
      </c>
      <c r="B965">
        <v>131965102</v>
      </c>
      <c r="C965" t="s">
        <v>4918</v>
      </c>
      <c r="D965" t="s">
        <v>4919</v>
      </c>
      <c r="E965" t="s">
        <v>4478</v>
      </c>
      <c r="F965" t="s">
        <v>847</v>
      </c>
      <c r="G965" t="s">
        <v>156</v>
      </c>
      <c r="H965" t="s">
        <v>157</v>
      </c>
      <c r="I965" t="s">
        <v>35</v>
      </c>
      <c r="J965" t="s">
        <v>166</v>
      </c>
      <c r="K965" t="s">
        <v>2</v>
      </c>
      <c r="L965" t="s">
        <v>158</v>
      </c>
      <c r="M965" t="s">
        <v>4920</v>
      </c>
      <c r="N965" t="s">
        <v>850</v>
      </c>
      <c r="O965" t="s">
        <v>40</v>
      </c>
      <c r="P965" t="s">
        <v>4921</v>
      </c>
      <c r="Q965" t="s">
        <v>199</v>
      </c>
      <c r="R965" t="s">
        <v>287</v>
      </c>
      <c r="S965">
        <v>2.27</v>
      </c>
      <c r="T965">
        <v>7326</v>
      </c>
      <c r="U965">
        <v>0</v>
      </c>
      <c r="V965">
        <v>7326</v>
      </c>
    </row>
    <row r="966" spans="1:22" x14ac:dyDescent="0.25">
      <c r="A966">
        <v>152577</v>
      </c>
      <c r="B966">
        <v>131706306</v>
      </c>
      <c r="C966" t="s">
        <v>4922</v>
      </c>
      <c r="D966" t="s">
        <v>4923</v>
      </c>
      <c r="E966" t="s">
        <v>4478</v>
      </c>
      <c r="F966" t="s">
        <v>847</v>
      </c>
      <c r="G966" t="s">
        <v>156</v>
      </c>
      <c r="H966" t="s">
        <v>157</v>
      </c>
      <c r="I966" t="s">
        <v>35</v>
      </c>
      <c r="J966" t="s">
        <v>166</v>
      </c>
      <c r="K966" t="s">
        <v>2</v>
      </c>
      <c r="L966" t="s">
        <v>158</v>
      </c>
      <c r="M966" t="s">
        <v>4924</v>
      </c>
      <c r="N966" t="s">
        <v>850</v>
      </c>
      <c r="O966" t="s">
        <v>40</v>
      </c>
      <c r="P966" t="s">
        <v>4925</v>
      </c>
      <c r="Q966" t="s">
        <v>147</v>
      </c>
      <c r="R966" t="s">
        <v>4926</v>
      </c>
      <c r="S966">
        <v>0.99</v>
      </c>
      <c r="T966">
        <v>3915</v>
      </c>
      <c r="U966">
        <v>0</v>
      </c>
      <c r="V966">
        <v>3915</v>
      </c>
    </row>
    <row r="967" spans="1:22" x14ac:dyDescent="0.25">
      <c r="A967">
        <v>152577</v>
      </c>
      <c r="B967">
        <v>131646283</v>
      </c>
      <c r="C967" t="s">
        <v>4927</v>
      </c>
      <c r="D967" t="s">
        <v>4928</v>
      </c>
      <c r="E967" t="s">
        <v>4478</v>
      </c>
      <c r="F967" t="s">
        <v>847</v>
      </c>
      <c r="G967" t="s">
        <v>156</v>
      </c>
      <c r="H967" t="s">
        <v>157</v>
      </c>
      <c r="I967" t="s">
        <v>35</v>
      </c>
      <c r="J967" t="s">
        <v>166</v>
      </c>
      <c r="K967" t="s">
        <v>2</v>
      </c>
      <c r="L967" t="s">
        <v>158</v>
      </c>
      <c r="M967" t="s">
        <v>4920</v>
      </c>
      <c r="N967" t="s">
        <v>850</v>
      </c>
      <c r="O967" t="s">
        <v>40</v>
      </c>
      <c r="P967" t="s">
        <v>4921</v>
      </c>
      <c r="Q967" t="s">
        <v>199</v>
      </c>
      <c r="R967" t="s">
        <v>271</v>
      </c>
      <c r="S967">
        <v>3.5</v>
      </c>
      <c r="T967">
        <v>7449</v>
      </c>
      <c r="U967">
        <v>0</v>
      </c>
      <c r="V967">
        <v>7449</v>
      </c>
    </row>
    <row r="968" spans="1:22" x14ac:dyDescent="0.25">
      <c r="A968">
        <v>152577</v>
      </c>
      <c r="B968">
        <v>131717526</v>
      </c>
      <c r="C968" t="s">
        <v>4929</v>
      </c>
      <c r="D968" t="s">
        <v>4930</v>
      </c>
      <c r="E968" t="s">
        <v>4478</v>
      </c>
      <c r="F968" t="s">
        <v>847</v>
      </c>
      <c r="G968" t="s">
        <v>156</v>
      </c>
      <c r="H968" t="s">
        <v>157</v>
      </c>
      <c r="I968" t="s">
        <v>35</v>
      </c>
      <c r="J968" t="s">
        <v>166</v>
      </c>
      <c r="K968" t="s">
        <v>2</v>
      </c>
      <c r="L968" t="s">
        <v>158</v>
      </c>
      <c r="M968" t="s">
        <v>4931</v>
      </c>
      <c r="N968" t="s">
        <v>850</v>
      </c>
      <c r="O968" t="s">
        <v>40</v>
      </c>
      <c r="P968" t="s">
        <v>4932</v>
      </c>
      <c r="Q968" t="s">
        <v>84</v>
      </c>
      <c r="R968" t="s">
        <v>631</v>
      </c>
      <c r="S968">
        <v>0.79</v>
      </c>
      <c r="T968">
        <v>3915</v>
      </c>
      <c r="U968">
        <v>0</v>
      </c>
      <c r="V968">
        <v>3915</v>
      </c>
    </row>
    <row r="969" spans="1:22" x14ac:dyDescent="0.25">
      <c r="A969">
        <v>152577</v>
      </c>
      <c r="B969">
        <v>131571501</v>
      </c>
      <c r="C969" t="s">
        <v>4933</v>
      </c>
      <c r="D969" t="s">
        <v>4934</v>
      </c>
      <c r="E969" t="s">
        <v>4478</v>
      </c>
      <c r="F969" t="s">
        <v>847</v>
      </c>
      <c r="G969" t="s">
        <v>156</v>
      </c>
      <c r="H969" t="s">
        <v>157</v>
      </c>
      <c r="I969" t="s">
        <v>35</v>
      </c>
      <c r="J969" t="s">
        <v>166</v>
      </c>
      <c r="K969" t="s">
        <v>2</v>
      </c>
      <c r="L969" t="s">
        <v>158</v>
      </c>
      <c r="M969" t="s">
        <v>4935</v>
      </c>
      <c r="N969" t="s">
        <v>850</v>
      </c>
      <c r="O969" t="s">
        <v>40</v>
      </c>
      <c r="P969" t="s">
        <v>4936</v>
      </c>
      <c r="Q969" t="s">
        <v>147</v>
      </c>
      <c r="R969" t="s">
        <v>755</v>
      </c>
      <c r="S969">
        <v>2.4300000000000002</v>
      </c>
      <c r="T969">
        <v>4168</v>
      </c>
      <c r="U969">
        <v>0</v>
      </c>
      <c r="V969">
        <v>4168</v>
      </c>
    </row>
    <row r="970" spans="1:22" x14ac:dyDescent="0.25">
      <c r="A970">
        <v>152577</v>
      </c>
      <c r="B970">
        <v>131569870</v>
      </c>
      <c r="C970" t="s">
        <v>4937</v>
      </c>
      <c r="D970" t="s">
        <v>4938</v>
      </c>
      <c r="E970" t="s">
        <v>4478</v>
      </c>
      <c r="F970" t="s">
        <v>847</v>
      </c>
      <c r="G970" t="s">
        <v>156</v>
      </c>
      <c r="H970" t="s">
        <v>157</v>
      </c>
      <c r="I970" t="s">
        <v>35</v>
      </c>
      <c r="J970" t="s">
        <v>166</v>
      </c>
      <c r="K970" t="s">
        <v>2</v>
      </c>
      <c r="L970" t="s">
        <v>158</v>
      </c>
      <c r="M970" t="s">
        <v>333</v>
      </c>
      <c r="N970" t="s">
        <v>850</v>
      </c>
      <c r="O970" t="s">
        <v>40</v>
      </c>
      <c r="P970" t="s">
        <v>4939</v>
      </c>
      <c r="Q970" t="s">
        <v>255</v>
      </c>
      <c r="R970" t="s">
        <v>281</v>
      </c>
      <c r="S970">
        <v>1.42</v>
      </c>
      <c r="T970">
        <v>5992</v>
      </c>
      <c r="U970">
        <v>0</v>
      </c>
      <c r="V970">
        <v>5992</v>
      </c>
    </row>
    <row r="971" spans="1:22" x14ac:dyDescent="0.25">
      <c r="A971">
        <v>152577</v>
      </c>
      <c r="B971">
        <v>131460020</v>
      </c>
      <c r="C971" t="s">
        <v>4940</v>
      </c>
      <c r="D971" t="s">
        <v>4941</v>
      </c>
      <c r="E971" t="s">
        <v>4478</v>
      </c>
      <c r="F971" t="s">
        <v>847</v>
      </c>
      <c r="G971" t="s">
        <v>156</v>
      </c>
      <c r="H971" t="s">
        <v>157</v>
      </c>
      <c r="I971" t="s">
        <v>35</v>
      </c>
      <c r="J971" t="s">
        <v>166</v>
      </c>
      <c r="K971" t="s">
        <v>2</v>
      </c>
      <c r="L971" t="s">
        <v>158</v>
      </c>
      <c r="M971" t="s">
        <v>4942</v>
      </c>
      <c r="N971" t="s">
        <v>850</v>
      </c>
      <c r="O971" t="s">
        <v>40</v>
      </c>
      <c r="P971" t="s">
        <v>4943</v>
      </c>
      <c r="Q971" t="s">
        <v>84</v>
      </c>
      <c r="R971" t="s">
        <v>295</v>
      </c>
      <c r="S971">
        <v>1.5</v>
      </c>
      <c r="T971">
        <v>3915</v>
      </c>
      <c r="U971">
        <v>0</v>
      </c>
      <c r="V971">
        <v>3915</v>
      </c>
    </row>
    <row r="972" spans="1:22" x14ac:dyDescent="0.25">
      <c r="A972">
        <v>152577</v>
      </c>
      <c r="B972">
        <v>131268888</v>
      </c>
      <c r="C972" t="s">
        <v>4944</v>
      </c>
      <c r="D972" t="s">
        <v>4945</v>
      </c>
      <c r="E972" t="s">
        <v>4478</v>
      </c>
      <c r="F972" t="s">
        <v>847</v>
      </c>
      <c r="G972" t="s">
        <v>156</v>
      </c>
      <c r="H972" t="s">
        <v>157</v>
      </c>
      <c r="I972" t="s">
        <v>35</v>
      </c>
      <c r="J972" t="s">
        <v>166</v>
      </c>
      <c r="K972" t="s">
        <v>2</v>
      </c>
      <c r="L972" t="s">
        <v>158</v>
      </c>
      <c r="M972" t="s">
        <v>634</v>
      </c>
      <c r="N972" t="s">
        <v>850</v>
      </c>
      <c r="O972" t="s">
        <v>40</v>
      </c>
      <c r="P972" t="s">
        <v>4946</v>
      </c>
      <c r="Q972" t="s">
        <v>84</v>
      </c>
      <c r="R972" t="s">
        <v>307</v>
      </c>
      <c r="S972">
        <v>1.6</v>
      </c>
      <c r="T972">
        <v>4168</v>
      </c>
      <c r="U972">
        <v>0</v>
      </c>
      <c r="V972">
        <v>4168</v>
      </c>
    </row>
    <row r="973" spans="1:22" x14ac:dyDescent="0.25">
      <c r="A973">
        <v>187830</v>
      </c>
      <c r="B973">
        <v>131993093</v>
      </c>
      <c r="C973" t="s">
        <v>4947</v>
      </c>
      <c r="D973" t="s">
        <v>4948</v>
      </c>
      <c r="E973" t="s">
        <v>4949</v>
      </c>
      <c r="F973" t="s">
        <v>847</v>
      </c>
      <c r="G973" t="s">
        <v>142</v>
      </c>
      <c r="H973" t="s">
        <v>143</v>
      </c>
      <c r="I973" t="s">
        <v>35</v>
      </c>
      <c r="J973" t="s">
        <v>144</v>
      </c>
      <c r="K973" t="s">
        <v>2</v>
      </c>
      <c r="L973" t="s">
        <v>4950</v>
      </c>
      <c r="M973" t="s">
        <v>4951</v>
      </c>
      <c r="N973" t="s">
        <v>850</v>
      </c>
      <c r="O973" t="s">
        <v>40</v>
      </c>
      <c r="P973" t="s">
        <v>4952</v>
      </c>
      <c r="Q973" t="s">
        <v>49</v>
      </c>
      <c r="R973" t="s">
        <v>598</v>
      </c>
      <c r="S973">
        <v>1</v>
      </c>
      <c r="T973">
        <v>3366</v>
      </c>
      <c r="U973">
        <v>0</v>
      </c>
      <c r="V973">
        <v>3366</v>
      </c>
    </row>
    <row r="974" spans="1:22" x14ac:dyDescent="0.25">
      <c r="A974">
        <v>187830</v>
      </c>
      <c r="B974">
        <v>131902629</v>
      </c>
      <c r="C974" t="s">
        <v>4953</v>
      </c>
      <c r="D974" t="s">
        <v>4954</v>
      </c>
      <c r="E974" t="s">
        <v>4949</v>
      </c>
      <c r="F974" t="s">
        <v>847</v>
      </c>
      <c r="G974" t="s">
        <v>142</v>
      </c>
      <c r="H974" t="s">
        <v>143</v>
      </c>
      <c r="I974" t="s">
        <v>35</v>
      </c>
      <c r="J974" t="s">
        <v>144</v>
      </c>
      <c r="K974" t="s">
        <v>2</v>
      </c>
      <c r="L974" t="s">
        <v>4955</v>
      </c>
      <c r="M974" t="s">
        <v>4956</v>
      </c>
      <c r="N974" t="s">
        <v>850</v>
      </c>
      <c r="O974" t="s">
        <v>40</v>
      </c>
      <c r="P974" t="s">
        <v>4957</v>
      </c>
      <c r="Q974" t="s">
        <v>154</v>
      </c>
      <c r="R974" t="s">
        <v>713</v>
      </c>
      <c r="S974">
        <v>1</v>
      </c>
      <c r="T974">
        <v>3784</v>
      </c>
      <c r="U974">
        <v>0</v>
      </c>
      <c r="V974">
        <v>3784</v>
      </c>
    </row>
    <row r="975" spans="1:22" x14ac:dyDescent="0.25">
      <c r="A975">
        <v>187830</v>
      </c>
      <c r="B975">
        <v>131460619</v>
      </c>
      <c r="C975" t="s">
        <v>4958</v>
      </c>
      <c r="D975" t="s">
        <v>4959</v>
      </c>
      <c r="E975" t="s">
        <v>4949</v>
      </c>
      <c r="F975" t="s">
        <v>847</v>
      </c>
      <c r="G975" t="s">
        <v>142</v>
      </c>
      <c r="H975" t="s">
        <v>143</v>
      </c>
      <c r="I975" t="s">
        <v>35</v>
      </c>
      <c r="J975" t="s">
        <v>144</v>
      </c>
      <c r="K975" t="s">
        <v>2</v>
      </c>
      <c r="L975" t="s">
        <v>4960</v>
      </c>
      <c r="M975" t="s">
        <v>4961</v>
      </c>
      <c r="N975" t="s">
        <v>850</v>
      </c>
      <c r="O975" t="s">
        <v>40</v>
      </c>
      <c r="P975" t="s">
        <v>4962</v>
      </c>
      <c r="Q975" t="s">
        <v>149</v>
      </c>
      <c r="R975" t="s">
        <v>311</v>
      </c>
      <c r="S975">
        <v>1</v>
      </c>
      <c r="T975">
        <v>5759</v>
      </c>
      <c r="U975">
        <v>0</v>
      </c>
      <c r="V975">
        <v>5759</v>
      </c>
    </row>
    <row r="976" spans="1:22" x14ac:dyDescent="0.25">
      <c r="A976">
        <v>187830</v>
      </c>
      <c r="B976">
        <v>132050330</v>
      </c>
      <c r="C976" t="s">
        <v>4963</v>
      </c>
      <c r="D976">
        <v>18841722</v>
      </c>
      <c r="E976" t="s">
        <v>4949</v>
      </c>
      <c r="F976" t="s">
        <v>847</v>
      </c>
      <c r="G976" t="s">
        <v>504</v>
      </c>
      <c r="H976" t="s">
        <v>505</v>
      </c>
      <c r="I976" t="s">
        <v>35</v>
      </c>
      <c r="J976" t="s">
        <v>320</v>
      </c>
      <c r="K976" t="s">
        <v>2</v>
      </c>
      <c r="L976" t="s">
        <v>103</v>
      </c>
      <c r="M976" t="s">
        <v>4964</v>
      </c>
      <c r="N976" t="s">
        <v>850</v>
      </c>
      <c r="O976" t="s">
        <v>40</v>
      </c>
      <c r="P976" t="s">
        <v>4965</v>
      </c>
      <c r="Q976" t="s">
        <v>37</v>
      </c>
      <c r="R976" t="s">
        <v>321</v>
      </c>
      <c r="S976">
        <v>1</v>
      </c>
      <c r="T976">
        <v>2706</v>
      </c>
      <c r="U976">
        <v>0</v>
      </c>
      <c r="V976">
        <v>2706</v>
      </c>
    </row>
    <row r="977" spans="1:22" x14ac:dyDescent="0.25">
      <c r="A977">
        <v>187830</v>
      </c>
      <c r="B977">
        <v>132050334</v>
      </c>
      <c r="C977" t="s">
        <v>4966</v>
      </c>
      <c r="D977">
        <v>18841721</v>
      </c>
      <c r="E977" t="s">
        <v>4949</v>
      </c>
      <c r="F977" t="s">
        <v>847</v>
      </c>
      <c r="G977" t="s">
        <v>504</v>
      </c>
      <c r="H977" t="s">
        <v>505</v>
      </c>
      <c r="I977" t="s">
        <v>35</v>
      </c>
      <c r="J977" t="s">
        <v>320</v>
      </c>
      <c r="K977" t="s">
        <v>2</v>
      </c>
      <c r="L977" t="s">
        <v>103</v>
      </c>
      <c r="M977" t="s">
        <v>4967</v>
      </c>
      <c r="N977" t="s">
        <v>850</v>
      </c>
      <c r="O977" t="s">
        <v>40</v>
      </c>
      <c r="P977" t="s">
        <v>4968</v>
      </c>
      <c r="Q977" t="s">
        <v>41</v>
      </c>
      <c r="R977" t="s">
        <v>321</v>
      </c>
      <c r="S977">
        <v>1</v>
      </c>
      <c r="T977">
        <v>2706</v>
      </c>
      <c r="U977">
        <v>0</v>
      </c>
      <c r="V977">
        <v>2706</v>
      </c>
    </row>
    <row r="978" spans="1:22" x14ac:dyDescent="0.25">
      <c r="A978">
        <v>187830</v>
      </c>
      <c r="B978">
        <v>131970045</v>
      </c>
      <c r="C978" t="s">
        <v>4969</v>
      </c>
      <c r="D978">
        <v>18835076</v>
      </c>
      <c r="E978" t="s">
        <v>4949</v>
      </c>
      <c r="F978" t="s">
        <v>847</v>
      </c>
      <c r="G978" t="s">
        <v>504</v>
      </c>
      <c r="H978" t="s">
        <v>505</v>
      </c>
      <c r="I978" t="s">
        <v>35</v>
      </c>
      <c r="J978" t="s">
        <v>320</v>
      </c>
      <c r="K978" t="s">
        <v>2</v>
      </c>
      <c r="L978" t="s">
        <v>103</v>
      </c>
      <c r="M978" t="s">
        <v>576</v>
      </c>
      <c r="N978" t="s">
        <v>850</v>
      </c>
      <c r="O978" t="s">
        <v>40</v>
      </c>
      <c r="P978" t="s">
        <v>4970</v>
      </c>
      <c r="Q978" t="s">
        <v>37</v>
      </c>
      <c r="R978" t="s">
        <v>740</v>
      </c>
      <c r="S978">
        <v>1</v>
      </c>
      <c r="T978">
        <v>2706</v>
      </c>
      <c r="U978">
        <v>0</v>
      </c>
      <c r="V978">
        <v>2706</v>
      </c>
    </row>
    <row r="979" spans="1:22" x14ac:dyDescent="0.25">
      <c r="A979">
        <v>187830</v>
      </c>
      <c r="B979">
        <v>131935694</v>
      </c>
      <c r="C979" t="s">
        <v>4971</v>
      </c>
      <c r="D979">
        <v>18832369</v>
      </c>
      <c r="E979" t="s">
        <v>4949</v>
      </c>
      <c r="F979" t="s">
        <v>847</v>
      </c>
      <c r="G979" t="s">
        <v>504</v>
      </c>
      <c r="H979" t="s">
        <v>505</v>
      </c>
      <c r="I979" t="s">
        <v>35</v>
      </c>
      <c r="J979" t="s">
        <v>320</v>
      </c>
      <c r="K979" t="s">
        <v>2</v>
      </c>
      <c r="L979" t="s">
        <v>103</v>
      </c>
      <c r="M979" t="s">
        <v>4972</v>
      </c>
      <c r="N979" t="s">
        <v>850</v>
      </c>
      <c r="O979" t="s">
        <v>40</v>
      </c>
      <c r="P979" t="s">
        <v>4973</v>
      </c>
      <c r="Q979" t="s">
        <v>193</v>
      </c>
      <c r="R979" t="s">
        <v>440</v>
      </c>
      <c r="S979">
        <v>1</v>
      </c>
      <c r="T979">
        <v>2706</v>
      </c>
      <c r="U979">
        <v>0</v>
      </c>
      <c r="V979">
        <v>2706</v>
      </c>
    </row>
    <row r="980" spans="1:22" x14ac:dyDescent="0.25">
      <c r="A980">
        <v>187830</v>
      </c>
      <c r="B980">
        <v>131935706</v>
      </c>
      <c r="C980" t="s">
        <v>4974</v>
      </c>
      <c r="D980">
        <v>18832368</v>
      </c>
      <c r="E980" t="s">
        <v>4949</v>
      </c>
      <c r="F980" t="s">
        <v>847</v>
      </c>
      <c r="G980" t="s">
        <v>504</v>
      </c>
      <c r="H980" t="s">
        <v>505</v>
      </c>
      <c r="I980" t="s">
        <v>35</v>
      </c>
      <c r="J980" t="s">
        <v>320</v>
      </c>
      <c r="K980" t="s">
        <v>2</v>
      </c>
      <c r="L980" t="s">
        <v>103</v>
      </c>
      <c r="M980" t="s">
        <v>4975</v>
      </c>
      <c r="N980" t="s">
        <v>850</v>
      </c>
      <c r="O980" t="s">
        <v>40</v>
      </c>
      <c r="P980" t="s">
        <v>4976</v>
      </c>
      <c r="Q980" t="s">
        <v>70</v>
      </c>
      <c r="R980" t="s">
        <v>440</v>
      </c>
      <c r="S980">
        <v>1</v>
      </c>
      <c r="T980">
        <v>2706</v>
      </c>
      <c r="U980">
        <v>0</v>
      </c>
      <c r="V980">
        <v>2706</v>
      </c>
    </row>
    <row r="981" spans="1:22" x14ac:dyDescent="0.25">
      <c r="A981">
        <v>187830</v>
      </c>
      <c r="B981">
        <v>131935702</v>
      </c>
      <c r="C981" t="s">
        <v>4977</v>
      </c>
      <c r="D981">
        <v>18832361</v>
      </c>
      <c r="E981" t="s">
        <v>4949</v>
      </c>
      <c r="F981" t="s">
        <v>847</v>
      </c>
      <c r="G981" t="s">
        <v>504</v>
      </c>
      <c r="H981" t="s">
        <v>505</v>
      </c>
      <c r="I981" t="s">
        <v>35</v>
      </c>
      <c r="J981" t="s">
        <v>320</v>
      </c>
      <c r="K981" t="s">
        <v>2</v>
      </c>
      <c r="L981" t="s">
        <v>103</v>
      </c>
      <c r="M981" t="s">
        <v>4978</v>
      </c>
      <c r="N981" t="s">
        <v>850</v>
      </c>
      <c r="O981" t="s">
        <v>40</v>
      </c>
      <c r="P981" t="s">
        <v>4979</v>
      </c>
      <c r="Q981" t="s">
        <v>37</v>
      </c>
      <c r="R981" t="s">
        <v>440</v>
      </c>
      <c r="S981">
        <v>1</v>
      </c>
      <c r="T981">
        <v>2706</v>
      </c>
      <c r="U981">
        <v>0</v>
      </c>
      <c r="V981">
        <v>2706</v>
      </c>
    </row>
    <row r="982" spans="1:22" x14ac:dyDescent="0.25">
      <c r="A982">
        <v>187830</v>
      </c>
      <c r="B982">
        <v>131935697</v>
      </c>
      <c r="C982" t="s">
        <v>4980</v>
      </c>
      <c r="D982">
        <v>18832357</v>
      </c>
      <c r="E982" t="s">
        <v>4949</v>
      </c>
      <c r="F982" t="s">
        <v>847</v>
      </c>
      <c r="G982" t="s">
        <v>504</v>
      </c>
      <c r="H982" t="s">
        <v>505</v>
      </c>
      <c r="I982" t="s">
        <v>35</v>
      </c>
      <c r="J982" t="s">
        <v>320</v>
      </c>
      <c r="K982" t="s">
        <v>2</v>
      </c>
      <c r="L982" t="s">
        <v>103</v>
      </c>
      <c r="M982" t="s">
        <v>334</v>
      </c>
      <c r="N982" t="s">
        <v>850</v>
      </c>
      <c r="O982" t="s">
        <v>40</v>
      </c>
      <c r="P982" t="s">
        <v>335</v>
      </c>
      <c r="Q982" t="s">
        <v>101</v>
      </c>
      <c r="R982" t="s">
        <v>440</v>
      </c>
      <c r="S982">
        <v>1</v>
      </c>
      <c r="T982">
        <v>2706</v>
      </c>
      <c r="U982">
        <v>0</v>
      </c>
      <c r="V982">
        <v>2706</v>
      </c>
    </row>
    <row r="983" spans="1:22" x14ac:dyDescent="0.25">
      <c r="A983">
        <v>187830</v>
      </c>
      <c r="B983">
        <v>131935696</v>
      </c>
      <c r="C983" t="s">
        <v>4981</v>
      </c>
      <c r="D983">
        <v>18832356</v>
      </c>
      <c r="E983" t="s">
        <v>4949</v>
      </c>
      <c r="F983" t="s">
        <v>847</v>
      </c>
      <c r="G983" t="s">
        <v>504</v>
      </c>
      <c r="H983" t="s">
        <v>505</v>
      </c>
      <c r="I983" t="s">
        <v>35</v>
      </c>
      <c r="J983" t="s">
        <v>320</v>
      </c>
      <c r="K983" t="s">
        <v>2</v>
      </c>
      <c r="L983" t="s">
        <v>103</v>
      </c>
      <c r="M983" t="s">
        <v>4982</v>
      </c>
      <c r="N983" t="s">
        <v>850</v>
      </c>
      <c r="O983" t="s">
        <v>40</v>
      </c>
      <c r="P983" t="s">
        <v>4983</v>
      </c>
      <c r="Q983" t="s">
        <v>72</v>
      </c>
      <c r="R983" t="s">
        <v>440</v>
      </c>
      <c r="S983">
        <v>1</v>
      </c>
      <c r="T983">
        <v>2706</v>
      </c>
      <c r="U983">
        <v>0</v>
      </c>
      <c r="V983">
        <v>2706</v>
      </c>
    </row>
    <row r="984" spans="1:22" x14ac:dyDescent="0.25">
      <c r="A984">
        <v>187830</v>
      </c>
      <c r="B984">
        <v>131902639</v>
      </c>
      <c r="C984" t="s">
        <v>4984</v>
      </c>
      <c r="D984">
        <v>18829358</v>
      </c>
      <c r="E984" t="s">
        <v>4949</v>
      </c>
      <c r="F984" t="s">
        <v>847</v>
      </c>
      <c r="G984" t="s">
        <v>504</v>
      </c>
      <c r="H984" t="s">
        <v>505</v>
      </c>
      <c r="I984" t="s">
        <v>35</v>
      </c>
      <c r="J984" t="s">
        <v>320</v>
      </c>
      <c r="K984" t="s">
        <v>2</v>
      </c>
      <c r="L984" t="s">
        <v>103</v>
      </c>
      <c r="M984" t="s">
        <v>4985</v>
      </c>
      <c r="N984" t="s">
        <v>850</v>
      </c>
      <c r="O984" t="s">
        <v>40</v>
      </c>
      <c r="P984" t="s">
        <v>4986</v>
      </c>
      <c r="Q984" t="s">
        <v>72</v>
      </c>
      <c r="R984" t="s">
        <v>713</v>
      </c>
      <c r="S984">
        <v>1</v>
      </c>
      <c r="T984">
        <v>2706</v>
      </c>
      <c r="U984">
        <v>0</v>
      </c>
      <c r="V984">
        <v>2706</v>
      </c>
    </row>
    <row r="985" spans="1:22" x14ac:dyDescent="0.25">
      <c r="A985">
        <v>187830</v>
      </c>
      <c r="B985">
        <v>131902628</v>
      </c>
      <c r="C985" t="s">
        <v>4987</v>
      </c>
      <c r="D985">
        <v>18829355</v>
      </c>
      <c r="E985" t="s">
        <v>4949</v>
      </c>
      <c r="F985" t="s">
        <v>847</v>
      </c>
      <c r="G985" t="s">
        <v>504</v>
      </c>
      <c r="H985" t="s">
        <v>505</v>
      </c>
      <c r="I985" t="s">
        <v>35</v>
      </c>
      <c r="J985" t="s">
        <v>320</v>
      </c>
      <c r="K985" t="s">
        <v>2</v>
      </c>
      <c r="L985" t="s">
        <v>103</v>
      </c>
      <c r="M985" t="s">
        <v>4988</v>
      </c>
      <c r="N985" t="s">
        <v>850</v>
      </c>
      <c r="O985" t="s">
        <v>40</v>
      </c>
      <c r="P985" t="s">
        <v>4989</v>
      </c>
      <c r="Q985" t="s">
        <v>70</v>
      </c>
      <c r="R985" t="s">
        <v>713</v>
      </c>
      <c r="S985">
        <v>1</v>
      </c>
      <c r="T985">
        <v>2706</v>
      </c>
      <c r="U985">
        <v>0</v>
      </c>
      <c r="V985">
        <v>2706</v>
      </c>
    </row>
    <row r="986" spans="1:22" x14ac:dyDescent="0.25">
      <c r="A986">
        <v>187830</v>
      </c>
      <c r="B986">
        <v>131902632</v>
      </c>
      <c r="C986" t="s">
        <v>4990</v>
      </c>
      <c r="D986">
        <v>18829354</v>
      </c>
      <c r="E986" t="s">
        <v>4949</v>
      </c>
      <c r="F986" t="s">
        <v>847</v>
      </c>
      <c r="G986" t="s">
        <v>504</v>
      </c>
      <c r="H986" t="s">
        <v>505</v>
      </c>
      <c r="I986" t="s">
        <v>35</v>
      </c>
      <c r="J986" t="s">
        <v>320</v>
      </c>
      <c r="K986" t="s">
        <v>2</v>
      </c>
      <c r="L986" t="s">
        <v>103</v>
      </c>
      <c r="M986" t="s">
        <v>4991</v>
      </c>
      <c r="N986" t="s">
        <v>850</v>
      </c>
      <c r="O986" t="s">
        <v>40</v>
      </c>
      <c r="P986" t="s">
        <v>4992</v>
      </c>
      <c r="Q986" t="s">
        <v>37</v>
      </c>
      <c r="R986" t="s">
        <v>713</v>
      </c>
      <c r="S986">
        <v>1</v>
      </c>
      <c r="T986">
        <v>2706</v>
      </c>
      <c r="U986">
        <v>0</v>
      </c>
      <c r="V986">
        <v>2706</v>
      </c>
    </row>
    <row r="987" spans="1:22" x14ac:dyDescent="0.25">
      <c r="A987">
        <v>187830</v>
      </c>
      <c r="B987">
        <v>131868051</v>
      </c>
      <c r="C987" t="s">
        <v>4993</v>
      </c>
      <c r="D987">
        <v>18826222</v>
      </c>
      <c r="E987" t="s">
        <v>4949</v>
      </c>
      <c r="F987" t="s">
        <v>847</v>
      </c>
      <c r="G987" t="s">
        <v>504</v>
      </c>
      <c r="H987" t="s">
        <v>505</v>
      </c>
      <c r="I987" t="s">
        <v>35</v>
      </c>
      <c r="J987" t="s">
        <v>320</v>
      </c>
      <c r="K987" t="s">
        <v>2</v>
      </c>
      <c r="L987" t="s">
        <v>103</v>
      </c>
      <c r="M987" t="s">
        <v>4994</v>
      </c>
      <c r="N987" t="s">
        <v>850</v>
      </c>
      <c r="O987" t="s">
        <v>40</v>
      </c>
      <c r="P987" t="s">
        <v>4995</v>
      </c>
      <c r="Q987" t="s">
        <v>37</v>
      </c>
      <c r="R987" t="s">
        <v>473</v>
      </c>
      <c r="S987">
        <v>1</v>
      </c>
      <c r="T987">
        <v>2706</v>
      </c>
      <c r="U987">
        <v>0</v>
      </c>
      <c r="V987">
        <v>2706</v>
      </c>
    </row>
    <row r="988" spans="1:22" x14ac:dyDescent="0.25">
      <c r="A988">
        <v>187830</v>
      </c>
      <c r="B988">
        <v>131868053</v>
      </c>
      <c r="C988" t="s">
        <v>4996</v>
      </c>
      <c r="D988">
        <v>18826220</v>
      </c>
      <c r="E988" t="s">
        <v>4949</v>
      </c>
      <c r="F988" t="s">
        <v>847</v>
      </c>
      <c r="G988" t="s">
        <v>504</v>
      </c>
      <c r="H988" t="s">
        <v>505</v>
      </c>
      <c r="I988" t="s">
        <v>35</v>
      </c>
      <c r="J988" t="s">
        <v>320</v>
      </c>
      <c r="K988" t="s">
        <v>2</v>
      </c>
      <c r="L988" t="s">
        <v>103</v>
      </c>
      <c r="M988" t="s">
        <v>4997</v>
      </c>
      <c r="N988" t="s">
        <v>850</v>
      </c>
      <c r="O988" t="s">
        <v>40</v>
      </c>
      <c r="P988" t="s">
        <v>4998</v>
      </c>
      <c r="Q988" t="s">
        <v>38</v>
      </c>
      <c r="R988" t="s">
        <v>473</v>
      </c>
      <c r="S988">
        <v>1</v>
      </c>
      <c r="T988">
        <v>2706</v>
      </c>
      <c r="U988">
        <v>0</v>
      </c>
      <c r="V988">
        <v>2706</v>
      </c>
    </row>
    <row r="989" spans="1:22" x14ac:dyDescent="0.25">
      <c r="A989">
        <v>187830</v>
      </c>
      <c r="B989">
        <v>131868054</v>
      </c>
      <c r="C989" t="s">
        <v>4999</v>
      </c>
      <c r="D989">
        <v>18826219</v>
      </c>
      <c r="E989" t="s">
        <v>4949</v>
      </c>
      <c r="F989" t="s">
        <v>847</v>
      </c>
      <c r="G989" t="s">
        <v>504</v>
      </c>
      <c r="H989" t="s">
        <v>505</v>
      </c>
      <c r="I989" t="s">
        <v>35</v>
      </c>
      <c r="J989" t="s">
        <v>320</v>
      </c>
      <c r="K989" t="s">
        <v>2</v>
      </c>
      <c r="L989" t="s">
        <v>103</v>
      </c>
      <c r="M989" t="s">
        <v>5000</v>
      </c>
      <c r="N989" t="s">
        <v>850</v>
      </c>
      <c r="O989" t="s">
        <v>40</v>
      </c>
      <c r="P989" t="s">
        <v>5001</v>
      </c>
      <c r="Q989" t="s">
        <v>70</v>
      </c>
      <c r="R989" t="s">
        <v>473</v>
      </c>
      <c r="S989">
        <v>1</v>
      </c>
      <c r="T989">
        <v>2706</v>
      </c>
      <c r="U989">
        <v>0</v>
      </c>
      <c r="V989">
        <v>2706</v>
      </c>
    </row>
    <row r="990" spans="1:22" x14ac:dyDescent="0.25">
      <c r="A990">
        <v>187830</v>
      </c>
      <c r="B990">
        <v>131868056</v>
      </c>
      <c r="C990" t="s">
        <v>5002</v>
      </c>
      <c r="D990">
        <v>18826218</v>
      </c>
      <c r="E990" t="s">
        <v>4949</v>
      </c>
      <c r="F990" t="s">
        <v>847</v>
      </c>
      <c r="G990" t="s">
        <v>504</v>
      </c>
      <c r="H990" t="s">
        <v>505</v>
      </c>
      <c r="I990" t="s">
        <v>35</v>
      </c>
      <c r="J990" t="s">
        <v>320</v>
      </c>
      <c r="K990" t="s">
        <v>2</v>
      </c>
      <c r="L990" t="s">
        <v>103</v>
      </c>
      <c r="M990" t="s">
        <v>5003</v>
      </c>
      <c r="N990" t="s">
        <v>850</v>
      </c>
      <c r="O990" t="s">
        <v>40</v>
      </c>
      <c r="P990" t="s">
        <v>5004</v>
      </c>
      <c r="Q990" t="s">
        <v>37</v>
      </c>
      <c r="R990" t="s">
        <v>473</v>
      </c>
      <c r="S990">
        <v>1</v>
      </c>
      <c r="T990">
        <v>2706</v>
      </c>
      <c r="U990">
        <v>0</v>
      </c>
      <c r="V990">
        <v>2706</v>
      </c>
    </row>
    <row r="991" spans="1:22" x14ac:dyDescent="0.25">
      <c r="A991">
        <v>187830</v>
      </c>
      <c r="B991">
        <v>131868059</v>
      </c>
      <c r="C991" t="s">
        <v>5005</v>
      </c>
      <c r="D991">
        <v>18826216</v>
      </c>
      <c r="E991" t="s">
        <v>4949</v>
      </c>
      <c r="F991" t="s">
        <v>847</v>
      </c>
      <c r="G991" t="s">
        <v>504</v>
      </c>
      <c r="H991" t="s">
        <v>505</v>
      </c>
      <c r="I991" t="s">
        <v>35</v>
      </c>
      <c r="J991" t="s">
        <v>320</v>
      </c>
      <c r="K991" t="s">
        <v>2</v>
      </c>
      <c r="L991" t="s">
        <v>103</v>
      </c>
      <c r="M991" t="s">
        <v>5006</v>
      </c>
      <c r="N991" t="s">
        <v>850</v>
      </c>
      <c r="O991" t="s">
        <v>40</v>
      </c>
      <c r="P991" t="s">
        <v>5007</v>
      </c>
      <c r="Q991" t="s">
        <v>37</v>
      </c>
      <c r="R991" t="s">
        <v>473</v>
      </c>
      <c r="S991">
        <v>1</v>
      </c>
      <c r="T991">
        <v>2706</v>
      </c>
      <c r="U991">
        <v>0</v>
      </c>
      <c r="V991">
        <v>2706</v>
      </c>
    </row>
    <row r="992" spans="1:22" x14ac:dyDescent="0.25">
      <c r="A992">
        <v>187830</v>
      </c>
      <c r="B992">
        <v>131868063</v>
      </c>
      <c r="C992" t="s">
        <v>5008</v>
      </c>
      <c r="D992">
        <v>18826215</v>
      </c>
      <c r="E992" t="s">
        <v>4949</v>
      </c>
      <c r="F992" t="s">
        <v>847</v>
      </c>
      <c r="G992" t="s">
        <v>504</v>
      </c>
      <c r="H992" t="s">
        <v>505</v>
      </c>
      <c r="I992" t="s">
        <v>35</v>
      </c>
      <c r="J992" t="s">
        <v>320</v>
      </c>
      <c r="K992" t="s">
        <v>2</v>
      </c>
      <c r="L992" t="s">
        <v>103</v>
      </c>
      <c r="M992" t="s">
        <v>5009</v>
      </c>
      <c r="N992" t="s">
        <v>850</v>
      </c>
      <c r="O992" t="s">
        <v>40</v>
      </c>
      <c r="P992" t="s">
        <v>5010</v>
      </c>
      <c r="Q992" t="s">
        <v>96</v>
      </c>
      <c r="R992" t="s">
        <v>473</v>
      </c>
      <c r="S992">
        <v>1</v>
      </c>
      <c r="T992">
        <v>2706</v>
      </c>
      <c r="U992">
        <v>0</v>
      </c>
      <c r="V992">
        <v>2706</v>
      </c>
    </row>
    <row r="993" spans="1:22" x14ac:dyDescent="0.25">
      <c r="A993">
        <v>187830</v>
      </c>
      <c r="B993">
        <v>131868065</v>
      </c>
      <c r="C993" t="s">
        <v>5011</v>
      </c>
      <c r="D993">
        <v>18826214</v>
      </c>
      <c r="E993" t="s">
        <v>4949</v>
      </c>
      <c r="F993" t="s">
        <v>847</v>
      </c>
      <c r="G993" t="s">
        <v>504</v>
      </c>
      <c r="H993" t="s">
        <v>505</v>
      </c>
      <c r="I993" t="s">
        <v>35</v>
      </c>
      <c r="J993" t="s">
        <v>320</v>
      </c>
      <c r="K993" t="s">
        <v>2</v>
      </c>
      <c r="L993" t="s">
        <v>103</v>
      </c>
      <c r="M993" t="s">
        <v>5012</v>
      </c>
      <c r="N993" t="s">
        <v>850</v>
      </c>
      <c r="O993" t="s">
        <v>40</v>
      </c>
      <c r="P993" t="s">
        <v>5013</v>
      </c>
      <c r="Q993" t="s">
        <v>141</v>
      </c>
      <c r="R993" t="s">
        <v>473</v>
      </c>
      <c r="S993">
        <v>1</v>
      </c>
      <c r="T993">
        <v>2706</v>
      </c>
      <c r="U993">
        <v>0</v>
      </c>
      <c r="V993">
        <v>2706</v>
      </c>
    </row>
    <row r="994" spans="1:22" x14ac:dyDescent="0.25">
      <c r="A994">
        <v>187830</v>
      </c>
      <c r="B994">
        <v>131829665</v>
      </c>
      <c r="C994" t="s">
        <v>5014</v>
      </c>
      <c r="D994">
        <v>18822346</v>
      </c>
      <c r="E994" t="s">
        <v>4949</v>
      </c>
      <c r="F994" t="s">
        <v>847</v>
      </c>
      <c r="G994" t="s">
        <v>504</v>
      </c>
      <c r="H994" t="s">
        <v>505</v>
      </c>
      <c r="I994" t="s">
        <v>35</v>
      </c>
      <c r="J994" t="s">
        <v>320</v>
      </c>
      <c r="K994" t="s">
        <v>2</v>
      </c>
      <c r="L994" t="s">
        <v>103</v>
      </c>
      <c r="M994" t="s">
        <v>5015</v>
      </c>
      <c r="N994" t="s">
        <v>850</v>
      </c>
      <c r="O994" t="s">
        <v>40</v>
      </c>
      <c r="P994" t="s">
        <v>5016</v>
      </c>
      <c r="Q994" t="s">
        <v>37</v>
      </c>
      <c r="R994" t="s">
        <v>658</v>
      </c>
      <c r="S994">
        <v>1</v>
      </c>
      <c r="T994">
        <v>2706</v>
      </c>
      <c r="U994">
        <v>0</v>
      </c>
      <c r="V994">
        <v>2706</v>
      </c>
    </row>
    <row r="995" spans="1:22" x14ac:dyDescent="0.25">
      <c r="A995">
        <v>187830</v>
      </c>
      <c r="B995">
        <v>131829661</v>
      </c>
      <c r="C995" t="s">
        <v>5017</v>
      </c>
      <c r="D995">
        <v>18822345</v>
      </c>
      <c r="E995" t="s">
        <v>4949</v>
      </c>
      <c r="F995" t="s">
        <v>847</v>
      </c>
      <c r="G995" t="s">
        <v>504</v>
      </c>
      <c r="H995" t="s">
        <v>505</v>
      </c>
      <c r="I995" t="s">
        <v>35</v>
      </c>
      <c r="J995" t="s">
        <v>320</v>
      </c>
      <c r="K995" t="s">
        <v>2</v>
      </c>
      <c r="L995" t="s">
        <v>103</v>
      </c>
      <c r="M995" t="s">
        <v>5018</v>
      </c>
      <c r="N995" t="s">
        <v>850</v>
      </c>
      <c r="O995" t="s">
        <v>40</v>
      </c>
      <c r="P995" t="s">
        <v>5019</v>
      </c>
      <c r="Q995" t="s">
        <v>37</v>
      </c>
      <c r="R995" t="s">
        <v>390</v>
      </c>
      <c r="S995">
        <v>1</v>
      </c>
      <c r="T995">
        <v>2706</v>
      </c>
      <c r="U995">
        <v>0</v>
      </c>
      <c r="V995">
        <v>2706</v>
      </c>
    </row>
    <row r="996" spans="1:22" x14ac:dyDescent="0.25">
      <c r="A996">
        <v>187830</v>
      </c>
      <c r="B996">
        <v>131829660</v>
      </c>
      <c r="C996" t="s">
        <v>5020</v>
      </c>
      <c r="D996">
        <v>18822344</v>
      </c>
      <c r="E996" t="s">
        <v>4949</v>
      </c>
      <c r="F996" t="s">
        <v>847</v>
      </c>
      <c r="G996" t="s">
        <v>504</v>
      </c>
      <c r="H996" t="s">
        <v>505</v>
      </c>
      <c r="I996" t="s">
        <v>35</v>
      </c>
      <c r="J996" t="s">
        <v>320</v>
      </c>
      <c r="K996" t="s">
        <v>2</v>
      </c>
      <c r="L996" t="s">
        <v>103</v>
      </c>
      <c r="M996" t="s">
        <v>5021</v>
      </c>
      <c r="N996" t="s">
        <v>850</v>
      </c>
      <c r="O996" t="s">
        <v>40</v>
      </c>
      <c r="P996" t="s">
        <v>5022</v>
      </c>
      <c r="Q996" t="s">
        <v>37</v>
      </c>
      <c r="R996" t="s">
        <v>390</v>
      </c>
      <c r="S996">
        <v>1</v>
      </c>
      <c r="T996">
        <v>2706</v>
      </c>
      <c r="U996">
        <v>0</v>
      </c>
      <c r="V996">
        <v>2706</v>
      </c>
    </row>
    <row r="997" spans="1:22" x14ac:dyDescent="0.25">
      <c r="A997">
        <v>187830</v>
      </c>
      <c r="B997">
        <v>131829658</v>
      </c>
      <c r="C997" t="s">
        <v>5023</v>
      </c>
      <c r="D997">
        <v>18822342</v>
      </c>
      <c r="E997" t="s">
        <v>4949</v>
      </c>
      <c r="F997" t="s">
        <v>847</v>
      </c>
      <c r="G997" t="s">
        <v>504</v>
      </c>
      <c r="H997" t="s">
        <v>505</v>
      </c>
      <c r="I997" t="s">
        <v>35</v>
      </c>
      <c r="J997" t="s">
        <v>320</v>
      </c>
      <c r="K997" t="s">
        <v>2</v>
      </c>
      <c r="L997" t="s">
        <v>103</v>
      </c>
      <c r="M997" t="s">
        <v>362</v>
      </c>
      <c r="N997" t="s">
        <v>850</v>
      </c>
      <c r="O997" t="s">
        <v>40</v>
      </c>
      <c r="P997" t="s">
        <v>5024</v>
      </c>
      <c r="Q997" t="s">
        <v>70</v>
      </c>
      <c r="R997" t="s">
        <v>390</v>
      </c>
      <c r="S997">
        <v>1</v>
      </c>
      <c r="T997">
        <v>2706</v>
      </c>
      <c r="U997">
        <v>0</v>
      </c>
      <c r="V997">
        <v>2706</v>
      </c>
    </row>
    <row r="998" spans="1:22" x14ac:dyDescent="0.25">
      <c r="A998">
        <v>187830</v>
      </c>
      <c r="B998">
        <v>131829648</v>
      </c>
      <c r="C998" t="s">
        <v>5025</v>
      </c>
      <c r="D998">
        <v>18822341</v>
      </c>
      <c r="E998" t="s">
        <v>4949</v>
      </c>
      <c r="F998" t="s">
        <v>847</v>
      </c>
      <c r="G998" t="s">
        <v>504</v>
      </c>
      <c r="H998" t="s">
        <v>505</v>
      </c>
      <c r="I998" t="s">
        <v>35</v>
      </c>
      <c r="J998" t="s">
        <v>320</v>
      </c>
      <c r="K998" t="s">
        <v>2</v>
      </c>
      <c r="L998" t="s">
        <v>103</v>
      </c>
      <c r="M998" t="s">
        <v>5026</v>
      </c>
      <c r="N998" t="s">
        <v>850</v>
      </c>
      <c r="O998" t="s">
        <v>40</v>
      </c>
      <c r="P998" t="s">
        <v>5027</v>
      </c>
      <c r="Q998" t="s">
        <v>93</v>
      </c>
      <c r="R998" t="s">
        <v>390</v>
      </c>
      <c r="S998">
        <v>1</v>
      </c>
      <c r="T998">
        <v>2706</v>
      </c>
      <c r="U998">
        <v>0</v>
      </c>
      <c r="V998">
        <v>2706</v>
      </c>
    </row>
    <row r="999" spans="1:22" x14ac:dyDescent="0.25">
      <c r="A999">
        <v>187830</v>
      </c>
      <c r="B999">
        <v>131829647</v>
      </c>
      <c r="C999" t="s">
        <v>5028</v>
      </c>
      <c r="D999">
        <v>18822340</v>
      </c>
      <c r="E999" t="s">
        <v>4949</v>
      </c>
      <c r="F999" t="s">
        <v>847</v>
      </c>
      <c r="G999" t="s">
        <v>504</v>
      </c>
      <c r="H999" t="s">
        <v>505</v>
      </c>
      <c r="I999" t="s">
        <v>35</v>
      </c>
      <c r="J999" t="s">
        <v>320</v>
      </c>
      <c r="K999" t="s">
        <v>2</v>
      </c>
      <c r="L999" t="s">
        <v>103</v>
      </c>
      <c r="M999" t="s">
        <v>5029</v>
      </c>
      <c r="N999" t="s">
        <v>850</v>
      </c>
      <c r="O999" t="s">
        <v>40</v>
      </c>
      <c r="P999" t="s">
        <v>5030</v>
      </c>
      <c r="Q999" t="s">
        <v>37</v>
      </c>
      <c r="R999" t="s">
        <v>390</v>
      </c>
      <c r="S999">
        <v>1</v>
      </c>
      <c r="T999">
        <v>2706</v>
      </c>
      <c r="U999">
        <v>0</v>
      </c>
      <c r="V999">
        <v>2706</v>
      </c>
    </row>
    <row r="1000" spans="1:22" x14ac:dyDescent="0.25">
      <c r="A1000">
        <v>187830</v>
      </c>
      <c r="B1000">
        <v>131829651</v>
      </c>
      <c r="C1000" t="s">
        <v>5031</v>
      </c>
      <c r="D1000">
        <v>18822336</v>
      </c>
      <c r="E1000" t="s">
        <v>4949</v>
      </c>
      <c r="F1000" t="s">
        <v>847</v>
      </c>
      <c r="G1000" t="s">
        <v>504</v>
      </c>
      <c r="H1000" t="s">
        <v>505</v>
      </c>
      <c r="I1000" t="s">
        <v>35</v>
      </c>
      <c r="J1000" t="s">
        <v>320</v>
      </c>
      <c r="K1000" t="s">
        <v>2</v>
      </c>
      <c r="L1000" t="s">
        <v>103</v>
      </c>
      <c r="M1000" t="s">
        <v>5032</v>
      </c>
      <c r="N1000" t="s">
        <v>850</v>
      </c>
      <c r="O1000" t="s">
        <v>40</v>
      </c>
      <c r="P1000" t="s">
        <v>5033</v>
      </c>
      <c r="Q1000" t="s">
        <v>41</v>
      </c>
      <c r="R1000" t="s">
        <v>390</v>
      </c>
      <c r="S1000">
        <v>1</v>
      </c>
      <c r="T1000">
        <v>2706</v>
      </c>
      <c r="U1000">
        <v>0</v>
      </c>
      <c r="V1000">
        <v>2706</v>
      </c>
    </row>
    <row r="1001" spans="1:22" x14ac:dyDescent="0.25">
      <c r="A1001">
        <v>187830</v>
      </c>
      <c r="B1001">
        <v>131742480</v>
      </c>
      <c r="C1001" t="s">
        <v>5034</v>
      </c>
      <c r="D1001">
        <v>18814797</v>
      </c>
      <c r="E1001" t="s">
        <v>4949</v>
      </c>
      <c r="F1001" t="s">
        <v>847</v>
      </c>
      <c r="G1001" t="s">
        <v>504</v>
      </c>
      <c r="H1001" t="s">
        <v>505</v>
      </c>
      <c r="I1001" t="s">
        <v>35</v>
      </c>
      <c r="J1001" t="s">
        <v>320</v>
      </c>
      <c r="K1001" t="s">
        <v>2</v>
      </c>
      <c r="L1001" t="s">
        <v>103</v>
      </c>
      <c r="M1001" t="s">
        <v>176</v>
      </c>
      <c r="N1001" t="s">
        <v>850</v>
      </c>
      <c r="O1001" t="s">
        <v>40</v>
      </c>
      <c r="P1001" t="s">
        <v>5035</v>
      </c>
      <c r="Q1001" t="s">
        <v>37</v>
      </c>
      <c r="R1001" t="s">
        <v>768</v>
      </c>
      <c r="S1001">
        <v>1</v>
      </c>
      <c r="T1001">
        <v>2706</v>
      </c>
      <c r="U1001">
        <v>0</v>
      </c>
      <c r="V1001">
        <v>2706</v>
      </c>
    </row>
    <row r="1002" spans="1:22" x14ac:dyDescent="0.25">
      <c r="A1002">
        <v>187830</v>
      </c>
      <c r="B1002">
        <v>131742479</v>
      </c>
      <c r="C1002" t="s">
        <v>5036</v>
      </c>
      <c r="D1002">
        <v>18814796</v>
      </c>
      <c r="E1002" t="s">
        <v>4949</v>
      </c>
      <c r="F1002" t="s">
        <v>847</v>
      </c>
      <c r="G1002" t="s">
        <v>504</v>
      </c>
      <c r="H1002" t="s">
        <v>505</v>
      </c>
      <c r="I1002" t="s">
        <v>35</v>
      </c>
      <c r="J1002" t="s">
        <v>320</v>
      </c>
      <c r="K1002" t="s">
        <v>2</v>
      </c>
      <c r="L1002" t="s">
        <v>103</v>
      </c>
      <c r="M1002" t="s">
        <v>5037</v>
      </c>
      <c r="N1002" t="s">
        <v>850</v>
      </c>
      <c r="O1002" t="s">
        <v>40</v>
      </c>
      <c r="P1002" t="s">
        <v>5038</v>
      </c>
      <c r="Q1002" t="s">
        <v>37</v>
      </c>
      <c r="R1002" t="s">
        <v>745</v>
      </c>
      <c r="S1002">
        <v>1</v>
      </c>
      <c r="T1002">
        <v>2706</v>
      </c>
      <c r="U1002">
        <v>0</v>
      </c>
      <c r="V1002">
        <v>2706</v>
      </c>
    </row>
    <row r="1003" spans="1:22" x14ac:dyDescent="0.25">
      <c r="A1003">
        <v>187830</v>
      </c>
      <c r="B1003">
        <v>131711708</v>
      </c>
      <c r="C1003" t="s">
        <v>5039</v>
      </c>
      <c r="D1003">
        <v>18811684</v>
      </c>
      <c r="E1003" t="s">
        <v>4949</v>
      </c>
      <c r="F1003" t="s">
        <v>847</v>
      </c>
      <c r="G1003" t="s">
        <v>504</v>
      </c>
      <c r="H1003" t="s">
        <v>505</v>
      </c>
      <c r="I1003" t="s">
        <v>35</v>
      </c>
      <c r="J1003" t="s">
        <v>320</v>
      </c>
      <c r="K1003" t="s">
        <v>2</v>
      </c>
      <c r="L1003" t="s">
        <v>103</v>
      </c>
      <c r="M1003" t="s">
        <v>5040</v>
      </c>
      <c r="N1003" t="s">
        <v>850</v>
      </c>
      <c r="O1003" t="s">
        <v>40</v>
      </c>
      <c r="P1003" t="s">
        <v>5041</v>
      </c>
      <c r="Q1003" t="s">
        <v>72</v>
      </c>
      <c r="R1003" t="s">
        <v>531</v>
      </c>
      <c r="S1003">
        <v>1</v>
      </c>
      <c r="T1003">
        <v>2706</v>
      </c>
      <c r="U1003">
        <v>0</v>
      </c>
      <c r="V1003">
        <v>2706</v>
      </c>
    </row>
    <row r="1004" spans="1:22" x14ac:dyDescent="0.25">
      <c r="A1004">
        <v>187830</v>
      </c>
      <c r="B1004">
        <v>131711711</v>
      </c>
      <c r="C1004" t="s">
        <v>5042</v>
      </c>
      <c r="D1004">
        <v>18811682</v>
      </c>
      <c r="E1004" t="s">
        <v>4949</v>
      </c>
      <c r="F1004" t="s">
        <v>847</v>
      </c>
      <c r="G1004" t="s">
        <v>504</v>
      </c>
      <c r="H1004" t="s">
        <v>505</v>
      </c>
      <c r="I1004" t="s">
        <v>35</v>
      </c>
      <c r="J1004" t="s">
        <v>320</v>
      </c>
      <c r="K1004" t="s">
        <v>2</v>
      </c>
      <c r="L1004" t="s">
        <v>103</v>
      </c>
      <c r="M1004" t="s">
        <v>5043</v>
      </c>
      <c r="N1004" t="s">
        <v>850</v>
      </c>
      <c r="O1004" t="s">
        <v>40</v>
      </c>
      <c r="P1004" t="s">
        <v>5044</v>
      </c>
      <c r="Q1004" t="s">
        <v>44</v>
      </c>
      <c r="R1004" t="s">
        <v>531</v>
      </c>
      <c r="S1004">
        <v>1</v>
      </c>
      <c r="T1004">
        <v>2706</v>
      </c>
      <c r="U1004">
        <v>0</v>
      </c>
      <c r="V1004">
        <v>2706</v>
      </c>
    </row>
    <row r="1005" spans="1:22" x14ac:dyDescent="0.25">
      <c r="A1005">
        <v>187830</v>
      </c>
      <c r="B1005">
        <v>131711717</v>
      </c>
      <c r="C1005" t="s">
        <v>5045</v>
      </c>
      <c r="D1005">
        <v>18811681</v>
      </c>
      <c r="E1005" t="s">
        <v>4949</v>
      </c>
      <c r="F1005" t="s">
        <v>847</v>
      </c>
      <c r="G1005" t="s">
        <v>504</v>
      </c>
      <c r="H1005" t="s">
        <v>505</v>
      </c>
      <c r="I1005" t="s">
        <v>35</v>
      </c>
      <c r="J1005" t="s">
        <v>320</v>
      </c>
      <c r="K1005" t="s">
        <v>2</v>
      </c>
      <c r="L1005" t="s">
        <v>103</v>
      </c>
      <c r="M1005" t="s">
        <v>5046</v>
      </c>
      <c r="N1005" t="s">
        <v>850</v>
      </c>
      <c r="O1005" t="s">
        <v>40</v>
      </c>
      <c r="P1005" t="s">
        <v>5047</v>
      </c>
      <c r="Q1005" t="s">
        <v>99</v>
      </c>
      <c r="R1005" t="s">
        <v>531</v>
      </c>
      <c r="S1005">
        <v>1</v>
      </c>
      <c r="T1005">
        <v>2706</v>
      </c>
      <c r="U1005">
        <v>0</v>
      </c>
      <c r="V1005">
        <v>2706</v>
      </c>
    </row>
    <row r="1006" spans="1:22" x14ac:dyDescent="0.25">
      <c r="A1006">
        <v>187830</v>
      </c>
      <c r="B1006">
        <v>131711706</v>
      </c>
      <c r="C1006" t="s">
        <v>5048</v>
      </c>
      <c r="D1006">
        <v>18811680</v>
      </c>
      <c r="E1006" t="s">
        <v>4949</v>
      </c>
      <c r="F1006" t="s">
        <v>847</v>
      </c>
      <c r="G1006" t="s">
        <v>504</v>
      </c>
      <c r="H1006" t="s">
        <v>505</v>
      </c>
      <c r="I1006" t="s">
        <v>35</v>
      </c>
      <c r="J1006" t="s">
        <v>320</v>
      </c>
      <c r="K1006" t="s">
        <v>2</v>
      </c>
      <c r="L1006" t="s">
        <v>103</v>
      </c>
      <c r="M1006" t="s">
        <v>590</v>
      </c>
      <c r="N1006" t="s">
        <v>850</v>
      </c>
      <c r="O1006" t="s">
        <v>40</v>
      </c>
      <c r="P1006" t="s">
        <v>5049</v>
      </c>
      <c r="Q1006" t="s">
        <v>99</v>
      </c>
      <c r="R1006" t="s">
        <v>495</v>
      </c>
      <c r="S1006">
        <v>1</v>
      </c>
      <c r="T1006">
        <v>2706</v>
      </c>
      <c r="U1006">
        <v>0</v>
      </c>
      <c r="V1006">
        <v>2706</v>
      </c>
    </row>
    <row r="1007" spans="1:22" x14ac:dyDescent="0.25">
      <c r="A1007">
        <v>187830</v>
      </c>
      <c r="B1007">
        <v>131679571</v>
      </c>
      <c r="C1007" t="s">
        <v>5050</v>
      </c>
      <c r="D1007">
        <v>18808146</v>
      </c>
      <c r="E1007" t="s">
        <v>4949</v>
      </c>
      <c r="F1007" t="s">
        <v>847</v>
      </c>
      <c r="G1007" t="s">
        <v>504</v>
      </c>
      <c r="H1007" t="s">
        <v>505</v>
      </c>
      <c r="I1007" t="s">
        <v>35</v>
      </c>
      <c r="J1007" t="s">
        <v>320</v>
      </c>
      <c r="K1007" t="s">
        <v>2</v>
      </c>
      <c r="L1007" t="s">
        <v>103</v>
      </c>
      <c r="M1007" t="s">
        <v>5051</v>
      </c>
      <c r="N1007" t="s">
        <v>850</v>
      </c>
      <c r="O1007" t="s">
        <v>40</v>
      </c>
      <c r="P1007" t="s">
        <v>5052</v>
      </c>
      <c r="Q1007" t="s">
        <v>72</v>
      </c>
      <c r="R1007" t="s">
        <v>5053</v>
      </c>
      <c r="S1007">
        <v>1</v>
      </c>
      <c r="T1007">
        <v>2706</v>
      </c>
      <c r="U1007">
        <v>0</v>
      </c>
      <c r="V1007">
        <v>2706</v>
      </c>
    </row>
    <row r="1008" spans="1:22" x14ac:dyDescent="0.25">
      <c r="A1008">
        <v>187830</v>
      </c>
      <c r="B1008">
        <v>131642138</v>
      </c>
      <c r="C1008" t="s">
        <v>5054</v>
      </c>
      <c r="D1008">
        <v>18804300</v>
      </c>
      <c r="E1008" t="s">
        <v>4949</v>
      </c>
      <c r="F1008" t="s">
        <v>847</v>
      </c>
      <c r="G1008" t="s">
        <v>504</v>
      </c>
      <c r="H1008" t="s">
        <v>505</v>
      </c>
      <c r="I1008" t="s">
        <v>35</v>
      </c>
      <c r="J1008" t="s">
        <v>320</v>
      </c>
      <c r="K1008" t="s">
        <v>2</v>
      </c>
      <c r="L1008" t="s">
        <v>103</v>
      </c>
      <c r="M1008" t="s">
        <v>5055</v>
      </c>
      <c r="N1008" t="s">
        <v>850</v>
      </c>
      <c r="O1008" t="s">
        <v>40</v>
      </c>
      <c r="P1008" t="s">
        <v>5056</v>
      </c>
      <c r="Q1008" t="s">
        <v>70</v>
      </c>
      <c r="R1008" t="s">
        <v>443</v>
      </c>
      <c r="S1008">
        <v>1</v>
      </c>
      <c r="T1008">
        <v>2706</v>
      </c>
      <c r="U1008">
        <v>0</v>
      </c>
      <c r="V1008">
        <v>2706</v>
      </c>
    </row>
    <row r="1009" spans="1:22" x14ac:dyDescent="0.25">
      <c r="A1009">
        <v>187830</v>
      </c>
      <c r="B1009">
        <v>131642146</v>
      </c>
      <c r="C1009" t="s">
        <v>5057</v>
      </c>
      <c r="D1009">
        <v>18804294</v>
      </c>
      <c r="E1009" t="s">
        <v>4949</v>
      </c>
      <c r="F1009" t="s">
        <v>847</v>
      </c>
      <c r="G1009" t="s">
        <v>504</v>
      </c>
      <c r="H1009" t="s">
        <v>505</v>
      </c>
      <c r="I1009" t="s">
        <v>35</v>
      </c>
      <c r="J1009" t="s">
        <v>320</v>
      </c>
      <c r="K1009" t="s">
        <v>2</v>
      </c>
      <c r="L1009" t="s">
        <v>103</v>
      </c>
      <c r="M1009" t="s">
        <v>568</v>
      </c>
      <c r="N1009" t="s">
        <v>850</v>
      </c>
      <c r="O1009" t="s">
        <v>40</v>
      </c>
      <c r="P1009" t="s">
        <v>5058</v>
      </c>
      <c r="Q1009" t="s">
        <v>37</v>
      </c>
      <c r="R1009" t="s">
        <v>443</v>
      </c>
      <c r="S1009">
        <v>1</v>
      </c>
      <c r="T1009">
        <v>2706</v>
      </c>
      <c r="U1009">
        <v>0</v>
      </c>
      <c r="V1009">
        <v>2706</v>
      </c>
    </row>
    <row r="1010" spans="1:22" x14ac:dyDescent="0.25">
      <c r="A1010">
        <v>187830</v>
      </c>
      <c r="B1010">
        <v>131642147</v>
      </c>
      <c r="C1010" t="s">
        <v>5059</v>
      </c>
      <c r="D1010">
        <v>18804293</v>
      </c>
      <c r="E1010" t="s">
        <v>4949</v>
      </c>
      <c r="F1010" t="s">
        <v>847</v>
      </c>
      <c r="G1010" t="s">
        <v>504</v>
      </c>
      <c r="H1010" t="s">
        <v>505</v>
      </c>
      <c r="I1010" t="s">
        <v>35</v>
      </c>
      <c r="J1010" t="s">
        <v>320</v>
      </c>
      <c r="K1010" t="s">
        <v>2</v>
      </c>
      <c r="L1010" t="s">
        <v>103</v>
      </c>
      <c r="M1010" t="s">
        <v>5060</v>
      </c>
      <c r="N1010" t="s">
        <v>850</v>
      </c>
      <c r="O1010" t="s">
        <v>40</v>
      </c>
      <c r="P1010" t="s">
        <v>5061</v>
      </c>
      <c r="Q1010" t="s">
        <v>93</v>
      </c>
      <c r="R1010" t="s">
        <v>443</v>
      </c>
      <c r="S1010">
        <v>1</v>
      </c>
      <c r="T1010">
        <v>2706</v>
      </c>
      <c r="U1010">
        <v>0</v>
      </c>
      <c r="V1010">
        <v>2706</v>
      </c>
    </row>
    <row r="1011" spans="1:22" x14ac:dyDescent="0.25">
      <c r="A1011">
        <v>187830</v>
      </c>
      <c r="B1011">
        <v>131642150</v>
      </c>
      <c r="C1011" t="s">
        <v>5062</v>
      </c>
      <c r="D1011">
        <v>18804291</v>
      </c>
      <c r="E1011" t="s">
        <v>4949</v>
      </c>
      <c r="F1011" t="s">
        <v>847</v>
      </c>
      <c r="G1011" t="s">
        <v>504</v>
      </c>
      <c r="H1011" t="s">
        <v>505</v>
      </c>
      <c r="I1011" t="s">
        <v>35</v>
      </c>
      <c r="J1011" t="s">
        <v>320</v>
      </c>
      <c r="K1011" t="s">
        <v>2</v>
      </c>
      <c r="L1011" t="s">
        <v>103</v>
      </c>
      <c r="M1011" t="s">
        <v>5063</v>
      </c>
      <c r="N1011" t="s">
        <v>850</v>
      </c>
      <c r="O1011" t="s">
        <v>40</v>
      </c>
      <c r="P1011" t="s">
        <v>5064</v>
      </c>
      <c r="Q1011" t="s">
        <v>100</v>
      </c>
      <c r="R1011" t="s">
        <v>443</v>
      </c>
      <c r="S1011">
        <v>1</v>
      </c>
      <c r="T1011">
        <v>2706</v>
      </c>
      <c r="U1011">
        <v>0</v>
      </c>
      <c r="V1011">
        <v>2706</v>
      </c>
    </row>
    <row r="1012" spans="1:22" x14ac:dyDescent="0.25">
      <c r="A1012">
        <v>187830</v>
      </c>
      <c r="B1012">
        <v>131642156</v>
      </c>
      <c r="C1012" t="s">
        <v>5065</v>
      </c>
      <c r="D1012">
        <v>18804290</v>
      </c>
      <c r="E1012" t="s">
        <v>4949</v>
      </c>
      <c r="F1012" t="s">
        <v>847</v>
      </c>
      <c r="G1012" t="s">
        <v>504</v>
      </c>
      <c r="H1012" t="s">
        <v>505</v>
      </c>
      <c r="I1012" t="s">
        <v>35</v>
      </c>
      <c r="J1012" t="s">
        <v>320</v>
      </c>
      <c r="K1012" t="s">
        <v>2</v>
      </c>
      <c r="L1012" t="s">
        <v>103</v>
      </c>
      <c r="M1012" t="s">
        <v>5066</v>
      </c>
      <c r="N1012" t="s">
        <v>850</v>
      </c>
      <c r="O1012" t="s">
        <v>40</v>
      </c>
      <c r="P1012" t="s">
        <v>5067</v>
      </c>
      <c r="Q1012" t="s">
        <v>37</v>
      </c>
      <c r="R1012" t="s">
        <v>443</v>
      </c>
      <c r="S1012">
        <v>1</v>
      </c>
      <c r="T1012">
        <v>2706</v>
      </c>
      <c r="U1012">
        <v>0</v>
      </c>
      <c r="V1012">
        <v>2706</v>
      </c>
    </row>
    <row r="1013" spans="1:22" x14ac:dyDescent="0.25">
      <c r="A1013">
        <v>187830</v>
      </c>
      <c r="B1013">
        <v>131642172</v>
      </c>
      <c r="C1013" t="s">
        <v>5068</v>
      </c>
      <c r="D1013">
        <v>18804288</v>
      </c>
      <c r="E1013" t="s">
        <v>4949</v>
      </c>
      <c r="F1013" t="s">
        <v>847</v>
      </c>
      <c r="G1013" t="s">
        <v>504</v>
      </c>
      <c r="H1013" t="s">
        <v>505</v>
      </c>
      <c r="I1013" t="s">
        <v>35</v>
      </c>
      <c r="J1013" t="s">
        <v>320</v>
      </c>
      <c r="K1013" t="s">
        <v>2</v>
      </c>
      <c r="L1013" t="s">
        <v>103</v>
      </c>
      <c r="M1013" t="s">
        <v>5069</v>
      </c>
      <c r="N1013" t="s">
        <v>850</v>
      </c>
      <c r="O1013" t="s">
        <v>40</v>
      </c>
      <c r="P1013" t="s">
        <v>5070</v>
      </c>
      <c r="Q1013" t="s">
        <v>37</v>
      </c>
      <c r="R1013" t="s">
        <v>443</v>
      </c>
      <c r="S1013">
        <v>1</v>
      </c>
      <c r="T1013">
        <v>2706</v>
      </c>
      <c r="U1013">
        <v>0</v>
      </c>
      <c r="V1013">
        <v>2706</v>
      </c>
    </row>
    <row r="1014" spans="1:22" x14ac:dyDescent="0.25">
      <c r="A1014">
        <v>187830</v>
      </c>
      <c r="B1014">
        <v>131571457</v>
      </c>
      <c r="C1014" t="s">
        <v>5071</v>
      </c>
      <c r="D1014">
        <v>18796608</v>
      </c>
      <c r="E1014" t="s">
        <v>4949</v>
      </c>
      <c r="F1014" t="s">
        <v>847</v>
      </c>
      <c r="G1014" t="s">
        <v>504</v>
      </c>
      <c r="H1014" t="s">
        <v>505</v>
      </c>
      <c r="I1014" t="s">
        <v>35</v>
      </c>
      <c r="J1014" t="s">
        <v>320</v>
      </c>
      <c r="K1014" t="s">
        <v>2</v>
      </c>
      <c r="L1014" t="s">
        <v>103</v>
      </c>
      <c r="M1014" t="s">
        <v>5072</v>
      </c>
      <c r="N1014" t="s">
        <v>850</v>
      </c>
      <c r="O1014" t="s">
        <v>40</v>
      </c>
      <c r="P1014" t="s">
        <v>5073</v>
      </c>
      <c r="Q1014" t="s">
        <v>37</v>
      </c>
      <c r="R1014" t="s">
        <v>167</v>
      </c>
      <c r="S1014">
        <v>1</v>
      </c>
      <c r="T1014">
        <v>2706</v>
      </c>
      <c r="U1014">
        <v>0</v>
      </c>
      <c r="V1014">
        <v>2706</v>
      </c>
    </row>
    <row r="1015" spans="1:22" x14ac:dyDescent="0.25">
      <c r="A1015">
        <v>187830</v>
      </c>
      <c r="B1015">
        <v>131571455</v>
      </c>
      <c r="C1015" t="s">
        <v>5074</v>
      </c>
      <c r="D1015">
        <v>18796606</v>
      </c>
      <c r="E1015" t="s">
        <v>4949</v>
      </c>
      <c r="F1015" t="s">
        <v>847</v>
      </c>
      <c r="G1015" t="s">
        <v>504</v>
      </c>
      <c r="H1015" t="s">
        <v>505</v>
      </c>
      <c r="I1015" t="s">
        <v>35</v>
      </c>
      <c r="J1015" t="s">
        <v>320</v>
      </c>
      <c r="K1015" t="s">
        <v>2</v>
      </c>
      <c r="L1015" t="s">
        <v>103</v>
      </c>
      <c r="M1015" t="s">
        <v>5075</v>
      </c>
      <c r="N1015" t="s">
        <v>850</v>
      </c>
      <c r="O1015" t="s">
        <v>40</v>
      </c>
      <c r="P1015" t="s">
        <v>5076</v>
      </c>
      <c r="Q1015" t="s">
        <v>72</v>
      </c>
      <c r="R1015" t="s">
        <v>167</v>
      </c>
      <c r="S1015">
        <v>1</v>
      </c>
      <c r="T1015">
        <v>2706</v>
      </c>
      <c r="U1015">
        <v>0</v>
      </c>
      <c r="V1015">
        <v>2706</v>
      </c>
    </row>
    <row r="1016" spans="1:22" x14ac:dyDescent="0.25">
      <c r="A1016">
        <v>187830</v>
      </c>
      <c r="B1016">
        <v>131571452</v>
      </c>
      <c r="C1016" t="s">
        <v>5077</v>
      </c>
      <c r="D1016">
        <v>18796605</v>
      </c>
      <c r="E1016" t="s">
        <v>4949</v>
      </c>
      <c r="F1016" t="s">
        <v>847</v>
      </c>
      <c r="G1016" t="s">
        <v>504</v>
      </c>
      <c r="H1016" t="s">
        <v>505</v>
      </c>
      <c r="I1016" t="s">
        <v>35</v>
      </c>
      <c r="J1016" t="s">
        <v>320</v>
      </c>
      <c r="K1016" t="s">
        <v>2</v>
      </c>
      <c r="L1016" t="s">
        <v>103</v>
      </c>
      <c r="M1016" t="s">
        <v>427</v>
      </c>
      <c r="N1016" t="s">
        <v>850</v>
      </c>
      <c r="O1016" t="s">
        <v>40</v>
      </c>
      <c r="P1016" t="s">
        <v>5078</v>
      </c>
      <c r="Q1016" t="s">
        <v>42</v>
      </c>
      <c r="R1016" t="s">
        <v>167</v>
      </c>
      <c r="S1016">
        <v>1</v>
      </c>
      <c r="T1016">
        <v>2706</v>
      </c>
      <c r="U1016">
        <v>0</v>
      </c>
      <c r="V1016">
        <v>2706</v>
      </c>
    </row>
    <row r="1017" spans="1:22" x14ac:dyDescent="0.25">
      <c r="A1017">
        <v>187830</v>
      </c>
      <c r="B1017">
        <v>131536391</v>
      </c>
      <c r="C1017" t="s">
        <v>5079</v>
      </c>
      <c r="D1017">
        <v>18792705</v>
      </c>
      <c r="E1017" t="s">
        <v>4949</v>
      </c>
      <c r="F1017" t="s">
        <v>847</v>
      </c>
      <c r="G1017" t="s">
        <v>504</v>
      </c>
      <c r="H1017" t="s">
        <v>505</v>
      </c>
      <c r="I1017" t="s">
        <v>35</v>
      </c>
      <c r="J1017" t="s">
        <v>320</v>
      </c>
      <c r="K1017" t="s">
        <v>2</v>
      </c>
      <c r="L1017" t="s">
        <v>103</v>
      </c>
      <c r="M1017" t="s">
        <v>5080</v>
      </c>
      <c r="N1017" t="s">
        <v>850</v>
      </c>
      <c r="O1017" t="s">
        <v>40</v>
      </c>
      <c r="P1017" t="s">
        <v>5081</v>
      </c>
      <c r="Q1017" t="s">
        <v>96</v>
      </c>
      <c r="R1017" t="s">
        <v>410</v>
      </c>
      <c r="S1017">
        <v>1</v>
      </c>
      <c r="T1017">
        <v>2706</v>
      </c>
      <c r="U1017">
        <v>0</v>
      </c>
      <c r="V1017">
        <v>2706</v>
      </c>
    </row>
    <row r="1018" spans="1:22" x14ac:dyDescent="0.25">
      <c r="A1018">
        <v>187830</v>
      </c>
      <c r="B1018">
        <v>131411846</v>
      </c>
      <c r="C1018" t="s">
        <v>5082</v>
      </c>
      <c r="D1018">
        <v>18779738</v>
      </c>
      <c r="E1018" t="s">
        <v>4949</v>
      </c>
      <c r="F1018" t="s">
        <v>847</v>
      </c>
      <c r="G1018" t="s">
        <v>504</v>
      </c>
      <c r="H1018" t="s">
        <v>505</v>
      </c>
      <c r="I1018" t="s">
        <v>35</v>
      </c>
      <c r="J1018" t="s">
        <v>320</v>
      </c>
      <c r="K1018" t="s">
        <v>2</v>
      </c>
      <c r="L1018" t="s">
        <v>103</v>
      </c>
      <c r="M1018" t="s">
        <v>444</v>
      </c>
      <c r="N1018" t="s">
        <v>850</v>
      </c>
      <c r="O1018" t="s">
        <v>40</v>
      </c>
      <c r="P1018" t="s">
        <v>5083</v>
      </c>
      <c r="Q1018" t="s">
        <v>37</v>
      </c>
      <c r="R1018" t="s">
        <v>488</v>
      </c>
      <c r="S1018">
        <v>1</v>
      </c>
      <c r="T1018">
        <v>2706</v>
      </c>
      <c r="U1018">
        <v>0</v>
      </c>
      <c r="V1018">
        <v>2706</v>
      </c>
    </row>
    <row r="1019" spans="1:22" x14ac:dyDescent="0.25">
      <c r="A1019">
        <v>187830</v>
      </c>
      <c r="B1019">
        <v>131411849</v>
      </c>
      <c r="C1019" t="s">
        <v>5084</v>
      </c>
      <c r="D1019">
        <v>18779737</v>
      </c>
      <c r="E1019" t="s">
        <v>4949</v>
      </c>
      <c r="F1019" t="s">
        <v>847</v>
      </c>
      <c r="G1019" t="s">
        <v>504</v>
      </c>
      <c r="H1019" t="s">
        <v>505</v>
      </c>
      <c r="I1019" t="s">
        <v>35</v>
      </c>
      <c r="J1019" t="s">
        <v>320</v>
      </c>
      <c r="K1019" t="s">
        <v>2</v>
      </c>
      <c r="L1019" t="s">
        <v>103</v>
      </c>
      <c r="M1019" t="s">
        <v>5085</v>
      </c>
      <c r="N1019" t="s">
        <v>850</v>
      </c>
      <c r="O1019" t="s">
        <v>40</v>
      </c>
      <c r="P1019" t="s">
        <v>5086</v>
      </c>
      <c r="Q1019" t="s">
        <v>37</v>
      </c>
      <c r="R1019" t="s">
        <v>488</v>
      </c>
      <c r="S1019">
        <v>1</v>
      </c>
      <c r="T1019">
        <v>2706</v>
      </c>
      <c r="U1019">
        <v>0</v>
      </c>
      <c r="V1019">
        <v>2706</v>
      </c>
    </row>
    <row r="1020" spans="1:22" x14ac:dyDescent="0.25">
      <c r="A1020">
        <v>187830</v>
      </c>
      <c r="B1020">
        <v>131411855</v>
      </c>
      <c r="C1020" t="s">
        <v>5087</v>
      </c>
      <c r="D1020">
        <v>18779735</v>
      </c>
      <c r="E1020" t="s">
        <v>4949</v>
      </c>
      <c r="F1020" t="s">
        <v>847</v>
      </c>
      <c r="G1020" t="s">
        <v>504</v>
      </c>
      <c r="H1020" t="s">
        <v>505</v>
      </c>
      <c r="I1020" t="s">
        <v>35</v>
      </c>
      <c r="J1020" t="s">
        <v>320</v>
      </c>
      <c r="K1020" t="s">
        <v>2</v>
      </c>
      <c r="L1020" t="s">
        <v>103</v>
      </c>
      <c r="M1020" t="s">
        <v>5088</v>
      </c>
      <c r="N1020" t="s">
        <v>850</v>
      </c>
      <c r="O1020" t="s">
        <v>40</v>
      </c>
      <c r="P1020" t="s">
        <v>5089</v>
      </c>
      <c r="Q1020" t="s">
        <v>44</v>
      </c>
      <c r="R1020" t="s">
        <v>488</v>
      </c>
      <c r="S1020">
        <v>1</v>
      </c>
      <c r="T1020">
        <v>2706</v>
      </c>
      <c r="U1020">
        <v>0</v>
      </c>
      <c r="V1020">
        <v>2706</v>
      </c>
    </row>
    <row r="1021" spans="1:22" x14ac:dyDescent="0.25">
      <c r="A1021">
        <v>187830</v>
      </c>
      <c r="B1021">
        <v>131460620</v>
      </c>
      <c r="C1021" t="s">
        <v>5090</v>
      </c>
      <c r="D1021" t="s">
        <v>5091</v>
      </c>
      <c r="E1021" t="s">
        <v>4949</v>
      </c>
      <c r="F1021" t="s">
        <v>847</v>
      </c>
      <c r="G1021" t="s">
        <v>142</v>
      </c>
      <c r="H1021" t="s">
        <v>143</v>
      </c>
      <c r="I1021" t="s">
        <v>35</v>
      </c>
      <c r="J1021" t="s">
        <v>144</v>
      </c>
      <c r="K1021" t="s">
        <v>2</v>
      </c>
      <c r="L1021" t="s">
        <v>5092</v>
      </c>
      <c r="M1021" t="s">
        <v>5093</v>
      </c>
      <c r="N1021" t="s">
        <v>850</v>
      </c>
      <c r="O1021" t="s">
        <v>40</v>
      </c>
      <c r="P1021" t="s">
        <v>5094</v>
      </c>
      <c r="Q1021" t="s">
        <v>49</v>
      </c>
      <c r="R1021" t="s">
        <v>311</v>
      </c>
      <c r="S1021">
        <v>0.82</v>
      </c>
      <c r="T1021">
        <v>3366</v>
      </c>
      <c r="U1021">
        <v>0</v>
      </c>
      <c r="V1021">
        <v>3366</v>
      </c>
    </row>
    <row r="1022" spans="1:22" x14ac:dyDescent="0.25">
      <c r="A1022">
        <v>187830</v>
      </c>
      <c r="B1022">
        <v>131993104</v>
      </c>
      <c r="C1022" t="s">
        <v>5095</v>
      </c>
      <c r="D1022" t="s">
        <v>5096</v>
      </c>
      <c r="E1022" t="s">
        <v>4949</v>
      </c>
      <c r="F1022" t="s">
        <v>847</v>
      </c>
      <c r="G1022" t="s">
        <v>142</v>
      </c>
      <c r="H1022" t="s">
        <v>143</v>
      </c>
      <c r="I1022" t="s">
        <v>35</v>
      </c>
      <c r="J1022" t="s">
        <v>144</v>
      </c>
      <c r="K1022" t="s">
        <v>2</v>
      </c>
      <c r="L1022" t="s">
        <v>5097</v>
      </c>
      <c r="M1022" t="s">
        <v>5098</v>
      </c>
      <c r="N1022" t="s">
        <v>850</v>
      </c>
      <c r="O1022" t="s">
        <v>40</v>
      </c>
      <c r="P1022" t="s">
        <v>5099</v>
      </c>
      <c r="Q1022" t="s">
        <v>48</v>
      </c>
      <c r="R1022" t="s">
        <v>5100</v>
      </c>
      <c r="S1022">
        <v>1</v>
      </c>
      <c r="T1022">
        <v>3366</v>
      </c>
      <c r="U1022">
        <v>0</v>
      </c>
      <c r="V1022">
        <v>3366</v>
      </c>
    </row>
    <row r="1023" spans="1:22" x14ac:dyDescent="0.25">
      <c r="A1023">
        <v>187830</v>
      </c>
      <c r="B1023">
        <v>131935701</v>
      </c>
      <c r="C1023" t="s">
        <v>5101</v>
      </c>
      <c r="D1023" t="s">
        <v>5102</v>
      </c>
      <c r="E1023" t="s">
        <v>4949</v>
      </c>
      <c r="F1023" t="s">
        <v>847</v>
      </c>
      <c r="G1023" t="s">
        <v>142</v>
      </c>
      <c r="H1023" t="s">
        <v>143</v>
      </c>
      <c r="I1023" t="s">
        <v>35</v>
      </c>
      <c r="J1023" t="s">
        <v>144</v>
      </c>
      <c r="K1023" t="s">
        <v>2</v>
      </c>
      <c r="L1023" t="s">
        <v>5103</v>
      </c>
      <c r="M1023" t="s">
        <v>5104</v>
      </c>
      <c r="N1023" t="s">
        <v>850</v>
      </c>
      <c r="O1023" t="s">
        <v>40</v>
      </c>
      <c r="P1023" t="s">
        <v>5105</v>
      </c>
      <c r="Q1023" t="s">
        <v>65</v>
      </c>
      <c r="R1023" t="s">
        <v>440</v>
      </c>
      <c r="S1023">
        <v>1</v>
      </c>
      <c r="T1023">
        <v>3366</v>
      </c>
      <c r="U1023">
        <v>0</v>
      </c>
      <c r="V1023">
        <v>3366</v>
      </c>
    </row>
    <row r="1024" spans="1:22" x14ac:dyDescent="0.25">
      <c r="A1024">
        <v>187830</v>
      </c>
      <c r="B1024">
        <v>131868061</v>
      </c>
      <c r="C1024" t="s">
        <v>5106</v>
      </c>
      <c r="D1024" t="s">
        <v>5107</v>
      </c>
      <c r="E1024" t="s">
        <v>4949</v>
      </c>
      <c r="F1024" t="s">
        <v>847</v>
      </c>
      <c r="G1024" t="s">
        <v>142</v>
      </c>
      <c r="H1024" t="s">
        <v>143</v>
      </c>
      <c r="I1024" t="s">
        <v>35</v>
      </c>
      <c r="J1024" t="s">
        <v>144</v>
      </c>
      <c r="K1024" t="s">
        <v>2</v>
      </c>
      <c r="L1024" t="s">
        <v>5108</v>
      </c>
      <c r="M1024" t="s">
        <v>5109</v>
      </c>
      <c r="N1024" t="s">
        <v>850</v>
      </c>
      <c r="O1024" t="s">
        <v>40</v>
      </c>
      <c r="P1024" t="s">
        <v>5110</v>
      </c>
      <c r="Q1024" t="s">
        <v>49</v>
      </c>
      <c r="R1024" t="s">
        <v>473</v>
      </c>
      <c r="S1024">
        <v>1</v>
      </c>
      <c r="T1024">
        <v>3366</v>
      </c>
      <c r="U1024">
        <v>0</v>
      </c>
      <c r="V1024">
        <v>3366</v>
      </c>
    </row>
    <row r="1025" spans="1:22" x14ac:dyDescent="0.25">
      <c r="A1025">
        <v>187830</v>
      </c>
      <c r="B1025">
        <v>131783219</v>
      </c>
      <c r="C1025" t="s">
        <v>5111</v>
      </c>
      <c r="D1025" t="s">
        <v>5112</v>
      </c>
      <c r="E1025" t="s">
        <v>4949</v>
      </c>
      <c r="F1025" t="s">
        <v>847</v>
      </c>
      <c r="G1025" t="s">
        <v>142</v>
      </c>
      <c r="H1025" t="s">
        <v>143</v>
      </c>
      <c r="I1025" t="s">
        <v>35</v>
      </c>
      <c r="J1025" t="s">
        <v>144</v>
      </c>
      <c r="K1025" t="s">
        <v>2</v>
      </c>
      <c r="L1025" t="s">
        <v>5113</v>
      </c>
      <c r="M1025" t="s">
        <v>712</v>
      </c>
      <c r="N1025" t="s">
        <v>850</v>
      </c>
      <c r="O1025" t="s">
        <v>40</v>
      </c>
      <c r="P1025" t="s">
        <v>5114</v>
      </c>
      <c r="Q1025" t="s">
        <v>46</v>
      </c>
      <c r="R1025" t="s">
        <v>5115</v>
      </c>
      <c r="S1025">
        <v>1</v>
      </c>
      <c r="T1025">
        <v>3366</v>
      </c>
      <c r="U1025">
        <v>0</v>
      </c>
      <c r="V1025">
        <v>3366</v>
      </c>
    </row>
    <row r="1026" spans="1:22" x14ac:dyDescent="0.25">
      <c r="A1026">
        <v>187830</v>
      </c>
      <c r="B1026">
        <v>131711714</v>
      </c>
      <c r="C1026" t="s">
        <v>5116</v>
      </c>
      <c r="D1026" t="s">
        <v>5117</v>
      </c>
      <c r="E1026" t="s">
        <v>4949</v>
      </c>
      <c r="F1026" t="s">
        <v>847</v>
      </c>
      <c r="G1026" t="s">
        <v>142</v>
      </c>
      <c r="H1026" t="s">
        <v>143</v>
      </c>
      <c r="I1026" t="s">
        <v>35</v>
      </c>
      <c r="J1026" t="s">
        <v>144</v>
      </c>
      <c r="K1026" t="s">
        <v>2</v>
      </c>
      <c r="L1026" t="s">
        <v>5118</v>
      </c>
      <c r="M1026" t="s">
        <v>5119</v>
      </c>
      <c r="N1026" t="s">
        <v>850</v>
      </c>
      <c r="O1026" t="s">
        <v>40</v>
      </c>
      <c r="P1026" t="s">
        <v>5120</v>
      </c>
      <c r="Q1026" t="s">
        <v>49</v>
      </c>
      <c r="R1026" t="s">
        <v>531</v>
      </c>
      <c r="S1026">
        <v>0.8</v>
      </c>
      <c r="T1026">
        <v>3366</v>
      </c>
      <c r="U1026">
        <v>0</v>
      </c>
      <c r="V1026">
        <v>3366</v>
      </c>
    </row>
    <row r="1027" spans="1:22" x14ac:dyDescent="0.25">
      <c r="A1027">
        <v>187830</v>
      </c>
      <c r="B1027">
        <v>131592286</v>
      </c>
      <c r="C1027" t="s">
        <v>5121</v>
      </c>
      <c r="D1027" t="s">
        <v>5122</v>
      </c>
      <c r="E1027" t="s">
        <v>4949</v>
      </c>
      <c r="F1027" t="s">
        <v>847</v>
      </c>
      <c r="G1027" t="s">
        <v>142</v>
      </c>
      <c r="H1027" t="s">
        <v>143</v>
      </c>
      <c r="I1027" t="s">
        <v>35</v>
      </c>
      <c r="J1027" t="s">
        <v>144</v>
      </c>
      <c r="K1027" t="s">
        <v>2</v>
      </c>
      <c r="L1027" t="s">
        <v>5123</v>
      </c>
      <c r="M1027" t="s">
        <v>5124</v>
      </c>
      <c r="N1027" t="s">
        <v>850</v>
      </c>
      <c r="O1027" t="s">
        <v>40</v>
      </c>
      <c r="P1027" t="s">
        <v>5125</v>
      </c>
      <c r="Q1027" t="s">
        <v>49</v>
      </c>
      <c r="R1027" t="s">
        <v>843</v>
      </c>
      <c r="S1027">
        <v>1</v>
      </c>
      <c r="T1027">
        <v>3366</v>
      </c>
      <c r="U1027">
        <v>0</v>
      </c>
      <c r="V1027">
        <v>3366</v>
      </c>
    </row>
    <row r="1028" spans="1:22" x14ac:dyDescent="0.25">
      <c r="A1028">
        <v>187830</v>
      </c>
      <c r="B1028">
        <v>131536390</v>
      </c>
      <c r="C1028" t="s">
        <v>5126</v>
      </c>
      <c r="D1028" t="s">
        <v>5127</v>
      </c>
      <c r="E1028" t="s">
        <v>4949</v>
      </c>
      <c r="F1028" t="s">
        <v>847</v>
      </c>
      <c r="G1028" t="s">
        <v>142</v>
      </c>
      <c r="H1028" t="s">
        <v>143</v>
      </c>
      <c r="I1028" t="s">
        <v>35</v>
      </c>
      <c r="J1028" t="s">
        <v>144</v>
      </c>
      <c r="K1028" t="s">
        <v>2</v>
      </c>
      <c r="L1028" t="s">
        <v>5128</v>
      </c>
      <c r="M1028" t="s">
        <v>5129</v>
      </c>
      <c r="N1028" t="s">
        <v>850</v>
      </c>
      <c r="O1028" t="s">
        <v>40</v>
      </c>
      <c r="P1028" t="s">
        <v>5130</v>
      </c>
      <c r="Q1028" t="s">
        <v>49</v>
      </c>
      <c r="R1028" t="s">
        <v>410</v>
      </c>
      <c r="S1028">
        <v>1</v>
      </c>
      <c r="T1028">
        <v>3366</v>
      </c>
      <c r="U1028">
        <v>0</v>
      </c>
      <c r="V1028">
        <v>3366</v>
      </c>
    </row>
    <row r="1029" spans="1:22" x14ac:dyDescent="0.25">
      <c r="A1029">
        <v>187830</v>
      </c>
      <c r="B1029">
        <v>131501860</v>
      </c>
      <c r="C1029" t="s">
        <v>5131</v>
      </c>
      <c r="D1029" t="s">
        <v>5132</v>
      </c>
      <c r="E1029" t="s">
        <v>4949</v>
      </c>
      <c r="F1029" t="s">
        <v>847</v>
      </c>
      <c r="G1029" t="s">
        <v>142</v>
      </c>
      <c r="H1029" t="s">
        <v>143</v>
      </c>
      <c r="I1029" t="s">
        <v>35</v>
      </c>
      <c r="J1029" t="s">
        <v>144</v>
      </c>
      <c r="K1029" t="s">
        <v>2</v>
      </c>
      <c r="L1029" t="s">
        <v>5133</v>
      </c>
      <c r="M1029" t="s">
        <v>5134</v>
      </c>
      <c r="N1029" t="s">
        <v>850</v>
      </c>
      <c r="O1029" t="s">
        <v>40</v>
      </c>
      <c r="P1029" t="s">
        <v>5135</v>
      </c>
      <c r="Q1029" t="s">
        <v>60</v>
      </c>
      <c r="R1029" t="s">
        <v>602</v>
      </c>
      <c r="S1029">
        <v>1</v>
      </c>
      <c r="T1029">
        <v>3366</v>
      </c>
      <c r="U1029">
        <v>0</v>
      </c>
      <c r="V1029">
        <v>3366</v>
      </c>
    </row>
    <row r="1030" spans="1:22" x14ac:dyDescent="0.25">
      <c r="A1030">
        <v>187830</v>
      </c>
      <c r="B1030">
        <v>131460617</v>
      </c>
      <c r="C1030" t="s">
        <v>5136</v>
      </c>
      <c r="D1030" t="s">
        <v>5137</v>
      </c>
      <c r="E1030" t="s">
        <v>4949</v>
      </c>
      <c r="F1030" t="s">
        <v>847</v>
      </c>
      <c r="G1030" t="s">
        <v>142</v>
      </c>
      <c r="H1030" t="s">
        <v>143</v>
      </c>
      <c r="I1030" t="s">
        <v>35</v>
      </c>
      <c r="J1030" t="s">
        <v>144</v>
      </c>
      <c r="K1030" t="s">
        <v>2</v>
      </c>
      <c r="L1030" t="s">
        <v>5138</v>
      </c>
      <c r="M1030" t="s">
        <v>5139</v>
      </c>
      <c r="N1030" t="s">
        <v>850</v>
      </c>
      <c r="O1030" t="s">
        <v>40</v>
      </c>
      <c r="P1030" t="s">
        <v>5140</v>
      </c>
      <c r="Q1030" t="s">
        <v>46</v>
      </c>
      <c r="R1030" t="s">
        <v>311</v>
      </c>
      <c r="S1030">
        <v>0.44</v>
      </c>
      <c r="T1030">
        <v>3299</v>
      </c>
      <c r="U1030">
        <v>0</v>
      </c>
      <c r="V1030">
        <v>3299</v>
      </c>
    </row>
    <row r="1031" spans="1:22" x14ac:dyDescent="0.25">
      <c r="A1031">
        <v>187830</v>
      </c>
      <c r="B1031">
        <v>131323001</v>
      </c>
      <c r="C1031" t="s">
        <v>5141</v>
      </c>
      <c r="D1031" t="s">
        <v>5142</v>
      </c>
      <c r="E1031" t="s">
        <v>4949</v>
      </c>
      <c r="F1031" t="s">
        <v>847</v>
      </c>
      <c r="G1031" t="s">
        <v>142</v>
      </c>
      <c r="H1031" t="s">
        <v>143</v>
      </c>
      <c r="I1031" t="s">
        <v>35</v>
      </c>
      <c r="J1031" t="s">
        <v>144</v>
      </c>
      <c r="K1031" t="s">
        <v>2</v>
      </c>
      <c r="L1031" t="s">
        <v>5143</v>
      </c>
      <c r="M1031" t="s">
        <v>5144</v>
      </c>
      <c r="N1031" t="s">
        <v>850</v>
      </c>
      <c r="O1031" t="s">
        <v>40</v>
      </c>
      <c r="P1031" t="s">
        <v>5145</v>
      </c>
      <c r="Q1031" t="s">
        <v>47</v>
      </c>
      <c r="R1031" t="s">
        <v>553</v>
      </c>
      <c r="S1031">
        <v>1</v>
      </c>
      <c r="T1031">
        <v>3366</v>
      </c>
      <c r="U1031">
        <v>0</v>
      </c>
      <c r="V1031">
        <v>3366</v>
      </c>
    </row>
    <row r="1032" spans="1:22" x14ac:dyDescent="0.25">
      <c r="A1032">
        <v>187830</v>
      </c>
      <c r="B1032">
        <v>131322997</v>
      </c>
      <c r="C1032" t="s">
        <v>5146</v>
      </c>
      <c r="D1032" t="s">
        <v>5147</v>
      </c>
      <c r="E1032" t="s">
        <v>4949</v>
      </c>
      <c r="F1032" t="s">
        <v>847</v>
      </c>
      <c r="G1032" t="s">
        <v>142</v>
      </c>
      <c r="H1032" t="s">
        <v>143</v>
      </c>
      <c r="I1032" t="s">
        <v>35</v>
      </c>
      <c r="J1032" t="s">
        <v>144</v>
      </c>
      <c r="K1032" t="s">
        <v>2</v>
      </c>
      <c r="L1032" t="s">
        <v>5148</v>
      </c>
      <c r="M1032" t="s">
        <v>5149</v>
      </c>
      <c r="N1032" t="s">
        <v>850</v>
      </c>
      <c r="O1032" t="s">
        <v>40</v>
      </c>
      <c r="P1032" t="s">
        <v>5150</v>
      </c>
      <c r="Q1032" t="s">
        <v>86</v>
      </c>
      <c r="R1032" t="s">
        <v>553</v>
      </c>
      <c r="S1032">
        <v>1</v>
      </c>
      <c r="T1032">
        <v>3366</v>
      </c>
      <c r="U1032">
        <v>0</v>
      </c>
      <c r="V1032">
        <v>3366</v>
      </c>
    </row>
    <row r="1033" spans="1:22" x14ac:dyDescent="0.25">
      <c r="A1033">
        <v>187830</v>
      </c>
      <c r="B1033">
        <v>131279540</v>
      </c>
      <c r="C1033" t="s">
        <v>5151</v>
      </c>
      <c r="D1033" t="s">
        <v>5152</v>
      </c>
      <c r="E1033" t="s">
        <v>4949</v>
      </c>
      <c r="F1033" t="s">
        <v>847</v>
      </c>
      <c r="G1033" t="s">
        <v>142</v>
      </c>
      <c r="H1033" t="s">
        <v>143</v>
      </c>
      <c r="I1033" t="s">
        <v>35</v>
      </c>
      <c r="J1033" t="s">
        <v>144</v>
      </c>
      <c r="K1033" t="s">
        <v>2</v>
      </c>
      <c r="L1033" t="s">
        <v>5153</v>
      </c>
      <c r="M1033" t="s">
        <v>5129</v>
      </c>
      <c r="N1033" t="s">
        <v>850</v>
      </c>
      <c r="O1033" t="s">
        <v>40</v>
      </c>
      <c r="P1033" t="s">
        <v>5154</v>
      </c>
      <c r="Q1033" t="s">
        <v>49</v>
      </c>
      <c r="R1033" t="s">
        <v>828</v>
      </c>
      <c r="S1033">
        <v>1</v>
      </c>
      <c r="T1033">
        <v>4338</v>
      </c>
      <c r="U1033">
        <v>0</v>
      </c>
      <c r="V1033">
        <v>4338</v>
      </c>
    </row>
    <row r="1034" spans="1:22" x14ac:dyDescent="0.25">
      <c r="A1034">
        <v>187830</v>
      </c>
      <c r="B1034">
        <v>131642140</v>
      </c>
      <c r="C1034" t="s">
        <v>5155</v>
      </c>
      <c r="D1034" t="s">
        <v>5156</v>
      </c>
      <c r="E1034" t="s">
        <v>4949</v>
      </c>
      <c r="F1034" t="s">
        <v>847</v>
      </c>
      <c r="G1034" t="s">
        <v>142</v>
      </c>
      <c r="H1034" t="s">
        <v>143</v>
      </c>
      <c r="I1034" t="s">
        <v>35</v>
      </c>
      <c r="J1034" t="s">
        <v>144</v>
      </c>
      <c r="K1034" t="s">
        <v>2</v>
      </c>
      <c r="L1034" t="s">
        <v>5157</v>
      </c>
      <c r="M1034" t="s">
        <v>5158</v>
      </c>
      <c r="N1034" t="s">
        <v>850</v>
      </c>
      <c r="O1034" t="s">
        <v>40</v>
      </c>
      <c r="P1034" t="s">
        <v>5159</v>
      </c>
      <c r="Q1034" t="s">
        <v>154</v>
      </c>
      <c r="R1034" t="s">
        <v>443</v>
      </c>
      <c r="S1034">
        <v>0.22</v>
      </c>
      <c r="T1034">
        <v>3449</v>
      </c>
      <c r="U1034">
        <v>0</v>
      </c>
      <c r="V1034">
        <v>3449</v>
      </c>
    </row>
    <row r="1035" spans="1:22" x14ac:dyDescent="0.25">
      <c r="A1035">
        <v>187830</v>
      </c>
      <c r="B1035">
        <v>131868064</v>
      </c>
      <c r="C1035" t="s">
        <v>5160</v>
      </c>
      <c r="D1035" t="s">
        <v>5161</v>
      </c>
      <c r="E1035" t="s">
        <v>4949</v>
      </c>
      <c r="F1035" t="s">
        <v>847</v>
      </c>
      <c r="G1035" t="s">
        <v>142</v>
      </c>
      <c r="H1035" t="s">
        <v>143</v>
      </c>
      <c r="I1035" t="s">
        <v>35</v>
      </c>
      <c r="J1035" t="s">
        <v>144</v>
      </c>
      <c r="K1035" t="s">
        <v>2</v>
      </c>
      <c r="L1035" t="s">
        <v>5162</v>
      </c>
      <c r="M1035" t="s">
        <v>5163</v>
      </c>
      <c r="N1035" t="s">
        <v>850</v>
      </c>
      <c r="O1035" t="s">
        <v>40</v>
      </c>
      <c r="P1035" t="s">
        <v>5164</v>
      </c>
      <c r="Q1035" t="s">
        <v>79</v>
      </c>
      <c r="R1035" t="s">
        <v>473</v>
      </c>
      <c r="S1035">
        <v>1</v>
      </c>
      <c r="T1035">
        <v>3501</v>
      </c>
      <c r="U1035">
        <v>0</v>
      </c>
      <c r="V1035">
        <v>3501</v>
      </c>
    </row>
    <row r="1036" spans="1:22" x14ac:dyDescent="0.25">
      <c r="A1036">
        <v>187830</v>
      </c>
      <c r="B1036">
        <v>131829650</v>
      </c>
      <c r="C1036" t="s">
        <v>5165</v>
      </c>
      <c r="D1036" t="s">
        <v>5166</v>
      </c>
      <c r="E1036" t="s">
        <v>4949</v>
      </c>
      <c r="F1036" t="s">
        <v>847</v>
      </c>
      <c r="G1036" t="s">
        <v>142</v>
      </c>
      <c r="H1036" t="s">
        <v>143</v>
      </c>
      <c r="I1036" t="s">
        <v>35</v>
      </c>
      <c r="J1036" t="s">
        <v>144</v>
      </c>
      <c r="K1036" t="s">
        <v>2</v>
      </c>
      <c r="L1036" t="s">
        <v>5167</v>
      </c>
      <c r="M1036" t="s">
        <v>5168</v>
      </c>
      <c r="N1036" t="s">
        <v>850</v>
      </c>
      <c r="O1036" t="s">
        <v>40</v>
      </c>
      <c r="P1036" t="s">
        <v>5169</v>
      </c>
      <c r="Q1036" t="s">
        <v>55</v>
      </c>
      <c r="R1036" t="s">
        <v>390</v>
      </c>
      <c r="S1036">
        <v>1</v>
      </c>
      <c r="T1036">
        <v>3501</v>
      </c>
      <c r="U1036">
        <v>0</v>
      </c>
      <c r="V1036">
        <v>3501</v>
      </c>
    </row>
    <row r="1037" spans="1:22" x14ac:dyDescent="0.25">
      <c r="A1037">
        <v>187830</v>
      </c>
      <c r="B1037">
        <v>131783221</v>
      </c>
      <c r="C1037" t="s">
        <v>5170</v>
      </c>
      <c r="D1037" t="s">
        <v>5171</v>
      </c>
      <c r="E1037" t="s">
        <v>4949</v>
      </c>
      <c r="F1037" t="s">
        <v>847</v>
      </c>
      <c r="G1037" t="s">
        <v>142</v>
      </c>
      <c r="H1037" t="s">
        <v>143</v>
      </c>
      <c r="I1037" t="s">
        <v>35</v>
      </c>
      <c r="J1037" t="s">
        <v>144</v>
      </c>
      <c r="K1037" t="s">
        <v>2</v>
      </c>
      <c r="L1037" t="s">
        <v>5172</v>
      </c>
      <c r="M1037" t="s">
        <v>5173</v>
      </c>
      <c r="N1037" t="s">
        <v>850</v>
      </c>
      <c r="O1037" t="s">
        <v>40</v>
      </c>
      <c r="P1037" t="s">
        <v>5174</v>
      </c>
      <c r="Q1037" t="s">
        <v>79</v>
      </c>
      <c r="R1037" t="s">
        <v>5115</v>
      </c>
      <c r="S1037">
        <v>1</v>
      </c>
      <c r="T1037">
        <v>3501</v>
      </c>
      <c r="U1037">
        <v>0</v>
      </c>
      <c r="V1037">
        <v>3501</v>
      </c>
    </row>
    <row r="1038" spans="1:22" x14ac:dyDescent="0.25">
      <c r="A1038">
        <v>187830</v>
      </c>
      <c r="B1038">
        <v>131742481</v>
      </c>
      <c r="C1038" t="s">
        <v>5175</v>
      </c>
      <c r="D1038" t="s">
        <v>5176</v>
      </c>
      <c r="E1038" t="s">
        <v>4949</v>
      </c>
      <c r="F1038" t="s">
        <v>847</v>
      </c>
      <c r="G1038" t="s">
        <v>142</v>
      </c>
      <c r="H1038" t="s">
        <v>143</v>
      </c>
      <c r="I1038" t="s">
        <v>35</v>
      </c>
      <c r="J1038" t="s">
        <v>144</v>
      </c>
      <c r="K1038" t="s">
        <v>2</v>
      </c>
      <c r="L1038" t="s">
        <v>5177</v>
      </c>
      <c r="M1038" t="s">
        <v>5178</v>
      </c>
      <c r="N1038" t="s">
        <v>850</v>
      </c>
      <c r="O1038" t="s">
        <v>40</v>
      </c>
      <c r="P1038" t="s">
        <v>5179</v>
      </c>
      <c r="Q1038" t="s">
        <v>79</v>
      </c>
      <c r="R1038" t="s">
        <v>768</v>
      </c>
      <c r="S1038">
        <v>0.18</v>
      </c>
      <c r="T1038">
        <v>3449</v>
      </c>
      <c r="U1038">
        <v>0</v>
      </c>
      <c r="V1038">
        <v>3449</v>
      </c>
    </row>
    <row r="1039" spans="1:22" x14ac:dyDescent="0.25">
      <c r="A1039">
        <v>187830</v>
      </c>
      <c r="B1039">
        <v>131642167</v>
      </c>
      <c r="C1039" t="s">
        <v>5180</v>
      </c>
      <c r="D1039" t="s">
        <v>5181</v>
      </c>
      <c r="E1039" t="s">
        <v>4949</v>
      </c>
      <c r="F1039" t="s">
        <v>847</v>
      </c>
      <c r="G1039" t="s">
        <v>142</v>
      </c>
      <c r="H1039" t="s">
        <v>143</v>
      </c>
      <c r="I1039" t="s">
        <v>35</v>
      </c>
      <c r="J1039" t="s">
        <v>144</v>
      </c>
      <c r="K1039" t="s">
        <v>2</v>
      </c>
      <c r="L1039" t="s">
        <v>5182</v>
      </c>
      <c r="M1039" t="s">
        <v>5173</v>
      </c>
      <c r="N1039" t="s">
        <v>850</v>
      </c>
      <c r="O1039" t="s">
        <v>40</v>
      </c>
      <c r="P1039" t="s">
        <v>5183</v>
      </c>
      <c r="Q1039" t="s">
        <v>79</v>
      </c>
      <c r="R1039" t="s">
        <v>443</v>
      </c>
      <c r="S1039">
        <v>1</v>
      </c>
      <c r="T1039">
        <v>3501</v>
      </c>
      <c r="U1039">
        <v>0</v>
      </c>
      <c r="V1039">
        <v>3501</v>
      </c>
    </row>
    <row r="1040" spans="1:22" x14ac:dyDescent="0.25">
      <c r="A1040">
        <v>187830</v>
      </c>
      <c r="B1040">
        <v>131571456</v>
      </c>
      <c r="C1040" t="s">
        <v>5184</v>
      </c>
      <c r="D1040" t="s">
        <v>5185</v>
      </c>
      <c r="E1040" t="s">
        <v>4949</v>
      </c>
      <c r="F1040" t="s">
        <v>847</v>
      </c>
      <c r="G1040" t="s">
        <v>142</v>
      </c>
      <c r="H1040" t="s">
        <v>143</v>
      </c>
      <c r="I1040" t="s">
        <v>35</v>
      </c>
      <c r="J1040" t="s">
        <v>144</v>
      </c>
      <c r="K1040" t="s">
        <v>2</v>
      </c>
      <c r="L1040" t="s">
        <v>5186</v>
      </c>
      <c r="M1040" t="s">
        <v>5187</v>
      </c>
      <c r="N1040" t="s">
        <v>850</v>
      </c>
      <c r="O1040" t="s">
        <v>40</v>
      </c>
      <c r="P1040" t="s">
        <v>5188</v>
      </c>
      <c r="Q1040" t="s">
        <v>79</v>
      </c>
      <c r="R1040" t="s">
        <v>167</v>
      </c>
      <c r="S1040">
        <v>1</v>
      </c>
      <c r="T1040">
        <v>3501</v>
      </c>
      <c r="U1040">
        <v>0</v>
      </c>
      <c r="V1040">
        <v>3501</v>
      </c>
    </row>
    <row r="1041" spans="1:22" x14ac:dyDescent="0.25">
      <c r="A1041">
        <v>187830</v>
      </c>
      <c r="B1041">
        <v>131411851</v>
      </c>
      <c r="C1041" t="s">
        <v>5189</v>
      </c>
      <c r="D1041" t="s">
        <v>5190</v>
      </c>
      <c r="E1041" t="s">
        <v>4949</v>
      </c>
      <c r="F1041" t="s">
        <v>847</v>
      </c>
      <c r="G1041" t="s">
        <v>142</v>
      </c>
      <c r="H1041" t="s">
        <v>143</v>
      </c>
      <c r="I1041" t="s">
        <v>35</v>
      </c>
      <c r="J1041" t="s">
        <v>144</v>
      </c>
      <c r="K1041" t="s">
        <v>2</v>
      </c>
      <c r="L1041" t="s">
        <v>5191</v>
      </c>
      <c r="M1041" t="s">
        <v>5192</v>
      </c>
      <c r="N1041" t="s">
        <v>850</v>
      </c>
      <c r="O1041" t="s">
        <v>40</v>
      </c>
      <c r="P1041" t="s">
        <v>5193</v>
      </c>
      <c r="Q1041" t="s">
        <v>79</v>
      </c>
      <c r="R1041" t="s">
        <v>488</v>
      </c>
      <c r="S1041">
        <v>1</v>
      </c>
      <c r="T1041">
        <v>3501</v>
      </c>
      <c r="U1041">
        <v>0</v>
      </c>
      <c r="V1041">
        <v>3501</v>
      </c>
    </row>
    <row r="1042" spans="1:22" x14ac:dyDescent="0.25">
      <c r="A1042">
        <v>187830</v>
      </c>
      <c r="B1042">
        <v>131783217</v>
      </c>
      <c r="C1042" t="s">
        <v>5194</v>
      </c>
      <c r="D1042" t="s">
        <v>5195</v>
      </c>
      <c r="E1042" t="s">
        <v>4949</v>
      </c>
      <c r="F1042" t="s">
        <v>847</v>
      </c>
      <c r="G1042" t="s">
        <v>142</v>
      </c>
      <c r="H1042" t="s">
        <v>143</v>
      </c>
      <c r="I1042" t="s">
        <v>35</v>
      </c>
      <c r="J1042" t="s">
        <v>144</v>
      </c>
      <c r="K1042" t="s">
        <v>2</v>
      </c>
      <c r="L1042" t="s">
        <v>5196</v>
      </c>
      <c r="M1042" t="s">
        <v>5197</v>
      </c>
      <c r="N1042" t="s">
        <v>850</v>
      </c>
      <c r="O1042" t="s">
        <v>40</v>
      </c>
      <c r="P1042" t="s">
        <v>5198</v>
      </c>
      <c r="Q1042" t="s">
        <v>50</v>
      </c>
      <c r="R1042" t="s">
        <v>5115</v>
      </c>
      <c r="S1042">
        <v>0.44</v>
      </c>
      <c r="T1042">
        <v>3680</v>
      </c>
      <c r="U1042">
        <v>0</v>
      </c>
      <c r="V1042">
        <v>3680</v>
      </c>
    </row>
    <row r="1043" spans="1:22" x14ac:dyDescent="0.25">
      <c r="A1043">
        <v>187830</v>
      </c>
      <c r="B1043">
        <v>131642165</v>
      </c>
      <c r="C1043" t="s">
        <v>5199</v>
      </c>
      <c r="D1043" t="s">
        <v>5200</v>
      </c>
      <c r="E1043" t="s">
        <v>4949</v>
      </c>
      <c r="F1043" t="s">
        <v>847</v>
      </c>
      <c r="G1043" t="s">
        <v>142</v>
      </c>
      <c r="H1043" t="s">
        <v>143</v>
      </c>
      <c r="I1043" t="s">
        <v>35</v>
      </c>
      <c r="J1043" t="s">
        <v>144</v>
      </c>
      <c r="K1043" t="s">
        <v>2</v>
      </c>
      <c r="L1043" t="s">
        <v>5201</v>
      </c>
      <c r="M1043" t="s">
        <v>5202</v>
      </c>
      <c r="N1043" t="s">
        <v>850</v>
      </c>
      <c r="O1043" t="s">
        <v>40</v>
      </c>
      <c r="P1043" t="s">
        <v>5203</v>
      </c>
      <c r="Q1043" t="s">
        <v>74</v>
      </c>
      <c r="R1043" t="s">
        <v>443</v>
      </c>
      <c r="S1043">
        <v>0.22</v>
      </c>
      <c r="T1043">
        <v>3680</v>
      </c>
      <c r="U1043">
        <v>0</v>
      </c>
      <c r="V1043">
        <v>3680</v>
      </c>
    </row>
    <row r="1044" spans="1:22" x14ac:dyDescent="0.25">
      <c r="A1044">
        <v>187830</v>
      </c>
      <c r="B1044">
        <v>131642142</v>
      </c>
      <c r="C1044" t="s">
        <v>5204</v>
      </c>
      <c r="D1044" t="s">
        <v>5205</v>
      </c>
      <c r="E1044" t="s">
        <v>4949</v>
      </c>
      <c r="F1044" t="s">
        <v>847</v>
      </c>
      <c r="G1044" t="s">
        <v>142</v>
      </c>
      <c r="H1044" t="s">
        <v>143</v>
      </c>
      <c r="I1044" t="s">
        <v>35</v>
      </c>
      <c r="J1044" t="s">
        <v>144</v>
      </c>
      <c r="K1044" t="s">
        <v>2</v>
      </c>
      <c r="L1044" t="s">
        <v>5206</v>
      </c>
      <c r="M1044" t="s">
        <v>5207</v>
      </c>
      <c r="N1044" t="s">
        <v>850</v>
      </c>
      <c r="O1044" t="s">
        <v>40</v>
      </c>
      <c r="P1044" t="s">
        <v>5208</v>
      </c>
      <c r="Q1044" t="s">
        <v>82</v>
      </c>
      <c r="R1044" t="s">
        <v>443</v>
      </c>
      <c r="S1044">
        <v>0.22</v>
      </c>
      <c r="T1044">
        <v>3680</v>
      </c>
      <c r="U1044">
        <v>0</v>
      </c>
      <c r="V1044">
        <v>3680</v>
      </c>
    </row>
    <row r="1045" spans="1:22" x14ac:dyDescent="0.25">
      <c r="A1045">
        <v>187830</v>
      </c>
      <c r="B1045">
        <v>131592287</v>
      </c>
      <c r="C1045" t="s">
        <v>5209</v>
      </c>
      <c r="D1045" t="s">
        <v>5210</v>
      </c>
      <c r="E1045" t="s">
        <v>4949</v>
      </c>
      <c r="F1045" t="s">
        <v>847</v>
      </c>
      <c r="G1045" t="s">
        <v>142</v>
      </c>
      <c r="H1045" t="s">
        <v>143</v>
      </c>
      <c r="I1045" t="s">
        <v>35</v>
      </c>
      <c r="J1045" t="s">
        <v>144</v>
      </c>
      <c r="K1045" t="s">
        <v>2</v>
      </c>
      <c r="L1045" t="s">
        <v>5211</v>
      </c>
      <c r="M1045" t="s">
        <v>5212</v>
      </c>
      <c r="N1045" t="s">
        <v>850</v>
      </c>
      <c r="O1045" t="s">
        <v>40</v>
      </c>
      <c r="P1045" t="s">
        <v>5213</v>
      </c>
      <c r="Q1045" t="s">
        <v>74</v>
      </c>
      <c r="R1045" t="s">
        <v>843</v>
      </c>
      <c r="S1045">
        <v>0.22</v>
      </c>
      <c r="T1045">
        <v>3680</v>
      </c>
      <c r="U1045">
        <v>0</v>
      </c>
      <c r="V1045">
        <v>3680</v>
      </c>
    </row>
    <row r="1046" spans="1:22" x14ac:dyDescent="0.25">
      <c r="A1046">
        <v>187830</v>
      </c>
      <c r="B1046">
        <v>131411845</v>
      </c>
      <c r="C1046" t="s">
        <v>5214</v>
      </c>
      <c r="D1046" t="s">
        <v>5215</v>
      </c>
      <c r="E1046" t="s">
        <v>4949</v>
      </c>
      <c r="F1046" t="s">
        <v>847</v>
      </c>
      <c r="G1046" t="s">
        <v>142</v>
      </c>
      <c r="H1046" t="s">
        <v>143</v>
      </c>
      <c r="I1046" t="s">
        <v>35</v>
      </c>
      <c r="J1046" t="s">
        <v>144</v>
      </c>
      <c r="K1046" t="s">
        <v>2</v>
      </c>
      <c r="L1046" t="s">
        <v>5216</v>
      </c>
      <c r="M1046" t="s">
        <v>5217</v>
      </c>
      <c r="N1046" t="s">
        <v>850</v>
      </c>
      <c r="O1046" t="s">
        <v>40</v>
      </c>
      <c r="P1046" t="s">
        <v>5218</v>
      </c>
      <c r="Q1046" t="s">
        <v>82</v>
      </c>
      <c r="R1046" t="s">
        <v>488</v>
      </c>
      <c r="S1046">
        <v>0.22</v>
      </c>
      <c r="T1046">
        <v>3680</v>
      </c>
      <c r="U1046">
        <v>0</v>
      </c>
      <c r="V1046">
        <v>3680</v>
      </c>
    </row>
    <row r="1047" spans="1:22" x14ac:dyDescent="0.25">
      <c r="A1047">
        <v>187830</v>
      </c>
      <c r="B1047">
        <v>132153819</v>
      </c>
      <c r="C1047" t="s">
        <v>5219</v>
      </c>
      <c r="D1047" t="s">
        <v>5220</v>
      </c>
      <c r="E1047" t="s">
        <v>4949</v>
      </c>
      <c r="F1047" t="s">
        <v>847</v>
      </c>
      <c r="G1047" t="s">
        <v>142</v>
      </c>
      <c r="H1047" t="s">
        <v>143</v>
      </c>
      <c r="I1047" t="s">
        <v>35</v>
      </c>
      <c r="J1047" t="s">
        <v>144</v>
      </c>
      <c r="K1047" t="s">
        <v>2</v>
      </c>
      <c r="L1047" t="s">
        <v>5221</v>
      </c>
      <c r="M1047" t="s">
        <v>5222</v>
      </c>
      <c r="N1047" t="s">
        <v>850</v>
      </c>
      <c r="O1047" t="s">
        <v>40</v>
      </c>
      <c r="P1047" t="s">
        <v>5223</v>
      </c>
      <c r="Q1047" t="s">
        <v>50</v>
      </c>
      <c r="R1047" t="s">
        <v>746</v>
      </c>
      <c r="S1047">
        <v>0.65</v>
      </c>
      <c r="T1047">
        <v>3753</v>
      </c>
      <c r="U1047">
        <v>0</v>
      </c>
      <c r="V1047">
        <v>3753</v>
      </c>
    </row>
    <row r="1048" spans="1:22" x14ac:dyDescent="0.25">
      <c r="A1048">
        <v>187830</v>
      </c>
      <c r="B1048">
        <v>131993101</v>
      </c>
      <c r="C1048" t="s">
        <v>5224</v>
      </c>
      <c r="D1048" t="s">
        <v>5225</v>
      </c>
      <c r="E1048" t="s">
        <v>4949</v>
      </c>
      <c r="F1048" t="s">
        <v>847</v>
      </c>
      <c r="G1048" t="s">
        <v>142</v>
      </c>
      <c r="H1048" t="s">
        <v>143</v>
      </c>
      <c r="I1048" t="s">
        <v>35</v>
      </c>
      <c r="J1048" t="s">
        <v>144</v>
      </c>
      <c r="K1048" t="s">
        <v>2</v>
      </c>
      <c r="L1048" t="s">
        <v>5226</v>
      </c>
      <c r="M1048" t="s">
        <v>5227</v>
      </c>
      <c r="N1048" t="s">
        <v>850</v>
      </c>
      <c r="O1048" t="s">
        <v>40</v>
      </c>
      <c r="P1048" t="s">
        <v>5228</v>
      </c>
      <c r="Q1048" t="s">
        <v>215</v>
      </c>
      <c r="R1048" t="s">
        <v>5100</v>
      </c>
      <c r="S1048">
        <v>1</v>
      </c>
      <c r="T1048">
        <v>3753</v>
      </c>
      <c r="U1048">
        <v>0</v>
      </c>
      <c r="V1048">
        <v>3753</v>
      </c>
    </row>
    <row r="1049" spans="1:22" x14ac:dyDescent="0.25">
      <c r="A1049">
        <v>187830</v>
      </c>
      <c r="B1049">
        <v>131902631</v>
      </c>
      <c r="C1049" t="s">
        <v>5229</v>
      </c>
      <c r="D1049" t="s">
        <v>5230</v>
      </c>
      <c r="E1049" t="s">
        <v>4949</v>
      </c>
      <c r="F1049" t="s">
        <v>847</v>
      </c>
      <c r="G1049" t="s">
        <v>142</v>
      </c>
      <c r="H1049" t="s">
        <v>143</v>
      </c>
      <c r="I1049" t="s">
        <v>35</v>
      </c>
      <c r="J1049" t="s">
        <v>144</v>
      </c>
      <c r="K1049" t="s">
        <v>2</v>
      </c>
      <c r="L1049" t="s">
        <v>5231</v>
      </c>
      <c r="M1049" t="s">
        <v>5232</v>
      </c>
      <c r="N1049" t="s">
        <v>850</v>
      </c>
      <c r="O1049" t="s">
        <v>40</v>
      </c>
      <c r="P1049" t="s">
        <v>5233</v>
      </c>
      <c r="Q1049" t="s">
        <v>62</v>
      </c>
      <c r="R1049" t="s">
        <v>713</v>
      </c>
      <c r="S1049">
        <v>0.65</v>
      </c>
      <c r="T1049">
        <v>3753</v>
      </c>
      <c r="U1049">
        <v>0</v>
      </c>
      <c r="V1049">
        <v>3753</v>
      </c>
    </row>
    <row r="1050" spans="1:22" x14ac:dyDescent="0.25">
      <c r="A1050">
        <v>187830</v>
      </c>
      <c r="B1050">
        <v>131868060</v>
      </c>
      <c r="C1050" t="s">
        <v>5234</v>
      </c>
      <c r="D1050" t="s">
        <v>5235</v>
      </c>
      <c r="E1050" t="s">
        <v>4949</v>
      </c>
      <c r="F1050" t="s">
        <v>847</v>
      </c>
      <c r="G1050" t="s">
        <v>142</v>
      </c>
      <c r="H1050" t="s">
        <v>143</v>
      </c>
      <c r="I1050" t="s">
        <v>35</v>
      </c>
      <c r="J1050" t="s">
        <v>144</v>
      </c>
      <c r="K1050" t="s">
        <v>2</v>
      </c>
      <c r="L1050" t="s">
        <v>5236</v>
      </c>
      <c r="M1050" t="s">
        <v>5237</v>
      </c>
      <c r="N1050" t="s">
        <v>850</v>
      </c>
      <c r="O1050" t="s">
        <v>40</v>
      </c>
      <c r="P1050" t="s">
        <v>5238</v>
      </c>
      <c r="Q1050" t="s">
        <v>58</v>
      </c>
      <c r="R1050" t="s">
        <v>473</v>
      </c>
      <c r="S1050">
        <v>1</v>
      </c>
      <c r="T1050">
        <v>3753</v>
      </c>
      <c r="U1050">
        <v>0</v>
      </c>
      <c r="V1050">
        <v>3753</v>
      </c>
    </row>
    <row r="1051" spans="1:22" x14ac:dyDescent="0.25">
      <c r="A1051">
        <v>187830</v>
      </c>
      <c r="B1051">
        <v>131829662</v>
      </c>
      <c r="C1051" t="s">
        <v>5239</v>
      </c>
      <c r="D1051" t="s">
        <v>5240</v>
      </c>
      <c r="E1051" t="s">
        <v>4949</v>
      </c>
      <c r="F1051" t="s">
        <v>847</v>
      </c>
      <c r="G1051" t="s">
        <v>142</v>
      </c>
      <c r="H1051" t="s">
        <v>143</v>
      </c>
      <c r="I1051" t="s">
        <v>35</v>
      </c>
      <c r="J1051" t="s">
        <v>144</v>
      </c>
      <c r="K1051" t="s">
        <v>2</v>
      </c>
      <c r="L1051" t="s">
        <v>5241</v>
      </c>
      <c r="M1051" t="s">
        <v>354</v>
      </c>
      <c r="N1051" t="s">
        <v>850</v>
      </c>
      <c r="O1051" t="s">
        <v>40</v>
      </c>
      <c r="P1051" t="s">
        <v>5242</v>
      </c>
      <c r="Q1051" t="s">
        <v>50</v>
      </c>
      <c r="R1051" t="s">
        <v>390</v>
      </c>
      <c r="S1051">
        <v>1</v>
      </c>
      <c r="T1051">
        <v>3753</v>
      </c>
      <c r="U1051">
        <v>0</v>
      </c>
      <c r="V1051">
        <v>3753</v>
      </c>
    </row>
    <row r="1052" spans="1:22" x14ac:dyDescent="0.25">
      <c r="A1052">
        <v>187830</v>
      </c>
      <c r="B1052">
        <v>131829655</v>
      </c>
      <c r="C1052" t="s">
        <v>5243</v>
      </c>
      <c r="D1052" t="s">
        <v>5244</v>
      </c>
      <c r="E1052" t="s">
        <v>4949</v>
      </c>
      <c r="F1052" t="s">
        <v>847</v>
      </c>
      <c r="G1052" t="s">
        <v>142</v>
      </c>
      <c r="H1052" t="s">
        <v>143</v>
      </c>
      <c r="I1052" t="s">
        <v>35</v>
      </c>
      <c r="J1052" t="s">
        <v>144</v>
      </c>
      <c r="K1052" t="s">
        <v>2</v>
      </c>
      <c r="L1052" t="s">
        <v>5245</v>
      </c>
      <c r="M1052" t="s">
        <v>5246</v>
      </c>
      <c r="N1052" t="s">
        <v>850</v>
      </c>
      <c r="O1052" t="s">
        <v>40</v>
      </c>
      <c r="P1052" t="s">
        <v>5247</v>
      </c>
      <c r="Q1052" t="s">
        <v>62</v>
      </c>
      <c r="R1052" t="s">
        <v>390</v>
      </c>
      <c r="S1052">
        <v>1</v>
      </c>
      <c r="T1052">
        <v>3753</v>
      </c>
      <c r="U1052">
        <v>0</v>
      </c>
      <c r="V1052">
        <v>3753</v>
      </c>
    </row>
    <row r="1053" spans="1:22" x14ac:dyDescent="0.25">
      <c r="A1053">
        <v>187830</v>
      </c>
      <c r="B1053">
        <v>131783215</v>
      </c>
      <c r="C1053" t="s">
        <v>5248</v>
      </c>
      <c r="D1053" t="s">
        <v>5249</v>
      </c>
      <c r="E1053" t="s">
        <v>4949</v>
      </c>
      <c r="F1053" t="s">
        <v>847</v>
      </c>
      <c r="G1053" t="s">
        <v>142</v>
      </c>
      <c r="H1053" t="s">
        <v>143</v>
      </c>
      <c r="I1053" t="s">
        <v>35</v>
      </c>
      <c r="J1053" t="s">
        <v>144</v>
      </c>
      <c r="K1053" t="s">
        <v>2</v>
      </c>
      <c r="L1053" t="s">
        <v>5250</v>
      </c>
      <c r="M1053" t="s">
        <v>5251</v>
      </c>
      <c r="N1053" t="s">
        <v>850</v>
      </c>
      <c r="O1053" t="s">
        <v>40</v>
      </c>
      <c r="P1053" t="s">
        <v>5252</v>
      </c>
      <c r="Q1053" t="s">
        <v>81</v>
      </c>
      <c r="R1053" t="s">
        <v>5115</v>
      </c>
      <c r="S1053">
        <v>1</v>
      </c>
      <c r="T1053">
        <v>3753</v>
      </c>
      <c r="U1053">
        <v>0</v>
      </c>
      <c r="V1053">
        <v>3753</v>
      </c>
    </row>
    <row r="1054" spans="1:22" x14ac:dyDescent="0.25">
      <c r="A1054">
        <v>187830</v>
      </c>
      <c r="B1054">
        <v>131829646</v>
      </c>
      <c r="C1054" t="s">
        <v>5253</v>
      </c>
      <c r="D1054" t="s">
        <v>5254</v>
      </c>
      <c r="E1054" t="s">
        <v>4949</v>
      </c>
      <c r="F1054" t="s">
        <v>847</v>
      </c>
      <c r="G1054" t="s">
        <v>142</v>
      </c>
      <c r="H1054" t="s">
        <v>143</v>
      </c>
      <c r="I1054" t="s">
        <v>35</v>
      </c>
      <c r="J1054" t="s">
        <v>144</v>
      </c>
      <c r="K1054" t="s">
        <v>2</v>
      </c>
      <c r="L1054" t="s">
        <v>5255</v>
      </c>
      <c r="M1054" t="s">
        <v>5256</v>
      </c>
      <c r="N1054" t="s">
        <v>850</v>
      </c>
      <c r="O1054" t="s">
        <v>40</v>
      </c>
      <c r="P1054" t="s">
        <v>5257</v>
      </c>
      <c r="Q1054" t="s">
        <v>58</v>
      </c>
      <c r="R1054" t="s">
        <v>390</v>
      </c>
      <c r="S1054">
        <v>1</v>
      </c>
      <c r="T1054">
        <v>3753</v>
      </c>
      <c r="U1054">
        <v>0</v>
      </c>
      <c r="V1054">
        <v>3753</v>
      </c>
    </row>
    <row r="1055" spans="1:22" x14ac:dyDescent="0.25">
      <c r="A1055">
        <v>187830</v>
      </c>
      <c r="B1055">
        <v>131783231</v>
      </c>
      <c r="C1055" t="s">
        <v>5258</v>
      </c>
      <c r="D1055" t="s">
        <v>5259</v>
      </c>
      <c r="E1055" t="s">
        <v>4949</v>
      </c>
      <c r="F1055" t="s">
        <v>847</v>
      </c>
      <c r="G1055" t="s">
        <v>142</v>
      </c>
      <c r="H1055" t="s">
        <v>143</v>
      </c>
      <c r="I1055" t="s">
        <v>35</v>
      </c>
      <c r="J1055" t="s">
        <v>144</v>
      </c>
      <c r="K1055" t="s">
        <v>2</v>
      </c>
      <c r="L1055" t="s">
        <v>799</v>
      </c>
      <c r="M1055" t="s">
        <v>502</v>
      </c>
      <c r="N1055" t="s">
        <v>850</v>
      </c>
      <c r="O1055" t="s">
        <v>40</v>
      </c>
      <c r="P1055" t="s">
        <v>5260</v>
      </c>
      <c r="Q1055" t="s">
        <v>50</v>
      </c>
      <c r="R1055" t="s">
        <v>5115</v>
      </c>
      <c r="S1055">
        <v>0.22</v>
      </c>
      <c r="T1055">
        <v>3680</v>
      </c>
      <c r="U1055">
        <v>0</v>
      </c>
      <c r="V1055">
        <v>3680</v>
      </c>
    </row>
    <row r="1056" spans="1:22" x14ac:dyDescent="0.25">
      <c r="A1056">
        <v>187830</v>
      </c>
      <c r="B1056">
        <v>131711716</v>
      </c>
      <c r="C1056" t="s">
        <v>5261</v>
      </c>
      <c r="D1056" t="s">
        <v>5262</v>
      </c>
      <c r="E1056" t="s">
        <v>4949</v>
      </c>
      <c r="F1056" t="s">
        <v>847</v>
      </c>
      <c r="G1056" t="s">
        <v>142</v>
      </c>
      <c r="H1056" t="s">
        <v>143</v>
      </c>
      <c r="I1056" t="s">
        <v>35</v>
      </c>
      <c r="J1056" t="s">
        <v>144</v>
      </c>
      <c r="K1056" t="s">
        <v>2</v>
      </c>
      <c r="L1056" t="s">
        <v>5263</v>
      </c>
      <c r="M1056" t="s">
        <v>5264</v>
      </c>
      <c r="N1056" t="s">
        <v>850</v>
      </c>
      <c r="O1056" t="s">
        <v>40</v>
      </c>
      <c r="P1056" t="s">
        <v>5265</v>
      </c>
      <c r="Q1056" t="s">
        <v>120</v>
      </c>
      <c r="R1056" t="s">
        <v>531</v>
      </c>
      <c r="S1056">
        <v>1</v>
      </c>
      <c r="T1056">
        <v>3753</v>
      </c>
      <c r="U1056">
        <v>0</v>
      </c>
      <c r="V1056">
        <v>3753</v>
      </c>
    </row>
    <row r="1057" spans="1:22" x14ac:dyDescent="0.25">
      <c r="A1057">
        <v>187830</v>
      </c>
      <c r="B1057">
        <v>131642158</v>
      </c>
      <c r="C1057" t="s">
        <v>5266</v>
      </c>
      <c r="D1057" t="s">
        <v>5267</v>
      </c>
      <c r="E1057" t="s">
        <v>4949</v>
      </c>
      <c r="F1057" t="s">
        <v>847</v>
      </c>
      <c r="G1057" t="s">
        <v>142</v>
      </c>
      <c r="H1057" t="s">
        <v>143</v>
      </c>
      <c r="I1057" t="s">
        <v>35</v>
      </c>
      <c r="J1057" t="s">
        <v>144</v>
      </c>
      <c r="K1057" t="s">
        <v>2</v>
      </c>
      <c r="L1057" t="s">
        <v>5268</v>
      </c>
      <c r="M1057" t="s">
        <v>5269</v>
      </c>
      <c r="N1057" t="s">
        <v>850</v>
      </c>
      <c r="O1057" t="s">
        <v>40</v>
      </c>
      <c r="P1057" t="s">
        <v>5270</v>
      </c>
      <c r="Q1057" t="s">
        <v>62</v>
      </c>
      <c r="R1057" t="s">
        <v>443</v>
      </c>
      <c r="S1057">
        <v>1</v>
      </c>
      <c r="T1057">
        <v>3753</v>
      </c>
      <c r="U1057">
        <v>0</v>
      </c>
      <c r="V1057">
        <v>3753</v>
      </c>
    </row>
    <row r="1058" spans="1:22" x14ac:dyDescent="0.25">
      <c r="A1058">
        <v>187830</v>
      </c>
      <c r="B1058">
        <v>131642141</v>
      </c>
      <c r="C1058" t="s">
        <v>5271</v>
      </c>
      <c r="D1058" t="s">
        <v>5272</v>
      </c>
      <c r="E1058" t="s">
        <v>4949</v>
      </c>
      <c r="F1058" t="s">
        <v>847</v>
      </c>
      <c r="G1058" t="s">
        <v>142</v>
      </c>
      <c r="H1058" t="s">
        <v>143</v>
      </c>
      <c r="I1058" t="s">
        <v>35</v>
      </c>
      <c r="J1058" t="s">
        <v>144</v>
      </c>
      <c r="K1058" t="s">
        <v>2</v>
      </c>
      <c r="L1058" t="s">
        <v>5273</v>
      </c>
      <c r="M1058" t="s">
        <v>5274</v>
      </c>
      <c r="N1058" t="s">
        <v>850</v>
      </c>
      <c r="O1058" t="s">
        <v>40</v>
      </c>
      <c r="P1058" t="s">
        <v>5275</v>
      </c>
      <c r="Q1058" t="s">
        <v>50</v>
      </c>
      <c r="R1058" t="s">
        <v>443</v>
      </c>
      <c r="S1058">
        <v>1</v>
      </c>
      <c r="T1058">
        <v>3753</v>
      </c>
      <c r="U1058">
        <v>0</v>
      </c>
      <c r="V1058">
        <v>3753</v>
      </c>
    </row>
    <row r="1059" spans="1:22" x14ac:dyDescent="0.25">
      <c r="A1059">
        <v>187830</v>
      </c>
      <c r="B1059">
        <v>131536386</v>
      </c>
      <c r="C1059" t="s">
        <v>5276</v>
      </c>
      <c r="D1059" t="s">
        <v>5277</v>
      </c>
      <c r="E1059" t="s">
        <v>4949</v>
      </c>
      <c r="F1059" t="s">
        <v>847</v>
      </c>
      <c r="G1059" t="s">
        <v>142</v>
      </c>
      <c r="H1059" t="s">
        <v>143</v>
      </c>
      <c r="I1059" t="s">
        <v>35</v>
      </c>
      <c r="J1059" t="s">
        <v>144</v>
      </c>
      <c r="K1059" t="s">
        <v>2</v>
      </c>
      <c r="L1059" t="s">
        <v>5278</v>
      </c>
      <c r="M1059" t="s">
        <v>5279</v>
      </c>
      <c r="N1059" t="s">
        <v>850</v>
      </c>
      <c r="O1059" t="s">
        <v>40</v>
      </c>
      <c r="P1059" t="s">
        <v>5280</v>
      </c>
      <c r="Q1059" t="s">
        <v>52</v>
      </c>
      <c r="R1059" t="s">
        <v>410</v>
      </c>
      <c r="S1059">
        <v>1</v>
      </c>
      <c r="T1059">
        <v>3753</v>
      </c>
      <c r="U1059">
        <v>0</v>
      </c>
      <c r="V1059">
        <v>3753</v>
      </c>
    </row>
    <row r="1060" spans="1:22" x14ac:dyDescent="0.25">
      <c r="A1060">
        <v>187830</v>
      </c>
      <c r="B1060">
        <v>131536395</v>
      </c>
      <c r="C1060" t="s">
        <v>5281</v>
      </c>
      <c r="D1060" t="s">
        <v>5282</v>
      </c>
      <c r="E1060" t="s">
        <v>4949</v>
      </c>
      <c r="F1060" t="s">
        <v>847</v>
      </c>
      <c r="G1060" t="s">
        <v>142</v>
      </c>
      <c r="H1060" t="s">
        <v>143</v>
      </c>
      <c r="I1060" t="s">
        <v>35</v>
      </c>
      <c r="J1060" t="s">
        <v>144</v>
      </c>
      <c r="K1060" t="s">
        <v>2</v>
      </c>
      <c r="L1060" t="s">
        <v>5283</v>
      </c>
      <c r="M1060" t="s">
        <v>5264</v>
      </c>
      <c r="N1060" t="s">
        <v>850</v>
      </c>
      <c r="O1060" t="s">
        <v>40</v>
      </c>
      <c r="P1060" t="s">
        <v>5265</v>
      </c>
      <c r="Q1060" t="s">
        <v>120</v>
      </c>
      <c r="R1060" t="s">
        <v>410</v>
      </c>
      <c r="S1060">
        <v>1</v>
      </c>
      <c r="T1060">
        <v>3753</v>
      </c>
      <c r="U1060">
        <v>0</v>
      </c>
      <c r="V1060">
        <v>3753</v>
      </c>
    </row>
    <row r="1061" spans="1:22" x14ac:dyDescent="0.25">
      <c r="A1061">
        <v>187830</v>
      </c>
      <c r="B1061">
        <v>131323004</v>
      </c>
      <c r="C1061" t="s">
        <v>5284</v>
      </c>
      <c r="D1061" t="s">
        <v>5285</v>
      </c>
      <c r="E1061" t="s">
        <v>4949</v>
      </c>
      <c r="F1061" t="s">
        <v>847</v>
      </c>
      <c r="G1061" t="s">
        <v>142</v>
      </c>
      <c r="H1061" t="s">
        <v>143</v>
      </c>
      <c r="I1061" t="s">
        <v>35</v>
      </c>
      <c r="J1061" t="s">
        <v>144</v>
      </c>
      <c r="K1061" t="s">
        <v>2</v>
      </c>
      <c r="L1061" t="s">
        <v>5286</v>
      </c>
      <c r="M1061" t="s">
        <v>5287</v>
      </c>
      <c r="N1061" t="s">
        <v>850</v>
      </c>
      <c r="O1061" t="s">
        <v>40</v>
      </c>
      <c r="P1061" t="s">
        <v>5288</v>
      </c>
      <c r="Q1061" t="s">
        <v>58</v>
      </c>
      <c r="R1061" t="s">
        <v>553</v>
      </c>
      <c r="S1061">
        <v>1</v>
      </c>
      <c r="T1061">
        <v>3753</v>
      </c>
      <c r="U1061">
        <v>0</v>
      </c>
      <c r="V1061">
        <v>3753</v>
      </c>
    </row>
    <row r="1062" spans="1:22" x14ac:dyDescent="0.25">
      <c r="A1062">
        <v>187830</v>
      </c>
      <c r="B1062">
        <v>131279538</v>
      </c>
      <c r="C1062" t="s">
        <v>5289</v>
      </c>
      <c r="D1062" t="s">
        <v>5290</v>
      </c>
      <c r="E1062" t="s">
        <v>4949</v>
      </c>
      <c r="F1062" t="s">
        <v>847</v>
      </c>
      <c r="G1062" t="s">
        <v>142</v>
      </c>
      <c r="H1062" t="s">
        <v>143</v>
      </c>
      <c r="I1062" t="s">
        <v>35</v>
      </c>
      <c r="J1062" t="s">
        <v>144</v>
      </c>
      <c r="K1062" t="s">
        <v>2</v>
      </c>
      <c r="L1062" t="s">
        <v>5291</v>
      </c>
      <c r="M1062" t="s">
        <v>5292</v>
      </c>
      <c r="N1062" t="s">
        <v>850</v>
      </c>
      <c r="O1062" t="s">
        <v>40</v>
      </c>
      <c r="P1062" t="s">
        <v>5293</v>
      </c>
      <c r="Q1062" t="s">
        <v>50</v>
      </c>
      <c r="R1062" t="s">
        <v>828</v>
      </c>
      <c r="S1062">
        <v>1</v>
      </c>
      <c r="T1062">
        <v>4800</v>
      </c>
      <c r="U1062">
        <v>0</v>
      </c>
      <c r="V1062">
        <v>4800</v>
      </c>
    </row>
    <row r="1063" spans="1:22" x14ac:dyDescent="0.25">
      <c r="A1063">
        <v>187830</v>
      </c>
      <c r="B1063">
        <v>131935698</v>
      </c>
      <c r="C1063" t="s">
        <v>5294</v>
      </c>
      <c r="D1063" t="s">
        <v>5295</v>
      </c>
      <c r="E1063" t="s">
        <v>4949</v>
      </c>
      <c r="F1063" t="s">
        <v>847</v>
      </c>
      <c r="G1063" t="s">
        <v>142</v>
      </c>
      <c r="H1063" t="s">
        <v>143</v>
      </c>
      <c r="I1063" t="s">
        <v>35</v>
      </c>
      <c r="J1063" t="s">
        <v>144</v>
      </c>
      <c r="K1063" t="s">
        <v>2</v>
      </c>
      <c r="L1063" t="s">
        <v>5296</v>
      </c>
      <c r="M1063" t="s">
        <v>5297</v>
      </c>
      <c r="N1063" t="s">
        <v>850</v>
      </c>
      <c r="O1063" t="s">
        <v>40</v>
      </c>
      <c r="P1063" t="s">
        <v>5298</v>
      </c>
      <c r="Q1063" t="s">
        <v>57</v>
      </c>
      <c r="R1063" t="s">
        <v>440</v>
      </c>
      <c r="S1063">
        <v>0.95</v>
      </c>
      <c r="T1063">
        <v>3784</v>
      </c>
      <c r="U1063">
        <v>0</v>
      </c>
      <c r="V1063">
        <v>3784</v>
      </c>
    </row>
    <row r="1064" spans="1:22" x14ac:dyDescent="0.25">
      <c r="A1064">
        <v>187830</v>
      </c>
      <c r="B1064">
        <v>131829666</v>
      </c>
      <c r="C1064" t="s">
        <v>5299</v>
      </c>
      <c r="D1064" t="s">
        <v>5300</v>
      </c>
      <c r="E1064" t="s">
        <v>4949</v>
      </c>
      <c r="F1064" t="s">
        <v>847</v>
      </c>
      <c r="G1064" t="s">
        <v>142</v>
      </c>
      <c r="H1064" t="s">
        <v>143</v>
      </c>
      <c r="I1064" t="s">
        <v>35</v>
      </c>
      <c r="J1064" t="s">
        <v>144</v>
      </c>
      <c r="K1064" t="s">
        <v>2</v>
      </c>
      <c r="L1064" t="s">
        <v>5301</v>
      </c>
      <c r="M1064" t="s">
        <v>656</v>
      </c>
      <c r="N1064" t="s">
        <v>850</v>
      </c>
      <c r="O1064" t="s">
        <v>40</v>
      </c>
      <c r="P1064" t="s">
        <v>5302</v>
      </c>
      <c r="Q1064" t="s">
        <v>64</v>
      </c>
      <c r="R1064" t="s">
        <v>658</v>
      </c>
      <c r="S1064">
        <v>1</v>
      </c>
      <c r="T1064">
        <v>3784</v>
      </c>
      <c r="U1064">
        <v>0</v>
      </c>
      <c r="V1064">
        <v>3784</v>
      </c>
    </row>
    <row r="1065" spans="1:22" x14ac:dyDescent="0.25">
      <c r="A1065">
        <v>187830</v>
      </c>
      <c r="B1065">
        <v>131783225</v>
      </c>
      <c r="C1065" t="s">
        <v>5303</v>
      </c>
      <c r="D1065" t="s">
        <v>5304</v>
      </c>
      <c r="E1065" t="s">
        <v>4949</v>
      </c>
      <c r="F1065" t="s">
        <v>847</v>
      </c>
      <c r="G1065" t="s">
        <v>142</v>
      </c>
      <c r="H1065" t="s">
        <v>143</v>
      </c>
      <c r="I1065" t="s">
        <v>35</v>
      </c>
      <c r="J1065" t="s">
        <v>144</v>
      </c>
      <c r="K1065" t="s">
        <v>2</v>
      </c>
      <c r="L1065" t="s">
        <v>5305</v>
      </c>
      <c r="M1065" t="s">
        <v>5306</v>
      </c>
      <c r="N1065" t="s">
        <v>850</v>
      </c>
      <c r="O1065" t="s">
        <v>40</v>
      </c>
      <c r="P1065" t="s">
        <v>5307</v>
      </c>
      <c r="Q1065" t="s">
        <v>64</v>
      </c>
      <c r="R1065" t="s">
        <v>5115</v>
      </c>
      <c r="S1065">
        <v>1</v>
      </c>
      <c r="T1065">
        <v>3784</v>
      </c>
      <c r="U1065">
        <v>0</v>
      </c>
      <c r="V1065">
        <v>3784</v>
      </c>
    </row>
    <row r="1066" spans="1:22" x14ac:dyDescent="0.25">
      <c r="A1066">
        <v>187830</v>
      </c>
      <c r="B1066">
        <v>131711713</v>
      </c>
      <c r="C1066" t="s">
        <v>5308</v>
      </c>
      <c r="D1066" t="s">
        <v>5309</v>
      </c>
      <c r="E1066" t="s">
        <v>4949</v>
      </c>
      <c r="F1066" t="s">
        <v>847</v>
      </c>
      <c r="G1066" t="s">
        <v>142</v>
      </c>
      <c r="H1066" t="s">
        <v>143</v>
      </c>
      <c r="I1066" t="s">
        <v>35</v>
      </c>
      <c r="J1066" t="s">
        <v>144</v>
      </c>
      <c r="K1066" t="s">
        <v>2</v>
      </c>
      <c r="L1066" t="s">
        <v>5310</v>
      </c>
      <c r="M1066" t="s">
        <v>5311</v>
      </c>
      <c r="N1066" t="s">
        <v>850</v>
      </c>
      <c r="O1066" t="s">
        <v>40</v>
      </c>
      <c r="P1066" t="s">
        <v>5312</v>
      </c>
      <c r="Q1066" t="s">
        <v>78</v>
      </c>
      <c r="R1066" t="s">
        <v>531</v>
      </c>
      <c r="S1066">
        <v>1</v>
      </c>
      <c r="T1066">
        <v>3784</v>
      </c>
      <c r="U1066">
        <v>0</v>
      </c>
      <c r="V1066">
        <v>3784</v>
      </c>
    </row>
    <row r="1067" spans="1:22" x14ac:dyDescent="0.25">
      <c r="A1067">
        <v>187830</v>
      </c>
      <c r="B1067">
        <v>131348682</v>
      </c>
      <c r="C1067" t="s">
        <v>5313</v>
      </c>
      <c r="D1067" t="s">
        <v>5314</v>
      </c>
      <c r="E1067" t="s">
        <v>4949</v>
      </c>
      <c r="F1067" t="s">
        <v>847</v>
      </c>
      <c r="G1067" t="s">
        <v>142</v>
      </c>
      <c r="H1067" t="s">
        <v>143</v>
      </c>
      <c r="I1067" t="s">
        <v>35</v>
      </c>
      <c r="J1067" t="s">
        <v>144</v>
      </c>
      <c r="K1067" t="s">
        <v>2</v>
      </c>
      <c r="L1067" t="s">
        <v>5315</v>
      </c>
      <c r="M1067" t="s">
        <v>5316</v>
      </c>
      <c r="N1067" t="s">
        <v>850</v>
      </c>
      <c r="O1067" t="s">
        <v>40</v>
      </c>
      <c r="P1067" t="s">
        <v>5317</v>
      </c>
      <c r="Q1067" t="s">
        <v>154</v>
      </c>
      <c r="R1067" t="s">
        <v>5318</v>
      </c>
      <c r="S1067">
        <v>1</v>
      </c>
      <c r="T1067">
        <v>3784</v>
      </c>
      <c r="U1067">
        <v>0</v>
      </c>
      <c r="V1067">
        <v>3784</v>
      </c>
    </row>
    <row r="1068" spans="1:22" x14ac:dyDescent="0.25">
      <c r="A1068">
        <v>187830</v>
      </c>
      <c r="B1068">
        <v>131281021</v>
      </c>
      <c r="C1068" t="s">
        <v>5319</v>
      </c>
      <c r="D1068" t="s">
        <v>5320</v>
      </c>
      <c r="E1068" t="s">
        <v>4949</v>
      </c>
      <c r="F1068" t="s">
        <v>847</v>
      </c>
      <c r="G1068" t="s">
        <v>142</v>
      </c>
      <c r="H1068" t="s">
        <v>143</v>
      </c>
      <c r="I1068" t="s">
        <v>35</v>
      </c>
      <c r="J1068" t="s">
        <v>144</v>
      </c>
      <c r="K1068" t="s">
        <v>2</v>
      </c>
      <c r="L1068" t="s">
        <v>5321</v>
      </c>
      <c r="M1068" t="s">
        <v>5322</v>
      </c>
      <c r="N1068" t="s">
        <v>850</v>
      </c>
      <c r="O1068" t="s">
        <v>40</v>
      </c>
      <c r="P1068" t="s">
        <v>5323</v>
      </c>
      <c r="Q1068" t="s">
        <v>64</v>
      </c>
      <c r="R1068" t="s">
        <v>680</v>
      </c>
      <c r="S1068">
        <v>0.75</v>
      </c>
      <c r="T1068">
        <v>5113</v>
      </c>
      <c r="U1068">
        <v>0</v>
      </c>
      <c r="V1068">
        <v>5113</v>
      </c>
    </row>
    <row r="1069" spans="1:22" x14ac:dyDescent="0.25">
      <c r="A1069">
        <v>187830</v>
      </c>
      <c r="B1069">
        <v>131993102</v>
      </c>
      <c r="C1069" t="s">
        <v>5324</v>
      </c>
      <c r="D1069" t="s">
        <v>5325</v>
      </c>
      <c r="E1069" t="s">
        <v>4949</v>
      </c>
      <c r="F1069" t="s">
        <v>847</v>
      </c>
      <c r="G1069" t="s">
        <v>142</v>
      </c>
      <c r="H1069" t="s">
        <v>143</v>
      </c>
      <c r="I1069" t="s">
        <v>35</v>
      </c>
      <c r="J1069" t="s">
        <v>144</v>
      </c>
      <c r="K1069" t="s">
        <v>2</v>
      </c>
      <c r="L1069" t="s">
        <v>5326</v>
      </c>
      <c r="M1069" t="s">
        <v>5327</v>
      </c>
      <c r="N1069" t="s">
        <v>850</v>
      </c>
      <c r="O1069" t="s">
        <v>40</v>
      </c>
      <c r="P1069" t="s">
        <v>5328</v>
      </c>
      <c r="Q1069" t="s">
        <v>151</v>
      </c>
      <c r="R1069" t="s">
        <v>5100</v>
      </c>
      <c r="S1069">
        <v>1</v>
      </c>
      <c r="T1069">
        <v>4067</v>
      </c>
      <c r="U1069">
        <v>0</v>
      </c>
      <c r="V1069">
        <v>4067</v>
      </c>
    </row>
    <row r="1070" spans="1:22" x14ac:dyDescent="0.25">
      <c r="A1070">
        <v>187830</v>
      </c>
      <c r="B1070">
        <v>131935707</v>
      </c>
      <c r="C1070" t="s">
        <v>5329</v>
      </c>
      <c r="D1070" t="s">
        <v>5330</v>
      </c>
      <c r="E1070" t="s">
        <v>4949</v>
      </c>
      <c r="F1070" t="s">
        <v>847</v>
      </c>
      <c r="G1070" t="s">
        <v>142</v>
      </c>
      <c r="H1070" t="s">
        <v>143</v>
      </c>
      <c r="I1070" t="s">
        <v>35</v>
      </c>
      <c r="J1070" t="s">
        <v>144</v>
      </c>
      <c r="K1070" t="s">
        <v>2</v>
      </c>
      <c r="L1070" t="s">
        <v>5331</v>
      </c>
      <c r="M1070" t="s">
        <v>5332</v>
      </c>
      <c r="N1070" t="s">
        <v>850</v>
      </c>
      <c r="O1070" t="s">
        <v>40</v>
      </c>
      <c r="P1070" t="s">
        <v>5333</v>
      </c>
      <c r="Q1070" t="s">
        <v>56</v>
      </c>
      <c r="R1070" t="s">
        <v>440</v>
      </c>
      <c r="S1070">
        <v>1.4</v>
      </c>
      <c r="T1070">
        <v>4067</v>
      </c>
      <c r="U1070">
        <v>0</v>
      </c>
      <c r="V1070">
        <v>4067</v>
      </c>
    </row>
    <row r="1071" spans="1:22" x14ac:dyDescent="0.25">
      <c r="A1071">
        <v>187830</v>
      </c>
      <c r="B1071">
        <v>131868050</v>
      </c>
      <c r="C1071" t="s">
        <v>5334</v>
      </c>
      <c r="D1071" t="s">
        <v>5335</v>
      </c>
      <c r="E1071" t="s">
        <v>4949</v>
      </c>
      <c r="F1071" t="s">
        <v>847</v>
      </c>
      <c r="G1071" t="s">
        <v>142</v>
      </c>
      <c r="H1071" t="s">
        <v>143</v>
      </c>
      <c r="I1071" t="s">
        <v>35</v>
      </c>
      <c r="J1071" t="s">
        <v>144</v>
      </c>
      <c r="K1071" t="s">
        <v>2</v>
      </c>
      <c r="L1071" t="s">
        <v>5336</v>
      </c>
      <c r="M1071" t="s">
        <v>763</v>
      </c>
      <c r="N1071" t="s">
        <v>850</v>
      </c>
      <c r="O1071" t="s">
        <v>40</v>
      </c>
      <c r="P1071" t="s">
        <v>5337</v>
      </c>
      <c r="Q1071" t="s">
        <v>75</v>
      </c>
      <c r="R1071" t="s">
        <v>473</v>
      </c>
      <c r="S1071">
        <v>1</v>
      </c>
      <c r="T1071">
        <v>4067</v>
      </c>
      <c r="U1071">
        <v>0</v>
      </c>
      <c r="V1071">
        <v>4067</v>
      </c>
    </row>
    <row r="1072" spans="1:22" x14ac:dyDescent="0.25">
      <c r="A1072">
        <v>187830</v>
      </c>
      <c r="B1072">
        <v>131868066</v>
      </c>
      <c r="C1072" t="s">
        <v>5338</v>
      </c>
      <c r="D1072" t="s">
        <v>5339</v>
      </c>
      <c r="E1072" t="s">
        <v>4949</v>
      </c>
      <c r="F1072" t="s">
        <v>847</v>
      </c>
      <c r="G1072" t="s">
        <v>142</v>
      </c>
      <c r="H1072" t="s">
        <v>143</v>
      </c>
      <c r="I1072" t="s">
        <v>35</v>
      </c>
      <c r="J1072" t="s">
        <v>144</v>
      </c>
      <c r="K1072" t="s">
        <v>2</v>
      </c>
      <c r="L1072" t="s">
        <v>5340</v>
      </c>
      <c r="M1072" t="s">
        <v>5341</v>
      </c>
      <c r="N1072" t="s">
        <v>850</v>
      </c>
      <c r="O1072" t="s">
        <v>40</v>
      </c>
      <c r="P1072" t="s">
        <v>5342</v>
      </c>
      <c r="Q1072" t="s">
        <v>112</v>
      </c>
      <c r="R1072" t="s">
        <v>473</v>
      </c>
      <c r="S1072">
        <v>1</v>
      </c>
      <c r="T1072">
        <v>4067</v>
      </c>
      <c r="U1072">
        <v>0</v>
      </c>
      <c r="V1072">
        <v>4067</v>
      </c>
    </row>
    <row r="1073" spans="1:22" x14ac:dyDescent="0.25">
      <c r="A1073">
        <v>187830</v>
      </c>
      <c r="B1073">
        <v>131783227</v>
      </c>
      <c r="C1073" t="s">
        <v>5343</v>
      </c>
      <c r="D1073" t="s">
        <v>5344</v>
      </c>
      <c r="E1073" t="s">
        <v>4949</v>
      </c>
      <c r="F1073" t="s">
        <v>847</v>
      </c>
      <c r="G1073" t="s">
        <v>142</v>
      </c>
      <c r="H1073" t="s">
        <v>143</v>
      </c>
      <c r="I1073" t="s">
        <v>35</v>
      </c>
      <c r="J1073" t="s">
        <v>144</v>
      </c>
      <c r="K1073" t="s">
        <v>2</v>
      </c>
      <c r="L1073" t="s">
        <v>700</v>
      </c>
      <c r="M1073" t="s">
        <v>5345</v>
      </c>
      <c r="N1073" t="s">
        <v>850</v>
      </c>
      <c r="O1073" t="s">
        <v>40</v>
      </c>
      <c r="P1073" t="s">
        <v>5346</v>
      </c>
      <c r="Q1073" t="s">
        <v>82</v>
      </c>
      <c r="R1073" t="s">
        <v>5115</v>
      </c>
      <c r="S1073">
        <v>1</v>
      </c>
      <c r="T1073">
        <v>4067</v>
      </c>
      <c r="U1073">
        <v>0</v>
      </c>
      <c r="V1073">
        <v>4067</v>
      </c>
    </row>
    <row r="1074" spans="1:22" x14ac:dyDescent="0.25">
      <c r="A1074">
        <v>187830</v>
      </c>
      <c r="B1074">
        <v>131642144</v>
      </c>
      <c r="C1074" t="s">
        <v>5347</v>
      </c>
      <c r="D1074" t="s">
        <v>5348</v>
      </c>
      <c r="E1074" t="s">
        <v>4949</v>
      </c>
      <c r="F1074" t="s">
        <v>847</v>
      </c>
      <c r="G1074" t="s">
        <v>142</v>
      </c>
      <c r="H1074" t="s">
        <v>143</v>
      </c>
      <c r="I1074" t="s">
        <v>35</v>
      </c>
      <c r="J1074" t="s">
        <v>144</v>
      </c>
      <c r="K1074" t="s">
        <v>2</v>
      </c>
      <c r="L1074" t="s">
        <v>5349</v>
      </c>
      <c r="M1074" t="s">
        <v>5350</v>
      </c>
      <c r="N1074" t="s">
        <v>850</v>
      </c>
      <c r="O1074" t="s">
        <v>40</v>
      </c>
      <c r="P1074" t="s">
        <v>5351</v>
      </c>
      <c r="Q1074" t="s">
        <v>151</v>
      </c>
      <c r="R1074" t="s">
        <v>443</v>
      </c>
      <c r="S1074">
        <v>1</v>
      </c>
      <c r="T1074">
        <v>4067</v>
      </c>
      <c r="U1074">
        <v>0</v>
      </c>
      <c r="V1074">
        <v>4067</v>
      </c>
    </row>
    <row r="1075" spans="1:22" x14ac:dyDescent="0.25">
      <c r="A1075">
        <v>187830</v>
      </c>
      <c r="B1075">
        <v>131642145</v>
      </c>
      <c r="C1075" t="s">
        <v>5352</v>
      </c>
      <c r="D1075" t="s">
        <v>5353</v>
      </c>
      <c r="E1075" t="s">
        <v>4949</v>
      </c>
      <c r="F1075" t="s">
        <v>847</v>
      </c>
      <c r="G1075" t="s">
        <v>142</v>
      </c>
      <c r="H1075" t="s">
        <v>143</v>
      </c>
      <c r="I1075" t="s">
        <v>35</v>
      </c>
      <c r="J1075" t="s">
        <v>144</v>
      </c>
      <c r="K1075" t="s">
        <v>2</v>
      </c>
      <c r="L1075" t="s">
        <v>5354</v>
      </c>
      <c r="M1075" t="s">
        <v>5355</v>
      </c>
      <c r="N1075" t="s">
        <v>850</v>
      </c>
      <c r="O1075" t="s">
        <v>40</v>
      </c>
      <c r="P1075" t="s">
        <v>5356</v>
      </c>
      <c r="Q1075" t="s">
        <v>112</v>
      </c>
      <c r="R1075" t="s">
        <v>443</v>
      </c>
      <c r="S1075">
        <v>1</v>
      </c>
      <c r="T1075">
        <v>4067</v>
      </c>
      <c r="U1075">
        <v>0</v>
      </c>
      <c r="V1075">
        <v>4067</v>
      </c>
    </row>
    <row r="1076" spans="1:22" x14ac:dyDescent="0.25">
      <c r="A1076">
        <v>187830</v>
      </c>
      <c r="B1076">
        <v>131642151</v>
      </c>
      <c r="C1076" t="s">
        <v>5357</v>
      </c>
      <c r="D1076" t="s">
        <v>5358</v>
      </c>
      <c r="E1076" t="s">
        <v>4949</v>
      </c>
      <c r="F1076" t="s">
        <v>847</v>
      </c>
      <c r="G1076" t="s">
        <v>142</v>
      </c>
      <c r="H1076" t="s">
        <v>143</v>
      </c>
      <c r="I1076" t="s">
        <v>35</v>
      </c>
      <c r="J1076" t="s">
        <v>144</v>
      </c>
      <c r="K1076" t="s">
        <v>2</v>
      </c>
      <c r="L1076" t="s">
        <v>5359</v>
      </c>
      <c r="M1076" t="s">
        <v>5360</v>
      </c>
      <c r="N1076" t="s">
        <v>850</v>
      </c>
      <c r="O1076" t="s">
        <v>40</v>
      </c>
      <c r="P1076" t="s">
        <v>5361</v>
      </c>
      <c r="Q1076" t="s">
        <v>82</v>
      </c>
      <c r="R1076" t="s">
        <v>443</v>
      </c>
      <c r="S1076">
        <v>1</v>
      </c>
      <c r="T1076">
        <v>4067</v>
      </c>
      <c r="U1076">
        <v>0</v>
      </c>
      <c r="V1076">
        <v>4067</v>
      </c>
    </row>
    <row r="1077" spans="1:22" x14ac:dyDescent="0.25">
      <c r="A1077">
        <v>187830</v>
      </c>
      <c r="B1077">
        <v>131642176</v>
      </c>
      <c r="C1077" t="s">
        <v>5362</v>
      </c>
      <c r="D1077" t="s">
        <v>5363</v>
      </c>
      <c r="E1077" t="s">
        <v>4949</v>
      </c>
      <c r="F1077" t="s">
        <v>847</v>
      </c>
      <c r="G1077" t="s">
        <v>142</v>
      </c>
      <c r="H1077" t="s">
        <v>143</v>
      </c>
      <c r="I1077" t="s">
        <v>35</v>
      </c>
      <c r="J1077" t="s">
        <v>144</v>
      </c>
      <c r="K1077" t="s">
        <v>2</v>
      </c>
      <c r="L1077" t="s">
        <v>5364</v>
      </c>
      <c r="M1077" t="s">
        <v>5365</v>
      </c>
      <c r="N1077" t="s">
        <v>850</v>
      </c>
      <c r="O1077" t="s">
        <v>40</v>
      </c>
      <c r="P1077" t="s">
        <v>5366</v>
      </c>
      <c r="Q1077" t="s">
        <v>82</v>
      </c>
      <c r="R1077" t="s">
        <v>443</v>
      </c>
      <c r="S1077">
        <v>1</v>
      </c>
      <c r="T1077">
        <v>4067</v>
      </c>
      <c r="U1077">
        <v>0</v>
      </c>
      <c r="V1077">
        <v>4067</v>
      </c>
    </row>
    <row r="1078" spans="1:22" x14ac:dyDescent="0.25">
      <c r="A1078">
        <v>187830</v>
      </c>
      <c r="B1078">
        <v>131411850</v>
      </c>
      <c r="C1078" t="s">
        <v>5367</v>
      </c>
      <c r="D1078" t="s">
        <v>5368</v>
      </c>
      <c r="E1078" t="s">
        <v>4949</v>
      </c>
      <c r="F1078" t="s">
        <v>847</v>
      </c>
      <c r="G1078" t="s">
        <v>142</v>
      </c>
      <c r="H1078" t="s">
        <v>143</v>
      </c>
      <c r="I1078" t="s">
        <v>35</v>
      </c>
      <c r="J1078" t="s">
        <v>144</v>
      </c>
      <c r="K1078" t="s">
        <v>2</v>
      </c>
      <c r="L1078" t="s">
        <v>5369</v>
      </c>
      <c r="M1078" t="s">
        <v>5370</v>
      </c>
      <c r="N1078" t="s">
        <v>850</v>
      </c>
      <c r="O1078" t="s">
        <v>40</v>
      </c>
      <c r="P1078" t="s">
        <v>5371</v>
      </c>
      <c r="Q1078" t="s">
        <v>63</v>
      </c>
      <c r="R1078" t="s">
        <v>488</v>
      </c>
      <c r="S1078">
        <v>1</v>
      </c>
      <c r="T1078">
        <v>4067</v>
      </c>
      <c r="U1078">
        <v>0</v>
      </c>
      <c r="V1078">
        <v>4067</v>
      </c>
    </row>
    <row r="1079" spans="1:22" x14ac:dyDescent="0.25">
      <c r="A1079">
        <v>187830</v>
      </c>
      <c r="B1079">
        <v>131279539</v>
      </c>
      <c r="C1079" t="s">
        <v>5372</v>
      </c>
      <c r="D1079" t="s">
        <v>5373</v>
      </c>
      <c r="E1079" t="s">
        <v>4949</v>
      </c>
      <c r="F1079" t="s">
        <v>847</v>
      </c>
      <c r="G1079" t="s">
        <v>142</v>
      </c>
      <c r="H1079" t="s">
        <v>143</v>
      </c>
      <c r="I1079" t="s">
        <v>35</v>
      </c>
      <c r="J1079" t="s">
        <v>144</v>
      </c>
      <c r="K1079" t="s">
        <v>2</v>
      </c>
      <c r="L1079" t="s">
        <v>5374</v>
      </c>
      <c r="M1079" t="s">
        <v>5375</v>
      </c>
      <c r="N1079" t="s">
        <v>850</v>
      </c>
      <c r="O1079" t="s">
        <v>40</v>
      </c>
      <c r="P1079" t="s">
        <v>5376</v>
      </c>
      <c r="Q1079" t="s">
        <v>74</v>
      </c>
      <c r="R1079" t="s">
        <v>828</v>
      </c>
      <c r="S1079">
        <v>0.26</v>
      </c>
      <c r="T1079">
        <v>6304</v>
      </c>
      <c r="U1079">
        <v>0</v>
      </c>
      <c r="V1079">
        <v>6304</v>
      </c>
    </row>
    <row r="1080" spans="1:22" x14ac:dyDescent="0.25">
      <c r="A1080">
        <v>187830</v>
      </c>
      <c r="B1080">
        <v>131829664</v>
      </c>
      <c r="C1080" t="s">
        <v>5377</v>
      </c>
      <c r="D1080" t="s">
        <v>5378</v>
      </c>
      <c r="E1080" t="s">
        <v>4949</v>
      </c>
      <c r="F1080" t="s">
        <v>847</v>
      </c>
      <c r="G1080" t="s">
        <v>142</v>
      </c>
      <c r="H1080" t="s">
        <v>143</v>
      </c>
      <c r="I1080" t="s">
        <v>35</v>
      </c>
      <c r="J1080" t="s">
        <v>144</v>
      </c>
      <c r="K1080" t="s">
        <v>2</v>
      </c>
      <c r="L1080" t="s">
        <v>5379</v>
      </c>
      <c r="M1080" t="s">
        <v>5380</v>
      </c>
      <c r="N1080" t="s">
        <v>850</v>
      </c>
      <c r="O1080" t="s">
        <v>40</v>
      </c>
      <c r="P1080" t="s">
        <v>5381</v>
      </c>
      <c r="Q1080" t="s">
        <v>194</v>
      </c>
      <c r="R1080" t="s">
        <v>390</v>
      </c>
      <c r="S1080">
        <v>0.43</v>
      </c>
      <c r="T1080">
        <v>4562</v>
      </c>
      <c r="U1080">
        <v>0</v>
      </c>
      <c r="V1080">
        <v>4562</v>
      </c>
    </row>
    <row r="1081" spans="1:22" x14ac:dyDescent="0.25">
      <c r="A1081">
        <v>187830</v>
      </c>
      <c r="B1081">
        <v>131055228</v>
      </c>
      <c r="C1081" t="s">
        <v>5382</v>
      </c>
      <c r="D1081" t="s">
        <v>5383</v>
      </c>
      <c r="E1081" t="s">
        <v>4949</v>
      </c>
      <c r="F1081" t="s">
        <v>847</v>
      </c>
      <c r="G1081" t="s">
        <v>156</v>
      </c>
      <c r="H1081" t="s">
        <v>157</v>
      </c>
      <c r="I1081" t="s">
        <v>35</v>
      </c>
      <c r="J1081" t="s">
        <v>166</v>
      </c>
      <c r="K1081" t="s">
        <v>2</v>
      </c>
      <c r="L1081" t="s">
        <v>158</v>
      </c>
      <c r="M1081" t="s">
        <v>5384</v>
      </c>
      <c r="N1081" t="s">
        <v>850</v>
      </c>
      <c r="O1081" t="s">
        <v>40</v>
      </c>
      <c r="P1081" t="s">
        <v>5385</v>
      </c>
      <c r="Q1081" t="s">
        <v>195</v>
      </c>
      <c r="R1081" t="s">
        <v>5386</v>
      </c>
      <c r="S1081">
        <v>1.8</v>
      </c>
      <c r="T1081">
        <v>4168</v>
      </c>
      <c r="U1081">
        <v>0</v>
      </c>
      <c r="V1081">
        <v>4168</v>
      </c>
    </row>
    <row r="1082" spans="1:22" x14ac:dyDescent="0.25">
      <c r="A1082">
        <v>187830</v>
      </c>
      <c r="B1082">
        <v>131829645</v>
      </c>
      <c r="C1082" t="s">
        <v>5387</v>
      </c>
      <c r="D1082" t="s">
        <v>5388</v>
      </c>
      <c r="E1082" t="s">
        <v>4949</v>
      </c>
      <c r="F1082" t="s">
        <v>847</v>
      </c>
      <c r="G1082" t="s">
        <v>142</v>
      </c>
      <c r="H1082" t="s">
        <v>143</v>
      </c>
      <c r="I1082" t="s">
        <v>35</v>
      </c>
      <c r="J1082" t="s">
        <v>144</v>
      </c>
      <c r="K1082" t="s">
        <v>2</v>
      </c>
      <c r="L1082" t="s">
        <v>5389</v>
      </c>
      <c r="M1082" t="s">
        <v>5390</v>
      </c>
      <c r="N1082" t="s">
        <v>850</v>
      </c>
      <c r="O1082" t="s">
        <v>40</v>
      </c>
      <c r="P1082" t="s">
        <v>5391</v>
      </c>
      <c r="Q1082" t="s">
        <v>107</v>
      </c>
      <c r="R1082" t="s">
        <v>390</v>
      </c>
      <c r="S1082">
        <v>0.34</v>
      </c>
      <c r="T1082">
        <v>4067</v>
      </c>
      <c r="U1082">
        <v>0</v>
      </c>
      <c r="V1082">
        <v>4067</v>
      </c>
    </row>
    <row r="1083" spans="1:22" x14ac:dyDescent="0.25">
      <c r="A1083">
        <v>187830</v>
      </c>
      <c r="B1083">
        <v>131198695</v>
      </c>
      <c r="C1083" t="s">
        <v>5392</v>
      </c>
      <c r="D1083" t="s">
        <v>5393</v>
      </c>
      <c r="E1083" t="s">
        <v>4949</v>
      </c>
      <c r="F1083" t="s">
        <v>847</v>
      </c>
      <c r="G1083" t="s">
        <v>142</v>
      </c>
      <c r="H1083" t="s">
        <v>143</v>
      </c>
      <c r="I1083" t="s">
        <v>35</v>
      </c>
      <c r="J1083" t="s">
        <v>144</v>
      </c>
      <c r="K1083" t="s">
        <v>2</v>
      </c>
      <c r="L1083" t="s">
        <v>5394</v>
      </c>
      <c r="M1083" t="s">
        <v>5395</v>
      </c>
      <c r="N1083" t="s">
        <v>850</v>
      </c>
      <c r="O1083" t="s">
        <v>40</v>
      </c>
      <c r="P1083" t="s">
        <v>5396</v>
      </c>
      <c r="Q1083" t="s">
        <v>107</v>
      </c>
      <c r="R1083" t="s">
        <v>5397</v>
      </c>
      <c r="S1083">
        <v>1</v>
      </c>
      <c r="T1083">
        <v>7212</v>
      </c>
      <c r="U1083">
        <v>0</v>
      </c>
      <c r="V1083">
        <v>7212</v>
      </c>
    </row>
    <row r="1084" spans="1:22" x14ac:dyDescent="0.25">
      <c r="A1084">
        <v>187830</v>
      </c>
      <c r="B1084">
        <v>131348684</v>
      </c>
      <c r="C1084" t="s">
        <v>5398</v>
      </c>
      <c r="D1084" t="s">
        <v>5399</v>
      </c>
      <c r="E1084" t="s">
        <v>4949</v>
      </c>
      <c r="F1084" t="s">
        <v>847</v>
      </c>
      <c r="G1084" t="s">
        <v>142</v>
      </c>
      <c r="H1084" t="s">
        <v>143</v>
      </c>
      <c r="I1084" t="s">
        <v>35</v>
      </c>
      <c r="J1084" t="s">
        <v>144</v>
      </c>
      <c r="K1084" t="s">
        <v>2</v>
      </c>
      <c r="L1084" t="s">
        <v>5400</v>
      </c>
      <c r="M1084" t="s">
        <v>5401</v>
      </c>
      <c r="N1084" t="s">
        <v>850</v>
      </c>
      <c r="O1084" t="s">
        <v>40</v>
      </c>
      <c r="P1084" t="s">
        <v>5402</v>
      </c>
      <c r="Q1084" t="s">
        <v>150</v>
      </c>
      <c r="R1084" t="s">
        <v>5318</v>
      </c>
      <c r="S1084">
        <v>1</v>
      </c>
      <c r="T1084">
        <v>5476</v>
      </c>
      <c r="U1084">
        <v>0</v>
      </c>
      <c r="V1084">
        <v>5476</v>
      </c>
    </row>
    <row r="1085" spans="1:22" x14ac:dyDescent="0.25">
      <c r="A1085">
        <v>187830</v>
      </c>
      <c r="B1085">
        <v>131829659</v>
      </c>
      <c r="C1085" t="s">
        <v>5403</v>
      </c>
      <c r="D1085" t="s">
        <v>5404</v>
      </c>
      <c r="E1085" t="s">
        <v>4949</v>
      </c>
      <c r="F1085" t="s">
        <v>847</v>
      </c>
      <c r="G1085" t="s">
        <v>142</v>
      </c>
      <c r="H1085" t="s">
        <v>143</v>
      </c>
      <c r="I1085" t="s">
        <v>35</v>
      </c>
      <c r="J1085" t="s">
        <v>144</v>
      </c>
      <c r="K1085" t="s">
        <v>2</v>
      </c>
      <c r="L1085" t="s">
        <v>5405</v>
      </c>
      <c r="M1085" t="s">
        <v>5406</v>
      </c>
      <c r="N1085" t="s">
        <v>850</v>
      </c>
      <c r="O1085" t="s">
        <v>40</v>
      </c>
      <c r="P1085" t="s">
        <v>5407</v>
      </c>
      <c r="Q1085" t="s">
        <v>109</v>
      </c>
      <c r="R1085" t="s">
        <v>390</v>
      </c>
      <c r="S1085">
        <v>1</v>
      </c>
      <c r="T1085">
        <v>5759</v>
      </c>
      <c r="U1085">
        <v>0</v>
      </c>
      <c r="V1085">
        <v>5759</v>
      </c>
    </row>
    <row r="1086" spans="1:22" x14ac:dyDescent="0.25">
      <c r="A1086">
        <v>187830</v>
      </c>
      <c r="B1086">
        <v>131158564</v>
      </c>
      <c r="C1086" t="s">
        <v>5408</v>
      </c>
      <c r="D1086" t="s">
        <v>5409</v>
      </c>
      <c r="E1086" t="s">
        <v>4949</v>
      </c>
      <c r="F1086" t="s">
        <v>847</v>
      </c>
      <c r="G1086" t="s">
        <v>142</v>
      </c>
      <c r="H1086" t="s">
        <v>143</v>
      </c>
      <c r="I1086" t="s">
        <v>35</v>
      </c>
      <c r="J1086" t="s">
        <v>144</v>
      </c>
      <c r="K1086" t="s">
        <v>2</v>
      </c>
      <c r="L1086" t="s">
        <v>5410</v>
      </c>
      <c r="M1086" t="s">
        <v>5411</v>
      </c>
      <c r="N1086" t="s">
        <v>850</v>
      </c>
      <c r="O1086" t="s">
        <v>40</v>
      </c>
      <c r="P1086" t="s">
        <v>5412</v>
      </c>
      <c r="Q1086" t="s">
        <v>85</v>
      </c>
      <c r="R1086" t="s">
        <v>422</v>
      </c>
      <c r="S1086">
        <v>1</v>
      </c>
      <c r="T1086">
        <v>4067</v>
      </c>
      <c r="U1086">
        <v>0</v>
      </c>
      <c r="V1086">
        <v>4067</v>
      </c>
    </row>
    <row r="1087" spans="1:22" x14ac:dyDescent="0.25">
      <c r="A1087">
        <v>187830</v>
      </c>
      <c r="B1087">
        <v>131198696</v>
      </c>
      <c r="C1087" t="s">
        <v>5413</v>
      </c>
      <c r="D1087" t="s">
        <v>5414</v>
      </c>
      <c r="E1087" t="s">
        <v>4949</v>
      </c>
      <c r="F1087" t="s">
        <v>847</v>
      </c>
      <c r="G1087" t="s">
        <v>162</v>
      </c>
      <c r="H1087" t="s">
        <v>163</v>
      </c>
      <c r="I1087" t="s">
        <v>35</v>
      </c>
      <c r="J1087" t="s">
        <v>164</v>
      </c>
      <c r="K1087" t="s">
        <v>2</v>
      </c>
      <c r="L1087" t="s">
        <v>165</v>
      </c>
      <c r="M1087" t="s">
        <v>5415</v>
      </c>
      <c r="N1087" t="s">
        <v>850</v>
      </c>
      <c r="O1087" t="s">
        <v>40</v>
      </c>
      <c r="P1087" t="s">
        <v>5416</v>
      </c>
      <c r="Q1087" t="s">
        <v>54</v>
      </c>
      <c r="R1087" t="s">
        <v>5397</v>
      </c>
      <c r="S1087">
        <v>1.1299999999999999</v>
      </c>
      <c r="T1087">
        <v>5064</v>
      </c>
      <c r="U1087">
        <v>449.4</v>
      </c>
      <c r="V1087">
        <v>5513.4</v>
      </c>
    </row>
    <row r="1088" spans="1:22" x14ac:dyDescent="0.25">
      <c r="A1088">
        <v>187830</v>
      </c>
      <c r="B1088">
        <v>131679572</v>
      </c>
      <c r="C1088" t="s">
        <v>5417</v>
      </c>
      <c r="D1088" t="s">
        <v>5418</v>
      </c>
      <c r="E1088" t="s">
        <v>4949</v>
      </c>
      <c r="F1088" t="s">
        <v>847</v>
      </c>
      <c r="G1088" t="s">
        <v>162</v>
      </c>
      <c r="H1088" t="s">
        <v>163</v>
      </c>
      <c r="I1088" t="s">
        <v>35</v>
      </c>
      <c r="J1088" t="s">
        <v>164</v>
      </c>
      <c r="K1088" t="s">
        <v>2</v>
      </c>
      <c r="L1088" t="s">
        <v>5419</v>
      </c>
      <c r="M1088" t="s">
        <v>5217</v>
      </c>
      <c r="N1088" t="s">
        <v>850</v>
      </c>
      <c r="O1088" t="s">
        <v>40</v>
      </c>
      <c r="P1088" t="s">
        <v>5420</v>
      </c>
      <c r="Q1088" t="s">
        <v>349</v>
      </c>
      <c r="R1088" t="s">
        <v>5053</v>
      </c>
      <c r="S1088">
        <v>0.77</v>
      </c>
      <c r="T1088">
        <v>6061</v>
      </c>
      <c r="U1088">
        <v>358.5</v>
      </c>
      <c r="V1088">
        <v>6419.5</v>
      </c>
    </row>
    <row r="1089" spans="1:22" x14ac:dyDescent="0.25">
      <c r="A1089">
        <v>187830</v>
      </c>
      <c r="B1089">
        <v>131460622</v>
      </c>
      <c r="C1089" t="s">
        <v>5421</v>
      </c>
      <c r="D1089" t="s">
        <v>5422</v>
      </c>
      <c r="E1089" t="s">
        <v>4949</v>
      </c>
      <c r="F1089" t="s">
        <v>847</v>
      </c>
      <c r="G1089" t="s">
        <v>162</v>
      </c>
      <c r="H1089" t="s">
        <v>163</v>
      </c>
      <c r="I1089" t="s">
        <v>35</v>
      </c>
      <c r="J1089" t="s">
        <v>164</v>
      </c>
      <c r="K1089" t="s">
        <v>2</v>
      </c>
      <c r="L1089" t="s">
        <v>5423</v>
      </c>
      <c r="M1089" t="s">
        <v>5424</v>
      </c>
      <c r="N1089" t="s">
        <v>850</v>
      </c>
      <c r="O1089" t="s">
        <v>40</v>
      </c>
      <c r="P1089" t="s">
        <v>5425</v>
      </c>
      <c r="Q1089" t="s">
        <v>137</v>
      </c>
      <c r="R1089" t="s">
        <v>311</v>
      </c>
      <c r="S1089">
        <v>0.24</v>
      </c>
      <c r="T1089">
        <v>3711</v>
      </c>
      <c r="U1089">
        <v>99.95</v>
      </c>
      <c r="V1089">
        <v>3810.95</v>
      </c>
    </row>
    <row r="1090" spans="1:22" x14ac:dyDescent="0.25">
      <c r="A1090">
        <v>187830</v>
      </c>
      <c r="B1090">
        <v>131829649</v>
      </c>
      <c r="C1090" t="s">
        <v>5426</v>
      </c>
      <c r="D1090" t="s">
        <v>5427</v>
      </c>
      <c r="E1090" t="s">
        <v>4949</v>
      </c>
      <c r="F1090" t="s">
        <v>847</v>
      </c>
      <c r="G1090" t="s">
        <v>156</v>
      </c>
      <c r="H1090" t="s">
        <v>157</v>
      </c>
      <c r="I1090" t="s">
        <v>35</v>
      </c>
      <c r="J1090" t="s">
        <v>166</v>
      </c>
      <c r="K1090" t="s">
        <v>2</v>
      </c>
      <c r="L1090" t="s">
        <v>158</v>
      </c>
      <c r="M1090" t="s">
        <v>5428</v>
      </c>
      <c r="N1090" t="s">
        <v>850</v>
      </c>
      <c r="O1090" t="s">
        <v>40</v>
      </c>
      <c r="P1090" t="s">
        <v>5429</v>
      </c>
      <c r="Q1090" t="s">
        <v>260</v>
      </c>
      <c r="R1090" t="s">
        <v>390</v>
      </c>
      <c r="S1090">
        <v>1.17</v>
      </c>
      <c r="T1090">
        <v>6064</v>
      </c>
      <c r="U1090">
        <v>0</v>
      </c>
      <c r="V1090">
        <v>6064</v>
      </c>
    </row>
    <row r="1091" spans="1:22" x14ac:dyDescent="0.25">
      <c r="A1091">
        <v>187830</v>
      </c>
      <c r="B1091">
        <v>131158568</v>
      </c>
      <c r="C1091" t="s">
        <v>5430</v>
      </c>
      <c r="D1091" t="s">
        <v>5431</v>
      </c>
      <c r="E1091" t="s">
        <v>4949</v>
      </c>
      <c r="F1091" t="s">
        <v>847</v>
      </c>
      <c r="G1091" t="s">
        <v>156</v>
      </c>
      <c r="H1091" t="s">
        <v>157</v>
      </c>
      <c r="I1091" t="s">
        <v>35</v>
      </c>
      <c r="J1091" t="s">
        <v>166</v>
      </c>
      <c r="K1091" t="s">
        <v>2</v>
      </c>
      <c r="L1091" t="s">
        <v>158</v>
      </c>
      <c r="M1091" t="s">
        <v>5432</v>
      </c>
      <c r="N1091" t="s">
        <v>850</v>
      </c>
      <c r="O1091" t="s">
        <v>40</v>
      </c>
      <c r="P1091" t="s">
        <v>5433</v>
      </c>
      <c r="Q1091" t="s">
        <v>133</v>
      </c>
      <c r="R1091" t="s">
        <v>422</v>
      </c>
      <c r="S1091">
        <v>0.97</v>
      </c>
      <c r="T1091">
        <v>3915</v>
      </c>
      <c r="U1091">
        <v>0</v>
      </c>
      <c r="V1091">
        <v>3915</v>
      </c>
    </row>
    <row r="1092" spans="1:22" x14ac:dyDescent="0.25">
      <c r="A1092">
        <v>187830</v>
      </c>
      <c r="B1092">
        <v>131198693</v>
      </c>
      <c r="C1092" t="s">
        <v>5434</v>
      </c>
      <c r="D1092" t="s">
        <v>5435</v>
      </c>
      <c r="E1092" t="s">
        <v>4949</v>
      </c>
      <c r="F1092" t="s">
        <v>847</v>
      </c>
      <c r="G1092" t="s">
        <v>156</v>
      </c>
      <c r="H1092" t="s">
        <v>157</v>
      </c>
      <c r="I1092" t="s">
        <v>35</v>
      </c>
      <c r="J1092" t="s">
        <v>166</v>
      </c>
      <c r="K1092" t="s">
        <v>2</v>
      </c>
      <c r="L1092" t="s">
        <v>158</v>
      </c>
      <c r="M1092" t="s">
        <v>5436</v>
      </c>
      <c r="N1092" t="s">
        <v>850</v>
      </c>
      <c r="O1092" t="s">
        <v>40</v>
      </c>
      <c r="P1092" t="s">
        <v>5437</v>
      </c>
      <c r="Q1092" t="s">
        <v>59</v>
      </c>
      <c r="R1092" t="s">
        <v>5397</v>
      </c>
      <c r="S1092">
        <v>3.9</v>
      </c>
      <c r="T1092">
        <v>7129</v>
      </c>
      <c r="U1092">
        <v>0</v>
      </c>
      <c r="V1092">
        <v>7129</v>
      </c>
    </row>
    <row r="1093" spans="1:22" x14ac:dyDescent="0.25">
      <c r="A1093">
        <v>148303</v>
      </c>
      <c r="B1093">
        <v>132125247</v>
      </c>
      <c r="C1093" t="s">
        <v>717</v>
      </c>
      <c r="D1093">
        <v>18848738</v>
      </c>
      <c r="E1093" t="s">
        <v>5438</v>
      </c>
      <c r="F1093" t="s">
        <v>847</v>
      </c>
      <c r="G1093" t="s">
        <v>504</v>
      </c>
      <c r="H1093" t="s">
        <v>505</v>
      </c>
      <c r="I1093" t="s">
        <v>35</v>
      </c>
      <c r="J1093" t="s">
        <v>320</v>
      </c>
      <c r="K1093" t="s">
        <v>2</v>
      </c>
      <c r="L1093" t="s">
        <v>103</v>
      </c>
      <c r="M1093" t="s">
        <v>5439</v>
      </c>
      <c r="N1093" t="s">
        <v>850</v>
      </c>
      <c r="O1093" t="s">
        <v>40</v>
      </c>
      <c r="P1093" t="s">
        <v>5440</v>
      </c>
      <c r="Q1093" t="s">
        <v>42</v>
      </c>
      <c r="R1093" t="s">
        <v>795</v>
      </c>
      <c r="S1093">
        <v>1</v>
      </c>
      <c r="T1093">
        <v>2706</v>
      </c>
      <c r="U1093">
        <v>0</v>
      </c>
      <c r="V1093">
        <v>2706</v>
      </c>
    </row>
    <row r="1094" spans="1:22" x14ac:dyDescent="0.25">
      <c r="A1094">
        <v>148303</v>
      </c>
      <c r="B1094">
        <v>130966851</v>
      </c>
      <c r="C1094" t="s">
        <v>5441</v>
      </c>
      <c r="D1094" t="s">
        <v>5442</v>
      </c>
      <c r="E1094" t="s">
        <v>5438</v>
      </c>
      <c r="F1094" t="s">
        <v>847</v>
      </c>
      <c r="G1094" t="s">
        <v>156</v>
      </c>
      <c r="H1094" t="s">
        <v>157</v>
      </c>
      <c r="I1094" t="s">
        <v>35</v>
      </c>
      <c r="J1094" t="s">
        <v>166</v>
      </c>
      <c r="K1094" t="s">
        <v>2</v>
      </c>
      <c r="L1094" t="s">
        <v>158</v>
      </c>
      <c r="M1094" t="s">
        <v>480</v>
      </c>
      <c r="N1094" t="s">
        <v>850</v>
      </c>
      <c r="O1094" t="s">
        <v>40</v>
      </c>
      <c r="P1094" t="s">
        <v>5443</v>
      </c>
      <c r="Q1094" t="s">
        <v>109</v>
      </c>
      <c r="R1094" t="s">
        <v>5444</v>
      </c>
      <c r="S1094">
        <v>3.95</v>
      </c>
      <c r="T1094">
        <v>11471</v>
      </c>
      <c r="U1094">
        <v>0</v>
      </c>
      <c r="V1094">
        <v>11471</v>
      </c>
    </row>
    <row r="1095" spans="1:22" x14ac:dyDescent="0.25">
      <c r="A1095">
        <v>148303</v>
      </c>
      <c r="B1095">
        <v>131725355</v>
      </c>
      <c r="C1095" t="s">
        <v>5445</v>
      </c>
      <c r="D1095">
        <v>18814876</v>
      </c>
      <c r="E1095" t="s">
        <v>5438</v>
      </c>
      <c r="F1095" t="s">
        <v>847</v>
      </c>
      <c r="G1095" t="s">
        <v>504</v>
      </c>
      <c r="H1095" t="s">
        <v>505</v>
      </c>
      <c r="I1095" t="s">
        <v>35</v>
      </c>
      <c r="J1095" t="s">
        <v>320</v>
      </c>
      <c r="K1095" t="s">
        <v>2</v>
      </c>
      <c r="L1095" t="s">
        <v>103</v>
      </c>
      <c r="M1095" t="s">
        <v>5446</v>
      </c>
      <c r="N1095" t="s">
        <v>850</v>
      </c>
      <c r="O1095" t="s">
        <v>40</v>
      </c>
      <c r="P1095" t="s">
        <v>5447</v>
      </c>
      <c r="Q1095" t="s">
        <v>97</v>
      </c>
      <c r="R1095" t="s">
        <v>5448</v>
      </c>
      <c r="S1095">
        <v>1</v>
      </c>
      <c r="T1095">
        <v>2706</v>
      </c>
      <c r="U1095">
        <v>0</v>
      </c>
      <c r="V1095">
        <v>2706</v>
      </c>
    </row>
    <row r="1096" spans="1:22" x14ac:dyDescent="0.25">
      <c r="A1096">
        <v>148303</v>
      </c>
      <c r="B1096">
        <v>131611534</v>
      </c>
      <c r="C1096" t="s">
        <v>5449</v>
      </c>
      <c r="D1096">
        <v>18804336</v>
      </c>
      <c r="E1096" t="s">
        <v>5438</v>
      </c>
      <c r="F1096" t="s">
        <v>847</v>
      </c>
      <c r="G1096" t="s">
        <v>504</v>
      </c>
      <c r="H1096" t="s">
        <v>505</v>
      </c>
      <c r="I1096" t="s">
        <v>35</v>
      </c>
      <c r="J1096" t="s">
        <v>320</v>
      </c>
      <c r="K1096" t="s">
        <v>2</v>
      </c>
      <c r="L1096" t="s">
        <v>103</v>
      </c>
      <c r="M1096" t="s">
        <v>5450</v>
      </c>
      <c r="N1096" t="s">
        <v>850</v>
      </c>
      <c r="O1096" t="s">
        <v>40</v>
      </c>
      <c r="P1096" t="s">
        <v>5451</v>
      </c>
      <c r="Q1096" t="s">
        <v>44</v>
      </c>
      <c r="R1096" t="s">
        <v>542</v>
      </c>
      <c r="S1096">
        <v>1</v>
      </c>
      <c r="T1096">
        <v>2706</v>
      </c>
      <c r="U1096">
        <v>0</v>
      </c>
      <c r="V1096">
        <v>2706</v>
      </c>
    </row>
    <row r="1097" spans="1:22" x14ac:dyDescent="0.25">
      <c r="A1097">
        <v>148303</v>
      </c>
      <c r="B1097">
        <v>131508575</v>
      </c>
      <c r="C1097" t="s">
        <v>5452</v>
      </c>
      <c r="D1097">
        <v>18792855</v>
      </c>
      <c r="E1097" t="s">
        <v>5438</v>
      </c>
      <c r="F1097" t="s">
        <v>847</v>
      </c>
      <c r="G1097" t="s">
        <v>504</v>
      </c>
      <c r="H1097" t="s">
        <v>505</v>
      </c>
      <c r="I1097" t="s">
        <v>35</v>
      </c>
      <c r="J1097" t="s">
        <v>320</v>
      </c>
      <c r="K1097" t="s">
        <v>2</v>
      </c>
      <c r="L1097" t="s">
        <v>103</v>
      </c>
      <c r="M1097" t="s">
        <v>5453</v>
      </c>
      <c r="N1097" t="s">
        <v>850</v>
      </c>
      <c r="O1097" t="s">
        <v>40</v>
      </c>
      <c r="P1097" t="s">
        <v>5454</v>
      </c>
      <c r="Q1097" t="s">
        <v>72</v>
      </c>
      <c r="R1097" t="s">
        <v>617</v>
      </c>
      <c r="S1097">
        <v>1</v>
      </c>
      <c r="T1097">
        <v>2706</v>
      </c>
      <c r="U1097">
        <v>0</v>
      </c>
      <c r="V1097">
        <v>2706</v>
      </c>
    </row>
    <row r="1098" spans="1:22" x14ac:dyDescent="0.25">
      <c r="A1098">
        <v>148303</v>
      </c>
      <c r="B1098">
        <v>131512615</v>
      </c>
      <c r="C1098" t="s">
        <v>716</v>
      </c>
      <c r="D1098">
        <v>18792854</v>
      </c>
      <c r="E1098" t="s">
        <v>5438</v>
      </c>
      <c r="F1098" t="s">
        <v>847</v>
      </c>
      <c r="G1098" t="s">
        <v>504</v>
      </c>
      <c r="H1098" t="s">
        <v>505</v>
      </c>
      <c r="I1098" t="s">
        <v>35</v>
      </c>
      <c r="J1098" t="s">
        <v>320</v>
      </c>
      <c r="K1098" t="s">
        <v>2</v>
      </c>
      <c r="L1098" t="s">
        <v>103</v>
      </c>
      <c r="M1098" t="s">
        <v>5455</v>
      </c>
      <c r="N1098" t="s">
        <v>850</v>
      </c>
      <c r="O1098" t="s">
        <v>40</v>
      </c>
      <c r="P1098" t="s">
        <v>5456</v>
      </c>
      <c r="Q1098" t="s">
        <v>41</v>
      </c>
      <c r="R1098" t="s">
        <v>369</v>
      </c>
      <c r="S1098">
        <v>1</v>
      </c>
      <c r="T1098">
        <v>2706</v>
      </c>
      <c r="U1098">
        <v>0</v>
      </c>
      <c r="V1098">
        <v>2706</v>
      </c>
    </row>
    <row r="1099" spans="1:22" x14ac:dyDescent="0.25">
      <c r="A1099">
        <v>148303</v>
      </c>
      <c r="B1099">
        <v>131531533</v>
      </c>
      <c r="C1099" t="s">
        <v>5457</v>
      </c>
      <c r="D1099">
        <v>18792853</v>
      </c>
      <c r="E1099" t="s">
        <v>5438</v>
      </c>
      <c r="F1099" t="s">
        <v>847</v>
      </c>
      <c r="G1099" t="s">
        <v>504</v>
      </c>
      <c r="H1099" t="s">
        <v>505</v>
      </c>
      <c r="I1099" t="s">
        <v>35</v>
      </c>
      <c r="J1099" t="s">
        <v>320</v>
      </c>
      <c r="K1099" t="s">
        <v>2</v>
      </c>
      <c r="L1099" t="s">
        <v>103</v>
      </c>
      <c r="M1099" t="s">
        <v>5458</v>
      </c>
      <c r="N1099" t="s">
        <v>850</v>
      </c>
      <c r="O1099" t="s">
        <v>40</v>
      </c>
      <c r="P1099" t="s">
        <v>5459</v>
      </c>
      <c r="Q1099" t="s">
        <v>193</v>
      </c>
      <c r="R1099" t="s">
        <v>298</v>
      </c>
      <c r="S1099">
        <v>1</v>
      </c>
      <c r="T1099">
        <v>2706</v>
      </c>
      <c r="U1099">
        <v>0</v>
      </c>
      <c r="V1099">
        <v>2706</v>
      </c>
    </row>
    <row r="1100" spans="1:22" x14ac:dyDescent="0.25">
      <c r="A1100">
        <v>148303</v>
      </c>
      <c r="B1100">
        <v>131100509</v>
      </c>
      <c r="C1100" t="s">
        <v>5460</v>
      </c>
      <c r="D1100" t="s">
        <v>5461</v>
      </c>
      <c r="E1100" t="s">
        <v>5438</v>
      </c>
      <c r="F1100" t="s">
        <v>847</v>
      </c>
      <c r="G1100" t="s">
        <v>156</v>
      </c>
      <c r="H1100" t="s">
        <v>157</v>
      </c>
      <c r="I1100" t="s">
        <v>35</v>
      </c>
      <c r="J1100" t="s">
        <v>166</v>
      </c>
      <c r="K1100" t="s">
        <v>2</v>
      </c>
      <c r="L1100" t="s">
        <v>158</v>
      </c>
      <c r="M1100" t="s">
        <v>5462</v>
      </c>
      <c r="N1100" t="s">
        <v>850</v>
      </c>
      <c r="O1100" t="s">
        <v>40</v>
      </c>
      <c r="P1100" t="s">
        <v>5463</v>
      </c>
      <c r="Q1100" t="s">
        <v>74</v>
      </c>
      <c r="R1100" t="s">
        <v>5464</v>
      </c>
      <c r="S1100">
        <v>1.71</v>
      </c>
      <c r="T1100">
        <v>8940</v>
      </c>
      <c r="U1100">
        <v>0</v>
      </c>
      <c r="V1100">
        <v>8940</v>
      </c>
    </row>
    <row r="1101" spans="1:22" x14ac:dyDescent="0.25">
      <c r="A1101">
        <v>148303</v>
      </c>
      <c r="B1101">
        <v>131082940</v>
      </c>
      <c r="C1101" t="s">
        <v>5465</v>
      </c>
      <c r="D1101" t="s">
        <v>5466</v>
      </c>
      <c r="E1101" t="s">
        <v>5438</v>
      </c>
      <c r="F1101" t="s">
        <v>847</v>
      </c>
      <c r="G1101" t="s">
        <v>156</v>
      </c>
      <c r="H1101" t="s">
        <v>157</v>
      </c>
      <c r="I1101" t="s">
        <v>35</v>
      </c>
      <c r="J1101" t="s">
        <v>166</v>
      </c>
      <c r="K1101" t="s">
        <v>2</v>
      </c>
      <c r="L1101" t="s">
        <v>158</v>
      </c>
      <c r="M1101" t="s">
        <v>5467</v>
      </c>
      <c r="N1101" t="s">
        <v>850</v>
      </c>
      <c r="O1101" t="s">
        <v>40</v>
      </c>
      <c r="P1101" t="s">
        <v>5468</v>
      </c>
      <c r="Q1101" t="s">
        <v>145</v>
      </c>
      <c r="R1101" t="s">
        <v>5469</v>
      </c>
      <c r="S1101">
        <v>4</v>
      </c>
      <c r="T1101">
        <v>4537</v>
      </c>
      <c r="U1101">
        <v>0</v>
      </c>
      <c r="V1101">
        <v>4537</v>
      </c>
    </row>
    <row r="1102" spans="1:22" x14ac:dyDescent="0.25">
      <c r="A1102">
        <v>148303</v>
      </c>
      <c r="B1102">
        <v>131912454</v>
      </c>
      <c r="C1102" t="s">
        <v>5470</v>
      </c>
      <c r="D1102" t="s">
        <v>5471</v>
      </c>
      <c r="E1102" t="s">
        <v>5438</v>
      </c>
      <c r="F1102" t="s">
        <v>847</v>
      </c>
      <c r="G1102" t="s">
        <v>156</v>
      </c>
      <c r="H1102" t="s">
        <v>157</v>
      </c>
      <c r="I1102" t="s">
        <v>35</v>
      </c>
      <c r="J1102" t="s">
        <v>166</v>
      </c>
      <c r="K1102" t="s">
        <v>2</v>
      </c>
      <c r="L1102" t="s">
        <v>158</v>
      </c>
      <c r="M1102" t="s">
        <v>5472</v>
      </c>
      <c r="N1102" t="s">
        <v>850</v>
      </c>
      <c r="O1102" t="s">
        <v>40</v>
      </c>
      <c r="P1102" t="s">
        <v>5473</v>
      </c>
      <c r="Q1102" t="s">
        <v>154</v>
      </c>
      <c r="R1102" t="s">
        <v>640</v>
      </c>
      <c r="S1102">
        <v>7.0000000000000007E-2</v>
      </c>
      <c r="T1102">
        <v>6623</v>
      </c>
      <c r="U1102">
        <v>0</v>
      </c>
      <c r="V1102">
        <v>6623</v>
      </c>
    </row>
    <row r="1103" spans="1:22" x14ac:dyDescent="0.25">
      <c r="A1103">
        <v>148303</v>
      </c>
      <c r="B1103">
        <v>131751374</v>
      </c>
      <c r="C1103" t="s">
        <v>5474</v>
      </c>
      <c r="D1103" t="s">
        <v>5475</v>
      </c>
      <c r="E1103" t="s">
        <v>5438</v>
      </c>
      <c r="F1103" t="s">
        <v>847</v>
      </c>
      <c r="G1103" t="s">
        <v>156</v>
      </c>
      <c r="H1103" t="s">
        <v>157</v>
      </c>
      <c r="I1103" t="s">
        <v>35</v>
      </c>
      <c r="J1103" t="s">
        <v>166</v>
      </c>
      <c r="K1103" t="s">
        <v>2</v>
      </c>
      <c r="L1103" t="s">
        <v>158</v>
      </c>
      <c r="M1103" t="s">
        <v>5476</v>
      </c>
      <c r="N1103" t="s">
        <v>850</v>
      </c>
      <c r="O1103" t="s">
        <v>40</v>
      </c>
      <c r="P1103" t="s">
        <v>5477</v>
      </c>
      <c r="Q1103" t="s">
        <v>123</v>
      </c>
      <c r="R1103" t="s">
        <v>478</v>
      </c>
      <c r="S1103">
        <v>4.95</v>
      </c>
      <c r="T1103">
        <v>8022</v>
      </c>
      <c r="U1103">
        <v>0</v>
      </c>
      <c r="V1103">
        <v>8022</v>
      </c>
    </row>
    <row r="1104" spans="1:22" x14ac:dyDescent="0.25">
      <c r="A1104">
        <v>148303</v>
      </c>
      <c r="B1104">
        <v>131871814</v>
      </c>
      <c r="C1104" t="s">
        <v>5478</v>
      </c>
      <c r="D1104" t="s">
        <v>5479</v>
      </c>
      <c r="E1104" t="s">
        <v>5438</v>
      </c>
      <c r="F1104" t="s">
        <v>847</v>
      </c>
      <c r="G1104" t="s">
        <v>156</v>
      </c>
      <c r="H1104" t="s">
        <v>157</v>
      </c>
      <c r="I1104" t="s">
        <v>35</v>
      </c>
      <c r="J1104" t="s">
        <v>166</v>
      </c>
      <c r="K1104" t="s">
        <v>2</v>
      </c>
      <c r="L1104" t="s">
        <v>158</v>
      </c>
      <c r="M1104" t="s">
        <v>5480</v>
      </c>
      <c r="N1104" t="s">
        <v>850</v>
      </c>
      <c r="O1104" t="s">
        <v>40</v>
      </c>
      <c r="P1104" t="s">
        <v>5481</v>
      </c>
      <c r="Q1104" t="s">
        <v>49</v>
      </c>
      <c r="R1104" t="s">
        <v>5482</v>
      </c>
      <c r="S1104">
        <v>2.83</v>
      </c>
      <c r="T1104">
        <v>7015</v>
      </c>
      <c r="U1104">
        <v>0</v>
      </c>
      <c r="V1104">
        <v>7015</v>
      </c>
    </row>
    <row r="1105" spans="1:22" x14ac:dyDescent="0.25">
      <c r="A1105">
        <v>148303</v>
      </c>
      <c r="B1105">
        <v>131849828</v>
      </c>
      <c r="C1105" t="s">
        <v>729</v>
      </c>
      <c r="D1105" t="s">
        <v>5483</v>
      </c>
      <c r="E1105" t="s">
        <v>5438</v>
      </c>
      <c r="F1105" t="s">
        <v>847</v>
      </c>
      <c r="G1105" t="s">
        <v>156</v>
      </c>
      <c r="H1105" t="s">
        <v>157</v>
      </c>
      <c r="I1105" t="s">
        <v>35</v>
      </c>
      <c r="J1105" t="s">
        <v>166</v>
      </c>
      <c r="K1105" t="s">
        <v>2</v>
      </c>
      <c r="L1105" t="s">
        <v>158</v>
      </c>
      <c r="M1105" t="s">
        <v>5484</v>
      </c>
      <c r="N1105" t="s">
        <v>850</v>
      </c>
      <c r="O1105" t="s">
        <v>40</v>
      </c>
      <c r="P1105" t="s">
        <v>5485</v>
      </c>
      <c r="Q1105" t="s">
        <v>154</v>
      </c>
      <c r="R1105" t="s">
        <v>624</v>
      </c>
      <c r="S1105">
        <v>3.75</v>
      </c>
      <c r="T1105">
        <v>8106</v>
      </c>
      <c r="U1105">
        <v>0</v>
      </c>
      <c r="V1105">
        <v>8106</v>
      </c>
    </row>
    <row r="1106" spans="1:22" x14ac:dyDescent="0.25">
      <c r="A1106">
        <v>148303</v>
      </c>
      <c r="B1106">
        <v>131858399</v>
      </c>
      <c r="C1106" t="s">
        <v>726</v>
      </c>
      <c r="D1106" t="s">
        <v>5486</v>
      </c>
      <c r="E1106" t="s">
        <v>5438</v>
      </c>
      <c r="F1106" t="s">
        <v>847</v>
      </c>
      <c r="G1106" t="s">
        <v>156</v>
      </c>
      <c r="H1106" t="s">
        <v>157</v>
      </c>
      <c r="I1106" t="s">
        <v>35</v>
      </c>
      <c r="J1106" t="s">
        <v>166</v>
      </c>
      <c r="K1106" t="s">
        <v>2</v>
      </c>
      <c r="L1106" t="s">
        <v>158</v>
      </c>
      <c r="M1106" t="s">
        <v>5487</v>
      </c>
      <c r="N1106" t="s">
        <v>850</v>
      </c>
      <c r="O1106" t="s">
        <v>40</v>
      </c>
      <c r="P1106" t="s">
        <v>5488</v>
      </c>
      <c r="Q1106" t="s">
        <v>84</v>
      </c>
      <c r="R1106" t="s">
        <v>660</v>
      </c>
      <c r="S1106">
        <v>0.68</v>
      </c>
      <c r="T1106">
        <v>3915</v>
      </c>
      <c r="U1106">
        <v>0</v>
      </c>
      <c r="V1106">
        <v>3915</v>
      </c>
    </row>
    <row r="1107" spans="1:22" x14ac:dyDescent="0.25">
      <c r="A1107">
        <v>148303</v>
      </c>
      <c r="B1107">
        <v>131850162</v>
      </c>
      <c r="C1107" t="s">
        <v>725</v>
      </c>
      <c r="D1107" t="s">
        <v>5489</v>
      </c>
      <c r="E1107" t="s">
        <v>5438</v>
      </c>
      <c r="F1107" t="s">
        <v>847</v>
      </c>
      <c r="G1107" t="s">
        <v>156</v>
      </c>
      <c r="H1107" t="s">
        <v>157</v>
      </c>
      <c r="I1107" t="s">
        <v>35</v>
      </c>
      <c r="J1107" t="s">
        <v>166</v>
      </c>
      <c r="K1107" t="s">
        <v>2</v>
      </c>
      <c r="L1107" t="s">
        <v>158</v>
      </c>
      <c r="M1107" t="s">
        <v>5490</v>
      </c>
      <c r="N1107" t="s">
        <v>850</v>
      </c>
      <c r="O1107" t="s">
        <v>40</v>
      </c>
      <c r="P1107" t="s">
        <v>5491</v>
      </c>
      <c r="Q1107" t="s">
        <v>161</v>
      </c>
      <c r="R1107" t="s">
        <v>5492</v>
      </c>
      <c r="S1107">
        <v>3.9</v>
      </c>
      <c r="T1107">
        <v>7224</v>
      </c>
      <c r="U1107">
        <v>0</v>
      </c>
      <c r="V1107">
        <v>7224</v>
      </c>
    </row>
    <row r="1108" spans="1:22" x14ac:dyDescent="0.25">
      <c r="A1108">
        <v>148303</v>
      </c>
      <c r="B1108">
        <v>131784522</v>
      </c>
      <c r="C1108" t="s">
        <v>724</v>
      </c>
      <c r="D1108" t="s">
        <v>5493</v>
      </c>
      <c r="E1108" t="s">
        <v>5438</v>
      </c>
      <c r="F1108" t="s">
        <v>847</v>
      </c>
      <c r="G1108" t="s">
        <v>156</v>
      </c>
      <c r="H1108" t="s">
        <v>157</v>
      </c>
      <c r="I1108" t="s">
        <v>35</v>
      </c>
      <c r="J1108" t="s">
        <v>166</v>
      </c>
      <c r="K1108" t="s">
        <v>2</v>
      </c>
      <c r="L1108" t="s">
        <v>158</v>
      </c>
      <c r="M1108" t="s">
        <v>5472</v>
      </c>
      <c r="N1108" t="s">
        <v>850</v>
      </c>
      <c r="O1108" t="s">
        <v>40</v>
      </c>
      <c r="P1108" t="s">
        <v>5473</v>
      </c>
      <c r="Q1108" t="s">
        <v>154</v>
      </c>
      <c r="R1108" t="s">
        <v>5494</v>
      </c>
      <c r="S1108">
        <v>3.8</v>
      </c>
      <c r="T1108">
        <v>8106</v>
      </c>
      <c r="U1108">
        <v>0</v>
      </c>
      <c r="V1108">
        <v>8106</v>
      </c>
    </row>
    <row r="1109" spans="1:22" x14ac:dyDescent="0.25">
      <c r="A1109">
        <v>148303</v>
      </c>
      <c r="B1109">
        <v>131783517</v>
      </c>
      <c r="C1109" t="s">
        <v>720</v>
      </c>
      <c r="D1109" t="s">
        <v>5495</v>
      </c>
      <c r="E1109" t="s">
        <v>5438</v>
      </c>
      <c r="F1109" t="s">
        <v>847</v>
      </c>
      <c r="G1109" t="s">
        <v>156</v>
      </c>
      <c r="H1109" t="s">
        <v>157</v>
      </c>
      <c r="I1109" t="s">
        <v>35</v>
      </c>
      <c r="J1109" t="s">
        <v>166</v>
      </c>
      <c r="K1109" t="s">
        <v>2</v>
      </c>
      <c r="L1109" t="s">
        <v>158</v>
      </c>
      <c r="M1109" t="s">
        <v>5496</v>
      </c>
      <c r="N1109" t="s">
        <v>850</v>
      </c>
      <c r="O1109" t="s">
        <v>40</v>
      </c>
      <c r="P1109" t="s">
        <v>5497</v>
      </c>
      <c r="Q1109" t="s">
        <v>192</v>
      </c>
      <c r="R1109" t="s">
        <v>5498</v>
      </c>
      <c r="S1109">
        <v>5.15</v>
      </c>
      <c r="T1109">
        <v>7943</v>
      </c>
      <c r="U1109">
        <v>0</v>
      </c>
      <c r="V1109">
        <v>7943</v>
      </c>
    </row>
    <row r="1110" spans="1:22" x14ac:dyDescent="0.25">
      <c r="A1110">
        <v>148303</v>
      </c>
      <c r="B1110">
        <v>131843588</v>
      </c>
      <c r="C1110" t="s">
        <v>728</v>
      </c>
      <c r="D1110" t="s">
        <v>5499</v>
      </c>
      <c r="E1110" t="s">
        <v>5438</v>
      </c>
      <c r="F1110" t="s">
        <v>847</v>
      </c>
      <c r="G1110" t="s">
        <v>156</v>
      </c>
      <c r="H1110" t="s">
        <v>157</v>
      </c>
      <c r="I1110" t="s">
        <v>35</v>
      </c>
      <c r="J1110" t="s">
        <v>166</v>
      </c>
      <c r="K1110" t="s">
        <v>2</v>
      </c>
      <c r="L1110" t="s">
        <v>158</v>
      </c>
      <c r="M1110" t="s">
        <v>5500</v>
      </c>
      <c r="N1110" t="s">
        <v>850</v>
      </c>
      <c r="O1110" t="s">
        <v>40</v>
      </c>
      <c r="P1110" t="s">
        <v>5501</v>
      </c>
      <c r="Q1110" t="s">
        <v>60</v>
      </c>
      <c r="R1110" t="s">
        <v>5502</v>
      </c>
      <c r="S1110">
        <v>3.75</v>
      </c>
      <c r="T1110">
        <v>7129</v>
      </c>
      <c r="U1110">
        <v>0</v>
      </c>
      <c r="V1110">
        <v>7129</v>
      </c>
    </row>
    <row r="1111" spans="1:22" x14ac:dyDescent="0.25">
      <c r="A1111">
        <v>148303</v>
      </c>
      <c r="B1111">
        <v>131585891</v>
      </c>
      <c r="C1111" t="s">
        <v>722</v>
      </c>
      <c r="D1111" t="s">
        <v>5503</v>
      </c>
      <c r="E1111" t="s">
        <v>5438</v>
      </c>
      <c r="F1111" t="s">
        <v>847</v>
      </c>
      <c r="G1111" t="s">
        <v>156</v>
      </c>
      <c r="H1111" t="s">
        <v>157</v>
      </c>
      <c r="I1111" t="s">
        <v>35</v>
      </c>
      <c r="J1111" t="s">
        <v>166</v>
      </c>
      <c r="K1111" t="s">
        <v>2</v>
      </c>
      <c r="L1111" t="s">
        <v>158</v>
      </c>
      <c r="M1111" t="s">
        <v>5504</v>
      </c>
      <c r="N1111" t="s">
        <v>850</v>
      </c>
      <c r="O1111" t="s">
        <v>40</v>
      </c>
      <c r="P1111" t="s">
        <v>5505</v>
      </c>
      <c r="Q1111" t="s">
        <v>228</v>
      </c>
      <c r="R1111" t="s">
        <v>5506</v>
      </c>
      <c r="S1111">
        <v>1.74</v>
      </c>
      <c r="T1111">
        <v>16868</v>
      </c>
      <c r="U1111">
        <v>0</v>
      </c>
      <c r="V1111">
        <v>16868</v>
      </c>
    </row>
    <row r="1112" spans="1:22" x14ac:dyDescent="0.25">
      <c r="A1112">
        <v>148303</v>
      </c>
      <c r="B1112">
        <v>131683189</v>
      </c>
      <c r="C1112" t="s">
        <v>718</v>
      </c>
      <c r="D1112" t="s">
        <v>5507</v>
      </c>
      <c r="E1112" t="s">
        <v>5438</v>
      </c>
      <c r="F1112" t="s">
        <v>847</v>
      </c>
      <c r="G1112" t="s">
        <v>156</v>
      </c>
      <c r="H1112" t="s">
        <v>157</v>
      </c>
      <c r="I1112" t="s">
        <v>35</v>
      </c>
      <c r="J1112" t="s">
        <v>166</v>
      </c>
      <c r="K1112" t="s">
        <v>2</v>
      </c>
      <c r="L1112" t="s">
        <v>158</v>
      </c>
      <c r="M1112" t="s">
        <v>5508</v>
      </c>
      <c r="N1112" t="s">
        <v>850</v>
      </c>
      <c r="O1112" t="s">
        <v>40</v>
      </c>
      <c r="P1112" t="s">
        <v>5509</v>
      </c>
      <c r="Q1112" t="s">
        <v>149</v>
      </c>
      <c r="R1112" t="s">
        <v>360</v>
      </c>
      <c r="S1112">
        <v>2.78</v>
      </c>
      <c r="T1112">
        <v>9906</v>
      </c>
      <c r="U1112">
        <v>0</v>
      </c>
      <c r="V1112">
        <v>9906</v>
      </c>
    </row>
    <row r="1113" spans="1:22" x14ac:dyDescent="0.25">
      <c r="A1113">
        <v>148303</v>
      </c>
      <c r="B1113">
        <v>131609398</v>
      </c>
      <c r="C1113" t="s">
        <v>5510</v>
      </c>
      <c r="D1113" t="s">
        <v>5511</v>
      </c>
      <c r="E1113" t="s">
        <v>5438</v>
      </c>
      <c r="F1113" t="s">
        <v>847</v>
      </c>
      <c r="G1113" t="s">
        <v>156</v>
      </c>
      <c r="H1113" t="s">
        <v>157</v>
      </c>
      <c r="I1113" t="s">
        <v>35</v>
      </c>
      <c r="J1113" t="s">
        <v>166</v>
      </c>
      <c r="K1113" t="s">
        <v>2</v>
      </c>
      <c r="L1113" t="s">
        <v>158</v>
      </c>
      <c r="M1113" t="s">
        <v>5512</v>
      </c>
      <c r="N1113" t="s">
        <v>850</v>
      </c>
      <c r="O1113" t="s">
        <v>40</v>
      </c>
      <c r="P1113" t="s">
        <v>5513</v>
      </c>
      <c r="Q1113" t="s">
        <v>128</v>
      </c>
      <c r="R1113" t="s">
        <v>825</v>
      </c>
      <c r="S1113">
        <v>3.25</v>
      </c>
      <c r="T1113">
        <v>6998</v>
      </c>
      <c r="U1113">
        <v>0</v>
      </c>
      <c r="V1113">
        <v>6998</v>
      </c>
    </row>
    <row r="1114" spans="1:22" x14ac:dyDescent="0.25">
      <c r="A1114">
        <v>148303</v>
      </c>
      <c r="B1114">
        <v>131577180</v>
      </c>
      <c r="C1114" t="s">
        <v>733</v>
      </c>
      <c r="D1114" t="s">
        <v>5514</v>
      </c>
      <c r="E1114" t="s">
        <v>5438</v>
      </c>
      <c r="F1114" t="s">
        <v>847</v>
      </c>
      <c r="G1114" t="s">
        <v>156</v>
      </c>
      <c r="H1114" t="s">
        <v>157</v>
      </c>
      <c r="I1114" t="s">
        <v>35</v>
      </c>
      <c r="J1114" t="s">
        <v>166</v>
      </c>
      <c r="K1114" t="s">
        <v>2</v>
      </c>
      <c r="L1114" t="s">
        <v>158</v>
      </c>
      <c r="M1114" t="s">
        <v>5515</v>
      </c>
      <c r="N1114" t="s">
        <v>850</v>
      </c>
      <c r="O1114" t="s">
        <v>40</v>
      </c>
      <c r="P1114" t="s">
        <v>5516</v>
      </c>
      <c r="Q1114" t="s">
        <v>53</v>
      </c>
      <c r="R1114" t="s">
        <v>607</v>
      </c>
      <c r="S1114">
        <v>3.9</v>
      </c>
      <c r="T1114">
        <v>4537</v>
      </c>
      <c r="U1114">
        <v>0</v>
      </c>
      <c r="V1114">
        <v>4537</v>
      </c>
    </row>
    <row r="1115" spans="1:22" x14ac:dyDescent="0.25">
      <c r="A1115">
        <v>148303</v>
      </c>
      <c r="B1115">
        <v>131634736</v>
      </c>
      <c r="C1115" t="s">
        <v>5517</v>
      </c>
      <c r="D1115" t="s">
        <v>5518</v>
      </c>
      <c r="E1115" t="s">
        <v>5438</v>
      </c>
      <c r="F1115" t="s">
        <v>847</v>
      </c>
      <c r="G1115" t="s">
        <v>156</v>
      </c>
      <c r="H1115" t="s">
        <v>157</v>
      </c>
      <c r="I1115" t="s">
        <v>35</v>
      </c>
      <c r="J1115" t="s">
        <v>166</v>
      </c>
      <c r="K1115" t="s">
        <v>2</v>
      </c>
      <c r="L1115" t="s">
        <v>158</v>
      </c>
      <c r="M1115" t="s">
        <v>5519</v>
      </c>
      <c r="N1115" t="s">
        <v>850</v>
      </c>
      <c r="O1115" t="s">
        <v>40</v>
      </c>
      <c r="P1115" t="s">
        <v>5520</v>
      </c>
      <c r="Q1115" t="s">
        <v>217</v>
      </c>
      <c r="R1115" t="s">
        <v>450</v>
      </c>
      <c r="S1115">
        <v>1.6</v>
      </c>
      <c r="T1115">
        <v>7087</v>
      </c>
      <c r="U1115">
        <v>0</v>
      </c>
      <c r="V1115">
        <v>7087</v>
      </c>
    </row>
    <row r="1116" spans="1:22" x14ac:dyDescent="0.25">
      <c r="A1116">
        <v>148303</v>
      </c>
      <c r="B1116">
        <v>131672707</v>
      </c>
      <c r="C1116" t="s">
        <v>727</v>
      </c>
      <c r="D1116" t="s">
        <v>5521</v>
      </c>
      <c r="E1116" t="s">
        <v>5438</v>
      </c>
      <c r="F1116" t="s">
        <v>847</v>
      </c>
      <c r="G1116" t="s">
        <v>156</v>
      </c>
      <c r="H1116" t="s">
        <v>157</v>
      </c>
      <c r="I1116" t="s">
        <v>35</v>
      </c>
      <c r="J1116" t="s">
        <v>166</v>
      </c>
      <c r="K1116" t="s">
        <v>2</v>
      </c>
      <c r="L1116" t="s">
        <v>158</v>
      </c>
      <c r="M1116" t="s">
        <v>5522</v>
      </c>
      <c r="N1116" t="s">
        <v>850</v>
      </c>
      <c r="O1116" t="s">
        <v>40</v>
      </c>
      <c r="P1116" t="s">
        <v>5523</v>
      </c>
      <c r="Q1116" t="s">
        <v>62</v>
      </c>
      <c r="R1116" t="s">
        <v>449</v>
      </c>
      <c r="S1116">
        <v>4.8499999999999996</v>
      </c>
      <c r="T1116">
        <v>8022</v>
      </c>
      <c r="U1116">
        <v>0</v>
      </c>
      <c r="V1116">
        <v>8022</v>
      </c>
    </row>
    <row r="1117" spans="1:22" x14ac:dyDescent="0.25">
      <c r="A1117">
        <v>148303</v>
      </c>
      <c r="B1117">
        <v>131610315</v>
      </c>
      <c r="C1117" t="s">
        <v>730</v>
      </c>
      <c r="D1117" t="s">
        <v>5524</v>
      </c>
      <c r="E1117" t="s">
        <v>5438</v>
      </c>
      <c r="F1117" t="s">
        <v>847</v>
      </c>
      <c r="G1117" t="s">
        <v>156</v>
      </c>
      <c r="H1117" t="s">
        <v>157</v>
      </c>
      <c r="I1117" t="s">
        <v>35</v>
      </c>
      <c r="J1117" t="s">
        <v>166</v>
      </c>
      <c r="K1117" t="s">
        <v>2</v>
      </c>
      <c r="L1117" t="s">
        <v>158</v>
      </c>
      <c r="M1117" t="s">
        <v>5525</v>
      </c>
      <c r="N1117" t="s">
        <v>850</v>
      </c>
      <c r="O1117" t="s">
        <v>40</v>
      </c>
      <c r="P1117" t="s">
        <v>5526</v>
      </c>
      <c r="Q1117" t="s">
        <v>50</v>
      </c>
      <c r="R1117" t="s">
        <v>5527</v>
      </c>
      <c r="S1117">
        <v>13.45</v>
      </c>
      <c r="T1117">
        <v>11583</v>
      </c>
      <c r="U1117">
        <v>0</v>
      </c>
      <c r="V1117">
        <v>11583</v>
      </c>
    </row>
    <row r="1118" spans="1:22" x14ac:dyDescent="0.25">
      <c r="A1118">
        <v>148303</v>
      </c>
      <c r="B1118">
        <v>131607128</v>
      </c>
      <c r="C1118" t="s">
        <v>723</v>
      </c>
      <c r="D1118" t="s">
        <v>5528</v>
      </c>
      <c r="E1118" t="s">
        <v>5438</v>
      </c>
      <c r="F1118" t="s">
        <v>847</v>
      </c>
      <c r="G1118" t="s">
        <v>156</v>
      </c>
      <c r="H1118" t="s">
        <v>157</v>
      </c>
      <c r="I1118" t="s">
        <v>35</v>
      </c>
      <c r="J1118" t="s">
        <v>166</v>
      </c>
      <c r="K1118" t="s">
        <v>2</v>
      </c>
      <c r="L1118" t="s">
        <v>158</v>
      </c>
      <c r="M1118" t="s">
        <v>5529</v>
      </c>
      <c r="N1118" t="s">
        <v>850</v>
      </c>
      <c r="O1118" t="s">
        <v>40</v>
      </c>
      <c r="P1118" t="s">
        <v>5530</v>
      </c>
      <c r="Q1118" t="s">
        <v>194</v>
      </c>
      <c r="R1118" t="s">
        <v>5531</v>
      </c>
      <c r="S1118">
        <v>3.94</v>
      </c>
      <c r="T1118">
        <v>8305</v>
      </c>
      <c r="U1118">
        <v>0</v>
      </c>
      <c r="V1118">
        <v>8305</v>
      </c>
    </row>
    <row r="1119" spans="1:22" x14ac:dyDescent="0.25">
      <c r="A1119">
        <v>148303</v>
      </c>
      <c r="B1119">
        <v>131650139</v>
      </c>
      <c r="C1119" t="s">
        <v>5532</v>
      </c>
      <c r="D1119" t="s">
        <v>5533</v>
      </c>
      <c r="E1119" t="s">
        <v>5438</v>
      </c>
      <c r="F1119" t="s">
        <v>847</v>
      </c>
      <c r="G1119" t="s">
        <v>156</v>
      </c>
      <c r="H1119" t="s">
        <v>157</v>
      </c>
      <c r="I1119" t="s">
        <v>35</v>
      </c>
      <c r="J1119" t="s">
        <v>166</v>
      </c>
      <c r="K1119" t="s">
        <v>2</v>
      </c>
      <c r="L1119" t="s">
        <v>158</v>
      </c>
      <c r="M1119" t="s">
        <v>5534</v>
      </c>
      <c r="N1119" t="s">
        <v>850</v>
      </c>
      <c r="O1119" t="s">
        <v>40</v>
      </c>
      <c r="P1119" t="s">
        <v>5535</v>
      </c>
      <c r="Q1119" t="s">
        <v>63</v>
      </c>
      <c r="R1119" t="s">
        <v>324</v>
      </c>
      <c r="S1119">
        <v>1.22</v>
      </c>
      <c r="T1119">
        <v>7773</v>
      </c>
      <c r="U1119">
        <v>0</v>
      </c>
      <c r="V1119">
        <v>7773</v>
      </c>
    </row>
    <row r="1120" spans="1:22" x14ac:dyDescent="0.25">
      <c r="A1120">
        <v>148303</v>
      </c>
      <c r="B1120">
        <v>131594022</v>
      </c>
      <c r="C1120" t="s">
        <v>5536</v>
      </c>
      <c r="D1120" t="s">
        <v>5537</v>
      </c>
      <c r="E1120" t="s">
        <v>5438</v>
      </c>
      <c r="F1120" t="s">
        <v>847</v>
      </c>
      <c r="G1120" t="s">
        <v>156</v>
      </c>
      <c r="H1120" t="s">
        <v>157</v>
      </c>
      <c r="I1120" t="s">
        <v>35</v>
      </c>
      <c r="J1120" t="s">
        <v>166</v>
      </c>
      <c r="K1120" t="s">
        <v>2</v>
      </c>
      <c r="L1120" t="s">
        <v>158</v>
      </c>
      <c r="M1120" t="s">
        <v>5538</v>
      </c>
      <c r="N1120" t="s">
        <v>850</v>
      </c>
      <c r="O1120" t="s">
        <v>40</v>
      </c>
      <c r="P1120" t="s">
        <v>5539</v>
      </c>
      <c r="Q1120" t="s">
        <v>204</v>
      </c>
      <c r="R1120" t="s">
        <v>773</v>
      </c>
      <c r="S1120">
        <v>1.55</v>
      </c>
      <c r="T1120">
        <v>10990</v>
      </c>
      <c r="U1120">
        <v>0</v>
      </c>
      <c r="V1120">
        <v>10990</v>
      </c>
    </row>
    <row r="1121" spans="1:22" x14ac:dyDescent="0.25">
      <c r="A1121">
        <v>148303</v>
      </c>
      <c r="B1121">
        <v>131708024</v>
      </c>
      <c r="C1121" t="s">
        <v>715</v>
      </c>
      <c r="D1121" t="s">
        <v>5540</v>
      </c>
      <c r="E1121" t="s">
        <v>5438</v>
      </c>
      <c r="F1121" t="s">
        <v>847</v>
      </c>
      <c r="G1121" t="s">
        <v>156</v>
      </c>
      <c r="H1121" t="s">
        <v>157</v>
      </c>
      <c r="I1121" t="s">
        <v>35</v>
      </c>
      <c r="J1121" t="s">
        <v>166</v>
      </c>
      <c r="K1121" t="s">
        <v>2</v>
      </c>
      <c r="L1121" t="s">
        <v>158</v>
      </c>
      <c r="M1121" t="s">
        <v>5541</v>
      </c>
      <c r="N1121" t="s">
        <v>850</v>
      </c>
      <c r="O1121" t="s">
        <v>40</v>
      </c>
      <c r="P1121" t="s">
        <v>5542</v>
      </c>
      <c r="Q1121" t="s">
        <v>79</v>
      </c>
      <c r="R1121" t="s">
        <v>277</v>
      </c>
      <c r="S1121">
        <v>2.78</v>
      </c>
      <c r="T1121">
        <v>7326</v>
      </c>
      <c r="U1121">
        <v>0</v>
      </c>
      <c r="V1121">
        <v>7326</v>
      </c>
    </row>
    <row r="1122" spans="1:22" x14ac:dyDescent="0.25">
      <c r="A1122">
        <v>148303</v>
      </c>
      <c r="B1122">
        <v>131737765</v>
      </c>
      <c r="C1122" t="s">
        <v>732</v>
      </c>
      <c r="D1122" t="s">
        <v>5543</v>
      </c>
      <c r="E1122" t="s">
        <v>5438</v>
      </c>
      <c r="F1122" t="s">
        <v>847</v>
      </c>
      <c r="G1122" t="s">
        <v>156</v>
      </c>
      <c r="H1122" t="s">
        <v>157</v>
      </c>
      <c r="I1122" t="s">
        <v>35</v>
      </c>
      <c r="J1122" t="s">
        <v>166</v>
      </c>
      <c r="K1122" t="s">
        <v>2</v>
      </c>
      <c r="L1122" t="s">
        <v>158</v>
      </c>
      <c r="M1122" t="s">
        <v>5544</v>
      </c>
      <c r="N1122" t="s">
        <v>850</v>
      </c>
      <c r="O1122" t="s">
        <v>40</v>
      </c>
      <c r="P1122" t="s">
        <v>5545</v>
      </c>
      <c r="Q1122" t="s">
        <v>120</v>
      </c>
      <c r="R1122" t="s">
        <v>659</v>
      </c>
      <c r="S1122">
        <v>7.33</v>
      </c>
      <c r="T1122">
        <v>9782</v>
      </c>
      <c r="U1122">
        <v>0</v>
      </c>
      <c r="V1122">
        <v>9782</v>
      </c>
    </row>
    <row r="1123" spans="1:22" x14ac:dyDescent="0.25">
      <c r="A1123">
        <v>148303</v>
      </c>
      <c r="B1123">
        <v>131606438</v>
      </c>
      <c r="C1123" t="s">
        <v>721</v>
      </c>
      <c r="D1123" t="s">
        <v>5546</v>
      </c>
      <c r="E1123" t="s">
        <v>5438</v>
      </c>
      <c r="F1123" t="s">
        <v>847</v>
      </c>
      <c r="G1123" t="s">
        <v>156</v>
      </c>
      <c r="H1123" t="s">
        <v>157</v>
      </c>
      <c r="I1123" t="s">
        <v>35</v>
      </c>
      <c r="J1123" t="s">
        <v>166</v>
      </c>
      <c r="K1123" t="s">
        <v>2</v>
      </c>
      <c r="L1123" t="s">
        <v>158</v>
      </c>
      <c r="M1123" t="s">
        <v>5547</v>
      </c>
      <c r="N1123" t="s">
        <v>850</v>
      </c>
      <c r="O1123" t="s">
        <v>40</v>
      </c>
      <c r="P1123" t="s">
        <v>5548</v>
      </c>
      <c r="Q1123" t="s">
        <v>79</v>
      </c>
      <c r="R1123" t="s">
        <v>477</v>
      </c>
      <c r="S1123">
        <v>3.28</v>
      </c>
      <c r="T1123">
        <v>7449</v>
      </c>
      <c r="U1123">
        <v>0</v>
      </c>
      <c r="V1123">
        <v>7449</v>
      </c>
    </row>
    <row r="1124" spans="1:22" x14ac:dyDescent="0.25">
      <c r="A1124">
        <v>148303</v>
      </c>
      <c r="B1124">
        <v>131522510</v>
      </c>
      <c r="C1124" t="s">
        <v>719</v>
      </c>
      <c r="D1124" t="s">
        <v>5549</v>
      </c>
      <c r="E1124" t="s">
        <v>5438</v>
      </c>
      <c r="F1124" t="s">
        <v>847</v>
      </c>
      <c r="G1124" t="s">
        <v>156</v>
      </c>
      <c r="H1124" t="s">
        <v>157</v>
      </c>
      <c r="I1124" t="s">
        <v>35</v>
      </c>
      <c r="J1124" t="s">
        <v>166</v>
      </c>
      <c r="K1124" t="s">
        <v>2</v>
      </c>
      <c r="L1124" t="s">
        <v>158</v>
      </c>
      <c r="M1124" t="s">
        <v>5550</v>
      </c>
      <c r="N1124" t="s">
        <v>850</v>
      </c>
      <c r="O1124" t="s">
        <v>40</v>
      </c>
      <c r="P1124" t="s">
        <v>5551</v>
      </c>
      <c r="Q1124" t="s">
        <v>130</v>
      </c>
      <c r="R1124" t="s">
        <v>5552</v>
      </c>
      <c r="S1124">
        <v>2.64</v>
      </c>
      <c r="T1124">
        <v>7015</v>
      </c>
      <c r="U1124">
        <v>0</v>
      </c>
      <c r="V1124">
        <v>7015</v>
      </c>
    </row>
    <row r="1125" spans="1:22" x14ac:dyDescent="0.25">
      <c r="A1125">
        <v>148303</v>
      </c>
      <c r="B1125">
        <v>131456660</v>
      </c>
      <c r="C1125" t="s">
        <v>5553</v>
      </c>
      <c r="D1125" t="s">
        <v>5554</v>
      </c>
      <c r="E1125" t="s">
        <v>5438</v>
      </c>
      <c r="F1125" t="s">
        <v>847</v>
      </c>
      <c r="G1125" t="s">
        <v>156</v>
      </c>
      <c r="H1125" t="s">
        <v>157</v>
      </c>
      <c r="I1125" t="s">
        <v>35</v>
      </c>
      <c r="J1125" t="s">
        <v>166</v>
      </c>
      <c r="K1125" t="s">
        <v>2</v>
      </c>
      <c r="L1125" t="s">
        <v>158</v>
      </c>
      <c r="M1125" t="s">
        <v>5555</v>
      </c>
      <c r="N1125" t="s">
        <v>850</v>
      </c>
      <c r="O1125" t="s">
        <v>40</v>
      </c>
      <c r="P1125" t="s">
        <v>5556</v>
      </c>
      <c r="Q1125" t="s">
        <v>152</v>
      </c>
      <c r="R1125" t="s">
        <v>274</v>
      </c>
      <c r="S1125">
        <v>3.8</v>
      </c>
      <c r="T1125">
        <v>6998</v>
      </c>
      <c r="U1125">
        <v>0</v>
      </c>
      <c r="V1125">
        <v>6998</v>
      </c>
    </row>
    <row r="1126" spans="1:22" x14ac:dyDescent="0.25">
      <c r="A1126">
        <v>148303</v>
      </c>
      <c r="B1126">
        <v>131500145</v>
      </c>
      <c r="C1126" t="s">
        <v>731</v>
      </c>
      <c r="D1126" t="s">
        <v>5557</v>
      </c>
      <c r="E1126" t="s">
        <v>5438</v>
      </c>
      <c r="F1126" t="s">
        <v>847</v>
      </c>
      <c r="G1126" t="s">
        <v>156</v>
      </c>
      <c r="H1126" t="s">
        <v>157</v>
      </c>
      <c r="I1126" t="s">
        <v>35</v>
      </c>
      <c r="J1126" t="s">
        <v>166</v>
      </c>
      <c r="K1126" t="s">
        <v>2</v>
      </c>
      <c r="L1126" t="s">
        <v>158</v>
      </c>
      <c r="M1126" t="s">
        <v>5558</v>
      </c>
      <c r="N1126" t="s">
        <v>850</v>
      </c>
      <c r="O1126" t="s">
        <v>40</v>
      </c>
      <c r="P1126" t="s">
        <v>5559</v>
      </c>
      <c r="Q1126" t="s">
        <v>50</v>
      </c>
      <c r="R1126" t="s">
        <v>841</v>
      </c>
      <c r="S1126">
        <v>1.62</v>
      </c>
      <c r="T1126">
        <v>7945</v>
      </c>
      <c r="U1126">
        <v>0</v>
      </c>
      <c r="V1126">
        <v>7945</v>
      </c>
    </row>
    <row r="1127" spans="1:22" x14ac:dyDescent="0.25">
      <c r="A1127">
        <v>148303</v>
      </c>
      <c r="B1127">
        <v>131494454</v>
      </c>
      <c r="C1127" t="s">
        <v>5560</v>
      </c>
      <c r="D1127" t="s">
        <v>5561</v>
      </c>
      <c r="E1127" t="s">
        <v>5438</v>
      </c>
      <c r="F1127" t="s">
        <v>847</v>
      </c>
      <c r="G1127" t="s">
        <v>156</v>
      </c>
      <c r="H1127" t="s">
        <v>157</v>
      </c>
      <c r="I1127" t="s">
        <v>35</v>
      </c>
      <c r="J1127" t="s">
        <v>166</v>
      </c>
      <c r="K1127" t="s">
        <v>2</v>
      </c>
      <c r="L1127" t="s">
        <v>158</v>
      </c>
      <c r="M1127" t="s">
        <v>5562</v>
      </c>
      <c r="N1127" t="s">
        <v>850</v>
      </c>
      <c r="O1127" t="s">
        <v>40</v>
      </c>
      <c r="P1127" t="s">
        <v>5563</v>
      </c>
      <c r="Q1127" t="s">
        <v>149</v>
      </c>
      <c r="R1127" t="s">
        <v>392</v>
      </c>
      <c r="S1127">
        <v>3.68</v>
      </c>
      <c r="T1127">
        <v>10722</v>
      </c>
      <c r="U1127">
        <v>0</v>
      </c>
      <c r="V1127">
        <v>10722</v>
      </c>
    </row>
    <row r="1128" spans="1:22" x14ac:dyDescent="0.25">
      <c r="A1128">
        <v>148303</v>
      </c>
      <c r="B1128">
        <v>131429635</v>
      </c>
      <c r="C1128" t="s">
        <v>5564</v>
      </c>
      <c r="D1128" t="s">
        <v>5565</v>
      </c>
      <c r="E1128" t="s">
        <v>5438</v>
      </c>
      <c r="F1128" t="s">
        <v>847</v>
      </c>
      <c r="G1128" t="s">
        <v>156</v>
      </c>
      <c r="H1128" t="s">
        <v>157</v>
      </c>
      <c r="I1128" t="s">
        <v>35</v>
      </c>
      <c r="J1128" t="s">
        <v>166</v>
      </c>
      <c r="K1128" t="s">
        <v>2</v>
      </c>
      <c r="L1128" t="s">
        <v>158</v>
      </c>
      <c r="M1128" t="s">
        <v>5566</v>
      </c>
      <c r="N1128" t="s">
        <v>850</v>
      </c>
      <c r="O1128" t="s">
        <v>40</v>
      </c>
      <c r="P1128" t="s">
        <v>5567</v>
      </c>
      <c r="Q1128" t="s">
        <v>168</v>
      </c>
      <c r="R1128" t="s">
        <v>5568</v>
      </c>
      <c r="S1128">
        <v>2.68</v>
      </c>
      <c r="T1128">
        <v>4168</v>
      </c>
      <c r="U1128">
        <v>0</v>
      </c>
      <c r="V1128">
        <v>4168</v>
      </c>
    </row>
    <row r="1129" spans="1:22" x14ac:dyDescent="0.25">
      <c r="A1129">
        <v>148303</v>
      </c>
      <c r="B1129">
        <v>131525730</v>
      </c>
      <c r="C1129" t="s">
        <v>5569</v>
      </c>
      <c r="D1129" t="s">
        <v>5570</v>
      </c>
      <c r="E1129" t="s">
        <v>5438</v>
      </c>
      <c r="F1129" t="s">
        <v>847</v>
      </c>
      <c r="G1129" t="s">
        <v>156</v>
      </c>
      <c r="H1129" t="s">
        <v>157</v>
      </c>
      <c r="I1129" t="s">
        <v>35</v>
      </c>
      <c r="J1129" t="s">
        <v>166</v>
      </c>
      <c r="K1129" t="s">
        <v>2</v>
      </c>
      <c r="L1129" t="s">
        <v>158</v>
      </c>
      <c r="M1129" t="s">
        <v>5571</v>
      </c>
      <c r="N1129" t="s">
        <v>850</v>
      </c>
      <c r="O1129" t="s">
        <v>40</v>
      </c>
      <c r="P1129" t="s">
        <v>5572</v>
      </c>
      <c r="Q1129" t="s">
        <v>125</v>
      </c>
      <c r="R1129" t="s">
        <v>5573</v>
      </c>
      <c r="S1129">
        <v>8.3699999999999992</v>
      </c>
      <c r="T1129">
        <v>9333</v>
      </c>
      <c r="U1129">
        <v>0</v>
      </c>
      <c r="V1129">
        <v>9333</v>
      </c>
    </row>
    <row r="1130" spans="1:22" x14ac:dyDescent="0.25">
      <c r="A1130">
        <v>148303</v>
      </c>
      <c r="B1130">
        <v>131352503</v>
      </c>
      <c r="C1130" t="s">
        <v>5574</v>
      </c>
      <c r="D1130" t="s">
        <v>5575</v>
      </c>
      <c r="E1130" t="s">
        <v>5438</v>
      </c>
      <c r="F1130" t="s">
        <v>847</v>
      </c>
      <c r="G1130" t="s">
        <v>156</v>
      </c>
      <c r="H1130" t="s">
        <v>157</v>
      </c>
      <c r="I1130" t="s">
        <v>35</v>
      </c>
      <c r="J1130" t="s">
        <v>166</v>
      </c>
      <c r="K1130" t="s">
        <v>2</v>
      </c>
      <c r="L1130" t="s">
        <v>158</v>
      </c>
      <c r="M1130" t="s">
        <v>5576</v>
      </c>
      <c r="N1130" t="s">
        <v>850</v>
      </c>
      <c r="O1130" t="s">
        <v>40</v>
      </c>
      <c r="P1130" t="s">
        <v>5577</v>
      </c>
      <c r="Q1130" t="s">
        <v>247</v>
      </c>
      <c r="R1130" t="s">
        <v>5578</v>
      </c>
      <c r="S1130">
        <v>3.34</v>
      </c>
      <c r="T1130">
        <v>7129</v>
      </c>
      <c r="U1130">
        <v>0</v>
      </c>
      <c r="V1130">
        <v>7129</v>
      </c>
    </row>
    <row r="1131" spans="1:22" x14ac:dyDescent="0.25">
      <c r="A1131">
        <v>148303</v>
      </c>
      <c r="B1131">
        <v>131504602</v>
      </c>
      <c r="C1131" t="s">
        <v>5579</v>
      </c>
      <c r="D1131" t="s">
        <v>5580</v>
      </c>
      <c r="E1131" t="s">
        <v>5438</v>
      </c>
      <c r="F1131" t="s">
        <v>847</v>
      </c>
      <c r="G1131" t="s">
        <v>156</v>
      </c>
      <c r="H1131" t="s">
        <v>157</v>
      </c>
      <c r="I1131" t="s">
        <v>35</v>
      </c>
      <c r="J1131" t="s">
        <v>166</v>
      </c>
      <c r="K1131" t="s">
        <v>2</v>
      </c>
      <c r="L1131" t="s">
        <v>158</v>
      </c>
      <c r="M1131" t="s">
        <v>5581</v>
      </c>
      <c r="N1131" t="s">
        <v>850</v>
      </c>
      <c r="O1131" t="s">
        <v>40</v>
      </c>
      <c r="P1131" t="s">
        <v>5582</v>
      </c>
      <c r="Q1131" t="s">
        <v>252</v>
      </c>
      <c r="R1131" t="s">
        <v>587</v>
      </c>
      <c r="S1131">
        <v>1.62</v>
      </c>
      <c r="T1131">
        <v>14858</v>
      </c>
      <c r="U1131">
        <v>0</v>
      </c>
      <c r="V1131">
        <v>14858</v>
      </c>
    </row>
    <row r="1132" spans="1:22" x14ac:dyDescent="0.25">
      <c r="A1132">
        <v>148303</v>
      </c>
      <c r="B1132">
        <v>131476341</v>
      </c>
      <c r="C1132" t="s">
        <v>5583</v>
      </c>
      <c r="D1132" t="s">
        <v>5584</v>
      </c>
      <c r="E1132" t="s">
        <v>5438</v>
      </c>
      <c r="F1132" t="s">
        <v>847</v>
      </c>
      <c r="G1132" t="s">
        <v>156</v>
      </c>
      <c r="H1132" t="s">
        <v>157</v>
      </c>
      <c r="I1132" t="s">
        <v>35</v>
      </c>
      <c r="J1132" t="s">
        <v>166</v>
      </c>
      <c r="K1132" t="s">
        <v>2</v>
      </c>
      <c r="L1132" t="s">
        <v>158</v>
      </c>
      <c r="M1132" t="s">
        <v>5585</v>
      </c>
      <c r="N1132" t="s">
        <v>850</v>
      </c>
      <c r="O1132" t="s">
        <v>40</v>
      </c>
      <c r="P1132" t="s">
        <v>5586</v>
      </c>
      <c r="Q1132" t="s">
        <v>51</v>
      </c>
      <c r="R1132" t="s">
        <v>5587</v>
      </c>
      <c r="S1132">
        <v>1.61</v>
      </c>
      <c r="T1132">
        <v>8230</v>
      </c>
      <c r="U1132">
        <v>0</v>
      </c>
      <c r="V1132">
        <v>8230</v>
      </c>
    </row>
    <row r="1133" spans="1:22" x14ac:dyDescent="0.25">
      <c r="A1133">
        <v>148303</v>
      </c>
      <c r="B1133">
        <v>131483583</v>
      </c>
      <c r="C1133" t="s">
        <v>5588</v>
      </c>
      <c r="D1133" t="s">
        <v>5589</v>
      </c>
      <c r="E1133" t="s">
        <v>5438</v>
      </c>
      <c r="F1133" t="s">
        <v>847</v>
      </c>
      <c r="G1133" t="s">
        <v>156</v>
      </c>
      <c r="H1133" t="s">
        <v>157</v>
      </c>
      <c r="I1133" t="s">
        <v>35</v>
      </c>
      <c r="J1133" t="s">
        <v>166</v>
      </c>
      <c r="K1133" t="s">
        <v>2</v>
      </c>
      <c r="L1133" t="s">
        <v>158</v>
      </c>
      <c r="M1133" t="s">
        <v>5590</v>
      </c>
      <c r="N1133" t="s">
        <v>850</v>
      </c>
      <c r="O1133" t="s">
        <v>40</v>
      </c>
      <c r="P1133" t="s">
        <v>5591</v>
      </c>
      <c r="Q1133" t="s">
        <v>53</v>
      </c>
      <c r="R1133" t="s">
        <v>5592</v>
      </c>
      <c r="S1133">
        <v>1.84</v>
      </c>
      <c r="T1133">
        <v>4168</v>
      </c>
      <c r="U1133">
        <v>0</v>
      </c>
      <c r="V1133">
        <v>4168</v>
      </c>
    </row>
    <row r="1134" spans="1:22" x14ac:dyDescent="0.25">
      <c r="A1134">
        <v>148303</v>
      </c>
      <c r="B1134">
        <v>131493783</v>
      </c>
      <c r="C1134" t="s">
        <v>5593</v>
      </c>
      <c r="D1134" t="s">
        <v>5594</v>
      </c>
      <c r="E1134" t="s">
        <v>5438</v>
      </c>
      <c r="F1134" t="s">
        <v>847</v>
      </c>
      <c r="G1134" t="s">
        <v>156</v>
      </c>
      <c r="H1134" t="s">
        <v>157</v>
      </c>
      <c r="I1134" t="s">
        <v>35</v>
      </c>
      <c r="J1134" t="s">
        <v>166</v>
      </c>
      <c r="K1134" t="s">
        <v>2</v>
      </c>
      <c r="L1134" t="s">
        <v>158</v>
      </c>
      <c r="M1134" t="s">
        <v>5595</v>
      </c>
      <c r="N1134" t="s">
        <v>850</v>
      </c>
      <c r="O1134" t="s">
        <v>40</v>
      </c>
      <c r="P1134" t="s">
        <v>5596</v>
      </c>
      <c r="Q1134" t="s">
        <v>49</v>
      </c>
      <c r="R1134" t="s">
        <v>350</v>
      </c>
      <c r="S1134">
        <v>2.73</v>
      </c>
      <c r="T1134">
        <v>7015</v>
      </c>
      <c r="U1134">
        <v>0</v>
      </c>
      <c r="V1134">
        <v>7015</v>
      </c>
    </row>
    <row r="1135" spans="1:22" x14ac:dyDescent="0.25">
      <c r="A1135">
        <v>148303</v>
      </c>
      <c r="B1135">
        <v>131422368</v>
      </c>
      <c r="C1135" t="s">
        <v>5597</v>
      </c>
      <c r="D1135" t="s">
        <v>5598</v>
      </c>
      <c r="E1135" t="s">
        <v>5438</v>
      </c>
      <c r="F1135" t="s">
        <v>847</v>
      </c>
      <c r="G1135" t="s">
        <v>156</v>
      </c>
      <c r="H1135" t="s">
        <v>157</v>
      </c>
      <c r="I1135" t="s">
        <v>35</v>
      </c>
      <c r="J1135" t="s">
        <v>166</v>
      </c>
      <c r="K1135" t="s">
        <v>2</v>
      </c>
      <c r="L1135" t="s">
        <v>158</v>
      </c>
      <c r="M1135" t="s">
        <v>5599</v>
      </c>
      <c r="N1135" t="s">
        <v>850</v>
      </c>
      <c r="O1135" t="s">
        <v>40</v>
      </c>
      <c r="P1135" t="s">
        <v>5600</v>
      </c>
      <c r="Q1135" t="s">
        <v>60</v>
      </c>
      <c r="R1135" t="s">
        <v>359</v>
      </c>
      <c r="S1135">
        <v>2.72</v>
      </c>
      <c r="T1135">
        <v>6800</v>
      </c>
      <c r="U1135">
        <v>0</v>
      </c>
      <c r="V1135">
        <v>6800</v>
      </c>
    </row>
    <row r="1136" spans="1:22" x14ac:dyDescent="0.25">
      <c r="A1136">
        <v>148303</v>
      </c>
      <c r="B1136">
        <v>131520203</v>
      </c>
      <c r="C1136" t="s">
        <v>5601</v>
      </c>
      <c r="D1136" t="s">
        <v>5602</v>
      </c>
      <c r="E1136" t="s">
        <v>5438</v>
      </c>
      <c r="F1136" t="s">
        <v>847</v>
      </c>
      <c r="G1136" t="s">
        <v>156</v>
      </c>
      <c r="H1136" t="s">
        <v>157</v>
      </c>
      <c r="I1136" t="s">
        <v>35</v>
      </c>
      <c r="J1136" t="s">
        <v>166</v>
      </c>
      <c r="K1136" t="s">
        <v>2</v>
      </c>
      <c r="L1136" t="s">
        <v>158</v>
      </c>
      <c r="M1136" t="s">
        <v>5603</v>
      </c>
      <c r="N1136" t="s">
        <v>850</v>
      </c>
      <c r="O1136" t="s">
        <v>40</v>
      </c>
      <c r="P1136" t="s">
        <v>5604</v>
      </c>
      <c r="Q1136" t="s">
        <v>111</v>
      </c>
      <c r="R1136" t="s">
        <v>5605</v>
      </c>
      <c r="S1136">
        <v>2.25</v>
      </c>
      <c r="T1136">
        <v>8940</v>
      </c>
      <c r="U1136">
        <v>0</v>
      </c>
      <c r="V1136">
        <v>8940</v>
      </c>
    </row>
    <row r="1137" spans="1:22" x14ac:dyDescent="0.25">
      <c r="A1137">
        <v>148303</v>
      </c>
      <c r="B1137">
        <v>131328916</v>
      </c>
      <c r="C1137" t="s">
        <v>5606</v>
      </c>
      <c r="D1137" t="s">
        <v>5607</v>
      </c>
      <c r="E1137" t="s">
        <v>5438</v>
      </c>
      <c r="F1137" t="s">
        <v>847</v>
      </c>
      <c r="G1137" t="s">
        <v>156</v>
      </c>
      <c r="H1137" t="s">
        <v>157</v>
      </c>
      <c r="I1137" t="s">
        <v>35</v>
      </c>
      <c r="J1137" t="s">
        <v>166</v>
      </c>
      <c r="K1137" t="s">
        <v>2</v>
      </c>
      <c r="L1137" t="s">
        <v>158</v>
      </c>
      <c r="M1137" t="s">
        <v>5608</v>
      </c>
      <c r="N1137" t="s">
        <v>850</v>
      </c>
      <c r="O1137" t="s">
        <v>40</v>
      </c>
      <c r="P1137" t="s">
        <v>5609</v>
      </c>
      <c r="Q1137" t="s">
        <v>148</v>
      </c>
      <c r="R1137" t="s">
        <v>801</v>
      </c>
      <c r="S1137">
        <v>1.88</v>
      </c>
      <c r="T1137">
        <v>11918</v>
      </c>
      <c r="U1137">
        <v>0</v>
      </c>
      <c r="V1137">
        <v>11918</v>
      </c>
    </row>
    <row r="1138" spans="1:22" x14ac:dyDescent="0.25">
      <c r="A1138">
        <v>148303</v>
      </c>
      <c r="B1138">
        <v>131348280</v>
      </c>
      <c r="C1138" t="s">
        <v>5610</v>
      </c>
      <c r="D1138" t="s">
        <v>5611</v>
      </c>
      <c r="E1138" t="s">
        <v>5438</v>
      </c>
      <c r="F1138" t="s">
        <v>847</v>
      </c>
      <c r="G1138" t="s">
        <v>156</v>
      </c>
      <c r="H1138" t="s">
        <v>157</v>
      </c>
      <c r="I1138" t="s">
        <v>35</v>
      </c>
      <c r="J1138" t="s">
        <v>166</v>
      </c>
      <c r="K1138" t="s">
        <v>2</v>
      </c>
      <c r="L1138" t="s">
        <v>158</v>
      </c>
      <c r="M1138" t="s">
        <v>5612</v>
      </c>
      <c r="N1138" t="s">
        <v>850</v>
      </c>
      <c r="O1138" t="s">
        <v>40</v>
      </c>
      <c r="P1138" t="s">
        <v>5613</v>
      </c>
      <c r="Q1138" t="s">
        <v>64</v>
      </c>
      <c r="R1138" t="s">
        <v>644</v>
      </c>
      <c r="S1138">
        <v>2.71</v>
      </c>
      <c r="T1138">
        <v>8101</v>
      </c>
      <c r="U1138">
        <v>0</v>
      </c>
      <c r="V1138">
        <v>8101</v>
      </c>
    </row>
    <row r="1139" spans="1:22" x14ac:dyDescent="0.25">
      <c r="A1139">
        <v>148303</v>
      </c>
      <c r="B1139">
        <v>131362505</v>
      </c>
      <c r="C1139" t="s">
        <v>5614</v>
      </c>
      <c r="D1139" t="s">
        <v>5615</v>
      </c>
      <c r="E1139" t="s">
        <v>5438</v>
      </c>
      <c r="F1139" t="s">
        <v>847</v>
      </c>
      <c r="G1139" t="s">
        <v>156</v>
      </c>
      <c r="H1139" t="s">
        <v>157</v>
      </c>
      <c r="I1139" t="s">
        <v>35</v>
      </c>
      <c r="J1139" t="s">
        <v>166</v>
      </c>
      <c r="K1139" t="s">
        <v>2</v>
      </c>
      <c r="L1139" t="s">
        <v>158</v>
      </c>
      <c r="M1139" t="s">
        <v>5616</v>
      </c>
      <c r="N1139" t="s">
        <v>850</v>
      </c>
      <c r="O1139" t="s">
        <v>40</v>
      </c>
      <c r="P1139" t="s">
        <v>5617</v>
      </c>
      <c r="Q1139" t="s">
        <v>47</v>
      </c>
      <c r="R1139" t="s">
        <v>5618</v>
      </c>
      <c r="S1139">
        <v>1.61</v>
      </c>
      <c r="T1139">
        <v>6800</v>
      </c>
      <c r="U1139">
        <v>0</v>
      </c>
      <c r="V1139">
        <v>6800</v>
      </c>
    </row>
    <row r="1140" spans="1:22" x14ac:dyDescent="0.25">
      <c r="A1140">
        <v>148303</v>
      </c>
      <c r="B1140">
        <v>131376635</v>
      </c>
      <c r="C1140" t="s">
        <v>5619</v>
      </c>
      <c r="D1140" t="s">
        <v>5620</v>
      </c>
      <c r="E1140" t="s">
        <v>5438</v>
      </c>
      <c r="F1140" t="s">
        <v>847</v>
      </c>
      <c r="G1140" t="s">
        <v>156</v>
      </c>
      <c r="H1140" t="s">
        <v>157</v>
      </c>
      <c r="I1140" t="s">
        <v>35</v>
      </c>
      <c r="J1140" t="s">
        <v>166</v>
      </c>
      <c r="K1140" t="s">
        <v>2</v>
      </c>
      <c r="L1140" t="s">
        <v>158</v>
      </c>
      <c r="M1140" t="s">
        <v>5621</v>
      </c>
      <c r="N1140" t="s">
        <v>850</v>
      </c>
      <c r="O1140" t="s">
        <v>40</v>
      </c>
      <c r="P1140" t="s">
        <v>5622</v>
      </c>
      <c r="Q1140" t="s">
        <v>46</v>
      </c>
      <c r="R1140" t="s">
        <v>620</v>
      </c>
      <c r="S1140">
        <v>1.51</v>
      </c>
      <c r="T1140">
        <v>6800</v>
      </c>
      <c r="U1140">
        <v>0</v>
      </c>
      <c r="V1140">
        <v>6800</v>
      </c>
    </row>
    <row r="1141" spans="1:22" x14ac:dyDescent="0.25">
      <c r="A1141">
        <v>148303</v>
      </c>
      <c r="B1141">
        <v>131458980</v>
      </c>
      <c r="C1141" t="s">
        <v>5623</v>
      </c>
      <c r="D1141" t="s">
        <v>5624</v>
      </c>
      <c r="E1141" t="s">
        <v>5438</v>
      </c>
      <c r="F1141" t="s">
        <v>847</v>
      </c>
      <c r="G1141" t="s">
        <v>156</v>
      </c>
      <c r="H1141" t="s">
        <v>157</v>
      </c>
      <c r="I1141" t="s">
        <v>35</v>
      </c>
      <c r="J1141" t="s">
        <v>166</v>
      </c>
      <c r="K1141" t="s">
        <v>2</v>
      </c>
      <c r="L1141" t="s">
        <v>158</v>
      </c>
      <c r="M1141" t="s">
        <v>5625</v>
      </c>
      <c r="N1141" t="s">
        <v>850</v>
      </c>
      <c r="O1141" t="s">
        <v>40</v>
      </c>
      <c r="P1141" t="s">
        <v>5626</v>
      </c>
      <c r="Q1141" t="s">
        <v>347</v>
      </c>
      <c r="R1141" t="s">
        <v>664</v>
      </c>
      <c r="S1141">
        <v>3.39</v>
      </c>
      <c r="T1141">
        <v>12459</v>
      </c>
      <c r="U1141">
        <v>0</v>
      </c>
      <c r="V1141">
        <v>12459</v>
      </c>
    </row>
    <row r="1142" spans="1:22" x14ac:dyDescent="0.25">
      <c r="A1142">
        <v>148303</v>
      </c>
      <c r="B1142">
        <v>131480019</v>
      </c>
      <c r="C1142" t="s">
        <v>5627</v>
      </c>
      <c r="D1142" t="s">
        <v>5628</v>
      </c>
      <c r="E1142" t="s">
        <v>5438</v>
      </c>
      <c r="F1142" t="s">
        <v>847</v>
      </c>
      <c r="G1142" t="s">
        <v>156</v>
      </c>
      <c r="H1142" t="s">
        <v>157</v>
      </c>
      <c r="I1142" t="s">
        <v>35</v>
      </c>
      <c r="J1142" t="s">
        <v>166</v>
      </c>
      <c r="K1142" t="s">
        <v>2</v>
      </c>
      <c r="L1142" t="s">
        <v>158</v>
      </c>
      <c r="M1142" t="s">
        <v>5629</v>
      </c>
      <c r="N1142" t="s">
        <v>850</v>
      </c>
      <c r="O1142" t="s">
        <v>40</v>
      </c>
      <c r="P1142" t="s">
        <v>5630</v>
      </c>
      <c r="Q1142" t="s">
        <v>203</v>
      </c>
      <c r="R1142" t="s">
        <v>5631</v>
      </c>
      <c r="S1142">
        <v>3.1</v>
      </c>
      <c r="T1142">
        <v>7449</v>
      </c>
      <c r="U1142">
        <v>0</v>
      </c>
      <c r="V1142">
        <v>7449</v>
      </c>
    </row>
    <row r="1143" spans="1:22" x14ac:dyDescent="0.25">
      <c r="A1143">
        <v>148303</v>
      </c>
      <c r="B1143">
        <v>131128923</v>
      </c>
      <c r="C1143" t="s">
        <v>5632</v>
      </c>
      <c r="D1143" t="s">
        <v>5633</v>
      </c>
      <c r="E1143" t="s">
        <v>5438</v>
      </c>
      <c r="F1143" t="s">
        <v>847</v>
      </c>
      <c r="G1143" t="s">
        <v>156</v>
      </c>
      <c r="H1143" t="s">
        <v>157</v>
      </c>
      <c r="I1143" t="s">
        <v>35</v>
      </c>
      <c r="J1143" t="s">
        <v>166</v>
      </c>
      <c r="K1143" t="s">
        <v>2</v>
      </c>
      <c r="L1143" t="s">
        <v>158</v>
      </c>
      <c r="M1143" t="s">
        <v>5634</v>
      </c>
      <c r="N1143" t="s">
        <v>850</v>
      </c>
      <c r="O1143" t="s">
        <v>40</v>
      </c>
      <c r="P1143" t="s">
        <v>5635</v>
      </c>
      <c r="Q1143" t="s">
        <v>111</v>
      </c>
      <c r="R1143" t="s">
        <v>5636</v>
      </c>
      <c r="S1143">
        <v>7.75</v>
      </c>
      <c r="T1143">
        <v>11104</v>
      </c>
      <c r="U1143">
        <v>0</v>
      </c>
      <c r="V1143">
        <v>11104</v>
      </c>
    </row>
    <row r="1144" spans="1:22" x14ac:dyDescent="0.25">
      <c r="A1144">
        <v>148303</v>
      </c>
      <c r="B1144">
        <v>131276720</v>
      </c>
      <c r="C1144" t="s">
        <v>5637</v>
      </c>
      <c r="D1144" t="s">
        <v>5638</v>
      </c>
      <c r="E1144" t="s">
        <v>5438</v>
      </c>
      <c r="F1144" t="s">
        <v>847</v>
      </c>
      <c r="G1144" t="s">
        <v>156</v>
      </c>
      <c r="H1144" t="s">
        <v>157</v>
      </c>
      <c r="I1144" t="s">
        <v>35</v>
      </c>
      <c r="J1144" t="s">
        <v>166</v>
      </c>
      <c r="K1144" t="s">
        <v>2</v>
      </c>
      <c r="L1144" t="s">
        <v>158</v>
      </c>
      <c r="M1144" t="s">
        <v>5639</v>
      </c>
      <c r="N1144" t="s">
        <v>850</v>
      </c>
      <c r="O1144" t="s">
        <v>40</v>
      </c>
      <c r="P1144" t="s">
        <v>5640</v>
      </c>
      <c r="Q1144" t="s">
        <v>48</v>
      </c>
      <c r="R1144" t="s">
        <v>380</v>
      </c>
      <c r="S1144">
        <v>4.8499999999999996</v>
      </c>
      <c r="T1144">
        <v>7129</v>
      </c>
      <c r="U1144">
        <v>0</v>
      </c>
      <c r="V1144">
        <v>7129</v>
      </c>
    </row>
    <row r="1145" spans="1:22" x14ac:dyDescent="0.25">
      <c r="A1145">
        <v>186607</v>
      </c>
      <c r="B1145">
        <v>132110015</v>
      </c>
      <c r="C1145" t="s">
        <v>5641</v>
      </c>
      <c r="D1145" t="s">
        <v>5642</v>
      </c>
      <c r="E1145" t="s">
        <v>5643</v>
      </c>
      <c r="F1145" t="s">
        <v>847</v>
      </c>
      <c r="G1145" t="s">
        <v>142</v>
      </c>
      <c r="H1145" t="s">
        <v>143</v>
      </c>
      <c r="I1145" t="s">
        <v>35</v>
      </c>
      <c r="J1145" t="s">
        <v>144</v>
      </c>
      <c r="K1145" t="s">
        <v>2</v>
      </c>
      <c r="L1145" t="s">
        <v>5644</v>
      </c>
      <c r="M1145" t="s">
        <v>5645</v>
      </c>
      <c r="N1145" t="s">
        <v>5646</v>
      </c>
      <c r="O1145" t="s">
        <v>71</v>
      </c>
      <c r="P1145" t="s">
        <v>5647</v>
      </c>
      <c r="Q1145" t="s">
        <v>107</v>
      </c>
      <c r="R1145" t="s">
        <v>355</v>
      </c>
      <c r="S1145">
        <v>1</v>
      </c>
      <c r="T1145">
        <v>5198</v>
      </c>
      <c r="U1145">
        <v>0</v>
      </c>
      <c r="V1145">
        <v>5198</v>
      </c>
    </row>
    <row r="1146" spans="1:22" x14ac:dyDescent="0.25">
      <c r="A1146">
        <v>186607</v>
      </c>
      <c r="B1146">
        <v>132110025</v>
      </c>
      <c r="C1146" t="s">
        <v>5648</v>
      </c>
      <c r="D1146" t="s">
        <v>5649</v>
      </c>
      <c r="E1146" t="s">
        <v>5643</v>
      </c>
      <c r="F1146" t="s">
        <v>847</v>
      </c>
      <c r="G1146" t="s">
        <v>142</v>
      </c>
      <c r="H1146" t="s">
        <v>143</v>
      </c>
      <c r="I1146" t="s">
        <v>35</v>
      </c>
      <c r="J1146" t="s">
        <v>144</v>
      </c>
      <c r="K1146" t="s">
        <v>2</v>
      </c>
      <c r="L1146" t="s">
        <v>5650</v>
      </c>
      <c r="M1146" t="s">
        <v>5651</v>
      </c>
      <c r="N1146" t="s">
        <v>5646</v>
      </c>
      <c r="O1146" t="s">
        <v>71</v>
      </c>
      <c r="P1146" t="s">
        <v>5652</v>
      </c>
      <c r="Q1146" t="s">
        <v>107</v>
      </c>
      <c r="R1146" t="s">
        <v>355</v>
      </c>
      <c r="S1146">
        <v>1</v>
      </c>
      <c r="T1146">
        <v>5198</v>
      </c>
      <c r="U1146">
        <v>0</v>
      </c>
      <c r="V1146">
        <v>5198</v>
      </c>
    </row>
    <row r="1147" spans="1:22" x14ac:dyDescent="0.25">
      <c r="A1147">
        <v>186607</v>
      </c>
      <c r="B1147">
        <v>132088431</v>
      </c>
      <c r="C1147" t="s">
        <v>5653</v>
      </c>
      <c r="D1147" t="s">
        <v>5654</v>
      </c>
      <c r="E1147" t="s">
        <v>5643</v>
      </c>
      <c r="F1147" t="s">
        <v>847</v>
      </c>
      <c r="G1147" t="s">
        <v>142</v>
      </c>
      <c r="H1147" t="s">
        <v>143</v>
      </c>
      <c r="I1147" t="s">
        <v>35</v>
      </c>
      <c r="J1147" t="s">
        <v>144</v>
      </c>
      <c r="K1147" t="s">
        <v>2</v>
      </c>
      <c r="L1147" t="s">
        <v>5655</v>
      </c>
      <c r="M1147" t="s">
        <v>5656</v>
      </c>
      <c r="N1147" t="s">
        <v>5646</v>
      </c>
      <c r="O1147" t="s">
        <v>71</v>
      </c>
      <c r="P1147" t="s">
        <v>5657</v>
      </c>
      <c r="Q1147" t="s">
        <v>107</v>
      </c>
      <c r="R1147" t="s">
        <v>484</v>
      </c>
      <c r="S1147">
        <v>1</v>
      </c>
      <c r="T1147">
        <v>5198</v>
      </c>
      <c r="U1147">
        <v>0</v>
      </c>
      <c r="V1147">
        <v>5198</v>
      </c>
    </row>
    <row r="1148" spans="1:22" x14ac:dyDescent="0.25">
      <c r="A1148">
        <v>186607</v>
      </c>
      <c r="B1148">
        <v>131821927</v>
      </c>
      <c r="C1148" t="s">
        <v>5658</v>
      </c>
      <c r="D1148" t="s">
        <v>5659</v>
      </c>
      <c r="E1148" t="s">
        <v>5643</v>
      </c>
      <c r="F1148" t="s">
        <v>847</v>
      </c>
      <c r="G1148" t="s">
        <v>142</v>
      </c>
      <c r="H1148" t="s">
        <v>143</v>
      </c>
      <c r="I1148" t="s">
        <v>35</v>
      </c>
      <c r="J1148" t="s">
        <v>144</v>
      </c>
      <c r="K1148" t="s">
        <v>2</v>
      </c>
      <c r="L1148" t="s">
        <v>5660</v>
      </c>
      <c r="M1148" t="s">
        <v>5661</v>
      </c>
      <c r="N1148" t="s">
        <v>5646</v>
      </c>
      <c r="O1148" t="s">
        <v>71</v>
      </c>
      <c r="P1148" t="s">
        <v>5662</v>
      </c>
      <c r="Q1148" t="s">
        <v>48</v>
      </c>
      <c r="R1148" t="s">
        <v>434</v>
      </c>
      <c r="S1148">
        <v>1</v>
      </c>
      <c r="T1148">
        <v>3366</v>
      </c>
      <c r="U1148">
        <v>0</v>
      </c>
      <c r="V1148">
        <v>3366</v>
      </c>
    </row>
    <row r="1149" spans="1:22" x14ac:dyDescent="0.25">
      <c r="A1149">
        <v>186607</v>
      </c>
      <c r="B1149">
        <v>131774075</v>
      </c>
      <c r="C1149" t="s">
        <v>5663</v>
      </c>
      <c r="D1149" t="s">
        <v>5664</v>
      </c>
      <c r="E1149" t="s">
        <v>5643</v>
      </c>
      <c r="F1149" t="s">
        <v>847</v>
      </c>
      <c r="G1149" t="s">
        <v>142</v>
      </c>
      <c r="H1149" t="s">
        <v>143</v>
      </c>
      <c r="I1149" t="s">
        <v>35</v>
      </c>
      <c r="J1149" t="s">
        <v>144</v>
      </c>
      <c r="K1149" t="s">
        <v>2</v>
      </c>
      <c r="L1149" t="s">
        <v>5665</v>
      </c>
      <c r="M1149" t="s">
        <v>178</v>
      </c>
      <c r="N1149" t="s">
        <v>5646</v>
      </c>
      <c r="O1149" t="s">
        <v>71</v>
      </c>
      <c r="P1149" t="s">
        <v>5666</v>
      </c>
      <c r="Q1149" t="s">
        <v>149</v>
      </c>
      <c r="R1149" t="s">
        <v>632</v>
      </c>
      <c r="S1149">
        <v>1</v>
      </c>
      <c r="T1149">
        <v>5759</v>
      </c>
      <c r="U1149">
        <v>0</v>
      </c>
      <c r="V1149">
        <v>5759</v>
      </c>
    </row>
    <row r="1150" spans="1:22" x14ac:dyDescent="0.25">
      <c r="A1150">
        <v>186607</v>
      </c>
      <c r="B1150">
        <v>131821922</v>
      </c>
      <c r="C1150" t="s">
        <v>5667</v>
      </c>
      <c r="D1150" t="s">
        <v>5668</v>
      </c>
      <c r="E1150" t="s">
        <v>5643</v>
      </c>
      <c r="F1150" t="s">
        <v>847</v>
      </c>
      <c r="G1150" t="s">
        <v>142</v>
      </c>
      <c r="H1150" t="s">
        <v>143</v>
      </c>
      <c r="I1150" t="s">
        <v>35</v>
      </c>
      <c r="J1150" t="s">
        <v>144</v>
      </c>
      <c r="K1150" t="s">
        <v>2</v>
      </c>
      <c r="L1150" t="s">
        <v>5669</v>
      </c>
      <c r="M1150" t="s">
        <v>5670</v>
      </c>
      <c r="N1150" t="s">
        <v>5646</v>
      </c>
      <c r="O1150" t="s">
        <v>71</v>
      </c>
      <c r="P1150" t="s">
        <v>5671</v>
      </c>
      <c r="Q1150" t="s">
        <v>109</v>
      </c>
      <c r="R1150" t="s">
        <v>412</v>
      </c>
      <c r="S1150">
        <v>1</v>
      </c>
      <c r="T1150">
        <v>5759</v>
      </c>
      <c r="U1150">
        <v>0</v>
      </c>
      <c r="V1150">
        <v>5759</v>
      </c>
    </row>
    <row r="1151" spans="1:22" x14ac:dyDescent="0.25">
      <c r="A1151">
        <v>186607</v>
      </c>
      <c r="B1151">
        <v>131862677</v>
      </c>
      <c r="C1151" t="s">
        <v>5672</v>
      </c>
      <c r="D1151" t="s">
        <v>5673</v>
      </c>
      <c r="E1151" t="s">
        <v>5643</v>
      </c>
      <c r="F1151" t="s">
        <v>847</v>
      </c>
      <c r="G1151" t="s">
        <v>142</v>
      </c>
      <c r="H1151" t="s">
        <v>143</v>
      </c>
      <c r="I1151" t="s">
        <v>35</v>
      </c>
      <c r="J1151" t="s">
        <v>144</v>
      </c>
      <c r="K1151" t="s">
        <v>2</v>
      </c>
      <c r="L1151" t="s">
        <v>5674</v>
      </c>
      <c r="M1151" t="s">
        <v>5675</v>
      </c>
      <c r="N1151" t="s">
        <v>5646</v>
      </c>
      <c r="O1151" t="s">
        <v>71</v>
      </c>
      <c r="P1151" t="s">
        <v>5676</v>
      </c>
      <c r="Q1151" t="s">
        <v>49</v>
      </c>
      <c r="R1151" t="s">
        <v>269</v>
      </c>
      <c r="S1151">
        <v>1</v>
      </c>
      <c r="T1151">
        <v>3366</v>
      </c>
      <c r="U1151">
        <v>0</v>
      </c>
      <c r="V1151">
        <v>3366</v>
      </c>
    </row>
    <row r="1152" spans="1:22" x14ac:dyDescent="0.25">
      <c r="A1152">
        <v>186607</v>
      </c>
      <c r="B1152">
        <v>131821856</v>
      </c>
      <c r="C1152" t="s">
        <v>5677</v>
      </c>
      <c r="D1152" t="s">
        <v>5678</v>
      </c>
      <c r="E1152" t="s">
        <v>5643</v>
      </c>
      <c r="F1152" t="s">
        <v>847</v>
      </c>
      <c r="G1152" t="s">
        <v>142</v>
      </c>
      <c r="H1152" t="s">
        <v>143</v>
      </c>
      <c r="I1152" t="s">
        <v>35</v>
      </c>
      <c r="J1152" t="s">
        <v>144</v>
      </c>
      <c r="K1152" t="s">
        <v>2</v>
      </c>
      <c r="L1152" t="s">
        <v>5679</v>
      </c>
      <c r="M1152" t="s">
        <v>5680</v>
      </c>
      <c r="N1152" t="s">
        <v>5646</v>
      </c>
      <c r="O1152" t="s">
        <v>71</v>
      </c>
      <c r="P1152" t="s">
        <v>5681</v>
      </c>
      <c r="Q1152" t="s">
        <v>48</v>
      </c>
      <c r="R1152" t="s">
        <v>412</v>
      </c>
      <c r="S1152">
        <v>1</v>
      </c>
      <c r="T1152">
        <v>3366</v>
      </c>
      <c r="U1152">
        <v>0</v>
      </c>
      <c r="V1152">
        <v>3366</v>
      </c>
    </row>
    <row r="1153" spans="1:22" x14ac:dyDescent="0.25">
      <c r="A1153">
        <v>186607</v>
      </c>
      <c r="B1153">
        <v>131774061</v>
      </c>
      <c r="C1153" t="s">
        <v>5682</v>
      </c>
      <c r="D1153" t="s">
        <v>5683</v>
      </c>
      <c r="E1153" t="s">
        <v>5643</v>
      </c>
      <c r="F1153" t="s">
        <v>847</v>
      </c>
      <c r="G1153" t="s">
        <v>142</v>
      </c>
      <c r="H1153" t="s">
        <v>143</v>
      </c>
      <c r="I1153" t="s">
        <v>35</v>
      </c>
      <c r="J1153" t="s">
        <v>144</v>
      </c>
      <c r="K1153" t="s">
        <v>2</v>
      </c>
      <c r="L1153" t="s">
        <v>5684</v>
      </c>
      <c r="M1153" t="s">
        <v>5685</v>
      </c>
      <c r="N1153" t="s">
        <v>5646</v>
      </c>
      <c r="O1153" t="s">
        <v>71</v>
      </c>
      <c r="P1153" t="s">
        <v>5686</v>
      </c>
      <c r="Q1153" t="s">
        <v>107</v>
      </c>
      <c r="R1153" t="s">
        <v>632</v>
      </c>
      <c r="S1153">
        <v>1</v>
      </c>
      <c r="T1153">
        <v>5198</v>
      </c>
      <c r="U1153">
        <v>0</v>
      </c>
      <c r="V1153">
        <v>5198</v>
      </c>
    </row>
    <row r="1154" spans="1:22" x14ac:dyDescent="0.25">
      <c r="A1154">
        <v>186607</v>
      </c>
      <c r="B1154">
        <v>131774071</v>
      </c>
      <c r="C1154" t="s">
        <v>5687</v>
      </c>
      <c r="D1154" t="s">
        <v>5688</v>
      </c>
      <c r="E1154" t="s">
        <v>5643</v>
      </c>
      <c r="F1154" t="s">
        <v>847</v>
      </c>
      <c r="G1154" t="s">
        <v>142</v>
      </c>
      <c r="H1154" t="s">
        <v>143</v>
      </c>
      <c r="I1154" t="s">
        <v>35</v>
      </c>
      <c r="J1154" t="s">
        <v>144</v>
      </c>
      <c r="K1154" t="s">
        <v>2</v>
      </c>
      <c r="L1154" t="s">
        <v>5689</v>
      </c>
      <c r="M1154" t="s">
        <v>5690</v>
      </c>
      <c r="N1154" t="s">
        <v>5646</v>
      </c>
      <c r="O1154" t="s">
        <v>71</v>
      </c>
      <c r="P1154" t="s">
        <v>5691</v>
      </c>
      <c r="Q1154" t="s">
        <v>107</v>
      </c>
      <c r="R1154" t="s">
        <v>632</v>
      </c>
      <c r="S1154">
        <v>1</v>
      </c>
      <c r="T1154">
        <v>5198</v>
      </c>
      <c r="U1154">
        <v>0</v>
      </c>
      <c r="V1154">
        <v>5198</v>
      </c>
    </row>
    <row r="1155" spans="1:22" x14ac:dyDescent="0.25">
      <c r="A1155">
        <v>186607</v>
      </c>
      <c r="B1155">
        <v>131821887</v>
      </c>
      <c r="C1155" t="s">
        <v>5692</v>
      </c>
      <c r="D1155" t="s">
        <v>5693</v>
      </c>
      <c r="E1155" t="s">
        <v>5643</v>
      </c>
      <c r="F1155" t="s">
        <v>847</v>
      </c>
      <c r="G1155" t="s">
        <v>142</v>
      </c>
      <c r="H1155" t="s">
        <v>143</v>
      </c>
      <c r="I1155" t="s">
        <v>35</v>
      </c>
      <c r="J1155" t="s">
        <v>144</v>
      </c>
      <c r="K1155" t="s">
        <v>2</v>
      </c>
      <c r="L1155" t="s">
        <v>5694</v>
      </c>
      <c r="M1155" t="s">
        <v>5695</v>
      </c>
      <c r="N1155" t="s">
        <v>5646</v>
      </c>
      <c r="O1155" t="s">
        <v>71</v>
      </c>
      <c r="P1155" t="s">
        <v>5696</v>
      </c>
      <c r="Q1155" t="s">
        <v>82</v>
      </c>
      <c r="R1155" t="s">
        <v>412</v>
      </c>
      <c r="S1155">
        <v>1</v>
      </c>
      <c r="T1155">
        <v>4067</v>
      </c>
      <c r="U1155">
        <v>0</v>
      </c>
      <c r="V1155">
        <v>4067</v>
      </c>
    </row>
    <row r="1156" spans="1:22" x14ac:dyDescent="0.25">
      <c r="A1156">
        <v>186607</v>
      </c>
      <c r="B1156">
        <v>131821932</v>
      </c>
      <c r="C1156" t="s">
        <v>5697</v>
      </c>
      <c r="D1156" t="s">
        <v>5698</v>
      </c>
      <c r="E1156" t="s">
        <v>5643</v>
      </c>
      <c r="F1156" t="s">
        <v>847</v>
      </c>
      <c r="G1156" t="s">
        <v>142</v>
      </c>
      <c r="H1156" t="s">
        <v>143</v>
      </c>
      <c r="I1156" t="s">
        <v>35</v>
      </c>
      <c r="J1156" t="s">
        <v>144</v>
      </c>
      <c r="K1156" t="s">
        <v>2</v>
      </c>
      <c r="L1156" t="s">
        <v>5699</v>
      </c>
      <c r="M1156" t="s">
        <v>5700</v>
      </c>
      <c r="N1156" t="s">
        <v>5646</v>
      </c>
      <c r="O1156" t="s">
        <v>71</v>
      </c>
      <c r="P1156" t="s">
        <v>5701</v>
      </c>
      <c r="Q1156" t="s">
        <v>48</v>
      </c>
      <c r="R1156" t="s">
        <v>434</v>
      </c>
      <c r="S1156">
        <v>1</v>
      </c>
      <c r="T1156">
        <v>3366</v>
      </c>
      <c r="U1156">
        <v>0</v>
      </c>
      <c r="V1156">
        <v>3366</v>
      </c>
    </row>
    <row r="1157" spans="1:22" x14ac:dyDescent="0.25">
      <c r="A1157">
        <v>186607</v>
      </c>
      <c r="B1157">
        <v>131741080</v>
      </c>
      <c r="C1157" t="s">
        <v>5702</v>
      </c>
      <c r="D1157" t="s">
        <v>5703</v>
      </c>
      <c r="E1157" t="s">
        <v>5643</v>
      </c>
      <c r="F1157" t="s">
        <v>847</v>
      </c>
      <c r="G1157" t="s">
        <v>142</v>
      </c>
      <c r="H1157" t="s">
        <v>143</v>
      </c>
      <c r="I1157" t="s">
        <v>35</v>
      </c>
      <c r="J1157" t="s">
        <v>144</v>
      </c>
      <c r="K1157" t="s">
        <v>2</v>
      </c>
      <c r="L1157" t="s">
        <v>5704</v>
      </c>
      <c r="M1157" t="s">
        <v>5705</v>
      </c>
      <c r="N1157" t="s">
        <v>5646</v>
      </c>
      <c r="O1157" t="s">
        <v>71</v>
      </c>
      <c r="P1157" t="s">
        <v>5706</v>
      </c>
      <c r="Q1157" t="s">
        <v>49</v>
      </c>
      <c r="R1157" t="s">
        <v>710</v>
      </c>
      <c r="S1157">
        <v>1</v>
      </c>
      <c r="T1157">
        <v>3366</v>
      </c>
      <c r="U1157">
        <v>0</v>
      </c>
      <c r="V1157">
        <v>3366</v>
      </c>
    </row>
    <row r="1158" spans="1:22" x14ac:dyDescent="0.25">
      <c r="A1158">
        <v>186607</v>
      </c>
      <c r="B1158">
        <v>131774089</v>
      </c>
      <c r="C1158" t="s">
        <v>5707</v>
      </c>
      <c r="D1158" t="s">
        <v>5708</v>
      </c>
      <c r="E1158" t="s">
        <v>5643</v>
      </c>
      <c r="F1158" t="s">
        <v>847</v>
      </c>
      <c r="G1158" t="s">
        <v>142</v>
      </c>
      <c r="H1158" t="s">
        <v>143</v>
      </c>
      <c r="I1158" t="s">
        <v>35</v>
      </c>
      <c r="J1158" t="s">
        <v>144</v>
      </c>
      <c r="K1158" t="s">
        <v>2</v>
      </c>
      <c r="L1158" t="s">
        <v>5709</v>
      </c>
      <c r="M1158" t="s">
        <v>5710</v>
      </c>
      <c r="N1158" t="s">
        <v>5646</v>
      </c>
      <c r="O1158" t="s">
        <v>71</v>
      </c>
      <c r="P1158" t="s">
        <v>5711</v>
      </c>
      <c r="Q1158" t="s">
        <v>46</v>
      </c>
      <c r="R1158" t="s">
        <v>632</v>
      </c>
      <c r="S1158">
        <v>1</v>
      </c>
      <c r="T1158">
        <v>3366</v>
      </c>
      <c r="U1158">
        <v>0</v>
      </c>
      <c r="V1158">
        <v>3366</v>
      </c>
    </row>
    <row r="1159" spans="1:22" x14ac:dyDescent="0.25">
      <c r="A1159">
        <v>186607</v>
      </c>
      <c r="B1159">
        <v>131821882</v>
      </c>
      <c r="C1159" t="s">
        <v>5712</v>
      </c>
      <c r="D1159" t="s">
        <v>5713</v>
      </c>
      <c r="E1159" t="s">
        <v>5643</v>
      </c>
      <c r="F1159" t="s">
        <v>847</v>
      </c>
      <c r="G1159" t="s">
        <v>142</v>
      </c>
      <c r="H1159" t="s">
        <v>143</v>
      </c>
      <c r="I1159" t="s">
        <v>35</v>
      </c>
      <c r="J1159" t="s">
        <v>144</v>
      </c>
      <c r="K1159" t="s">
        <v>2</v>
      </c>
      <c r="L1159" t="s">
        <v>5714</v>
      </c>
      <c r="M1159" t="s">
        <v>5715</v>
      </c>
      <c r="N1159" t="s">
        <v>5646</v>
      </c>
      <c r="O1159" t="s">
        <v>71</v>
      </c>
      <c r="P1159" t="s">
        <v>5716</v>
      </c>
      <c r="Q1159" t="s">
        <v>55</v>
      </c>
      <c r="R1159" t="s">
        <v>412</v>
      </c>
      <c r="S1159">
        <v>1</v>
      </c>
      <c r="T1159">
        <v>3501</v>
      </c>
      <c r="U1159">
        <v>0</v>
      </c>
      <c r="V1159">
        <v>3501</v>
      </c>
    </row>
    <row r="1160" spans="1:22" x14ac:dyDescent="0.25">
      <c r="A1160">
        <v>186607</v>
      </c>
      <c r="B1160">
        <v>131774080</v>
      </c>
      <c r="C1160" t="s">
        <v>5717</v>
      </c>
      <c r="D1160" t="s">
        <v>5718</v>
      </c>
      <c r="E1160" t="s">
        <v>5643</v>
      </c>
      <c r="F1160" t="s">
        <v>847</v>
      </c>
      <c r="G1160" t="s">
        <v>142</v>
      </c>
      <c r="H1160" t="s">
        <v>143</v>
      </c>
      <c r="I1160" t="s">
        <v>35</v>
      </c>
      <c r="J1160" t="s">
        <v>144</v>
      </c>
      <c r="K1160" t="s">
        <v>2</v>
      </c>
      <c r="L1160" t="s">
        <v>5719</v>
      </c>
      <c r="M1160" t="s">
        <v>5720</v>
      </c>
      <c r="N1160" t="s">
        <v>5646</v>
      </c>
      <c r="O1160" t="s">
        <v>71</v>
      </c>
      <c r="P1160" t="s">
        <v>5721</v>
      </c>
      <c r="Q1160" t="s">
        <v>60</v>
      </c>
      <c r="R1160" t="s">
        <v>632</v>
      </c>
      <c r="S1160">
        <v>1</v>
      </c>
      <c r="T1160">
        <v>3366</v>
      </c>
      <c r="U1160">
        <v>0</v>
      </c>
      <c r="V1160">
        <v>3366</v>
      </c>
    </row>
    <row r="1161" spans="1:22" x14ac:dyDescent="0.25">
      <c r="A1161">
        <v>186607</v>
      </c>
      <c r="B1161">
        <v>131741077</v>
      </c>
      <c r="C1161" t="s">
        <v>5722</v>
      </c>
      <c r="D1161" t="s">
        <v>5723</v>
      </c>
      <c r="E1161" t="s">
        <v>5643</v>
      </c>
      <c r="F1161" t="s">
        <v>847</v>
      </c>
      <c r="G1161" t="s">
        <v>142</v>
      </c>
      <c r="H1161" t="s">
        <v>143</v>
      </c>
      <c r="I1161" t="s">
        <v>35</v>
      </c>
      <c r="J1161" t="s">
        <v>144</v>
      </c>
      <c r="K1161" t="s">
        <v>2</v>
      </c>
      <c r="L1161" t="s">
        <v>5724</v>
      </c>
      <c r="M1161" t="s">
        <v>646</v>
      </c>
      <c r="N1161" t="s">
        <v>5646</v>
      </c>
      <c r="O1161" t="s">
        <v>71</v>
      </c>
      <c r="P1161" t="s">
        <v>5725</v>
      </c>
      <c r="Q1161" t="s">
        <v>154</v>
      </c>
      <c r="R1161" t="s">
        <v>710</v>
      </c>
      <c r="S1161">
        <v>1</v>
      </c>
      <c r="T1161">
        <v>3784</v>
      </c>
      <c r="U1161">
        <v>0</v>
      </c>
      <c r="V1161">
        <v>3784</v>
      </c>
    </row>
    <row r="1162" spans="1:22" x14ac:dyDescent="0.25">
      <c r="A1162">
        <v>186607</v>
      </c>
      <c r="B1162">
        <v>131774064</v>
      </c>
      <c r="C1162" t="s">
        <v>5726</v>
      </c>
      <c r="D1162" t="s">
        <v>5727</v>
      </c>
      <c r="E1162" t="s">
        <v>5643</v>
      </c>
      <c r="F1162" t="s">
        <v>847</v>
      </c>
      <c r="G1162" t="s">
        <v>142</v>
      </c>
      <c r="H1162" t="s">
        <v>143</v>
      </c>
      <c r="I1162" t="s">
        <v>35</v>
      </c>
      <c r="J1162" t="s">
        <v>144</v>
      </c>
      <c r="K1162" t="s">
        <v>169</v>
      </c>
      <c r="L1162" t="s">
        <v>267</v>
      </c>
      <c r="M1162" t="s">
        <v>5728</v>
      </c>
      <c r="N1162" t="s">
        <v>5646</v>
      </c>
      <c r="O1162" t="s">
        <v>71</v>
      </c>
      <c r="P1162" t="s">
        <v>5729</v>
      </c>
      <c r="Q1162" t="s">
        <v>62</v>
      </c>
      <c r="R1162" t="s">
        <v>632</v>
      </c>
      <c r="S1162">
        <v>1</v>
      </c>
      <c r="T1162">
        <v>3753</v>
      </c>
      <c r="U1162">
        <v>0</v>
      </c>
      <c r="V1162">
        <v>3753</v>
      </c>
    </row>
    <row r="1163" spans="1:22" x14ac:dyDescent="0.25">
      <c r="A1163">
        <v>186607</v>
      </c>
      <c r="B1163">
        <v>131821858</v>
      </c>
      <c r="C1163" t="s">
        <v>5730</v>
      </c>
      <c r="D1163" t="s">
        <v>5731</v>
      </c>
      <c r="E1163" t="s">
        <v>5643</v>
      </c>
      <c r="F1163" t="s">
        <v>847</v>
      </c>
      <c r="G1163" t="s">
        <v>142</v>
      </c>
      <c r="H1163" t="s">
        <v>143</v>
      </c>
      <c r="I1163" t="s">
        <v>35</v>
      </c>
      <c r="J1163" t="s">
        <v>144</v>
      </c>
      <c r="K1163" t="s">
        <v>2</v>
      </c>
      <c r="L1163" t="s">
        <v>5732</v>
      </c>
      <c r="M1163" t="s">
        <v>5733</v>
      </c>
      <c r="N1163" t="s">
        <v>5646</v>
      </c>
      <c r="O1163" t="s">
        <v>71</v>
      </c>
      <c r="P1163" t="s">
        <v>5734</v>
      </c>
      <c r="Q1163" t="s">
        <v>82</v>
      </c>
      <c r="R1163" t="s">
        <v>412</v>
      </c>
      <c r="S1163">
        <v>1</v>
      </c>
      <c r="T1163">
        <v>4067</v>
      </c>
      <c r="U1163">
        <v>0</v>
      </c>
      <c r="V1163">
        <v>4067</v>
      </c>
    </row>
    <row r="1164" spans="1:22" x14ac:dyDescent="0.25">
      <c r="A1164">
        <v>186607</v>
      </c>
      <c r="B1164">
        <v>131821910</v>
      </c>
      <c r="C1164" t="s">
        <v>5735</v>
      </c>
      <c r="D1164" t="s">
        <v>5736</v>
      </c>
      <c r="E1164" t="s">
        <v>5643</v>
      </c>
      <c r="F1164" t="s">
        <v>847</v>
      </c>
      <c r="G1164" t="s">
        <v>142</v>
      </c>
      <c r="H1164" t="s">
        <v>143</v>
      </c>
      <c r="I1164" t="s">
        <v>35</v>
      </c>
      <c r="J1164" t="s">
        <v>144</v>
      </c>
      <c r="K1164" t="s">
        <v>2</v>
      </c>
      <c r="L1164" t="s">
        <v>5737</v>
      </c>
      <c r="M1164" t="s">
        <v>5738</v>
      </c>
      <c r="N1164" t="s">
        <v>5646</v>
      </c>
      <c r="O1164" t="s">
        <v>71</v>
      </c>
      <c r="P1164" t="s">
        <v>5739</v>
      </c>
      <c r="Q1164" t="s">
        <v>48</v>
      </c>
      <c r="R1164" t="s">
        <v>412</v>
      </c>
      <c r="S1164">
        <v>1</v>
      </c>
      <c r="T1164">
        <v>3366</v>
      </c>
      <c r="U1164">
        <v>0</v>
      </c>
      <c r="V1164">
        <v>3366</v>
      </c>
    </row>
    <row r="1165" spans="1:22" x14ac:dyDescent="0.25">
      <c r="A1165">
        <v>186607</v>
      </c>
      <c r="B1165">
        <v>131774059</v>
      </c>
      <c r="C1165" t="s">
        <v>5740</v>
      </c>
      <c r="D1165" t="s">
        <v>5741</v>
      </c>
      <c r="E1165" t="s">
        <v>5643</v>
      </c>
      <c r="F1165" t="s">
        <v>847</v>
      </c>
      <c r="G1165" t="s">
        <v>142</v>
      </c>
      <c r="H1165" t="s">
        <v>143</v>
      </c>
      <c r="I1165" t="s">
        <v>35</v>
      </c>
      <c r="J1165" t="s">
        <v>144</v>
      </c>
      <c r="K1165" t="s">
        <v>2</v>
      </c>
      <c r="L1165" t="s">
        <v>506</v>
      </c>
      <c r="M1165" t="s">
        <v>5742</v>
      </c>
      <c r="N1165" t="s">
        <v>5646</v>
      </c>
      <c r="O1165" t="s">
        <v>71</v>
      </c>
      <c r="P1165" t="s">
        <v>5743</v>
      </c>
      <c r="Q1165" t="s">
        <v>48</v>
      </c>
      <c r="R1165" t="s">
        <v>632</v>
      </c>
      <c r="S1165">
        <v>1</v>
      </c>
      <c r="T1165">
        <v>3366</v>
      </c>
      <c r="U1165">
        <v>0</v>
      </c>
      <c r="V1165">
        <v>3366</v>
      </c>
    </row>
    <row r="1166" spans="1:22" x14ac:dyDescent="0.25">
      <c r="A1166">
        <v>186607</v>
      </c>
      <c r="B1166">
        <v>131618426</v>
      </c>
      <c r="C1166" t="s">
        <v>5744</v>
      </c>
      <c r="D1166" t="s">
        <v>5745</v>
      </c>
      <c r="E1166" t="s">
        <v>5643</v>
      </c>
      <c r="F1166" t="s">
        <v>847</v>
      </c>
      <c r="G1166" t="s">
        <v>142</v>
      </c>
      <c r="H1166" t="s">
        <v>143</v>
      </c>
      <c r="I1166" t="s">
        <v>35</v>
      </c>
      <c r="J1166" t="s">
        <v>144</v>
      </c>
      <c r="K1166" t="s">
        <v>2</v>
      </c>
      <c r="L1166" t="s">
        <v>5746</v>
      </c>
      <c r="M1166" t="s">
        <v>5747</v>
      </c>
      <c r="N1166" t="s">
        <v>5646</v>
      </c>
      <c r="O1166" t="s">
        <v>71</v>
      </c>
      <c r="P1166" t="s">
        <v>5748</v>
      </c>
      <c r="Q1166" t="s">
        <v>111</v>
      </c>
      <c r="R1166" t="s">
        <v>5749</v>
      </c>
      <c r="S1166">
        <v>2</v>
      </c>
      <c r="T1166">
        <v>4346</v>
      </c>
      <c r="U1166">
        <v>0</v>
      </c>
      <c r="V1166">
        <v>4346</v>
      </c>
    </row>
    <row r="1167" spans="1:22" x14ac:dyDescent="0.25">
      <c r="A1167">
        <v>186607</v>
      </c>
      <c r="B1167">
        <v>131662718</v>
      </c>
      <c r="C1167" t="s">
        <v>5750</v>
      </c>
      <c r="D1167" t="s">
        <v>5751</v>
      </c>
      <c r="E1167" t="s">
        <v>5643</v>
      </c>
      <c r="F1167" t="s">
        <v>847</v>
      </c>
      <c r="G1167" t="s">
        <v>142</v>
      </c>
      <c r="H1167" t="s">
        <v>143</v>
      </c>
      <c r="I1167" t="s">
        <v>35</v>
      </c>
      <c r="J1167" t="s">
        <v>144</v>
      </c>
      <c r="K1167" t="s">
        <v>2</v>
      </c>
      <c r="L1167" t="s">
        <v>5752</v>
      </c>
      <c r="M1167" t="s">
        <v>5753</v>
      </c>
      <c r="N1167" t="s">
        <v>5646</v>
      </c>
      <c r="O1167" t="s">
        <v>71</v>
      </c>
      <c r="P1167" t="s">
        <v>5754</v>
      </c>
      <c r="Q1167" t="s">
        <v>123</v>
      </c>
      <c r="R1167" t="s">
        <v>5755</v>
      </c>
      <c r="S1167">
        <v>1</v>
      </c>
      <c r="T1167">
        <v>7506</v>
      </c>
      <c r="U1167">
        <v>0</v>
      </c>
      <c r="V1167">
        <v>7506</v>
      </c>
    </row>
    <row r="1168" spans="1:22" x14ac:dyDescent="0.25">
      <c r="A1168">
        <v>186607</v>
      </c>
      <c r="B1168">
        <v>131641670</v>
      </c>
      <c r="C1168" t="s">
        <v>5756</v>
      </c>
      <c r="D1168" t="s">
        <v>5757</v>
      </c>
      <c r="E1168" t="s">
        <v>5643</v>
      </c>
      <c r="F1168" t="s">
        <v>847</v>
      </c>
      <c r="G1168" t="s">
        <v>142</v>
      </c>
      <c r="H1168" t="s">
        <v>143</v>
      </c>
      <c r="I1168" t="s">
        <v>35</v>
      </c>
      <c r="J1168" t="s">
        <v>144</v>
      </c>
      <c r="K1168" t="s">
        <v>2</v>
      </c>
      <c r="L1168" t="s">
        <v>5758</v>
      </c>
      <c r="M1168" t="s">
        <v>4330</v>
      </c>
      <c r="N1168" t="s">
        <v>5646</v>
      </c>
      <c r="O1168" t="s">
        <v>71</v>
      </c>
      <c r="P1168" t="s">
        <v>5759</v>
      </c>
      <c r="Q1168" t="s">
        <v>161</v>
      </c>
      <c r="R1168" t="s">
        <v>308</v>
      </c>
      <c r="S1168">
        <v>1</v>
      </c>
      <c r="T1168">
        <v>3366</v>
      </c>
      <c r="U1168">
        <v>0</v>
      </c>
      <c r="V1168">
        <v>3366</v>
      </c>
    </row>
    <row r="1169" spans="1:22" x14ac:dyDescent="0.25">
      <c r="A1169">
        <v>186607</v>
      </c>
      <c r="B1169">
        <v>131590312</v>
      </c>
      <c r="C1169" t="s">
        <v>5760</v>
      </c>
      <c r="D1169" t="s">
        <v>5761</v>
      </c>
      <c r="E1169" t="s">
        <v>5643</v>
      </c>
      <c r="F1169" t="s">
        <v>847</v>
      </c>
      <c r="G1169" t="s">
        <v>142</v>
      </c>
      <c r="H1169" t="s">
        <v>143</v>
      </c>
      <c r="I1169" t="s">
        <v>35</v>
      </c>
      <c r="J1169" t="s">
        <v>144</v>
      </c>
      <c r="K1169" t="s">
        <v>169</v>
      </c>
      <c r="L1169" t="s">
        <v>267</v>
      </c>
      <c r="M1169" t="s">
        <v>5762</v>
      </c>
      <c r="N1169" t="s">
        <v>5646</v>
      </c>
      <c r="O1169" t="s">
        <v>71</v>
      </c>
      <c r="P1169" t="s">
        <v>5763</v>
      </c>
      <c r="Q1169" t="s">
        <v>49</v>
      </c>
      <c r="R1169" t="s">
        <v>5764</v>
      </c>
      <c r="S1169">
        <v>1</v>
      </c>
      <c r="T1169">
        <v>3366</v>
      </c>
      <c r="U1169">
        <v>0</v>
      </c>
      <c r="V1169">
        <v>3366</v>
      </c>
    </row>
    <row r="1170" spans="1:22" x14ac:dyDescent="0.25">
      <c r="A1170">
        <v>186607</v>
      </c>
      <c r="B1170">
        <v>131662734</v>
      </c>
      <c r="C1170" t="s">
        <v>5765</v>
      </c>
      <c r="D1170" t="s">
        <v>5766</v>
      </c>
      <c r="E1170" t="s">
        <v>5643</v>
      </c>
      <c r="F1170" t="s">
        <v>847</v>
      </c>
      <c r="G1170" t="s">
        <v>142</v>
      </c>
      <c r="H1170" t="s">
        <v>143</v>
      </c>
      <c r="I1170" t="s">
        <v>35</v>
      </c>
      <c r="J1170" t="s">
        <v>144</v>
      </c>
      <c r="K1170" t="s">
        <v>2</v>
      </c>
      <c r="L1170" t="s">
        <v>5767</v>
      </c>
      <c r="M1170" t="s">
        <v>5768</v>
      </c>
      <c r="N1170" t="s">
        <v>5646</v>
      </c>
      <c r="O1170" t="s">
        <v>71</v>
      </c>
      <c r="P1170" t="s">
        <v>5769</v>
      </c>
      <c r="Q1170" t="s">
        <v>49</v>
      </c>
      <c r="R1170" t="s">
        <v>5755</v>
      </c>
      <c r="S1170">
        <v>2.5</v>
      </c>
      <c r="T1170">
        <v>3366</v>
      </c>
      <c r="U1170">
        <v>0</v>
      </c>
      <c r="V1170">
        <v>3366</v>
      </c>
    </row>
    <row r="1171" spans="1:22" x14ac:dyDescent="0.25">
      <c r="A1171">
        <v>186607</v>
      </c>
      <c r="B1171">
        <v>131662723</v>
      </c>
      <c r="C1171" t="s">
        <v>5770</v>
      </c>
      <c r="D1171" t="s">
        <v>5771</v>
      </c>
      <c r="E1171" t="s">
        <v>5643</v>
      </c>
      <c r="F1171" t="s">
        <v>847</v>
      </c>
      <c r="G1171" t="s">
        <v>142</v>
      </c>
      <c r="H1171" t="s">
        <v>143</v>
      </c>
      <c r="I1171" t="s">
        <v>35</v>
      </c>
      <c r="J1171" t="s">
        <v>144</v>
      </c>
      <c r="K1171" t="s">
        <v>2</v>
      </c>
      <c r="L1171" t="s">
        <v>5772</v>
      </c>
      <c r="M1171" t="s">
        <v>286</v>
      </c>
      <c r="N1171" t="s">
        <v>5646</v>
      </c>
      <c r="O1171" t="s">
        <v>71</v>
      </c>
      <c r="P1171" t="s">
        <v>5773</v>
      </c>
      <c r="Q1171" t="s">
        <v>64</v>
      </c>
      <c r="R1171" t="s">
        <v>5755</v>
      </c>
      <c r="S1171">
        <v>1</v>
      </c>
      <c r="T1171">
        <v>3784</v>
      </c>
      <c r="U1171">
        <v>0</v>
      </c>
      <c r="V1171">
        <v>3784</v>
      </c>
    </row>
    <row r="1172" spans="1:22" x14ac:dyDescent="0.25">
      <c r="A1172">
        <v>186607</v>
      </c>
      <c r="B1172">
        <v>131618429</v>
      </c>
      <c r="C1172" t="s">
        <v>5774</v>
      </c>
      <c r="D1172" t="s">
        <v>5775</v>
      </c>
      <c r="E1172" t="s">
        <v>5643</v>
      </c>
      <c r="F1172" t="s">
        <v>847</v>
      </c>
      <c r="G1172" t="s">
        <v>142</v>
      </c>
      <c r="H1172" t="s">
        <v>143</v>
      </c>
      <c r="I1172" t="s">
        <v>35</v>
      </c>
      <c r="J1172" t="s">
        <v>144</v>
      </c>
      <c r="K1172" t="s">
        <v>2</v>
      </c>
      <c r="L1172" t="s">
        <v>5776</v>
      </c>
      <c r="M1172" t="s">
        <v>5777</v>
      </c>
      <c r="N1172" t="s">
        <v>5646</v>
      </c>
      <c r="O1172" t="s">
        <v>71</v>
      </c>
      <c r="P1172" t="s">
        <v>5778</v>
      </c>
      <c r="Q1172" t="s">
        <v>50</v>
      </c>
      <c r="R1172" t="s">
        <v>5749</v>
      </c>
      <c r="S1172">
        <v>1</v>
      </c>
      <c r="T1172">
        <v>3753</v>
      </c>
      <c r="U1172">
        <v>0</v>
      </c>
      <c r="V1172">
        <v>3753</v>
      </c>
    </row>
    <row r="1173" spans="1:22" x14ac:dyDescent="0.25">
      <c r="A1173">
        <v>186607</v>
      </c>
      <c r="B1173">
        <v>131533557</v>
      </c>
      <c r="C1173" t="s">
        <v>5779</v>
      </c>
      <c r="D1173" t="s">
        <v>5780</v>
      </c>
      <c r="E1173" t="s">
        <v>5643</v>
      </c>
      <c r="F1173" t="s">
        <v>847</v>
      </c>
      <c r="G1173" t="s">
        <v>142</v>
      </c>
      <c r="H1173" t="s">
        <v>143</v>
      </c>
      <c r="I1173" t="s">
        <v>35</v>
      </c>
      <c r="J1173" t="s">
        <v>144</v>
      </c>
      <c r="K1173" t="s">
        <v>2</v>
      </c>
      <c r="L1173" t="s">
        <v>5781</v>
      </c>
      <c r="M1173" t="s">
        <v>5782</v>
      </c>
      <c r="N1173" t="s">
        <v>5646</v>
      </c>
      <c r="O1173" t="s">
        <v>71</v>
      </c>
      <c r="P1173" t="s">
        <v>5783</v>
      </c>
      <c r="Q1173" t="s">
        <v>56</v>
      </c>
      <c r="R1173" t="s">
        <v>445</v>
      </c>
      <c r="S1173">
        <v>1</v>
      </c>
      <c r="T1173">
        <v>4067</v>
      </c>
      <c r="U1173">
        <v>0</v>
      </c>
      <c r="V1173">
        <v>4067</v>
      </c>
    </row>
    <row r="1174" spans="1:22" x14ac:dyDescent="0.25">
      <c r="A1174">
        <v>186607</v>
      </c>
      <c r="B1174">
        <v>131489858</v>
      </c>
      <c r="C1174" t="s">
        <v>5784</v>
      </c>
      <c r="D1174" t="s">
        <v>5785</v>
      </c>
      <c r="E1174" t="s">
        <v>5643</v>
      </c>
      <c r="F1174" t="s">
        <v>847</v>
      </c>
      <c r="G1174" t="s">
        <v>142</v>
      </c>
      <c r="H1174" t="s">
        <v>143</v>
      </c>
      <c r="I1174" t="s">
        <v>35</v>
      </c>
      <c r="J1174" t="s">
        <v>144</v>
      </c>
      <c r="K1174" t="s">
        <v>2</v>
      </c>
      <c r="L1174" t="s">
        <v>5786</v>
      </c>
      <c r="M1174" t="s">
        <v>5787</v>
      </c>
      <c r="N1174" t="s">
        <v>5646</v>
      </c>
      <c r="O1174" t="s">
        <v>71</v>
      </c>
      <c r="P1174" t="s">
        <v>5788</v>
      </c>
      <c r="Q1174" t="s">
        <v>89</v>
      </c>
      <c r="R1174" t="s">
        <v>310</v>
      </c>
      <c r="S1174">
        <v>1</v>
      </c>
      <c r="T1174">
        <v>4173</v>
      </c>
      <c r="U1174">
        <v>0</v>
      </c>
      <c r="V1174">
        <v>4173</v>
      </c>
    </row>
    <row r="1175" spans="1:22" x14ac:dyDescent="0.25">
      <c r="A1175">
        <v>186607</v>
      </c>
      <c r="B1175">
        <v>131533586</v>
      </c>
      <c r="C1175" t="s">
        <v>5789</v>
      </c>
      <c r="D1175" t="s">
        <v>5790</v>
      </c>
      <c r="E1175" t="s">
        <v>5643</v>
      </c>
      <c r="F1175" t="s">
        <v>847</v>
      </c>
      <c r="G1175" t="s">
        <v>142</v>
      </c>
      <c r="H1175" t="s">
        <v>143</v>
      </c>
      <c r="I1175" t="s">
        <v>35</v>
      </c>
      <c r="J1175" t="s">
        <v>144</v>
      </c>
      <c r="K1175" t="s">
        <v>2</v>
      </c>
      <c r="L1175" t="s">
        <v>5791</v>
      </c>
      <c r="M1175" t="s">
        <v>5792</v>
      </c>
      <c r="N1175" t="s">
        <v>5646</v>
      </c>
      <c r="O1175" t="s">
        <v>71</v>
      </c>
      <c r="P1175" t="s">
        <v>5793</v>
      </c>
      <c r="Q1175" t="s">
        <v>107</v>
      </c>
      <c r="R1175" t="s">
        <v>445</v>
      </c>
      <c r="S1175">
        <v>1</v>
      </c>
      <c r="T1175">
        <v>5198</v>
      </c>
      <c r="U1175">
        <v>0</v>
      </c>
      <c r="V1175">
        <v>5198</v>
      </c>
    </row>
    <row r="1176" spans="1:22" x14ac:dyDescent="0.25">
      <c r="A1176">
        <v>186607</v>
      </c>
      <c r="B1176">
        <v>131489866</v>
      </c>
      <c r="C1176" t="s">
        <v>5794</v>
      </c>
      <c r="D1176" t="s">
        <v>5795</v>
      </c>
      <c r="E1176" t="s">
        <v>5643</v>
      </c>
      <c r="F1176" t="s">
        <v>847</v>
      </c>
      <c r="G1176" t="s">
        <v>142</v>
      </c>
      <c r="H1176" t="s">
        <v>143</v>
      </c>
      <c r="I1176" t="s">
        <v>35</v>
      </c>
      <c r="J1176" t="s">
        <v>144</v>
      </c>
      <c r="K1176" t="s">
        <v>2</v>
      </c>
      <c r="L1176" t="s">
        <v>5796</v>
      </c>
      <c r="M1176" t="s">
        <v>5797</v>
      </c>
      <c r="N1176" t="s">
        <v>5646</v>
      </c>
      <c r="O1176" t="s">
        <v>71</v>
      </c>
      <c r="P1176" t="s">
        <v>5798</v>
      </c>
      <c r="Q1176" t="s">
        <v>48</v>
      </c>
      <c r="R1176" t="s">
        <v>310</v>
      </c>
      <c r="S1176">
        <v>1</v>
      </c>
      <c r="T1176">
        <v>3366</v>
      </c>
      <c r="U1176">
        <v>0</v>
      </c>
      <c r="V1176">
        <v>3366</v>
      </c>
    </row>
    <row r="1177" spans="1:22" x14ac:dyDescent="0.25">
      <c r="A1177">
        <v>186607</v>
      </c>
      <c r="B1177">
        <v>131501445</v>
      </c>
      <c r="C1177" t="s">
        <v>5799</v>
      </c>
      <c r="D1177" t="s">
        <v>5800</v>
      </c>
      <c r="E1177" t="s">
        <v>5643</v>
      </c>
      <c r="F1177" t="s">
        <v>847</v>
      </c>
      <c r="G1177" t="s">
        <v>142</v>
      </c>
      <c r="H1177" t="s">
        <v>143</v>
      </c>
      <c r="I1177" t="s">
        <v>35</v>
      </c>
      <c r="J1177" t="s">
        <v>144</v>
      </c>
      <c r="K1177" t="s">
        <v>2</v>
      </c>
      <c r="L1177" t="s">
        <v>5801</v>
      </c>
      <c r="M1177" t="s">
        <v>5802</v>
      </c>
      <c r="N1177" t="s">
        <v>5646</v>
      </c>
      <c r="O1177" t="s">
        <v>71</v>
      </c>
      <c r="P1177" t="s">
        <v>5803</v>
      </c>
      <c r="Q1177" t="s">
        <v>107</v>
      </c>
      <c r="R1177" t="s">
        <v>663</v>
      </c>
      <c r="S1177">
        <v>1</v>
      </c>
      <c r="T1177">
        <v>5198</v>
      </c>
      <c r="U1177">
        <v>0</v>
      </c>
      <c r="V1177">
        <v>5198</v>
      </c>
    </row>
    <row r="1178" spans="1:22" x14ac:dyDescent="0.25">
      <c r="A1178">
        <v>186607</v>
      </c>
      <c r="B1178">
        <v>131533845</v>
      </c>
      <c r="C1178" t="s">
        <v>5804</v>
      </c>
      <c r="D1178" t="s">
        <v>5805</v>
      </c>
      <c r="E1178" t="s">
        <v>5643</v>
      </c>
      <c r="F1178" t="s">
        <v>847</v>
      </c>
      <c r="G1178" t="s">
        <v>142</v>
      </c>
      <c r="H1178" t="s">
        <v>143</v>
      </c>
      <c r="I1178" t="s">
        <v>35</v>
      </c>
      <c r="J1178" t="s">
        <v>144</v>
      </c>
      <c r="K1178" t="s">
        <v>2</v>
      </c>
      <c r="L1178" t="s">
        <v>5806</v>
      </c>
      <c r="M1178" t="s">
        <v>5807</v>
      </c>
      <c r="N1178" t="s">
        <v>5646</v>
      </c>
      <c r="O1178" t="s">
        <v>71</v>
      </c>
      <c r="P1178" t="s">
        <v>5808</v>
      </c>
      <c r="Q1178" t="s">
        <v>48</v>
      </c>
      <c r="R1178" t="s">
        <v>391</v>
      </c>
      <c r="S1178">
        <v>1</v>
      </c>
      <c r="T1178">
        <v>3366</v>
      </c>
      <c r="U1178">
        <v>0</v>
      </c>
      <c r="V1178">
        <v>3366</v>
      </c>
    </row>
    <row r="1179" spans="1:22" x14ac:dyDescent="0.25">
      <c r="A1179">
        <v>186607</v>
      </c>
      <c r="B1179">
        <v>131533568</v>
      </c>
      <c r="C1179" t="s">
        <v>5809</v>
      </c>
      <c r="D1179" t="s">
        <v>5810</v>
      </c>
      <c r="E1179" t="s">
        <v>5643</v>
      </c>
      <c r="F1179" t="s">
        <v>847</v>
      </c>
      <c r="G1179" t="s">
        <v>142</v>
      </c>
      <c r="H1179" t="s">
        <v>143</v>
      </c>
      <c r="I1179" t="s">
        <v>35</v>
      </c>
      <c r="J1179" t="s">
        <v>144</v>
      </c>
      <c r="K1179" t="s">
        <v>2</v>
      </c>
      <c r="L1179" t="s">
        <v>5811</v>
      </c>
      <c r="M1179" t="s">
        <v>5812</v>
      </c>
      <c r="N1179" t="s">
        <v>5646</v>
      </c>
      <c r="O1179" t="s">
        <v>71</v>
      </c>
      <c r="P1179" t="s">
        <v>5813</v>
      </c>
      <c r="Q1179" t="s">
        <v>60</v>
      </c>
      <c r="R1179" t="s">
        <v>445</v>
      </c>
      <c r="S1179">
        <v>1</v>
      </c>
      <c r="T1179">
        <v>3366</v>
      </c>
      <c r="U1179">
        <v>0</v>
      </c>
      <c r="V1179">
        <v>3366</v>
      </c>
    </row>
    <row r="1180" spans="1:22" x14ac:dyDescent="0.25">
      <c r="A1180">
        <v>186607</v>
      </c>
      <c r="B1180">
        <v>131455762</v>
      </c>
      <c r="C1180" t="s">
        <v>5814</v>
      </c>
      <c r="D1180" t="s">
        <v>5815</v>
      </c>
      <c r="E1180" t="s">
        <v>5643</v>
      </c>
      <c r="F1180" t="s">
        <v>847</v>
      </c>
      <c r="G1180" t="s">
        <v>142</v>
      </c>
      <c r="H1180" t="s">
        <v>143</v>
      </c>
      <c r="I1180" t="s">
        <v>35</v>
      </c>
      <c r="J1180" t="s">
        <v>144</v>
      </c>
      <c r="K1180" t="s">
        <v>2</v>
      </c>
      <c r="L1180" t="s">
        <v>273</v>
      </c>
      <c r="M1180" t="s">
        <v>5816</v>
      </c>
      <c r="N1180" t="s">
        <v>5646</v>
      </c>
      <c r="O1180" t="s">
        <v>71</v>
      </c>
      <c r="P1180" t="s">
        <v>5817</v>
      </c>
      <c r="Q1180" t="s">
        <v>47</v>
      </c>
      <c r="R1180" t="s">
        <v>490</v>
      </c>
      <c r="S1180">
        <v>1</v>
      </c>
      <c r="T1180">
        <v>3366</v>
      </c>
      <c r="U1180">
        <v>0</v>
      </c>
      <c r="V1180">
        <v>3366</v>
      </c>
    </row>
    <row r="1181" spans="1:22" x14ac:dyDescent="0.25">
      <c r="A1181">
        <v>186607</v>
      </c>
      <c r="B1181">
        <v>131448794</v>
      </c>
      <c r="C1181" t="s">
        <v>5818</v>
      </c>
      <c r="D1181" t="s">
        <v>5819</v>
      </c>
      <c r="E1181" t="s">
        <v>5643</v>
      </c>
      <c r="F1181" t="s">
        <v>847</v>
      </c>
      <c r="G1181" t="s">
        <v>142</v>
      </c>
      <c r="H1181" t="s">
        <v>143</v>
      </c>
      <c r="I1181" t="s">
        <v>35</v>
      </c>
      <c r="J1181" t="s">
        <v>144</v>
      </c>
      <c r="K1181" t="s">
        <v>2</v>
      </c>
      <c r="L1181" t="s">
        <v>5820</v>
      </c>
      <c r="M1181" t="s">
        <v>330</v>
      </c>
      <c r="N1181" t="s">
        <v>5646</v>
      </c>
      <c r="O1181" t="s">
        <v>71</v>
      </c>
      <c r="P1181" t="s">
        <v>5821</v>
      </c>
      <c r="Q1181" t="s">
        <v>50</v>
      </c>
      <c r="R1181" t="s">
        <v>489</v>
      </c>
      <c r="S1181">
        <v>1</v>
      </c>
      <c r="T1181">
        <v>3753</v>
      </c>
      <c r="U1181">
        <v>0</v>
      </c>
      <c r="V1181">
        <v>3753</v>
      </c>
    </row>
    <row r="1182" spans="1:22" x14ac:dyDescent="0.25">
      <c r="A1182">
        <v>186607</v>
      </c>
      <c r="B1182">
        <v>131152363</v>
      </c>
      <c r="C1182" t="s">
        <v>5822</v>
      </c>
      <c r="D1182" t="s">
        <v>5823</v>
      </c>
      <c r="E1182" t="s">
        <v>5643</v>
      </c>
      <c r="F1182" t="s">
        <v>847</v>
      </c>
      <c r="G1182" t="s">
        <v>142</v>
      </c>
      <c r="H1182" t="s">
        <v>143</v>
      </c>
      <c r="I1182" t="s">
        <v>35</v>
      </c>
      <c r="J1182" t="s">
        <v>144</v>
      </c>
      <c r="K1182" t="s">
        <v>2</v>
      </c>
      <c r="L1182" t="s">
        <v>5824</v>
      </c>
      <c r="M1182" t="s">
        <v>5825</v>
      </c>
      <c r="N1182" t="s">
        <v>5646</v>
      </c>
      <c r="O1182" t="s">
        <v>71</v>
      </c>
      <c r="P1182" t="s">
        <v>5826</v>
      </c>
      <c r="Q1182" t="s">
        <v>107</v>
      </c>
      <c r="R1182" t="s">
        <v>5827</v>
      </c>
      <c r="S1182">
        <v>1</v>
      </c>
      <c r="T1182">
        <v>7212</v>
      </c>
      <c r="U1182">
        <v>0</v>
      </c>
      <c r="V1182">
        <v>7212</v>
      </c>
    </row>
    <row r="1183" spans="1:22" x14ac:dyDescent="0.25">
      <c r="A1183">
        <v>186607</v>
      </c>
      <c r="B1183">
        <v>132110006</v>
      </c>
      <c r="C1183" t="s">
        <v>5828</v>
      </c>
      <c r="D1183" t="s">
        <v>5829</v>
      </c>
      <c r="E1183" t="s">
        <v>5643</v>
      </c>
      <c r="F1183" t="s">
        <v>847</v>
      </c>
      <c r="G1183" t="s">
        <v>142</v>
      </c>
      <c r="H1183" t="s">
        <v>143</v>
      </c>
      <c r="I1183" t="s">
        <v>35</v>
      </c>
      <c r="J1183" t="s">
        <v>144</v>
      </c>
      <c r="K1183" t="s">
        <v>2</v>
      </c>
      <c r="L1183" t="s">
        <v>5830</v>
      </c>
      <c r="M1183" t="s">
        <v>5831</v>
      </c>
      <c r="N1183" t="s">
        <v>5646</v>
      </c>
      <c r="O1183" t="s">
        <v>71</v>
      </c>
      <c r="P1183" t="s">
        <v>5832</v>
      </c>
      <c r="Q1183" t="s">
        <v>48</v>
      </c>
      <c r="R1183" t="s">
        <v>355</v>
      </c>
      <c r="S1183">
        <v>0.5</v>
      </c>
      <c r="T1183">
        <v>3299</v>
      </c>
      <c r="U1183">
        <v>0</v>
      </c>
      <c r="V1183">
        <v>3299</v>
      </c>
    </row>
    <row r="1184" spans="1:22" x14ac:dyDescent="0.25">
      <c r="A1184">
        <v>186607</v>
      </c>
      <c r="B1184">
        <v>132110022</v>
      </c>
      <c r="C1184" t="s">
        <v>5833</v>
      </c>
      <c r="D1184" t="s">
        <v>5834</v>
      </c>
      <c r="E1184" t="s">
        <v>5643</v>
      </c>
      <c r="F1184" t="s">
        <v>847</v>
      </c>
      <c r="G1184" t="s">
        <v>142</v>
      </c>
      <c r="H1184" t="s">
        <v>143</v>
      </c>
      <c r="I1184" t="s">
        <v>35</v>
      </c>
      <c r="J1184" t="s">
        <v>144</v>
      </c>
      <c r="K1184" t="s">
        <v>2</v>
      </c>
      <c r="L1184" t="s">
        <v>5835</v>
      </c>
      <c r="M1184" t="s">
        <v>5836</v>
      </c>
      <c r="N1184" t="s">
        <v>5646</v>
      </c>
      <c r="O1184" t="s">
        <v>71</v>
      </c>
      <c r="P1184" t="s">
        <v>5837</v>
      </c>
      <c r="Q1184" t="s">
        <v>47</v>
      </c>
      <c r="R1184" t="s">
        <v>355</v>
      </c>
      <c r="S1184">
        <v>0.5</v>
      </c>
      <c r="T1184">
        <v>3299</v>
      </c>
      <c r="U1184">
        <v>0</v>
      </c>
      <c r="V1184">
        <v>3299</v>
      </c>
    </row>
    <row r="1185" spans="1:22" x14ac:dyDescent="0.25">
      <c r="A1185">
        <v>186607</v>
      </c>
      <c r="B1185">
        <v>131992773</v>
      </c>
      <c r="C1185" t="s">
        <v>5838</v>
      </c>
      <c r="D1185" t="s">
        <v>5839</v>
      </c>
      <c r="E1185" t="s">
        <v>5643</v>
      </c>
      <c r="F1185" t="s">
        <v>847</v>
      </c>
      <c r="G1185" t="s">
        <v>142</v>
      </c>
      <c r="H1185" t="s">
        <v>143</v>
      </c>
      <c r="I1185" t="s">
        <v>35</v>
      </c>
      <c r="J1185" t="s">
        <v>144</v>
      </c>
      <c r="K1185" t="s">
        <v>2</v>
      </c>
      <c r="L1185" t="s">
        <v>5840</v>
      </c>
      <c r="M1185" t="s">
        <v>5841</v>
      </c>
      <c r="N1185" t="s">
        <v>5646</v>
      </c>
      <c r="O1185" t="s">
        <v>71</v>
      </c>
      <c r="P1185" t="s">
        <v>5842</v>
      </c>
      <c r="Q1185" t="s">
        <v>48</v>
      </c>
      <c r="R1185" t="s">
        <v>5843</v>
      </c>
      <c r="S1185">
        <v>0.5</v>
      </c>
      <c r="T1185">
        <v>3299</v>
      </c>
      <c r="U1185">
        <v>0</v>
      </c>
      <c r="V1185">
        <v>3299</v>
      </c>
    </row>
    <row r="1186" spans="1:22" x14ac:dyDescent="0.25">
      <c r="A1186">
        <v>186607</v>
      </c>
      <c r="B1186">
        <v>131992782</v>
      </c>
      <c r="C1186" t="s">
        <v>5844</v>
      </c>
      <c r="D1186" t="s">
        <v>5845</v>
      </c>
      <c r="E1186" t="s">
        <v>5643</v>
      </c>
      <c r="F1186" t="s">
        <v>847</v>
      </c>
      <c r="G1186" t="s">
        <v>142</v>
      </c>
      <c r="H1186" t="s">
        <v>143</v>
      </c>
      <c r="I1186" t="s">
        <v>35</v>
      </c>
      <c r="J1186" t="s">
        <v>144</v>
      </c>
      <c r="K1186" t="s">
        <v>2</v>
      </c>
      <c r="L1186" t="s">
        <v>5846</v>
      </c>
      <c r="M1186" t="s">
        <v>5847</v>
      </c>
      <c r="N1186" t="s">
        <v>5646</v>
      </c>
      <c r="O1186" t="s">
        <v>71</v>
      </c>
      <c r="P1186" t="s">
        <v>5848</v>
      </c>
      <c r="Q1186" t="s">
        <v>48</v>
      </c>
      <c r="R1186" t="s">
        <v>5843</v>
      </c>
      <c r="S1186">
        <v>0.5</v>
      </c>
      <c r="T1186">
        <v>3299</v>
      </c>
      <c r="U1186">
        <v>0</v>
      </c>
      <c r="V1186">
        <v>3299</v>
      </c>
    </row>
    <row r="1187" spans="1:22" x14ac:dyDescent="0.25">
      <c r="A1187">
        <v>186607</v>
      </c>
      <c r="B1187">
        <v>132022544</v>
      </c>
      <c r="C1187" t="s">
        <v>5849</v>
      </c>
      <c r="D1187" t="s">
        <v>5850</v>
      </c>
      <c r="E1187" t="s">
        <v>5643</v>
      </c>
      <c r="F1187" t="s">
        <v>847</v>
      </c>
      <c r="G1187" t="s">
        <v>142</v>
      </c>
      <c r="H1187" t="s">
        <v>143</v>
      </c>
      <c r="I1187" t="s">
        <v>35</v>
      </c>
      <c r="J1187" t="s">
        <v>144</v>
      </c>
      <c r="K1187" t="s">
        <v>2</v>
      </c>
      <c r="L1187" t="s">
        <v>5851</v>
      </c>
      <c r="M1187" t="s">
        <v>5852</v>
      </c>
      <c r="N1187" t="s">
        <v>5646</v>
      </c>
      <c r="O1187" t="s">
        <v>71</v>
      </c>
      <c r="P1187" t="s">
        <v>5853</v>
      </c>
      <c r="Q1187" t="s">
        <v>130</v>
      </c>
      <c r="R1187" t="s">
        <v>540</v>
      </c>
      <c r="S1187">
        <v>0.5</v>
      </c>
      <c r="T1187">
        <v>3299</v>
      </c>
      <c r="U1187">
        <v>0</v>
      </c>
      <c r="V1187">
        <v>3299</v>
      </c>
    </row>
    <row r="1188" spans="1:22" x14ac:dyDescent="0.25">
      <c r="A1188">
        <v>186607</v>
      </c>
      <c r="B1188">
        <v>132074190</v>
      </c>
      <c r="C1188" t="s">
        <v>5854</v>
      </c>
      <c r="D1188" t="s">
        <v>5855</v>
      </c>
      <c r="E1188" t="s">
        <v>5643</v>
      </c>
      <c r="F1188" t="s">
        <v>847</v>
      </c>
      <c r="G1188" t="s">
        <v>142</v>
      </c>
      <c r="H1188" t="s">
        <v>143</v>
      </c>
      <c r="I1188" t="s">
        <v>35</v>
      </c>
      <c r="J1188" t="s">
        <v>144</v>
      </c>
      <c r="K1188" t="s">
        <v>2</v>
      </c>
      <c r="L1188" t="s">
        <v>5856</v>
      </c>
      <c r="M1188" t="s">
        <v>5857</v>
      </c>
      <c r="N1188" t="s">
        <v>5646</v>
      </c>
      <c r="O1188" t="s">
        <v>71</v>
      </c>
      <c r="P1188" t="s">
        <v>5858</v>
      </c>
      <c r="Q1188" t="s">
        <v>46</v>
      </c>
      <c r="R1188" t="s">
        <v>816</v>
      </c>
      <c r="S1188">
        <v>0.5</v>
      </c>
      <c r="T1188">
        <v>3299</v>
      </c>
      <c r="U1188">
        <v>0</v>
      </c>
      <c r="V1188">
        <v>3299</v>
      </c>
    </row>
    <row r="1189" spans="1:22" x14ac:dyDescent="0.25">
      <c r="A1189">
        <v>186607</v>
      </c>
      <c r="B1189">
        <v>132022569</v>
      </c>
      <c r="C1189" t="s">
        <v>5859</v>
      </c>
      <c r="D1189" t="s">
        <v>5860</v>
      </c>
      <c r="E1189" t="s">
        <v>5643</v>
      </c>
      <c r="F1189" t="s">
        <v>847</v>
      </c>
      <c r="G1189" t="s">
        <v>142</v>
      </c>
      <c r="H1189" t="s">
        <v>143</v>
      </c>
      <c r="I1189" t="s">
        <v>35</v>
      </c>
      <c r="J1189" t="s">
        <v>144</v>
      </c>
      <c r="K1189" t="s">
        <v>2</v>
      </c>
      <c r="L1189" t="s">
        <v>5861</v>
      </c>
      <c r="M1189" t="s">
        <v>5862</v>
      </c>
      <c r="N1189" t="s">
        <v>5646</v>
      </c>
      <c r="O1189" t="s">
        <v>71</v>
      </c>
      <c r="P1189" t="s">
        <v>5863</v>
      </c>
      <c r="Q1189" t="s">
        <v>155</v>
      </c>
      <c r="R1189" t="s">
        <v>540</v>
      </c>
      <c r="S1189">
        <v>0.5</v>
      </c>
      <c r="T1189">
        <v>3299</v>
      </c>
      <c r="U1189">
        <v>0</v>
      </c>
      <c r="V1189">
        <v>3299</v>
      </c>
    </row>
    <row r="1190" spans="1:22" x14ac:dyDescent="0.25">
      <c r="A1190">
        <v>186607</v>
      </c>
      <c r="B1190">
        <v>131992772</v>
      </c>
      <c r="C1190" t="s">
        <v>5864</v>
      </c>
      <c r="D1190" t="s">
        <v>5865</v>
      </c>
      <c r="E1190" t="s">
        <v>5643</v>
      </c>
      <c r="F1190" t="s">
        <v>847</v>
      </c>
      <c r="G1190" t="s">
        <v>142</v>
      </c>
      <c r="H1190" t="s">
        <v>143</v>
      </c>
      <c r="I1190" t="s">
        <v>35</v>
      </c>
      <c r="J1190" t="s">
        <v>144</v>
      </c>
      <c r="K1190" t="s">
        <v>2</v>
      </c>
      <c r="L1190" t="s">
        <v>5866</v>
      </c>
      <c r="M1190" t="s">
        <v>5867</v>
      </c>
      <c r="N1190" t="s">
        <v>5646</v>
      </c>
      <c r="O1190" t="s">
        <v>71</v>
      </c>
      <c r="P1190" t="s">
        <v>5868</v>
      </c>
      <c r="Q1190" t="s">
        <v>48</v>
      </c>
      <c r="R1190" t="s">
        <v>5843</v>
      </c>
      <c r="S1190">
        <v>0.5</v>
      </c>
      <c r="T1190">
        <v>3299</v>
      </c>
      <c r="U1190">
        <v>0</v>
      </c>
      <c r="V1190">
        <v>3299</v>
      </c>
    </row>
    <row r="1191" spans="1:22" x14ac:dyDescent="0.25">
      <c r="A1191">
        <v>186607</v>
      </c>
      <c r="B1191">
        <v>131952810</v>
      </c>
      <c r="C1191" t="s">
        <v>5869</v>
      </c>
      <c r="D1191" t="s">
        <v>5870</v>
      </c>
      <c r="E1191" t="s">
        <v>5643</v>
      </c>
      <c r="F1191" t="s">
        <v>847</v>
      </c>
      <c r="G1191" t="s">
        <v>142</v>
      </c>
      <c r="H1191" t="s">
        <v>143</v>
      </c>
      <c r="I1191" t="s">
        <v>35</v>
      </c>
      <c r="J1191" t="s">
        <v>144</v>
      </c>
      <c r="K1191" t="s">
        <v>2</v>
      </c>
      <c r="L1191" t="s">
        <v>5871</v>
      </c>
      <c r="M1191" t="s">
        <v>5872</v>
      </c>
      <c r="N1191" t="s">
        <v>5646</v>
      </c>
      <c r="O1191" t="s">
        <v>71</v>
      </c>
      <c r="P1191" t="s">
        <v>5873</v>
      </c>
      <c r="Q1191" t="s">
        <v>86</v>
      </c>
      <c r="R1191" t="s">
        <v>819</v>
      </c>
      <c r="S1191">
        <v>0.5</v>
      </c>
      <c r="T1191">
        <v>3299</v>
      </c>
      <c r="U1191">
        <v>0</v>
      </c>
      <c r="V1191">
        <v>3299</v>
      </c>
    </row>
    <row r="1192" spans="1:22" x14ac:dyDescent="0.25">
      <c r="A1192">
        <v>186607</v>
      </c>
      <c r="B1192">
        <v>131952798</v>
      </c>
      <c r="C1192" t="s">
        <v>5874</v>
      </c>
      <c r="D1192" t="s">
        <v>5875</v>
      </c>
      <c r="E1192" t="s">
        <v>5643</v>
      </c>
      <c r="F1192" t="s">
        <v>847</v>
      </c>
      <c r="G1192" t="s">
        <v>142</v>
      </c>
      <c r="H1192" t="s">
        <v>143</v>
      </c>
      <c r="I1192" t="s">
        <v>35</v>
      </c>
      <c r="J1192" t="s">
        <v>144</v>
      </c>
      <c r="K1192" t="s">
        <v>2</v>
      </c>
      <c r="L1192" t="s">
        <v>5876</v>
      </c>
      <c r="M1192" t="s">
        <v>5877</v>
      </c>
      <c r="N1192" t="s">
        <v>5646</v>
      </c>
      <c r="O1192" t="s">
        <v>71</v>
      </c>
      <c r="P1192" t="s">
        <v>5878</v>
      </c>
      <c r="Q1192" t="s">
        <v>161</v>
      </c>
      <c r="R1192" t="s">
        <v>2525</v>
      </c>
      <c r="S1192">
        <v>0.5</v>
      </c>
      <c r="T1192">
        <v>3299</v>
      </c>
      <c r="U1192">
        <v>0</v>
      </c>
      <c r="V1192">
        <v>3299</v>
      </c>
    </row>
    <row r="1193" spans="1:22" x14ac:dyDescent="0.25">
      <c r="A1193">
        <v>186607</v>
      </c>
      <c r="B1193">
        <v>131922265</v>
      </c>
      <c r="C1193" t="s">
        <v>5879</v>
      </c>
      <c r="D1193" t="s">
        <v>5880</v>
      </c>
      <c r="E1193" t="s">
        <v>5643</v>
      </c>
      <c r="F1193" t="s">
        <v>847</v>
      </c>
      <c r="G1193" t="s">
        <v>142</v>
      </c>
      <c r="H1193" t="s">
        <v>143</v>
      </c>
      <c r="I1193" t="s">
        <v>35</v>
      </c>
      <c r="J1193" t="s">
        <v>144</v>
      </c>
      <c r="K1193" t="s">
        <v>2</v>
      </c>
      <c r="L1193" t="s">
        <v>5881</v>
      </c>
      <c r="M1193" t="s">
        <v>5882</v>
      </c>
      <c r="N1193" t="s">
        <v>5646</v>
      </c>
      <c r="O1193" t="s">
        <v>71</v>
      </c>
      <c r="P1193" t="s">
        <v>5883</v>
      </c>
      <c r="Q1193" t="s">
        <v>46</v>
      </c>
      <c r="R1193" t="s">
        <v>5884</v>
      </c>
      <c r="S1193">
        <v>0.5</v>
      </c>
      <c r="T1193">
        <v>3299</v>
      </c>
      <c r="U1193">
        <v>0</v>
      </c>
      <c r="V1193">
        <v>3299</v>
      </c>
    </row>
    <row r="1194" spans="1:22" x14ac:dyDescent="0.25">
      <c r="A1194">
        <v>186607</v>
      </c>
      <c r="B1194">
        <v>131933305</v>
      </c>
      <c r="C1194" t="s">
        <v>5885</v>
      </c>
      <c r="D1194" t="s">
        <v>5886</v>
      </c>
      <c r="E1194" t="s">
        <v>5643</v>
      </c>
      <c r="F1194" t="s">
        <v>847</v>
      </c>
      <c r="G1194" t="s">
        <v>142</v>
      </c>
      <c r="H1194" t="s">
        <v>143</v>
      </c>
      <c r="I1194" t="s">
        <v>35</v>
      </c>
      <c r="J1194" t="s">
        <v>144</v>
      </c>
      <c r="K1194" t="s">
        <v>2</v>
      </c>
      <c r="L1194" t="s">
        <v>5887</v>
      </c>
      <c r="M1194" t="s">
        <v>5888</v>
      </c>
      <c r="N1194" t="s">
        <v>5646</v>
      </c>
      <c r="O1194" t="s">
        <v>71</v>
      </c>
      <c r="P1194" t="s">
        <v>5889</v>
      </c>
      <c r="Q1194" t="s">
        <v>48</v>
      </c>
      <c r="R1194" t="s">
        <v>429</v>
      </c>
      <c r="S1194">
        <v>0.5</v>
      </c>
      <c r="T1194">
        <v>3299</v>
      </c>
      <c r="U1194">
        <v>0</v>
      </c>
      <c r="V1194">
        <v>3299</v>
      </c>
    </row>
    <row r="1195" spans="1:22" x14ac:dyDescent="0.25">
      <c r="A1195">
        <v>186607</v>
      </c>
      <c r="B1195">
        <v>131933303</v>
      </c>
      <c r="C1195" t="s">
        <v>5890</v>
      </c>
      <c r="D1195" t="s">
        <v>5891</v>
      </c>
      <c r="E1195" t="s">
        <v>5643</v>
      </c>
      <c r="F1195" t="s">
        <v>847</v>
      </c>
      <c r="G1195" t="s">
        <v>142</v>
      </c>
      <c r="H1195" t="s">
        <v>143</v>
      </c>
      <c r="I1195" t="s">
        <v>35</v>
      </c>
      <c r="J1195" t="s">
        <v>144</v>
      </c>
      <c r="K1195" t="s">
        <v>2</v>
      </c>
      <c r="L1195" t="s">
        <v>5892</v>
      </c>
      <c r="M1195" t="s">
        <v>5893</v>
      </c>
      <c r="N1195" t="s">
        <v>5646</v>
      </c>
      <c r="O1195" t="s">
        <v>71</v>
      </c>
      <c r="P1195" t="s">
        <v>5894</v>
      </c>
      <c r="Q1195" t="s">
        <v>213</v>
      </c>
      <c r="R1195" t="s">
        <v>429</v>
      </c>
      <c r="S1195">
        <v>0.5</v>
      </c>
      <c r="T1195">
        <v>3299</v>
      </c>
      <c r="U1195">
        <v>0</v>
      </c>
      <c r="V1195">
        <v>3299</v>
      </c>
    </row>
    <row r="1196" spans="1:22" x14ac:dyDescent="0.25">
      <c r="A1196">
        <v>186607</v>
      </c>
      <c r="B1196">
        <v>131922266</v>
      </c>
      <c r="C1196" t="s">
        <v>5895</v>
      </c>
      <c r="D1196" t="s">
        <v>5896</v>
      </c>
      <c r="E1196" t="s">
        <v>5643</v>
      </c>
      <c r="F1196" t="s">
        <v>847</v>
      </c>
      <c r="G1196" t="s">
        <v>142</v>
      </c>
      <c r="H1196" t="s">
        <v>143</v>
      </c>
      <c r="I1196" t="s">
        <v>35</v>
      </c>
      <c r="J1196" t="s">
        <v>144</v>
      </c>
      <c r="K1196" t="s">
        <v>169</v>
      </c>
      <c r="L1196" t="s">
        <v>267</v>
      </c>
      <c r="M1196" t="s">
        <v>5897</v>
      </c>
      <c r="N1196" t="s">
        <v>5646</v>
      </c>
      <c r="O1196" t="s">
        <v>71</v>
      </c>
      <c r="P1196" t="s">
        <v>5898</v>
      </c>
      <c r="Q1196" t="s">
        <v>47</v>
      </c>
      <c r="R1196" t="s">
        <v>5884</v>
      </c>
      <c r="S1196">
        <v>0.5</v>
      </c>
      <c r="T1196">
        <v>3299</v>
      </c>
      <c r="U1196">
        <v>0</v>
      </c>
      <c r="V1196">
        <v>3299</v>
      </c>
    </row>
    <row r="1197" spans="1:22" x14ac:dyDescent="0.25">
      <c r="A1197">
        <v>186607</v>
      </c>
      <c r="B1197">
        <v>131899543</v>
      </c>
      <c r="C1197" t="s">
        <v>5899</v>
      </c>
      <c r="D1197" t="s">
        <v>5900</v>
      </c>
      <c r="E1197" t="s">
        <v>5643</v>
      </c>
      <c r="F1197" t="s">
        <v>847</v>
      </c>
      <c r="G1197" t="s">
        <v>142</v>
      </c>
      <c r="H1197" t="s">
        <v>143</v>
      </c>
      <c r="I1197" t="s">
        <v>35</v>
      </c>
      <c r="J1197" t="s">
        <v>144</v>
      </c>
      <c r="K1197" t="s">
        <v>2</v>
      </c>
      <c r="L1197" t="s">
        <v>5901</v>
      </c>
      <c r="M1197" t="s">
        <v>5902</v>
      </c>
      <c r="N1197" t="s">
        <v>5646</v>
      </c>
      <c r="O1197" t="s">
        <v>71</v>
      </c>
      <c r="P1197" t="s">
        <v>5903</v>
      </c>
      <c r="Q1197" t="s">
        <v>46</v>
      </c>
      <c r="R1197" t="s">
        <v>448</v>
      </c>
      <c r="S1197">
        <v>0.5</v>
      </c>
      <c r="T1197">
        <v>3299</v>
      </c>
      <c r="U1197">
        <v>0</v>
      </c>
      <c r="V1197">
        <v>3299</v>
      </c>
    </row>
    <row r="1198" spans="1:22" x14ac:dyDescent="0.25">
      <c r="A1198">
        <v>186607</v>
      </c>
      <c r="B1198">
        <v>131887992</v>
      </c>
      <c r="C1198" t="s">
        <v>5904</v>
      </c>
      <c r="D1198" t="s">
        <v>5905</v>
      </c>
      <c r="E1198" t="s">
        <v>5643</v>
      </c>
      <c r="F1198" t="s">
        <v>847</v>
      </c>
      <c r="G1198" t="s">
        <v>142</v>
      </c>
      <c r="H1198" t="s">
        <v>143</v>
      </c>
      <c r="I1198" t="s">
        <v>35</v>
      </c>
      <c r="J1198" t="s">
        <v>144</v>
      </c>
      <c r="K1198" t="s">
        <v>2</v>
      </c>
      <c r="L1198" t="s">
        <v>5906</v>
      </c>
      <c r="M1198" t="s">
        <v>5907</v>
      </c>
      <c r="N1198" t="s">
        <v>5646</v>
      </c>
      <c r="O1198" t="s">
        <v>71</v>
      </c>
      <c r="P1198" t="s">
        <v>5908</v>
      </c>
      <c r="Q1198" t="s">
        <v>49</v>
      </c>
      <c r="R1198" t="s">
        <v>5909</v>
      </c>
      <c r="S1198">
        <v>0.5</v>
      </c>
      <c r="T1198">
        <v>3299</v>
      </c>
      <c r="U1198">
        <v>0</v>
      </c>
      <c r="V1198">
        <v>3299</v>
      </c>
    </row>
    <row r="1199" spans="1:22" x14ac:dyDescent="0.25">
      <c r="A1199">
        <v>186607</v>
      </c>
      <c r="B1199">
        <v>131829555</v>
      </c>
      <c r="C1199" t="s">
        <v>5910</v>
      </c>
      <c r="D1199" t="s">
        <v>5911</v>
      </c>
      <c r="E1199" t="s">
        <v>5643</v>
      </c>
      <c r="F1199" t="s">
        <v>847</v>
      </c>
      <c r="G1199" t="s">
        <v>142</v>
      </c>
      <c r="H1199" t="s">
        <v>143</v>
      </c>
      <c r="I1199" t="s">
        <v>35</v>
      </c>
      <c r="J1199" t="s">
        <v>144</v>
      </c>
      <c r="K1199" t="s">
        <v>2</v>
      </c>
      <c r="L1199" t="s">
        <v>5796</v>
      </c>
      <c r="M1199" t="s">
        <v>5797</v>
      </c>
      <c r="N1199" t="s">
        <v>5646</v>
      </c>
      <c r="O1199" t="s">
        <v>71</v>
      </c>
      <c r="P1199" t="s">
        <v>5912</v>
      </c>
      <c r="Q1199" t="s">
        <v>48</v>
      </c>
      <c r="R1199" t="s">
        <v>413</v>
      </c>
      <c r="S1199">
        <v>0.5</v>
      </c>
      <c r="T1199">
        <v>3299</v>
      </c>
      <c r="U1199">
        <v>0</v>
      </c>
      <c r="V1199">
        <v>3299</v>
      </c>
    </row>
    <row r="1200" spans="1:22" x14ac:dyDescent="0.25">
      <c r="A1200">
        <v>186607</v>
      </c>
      <c r="B1200">
        <v>131821894</v>
      </c>
      <c r="C1200" t="s">
        <v>5913</v>
      </c>
      <c r="D1200" t="s">
        <v>5914</v>
      </c>
      <c r="E1200" t="s">
        <v>5643</v>
      </c>
      <c r="F1200" t="s">
        <v>847</v>
      </c>
      <c r="G1200" t="s">
        <v>142</v>
      </c>
      <c r="H1200" t="s">
        <v>143</v>
      </c>
      <c r="I1200" t="s">
        <v>35</v>
      </c>
      <c r="J1200" t="s">
        <v>144</v>
      </c>
      <c r="K1200" t="s">
        <v>2</v>
      </c>
      <c r="L1200" t="s">
        <v>5915</v>
      </c>
      <c r="M1200" t="s">
        <v>5916</v>
      </c>
      <c r="N1200" t="s">
        <v>5646</v>
      </c>
      <c r="O1200" t="s">
        <v>71</v>
      </c>
      <c r="P1200" t="s">
        <v>5917</v>
      </c>
      <c r="Q1200" t="s">
        <v>46</v>
      </c>
      <c r="R1200" t="s">
        <v>412</v>
      </c>
      <c r="S1200">
        <v>0.5</v>
      </c>
      <c r="T1200">
        <v>3299</v>
      </c>
      <c r="U1200">
        <v>0</v>
      </c>
      <c r="V1200">
        <v>3299</v>
      </c>
    </row>
    <row r="1201" spans="1:22" x14ac:dyDescent="0.25">
      <c r="A1201">
        <v>186607</v>
      </c>
      <c r="B1201">
        <v>131821938</v>
      </c>
      <c r="C1201" t="s">
        <v>5918</v>
      </c>
      <c r="D1201" t="s">
        <v>5919</v>
      </c>
      <c r="E1201" t="s">
        <v>5643</v>
      </c>
      <c r="F1201" t="s">
        <v>847</v>
      </c>
      <c r="G1201" t="s">
        <v>142</v>
      </c>
      <c r="H1201" t="s">
        <v>143</v>
      </c>
      <c r="I1201" t="s">
        <v>35</v>
      </c>
      <c r="J1201" t="s">
        <v>144</v>
      </c>
      <c r="K1201" t="s">
        <v>2</v>
      </c>
      <c r="L1201" t="s">
        <v>5920</v>
      </c>
      <c r="M1201" t="s">
        <v>5921</v>
      </c>
      <c r="N1201" t="s">
        <v>5646</v>
      </c>
      <c r="O1201" t="s">
        <v>71</v>
      </c>
      <c r="P1201" t="s">
        <v>5922</v>
      </c>
      <c r="Q1201" t="s">
        <v>48</v>
      </c>
      <c r="R1201" t="s">
        <v>434</v>
      </c>
      <c r="S1201">
        <v>0.5</v>
      </c>
      <c r="T1201">
        <v>3299</v>
      </c>
      <c r="U1201">
        <v>0</v>
      </c>
      <c r="V1201">
        <v>3299</v>
      </c>
    </row>
    <row r="1202" spans="1:22" x14ac:dyDescent="0.25">
      <c r="A1202">
        <v>186607</v>
      </c>
      <c r="B1202">
        <v>131732702</v>
      </c>
      <c r="C1202" t="s">
        <v>5923</v>
      </c>
      <c r="D1202" t="s">
        <v>5924</v>
      </c>
      <c r="E1202" t="s">
        <v>5643</v>
      </c>
      <c r="F1202" t="s">
        <v>847</v>
      </c>
      <c r="G1202" t="s">
        <v>142</v>
      </c>
      <c r="H1202" t="s">
        <v>143</v>
      </c>
      <c r="I1202" t="s">
        <v>35</v>
      </c>
      <c r="J1202" t="s">
        <v>144</v>
      </c>
      <c r="K1202" t="s">
        <v>2</v>
      </c>
      <c r="L1202" t="s">
        <v>5925</v>
      </c>
      <c r="M1202" t="s">
        <v>5926</v>
      </c>
      <c r="N1202" t="s">
        <v>5646</v>
      </c>
      <c r="O1202" t="s">
        <v>71</v>
      </c>
      <c r="P1202" t="s">
        <v>5927</v>
      </c>
      <c r="Q1202" t="s">
        <v>47</v>
      </c>
      <c r="R1202" t="s">
        <v>411</v>
      </c>
      <c r="S1202">
        <v>0.5</v>
      </c>
      <c r="T1202">
        <v>3299</v>
      </c>
      <c r="U1202">
        <v>0</v>
      </c>
      <c r="V1202">
        <v>3299</v>
      </c>
    </row>
    <row r="1203" spans="1:22" x14ac:dyDescent="0.25">
      <c r="A1203">
        <v>186607</v>
      </c>
      <c r="B1203">
        <v>131732713</v>
      </c>
      <c r="C1203" t="s">
        <v>5928</v>
      </c>
      <c r="D1203" t="s">
        <v>5929</v>
      </c>
      <c r="E1203" t="s">
        <v>5643</v>
      </c>
      <c r="F1203" t="s">
        <v>847</v>
      </c>
      <c r="G1203" t="s">
        <v>142</v>
      </c>
      <c r="H1203" t="s">
        <v>143</v>
      </c>
      <c r="I1203" t="s">
        <v>35</v>
      </c>
      <c r="J1203" t="s">
        <v>144</v>
      </c>
      <c r="K1203" t="s">
        <v>2</v>
      </c>
      <c r="L1203" t="s">
        <v>5930</v>
      </c>
      <c r="M1203" t="s">
        <v>5931</v>
      </c>
      <c r="N1203" t="s">
        <v>5646</v>
      </c>
      <c r="O1203" t="s">
        <v>71</v>
      </c>
      <c r="P1203" t="s">
        <v>5932</v>
      </c>
      <c r="Q1203" t="s">
        <v>130</v>
      </c>
      <c r="R1203" t="s">
        <v>411</v>
      </c>
      <c r="S1203">
        <v>0.5</v>
      </c>
      <c r="T1203">
        <v>3299</v>
      </c>
      <c r="U1203">
        <v>0</v>
      </c>
      <c r="V1203">
        <v>3299</v>
      </c>
    </row>
    <row r="1204" spans="1:22" x14ac:dyDescent="0.25">
      <c r="A1204">
        <v>186607</v>
      </c>
      <c r="B1204">
        <v>131706300</v>
      </c>
      <c r="C1204" t="s">
        <v>5933</v>
      </c>
      <c r="D1204" t="s">
        <v>5934</v>
      </c>
      <c r="E1204" t="s">
        <v>5643</v>
      </c>
      <c r="F1204" t="s">
        <v>847</v>
      </c>
      <c r="G1204" t="s">
        <v>142</v>
      </c>
      <c r="H1204" t="s">
        <v>143</v>
      </c>
      <c r="I1204" t="s">
        <v>35</v>
      </c>
      <c r="J1204" t="s">
        <v>144</v>
      </c>
      <c r="K1204" t="s">
        <v>2</v>
      </c>
      <c r="L1204" t="s">
        <v>5935</v>
      </c>
      <c r="M1204" t="s">
        <v>5936</v>
      </c>
      <c r="N1204" t="s">
        <v>5646</v>
      </c>
      <c r="O1204" t="s">
        <v>71</v>
      </c>
      <c r="P1204" t="s">
        <v>5937</v>
      </c>
      <c r="Q1204" t="s">
        <v>161</v>
      </c>
      <c r="R1204" t="s">
        <v>4926</v>
      </c>
      <c r="S1204">
        <v>0.5</v>
      </c>
      <c r="T1204">
        <v>3299</v>
      </c>
      <c r="U1204">
        <v>0</v>
      </c>
      <c r="V1204">
        <v>3299</v>
      </c>
    </row>
    <row r="1205" spans="1:22" x14ac:dyDescent="0.25">
      <c r="A1205">
        <v>186607</v>
      </c>
      <c r="B1205">
        <v>131706290</v>
      </c>
      <c r="C1205" t="s">
        <v>5938</v>
      </c>
      <c r="D1205" t="s">
        <v>5939</v>
      </c>
      <c r="E1205" t="s">
        <v>5643</v>
      </c>
      <c r="F1205" t="s">
        <v>847</v>
      </c>
      <c r="G1205" t="s">
        <v>142</v>
      </c>
      <c r="H1205" t="s">
        <v>143</v>
      </c>
      <c r="I1205" t="s">
        <v>35</v>
      </c>
      <c r="J1205" t="s">
        <v>144</v>
      </c>
      <c r="K1205" t="s">
        <v>2</v>
      </c>
      <c r="L1205" t="s">
        <v>5940</v>
      </c>
      <c r="M1205" t="s">
        <v>5941</v>
      </c>
      <c r="N1205" t="s">
        <v>5646</v>
      </c>
      <c r="O1205" t="s">
        <v>71</v>
      </c>
      <c r="P1205" t="s">
        <v>5942</v>
      </c>
      <c r="Q1205" t="s">
        <v>130</v>
      </c>
      <c r="R1205" t="s">
        <v>4926</v>
      </c>
      <c r="S1205">
        <v>2.95</v>
      </c>
      <c r="T1205">
        <v>3366</v>
      </c>
      <c r="U1205">
        <v>0</v>
      </c>
      <c r="V1205">
        <v>3366</v>
      </c>
    </row>
    <row r="1206" spans="1:22" x14ac:dyDescent="0.25">
      <c r="A1206">
        <v>186607</v>
      </c>
      <c r="B1206">
        <v>131591600</v>
      </c>
      <c r="C1206" t="s">
        <v>5943</v>
      </c>
      <c r="D1206" t="s">
        <v>5944</v>
      </c>
      <c r="E1206" t="s">
        <v>5643</v>
      </c>
      <c r="F1206" t="s">
        <v>847</v>
      </c>
      <c r="G1206" t="s">
        <v>142</v>
      </c>
      <c r="H1206" t="s">
        <v>143</v>
      </c>
      <c r="I1206" t="s">
        <v>35</v>
      </c>
      <c r="J1206" t="s">
        <v>144</v>
      </c>
      <c r="K1206" t="s">
        <v>2</v>
      </c>
      <c r="L1206" t="s">
        <v>5945</v>
      </c>
      <c r="M1206" t="s">
        <v>5946</v>
      </c>
      <c r="N1206" t="s">
        <v>5646</v>
      </c>
      <c r="O1206" t="s">
        <v>71</v>
      </c>
      <c r="P1206" t="s">
        <v>5947</v>
      </c>
      <c r="Q1206" t="s">
        <v>48</v>
      </c>
      <c r="R1206" t="s">
        <v>5948</v>
      </c>
      <c r="S1206">
        <v>3.6</v>
      </c>
      <c r="T1206">
        <v>3797</v>
      </c>
      <c r="U1206">
        <v>0</v>
      </c>
      <c r="V1206">
        <v>3797</v>
      </c>
    </row>
    <row r="1207" spans="1:22" x14ac:dyDescent="0.25">
      <c r="A1207">
        <v>186607</v>
      </c>
      <c r="B1207">
        <v>131590292</v>
      </c>
      <c r="C1207" t="s">
        <v>5949</v>
      </c>
      <c r="D1207" t="s">
        <v>5950</v>
      </c>
      <c r="E1207" t="s">
        <v>5643</v>
      </c>
      <c r="F1207" t="s">
        <v>847</v>
      </c>
      <c r="G1207" t="s">
        <v>142</v>
      </c>
      <c r="H1207" t="s">
        <v>143</v>
      </c>
      <c r="I1207" t="s">
        <v>35</v>
      </c>
      <c r="J1207" t="s">
        <v>144</v>
      </c>
      <c r="K1207" t="s">
        <v>2</v>
      </c>
      <c r="L1207" t="s">
        <v>5951</v>
      </c>
      <c r="M1207" t="s">
        <v>5952</v>
      </c>
      <c r="N1207" t="s">
        <v>5646</v>
      </c>
      <c r="O1207" t="s">
        <v>71</v>
      </c>
      <c r="P1207" t="s">
        <v>5953</v>
      </c>
      <c r="Q1207" t="s">
        <v>47</v>
      </c>
      <c r="R1207" t="s">
        <v>5764</v>
      </c>
      <c r="S1207">
        <v>0.5</v>
      </c>
      <c r="T1207">
        <v>3299</v>
      </c>
      <c r="U1207">
        <v>0</v>
      </c>
      <c r="V1207">
        <v>3299</v>
      </c>
    </row>
    <row r="1208" spans="1:22" x14ac:dyDescent="0.25">
      <c r="A1208">
        <v>186607</v>
      </c>
      <c r="B1208">
        <v>131662719</v>
      </c>
      <c r="C1208" t="s">
        <v>5954</v>
      </c>
      <c r="D1208" t="s">
        <v>5955</v>
      </c>
      <c r="E1208" t="s">
        <v>5643</v>
      </c>
      <c r="F1208" t="s">
        <v>847</v>
      </c>
      <c r="G1208" t="s">
        <v>142</v>
      </c>
      <c r="H1208" t="s">
        <v>143</v>
      </c>
      <c r="I1208" t="s">
        <v>35</v>
      </c>
      <c r="J1208" t="s">
        <v>144</v>
      </c>
      <c r="K1208" t="s">
        <v>2</v>
      </c>
      <c r="L1208" t="s">
        <v>5956</v>
      </c>
      <c r="M1208" t="s">
        <v>668</v>
      </c>
      <c r="N1208" t="s">
        <v>5646</v>
      </c>
      <c r="O1208" t="s">
        <v>71</v>
      </c>
      <c r="P1208" t="s">
        <v>5957</v>
      </c>
      <c r="Q1208" t="s">
        <v>48</v>
      </c>
      <c r="R1208" t="s">
        <v>5755</v>
      </c>
      <c r="S1208">
        <v>0.5</v>
      </c>
      <c r="T1208">
        <v>3299</v>
      </c>
      <c r="U1208">
        <v>0</v>
      </c>
      <c r="V1208">
        <v>3299</v>
      </c>
    </row>
    <row r="1209" spans="1:22" x14ac:dyDescent="0.25">
      <c r="A1209">
        <v>186607</v>
      </c>
      <c r="B1209">
        <v>131662715</v>
      </c>
      <c r="C1209" t="s">
        <v>5958</v>
      </c>
      <c r="D1209" t="s">
        <v>5959</v>
      </c>
      <c r="E1209" t="s">
        <v>5643</v>
      </c>
      <c r="F1209" t="s">
        <v>847</v>
      </c>
      <c r="G1209" t="s">
        <v>142</v>
      </c>
      <c r="H1209" t="s">
        <v>143</v>
      </c>
      <c r="I1209" t="s">
        <v>35</v>
      </c>
      <c r="J1209" t="s">
        <v>144</v>
      </c>
      <c r="K1209" t="s">
        <v>2</v>
      </c>
      <c r="L1209" t="s">
        <v>5960</v>
      </c>
      <c r="M1209" t="s">
        <v>5961</v>
      </c>
      <c r="N1209" t="s">
        <v>5646</v>
      </c>
      <c r="O1209" t="s">
        <v>71</v>
      </c>
      <c r="P1209" t="s">
        <v>5962</v>
      </c>
      <c r="Q1209" t="s">
        <v>47</v>
      </c>
      <c r="R1209" t="s">
        <v>5963</v>
      </c>
      <c r="S1209">
        <v>0.5</v>
      </c>
      <c r="T1209">
        <v>3299</v>
      </c>
      <c r="U1209">
        <v>0</v>
      </c>
      <c r="V1209">
        <v>3299</v>
      </c>
    </row>
    <row r="1210" spans="1:22" x14ac:dyDescent="0.25">
      <c r="A1210">
        <v>186607</v>
      </c>
      <c r="B1210">
        <v>131590303</v>
      </c>
      <c r="C1210" t="s">
        <v>5964</v>
      </c>
      <c r="D1210" t="s">
        <v>5965</v>
      </c>
      <c r="E1210" t="s">
        <v>5643</v>
      </c>
      <c r="F1210" t="s">
        <v>847</v>
      </c>
      <c r="G1210" t="s">
        <v>142</v>
      </c>
      <c r="H1210" t="s">
        <v>143</v>
      </c>
      <c r="I1210" t="s">
        <v>35</v>
      </c>
      <c r="J1210" t="s">
        <v>144</v>
      </c>
      <c r="K1210" t="s">
        <v>2</v>
      </c>
      <c r="L1210" t="s">
        <v>5966</v>
      </c>
      <c r="M1210" t="s">
        <v>5967</v>
      </c>
      <c r="N1210" t="s">
        <v>5646</v>
      </c>
      <c r="O1210" t="s">
        <v>71</v>
      </c>
      <c r="P1210" t="s">
        <v>5968</v>
      </c>
      <c r="Q1210" t="s">
        <v>49</v>
      </c>
      <c r="R1210" t="s">
        <v>5764</v>
      </c>
      <c r="S1210">
        <v>0.5</v>
      </c>
      <c r="T1210">
        <v>3299</v>
      </c>
      <c r="U1210">
        <v>0</v>
      </c>
      <c r="V1210">
        <v>3299</v>
      </c>
    </row>
    <row r="1211" spans="1:22" x14ac:dyDescent="0.25">
      <c r="A1211">
        <v>186607</v>
      </c>
      <c r="B1211">
        <v>131591601</v>
      </c>
      <c r="C1211" t="s">
        <v>5969</v>
      </c>
      <c r="D1211" t="s">
        <v>5970</v>
      </c>
      <c r="E1211" t="s">
        <v>5643</v>
      </c>
      <c r="F1211" t="s">
        <v>847</v>
      </c>
      <c r="G1211" t="s">
        <v>142</v>
      </c>
      <c r="H1211" t="s">
        <v>143</v>
      </c>
      <c r="I1211" t="s">
        <v>35</v>
      </c>
      <c r="J1211" t="s">
        <v>144</v>
      </c>
      <c r="K1211" t="s">
        <v>2</v>
      </c>
      <c r="L1211" t="s">
        <v>5971</v>
      </c>
      <c r="M1211" t="s">
        <v>5972</v>
      </c>
      <c r="N1211" t="s">
        <v>5646</v>
      </c>
      <c r="O1211" t="s">
        <v>71</v>
      </c>
      <c r="P1211" t="s">
        <v>5973</v>
      </c>
      <c r="Q1211" t="s">
        <v>46</v>
      </c>
      <c r="R1211" t="s">
        <v>5948</v>
      </c>
      <c r="S1211">
        <v>6.8</v>
      </c>
      <c r="T1211">
        <v>5198</v>
      </c>
      <c r="U1211">
        <v>0</v>
      </c>
      <c r="V1211">
        <v>5198</v>
      </c>
    </row>
    <row r="1212" spans="1:22" x14ac:dyDescent="0.25">
      <c r="A1212">
        <v>186607</v>
      </c>
      <c r="B1212">
        <v>131618449</v>
      </c>
      <c r="C1212" t="s">
        <v>5974</v>
      </c>
      <c r="D1212" t="s">
        <v>5975</v>
      </c>
      <c r="E1212" t="s">
        <v>5643</v>
      </c>
      <c r="F1212" t="s">
        <v>847</v>
      </c>
      <c r="G1212" t="s">
        <v>142</v>
      </c>
      <c r="H1212" t="s">
        <v>143</v>
      </c>
      <c r="I1212" t="s">
        <v>35</v>
      </c>
      <c r="J1212" t="s">
        <v>144</v>
      </c>
      <c r="K1212" t="s">
        <v>2</v>
      </c>
      <c r="L1212" t="s">
        <v>5976</v>
      </c>
      <c r="M1212" t="s">
        <v>5977</v>
      </c>
      <c r="N1212" t="s">
        <v>5646</v>
      </c>
      <c r="O1212" t="s">
        <v>71</v>
      </c>
      <c r="P1212" t="s">
        <v>5978</v>
      </c>
      <c r="Q1212" t="s">
        <v>47</v>
      </c>
      <c r="R1212" t="s">
        <v>5979</v>
      </c>
      <c r="S1212">
        <v>0.5</v>
      </c>
      <c r="T1212">
        <v>3299</v>
      </c>
      <c r="U1212">
        <v>0</v>
      </c>
      <c r="V1212">
        <v>3299</v>
      </c>
    </row>
    <row r="1213" spans="1:22" x14ac:dyDescent="0.25">
      <c r="A1213">
        <v>186607</v>
      </c>
      <c r="B1213">
        <v>131533577</v>
      </c>
      <c r="C1213" t="s">
        <v>5980</v>
      </c>
      <c r="D1213" t="s">
        <v>5981</v>
      </c>
      <c r="E1213" t="s">
        <v>5643</v>
      </c>
      <c r="F1213" t="s">
        <v>847</v>
      </c>
      <c r="G1213" t="s">
        <v>142</v>
      </c>
      <c r="H1213" t="s">
        <v>143</v>
      </c>
      <c r="I1213" t="s">
        <v>35</v>
      </c>
      <c r="J1213" t="s">
        <v>144</v>
      </c>
      <c r="K1213" t="s">
        <v>2</v>
      </c>
      <c r="L1213" t="s">
        <v>5982</v>
      </c>
      <c r="M1213" t="s">
        <v>5983</v>
      </c>
      <c r="N1213" t="s">
        <v>5646</v>
      </c>
      <c r="O1213" t="s">
        <v>71</v>
      </c>
      <c r="P1213" t="s">
        <v>5984</v>
      </c>
      <c r="Q1213" t="s">
        <v>46</v>
      </c>
      <c r="R1213" t="s">
        <v>445</v>
      </c>
      <c r="S1213">
        <v>0.5</v>
      </c>
      <c r="T1213">
        <v>3299</v>
      </c>
      <c r="U1213">
        <v>0</v>
      </c>
      <c r="V1213">
        <v>3299</v>
      </c>
    </row>
    <row r="1214" spans="1:22" x14ac:dyDescent="0.25">
      <c r="A1214">
        <v>186607</v>
      </c>
      <c r="B1214">
        <v>131533589</v>
      </c>
      <c r="C1214" t="s">
        <v>5985</v>
      </c>
      <c r="D1214" t="s">
        <v>5986</v>
      </c>
      <c r="E1214" t="s">
        <v>5643</v>
      </c>
      <c r="F1214" t="s">
        <v>847</v>
      </c>
      <c r="G1214" t="s">
        <v>142</v>
      </c>
      <c r="H1214" t="s">
        <v>143</v>
      </c>
      <c r="I1214" t="s">
        <v>35</v>
      </c>
      <c r="J1214" t="s">
        <v>144</v>
      </c>
      <c r="K1214" t="s">
        <v>2</v>
      </c>
      <c r="L1214" t="s">
        <v>5987</v>
      </c>
      <c r="M1214" t="s">
        <v>653</v>
      </c>
      <c r="N1214" t="s">
        <v>5646</v>
      </c>
      <c r="O1214" t="s">
        <v>71</v>
      </c>
      <c r="P1214" t="s">
        <v>5988</v>
      </c>
      <c r="Q1214" t="s">
        <v>161</v>
      </c>
      <c r="R1214" t="s">
        <v>445</v>
      </c>
      <c r="S1214">
        <v>0.5</v>
      </c>
      <c r="T1214">
        <v>3299</v>
      </c>
      <c r="U1214">
        <v>0</v>
      </c>
      <c r="V1214">
        <v>3299</v>
      </c>
    </row>
    <row r="1215" spans="1:22" x14ac:dyDescent="0.25">
      <c r="A1215">
        <v>186607</v>
      </c>
      <c r="B1215">
        <v>131567544</v>
      </c>
      <c r="C1215" t="s">
        <v>5989</v>
      </c>
      <c r="D1215" t="s">
        <v>5990</v>
      </c>
      <c r="E1215" t="s">
        <v>5643</v>
      </c>
      <c r="F1215" t="s">
        <v>847</v>
      </c>
      <c r="G1215" t="s">
        <v>142</v>
      </c>
      <c r="H1215" t="s">
        <v>143</v>
      </c>
      <c r="I1215" t="s">
        <v>35</v>
      </c>
      <c r="J1215" t="s">
        <v>144</v>
      </c>
      <c r="K1215" t="s">
        <v>2</v>
      </c>
      <c r="L1215" t="s">
        <v>5991</v>
      </c>
      <c r="M1215" t="s">
        <v>5992</v>
      </c>
      <c r="N1215" t="s">
        <v>5646</v>
      </c>
      <c r="O1215" t="s">
        <v>71</v>
      </c>
      <c r="P1215" t="s">
        <v>5993</v>
      </c>
      <c r="Q1215" t="s">
        <v>161</v>
      </c>
      <c r="R1215" t="s">
        <v>493</v>
      </c>
      <c r="S1215">
        <v>0.5</v>
      </c>
      <c r="T1215">
        <v>3299</v>
      </c>
      <c r="U1215">
        <v>0</v>
      </c>
      <c r="V1215">
        <v>3299</v>
      </c>
    </row>
    <row r="1216" spans="1:22" x14ac:dyDescent="0.25">
      <c r="A1216">
        <v>186607</v>
      </c>
      <c r="B1216">
        <v>131567551</v>
      </c>
      <c r="C1216" t="s">
        <v>5994</v>
      </c>
      <c r="D1216" t="s">
        <v>5995</v>
      </c>
      <c r="E1216" t="s">
        <v>5643</v>
      </c>
      <c r="F1216" t="s">
        <v>847</v>
      </c>
      <c r="G1216" t="s">
        <v>142</v>
      </c>
      <c r="H1216" t="s">
        <v>143</v>
      </c>
      <c r="I1216" t="s">
        <v>35</v>
      </c>
      <c r="J1216" t="s">
        <v>144</v>
      </c>
      <c r="K1216" t="s">
        <v>2</v>
      </c>
      <c r="L1216" t="s">
        <v>5996</v>
      </c>
      <c r="M1216" t="s">
        <v>5997</v>
      </c>
      <c r="N1216" t="s">
        <v>5646</v>
      </c>
      <c r="O1216" t="s">
        <v>71</v>
      </c>
      <c r="P1216" t="s">
        <v>5998</v>
      </c>
      <c r="Q1216" t="s">
        <v>160</v>
      </c>
      <c r="R1216" t="s">
        <v>493</v>
      </c>
      <c r="S1216">
        <v>0.5</v>
      </c>
      <c r="T1216">
        <v>3299</v>
      </c>
      <c r="U1216">
        <v>0</v>
      </c>
      <c r="V1216">
        <v>3299</v>
      </c>
    </row>
    <row r="1217" spans="1:22" x14ac:dyDescent="0.25">
      <c r="A1217">
        <v>186607</v>
      </c>
      <c r="B1217">
        <v>131533843</v>
      </c>
      <c r="C1217" t="s">
        <v>5999</v>
      </c>
      <c r="D1217" t="s">
        <v>6000</v>
      </c>
      <c r="E1217" t="s">
        <v>5643</v>
      </c>
      <c r="F1217" t="s">
        <v>847</v>
      </c>
      <c r="G1217" t="s">
        <v>142</v>
      </c>
      <c r="H1217" t="s">
        <v>143</v>
      </c>
      <c r="I1217" t="s">
        <v>35</v>
      </c>
      <c r="J1217" t="s">
        <v>144</v>
      </c>
      <c r="K1217" t="s">
        <v>2</v>
      </c>
      <c r="L1217" t="s">
        <v>6001</v>
      </c>
      <c r="M1217" t="s">
        <v>6002</v>
      </c>
      <c r="N1217" t="s">
        <v>5646</v>
      </c>
      <c r="O1217" t="s">
        <v>71</v>
      </c>
      <c r="P1217" t="s">
        <v>6003</v>
      </c>
      <c r="Q1217" t="s">
        <v>47</v>
      </c>
      <c r="R1217" t="s">
        <v>391</v>
      </c>
      <c r="S1217">
        <v>0.5</v>
      </c>
      <c r="T1217">
        <v>3299</v>
      </c>
      <c r="U1217">
        <v>0</v>
      </c>
      <c r="V1217">
        <v>3299</v>
      </c>
    </row>
    <row r="1218" spans="1:22" x14ac:dyDescent="0.25">
      <c r="A1218">
        <v>186607</v>
      </c>
      <c r="B1218">
        <v>131533554</v>
      </c>
      <c r="C1218" t="s">
        <v>6004</v>
      </c>
      <c r="D1218" t="s">
        <v>6005</v>
      </c>
      <c r="E1218" t="s">
        <v>5643</v>
      </c>
      <c r="F1218" t="s">
        <v>847</v>
      </c>
      <c r="G1218" t="s">
        <v>142</v>
      </c>
      <c r="H1218" t="s">
        <v>143</v>
      </c>
      <c r="I1218" t="s">
        <v>35</v>
      </c>
      <c r="J1218" t="s">
        <v>144</v>
      </c>
      <c r="K1218" t="s">
        <v>2</v>
      </c>
      <c r="L1218" t="s">
        <v>6006</v>
      </c>
      <c r="M1218" t="s">
        <v>6007</v>
      </c>
      <c r="N1218" t="s">
        <v>5646</v>
      </c>
      <c r="O1218" t="s">
        <v>71</v>
      </c>
      <c r="P1218" t="s">
        <v>6008</v>
      </c>
      <c r="Q1218" t="s">
        <v>86</v>
      </c>
      <c r="R1218" t="s">
        <v>445</v>
      </c>
      <c r="S1218">
        <v>0.5</v>
      </c>
      <c r="T1218">
        <v>3299</v>
      </c>
      <c r="U1218">
        <v>0</v>
      </c>
      <c r="V1218">
        <v>3299</v>
      </c>
    </row>
    <row r="1219" spans="1:22" x14ac:dyDescent="0.25">
      <c r="A1219">
        <v>186607</v>
      </c>
      <c r="B1219">
        <v>131489832</v>
      </c>
      <c r="C1219" t="s">
        <v>6009</v>
      </c>
      <c r="D1219" t="s">
        <v>6010</v>
      </c>
      <c r="E1219" t="s">
        <v>5643</v>
      </c>
      <c r="F1219" t="s">
        <v>847</v>
      </c>
      <c r="G1219" t="s">
        <v>142</v>
      </c>
      <c r="H1219" t="s">
        <v>143</v>
      </c>
      <c r="I1219" t="s">
        <v>35</v>
      </c>
      <c r="J1219" t="s">
        <v>144</v>
      </c>
      <c r="K1219" t="s">
        <v>2</v>
      </c>
      <c r="L1219" t="s">
        <v>6011</v>
      </c>
      <c r="M1219" t="s">
        <v>6012</v>
      </c>
      <c r="N1219" t="s">
        <v>5646</v>
      </c>
      <c r="O1219" t="s">
        <v>71</v>
      </c>
      <c r="P1219" t="s">
        <v>6013</v>
      </c>
      <c r="Q1219" t="s">
        <v>130</v>
      </c>
      <c r="R1219" t="s">
        <v>310</v>
      </c>
      <c r="S1219">
        <v>0.5</v>
      </c>
      <c r="T1219">
        <v>3299</v>
      </c>
      <c r="U1219">
        <v>0</v>
      </c>
      <c r="V1219">
        <v>3299</v>
      </c>
    </row>
    <row r="1220" spans="1:22" x14ac:dyDescent="0.25">
      <c r="A1220">
        <v>186607</v>
      </c>
      <c r="B1220">
        <v>131489848</v>
      </c>
      <c r="C1220" t="s">
        <v>6014</v>
      </c>
      <c r="D1220" t="s">
        <v>6015</v>
      </c>
      <c r="E1220" t="s">
        <v>5643</v>
      </c>
      <c r="F1220" t="s">
        <v>847</v>
      </c>
      <c r="G1220" t="s">
        <v>142</v>
      </c>
      <c r="H1220" t="s">
        <v>143</v>
      </c>
      <c r="I1220" t="s">
        <v>35</v>
      </c>
      <c r="J1220" t="s">
        <v>144</v>
      </c>
      <c r="K1220" t="s">
        <v>2</v>
      </c>
      <c r="L1220" t="s">
        <v>6016</v>
      </c>
      <c r="M1220" t="s">
        <v>798</v>
      </c>
      <c r="N1220" t="s">
        <v>5646</v>
      </c>
      <c r="O1220" t="s">
        <v>71</v>
      </c>
      <c r="P1220" t="s">
        <v>6017</v>
      </c>
      <c r="Q1220" t="s">
        <v>48</v>
      </c>
      <c r="R1220" t="s">
        <v>310</v>
      </c>
      <c r="S1220">
        <v>0.5</v>
      </c>
      <c r="T1220">
        <v>3299</v>
      </c>
      <c r="U1220">
        <v>0</v>
      </c>
      <c r="V1220">
        <v>3299</v>
      </c>
    </row>
    <row r="1221" spans="1:22" x14ac:dyDescent="0.25">
      <c r="A1221">
        <v>186607</v>
      </c>
      <c r="B1221">
        <v>131383681</v>
      </c>
      <c r="C1221" t="s">
        <v>6018</v>
      </c>
      <c r="D1221" t="s">
        <v>6019</v>
      </c>
      <c r="E1221" t="s">
        <v>5643</v>
      </c>
      <c r="F1221" t="s">
        <v>847</v>
      </c>
      <c r="G1221" t="s">
        <v>142</v>
      </c>
      <c r="H1221" t="s">
        <v>143</v>
      </c>
      <c r="I1221" t="s">
        <v>35</v>
      </c>
      <c r="J1221" t="s">
        <v>144</v>
      </c>
      <c r="K1221" t="s">
        <v>2</v>
      </c>
      <c r="L1221" t="s">
        <v>6020</v>
      </c>
      <c r="M1221" t="s">
        <v>6021</v>
      </c>
      <c r="N1221" t="s">
        <v>5646</v>
      </c>
      <c r="O1221" t="s">
        <v>71</v>
      </c>
      <c r="P1221" t="s">
        <v>6022</v>
      </c>
      <c r="Q1221" t="s">
        <v>65</v>
      </c>
      <c r="R1221" t="s">
        <v>6023</v>
      </c>
      <c r="S1221">
        <v>0.5</v>
      </c>
      <c r="T1221">
        <v>3299</v>
      </c>
      <c r="U1221">
        <v>0</v>
      </c>
      <c r="V1221">
        <v>3299</v>
      </c>
    </row>
    <row r="1222" spans="1:22" x14ac:dyDescent="0.25">
      <c r="A1222">
        <v>186607</v>
      </c>
      <c r="B1222">
        <v>131383655</v>
      </c>
      <c r="C1222" t="s">
        <v>6024</v>
      </c>
      <c r="D1222" t="s">
        <v>6025</v>
      </c>
      <c r="E1222" t="s">
        <v>5643</v>
      </c>
      <c r="F1222" t="s">
        <v>847</v>
      </c>
      <c r="G1222" t="s">
        <v>142</v>
      </c>
      <c r="H1222" t="s">
        <v>143</v>
      </c>
      <c r="I1222" t="s">
        <v>35</v>
      </c>
      <c r="J1222" t="s">
        <v>144</v>
      </c>
      <c r="K1222" t="s">
        <v>2</v>
      </c>
      <c r="L1222" t="s">
        <v>6026</v>
      </c>
      <c r="M1222" t="s">
        <v>6027</v>
      </c>
      <c r="N1222" t="s">
        <v>5646</v>
      </c>
      <c r="O1222" t="s">
        <v>71</v>
      </c>
      <c r="P1222" t="s">
        <v>6028</v>
      </c>
      <c r="Q1222" t="s">
        <v>49</v>
      </c>
      <c r="R1222" t="s">
        <v>6023</v>
      </c>
      <c r="S1222">
        <v>0.5</v>
      </c>
      <c r="T1222">
        <v>3299</v>
      </c>
      <c r="U1222">
        <v>0</v>
      </c>
      <c r="V1222">
        <v>3299</v>
      </c>
    </row>
    <row r="1223" spans="1:22" x14ac:dyDescent="0.25">
      <c r="A1223">
        <v>186607</v>
      </c>
      <c r="B1223">
        <v>131383629</v>
      </c>
      <c r="C1223" t="s">
        <v>6029</v>
      </c>
      <c r="D1223" t="s">
        <v>6030</v>
      </c>
      <c r="E1223" t="s">
        <v>5643</v>
      </c>
      <c r="F1223" t="s">
        <v>847</v>
      </c>
      <c r="G1223" t="s">
        <v>142</v>
      </c>
      <c r="H1223" t="s">
        <v>143</v>
      </c>
      <c r="I1223" t="s">
        <v>35</v>
      </c>
      <c r="J1223" t="s">
        <v>144</v>
      </c>
      <c r="K1223" t="s">
        <v>2</v>
      </c>
      <c r="L1223" t="s">
        <v>6031</v>
      </c>
      <c r="M1223" t="s">
        <v>6032</v>
      </c>
      <c r="N1223" t="s">
        <v>5646</v>
      </c>
      <c r="O1223" t="s">
        <v>71</v>
      </c>
      <c r="P1223" t="s">
        <v>6033</v>
      </c>
      <c r="Q1223" t="s">
        <v>48</v>
      </c>
      <c r="R1223" t="s">
        <v>6023</v>
      </c>
      <c r="S1223">
        <v>0.5</v>
      </c>
      <c r="T1223">
        <v>3299</v>
      </c>
      <c r="U1223">
        <v>0</v>
      </c>
      <c r="V1223">
        <v>3299</v>
      </c>
    </row>
    <row r="1224" spans="1:22" x14ac:dyDescent="0.25">
      <c r="A1224">
        <v>186607</v>
      </c>
      <c r="B1224">
        <v>131340103</v>
      </c>
      <c r="C1224" t="s">
        <v>6034</v>
      </c>
      <c r="D1224" t="s">
        <v>6035</v>
      </c>
      <c r="E1224" t="s">
        <v>5643</v>
      </c>
      <c r="F1224" t="s">
        <v>847</v>
      </c>
      <c r="G1224" t="s">
        <v>142</v>
      </c>
      <c r="H1224" t="s">
        <v>143</v>
      </c>
      <c r="I1224" t="s">
        <v>35</v>
      </c>
      <c r="J1224" t="s">
        <v>144</v>
      </c>
      <c r="K1224" t="s">
        <v>2</v>
      </c>
      <c r="L1224" t="s">
        <v>6036</v>
      </c>
      <c r="M1224" t="s">
        <v>6037</v>
      </c>
      <c r="N1224" t="s">
        <v>5646</v>
      </c>
      <c r="O1224" t="s">
        <v>71</v>
      </c>
      <c r="P1224" t="s">
        <v>6038</v>
      </c>
      <c r="Q1224" t="s">
        <v>130</v>
      </c>
      <c r="R1224" t="s">
        <v>6039</v>
      </c>
      <c r="S1224">
        <v>0.5</v>
      </c>
      <c r="T1224">
        <v>3299</v>
      </c>
      <c r="U1224">
        <v>0</v>
      </c>
      <c r="V1224">
        <v>3299</v>
      </c>
    </row>
    <row r="1225" spans="1:22" x14ac:dyDescent="0.25">
      <c r="A1225">
        <v>186607</v>
      </c>
      <c r="B1225">
        <v>131383673</v>
      </c>
      <c r="C1225" t="s">
        <v>6040</v>
      </c>
      <c r="D1225" t="s">
        <v>6041</v>
      </c>
      <c r="E1225" t="s">
        <v>5643</v>
      </c>
      <c r="F1225" t="s">
        <v>847</v>
      </c>
      <c r="G1225" t="s">
        <v>142</v>
      </c>
      <c r="H1225" t="s">
        <v>143</v>
      </c>
      <c r="I1225" t="s">
        <v>35</v>
      </c>
      <c r="J1225" t="s">
        <v>144</v>
      </c>
      <c r="K1225" t="s">
        <v>2</v>
      </c>
      <c r="L1225" t="s">
        <v>6042</v>
      </c>
      <c r="M1225" t="s">
        <v>6043</v>
      </c>
      <c r="N1225" t="s">
        <v>5646</v>
      </c>
      <c r="O1225" t="s">
        <v>71</v>
      </c>
      <c r="P1225" t="s">
        <v>6044</v>
      </c>
      <c r="Q1225" t="s">
        <v>49</v>
      </c>
      <c r="R1225" t="s">
        <v>6023</v>
      </c>
      <c r="S1225">
        <v>0.5</v>
      </c>
      <c r="T1225">
        <v>3299</v>
      </c>
      <c r="U1225">
        <v>0</v>
      </c>
      <c r="V1225">
        <v>3299</v>
      </c>
    </row>
    <row r="1226" spans="1:22" x14ac:dyDescent="0.25">
      <c r="A1226">
        <v>186607</v>
      </c>
      <c r="B1226">
        <v>131383630</v>
      </c>
      <c r="C1226" t="s">
        <v>6045</v>
      </c>
      <c r="D1226" t="s">
        <v>6046</v>
      </c>
      <c r="E1226" t="s">
        <v>5643</v>
      </c>
      <c r="F1226" t="s">
        <v>847</v>
      </c>
      <c r="G1226" t="s">
        <v>142</v>
      </c>
      <c r="H1226" t="s">
        <v>143</v>
      </c>
      <c r="I1226" t="s">
        <v>35</v>
      </c>
      <c r="J1226" t="s">
        <v>144</v>
      </c>
      <c r="K1226" t="s">
        <v>2</v>
      </c>
      <c r="L1226" t="s">
        <v>6047</v>
      </c>
      <c r="M1226" t="s">
        <v>6048</v>
      </c>
      <c r="N1226" t="s">
        <v>5646</v>
      </c>
      <c r="O1226" t="s">
        <v>71</v>
      </c>
      <c r="P1226" t="s">
        <v>6049</v>
      </c>
      <c r="Q1226" t="s">
        <v>47</v>
      </c>
      <c r="R1226" t="s">
        <v>6023</v>
      </c>
      <c r="S1226">
        <v>0.5</v>
      </c>
      <c r="T1226">
        <v>3299</v>
      </c>
      <c r="U1226">
        <v>0</v>
      </c>
      <c r="V1226">
        <v>3299</v>
      </c>
    </row>
    <row r="1227" spans="1:22" x14ac:dyDescent="0.25">
      <c r="A1227">
        <v>186607</v>
      </c>
      <c r="B1227">
        <v>131383639</v>
      </c>
      <c r="C1227" t="s">
        <v>6050</v>
      </c>
      <c r="D1227" t="s">
        <v>6051</v>
      </c>
      <c r="E1227" t="s">
        <v>5643</v>
      </c>
      <c r="F1227" t="s">
        <v>847</v>
      </c>
      <c r="G1227" t="s">
        <v>142</v>
      </c>
      <c r="H1227" t="s">
        <v>143</v>
      </c>
      <c r="I1227" t="s">
        <v>35</v>
      </c>
      <c r="J1227" t="s">
        <v>144</v>
      </c>
      <c r="K1227" t="s">
        <v>2</v>
      </c>
      <c r="L1227" t="s">
        <v>6052</v>
      </c>
      <c r="M1227" t="s">
        <v>6053</v>
      </c>
      <c r="N1227" t="s">
        <v>5646</v>
      </c>
      <c r="O1227" t="s">
        <v>71</v>
      </c>
      <c r="P1227" t="s">
        <v>6054</v>
      </c>
      <c r="Q1227" t="s">
        <v>48</v>
      </c>
      <c r="R1227" t="s">
        <v>6023</v>
      </c>
      <c r="S1227">
        <v>10.4</v>
      </c>
      <c r="T1227">
        <v>6400</v>
      </c>
      <c r="U1227">
        <v>0</v>
      </c>
      <c r="V1227">
        <v>6400</v>
      </c>
    </row>
    <row r="1228" spans="1:22" x14ac:dyDescent="0.25">
      <c r="A1228">
        <v>186607</v>
      </c>
      <c r="B1228">
        <v>131448813</v>
      </c>
      <c r="C1228" t="s">
        <v>6055</v>
      </c>
      <c r="D1228" t="s">
        <v>6056</v>
      </c>
      <c r="E1228" t="s">
        <v>5643</v>
      </c>
      <c r="F1228" t="s">
        <v>847</v>
      </c>
      <c r="G1228" t="s">
        <v>142</v>
      </c>
      <c r="H1228" t="s">
        <v>143</v>
      </c>
      <c r="I1228" t="s">
        <v>35</v>
      </c>
      <c r="J1228" t="s">
        <v>144</v>
      </c>
      <c r="K1228" t="s">
        <v>2</v>
      </c>
      <c r="L1228" t="s">
        <v>6057</v>
      </c>
      <c r="M1228" t="s">
        <v>6058</v>
      </c>
      <c r="N1228" t="s">
        <v>5646</v>
      </c>
      <c r="O1228" t="s">
        <v>71</v>
      </c>
      <c r="P1228" t="s">
        <v>6059</v>
      </c>
      <c r="Q1228" t="s">
        <v>48</v>
      </c>
      <c r="R1228" t="s">
        <v>489</v>
      </c>
      <c r="S1228">
        <v>0.5</v>
      </c>
      <c r="T1228">
        <v>3299</v>
      </c>
      <c r="U1228">
        <v>0</v>
      </c>
      <c r="V1228">
        <v>3299</v>
      </c>
    </row>
    <row r="1229" spans="1:22" x14ac:dyDescent="0.25">
      <c r="A1229">
        <v>186607</v>
      </c>
      <c r="B1229">
        <v>131448814</v>
      </c>
      <c r="C1229" t="s">
        <v>6060</v>
      </c>
      <c r="D1229" t="s">
        <v>6061</v>
      </c>
      <c r="E1229" t="s">
        <v>5643</v>
      </c>
      <c r="F1229" t="s">
        <v>847</v>
      </c>
      <c r="G1229" t="s">
        <v>142</v>
      </c>
      <c r="H1229" t="s">
        <v>143</v>
      </c>
      <c r="I1229" t="s">
        <v>35</v>
      </c>
      <c r="J1229" t="s">
        <v>144</v>
      </c>
      <c r="K1229" t="s">
        <v>2</v>
      </c>
      <c r="L1229" t="s">
        <v>6062</v>
      </c>
      <c r="M1229" t="s">
        <v>6063</v>
      </c>
      <c r="N1229" t="s">
        <v>5646</v>
      </c>
      <c r="O1229" t="s">
        <v>71</v>
      </c>
      <c r="P1229" t="s">
        <v>6064</v>
      </c>
      <c r="Q1229" t="s">
        <v>49</v>
      </c>
      <c r="R1229" t="s">
        <v>489</v>
      </c>
      <c r="S1229">
        <v>0.5</v>
      </c>
      <c r="T1229">
        <v>3299</v>
      </c>
      <c r="U1229">
        <v>0</v>
      </c>
      <c r="V1229">
        <v>3299</v>
      </c>
    </row>
    <row r="1230" spans="1:22" x14ac:dyDescent="0.25">
      <c r="A1230">
        <v>186607</v>
      </c>
      <c r="B1230">
        <v>131448824</v>
      </c>
      <c r="C1230" t="s">
        <v>6065</v>
      </c>
      <c r="D1230" t="s">
        <v>6066</v>
      </c>
      <c r="E1230" t="s">
        <v>5643</v>
      </c>
      <c r="F1230" t="s">
        <v>847</v>
      </c>
      <c r="G1230" t="s">
        <v>142</v>
      </c>
      <c r="H1230" t="s">
        <v>143</v>
      </c>
      <c r="I1230" t="s">
        <v>35</v>
      </c>
      <c r="J1230" t="s">
        <v>144</v>
      </c>
      <c r="K1230" t="s">
        <v>2</v>
      </c>
      <c r="L1230" t="s">
        <v>6067</v>
      </c>
      <c r="M1230" t="s">
        <v>6068</v>
      </c>
      <c r="N1230" t="s">
        <v>5646</v>
      </c>
      <c r="O1230" t="s">
        <v>71</v>
      </c>
      <c r="P1230" t="s">
        <v>6069</v>
      </c>
      <c r="Q1230" t="s">
        <v>48</v>
      </c>
      <c r="R1230" t="s">
        <v>489</v>
      </c>
      <c r="S1230">
        <v>8.0500000000000007</v>
      </c>
      <c r="T1230">
        <v>5198</v>
      </c>
      <c r="U1230">
        <v>0</v>
      </c>
      <c r="V1230">
        <v>5198</v>
      </c>
    </row>
    <row r="1231" spans="1:22" x14ac:dyDescent="0.25">
      <c r="A1231">
        <v>186607</v>
      </c>
      <c r="B1231">
        <v>131312183</v>
      </c>
      <c r="C1231" t="s">
        <v>6070</v>
      </c>
      <c r="D1231" t="s">
        <v>6071</v>
      </c>
      <c r="E1231" t="s">
        <v>5643</v>
      </c>
      <c r="F1231" t="s">
        <v>847</v>
      </c>
      <c r="G1231" t="s">
        <v>142</v>
      </c>
      <c r="H1231" t="s">
        <v>143</v>
      </c>
      <c r="I1231" t="s">
        <v>35</v>
      </c>
      <c r="J1231" t="s">
        <v>144</v>
      </c>
      <c r="K1231" t="s">
        <v>2</v>
      </c>
      <c r="L1231" t="s">
        <v>6072</v>
      </c>
      <c r="M1231" t="s">
        <v>6073</v>
      </c>
      <c r="N1231" t="s">
        <v>5646</v>
      </c>
      <c r="O1231" t="s">
        <v>71</v>
      </c>
      <c r="P1231" t="s">
        <v>6074</v>
      </c>
      <c r="Q1231" t="s">
        <v>48</v>
      </c>
      <c r="R1231" t="s">
        <v>522</v>
      </c>
      <c r="S1231">
        <v>0.5</v>
      </c>
      <c r="T1231">
        <v>3299</v>
      </c>
      <c r="U1231">
        <v>0</v>
      </c>
      <c r="V1231">
        <v>3299</v>
      </c>
    </row>
    <row r="1232" spans="1:22" x14ac:dyDescent="0.25">
      <c r="A1232">
        <v>186607</v>
      </c>
      <c r="B1232">
        <v>131312187</v>
      </c>
      <c r="C1232" t="s">
        <v>6075</v>
      </c>
      <c r="D1232" t="s">
        <v>6076</v>
      </c>
      <c r="E1232" t="s">
        <v>5643</v>
      </c>
      <c r="F1232" t="s">
        <v>847</v>
      </c>
      <c r="G1232" t="s">
        <v>142</v>
      </c>
      <c r="H1232" t="s">
        <v>143</v>
      </c>
      <c r="I1232" t="s">
        <v>35</v>
      </c>
      <c r="J1232" t="s">
        <v>144</v>
      </c>
      <c r="K1232" t="s">
        <v>2</v>
      </c>
      <c r="L1232" t="s">
        <v>6077</v>
      </c>
      <c r="M1232" t="s">
        <v>6078</v>
      </c>
      <c r="N1232" t="s">
        <v>5646</v>
      </c>
      <c r="O1232" t="s">
        <v>71</v>
      </c>
      <c r="P1232" t="s">
        <v>6079</v>
      </c>
      <c r="Q1232" t="s">
        <v>48</v>
      </c>
      <c r="R1232" t="s">
        <v>522</v>
      </c>
      <c r="S1232">
        <v>1.55</v>
      </c>
      <c r="T1232">
        <v>3366</v>
      </c>
      <c r="U1232">
        <v>0</v>
      </c>
      <c r="V1232">
        <v>3366</v>
      </c>
    </row>
    <row r="1233" spans="1:22" x14ac:dyDescent="0.25">
      <c r="A1233">
        <v>186607</v>
      </c>
      <c r="B1233">
        <v>132178962</v>
      </c>
      <c r="C1233" t="s">
        <v>6080</v>
      </c>
      <c r="D1233" t="s">
        <v>6081</v>
      </c>
      <c r="E1233" t="s">
        <v>5643</v>
      </c>
      <c r="F1233" t="s">
        <v>847</v>
      </c>
      <c r="G1233" t="s">
        <v>142</v>
      </c>
      <c r="H1233" t="s">
        <v>143</v>
      </c>
      <c r="I1233" t="s">
        <v>35</v>
      </c>
      <c r="J1233" t="s">
        <v>144</v>
      </c>
      <c r="K1233" t="s">
        <v>2</v>
      </c>
      <c r="L1233" t="s">
        <v>6082</v>
      </c>
      <c r="M1233" t="s">
        <v>6083</v>
      </c>
      <c r="N1233" t="s">
        <v>5646</v>
      </c>
      <c r="O1233" t="s">
        <v>71</v>
      </c>
      <c r="P1233" t="s">
        <v>6084</v>
      </c>
      <c r="Q1233" t="s">
        <v>48</v>
      </c>
      <c r="R1233" t="s">
        <v>371</v>
      </c>
      <c r="S1233">
        <v>1.5</v>
      </c>
      <c r="T1233">
        <v>3366</v>
      </c>
      <c r="U1233">
        <v>0</v>
      </c>
      <c r="V1233">
        <v>3366</v>
      </c>
    </row>
    <row r="1234" spans="1:22" x14ac:dyDescent="0.25">
      <c r="A1234">
        <v>186607</v>
      </c>
      <c r="B1234">
        <v>132151150</v>
      </c>
      <c r="C1234" t="s">
        <v>6085</v>
      </c>
      <c r="D1234" t="s">
        <v>6086</v>
      </c>
      <c r="E1234" t="s">
        <v>5643</v>
      </c>
      <c r="F1234" t="s">
        <v>847</v>
      </c>
      <c r="G1234" t="s">
        <v>142</v>
      </c>
      <c r="H1234" t="s">
        <v>143</v>
      </c>
      <c r="I1234" t="s">
        <v>35</v>
      </c>
      <c r="J1234" t="s">
        <v>144</v>
      </c>
      <c r="K1234" t="s">
        <v>2</v>
      </c>
      <c r="L1234" t="s">
        <v>6087</v>
      </c>
      <c r="M1234" t="s">
        <v>6088</v>
      </c>
      <c r="N1234" t="s">
        <v>5646</v>
      </c>
      <c r="O1234" t="s">
        <v>71</v>
      </c>
      <c r="P1234" t="s">
        <v>6089</v>
      </c>
      <c r="Q1234" t="s">
        <v>48</v>
      </c>
      <c r="R1234" t="s">
        <v>734</v>
      </c>
      <c r="S1234">
        <v>2</v>
      </c>
      <c r="T1234">
        <v>3366</v>
      </c>
      <c r="U1234">
        <v>0</v>
      </c>
      <c r="V1234">
        <v>3366</v>
      </c>
    </row>
    <row r="1235" spans="1:22" x14ac:dyDescent="0.25">
      <c r="A1235">
        <v>186607</v>
      </c>
      <c r="B1235">
        <v>132151155</v>
      </c>
      <c r="C1235" t="s">
        <v>6090</v>
      </c>
      <c r="D1235" t="s">
        <v>6091</v>
      </c>
      <c r="E1235" t="s">
        <v>5643</v>
      </c>
      <c r="F1235" t="s">
        <v>847</v>
      </c>
      <c r="G1235" t="s">
        <v>142</v>
      </c>
      <c r="H1235" t="s">
        <v>143</v>
      </c>
      <c r="I1235" t="s">
        <v>35</v>
      </c>
      <c r="J1235" t="s">
        <v>144</v>
      </c>
      <c r="K1235" t="s">
        <v>2</v>
      </c>
      <c r="L1235" t="s">
        <v>581</v>
      </c>
      <c r="M1235" t="s">
        <v>6092</v>
      </c>
      <c r="N1235" t="s">
        <v>5646</v>
      </c>
      <c r="O1235" t="s">
        <v>71</v>
      </c>
      <c r="P1235" t="s">
        <v>6093</v>
      </c>
      <c r="Q1235" t="s">
        <v>155</v>
      </c>
      <c r="R1235" t="s">
        <v>734</v>
      </c>
      <c r="S1235">
        <v>1</v>
      </c>
      <c r="T1235">
        <v>3366</v>
      </c>
      <c r="U1235">
        <v>0</v>
      </c>
      <c r="V1235">
        <v>3366</v>
      </c>
    </row>
    <row r="1236" spans="1:22" x14ac:dyDescent="0.25">
      <c r="A1236">
        <v>186607</v>
      </c>
      <c r="B1236">
        <v>132088444</v>
      </c>
      <c r="C1236" t="s">
        <v>6094</v>
      </c>
      <c r="D1236" t="s">
        <v>6095</v>
      </c>
      <c r="E1236" t="s">
        <v>5643</v>
      </c>
      <c r="F1236" t="s">
        <v>847</v>
      </c>
      <c r="G1236" t="s">
        <v>142</v>
      </c>
      <c r="H1236" t="s">
        <v>143</v>
      </c>
      <c r="I1236" t="s">
        <v>35</v>
      </c>
      <c r="J1236" t="s">
        <v>144</v>
      </c>
      <c r="K1236" t="s">
        <v>2</v>
      </c>
      <c r="L1236" t="s">
        <v>6096</v>
      </c>
      <c r="M1236" t="s">
        <v>6043</v>
      </c>
      <c r="N1236" t="s">
        <v>5646</v>
      </c>
      <c r="O1236" t="s">
        <v>71</v>
      </c>
      <c r="P1236" t="s">
        <v>6097</v>
      </c>
      <c r="Q1236" t="s">
        <v>49</v>
      </c>
      <c r="R1236" t="s">
        <v>794</v>
      </c>
      <c r="S1236">
        <v>1</v>
      </c>
      <c r="T1236">
        <v>3366</v>
      </c>
      <c r="U1236">
        <v>0</v>
      </c>
      <c r="V1236">
        <v>3366</v>
      </c>
    </row>
    <row r="1237" spans="1:22" x14ac:dyDescent="0.25">
      <c r="A1237">
        <v>186607</v>
      </c>
      <c r="B1237">
        <v>132117229</v>
      </c>
      <c r="C1237" t="s">
        <v>6098</v>
      </c>
      <c r="D1237" t="s">
        <v>6099</v>
      </c>
      <c r="E1237" t="s">
        <v>5643</v>
      </c>
      <c r="F1237" t="s">
        <v>847</v>
      </c>
      <c r="G1237" t="s">
        <v>142</v>
      </c>
      <c r="H1237" t="s">
        <v>143</v>
      </c>
      <c r="I1237" t="s">
        <v>35</v>
      </c>
      <c r="J1237" t="s">
        <v>144</v>
      </c>
      <c r="K1237" t="s">
        <v>2</v>
      </c>
      <c r="L1237" t="s">
        <v>6100</v>
      </c>
      <c r="M1237" t="s">
        <v>6101</v>
      </c>
      <c r="N1237" t="s">
        <v>5646</v>
      </c>
      <c r="O1237" t="s">
        <v>71</v>
      </c>
      <c r="P1237" t="s">
        <v>6102</v>
      </c>
      <c r="Q1237" t="s">
        <v>49</v>
      </c>
      <c r="R1237" t="s">
        <v>420</v>
      </c>
      <c r="S1237">
        <v>1.5</v>
      </c>
      <c r="T1237">
        <v>3366</v>
      </c>
      <c r="U1237">
        <v>0</v>
      </c>
      <c r="V1237">
        <v>3366</v>
      </c>
    </row>
    <row r="1238" spans="1:22" x14ac:dyDescent="0.25">
      <c r="A1238">
        <v>186607</v>
      </c>
      <c r="B1238">
        <v>132110016</v>
      </c>
      <c r="C1238" t="s">
        <v>6103</v>
      </c>
      <c r="D1238" t="s">
        <v>6104</v>
      </c>
      <c r="E1238" t="s">
        <v>5643</v>
      </c>
      <c r="F1238" t="s">
        <v>847</v>
      </c>
      <c r="G1238" t="s">
        <v>142</v>
      </c>
      <c r="H1238" t="s">
        <v>143</v>
      </c>
      <c r="I1238" t="s">
        <v>35</v>
      </c>
      <c r="J1238" t="s">
        <v>144</v>
      </c>
      <c r="K1238" t="s">
        <v>2</v>
      </c>
      <c r="L1238" t="s">
        <v>6105</v>
      </c>
      <c r="M1238" t="s">
        <v>6106</v>
      </c>
      <c r="N1238" t="s">
        <v>5646</v>
      </c>
      <c r="O1238" t="s">
        <v>71</v>
      </c>
      <c r="P1238" t="s">
        <v>6107</v>
      </c>
      <c r="Q1238" t="s">
        <v>86</v>
      </c>
      <c r="R1238" t="s">
        <v>355</v>
      </c>
      <c r="S1238">
        <v>1.5</v>
      </c>
      <c r="T1238">
        <v>3366</v>
      </c>
      <c r="U1238">
        <v>0</v>
      </c>
      <c r="V1238">
        <v>3366</v>
      </c>
    </row>
    <row r="1239" spans="1:22" x14ac:dyDescent="0.25">
      <c r="A1239">
        <v>186607</v>
      </c>
      <c r="B1239">
        <v>132074200</v>
      </c>
      <c r="C1239" t="s">
        <v>6108</v>
      </c>
      <c r="D1239" t="s">
        <v>6109</v>
      </c>
      <c r="E1239" t="s">
        <v>5643</v>
      </c>
      <c r="F1239" t="s">
        <v>847</v>
      </c>
      <c r="G1239" t="s">
        <v>142</v>
      </c>
      <c r="H1239" t="s">
        <v>143</v>
      </c>
      <c r="I1239" t="s">
        <v>35</v>
      </c>
      <c r="J1239" t="s">
        <v>144</v>
      </c>
      <c r="K1239" t="s">
        <v>2</v>
      </c>
      <c r="L1239" t="s">
        <v>6110</v>
      </c>
      <c r="M1239" t="s">
        <v>6111</v>
      </c>
      <c r="N1239" t="s">
        <v>5646</v>
      </c>
      <c r="O1239" t="s">
        <v>71</v>
      </c>
      <c r="P1239" t="s">
        <v>6112</v>
      </c>
      <c r="Q1239" t="s">
        <v>73</v>
      </c>
      <c r="R1239" t="s">
        <v>816</v>
      </c>
      <c r="S1239">
        <v>1</v>
      </c>
      <c r="T1239">
        <v>3366</v>
      </c>
      <c r="U1239">
        <v>0</v>
      </c>
      <c r="V1239">
        <v>3366</v>
      </c>
    </row>
    <row r="1240" spans="1:22" x14ac:dyDescent="0.25">
      <c r="A1240">
        <v>186607</v>
      </c>
      <c r="B1240">
        <v>131952797</v>
      </c>
      <c r="C1240" t="s">
        <v>6113</v>
      </c>
      <c r="D1240" t="s">
        <v>6114</v>
      </c>
      <c r="E1240" t="s">
        <v>5643</v>
      </c>
      <c r="F1240" t="s">
        <v>847</v>
      </c>
      <c r="G1240" t="s">
        <v>142</v>
      </c>
      <c r="H1240" t="s">
        <v>143</v>
      </c>
      <c r="I1240" t="s">
        <v>35</v>
      </c>
      <c r="J1240" t="s">
        <v>144</v>
      </c>
      <c r="K1240" t="s">
        <v>2</v>
      </c>
      <c r="L1240" t="s">
        <v>5876</v>
      </c>
      <c r="M1240" t="s">
        <v>5877</v>
      </c>
      <c r="N1240" t="s">
        <v>5646</v>
      </c>
      <c r="O1240" t="s">
        <v>71</v>
      </c>
      <c r="P1240" t="s">
        <v>5878</v>
      </c>
      <c r="Q1240" t="s">
        <v>161</v>
      </c>
      <c r="R1240" t="s">
        <v>2525</v>
      </c>
      <c r="S1240">
        <v>1</v>
      </c>
      <c r="T1240">
        <v>3366</v>
      </c>
      <c r="U1240">
        <v>0</v>
      </c>
      <c r="V1240">
        <v>3366</v>
      </c>
    </row>
    <row r="1241" spans="1:22" x14ac:dyDescent="0.25">
      <c r="A1241">
        <v>186607</v>
      </c>
      <c r="B1241">
        <v>131922258</v>
      </c>
      <c r="C1241" t="s">
        <v>6115</v>
      </c>
      <c r="D1241" t="s">
        <v>6116</v>
      </c>
      <c r="E1241" t="s">
        <v>5643</v>
      </c>
      <c r="F1241" t="s">
        <v>847</v>
      </c>
      <c r="G1241" t="s">
        <v>142</v>
      </c>
      <c r="H1241" t="s">
        <v>143</v>
      </c>
      <c r="I1241" t="s">
        <v>35</v>
      </c>
      <c r="J1241" t="s">
        <v>144</v>
      </c>
      <c r="K1241" t="s">
        <v>2</v>
      </c>
      <c r="L1241" t="s">
        <v>6117</v>
      </c>
      <c r="M1241" t="s">
        <v>711</v>
      </c>
      <c r="N1241" t="s">
        <v>5646</v>
      </c>
      <c r="O1241" t="s">
        <v>71</v>
      </c>
      <c r="P1241" t="s">
        <v>6118</v>
      </c>
      <c r="Q1241" t="s">
        <v>48</v>
      </c>
      <c r="R1241" t="s">
        <v>5884</v>
      </c>
      <c r="S1241">
        <v>1</v>
      </c>
      <c r="T1241">
        <v>3366</v>
      </c>
      <c r="U1241">
        <v>0</v>
      </c>
      <c r="V1241">
        <v>3366</v>
      </c>
    </row>
    <row r="1242" spans="1:22" x14ac:dyDescent="0.25">
      <c r="A1242">
        <v>186607</v>
      </c>
      <c r="B1242">
        <v>131933296</v>
      </c>
      <c r="C1242" t="s">
        <v>6119</v>
      </c>
      <c r="D1242" t="s">
        <v>6120</v>
      </c>
      <c r="E1242" t="s">
        <v>5643</v>
      </c>
      <c r="F1242" t="s">
        <v>847</v>
      </c>
      <c r="G1242" t="s">
        <v>142</v>
      </c>
      <c r="H1242" t="s">
        <v>143</v>
      </c>
      <c r="I1242" t="s">
        <v>35</v>
      </c>
      <c r="J1242" t="s">
        <v>144</v>
      </c>
      <c r="K1242" t="s">
        <v>2</v>
      </c>
      <c r="L1242" t="s">
        <v>6121</v>
      </c>
      <c r="M1242" t="s">
        <v>6122</v>
      </c>
      <c r="N1242" t="s">
        <v>5646</v>
      </c>
      <c r="O1242" t="s">
        <v>71</v>
      </c>
      <c r="P1242" t="s">
        <v>6123</v>
      </c>
      <c r="Q1242" t="s">
        <v>126</v>
      </c>
      <c r="R1242" t="s">
        <v>429</v>
      </c>
      <c r="S1242">
        <v>1</v>
      </c>
      <c r="T1242">
        <v>3366</v>
      </c>
      <c r="U1242">
        <v>0</v>
      </c>
      <c r="V1242">
        <v>3366</v>
      </c>
    </row>
    <row r="1243" spans="1:22" x14ac:dyDescent="0.25">
      <c r="A1243">
        <v>186607</v>
      </c>
      <c r="B1243">
        <v>131857911</v>
      </c>
      <c r="C1243" t="s">
        <v>6124</v>
      </c>
      <c r="D1243" t="s">
        <v>6125</v>
      </c>
      <c r="E1243" t="s">
        <v>5643</v>
      </c>
      <c r="F1243" t="s">
        <v>847</v>
      </c>
      <c r="G1243" t="s">
        <v>142</v>
      </c>
      <c r="H1243" t="s">
        <v>143</v>
      </c>
      <c r="I1243" t="s">
        <v>35</v>
      </c>
      <c r="J1243" t="s">
        <v>144</v>
      </c>
      <c r="K1243" t="s">
        <v>2</v>
      </c>
      <c r="L1243" t="s">
        <v>6126</v>
      </c>
      <c r="M1243" t="s">
        <v>6127</v>
      </c>
      <c r="N1243" t="s">
        <v>5646</v>
      </c>
      <c r="O1243" t="s">
        <v>71</v>
      </c>
      <c r="P1243" t="s">
        <v>6128</v>
      </c>
      <c r="Q1243" t="s">
        <v>65</v>
      </c>
      <c r="R1243" t="s">
        <v>840</v>
      </c>
      <c r="S1243">
        <v>1.45</v>
      </c>
      <c r="T1243">
        <v>3366</v>
      </c>
      <c r="U1243">
        <v>0</v>
      </c>
      <c r="V1243">
        <v>3366</v>
      </c>
    </row>
    <row r="1244" spans="1:22" x14ac:dyDescent="0.25">
      <c r="A1244">
        <v>186607</v>
      </c>
      <c r="B1244">
        <v>131821889</v>
      </c>
      <c r="C1244" t="s">
        <v>6129</v>
      </c>
      <c r="D1244" t="s">
        <v>6130</v>
      </c>
      <c r="E1244" t="s">
        <v>5643</v>
      </c>
      <c r="F1244" t="s">
        <v>847</v>
      </c>
      <c r="G1244" t="s">
        <v>142</v>
      </c>
      <c r="H1244" t="s">
        <v>143</v>
      </c>
      <c r="I1244" t="s">
        <v>35</v>
      </c>
      <c r="J1244" t="s">
        <v>144</v>
      </c>
      <c r="K1244" t="s">
        <v>2</v>
      </c>
      <c r="L1244" t="s">
        <v>6131</v>
      </c>
      <c r="M1244" t="s">
        <v>6132</v>
      </c>
      <c r="N1244" t="s">
        <v>5646</v>
      </c>
      <c r="O1244" t="s">
        <v>71</v>
      </c>
      <c r="P1244" t="s">
        <v>6133</v>
      </c>
      <c r="Q1244" t="s">
        <v>73</v>
      </c>
      <c r="R1244" t="s">
        <v>412</v>
      </c>
      <c r="S1244">
        <v>2.25</v>
      </c>
      <c r="T1244">
        <v>3366</v>
      </c>
      <c r="U1244">
        <v>0</v>
      </c>
      <c r="V1244">
        <v>3366</v>
      </c>
    </row>
    <row r="1245" spans="1:22" x14ac:dyDescent="0.25">
      <c r="A1245">
        <v>186607</v>
      </c>
      <c r="B1245">
        <v>131774086</v>
      </c>
      <c r="C1245" t="s">
        <v>6134</v>
      </c>
      <c r="D1245" t="s">
        <v>6135</v>
      </c>
      <c r="E1245" t="s">
        <v>5643</v>
      </c>
      <c r="F1245" t="s">
        <v>847</v>
      </c>
      <c r="G1245" t="s">
        <v>142</v>
      </c>
      <c r="H1245" t="s">
        <v>143</v>
      </c>
      <c r="I1245" t="s">
        <v>35</v>
      </c>
      <c r="J1245" t="s">
        <v>144</v>
      </c>
      <c r="K1245" t="s">
        <v>2</v>
      </c>
      <c r="L1245" t="s">
        <v>6136</v>
      </c>
      <c r="M1245" t="s">
        <v>6137</v>
      </c>
      <c r="N1245" t="s">
        <v>5646</v>
      </c>
      <c r="O1245" t="s">
        <v>71</v>
      </c>
      <c r="P1245" t="s">
        <v>6138</v>
      </c>
      <c r="Q1245" t="s">
        <v>48</v>
      </c>
      <c r="R1245" t="s">
        <v>632</v>
      </c>
      <c r="S1245">
        <v>3</v>
      </c>
      <c r="T1245">
        <v>3366</v>
      </c>
      <c r="U1245">
        <v>0</v>
      </c>
      <c r="V1245">
        <v>3366</v>
      </c>
    </row>
    <row r="1246" spans="1:22" x14ac:dyDescent="0.25">
      <c r="A1246">
        <v>186607</v>
      </c>
      <c r="B1246">
        <v>131732721</v>
      </c>
      <c r="C1246" t="s">
        <v>6139</v>
      </c>
      <c r="D1246" t="s">
        <v>6140</v>
      </c>
      <c r="E1246" t="s">
        <v>5643</v>
      </c>
      <c r="F1246" t="s">
        <v>847</v>
      </c>
      <c r="G1246" t="s">
        <v>142</v>
      </c>
      <c r="H1246" t="s">
        <v>143</v>
      </c>
      <c r="I1246" t="s">
        <v>35</v>
      </c>
      <c r="J1246" t="s">
        <v>144</v>
      </c>
      <c r="K1246" t="s">
        <v>2</v>
      </c>
      <c r="L1246" t="s">
        <v>6141</v>
      </c>
      <c r="M1246" t="s">
        <v>6142</v>
      </c>
      <c r="N1246" t="s">
        <v>5646</v>
      </c>
      <c r="O1246" t="s">
        <v>71</v>
      </c>
      <c r="P1246" t="s">
        <v>6143</v>
      </c>
      <c r="Q1246" t="s">
        <v>49</v>
      </c>
      <c r="R1246" t="s">
        <v>411</v>
      </c>
      <c r="S1246">
        <v>3.75</v>
      </c>
      <c r="T1246">
        <v>3797</v>
      </c>
      <c r="U1246">
        <v>0</v>
      </c>
      <c r="V1246">
        <v>3797</v>
      </c>
    </row>
    <row r="1247" spans="1:22" x14ac:dyDescent="0.25">
      <c r="A1247">
        <v>186607</v>
      </c>
      <c r="B1247">
        <v>131618421</v>
      </c>
      <c r="C1247" t="s">
        <v>6144</v>
      </c>
      <c r="D1247" t="s">
        <v>6145</v>
      </c>
      <c r="E1247" t="s">
        <v>5643</v>
      </c>
      <c r="F1247" t="s">
        <v>847</v>
      </c>
      <c r="G1247" t="s">
        <v>142</v>
      </c>
      <c r="H1247" t="s">
        <v>143</v>
      </c>
      <c r="I1247" t="s">
        <v>35</v>
      </c>
      <c r="J1247" t="s">
        <v>144</v>
      </c>
      <c r="K1247" t="s">
        <v>2</v>
      </c>
      <c r="L1247" t="s">
        <v>6146</v>
      </c>
      <c r="M1247" t="s">
        <v>6147</v>
      </c>
      <c r="N1247" t="s">
        <v>5646</v>
      </c>
      <c r="O1247" t="s">
        <v>71</v>
      </c>
      <c r="P1247" t="s">
        <v>6148</v>
      </c>
      <c r="Q1247" t="s">
        <v>155</v>
      </c>
      <c r="R1247" t="s">
        <v>5749</v>
      </c>
      <c r="S1247">
        <v>2.2999999999999998</v>
      </c>
      <c r="T1247">
        <v>3366</v>
      </c>
      <c r="U1247">
        <v>0</v>
      </c>
      <c r="V1247">
        <v>3366</v>
      </c>
    </row>
    <row r="1248" spans="1:22" x14ac:dyDescent="0.25">
      <c r="A1248">
        <v>186607</v>
      </c>
      <c r="B1248">
        <v>131641676</v>
      </c>
      <c r="C1248" t="s">
        <v>6149</v>
      </c>
      <c r="D1248" t="s">
        <v>6150</v>
      </c>
      <c r="E1248" t="s">
        <v>5643</v>
      </c>
      <c r="F1248" t="s">
        <v>847</v>
      </c>
      <c r="G1248" t="s">
        <v>142</v>
      </c>
      <c r="H1248" t="s">
        <v>143</v>
      </c>
      <c r="I1248" t="s">
        <v>35</v>
      </c>
      <c r="J1248" t="s">
        <v>144</v>
      </c>
      <c r="K1248" t="s">
        <v>2</v>
      </c>
      <c r="L1248" t="s">
        <v>6151</v>
      </c>
      <c r="M1248" t="s">
        <v>6152</v>
      </c>
      <c r="N1248" t="s">
        <v>5646</v>
      </c>
      <c r="O1248" t="s">
        <v>71</v>
      </c>
      <c r="P1248" t="s">
        <v>6153</v>
      </c>
      <c r="Q1248" t="s">
        <v>48</v>
      </c>
      <c r="R1248" t="s">
        <v>308</v>
      </c>
      <c r="S1248">
        <v>15.35</v>
      </c>
      <c r="T1248">
        <v>11295</v>
      </c>
      <c r="U1248">
        <v>0</v>
      </c>
      <c r="V1248">
        <v>11295</v>
      </c>
    </row>
    <row r="1249" spans="1:22" x14ac:dyDescent="0.25">
      <c r="A1249">
        <v>186607</v>
      </c>
      <c r="B1249">
        <v>131662730</v>
      </c>
      <c r="C1249" t="s">
        <v>6154</v>
      </c>
      <c r="D1249" t="s">
        <v>6155</v>
      </c>
      <c r="E1249" t="s">
        <v>5643</v>
      </c>
      <c r="F1249" t="s">
        <v>847</v>
      </c>
      <c r="G1249" t="s">
        <v>142</v>
      </c>
      <c r="H1249" t="s">
        <v>143</v>
      </c>
      <c r="I1249" t="s">
        <v>35</v>
      </c>
      <c r="J1249" t="s">
        <v>144</v>
      </c>
      <c r="K1249" t="s">
        <v>2</v>
      </c>
      <c r="L1249" t="s">
        <v>6156</v>
      </c>
      <c r="M1249" t="s">
        <v>6157</v>
      </c>
      <c r="N1249" t="s">
        <v>5646</v>
      </c>
      <c r="O1249" t="s">
        <v>71</v>
      </c>
      <c r="P1249" t="s">
        <v>6158</v>
      </c>
      <c r="Q1249" t="s">
        <v>47</v>
      </c>
      <c r="R1249" t="s">
        <v>5755</v>
      </c>
      <c r="S1249">
        <v>1</v>
      </c>
      <c r="T1249">
        <v>3366</v>
      </c>
      <c r="U1249">
        <v>0</v>
      </c>
      <c r="V1249">
        <v>3366</v>
      </c>
    </row>
    <row r="1250" spans="1:22" x14ac:dyDescent="0.25">
      <c r="A1250">
        <v>186607</v>
      </c>
      <c r="B1250">
        <v>131567547</v>
      </c>
      <c r="C1250" t="s">
        <v>6159</v>
      </c>
      <c r="D1250" t="s">
        <v>6160</v>
      </c>
      <c r="E1250" t="s">
        <v>5643</v>
      </c>
      <c r="F1250" t="s">
        <v>847</v>
      </c>
      <c r="G1250" t="s">
        <v>142</v>
      </c>
      <c r="H1250" t="s">
        <v>143</v>
      </c>
      <c r="I1250" t="s">
        <v>35</v>
      </c>
      <c r="J1250" t="s">
        <v>144</v>
      </c>
      <c r="K1250" t="s">
        <v>2</v>
      </c>
      <c r="L1250" t="s">
        <v>290</v>
      </c>
      <c r="M1250" t="s">
        <v>6161</v>
      </c>
      <c r="N1250" t="s">
        <v>5646</v>
      </c>
      <c r="O1250" t="s">
        <v>71</v>
      </c>
      <c r="P1250" t="s">
        <v>6162</v>
      </c>
      <c r="Q1250" t="s">
        <v>155</v>
      </c>
      <c r="R1250" t="s">
        <v>493</v>
      </c>
      <c r="S1250">
        <v>2</v>
      </c>
      <c r="T1250">
        <v>3366</v>
      </c>
      <c r="U1250">
        <v>0</v>
      </c>
      <c r="V1250">
        <v>3366</v>
      </c>
    </row>
    <row r="1251" spans="1:22" x14ac:dyDescent="0.25">
      <c r="A1251">
        <v>186607</v>
      </c>
      <c r="B1251">
        <v>131533598</v>
      </c>
      <c r="C1251" t="s">
        <v>6163</v>
      </c>
      <c r="D1251" t="s">
        <v>6164</v>
      </c>
      <c r="E1251" t="s">
        <v>5643</v>
      </c>
      <c r="F1251" t="s">
        <v>847</v>
      </c>
      <c r="G1251" t="s">
        <v>142</v>
      </c>
      <c r="H1251" t="s">
        <v>143</v>
      </c>
      <c r="I1251" t="s">
        <v>35</v>
      </c>
      <c r="J1251" t="s">
        <v>144</v>
      </c>
      <c r="K1251" t="s">
        <v>2</v>
      </c>
      <c r="L1251" t="s">
        <v>6165</v>
      </c>
      <c r="M1251" t="s">
        <v>6166</v>
      </c>
      <c r="N1251" t="s">
        <v>5646</v>
      </c>
      <c r="O1251" t="s">
        <v>71</v>
      </c>
      <c r="P1251" t="s">
        <v>6167</v>
      </c>
      <c r="Q1251" t="s">
        <v>46</v>
      </c>
      <c r="R1251" t="s">
        <v>445</v>
      </c>
      <c r="S1251">
        <v>1.45</v>
      </c>
      <c r="T1251">
        <v>3366</v>
      </c>
      <c r="U1251">
        <v>0</v>
      </c>
      <c r="V1251">
        <v>3366</v>
      </c>
    </row>
    <row r="1252" spans="1:22" x14ac:dyDescent="0.25">
      <c r="A1252">
        <v>186607</v>
      </c>
      <c r="B1252">
        <v>131489820</v>
      </c>
      <c r="C1252" t="s">
        <v>6168</v>
      </c>
      <c r="D1252" t="s">
        <v>6169</v>
      </c>
      <c r="E1252" t="s">
        <v>5643</v>
      </c>
      <c r="F1252" t="s">
        <v>847</v>
      </c>
      <c r="G1252" t="s">
        <v>142</v>
      </c>
      <c r="H1252" t="s">
        <v>143</v>
      </c>
      <c r="I1252" t="s">
        <v>35</v>
      </c>
      <c r="J1252" t="s">
        <v>144</v>
      </c>
      <c r="K1252" t="s">
        <v>2</v>
      </c>
      <c r="L1252" t="s">
        <v>6170</v>
      </c>
      <c r="M1252" t="s">
        <v>6171</v>
      </c>
      <c r="N1252" t="s">
        <v>5646</v>
      </c>
      <c r="O1252" t="s">
        <v>71</v>
      </c>
      <c r="P1252" t="s">
        <v>6172</v>
      </c>
      <c r="Q1252" t="s">
        <v>155</v>
      </c>
      <c r="R1252" t="s">
        <v>310</v>
      </c>
      <c r="S1252">
        <v>1.45</v>
      </c>
      <c r="T1252">
        <v>3366</v>
      </c>
      <c r="U1252">
        <v>0</v>
      </c>
      <c r="V1252">
        <v>3366</v>
      </c>
    </row>
    <row r="1253" spans="1:22" x14ac:dyDescent="0.25">
      <c r="A1253">
        <v>186607</v>
      </c>
      <c r="B1253">
        <v>131448805</v>
      </c>
      <c r="C1253" t="s">
        <v>6173</v>
      </c>
      <c r="D1253" t="s">
        <v>6174</v>
      </c>
      <c r="E1253" t="s">
        <v>5643</v>
      </c>
      <c r="F1253" t="s">
        <v>847</v>
      </c>
      <c r="G1253" t="s">
        <v>142</v>
      </c>
      <c r="H1253" t="s">
        <v>143</v>
      </c>
      <c r="I1253" t="s">
        <v>35</v>
      </c>
      <c r="J1253" t="s">
        <v>144</v>
      </c>
      <c r="K1253" t="s">
        <v>2</v>
      </c>
      <c r="L1253" t="s">
        <v>6175</v>
      </c>
      <c r="M1253" t="s">
        <v>6176</v>
      </c>
      <c r="N1253" t="s">
        <v>5646</v>
      </c>
      <c r="O1253" t="s">
        <v>71</v>
      </c>
      <c r="P1253" t="s">
        <v>6177</v>
      </c>
      <c r="Q1253" t="s">
        <v>49</v>
      </c>
      <c r="R1253" t="s">
        <v>489</v>
      </c>
      <c r="S1253">
        <v>3.75</v>
      </c>
      <c r="T1253">
        <v>3797</v>
      </c>
      <c r="U1253">
        <v>0</v>
      </c>
      <c r="V1253">
        <v>3797</v>
      </c>
    </row>
    <row r="1254" spans="1:22" x14ac:dyDescent="0.25">
      <c r="A1254">
        <v>186607</v>
      </c>
      <c r="B1254">
        <v>131383631</v>
      </c>
      <c r="C1254" t="s">
        <v>6178</v>
      </c>
      <c r="D1254" t="s">
        <v>6179</v>
      </c>
      <c r="E1254" t="s">
        <v>5643</v>
      </c>
      <c r="F1254" t="s">
        <v>847</v>
      </c>
      <c r="G1254" t="s">
        <v>142</v>
      </c>
      <c r="H1254" t="s">
        <v>143</v>
      </c>
      <c r="I1254" t="s">
        <v>35</v>
      </c>
      <c r="J1254" t="s">
        <v>144</v>
      </c>
      <c r="K1254" t="s">
        <v>2</v>
      </c>
      <c r="L1254" t="s">
        <v>6180</v>
      </c>
      <c r="M1254" t="s">
        <v>458</v>
      </c>
      <c r="N1254" t="s">
        <v>5646</v>
      </c>
      <c r="O1254" t="s">
        <v>71</v>
      </c>
      <c r="P1254" t="s">
        <v>6181</v>
      </c>
      <c r="Q1254" t="s">
        <v>47</v>
      </c>
      <c r="R1254" t="s">
        <v>6023</v>
      </c>
      <c r="S1254">
        <v>1.45</v>
      </c>
      <c r="T1254">
        <v>3366</v>
      </c>
      <c r="U1254">
        <v>0</v>
      </c>
      <c r="V1254">
        <v>3366</v>
      </c>
    </row>
    <row r="1255" spans="1:22" x14ac:dyDescent="0.25">
      <c r="A1255">
        <v>186607</v>
      </c>
      <c r="B1255">
        <v>131340118</v>
      </c>
      <c r="C1255" t="s">
        <v>6182</v>
      </c>
      <c r="D1255" t="s">
        <v>6183</v>
      </c>
      <c r="E1255" t="s">
        <v>5643</v>
      </c>
      <c r="F1255" t="s">
        <v>847</v>
      </c>
      <c r="G1255" t="s">
        <v>142</v>
      </c>
      <c r="H1255" t="s">
        <v>143</v>
      </c>
      <c r="I1255" t="s">
        <v>35</v>
      </c>
      <c r="J1255" t="s">
        <v>144</v>
      </c>
      <c r="K1255" t="s">
        <v>2</v>
      </c>
      <c r="L1255" t="s">
        <v>6184</v>
      </c>
      <c r="M1255" t="s">
        <v>6185</v>
      </c>
      <c r="N1255" t="s">
        <v>5646</v>
      </c>
      <c r="O1255" t="s">
        <v>71</v>
      </c>
      <c r="P1255" t="s">
        <v>6186</v>
      </c>
      <c r="Q1255" t="s">
        <v>49</v>
      </c>
      <c r="R1255" t="s">
        <v>6039</v>
      </c>
      <c r="S1255">
        <v>1</v>
      </c>
      <c r="T1255">
        <v>3366</v>
      </c>
      <c r="U1255">
        <v>0</v>
      </c>
      <c r="V1255">
        <v>3366</v>
      </c>
    </row>
    <row r="1256" spans="1:22" x14ac:dyDescent="0.25">
      <c r="A1256">
        <v>186607</v>
      </c>
      <c r="B1256">
        <v>131383658</v>
      </c>
      <c r="C1256" t="s">
        <v>6187</v>
      </c>
      <c r="D1256" t="s">
        <v>6188</v>
      </c>
      <c r="E1256" t="s">
        <v>5643</v>
      </c>
      <c r="F1256" t="s">
        <v>847</v>
      </c>
      <c r="G1256" t="s">
        <v>142</v>
      </c>
      <c r="H1256" t="s">
        <v>143</v>
      </c>
      <c r="I1256" t="s">
        <v>35</v>
      </c>
      <c r="J1256" t="s">
        <v>144</v>
      </c>
      <c r="K1256" t="s">
        <v>2</v>
      </c>
      <c r="L1256" t="s">
        <v>6189</v>
      </c>
      <c r="M1256" t="s">
        <v>486</v>
      </c>
      <c r="N1256" t="s">
        <v>5646</v>
      </c>
      <c r="O1256" t="s">
        <v>71</v>
      </c>
      <c r="P1256" t="s">
        <v>6190</v>
      </c>
      <c r="Q1256" t="s">
        <v>48</v>
      </c>
      <c r="R1256" t="s">
        <v>6023</v>
      </c>
      <c r="S1256">
        <v>1.45</v>
      </c>
      <c r="T1256">
        <v>3366</v>
      </c>
      <c r="U1256">
        <v>0</v>
      </c>
      <c r="V1256">
        <v>3366</v>
      </c>
    </row>
    <row r="1257" spans="1:22" x14ac:dyDescent="0.25">
      <c r="A1257">
        <v>186607</v>
      </c>
      <c r="B1257">
        <v>131383674</v>
      </c>
      <c r="C1257" t="s">
        <v>6191</v>
      </c>
      <c r="D1257" t="s">
        <v>6192</v>
      </c>
      <c r="E1257" t="s">
        <v>5643</v>
      </c>
      <c r="F1257" t="s">
        <v>847</v>
      </c>
      <c r="G1257" t="s">
        <v>142</v>
      </c>
      <c r="H1257" t="s">
        <v>143</v>
      </c>
      <c r="I1257" t="s">
        <v>35</v>
      </c>
      <c r="J1257" t="s">
        <v>144</v>
      </c>
      <c r="K1257" t="s">
        <v>2</v>
      </c>
      <c r="L1257" t="s">
        <v>6193</v>
      </c>
      <c r="M1257" t="s">
        <v>6194</v>
      </c>
      <c r="N1257" t="s">
        <v>5646</v>
      </c>
      <c r="O1257" t="s">
        <v>71</v>
      </c>
      <c r="P1257" t="s">
        <v>6195</v>
      </c>
      <c r="Q1257" t="s">
        <v>46</v>
      </c>
      <c r="R1257" t="s">
        <v>6023</v>
      </c>
      <c r="S1257">
        <v>1</v>
      </c>
      <c r="T1257">
        <v>3366</v>
      </c>
      <c r="U1257">
        <v>0</v>
      </c>
      <c r="V1257">
        <v>3366</v>
      </c>
    </row>
    <row r="1258" spans="1:22" x14ac:dyDescent="0.25">
      <c r="A1258">
        <v>186607</v>
      </c>
      <c r="B1258">
        <v>131383678</v>
      </c>
      <c r="C1258" t="s">
        <v>6196</v>
      </c>
      <c r="D1258" t="s">
        <v>6197</v>
      </c>
      <c r="E1258" t="s">
        <v>5643</v>
      </c>
      <c r="F1258" t="s">
        <v>847</v>
      </c>
      <c r="G1258" t="s">
        <v>142</v>
      </c>
      <c r="H1258" t="s">
        <v>143</v>
      </c>
      <c r="I1258" t="s">
        <v>35</v>
      </c>
      <c r="J1258" t="s">
        <v>144</v>
      </c>
      <c r="K1258" t="s">
        <v>2</v>
      </c>
      <c r="L1258" t="s">
        <v>290</v>
      </c>
      <c r="M1258" t="s">
        <v>455</v>
      </c>
      <c r="N1258" t="s">
        <v>5646</v>
      </c>
      <c r="O1258" t="s">
        <v>71</v>
      </c>
      <c r="P1258" t="s">
        <v>6198</v>
      </c>
      <c r="Q1258" t="s">
        <v>155</v>
      </c>
      <c r="R1258" t="s">
        <v>6023</v>
      </c>
      <c r="S1258">
        <v>2.9</v>
      </c>
      <c r="T1258">
        <v>3366</v>
      </c>
      <c r="U1258">
        <v>0</v>
      </c>
      <c r="V1258">
        <v>3366</v>
      </c>
    </row>
    <row r="1259" spans="1:22" x14ac:dyDescent="0.25">
      <c r="A1259">
        <v>186607</v>
      </c>
      <c r="B1259">
        <v>131312205</v>
      </c>
      <c r="C1259" t="s">
        <v>6199</v>
      </c>
      <c r="D1259" t="s">
        <v>6200</v>
      </c>
      <c r="E1259" t="s">
        <v>5643</v>
      </c>
      <c r="F1259" t="s">
        <v>847</v>
      </c>
      <c r="G1259" t="s">
        <v>142</v>
      </c>
      <c r="H1259" t="s">
        <v>143</v>
      </c>
      <c r="I1259" t="s">
        <v>35</v>
      </c>
      <c r="J1259" t="s">
        <v>144</v>
      </c>
      <c r="K1259" t="s">
        <v>2</v>
      </c>
      <c r="L1259" t="s">
        <v>6201</v>
      </c>
      <c r="M1259" t="s">
        <v>6202</v>
      </c>
      <c r="N1259" t="s">
        <v>5646</v>
      </c>
      <c r="O1259" t="s">
        <v>71</v>
      </c>
      <c r="P1259" t="s">
        <v>6203</v>
      </c>
      <c r="Q1259" t="s">
        <v>47</v>
      </c>
      <c r="R1259" t="s">
        <v>522</v>
      </c>
      <c r="S1259">
        <v>1.4</v>
      </c>
      <c r="T1259">
        <v>3366</v>
      </c>
      <c r="U1259">
        <v>0</v>
      </c>
      <c r="V1259">
        <v>3366</v>
      </c>
    </row>
    <row r="1260" spans="1:22" x14ac:dyDescent="0.25">
      <c r="A1260">
        <v>186607</v>
      </c>
      <c r="B1260">
        <v>131312186</v>
      </c>
      <c r="C1260" t="s">
        <v>6204</v>
      </c>
      <c r="D1260" t="s">
        <v>6205</v>
      </c>
      <c r="E1260" t="s">
        <v>5643</v>
      </c>
      <c r="F1260" t="s">
        <v>847</v>
      </c>
      <c r="G1260" t="s">
        <v>142</v>
      </c>
      <c r="H1260" t="s">
        <v>143</v>
      </c>
      <c r="I1260" t="s">
        <v>35</v>
      </c>
      <c r="J1260" t="s">
        <v>144</v>
      </c>
      <c r="K1260" t="s">
        <v>2</v>
      </c>
      <c r="L1260" t="s">
        <v>6206</v>
      </c>
      <c r="M1260" t="s">
        <v>6207</v>
      </c>
      <c r="N1260" t="s">
        <v>5646</v>
      </c>
      <c r="O1260" t="s">
        <v>71</v>
      </c>
      <c r="P1260" t="s">
        <v>6208</v>
      </c>
      <c r="Q1260" t="s">
        <v>46</v>
      </c>
      <c r="R1260" t="s">
        <v>522</v>
      </c>
      <c r="S1260">
        <v>1.5</v>
      </c>
      <c r="T1260">
        <v>3366</v>
      </c>
      <c r="U1260">
        <v>0</v>
      </c>
      <c r="V1260">
        <v>3366</v>
      </c>
    </row>
    <row r="1261" spans="1:22" x14ac:dyDescent="0.25">
      <c r="A1261">
        <v>186607</v>
      </c>
      <c r="B1261">
        <v>131268221</v>
      </c>
      <c r="C1261" t="s">
        <v>6209</v>
      </c>
      <c r="D1261" t="s">
        <v>6210</v>
      </c>
      <c r="E1261" t="s">
        <v>5643</v>
      </c>
      <c r="F1261" t="s">
        <v>847</v>
      </c>
      <c r="G1261" t="s">
        <v>142</v>
      </c>
      <c r="H1261" t="s">
        <v>143</v>
      </c>
      <c r="I1261" t="s">
        <v>35</v>
      </c>
      <c r="J1261" t="s">
        <v>144</v>
      </c>
      <c r="K1261" t="s">
        <v>2</v>
      </c>
      <c r="L1261" t="s">
        <v>6211</v>
      </c>
      <c r="M1261" t="s">
        <v>6212</v>
      </c>
      <c r="N1261" t="s">
        <v>5646</v>
      </c>
      <c r="O1261" t="s">
        <v>71</v>
      </c>
      <c r="P1261" t="s">
        <v>6213</v>
      </c>
      <c r="Q1261" t="s">
        <v>155</v>
      </c>
      <c r="R1261" t="s">
        <v>303</v>
      </c>
      <c r="S1261">
        <v>1</v>
      </c>
      <c r="T1261">
        <v>4338</v>
      </c>
      <c r="U1261">
        <v>0</v>
      </c>
      <c r="V1261">
        <v>4338</v>
      </c>
    </row>
    <row r="1262" spans="1:22" x14ac:dyDescent="0.25">
      <c r="A1262">
        <v>186607</v>
      </c>
      <c r="B1262">
        <v>132178968</v>
      </c>
      <c r="C1262" t="s">
        <v>6214</v>
      </c>
      <c r="D1262" t="s">
        <v>6215</v>
      </c>
      <c r="E1262" t="s">
        <v>5643</v>
      </c>
      <c r="F1262" t="s">
        <v>847</v>
      </c>
      <c r="G1262" t="s">
        <v>142</v>
      </c>
      <c r="H1262" t="s">
        <v>143</v>
      </c>
      <c r="I1262" t="s">
        <v>35</v>
      </c>
      <c r="J1262" t="s">
        <v>144</v>
      </c>
      <c r="K1262" t="s">
        <v>2</v>
      </c>
      <c r="L1262" t="s">
        <v>6216</v>
      </c>
      <c r="M1262" t="s">
        <v>6217</v>
      </c>
      <c r="N1262" t="s">
        <v>5646</v>
      </c>
      <c r="O1262" t="s">
        <v>71</v>
      </c>
      <c r="P1262" t="s">
        <v>6218</v>
      </c>
      <c r="Q1262" t="s">
        <v>154</v>
      </c>
      <c r="R1262" t="s">
        <v>371</v>
      </c>
      <c r="S1262">
        <v>0.5</v>
      </c>
      <c r="T1262">
        <v>3449</v>
      </c>
      <c r="U1262">
        <v>0</v>
      </c>
      <c r="V1262">
        <v>3449</v>
      </c>
    </row>
    <row r="1263" spans="1:22" x14ac:dyDescent="0.25">
      <c r="A1263">
        <v>186607</v>
      </c>
      <c r="B1263">
        <v>132022566</v>
      </c>
      <c r="C1263" t="s">
        <v>6219</v>
      </c>
      <c r="D1263" t="s">
        <v>6220</v>
      </c>
      <c r="E1263" t="s">
        <v>5643</v>
      </c>
      <c r="F1263" t="s">
        <v>847</v>
      </c>
      <c r="G1263" t="s">
        <v>142</v>
      </c>
      <c r="H1263" t="s">
        <v>143</v>
      </c>
      <c r="I1263" t="s">
        <v>35</v>
      </c>
      <c r="J1263" t="s">
        <v>144</v>
      </c>
      <c r="K1263" t="s">
        <v>2</v>
      </c>
      <c r="L1263" t="s">
        <v>6221</v>
      </c>
      <c r="M1263" t="s">
        <v>6222</v>
      </c>
      <c r="N1263" t="s">
        <v>5646</v>
      </c>
      <c r="O1263" t="s">
        <v>71</v>
      </c>
      <c r="P1263" t="s">
        <v>6223</v>
      </c>
      <c r="Q1263" t="s">
        <v>64</v>
      </c>
      <c r="R1263" t="s">
        <v>540</v>
      </c>
      <c r="S1263">
        <v>0.5</v>
      </c>
      <c r="T1263">
        <v>3449</v>
      </c>
      <c r="U1263">
        <v>0</v>
      </c>
      <c r="V1263">
        <v>3449</v>
      </c>
    </row>
    <row r="1264" spans="1:22" x14ac:dyDescent="0.25">
      <c r="A1264">
        <v>186607</v>
      </c>
      <c r="B1264">
        <v>131992764</v>
      </c>
      <c r="C1264" t="s">
        <v>6224</v>
      </c>
      <c r="D1264" t="s">
        <v>6225</v>
      </c>
      <c r="E1264" t="s">
        <v>5643</v>
      </c>
      <c r="F1264" t="s">
        <v>847</v>
      </c>
      <c r="G1264" t="s">
        <v>142</v>
      </c>
      <c r="H1264" t="s">
        <v>143</v>
      </c>
      <c r="I1264" t="s">
        <v>35</v>
      </c>
      <c r="J1264" t="s">
        <v>144</v>
      </c>
      <c r="K1264" t="s">
        <v>2</v>
      </c>
      <c r="L1264" t="s">
        <v>6226</v>
      </c>
      <c r="M1264" t="s">
        <v>6227</v>
      </c>
      <c r="N1264" t="s">
        <v>5646</v>
      </c>
      <c r="O1264" t="s">
        <v>71</v>
      </c>
      <c r="P1264" t="s">
        <v>6228</v>
      </c>
      <c r="Q1264" t="s">
        <v>64</v>
      </c>
      <c r="R1264" t="s">
        <v>5843</v>
      </c>
      <c r="S1264">
        <v>0.5</v>
      </c>
      <c r="T1264">
        <v>3449</v>
      </c>
      <c r="U1264">
        <v>0</v>
      </c>
      <c r="V1264">
        <v>3449</v>
      </c>
    </row>
    <row r="1265" spans="1:22" x14ac:dyDescent="0.25">
      <c r="A1265">
        <v>186607</v>
      </c>
      <c r="B1265">
        <v>132044011</v>
      </c>
      <c r="C1265" t="s">
        <v>6229</v>
      </c>
      <c r="D1265" t="s">
        <v>6230</v>
      </c>
      <c r="E1265" t="s">
        <v>5643</v>
      </c>
      <c r="F1265" t="s">
        <v>847</v>
      </c>
      <c r="G1265" t="s">
        <v>142</v>
      </c>
      <c r="H1265" t="s">
        <v>143</v>
      </c>
      <c r="I1265" t="s">
        <v>35</v>
      </c>
      <c r="J1265" t="s">
        <v>144</v>
      </c>
      <c r="K1265" t="s">
        <v>2</v>
      </c>
      <c r="L1265" t="s">
        <v>6231</v>
      </c>
      <c r="M1265" t="s">
        <v>510</v>
      </c>
      <c r="N1265" t="s">
        <v>5646</v>
      </c>
      <c r="O1265" t="s">
        <v>71</v>
      </c>
      <c r="P1265" t="s">
        <v>6232</v>
      </c>
      <c r="Q1265" t="s">
        <v>154</v>
      </c>
      <c r="R1265" t="s">
        <v>600</v>
      </c>
      <c r="S1265">
        <v>0.5</v>
      </c>
      <c r="T1265">
        <v>3449</v>
      </c>
      <c r="U1265">
        <v>0</v>
      </c>
      <c r="V1265">
        <v>3449</v>
      </c>
    </row>
    <row r="1266" spans="1:22" x14ac:dyDescent="0.25">
      <c r="A1266">
        <v>186607</v>
      </c>
      <c r="B1266">
        <v>132022535</v>
      </c>
      <c r="C1266" t="s">
        <v>6233</v>
      </c>
      <c r="D1266" t="s">
        <v>6234</v>
      </c>
      <c r="E1266" t="s">
        <v>5643</v>
      </c>
      <c r="F1266" t="s">
        <v>847</v>
      </c>
      <c r="G1266" t="s">
        <v>142</v>
      </c>
      <c r="H1266" t="s">
        <v>143</v>
      </c>
      <c r="I1266" t="s">
        <v>35</v>
      </c>
      <c r="J1266" t="s">
        <v>144</v>
      </c>
      <c r="K1266" t="s">
        <v>2</v>
      </c>
      <c r="L1266" t="s">
        <v>6235</v>
      </c>
      <c r="M1266" t="s">
        <v>6236</v>
      </c>
      <c r="N1266" t="s">
        <v>5646</v>
      </c>
      <c r="O1266" t="s">
        <v>71</v>
      </c>
      <c r="P1266" t="s">
        <v>6237</v>
      </c>
      <c r="Q1266" t="s">
        <v>57</v>
      </c>
      <c r="R1266" t="s">
        <v>540</v>
      </c>
      <c r="S1266">
        <v>0.5</v>
      </c>
      <c r="T1266">
        <v>3449</v>
      </c>
      <c r="U1266">
        <v>0</v>
      </c>
      <c r="V1266">
        <v>3449</v>
      </c>
    </row>
    <row r="1267" spans="1:22" x14ac:dyDescent="0.25">
      <c r="A1267">
        <v>186607</v>
      </c>
      <c r="B1267">
        <v>131992799</v>
      </c>
      <c r="C1267" t="s">
        <v>6238</v>
      </c>
      <c r="D1267" t="s">
        <v>6239</v>
      </c>
      <c r="E1267" t="s">
        <v>5643</v>
      </c>
      <c r="F1267" t="s">
        <v>847</v>
      </c>
      <c r="G1267" t="s">
        <v>142</v>
      </c>
      <c r="H1267" t="s">
        <v>143</v>
      </c>
      <c r="I1267" t="s">
        <v>35</v>
      </c>
      <c r="J1267" t="s">
        <v>144</v>
      </c>
      <c r="K1267" t="s">
        <v>2</v>
      </c>
      <c r="L1267" t="s">
        <v>6240</v>
      </c>
      <c r="M1267" t="s">
        <v>6241</v>
      </c>
      <c r="N1267" t="s">
        <v>5646</v>
      </c>
      <c r="O1267" t="s">
        <v>71</v>
      </c>
      <c r="P1267" t="s">
        <v>6242</v>
      </c>
      <c r="Q1267" t="s">
        <v>64</v>
      </c>
      <c r="R1267" t="s">
        <v>351</v>
      </c>
      <c r="S1267">
        <v>0.5</v>
      </c>
      <c r="T1267">
        <v>3449</v>
      </c>
      <c r="U1267">
        <v>0</v>
      </c>
      <c r="V1267">
        <v>3449</v>
      </c>
    </row>
    <row r="1268" spans="1:22" x14ac:dyDescent="0.25">
      <c r="A1268">
        <v>186607</v>
      </c>
      <c r="B1268">
        <v>131964511</v>
      </c>
      <c r="C1268" t="s">
        <v>6243</v>
      </c>
      <c r="D1268" t="s">
        <v>6244</v>
      </c>
      <c r="E1268" t="s">
        <v>5643</v>
      </c>
      <c r="F1268" t="s">
        <v>847</v>
      </c>
      <c r="G1268" t="s">
        <v>142</v>
      </c>
      <c r="H1268" t="s">
        <v>143</v>
      </c>
      <c r="I1268" t="s">
        <v>35</v>
      </c>
      <c r="J1268" t="s">
        <v>144</v>
      </c>
      <c r="K1268" t="s">
        <v>2</v>
      </c>
      <c r="L1268" t="s">
        <v>6245</v>
      </c>
      <c r="M1268" t="s">
        <v>135</v>
      </c>
      <c r="N1268" t="s">
        <v>5646</v>
      </c>
      <c r="O1268" t="s">
        <v>71</v>
      </c>
      <c r="P1268" t="s">
        <v>6246</v>
      </c>
      <c r="Q1268" t="s">
        <v>64</v>
      </c>
      <c r="R1268" t="s">
        <v>610</v>
      </c>
      <c r="S1268">
        <v>0.5</v>
      </c>
      <c r="T1268">
        <v>3449</v>
      </c>
      <c r="U1268">
        <v>0</v>
      </c>
      <c r="V1268">
        <v>3449</v>
      </c>
    </row>
    <row r="1269" spans="1:22" x14ac:dyDescent="0.25">
      <c r="A1269">
        <v>186607</v>
      </c>
      <c r="B1269">
        <v>131922271</v>
      </c>
      <c r="C1269" t="s">
        <v>6247</v>
      </c>
      <c r="D1269" t="s">
        <v>6248</v>
      </c>
      <c r="E1269" t="s">
        <v>5643</v>
      </c>
      <c r="F1269" t="s">
        <v>847</v>
      </c>
      <c r="G1269" t="s">
        <v>142</v>
      </c>
      <c r="H1269" t="s">
        <v>143</v>
      </c>
      <c r="I1269" t="s">
        <v>35</v>
      </c>
      <c r="J1269" t="s">
        <v>144</v>
      </c>
      <c r="K1269" t="s">
        <v>2</v>
      </c>
      <c r="L1269" t="s">
        <v>6249</v>
      </c>
      <c r="M1269" t="s">
        <v>6250</v>
      </c>
      <c r="N1269" t="s">
        <v>5646</v>
      </c>
      <c r="O1269" t="s">
        <v>71</v>
      </c>
      <c r="P1269" t="s">
        <v>6251</v>
      </c>
      <c r="Q1269" t="s">
        <v>79</v>
      </c>
      <c r="R1269" t="s">
        <v>5884</v>
      </c>
      <c r="S1269">
        <v>0.5</v>
      </c>
      <c r="T1269">
        <v>3449</v>
      </c>
      <c r="U1269">
        <v>0</v>
      </c>
      <c r="V1269">
        <v>3449</v>
      </c>
    </row>
    <row r="1270" spans="1:22" x14ac:dyDescent="0.25">
      <c r="A1270">
        <v>186607</v>
      </c>
      <c r="B1270">
        <v>131899539</v>
      </c>
      <c r="C1270" t="s">
        <v>6252</v>
      </c>
      <c r="D1270" t="s">
        <v>6253</v>
      </c>
      <c r="E1270" t="s">
        <v>5643</v>
      </c>
      <c r="F1270" t="s">
        <v>847</v>
      </c>
      <c r="G1270" t="s">
        <v>142</v>
      </c>
      <c r="H1270" t="s">
        <v>143</v>
      </c>
      <c r="I1270" t="s">
        <v>35</v>
      </c>
      <c r="J1270" t="s">
        <v>144</v>
      </c>
      <c r="K1270" t="s">
        <v>2</v>
      </c>
      <c r="L1270" t="s">
        <v>6254</v>
      </c>
      <c r="M1270" t="s">
        <v>6255</v>
      </c>
      <c r="N1270" t="s">
        <v>5646</v>
      </c>
      <c r="O1270" t="s">
        <v>71</v>
      </c>
      <c r="P1270" t="s">
        <v>6256</v>
      </c>
      <c r="Q1270" t="s">
        <v>55</v>
      </c>
      <c r="R1270" t="s">
        <v>448</v>
      </c>
      <c r="S1270">
        <v>0.5</v>
      </c>
      <c r="T1270">
        <v>3449</v>
      </c>
      <c r="U1270">
        <v>0</v>
      </c>
      <c r="V1270">
        <v>3449</v>
      </c>
    </row>
    <row r="1271" spans="1:22" x14ac:dyDescent="0.25">
      <c r="A1271">
        <v>186607</v>
      </c>
      <c r="B1271">
        <v>131857928</v>
      </c>
      <c r="C1271" t="s">
        <v>6257</v>
      </c>
      <c r="D1271" t="s">
        <v>6258</v>
      </c>
      <c r="E1271" t="s">
        <v>5643</v>
      </c>
      <c r="F1271" t="s">
        <v>847</v>
      </c>
      <c r="G1271" t="s">
        <v>142</v>
      </c>
      <c r="H1271" t="s">
        <v>143</v>
      </c>
      <c r="I1271" t="s">
        <v>35</v>
      </c>
      <c r="J1271" t="s">
        <v>144</v>
      </c>
      <c r="K1271" t="s">
        <v>2</v>
      </c>
      <c r="L1271" t="s">
        <v>6259</v>
      </c>
      <c r="M1271" t="s">
        <v>6260</v>
      </c>
      <c r="N1271" t="s">
        <v>5646</v>
      </c>
      <c r="O1271" t="s">
        <v>71</v>
      </c>
      <c r="P1271" t="s">
        <v>6261</v>
      </c>
      <c r="Q1271" t="s">
        <v>64</v>
      </c>
      <c r="R1271" t="s">
        <v>840</v>
      </c>
      <c r="S1271">
        <v>2</v>
      </c>
      <c r="T1271">
        <v>3784</v>
      </c>
      <c r="U1271">
        <v>0</v>
      </c>
      <c r="V1271">
        <v>3784</v>
      </c>
    </row>
    <row r="1272" spans="1:22" x14ac:dyDescent="0.25">
      <c r="A1272">
        <v>186607</v>
      </c>
      <c r="B1272">
        <v>131706289</v>
      </c>
      <c r="C1272" t="s">
        <v>6262</v>
      </c>
      <c r="D1272" t="s">
        <v>6263</v>
      </c>
      <c r="E1272" t="s">
        <v>5643</v>
      </c>
      <c r="F1272" t="s">
        <v>847</v>
      </c>
      <c r="G1272" t="s">
        <v>142</v>
      </c>
      <c r="H1272" t="s">
        <v>143</v>
      </c>
      <c r="I1272" t="s">
        <v>35</v>
      </c>
      <c r="J1272" t="s">
        <v>144</v>
      </c>
      <c r="K1272" t="s">
        <v>2</v>
      </c>
      <c r="L1272" t="s">
        <v>6264</v>
      </c>
      <c r="M1272" t="s">
        <v>6265</v>
      </c>
      <c r="N1272" t="s">
        <v>5646</v>
      </c>
      <c r="O1272" t="s">
        <v>71</v>
      </c>
      <c r="P1272" t="s">
        <v>6266</v>
      </c>
      <c r="Q1272" t="s">
        <v>79</v>
      </c>
      <c r="R1272" t="s">
        <v>4926</v>
      </c>
      <c r="S1272">
        <v>0.5</v>
      </c>
      <c r="T1272">
        <v>3449</v>
      </c>
      <c r="U1272">
        <v>0</v>
      </c>
      <c r="V1272">
        <v>3449</v>
      </c>
    </row>
    <row r="1273" spans="1:22" x14ac:dyDescent="0.25">
      <c r="A1273">
        <v>186607</v>
      </c>
      <c r="B1273">
        <v>131706265</v>
      </c>
      <c r="C1273" t="s">
        <v>6267</v>
      </c>
      <c r="D1273" t="s">
        <v>6268</v>
      </c>
      <c r="E1273" t="s">
        <v>5643</v>
      </c>
      <c r="F1273" t="s">
        <v>847</v>
      </c>
      <c r="G1273" t="s">
        <v>142</v>
      </c>
      <c r="H1273" t="s">
        <v>143</v>
      </c>
      <c r="I1273" t="s">
        <v>35</v>
      </c>
      <c r="J1273" t="s">
        <v>144</v>
      </c>
      <c r="K1273" t="s">
        <v>2</v>
      </c>
      <c r="L1273" t="s">
        <v>6269</v>
      </c>
      <c r="M1273" t="s">
        <v>6270</v>
      </c>
      <c r="N1273" t="s">
        <v>5646</v>
      </c>
      <c r="O1273" t="s">
        <v>71</v>
      </c>
      <c r="P1273" t="s">
        <v>6271</v>
      </c>
      <c r="Q1273" t="s">
        <v>154</v>
      </c>
      <c r="R1273" t="s">
        <v>4926</v>
      </c>
      <c r="S1273">
        <v>0.5</v>
      </c>
      <c r="T1273">
        <v>3449</v>
      </c>
      <c r="U1273">
        <v>0</v>
      </c>
      <c r="V1273">
        <v>3449</v>
      </c>
    </row>
    <row r="1274" spans="1:22" x14ac:dyDescent="0.25">
      <c r="A1274">
        <v>186607</v>
      </c>
      <c r="B1274">
        <v>131706270</v>
      </c>
      <c r="C1274" t="s">
        <v>6272</v>
      </c>
      <c r="D1274" t="s">
        <v>6273</v>
      </c>
      <c r="E1274" t="s">
        <v>5643</v>
      </c>
      <c r="F1274" t="s">
        <v>847</v>
      </c>
      <c r="G1274" t="s">
        <v>142</v>
      </c>
      <c r="H1274" t="s">
        <v>143</v>
      </c>
      <c r="I1274" t="s">
        <v>35</v>
      </c>
      <c r="J1274" t="s">
        <v>144</v>
      </c>
      <c r="K1274" t="s">
        <v>2</v>
      </c>
      <c r="L1274" t="s">
        <v>6274</v>
      </c>
      <c r="M1274" t="s">
        <v>6275</v>
      </c>
      <c r="N1274" t="s">
        <v>5646</v>
      </c>
      <c r="O1274" t="s">
        <v>71</v>
      </c>
      <c r="P1274" t="s">
        <v>6276</v>
      </c>
      <c r="Q1274" t="s">
        <v>64</v>
      </c>
      <c r="R1274" t="s">
        <v>4926</v>
      </c>
      <c r="S1274">
        <v>0.5</v>
      </c>
      <c r="T1274">
        <v>3449</v>
      </c>
      <c r="U1274">
        <v>0</v>
      </c>
      <c r="V1274">
        <v>3449</v>
      </c>
    </row>
    <row r="1275" spans="1:22" x14ac:dyDescent="0.25">
      <c r="A1275">
        <v>186607</v>
      </c>
      <c r="B1275">
        <v>131662738</v>
      </c>
      <c r="C1275" t="s">
        <v>6277</v>
      </c>
      <c r="D1275" t="s">
        <v>6278</v>
      </c>
      <c r="E1275" t="s">
        <v>5643</v>
      </c>
      <c r="F1275" t="s">
        <v>847</v>
      </c>
      <c r="G1275" t="s">
        <v>142</v>
      </c>
      <c r="H1275" t="s">
        <v>143</v>
      </c>
      <c r="I1275" t="s">
        <v>35</v>
      </c>
      <c r="J1275" t="s">
        <v>144</v>
      </c>
      <c r="K1275" t="s">
        <v>2</v>
      </c>
      <c r="L1275" t="s">
        <v>6279</v>
      </c>
      <c r="M1275" t="s">
        <v>6280</v>
      </c>
      <c r="N1275" t="s">
        <v>5646</v>
      </c>
      <c r="O1275" t="s">
        <v>71</v>
      </c>
      <c r="P1275" t="s">
        <v>6281</v>
      </c>
      <c r="Q1275" t="s">
        <v>79</v>
      </c>
      <c r="R1275" t="s">
        <v>5755</v>
      </c>
      <c r="S1275">
        <v>0.5</v>
      </c>
      <c r="T1275">
        <v>3449</v>
      </c>
      <c r="U1275">
        <v>0</v>
      </c>
      <c r="V1275">
        <v>3449</v>
      </c>
    </row>
    <row r="1276" spans="1:22" x14ac:dyDescent="0.25">
      <c r="A1276">
        <v>186607</v>
      </c>
      <c r="B1276">
        <v>131533562</v>
      </c>
      <c r="C1276" t="s">
        <v>6282</v>
      </c>
      <c r="D1276" t="s">
        <v>6283</v>
      </c>
      <c r="E1276" t="s">
        <v>5643</v>
      </c>
      <c r="F1276" t="s">
        <v>847</v>
      </c>
      <c r="G1276" t="s">
        <v>142</v>
      </c>
      <c r="H1276" t="s">
        <v>143</v>
      </c>
      <c r="I1276" t="s">
        <v>35</v>
      </c>
      <c r="J1276" t="s">
        <v>144</v>
      </c>
      <c r="K1276" t="s">
        <v>2</v>
      </c>
      <c r="L1276" t="s">
        <v>6284</v>
      </c>
      <c r="M1276" t="s">
        <v>6285</v>
      </c>
      <c r="N1276" t="s">
        <v>5646</v>
      </c>
      <c r="O1276" t="s">
        <v>71</v>
      </c>
      <c r="P1276" t="s">
        <v>6286</v>
      </c>
      <c r="Q1276" t="s">
        <v>64</v>
      </c>
      <c r="R1276" t="s">
        <v>445</v>
      </c>
      <c r="S1276">
        <v>0.5</v>
      </c>
      <c r="T1276">
        <v>3449</v>
      </c>
      <c r="U1276">
        <v>0</v>
      </c>
      <c r="V1276">
        <v>3449</v>
      </c>
    </row>
    <row r="1277" spans="1:22" x14ac:dyDescent="0.25">
      <c r="A1277">
        <v>186607</v>
      </c>
      <c r="B1277">
        <v>131533563</v>
      </c>
      <c r="C1277" t="s">
        <v>6287</v>
      </c>
      <c r="D1277" t="s">
        <v>6288</v>
      </c>
      <c r="E1277" t="s">
        <v>5643</v>
      </c>
      <c r="F1277" t="s">
        <v>847</v>
      </c>
      <c r="G1277" t="s">
        <v>142</v>
      </c>
      <c r="H1277" t="s">
        <v>143</v>
      </c>
      <c r="I1277" t="s">
        <v>35</v>
      </c>
      <c r="J1277" t="s">
        <v>144</v>
      </c>
      <c r="K1277" t="s">
        <v>2</v>
      </c>
      <c r="L1277" t="s">
        <v>6289</v>
      </c>
      <c r="M1277" t="s">
        <v>6290</v>
      </c>
      <c r="N1277" t="s">
        <v>5646</v>
      </c>
      <c r="O1277" t="s">
        <v>71</v>
      </c>
      <c r="P1277" t="s">
        <v>6291</v>
      </c>
      <c r="Q1277" t="s">
        <v>79</v>
      </c>
      <c r="R1277" t="s">
        <v>445</v>
      </c>
      <c r="S1277">
        <v>0.5</v>
      </c>
      <c r="T1277">
        <v>3449</v>
      </c>
      <c r="U1277">
        <v>0</v>
      </c>
      <c r="V1277">
        <v>3449</v>
      </c>
    </row>
    <row r="1278" spans="1:22" x14ac:dyDescent="0.25">
      <c r="A1278">
        <v>186607</v>
      </c>
      <c r="B1278">
        <v>131533575</v>
      </c>
      <c r="C1278" t="s">
        <v>6292</v>
      </c>
      <c r="D1278" t="s">
        <v>6293</v>
      </c>
      <c r="E1278" t="s">
        <v>5643</v>
      </c>
      <c r="F1278" t="s">
        <v>847</v>
      </c>
      <c r="G1278" t="s">
        <v>142</v>
      </c>
      <c r="H1278" t="s">
        <v>143</v>
      </c>
      <c r="I1278" t="s">
        <v>35</v>
      </c>
      <c r="J1278" t="s">
        <v>144</v>
      </c>
      <c r="K1278" t="s">
        <v>2</v>
      </c>
      <c r="L1278" t="s">
        <v>6279</v>
      </c>
      <c r="M1278" t="s">
        <v>782</v>
      </c>
      <c r="N1278" t="s">
        <v>5646</v>
      </c>
      <c r="O1278" t="s">
        <v>71</v>
      </c>
      <c r="P1278" t="s">
        <v>6294</v>
      </c>
      <c r="Q1278" t="s">
        <v>79</v>
      </c>
      <c r="R1278" t="s">
        <v>445</v>
      </c>
      <c r="S1278">
        <v>0.5</v>
      </c>
      <c r="T1278">
        <v>3449</v>
      </c>
      <c r="U1278">
        <v>0</v>
      </c>
      <c r="V1278">
        <v>3449</v>
      </c>
    </row>
    <row r="1279" spans="1:22" x14ac:dyDescent="0.25">
      <c r="A1279">
        <v>186607</v>
      </c>
      <c r="B1279">
        <v>131489843</v>
      </c>
      <c r="C1279" t="s">
        <v>6295</v>
      </c>
      <c r="D1279" t="s">
        <v>6296</v>
      </c>
      <c r="E1279" t="s">
        <v>5643</v>
      </c>
      <c r="F1279" t="s">
        <v>847</v>
      </c>
      <c r="G1279" t="s">
        <v>142</v>
      </c>
      <c r="H1279" t="s">
        <v>143</v>
      </c>
      <c r="I1279" t="s">
        <v>35</v>
      </c>
      <c r="J1279" t="s">
        <v>144</v>
      </c>
      <c r="K1279" t="s">
        <v>2</v>
      </c>
      <c r="L1279" t="s">
        <v>6297</v>
      </c>
      <c r="M1279" t="s">
        <v>6298</v>
      </c>
      <c r="N1279" t="s">
        <v>5646</v>
      </c>
      <c r="O1279" t="s">
        <v>71</v>
      </c>
      <c r="P1279" t="s">
        <v>6299</v>
      </c>
      <c r="Q1279" t="s">
        <v>55</v>
      </c>
      <c r="R1279" t="s">
        <v>310</v>
      </c>
      <c r="S1279">
        <v>2.9</v>
      </c>
      <c r="T1279">
        <v>3501</v>
      </c>
      <c r="U1279">
        <v>0</v>
      </c>
      <c r="V1279">
        <v>3501</v>
      </c>
    </row>
    <row r="1280" spans="1:22" x14ac:dyDescent="0.25">
      <c r="A1280">
        <v>186607</v>
      </c>
      <c r="B1280">
        <v>131383668</v>
      </c>
      <c r="C1280" t="s">
        <v>6300</v>
      </c>
      <c r="D1280" t="s">
        <v>6301</v>
      </c>
      <c r="E1280" t="s">
        <v>5643</v>
      </c>
      <c r="F1280" t="s">
        <v>847</v>
      </c>
      <c r="G1280" t="s">
        <v>142</v>
      </c>
      <c r="H1280" t="s">
        <v>143</v>
      </c>
      <c r="I1280" t="s">
        <v>35</v>
      </c>
      <c r="J1280" t="s">
        <v>144</v>
      </c>
      <c r="K1280" t="s">
        <v>2</v>
      </c>
      <c r="L1280" t="s">
        <v>6302</v>
      </c>
      <c r="M1280" t="s">
        <v>6303</v>
      </c>
      <c r="N1280" t="s">
        <v>5646</v>
      </c>
      <c r="O1280" t="s">
        <v>71</v>
      </c>
      <c r="P1280" t="s">
        <v>6304</v>
      </c>
      <c r="Q1280" t="s">
        <v>154</v>
      </c>
      <c r="R1280" t="s">
        <v>6023</v>
      </c>
      <c r="S1280">
        <v>0.5</v>
      </c>
      <c r="T1280">
        <v>3449</v>
      </c>
      <c r="U1280">
        <v>0</v>
      </c>
      <c r="V1280">
        <v>3449</v>
      </c>
    </row>
    <row r="1281" spans="1:22" x14ac:dyDescent="0.25">
      <c r="A1281">
        <v>186607</v>
      </c>
      <c r="B1281">
        <v>131448820</v>
      </c>
      <c r="C1281" t="s">
        <v>6305</v>
      </c>
      <c r="D1281" t="s">
        <v>6306</v>
      </c>
      <c r="E1281" t="s">
        <v>5643</v>
      </c>
      <c r="F1281" t="s">
        <v>847</v>
      </c>
      <c r="G1281" t="s">
        <v>142</v>
      </c>
      <c r="H1281" t="s">
        <v>143</v>
      </c>
      <c r="I1281" t="s">
        <v>35</v>
      </c>
      <c r="J1281" t="s">
        <v>144</v>
      </c>
      <c r="K1281" t="s">
        <v>2</v>
      </c>
      <c r="L1281" t="s">
        <v>6307</v>
      </c>
      <c r="M1281" t="s">
        <v>343</v>
      </c>
      <c r="N1281" t="s">
        <v>5646</v>
      </c>
      <c r="O1281" t="s">
        <v>71</v>
      </c>
      <c r="P1281" t="s">
        <v>6308</v>
      </c>
      <c r="Q1281" t="s">
        <v>64</v>
      </c>
      <c r="R1281" t="s">
        <v>489</v>
      </c>
      <c r="S1281">
        <v>0.5</v>
      </c>
      <c r="T1281">
        <v>3449</v>
      </c>
      <c r="U1281">
        <v>0</v>
      </c>
      <c r="V1281">
        <v>3449</v>
      </c>
    </row>
    <row r="1282" spans="1:22" x14ac:dyDescent="0.25">
      <c r="A1282">
        <v>186607</v>
      </c>
      <c r="B1282">
        <v>131448786</v>
      </c>
      <c r="C1282" t="s">
        <v>6309</v>
      </c>
      <c r="D1282" t="s">
        <v>6310</v>
      </c>
      <c r="E1282" t="s">
        <v>5643</v>
      </c>
      <c r="F1282" t="s">
        <v>847</v>
      </c>
      <c r="G1282" t="s">
        <v>142</v>
      </c>
      <c r="H1282" t="s">
        <v>143</v>
      </c>
      <c r="I1282" t="s">
        <v>35</v>
      </c>
      <c r="J1282" t="s">
        <v>144</v>
      </c>
      <c r="K1282" t="s">
        <v>2</v>
      </c>
      <c r="L1282" t="s">
        <v>6311</v>
      </c>
      <c r="M1282" t="s">
        <v>501</v>
      </c>
      <c r="N1282" t="s">
        <v>5646</v>
      </c>
      <c r="O1282" t="s">
        <v>71</v>
      </c>
      <c r="P1282" t="s">
        <v>6312</v>
      </c>
      <c r="Q1282" t="s">
        <v>154</v>
      </c>
      <c r="R1282" t="s">
        <v>489</v>
      </c>
      <c r="S1282">
        <v>0.5</v>
      </c>
      <c r="T1282">
        <v>3449</v>
      </c>
      <c r="U1282">
        <v>0</v>
      </c>
      <c r="V1282">
        <v>3449</v>
      </c>
    </row>
    <row r="1283" spans="1:22" x14ac:dyDescent="0.25">
      <c r="A1283">
        <v>186607</v>
      </c>
      <c r="B1283">
        <v>131383670</v>
      </c>
      <c r="C1283" t="s">
        <v>6313</v>
      </c>
      <c r="D1283" t="s">
        <v>6314</v>
      </c>
      <c r="E1283" t="s">
        <v>5643</v>
      </c>
      <c r="F1283" t="s">
        <v>847</v>
      </c>
      <c r="G1283" t="s">
        <v>142</v>
      </c>
      <c r="H1283" t="s">
        <v>143</v>
      </c>
      <c r="I1283" t="s">
        <v>35</v>
      </c>
      <c r="J1283" t="s">
        <v>144</v>
      </c>
      <c r="K1283" t="s">
        <v>2</v>
      </c>
      <c r="L1283" t="s">
        <v>6315</v>
      </c>
      <c r="M1283" t="s">
        <v>6316</v>
      </c>
      <c r="N1283" t="s">
        <v>5646</v>
      </c>
      <c r="O1283" t="s">
        <v>71</v>
      </c>
      <c r="P1283" t="s">
        <v>6317</v>
      </c>
      <c r="Q1283" t="s">
        <v>79</v>
      </c>
      <c r="R1283" t="s">
        <v>6023</v>
      </c>
      <c r="S1283">
        <v>0.5</v>
      </c>
      <c r="T1283">
        <v>3449</v>
      </c>
      <c r="U1283">
        <v>0</v>
      </c>
      <c r="V1283">
        <v>3449</v>
      </c>
    </row>
    <row r="1284" spans="1:22" x14ac:dyDescent="0.25">
      <c r="A1284">
        <v>186607</v>
      </c>
      <c r="B1284">
        <v>131383665</v>
      </c>
      <c r="C1284" t="s">
        <v>6318</v>
      </c>
      <c r="D1284" t="s">
        <v>6319</v>
      </c>
      <c r="E1284" t="s">
        <v>5643</v>
      </c>
      <c r="F1284" t="s">
        <v>847</v>
      </c>
      <c r="G1284" t="s">
        <v>142</v>
      </c>
      <c r="H1284" t="s">
        <v>143</v>
      </c>
      <c r="I1284" t="s">
        <v>35</v>
      </c>
      <c r="J1284" t="s">
        <v>144</v>
      </c>
      <c r="K1284" t="s">
        <v>2</v>
      </c>
      <c r="L1284" t="s">
        <v>6320</v>
      </c>
      <c r="M1284" t="s">
        <v>6321</v>
      </c>
      <c r="N1284" t="s">
        <v>5646</v>
      </c>
      <c r="O1284" t="s">
        <v>71</v>
      </c>
      <c r="P1284" t="s">
        <v>6322</v>
      </c>
      <c r="Q1284" t="s">
        <v>64</v>
      </c>
      <c r="R1284" t="s">
        <v>6023</v>
      </c>
      <c r="S1284">
        <v>0.5</v>
      </c>
      <c r="T1284">
        <v>3449</v>
      </c>
      <c r="U1284">
        <v>0</v>
      </c>
      <c r="V1284">
        <v>3449</v>
      </c>
    </row>
    <row r="1285" spans="1:22" x14ac:dyDescent="0.25">
      <c r="A1285">
        <v>186607</v>
      </c>
      <c r="B1285">
        <v>131312200</v>
      </c>
      <c r="C1285" t="s">
        <v>6323</v>
      </c>
      <c r="D1285" t="s">
        <v>6324</v>
      </c>
      <c r="E1285" t="s">
        <v>5643</v>
      </c>
      <c r="F1285" t="s">
        <v>847</v>
      </c>
      <c r="G1285" t="s">
        <v>142</v>
      </c>
      <c r="H1285" t="s">
        <v>143</v>
      </c>
      <c r="I1285" t="s">
        <v>35</v>
      </c>
      <c r="J1285" t="s">
        <v>144</v>
      </c>
      <c r="K1285" t="s">
        <v>2</v>
      </c>
      <c r="L1285" t="s">
        <v>6325</v>
      </c>
      <c r="M1285" t="s">
        <v>6326</v>
      </c>
      <c r="N1285" t="s">
        <v>5646</v>
      </c>
      <c r="O1285" t="s">
        <v>71</v>
      </c>
      <c r="P1285" t="s">
        <v>6327</v>
      </c>
      <c r="Q1285" t="s">
        <v>79</v>
      </c>
      <c r="R1285" t="s">
        <v>522</v>
      </c>
      <c r="S1285">
        <v>0.5</v>
      </c>
      <c r="T1285">
        <v>3449</v>
      </c>
      <c r="U1285">
        <v>0</v>
      </c>
      <c r="V1285">
        <v>3449</v>
      </c>
    </row>
    <row r="1286" spans="1:22" x14ac:dyDescent="0.25">
      <c r="A1286">
        <v>186607</v>
      </c>
      <c r="B1286">
        <v>131992783</v>
      </c>
      <c r="C1286" t="s">
        <v>6328</v>
      </c>
      <c r="D1286" t="s">
        <v>6329</v>
      </c>
      <c r="E1286" t="s">
        <v>5643</v>
      </c>
      <c r="F1286" t="s">
        <v>847</v>
      </c>
      <c r="G1286" t="s">
        <v>142</v>
      </c>
      <c r="H1286" t="s">
        <v>143</v>
      </c>
      <c r="I1286" t="s">
        <v>35</v>
      </c>
      <c r="J1286" t="s">
        <v>144</v>
      </c>
      <c r="K1286" t="s">
        <v>169</v>
      </c>
      <c r="L1286" t="s">
        <v>267</v>
      </c>
      <c r="M1286" t="s">
        <v>6330</v>
      </c>
      <c r="N1286" t="s">
        <v>5646</v>
      </c>
      <c r="O1286" t="s">
        <v>71</v>
      </c>
      <c r="P1286" t="s">
        <v>6331</v>
      </c>
      <c r="Q1286" t="s">
        <v>79</v>
      </c>
      <c r="R1286" t="s">
        <v>5843</v>
      </c>
      <c r="S1286">
        <v>1</v>
      </c>
      <c r="T1286">
        <v>3501</v>
      </c>
      <c r="U1286">
        <v>0</v>
      </c>
      <c r="V1286">
        <v>3501</v>
      </c>
    </row>
    <row r="1287" spans="1:22" x14ac:dyDescent="0.25">
      <c r="A1287">
        <v>186607</v>
      </c>
      <c r="B1287">
        <v>132044000</v>
      </c>
      <c r="C1287" t="s">
        <v>6332</v>
      </c>
      <c r="D1287" t="s">
        <v>6333</v>
      </c>
      <c r="E1287" t="s">
        <v>5643</v>
      </c>
      <c r="F1287" t="s">
        <v>847</v>
      </c>
      <c r="G1287" t="s">
        <v>142</v>
      </c>
      <c r="H1287" t="s">
        <v>143</v>
      </c>
      <c r="I1287" t="s">
        <v>35</v>
      </c>
      <c r="J1287" t="s">
        <v>144</v>
      </c>
      <c r="K1287" t="s">
        <v>2</v>
      </c>
      <c r="L1287" t="s">
        <v>6334</v>
      </c>
      <c r="M1287" t="s">
        <v>6335</v>
      </c>
      <c r="N1287" t="s">
        <v>5646</v>
      </c>
      <c r="O1287" t="s">
        <v>71</v>
      </c>
      <c r="P1287" t="s">
        <v>6336</v>
      </c>
      <c r="Q1287" t="s">
        <v>79</v>
      </c>
      <c r="R1287" t="s">
        <v>600</v>
      </c>
      <c r="S1287">
        <v>1</v>
      </c>
      <c r="T1287">
        <v>3501</v>
      </c>
      <c r="U1287">
        <v>0</v>
      </c>
      <c r="V1287">
        <v>3501</v>
      </c>
    </row>
    <row r="1288" spans="1:22" x14ac:dyDescent="0.25">
      <c r="A1288">
        <v>186607</v>
      </c>
      <c r="B1288">
        <v>131899538</v>
      </c>
      <c r="C1288" t="s">
        <v>6337</v>
      </c>
      <c r="D1288" t="s">
        <v>6338</v>
      </c>
      <c r="E1288" t="s">
        <v>5643</v>
      </c>
      <c r="F1288" t="s">
        <v>847</v>
      </c>
      <c r="G1288" t="s">
        <v>142</v>
      </c>
      <c r="H1288" t="s">
        <v>143</v>
      </c>
      <c r="I1288" t="s">
        <v>35</v>
      </c>
      <c r="J1288" t="s">
        <v>144</v>
      </c>
      <c r="K1288" t="s">
        <v>2</v>
      </c>
      <c r="L1288" t="s">
        <v>6339</v>
      </c>
      <c r="M1288" t="s">
        <v>6340</v>
      </c>
      <c r="N1288" t="s">
        <v>5646</v>
      </c>
      <c r="O1288" t="s">
        <v>71</v>
      </c>
      <c r="P1288" t="s">
        <v>6341</v>
      </c>
      <c r="Q1288" t="s">
        <v>55</v>
      </c>
      <c r="R1288" t="s">
        <v>448</v>
      </c>
      <c r="S1288">
        <v>1</v>
      </c>
      <c r="T1288">
        <v>3501</v>
      </c>
      <c r="U1288">
        <v>0</v>
      </c>
      <c r="V1288">
        <v>3501</v>
      </c>
    </row>
    <row r="1289" spans="1:22" x14ac:dyDescent="0.25">
      <c r="A1289">
        <v>186607</v>
      </c>
      <c r="B1289">
        <v>131590309</v>
      </c>
      <c r="C1289" t="s">
        <v>6342</v>
      </c>
      <c r="D1289" t="s">
        <v>6343</v>
      </c>
      <c r="E1289" t="s">
        <v>5643</v>
      </c>
      <c r="F1289" t="s">
        <v>847</v>
      </c>
      <c r="G1289" t="s">
        <v>142</v>
      </c>
      <c r="H1289" t="s">
        <v>143</v>
      </c>
      <c r="I1289" t="s">
        <v>35</v>
      </c>
      <c r="J1289" t="s">
        <v>144</v>
      </c>
      <c r="K1289" t="s">
        <v>2</v>
      </c>
      <c r="L1289" t="s">
        <v>6344</v>
      </c>
      <c r="M1289" t="s">
        <v>6345</v>
      </c>
      <c r="N1289" t="s">
        <v>5646</v>
      </c>
      <c r="O1289" t="s">
        <v>71</v>
      </c>
      <c r="P1289" t="s">
        <v>6346</v>
      </c>
      <c r="Q1289" t="s">
        <v>55</v>
      </c>
      <c r="R1289" t="s">
        <v>5764</v>
      </c>
      <c r="S1289">
        <v>1.5</v>
      </c>
      <c r="T1289">
        <v>3501</v>
      </c>
      <c r="U1289">
        <v>0</v>
      </c>
      <c r="V1289">
        <v>3501</v>
      </c>
    </row>
    <row r="1290" spans="1:22" x14ac:dyDescent="0.25">
      <c r="A1290">
        <v>186607</v>
      </c>
      <c r="B1290">
        <v>131489838</v>
      </c>
      <c r="C1290" t="s">
        <v>6347</v>
      </c>
      <c r="D1290" t="s">
        <v>6348</v>
      </c>
      <c r="E1290" t="s">
        <v>5643</v>
      </c>
      <c r="F1290" t="s">
        <v>847</v>
      </c>
      <c r="G1290" t="s">
        <v>142</v>
      </c>
      <c r="H1290" t="s">
        <v>143</v>
      </c>
      <c r="I1290" t="s">
        <v>35</v>
      </c>
      <c r="J1290" t="s">
        <v>144</v>
      </c>
      <c r="K1290" t="s">
        <v>2</v>
      </c>
      <c r="L1290" t="s">
        <v>6349</v>
      </c>
      <c r="M1290" t="s">
        <v>6350</v>
      </c>
      <c r="N1290" t="s">
        <v>5646</v>
      </c>
      <c r="O1290" t="s">
        <v>71</v>
      </c>
      <c r="P1290" t="s">
        <v>6351</v>
      </c>
      <c r="Q1290" t="s">
        <v>79</v>
      </c>
      <c r="R1290" t="s">
        <v>310</v>
      </c>
      <c r="S1290">
        <v>1.4</v>
      </c>
      <c r="T1290">
        <v>3501</v>
      </c>
      <c r="U1290">
        <v>0</v>
      </c>
      <c r="V1290">
        <v>3501</v>
      </c>
    </row>
    <row r="1291" spans="1:22" x14ac:dyDescent="0.25">
      <c r="A1291">
        <v>186607</v>
      </c>
      <c r="B1291">
        <v>131312195</v>
      </c>
      <c r="C1291" t="s">
        <v>6352</v>
      </c>
      <c r="D1291" t="s">
        <v>6353</v>
      </c>
      <c r="E1291" t="s">
        <v>5643</v>
      </c>
      <c r="F1291" t="s">
        <v>847</v>
      </c>
      <c r="G1291" t="s">
        <v>142</v>
      </c>
      <c r="H1291" t="s">
        <v>143</v>
      </c>
      <c r="I1291" t="s">
        <v>35</v>
      </c>
      <c r="J1291" t="s">
        <v>144</v>
      </c>
      <c r="K1291" t="s">
        <v>2</v>
      </c>
      <c r="L1291" t="s">
        <v>6354</v>
      </c>
      <c r="M1291" t="s">
        <v>6355</v>
      </c>
      <c r="N1291" t="s">
        <v>5646</v>
      </c>
      <c r="O1291" t="s">
        <v>71</v>
      </c>
      <c r="P1291" t="s">
        <v>6356</v>
      </c>
      <c r="Q1291" t="s">
        <v>79</v>
      </c>
      <c r="R1291" t="s">
        <v>522</v>
      </c>
      <c r="S1291">
        <v>1.55</v>
      </c>
      <c r="T1291">
        <v>3501</v>
      </c>
      <c r="U1291">
        <v>0</v>
      </c>
      <c r="V1291">
        <v>3501</v>
      </c>
    </row>
    <row r="1292" spans="1:22" x14ac:dyDescent="0.25">
      <c r="A1292">
        <v>186607</v>
      </c>
      <c r="B1292">
        <v>132191005</v>
      </c>
      <c r="C1292" t="s">
        <v>6357</v>
      </c>
      <c r="D1292" t="s">
        <v>6358</v>
      </c>
      <c r="E1292" t="s">
        <v>5643</v>
      </c>
      <c r="F1292" t="s">
        <v>847</v>
      </c>
      <c r="G1292" t="s">
        <v>142</v>
      </c>
      <c r="H1292" t="s">
        <v>143</v>
      </c>
      <c r="I1292" t="s">
        <v>35</v>
      </c>
      <c r="J1292" t="s">
        <v>144</v>
      </c>
      <c r="K1292" t="s">
        <v>2</v>
      </c>
      <c r="L1292" t="s">
        <v>6359</v>
      </c>
      <c r="M1292" t="s">
        <v>342</v>
      </c>
      <c r="N1292" t="s">
        <v>5646</v>
      </c>
      <c r="O1292" t="s">
        <v>71</v>
      </c>
      <c r="P1292" t="s">
        <v>6360</v>
      </c>
      <c r="Q1292" t="s">
        <v>231</v>
      </c>
      <c r="R1292" t="s">
        <v>549</v>
      </c>
      <c r="S1292">
        <v>0.5</v>
      </c>
      <c r="T1292">
        <v>3680</v>
      </c>
      <c r="U1292">
        <v>0</v>
      </c>
      <c r="V1292">
        <v>3680</v>
      </c>
    </row>
    <row r="1293" spans="1:22" x14ac:dyDescent="0.25">
      <c r="A1293">
        <v>186607</v>
      </c>
      <c r="B1293">
        <v>132178939</v>
      </c>
      <c r="C1293" t="s">
        <v>6361</v>
      </c>
      <c r="D1293" t="s">
        <v>6362</v>
      </c>
      <c r="E1293" t="s">
        <v>5643</v>
      </c>
      <c r="F1293" t="s">
        <v>847</v>
      </c>
      <c r="G1293" t="s">
        <v>142</v>
      </c>
      <c r="H1293" t="s">
        <v>143</v>
      </c>
      <c r="I1293" t="s">
        <v>35</v>
      </c>
      <c r="J1293" t="s">
        <v>144</v>
      </c>
      <c r="K1293" t="s">
        <v>2</v>
      </c>
      <c r="L1293" t="s">
        <v>6363</v>
      </c>
      <c r="M1293" t="s">
        <v>6364</v>
      </c>
      <c r="N1293" t="s">
        <v>5646</v>
      </c>
      <c r="O1293" t="s">
        <v>71</v>
      </c>
      <c r="P1293" t="s">
        <v>6365</v>
      </c>
      <c r="Q1293" t="s">
        <v>52</v>
      </c>
      <c r="R1293" t="s">
        <v>371</v>
      </c>
      <c r="S1293">
        <v>0.5</v>
      </c>
      <c r="T1293">
        <v>3680</v>
      </c>
      <c r="U1293">
        <v>0</v>
      </c>
      <c r="V1293">
        <v>3680</v>
      </c>
    </row>
    <row r="1294" spans="1:22" x14ac:dyDescent="0.25">
      <c r="A1294">
        <v>186607</v>
      </c>
      <c r="B1294">
        <v>132178951</v>
      </c>
      <c r="C1294" t="s">
        <v>6366</v>
      </c>
      <c r="D1294" t="s">
        <v>6367</v>
      </c>
      <c r="E1294" t="s">
        <v>5643</v>
      </c>
      <c r="F1294" t="s">
        <v>847</v>
      </c>
      <c r="G1294" t="s">
        <v>142</v>
      </c>
      <c r="H1294" t="s">
        <v>143</v>
      </c>
      <c r="I1294" t="s">
        <v>35</v>
      </c>
      <c r="J1294" t="s">
        <v>144</v>
      </c>
      <c r="K1294" t="s">
        <v>2</v>
      </c>
      <c r="L1294" t="s">
        <v>6368</v>
      </c>
      <c r="M1294" t="s">
        <v>6369</v>
      </c>
      <c r="N1294" t="s">
        <v>5646</v>
      </c>
      <c r="O1294" t="s">
        <v>71</v>
      </c>
      <c r="P1294" t="s">
        <v>6370</v>
      </c>
      <c r="Q1294" t="s">
        <v>112</v>
      </c>
      <c r="R1294" t="s">
        <v>371</v>
      </c>
      <c r="S1294">
        <v>0.5</v>
      </c>
      <c r="T1294">
        <v>3680</v>
      </c>
      <c r="U1294">
        <v>0</v>
      </c>
      <c r="V1294">
        <v>3680</v>
      </c>
    </row>
    <row r="1295" spans="1:22" x14ac:dyDescent="0.25">
      <c r="A1295">
        <v>186607</v>
      </c>
      <c r="B1295">
        <v>132178960</v>
      </c>
      <c r="C1295" t="s">
        <v>6371</v>
      </c>
      <c r="D1295" t="s">
        <v>6372</v>
      </c>
      <c r="E1295" t="s">
        <v>5643</v>
      </c>
      <c r="F1295" t="s">
        <v>847</v>
      </c>
      <c r="G1295" t="s">
        <v>142</v>
      </c>
      <c r="H1295" t="s">
        <v>143</v>
      </c>
      <c r="I1295" t="s">
        <v>35</v>
      </c>
      <c r="J1295" t="s">
        <v>144</v>
      </c>
      <c r="K1295" t="s">
        <v>2</v>
      </c>
      <c r="L1295" t="s">
        <v>6373</v>
      </c>
      <c r="M1295" t="s">
        <v>6374</v>
      </c>
      <c r="N1295" t="s">
        <v>5646</v>
      </c>
      <c r="O1295" t="s">
        <v>71</v>
      </c>
      <c r="P1295" t="s">
        <v>6375</v>
      </c>
      <c r="Q1295" t="s">
        <v>120</v>
      </c>
      <c r="R1295" t="s">
        <v>371</v>
      </c>
      <c r="S1295">
        <v>0.5</v>
      </c>
      <c r="T1295">
        <v>3680</v>
      </c>
      <c r="U1295">
        <v>0</v>
      </c>
      <c r="V1295">
        <v>3680</v>
      </c>
    </row>
    <row r="1296" spans="1:22" x14ac:dyDescent="0.25">
      <c r="A1296">
        <v>186607</v>
      </c>
      <c r="B1296">
        <v>132191010</v>
      </c>
      <c r="C1296" t="s">
        <v>6376</v>
      </c>
      <c r="D1296" t="s">
        <v>6377</v>
      </c>
      <c r="E1296" t="s">
        <v>5643</v>
      </c>
      <c r="F1296" t="s">
        <v>847</v>
      </c>
      <c r="G1296" t="s">
        <v>142</v>
      </c>
      <c r="H1296" t="s">
        <v>143</v>
      </c>
      <c r="I1296" t="s">
        <v>35</v>
      </c>
      <c r="J1296" t="s">
        <v>144</v>
      </c>
      <c r="K1296" t="s">
        <v>2</v>
      </c>
      <c r="L1296" t="s">
        <v>6378</v>
      </c>
      <c r="M1296" t="s">
        <v>6379</v>
      </c>
      <c r="N1296" t="s">
        <v>5646</v>
      </c>
      <c r="O1296" t="s">
        <v>71</v>
      </c>
      <c r="P1296" t="s">
        <v>6380</v>
      </c>
      <c r="Q1296" t="s">
        <v>197</v>
      </c>
      <c r="R1296" t="s">
        <v>549</v>
      </c>
      <c r="S1296">
        <v>0.5</v>
      </c>
      <c r="T1296">
        <v>7359</v>
      </c>
      <c r="U1296">
        <v>0</v>
      </c>
      <c r="V1296">
        <v>7359</v>
      </c>
    </row>
    <row r="1297" spans="1:22" x14ac:dyDescent="0.25">
      <c r="A1297">
        <v>186607</v>
      </c>
      <c r="B1297">
        <v>132151198</v>
      </c>
      <c r="C1297" t="s">
        <v>6381</v>
      </c>
      <c r="D1297" t="s">
        <v>6382</v>
      </c>
      <c r="E1297" t="s">
        <v>5643</v>
      </c>
      <c r="F1297" t="s">
        <v>847</v>
      </c>
      <c r="G1297" t="s">
        <v>142</v>
      </c>
      <c r="H1297" t="s">
        <v>143</v>
      </c>
      <c r="I1297" t="s">
        <v>35</v>
      </c>
      <c r="J1297" t="s">
        <v>144</v>
      </c>
      <c r="K1297" t="s">
        <v>2</v>
      </c>
      <c r="L1297" t="s">
        <v>6383</v>
      </c>
      <c r="M1297" t="s">
        <v>6384</v>
      </c>
      <c r="N1297" t="s">
        <v>5646</v>
      </c>
      <c r="O1297" t="s">
        <v>71</v>
      </c>
      <c r="P1297" t="s">
        <v>6385</v>
      </c>
      <c r="Q1297" t="s">
        <v>74</v>
      </c>
      <c r="R1297" t="s">
        <v>734</v>
      </c>
      <c r="S1297">
        <v>0.5</v>
      </c>
      <c r="T1297">
        <v>3680</v>
      </c>
      <c r="U1297">
        <v>0</v>
      </c>
      <c r="V1297">
        <v>3680</v>
      </c>
    </row>
    <row r="1298" spans="1:22" x14ac:dyDescent="0.25">
      <c r="A1298">
        <v>186607</v>
      </c>
      <c r="B1298">
        <v>132122319</v>
      </c>
      <c r="C1298" t="s">
        <v>6386</v>
      </c>
      <c r="D1298" t="s">
        <v>6387</v>
      </c>
      <c r="E1298" t="s">
        <v>5643</v>
      </c>
      <c r="F1298" t="s">
        <v>847</v>
      </c>
      <c r="G1298" t="s">
        <v>142</v>
      </c>
      <c r="H1298" t="s">
        <v>143</v>
      </c>
      <c r="I1298" t="s">
        <v>35</v>
      </c>
      <c r="J1298" t="s">
        <v>144</v>
      </c>
      <c r="K1298" t="s">
        <v>2</v>
      </c>
      <c r="L1298" t="s">
        <v>6388</v>
      </c>
      <c r="M1298" t="s">
        <v>6389</v>
      </c>
      <c r="N1298" t="s">
        <v>5646</v>
      </c>
      <c r="O1298" t="s">
        <v>71</v>
      </c>
      <c r="P1298" t="s">
        <v>6390</v>
      </c>
      <c r="Q1298" t="s">
        <v>62</v>
      </c>
      <c r="R1298" t="s">
        <v>760</v>
      </c>
      <c r="S1298">
        <v>0.5</v>
      </c>
      <c r="T1298">
        <v>3680</v>
      </c>
      <c r="U1298">
        <v>0</v>
      </c>
      <c r="V1298">
        <v>3680</v>
      </c>
    </row>
    <row r="1299" spans="1:22" x14ac:dyDescent="0.25">
      <c r="A1299">
        <v>186607</v>
      </c>
      <c r="B1299">
        <v>132110031</v>
      </c>
      <c r="C1299" t="s">
        <v>6391</v>
      </c>
      <c r="D1299" t="s">
        <v>6392</v>
      </c>
      <c r="E1299" t="s">
        <v>5643</v>
      </c>
      <c r="F1299" t="s">
        <v>847</v>
      </c>
      <c r="G1299" t="s">
        <v>142</v>
      </c>
      <c r="H1299" t="s">
        <v>143</v>
      </c>
      <c r="I1299" t="s">
        <v>35</v>
      </c>
      <c r="J1299" t="s">
        <v>144</v>
      </c>
      <c r="K1299" t="s">
        <v>2</v>
      </c>
      <c r="L1299" t="s">
        <v>6393</v>
      </c>
      <c r="M1299" t="s">
        <v>6394</v>
      </c>
      <c r="N1299" t="s">
        <v>5646</v>
      </c>
      <c r="O1299" t="s">
        <v>71</v>
      </c>
      <c r="P1299" t="s">
        <v>6395</v>
      </c>
      <c r="Q1299" t="s">
        <v>148</v>
      </c>
      <c r="R1299" t="s">
        <v>355</v>
      </c>
      <c r="S1299">
        <v>0.5</v>
      </c>
      <c r="T1299">
        <v>3680</v>
      </c>
      <c r="U1299">
        <v>0</v>
      </c>
      <c r="V1299">
        <v>3680</v>
      </c>
    </row>
    <row r="1300" spans="1:22" x14ac:dyDescent="0.25">
      <c r="A1300">
        <v>186607</v>
      </c>
      <c r="B1300">
        <v>132151176</v>
      </c>
      <c r="C1300" t="s">
        <v>6396</v>
      </c>
      <c r="D1300" t="s">
        <v>6397</v>
      </c>
      <c r="E1300" t="s">
        <v>5643</v>
      </c>
      <c r="F1300" t="s">
        <v>847</v>
      </c>
      <c r="G1300" t="s">
        <v>142</v>
      </c>
      <c r="H1300" t="s">
        <v>143</v>
      </c>
      <c r="I1300" t="s">
        <v>35</v>
      </c>
      <c r="J1300" t="s">
        <v>144</v>
      </c>
      <c r="K1300" t="s">
        <v>2</v>
      </c>
      <c r="L1300" t="s">
        <v>6398</v>
      </c>
      <c r="M1300" t="s">
        <v>6399</v>
      </c>
      <c r="N1300" t="s">
        <v>5646</v>
      </c>
      <c r="O1300" t="s">
        <v>71</v>
      </c>
      <c r="P1300" t="s">
        <v>6400</v>
      </c>
      <c r="Q1300" t="s">
        <v>62</v>
      </c>
      <c r="R1300" t="s">
        <v>734</v>
      </c>
      <c r="S1300">
        <v>0.5</v>
      </c>
      <c r="T1300">
        <v>3680</v>
      </c>
      <c r="U1300">
        <v>0</v>
      </c>
      <c r="V1300">
        <v>3680</v>
      </c>
    </row>
    <row r="1301" spans="1:22" x14ac:dyDescent="0.25">
      <c r="A1301">
        <v>186607</v>
      </c>
      <c r="B1301">
        <v>132074197</v>
      </c>
      <c r="C1301" t="s">
        <v>6401</v>
      </c>
      <c r="D1301" t="s">
        <v>6402</v>
      </c>
      <c r="E1301" t="s">
        <v>5643</v>
      </c>
      <c r="F1301" t="s">
        <v>847</v>
      </c>
      <c r="G1301" t="s">
        <v>142</v>
      </c>
      <c r="H1301" t="s">
        <v>143</v>
      </c>
      <c r="I1301" t="s">
        <v>35</v>
      </c>
      <c r="J1301" t="s">
        <v>144</v>
      </c>
      <c r="K1301" t="s">
        <v>2</v>
      </c>
      <c r="L1301" t="s">
        <v>6403</v>
      </c>
      <c r="M1301" t="s">
        <v>817</v>
      </c>
      <c r="N1301" t="s">
        <v>5646</v>
      </c>
      <c r="O1301" t="s">
        <v>71</v>
      </c>
      <c r="P1301" t="s">
        <v>6404</v>
      </c>
      <c r="Q1301" t="s">
        <v>151</v>
      </c>
      <c r="R1301" t="s">
        <v>816</v>
      </c>
      <c r="S1301">
        <v>0.5</v>
      </c>
      <c r="T1301">
        <v>3680</v>
      </c>
      <c r="U1301">
        <v>0</v>
      </c>
      <c r="V1301">
        <v>3680</v>
      </c>
    </row>
    <row r="1302" spans="1:22" x14ac:dyDescent="0.25">
      <c r="A1302">
        <v>186607</v>
      </c>
      <c r="B1302">
        <v>131992775</v>
      </c>
      <c r="C1302" t="s">
        <v>6405</v>
      </c>
      <c r="D1302" t="s">
        <v>6406</v>
      </c>
      <c r="E1302" t="s">
        <v>5643</v>
      </c>
      <c r="F1302" t="s">
        <v>847</v>
      </c>
      <c r="G1302" t="s">
        <v>142</v>
      </c>
      <c r="H1302" t="s">
        <v>143</v>
      </c>
      <c r="I1302" t="s">
        <v>35</v>
      </c>
      <c r="J1302" t="s">
        <v>144</v>
      </c>
      <c r="K1302" t="s">
        <v>2</v>
      </c>
      <c r="L1302" t="s">
        <v>6407</v>
      </c>
      <c r="M1302" t="s">
        <v>6408</v>
      </c>
      <c r="N1302" t="s">
        <v>5646</v>
      </c>
      <c r="O1302" t="s">
        <v>71</v>
      </c>
      <c r="P1302" t="s">
        <v>6409</v>
      </c>
      <c r="Q1302" t="s">
        <v>116</v>
      </c>
      <c r="R1302" t="s">
        <v>5843</v>
      </c>
      <c r="S1302">
        <v>0.5</v>
      </c>
      <c r="T1302">
        <v>3680</v>
      </c>
      <c r="U1302">
        <v>0</v>
      </c>
      <c r="V1302">
        <v>3680</v>
      </c>
    </row>
    <row r="1303" spans="1:22" x14ac:dyDescent="0.25">
      <c r="A1303">
        <v>186607</v>
      </c>
      <c r="B1303">
        <v>132088434</v>
      </c>
      <c r="C1303" t="s">
        <v>6410</v>
      </c>
      <c r="D1303" t="s">
        <v>6411</v>
      </c>
      <c r="E1303" t="s">
        <v>5643</v>
      </c>
      <c r="F1303" t="s">
        <v>847</v>
      </c>
      <c r="G1303" t="s">
        <v>142</v>
      </c>
      <c r="H1303" t="s">
        <v>143</v>
      </c>
      <c r="I1303" t="s">
        <v>35</v>
      </c>
      <c r="J1303" t="s">
        <v>144</v>
      </c>
      <c r="K1303" t="s">
        <v>2</v>
      </c>
      <c r="L1303" t="s">
        <v>6412</v>
      </c>
      <c r="M1303" t="s">
        <v>6413</v>
      </c>
      <c r="N1303" t="s">
        <v>5646</v>
      </c>
      <c r="O1303" t="s">
        <v>71</v>
      </c>
      <c r="P1303" t="s">
        <v>6414</v>
      </c>
      <c r="Q1303" t="s">
        <v>50</v>
      </c>
      <c r="R1303" t="s">
        <v>484</v>
      </c>
      <c r="S1303">
        <v>0.5</v>
      </c>
      <c r="T1303">
        <v>3680</v>
      </c>
      <c r="U1303">
        <v>0</v>
      </c>
      <c r="V1303">
        <v>3680</v>
      </c>
    </row>
    <row r="1304" spans="1:22" x14ac:dyDescent="0.25">
      <c r="A1304">
        <v>186607</v>
      </c>
      <c r="B1304">
        <v>132022547</v>
      </c>
      <c r="C1304" t="s">
        <v>6415</v>
      </c>
      <c r="D1304" t="s">
        <v>6416</v>
      </c>
      <c r="E1304" t="s">
        <v>5643</v>
      </c>
      <c r="F1304" t="s">
        <v>847</v>
      </c>
      <c r="G1304" t="s">
        <v>142</v>
      </c>
      <c r="H1304" t="s">
        <v>143</v>
      </c>
      <c r="I1304" t="s">
        <v>35</v>
      </c>
      <c r="J1304" t="s">
        <v>144</v>
      </c>
      <c r="K1304" t="s">
        <v>2</v>
      </c>
      <c r="L1304" t="s">
        <v>6417</v>
      </c>
      <c r="M1304" t="s">
        <v>6418</v>
      </c>
      <c r="N1304" t="s">
        <v>5646</v>
      </c>
      <c r="O1304" t="s">
        <v>71</v>
      </c>
      <c r="P1304" t="s">
        <v>6419</v>
      </c>
      <c r="Q1304" t="s">
        <v>82</v>
      </c>
      <c r="R1304" t="s">
        <v>540</v>
      </c>
      <c r="S1304">
        <v>0.5</v>
      </c>
      <c r="T1304">
        <v>3680</v>
      </c>
      <c r="U1304">
        <v>0</v>
      </c>
      <c r="V1304">
        <v>3680</v>
      </c>
    </row>
    <row r="1305" spans="1:22" x14ac:dyDescent="0.25">
      <c r="A1305">
        <v>186607</v>
      </c>
      <c r="B1305">
        <v>132022571</v>
      </c>
      <c r="C1305" t="s">
        <v>6420</v>
      </c>
      <c r="D1305" t="s">
        <v>6421</v>
      </c>
      <c r="E1305" t="s">
        <v>5643</v>
      </c>
      <c r="F1305" t="s">
        <v>847</v>
      </c>
      <c r="G1305" t="s">
        <v>142</v>
      </c>
      <c r="H1305" t="s">
        <v>143</v>
      </c>
      <c r="I1305" t="s">
        <v>35</v>
      </c>
      <c r="J1305" t="s">
        <v>144</v>
      </c>
      <c r="K1305" t="s">
        <v>2</v>
      </c>
      <c r="L1305" t="s">
        <v>6422</v>
      </c>
      <c r="M1305" t="s">
        <v>6423</v>
      </c>
      <c r="N1305" t="s">
        <v>5646</v>
      </c>
      <c r="O1305" t="s">
        <v>71</v>
      </c>
      <c r="P1305" t="s">
        <v>6424</v>
      </c>
      <c r="Q1305" t="s">
        <v>248</v>
      </c>
      <c r="R1305" t="s">
        <v>540</v>
      </c>
      <c r="S1305">
        <v>0.5</v>
      </c>
      <c r="T1305">
        <v>3680</v>
      </c>
      <c r="U1305">
        <v>0</v>
      </c>
      <c r="V1305">
        <v>3680</v>
      </c>
    </row>
    <row r="1306" spans="1:22" x14ac:dyDescent="0.25">
      <c r="A1306">
        <v>186607</v>
      </c>
      <c r="B1306">
        <v>131992766</v>
      </c>
      <c r="C1306" t="s">
        <v>6425</v>
      </c>
      <c r="D1306" t="s">
        <v>6426</v>
      </c>
      <c r="E1306" t="s">
        <v>5643</v>
      </c>
      <c r="F1306" t="s">
        <v>847</v>
      </c>
      <c r="G1306" t="s">
        <v>142</v>
      </c>
      <c r="H1306" t="s">
        <v>143</v>
      </c>
      <c r="I1306" t="s">
        <v>35</v>
      </c>
      <c r="J1306" t="s">
        <v>144</v>
      </c>
      <c r="K1306" t="s">
        <v>2</v>
      </c>
      <c r="L1306" t="s">
        <v>6427</v>
      </c>
      <c r="M1306" t="s">
        <v>6428</v>
      </c>
      <c r="N1306" t="s">
        <v>5646</v>
      </c>
      <c r="O1306" t="s">
        <v>71</v>
      </c>
      <c r="P1306" t="s">
        <v>6429</v>
      </c>
      <c r="Q1306" t="s">
        <v>50</v>
      </c>
      <c r="R1306" t="s">
        <v>5843</v>
      </c>
      <c r="S1306">
        <v>0.5</v>
      </c>
      <c r="T1306">
        <v>3680</v>
      </c>
      <c r="U1306">
        <v>0</v>
      </c>
      <c r="V1306">
        <v>3680</v>
      </c>
    </row>
    <row r="1307" spans="1:22" x14ac:dyDescent="0.25">
      <c r="A1307">
        <v>186607</v>
      </c>
      <c r="B1307">
        <v>132022563</v>
      </c>
      <c r="C1307" t="s">
        <v>6430</v>
      </c>
      <c r="D1307" t="s">
        <v>6431</v>
      </c>
      <c r="E1307" t="s">
        <v>5643</v>
      </c>
      <c r="F1307" t="s">
        <v>847</v>
      </c>
      <c r="G1307" t="s">
        <v>142</v>
      </c>
      <c r="H1307" t="s">
        <v>143</v>
      </c>
      <c r="I1307" t="s">
        <v>35</v>
      </c>
      <c r="J1307" t="s">
        <v>144</v>
      </c>
      <c r="K1307" t="s">
        <v>2</v>
      </c>
      <c r="L1307" t="s">
        <v>6432</v>
      </c>
      <c r="M1307" t="s">
        <v>6433</v>
      </c>
      <c r="N1307" t="s">
        <v>5646</v>
      </c>
      <c r="O1307" t="s">
        <v>71</v>
      </c>
      <c r="P1307" t="s">
        <v>6434</v>
      </c>
      <c r="Q1307" t="s">
        <v>74</v>
      </c>
      <c r="R1307" t="s">
        <v>540</v>
      </c>
      <c r="S1307">
        <v>0.5</v>
      </c>
      <c r="T1307">
        <v>3680</v>
      </c>
      <c r="U1307">
        <v>0</v>
      </c>
      <c r="V1307">
        <v>3680</v>
      </c>
    </row>
    <row r="1308" spans="1:22" x14ac:dyDescent="0.25">
      <c r="A1308">
        <v>186607</v>
      </c>
      <c r="B1308">
        <v>131992797</v>
      </c>
      <c r="C1308" t="s">
        <v>6435</v>
      </c>
      <c r="D1308" t="s">
        <v>6436</v>
      </c>
      <c r="E1308" t="s">
        <v>5643</v>
      </c>
      <c r="F1308" t="s">
        <v>847</v>
      </c>
      <c r="G1308" t="s">
        <v>142</v>
      </c>
      <c r="H1308" t="s">
        <v>143</v>
      </c>
      <c r="I1308" t="s">
        <v>35</v>
      </c>
      <c r="J1308" t="s">
        <v>144</v>
      </c>
      <c r="K1308" t="s">
        <v>2</v>
      </c>
      <c r="L1308" t="s">
        <v>6437</v>
      </c>
      <c r="M1308" t="s">
        <v>6438</v>
      </c>
      <c r="N1308" t="s">
        <v>5646</v>
      </c>
      <c r="O1308" t="s">
        <v>71</v>
      </c>
      <c r="P1308" t="s">
        <v>6439</v>
      </c>
      <c r="Q1308" t="s">
        <v>74</v>
      </c>
      <c r="R1308" t="s">
        <v>351</v>
      </c>
      <c r="S1308">
        <v>0.5</v>
      </c>
      <c r="T1308">
        <v>3680</v>
      </c>
      <c r="U1308">
        <v>0</v>
      </c>
      <c r="V1308">
        <v>3680</v>
      </c>
    </row>
    <row r="1309" spans="1:22" x14ac:dyDescent="0.25">
      <c r="A1309">
        <v>186607</v>
      </c>
      <c r="B1309">
        <v>132022521</v>
      </c>
      <c r="C1309" t="s">
        <v>6440</v>
      </c>
      <c r="D1309" t="s">
        <v>6441</v>
      </c>
      <c r="E1309" t="s">
        <v>5643</v>
      </c>
      <c r="F1309" t="s">
        <v>847</v>
      </c>
      <c r="G1309" t="s">
        <v>142</v>
      </c>
      <c r="H1309" t="s">
        <v>143</v>
      </c>
      <c r="I1309" t="s">
        <v>35</v>
      </c>
      <c r="J1309" t="s">
        <v>144</v>
      </c>
      <c r="K1309" t="s">
        <v>2</v>
      </c>
      <c r="L1309" t="s">
        <v>6442</v>
      </c>
      <c r="M1309" t="s">
        <v>6443</v>
      </c>
      <c r="N1309" t="s">
        <v>5646</v>
      </c>
      <c r="O1309" t="s">
        <v>71</v>
      </c>
      <c r="P1309" t="s">
        <v>6444</v>
      </c>
      <c r="Q1309" t="s">
        <v>56</v>
      </c>
      <c r="R1309" t="s">
        <v>540</v>
      </c>
      <c r="S1309">
        <v>0.5</v>
      </c>
      <c r="T1309">
        <v>3680</v>
      </c>
      <c r="U1309">
        <v>0</v>
      </c>
      <c r="V1309">
        <v>3680</v>
      </c>
    </row>
    <row r="1310" spans="1:22" x14ac:dyDescent="0.25">
      <c r="A1310">
        <v>186607</v>
      </c>
      <c r="B1310">
        <v>131992796</v>
      </c>
      <c r="C1310" t="s">
        <v>6445</v>
      </c>
      <c r="D1310" t="s">
        <v>6446</v>
      </c>
      <c r="E1310" t="s">
        <v>5643</v>
      </c>
      <c r="F1310" t="s">
        <v>847</v>
      </c>
      <c r="G1310" t="s">
        <v>142</v>
      </c>
      <c r="H1310" t="s">
        <v>143</v>
      </c>
      <c r="I1310" t="s">
        <v>35</v>
      </c>
      <c r="J1310" t="s">
        <v>144</v>
      </c>
      <c r="K1310" t="s">
        <v>2</v>
      </c>
      <c r="L1310" t="s">
        <v>6447</v>
      </c>
      <c r="M1310" t="s">
        <v>6448</v>
      </c>
      <c r="N1310" t="s">
        <v>5646</v>
      </c>
      <c r="O1310" t="s">
        <v>71</v>
      </c>
      <c r="P1310" t="s">
        <v>6449</v>
      </c>
      <c r="Q1310" t="s">
        <v>50</v>
      </c>
      <c r="R1310" t="s">
        <v>351</v>
      </c>
      <c r="S1310">
        <v>0.5</v>
      </c>
      <c r="T1310">
        <v>3680</v>
      </c>
      <c r="U1310">
        <v>0</v>
      </c>
      <c r="V1310">
        <v>3680</v>
      </c>
    </row>
    <row r="1311" spans="1:22" x14ac:dyDescent="0.25">
      <c r="A1311">
        <v>186607</v>
      </c>
      <c r="B1311">
        <v>132022568</v>
      </c>
      <c r="C1311" t="s">
        <v>6450</v>
      </c>
      <c r="D1311" t="s">
        <v>6451</v>
      </c>
      <c r="E1311" t="s">
        <v>5643</v>
      </c>
      <c r="F1311" t="s">
        <v>847</v>
      </c>
      <c r="G1311" t="s">
        <v>142</v>
      </c>
      <c r="H1311" t="s">
        <v>143</v>
      </c>
      <c r="I1311" t="s">
        <v>35</v>
      </c>
      <c r="J1311" t="s">
        <v>144</v>
      </c>
      <c r="K1311" t="s">
        <v>2</v>
      </c>
      <c r="L1311" t="s">
        <v>6452</v>
      </c>
      <c r="M1311" t="s">
        <v>6453</v>
      </c>
      <c r="N1311" t="s">
        <v>5646</v>
      </c>
      <c r="O1311" t="s">
        <v>71</v>
      </c>
      <c r="P1311" t="s">
        <v>6454</v>
      </c>
      <c r="Q1311" t="s">
        <v>52</v>
      </c>
      <c r="R1311" t="s">
        <v>540</v>
      </c>
      <c r="S1311">
        <v>0.5</v>
      </c>
      <c r="T1311">
        <v>3680</v>
      </c>
      <c r="U1311">
        <v>0</v>
      </c>
      <c r="V1311">
        <v>3680</v>
      </c>
    </row>
    <row r="1312" spans="1:22" x14ac:dyDescent="0.25">
      <c r="A1312">
        <v>186607</v>
      </c>
      <c r="B1312">
        <v>131992793</v>
      </c>
      <c r="C1312" t="s">
        <v>6455</v>
      </c>
      <c r="D1312" t="s">
        <v>6456</v>
      </c>
      <c r="E1312" t="s">
        <v>5643</v>
      </c>
      <c r="F1312" t="s">
        <v>847</v>
      </c>
      <c r="G1312" t="s">
        <v>142</v>
      </c>
      <c r="H1312" t="s">
        <v>143</v>
      </c>
      <c r="I1312" t="s">
        <v>35</v>
      </c>
      <c r="J1312" t="s">
        <v>144</v>
      </c>
      <c r="K1312" t="s">
        <v>2</v>
      </c>
      <c r="L1312" t="s">
        <v>6457</v>
      </c>
      <c r="M1312" t="s">
        <v>6458</v>
      </c>
      <c r="N1312" t="s">
        <v>5646</v>
      </c>
      <c r="O1312" t="s">
        <v>71</v>
      </c>
      <c r="P1312" t="s">
        <v>6459</v>
      </c>
      <c r="Q1312" t="s">
        <v>82</v>
      </c>
      <c r="R1312" t="s">
        <v>5843</v>
      </c>
      <c r="S1312">
        <v>0.5</v>
      </c>
      <c r="T1312">
        <v>3680</v>
      </c>
      <c r="U1312">
        <v>0</v>
      </c>
      <c r="V1312">
        <v>3680</v>
      </c>
    </row>
    <row r="1313" spans="1:22" x14ac:dyDescent="0.25">
      <c r="A1313">
        <v>186607</v>
      </c>
      <c r="B1313">
        <v>132022557</v>
      </c>
      <c r="C1313" t="s">
        <v>6460</v>
      </c>
      <c r="D1313" t="s">
        <v>6461</v>
      </c>
      <c r="E1313" t="s">
        <v>5643</v>
      </c>
      <c r="F1313" t="s">
        <v>847</v>
      </c>
      <c r="G1313" t="s">
        <v>142</v>
      </c>
      <c r="H1313" t="s">
        <v>143</v>
      </c>
      <c r="I1313" t="s">
        <v>35</v>
      </c>
      <c r="J1313" t="s">
        <v>144</v>
      </c>
      <c r="K1313" t="s">
        <v>2</v>
      </c>
      <c r="L1313" t="s">
        <v>6462</v>
      </c>
      <c r="M1313" t="s">
        <v>6463</v>
      </c>
      <c r="N1313" t="s">
        <v>5646</v>
      </c>
      <c r="O1313" t="s">
        <v>71</v>
      </c>
      <c r="P1313" t="s">
        <v>6464</v>
      </c>
      <c r="Q1313" t="s">
        <v>58</v>
      </c>
      <c r="R1313" t="s">
        <v>540</v>
      </c>
      <c r="S1313">
        <v>0.5</v>
      </c>
      <c r="T1313">
        <v>3680</v>
      </c>
      <c r="U1313">
        <v>0</v>
      </c>
      <c r="V1313">
        <v>3680</v>
      </c>
    </row>
    <row r="1314" spans="1:22" x14ac:dyDescent="0.25">
      <c r="A1314">
        <v>186607</v>
      </c>
      <c r="B1314">
        <v>132043996</v>
      </c>
      <c r="C1314" t="s">
        <v>6465</v>
      </c>
      <c r="D1314" t="s">
        <v>6466</v>
      </c>
      <c r="E1314" t="s">
        <v>5643</v>
      </c>
      <c r="F1314" t="s">
        <v>847</v>
      </c>
      <c r="G1314" t="s">
        <v>142</v>
      </c>
      <c r="H1314" t="s">
        <v>143</v>
      </c>
      <c r="I1314" t="s">
        <v>35</v>
      </c>
      <c r="J1314" t="s">
        <v>144</v>
      </c>
      <c r="K1314" t="s">
        <v>2</v>
      </c>
      <c r="L1314" t="s">
        <v>6467</v>
      </c>
      <c r="M1314" t="s">
        <v>6468</v>
      </c>
      <c r="N1314" t="s">
        <v>5646</v>
      </c>
      <c r="O1314" t="s">
        <v>71</v>
      </c>
      <c r="P1314" t="s">
        <v>6469</v>
      </c>
      <c r="Q1314" t="s">
        <v>50</v>
      </c>
      <c r="R1314" t="s">
        <v>600</v>
      </c>
      <c r="S1314">
        <v>0.5</v>
      </c>
      <c r="T1314">
        <v>3680</v>
      </c>
      <c r="U1314">
        <v>0</v>
      </c>
      <c r="V1314">
        <v>3680</v>
      </c>
    </row>
    <row r="1315" spans="1:22" x14ac:dyDescent="0.25">
      <c r="A1315">
        <v>186607</v>
      </c>
      <c r="B1315">
        <v>132022526</v>
      </c>
      <c r="C1315" t="s">
        <v>6470</v>
      </c>
      <c r="D1315" t="s">
        <v>6471</v>
      </c>
      <c r="E1315" t="s">
        <v>5643</v>
      </c>
      <c r="F1315" t="s">
        <v>847</v>
      </c>
      <c r="G1315" t="s">
        <v>142</v>
      </c>
      <c r="H1315" t="s">
        <v>143</v>
      </c>
      <c r="I1315" t="s">
        <v>35</v>
      </c>
      <c r="J1315" t="s">
        <v>144</v>
      </c>
      <c r="K1315" t="s">
        <v>2</v>
      </c>
      <c r="L1315" t="s">
        <v>6472</v>
      </c>
      <c r="M1315" t="s">
        <v>785</v>
      </c>
      <c r="N1315" t="s">
        <v>5646</v>
      </c>
      <c r="O1315" t="s">
        <v>71</v>
      </c>
      <c r="P1315" t="s">
        <v>6473</v>
      </c>
      <c r="Q1315" t="s">
        <v>50</v>
      </c>
      <c r="R1315" t="s">
        <v>540</v>
      </c>
      <c r="S1315">
        <v>0.5</v>
      </c>
      <c r="T1315">
        <v>3680</v>
      </c>
      <c r="U1315">
        <v>0</v>
      </c>
      <c r="V1315">
        <v>3680</v>
      </c>
    </row>
    <row r="1316" spans="1:22" x14ac:dyDescent="0.25">
      <c r="A1316">
        <v>186607</v>
      </c>
      <c r="B1316">
        <v>131952799</v>
      </c>
      <c r="C1316" t="s">
        <v>6474</v>
      </c>
      <c r="D1316" t="s">
        <v>6475</v>
      </c>
      <c r="E1316" t="s">
        <v>5643</v>
      </c>
      <c r="F1316" t="s">
        <v>847</v>
      </c>
      <c r="G1316" t="s">
        <v>142</v>
      </c>
      <c r="H1316" t="s">
        <v>143</v>
      </c>
      <c r="I1316" t="s">
        <v>35</v>
      </c>
      <c r="J1316" t="s">
        <v>144</v>
      </c>
      <c r="K1316" t="s">
        <v>2</v>
      </c>
      <c r="L1316" t="s">
        <v>6476</v>
      </c>
      <c r="M1316" t="s">
        <v>6477</v>
      </c>
      <c r="N1316" t="s">
        <v>5646</v>
      </c>
      <c r="O1316" t="s">
        <v>71</v>
      </c>
      <c r="P1316" t="s">
        <v>6478</v>
      </c>
      <c r="Q1316" t="s">
        <v>61</v>
      </c>
      <c r="R1316" t="s">
        <v>2525</v>
      </c>
      <c r="S1316">
        <v>0.5</v>
      </c>
      <c r="T1316">
        <v>3680</v>
      </c>
      <c r="U1316">
        <v>0</v>
      </c>
      <c r="V1316">
        <v>3680</v>
      </c>
    </row>
    <row r="1317" spans="1:22" x14ac:dyDescent="0.25">
      <c r="A1317">
        <v>186607</v>
      </c>
      <c r="B1317">
        <v>131952809</v>
      </c>
      <c r="C1317" t="s">
        <v>6479</v>
      </c>
      <c r="D1317" t="s">
        <v>6480</v>
      </c>
      <c r="E1317" t="s">
        <v>5643</v>
      </c>
      <c r="F1317" t="s">
        <v>847</v>
      </c>
      <c r="G1317" t="s">
        <v>142</v>
      </c>
      <c r="H1317" t="s">
        <v>143</v>
      </c>
      <c r="I1317" t="s">
        <v>35</v>
      </c>
      <c r="J1317" t="s">
        <v>144</v>
      </c>
      <c r="K1317" t="s">
        <v>2</v>
      </c>
      <c r="L1317" t="s">
        <v>6481</v>
      </c>
      <c r="M1317" t="s">
        <v>6482</v>
      </c>
      <c r="N1317" t="s">
        <v>5646</v>
      </c>
      <c r="O1317" t="s">
        <v>71</v>
      </c>
      <c r="P1317" t="s">
        <v>6483</v>
      </c>
      <c r="Q1317" t="s">
        <v>51</v>
      </c>
      <c r="R1317" t="s">
        <v>819</v>
      </c>
      <c r="S1317">
        <v>0.5</v>
      </c>
      <c r="T1317">
        <v>3680</v>
      </c>
      <c r="U1317">
        <v>0</v>
      </c>
      <c r="V1317">
        <v>3680</v>
      </c>
    </row>
    <row r="1318" spans="1:22" x14ac:dyDescent="0.25">
      <c r="A1318">
        <v>186607</v>
      </c>
      <c r="B1318">
        <v>131964489</v>
      </c>
      <c r="C1318" t="s">
        <v>6484</v>
      </c>
      <c r="D1318" t="s">
        <v>6485</v>
      </c>
      <c r="E1318" t="s">
        <v>5643</v>
      </c>
      <c r="F1318" t="s">
        <v>847</v>
      </c>
      <c r="G1318" t="s">
        <v>142</v>
      </c>
      <c r="H1318" t="s">
        <v>143</v>
      </c>
      <c r="I1318" t="s">
        <v>35</v>
      </c>
      <c r="J1318" t="s">
        <v>144</v>
      </c>
      <c r="K1318" t="s">
        <v>2</v>
      </c>
      <c r="L1318" t="s">
        <v>6486</v>
      </c>
      <c r="M1318" t="s">
        <v>6487</v>
      </c>
      <c r="N1318" t="s">
        <v>5646</v>
      </c>
      <c r="O1318" t="s">
        <v>71</v>
      </c>
      <c r="P1318" t="s">
        <v>6488</v>
      </c>
      <c r="Q1318" t="s">
        <v>111</v>
      </c>
      <c r="R1318" t="s">
        <v>610</v>
      </c>
      <c r="S1318">
        <v>0.5</v>
      </c>
      <c r="T1318">
        <v>3680</v>
      </c>
      <c r="U1318">
        <v>0</v>
      </c>
      <c r="V1318">
        <v>3680</v>
      </c>
    </row>
    <row r="1319" spans="1:22" x14ac:dyDescent="0.25">
      <c r="A1319">
        <v>186607</v>
      </c>
      <c r="B1319">
        <v>131964488</v>
      </c>
      <c r="C1319" t="s">
        <v>6489</v>
      </c>
      <c r="D1319" t="s">
        <v>6490</v>
      </c>
      <c r="E1319" t="s">
        <v>5643</v>
      </c>
      <c r="F1319" t="s">
        <v>847</v>
      </c>
      <c r="G1319" t="s">
        <v>142</v>
      </c>
      <c r="H1319" t="s">
        <v>143</v>
      </c>
      <c r="I1319" t="s">
        <v>35</v>
      </c>
      <c r="J1319" t="s">
        <v>144</v>
      </c>
      <c r="K1319" t="s">
        <v>2</v>
      </c>
      <c r="L1319" t="s">
        <v>6491</v>
      </c>
      <c r="M1319" t="s">
        <v>6492</v>
      </c>
      <c r="N1319" t="s">
        <v>5646</v>
      </c>
      <c r="O1319" t="s">
        <v>71</v>
      </c>
      <c r="P1319" t="s">
        <v>6493</v>
      </c>
      <c r="Q1319" t="s">
        <v>82</v>
      </c>
      <c r="R1319" t="s">
        <v>610</v>
      </c>
      <c r="S1319">
        <v>0.5</v>
      </c>
      <c r="T1319">
        <v>3680</v>
      </c>
      <c r="U1319">
        <v>0</v>
      </c>
      <c r="V1319">
        <v>3680</v>
      </c>
    </row>
    <row r="1320" spans="1:22" x14ac:dyDescent="0.25">
      <c r="A1320">
        <v>186607</v>
      </c>
      <c r="B1320">
        <v>131933307</v>
      </c>
      <c r="C1320" t="s">
        <v>6494</v>
      </c>
      <c r="D1320" t="s">
        <v>6495</v>
      </c>
      <c r="E1320" t="s">
        <v>5643</v>
      </c>
      <c r="F1320" t="s">
        <v>847</v>
      </c>
      <c r="G1320" t="s">
        <v>142</v>
      </c>
      <c r="H1320" t="s">
        <v>143</v>
      </c>
      <c r="I1320" t="s">
        <v>35</v>
      </c>
      <c r="J1320" t="s">
        <v>144</v>
      </c>
      <c r="K1320" t="s">
        <v>2</v>
      </c>
      <c r="L1320" t="s">
        <v>6496</v>
      </c>
      <c r="M1320" t="s">
        <v>6497</v>
      </c>
      <c r="N1320" t="s">
        <v>5646</v>
      </c>
      <c r="O1320" t="s">
        <v>71</v>
      </c>
      <c r="P1320" t="s">
        <v>6498</v>
      </c>
      <c r="Q1320" t="s">
        <v>82</v>
      </c>
      <c r="R1320" t="s">
        <v>429</v>
      </c>
      <c r="S1320">
        <v>0.5</v>
      </c>
      <c r="T1320">
        <v>3680</v>
      </c>
      <c r="U1320">
        <v>0</v>
      </c>
      <c r="V1320">
        <v>3680</v>
      </c>
    </row>
    <row r="1321" spans="1:22" x14ac:dyDescent="0.25">
      <c r="A1321">
        <v>186607</v>
      </c>
      <c r="B1321">
        <v>131922259</v>
      </c>
      <c r="C1321" t="s">
        <v>6499</v>
      </c>
      <c r="D1321" t="s">
        <v>6500</v>
      </c>
      <c r="E1321" t="s">
        <v>5643</v>
      </c>
      <c r="F1321" t="s">
        <v>847</v>
      </c>
      <c r="G1321" t="s">
        <v>142</v>
      </c>
      <c r="H1321" t="s">
        <v>143</v>
      </c>
      <c r="I1321" t="s">
        <v>35</v>
      </c>
      <c r="J1321" t="s">
        <v>144</v>
      </c>
      <c r="K1321" t="s">
        <v>2</v>
      </c>
      <c r="L1321" t="s">
        <v>6501</v>
      </c>
      <c r="M1321" t="s">
        <v>6502</v>
      </c>
      <c r="N1321" t="s">
        <v>5646</v>
      </c>
      <c r="O1321" t="s">
        <v>71</v>
      </c>
      <c r="P1321" t="s">
        <v>6503</v>
      </c>
      <c r="Q1321" t="s">
        <v>50</v>
      </c>
      <c r="R1321" t="s">
        <v>5884</v>
      </c>
      <c r="S1321">
        <v>0.5</v>
      </c>
      <c r="T1321">
        <v>3680</v>
      </c>
      <c r="U1321">
        <v>0</v>
      </c>
      <c r="V1321">
        <v>3680</v>
      </c>
    </row>
    <row r="1322" spans="1:22" x14ac:dyDescent="0.25">
      <c r="A1322">
        <v>186607</v>
      </c>
      <c r="B1322">
        <v>131933295</v>
      </c>
      <c r="C1322" t="s">
        <v>6504</v>
      </c>
      <c r="D1322" t="s">
        <v>6505</v>
      </c>
      <c r="E1322" t="s">
        <v>5643</v>
      </c>
      <c r="F1322" t="s">
        <v>847</v>
      </c>
      <c r="G1322" t="s">
        <v>142</v>
      </c>
      <c r="H1322" t="s">
        <v>143</v>
      </c>
      <c r="I1322" t="s">
        <v>35</v>
      </c>
      <c r="J1322" t="s">
        <v>144</v>
      </c>
      <c r="K1322" t="s">
        <v>2</v>
      </c>
      <c r="L1322" t="s">
        <v>6506</v>
      </c>
      <c r="M1322" t="s">
        <v>6507</v>
      </c>
      <c r="N1322" t="s">
        <v>5646</v>
      </c>
      <c r="O1322" t="s">
        <v>71</v>
      </c>
      <c r="P1322" t="s">
        <v>6508</v>
      </c>
      <c r="Q1322" t="s">
        <v>50</v>
      </c>
      <c r="R1322" t="s">
        <v>429</v>
      </c>
      <c r="S1322">
        <v>0.5</v>
      </c>
      <c r="T1322">
        <v>3680</v>
      </c>
      <c r="U1322">
        <v>0</v>
      </c>
      <c r="V1322">
        <v>3680</v>
      </c>
    </row>
    <row r="1323" spans="1:22" x14ac:dyDescent="0.25">
      <c r="A1323">
        <v>186607</v>
      </c>
      <c r="B1323">
        <v>131922252</v>
      </c>
      <c r="C1323" t="s">
        <v>6509</v>
      </c>
      <c r="D1323" t="s">
        <v>6510</v>
      </c>
      <c r="E1323" t="s">
        <v>5643</v>
      </c>
      <c r="F1323" t="s">
        <v>847</v>
      </c>
      <c r="G1323" t="s">
        <v>142</v>
      </c>
      <c r="H1323" t="s">
        <v>143</v>
      </c>
      <c r="I1323" t="s">
        <v>35</v>
      </c>
      <c r="J1323" t="s">
        <v>144</v>
      </c>
      <c r="K1323" t="s">
        <v>2</v>
      </c>
      <c r="L1323" t="s">
        <v>6511</v>
      </c>
      <c r="M1323" t="s">
        <v>6512</v>
      </c>
      <c r="N1323" t="s">
        <v>5646</v>
      </c>
      <c r="O1323" t="s">
        <v>71</v>
      </c>
      <c r="P1323" t="s">
        <v>6513</v>
      </c>
      <c r="Q1323" t="s">
        <v>52</v>
      </c>
      <c r="R1323" t="s">
        <v>5884</v>
      </c>
      <c r="S1323">
        <v>0.5</v>
      </c>
      <c r="T1323">
        <v>3680</v>
      </c>
      <c r="U1323">
        <v>0</v>
      </c>
      <c r="V1323">
        <v>3680</v>
      </c>
    </row>
    <row r="1324" spans="1:22" x14ac:dyDescent="0.25">
      <c r="A1324">
        <v>186607</v>
      </c>
      <c r="B1324">
        <v>131774056</v>
      </c>
      <c r="C1324" t="s">
        <v>6514</v>
      </c>
      <c r="D1324" t="s">
        <v>6515</v>
      </c>
      <c r="E1324" t="s">
        <v>5643</v>
      </c>
      <c r="F1324" t="s">
        <v>847</v>
      </c>
      <c r="G1324" t="s">
        <v>142</v>
      </c>
      <c r="H1324" t="s">
        <v>143</v>
      </c>
      <c r="I1324" t="s">
        <v>35</v>
      </c>
      <c r="J1324" t="s">
        <v>144</v>
      </c>
      <c r="K1324" t="s">
        <v>2</v>
      </c>
      <c r="L1324" t="s">
        <v>6516</v>
      </c>
      <c r="M1324" t="s">
        <v>6517</v>
      </c>
      <c r="N1324" t="s">
        <v>5646</v>
      </c>
      <c r="O1324" t="s">
        <v>71</v>
      </c>
      <c r="P1324" t="s">
        <v>6518</v>
      </c>
      <c r="Q1324" t="s">
        <v>75</v>
      </c>
      <c r="R1324" t="s">
        <v>632</v>
      </c>
      <c r="S1324">
        <v>0.5</v>
      </c>
      <c r="T1324">
        <v>3680</v>
      </c>
      <c r="U1324">
        <v>0</v>
      </c>
      <c r="V1324">
        <v>3680</v>
      </c>
    </row>
    <row r="1325" spans="1:22" x14ac:dyDescent="0.25">
      <c r="A1325">
        <v>186607</v>
      </c>
      <c r="B1325">
        <v>131887989</v>
      </c>
      <c r="C1325" t="s">
        <v>6519</v>
      </c>
      <c r="D1325" t="s">
        <v>6520</v>
      </c>
      <c r="E1325" t="s">
        <v>5643</v>
      </c>
      <c r="F1325" t="s">
        <v>847</v>
      </c>
      <c r="G1325" t="s">
        <v>142</v>
      </c>
      <c r="H1325" t="s">
        <v>143</v>
      </c>
      <c r="I1325" t="s">
        <v>35</v>
      </c>
      <c r="J1325" t="s">
        <v>144</v>
      </c>
      <c r="K1325" t="s">
        <v>2</v>
      </c>
      <c r="L1325" t="s">
        <v>6521</v>
      </c>
      <c r="M1325" t="s">
        <v>139</v>
      </c>
      <c r="N1325" t="s">
        <v>5646</v>
      </c>
      <c r="O1325" t="s">
        <v>71</v>
      </c>
      <c r="P1325" t="s">
        <v>6522</v>
      </c>
      <c r="Q1325" t="s">
        <v>82</v>
      </c>
      <c r="R1325" t="s">
        <v>5909</v>
      </c>
      <c r="S1325">
        <v>0.5</v>
      </c>
      <c r="T1325">
        <v>3680</v>
      </c>
      <c r="U1325">
        <v>0</v>
      </c>
      <c r="V1325">
        <v>3680</v>
      </c>
    </row>
    <row r="1326" spans="1:22" x14ac:dyDescent="0.25">
      <c r="A1326">
        <v>186607</v>
      </c>
      <c r="B1326">
        <v>131821943</v>
      </c>
      <c r="C1326" t="s">
        <v>6523</v>
      </c>
      <c r="D1326" t="s">
        <v>6524</v>
      </c>
      <c r="E1326" t="s">
        <v>5643</v>
      </c>
      <c r="F1326" t="s">
        <v>847</v>
      </c>
      <c r="G1326" t="s">
        <v>142</v>
      </c>
      <c r="H1326" t="s">
        <v>143</v>
      </c>
      <c r="I1326" t="s">
        <v>35</v>
      </c>
      <c r="J1326" t="s">
        <v>144</v>
      </c>
      <c r="K1326" t="s">
        <v>2</v>
      </c>
      <c r="L1326" t="s">
        <v>6525</v>
      </c>
      <c r="M1326" t="s">
        <v>6526</v>
      </c>
      <c r="N1326" t="s">
        <v>5646</v>
      </c>
      <c r="O1326" t="s">
        <v>71</v>
      </c>
      <c r="P1326" t="s">
        <v>6527</v>
      </c>
      <c r="Q1326" t="s">
        <v>113</v>
      </c>
      <c r="R1326" t="s">
        <v>434</v>
      </c>
      <c r="S1326">
        <v>14.25</v>
      </c>
      <c r="T1326">
        <v>8595</v>
      </c>
      <c r="U1326">
        <v>0</v>
      </c>
      <c r="V1326">
        <v>8595</v>
      </c>
    </row>
    <row r="1327" spans="1:22" x14ac:dyDescent="0.25">
      <c r="A1327">
        <v>186607</v>
      </c>
      <c r="B1327">
        <v>131899532</v>
      </c>
      <c r="C1327" t="s">
        <v>6528</v>
      </c>
      <c r="D1327" t="s">
        <v>6529</v>
      </c>
      <c r="E1327" t="s">
        <v>5643</v>
      </c>
      <c r="F1327" t="s">
        <v>847</v>
      </c>
      <c r="G1327" t="s">
        <v>142</v>
      </c>
      <c r="H1327" t="s">
        <v>143</v>
      </c>
      <c r="I1327" t="s">
        <v>35</v>
      </c>
      <c r="J1327" t="s">
        <v>144</v>
      </c>
      <c r="K1327" t="s">
        <v>2</v>
      </c>
      <c r="L1327" t="s">
        <v>6530</v>
      </c>
      <c r="M1327" t="s">
        <v>806</v>
      </c>
      <c r="N1327" t="s">
        <v>5646</v>
      </c>
      <c r="O1327" t="s">
        <v>71</v>
      </c>
      <c r="P1327" t="s">
        <v>6531</v>
      </c>
      <c r="Q1327" t="s">
        <v>112</v>
      </c>
      <c r="R1327" t="s">
        <v>448</v>
      </c>
      <c r="S1327">
        <v>0.5</v>
      </c>
      <c r="T1327">
        <v>3680</v>
      </c>
      <c r="U1327">
        <v>0</v>
      </c>
      <c r="V1327">
        <v>3680</v>
      </c>
    </row>
    <row r="1328" spans="1:22" x14ac:dyDescent="0.25">
      <c r="A1328">
        <v>186607</v>
      </c>
      <c r="B1328">
        <v>131887979</v>
      </c>
      <c r="C1328" t="s">
        <v>6532</v>
      </c>
      <c r="D1328" t="s">
        <v>6533</v>
      </c>
      <c r="E1328" t="s">
        <v>5643</v>
      </c>
      <c r="F1328" t="s">
        <v>847</v>
      </c>
      <c r="G1328" t="s">
        <v>142</v>
      </c>
      <c r="H1328" t="s">
        <v>143</v>
      </c>
      <c r="I1328" t="s">
        <v>35</v>
      </c>
      <c r="J1328" t="s">
        <v>144</v>
      </c>
      <c r="K1328" t="s">
        <v>2</v>
      </c>
      <c r="L1328" t="s">
        <v>6534</v>
      </c>
      <c r="M1328" t="s">
        <v>6535</v>
      </c>
      <c r="N1328" t="s">
        <v>5646</v>
      </c>
      <c r="O1328" t="s">
        <v>71</v>
      </c>
      <c r="P1328" t="s">
        <v>6536</v>
      </c>
      <c r="Q1328" t="s">
        <v>230</v>
      </c>
      <c r="R1328" t="s">
        <v>5909</v>
      </c>
      <c r="S1328">
        <v>0.5</v>
      </c>
      <c r="T1328">
        <v>3680</v>
      </c>
      <c r="U1328">
        <v>0</v>
      </c>
      <c r="V1328">
        <v>3680</v>
      </c>
    </row>
    <row r="1329" spans="1:22" x14ac:dyDescent="0.25">
      <c r="A1329">
        <v>186607</v>
      </c>
      <c r="B1329">
        <v>131857923</v>
      </c>
      <c r="C1329" t="s">
        <v>6537</v>
      </c>
      <c r="D1329" t="s">
        <v>6538</v>
      </c>
      <c r="E1329" t="s">
        <v>5643</v>
      </c>
      <c r="F1329" t="s">
        <v>847</v>
      </c>
      <c r="G1329" t="s">
        <v>142</v>
      </c>
      <c r="H1329" t="s">
        <v>143</v>
      </c>
      <c r="I1329" t="s">
        <v>35</v>
      </c>
      <c r="J1329" t="s">
        <v>144</v>
      </c>
      <c r="K1329" t="s">
        <v>2</v>
      </c>
      <c r="L1329" t="s">
        <v>6539</v>
      </c>
      <c r="M1329" t="s">
        <v>6540</v>
      </c>
      <c r="N1329" t="s">
        <v>5646</v>
      </c>
      <c r="O1329" t="s">
        <v>71</v>
      </c>
      <c r="P1329" t="s">
        <v>6541</v>
      </c>
      <c r="Q1329" t="s">
        <v>74</v>
      </c>
      <c r="R1329" t="s">
        <v>840</v>
      </c>
      <c r="S1329">
        <v>0.5</v>
      </c>
      <c r="T1329">
        <v>3680</v>
      </c>
      <c r="U1329">
        <v>0</v>
      </c>
      <c r="V1329">
        <v>3680</v>
      </c>
    </row>
    <row r="1330" spans="1:22" x14ac:dyDescent="0.25">
      <c r="A1330">
        <v>186607</v>
      </c>
      <c r="B1330">
        <v>131821931</v>
      </c>
      <c r="C1330" t="s">
        <v>6542</v>
      </c>
      <c r="D1330" t="s">
        <v>6543</v>
      </c>
      <c r="E1330" t="s">
        <v>5643</v>
      </c>
      <c r="F1330" t="s">
        <v>847</v>
      </c>
      <c r="G1330" t="s">
        <v>142</v>
      </c>
      <c r="H1330" t="s">
        <v>143</v>
      </c>
      <c r="I1330" t="s">
        <v>35</v>
      </c>
      <c r="J1330" t="s">
        <v>144</v>
      </c>
      <c r="K1330" t="s">
        <v>2</v>
      </c>
      <c r="L1330" t="s">
        <v>6544</v>
      </c>
      <c r="M1330" t="s">
        <v>563</v>
      </c>
      <c r="N1330" t="s">
        <v>5646</v>
      </c>
      <c r="O1330" t="s">
        <v>71</v>
      </c>
      <c r="P1330" t="s">
        <v>6545</v>
      </c>
      <c r="Q1330" t="s">
        <v>74</v>
      </c>
      <c r="R1330" t="s">
        <v>434</v>
      </c>
      <c r="S1330">
        <v>0.5</v>
      </c>
      <c r="T1330">
        <v>3680</v>
      </c>
      <c r="U1330">
        <v>0</v>
      </c>
      <c r="V1330">
        <v>3680</v>
      </c>
    </row>
    <row r="1331" spans="1:22" x14ac:dyDescent="0.25">
      <c r="A1331">
        <v>186607</v>
      </c>
      <c r="B1331">
        <v>131821866</v>
      </c>
      <c r="C1331" t="s">
        <v>6546</v>
      </c>
      <c r="D1331" t="s">
        <v>6547</v>
      </c>
      <c r="E1331" t="s">
        <v>5643</v>
      </c>
      <c r="F1331" t="s">
        <v>847</v>
      </c>
      <c r="G1331" t="s">
        <v>142</v>
      </c>
      <c r="H1331" t="s">
        <v>143</v>
      </c>
      <c r="I1331" t="s">
        <v>35</v>
      </c>
      <c r="J1331" t="s">
        <v>144</v>
      </c>
      <c r="K1331" t="s">
        <v>2</v>
      </c>
      <c r="L1331" t="s">
        <v>6548</v>
      </c>
      <c r="M1331" t="s">
        <v>6549</v>
      </c>
      <c r="N1331" t="s">
        <v>5646</v>
      </c>
      <c r="O1331" t="s">
        <v>71</v>
      </c>
      <c r="P1331" t="s">
        <v>6550</v>
      </c>
      <c r="Q1331" t="s">
        <v>82</v>
      </c>
      <c r="R1331" t="s">
        <v>412</v>
      </c>
      <c r="S1331">
        <v>0.75</v>
      </c>
      <c r="T1331">
        <v>4067</v>
      </c>
      <c r="U1331">
        <v>0</v>
      </c>
      <c r="V1331">
        <v>4067</v>
      </c>
    </row>
    <row r="1332" spans="1:22" x14ac:dyDescent="0.25">
      <c r="A1332">
        <v>186607</v>
      </c>
      <c r="B1332">
        <v>131821852</v>
      </c>
      <c r="C1332" t="s">
        <v>6551</v>
      </c>
      <c r="D1332" t="s">
        <v>6552</v>
      </c>
      <c r="E1332" t="s">
        <v>5643</v>
      </c>
      <c r="F1332" t="s">
        <v>847</v>
      </c>
      <c r="G1332" t="s">
        <v>142</v>
      </c>
      <c r="H1332" t="s">
        <v>143</v>
      </c>
      <c r="I1332" t="s">
        <v>35</v>
      </c>
      <c r="J1332" t="s">
        <v>144</v>
      </c>
      <c r="K1332" t="s">
        <v>2</v>
      </c>
      <c r="L1332" t="s">
        <v>6553</v>
      </c>
      <c r="M1332" t="s">
        <v>6554</v>
      </c>
      <c r="N1332" t="s">
        <v>5646</v>
      </c>
      <c r="O1332" t="s">
        <v>71</v>
      </c>
      <c r="P1332" t="s">
        <v>6555</v>
      </c>
      <c r="Q1332" t="s">
        <v>74</v>
      </c>
      <c r="R1332" t="s">
        <v>412</v>
      </c>
      <c r="S1332">
        <v>0.7</v>
      </c>
      <c r="T1332">
        <v>4346</v>
      </c>
      <c r="U1332">
        <v>0</v>
      </c>
      <c r="V1332">
        <v>4346</v>
      </c>
    </row>
    <row r="1333" spans="1:22" x14ac:dyDescent="0.25">
      <c r="A1333">
        <v>186607</v>
      </c>
      <c r="B1333">
        <v>131821919</v>
      </c>
      <c r="C1333" t="s">
        <v>6556</v>
      </c>
      <c r="D1333" t="s">
        <v>6557</v>
      </c>
      <c r="E1333" t="s">
        <v>5643</v>
      </c>
      <c r="F1333" t="s">
        <v>847</v>
      </c>
      <c r="G1333" t="s">
        <v>142</v>
      </c>
      <c r="H1333" t="s">
        <v>143</v>
      </c>
      <c r="I1333" t="s">
        <v>35</v>
      </c>
      <c r="J1333" t="s">
        <v>144</v>
      </c>
      <c r="K1333" t="s">
        <v>2</v>
      </c>
      <c r="L1333" t="s">
        <v>6558</v>
      </c>
      <c r="M1333" t="s">
        <v>6559</v>
      </c>
      <c r="N1333" t="s">
        <v>5646</v>
      </c>
      <c r="O1333" t="s">
        <v>71</v>
      </c>
      <c r="P1333" t="s">
        <v>6560</v>
      </c>
      <c r="Q1333" t="s">
        <v>50</v>
      </c>
      <c r="R1333" t="s">
        <v>412</v>
      </c>
      <c r="S1333">
        <v>0.5</v>
      </c>
      <c r="T1333">
        <v>3680</v>
      </c>
      <c r="U1333">
        <v>0</v>
      </c>
      <c r="V1333">
        <v>3680</v>
      </c>
    </row>
    <row r="1334" spans="1:22" x14ac:dyDescent="0.25">
      <c r="A1334">
        <v>186607</v>
      </c>
      <c r="B1334">
        <v>131774068</v>
      </c>
      <c r="C1334" t="s">
        <v>6561</v>
      </c>
      <c r="D1334" t="s">
        <v>6562</v>
      </c>
      <c r="E1334" t="s">
        <v>5643</v>
      </c>
      <c r="F1334" t="s">
        <v>847</v>
      </c>
      <c r="G1334" t="s">
        <v>142</v>
      </c>
      <c r="H1334" t="s">
        <v>143</v>
      </c>
      <c r="I1334" t="s">
        <v>35</v>
      </c>
      <c r="J1334" t="s">
        <v>144</v>
      </c>
      <c r="K1334" t="s">
        <v>2</v>
      </c>
      <c r="L1334" t="s">
        <v>6563</v>
      </c>
      <c r="M1334" t="s">
        <v>6564</v>
      </c>
      <c r="N1334" t="s">
        <v>5646</v>
      </c>
      <c r="O1334" t="s">
        <v>71</v>
      </c>
      <c r="P1334" t="s">
        <v>6565</v>
      </c>
      <c r="Q1334" t="s">
        <v>50</v>
      </c>
      <c r="R1334" t="s">
        <v>632</v>
      </c>
      <c r="S1334">
        <v>0.5</v>
      </c>
      <c r="T1334">
        <v>3680</v>
      </c>
      <c r="U1334">
        <v>0</v>
      </c>
      <c r="V1334">
        <v>3680</v>
      </c>
    </row>
    <row r="1335" spans="1:22" x14ac:dyDescent="0.25">
      <c r="A1335">
        <v>186607</v>
      </c>
      <c r="B1335">
        <v>131821902</v>
      </c>
      <c r="C1335" t="s">
        <v>6566</v>
      </c>
      <c r="D1335" t="s">
        <v>6567</v>
      </c>
      <c r="E1335" t="s">
        <v>5643</v>
      </c>
      <c r="F1335" t="s">
        <v>847</v>
      </c>
      <c r="G1335" t="s">
        <v>142</v>
      </c>
      <c r="H1335" t="s">
        <v>143</v>
      </c>
      <c r="I1335" t="s">
        <v>35</v>
      </c>
      <c r="J1335" t="s">
        <v>144</v>
      </c>
      <c r="K1335" t="s">
        <v>2</v>
      </c>
      <c r="L1335" t="s">
        <v>6568</v>
      </c>
      <c r="M1335" t="s">
        <v>6569</v>
      </c>
      <c r="N1335" t="s">
        <v>5646</v>
      </c>
      <c r="O1335" t="s">
        <v>71</v>
      </c>
      <c r="P1335" t="s">
        <v>6570</v>
      </c>
      <c r="Q1335" t="s">
        <v>62</v>
      </c>
      <c r="R1335" t="s">
        <v>412</v>
      </c>
      <c r="S1335">
        <v>1.8</v>
      </c>
      <c r="T1335">
        <v>3753</v>
      </c>
      <c r="U1335">
        <v>0</v>
      </c>
      <c r="V1335">
        <v>3753</v>
      </c>
    </row>
    <row r="1336" spans="1:22" x14ac:dyDescent="0.25">
      <c r="A1336">
        <v>186607</v>
      </c>
      <c r="B1336">
        <v>131741070</v>
      </c>
      <c r="C1336" t="s">
        <v>6571</v>
      </c>
      <c r="D1336" t="s">
        <v>6572</v>
      </c>
      <c r="E1336" t="s">
        <v>5643</v>
      </c>
      <c r="F1336" t="s">
        <v>847</v>
      </c>
      <c r="G1336" t="s">
        <v>142</v>
      </c>
      <c r="H1336" t="s">
        <v>143</v>
      </c>
      <c r="I1336" t="s">
        <v>35</v>
      </c>
      <c r="J1336" t="s">
        <v>144</v>
      </c>
      <c r="K1336" t="s">
        <v>2</v>
      </c>
      <c r="L1336" t="s">
        <v>6573</v>
      </c>
      <c r="M1336" t="s">
        <v>6574</v>
      </c>
      <c r="N1336" t="s">
        <v>5646</v>
      </c>
      <c r="O1336" t="s">
        <v>71</v>
      </c>
      <c r="P1336" t="s">
        <v>6575</v>
      </c>
      <c r="Q1336" t="s">
        <v>62</v>
      </c>
      <c r="R1336" t="s">
        <v>710</v>
      </c>
      <c r="S1336">
        <v>0.5</v>
      </c>
      <c r="T1336">
        <v>3680</v>
      </c>
      <c r="U1336">
        <v>0</v>
      </c>
      <c r="V1336">
        <v>3680</v>
      </c>
    </row>
    <row r="1337" spans="1:22" x14ac:dyDescent="0.25">
      <c r="A1337">
        <v>186607</v>
      </c>
      <c r="B1337">
        <v>131678864</v>
      </c>
      <c r="C1337" t="s">
        <v>6576</v>
      </c>
      <c r="D1337" t="s">
        <v>6577</v>
      </c>
      <c r="E1337" t="s">
        <v>5643</v>
      </c>
      <c r="F1337" t="s">
        <v>847</v>
      </c>
      <c r="G1337" t="s">
        <v>142</v>
      </c>
      <c r="H1337" t="s">
        <v>143</v>
      </c>
      <c r="I1337" t="s">
        <v>35</v>
      </c>
      <c r="J1337" t="s">
        <v>144</v>
      </c>
      <c r="K1337" t="s">
        <v>2</v>
      </c>
      <c r="L1337" t="s">
        <v>6578</v>
      </c>
      <c r="M1337" t="s">
        <v>6579</v>
      </c>
      <c r="N1337" t="s">
        <v>5646</v>
      </c>
      <c r="O1337" t="s">
        <v>71</v>
      </c>
      <c r="P1337" t="s">
        <v>6580</v>
      </c>
      <c r="Q1337" t="s">
        <v>75</v>
      </c>
      <c r="R1337" t="s">
        <v>379</v>
      </c>
      <c r="S1337">
        <v>0.5</v>
      </c>
      <c r="T1337">
        <v>3680</v>
      </c>
      <c r="U1337">
        <v>0</v>
      </c>
      <c r="V1337">
        <v>3680</v>
      </c>
    </row>
    <row r="1338" spans="1:22" x14ac:dyDescent="0.25">
      <c r="A1338">
        <v>186607</v>
      </c>
      <c r="B1338">
        <v>131732704</v>
      </c>
      <c r="C1338" t="s">
        <v>6581</v>
      </c>
      <c r="D1338" t="s">
        <v>6582</v>
      </c>
      <c r="E1338" t="s">
        <v>5643</v>
      </c>
      <c r="F1338" t="s">
        <v>847</v>
      </c>
      <c r="G1338" t="s">
        <v>142</v>
      </c>
      <c r="H1338" t="s">
        <v>143</v>
      </c>
      <c r="I1338" t="s">
        <v>35</v>
      </c>
      <c r="J1338" t="s">
        <v>144</v>
      </c>
      <c r="K1338" t="s">
        <v>2</v>
      </c>
      <c r="L1338" t="s">
        <v>6583</v>
      </c>
      <c r="M1338" t="s">
        <v>460</v>
      </c>
      <c r="N1338" t="s">
        <v>5646</v>
      </c>
      <c r="O1338" t="s">
        <v>71</v>
      </c>
      <c r="P1338" t="s">
        <v>6584</v>
      </c>
      <c r="Q1338" t="s">
        <v>83</v>
      </c>
      <c r="R1338" t="s">
        <v>411</v>
      </c>
      <c r="S1338">
        <v>2</v>
      </c>
      <c r="T1338">
        <v>3753</v>
      </c>
      <c r="U1338">
        <v>0</v>
      </c>
      <c r="V1338">
        <v>3753</v>
      </c>
    </row>
    <row r="1339" spans="1:22" x14ac:dyDescent="0.25">
      <c r="A1339">
        <v>186607</v>
      </c>
      <c r="B1339">
        <v>131662716</v>
      </c>
      <c r="C1339" t="s">
        <v>6585</v>
      </c>
      <c r="D1339" t="s">
        <v>6586</v>
      </c>
      <c r="E1339" t="s">
        <v>5643</v>
      </c>
      <c r="F1339" t="s">
        <v>847</v>
      </c>
      <c r="G1339" t="s">
        <v>142</v>
      </c>
      <c r="H1339" t="s">
        <v>143</v>
      </c>
      <c r="I1339" t="s">
        <v>35</v>
      </c>
      <c r="J1339" t="s">
        <v>144</v>
      </c>
      <c r="K1339" t="s">
        <v>2</v>
      </c>
      <c r="L1339" t="s">
        <v>6587</v>
      </c>
      <c r="M1339" t="s">
        <v>6588</v>
      </c>
      <c r="N1339" t="s">
        <v>5646</v>
      </c>
      <c r="O1339" t="s">
        <v>71</v>
      </c>
      <c r="P1339" t="s">
        <v>6589</v>
      </c>
      <c r="Q1339" t="s">
        <v>121</v>
      </c>
      <c r="R1339" t="s">
        <v>5755</v>
      </c>
      <c r="S1339">
        <v>0.25</v>
      </c>
      <c r="T1339">
        <v>3680</v>
      </c>
      <c r="U1339">
        <v>0</v>
      </c>
      <c r="V1339">
        <v>3680</v>
      </c>
    </row>
    <row r="1340" spans="1:22" x14ac:dyDescent="0.25">
      <c r="A1340">
        <v>186607</v>
      </c>
      <c r="B1340">
        <v>131706277</v>
      </c>
      <c r="C1340" t="s">
        <v>6590</v>
      </c>
      <c r="D1340" t="s">
        <v>6591</v>
      </c>
      <c r="E1340" t="s">
        <v>5643</v>
      </c>
      <c r="F1340" t="s">
        <v>847</v>
      </c>
      <c r="G1340" t="s">
        <v>142</v>
      </c>
      <c r="H1340" t="s">
        <v>143</v>
      </c>
      <c r="I1340" t="s">
        <v>35</v>
      </c>
      <c r="J1340" t="s">
        <v>144</v>
      </c>
      <c r="K1340" t="s">
        <v>2</v>
      </c>
      <c r="L1340" t="s">
        <v>6592</v>
      </c>
      <c r="M1340" t="s">
        <v>6593</v>
      </c>
      <c r="N1340" t="s">
        <v>5646</v>
      </c>
      <c r="O1340" t="s">
        <v>71</v>
      </c>
      <c r="P1340" t="s">
        <v>6594</v>
      </c>
      <c r="Q1340" t="s">
        <v>112</v>
      </c>
      <c r="R1340" t="s">
        <v>4926</v>
      </c>
      <c r="S1340">
        <v>0.5</v>
      </c>
      <c r="T1340">
        <v>3680</v>
      </c>
      <c r="U1340">
        <v>0</v>
      </c>
      <c r="V1340">
        <v>3680</v>
      </c>
    </row>
    <row r="1341" spans="1:22" x14ac:dyDescent="0.25">
      <c r="A1341">
        <v>186607</v>
      </c>
      <c r="B1341">
        <v>131706274</v>
      </c>
      <c r="C1341" t="s">
        <v>6595</v>
      </c>
      <c r="D1341" t="s">
        <v>6596</v>
      </c>
      <c r="E1341" t="s">
        <v>5643</v>
      </c>
      <c r="F1341" t="s">
        <v>847</v>
      </c>
      <c r="G1341" t="s">
        <v>142</v>
      </c>
      <c r="H1341" t="s">
        <v>143</v>
      </c>
      <c r="I1341" t="s">
        <v>35</v>
      </c>
      <c r="J1341" t="s">
        <v>144</v>
      </c>
      <c r="K1341" t="s">
        <v>2</v>
      </c>
      <c r="L1341" t="s">
        <v>6597</v>
      </c>
      <c r="M1341" t="s">
        <v>6598</v>
      </c>
      <c r="N1341" t="s">
        <v>5646</v>
      </c>
      <c r="O1341" t="s">
        <v>71</v>
      </c>
      <c r="P1341" t="s">
        <v>6599</v>
      </c>
      <c r="Q1341" t="s">
        <v>81</v>
      </c>
      <c r="R1341" t="s">
        <v>4926</v>
      </c>
      <c r="S1341">
        <v>0.5</v>
      </c>
      <c r="T1341">
        <v>3680</v>
      </c>
      <c r="U1341">
        <v>0</v>
      </c>
      <c r="V1341">
        <v>3680</v>
      </c>
    </row>
    <row r="1342" spans="1:22" x14ac:dyDescent="0.25">
      <c r="A1342">
        <v>186607</v>
      </c>
      <c r="B1342">
        <v>131706266</v>
      </c>
      <c r="C1342" t="s">
        <v>6600</v>
      </c>
      <c r="D1342" t="s">
        <v>6601</v>
      </c>
      <c r="E1342" t="s">
        <v>5643</v>
      </c>
      <c r="F1342" t="s">
        <v>847</v>
      </c>
      <c r="G1342" t="s">
        <v>142</v>
      </c>
      <c r="H1342" t="s">
        <v>143</v>
      </c>
      <c r="I1342" t="s">
        <v>35</v>
      </c>
      <c r="J1342" t="s">
        <v>144</v>
      </c>
      <c r="K1342" t="s">
        <v>2</v>
      </c>
      <c r="L1342" t="s">
        <v>6602</v>
      </c>
      <c r="M1342" t="s">
        <v>179</v>
      </c>
      <c r="N1342" t="s">
        <v>5646</v>
      </c>
      <c r="O1342" t="s">
        <v>71</v>
      </c>
      <c r="P1342" t="s">
        <v>6603</v>
      </c>
      <c r="Q1342" t="s">
        <v>82</v>
      </c>
      <c r="R1342" t="s">
        <v>4926</v>
      </c>
      <c r="S1342">
        <v>7.65</v>
      </c>
      <c r="T1342">
        <v>6328</v>
      </c>
      <c r="U1342">
        <v>0</v>
      </c>
      <c r="V1342">
        <v>6328</v>
      </c>
    </row>
    <row r="1343" spans="1:22" x14ac:dyDescent="0.25">
      <c r="A1343">
        <v>186607</v>
      </c>
      <c r="B1343">
        <v>131706283</v>
      </c>
      <c r="C1343" t="s">
        <v>6604</v>
      </c>
      <c r="D1343" t="s">
        <v>6605</v>
      </c>
      <c r="E1343" t="s">
        <v>5643</v>
      </c>
      <c r="F1343" t="s">
        <v>847</v>
      </c>
      <c r="G1343" t="s">
        <v>142</v>
      </c>
      <c r="H1343" t="s">
        <v>143</v>
      </c>
      <c r="I1343" t="s">
        <v>35</v>
      </c>
      <c r="J1343" t="s">
        <v>144</v>
      </c>
      <c r="K1343" t="s">
        <v>2</v>
      </c>
      <c r="L1343" t="s">
        <v>6606</v>
      </c>
      <c r="M1343" t="s">
        <v>463</v>
      </c>
      <c r="N1343" t="s">
        <v>5646</v>
      </c>
      <c r="O1343" t="s">
        <v>71</v>
      </c>
      <c r="P1343" t="s">
        <v>6607</v>
      </c>
      <c r="Q1343" t="s">
        <v>52</v>
      </c>
      <c r="R1343" t="s">
        <v>4926</v>
      </c>
      <c r="S1343">
        <v>1.6</v>
      </c>
      <c r="T1343">
        <v>3753</v>
      </c>
      <c r="U1343">
        <v>0</v>
      </c>
      <c r="V1343">
        <v>3753</v>
      </c>
    </row>
    <row r="1344" spans="1:22" x14ac:dyDescent="0.25">
      <c r="A1344">
        <v>186607</v>
      </c>
      <c r="B1344">
        <v>131678857</v>
      </c>
      <c r="C1344" t="s">
        <v>6608</v>
      </c>
      <c r="D1344" t="s">
        <v>6609</v>
      </c>
      <c r="E1344" t="s">
        <v>5643</v>
      </c>
      <c r="F1344" t="s">
        <v>847</v>
      </c>
      <c r="G1344" t="s">
        <v>142</v>
      </c>
      <c r="H1344" t="s">
        <v>143</v>
      </c>
      <c r="I1344" t="s">
        <v>35</v>
      </c>
      <c r="J1344" t="s">
        <v>144</v>
      </c>
      <c r="K1344" t="s">
        <v>2</v>
      </c>
      <c r="L1344" t="s">
        <v>6610</v>
      </c>
      <c r="M1344" t="s">
        <v>6611</v>
      </c>
      <c r="N1344" t="s">
        <v>5646</v>
      </c>
      <c r="O1344" t="s">
        <v>71</v>
      </c>
      <c r="P1344" t="s">
        <v>6612</v>
      </c>
      <c r="Q1344" t="s">
        <v>123</v>
      </c>
      <c r="R1344" t="s">
        <v>379</v>
      </c>
      <c r="S1344">
        <v>0.5</v>
      </c>
      <c r="T1344">
        <v>7359</v>
      </c>
      <c r="U1344">
        <v>0</v>
      </c>
      <c r="V1344">
        <v>7359</v>
      </c>
    </row>
    <row r="1345" spans="1:22" x14ac:dyDescent="0.25">
      <c r="A1345">
        <v>186607</v>
      </c>
      <c r="B1345">
        <v>131618419</v>
      </c>
      <c r="C1345" t="s">
        <v>6613</v>
      </c>
      <c r="D1345" t="s">
        <v>6614</v>
      </c>
      <c r="E1345" t="s">
        <v>5643</v>
      </c>
      <c r="F1345" t="s">
        <v>847</v>
      </c>
      <c r="G1345" t="s">
        <v>142</v>
      </c>
      <c r="H1345" t="s">
        <v>143</v>
      </c>
      <c r="I1345" t="s">
        <v>35</v>
      </c>
      <c r="J1345" t="s">
        <v>144</v>
      </c>
      <c r="K1345" t="s">
        <v>2</v>
      </c>
      <c r="L1345" t="s">
        <v>6615</v>
      </c>
      <c r="M1345" t="s">
        <v>6616</v>
      </c>
      <c r="N1345" t="s">
        <v>5646</v>
      </c>
      <c r="O1345" t="s">
        <v>71</v>
      </c>
      <c r="P1345" t="s">
        <v>6617</v>
      </c>
      <c r="Q1345" t="s">
        <v>112</v>
      </c>
      <c r="R1345" t="s">
        <v>5749</v>
      </c>
      <c r="S1345">
        <v>2.9</v>
      </c>
      <c r="T1345">
        <v>4067</v>
      </c>
      <c r="U1345">
        <v>0</v>
      </c>
      <c r="V1345">
        <v>4067</v>
      </c>
    </row>
    <row r="1346" spans="1:22" x14ac:dyDescent="0.25">
      <c r="A1346">
        <v>186607</v>
      </c>
      <c r="B1346">
        <v>131618416</v>
      </c>
      <c r="C1346" t="s">
        <v>6618</v>
      </c>
      <c r="D1346" t="s">
        <v>6619</v>
      </c>
      <c r="E1346" t="s">
        <v>5643</v>
      </c>
      <c r="F1346" t="s">
        <v>847</v>
      </c>
      <c r="G1346" t="s">
        <v>142</v>
      </c>
      <c r="H1346" t="s">
        <v>143</v>
      </c>
      <c r="I1346" t="s">
        <v>35</v>
      </c>
      <c r="J1346" t="s">
        <v>144</v>
      </c>
      <c r="K1346" t="s">
        <v>2</v>
      </c>
      <c r="L1346" t="s">
        <v>6620</v>
      </c>
      <c r="M1346" t="s">
        <v>6621</v>
      </c>
      <c r="N1346" t="s">
        <v>5646</v>
      </c>
      <c r="O1346" t="s">
        <v>71</v>
      </c>
      <c r="P1346" t="s">
        <v>6622</v>
      </c>
      <c r="Q1346" t="s">
        <v>74</v>
      </c>
      <c r="R1346" t="s">
        <v>5749</v>
      </c>
      <c r="S1346">
        <v>0.5</v>
      </c>
      <c r="T1346">
        <v>3680</v>
      </c>
      <c r="U1346">
        <v>0</v>
      </c>
      <c r="V1346">
        <v>3680</v>
      </c>
    </row>
    <row r="1347" spans="1:22" x14ac:dyDescent="0.25">
      <c r="A1347">
        <v>186607</v>
      </c>
      <c r="B1347">
        <v>131662727</v>
      </c>
      <c r="C1347" t="s">
        <v>6623</v>
      </c>
      <c r="D1347" t="s">
        <v>6624</v>
      </c>
      <c r="E1347" t="s">
        <v>5643</v>
      </c>
      <c r="F1347" t="s">
        <v>847</v>
      </c>
      <c r="G1347" t="s">
        <v>142</v>
      </c>
      <c r="H1347" t="s">
        <v>143</v>
      </c>
      <c r="I1347" t="s">
        <v>35</v>
      </c>
      <c r="J1347" t="s">
        <v>144</v>
      </c>
      <c r="K1347" t="s">
        <v>2</v>
      </c>
      <c r="L1347" t="s">
        <v>6625</v>
      </c>
      <c r="M1347" t="s">
        <v>6626</v>
      </c>
      <c r="N1347" t="s">
        <v>5646</v>
      </c>
      <c r="O1347" t="s">
        <v>71</v>
      </c>
      <c r="P1347" t="s">
        <v>6627</v>
      </c>
      <c r="Q1347" t="s">
        <v>56</v>
      </c>
      <c r="R1347" t="s">
        <v>5755</v>
      </c>
      <c r="S1347">
        <v>0.5</v>
      </c>
      <c r="T1347">
        <v>3680</v>
      </c>
      <c r="U1347">
        <v>0</v>
      </c>
      <c r="V1347">
        <v>3680</v>
      </c>
    </row>
    <row r="1348" spans="1:22" x14ac:dyDescent="0.25">
      <c r="A1348">
        <v>186607</v>
      </c>
      <c r="B1348">
        <v>131641666</v>
      </c>
      <c r="C1348" t="s">
        <v>6628</v>
      </c>
      <c r="D1348" t="s">
        <v>6629</v>
      </c>
      <c r="E1348" t="s">
        <v>5643</v>
      </c>
      <c r="F1348" t="s">
        <v>847</v>
      </c>
      <c r="G1348" t="s">
        <v>142</v>
      </c>
      <c r="H1348" t="s">
        <v>143</v>
      </c>
      <c r="I1348" t="s">
        <v>35</v>
      </c>
      <c r="J1348" t="s">
        <v>144</v>
      </c>
      <c r="K1348" t="s">
        <v>2</v>
      </c>
      <c r="L1348" t="s">
        <v>6630</v>
      </c>
      <c r="M1348" t="s">
        <v>6631</v>
      </c>
      <c r="N1348" t="s">
        <v>5646</v>
      </c>
      <c r="O1348" t="s">
        <v>71</v>
      </c>
      <c r="P1348" t="s">
        <v>6632</v>
      </c>
      <c r="Q1348" t="s">
        <v>112</v>
      </c>
      <c r="R1348" t="s">
        <v>308</v>
      </c>
      <c r="S1348">
        <v>0.5</v>
      </c>
      <c r="T1348">
        <v>3680</v>
      </c>
      <c r="U1348">
        <v>0</v>
      </c>
      <c r="V1348">
        <v>3680</v>
      </c>
    </row>
    <row r="1349" spans="1:22" x14ac:dyDescent="0.25">
      <c r="A1349">
        <v>186607</v>
      </c>
      <c r="B1349">
        <v>131590319</v>
      </c>
      <c r="C1349" t="s">
        <v>6633</v>
      </c>
      <c r="D1349" t="s">
        <v>6634</v>
      </c>
      <c r="E1349" t="s">
        <v>5643</v>
      </c>
      <c r="F1349" t="s">
        <v>847</v>
      </c>
      <c r="G1349" t="s">
        <v>142</v>
      </c>
      <c r="H1349" t="s">
        <v>143</v>
      </c>
      <c r="I1349" t="s">
        <v>35</v>
      </c>
      <c r="J1349" t="s">
        <v>144</v>
      </c>
      <c r="K1349" t="s">
        <v>2</v>
      </c>
      <c r="L1349" t="s">
        <v>6635</v>
      </c>
      <c r="M1349" t="s">
        <v>6636</v>
      </c>
      <c r="N1349" t="s">
        <v>5646</v>
      </c>
      <c r="O1349" t="s">
        <v>71</v>
      </c>
      <c r="P1349" t="s">
        <v>6637</v>
      </c>
      <c r="Q1349" t="s">
        <v>50</v>
      </c>
      <c r="R1349" t="s">
        <v>5764</v>
      </c>
      <c r="S1349">
        <v>0.5</v>
      </c>
      <c r="T1349">
        <v>3680</v>
      </c>
      <c r="U1349">
        <v>0</v>
      </c>
      <c r="V1349">
        <v>3680</v>
      </c>
    </row>
    <row r="1350" spans="1:22" x14ac:dyDescent="0.25">
      <c r="A1350">
        <v>186607</v>
      </c>
      <c r="B1350">
        <v>131662724</v>
      </c>
      <c r="C1350" t="s">
        <v>6638</v>
      </c>
      <c r="D1350" t="s">
        <v>6639</v>
      </c>
      <c r="E1350" t="s">
        <v>5643</v>
      </c>
      <c r="F1350" t="s">
        <v>847</v>
      </c>
      <c r="G1350" t="s">
        <v>142</v>
      </c>
      <c r="H1350" t="s">
        <v>143</v>
      </c>
      <c r="I1350" t="s">
        <v>35</v>
      </c>
      <c r="J1350" t="s">
        <v>144</v>
      </c>
      <c r="K1350" t="s">
        <v>2</v>
      </c>
      <c r="L1350" t="s">
        <v>6640</v>
      </c>
      <c r="M1350" t="s">
        <v>526</v>
      </c>
      <c r="N1350" t="s">
        <v>5646</v>
      </c>
      <c r="O1350" t="s">
        <v>71</v>
      </c>
      <c r="P1350" t="s">
        <v>6641</v>
      </c>
      <c r="Q1350" t="s">
        <v>63</v>
      </c>
      <c r="R1350" t="s">
        <v>5755</v>
      </c>
      <c r="S1350">
        <v>0.5</v>
      </c>
      <c r="T1350">
        <v>3680</v>
      </c>
      <c r="U1350">
        <v>0</v>
      </c>
      <c r="V1350">
        <v>3680</v>
      </c>
    </row>
    <row r="1351" spans="1:22" x14ac:dyDescent="0.25">
      <c r="A1351">
        <v>186607</v>
      </c>
      <c r="B1351">
        <v>131590296</v>
      </c>
      <c r="C1351" t="s">
        <v>6642</v>
      </c>
      <c r="D1351" t="s">
        <v>6643</v>
      </c>
      <c r="E1351" t="s">
        <v>5643</v>
      </c>
      <c r="F1351" t="s">
        <v>847</v>
      </c>
      <c r="G1351" t="s">
        <v>142</v>
      </c>
      <c r="H1351" t="s">
        <v>143</v>
      </c>
      <c r="I1351" t="s">
        <v>35</v>
      </c>
      <c r="J1351" t="s">
        <v>144</v>
      </c>
      <c r="K1351" t="s">
        <v>2</v>
      </c>
      <c r="L1351" t="s">
        <v>6644</v>
      </c>
      <c r="M1351" t="s">
        <v>765</v>
      </c>
      <c r="N1351" t="s">
        <v>5646</v>
      </c>
      <c r="O1351" t="s">
        <v>71</v>
      </c>
      <c r="P1351" t="s">
        <v>6645</v>
      </c>
      <c r="Q1351" t="s">
        <v>51</v>
      </c>
      <c r="R1351" t="s">
        <v>5764</v>
      </c>
      <c r="S1351">
        <v>1.35</v>
      </c>
      <c r="T1351">
        <v>3784</v>
      </c>
      <c r="U1351">
        <v>0</v>
      </c>
      <c r="V1351">
        <v>3784</v>
      </c>
    </row>
    <row r="1352" spans="1:22" x14ac:dyDescent="0.25">
      <c r="A1352">
        <v>186607</v>
      </c>
      <c r="B1352">
        <v>131618442</v>
      </c>
      <c r="C1352" t="s">
        <v>6646</v>
      </c>
      <c r="D1352" t="s">
        <v>6647</v>
      </c>
      <c r="E1352" t="s">
        <v>5643</v>
      </c>
      <c r="F1352" t="s">
        <v>847</v>
      </c>
      <c r="G1352" t="s">
        <v>142</v>
      </c>
      <c r="H1352" t="s">
        <v>143</v>
      </c>
      <c r="I1352" t="s">
        <v>35</v>
      </c>
      <c r="J1352" t="s">
        <v>144</v>
      </c>
      <c r="K1352" t="s">
        <v>2</v>
      </c>
      <c r="L1352" t="s">
        <v>6648</v>
      </c>
      <c r="M1352" t="s">
        <v>6649</v>
      </c>
      <c r="N1352" t="s">
        <v>5646</v>
      </c>
      <c r="O1352" t="s">
        <v>71</v>
      </c>
      <c r="P1352" t="s">
        <v>6650</v>
      </c>
      <c r="Q1352" t="s">
        <v>74</v>
      </c>
      <c r="R1352" t="s">
        <v>5979</v>
      </c>
      <c r="S1352">
        <v>0.5</v>
      </c>
      <c r="T1352">
        <v>3680</v>
      </c>
      <c r="U1352">
        <v>0</v>
      </c>
      <c r="V1352">
        <v>3680</v>
      </c>
    </row>
    <row r="1353" spans="1:22" x14ac:dyDescent="0.25">
      <c r="A1353">
        <v>186607</v>
      </c>
      <c r="B1353">
        <v>131618448</v>
      </c>
      <c r="C1353" t="s">
        <v>6651</v>
      </c>
      <c r="D1353" t="s">
        <v>6652</v>
      </c>
      <c r="E1353" t="s">
        <v>5643</v>
      </c>
      <c r="F1353" t="s">
        <v>847</v>
      </c>
      <c r="G1353" t="s">
        <v>142</v>
      </c>
      <c r="H1353" t="s">
        <v>143</v>
      </c>
      <c r="I1353" t="s">
        <v>35</v>
      </c>
      <c r="J1353" t="s">
        <v>144</v>
      </c>
      <c r="K1353" t="s">
        <v>2</v>
      </c>
      <c r="L1353" t="s">
        <v>6653</v>
      </c>
      <c r="M1353" t="s">
        <v>789</v>
      </c>
      <c r="N1353" t="s">
        <v>5646</v>
      </c>
      <c r="O1353" t="s">
        <v>71</v>
      </c>
      <c r="P1353" t="s">
        <v>6654</v>
      </c>
      <c r="Q1353" t="s">
        <v>120</v>
      </c>
      <c r="R1353" t="s">
        <v>5979</v>
      </c>
      <c r="S1353">
        <v>0.5</v>
      </c>
      <c r="T1353">
        <v>3680</v>
      </c>
      <c r="U1353">
        <v>0</v>
      </c>
      <c r="V1353">
        <v>3680</v>
      </c>
    </row>
    <row r="1354" spans="1:22" x14ac:dyDescent="0.25">
      <c r="A1354">
        <v>186607</v>
      </c>
      <c r="B1354">
        <v>131618438</v>
      </c>
      <c r="C1354" t="s">
        <v>6655</v>
      </c>
      <c r="D1354" t="s">
        <v>6656</v>
      </c>
      <c r="E1354" t="s">
        <v>5643</v>
      </c>
      <c r="F1354" t="s">
        <v>847</v>
      </c>
      <c r="G1354" t="s">
        <v>142</v>
      </c>
      <c r="H1354" t="s">
        <v>143</v>
      </c>
      <c r="I1354" t="s">
        <v>35</v>
      </c>
      <c r="J1354" t="s">
        <v>144</v>
      </c>
      <c r="K1354" t="s">
        <v>2</v>
      </c>
      <c r="L1354" t="s">
        <v>6657</v>
      </c>
      <c r="M1354" t="s">
        <v>779</v>
      </c>
      <c r="N1354" t="s">
        <v>5646</v>
      </c>
      <c r="O1354" t="s">
        <v>71</v>
      </c>
      <c r="P1354" t="s">
        <v>6658</v>
      </c>
      <c r="Q1354" t="s">
        <v>52</v>
      </c>
      <c r="R1354" t="s">
        <v>5749</v>
      </c>
      <c r="S1354">
        <v>0.5</v>
      </c>
      <c r="T1354">
        <v>3680</v>
      </c>
      <c r="U1354">
        <v>0</v>
      </c>
      <c r="V1354">
        <v>3680</v>
      </c>
    </row>
    <row r="1355" spans="1:22" x14ac:dyDescent="0.25">
      <c r="A1355">
        <v>186607</v>
      </c>
      <c r="B1355">
        <v>131618444</v>
      </c>
      <c r="C1355" t="s">
        <v>6659</v>
      </c>
      <c r="D1355" t="s">
        <v>6660</v>
      </c>
      <c r="E1355" t="s">
        <v>5643</v>
      </c>
      <c r="F1355" t="s">
        <v>847</v>
      </c>
      <c r="G1355" t="s">
        <v>142</v>
      </c>
      <c r="H1355" t="s">
        <v>143</v>
      </c>
      <c r="I1355" t="s">
        <v>35</v>
      </c>
      <c r="J1355" t="s">
        <v>144</v>
      </c>
      <c r="K1355" t="s">
        <v>2</v>
      </c>
      <c r="L1355" t="s">
        <v>6661</v>
      </c>
      <c r="M1355" t="s">
        <v>783</v>
      </c>
      <c r="N1355" t="s">
        <v>5646</v>
      </c>
      <c r="O1355" t="s">
        <v>71</v>
      </c>
      <c r="P1355" t="s">
        <v>6662</v>
      </c>
      <c r="Q1355" t="s">
        <v>50</v>
      </c>
      <c r="R1355" t="s">
        <v>5979</v>
      </c>
      <c r="S1355">
        <v>0.5</v>
      </c>
      <c r="T1355">
        <v>3680</v>
      </c>
      <c r="U1355">
        <v>0</v>
      </c>
      <c r="V1355">
        <v>3680</v>
      </c>
    </row>
    <row r="1356" spans="1:22" x14ac:dyDescent="0.25">
      <c r="A1356">
        <v>186607</v>
      </c>
      <c r="B1356">
        <v>131618439</v>
      </c>
      <c r="C1356" t="s">
        <v>6663</v>
      </c>
      <c r="D1356" t="s">
        <v>6664</v>
      </c>
      <c r="E1356" t="s">
        <v>5643</v>
      </c>
      <c r="F1356" t="s">
        <v>847</v>
      </c>
      <c r="G1356" t="s">
        <v>142</v>
      </c>
      <c r="H1356" t="s">
        <v>143</v>
      </c>
      <c r="I1356" t="s">
        <v>35</v>
      </c>
      <c r="J1356" t="s">
        <v>144</v>
      </c>
      <c r="K1356" t="s">
        <v>2</v>
      </c>
      <c r="L1356" t="s">
        <v>6665</v>
      </c>
      <c r="M1356" t="s">
        <v>778</v>
      </c>
      <c r="N1356" t="s">
        <v>5646</v>
      </c>
      <c r="O1356" t="s">
        <v>71</v>
      </c>
      <c r="P1356" t="s">
        <v>6666</v>
      </c>
      <c r="Q1356" t="s">
        <v>50</v>
      </c>
      <c r="R1356" t="s">
        <v>5749</v>
      </c>
      <c r="S1356">
        <v>0.5</v>
      </c>
      <c r="T1356">
        <v>3680</v>
      </c>
      <c r="U1356">
        <v>0</v>
      </c>
      <c r="V1356">
        <v>3680</v>
      </c>
    </row>
    <row r="1357" spans="1:22" x14ac:dyDescent="0.25">
      <c r="A1357">
        <v>186607</v>
      </c>
      <c r="B1357">
        <v>131555183</v>
      </c>
      <c r="C1357" t="s">
        <v>6667</v>
      </c>
      <c r="D1357" t="s">
        <v>6668</v>
      </c>
      <c r="E1357" t="s">
        <v>5643</v>
      </c>
      <c r="F1357" t="s">
        <v>847</v>
      </c>
      <c r="G1357" t="s">
        <v>142</v>
      </c>
      <c r="H1357" t="s">
        <v>143</v>
      </c>
      <c r="I1357" t="s">
        <v>35</v>
      </c>
      <c r="J1357" t="s">
        <v>144</v>
      </c>
      <c r="K1357" t="s">
        <v>2</v>
      </c>
      <c r="L1357" t="s">
        <v>6669</v>
      </c>
      <c r="M1357" t="s">
        <v>6670</v>
      </c>
      <c r="N1357" t="s">
        <v>5646</v>
      </c>
      <c r="O1357" t="s">
        <v>71</v>
      </c>
      <c r="P1357" t="s">
        <v>6671</v>
      </c>
      <c r="Q1357" t="s">
        <v>74</v>
      </c>
      <c r="R1357" t="s">
        <v>6672</v>
      </c>
      <c r="S1357">
        <v>0.5</v>
      </c>
      <c r="T1357">
        <v>3680</v>
      </c>
      <c r="U1357">
        <v>0</v>
      </c>
      <c r="V1357">
        <v>3680</v>
      </c>
    </row>
    <row r="1358" spans="1:22" x14ac:dyDescent="0.25">
      <c r="A1358">
        <v>186607</v>
      </c>
      <c r="B1358">
        <v>131555178</v>
      </c>
      <c r="C1358" t="s">
        <v>6673</v>
      </c>
      <c r="D1358" t="s">
        <v>6674</v>
      </c>
      <c r="E1358" t="s">
        <v>5643</v>
      </c>
      <c r="F1358" t="s">
        <v>847</v>
      </c>
      <c r="G1358" t="s">
        <v>142</v>
      </c>
      <c r="H1358" t="s">
        <v>143</v>
      </c>
      <c r="I1358" t="s">
        <v>35</v>
      </c>
      <c r="J1358" t="s">
        <v>144</v>
      </c>
      <c r="K1358" t="s">
        <v>2</v>
      </c>
      <c r="L1358" t="s">
        <v>6675</v>
      </c>
      <c r="M1358" t="s">
        <v>466</v>
      </c>
      <c r="N1358" t="s">
        <v>5646</v>
      </c>
      <c r="O1358" t="s">
        <v>71</v>
      </c>
      <c r="P1358" t="s">
        <v>6676</v>
      </c>
      <c r="Q1358" t="s">
        <v>50</v>
      </c>
      <c r="R1358" t="s">
        <v>6672</v>
      </c>
      <c r="S1358">
        <v>0.5</v>
      </c>
      <c r="T1358">
        <v>3680</v>
      </c>
      <c r="U1358">
        <v>0</v>
      </c>
      <c r="V1358">
        <v>3680</v>
      </c>
    </row>
    <row r="1359" spans="1:22" x14ac:dyDescent="0.25">
      <c r="A1359">
        <v>186607</v>
      </c>
      <c r="B1359">
        <v>131555169</v>
      </c>
      <c r="C1359" t="s">
        <v>6677</v>
      </c>
      <c r="D1359" t="s">
        <v>6678</v>
      </c>
      <c r="E1359" t="s">
        <v>5643</v>
      </c>
      <c r="F1359" t="s">
        <v>847</v>
      </c>
      <c r="G1359" t="s">
        <v>142</v>
      </c>
      <c r="H1359" t="s">
        <v>143</v>
      </c>
      <c r="I1359" t="s">
        <v>35</v>
      </c>
      <c r="J1359" t="s">
        <v>144</v>
      </c>
      <c r="K1359" t="s">
        <v>2</v>
      </c>
      <c r="L1359" t="s">
        <v>6679</v>
      </c>
      <c r="M1359" t="s">
        <v>6680</v>
      </c>
      <c r="N1359" t="s">
        <v>5646</v>
      </c>
      <c r="O1359" t="s">
        <v>71</v>
      </c>
      <c r="P1359" t="s">
        <v>6681</v>
      </c>
      <c r="Q1359" t="s">
        <v>51</v>
      </c>
      <c r="R1359" t="s">
        <v>6672</v>
      </c>
      <c r="S1359">
        <v>0.5</v>
      </c>
      <c r="T1359">
        <v>3680</v>
      </c>
      <c r="U1359">
        <v>0</v>
      </c>
      <c r="V1359">
        <v>3680</v>
      </c>
    </row>
    <row r="1360" spans="1:22" x14ac:dyDescent="0.25">
      <c r="A1360">
        <v>186607</v>
      </c>
      <c r="B1360">
        <v>131555174</v>
      </c>
      <c r="C1360" t="s">
        <v>6682</v>
      </c>
      <c r="D1360" t="s">
        <v>6683</v>
      </c>
      <c r="E1360" t="s">
        <v>5643</v>
      </c>
      <c r="F1360" t="s">
        <v>847</v>
      </c>
      <c r="G1360" t="s">
        <v>142</v>
      </c>
      <c r="H1360" t="s">
        <v>143</v>
      </c>
      <c r="I1360" t="s">
        <v>35</v>
      </c>
      <c r="J1360" t="s">
        <v>144</v>
      </c>
      <c r="K1360" t="s">
        <v>2</v>
      </c>
      <c r="L1360" t="s">
        <v>6684</v>
      </c>
      <c r="M1360" t="s">
        <v>6685</v>
      </c>
      <c r="N1360" t="s">
        <v>5646</v>
      </c>
      <c r="O1360" t="s">
        <v>71</v>
      </c>
      <c r="P1360" t="s">
        <v>6686</v>
      </c>
      <c r="Q1360" t="s">
        <v>52</v>
      </c>
      <c r="R1360" t="s">
        <v>6672</v>
      </c>
      <c r="S1360">
        <v>0.5</v>
      </c>
      <c r="T1360">
        <v>3680</v>
      </c>
      <c r="U1360">
        <v>0</v>
      </c>
      <c r="V1360">
        <v>3680</v>
      </c>
    </row>
    <row r="1361" spans="1:22" x14ac:dyDescent="0.25">
      <c r="A1361">
        <v>186607</v>
      </c>
      <c r="B1361">
        <v>131533553</v>
      </c>
      <c r="C1361" t="s">
        <v>6687</v>
      </c>
      <c r="D1361" t="s">
        <v>6688</v>
      </c>
      <c r="E1361" t="s">
        <v>5643</v>
      </c>
      <c r="F1361" t="s">
        <v>847</v>
      </c>
      <c r="G1361" t="s">
        <v>142</v>
      </c>
      <c r="H1361" t="s">
        <v>143</v>
      </c>
      <c r="I1361" t="s">
        <v>35</v>
      </c>
      <c r="J1361" t="s">
        <v>144</v>
      </c>
      <c r="K1361" t="s">
        <v>2</v>
      </c>
      <c r="L1361" t="s">
        <v>6689</v>
      </c>
      <c r="M1361" t="s">
        <v>6690</v>
      </c>
      <c r="N1361" t="s">
        <v>5646</v>
      </c>
      <c r="O1361" t="s">
        <v>71</v>
      </c>
      <c r="P1361" t="s">
        <v>6691</v>
      </c>
      <c r="Q1361" t="s">
        <v>111</v>
      </c>
      <c r="R1361" t="s">
        <v>445</v>
      </c>
      <c r="S1361">
        <v>0.5</v>
      </c>
      <c r="T1361">
        <v>3680</v>
      </c>
      <c r="U1361">
        <v>0</v>
      </c>
      <c r="V1361">
        <v>3680</v>
      </c>
    </row>
    <row r="1362" spans="1:22" x14ac:dyDescent="0.25">
      <c r="A1362">
        <v>186607</v>
      </c>
      <c r="B1362">
        <v>131533556</v>
      </c>
      <c r="C1362" t="s">
        <v>6692</v>
      </c>
      <c r="D1362" t="s">
        <v>6693</v>
      </c>
      <c r="E1362" t="s">
        <v>5643</v>
      </c>
      <c r="F1362" t="s">
        <v>847</v>
      </c>
      <c r="G1362" t="s">
        <v>142</v>
      </c>
      <c r="H1362" t="s">
        <v>143</v>
      </c>
      <c r="I1362" t="s">
        <v>35</v>
      </c>
      <c r="J1362" t="s">
        <v>144</v>
      </c>
      <c r="K1362" t="s">
        <v>2</v>
      </c>
      <c r="L1362" t="s">
        <v>6694</v>
      </c>
      <c r="M1362" t="s">
        <v>6695</v>
      </c>
      <c r="N1362" t="s">
        <v>5646</v>
      </c>
      <c r="O1362" t="s">
        <v>71</v>
      </c>
      <c r="P1362" t="s">
        <v>6696</v>
      </c>
      <c r="Q1362" t="s">
        <v>82</v>
      </c>
      <c r="R1362" t="s">
        <v>445</v>
      </c>
      <c r="S1362">
        <v>0.5</v>
      </c>
      <c r="T1362">
        <v>3680</v>
      </c>
      <c r="U1362">
        <v>0</v>
      </c>
      <c r="V1362">
        <v>3680</v>
      </c>
    </row>
    <row r="1363" spans="1:22" x14ac:dyDescent="0.25">
      <c r="A1363">
        <v>186607</v>
      </c>
      <c r="B1363">
        <v>131383640</v>
      </c>
      <c r="C1363" t="s">
        <v>6697</v>
      </c>
      <c r="D1363" t="s">
        <v>6698</v>
      </c>
      <c r="E1363" t="s">
        <v>5643</v>
      </c>
      <c r="F1363" t="s">
        <v>847</v>
      </c>
      <c r="G1363" t="s">
        <v>142</v>
      </c>
      <c r="H1363" t="s">
        <v>143</v>
      </c>
      <c r="I1363" t="s">
        <v>35</v>
      </c>
      <c r="J1363" t="s">
        <v>144</v>
      </c>
      <c r="K1363" t="s">
        <v>2</v>
      </c>
      <c r="L1363" t="s">
        <v>6699</v>
      </c>
      <c r="M1363" t="s">
        <v>6700</v>
      </c>
      <c r="N1363" t="s">
        <v>5646</v>
      </c>
      <c r="O1363" t="s">
        <v>71</v>
      </c>
      <c r="P1363" t="s">
        <v>6701</v>
      </c>
      <c r="Q1363" t="s">
        <v>50</v>
      </c>
      <c r="R1363" t="s">
        <v>6023</v>
      </c>
      <c r="S1363">
        <v>0.5</v>
      </c>
      <c r="T1363">
        <v>3680</v>
      </c>
      <c r="U1363">
        <v>0</v>
      </c>
      <c r="V1363">
        <v>3680</v>
      </c>
    </row>
    <row r="1364" spans="1:22" x14ac:dyDescent="0.25">
      <c r="A1364">
        <v>186607</v>
      </c>
      <c r="B1364">
        <v>131533567</v>
      </c>
      <c r="C1364" t="s">
        <v>6702</v>
      </c>
      <c r="D1364" t="s">
        <v>6703</v>
      </c>
      <c r="E1364" t="s">
        <v>5643</v>
      </c>
      <c r="F1364" t="s">
        <v>847</v>
      </c>
      <c r="G1364" t="s">
        <v>142</v>
      </c>
      <c r="H1364" t="s">
        <v>143</v>
      </c>
      <c r="I1364" t="s">
        <v>35</v>
      </c>
      <c r="J1364" t="s">
        <v>144</v>
      </c>
      <c r="K1364" t="s">
        <v>2</v>
      </c>
      <c r="L1364" t="s">
        <v>6704</v>
      </c>
      <c r="M1364" t="s">
        <v>6705</v>
      </c>
      <c r="N1364" t="s">
        <v>5646</v>
      </c>
      <c r="O1364" t="s">
        <v>71</v>
      </c>
      <c r="P1364" t="s">
        <v>6706</v>
      </c>
      <c r="Q1364" t="s">
        <v>50</v>
      </c>
      <c r="R1364" t="s">
        <v>445</v>
      </c>
      <c r="S1364">
        <v>0.5</v>
      </c>
      <c r="T1364">
        <v>3680</v>
      </c>
      <c r="U1364">
        <v>0</v>
      </c>
      <c r="V1364">
        <v>3680</v>
      </c>
    </row>
    <row r="1365" spans="1:22" x14ac:dyDescent="0.25">
      <c r="A1365">
        <v>186607</v>
      </c>
      <c r="B1365">
        <v>131533564</v>
      </c>
      <c r="C1365" t="s">
        <v>6707</v>
      </c>
      <c r="D1365" t="s">
        <v>6708</v>
      </c>
      <c r="E1365" t="s">
        <v>5643</v>
      </c>
      <c r="F1365" t="s">
        <v>847</v>
      </c>
      <c r="G1365" t="s">
        <v>142</v>
      </c>
      <c r="H1365" t="s">
        <v>143</v>
      </c>
      <c r="I1365" t="s">
        <v>35</v>
      </c>
      <c r="J1365" t="s">
        <v>144</v>
      </c>
      <c r="K1365" t="s">
        <v>2</v>
      </c>
      <c r="L1365" t="s">
        <v>6709</v>
      </c>
      <c r="M1365" t="s">
        <v>6710</v>
      </c>
      <c r="N1365" t="s">
        <v>5646</v>
      </c>
      <c r="O1365" t="s">
        <v>71</v>
      </c>
      <c r="P1365" t="s">
        <v>6711</v>
      </c>
      <c r="Q1365" t="s">
        <v>82</v>
      </c>
      <c r="R1365" t="s">
        <v>445</v>
      </c>
      <c r="S1365">
        <v>0.5</v>
      </c>
      <c r="T1365">
        <v>3680</v>
      </c>
      <c r="U1365">
        <v>0</v>
      </c>
      <c r="V1365">
        <v>3680</v>
      </c>
    </row>
    <row r="1366" spans="1:22" x14ac:dyDescent="0.25">
      <c r="A1366">
        <v>186607</v>
      </c>
      <c r="B1366">
        <v>131533571</v>
      </c>
      <c r="C1366" t="s">
        <v>6712</v>
      </c>
      <c r="D1366" t="s">
        <v>6713</v>
      </c>
      <c r="E1366" t="s">
        <v>5643</v>
      </c>
      <c r="F1366" t="s">
        <v>847</v>
      </c>
      <c r="G1366" t="s">
        <v>142</v>
      </c>
      <c r="H1366" t="s">
        <v>143</v>
      </c>
      <c r="I1366" t="s">
        <v>35</v>
      </c>
      <c r="J1366" t="s">
        <v>144</v>
      </c>
      <c r="K1366" t="s">
        <v>2</v>
      </c>
      <c r="L1366" t="s">
        <v>6714</v>
      </c>
      <c r="M1366" t="s">
        <v>6715</v>
      </c>
      <c r="N1366" t="s">
        <v>5646</v>
      </c>
      <c r="O1366" t="s">
        <v>71</v>
      </c>
      <c r="P1366" t="s">
        <v>6716</v>
      </c>
      <c r="Q1366" t="s">
        <v>82</v>
      </c>
      <c r="R1366" t="s">
        <v>445</v>
      </c>
      <c r="S1366">
        <v>0.5</v>
      </c>
      <c r="T1366">
        <v>3680</v>
      </c>
      <c r="U1366">
        <v>0</v>
      </c>
      <c r="V1366">
        <v>3680</v>
      </c>
    </row>
    <row r="1367" spans="1:22" x14ac:dyDescent="0.25">
      <c r="A1367">
        <v>186607</v>
      </c>
      <c r="B1367">
        <v>131448809</v>
      </c>
      <c r="C1367" t="s">
        <v>6717</v>
      </c>
      <c r="D1367" t="s">
        <v>6718</v>
      </c>
      <c r="E1367" t="s">
        <v>5643</v>
      </c>
      <c r="F1367" t="s">
        <v>847</v>
      </c>
      <c r="G1367" t="s">
        <v>142</v>
      </c>
      <c r="H1367" t="s">
        <v>143</v>
      </c>
      <c r="I1367" t="s">
        <v>35</v>
      </c>
      <c r="J1367" t="s">
        <v>144</v>
      </c>
      <c r="K1367" t="s">
        <v>169</v>
      </c>
      <c r="L1367" t="s">
        <v>267</v>
      </c>
      <c r="M1367" t="s">
        <v>6719</v>
      </c>
      <c r="N1367" t="s">
        <v>5646</v>
      </c>
      <c r="O1367" t="s">
        <v>71</v>
      </c>
      <c r="P1367" t="s">
        <v>6720</v>
      </c>
      <c r="Q1367" t="s">
        <v>74</v>
      </c>
      <c r="R1367" t="s">
        <v>489</v>
      </c>
      <c r="S1367">
        <v>0.5</v>
      </c>
      <c r="T1367">
        <v>3680</v>
      </c>
      <c r="U1367">
        <v>0</v>
      </c>
      <c r="V1367">
        <v>3680</v>
      </c>
    </row>
    <row r="1368" spans="1:22" x14ac:dyDescent="0.25">
      <c r="A1368">
        <v>186607</v>
      </c>
      <c r="B1368">
        <v>131489845</v>
      </c>
      <c r="C1368" t="s">
        <v>6721</v>
      </c>
      <c r="D1368" t="s">
        <v>6722</v>
      </c>
      <c r="E1368" t="s">
        <v>5643</v>
      </c>
      <c r="F1368" t="s">
        <v>847</v>
      </c>
      <c r="G1368" t="s">
        <v>142</v>
      </c>
      <c r="H1368" t="s">
        <v>143</v>
      </c>
      <c r="I1368" t="s">
        <v>35</v>
      </c>
      <c r="J1368" t="s">
        <v>144</v>
      </c>
      <c r="K1368" t="s">
        <v>2</v>
      </c>
      <c r="L1368" t="s">
        <v>6723</v>
      </c>
      <c r="M1368" t="s">
        <v>6724</v>
      </c>
      <c r="N1368" t="s">
        <v>5646</v>
      </c>
      <c r="O1368" t="s">
        <v>71</v>
      </c>
      <c r="P1368" t="s">
        <v>6725</v>
      </c>
      <c r="Q1368" t="s">
        <v>81</v>
      </c>
      <c r="R1368" t="s">
        <v>310</v>
      </c>
      <c r="S1368">
        <v>0.5</v>
      </c>
      <c r="T1368">
        <v>3680</v>
      </c>
      <c r="U1368">
        <v>0</v>
      </c>
      <c r="V1368">
        <v>3680</v>
      </c>
    </row>
    <row r="1369" spans="1:22" x14ac:dyDescent="0.25">
      <c r="A1369">
        <v>186607</v>
      </c>
      <c r="B1369">
        <v>131455759</v>
      </c>
      <c r="C1369" t="s">
        <v>6726</v>
      </c>
      <c r="D1369" t="s">
        <v>6727</v>
      </c>
      <c r="E1369" t="s">
        <v>5643</v>
      </c>
      <c r="F1369" t="s">
        <v>847</v>
      </c>
      <c r="G1369" t="s">
        <v>142</v>
      </c>
      <c r="H1369" t="s">
        <v>143</v>
      </c>
      <c r="I1369" t="s">
        <v>35</v>
      </c>
      <c r="J1369" t="s">
        <v>144</v>
      </c>
      <c r="K1369" t="s">
        <v>2</v>
      </c>
      <c r="L1369" t="s">
        <v>6728</v>
      </c>
      <c r="M1369" t="s">
        <v>6729</v>
      </c>
      <c r="N1369" t="s">
        <v>5646</v>
      </c>
      <c r="O1369" t="s">
        <v>71</v>
      </c>
      <c r="P1369" t="s">
        <v>6730</v>
      </c>
      <c r="Q1369" t="s">
        <v>50</v>
      </c>
      <c r="R1369" t="s">
        <v>490</v>
      </c>
      <c r="S1369">
        <v>0.5</v>
      </c>
      <c r="T1369">
        <v>3680</v>
      </c>
      <c r="U1369">
        <v>0</v>
      </c>
      <c r="V1369">
        <v>3680</v>
      </c>
    </row>
    <row r="1370" spans="1:22" x14ac:dyDescent="0.25">
      <c r="A1370">
        <v>186607</v>
      </c>
      <c r="B1370">
        <v>131489833</v>
      </c>
      <c r="C1370" t="s">
        <v>6731</v>
      </c>
      <c r="D1370" t="s">
        <v>6732</v>
      </c>
      <c r="E1370" t="s">
        <v>5643</v>
      </c>
      <c r="F1370" t="s">
        <v>847</v>
      </c>
      <c r="G1370" t="s">
        <v>142</v>
      </c>
      <c r="H1370" t="s">
        <v>143</v>
      </c>
      <c r="I1370" t="s">
        <v>35</v>
      </c>
      <c r="J1370" t="s">
        <v>144</v>
      </c>
      <c r="K1370" t="s">
        <v>2</v>
      </c>
      <c r="L1370" t="s">
        <v>6733</v>
      </c>
      <c r="M1370" t="s">
        <v>6734</v>
      </c>
      <c r="N1370" t="s">
        <v>5646</v>
      </c>
      <c r="O1370" t="s">
        <v>71</v>
      </c>
      <c r="P1370" t="s">
        <v>6735</v>
      </c>
      <c r="Q1370" t="s">
        <v>51</v>
      </c>
      <c r="R1370" t="s">
        <v>310</v>
      </c>
      <c r="S1370">
        <v>8.5</v>
      </c>
      <c r="T1370">
        <v>5759</v>
      </c>
      <c r="U1370">
        <v>0</v>
      </c>
      <c r="V1370">
        <v>5759</v>
      </c>
    </row>
    <row r="1371" spans="1:22" x14ac:dyDescent="0.25">
      <c r="A1371">
        <v>186607</v>
      </c>
      <c r="B1371">
        <v>131383638</v>
      </c>
      <c r="C1371" t="s">
        <v>6736</v>
      </c>
      <c r="D1371" t="s">
        <v>6737</v>
      </c>
      <c r="E1371" t="s">
        <v>5643</v>
      </c>
      <c r="F1371" t="s">
        <v>847</v>
      </c>
      <c r="G1371" t="s">
        <v>142</v>
      </c>
      <c r="H1371" t="s">
        <v>143</v>
      </c>
      <c r="I1371" t="s">
        <v>35</v>
      </c>
      <c r="J1371" t="s">
        <v>144</v>
      </c>
      <c r="K1371" t="s">
        <v>2</v>
      </c>
      <c r="L1371" t="s">
        <v>6738</v>
      </c>
      <c r="M1371" t="s">
        <v>803</v>
      </c>
      <c r="N1371" t="s">
        <v>5646</v>
      </c>
      <c r="O1371" t="s">
        <v>71</v>
      </c>
      <c r="P1371" t="s">
        <v>6739</v>
      </c>
      <c r="Q1371" t="s">
        <v>151</v>
      </c>
      <c r="R1371" t="s">
        <v>6023</v>
      </c>
      <c r="S1371">
        <v>0.5</v>
      </c>
      <c r="T1371">
        <v>3680</v>
      </c>
      <c r="U1371">
        <v>0</v>
      </c>
      <c r="V1371">
        <v>3680</v>
      </c>
    </row>
    <row r="1372" spans="1:22" x14ac:dyDescent="0.25">
      <c r="A1372">
        <v>186607</v>
      </c>
      <c r="B1372">
        <v>131489862</v>
      </c>
      <c r="C1372" t="s">
        <v>6740</v>
      </c>
      <c r="D1372" t="s">
        <v>6741</v>
      </c>
      <c r="E1372" t="s">
        <v>5643</v>
      </c>
      <c r="F1372" t="s">
        <v>847</v>
      </c>
      <c r="G1372" t="s">
        <v>142</v>
      </c>
      <c r="H1372" t="s">
        <v>143</v>
      </c>
      <c r="I1372" t="s">
        <v>35</v>
      </c>
      <c r="J1372" t="s">
        <v>144</v>
      </c>
      <c r="K1372" t="s">
        <v>2</v>
      </c>
      <c r="L1372" t="s">
        <v>6742</v>
      </c>
      <c r="M1372" t="s">
        <v>6743</v>
      </c>
      <c r="N1372" t="s">
        <v>5646</v>
      </c>
      <c r="O1372" t="s">
        <v>71</v>
      </c>
      <c r="P1372" t="s">
        <v>6744</v>
      </c>
      <c r="Q1372" t="s">
        <v>58</v>
      </c>
      <c r="R1372" t="s">
        <v>310</v>
      </c>
      <c r="S1372">
        <v>0.5</v>
      </c>
      <c r="T1372">
        <v>3680</v>
      </c>
      <c r="U1372">
        <v>0</v>
      </c>
      <c r="V1372">
        <v>3680</v>
      </c>
    </row>
    <row r="1373" spans="1:22" x14ac:dyDescent="0.25">
      <c r="A1373">
        <v>186607</v>
      </c>
      <c r="B1373">
        <v>131448806</v>
      </c>
      <c r="C1373" t="s">
        <v>6745</v>
      </c>
      <c r="D1373" t="s">
        <v>6746</v>
      </c>
      <c r="E1373" t="s">
        <v>5643</v>
      </c>
      <c r="F1373" t="s">
        <v>847</v>
      </c>
      <c r="G1373" t="s">
        <v>142</v>
      </c>
      <c r="H1373" t="s">
        <v>143</v>
      </c>
      <c r="I1373" t="s">
        <v>35</v>
      </c>
      <c r="J1373" t="s">
        <v>144</v>
      </c>
      <c r="K1373" t="s">
        <v>2</v>
      </c>
      <c r="L1373" t="s">
        <v>6747</v>
      </c>
      <c r="M1373" t="s">
        <v>6748</v>
      </c>
      <c r="N1373" t="s">
        <v>5646</v>
      </c>
      <c r="O1373" t="s">
        <v>71</v>
      </c>
      <c r="P1373" t="s">
        <v>6749</v>
      </c>
      <c r="Q1373" t="s">
        <v>74</v>
      </c>
      <c r="R1373" t="s">
        <v>489</v>
      </c>
      <c r="S1373">
        <v>0.5</v>
      </c>
      <c r="T1373">
        <v>3680</v>
      </c>
      <c r="U1373">
        <v>0</v>
      </c>
      <c r="V1373">
        <v>3680</v>
      </c>
    </row>
    <row r="1374" spans="1:22" x14ac:dyDescent="0.25">
      <c r="A1374">
        <v>186607</v>
      </c>
      <c r="B1374">
        <v>131383653</v>
      </c>
      <c r="C1374" t="s">
        <v>6750</v>
      </c>
      <c r="D1374" t="s">
        <v>6751</v>
      </c>
      <c r="E1374" t="s">
        <v>5643</v>
      </c>
      <c r="F1374" t="s">
        <v>847</v>
      </c>
      <c r="G1374" t="s">
        <v>142</v>
      </c>
      <c r="H1374" t="s">
        <v>143</v>
      </c>
      <c r="I1374" t="s">
        <v>35</v>
      </c>
      <c r="J1374" t="s">
        <v>144</v>
      </c>
      <c r="K1374" t="s">
        <v>2</v>
      </c>
      <c r="L1374" t="s">
        <v>6752</v>
      </c>
      <c r="M1374" t="s">
        <v>6753</v>
      </c>
      <c r="N1374" t="s">
        <v>5646</v>
      </c>
      <c r="O1374" t="s">
        <v>71</v>
      </c>
      <c r="P1374" t="s">
        <v>6754</v>
      </c>
      <c r="Q1374" t="s">
        <v>112</v>
      </c>
      <c r="R1374" t="s">
        <v>6023</v>
      </c>
      <c r="S1374">
        <v>0.5</v>
      </c>
      <c r="T1374">
        <v>3680</v>
      </c>
      <c r="U1374">
        <v>0</v>
      </c>
      <c r="V1374">
        <v>3680</v>
      </c>
    </row>
    <row r="1375" spans="1:22" x14ac:dyDescent="0.25">
      <c r="A1375">
        <v>186607</v>
      </c>
      <c r="B1375">
        <v>131383644</v>
      </c>
      <c r="C1375" t="s">
        <v>6755</v>
      </c>
      <c r="D1375" t="s">
        <v>6756</v>
      </c>
      <c r="E1375" t="s">
        <v>5643</v>
      </c>
      <c r="F1375" t="s">
        <v>847</v>
      </c>
      <c r="G1375" t="s">
        <v>142</v>
      </c>
      <c r="H1375" t="s">
        <v>143</v>
      </c>
      <c r="I1375" t="s">
        <v>35</v>
      </c>
      <c r="J1375" t="s">
        <v>144</v>
      </c>
      <c r="K1375" t="s">
        <v>2</v>
      </c>
      <c r="L1375" t="s">
        <v>6757</v>
      </c>
      <c r="M1375" t="s">
        <v>6758</v>
      </c>
      <c r="N1375" t="s">
        <v>5646</v>
      </c>
      <c r="O1375" t="s">
        <v>71</v>
      </c>
      <c r="P1375" t="s">
        <v>6759</v>
      </c>
      <c r="Q1375" t="s">
        <v>58</v>
      </c>
      <c r="R1375" t="s">
        <v>6023</v>
      </c>
      <c r="S1375">
        <v>0.5</v>
      </c>
      <c r="T1375">
        <v>3680</v>
      </c>
      <c r="U1375">
        <v>0</v>
      </c>
      <c r="V1375">
        <v>3680</v>
      </c>
    </row>
    <row r="1376" spans="1:22" x14ac:dyDescent="0.25">
      <c r="A1376">
        <v>186607</v>
      </c>
      <c r="B1376">
        <v>131448807</v>
      </c>
      <c r="C1376" t="s">
        <v>6760</v>
      </c>
      <c r="D1376" t="s">
        <v>6761</v>
      </c>
      <c r="E1376" t="s">
        <v>5643</v>
      </c>
      <c r="F1376" t="s">
        <v>847</v>
      </c>
      <c r="G1376" t="s">
        <v>142</v>
      </c>
      <c r="H1376" t="s">
        <v>143</v>
      </c>
      <c r="I1376" t="s">
        <v>35</v>
      </c>
      <c r="J1376" t="s">
        <v>144</v>
      </c>
      <c r="K1376" t="s">
        <v>2</v>
      </c>
      <c r="L1376" t="s">
        <v>6762</v>
      </c>
      <c r="M1376" t="s">
        <v>6763</v>
      </c>
      <c r="N1376" t="s">
        <v>5646</v>
      </c>
      <c r="O1376" t="s">
        <v>71</v>
      </c>
      <c r="P1376" t="s">
        <v>6764</v>
      </c>
      <c r="Q1376" t="s">
        <v>206</v>
      </c>
      <c r="R1376" t="s">
        <v>489</v>
      </c>
      <c r="S1376">
        <v>0.5</v>
      </c>
      <c r="T1376">
        <v>3680</v>
      </c>
      <c r="U1376">
        <v>0</v>
      </c>
      <c r="V1376">
        <v>3680</v>
      </c>
    </row>
    <row r="1377" spans="1:22" x14ac:dyDescent="0.25">
      <c r="A1377">
        <v>186607</v>
      </c>
      <c r="B1377">
        <v>131383661</v>
      </c>
      <c r="C1377" t="s">
        <v>6765</v>
      </c>
      <c r="D1377" t="s">
        <v>6766</v>
      </c>
      <c r="E1377" t="s">
        <v>5643</v>
      </c>
      <c r="F1377" t="s">
        <v>847</v>
      </c>
      <c r="G1377" t="s">
        <v>142</v>
      </c>
      <c r="H1377" t="s">
        <v>143</v>
      </c>
      <c r="I1377" t="s">
        <v>35</v>
      </c>
      <c r="J1377" t="s">
        <v>144</v>
      </c>
      <c r="K1377" t="s">
        <v>2</v>
      </c>
      <c r="L1377" t="s">
        <v>6767</v>
      </c>
      <c r="M1377" t="s">
        <v>6768</v>
      </c>
      <c r="N1377" t="s">
        <v>5646</v>
      </c>
      <c r="O1377" t="s">
        <v>71</v>
      </c>
      <c r="P1377" t="s">
        <v>6769</v>
      </c>
      <c r="Q1377" t="s">
        <v>112</v>
      </c>
      <c r="R1377" t="s">
        <v>6023</v>
      </c>
      <c r="S1377">
        <v>0.5</v>
      </c>
      <c r="T1377">
        <v>3680</v>
      </c>
      <c r="U1377">
        <v>0</v>
      </c>
      <c r="V1377">
        <v>3680</v>
      </c>
    </row>
    <row r="1378" spans="1:22" x14ac:dyDescent="0.25">
      <c r="A1378">
        <v>186607</v>
      </c>
      <c r="B1378">
        <v>131347194</v>
      </c>
      <c r="C1378" t="s">
        <v>6770</v>
      </c>
      <c r="D1378" t="s">
        <v>6771</v>
      </c>
      <c r="E1378" t="s">
        <v>5643</v>
      </c>
      <c r="F1378" t="s">
        <v>847</v>
      </c>
      <c r="G1378" t="s">
        <v>142</v>
      </c>
      <c r="H1378" t="s">
        <v>143</v>
      </c>
      <c r="I1378" t="s">
        <v>35</v>
      </c>
      <c r="J1378" t="s">
        <v>144</v>
      </c>
      <c r="K1378" t="s">
        <v>2</v>
      </c>
      <c r="L1378" t="s">
        <v>6772</v>
      </c>
      <c r="M1378" t="s">
        <v>6773</v>
      </c>
      <c r="N1378" t="s">
        <v>5646</v>
      </c>
      <c r="O1378" t="s">
        <v>71</v>
      </c>
      <c r="P1378" t="s">
        <v>6774</v>
      </c>
      <c r="Q1378" t="s">
        <v>50</v>
      </c>
      <c r="R1378" t="s">
        <v>554</v>
      </c>
      <c r="S1378">
        <v>0.5</v>
      </c>
      <c r="T1378">
        <v>3680</v>
      </c>
      <c r="U1378">
        <v>0</v>
      </c>
      <c r="V1378">
        <v>3680</v>
      </c>
    </row>
    <row r="1379" spans="1:22" x14ac:dyDescent="0.25">
      <c r="A1379">
        <v>186607</v>
      </c>
      <c r="B1379">
        <v>131383643</v>
      </c>
      <c r="C1379" t="s">
        <v>6775</v>
      </c>
      <c r="D1379" t="s">
        <v>6776</v>
      </c>
      <c r="E1379" t="s">
        <v>5643</v>
      </c>
      <c r="F1379" t="s">
        <v>847</v>
      </c>
      <c r="G1379" t="s">
        <v>142</v>
      </c>
      <c r="H1379" t="s">
        <v>143</v>
      </c>
      <c r="I1379" t="s">
        <v>35</v>
      </c>
      <c r="J1379" t="s">
        <v>144</v>
      </c>
      <c r="K1379" t="s">
        <v>2</v>
      </c>
      <c r="L1379" t="s">
        <v>6777</v>
      </c>
      <c r="M1379" t="s">
        <v>6778</v>
      </c>
      <c r="N1379" t="s">
        <v>5646</v>
      </c>
      <c r="O1379" t="s">
        <v>71</v>
      </c>
      <c r="P1379" t="s">
        <v>6779</v>
      </c>
      <c r="Q1379" t="s">
        <v>82</v>
      </c>
      <c r="R1379" t="s">
        <v>6023</v>
      </c>
      <c r="S1379">
        <v>0.5</v>
      </c>
      <c r="T1379">
        <v>3680</v>
      </c>
      <c r="U1379">
        <v>0</v>
      </c>
      <c r="V1379">
        <v>3680</v>
      </c>
    </row>
    <row r="1380" spans="1:22" x14ac:dyDescent="0.25">
      <c r="A1380">
        <v>186607</v>
      </c>
      <c r="B1380">
        <v>131312189</v>
      </c>
      <c r="C1380" t="s">
        <v>6780</v>
      </c>
      <c r="D1380" t="s">
        <v>6781</v>
      </c>
      <c r="E1380" t="s">
        <v>5643</v>
      </c>
      <c r="F1380" t="s">
        <v>847</v>
      </c>
      <c r="G1380" t="s">
        <v>142</v>
      </c>
      <c r="H1380" t="s">
        <v>143</v>
      </c>
      <c r="I1380" t="s">
        <v>35</v>
      </c>
      <c r="J1380" t="s">
        <v>144</v>
      </c>
      <c r="K1380" t="s">
        <v>2</v>
      </c>
      <c r="L1380" t="s">
        <v>6782</v>
      </c>
      <c r="M1380" t="s">
        <v>6783</v>
      </c>
      <c r="N1380" t="s">
        <v>5646</v>
      </c>
      <c r="O1380" t="s">
        <v>71</v>
      </c>
      <c r="P1380" t="s">
        <v>6784</v>
      </c>
      <c r="Q1380" t="s">
        <v>52</v>
      </c>
      <c r="R1380" t="s">
        <v>522</v>
      </c>
      <c r="S1380">
        <v>0.5</v>
      </c>
      <c r="T1380">
        <v>3680</v>
      </c>
      <c r="U1380">
        <v>0</v>
      </c>
      <c r="V1380">
        <v>3680</v>
      </c>
    </row>
    <row r="1381" spans="1:22" x14ac:dyDescent="0.25">
      <c r="A1381">
        <v>186607</v>
      </c>
      <c r="B1381">
        <v>131312190</v>
      </c>
      <c r="C1381" t="s">
        <v>6785</v>
      </c>
      <c r="D1381" t="s">
        <v>6786</v>
      </c>
      <c r="E1381" t="s">
        <v>5643</v>
      </c>
      <c r="F1381" t="s">
        <v>847</v>
      </c>
      <c r="G1381" t="s">
        <v>142</v>
      </c>
      <c r="H1381" t="s">
        <v>143</v>
      </c>
      <c r="I1381" t="s">
        <v>35</v>
      </c>
      <c r="J1381" t="s">
        <v>144</v>
      </c>
      <c r="K1381" t="s">
        <v>2</v>
      </c>
      <c r="L1381" t="s">
        <v>6787</v>
      </c>
      <c r="M1381" t="s">
        <v>6788</v>
      </c>
      <c r="N1381" t="s">
        <v>5646</v>
      </c>
      <c r="O1381" t="s">
        <v>71</v>
      </c>
      <c r="P1381" t="s">
        <v>6789</v>
      </c>
      <c r="Q1381" t="s">
        <v>112</v>
      </c>
      <c r="R1381" t="s">
        <v>522</v>
      </c>
      <c r="S1381">
        <v>0.5</v>
      </c>
      <c r="T1381">
        <v>3680</v>
      </c>
      <c r="U1381">
        <v>0</v>
      </c>
      <c r="V1381">
        <v>3680</v>
      </c>
    </row>
    <row r="1382" spans="1:22" x14ac:dyDescent="0.25">
      <c r="A1382">
        <v>186607</v>
      </c>
      <c r="B1382">
        <v>131312179</v>
      </c>
      <c r="C1382" t="s">
        <v>6790</v>
      </c>
      <c r="D1382" t="s">
        <v>6791</v>
      </c>
      <c r="E1382" t="s">
        <v>5643</v>
      </c>
      <c r="F1382" t="s">
        <v>847</v>
      </c>
      <c r="G1382" t="s">
        <v>142</v>
      </c>
      <c r="H1382" t="s">
        <v>143</v>
      </c>
      <c r="I1382" t="s">
        <v>35</v>
      </c>
      <c r="J1382" t="s">
        <v>144</v>
      </c>
      <c r="K1382" t="s">
        <v>2</v>
      </c>
      <c r="L1382" t="s">
        <v>6359</v>
      </c>
      <c r="M1382" t="s">
        <v>6792</v>
      </c>
      <c r="N1382" t="s">
        <v>5646</v>
      </c>
      <c r="O1382" t="s">
        <v>71</v>
      </c>
      <c r="P1382" t="s">
        <v>6793</v>
      </c>
      <c r="Q1382" t="s">
        <v>231</v>
      </c>
      <c r="R1382" t="s">
        <v>522</v>
      </c>
      <c r="S1382">
        <v>0.5</v>
      </c>
      <c r="T1382">
        <v>3680</v>
      </c>
      <c r="U1382">
        <v>0</v>
      </c>
      <c r="V1382">
        <v>3680</v>
      </c>
    </row>
    <row r="1383" spans="1:22" x14ac:dyDescent="0.25">
      <c r="A1383">
        <v>186607</v>
      </c>
      <c r="B1383">
        <v>131312206</v>
      </c>
      <c r="C1383" t="s">
        <v>6794</v>
      </c>
      <c r="D1383" t="s">
        <v>6795</v>
      </c>
      <c r="E1383" t="s">
        <v>5643</v>
      </c>
      <c r="F1383" t="s">
        <v>847</v>
      </c>
      <c r="G1383" t="s">
        <v>142</v>
      </c>
      <c r="H1383" t="s">
        <v>143</v>
      </c>
      <c r="I1383" t="s">
        <v>35</v>
      </c>
      <c r="J1383" t="s">
        <v>144</v>
      </c>
      <c r="K1383" t="s">
        <v>2</v>
      </c>
      <c r="L1383" t="s">
        <v>6796</v>
      </c>
      <c r="M1383" t="s">
        <v>6797</v>
      </c>
      <c r="N1383" t="s">
        <v>5646</v>
      </c>
      <c r="O1383" t="s">
        <v>71</v>
      </c>
      <c r="P1383" t="s">
        <v>6798</v>
      </c>
      <c r="Q1383" t="s">
        <v>50</v>
      </c>
      <c r="R1383" t="s">
        <v>522</v>
      </c>
      <c r="S1383">
        <v>0.5</v>
      </c>
      <c r="T1383">
        <v>3680</v>
      </c>
      <c r="U1383">
        <v>0</v>
      </c>
      <c r="V1383">
        <v>3680</v>
      </c>
    </row>
    <row r="1384" spans="1:22" x14ac:dyDescent="0.25">
      <c r="A1384">
        <v>186607</v>
      </c>
      <c r="B1384">
        <v>131312225</v>
      </c>
      <c r="C1384" t="s">
        <v>6799</v>
      </c>
      <c r="D1384" t="s">
        <v>6800</v>
      </c>
      <c r="E1384" t="s">
        <v>5643</v>
      </c>
      <c r="F1384" t="s">
        <v>847</v>
      </c>
      <c r="G1384" t="s">
        <v>142</v>
      </c>
      <c r="H1384" t="s">
        <v>143</v>
      </c>
      <c r="I1384" t="s">
        <v>35</v>
      </c>
      <c r="J1384" t="s">
        <v>144</v>
      </c>
      <c r="K1384" t="s">
        <v>2</v>
      </c>
      <c r="L1384" t="s">
        <v>6801</v>
      </c>
      <c r="M1384" t="s">
        <v>788</v>
      </c>
      <c r="N1384" t="s">
        <v>5646</v>
      </c>
      <c r="O1384" t="s">
        <v>71</v>
      </c>
      <c r="P1384" t="s">
        <v>6802</v>
      </c>
      <c r="Q1384" t="s">
        <v>50</v>
      </c>
      <c r="R1384" t="s">
        <v>522</v>
      </c>
      <c r="S1384">
        <v>0.5</v>
      </c>
      <c r="T1384">
        <v>3680</v>
      </c>
      <c r="U1384">
        <v>0</v>
      </c>
      <c r="V1384">
        <v>3680</v>
      </c>
    </row>
    <row r="1385" spans="1:22" x14ac:dyDescent="0.25">
      <c r="A1385">
        <v>186607</v>
      </c>
      <c r="B1385">
        <v>131277928</v>
      </c>
      <c r="C1385" t="s">
        <v>6803</v>
      </c>
      <c r="D1385" t="s">
        <v>6804</v>
      </c>
      <c r="E1385" t="s">
        <v>5643</v>
      </c>
      <c r="F1385" t="s">
        <v>847</v>
      </c>
      <c r="G1385" t="s">
        <v>142</v>
      </c>
      <c r="H1385" t="s">
        <v>143</v>
      </c>
      <c r="I1385" t="s">
        <v>35</v>
      </c>
      <c r="J1385" t="s">
        <v>144</v>
      </c>
      <c r="K1385" t="s">
        <v>2</v>
      </c>
      <c r="L1385" t="s">
        <v>6805</v>
      </c>
      <c r="M1385" t="s">
        <v>6806</v>
      </c>
      <c r="N1385" t="s">
        <v>5646</v>
      </c>
      <c r="O1385" t="s">
        <v>71</v>
      </c>
      <c r="P1385" t="s">
        <v>6807</v>
      </c>
      <c r="Q1385" t="s">
        <v>50</v>
      </c>
      <c r="R1385" t="s">
        <v>623</v>
      </c>
      <c r="S1385">
        <v>0.5</v>
      </c>
      <c r="T1385">
        <v>4800</v>
      </c>
      <c r="U1385">
        <v>0</v>
      </c>
      <c r="V1385">
        <v>4800</v>
      </c>
    </row>
    <row r="1386" spans="1:22" x14ac:dyDescent="0.25">
      <c r="A1386">
        <v>186607</v>
      </c>
      <c r="B1386">
        <v>131277921</v>
      </c>
      <c r="C1386" t="s">
        <v>6808</v>
      </c>
      <c r="D1386" t="s">
        <v>6809</v>
      </c>
      <c r="E1386" t="s">
        <v>5643</v>
      </c>
      <c r="F1386" t="s">
        <v>847</v>
      </c>
      <c r="G1386" t="s">
        <v>142</v>
      </c>
      <c r="H1386" t="s">
        <v>143</v>
      </c>
      <c r="I1386" t="s">
        <v>35</v>
      </c>
      <c r="J1386" t="s">
        <v>144</v>
      </c>
      <c r="K1386" t="s">
        <v>2</v>
      </c>
      <c r="L1386" t="s">
        <v>6810</v>
      </c>
      <c r="M1386" t="s">
        <v>6811</v>
      </c>
      <c r="N1386" t="s">
        <v>5646</v>
      </c>
      <c r="O1386" t="s">
        <v>71</v>
      </c>
      <c r="P1386" t="s">
        <v>6812</v>
      </c>
      <c r="Q1386" t="s">
        <v>112</v>
      </c>
      <c r="R1386" t="s">
        <v>623</v>
      </c>
      <c r="S1386">
        <v>0.5</v>
      </c>
      <c r="T1386">
        <v>5910</v>
      </c>
      <c r="U1386">
        <v>0</v>
      </c>
      <c r="V1386">
        <v>5910</v>
      </c>
    </row>
    <row r="1387" spans="1:22" x14ac:dyDescent="0.25">
      <c r="A1387">
        <v>186607</v>
      </c>
      <c r="B1387">
        <v>131268218</v>
      </c>
      <c r="C1387" t="s">
        <v>6813</v>
      </c>
      <c r="D1387" t="s">
        <v>6814</v>
      </c>
      <c r="E1387" t="s">
        <v>5643</v>
      </c>
      <c r="F1387" t="s">
        <v>847</v>
      </c>
      <c r="G1387" t="s">
        <v>142</v>
      </c>
      <c r="H1387" t="s">
        <v>143</v>
      </c>
      <c r="I1387" t="s">
        <v>35</v>
      </c>
      <c r="J1387" t="s">
        <v>144</v>
      </c>
      <c r="K1387" t="s">
        <v>2</v>
      </c>
      <c r="L1387" t="s">
        <v>6815</v>
      </c>
      <c r="M1387" t="s">
        <v>6816</v>
      </c>
      <c r="N1387" t="s">
        <v>5646</v>
      </c>
      <c r="O1387" t="s">
        <v>71</v>
      </c>
      <c r="P1387" t="s">
        <v>6817</v>
      </c>
      <c r="Q1387" t="s">
        <v>50</v>
      </c>
      <c r="R1387" t="s">
        <v>303</v>
      </c>
      <c r="S1387">
        <v>0.5</v>
      </c>
      <c r="T1387">
        <v>4800</v>
      </c>
      <c r="U1387">
        <v>0</v>
      </c>
      <c r="V1387">
        <v>4800</v>
      </c>
    </row>
    <row r="1388" spans="1:22" x14ac:dyDescent="0.25">
      <c r="A1388">
        <v>186607</v>
      </c>
      <c r="B1388">
        <v>132178961</v>
      </c>
      <c r="C1388" t="s">
        <v>6818</v>
      </c>
      <c r="D1388" t="s">
        <v>6819</v>
      </c>
      <c r="E1388" t="s">
        <v>5643</v>
      </c>
      <c r="F1388" t="s">
        <v>847</v>
      </c>
      <c r="G1388" t="s">
        <v>142</v>
      </c>
      <c r="H1388" t="s">
        <v>143</v>
      </c>
      <c r="I1388" t="s">
        <v>35</v>
      </c>
      <c r="J1388" t="s">
        <v>144</v>
      </c>
      <c r="K1388" t="s">
        <v>2</v>
      </c>
      <c r="L1388" t="s">
        <v>6820</v>
      </c>
      <c r="M1388" t="s">
        <v>6821</v>
      </c>
      <c r="N1388" t="s">
        <v>5646</v>
      </c>
      <c r="O1388" t="s">
        <v>71</v>
      </c>
      <c r="P1388" t="s">
        <v>6822</v>
      </c>
      <c r="Q1388" t="s">
        <v>50</v>
      </c>
      <c r="R1388" t="s">
        <v>371</v>
      </c>
      <c r="S1388">
        <v>1.45</v>
      </c>
      <c r="T1388">
        <v>3753</v>
      </c>
      <c r="U1388">
        <v>0</v>
      </c>
      <c r="V1388">
        <v>3753</v>
      </c>
    </row>
    <row r="1389" spans="1:22" x14ac:dyDescent="0.25">
      <c r="A1389">
        <v>186607</v>
      </c>
      <c r="B1389">
        <v>132178953</v>
      </c>
      <c r="C1389" t="s">
        <v>6823</v>
      </c>
      <c r="D1389" t="s">
        <v>6824</v>
      </c>
      <c r="E1389" t="s">
        <v>5643</v>
      </c>
      <c r="F1389" t="s">
        <v>847</v>
      </c>
      <c r="G1389" t="s">
        <v>142</v>
      </c>
      <c r="H1389" t="s">
        <v>143</v>
      </c>
      <c r="I1389" t="s">
        <v>35</v>
      </c>
      <c r="J1389" t="s">
        <v>144</v>
      </c>
      <c r="K1389" t="s">
        <v>2</v>
      </c>
      <c r="L1389" t="s">
        <v>6825</v>
      </c>
      <c r="M1389" t="s">
        <v>6826</v>
      </c>
      <c r="N1389" t="s">
        <v>5646</v>
      </c>
      <c r="O1389" t="s">
        <v>71</v>
      </c>
      <c r="P1389" t="s">
        <v>6827</v>
      </c>
      <c r="Q1389" t="s">
        <v>58</v>
      </c>
      <c r="R1389" t="s">
        <v>371</v>
      </c>
      <c r="S1389">
        <v>1.5</v>
      </c>
      <c r="T1389">
        <v>3753</v>
      </c>
      <c r="U1389">
        <v>0</v>
      </c>
      <c r="V1389">
        <v>3753</v>
      </c>
    </row>
    <row r="1390" spans="1:22" x14ac:dyDescent="0.25">
      <c r="A1390">
        <v>186607</v>
      </c>
      <c r="B1390">
        <v>132043994</v>
      </c>
      <c r="C1390" t="s">
        <v>6828</v>
      </c>
      <c r="D1390" t="s">
        <v>6829</v>
      </c>
      <c r="E1390" t="s">
        <v>5643</v>
      </c>
      <c r="F1390" t="s">
        <v>847</v>
      </c>
      <c r="G1390" t="s">
        <v>142</v>
      </c>
      <c r="H1390" t="s">
        <v>143</v>
      </c>
      <c r="I1390" t="s">
        <v>35</v>
      </c>
      <c r="J1390" t="s">
        <v>144</v>
      </c>
      <c r="K1390" t="s">
        <v>2</v>
      </c>
      <c r="L1390" t="s">
        <v>6830</v>
      </c>
      <c r="M1390" t="s">
        <v>762</v>
      </c>
      <c r="N1390" t="s">
        <v>5646</v>
      </c>
      <c r="O1390" t="s">
        <v>71</v>
      </c>
      <c r="P1390" t="s">
        <v>6831</v>
      </c>
      <c r="Q1390" t="s">
        <v>52</v>
      </c>
      <c r="R1390" t="s">
        <v>600</v>
      </c>
      <c r="S1390">
        <v>1.5</v>
      </c>
      <c r="T1390">
        <v>3753</v>
      </c>
      <c r="U1390">
        <v>0</v>
      </c>
      <c r="V1390">
        <v>3753</v>
      </c>
    </row>
    <row r="1391" spans="1:22" x14ac:dyDescent="0.25">
      <c r="A1391">
        <v>186607</v>
      </c>
      <c r="B1391">
        <v>132022560</v>
      </c>
      <c r="C1391" t="s">
        <v>6832</v>
      </c>
      <c r="D1391" t="s">
        <v>6833</v>
      </c>
      <c r="E1391" t="s">
        <v>5643</v>
      </c>
      <c r="F1391" t="s">
        <v>847</v>
      </c>
      <c r="G1391" t="s">
        <v>142</v>
      </c>
      <c r="H1391" t="s">
        <v>143</v>
      </c>
      <c r="I1391" t="s">
        <v>35</v>
      </c>
      <c r="J1391" t="s">
        <v>144</v>
      </c>
      <c r="K1391" t="s">
        <v>2</v>
      </c>
      <c r="L1391" t="s">
        <v>823</v>
      </c>
      <c r="M1391" t="s">
        <v>6834</v>
      </c>
      <c r="N1391" t="s">
        <v>5646</v>
      </c>
      <c r="O1391" t="s">
        <v>71</v>
      </c>
      <c r="P1391" t="s">
        <v>6835</v>
      </c>
      <c r="Q1391" t="s">
        <v>50</v>
      </c>
      <c r="R1391" t="s">
        <v>540</v>
      </c>
      <c r="S1391">
        <v>1</v>
      </c>
      <c r="T1391">
        <v>3753</v>
      </c>
      <c r="U1391">
        <v>0</v>
      </c>
      <c r="V1391">
        <v>3753</v>
      </c>
    </row>
    <row r="1392" spans="1:22" x14ac:dyDescent="0.25">
      <c r="A1392">
        <v>186607</v>
      </c>
      <c r="B1392">
        <v>132074193</v>
      </c>
      <c r="C1392" t="s">
        <v>6836</v>
      </c>
      <c r="D1392" t="s">
        <v>6837</v>
      </c>
      <c r="E1392" t="s">
        <v>5643</v>
      </c>
      <c r="F1392" t="s">
        <v>847</v>
      </c>
      <c r="G1392" t="s">
        <v>142</v>
      </c>
      <c r="H1392" t="s">
        <v>143</v>
      </c>
      <c r="I1392" t="s">
        <v>35</v>
      </c>
      <c r="J1392" t="s">
        <v>144</v>
      </c>
      <c r="K1392" t="s">
        <v>2</v>
      </c>
      <c r="L1392" t="s">
        <v>6838</v>
      </c>
      <c r="M1392" t="s">
        <v>6839</v>
      </c>
      <c r="N1392" t="s">
        <v>5646</v>
      </c>
      <c r="O1392" t="s">
        <v>71</v>
      </c>
      <c r="P1392" t="s">
        <v>6840</v>
      </c>
      <c r="Q1392" t="s">
        <v>50</v>
      </c>
      <c r="R1392" t="s">
        <v>816</v>
      </c>
      <c r="S1392">
        <v>1.5</v>
      </c>
      <c r="T1392">
        <v>3753</v>
      </c>
      <c r="U1392">
        <v>0</v>
      </c>
      <c r="V1392">
        <v>3753</v>
      </c>
    </row>
    <row r="1393" spans="1:22" x14ac:dyDescent="0.25">
      <c r="A1393">
        <v>186607</v>
      </c>
      <c r="B1393">
        <v>131922270</v>
      </c>
      <c r="C1393" t="s">
        <v>6841</v>
      </c>
      <c r="D1393" t="s">
        <v>6842</v>
      </c>
      <c r="E1393" t="s">
        <v>5643</v>
      </c>
      <c r="F1393" t="s">
        <v>847</v>
      </c>
      <c r="G1393" t="s">
        <v>142</v>
      </c>
      <c r="H1393" t="s">
        <v>143</v>
      </c>
      <c r="I1393" t="s">
        <v>35</v>
      </c>
      <c r="J1393" t="s">
        <v>144</v>
      </c>
      <c r="K1393" t="s">
        <v>2</v>
      </c>
      <c r="L1393" t="s">
        <v>3434</v>
      </c>
      <c r="M1393" t="s">
        <v>6843</v>
      </c>
      <c r="N1393" t="s">
        <v>5646</v>
      </c>
      <c r="O1393" t="s">
        <v>71</v>
      </c>
      <c r="P1393" t="s">
        <v>6844</v>
      </c>
      <c r="Q1393" t="s">
        <v>62</v>
      </c>
      <c r="R1393" t="s">
        <v>5884</v>
      </c>
      <c r="S1393">
        <v>1</v>
      </c>
      <c r="T1393">
        <v>3753</v>
      </c>
      <c r="U1393">
        <v>0</v>
      </c>
      <c r="V1393">
        <v>3753</v>
      </c>
    </row>
    <row r="1394" spans="1:22" x14ac:dyDescent="0.25">
      <c r="A1394">
        <v>186607</v>
      </c>
      <c r="B1394">
        <v>131821912</v>
      </c>
      <c r="C1394" t="s">
        <v>6845</v>
      </c>
      <c r="D1394" t="s">
        <v>6846</v>
      </c>
      <c r="E1394" t="s">
        <v>5643</v>
      </c>
      <c r="F1394" t="s">
        <v>847</v>
      </c>
      <c r="G1394" t="s">
        <v>142</v>
      </c>
      <c r="H1394" t="s">
        <v>143</v>
      </c>
      <c r="I1394" t="s">
        <v>35</v>
      </c>
      <c r="J1394" t="s">
        <v>144</v>
      </c>
      <c r="K1394" t="s">
        <v>2</v>
      </c>
      <c r="L1394" t="s">
        <v>6847</v>
      </c>
      <c r="M1394" t="s">
        <v>6848</v>
      </c>
      <c r="N1394" t="s">
        <v>5646</v>
      </c>
      <c r="O1394" t="s">
        <v>71</v>
      </c>
      <c r="P1394" t="s">
        <v>6849</v>
      </c>
      <c r="Q1394" t="s">
        <v>52</v>
      </c>
      <c r="R1394" t="s">
        <v>412</v>
      </c>
      <c r="S1394">
        <v>1.45</v>
      </c>
      <c r="T1394">
        <v>3753</v>
      </c>
      <c r="U1394">
        <v>0</v>
      </c>
      <c r="V1394">
        <v>3753</v>
      </c>
    </row>
    <row r="1395" spans="1:22" x14ac:dyDescent="0.25">
      <c r="A1395">
        <v>186607</v>
      </c>
      <c r="B1395">
        <v>131821899</v>
      </c>
      <c r="C1395" t="s">
        <v>6850</v>
      </c>
      <c r="D1395" t="s">
        <v>6851</v>
      </c>
      <c r="E1395" t="s">
        <v>5643</v>
      </c>
      <c r="F1395" t="s">
        <v>847</v>
      </c>
      <c r="G1395" t="s">
        <v>142</v>
      </c>
      <c r="H1395" t="s">
        <v>143</v>
      </c>
      <c r="I1395" t="s">
        <v>35</v>
      </c>
      <c r="J1395" t="s">
        <v>144</v>
      </c>
      <c r="K1395" t="s">
        <v>2</v>
      </c>
      <c r="L1395" t="s">
        <v>736</v>
      </c>
      <c r="M1395" t="s">
        <v>6852</v>
      </c>
      <c r="N1395" t="s">
        <v>5646</v>
      </c>
      <c r="O1395" t="s">
        <v>71</v>
      </c>
      <c r="P1395" t="s">
        <v>6853</v>
      </c>
      <c r="Q1395" t="s">
        <v>50</v>
      </c>
      <c r="R1395" t="s">
        <v>412</v>
      </c>
      <c r="S1395">
        <v>1</v>
      </c>
      <c r="T1395">
        <v>3753</v>
      </c>
      <c r="U1395">
        <v>0</v>
      </c>
      <c r="V1395">
        <v>3753</v>
      </c>
    </row>
    <row r="1396" spans="1:22" x14ac:dyDescent="0.25">
      <c r="A1396">
        <v>186607</v>
      </c>
      <c r="B1396">
        <v>131590316</v>
      </c>
      <c r="C1396" t="s">
        <v>6854</v>
      </c>
      <c r="D1396" t="s">
        <v>6855</v>
      </c>
      <c r="E1396" t="s">
        <v>5643</v>
      </c>
      <c r="F1396" t="s">
        <v>847</v>
      </c>
      <c r="G1396" t="s">
        <v>142</v>
      </c>
      <c r="H1396" t="s">
        <v>143</v>
      </c>
      <c r="I1396" t="s">
        <v>35</v>
      </c>
      <c r="J1396" t="s">
        <v>144</v>
      </c>
      <c r="K1396" t="s">
        <v>2</v>
      </c>
      <c r="L1396" t="s">
        <v>6856</v>
      </c>
      <c r="M1396" t="s">
        <v>797</v>
      </c>
      <c r="N1396" t="s">
        <v>5646</v>
      </c>
      <c r="O1396" t="s">
        <v>71</v>
      </c>
      <c r="P1396" t="s">
        <v>6857</v>
      </c>
      <c r="Q1396" t="s">
        <v>52</v>
      </c>
      <c r="R1396" t="s">
        <v>5764</v>
      </c>
      <c r="S1396">
        <v>1.5</v>
      </c>
      <c r="T1396">
        <v>3753</v>
      </c>
      <c r="U1396">
        <v>0</v>
      </c>
      <c r="V1396">
        <v>3753</v>
      </c>
    </row>
    <row r="1397" spans="1:22" x14ac:dyDescent="0.25">
      <c r="A1397">
        <v>186607</v>
      </c>
      <c r="B1397">
        <v>131662750</v>
      </c>
      <c r="C1397" t="s">
        <v>6858</v>
      </c>
      <c r="D1397" t="s">
        <v>6859</v>
      </c>
      <c r="E1397" t="s">
        <v>5643</v>
      </c>
      <c r="F1397" t="s">
        <v>847</v>
      </c>
      <c r="G1397" t="s">
        <v>142</v>
      </c>
      <c r="H1397" t="s">
        <v>143</v>
      </c>
      <c r="I1397" t="s">
        <v>35</v>
      </c>
      <c r="J1397" t="s">
        <v>144</v>
      </c>
      <c r="K1397" t="s">
        <v>2</v>
      </c>
      <c r="L1397" t="s">
        <v>6860</v>
      </c>
      <c r="M1397" t="s">
        <v>6861</v>
      </c>
      <c r="N1397" t="s">
        <v>5646</v>
      </c>
      <c r="O1397" t="s">
        <v>71</v>
      </c>
      <c r="P1397" t="s">
        <v>6862</v>
      </c>
      <c r="Q1397" t="s">
        <v>62</v>
      </c>
      <c r="R1397" t="s">
        <v>5755</v>
      </c>
      <c r="S1397">
        <v>1.5</v>
      </c>
      <c r="T1397">
        <v>3753</v>
      </c>
      <c r="U1397">
        <v>0</v>
      </c>
      <c r="V1397">
        <v>3753</v>
      </c>
    </row>
    <row r="1398" spans="1:22" x14ac:dyDescent="0.25">
      <c r="A1398">
        <v>186607</v>
      </c>
      <c r="B1398">
        <v>131662735</v>
      </c>
      <c r="C1398" t="s">
        <v>6863</v>
      </c>
      <c r="D1398" t="s">
        <v>6864</v>
      </c>
      <c r="E1398" t="s">
        <v>5643</v>
      </c>
      <c r="F1398" t="s">
        <v>847</v>
      </c>
      <c r="G1398" t="s">
        <v>142</v>
      </c>
      <c r="H1398" t="s">
        <v>143</v>
      </c>
      <c r="I1398" t="s">
        <v>35</v>
      </c>
      <c r="J1398" t="s">
        <v>144</v>
      </c>
      <c r="K1398" t="s">
        <v>2</v>
      </c>
      <c r="L1398" t="s">
        <v>6865</v>
      </c>
      <c r="M1398" t="s">
        <v>6866</v>
      </c>
      <c r="N1398" t="s">
        <v>5646</v>
      </c>
      <c r="O1398" t="s">
        <v>71</v>
      </c>
      <c r="P1398" t="s">
        <v>6867</v>
      </c>
      <c r="Q1398" t="s">
        <v>50</v>
      </c>
      <c r="R1398" t="s">
        <v>5755</v>
      </c>
      <c r="S1398">
        <v>1.5</v>
      </c>
      <c r="T1398">
        <v>3753</v>
      </c>
      <c r="U1398">
        <v>0</v>
      </c>
      <c r="V1398">
        <v>3753</v>
      </c>
    </row>
    <row r="1399" spans="1:22" x14ac:dyDescent="0.25">
      <c r="A1399">
        <v>186607</v>
      </c>
      <c r="B1399">
        <v>131555173</v>
      </c>
      <c r="C1399" t="s">
        <v>6868</v>
      </c>
      <c r="D1399" t="s">
        <v>6869</v>
      </c>
      <c r="E1399" t="s">
        <v>5643</v>
      </c>
      <c r="F1399" t="s">
        <v>847</v>
      </c>
      <c r="G1399" t="s">
        <v>142</v>
      </c>
      <c r="H1399" t="s">
        <v>143</v>
      </c>
      <c r="I1399" t="s">
        <v>35</v>
      </c>
      <c r="J1399" t="s">
        <v>144</v>
      </c>
      <c r="K1399" t="s">
        <v>2</v>
      </c>
      <c r="L1399" t="s">
        <v>6870</v>
      </c>
      <c r="M1399" t="s">
        <v>6797</v>
      </c>
      <c r="N1399" t="s">
        <v>5646</v>
      </c>
      <c r="O1399" t="s">
        <v>71</v>
      </c>
      <c r="P1399" t="s">
        <v>6871</v>
      </c>
      <c r="Q1399" t="s">
        <v>50</v>
      </c>
      <c r="R1399" t="s">
        <v>6672</v>
      </c>
      <c r="S1399">
        <v>1</v>
      </c>
      <c r="T1399">
        <v>3753</v>
      </c>
      <c r="U1399">
        <v>0</v>
      </c>
      <c r="V1399">
        <v>3753</v>
      </c>
    </row>
    <row r="1400" spans="1:22" x14ac:dyDescent="0.25">
      <c r="A1400">
        <v>186607</v>
      </c>
      <c r="B1400">
        <v>131533558</v>
      </c>
      <c r="C1400" t="s">
        <v>6872</v>
      </c>
      <c r="D1400" t="s">
        <v>6873</v>
      </c>
      <c r="E1400" t="s">
        <v>5643</v>
      </c>
      <c r="F1400" t="s">
        <v>847</v>
      </c>
      <c r="G1400" t="s">
        <v>142</v>
      </c>
      <c r="H1400" t="s">
        <v>143</v>
      </c>
      <c r="I1400" t="s">
        <v>35</v>
      </c>
      <c r="J1400" t="s">
        <v>144</v>
      </c>
      <c r="K1400" t="s">
        <v>2</v>
      </c>
      <c r="L1400" t="s">
        <v>6874</v>
      </c>
      <c r="M1400" t="s">
        <v>6875</v>
      </c>
      <c r="N1400" t="s">
        <v>5646</v>
      </c>
      <c r="O1400" t="s">
        <v>71</v>
      </c>
      <c r="P1400" t="s">
        <v>6876</v>
      </c>
      <c r="Q1400" t="s">
        <v>121</v>
      </c>
      <c r="R1400" t="s">
        <v>445</v>
      </c>
      <c r="S1400">
        <v>1.5</v>
      </c>
      <c r="T1400">
        <v>3753</v>
      </c>
      <c r="U1400">
        <v>0</v>
      </c>
      <c r="V1400">
        <v>3753</v>
      </c>
    </row>
    <row r="1401" spans="1:22" x14ac:dyDescent="0.25">
      <c r="A1401">
        <v>186607</v>
      </c>
      <c r="B1401">
        <v>131555176</v>
      </c>
      <c r="C1401" t="s">
        <v>6877</v>
      </c>
      <c r="D1401" t="s">
        <v>6878</v>
      </c>
      <c r="E1401" t="s">
        <v>5643</v>
      </c>
      <c r="F1401" t="s">
        <v>847</v>
      </c>
      <c r="G1401" t="s">
        <v>142</v>
      </c>
      <c r="H1401" t="s">
        <v>143</v>
      </c>
      <c r="I1401" t="s">
        <v>35</v>
      </c>
      <c r="J1401" t="s">
        <v>144</v>
      </c>
      <c r="K1401" t="s">
        <v>2</v>
      </c>
      <c r="L1401" t="s">
        <v>6879</v>
      </c>
      <c r="M1401" t="s">
        <v>6880</v>
      </c>
      <c r="N1401" t="s">
        <v>5646</v>
      </c>
      <c r="O1401" t="s">
        <v>71</v>
      </c>
      <c r="P1401" t="s">
        <v>6881</v>
      </c>
      <c r="Q1401" t="s">
        <v>50</v>
      </c>
      <c r="R1401" t="s">
        <v>6672</v>
      </c>
      <c r="S1401">
        <v>1</v>
      </c>
      <c r="T1401">
        <v>3753</v>
      </c>
      <c r="U1401">
        <v>0</v>
      </c>
      <c r="V1401">
        <v>3753</v>
      </c>
    </row>
    <row r="1402" spans="1:22" x14ac:dyDescent="0.25">
      <c r="A1402">
        <v>186607</v>
      </c>
      <c r="B1402">
        <v>131533559</v>
      </c>
      <c r="C1402" t="s">
        <v>6882</v>
      </c>
      <c r="D1402" t="s">
        <v>6883</v>
      </c>
      <c r="E1402" t="s">
        <v>5643</v>
      </c>
      <c r="F1402" t="s">
        <v>847</v>
      </c>
      <c r="G1402" t="s">
        <v>142</v>
      </c>
      <c r="H1402" t="s">
        <v>143</v>
      </c>
      <c r="I1402" t="s">
        <v>35</v>
      </c>
      <c r="J1402" t="s">
        <v>144</v>
      </c>
      <c r="K1402" t="s">
        <v>2</v>
      </c>
      <c r="L1402" t="s">
        <v>6884</v>
      </c>
      <c r="M1402" t="s">
        <v>6885</v>
      </c>
      <c r="N1402" t="s">
        <v>5646</v>
      </c>
      <c r="O1402" t="s">
        <v>71</v>
      </c>
      <c r="P1402" t="s">
        <v>6886</v>
      </c>
      <c r="Q1402" t="s">
        <v>58</v>
      </c>
      <c r="R1402" t="s">
        <v>445</v>
      </c>
      <c r="S1402">
        <v>2.2000000000000002</v>
      </c>
      <c r="T1402">
        <v>3753</v>
      </c>
      <c r="U1402">
        <v>0</v>
      </c>
      <c r="V1402">
        <v>3753</v>
      </c>
    </row>
    <row r="1403" spans="1:22" x14ac:dyDescent="0.25">
      <c r="A1403">
        <v>186607</v>
      </c>
      <c r="B1403">
        <v>131383637</v>
      </c>
      <c r="C1403" t="s">
        <v>6887</v>
      </c>
      <c r="D1403" t="s">
        <v>6888</v>
      </c>
      <c r="E1403" t="s">
        <v>5643</v>
      </c>
      <c r="F1403" t="s">
        <v>847</v>
      </c>
      <c r="G1403" t="s">
        <v>142</v>
      </c>
      <c r="H1403" t="s">
        <v>143</v>
      </c>
      <c r="I1403" t="s">
        <v>35</v>
      </c>
      <c r="J1403" t="s">
        <v>144</v>
      </c>
      <c r="K1403" t="s">
        <v>2</v>
      </c>
      <c r="L1403" t="s">
        <v>6889</v>
      </c>
      <c r="M1403" t="s">
        <v>6890</v>
      </c>
      <c r="N1403" t="s">
        <v>5646</v>
      </c>
      <c r="O1403" t="s">
        <v>71</v>
      </c>
      <c r="P1403" t="s">
        <v>6891</v>
      </c>
      <c r="Q1403" t="s">
        <v>50</v>
      </c>
      <c r="R1403" t="s">
        <v>6023</v>
      </c>
      <c r="S1403">
        <v>1.45</v>
      </c>
      <c r="T1403">
        <v>3753</v>
      </c>
      <c r="U1403">
        <v>0</v>
      </c>
      <c r="V1403">
        <v>3753</v>
      </c>
    </row>
    <row r="1404" spans="1:22" x14ac:dyDescent="0.25">
      <c r="A1404">
        <v>186607</v>
      </c>
      <c r="B1404">
        <v>131489857</v>
      </c>
      <c r="C1404" t="s">
        <v>6892</v>
      </c>
      <c r="D1404" t="s">
        <v>6893</v>
      </c>
      <c r="E1404" t="s">
        <v>5643</v>
      </c>
      <c r="F1404" t="s">
        <v>847</v>
      </c>
      <c r="G1404" t="s">
        <v>142</v>
      </c>
      <c r="H1404" t="s">
        <v>143</v>
      </c>
      <c r="I1404" t="s">
        <v>35</v>
      </c>
      <c r="J1404" t="s">
        <v>144</v>
      </c>
      <c r="K1404" t="s">
        <v>2</v>
      </c>
      <c r="L1404" t="s">
        <v>6894</v>
      </c>
      <c r="M1404" t="s">
        <v>6895</v>
      </c>
      <c r="N1404" t="s">
        <v>5646</v>
      </c>
      <c r="O1404" t="s">
        <v>71</v>
      </c>
      <c r="P1404" t="s">
        <v>6896</v>
      </c>
      <c r="Q1404" t="s">
        <v>120</v>
      </c>
      <c r="R1404" t="s">
        <v>310</v>
      </c>
      <c r="S1404">
        <v>1.45</v>
      </c>
      <c r="T1404">
        <v>3753</v>
      </c>
      <c r="U1404">
        <v>0</v>
      </c>
      <c r="V1404">
        <v>3753</v>
      </c>
    </row>
    <row r="1405" spans="1:22" x14ac:dyDescent="0.25">
      <c r="A1405">
        <v>186607</v>
      </c>
      <c r="B1405">
        <v>131347205</v>
      </c>
      <c r="C1405" t="s">
        <v>6897</v>
      </c>
      <c r="D1405" t="s">
        <v>6898</v>
      </c>
      <c r="E1405" t="s">
        <v>5643</v>
      </c>
      <c r="F1405" t="s">
        <v>847</v>
      </c>
      <c r="G1405" t="s">
        <v>142</v>
      </c>
      <c r="H1405" t="s">
        <v>143</v>
      </c>
      <c r="I1405" t="s">
        <v>35</v>
      </c>
      <c r="J1405" t="s">
        <v>144</v>
      </c>
      <c r="K1405" t="s">
        <v>2</v>
      </c>
      <c r="L1405" t="s">
        <v>6899</v>
      </c>
      <c r="M1405" t="s">
        <v>6900</v>
      </c>
      <c r="N1405" t="s">
        <v>5646</v>
      </c>
      <c r="O1405" t="s">
        <v>71</v>
      </c>
      <c r="P1405" t="s">
        <v>6901</v>
      </c>
      <c r="Q1405" t="s">
        <v>52</v>
      </c>
      <c r="R1405" t="s">
        <v>554</v>
      </c>
      <c r="S1405">
        <v>1</v>
      </c>
      <c r="T1405">
        <v>3753</v>
      </c>
      <c r="U1405">
        <v>0</v>
      </c>
      <c r="V1405">
        <v>3753</v>
      </c>
    </row>
    <row r="1406" spans="1:22" x14ac:dyDescent="0.25">
      <c r="A1406">
        <v>186607</v>
      </c>
      <c r="B1406">
        <v>131952814</v>
      </c>
      <c r="C1406" t="s">
        <v>6902</v>
      </c>
      <c r="D1406" t="s">
        <v>6903</v>
      </c>
      <c r="E1406" t="s">
        <v>5643</v>
      </c>
      <c r="F1406" t="s">
        <v>847</v>
      </c>
      <c r="G1406" t="s">
        <v>142</v>
      </c>
      <c r="H1406" t="s">
        <v>143</v>
      </c>
      <c r="I1406" t="s">
        <v>35</v>
      </c>
      <c r="J1406" t="s">
        <v>144</v>
      </c>
      <c r="K1406" t="s">
        <v>2</v>
      </c>
      <c r="L1406" t="s">
        <v>6904</v>
      </c>
      <c r="M1406" t="s">
        <v>6905</v>
      </c>
      <c r="N1406" t="s">
        <v>5646</v>
      </c>
      <c r="O1406" t="s">
        <v>71</v>
      </c>
      <c r="P1406" t="s">
        <v>6906</v>
      </c>
      <c r="Q1406" t="s">
        <v>64</v>
      </c>
      <c r="R1406" t="s">
        <v>819</v>
      </c>
      <c r="S1406">
        <v>1.5</v>
      </c>
      <c r="T1406">
        <v>3784</v>
      </c>
      <c r="U1406">
        <v>0</v>
      </c>
      <c r="V1406">
        <v>3784</v>
      </c>
    </row>
    <row r="1407" spans="1:22" x14ac:dyDescent="0.25">
      <c r="A1407">
        <v>186607</v>
      </c>
      <c r="B1407">
        <v>131933297</v>
      </c>
      <c r="C1407" t="s">
        <v>6907</v>
      </c>
      <c r="D1407" t="s">
        <v>6908</v>
      </c>
      <c r="E1407" t="s">
        <v>5643</v>
      </c>
      <c r="F1407" t="s">
        <v>847</v>
      </c>
      <c r="G1407" t="s">
        <v>142</v>
      </c>
      <c r="H1407" t="s">
        <v>143</v>
      </c>
      <c r="I1407" t="s">
        <v>35</v>
      </c>
      <c r="J1407" t="s">
        <v>144</v>
      </c>
      <c r="K1407" t="s">
        <v>2</v>
      </c>
      <c r="L1407" t="s">
        <v>6909</v>
      </c>
      <c r="M1407" t="s">
        <v>6910</v>
      </c>
      <c r="N1407" t="s">
        <v>5646</v>
      </c>
      <c r="O1407" t="s">
        <v>71</v>
      </c>
      <c r="P1407" t="s">
        <v>6911</v>
      </c>
      <c r="Q1407" t="s">
        <v>51</v>
      </c>
      <c r="R1407" t="s">
        <v>429</v>
      </c>
      <c r="S1407">
        <v>1</v>
      </c>
      <c r="T1407">
        <v>3784</v>
      </c>
      <c r="U1407">
        <v>0</v>
      </c>
      <c r="V1407">
        <v>3784</v>
      </c>
    </row>
    <row r="1408" spans="1:22" x14ac:dyDescent="0.25">
      <c r="A1408">
        <v>186607</v>
      </c>
      <c r="B1408">
        <v>131922256</v>
      </c>
      <c r="C1408" t="s">
        <v>6912</v>
      </c>
      <c r="D1408" t="s">
        <v>6913</v>
      </c>
      <c r="E1408" t="s">
        <v>5643</v>
      </c>
      <c r="F1408" t="s">
        <v>847</v>
      </c>
      <c r="G1408" t="s">
        <v>142</v>
      </c>
      <c r="H1408" t="s">
        <v>143</v>
      </c>
      <c r="I1408" t="s">
        <v>35</v>
      </c>
      <c r="J1408" t="s">
        <v>144</v>
      </c>
      <c r="K1408" t="s">
        <v>2</v>
      </c>
      <c r="L1408" t="s">
        <v>6914</v>
      </c>
      <c r="M1408" t="s">
        <v>6915</v>
      </c>
      <c r="N1408" t="s">
        <v>5646</v>
      </c>
      <c r="O1408" t="s">
        <v>71</v>
      </c>
      <c r="P1408" t="s">
        <v>6916</v>
      </c>
      <c r="Q1408" t="s">
        <v>154</v>
      </c>
      <c r="R1408" t="s">
        <v>5884</v>
      </c>
      <c r="S1408">
        <v>1</v>
      </c>
      <c r="T1408">
        <v>3784</v>
      </c>
      <c r="U1408">
        <v>0</v>
      </c>
      <c r="V1408">
        <v>3784</v>
      </c>
    </row>
    <row r="1409" spans="1:22" x14ac:dyDescent="0.25">
      <c r="A1409">
        <v>186607</v>
      </c>
      <c r="B1409">
        <v>131887995</v>
      </c>
      <c r="C1409" t="s">
        <v>6917</v>
      </c>
      <c r="D1409" t="s">
        <v>6918</v>
      </c>
      <c r="E1409" t="s">
        <v>5643</v>
      </c>
      <c r="F1409" t="s">
        <v>847</v>
      </c>
      <c r="G1409" t="s">
        <v>142</v>
      </c>
      <c r="H1409" t="s">
        <v>143</v>
      </c>
      <c r="I1409" t="s">
        <v>35</v>
      </c>
      <c r="J1409" t="s">
        <v>144</v>
      </c>
      <c r="K1409" t="s">
        <v>2</v>
      </c>
      <c r="L1409" t="s">
        <v>6919</v>
      </c>
      <c r="M1409" t="s">
        <v>6920</v>
      </c>
      <c r="N1409" t="s">
        <v>5646</v>
      </c>
      <c r="O1409" t="s">
        <v>71</v>
      </c>
      <c r="P1409" t="s">
        <v>6921</v>
      </c>
      <c r="Q1409" t="s">
        <v>51</v>
      </c>
      <c r="R1409" t="s">
        <v>5909</v>
      </c>
      <c r="S1409">
        <v>1</v>
      </c>
      <c r="T1409">
        <v>3784</v>
      </c>
      <c r="U1409">
        <v>0</v>
      </c>
      <c r="V1409">
        <v>3784</v>
      </c>
    </row>
    <row r="1410" spans="1:22" x14ac:dyDescent="0.25">
      <c r="A1410">
        <v>186607</v>
      </c>
      <c r="B1410">
        <v>131821904</v>
      </c>
      <c r="C1410" t="s">
        <v>6922</v>
      </c>
      <c r="D1410" t="s">
        <v>6923</v>
      </c>
      <c r="E1410" t="s">
        <v>5643</v>
      </c>
      <c r="F1410" t="s">
        <v>847</v>
      </c>
      <c r="G1410" t="s">
        <v>142</v>
      </c>
      <c r="H1410" t="s">
        <v>143</v>
      </c>
      <c r="I1410" t="s">
        <v>35</v>
      </c>
      <c r="J1410" t="s">
        <v>144</v>
      </c>
      <c r="K1410" t="s">
        <v>2</v>
      </c>
      <c r="L1410" t="s">
        <v>6924</v>
      </c>
      <c r="M1410" t="s">
        <v>6925</v>
      </c>
      <c r="N1410" t="s">
        <v>5646</v>
      </c>
      <c r="O1410" t="s">
        <v>71</v>
      </c>
      <c r="P1410" t="s">
        <v>6926</v>
      </c>
      <c r="Q1410" t="s">
        <v>64</v>
      </c>
      <c r="R1410" t="s">
        <v>412</v>
      </c>
      <c r="S1410">
        <v>1.5</v>
      </c>
      <c r="T1410">
        <v>3784</v>
      </c>
      <c r="U1410">
        <v>0</v>
      </c>
      <c r="V1410">
        <v>3784</v>
      </c>
    </row>
    <row r="1411" spans="1:22" x14ac:dyDescent="0.25">
      <c r="A1411">
        <v>186607</v>
      </c>
      <c r="B1411">
        <v>131774099</v>
      </c>
      <c r="C1411" t="s">
        <v>6927</v>
      </c>
      <c r="D1411" t="s">
        <v>6928</v>
      </c>
      <c r="E1411" t="s">
        <v>5643</v>
      </c>
      <c r="F1411" t="s">
        <v>847</v>
      </c>
      <c r="G1411" t="s">
        <v>142</v>
      </c>
      <c r="H1411" t="s">
        <v>143</v>
      </c>
      <c r="I1411" t="s">
        <v>35</v>
      </c>
      <c r="J1411" t="s">
        <v>144</v>
      </c>
      <c r="K1411" t="s">
        <v>2</v>
      </c>
      <c r="L1411" t="s">
        <v>6929</v>
      </c>
      <c r="M1411" t="s">
        <v>6930</v>
      </c>
      <c r="N1411" t="s">
        <v>5646</v>
      </c>
      <c r="O1411" t="s">
        <v>71</v>
      </c>
      <c r="P1411" t="s">
        <v>6931</v>
      </c>
      <c r="Q1411" t="s">
        <v>57</v>
      </c>
      <c r="R1411" t="s">
        <v>632</v>
      </c>
      <c r="S1411">
        <v>2.2000000000000002</v>
      </c>
      <c r="T1411">
        <v>3784</v>
      </c>
      <c r="U1411">
        <v>0</v>
      </c>
      <c r="V1411">
        <v>3784</v>
      </c>
    </row>
    <row r="1412" spans="1:22" x14ac:dyDescent="0.25">
      <c r="A1412">
        <v>186607</v>
      </c>
      <c r="B1412">
        <v>131732709</v>
      </c>
      <c r="C1412" t="s">
        <v>6932</v>
      </c>
      <c r="D1412" t="s">
        <v>6933</v>
      </c>
      <c r="E1412" t="s">
        <v>5643</v>
      </c>
      <c r="F1412" t="s">
        <v>847</v>
      </c>
      <c r="G1412" t="s">
        <v>142</v>
      </c>
      <c r="H1412" t="s">
        <v>143</v>
      </c>
      <c r="I1412" t="s">
        <v>35</v>
      </c>
      <c r="J1412" t="s">
        <v>144</v>
      </c>
      <c r="K1412" t="s">
        <v>2</v>
      </c>
      <c r="L1412" t="s">
        <v>6934</v>
      </c>
      <c r="M1412" t="s">
        <v>6935</v>
      </c>
      <c r="N1412" t="s">
        <v>5646</v>
      </c>
      <c r="O1412" t="s">
        <v>71</v>
      </c>
      <c r="P1412" t="s">
        <v>6936</v>
      </c>
      <c r="Q1412" t="s">
        <v>154</v>
      </c>
      <c r="R1412" t="s">
        <v>411</v>
      </c>
      <c r="S1412">
        <v>2.25</v>
      </c>
      <c r="T1412">
        <v>3784</v>
      </c>
      <c r="U1412">
        <v>0</v>
      </c>
      <c r="V1412">
        <v>3784</v>
      </c>
    </row>
    <row r="1413" spans="1:22" x14ac:dyDescent="0.25">
      <c r="A1413">
        <v>186607</v>
      </c>
      <c r="B1413">
        <v>131732726</v>
      </c>
      <c r="C1413" t="s">
        <v>6937</v>
      </c>
      <c r="D1413" t="s">
        <v>6938</v>
      </c>
      <c r="E1413" t="s">
        <v>5643</v>
      </c>
      <c r="F1413" t="s">
        <v>847</v>
      </c>
      <c r="G1413" t="s">
        <v>142</v>
      </c>
      <c r="H1413" t="s">
        <v>143</v>
      </c>
      <c r="I1413" t="s">
        <v>35</v>
      </c>
      <c r="J1413" t="s">
        <v>144</v>
      </c>
      <c r="K1413" t="s">
        <v>2</v>
      </c>
      <c r="L1413" t="s">
        <v>6939</v>
      </c>
      <c r="M1413" t="s">
        <v>6940</v>
      </c>
      <c r="N1413" t="s">
        <v>5646</v>
      </c>
      <c r="O1413" t="s">
        <v>71</v>
      </c>
      <c r="P1413" t="s">
        <v>6941</v>
      </c>
      <c r="Q1413" t="s">
        <v>64</v>
      </c>
      <c r="R1413" t="s">
        <v>411</v>
      </c>
      <c r="S1413">
        <v>1.45</v>
      </c>
      <c r="T1413">
        <v>3784</v>
      </c>
      <c r="U1413">
        <v>0</v>
      </c>
      <c r="V1413">
        <v>3784</v>
      </c>
    </row>
    <row r="1414" spans="1:22" x14ac:dyDescent="0.25">
      <c r="A1414">
        <v>186607</v>
      </c>
      <c r="B1414">
        <v>131662733</v>
      </c>
      <c r="C1414" t="s">
        <v>6942</v>
      </c>
      <c r="D1414" t="s">
        <v>6943</v>
      </c>
      <c r="E1414" t="s">
        <v>5643</v>
      </c>
      <c r="F1414" t="s">
        <v>847</v>
      </c>
      <c r="G1414" t="s">
        <v>142</v>
      </c>
      <c r="H1414" t="s">
        <v>143</v>
      </c>
      <c r="I1414" t="s">
        <v>35</v>
      </c>
      <c r="J1414" t="s">
        <v>144</v>
      </c>
      <c r="K1414" t="s">
        <v>2</v>
      </c>
      <c r="L1414" t="s">
        <v>6944</v>
      </c>
      <c r="M1414" t="s">
        <v>6945</v>
      </c>
      <c r="N1414" t="s">
        <v>5646</v>
      </c>
      <c r="O1414" t="s">
        <v>71</v>
      </c>
      <c r="P1414" t="s">
        <v>6946</v>
      </c>
      <c r="Q1414" t="s">
        <v>64</v>
      </c>
      <c r="R1414" t="s">
        <v>5755</v>
      </c>
      <c r="S1414">
        <v>1</v>
      </c>
      <c r="T1414">
        <v>3784</v>
      </c>
      <c r="U1414">
        <v>0</v>
      </c>
      <c r="V1414">
        <v>3784</v>
      </c>
    </row>
    <row r="1415" spans="1:22" x14ac:dyDescent="0.25">
      <c r="A1415">
        <v>186607</v>
      </c>
      <c r="B1415">
        <v>131590329</v>
      </c>
      <c r="C1415" t="s">
        <v>6947</v>
      </c>
      <c r="D1415" t="s">
        <v>6948</v>
      </c>
      <c r="E1415" t="s">
        <v>5643</v>
      </c>
      <c r="F1415" t="s">
        <v>847</v>
      </c>
      <c r="G1415" t="s">
        <v>142</v>
      </c>
      <c r="H1415" t="s">
        <v>143</v>
      </c>
      <c r="I1415" t="s">
        <v>35</v>
      </c>
      <c r="J1415" t="s">
        <v>144</v>
      </c>
      <c r="K1415" t="s">
        <v>2</v>
      </c>
      <c r="L1415" t="s">
        <v>6949</v>
      </c>
      <c r="M1415" t="s">
        <v>6950</v>
      </c>
      <c r="N1415" t="s">
        <v>5646</v>
      </c>
      <c r="O1415" t="s">
        <v>71</v>
      </c>
      <c r="P1415" t="s">
        <v>6951</v>
      </c>
      <c r="Q1415" t="s">
        <v>64</v>
      </c>
      <c r="R1415" t="s">
        <v>5764</v>
      </c>
      <c r="S1415">
        <v>1.5</v>
      </c>
      <c r="T1415">
        <v>3784</v>
      </c>
      <c r="U1415">
        <v>0</v>
      </c>
      <c r="V1415">
        <v>3784</v>
      </c>
    </row>
    <row r="1416" spans="1:22" x14ac:dyDescent="0.25">
      <c r="A1416">
        <v>186607</v>
      </c>
      <c r="B1416">
        <v>131489829</v>
      </c>
      <c r="C1416" t="s">
        <v>6952</v>
      </c>
      <c r="D1416" t="s">
        <v>6953</v>
      </c>
      <c r="E1416" t="s">
        <v>5643</v>
      </c>
      <c r="F1416" t="s">
        <v>847</v>
      </c>
      <c r="G1416" t="s">
        <v>142</v>
      </c>
      <c r="H1416" t="s">
        <v>143</v>
      </c>
      <c r="I1416" t="s">
        <v>35</v>
      </c>
      <c r="J1416" t="s">
        <v>144</v>
      </c>
      <c r="K1416" t="s">
        <v>2</v>
      </c>
      <c r="L1416" t="s">
        <v>6954</v>
      </c>
      <c r="M1416" t="s">
        <v>6955</v>
      </c>
      <c r="N1416" t="s">
        <v>5646</v>
      </c>
      <c r="O1416" t="s">
        <v>71</v>
      </c>
      <c r="P1416" t="s">
        <v>6956</v>
      </c>
      <c r="Q1416" t="s">
        <v>154</v>
      </c>
      <c r="R1416" t="s">
        <v>310</v>
      </c>
      <c r="S1416">
        <v>1.5</v>
      </c>
      <c r="T1416">
        <v>3784</v>
      </c>
      <c r="U1416">
        <v>0</v>
      </c>
      <c r="V1416">
        <v>3784</v>
      </c>
    </row>
    <row r="1417" spans="1:22" x14ac:dyDescent="0.25">
      <c r="A1417">
        <v>186607</v>
      </c>
      <c r="B1417">
        <v>132022564</v>
      </c>
      <c r="C1417" t="s">
        <v>6957</v>
      </c>
      <c r="D1417" t="s">
        <v>6958</v>
      </c>
      <c r="E1417" t="s">
        <v>5643</v>
      </c>
      <c r="F1417" t="s">
        <v>847</v>
      </c>
      <c r="G1417" t="s">
        <v>142</v>
      </c>
      <c r="H1417" t="s">
        <v>143</v>
      </c>
      <c r="I1417" t="s">
        <v>35</v>
      </c>
      <c r="J1417" t="s">
        <v>144</v>
      </c>
      <c r="K1417" t="s">
        <v>169</v>
      </c>
      <c r="L1417" t="s">
        <v>267</v>
      </c>
      <c r="M1417" t="s">
        <v>6959</v>
      </c>
      <c r="N1417" t="s">
        <v>5646</v>
      </c>
      <c r="O1417" t="s">
        <v>71</v>
      </c>
      <c r="P1417" t="s">
        <v>6960</v>
      </c>
      <c r="Q1417" t="s">
        <v>129</v>
      </c>
      <c r="R1417" t="s">
        <v>540</v>
      </c>
      <c r="S1417">
        <v>1</v>
      </c>
      <c r="T1417">
        <v>3870</v>
      </c>
      <c r="U1417">
        <v>0</v>
      </c>
      <c r="V1417">
        <v>3870</v>
      </c>
    </row>
    <row r="1418" spans="1:22" x14ac:dyDescent="0.25">
      <c r="A1418">
        <v>186607</v>
      </c>
      <c r="B1418">
        <v>131590336</v>
      </c>
      <c r="C1418" t="s">
        <v>6961</v>
      </c>
      <c r="D1418" t="s">
        <v>6962</v>
      </c>
      <c r="E1418" t="s">
        <v>5643</v>
      </c>
      <c r="F1418" t="s">
        <v>847</v>
      </c>
      <c r="G1418" t="s">
        <v>142</v>
      </c>
      <c r="H1418" t="s">
        <v>143</v>
      </c>
      <c r="I1418" t="s">
        <v>35</v>
      </c>
      <c r="J1418" t="s">
        <v>144</v>
      </c>
      <c r="K1418" t="s">
        <v>2</v>
      </c>
      <c r="L1418" t="s">
        <v>6963</v>
      </c>
      <c r="M1418" t="s">
        <v>6964</v>
      </c>
      <c r="N1418" t="s">
        <v>5646</v>
      </c>
      <c r="O1418" t="s">
        <v>71</v>
      </c>
      <c r="P1418" t="s">
        <v>6965</v>
      </c>
      <c r="Q1418" t="s">
        <v>129</v>
      </c>
      <c r="R1418" t="s">
        <v>5764</v>
      </c>
      <c r="S1418">
        <v>1.55</v>
      </c>
      <c r="T1418">
        <v>3870</v>
      </c>
      <c r="U1418">
        <v>0</v>
      </c>
      <c r="V1418">
        <v>3870</v>
      </c>
    </row>
    <row r="1419" spans="1:22" x14ac:dyDescent="0.25">
      <c r="A1419">
        <v>186607</v>
      </c>
      <c r="B1419">
        <v>131590317</v>
      </c>
      <c r="C1419" t="s">
        <v>6966</v>
      </c>
      <c r="D1419" t="s">
        <v>6967</v>
      </c>
      <c r="E1419" t="s">
        <v>5643</v>
      </c>
      <c r="F1419" t="s">
        <v>847</v>
      </c>
      <c r="G1419" t="s">
        <v>142</v>
      </c>
      <c r="H1419" t="s">
        <v>143</v>
      </c>
      <c r="I1419" t="s">
        <v>35</v>
      </c>
      <c r="J1419" t="s">
        <v>144</v>
      </c>
      <c r="K1419" t="s">
        <v>2</v>
      </c>
      <c r="L1419" t="s">
        <v>6968</v>
      </c>
      <c r="M1419" t="s">
        <v>6969</v>
      </c>
      <c r="N1419" t="s">
        <v>5646</v>
      </c>
      <c r="O1419" t="s">
        <v>71</v>
      </c>
      <c r="P1419" t="s">
        <v>6970</v>
      </c>
      <c r="Q1419" t="s">
        <v>67</v>
      </c>
      <c r="R1419" t="s">
        <v>5764</v>
      </c>
      <c r="S1419">
        <v>1.55</v>
      </c>
      <c r="T1419">
        <v>3870</v>
      </c>
      <c r="U1419">
        <v>0</v>
      </c>
      <c r="V1419">
        <v>3870</v>
      </c>
    </row>
    <row r="1420" spans="1:22" x14ac:dyDescent="0.25">
      <c r="A1420">
        <v>186607</v>
      </c>
      <c r="B1420">
        <v>131501458</v>
      </c>
      <c r="C1420" t="s">
        <v>6971</v>
      </c>
      <c r="D1420" t="s">
        <v>6972</v>
      </c>
      <c r="E1420" t="s">
        <v>5643</v>
      </c>
      <c r="F1420" t="s">
        <v>847</v>
      </c>
      <c r="G1420" t="s">
        <v>142</v>
      </c>
      <c r="H1420" t="s">
        <v>143</v>
      </c>
      <c r="I1420" t="s">
        <v>35</v>
      </c>
      <c r="J1420" t="s">
        <v>144</v>
      </c>
      <c r="K1420" t="s">
        <v>2</v>
      </c>
      <c r="L1420" t="s">
        <v>6973</v>
      </c>
      <c r="M1420" t="s">
        <v>406</v>
      </c>
      <c r="N1420" t="s">
        <v>5646</v>
      </c>
      <c r="O1420" t="s">
        <v>71</v>
      </c>
      <c r="P1420" t="s">
        <v>6974</v>
      </c>
      <c r="Q1420" t="s">
        <v>129</v>
      </c>
      <c r="R1420" t="s">
        <v>663</v>
      </c>
      <c r="S1420">
        <v>1.5</v>
      </c>
      <c r="T1420">
        <v>3870</v>
      </c>
      <c r="U1420">
        <v>0</v>
      </c>
      <c r="V1420">
        <v>3870</v>
      </c>
    </row>
    <row r="1421" spans="1:22" x14ac:dyDescent="0.25">
      <c r="A1421">
        <v>186607</v>
      </c>
      <c r="B1421">
        <v>132151156</v>
      </c>
      <c r="C1421" t="s">
        <v>6975</v>
      </c>
      <c r="D1421" t="s">
        <v>6976</v>
      </c>
      <c r="E1421" t="s">
        <v>5643</v>
      </c>
      <c r="F1421" t="s">
        <v>847</v>
      </c>
      <c r="G1421" t="s">
        <v>142</v>
      </c>
      <c r="H1421" t="s">
        <v>143</v>
      </c>
      <c r="I1421" t="s">
        <v>35</v>
      </c>
      <c r="J1421" t="s">
        <v>144</v>
      </c>
      <c r="K1421" t="s">
        <v>2</v>
      </c>
      <c r="L1421" t="s">
        <v>6977</v>
      </c>
      <c r="M1421" t="s">
        <v>6978</v>
      </c>
      <c r="N1421" t="s">
        <v>5646</v>
      </c>
      <c r="O1421" t="s">
        <v>71</v>
      </c>
      <c r="P1421" t="s">
        <v>6979</v>
      </c>
      <c r="Q1421" t="s">
        <v>232</v>
      </c>
      <c r="R1421" t="s">
        <v>734</v>
      </c>
      <c r="S1421">
        <v>0.5</v>
      </c>
      <c r="T1421">
        <v>3959</v>
      </c>
      <c r="U1421">
        <v>0</v>
      </c>
      <c r="V1421">
        <v>3959</v>
      </c>
    </row>
    <row r="1422" spans="1:22" x14ac:dyDescent="0.25">
      <c r="A1422">
        <v>186607</v>
      </c>
      <c r="B1422">
        <v>132088439</v>
      </c>
      <c r="C1422" t="s">
        <v>6980</v>
      </c>
      <c r="D1422" t="s">
        <v>6981</v>
      </c>
      <c r="E1422" t="s">
        <v>5643</v>
      </c>
      <c r="F1422" t="s">
        <v>847</v>
      </c>
      <c r="G1422" t="s">
        <v>142</v>
      </c>
      <c r="H1422" t="s">
        <v>143</v>
      </c>
      <c r="I1422" t="s">
        <v>35</v>
      </c>
      <c r="J1422" t="s">
        <v>144</v>
      </c>
      <c r="K1422" t="s">
        <v>2</v>
      </c>
      <c r="L1422" t="s">
        <v>6982</v>
      </c>
      <c r="M1422" t="s">
        <v>6983</v>
      </c>
      <c r="N1422" t="s">
        <v>5646</v>
      </c>
      <c r="O1422" t="s">
        <v>71</v>
      </c>
      <c r="P1422" t="s">
        <v>6984</v>
      </c>
      <c r="Q1422" t="s">
        <v>77</v>
      </c>
      <c r="R1422" t="s">
        <v>484</v>
      </c>
      <c r="S1422">
        <v>0.5</v>
      </c>
      <c r="T1422">
        <v>3967</v>
      </c>
      <c r="U1422">
        <v>0</v>
      </c>
      <c r="V1422">
        <v>3967</v>
      </c>
    </row>
    <row r="1423" spans="1:22" x14ac:dyDescent="0.25">
      <c r="A1423">
        <v>186607</v>
      </c>
      <c r="B1423">
        <v>131933306</v>
      </c>
      <c r="C1423" t="s">
        <v>6985</v>
      </c>
      <c r="D1423" t="s">
        <v>6986</v>
      </c>
      <c r="E1423" t="s">
        <v>5643</v>
      </c>
      <c r="F1423" t="s">
        <v>847</v>
      </c>
      <c r="G1423" t="s">
        <v>142</v>
      </c>
      <c r="H1423" t="s">
        <v>143</v>
      </c>
      <c r="I1423" t="s">
        <v>35</v>
      </c>
      <c r="J1423" t="s">
        <v>144</v>
      </c>
      <c r="K1423" t="s">
        <v>2</v>
      </c>
      <c r="L1423" t="s">
        <v>6987</v>
      </c>
      <c r="M1423" t="s">
        <v>6988</v>
      </c>
      <c r="N1423" t="s">
        <v>5646</v>
      </c>
      <c r="O1423" t="s">
        <v>71</v>
      </c>
      <c r="P1423" t="s">
        <v>6989</v>
      </c>
      <c r="Q1423" t="s">
        <v>232</v>
      </c>
      <c r="R1423" t="s">
        <v>429</v>
      </c>
      <c r="S1423">
        <v>0.5</v>
      </c>
      <c r="T1423">
        <v>3959</v>
      </c>
      <c r="U1423">
        <v>0</v>
      </c>
      <c r="V1423">
        <v>3959</v>
      </c>
    </row>
    <row r="1424" spans="1:22" x14ac:dyDescent="0.25">
      <c r="A1424">
        <v>186607</v>
      </c>
      <c r="B1424">
        <v>131383660</v>
      </c>
      <c r="C1424" t="s">
        <v>6990</v>
      </c>
      <c r="D1424" t="s">
        <v>6991</v>
      </c>
      <c r="E1424" t="s">
        <v>5643</v>
      </c>
      <c r="F1424" t="s">
        <v>847</v>
      </c>
      <c r="G1424" t="s">
        <v>142</v>
      </c>
      <c r="H1424" t="s">
        <v>143</v>
      </c>
      <c r="I1424" t="s">
        <v>35</v>
      </c>
      <c r="J1424" t="s">
        <v>144</v>
      </c>
      <c r="K1424" t="s">
        <v>2</v>
      </c>
      <c r="L1424" t="s">
        <v>6992</v>
      </c>
      <c r="M1424" t="s">
        <v>6993</v>
      </c>
      <c r="N1424" t="s">
        <v>5646</v>
      </c>
      <c r="O1424" t="s">
        <v>71</v>
      </c>
      <c r="P1424" t="s">
        <v>6994</v>
      </c>
      <c r="Q1424" t="s">
        <v>232</v>
      </c>
      <c r="R1424" t="s">
        <v>6023</v>
      </c>
      <c r="S1424">
        <v>1.45</v>
      </c>
      <c r="T1424">
        <v>4038</v>
      </c>
      <c r="U1424">
        <v>0</v>
      </c>
      <c r="V1424">
        <v>4038</v>
      </c>
    </row>
    <row r="1425" spans="1:22" x14ac:dyDescent="0.25">
      <c r="A1425">
        <v>186607</v>
      </c>
      <c r="B1425">
        <v>132197646</v>
      </c>
      <c r="C1425" t="s">
        <v>6995</v>
      </c>
      <c r="D1425" t="s">
        <v>6996</v>
      </c>
      <c r="E1425" t="s">
        <v>5643</v>
      </c>
      <c r="F1425" t="s">
        <v>847</v>
      </c>
      <c r="G1425" t="s">
        <v>142</v>
      </c>
      <c r="H1425" t="s">
        <v>143</v>
      </c>
      <c r="I1425" t="s">
        <v>35</v>
      </c>
      <c r="J1425" t="s">
        <v>144</v>
      </c>
      <c r="K1425" t="s">
        <v>2</v>
      </c>
      <c r="L1425" t="s">
        <v>6997</v>
      </c>
      <c r="M1425" t="s">
        <v>6998</v>
      </c>
      <c r="N1425" t="s">
        <v>5646</v>
      </c>
      <c r="O1425" t="s">
        <v>71</v>
      </c>
      <c r="P1425" t="s">
        <v>6999</v>
      </c>
      <c r="Q1425" t="s">
        <v>56</v>
      </c>
      <c r="R1425" t="s">
        <v>796</v>
      </c>
      <c r="S1425">
        <v>1</v>
      </c>
      <c r="T1425">
        <v>4067</v>
      </c>
      <c r="U1425">
        <v>0</v>
      </c>
      <c r="V1425">
        <v>4067</v>
      </c>
    </row>
    <row r="1426" spans="1:22" x14ac:dyDescent="0.25">
      <c r="A1426">
        <v>186607</v>
      </c>
      <c r="B1426">
        <v>132088432</v>
      </c>
      <c r="C1426" t="s">
        <v>7000</v>
      </c>
      <c r="D1426" t="s">
        <v>7001</v>
      </c>
      <c r="E1426" t="s">
        <v>5643</v>
      </c>
      <c r="F1426" t="s">
        <v>847</v>
      </c>
      <c r="G1426" t="s">
        <v>142</v>
      </c>
      <c r="H1426" t="s">
        <v>143</v>
      </c>
      <c r="I1426" t="s">
        <v>35</v>
      </c>
      <c r="J1426" t="s">
        <v>144</v>
      </c>
      <c r="K1426" t="s">
        <v>2</v>
      </c>
      <c r="L1426" t="s">
        <v>7002</v>
      </c>
      <c r="M1426" t="s">
        <v>7003</v>
      </c>
      <c r="N1426" t="s">
        <v>5646</v>
      </c>
      <c r="O1426" t="s">
        <v>71</v>
      </c>
      <c r="P1426" t="s">
        <v>7004</v>
      </c>
      <c r="Q1426" t="s">
        <v>109</v>
      </c>
      <c r="R1426" t="s">
        <v>484</v>
      </c>
      <c r="S1426">
        <v>0.5</v>
      </c>
      <c r="T1426">
        <v>4067</v>
      </c>
      <c r="U1426">
        <v>0</v>
      </c>
      <c r="V1426">
        <v>4067</v>
      </c>
    </row>
    <row r="1427" spans="1:22" x14ac:dyDescent="0.25">
      <c r="A1427">
        <v>186607</v>
      </c>
      <c r="B1427">
        <v>132088430</v>
      </c>
      <c r="C1427" t="s">
        <v>7005</v>
      </c>
      <c r="D1427" t="s">
        <v>7006</v>
      </c>
      <c r="E1427" t="s">
        <v>5643</v>
      </c>
      <c r="F1427" t="s">
        <v>847</v>
      </c>
      <c r="G1427" t="s">
        <v>142</v>
      </c>
      <c r="H1427" t="s">
        <v>143</v>
      </c>
      <c r="I1427" t="s">
        <v>35</v>
      </c>
      <c r="J1427" t="s">
        <v>144</v>
      </c>
      <c r="K1427" t="s">
        <v>2</v>
      </c>
      <c r="L1427" t="s">
        <v>7007</v>
      </c>
      <c r="M1427" t="s">
        <v>7008</v>
      </c>
      <c r="N1427" t="s">
        <v>5646</v>
      </c>
      <c r="O1427" t="s">
        <v>71</v>
      </c>
      <c r="P1427" t="s">
        <v>7009</v>
      </c>
      <c r="Q1427" t="s">
        <v>149</v>
      </c>
      <c r="R1427" t="s">
        <v>484</v>
      </c>
      <c r="S1427">
        <v>0.7</v>
      </c>
      <c r="T1427">
        <v>5759</v>
      </c>
      <c r="U1427">
        <v>0</v>
      </c>
      <c r="V1427">
        <v>5759</v>
      </c>
    </row>
    <row r="1428" spans="1:22" x14ac:dyDescent="0.25">
      <c r="A1428">
        <v>186607</v>
      </c>
      <c r="B1428">
        <v>131992767</v>
      </c>
      <c r="C1428" t="s">
        <v>7010</v>
      </c>
      <c r="D1428" t="s">
        <v>7011</v>
      </c>
      <c r="E1428" t="s">
        <v>5643</v>
      </c>
      <c r="F1428" t="s">
        <v>847</v>
      </c>
      <c r="G1428" t="s">
        <v>142</v>
      </c>
      <c r="H1428" t="s">
        <v>143</v>
      </c>
      <c r="I1428" t="s">
        <v>35</v>
      </c>
      <c r="J1428" t="s">
        <v>144</v>
      </c>
      <c r="K1428" t="s">
        <v>2</v>
      </c>
      <c r="L1428" t="s">
        <v>7012</v>
      </c>
      <c r="M1428" t="s">
        <v>7013</v>
      </c>
      <c r="N1428" t="s">
        <v>5646</v>
      </c>
      <c r="O1428" t="s">
        <v>71</v>
      </c>
      <c r="P1428" t="s">
        <v>7014</v>
      </c>
      <c r="Q1428" t="s">
        <v>107</v>
      </c>
      <c r="R1428" t="s">
        <v>5843</v>
      </c>
      <c r="S1428">
        <v>0.5</v>
      </c>
      <c r="T1428">
        <v>4067</v>
      </c>
      <c r="U1428">
        <v>0</v>
      </c>
      <c r="V1428">
        <v>4067</v>
      </c>
    </row>
    <row r="1429" spans="1:22" x14ac:dyDescent="0.25">
      <c r="A1429">
        <v>186607</v>
      </c>
      <c r="B1429">
        <v>132044027</v>
      </c>
      <c r="C1429" t="s">
        <v>7015</v>
      </c>
      <c r="D1429" t="s">
        <v>7016</v>
      </c>
      <c r="E1429" t="s">
        <v>5643</v>
      </c>
      <c r="F1429" t="s">
        <v>847</v>
      </c>
      <c r="G1429" t="s">
        <v>142</v>
      </c>
      <c r="H1429" t="s">
        <v>143</v>
      </c>
      <c r="I1429" t="s">
        <v>35</v>
      </c>
      <c r="J1429" t="s">
        <v>144</v>
      </c>
      <c r="K1429" t="s">
        <v>2</v>
      </c>
      <c r="L1429" t="s">
        <v>7017</v>
      </c>
      <c r="M1429" t="s">
        <v>7018</v>
      </c>
      <c r="N1429" t="s">
        <v>5646</v>
      </c>
      <c r="O1429" t="s">
        <v>71</v>
      </c>
      <c r="P1429" t="s">
        <v>7019</v>
      </c>
      <c r="Q1429" t="s">
        <v>108</v>
      </c>
      <c r="R1429" t="s">
        <v>600</v>
      </c>
      <c r="S1429">
        <v>0.5</v>
      </c>
      <c r="T1429">
        <v>4067</v>
      </c>
      <c r="U1429">
        <v>0</v>
      </c>
      <c r="V1429">
        <v>4067</v>
      </c>
    </row>
    <row r="1430" spans="1:22" x14ac:dyDescent="0.25">
      <c r="A1430">
        <v>186607</v>
      </c>
      <c r="B1430">
        <v>132022536</v>
      </c>
      <c r="C1430" t="s">
        <v>7020</v>
      </c>
      <c r="D1430" t="s">
        <v>7021</v>
      </c>
      <c r="E1430" t="s">
        <v>5643</v>
      </c>
      <c r="F1430" t="s">
        <v>847</v>
      </c>
      <c r="G1430" t="s">
        <v>142</v>
      </c>
      <c r="H1430" t="s">
        <v>143</v>
      </c>
      <c r="I1430" t="s">
        <v>35</v>
      </c>
      <c r="J1430" t="s">
        <v>144</v>
      </c>
      <c r="K1430" t="s">
        <v>2</v>
      </c>
      <c r="L1430" t="s">
        <v>7022</v>
      </c>
      <c r="M1430" t="s">
        <v>7023</v>
      </c>
      <c r="N1430" t="s">
        <v>5646</v>
      </c>
      <c r="O1430" t="s">
        <v>71</v>
      </c>
      <c r="P1430" t="s">
        <v>7024</v>
      </c>
      <c r="Q1430" t="s">
        <v>107</v>
      </c>
      <c r="R1430" t="s">
        <v>540</v>
      </c>
      <c r="S1430">
        <v>0.5</v>
      </c>
      <c r="T1430">
        <v>4067</v>
      </c>
      <c r="U1430">
        <v>0</v>
      </c>
      <c r="V1430">
        <v>4067</v>
      </c>
    </row>
    <row r="1431" spans="1:22" x14ac:dyDescent="0.25">
      <c r="A1431">
        <v>186607</v>
      </c>
      <c r="B1431">
        <v>132074196</v>
      </c>
      <c r="C1431" t="s">
        <v>7025</v>
      </c>
      <c r="D1431" t="s">
        <v>7026</v>
      </c>
      <c r="E1431" t="s">
        <v>5643</v>
      </c>
      <c r="F1431" t="s">
        <v>847</v>
      </c>
      <c r="G1431" t="s">
        <v>142</v>
      </c>
      <c r="H1431" t="s">
        <v>143</v>
      </c>
      <c r="I1431" t="s">
        <v>35</v>
      </c>
      <c r="J1431" t="s">
        <v>144</v>
      </c>
      <c r="K1431" t="s">
        <v>2</v>
      </c>
      <c r="L1431" t="s">
        <v>7027</v>
      </c>
      <c r="M1431" t="s">
        <v>7028</v>
      </c>
      <c r="N1431" t="s">
        <v>5646</v>
      </c>
      <c r="O1431" t="s">
        <v>71</v>
      </c>
      <c r="P1431" t="s">
        <v>7029</v>
      </c>
      <c r="Q1431" t="s">
        <v>107</v>
      </c>
      <c r="R1431" t="s">
        <v>816</v>
      </c>
      <c r="S1431">
        <v>0.5</v>
      </c>
      <c r="T1431">
        <v>4067</v>
      </c>
      <c r="U1431">
        <v>0</v>
      </c>
      <c r="V1431">
        <v>4067</v>
      </c>
    </row>
    <row r="1432" spans="1:22" x14ac:dyDescent="0.25">
      <c r="A1432">
        <v>186607</v>
      </c>
      <c r="B1432">
        <v>132022528</v>
      </c>
      <c r="C1432" t="s">
        <v>7030</v>
      </c>
      <c r="D1432" t="s">
        <v>7031</v>
      </c>
      <c r="E1432" t="s">
        <v>5643</v>
      </c>
      <c r="F1432" t="s">
        <v>847</v>
      </c>
      <c r="G1432" t="s">
        <v>142</v>
      </c>
      <c r="H1432" t="s">
        <v>143</v>
      </c>
      <c r="I1432" t="s">
        <v>35</v>
      </c>
      <c r="J1432" t="s">
        <v>144</v>
      </c>
      <c r="K1432" t="s">
        <v>2</v>
      </c>
      <c r="L1432" t="s">
        <v>7032</v>
      </c>
      <c r="M1432" t="s">
        <v>7033</v>
      </c>
      <c r="N1432" t="s">
        <v>5646</v>
      </c>
      <c r="O1432" t="s">
        <v>71</v>
      </c>
      <c r="P1432" t="s">
        <v>7034</v>
      </c>
      <c r="Q1432" t="s">
        <v>56</v>
      </c>
      <c r="R1432" t="s">
        <v>540</v>
      </c>
      <c r="S1432">
        <v>1</v>
      </c>
      <c r="T1432">
        <v>4067</v>
      </c>
      <c r="U1432">
        <v>0</v>
      </c>
      <c r="V1432">
        <v>4067</v>
      </c>
    </row>
    <row r="1433" spans="1:22" x14ac:dyDescent="0.25">
      <c r="A1433">
        <v>186607</v>
      </c>
      <c r="B1433">
        <v>132022555</v>
      </c>
      <c r="C1433" t="s">
        <v>7035</v>
      </c>
      <c r="D1433" t="s">
        <v>7036</v>
      </c>
      <c r="E1433" t="s">
        <v>5643</v>
      </c>
      <c r="F1433" t="s">
        <v>847</v>
      </c>
      <c r="G1433" t="s">
        <v>142</v>
      </c>
      <c r="H1433" t="s">
        <v>143</v>
      </c>
      <c r="I1433" t="s">
        <v>35</v>
      </c>
      <c r="J1433" t="s">
        <v>144</v>
      </c>
      <c r="K1433" t="s">
        <v>2</v>
      </c>
      <c r="L1433" t="s">
        <v>7037</v>
      </c>
      <c r="M1433" t="s">
        <v>7038</v>
      </c>
      <c r="N1433" t="s">
        <v>5646</v>
      </c>
      <c r="O1433" t="s">
        <v>71</v>
      </c>
      <c r="P1433" t="s">
        <v>7039</v>
      </c>
      <c r="Q1433" t="s">
        <v>76</v>
      </c>
      <c r="R1433" t="s">
        <v>540</v>
      </c>
      <c r="S1433">
        <v>1</v>
      </c>
      <c r="T1433">
        <v>4067</v>
      </c>
      <c r="U1433">
        <v>0</v>
      </c>
      <c r="V1433">
        <v>4067</v>
      </c>
    </row>
    <row r="1434" spans="1:22" x14ac:dyDescent="0.25">
      <c r="A1434">
        <v>186607</v>
      </c>
      <c r="B1434">
        <v>132022551</v>
      </c>
      <c r="C1434" t="s">
        <v>7040</v>
      </c>
      <c r="D1434" t="s">
        <v>7041</v>
      </c>
      <c r="E1434" t="s">
        <v>5643</v>
      </c>
      <c r="F1434" t="s">
        <v>847</v>
      </c>
      <c r="G1434" t="s">
        <v>142</v>
      </c>
      <c r="H1434" t="s">
        <v>143</v>
      </c>
      <c r="I1434" t="s">
        <v>35</v>
      </c>
      <c r="J1434" t="s">
        <v>144</v>
      </c>
      <c r="K1434" t="s">
        <v>2</v>
      </c>
      <c r="L1434" t="s">
        <v>7042</v>
      </c>
      <c r="M1434" t="s">
        <v>830</v>
      </c>
      <c r="N1434" t="s">
        <v>5646</v>
      </c>
      <c r="O1434" t="s">
        <v>71</v>
      </c>
      <c r="P1434" t="s">
        <v>7043</v>
      </c>
      <c r="Q1434" t="s">
        <v>63</v>
      </c>
      <c r="R1434" t="s">
        <v>540</v>
      </c>
      <c r="S1434">
        <v>1</v>
      </c>
      <c r="T1434">
        <v>4067</v>
      </c>
      <c r="U1434">
        <v>0</v>
      </c>
      <c r="V1434">
        <v>4067</v>
      </c>
    </row>
    <row r="1435" spans="1:22" x14ac:dyDescent="0.25">
      <c r="A1435">
        <v>186607</v>
      </c>
      <c r="B1435">
        <v>132074192</v>
      </c>
      <c r="C1435" t="s">
        <v>7044</v>
      </c>
      <c r="D1435" t="s">
        <v>7045</v>
      </c>
      <c r="E1435" t="s">
        <v>5643</v>
      </c>
      <c r="F1435" t="s">
        <v>847</v>
      </c>
      <c r="G1435" t="s">
        <v>142</v>
      </c>
      <c r="H1435" t="s">
        <v>143</v>
      </c>
      <c r="I1435" t="s">
        <v>35</v>
      </c>
      <c r="J1435" t="s">
        <v>144</v>
      </c>
      <c r="K1435" t="s">
        <v>2</v>
      </c>
      <c r="L1435" t="s">
        <v>7046</v>
      </c>
      <c r="M1435" t="s">
        <v>7047</v>
      </c>
      <c r="N1435" t="s">
        <v>5646</v>
      </c>
      <c r="O1435" t="s">
        <v>71</v>
      </c>
      <c r="P1435" t="s">
        <v>7048</v>
      </c>
      <c r="Q1435" t="s">
        <v>82</v>
      </c>
      <c r="R1435" t="s">
        <v>816</v>
      </c>
      <c r="S1435">
        <v>1</v>
      </c>
      <c r="T1435">
        <v>4067</v>
      </c>
      <c r="U1435">
        <v>0</v>
      </c>
      <c r="V1435">
        <v>4067</v>
      </c>
    </row>
    <row r="1436" spans="1:22" x14ac:dyDescent="0.25">
      <c r="A1436">
        <v>186607</v>
      </c>
      <c r="B1436">
        <v>132022542</v>
      </c>
      <c r="C1436" t="s">
        <v>7049</v>
      </c>
      <c r="D1436" t="s">
        <v>7050</v>
      </c>
      <c r="E1436" t="s">
        <v>5643</v>
      </c>
      <c r="F1436" t="s">
        <v>847</v>
      </c>
      <c r="G1436" t="s">
        <v>142</v>
      </c>
      <c r="H1436" t="s">
        <v>143</v>
      </c>
      <c r="I1436" t="s">
        <v>35</v>
      </c>
      <c r="J1436" t="s">
        <v>144</v>
      </c>
      <c r="K1436" t="s">
        <v>2</v>
      </c>
      <c r="L1436" t="s">
        <v>7051</v>
      </c>
      <c r="M1436" t="s">
        <v>7052</v>
      </c>
      <c r="N1436" t="s">
        <v>5646</v>
      </c>
      <c r="O1436" t="s">
        <v>71</v>
      </c>
      <c r="P1436" t="s">
        <v>7053</v>
      </c>
      <c r="Q1436" t="s">
        <v>63</v>
      </c>
      <c r="R1436" t="s">
        <v>540</v>
      </c>
      <c r="S1436">
        <v>1</v>
      </c>
      <c r="T1436">
        <v>4067</v>
      </c>
      <c r="U1436">
        <v>0</v>
      </c>
      <c r="V1436">
        <v>4067</v>
      </c>
    </row>
    <row r="1437" spans="1:22" x14ac:dyDescent="0.25">
      <c r="A1437">
        <v>186607</v>
      </c>
      <c r="B1437">
        <v>131952805</v>
      </c>
      <c r="C1437" t="s">
        <v>7054</v>
      </c>
      <c r="D1437" t="s">
        <v>7055</v>
      </c>
      <c r="E1437" t="s">
        <v>5643</v>
      </c>
      <c r="F1437" t="s">
        <v>847</v>
      </c>
      <c r="G1437" t="s">
        <v>142</v>
      </c>
      <c r="H1437" t="s">
        <v>143</v>
      </c>
      <c r="I1437" t="s">
        <v>35</v>
      </c>
      <c r="J1437" t="s">
        <v>144</v>
      </c>
      <c r="K1437" t="s">
        <v>2</v>
      </c>
      <c r="L1437" t="s">
        <v>7056</v>
      </c>
      <c r="M1437" t="s">
        <v>7057</v>
      </c>
      <c r="N1437" t="s">
        <v>5646</v>
      </c>
      <c r="O1437" t="s">
        <v>71</v>
      </c>
      <c r="P1437" t="s">
        <v>7058</v>
      </c>
      <c r="Q1437" t="s">
        <v>107</v>
      </c>
      <c r="R1437" t="s">
        <v>819</v>
      </c>
      <c r="S1437">
        <v>0.5</v>
      </c>
      <c r="T1437">
        <v>4067</v>
      </c>
      <c r="U1437">
        <v>0</v>
      </c>
      <c r="V1437">
        <v>4067</v>
      </c>
    </row>
    <row r="1438" spans="1:22" x14ac:dyDescent="0.25">
      <c r="A1438">
        <v>186607</v>
      </c>
      <c r="B1438">
        <v>131933300</v>
      </c>
      <c r="C1438" t="s">
        <v>7059</v>
      </c>
      <c r="D1438" t="s">
        <v>7060</v>
      </c>
      <c r="E1438" t="s">
        <v>5643</v>
      </c>
      <c r="F1438" t="s">
        <v>847</v>
      </c>
      <c r="G1438" t="s">
        <v>142</v>
      </c>
      <c r="H1438" t="s">
        <v>143</v>
      </c>
      <c r="I1438" t="s">
        <v>35</v>
      </c>
      <c r="J1438" t="s">
        <v>144</v>
      </c>
      <c r="K1438" t="s">
        <v>2</v>
      </c>
      <c r="L1438" t="s">
        <v>503</v>
      </c>
      <c r="M1438" t="s">
        <v>7061</v>
      </c>
      <c r="N1438" t="s">
        <v>5646</v>
      </c>
      <c r="O1438" t="s">
        <v>71</v>
      </c>
      <c r="P1438" t="s">
        <v>7062</v>
      </c>
      <c r="Q1438" t="s">
        <v>107</v>
      </c>
      <c r="R1438" t="s">
        <v>429</v>
      </c>
      <c r="S1438">
        <v>0.5</v>
      </c>
      <c r="T1438">
        <v>4067</v>
      </c>
      <c r="U1438">
        <v>0</v>
      </c>
      <c r="V1438">
        <v>4067</v>
      </c>
    </row>
    <row r="1439" spans="1:22" x14ac:dyDescent="0.25">
      <c r="A1439">
        <v>186607</v>
      </c>
      <c r="B1439">
        <v>131887981</v>
      </c>
      <c r="C1439" t="s">
        <v>7063</v>
      </c>
      <c r="D1439" t="s">
        <v>7064</v>
      </c>
      <c r="E1439" t="s">
        <v>5643</v>
      </c>
      <c r="F1439" t="s">
        <v>847</v>
      </c>
      <c r="G1439" t="s">
        <v>142</v>
      </c>
      <c r="H1439" t="s">
        <v>143</v>
      </c>
      <c r="I1439" t="s">
        <v>35</v>
      </c>
      <c r="J1439" t="s">
        <v>144</v>
      </c>
      <c r="K1439" t="s">
        <v>2</v>
      </c>
      <c r="L1439" t="s">
        <v>7065</v>
      </c>
      <c r="M1439" t="s">
        <v>7033</v>
      </c>
      <c r="N1439" t="s">
        <v>5646</v>
      </c>
      <c r="O1439" t="s">
        <v>71</v>
      </c>
      <c r="P1439" t="s">
        <v>7066</v>
      </c>
      <c r="Q1439" t="s">
        <v>56</v>
      </c>
      <c r="R1439" t="s">
        <v>5909</v>
      </c>
      <c r="S1439">
        <v>1</v>
      </c>
      <c r="T1439">
        <v>4067</v>
      </c>
      <c r="U1439">
        <v>0</v>
      </c>
      <c r="V1439">
        <v>4067</v>
      </c>
    </row>
    <row r="1440" spans="1:22" x14ac:dyDescent="0.25">
      <c r="A1440">
        <v>186607</v>
      </c>
      <c r="B1440">
        <v>131887987</v>
      </c>
      <c r="C1440" t="s">
        <v>7067</v>
      </c>
      <c r="D1440" t="s">
        <v>7068</v>
      </c>
      <c r="E1440" t="s">
        <v>5643</v>
      </c>
      <c r="F1440" t="s">
        <v>847</v>
      </c>
      <c r="G1440" t="s">
        <v>142</v>
      </c>
      <c r="H1440" t="s">
        <v>143</v>
      </c>
      <c r="I1440" t="s">
        <v>35</v>
      </c>
      <c r="J1440" t="s">
        <v>144</v>
      </c>
      <c r="K1440" t="s">
        <v>2</v>
      </c>
      <c r="L1440" t="s">
        <v>7069</v>
      </c>
      <c r="M1440" t="s">
        <v>7070</v>
      </c>
      <c r="N1440" t="s">
        <v>5646</v>
      </c>
      <c r="O1440" t="s">
        <v>71</v>
      </c>
      <c r="P1440" t="s">
        <v>7071</v>
      </c>
      <c r="Q1440" t="s">
        <v>82</v>
      </c>
      <c r="R1440" t="s">
        <v>5909</v>
      </c>
      <c r="S1440">
        <v>1</v>
      </c>
      <c r="T1440">
        <v>4067</v>
      </c>
      <c r="U1440">
        <v>0</v>
      </c>
      <c r="V1440">
        <v>4067</v>
      </c>
    </row>
    <row r="1441" spans="1:22" x14ac:dyDescent="0.25">
      <c r="A1441">
        <v>186607</v>
      </c>
      <c r="B1441">
        <v>131774076</v>
      </c>
      <c r="C1441" t="s">
        <v>7072</v>
      </c>
      <c r="D1441" t="s">
        <v>7073</v>
      </c>
      <c r="E1441" t="s">
        <v>5643</v>
      </c>
      <c r="F1441" t="s">
        <v>847</v>
      </c>
      <c r="G1441" t="s">
        <v>142</v>
      </c>
      <c r="H1441" t="s">
        <v>143</v>
      </c>
      <c r="I1441" t="s">
        <v>35</v>
      </c>
      <c r="J1441" t="s">
        <v>144</v>
      </c>
      <c r="K1441" t="s">
        <v>2</v>
      </c>
      <c r="L1441" t="s">
        <v>7074</v>
      </c>
      <c r="M1441" t="s">
        <v>7075</v>
      </c>
      <c r="N1441" t="s">
        <v>5646</v>
      </c>
      <c r="O1441" t="s">
        <v>71</v>
      </c>
      <c r="P1441" t="s">
        <v>7076</v>
      </c>
      <c r="Q1441" t="s">
        <v>109</v>
      </c>
      <c r="R1441" t="s">
        <v>632</v>
      </c>
      <c r="S1441">
        <v>0.5</v>
      </c>
      <c r="T1441">
        <v>4067</v>
      </c>
      <c r="U1441">
        <v>0</v>
      </c>
      <c r="V1441">
        <v>4067</v>
      </c>
    </row>
    <row r="1442" spans="1:22" x14ac:dyDescent="0.25">
      <c r="A1442">
        <v>186607</v>
      </c>
      <c r="B1442">
        <v>131857933</v>
      </c>
      <c r="C1442" t="s">
        <v>7077</v>
      </c>
      <c r="D1442" t="s">
        <v>7078</v>
      </c>
      <c r="E1442" t="s">
        <v>5643</v>
      </c>
      <c r="F1442" t="s">
        <v>847</v>
      </c>
      <c r="G1442" t="s">
        <v>142</v>
      </c>
      <c r="H1442" t="s">
        <v>143</v>
      </c>
      <c r="I1442" t="s">
        <v>35</v>
      </c>
      <c r="J1442" t="s">
        <v>144</v>
      </c>
      <c r="K1442" t="s">
        <v>2</v>
      </c>
      <c r="L1442" t="s">
        <v>7079</v>
      </c>
      <c r="M1442" t="s">
        <v>7080</v>
      </c>
      <c r="N1442" t="s">
        <v>5646</v>
      </c>
      <c r="O1442" t="s">
        <v>71</v>
      </c>
      <c r="P1442" t="s">
        <v>7081</v>
      </c>
      <c r="Q1442" t="s">
        <v>107</v>
      </c>
      <c r="R1442" t="s">
        <v>840</v>
      </c>
      <c r="S1442">
        <v>0.5</v>
      </c>
      <c r="T1442">
        <v>4067</v>
      </c>
      <c r="U1442">
        <v>0</v>
      </c>
      <c r="V1442">
        <v>4067</v>
      </c>
    </row>
    <row r="1443" spans="1:22" x14ac:dyDescent="0.25">
      <c r="A1443">
        <v>186607</v>
      </c>
      <c r="B1443">
        <v>131774070</v>
      </c>
      <c r="C1443" t="s">
        <v>7082</v>
      </c>
      <c r="D1443" t="s">
        <v>7083</v>
      </c>
      <c r="E1443" t="s">
        <v>5643</v>
      </c>
      <c r="F1443" t="s">
        <v>847</v>
      </c>
      <c r="G1443" t="s">
        <v>142</v>
      </c>
      <c r="H1443" t="s">
        <v>143</v>
      </c>
      <c r="I1443" t="s">
        <v>35</v>
      </c>
      <c r="J1443" t="s">
        <v>144</v>
      </c>
      <c r="K1443" t="s">
        <v>2</v>
      </c>
      <c r="L1443" t="s">
        <v>7084</v>
      </c>
      <c r="M1443" t="s">
        <v>7085</v>
      </c>
      <c r="N1443" t="s">
        <v>5646</v>
      </c>
      <c r="O1443" t="s">
        <v>71</v>
      </c>
      <c r="P1443" t="s">
        <v>7086</v>
      </c>
      <c r="Q1443" t="s">
        <v>109</v>
      </c>
      <c r="R1443" t="s">
        <v>632</v>
      </c>
      <c r="S1443">
        <v>0.5</v>
      </c>
      <c r="T1443">
        <v>4067</v>
      </c>
      <c r="U1443">
        <v>0</v>
      </c>
      <c r="V1443">
        <v>4067</v>
      </c>
    </row>
    <row r="1444" spans="1:22" x14ac:dyDescent="0.25">
      <c r="A1444">
        <v>186607</v>
      </c>
      <c r="B1444">
        <v>131821933</v>
      </c>
      <c r="C1444" t="s">
        <v>7087</v>
      </c>
      <c r="D1444" t="s">
        <v>7088</v>
      </c>
      <c r="E1444" t="s">
        <v>5643</v>
      </c>
      <c r="F1444" t="s">
        <v>847</v>
      </c>
      <c r="G1444" t="s">
        <v>142</v>
      </c>
      <c r="H1444" t="s">
        <v>143</v>
      </c>
      <c r="I1444" t="s">
        <v>35</v>
      </c>
      <c r="J1444" t="s">
        <v>144</v>
      </c>
      <c r="K1444" t="s">
        <v>2</v>
      </c>
      <c r="L1444" t="s">
        <v>7089</v>
      </c>
      <c r="M1444" t="s">
        <v>7090</v>
      </c>
      <c r="N1444" t="s">
        <v>5646</v>
      </c>
      <c r="O1444" t="s">
        <v>71</v>
      </c>
      <c r="P1444" t="s">
        <v>7091</v>
      </c>
      <c r="Q1444" t="s">
        <v>107</v>
      </c>
      <c r="R1444" t="s">
        <v>434</v>
      </c>
      <c r="S1444">
        <v>0.5</v>
      </c>
      <c r="T1444">
        <v>4067</v>
      </c>
      <c r="U1444">
        <v>0</v>
      </c>
      <c r="V1444">
        <v>4067</v>
      </c>
    </row>
    <row r="1445" spans="1:22" x14ac:dyDescent="0.25">
      <c r="A1445">
        <v>186607</v>
      </c>
      <c r="B1445">
        <v>131774083</v>
      </c>
      <c r="C1445" t="s">
        <v>7092</v>
      </c>
      <c r="D1445" t="s">
        <v>7093</v>
      </c>
      <c r="E1445" t="s">
        <v>5643</v>
      </c>
      <c r="F1445" t="s">
        <v>847</v>
      </c>
      <c r="G1445" t="s">
        <v>142</v>
      </c>
      <c r="H1445" t="s">
        <v>143</v>
      </c>
      <c r="I1445" t="s">
        <v>35</v>
      </c>
      <c r="J1445" t="s">
        <v>144</v>
      </c>
      <c r="K1445" t="s">
        <v>2</v>
      </c>
      <c r="L1445" t="s">
        <v>7094</v>
      </c>
      <c r="M1445" t="s">
        <v>7095</v>
      </c>
      <c r="N1445" t="s">
        <v>5646</v>
      </c>
      <c r="O1445" t="s">
        <v>71</v>
      </c>
      <c r="P1445" t="s">
        <v>7096</v>
      </c>
      <c r="Q1445" t="s">
        <v>82</v>
      </c>
      <c r="R1445" t="s">
        <v>632</v>
      </c>
      <c r="S1445">
        <v>1.5</v>
      </c>
      <c r="T1445">
        <v>4067</v>
      </c>
      <c r="U1445">
        <v>0</v>
      </c>
      <c r="V1445">
        <v>4067</v>
      </c>
    </row>
    <row r="1446" spans="1:22" x14ac:dyDescent="0.25">
      <c r="A1446">
        <v>186607</v>
      </c>
      <c r="B1446">
        <v>131782839</v>
      </c>
      <c r="C1446" t="s">
        <v>7097</v>
      </c>
      <c r="D1446" t="s">
        <v>7098</v>
      </c>
      <c r="E1446" t="s">
        <v>5643</v>
      </c>
      <c r="F1446" t="s">
        <v>847</v>
      </c>
      <c r="G1446" t="s">
        <v>142</v>
      </c>
      <c r="H1446" t="s">
        <v>143</v>
      </c>
      <c r="I1446" t="s">
        <v>35</v>
      </c>
      <c r="J1446" t="s">
        <v>144</v>
      </c>
      <c r="K1446" t="s">
        <v>2</v>
      </c>
      <c r="L1446" t="s">
        <v>389</v>
      </c>
      <c r="M1446" t="s">
        <v>7099</v>
      </c>
      <c r="N1446" t="s">
        <v>5646</v>
      </c>
      <c r="O1446" t="s">
        <v>71</v>
      </c>
      <c r="P1446" t="s">
        <v>7100</v>
      </c>
      <c r="Q1446" t="s">
        <v>82</v>
      </c>
      <c r="R1446" t="s">
        <v>7101</v>
      </c>
      <c r="S1446">
        <v>6</v>
      </c>
      <c r="T1446">
        <v>5111</v>
      </c>
      <c r="U1446">
        <v>0</v>
      </c>
      <c r="V1446">
        <v>5111</v>
      </c>
    </row>
    <row r="1447" spans="1:22" x14ac:dyDescent="0.25">
      <c r="A1447">
        <v>186607</v>
      </c>
      <c r="B1447">
        <v>131821870</v>
      </c>
      <c r="C1447" t="s">
        <v>7102</v>
      </c>
      <c r="D1447" t="s">
        <v>7103</v>
      </c>
      <c r="E1447" t="s">
        <v>5643</v>
      </c>
      <c r="F1447" t="s">
        <v>847</v>
      </c>
      <c r="G1447" t="s">
        <v>142</v>
      </c>
      <c r="H1447" t="s">
        <v>143</v>
      </c>
      <c r="I1447" t="s">
        <v>35</v>
      </c>
      <c r="J1447" t="s">
        <v>144</v>
      </c>
      <c r="K1447" t="s">
        <v>2</v>
      </c>
      <c r="L1447" t="s">
        <v>6548</v>
      </c>
      <c r="M1447" t="s">
        <v>7104</v>
      </c>
      <c r="N1447" t="s">
        <v>5646</v>
      </c>
      <c r="O1447" t="s">
        <v>71</v>
      </c>
      <c r="P1447" t="s">
        <v>7105</v>
      </c>
      <c r="Q1447" t="s">
        <v>82</v>
      </c>
      <c r="R1447" t="s">
        <v>412</v>
      </c>
      <c r="S1447">
        <v>1</v>
      </c>
      <c r="T1447">
        <v>4067</v>
      </c>
      <c r="U1447">
        <v>0</v>
      </c>
      <c r="V1447">
        <v>4067</v>
      </c>
    </row>
    <row r="1448" spans="1:22" x14ac:dyDescent="0.25">
      <c r="A1448">
        <v>186607</v>
      </c>
      <c r="B1448">
        <v>131732722</v>
      </c>
      <c r="C1448" t="s">
        <v>7106</v>
      </c>
      <c r="D1448" t="s">
        <v>7107</v>
      </c>
      <c r="E1448" t="s">
        <v>5643</v>
      </c>
      <c r="F1448" t="s">
        <v>847</v>
      </c>
      <c r="G1448" t="s">
        <v>142</v>
      </c>
      <c r="H1448" t="s">
        <v>143</v>
      </c>
      <c r="I1448" t="s">
        <v>35</v>
      </c>
      <c r="J1448" t="s">
        <v>144</v>
      </c>
      <c r="K1448" t="s">
        <v>2</v>
      </c>
      <c r="L1448" t="s">
        <v>7108</v>
      </c>
      <c r="M1448" t="s">
        <v>7109</v>
      </c>
      <c r="N1448" t="s">
        <v>5646</v>
      </c>
      <c r="O1448" t="s">
        <v>71</v>
      </c>
      <c r="P1448" t="s">
        <v>7110</v>
      </c>
      <c r="Q1448" t="s">
        <v>150</v>
      </c>
      <c r="R1448" t="s">
        <v>411</v>
      </c>
      <c r="S1448">
        <v>0.5</v>
      </c>
      <c r="T1448">
        <v>4067</v>
      </c>
      <c r="U1448">
        <v>0</v>
      </c>
      <c r="V1448">
        <v>4067</v>
      </c>
    </row>
    <row r="1449" spans="1:22" x14ac:dyDescent="0.25">
      <c r="A1449">
        <v>186607</v>
      </c>
      <c r="B1449">
        <v>131732690</v>
      </c>
      <c r="C1449" t="s">
        <v>7111</v>
      </c>
      <c r="D1449" t="s">
        <v>7112</v>
      </c>
      <c r="E1449" t="s">
        <v>5643</v>
      </c>
      <c r="F1449" t="s">
        <v>847</v>
      </c>
      <c r="G1449" t="s">
        <v>142</v>
      </c>
      <c r="H1449" t="s">
        <v>143</v>
      </c>
      <c r="I1449" t="s">
        <v>35</v>
      </c>
      <c r="J1449" t="s">
        <v>144</v>
      </c>
      <c r="K1449" t="s">
        <v>2</v>
      </c>
      <c r="L1449" t="s">
        <v>7113</v>
      </c>
      <c r="M1449" t="s">
        <v>7114</v>
      </c>
      <c r="N1449" t="s">
        <v>5646</v>
      </c>
      <c r="O1449" t="s">
        <v>71</v>
      </c>
      <c r="P1449" t="s">
        <v>7115</v>
      </c>
      <c r="Q1449" t="s">
        <v>107</v>
      </c>
      <c r="R1449" t="s">
        <v>411</v>
      </c>
      <c r="S1449">
        <v>0.5</v>
      </c>
      <c r="T1449">
        <v>4067</v>
      </c>
      <c r="U1449">
        <v>0</v>
      </c>
      <c r="V1449">
        <v>4067</v>
      </c>
    </row>
    <row r="1450" spans="1:22" x14ac:dyDescent="0.25">
      <c r="A1450">
        <v>186607</v>
      </c>
      <c r="B1450">
        <v>131706294</v>
      </c>
      <c r="C1450" t="s">
        <v>7116</v>
      </c>
      <c r="D1450" t="s">
        <v>7117</v>
      </c>
      <c r="E1450" t="s">
        <v>5643</v>
      </c>
      <c r="F1450" t="s">
        <v>847</v>
      </c>
      <c r="G1450" t="s">
        <v>142</v>
      </c>
      <c r="H1450" t="s">
        <v>143</v>
      </c>
      <c r="I1450" t="s">
        <v>35</v>
      </c>
      <c r="J1450" t="s">
        <v>144</v>
      </c>
      <c r="K1450" t="s">
        <v>2</v>
      </c>
      <c r="L1450" t="s">
        <v>7118</v>
      </c>
      <c r="M1450" t="s">
        <v>7119</v>
      </c>
      <c r="N1450" t="s">
        <v>5646</v>
      </c>
      <c r="O1450" t="s">
        <v>71</v>
      </c>
      <c r="P1450" t="s">
        <v>7120</v>
      </c>
      <c r="Q1450" t="s">
        <v>107</v>
      </c>
      <c r="R1450" t="s">
        <v>4926</v>
      </c>
      <c r="S1450">
        <v>0.5</v>
      </c>
      <c r="T1450">
        <v>4067</v>
      </c>
      <c r="U1450">
        <v>0</v>
      </c>
      <c r="V1450">
        <v>4067</v>
      </c>
    </row>
    <row r="1451" spans="1:22" x14ac:dyDescent="0.25">
      <c r="A1451">
        <v>186607</v>
      </c>
      <c r="B1451">
        <v>131732703</v>
      </c>
      <c r="C1451" t="s">
        <v>7121</v>
      </c>
      <c r="D1451" t="s">
        <v>7122</v>
      </c>
      <c r="E1451" t="s">
        <v>5643</v>
      </c>
      <c r="F1451" t="s">
        <v>847</v>
      </c>
      <c r="G1451" t="s">
        <v>142</v>
      </c>
      <c r="H1451" t="s">
        <v>143</v>
      </c>
      <c r="I1451" t="s">
        <v>35</v>
      </c>
      <c r="J1451" t="s">
        <v>144</v>
      </c>
      <c r="K1451" t="s">
        <v>2</v>
      </c>
      <c r="L1451" t="s">
        <v>7123</v>
      </c>
      <c r="M1451" t="s">
        <v>7124</v>
      </c>
      <c r="N1451" t="s">
        <v>5646</v>
      </c>
      <c r="O1451" t="s">
        <v>71</v>
      </c>
      <c r="P1451" t="s">
        <v>7125</v>
      </c>
      <c r="Q1451" t="s">
        <v>56</v>
      </c>
      <c r="R1451" t="s">
        <v>411</v>
      </c>
      <c r="S1451">
        <v>1.45</v>
      </c>
      <c r="T1451">
        <v>4067</v>
      </c>
      <c r="U1451">
        <v>0</v>
      </c>
      <c r="V1451">
        <v>4067</v>
      </c>
    </row>
    <row r="1452" spans="1:22" x14ac:dyDescent="0.25">
      <c r="A1452">
        <v>186607</v>
      </c>
      <c r="B1452">
        <v>131641651</v>
      </c>
      <c r="C1452" t="s">
        <v>7126</v>
      </c>
      <c r="D1452" t="s">
        <v>7127</v>
      </c>
      <c r="E1452" t="s">
        <v>5643</v>
      </c>
      <c r="F1452" t="s">
        <v>847</v>
      </c>
      <c r="G1452" t="s">
        <v>142</v>
      </c>
      <c r="H1452" t="s">
        <v>143</v>
      </c>
      <c r="I1452" t="s">
        <v>35</v>
      </c>
      <c r="J1452" t="s">
        <v>144</v>
      </c>
      <c r="K1452" t="s">
        <v>2</v>
      </c>
      <c r="L1452" t="s">
        <v>7128</v>
      </c>
      <c r="M1452" t="s">
        <v>7129</v>
      </c>
      <c r="N1452" t="s">
        <v>5646</v>
      </c>
      <c r="O1452" t="s">
        <v>71</v>
      </c>
      <c r="P1452" t="s">
        <v>7130</v>
      </c>
      <c r="Q1452" t="s">
        <v>150</v>
      </c>
      <c r="R1452" t="s">
        <v>308</v>
      </c>
      <c r="S1452">
        <v>0.5</v>
      </c>
      <c r="T1452">
        <v>4067</v>
      </c>
      <c r="U1452">
        <v>0</v>
      </c>
      <c r="V1452">
        <v>4067</v>
      </c>
    </row>
    <row r="1453" spans="1:22" x14ac:dyDescent="0.25">
      <c r="A1453">
        <v>186607</v>
      </c>
      <c r="B1453">
        <v>131383657</v>
      </c>
      <c r="C1453" t="s">
        <v>7131</v>
      </c>
      <c r="D1453" t="s">
        <v>7132</v>
      </c>
      <c r="E1453" t="s">
        <v>5643</v>
      </c>
      <c r="F1453" t="s">
        <v>847</v>
      </c>
      <c r="G1453" t="s">
        <v>142</v>
      </c>
      <c r="H1453" t="s">
        <v>143</v>
      </c>
      <c r="I1453" t="s">
        <v>35</v>
      </c>
      <c r="J1453" t="s">
        <v>144</v>
      </c>
      <c r="K1453" t="s">
        <v>2</v>
      </c>
      <c r="L1453" t="s">
        <v>7133</v>
      </c>
      <c r="M1453" t="s">
        <v>7134</v>
      </c>
      <c r="N1453" t="s">
        <v>5646</v>
      </c>
      <c r="O1453" t="s">
        <v>71</v>
      </c>
      <c r="P1453" t="s">
        <v>7135</v>
      </c>
      <c r="Q1453" t="s">
        <v>109</v>
      </c>
      <c r="R1453" t="s">
        <v>6023</v>
      </c>
      <c r="S1453">
        <v>0.5</v>
      </c>
      <c r="T1453">
        <v>4067</v>
      </c>
      <c r="U1453">
        <v>0</v>
      </c>
      <c r="V1453">
        <v>4067</v>
      </c>
    </row>
    <row r="1454" spans="1:22" x14ac:dyDescent="0.25">
      <c r="A1454">
        <v>186607</v>
      </c>
      <c r="B1454">
        <v>131567545</v>
      </c>
      <c r="C1454" t="s">
        <v>7136</v>
      </c>
      <c r="D1454" t="s">
        <v>7137</v>
      </c>
      <c r="E1454" t="s">
        <v>5643</v>
      </c>
      <c r="F1454" t="s">
        <v>847</v>
      </c>
      <c r="G1454" t="s">
        <v>142</v>
      </c>
      <c r="H1454" t="s">
        <v>143</v>
      </c>
      <c r="I1454" t="s">
        <v>35</v>
      </c>
      <c r="J1454" t="s">
        <v>144</v>
      </c>
      <c r="K1454" t="s">
        <v>2</v>
      </c>
      <c r="L1454" t="s">
        <v>7138</v>
      </c>
      <c r="M1454" t="s">
        <v>7139</v>
      </c>
      <c r="N1454" t="s">
        <v>5646</v>
      </c>
      <c r="O1454" t="s">
        <v>71</v>
      </c>
      <c r="P1454" t="s">
        <v>7140</v>
      </c>
      <c r="Q1454" t="s">
        <v>63</v>
      </c>
      <c r="R1454" t="s">
        <v>493</v>
      </c>
      <c r="S1454">
        <v>1</v>
      </c>
      <c r="T1454">
        <v>4067</v>
      </c>
      <c r="U1454">
        <v>0</v>
      </c>
      <c r="V1454">
        <v>4067</v>
      </c>
    </row>
    <row r="1455" spans="1:22" x14ac:dyDescent="0.25">
      <c r="A1455">
        <v>186607</v>
      </c>
      <c r="B1455">
        <v>131555177</v>
      </c>
      <c r="C1455" t="s">
        <v>7141</v>
      </c>
      <c r="D1455" t="s">
        <v>7142</v>
      </c>
      <c r="E1455" t="s">
        <v>5643</v>
      </c>
      <c r="F1455" t="s">
        <v>847</v>
      </c>
      <c r="G1455" t="s">
        <v>142</v>
      </c>
      <c r="H1455" t="s">
        <v>143</v>
      </c>
      <c r="I1455" t="s">
        <v>35</v>
      </c>
      <c r="J1455" t="s">
        <v>144</v>
      </c>
      <c r="K1455" t="s">
        <v>2</v>
      </c>
      <c r="L1455" t="s">
        <v>7143</v>
      </c>
      <c r="M1455" t="s">
        <v>7144</v>
      </c>
      <c r="N1455" t="s">
        <v>5646</v>
      </c>
      <c r="O1455" t="s">
        <v>71</v>
      </c>
      <c r="P1455" t="s">
        <v>7145</v>
      </c>
      <c r="Q1455" t="s">
        <v>112</v>
      </c>
      <c r="R1455" t="s">
        <v>6672</v>
      </c>
      <c r="S1455">
        <v>1</v>
      </c>
      <c r="T1455">
        <v>4067</v>
      </c>
      <c r="U1455">
        <v>0</v>
      </c>
      <c r="V1455">
        <v>4067</v>
      </c>
    </row>
    <row r="1456" spans="1:22" x14ac:dyDescent="0.25">
      <c r="A1456">
        <v>186607</v>
      </c>
      <c r="B1456">
        <v>131455761</v>
      </c>
      <c r="C1456" t="s">
        <v>7146</v>
      </c>
      <c r="D1456" t="s">
        <v>7147</v>
      </c>
      <c r="E1456" t="s">
        <v>5643</v>
      </c>
      <c r="F1456" t="s">
        <v>847</v>
      </c>
      <c r="G1456" t="s">
        <v>142</v>
      </c>
      <c r="H1456" t="s">
        <v>143</v>
      </c>
      <c r="I1456" t="s">
        <v>35</v>
      </c>
      <c r="J1456" t="s">
        <v>144</v>
      </c>
      <c r="K1456" t="s">
        <v>2</v>
      </c>
      <c r="L1456" t="s">
        <v>7148</v>
      </c>
      <c r="M1456" t="s">
        <v>7149</v>
      </c>
      <c r="N1456" t="s">
        <v>5646</v>
      </c>
      <c r="O1456" t="s">
        <v>71</v>
      </c>
      <c r="P1456" t="s">
        <v>7150</v>
      </c>
      <c r="Q1456" t="s">
        <v>107</v>
      </c>
      <c r="R1456" t="s">
        <v>490</v>
      </c>
      <c r="S1456">
        <v>0.5</v>
      </c>
      <c r="T1456">
        <v>4067</v>
      </c>
      <c r="U1456">
        <v>0</v>
      </c>
      <c r="V1456">
        <v>4067</v>
      </c>
    </row>
    <row r="1457" spans="1:22" x14ac:dyDescent="0.25">
      <c r="A1457">
        <v>186607</v>
      </c>
      <c r="B1457">
        <v>131489867</v>
      </c>
      <c r="C1457" t="s">
        <v>7151</v>
      </c>
      <c r="D1457" t="s">
        <v>7152</v>
      </c>
      <c r="E1457" t="s">
        <v>5643</v>
      </c>
      <c r="F1457" t="s">
        <v>847</v>
      </c>
      <c r="G1457" t="s">
        <v>142</v>
      </c>
      <c r="H1457" t="s">
        <v>143</v>
      </c>
      <c r="I1457" t="s">
        <v>35</v>
      </c>
      <c r="J1457" t="s">
        <v>144</v>
      </c>
      <c r="K1457" t="s">
        <v>2</v>
      </c>
      <c r="L1457" t="s">
        <v>7153</v>
      </c>
      <c r="M1457" t="s">
        <v>7154</v>
      </c>
      <c r="N1457" t="s">
        <v>5646</v>
      </c>
      <c r="O1457" t="s">
        <v>71</v>
      </c>
      <c r="P1457" t="s">
        <v>7155</v>
      </c>
      <c r="Q1457" t="s">
        <v>109</v>
      </c>
      <c r="R1457" t="s">
        <v>310</v>
      </c>
      <c r="S1457">
        <v>0.5</v>
      </c>
      <c r="T1457">
        <v>4067</v>
      </c>
      <c r="U1457">
        <v>0</v>
      </c>
      <c r="V1457">
        <v>4067</v>
      </c>
    </row>
    <row r="1458" spans="1:22" x14ac:dyDescent="0.25">
      <c r="A1458">
        <v>186607</v>
      </c>
      <c r="B1458">
        <v>131268211</v>
      </c>
      <c r="C1458" t="s">
        <v>7156</v>
      </c>
      <c r="D1458" t="s">
        <v>7157</v>
      </c>
      <c r="E1458" t="s">
        <v>5643</v>
      </c>
      <c r="F1458" t="s">
        <v>847</v>
      </c>
      <c r="G1458" t="s">
        <v>142</v>
      </c>
      <c r="H1458" t="s">
        <v>143</v>
      </c>
      <c r="I1458" t="s">
        <v>35</v>
      </c>
      <c r="J1458" t="s">
        <v>144</v>
      </c>
      <c r="K1458" t="s">
        <v>2</v>
      </c>
      <c r="L1458" t="s">
        <v>7158</v>
      </c>
      <c r="M1458" t="s">
        <v>7159</v>
      </c>
      <c r="N1458" t="s">
        <v>5646</v>
      </c>
      <c r="O1458" t="s">
        <v>71</v>
      </c>
      <c r="P1458" t="s">
        <v>7160</v>
      </c>
      <c r="Q1458" t="s">
        <v>107</v>
      </c>
      <c r="R1458" t="s">
        <v>303</v>
      </c>
      <c r="S1458">
        <v>0.5</v>
      </c>
      <c r="T1458">
        <v>7414</v>
      </c>
      <c r="U1458">
        <v>0</v>
      </c>
      <c r="V1458">
        <v>7414</v>
      </c>
    </row>
    <row r="1459" spans="1:22" x14ac:dyDescent="0.25">
      <c r="A1459">
        <v>186607</v>
      </c>
      <c r="B1459">
        <v>131277918</v>
      </c>
      <c r="C1459" t="s">
        <v>7161</v>
      </c>
      <c r="D1459" t="s">
        <v>7162</v>
      </c>
      <c r="E1459" t="s">
        <v>5643</v>
      </c>
      <c r="F1459" t="s">
        <v>847</v>
      </c>
      <c r="G1459" t="s">
        <v>142</v>
      </c>
      <c r="H1459" t="s">
        <v>143</v>
      </c>
      <c r="I1459" t="s">
        <v>35</v>
      </c>
      <c r="J1459" t="s">
        <v>144</v>
      </c>
      <c r="K1459" t="s">
        <v>2</v>
      </c>
      <c r="L1459" t="s">
        <v>787</v>
      </c>
      <c r="M1459" t="s">
        <v>7163</v>
      </c>
      <c r="N1459" t="s">
        <v>5646</v>
      </c>
      <c r="O1459" t="s">
        <v>71</v>
      </c>
      <c r="P1459" t="s">
        <v>7164</v>
      </c>
      <c r="Q1459" t="s">
        <v>82</v>
      </c>
      <c r="R1459" t="s">
        <v>623</v>
      </c>
      <c r="S1459">
        <v>1</v>
      </c>
      <c r="T1459">
        <v>5298</v>
      </c>
      <c r="U1459">
        <v>0</v>
      </c>
      <c r="V1459">
        <v>5298</v>
      </c>
    </row>
    <row r="1460" spans="1:22" x14ac:dyDescent="0.25">
      <c r="A1460">
        <v>186607</v>
      </c>
      <c r="B1460">
        <v>131706287</v>
      </c>
      <c r="C1460" t="s">
        <v>7165</v>
      </c>
      <c r="D1460" t="s">
        <v>7166</v>
      </c>
      <c r="E1460" t="s">
        <v>5643</v>
      </c>
      <c r="F1460" t="s">
        <v>847</v>
      </c>
      <c r="G1460" t="s">
        <v>142</v>
      </c>
      <c r="H1460" t="s">
        <v>143</v>
      </c>
      <c r="I1460" t="s">
        <v>35</v>
      </c>
      <c r="J1460" t="s">
        <v>144</v>
      </c>
      <c r="K1460" t="s">
        <v>2</v>
      </c>
      <c r="L1460" t="s">
        <v>7167</v>
      </c>
      <c r="M1460" t="s">
        <v>7168</v>
      </c>
      <c r="N1460" t="s">
        <v>5646</v>
      </c>
      <c r="O1460" t="s">
        <v>71</v>
      </c>
      <c r="P1460" t="s">
        <v>7169</v>
      </c>
      <c r="Q1460" t="s">
        <v>89</v>
      </c>
      <c r="R1460" t="s">
        <v>4926</v>
      </c>
      <c r="S1460">
        <v>1.45</v>
      </c>
      <c r="T1460">
        <v>4173</v>
      </c>
      <c r="U1460">
        <v>0</v>
      </c>
      <c r="V1460">
        <v>4173</v>
      </c>
    </row>
    <row r="1461" spans="1:22" x14ac:dyDescent="0.25">
      <c r="A1461">
        <v>186607</v>
      </c>
      <c r="B1461">
        <v>131952815</v>
      </c>
      <c r="C1461" t="s">
        <v>7170</v>
      </c>
      <c r="D1461" t="s">
        <v>7171</v>
      </c>
      <c r="E1461" t="s">
        <v>5643</v>
      </c>
      <c r="F1461" t="s">
        <v>847</v>
      </c>
      <c r="G1461" t="s">
        <v>142</v>
      </c>
      <c r="H1461" t="s">
        <v>143</v>
      </c>
      <c r="I1461" t="s">
        <v>35</v>
      </c>
      <c r="J1461" t="s">
        <v>144</v>
      </c>
      <c r="K1461" t="s">
        <v>2</v>
      </c>
      <c r="L1461" t="s">
        <v>7172</v>
      </c>
      <c r="M1461" t="s">
        <v>7173</v>
      </c>
      <c r="N1461" t="s">
        <v>5646</v>
      </c>
      <c r="O1461" t="s">
        <v>71</v>
      </c>
      <c r="P1461" t="s">
        <v>7174</v>
      </c>
      <c r="Q1461" t="s">
        <v>111</v>
      </c>
      <c r="R1461" t="s">
        <v>819</v>
      </c>
      <c r="S1461">
        <v>1</v>
      </c>
      <c r="T1461">
        <v>4346</v>
      </c>
      <c r="U1461">
        <v>0</v>
      </c>
      <c r="V1461">
        <v>4346</v>
      </c>
    </row>
    <row r="1462" spans="1:22" x14ac:dyDescent="0.25">
      <c r="A1462">
        <v>186607</v>
      </c>
      <c r="B1462">
        <v>131922253</v>
      </c>
      <c r="C1462" t="s">
        <v>7175</v>
      </c>
      <c r="D1462" t="s">
        <v>7176</v>
      </c>
      <c r="E1462" t="s">
        <v>5643</v>
      </c>
      <c r="F1462" t="s">
        <v>847</v>
      </c>
      <c r="G1462" t="s">
        <v>142</v>
      </c>
      <c r="H1462" t="s">
        <v>143</v>
      </c>
      <c r="I1462" t="s">
        <v>35</v>
      </c>
      <c r="J1462" t="s">
        <v>144</v>
      </c>
      <c r="K1462" t="s">
        <v>2</v>
      </c>
      <c r="L1462" t="s">
        <v>7177</v>
      </c>
      <c r="M1462" t="s">
        <v>7178</v>
      </c>
      <c r="N1462" t="s">
        <v>5646</v>
      </c>
      <c r="O1462" t="s">
        <v>71</v>
      </c>
      <c r="P1462" t="s">
        <v>7179</v>
      </c>
      <c r="Q1462" t="s">
        <v>74</v>
      </c>
      <c r="R1462" t="s">
        <v>5884</v>
      </c>
      <c r="S1462">
        <v>1</v>
      </c>
      <c r="T1462">
        <v>4346</v>
      </c>
      <c r="U1462">
        <v>0</v>
      </c>
      <c r="V1462">
        <v>4346</v>
      </c>
    </row>
    <row r="1463" spans="1:22" x14ac:dyDescent="0.25">
      <c r="A1463">
        <v>186607</v>
      </c>
      <c r="B1463">
        <v>131899545</v>
      </c>
      <c r="C1463" t="s">
        <v>7180</v>
      </c>
      <c r="D1463" t="s">
        <v>7181</v>
      </c>
      <c r="E1463" t="s">
        <v>5643</v>
      </c>
      <c r="F1463" t="s">
        <v>847</v>
      </c>
      <c r="G1463" t="s">
        <v>142</v>
      </c>
      <c r="H1463" t="s">
        <v>143</v>
      </c>
      <c r="I1463" t="s">
        <v>35</v>
      </c>
      <c r="J1463" t="s">
        <v>144</v>
      </c>
      <c r="K1463" t="s">
        <v>2</v>
      </c>
      <c r="L1463" t="s">
        <v>7182</v>
      </c>
      <c r="M1463" t="s">
        <v>7183</v>
      </c>
      <c r="N1463" t="s">
        <v>5646</v>
      </c>
      <c r="O1463" t="s">
        <v>71</v>
      </c>
      <c r="P1463" t="s">
        <v>7184</v>
      </c>
      <c r="Q1463" t="s">
        <v>74</v>
      </c>
      <c r="R1463" t="s">
        <v>448</v>
      </c>
      <c r="S1463">
        <v>1</v>
      </c>
      <c r="T1463">
        <v>4346</v>
      </c>
      <c r="U1463">
        <v>0</v>
      </c>
      <c r="V1463">
        <v>4346</v>
      </c>
    </row>
    <row r="1464" spans="1:22" x14ac:dyDescent="0.25">
      <c r="A1464">
        <v>186607</v>
      </c>
      <c r="B1464">
        <v>131383676</v>
      </c>
      <c r="C1464" t="s">
        <v>7185</v>
      </c>
      <c r="D1464" t="s">
        <v>7186</v>
      </c>
      <c r="E1464" t="s">
        <v>5643</v>
      </c>
      <c r="F1464" t="s">
        <v>847</v>
      </c>
      <c r="G1464" t="s">
        <v>142</v>
      </c>
      <c r="H1464" t="s">
        <v>143</v>
      </c>
      <c r="I1464" t="s">
        <v>35</v>
      </c>
      <c r="J1464" t="s">
        <v>144</v>
      </c>
      <c r="K1464" t="s">
        <v>2</v>
      </c>
      <c r="L1464" t="s">
        <v>7187</v>
      </c>
      <c r="M1464" t="s">
        <v>7188</v>
      </c>
      <c r="N1464" t="s">
        <v>5646</v>
      </c>
      <c r="O1464" t="s">
        <v>71</v>
      </c>
      <c r="P1464" t="s">
        <v>7189</v>
      </c>
      <c r="Q1464" t="s">
        <v>111</v>
      </c>
      <c r="R1464" t="s">
        <v>6023</v>
      </c>
      <c r="S1464">
        <v>1.45</v>
      </c>
      <c r="T1464">
        <v>4346</v>
      </c>
      <c r="U1464">
        <v>0</v>
      </c>
      <c r="V1464">
        <v>4346</v>
      </c>
    </row>
    <row r="1465" spans="1:22" x14ac:dyDescent="0.25">
      <c r="A1465">
        <v>186607</v>
      </c>
      <c r="B1465">
        <v>131383652</v>
      </c>
      <c r="C1465" t="s">
        <v>7190</v>
      </c>
      <c r="D1465" t="s">
        <v>7191</v>
      </c>
      <c r="E1465" t="s">
        <v>5643</v>
      </c>
      <c r="F1465" t="s">
        <v>847</v>
      </c>
      <c r="G1465" t="s">
        <v>142</v>
      </c>
      <c r="H1465" t="s">
        <v>143</v>
      </c>
      <c r="I1465" t="s">
        <v>35</v>
      </c>
      <c r="J1465" t="s">
        <v>144</v>
      </c>
      <c r="K1465" t="s">
        <v>2</v>
      </c>
      <c r="L1465" t="s">
        <v>7192</v>
      </c>
      <c r="M1465" t="s">
        <v>7193</v>
      </c>
      <c r="N1465" t="s">
        <v>5646</v>
      </c>
      <c r="O1465" t="s">
        <v>71</v>
      </c>
      <c r="P1465" t="s">
        <v>7194</v>
      </c>
      <c r="Q1465" t="s">
        <v>74</v>
      </c>
      <c r="R1465" t="s">
        <v>6023</v>
      </c>
      <c r="S1465">
        <v>2.5</v>
      </c>
      <c r="T1465">
        <v>4346</v>
      </c>
      <c r="U1465">
        <v>0</v>
      </c>
      <c r="V1465">
        <v>4346</v>
      </c>
    </row>
    <row r="1466" spans="1:22" x14ac:dyDescent="0.25">
      <c r="A1466">
        <v>186607</v>
      </c>
      <c r="B1466">
        <v>131774087</v>
      </c>
      <c r="C1466" t="s">
        <v>7195</v>
      </c>
      <c r="D1466" t="s">
        <v>7196</v>
      </c>
      <c r="E1466" t="s">
        <v>5643</v>
      </c>
      <c r="F1466" t="s">
        <v>847</v>
      </c>
      <c r="G1466" t="s">
        <v>142</v>
      </c>
      <c r="H1466" t="s">
        <v>143</v>
      </c>
      <c r="I1466" t="s">
        <v>35</v>
      </c>
      <c r="J1466" t="s">
        <v>144</v>
      </c>
      <c r="K1466" t="s">
        <v>2</v>
      </c>
      <c r="L1466" t="s">
        <v>7197</v>
      </c>
      <c r="M1466" t="s">
        <v>7198</v>
      </c>
      <c r="N1466" t="s">
        <v>5646</v>
      </c>
      <c r="O1466" t="s">
        <v>71</v>
      </c>
      <c r="P1466" t="s">
        <v>7199</v>
      </c>
      <c r="Q1466" t="s">
        <v>229</v>
      </c>
      <c r="R1466" t="s">
        <v>632</v>
      </c>
      <c r="S1466">
        <v>0.5</v>
      </c>
      <c r="T1466">
        <v>4453</v>
      </c>
      <c r="U1466">
        <v>0</v>
      </c>
      <c r="V1466">
        <v>4453</v>
      </c>
    </row>
    <row r="1467" spans="1:22" x14ac:dyDescent="0.25">
      <c r="A1467">
        <v>186607</v>
      </c>
      <c r="B1467">
        <v>131821911</v>
      </c>
      <c r="C1467" t="s">
        <v>7200</v>
      </c>
      <c r="D1467" t="s">
        <v>7201</v>
      </c>
      <c r="E1467" t="s">
        <v>5643</v>
      </c>
      <c r="F1467" t="s">
        <v>847</v>
      </c>
      <c r="G1467" t="s">
        <v>142</v>
      </c>
      <c r="H1467" t="s">
        <v>143</v>
      </c>
      <c r="I1467" t="s">
        <v>35</v>
      </c>
      <c r="J1467" t="s">
        <v>144</v>
      </c>
      <c r="K1467" t="s">
        <v>2</v>
      </c>
      <c r="L1467" t="s">
        <v>7202</v>
      </c>
      <c r="M1467" t="s">
        <v>7203</v>
      </c>
      <c r="N1467" t="s">
        <v>5646</v>
      </c>
      <c r="O1467" t="s">
        <v>71</v>
      </c>
      <c r="P1467" t="s">
        <v>7204</v>
      </c>
      <c r="Q1467" t="s">
        <v>194</v>
      </c>
      <c r="R1467" t="s">
        <v>412</v>
      </c>
      <c r="S1467">
        <v>0.5</v>
      </c>
      <c r="T1467">
        <v>4562</v>
      </c>
      <c r="U1467">
        <v>0</v>
      </c>
      <c r="V1467">
        <v>4562</v>
      </c>
    </row>
    <row r="1468" spans="1:22" x14ac:dyDescent="0.25">
      <c r="A1468">
        <v>186607</v>
      </c>
      <c r="B1468">
        <v>131555166</v>
      </c>
      <c r="C1468" t="s">
        <v>7205</v>
      </c>
      <c r="D1468" t="s">
        <v>7206</v>
      </c>
      <c r="E1468" t="s">
        <v>5643</v>
      </c>
      <c r="F1468" t="s">
        <v>847</v>
      </c>
      <c r="G1468" t="s">
        <v>142</v>
      </c>
      <c r="H1468" t="s">
        <v>143</v>
      </c>
      <c r="I1468" t="s">
        <v>35</v>
      </c>
      <c r="J1468" t="s">
        <v>144</v>
      </c>
      <c r="K1468" t="s">
        <v>2</v>
      </c>
      <c r="L1468" t="s">
        <v>7207</v>
      </c>
      <c r="M1468" t="s">
        <v>7208</v>
      </c>
      <c r="N1468" t="s">
        <v>5646</v>
      </c>
      <c r="O1468" t="s">
        <v>71</v>
      </c>
      <c r="P1468" t="s">
        <v>7209</v>
      </c>
      <c r="Q1468" t="s">
        <v>87</v>
      </c>
      <c r="R1468" t="s">
        <v>7210</v>
      </c>
      <c r="S1468">
        <v>1</v>
      </c>
      <c r="T1468">
        <v>4730</v>
      </c>
      <c r="U1468">
        <v>0</v>
      </c>
      <c r="V1468">
        <v>4730</v>
      </c>
    </row>
    <row r="1469" spans="1:22" x14ac:dyDescent="0.25">
      <c r="A1469">
        <v>186607</v>
      </c>
      <c r="B1469">
        <v>131383641</v>
      </c>
      <c r="C1469" t="s">
        <v>7211</v>
      </c>
      <c r="D1469" t="s">
        <v>7212</v>
      </c>
      <c r="E1469" t="s">
        <v>5643</v>
      </c>
      <c r="F1469" t="s">
        <v>847</v>
      </c>
      <c r="G1469" t="s">
        <v>142</v>
      </c>
      <c r="H1469" t="s">
        <v>143</v>
      </c>
      <c r="I1469" t="s">
        <v>35</v>
      </c>
      <c r="J1469" t="s">
        <v>144</v>
      </c>
      <c r="K1469" t="s">
        <v>2</v>
      </c>
      <c r="L1469" t="s">
        <v>7213</v>
      </c>
      <c r="M1469" t="s">
        <v>7214</v>
      </c>
      <c r="N1469" t="s">
        <v>5646</v>
      </c>
      <c r="O1469" t="s">
        <v>71</v>
      </c>
      <c r="P1469" t="s">
        <v>7215</v>
      </c>
      <c r="Q1469" t="s">
        <v>241</v>
      </c>
      <c r="R1469" t="s">
        <v>6023</v>
      </c>
      <c r="S1469">
        <v>1.45</v>
      </c>
      <c r="T1469">
        <v>4881</v>
      </c>
      <c r="U1469">
        <v>0</v>
      </c>
      <c r="V1469">
        <v>4881</v>
      </c>
    </row>
    <row r="1470" spans="1:22" x14ac:dyDescent="0.25">
      <c r="A1470">
        <v>186607</v>
      </c>
      <c r="B1470">
        <v>131992790</v>
      </c>
      <c r="C1470" t="s">
        <v>7216</v>
      </c>
      <c r="D1470" t="s">
        <v>7217</v>
      </c>
      <c r="E1470" t="s">
        <v>5643</v>
      </c>
      <c r="F1470" t="s">
        <v>847</v>
      </c>
      <c r="G1470" t="s">
        <v>142</v>
      </c>
      <c r="H1470" t="s">
        <v>143</v>
      </c>
      <c r="I1470" t="s">
        <v>35</v>
      </c>
      <c r="J1470" t="s">
        <v>144</v>
      </c>
      <c r="K1470" t="s">
        <v>2</v>
      </c>
      <c r="L1470" t="s">
        <v>7218</v>
      </c>
      <c r="M1470" t="s">
        <v>423</v>
      </c>
      <c r="N1470" t="s">
        <v>5646</v>
      </c>
      <c r="O1470" t="s">
        <v>71</v>
      </c>
      <c r="P1470" t="s">
        <v>7219</v>
      </c>
      <c r="Q1470" t="s">
        <v>107</v>
      </c>
      <c r="R1470" t="s">
        <v>5843</v>
      </c>
      <c r="S1470">
        <v>1</v>
      </c>
      <c r="T1470">
        <v>5198</v>
      </c>
      <c r="U1470">
        <v>0</v>
      </c>
      <c r="V1470">
        <v>5198</v>
      </c>
    </row>
    <row r="1471" spans="1:22" x14ac:dyDescent="0.25">
      <c r="A1471">
        <v>186607</v>
      </c>
      <c r="B1471">
        <v>131964492</v>
      </c>
      <c r="C1471" t="s">
        <v>7220</v>
      </c>
      <c r="D1471" t="s">
        <v>7221</v>
      </c>
      <c r="E1471" t="s">
        <v>5643</v>
      </c>
      <c r="F1471" t="s">
        <v>847</v>
      </c>
      <c r="G1471" t="s">
        <v>142</v>
      </c>
      <c r="H1471" t="s">
        <v>143</v>
      </c>
      <c r="I1471" t="s">
        <v>35</v>
      </c>
      <c r="J1471" t="s">
        <v>144</v>
      </c>
      <c r="K1471" t="s">
        <v>2</v>
      </c>
      <c r="L1471" t="s">
        <v>7222</v>
      </c>
      <c r="M1471" t="s">
        <v>7223</v>
      </c>
      <c r="N1471" t="s">
        <v>5646</v>
      </c>
      <c r="O1471" t="s">
        <v>71</v>
      </c>
      <c r="P1471" t="s">
        <v>7224</v>
      </c>
      <c r="Q1471" t="s">
        <v>107</v>
      </c>
      <c r="R1471" t="s">
        <v>610</v>
      </c>
      <c r="S1471">
        <v>1</v>
      </c>
      <c r="T1471">
        <v>5198</v>
      </c>
      <c r="U1471">
        <v>0</v>
      </c>
      <c r="V1471">
        <v>5198</v>
      </c>
    </row>
    <row r="1472" spans="1:22" x14ac:dyDescent="0.25">
      <c r="A1472">
        <v>186607</v>
      </c>
      <c r="B1472">
        <v>131857902</v>
      </c>
      <c r="C1472" t="s">
        <v>7225</v>
      </c>
      <c r="D1472" t="s">
        <v>7226</v>
      </c>
      <c r="E1472" t="s">
        <v>5643</v>
      </c>
      <c r="F1472" t="s">
        <v>847</v>
      </c>
      <c r="G1472" t="s">
        <v>142</v>
      </c>
      <c r="H1472" t="s">
        <v>143</v>
      </c>
      <c r="I1472" t="s">
        <v>35</v>
      </c>
      <c r="J1472" t="s">
        <v>144</v>
      </c>
      <c r="K1472" t="s">
        <v>2</v>
      </c>
      <c r="L1472" t="s">
        <v>439</v>
      </c>
      <c r="M1472" t="s">
        <v>7227</v>
      </c>
      <c r="N1472" t="s">
        <v>5646</v>
      </c>
      <c r="O1472" t="s">
        <v>71</v>
      </c>
      <c r="P1472" t="s">
        <v>7228</v>
      </c>
      <c r="Q1472" t="s">
        <v>107</v>
      </c>
      <c r="R1472" t="s">
        <v>840</v>
      </c>
      <c r="S1472">
        <v>1.55</v>
      </c>
      <c r="T1472">
        <v>5198</v>
      </c>
      <c r="U1472">
        <v>0</v>
      </c>
      <c r="V1472">
        <v>5198</v>
      </c>
    </row>
    <row r="1473" spans="1:22" x14ac:dyDescent="0.25">
      <c r="A1473">
        <v>186607</v>
      </c>
      <c r="B1473">
        <v>131774079</v>
      </c>
      <c r="C1473" t="s">
        <v>7229</v>
      </c>
      <c r="D1473" t="s">
        <v>7230</v>
      </c>
      <c r="E1473" t="s">
        <v>5643</v>
      </c>
      <c r="F1473" t="s">
        <v>847</v>
      </c>
      <c r="G1473" t="s">
        <v>142</v>
      </c>
      <c r="H1473" t="s">
        <v>143</v>
      </c>
      <c r="I1473" t="s">
        <v>35</v>
      </c>
      <c r="J1473" t="s">
        <v>144</v>
      </c>
      <c r="K1473" t="s">
        <v>2</v>
      </c>
      <c r="L1473" t="s">
        <v>7231</v>
      </c>
      <c r="M1473" t="s">
        <v>7232</v>
      </c>
      <c r="N1473" t="s">
        <v>5646</v>
      </c>
      <c r="O1473" t="s">
        <v>71</v>
      </c>
      <c r="P1473" t="s">
        <v>7233</v>
      </c>
      <c r="Q1473" t="s">
        <v>107</v>
      </c>
      <c r="R1473" t="s">
        <v>632</v>
      </c>
      <c r="S1473">
        <v>2.25</v>
      </c>
      <c r="T1473">
        <v>5198</v>
      </c>
      <c r="U1473">
        <v>0</v>
      </c>
      <c r="V1473">
        <v>5198</v>
      </c>
    </row>
    <row r="1474" spans="1:22" x14ac:dyDescent="0.25">
      <c r="A1474">
        <v>186607</v>
      </c>
      <c r="B1474">
        <v>131590321</v>
      </c>
      <c r="C1474" t="s">
        <v>7234</v>
      </c>
      <c r="D1474" t="s">
        <v>7235</v>
      </c>
      <c r="E1474" t="s">
        <v>5643</v>
      </c>
      <c r="F1474" t="s">
        <v>847</v>
      </c>
      <c r="G1474" t="s">
        <v>142</v>
      </c>
      <c r="H1474" t="s">
        <v>143</v>
      </c>
      <c r="I1474" t="s">
        <v>35</v>
      </c>
      <c r="J1474" t="s">
        <v>144</v>
      </c>
      <c r="K1474" t="s">
        <v>2</v>
      </c>
      <c r="L1474" t="s">
        <v>7236</v>
      </c>
      <c r="M1474" t="s">
        <v>7237</v>
      </c>
      <c r="N1474" t="s">
        <v>5646</v>
      </c>
      <c r="O1474" t="s">
        <v>71</v>
      </c>
      <c r="P1474" t="s">
        <v>7238</v>
      </c>
      <c r="Q1474" t="s">
        <v>107</v>
      </c>
      <c r="R1474" t="s">
        <v>5764</v>
      </c>
      <c r="S1474">
        <v>1.5</v>
      </c>
      <c r="T1474">
        <v>5198</v>
      </c>
      <c r="U1474">
        <v>0</v>
      </c>
      <c r="V1474">
        <v>5198</v>
      </c>
    </row>
    <row r="1475" spans="1:22" x14ac:dyDescent="0.25">
      <c r="A1475">
        <v>186607</v>
      </c>
      <c r="B1475">
        <v>131590327</v>
      </c>
      <c r="C1475" t="s">
        <v>7239</v>
      </c>
      <c r="D1475" t="s">
        <v>7240</v>
      </c>
      <c r="E1475" t="s">
        <v>5643</v>
      </c>
      <c r="F1475" t="s">
        <v>847</v>
      </c>
      <c r="G1475" t="s">
        <v>142</v>
      </c>
      <c r="H1475" t="s">
        <v>143</v>
      </c>
      <c r="I1475" t="s">
        <v>35</v>
      </c>
      <c r="J1475" t="s">
        <v>144</v>
      </c>
      <c r="K1475" t="s">
        <v>2</v>
      </c>
      <c r="L1475" t="s">
        <v>7241</v>
      </c>
      <c r="M1475" t="s">
        <v>7242</v>
      </c>
      <c r="N1475" t="s">
        <v>5646</v>
      </c>
      <c r="O1475" t="s">
        <v>71</v>
      </c>
      <c r="P1475" t="s">
        <v>7243</v>
      </c>
      <c r="Q1475" t="s">
        <v>107</v>
      </c>
      <c r="R1475" t="s">
        <v>5764</v>
      </c>
      <c r="S1475">
        <v>1</v>
      </c>
      <c r="T1475">
        <v>5198</v>
      </c>
      <c r="U1475">
        <v>0</v>
      </c>
      <c r="V1475">
        <v>5198</v>
      </c>
    </row>
    <row r="1476" spans="1:22" x14ac:dyDescent="0.25">
      <c r="A1476">
        <v>186607</v>
      </c>
      <c r="B1476">
        <v>131618425</v>
      </c>
      <c r="C1476" t="s">
        <v>7244</v>
      </c>
      <c r="D1476" t="s">
        <v>7245</v>
      </c>
      <c r="E1476" t="s">
        <v>5643</v>
      </c>
      <c r="F1476" t="s">
        <v>847</v>
      </c>
      <c r="G1476" t="s">
        <v>142</v>
      </c>
      <c r="H1476" t="s">
        <v>143</v>
      </c>
      <c r="I1476" t="s">
        <v>35</v>
      </c>
      <c r="J1476" t="s">
        <v>144</v>
      </c>
      <c r="K1476" t="s">
        <v>2</v>
      </c>
      <c r="L1476" t="s">
        <v>7246</v>
      </c>
      <c r="M1476" t="s">
        <v>7247</v>
      </c>
      <c r="N1476" t="s">
        <v>5646</v>
      </c>
      <c r="O1476" t="s">
        <v>71</v>
      </c>
      <c r="P1476" t="s">
        <v>7248</v>
      </c>
      <c r="Q1476" t="s">
        <v>107</v>
      </c>
      <c r="R1476" t="s">
        <v>5749</v>
      </c>
      <c r="S1476">
        <v>1.55</v>
      </c>
      <c r="T1476">
        <v>5198</v>
      </c>
      <c r="U1476">
        <v>0</v>
      </c>
      <c r="V1476">
        <v>5198</v>
      </c>
    </row>
    <row r="1477" spans="1:22" x14ac:dyDescent="0.25">
      <c r="A1477">
        <v>186607</v>
      </c>
      <c r="B1477">
        <v>131489847</v>
      </c>
      <c r="C1477" t="s">
        <v>7249</v>
      </c>
      <c r="D1477" t="s">
        <v>7250</v>
      </c>
      <c r="E1477" t="s">
        <v>5643</v>
      </c>
      <c r="F1477" t="s">
        <v>847</v>
      </c>
      <c r="G1477" t="s">
        <v>142</v>
      </c>
      <c r="H1477" t="s">
        <v>143</v>
      </c>
      <c r="I1477" t="s">
        <v>35</v>
      </c>
      <c r="J1477" t="s">
        <v>144</v>
      </c>
      <c r="K1477" t="s">
        <v>2</v>
      </c>
      <c r="L1477" t="s">
        <v>278</v>
      </c>
      <c r="M1477" t="s">
        <v>7251</v>
      </c>
      <c r="N1477" t="s">
        <v>5646</v>
      </c>
      <c r="O1477" t="s">
        <v>71</v>
      </c>
      <c r="P1477" t="s">
        <v>7252</v>
      </c>
      <c r="Q1477" t="s">
        <v>107</v>
      </c>
      <c r="R1477" t="s">
        <v>310</v>
      </c>
      <c r="S1477">
        <v>1.45</v>
      </c>
      <c r="T1477">
        <v>5198</v>
      </c>
      <c r="U1477">
        <v>0</v>
      </c>
      <c r="V1477">
        <v>5198</v>
      </c>
    </row>
    <row r="1478" spans="1:22" x14ac:dyDescent="0.25">
      <c r="A1478">
        <v>186607</v>
      </c>
      <c r="B1478">
        <v>131340116</v>
      </c>
      <c r="C1478" t="s">
        <v>7253</v>
      </c>
      <c r="D1478" t="s">
        <v>7254</v>
      </c>
      <c r="E1478" t="s">
        <v>5643</v>
      </c>
      <c r="F1478" t="s">
        <v>847</v>
      </c>
      <c r="G1478" t="s">
        <v>142</v>
      </c>
      <c r="H1478" t="s">
        <v>143</v>
      </c>
      <c r="I1478" t="s">
        <v>35</v>
      </c>
      <c r="J1478" t="s">
        <v>144</v>
      </c>
      <c r="K1478" t="s">
        <v>2</v>
      </c>
      <c r="L1478" t="s">
        <v>7255</v>
      </c>
      <c r="M1478" t="s">
        <v>814</v>
      </c>
      <c r="N1478" t="s">
        <v>5646</v>
      </c>
      <c r="O1478" t="s">
        <v>71</v>
      </c>
      <c r="P1478" t="s">
        <v>7256</v>
      </c>
      <c r="Q1478" t="s">
        <v>107</v>
      </c>
      <c r="R1478" t="s">
        <v>6039</v>
      </c>
      <c r="S1478">
        <v>1.5</v>
      </c>
      <c r="T1478">
        <v>5198</v>
      </c>
      <c r="U1478">
        <v>0</v>
      </c>
      <c r="V1478">
        <v>5198</v>
      </c>
    </row>
    <row r="1479" spans="1:22" x14ac:dyDescent="0.25">
      <c r="A1479">
        <v>186607</v>
      </c>
      <c r="B1479">
        <v>131340113</v>
      </c>
      <c r="C1479" t="s">
        <v>7257</v>
      </c>
      <c r="D1479" t="s">
        <v>7258</v>
      </c>
      <c r="E1479" t="s">
        <v>5643</v>
      </c>
      <c r="F1479" t="s">
        <v>847</v>
      </c>
      <c r="G1479" t="s">
        <v>142</v>
      </c>
      <c r="H1479" t="s">
        <v>143</v>
      </c>
      <c r="I1479" t="s">
        <v>35</v>
      </c>
      <c r="J1479" t="s">
        <v>144</v>
      </c>
      <c r="K1479" t="s">
        <v>2</v>
      </c>
      <c r="L1479" t="s">
        <v>7259</v>
      </c>
      <c r="M1479" t="s">
        <v>7260</v>
      </c>
      <c r="N1479" t="s">
        <v>5646</v>
      </c>
      <c r="O1479" t="s">
        <v>71</v>
      </c>
      <c r="P1479" t="s">
        <v>7261</v>
      </c>
      <c r="Q1479" t="s">
        <v>107</v>
      </c>
      <c r="R1479" t="s">
        <v>6039</v>
      </c>
      <c r="S1479">
        <v>1</v>
      </c>
      <c r="T1479">
        <v>5198</v>
      </c>
      <c r="U1479">
        <v>0</v>
      </c>
      <c r="V1479">
        <v>5198</v>
      </c>
    </row>
    <row r="1480" spans="1:22" x14ac:dyDescent="0.25">
      <c r="A1480">
        <v>186607</v>
      </c>
      <c r="B1480">
        <v>131383647</v>
      </c>
      <c r="C1480" t="s">
        <v>7262</v>
      </c>
      <c r="D1480" t="s">
        <v>7263</v>
      </c>
      <c r="E1480" t="s">
        <v>5643</v>
      </c>
      <c r="F1480" t="s">
        <v>847</v>
      </c>
      <c r="G1480" t="s">
        <v>142</v>
      </c>
      <c r="H1480" t="s">
        <v>143</v>
      </c>
      <c r="I1480" t="s">
        <v>35</v>
      </c>
      <c r="J1480" t="s">
        <v>144</v>
      </c>
      <c r="K1480" t="s">
        <v>2</v>
      </c>
      <c r="L1480" t="s">
        <v>7264</v>
      </c>
      <c r="M1480" t="s">
        <v>7265</v>
      </c>
      <c r="N1480" t="s">
        <v>5646</v>
      </c>
      <c r="O1480" t="s">
        <v>71</v>
      </c>
      <c r="P1480" t="s">
        <v>7266</v>
      </c>
      <c r="Q1480" t="s">
        <v>107</v>
      </c>
      <c r="R1480" t="s">
        <v>6023</v>
      </c>
      <c r="S1480">
        <v>1</v>
      </c>
      <c r="T1480">
        <v>5198</v>
      </c>
      <c r="U1480">
        <v>0</v>
      </c>
      <c r="V1480">
        <v>5198</v>
      </c>
    </row>
    <row r="1481" spans="1:22" x14ac:dyDescent="0.25">
      <c r="A1481">
        <v>186607</v>
      </c>
      <c r="B1481">
        <v>131448793</v>
      </c>
      <c r="C1481" t="s">
        <v>7267</v>
      </c>
      <c r="D1481" t="s">
        <v>7268</v>
      </c>
      <c r="E1481" t="s">
        <v>5643</v>
      </c>
      <c r="F1481" t="s">
        <v>847</v>
      </c>
      <c r="G1481" t="s">
        <v>142</v>
      </c>
      <c r="H1481" t="s">
        <v>143</v>
      </c>
      <c r="I1481" t="s">
        <v>35</v>
      </c>
      <c r="J1481" t="s">
        <v>144</v>
      </c>
      <c r="K1481" t="s">
        <v>2</v>
      </c>
      <c r="L1481" t="s">
        <v>7269</v>
      </c>
      <c r="M1481" t="s">
        <v>7270</v>
      </c>
      <c r="N1481" t="s">
        <v>5646</v>
      </c>
      <c r="O1481" t="s">
        <v>71</v>
      </c>
      <c r="P1481" t="s">
        <v>7271</v>
      </c>
      <c r="Q1481" t="s">
        <v>107</v>
      </c>
      <c r="R1481" t="s">
        <v>489</v>
      </c>
      <c r="S1481">
        <v>1.45</v>
      </c>
      <c r="T1481">
        <v>5198</v>
      </c>
      <c r="U1481">
        <v>0</v>
      </c>
      <c r="V1481">
        <v>5198</v>
      </c>
    </row>
    <row r="1482" spans="1:22" x14ac:dyDescent="0.25">
      <c r="A1482">
        <v>186607</v>
      </c>
      <c r="B1482">
        <v>131312215</v>
      </c>
      <c r="C1482" t="s">
        <v>7272</v>
      </c>
      <c r="D1482" t="s">
        <v>7273</v>
      </c>
      <c r="E1482" t="s">
        <v>5643</v>
      </c>
      <c r="F1482" t="s">
        <v>847</v>
      </c>
      <c r="G1482" t="s">
        <v>142</v>
      </c>
      <c r="H1482" t="s">
        <v>143</v>
      </c>
      <c r="I1482" t="s">
        <v>35</v>
      </c>
      <c r="J1482" t="s">
        <v>144</v>
      </c>
      <c r="K1482" t="s">
        <v>2</v>
      </c>
      <c r="L1482" t="s">
        <v>7274</v>
      </c>
      <c r="M1482" t="s">
        <v>7275</v>
      </c>
      <c r="N1482" t="s">
        <v>5646</v>
      </c>
      <c r="O1482" t="s">
        <v>71</v>
      </c>
      <c r="P1482" t="s">
        <v>7276</v>
      </c>
      <c r="Q1482" t="s">
        <v>107</v>
      </c>
      <c r="R1482" t="s">
        <v>522</v>
      </c>
      <c r="S1482">
        <v>1</v>
      </c>
      <c r="T1482">
        <v>5198</v>
      </c>
      <c r="U1482">
        <v>0</v>
      </c>
      <c r="V1482">
        <v>5198</v>
      </c>
    </row>
    <row r="1483" spans="1:22" x14ac:dyDescent="0.25">
      <c r="A1483">
        <v>186607</v>
      </c>
      <c r="B1483">
        <v>131933302</v>
      </c>
      <c r="C1483" t="s">
        <v>7277</v>
      </c>
      <c r="D1483" t="s">
        <v>7278</v>
      </c>
      <c r="E1483" t="s">
        <v>5643</v>
      </c>
      <c r="F1483" t="s">
        <v>847</v>
      </c>
      <c r="G1483" t="s">
        <v>142</v>
      </c>
      <c r="H1483" t="s">
        <v>143</v>
      </c>
      <c r="I1483" t="s">
        <v>35</v>
      </c>
      <c r="J1483" t="s">
        <v>144</v>
      </c>
      <c r="K1483" t="s">
        <v>2</v>
      </c>
      <c r="L1483" t="s">
        <v>7279</v>
      </c>
      <c r="M1483" t="s">
        <v>7280</v>
      </c>
      <c r="N1483" t="s">
        <v>5646</v>
      </c>
      <c r="O1483" t="s">
        <v>71</v>
      </c>
      <c r="P1483" t="s">
        <v>7281</v>
      </c>
      <c r="Q1483" t="s">
        <v>105</v>
      </c>
      <c r="R1483" t="s">
        <v>429</v>
      </c>
      <c r="S1483">
        <v>0.5</v>
      </c>
      <c r="T1483">
        <v>5367</v>
      </c>
      <c r="U1483">
        <v>0</v>
      </c>
      <c r="V1483">
        <v>5367</v>
      </c>
    </row>
    <row r="1484" spans="1:22" x14ac:dyDescent="0.25">
      <c r="A1484">
        <v>186607</v>
      </c>
      <c r="B1484">
        <v>131821913</v>
      </c>
      <c r="C1484" t="s">
        <v>7282</v>
      </c>
      <c r="D1484" t="s">
        <v>7283</v>
      </c>
      <c r="E1484" t="s">
        <v>5643</v>
      </c>
      <c r="F1484" t="s">
        <v>847</v>
      </c>
      <c r="G1484" t="s">
        <v>142</v>
      </c>
      <c r="H1484" t="s">
        <v>143</v>
      </c>
      <c r="I1484" t="s">
        <v>35</v>
      </c>
      <c r="J1484" t="s">
        <v>144</v>
      </c>
      <c r="K1484" t="s">
        <v>2</v>
      </c>
      <c r="L1484" t="s">
        <v>7284</v>
      </c>
      <c r="M1484" t="s">
        <v>564</v>
      </c>
      <c r="N1484" t="s">
        <v>5646</v>
      </c>
      <c r="O1484" t="s">
        <v>71</v>
      </c>
      <c r="P1484" t="s">
        <v>7285</v>
      </c>
      <c r="Q1484" t="s">
        <v>105</v>
      </c>
      <c r="R1484" t="s">
        <v>412</v>
      </c>
      <c r="S1484">
        <v>0.5</v>
      </c>
      <c r="T1484">
        <v>5367</v>
      </c>
      <c r="U1484">
        <v>0</v>
      </c>
      <c r="V1484">
        <v>5367</v>
      </c>
    </row>
    <row r="1485" spans="1:22" x14ac:dyDescent="0.25">
      <c r="A1485">
        <v>186607</v>
      </c>
      <c r="B1485">
        <v>131732694</v>
      </c>
      <c r="C1485" t="s">
        <v>7286</v>
      </c>
      <c r="D1485" t="s">
        <v>7287</v>
      </c>
      <c r="E1485" t="s">
        <v>5643</v>
      </c>
      <c r="F1485" t="s">
        <v>847</v>
      </c>
      <c r="G1485" t="s">
        <v>142</v>
      </c>
      <c r="H1485" t="s">
        <v>143</v>
      </c>
      <c r="I1485" t="s">
        <v>35</v>
      </c>
      <c r="J1485" t="s">
        <v>144</v>
      </c>
      <c r="K1485" t="s">
        <v>2</v>
      </c>
      <c r="L1485" t="s">
        <v>7288</v>
      </c>
      <c r="M1485" t="s">
        <v>7289</v>
      </c>
      <c r="N1485" t="s">
        <v>5646</v>
      </c>
      <c r="O1485" t="s">
        <v>71</v>
      </c>
      <c r="P1485" t="s">
        <v>7290</v>
      </c>
      <c r="Q1485" t="s">
        <v>106</v>
      </c>
      <c r="R1485" t="s">
        <v>411</v>
      </c>
      <c r="S1485">
        <v>0.5</v>
      </c>
      <c r="T1485">
        <v>5367</v>
      </c>
      <c r="U1485">
        <v>0</v>
      </c>
      <c r="V1485">
        <v>5367</v>
      </c>
    </row>
    <row r="1486" spans="1:22" x14ac:dyDescent="0.25">
      <c r="A1486">
        <v>186607</v>
      </c>
      <c r="B1486">
        <v>131774072</v>
      </c>
      <c r="C1486" t="s">
        <v>7291</v>
      </c>
      <c r="D1486" t="s">
        <v>7292</v>
      </c>
      <c r="E1486" t="s">
        <v>5643</v>
      </c>
      <c r="F1486" t="s">
        <v>847</v>
      </c>
      <c r="G1486" t="s">
        <v>142</v>
      </c>
      <c r="H1486" t="s">
        <v>143</v>
      </c>
      <c r="I1486" t="s">
        <v>35</v>
      </c>
      <c r="J1486" t="s">
        <v>144</v>
      </c>
      <c r="K1486" t="s">
        <v>2</v>
      </c>
      <c r="L1486" t="s">
        <v>7293</v>
      </c>
      <c r="M1486" t="s">
        <v>456</v>
      </c>
      <c r="N1486" t="s">
        <v>5646</v>
      </c>
      <c r="O1486" t="s">
        <v>71</v>
      </c>
      <c r="P1486" t="s">
        <v>7294</v>
      </c>
      <c r="Q1486" t="s">
        <v>106</v>
      </c>
      <c r="R1486" t="s">
        <v>632</v>
      </c>
      <c r="S1486">
        <v>0.5</v>
      </c>
      <c r="T1486">
        <v>5367</v>
      </c>
      <c r="U1486">
        <v>0</v>
      </c>
      <c r="V1486">
        <v>5367</v>
      </c>
    </row>
    <row r="1487" spans="1:22" x14ac:dyDescent="0.25">
      <c r="A1487">
        <v>186607</v>
      </c>
      <c r="B1487">
        <v>131489828</v>
      </c>
      <c r="C1487" t="s">
        <v>7295</v>
      </c>
      <c r="D1487" t="s">
        <v>7296</v>
      </c>
      <c r="E1487" t="s">
        <v>5643</v>
      </c>
      <c r="F1487" t="s">
        <v>847</v>
      </c>
      <c r="G1487" t="s">
        <v>142</v>
      </c>
      <c r="H1487" t="s">
        <v>143</v>
      </c>
      <c r="I1487" t="s">
        <v>35</v>
      </c>
      <c r="J1487" t="s">
        <v>144</v>
      </c>
      <c r="K1487" t="s">
        <v>2</v>
      </c>
      <c r="L1487" t="s">
        <v>7297</v>
      </c>
      <c r="M1487" t="s">
        <v>7298</v>
      </c>
      <c r="N1487" t="s">
        <v>5646</v>
      </c>
      <c r="O1487" t="s">
        <v>71</v>
      </c>
      <c r="P1487" t="s">
        <v>7299</v>
      </c>
      <c r="Q1487" t="s">
        <v>105</v>
      </c>
      <c r="R1487" t="s">
        <v>310</v>
      </c>
      <c r="S1487">
        <v>0.5</v>
      </c>
      <c r="T1487">
        <v>5367</v>
      </c>
      <c r="U1487">
        <v>0</v>
      </c>
      <c r="V1487">
        <v>5367</v>
      </c>
    </row>
    <row r="1488" spans="1:22" x14ac:dyDescent="0.25">
      <c r="A1488">
        <v>186607</v>
      </c>
      <c r="B1488">
        <v>131383628</v>
      </c>
      <c r="C1488" t="s">
        <v>7300</v>
      </c>
      <c r="D1488" t="s">
        <v>7301</v>
      </c>
      <c r="E1488" t="s">
        <v>5643</v>
      </c>
      <c r="F1488" t="s">
        <v>847</v>
      </c>
      <c r="G1488" t="s">
        <v>142</v>
      </c>
      <c r="H1488" t="s">
        <v>143</v>
      </c>
      <c r="I1488" t="s">
        <v>35</v>
      </c>
      <c r="J1488" t="s">
        <v>144</v>
      </c>
      <c r="K1488" t="s">
        <v>2</v>
      </c>
      <c r="L1488" t="s">
        <v>7302</v>
      </c>
      <c r="M1488" t="s">
        <v>7303</v>
      </c>
      <c r="N1488" t="s">
        <v>5646</v>
      </c>
      <c r="O1488" t="s">
        <v>71</v>
      </c>
      <c r="P1488" t="s">
        <v>7304</v>
      </c>
      <c r="Q1488" t="s">
        <v>105</v>
      </c>
      <c r="R1488" t="s">
        <v>6023</v>
      </c>
      <c r="S1488">
        <v>0.5</v>
      </c>
      <c r="T1488">
        <v>5367</v>
      </c>
      <c r="U1488">
        <v>0</v>
      </c>
      <c r="V1488">
        <v>5367</v>
      </c>
    </row>
    <row r="1489" spans="1:22" x14ac:dyDescent="0.25">
      <c r="A1489">
        <v>186607</v>
      </c>
      <c r="B1489">
        <v>131992787</v>
      </c>
      <c r="C1489" t="s">
        <v>7305</v>
      </c>
      <c r="D1489" t="s">
        <v>7306</v>
      </c>
      <c r="E1489" t="s">
        <v>5643</v>
      </c>
      <c r="F1489" t="s">
        <v>847</v>
      </c>
      <c r="G1489" t="s">
        <v>142</v>
      </c>
      <c r="H1489" t="s">
        <v>143</v>
      </c>
      <c r="I1489" t="s">
        <v>35</v>
      </c>
      <c r="J1489" t="s">
        <v>144</v>
      </c>
      <c r="K1489" t="s">
        <v>2</v>
      </c>
      <c r="L1489" t="s">
        <v>7307</v>
      </c>
      <c r="M1489" t="s">
        <v>7308</v>
      </c>
      <c r="N1489" t="s">
        <v>5646</v>
      </c>
      <c r="O1489" t="s">
        <v>71</v>
      </c>
      <c r="P1489" t="s">
        <v>7309</v>
      </c>
      <c r="Q1489" t="s">
        <v>252</v>
      </c>
      <c r="R1489" t="s">
        <v>5843</v>
      </c>
      <c r="S1489">
        <v>1</v>
      </c>
      <c r="T1489">
        <v>5476</v>
      </c>
      <c r="U1489">
        <v>0</v>
      </c>
      <c r="V1489">
        <v>5476</v>
      </c>
    </row>
    <row r="1490" spans="1:22" x14ac:dyDescent="0.25">
      <c r="A1490">
        <v>186607</v>
      </c>
      <c r="B1490">
        <v>132022527</v>
      </c>
      <c r="C1490" t="s">
        <v>7310</v>
      </c>
      <c r="D1490" t="s">
        <v>7311</v>
      </c>
      <c r="E1490" t="s">
        <v>5643</v>
      </c>
      <c r="F1490" t="s">
        <v>847</v>
      </c>
      <c r="G1490" t="s">
        <v>142</v>
      </c>
      <c r="H1490" t="s">
        <v>143</v>
      </c>
      <c r="I1490" t="s">
        <v>35</v>
      </c>
      <c r="J1490" t="s">
        <v>144</v>
      </c>
      <c r="K1490" t="s">
        <v>2</v>
      </c>
      <c r="L1490" t="s">
        <v>7312</v>
      </c>
      <c r="M1490" t="s">
        <v>885</v>
      </c>
      <c r="N1490" t="s">
        <v>5646</v>
      </c>
      <c r="O1490" t="s">
        <v>71</v>
      </c>
      <c r="P1490" t="s">
        <v>886</v>
      </c>
      <c r="Q1490" t="s">
        <v>150</v>
      </c>
      <c r="R1490" t="s">
        <v>540</v>
      </c>
      <c r="S1490">
        <v>1</v>
      </c>
      <c r="T1490">
        <v>5476</v>
      </c>
      <c r="U1490">
        <v>0</v>
      </c>
      <c r="V1490">
        <v>5476</v>
      </c>
    </row>
    <row r="1491" spans="1:22" x14ac:dyDescent="0.25">
      <c r="A1491">
        <v>186607</v>
      </c>
      <c r="B1491">
        <v>131992768</v>
      </c>
      <c r="C1491" t="s">
        <v>7313</v>
      </c>
      <c r="D1491" t="s">
        <v>7314</v>
      </c>
      <c r="E1491" t="s">
        <v>5643</v>
      </c>
      <c r="F1491" t="s">
        <v>847</v>
      </c>
      <c r="G1491" t="s">
        <v>142</v>
      </c>
      <c r="H1491" t="s">
        <v>143</v>
      </c>
      <c r="I1491" t="s">
        <v>35</v>
      </c>
      <c r="J1491" t="s">
        <v>144</v>
      </c>
      <c r="K1491" t="s">
        <v>2</v>
      </c>
      <c r="L1491" t="s">
        <v>7315</v>
      </c>
      <c r="M1491" t="s">
        <v>7316</v>
      </c>
      <c r="N1491" t="s">
        <v>5646</v>
      </c>
      <c r="O1491" t="s">
        <v>71</v>
      </c>
      <c r="P1491" t="s">
        <v>7317</v>
      </c>
      <c r="Q1491" t="s">
        <v>109</v>
      </c>
      <c r="R1491" t="s">
        <v>5843</v>
      </c>
      <c r="S1491">
        <v>1</v>
      </c>
      <c r="T1491">
        <v>5759</v>
      </c>
      <c r="U1491">
        <v>0</v>
      </c>
      <c r="V1491">
        <v>5759</v>
      </c>
    </row>
    <row r="1492" spans="1:22" x14ac:dyDescent="0.25">
      <c r="A1492">
        <v>186607</v>
      </c>
      <c r="B1492">
        <v>132022522</v>
      </c>
      <c r="C1492" t="s">
        <v>7318</v>
      </c>
      <c r="D1492" t="s">
        <v>7319</v>
      </c>
      <c r="E1492" t="s">
        <v>5643</v>
      </c>
      <c r="F1492" t="s">
        <v>847</v>
      </c>
      <c r="G1492" t="s">
        <v>142</v>
      </c>
      <c r="H1492" t="s">
        <v>143</v>
      </c>
      <c r="I1492" t="s">
        <v>35</v>
      </c>
      <c r="J1492" t="s">
        <v>144</v>
      </c>
      <c r="K1492" t="s">
        <v>2</v>
      </c>
      <c r="L1492" t="s">
        <v>7320</v>
      </c>
      <c r="M1492" t="s">
        <v>385</v>
      </c>
      <c r="N1492" t="s">
        <v>5646</v>
      </c>
      <c r="O1492" t="s">
        <v>71</v>
      </c>
      <c r="P1492" t="s">
        <v>7321</v>
      </c>
      <c r="Q1492" t="s">
        <v>109</v>
      </c>
      <c r="R1492" t="s">
        <v>540</v>
      </c>
      <c r="S1492">
        <v>1</v>
      </c>
      <c r="T1492">
        <v>5759</v>
      </c>
      <c r="U1492">
        <v>0</v>
      </c>
      <c r="V1492">
        <v>5759</v>
      </c>
    </row>
    <row r="1493" spans="1:22" x14ac:dyDescent="0.25">
      <c r="A1493">
        <v>186607</v>
      </c>
      <c r="B1493">
        <v>131992769</v>
      </c>
      <c r="C1493" t="s">
        <v>7322</v>
      </c>
      <c r="D1493" t="s">
        <v>7323</v>
      </c>
      <c r="E1493" t="s">
        <v>5643</v>
      </c>
      <c r="F1493" t="s">
        <v>847</v>
      </c>
      <c r="G1493" t="s">
        <v>142</v>
      </c>
      <c r="H1493" t="s">
        <v>143</v>
      </c>
      <c r="I1493" t="s">
        <v>35</v>
      </c>
      <c r="J1493" t="s">
        <v>144</v>
      </c>
      <c r="K1493" t="s">
        <v>2</v>
      </c>
      <c r="L1493" t="s">
        <v>7324</v>
      </c>
      <c r="M1493" t="s">
        <v>459</v>
      </c>
      <c r="N1493" t="s">
        <v>5646</v>
      </c>
      <c r="O1493" t="s">
        <v>71</v>
      </c>
      <c r="P1493" t="s">
        <v>7325</v>
      </c>
      <c r="Q1493" t="s">
        <v>109</v>
      </c>
      <c r="R1493" t="s">
        <v>5843</v>
      </c>
      <c r="S1493">
        <v>1</v>
      </c>
      <c r="T1493">
        <v>5759</v>
      </c>
      <c r="U1493">
        <v>0</v>
      </c>
      <c r="V1493">
        <v>5759</v>
      </c>
    </row>
    <row r="1494" spans="1:22" x14ac:dyDescent="0.25">
      <c r="A1494">
        <v>186607</v>
      </c>
      <c r="B1494">
        <v>131618417</v>
      </c>
      <c r="C1494" t="s">
        <v>7326</v>
      </c>
      <c r="D1494" t="s">
        <v>7327</v>
      </c>
      <c r="E1494" t="s">
        <v>5643</v>
      </c>
      <c r="F1494" t="s">
        <v>847</v>
      </c>
      <c r="G1494" t="s">
        <v>142</v>
      </c>
      <c r="H1494" t="s">
        <v>143</v>
      </c>
      <c r="I1494" t="s">
        <v>35</v>
      </c>
      <c r="J1494" t="s">
        <v>144</v>
      </c>
      <c r="K1494" t="s">
        <v>2</v>
      </c>
      <c r="L1494" t="s">
        <v>7328</v>
      </c>
      <c r="M1494" t="s">
        <v>7329</v>
      </c>
      <c r="N1494" t="s">
        <v>5646</v>
      </c>
      <c r="O1494" t="s">
        <v>71</v>
      </c>
      <c r="P1494" t="s">
        <v>7330</v>
      </c>
      <c r="Q1494" t="s">
        <v>105</v>
      </c>
      <c r="R1494" t="s">
        <v>5749</v>
      </c>
      <c r="S1494">
        <v>1.5</v>
      </c>
      <c r="T1494">
        <v>5759</v>
      </c>
      <c r="U1494">
        <v>0</v>
      </c>
      <c r="V1494">
        <v>5759</v>
      </c>
    </row>
    <row r="1495" spans="1:22" x14ac:dyDescent="0.25">
      <c r="A1495">
        <v>186607</v>
      </c>
      <c r="B1495">
        <v>131887986</v>
      </c>
      <c r="C1495" t="s">
        <v>7331</v>
      </c>
      <c r="D1495" t="s">
        <v>7332</v>
      </c>
      <c r="E1495" t="s">
        <v>5643</v>
      </c>
      <c r="F1495" t="s">
        <v>847</v>
      </c>
      <c r="G1495" t="s">
        <v>142</v>
      </c>
      <c r="H1495" t="s">
        <v>143</v>
      </c>
      <c r="I1495" t="s">
        <v>35</v>
      </c>
      <c r="J1495" t="s">
        <v>144</v>
      </c>
      <c r="K1495" t="s">
        <v>2</v>
      </c>
      <c r="L1495" t="s">
        <v>7333</v>
      </c>
      <c r="M1495" t="s">
        <v>7334</v>
      </c>
      <c r="N1495" t="s">
        <v>5646</v>
      </c>
      <c r="O1495" t="s">
        <v>71</v>
      </c>
      <c r="P1495" t="s">
        <v>7335</v>
      </c>
      <c r="Q1495" t="s">
        <v>109</v>
      </c>
      <c r="R1495" t="s">
        <v>5909</v>
      </c>
      <c r="S1495">
        <v>1</v>
      </c>
      <c r="T1495">
        <v>5759</v>
      </c>
      <c r="U1495">
        <v>0</v>
      </c>
      <c r="V1495">
        <v>5759</v>
      </c>
    </row>
    <row r="1496" spans="1:22" x14ac:dyDescent="0.25">
      <c r="A1496">
        <v>186607</v>
      </c>
      <c r="B1496">
        <v>131618450</v>
      </c>
      <c r="C1496" t="s">
        <v>7336</v>
      </c>
      <c r="D1496" t="s">
        <v>7337</v>
      </c>
      <c r="E1496" t="s">
        <v>5643</v>
      </c>
      <c r="F1496" t="s">
        <v>847</v>
      </c>
      <c r="G1496" t="s">
        <v>142</v>
      </c>
      <c r="H1496" t="s">
        <v>143</v>
      </c>
      <c r="I1496" t="s">
        <v>35</v>
      </c>
      <c r="J1496" t="s">
        <v>144</v>
      </c>
      <c r="K1496" t="s">
        <v>2</v>
      </c>
      <c r="L1496" t="s">
        <v>7338</v>
      </c>
      <c r="M1496" t="s">
        <v>7339</v>
      </c>
      <c r="N1496" t="s">
        <v>5646</v>
      </c>
      <c r="O1496" t="s">
        <v>71</v>
      </c>
      <c r="P1496" t="s">
        <v>7340</v>
      </c>
      <c r="Q1496" t="s">
        <v>106</v>
      </c>
      <c r="R1496" t="s">
        <v>5979</v>
      </c>
      <c r="S1496">
        <v>2.95</v>
      </c>
      <c r="T1496">
        <v>5759</v>
      </c>
      <c r="U1496">
        <v>0</v>
      </c>
      <c r="V1496">
        <v>5759</v>
      </c>
    </row>
    <row r="1497" spans="1:22" x14ac:dyDescent="0.25">
      <c r="A1497">
        <v>186607</v>
      </c>
      <c r="B1497">
        <v>131732693</v>
      </c>
      <c r="C1497" t="s">
        <v>7341</v>
      </c>
      <c r="D1497" t="s">
        <v>7342</v>
      </c>
      <c r="E1497" t="s">
        <v>5643</v>
      </c>
      <c r="F1497" t="s">
        <v>847</v>
      </c>
      <c r="G1497" t="s">
        <v>142</v>
      </c>
      <c r="H1497" t="s">
        <v>143</v>
      </c>
      <c r="I1497" t="s">
        <v>35</v>
      </c>
      <c r="J1497" t="s">
        <v>144</v>
      </c>
      <c r="K1497" t="s">
        <v>2</v>
      </c>
      <c r="L1497" t="s">
        <v>7343</v>
      </c>
      <c r="M1497" t="s">
        <v>7344</v>
      </c>
      <c r="N1497" t="s">
        <v>5646</v>
      </c>
      <c r="O1497" t="s">
        <v>71</v>
      </c>
      <c r="P1497" t="s">
        <v>7345</v>
      </c>
      <c r="Q1497" t="s">
        <v>149</v>
      </c>
      <c r="R1497" t="s">
        <v>411</v>
      </c>
      <c r="S1497">
        <v>1.5</v>
      </c>
      <c r="T1497">
        <v>5759</v>
      </c>
      <c r="U1497">
        <v>0</v>
      </c>
      <c r="V1497">
        <v>5759</v>
      </c>
    </row>
    <row r="1498" spans="1:22" x14ac:dyDescent="0.25">
      <c r="A1498">
        <v>186607</v>
      </c>
      <c r="B1498">
        <v>131641650</v>
      </c>
      <c r="C1498" t="s">
        <v>7346</v>
      </c>
      <c r="D1498" t="s">
        <v>7347</v>
      </c>
      <c r="E1498" t="s">
        <v>5643</v>
      </c>
      <c r="F1498" t="s">
        <v>847</v>
      </c>
      <c r="G1498" t="s">
        <v>142</v>
      </c>
      <c r="H1498" t="s">
        <v>143</v>
      </c>
      <c r="I1498" t="s">
        <v>35</v>
      </c>
      <c r="J1498" t="s">
        <v>144</v>
      </c>
      <c r="K1498" t="s">
        <v>2</v>
      </c>
      <c r="L1498" t="s">
        <v>273</v>
      </c>
      <c r="M1498" t="s">
        <v>616</v>
      </c>
      <c r="N1498" t="s">
        <v>5646</v>
      </c>
      <c r="O1498" t="s">
        <v>71</v>
      </c>
      <c r="P1498" t="s">
        <v>7348</v>
      </c>
      <c r="Q1498" t="s">
        <v>149</v>
      </c>
      <c r="R1498" t="s">
        <v>308</v>
      </c>
      <c r="S1498">
        <v>1.5</v>
      </c>
      <c r="T1498">
        <v>5759</v>
      </c>
      <c r="U1498">
        <v>0</v>
      </c>
      <c r="V1498">
        <v>5759</v>
      </c>
    </row>
    <row r="1499" spans="1:22" x14ac:dyDescent="0.25">
      <c r="A1499">
        <v>186607</v>
      </c>
      <c r="B1499">
        <v>131662720</v>
      </c>
      <c r="C1499" t="s">
        <v>7349</v>
      </c>
      <c r="D1499" t="s">
        <v>7350</v>
      </c>
      <c r="E1499" t="s">
        <v>5643</v>
      </c>
      <c r="F1499" t="s">
        <v>847</v>
      </c>
      <c r="G1499" t="s">
        <v>142</v>
      </c>
      <c r="H1499" t="s">
        <v>143</v>
      </c>
      <c r="I1499" t="s">
        <v>35</v>
      </c>
      <c r="J1499" t="s">
        <v>144</v>
      </c>
      <c r="K1499" t="s">
        <v>2</v>
      </c>
      <c r="L1499" t="s">
        <v>7351</v>
      </c>
      <c r="M1499" t="s">
        <v>7352</v>
      </c>
      <c r="N1499" t="s">
        <v>5646</v>
      </c>
      <c r="O1499" t="s">
        <v>71</v>
      </c>
      <c r="P1499" t="s">
        <v>7353</v>
      </c>
      <c r="Q1499" t="s">
        <v>149</v>
      </c>
      <c r="R1499" t="s">
        <v>5755</v>
      </c>
      <c r="S1499">
        <v>1.55</v>
      </c>
      <c r="T1499">
        <v>5759</v>
      </c>
      <c r="U1499">
        <v>0</v>
      </c>
      <c r="V1499">
        <v>5759</v>
      </c>
    </row>
    <row r="1500" spans="1:22" x14ac:dyDescent="0.25">
      <c r="A1500">
        <v>186607</v>
      </c>
      <c r="B1500">
        <v>131489825</v>
      </c>
      <c r="C1500" t="s">
        <v>7354</v>
      </c>
      <c r="D1500" t="s">
        <v>7355</v>
      </c>
      <c r="E1500" t="s">
        <v>5643</v>
      </c>
      <c r="F1500" t="s">
        <v>847</v>
      </c>
      <c r="G1500" t="s">
        <v>142</v>
      </c>
      <c r="H1500" t="s">
        <v>143</v>
      </c>
      <c r="I1500" t="s">
        <v>35</v>
      </c>
      <c r="J1500" t="s">
        <v>144</v>
      </c>
      <c r="K1500" t="s">
        <v>2</v>
      </c>
      <c r="L1500" t="s">
        <v>7356</v>
      </c>
      <c r="M1500" t="s">
        <v>189</v>
      </c>
      <c r="N1500" t="s">
        <v>5646</v>
      </c>
      <c r="O1500" t="s">
        <v>71</v>
      </c>
      <c r="P1500" t="s">
        <v>7357</v>
      </c>
      <c r="Q1500" t="s">
        <v>149</v>
      </c>
      <c r="R1500" t="s">
        <v>310</v>
      </c>
      <c r="S1500">
        <v>2.95</v>
      </c>
      <c r="T1500">
        <v>5759</v>
      </c>
      <c r="U1500">
        <v>0</v>
      </c>
      <c r="V1500">
        <v>5759</v>
      </c>
    </row>
    <row r="1501" spans="1:22" x14ac:dyDescent="0.25">
      <c r="A1501">
        <v>186607</v>
      </c>
      <c r="B1501">
        <v>131107938</v>
      </c>
      <c r="C1501" t="s">
        <v>7358</v>
      </c>
      <c r="D1501" t="s">
        <v>7359</v>
      </c>
      <c r="E1501" t="s">
        <v>5643</v>
      </c>
      <c r="F1501" t="s">
        <v>847</v>
      </c>
      <c r="G1501" t="s">
        <v>142</v>
      </c>
      <c r="H1501" t="s">
        <v>143</v>
      </c>
      <c r="I1501" t="s">
        <v>35</v>
      </c>
      <c r="J1501" t="s">
        <v>144</v>
      </c>
      <c r="K1501" t="s">
        <v>2</v>
      </c>
      <c r="L1501" t="s">
        <v>7360</v>
      </c>
      <c r="M1501" t="s">
        <v>7361</v>
      </c>
      <c r="N1501" t="s">
        <v>5646</v>
      </c>
      <c r="O1501" t="s">
        <v>71</v>
      </c>
      <c r="P1501" t="s">
        <v>7362</v>
      </c>
      <c r="Q1501" t="s">
        <v>75</v>
      </c>
      <c r="R1501" t="s">
        <v>7363</v>
      </c>
      <c r="S1501">
        <v>0.5</v>
      </c>
      <c r="T1501">
        <v>5749</v>
      </c>
      <c r="U1501">
        <v>0</v>
      </c>
      <c r="V1501">
        <v>5749</v>
      </c>
    </row>
    <row r="1502" spans="1:22" x14ac:dyDescent="0.25">
      <c r="A1502">
        <v>186607</v>
      </c>
      <c r="B1502">
        <v>131887994</v>
      </c>
      <c r="C1502" t="s">
        <v>7364</v>
      </c>
      <c r="D1502" t="s">
        <v>7365</v>
      </c>
      <c r="E1502" t="s">
        <v>5643</v>
      </c>
      <c r="F1502" t="s">
        <v>847</v>
      </c>
      <c r="G1502" t="s">
        <v>142</v>
      </c>
      <c r="H1502" t="s">
        <v>143</v>
      </c>
      <c r="I1502" t="s">
        <v>35</v>
      </c>
      <c r="J1502" t="s">
        <v>144</v>
      </c>
      <c r="K1502" t="s">
        <v>2</v>
      </c>
      <c r="L1502" t="s">
        <v>7366</v>
      </c>
      <c r="M1502" t="s">
        <v>528</v>
      </c>
      <c r="N1502" t="s">
        <v>5646</v>
      </c>
      <c r="O1502" t="s">
        <v>71</v>
      </c>
      <c r="P1502" t="s">
        <v>7367</v>
      </c>
      <c r="Q1502" t="s">
        <v>190</v>
      </c>
      <c r="R1502" t="s">
        <v>5909</v>
      </c>
      <c r="S1502">
        <v>0.5</v>
      </c>
      <c r="T1502">
        <v>3680</v>
      </c>
      <c r="U1502">
        <v>0</v>
      </c>
      <c r="V1502">
        <v>3680</v>
      </c>
    </row>
    <row r="1503" spans="1:22" x14ac:dyDescent="0.25">
      <c r="A1503">
        <v>186607</v>
      </c>
      <c r="B1503">
        <v>131078768</v>
      </c>
      <c r="C1503" t="s">
        <v>7368</v>
      </c>
      <c r="D1503" t="s">
        <v>7369</v>
      </c>
      <c r="E1503" t="s">
        <v>5643</v>
      </c>
      <c r="F1503" t="s">
        <v>847</v>
      </c>
      <c r="G1503" t="s">
        <v>142</v>
      </c>
      <c r="H1503" t="s">
        <v>143</v>
      </c>
      <c r="I1503" t="s">
        <v>35</v>
      </c>
      <c r="J1503" t="s">
        <v>144</v>
      </c>
      <c r="K1503" t="s">
        <v>2</v>
      </c>
      <c r="L1503" t="s">
        <v>7370</v>
      </c>
      <c r="M1503" t="s">
        <v>7371</v>
      </c>
      <c r="N1503" t="s">
        <v>5646</v>
      </c>
      <c r="O1503" t="s">
        <v>71</v>
      </c>
      <c r="P1503" t="s">
        <v>7372</v>
      </c>
      <c r="Q1503" t="s">
        <v>261</v>
      </c>
      <c r="R1503" t="s">
        <v>382</v>
      </c>
      <c r="S1503">
        <v>0.5</v>
      </c>
      <c r="T1503">
        <v>8404</v>
      </c>
      <c r="U1503">
        <v>0</v>
      </c>
      <c r="V1503">
        <v>8404</v>
      </c>
    </row>
    <row r="1504" spans="1:22" x14ac:dyDescent="0.25">
      <c r="A1504">
        <v>186607</v>
      </c>
      <c r="B1504">
        <v>131152327</v>
      </c>
      <c r="C1504" t="s">
        <v>7373</v>
      </c>
      <c r="D1504" t="s">
        <v>7374</v>
      </c>
      <c r="E1504" t="s">
        <v>5643</v>
      </c>
      <c r="F1504" t="s">
        <v>847</v>
      </c>
      <c r="G1504" t="s">
        <v>162</v>
      </c>
      <c r="H1504" t="s">
        <v>163</v>
      </c>
      <c r="I1504" t="s">
        <v>35</v>
      </c>
      <c r="J1504" t="s">
        <v>164</v>
      </c>
      <c r="K1504" t="s">
        <v>2</v>
      </c>
      <c r="L1504" t="s">
        <v>165</v>
      </c>
      <c r="M1504" t="s">
        <v>7375</v>
      </c>
      <c r="N1504" t="s">
        <v>5646</v>
      </c>
      <c r="O1504" t="s">
        <v>71</v>
      </c>
      <c r="P1504" t="s">
        <v>7376</v>
      </c>
      <c r="Q1504" t="s">
        <v>192</v>
      </c>
      <c r="R1504" t="s">
        <v>398</v>
      </c>
      <c r="S1504">
        <v>0.79</v>
      </c>
      <c r="T1504">
        <v>3735</v>
      </c>
      <c r="U1504">
        <v>124.95</v>
      </c>
      <c r="V1504">
        <v>3859.95</v>
      </c>
    </row>
    <row r="1505" spans="1:22" x14ac:dyDescent="0.25">
      <c r="A1505">
        <v>186607</v>
      </c>
      <c r="B1505">
        <v>132159595</v>
      </c>
      <c r="C1505" t="s">
        <v>7377</v>
      </c>
      <c r="D1505" t="s">
        <v>7378</v>
      </c>
      <c r="E1505" t="s">
        <v>5643</v>
      </c>
      <c r="F1505" t="s">
        <v>847</v>
      </c>
      <c r="G1505" t="s">
        <v>162</v>
      </c>
      <c r="H1505" t="s">
        <v>163</v>
      </c>
      <c r="I1505" t="s">
        <v>35</v>
      </c>
      <c r="J1505" t="s">
        <v>164</v>
      </c>
      <c r="K1505" t="s">
        <v>2</v>
      </c>
      <c r="L1505" t="s">
        <v>7379</v>
      </c>
      <c r="M1505" t="s">
        <v>186</v>
      </c>
      <c r="N1505" t="s">
        <v>5646</v>
      </c>
      <c r="O1505" t="s">
        <v>71</v>
      </c>
      <c r="P1505" t="s">
        <v>7380</v>
      </c>
      <c r="Q1505" t="s">
        <v>246</v>
      </c>
      <c r="R1505" t="s">
        <v>279</v>
      </c>
      <c r="S1505">
        <v>0.79</v>
      </c>
      <c r="T1505">
        <v>4192</v>
      </c>
      <c r="U1505">
        <v>124.95</v>
      </c>
      <c r="V1505">
        <v>4316.95</v>
      </c>
    </row>
    <row r="1506" spans="1:22" x14ac:dyDescent="0.25">
      <c r="A1506">
        <v>186607</v>
      </c>
      <c r="B1506">
        <v>132191009</v>
      </c>
      <c r="C1506" t="s">
        <v>7381</v>
      </c>
      <c r="D1506" t="s">
        <v>7382</v>
      </c>
      <c r="E1506" t="s">
        <v>5643</v>
      </c>
      <c r="F1506" t="s">
        <v>847</v>
      </c>
      <c r="G1506" t="s">
        <v>162</v>
      </c>
      <c r="H1506" t="s">
        <v>163</v>
      </c>
      <c r="I1506" t="s">
        <v>35</v>
      </c>
      <c r="J1506" t="s">
        <v>164</v>
      </c>
      <c r="K1506" t="s">
        <v>2</v>
      </c>
      <c r="L1506" t="s">
        <v>7383</v>
      </c>
      <c r="M1506" t="s">
        <v>7384</v>
      </c>
      <c r="N1506" t="s">
        <v>5646</v>
      </c>
      <c r="O1506" t="s">
        <v>71</v>
      </c>
      <c r="P1506" t="s">
        <v>7385</v>
      </c>
      <c r="Q1506" t="s">
        <v>253</v>
      </c>
      <c r="R1506" t="s">
        <v>549</v>
      </c>
      <c r="S1506">
        <v>0.8</v>
      </c>
      <c r="T1506">
        <v>8743</v>
      </c>
      <c r="U1506">
        <v>124.95</v>
      </c>
      <c r="V1506">
        <v>8867.9500000000007</v>
      </c>
    </row>
    <row r="1507" spans="1:22" x14ac:dyDescent="0.25">
      <c r="A1507">
        <v>186607</v>
      </c>
      <c r="B1507">
        <v>132178958</v>
      </c>
      <c r="C1507" t="s">
        <v>7386</v>
      </c>
      <c r="D1507" t="s">
        <v>7387</v>
      </c>
      <c r="E1507" t="s">
        <v>5643</v>
      </c>
      <c r="F1507" t="s">
        <v>847</v>
      </c>
      <c r="G1507" t="s">
        <v>162</v>
      </c>
      <c r="H1507" t="s">
        <v>163</v>
      </c>
      <c r="I1507" t="s">
        <v>35</v>
      </c>
      <c r="J1507" t="s">
        <v>164</v>
      </c>
      <c r="K1507" t="s">
        <v>2</v>
      </c>
      <c r="L1507" t="s">
        <v>7388</v>
      </c>
      <c r="M1507" t="s">
        <v>7389</v>
      </c>
      <c r="N1507" t="s">
        <v>5646</v>
      </c>
      <c r="O1507" t="s">
        <v>71</v>
      </c>
      <c r="P1507" t="s">
        <v>7390</v>
      </c>
      <c r="Q1507" t="s">
        <v>250</v>
      </c>
      <c r="R1507" t="s">
        <v>371</v>
      </c>
      <c r="S1507">
        <v>3.11</v>
      </c>
      <c r="T1507">
        <v>23727</v>
      </c>
      <c r="U1507">
        <v>499.8</v>
      </c>
      <c r="V1507">
        <v>24226.799999999999</v>
      </c>
    </row>
    <row r="1508" spans="1:22" x14ac:dyDescent="0.25">
      <c r="A1508">
        <v>186607</v>
      </c>
      <c r="B1508">
        <v>132151179</v>
      </c>
      <c r="C1508" t="s">
        <v>7391</v>
      </c>
      <c r="D1508" t="s">
        <v>7392</v>
      </c>
      <c r="E1508" t="s">
        <v>5643</v>
      </c>
      <c r="F1508" t="s">
        <v>847</v>
      </c>
      <c r="G1508" t="s">
        <v>162</v>
      </c>
      <c r="H1508" t="s">
        <v>163</v>
      </c>
      <c r="I1508" t="s">
        <v>35</v>
      </c>
      <c r="J1508" t="s">
        <v>164</v>
      </c>
      <c r="K1508" t="s">
        <v>2</v>
      </c>
      <c r="L1508" t="s">
        <v>7393</v>
      </c>
      <c r="M1508" t="s">
        <v>7394</v>
      </c>
      <c r="N1508" t="s">
        <v>5646</v>
      </c>
      <c r="O1508" t="s">
        <v>71</v>
      </c>
      <c r="P1508" t="s">
        <v>7395</v>
      </c>
      <c r="Q1508" t="s">
        <v>238</v>
      </c>
      <c r="R1508" t="s">
        <v>734</v>
      </c>
      <c r="S1508">
        <v>0.5</v>
      </c>
      <c r="T1508">
        <v>5282</v>
      </c>
      <c r="U1508">
        <v>124.95</v>
      </c>
      <c r="V1508">
        <v>5406.95</v>
      </c>
    </row>
    <row r="1509" spans="1:22" x14ac:dyDescent="0.25">
      <c r="A1509">
        <v>186607</v>
      </c>
      <c r="B1509">
        <v>132088433</v>
      </c>
      <c r="C1509" t="s">
        <v>7396</v>
      </c>
      <c r="D1509" t="s">
        <v>7397</v>
      </c>
      <c r="E1509" t="s">
        <v>5643</v>
      </c>
      <c r="F1509" t="s">
        <v>847</v>
      </c>
      <c r="G1509" t="s">
        <v>162</v>
      </c>
      <c r="H1509" t="s">
        <v>163</v>
      </c>
      <c r="I1509" t="s">
        <v>35</v>
      </c>
      <c r="J1509" t="s">
        <v>164</v>
      </c>
      <c r="K1509" t="s">
        <v>2</v>
      </c>
      <c r="L1509" t="s">
        <v>7398</v>
      </c>
      <c r="M1509" t="s">
        <v>7399</v>
      </c>
      <c r="N1509" t="s">
        <v>5646</v>
      </c>
      <c r="O1509" t="s">
        <v>71</v>
      </c>
      <c r="P1509" t="s">
        <v>7400</v>
      </c>
      <c r="Q1509" t="s">
        <v>204</v>
      </c>
      <c r="R1509" t="s">
        <v>484</v>
      </c>
      <c r="S1509">
        <v>0.79</v>
      </c>
      <c r="T1509">
        <v>5282</v>
      </c>
      <c r="U1509">
        <v>124.95</v>
      </c>
      <c r="V1509">
        <v>5406.95</v>
      </c>
    </row>
    <row r="1510" spans="1:22" x14ac:dyDescent="0.25">
      <c r="A1510">
        <v>186607</v>
      </c>
      <c r="B1510">
        <v>132117227</v>
      </c>
      <c r="C1510" t="s">
        <v>7401</v>
      </c>
      <c r="D1510" t="s">
        <v>7402</v>
      </c>
      <c r="E1510" t="s">
        <v>5643</v>
      </c>
      <c r="F1510" t="s">
        <v>847</v>
      </c>
      <c r="G1510" t="s">
        <v>162</v>
      </c>
      <c r="H1510" t="s">
        <v>163</v>
      </c>
      <c r="I1510" t="s">
        <v>35</v>
      </c>
      <c r="J1510" t="s">
        <v>164</v>
      </c>
      <c r="K1510" t="s">
        <v>2</v>
      </c>
      <c r="L1510" t="s">
        <v>7403</v>
      </c>
      <c r="M1510" t="s">
        <v>7404</v>
      </c>
      <c r="N1510" t="s">
        <v>5646</v>
      </c>
      <c r="O1510" t="s">
        <v>71</v>
      </c>
      <c r="P1510" t="s">
        <v>7405</v>
      </c>
      <c r="Q1510" t="s">
        <v>54</v>
      </c>
      <c r="R1510" t="s">
        <v>420</v>
      </c>
      <c r="S1510">
        <v>1.5</v>
      </c>
      <c r="T1510">
        <v>5064</v>
      </c>
      <c r="U1510">
        <v>249.9</v>
      </c>
      <c r="V1510">
        <v>5313.9</v>
      </c>
    </row>
    <row r="1511" spans="1:22" x14ac:dyDescent="0.25">
      <c r="A1511">
        <v>186607</v>
      </c>
      <c r="B1511">
        <v>132122324</v>
      </c>
      <c r="C1511" t="s">
        <v>7406</v>
      </c>
      <c r="D1511" t="s">
        <v>7407</v>
      </c>
      <c r="E1511" t="s">
        <v>5643</v>
      </c>
      <c r="F1511" t="s">
        <v>847</v>
      </c>
      <c r="G1511" t="s">
        <v>162</v>
      </c>
      <c r="H1511" t="s">
        <v>163</v>
      </c>
      <c r="I1511" t="s">
        <v>35</v>
      </c>
      <c r="J1511" t="s">
        <v>164</v>
      </c>
      <c r="K1511" t="s">
        <v>2</v>
      </c>
      <c r="L1511" t="s">
        <v>611</v>
      </c>
      <c r="M1511" t="s">
        <v>7408</v>
      </c>
      <c r="N1511" t="s">
        <v>5646</v>
      </c>
      <c r="O1511" t="s">
        <v>71</v>
      </c>
      <c r="P1511" t="s">
        <v>7409</v>
      </c>
      <c r="Q1511" t="s">
        <v>253</v>
      </c>
      <c r="R1511" t="s">
        <v>760</v>
      </c>
      <c r="S1511">
        <v>1.78</v>
      </c>
      <c r="T1511">
        <v>13450</v>
      </c>
      <c r="U1511">
        <v>249.9</v>
      </c>
      <c r="V1511">
        <v>13699.9</v>
      </c>
    </row>
    <row r="1512" spans="1:22" x14ac:dyDescent="0.25">
      <c r="A1512">
        <v>186607</v>
      </c>
      <c r="B1512">
        <v>132074212</v>
      </c>
      <c r="C1512" t="s">
        <v>7410</v>
      </c>
      <c r="D1512" t="s">
        <v>7411</v>
      </c>
      <c r="E1512" t="s">
        <v>5643</v>
      </c>
      <c r="F1512" t="s">
        <v>847</v>
      </c>
      <c r="G1512" t="s">
        <v>162</v>
      </c>
      <c r="H1512" t="s">
        <v>163</v>
      </c>
      <c r="I1512" t="s">
        <v>35</v>
      </c>
      <c r="J1512" t="s">
        <v>164</v>
      </c>
      <c r="K1512" t="s">
        <v>2</v>
      </c>
      <c r="L1512" t="s">
        <v>7412</v>
      </c>
      <c r="M1512" t="s">
        <v>657</v>
      </c>
      <c r="N1512" t="s">
        <v>5646</v>
      </c>
      <c r="O1512" t="s">
        <v>71</v>
      </c>
      <c r="P1512" t="s">
        <v>7413</v>
      </c>
      <c r="Q1512" t="s">
        <v>259</v>
      </c>
      <c r="R1512" t="s">
        <v>816</v>
      </c>
      <c r="S1512">
        <v>0.5</v>
      </c>
      <c r="T1512">
        <v>3711</v>
      </c>
      <c r="U1512">
        <v>124.95</v>
      </c>
      <c r="V1512">
        <v>3835.95</v>
      </c>
    </row>
    <row r="1513" spans="1:22" x14ac:dyDescent="0.25">
      <c r="A1513">
        <v>186607</v>
      </c>
      <c r="B1513">
        <v>132074186</v>
      </c>
      <c r="C1513" t="s">
        <v>7414</v>
      </c>
      <c r="D1513" t="s">
        <v>7415</v>
      </c>
      <c r="E1513" t="s">
        <v>5643</v>
      </c>
      <c r="F1513" t="s">
        <v>847</v>
      </c>
      <c r="G1513" t="s">
        <v>162</v>
      </c>
      <c r="H1513" t="s">
        <v>163</v>
      </c>
      <c r="I1513" t="s">
        <v>35</v>
      </c>
      <c r="J1513" t="s">
        <v>164</v>
      </c>
      <c r="K1513" t="s">
        <v>2</v>
      </c>
      <c r="L1513" t="s">
        <v>7416</v>
      </c>
      <c r="M1513" t="s">
        <v>7417</v>
      </c>
      <c r="N1513" t="s">
        <v>5646</v>
      </c>
      <c r="O1513" t="s">
        <v>71</v>
      </c>
      <c r="P1513" t="s">
        <v>7418</v>
      </c>
      <c r="Q1513" t="s">
        <v>266</v>
      </c>
      <c r="R1513" t="s">
        <v>816</v>
      </c>
      <c r="S1513">
        <v>1.53</v>
      </c>
      <c r="T1513">
        <v>6208</v>
      </c>
      <c r="U1513">
        <v>249.9</v>
      </c>
      <c r="V1513">
        <v>6457.9</v>
      </c>
    </row>
    <row r="1514" spans="1:22" x14ac:dyDescent="0.25">
      <c r="A1514">
        <v>186607</v>
      </c>
      <c r="B1514">
        <v>131922264</v>
      </c>
      <c r="C1514" t="s">
        <v>7419</v>
      </c>
      <c r="D1514" t="s">
        <v>7420</v>
      </c>
      <c r="E1514" t="s">
        <v>5643</v>
      </c>
      <c r="F1514" t="s">
        <v>847</v>
      </c>
      <c r="G1514" t="s">
        <v>162</v>
      </c>
      <c r="H1514" t="s">
        <v>163</v>
      </c>
      <c r="I1514" t="s">
        <v>35</v>
      </c>
      <c r="J1514" t="s">
        <v>164</v>
      </c>
      <c r="K1514" t="s">
        <v>2</v>
      </c>
      <c r="L1514" t="s">
        <v>7421</v>
      </c>
      <c r="M1514" t="s">
        <v>7422</v>
      </c>
      <c r="N1514" t="s">
        <v>5646</v>
      </c>
      <c r="O1514" t="s">
        <v>71</v>
      </c>
      <c r="P1514" t="s">
        <v>7423</v>
      </c>
      <c r="Q1514" t="s">
        <v>54</v>
      </c>
      <c r="R1514" t="s">
        <v>5884</v>
      </c>
      <c r="S1514">
        <v>0.76</v>
      </c>
      <c r="T1514">
        <v>4402</v>
      </c>
      <c r="U1514">
        <v>124.95</v>
      </c>
      <c r="V1514">
        <v>4526.95</v>
      </c>
    </row>
    <row r="1515" spans="1:22" x14ac:dyDescent="0.25">
      <c r="A1515">
        <v>186607</v>
      </c>
      <c r="B1515">
        <v>131888000</v>
      </c>
      <c r="C1515" t="s">
        <v>7424</v>
      </c>
      <c r="D1515" t="s">
        <v>7425</v>
      </c>
      <c r="E1515" t="s">
        <v>5643</v>
      </c>
      <c r="F1515" t="s">
        <v>847</v>
      </c>
      <c r="G1515" t="s">
        <v>162</v>
      </c>
      <c r="H1515" t="s">
        <v>163</v>
      </c>
      <c r="I1515" t="s">
        <v>35</v>
      </c>
      <c r="J1515" t="s">
        <v>164</v>
      </c>
      <c r="K1515" t="s">
        <v>2</v>
      </c>
      <c r="L1515" t="s">
        <v>7426</v>
      </c>
      <c r="M1515" t="s">
        <v>7427</v>
      </c>
      <c r="N1515" t="s">
        <v>5646</v>
      </c>
      <c r="O1515" t="s">
        <v>71</v>
      </c>
      <c r="P1515" t="s">
        <v>7428</v>
      </c>
      <c r="Q1515" t="s">
        <v>54</v>
      </c>
      <c r="R1515" t="s">
        <v>5909</v>
      </c>
      <c r="S1515">
        <v>0.84</v>
      </c>
      <c r="T1515">
        <v>4402</v>
      </c>
      <c r="U1515">
        <v>124.95</v>
      </c>
      <c r="V1515">
        <v>4526.95</v>
      </c>
    </row>
    <row r="1516" spans="1:22" x14ac:dyDescent="0.25">
      <c r="A1516">
        <v>186607</v>
      </c>
      <c r="B1516">
        <v>131857932</v>
      </c>
      <c r="C1516" t="s">
        <v>7429</v>
      </c>
      <c r="D1516" t="s">
        <v>7430</v>
      </c>
      <c r="E1516" t="s">
        <v>5643</v>
      </c>
      <c r="F1516" t="s">
        <v>847</v>
      </c>
      <c r="G1516" t="s">
        <v>162</v>
      </c>
      <c r="H1516" t="s">
        <v>163</v>
      </c>
      <c r="I1516" t="s">
        <v>35</v>
      </c>
      <c r="J1516" t="s">
        <v>164</v>
      </c>
      <c r="K1516" t="s">
        <v>2</v>
      </c>
      <c r="L1516" t="s">
        <v>7431</v>
      </c>
      <c r="M1516" t="s">
        <v>7432</v>
      </c>
      <c r="N1516" t="s">
        <v>5646</v>
      </c>
      <c r="O1516" t="s">
        <v>71</v>
      </c>
      <c r="P1516" t="s">
        <v>7433</v>
      </c>
      <c r="Q1516" t="s">
        <v>240</v>
      </c>
      <c r="R1516" t="s">
        <v>840</v>
      </c>
      <c r="S1516">
        <v>0.5</v>
      </c>
      <c r="T1516">
        <v>5461</v>
      </c>
      <c r="U1516">
        <v>124.95</v>
      </c>
      <c r="V1516">
        <v>5585.95</v>
      </c>
    </row>
    <row r="1517" spans="1:22" x14ac:dyDescent="0.25">
      <c r="A1517">
        <v>186607</v>
      </c>
      <c r="B1517">
        <v>131829545</v>
      </c>
      <c r="C1517" t="s">
        <v>7434</v>
      </c>
      <c r="D1517" t="s">
        <v>7435</v>
      </c>
      <c r="E1517" t="s">
        <v>5643</v>
      </c>
      <c r="F1517" t="s">
        <v>847</v>
      </c>
      <c r="G1517" t="s">
        <v>162</v>
      </c>
      <c r="H1517" t="s">
        <v>163</v>
      </c>
      <c r="I1517" t="s">
        <v>35</v>
      </c>
      <c r="J1517" t="s">
        <v>164</v>
      </c>
      <c r="K1517" t="s">
        <v>2</v>
      </c>
      <c r="L1517" t="s">
        <v>7436</v>
      </c>
      <c r="M1517" t="s">
        <v>7437</v>
      </c>
      <c r="N1517" t="s">
        <v>5646</v>
      </c>
      <c r="O1517" t="s">
        <v>71</v>
      </c>
      <c r="P1517" t="s">
        <v>7438</v>
      </c>
      <c r="Q1517" t="s">
        <v>223</v>
      </c>
      <c r="R1517" t="s">
        <v>413</v>
      </c>
      <c r="S1517">
        <v>0.5</v>
      </c>
      <c r="T1517">
        <v>5282</v>
      </c>
      <c r="U1517">
        <v>124.95</v>
      </c>
      <c r="V1517">
        <v>5406.95</v>
      </c>
    </row>
    <row r="1518" spans="1:22" x14ac:dyDescent="0.25">
      <c r="A1518">
        <v>186607</v>
      </c>
      <c r="B1518">
        <v>131857921</v>
      </c>
      <c r="C1518" t="s">
        <v>7439</v>
      </c>
      <c r="D1518" t="s">
        <v>7440</v>
      </c>
      <c r="E1518" t="s">
        <v>5643</v>
      </c>
      <c r="F1518" t="s">
        <v>847</v>
      </c>
      <c r="G1518" t="s">
        <v>162</v>
      </c>
      <c r="H1518" t="s">
        <v>163</v>
      </c>
      <c r="I1518" t="s">
        <v>35</v>
      </c>
      <c r="J1518" t="s">
        <v>164</v>
      </c>
      <c r="K1518" t="s">
        <v>2</v>
      </c>
      <c r="L1518" t="s">
        <v>7441</v>
      </c>
      <c r="M1518" t="s">
        <v>7442</v>
      </c>
      <c r="N1518" t="s">
        <v>5646</v>
      </c>
      <c r="O1518" t="s">
        <v>71</v>
      </c>
      <c r="P1518" t="s">
        <v>7443</v>
      </c>
      <c r="Q1518" t="s">
        <v>257</v>
      </c>
      <c r="R1518" t="s">
        <v>840</v>
      </c>
      <c r="S1518">
        <v>3.13</v>
      </c>
      <c r="T1518">
        <v>8692</v>
      </c>
      <c r="U1518">
        <v>124.95</v>
      </c>
      <c r="V1518">
        <v>8816.9500000000007</v>
      </c>
    </row>
    <row r="1519" spans="1:22" x14ac:dyDescent="0.25">
      <c r="A1519">
        <v>186607</v>
      </c>
      <c r="B1519">
        <v>131821935</v>
      </c>
      <c r="C1519" t="s">
        <v>7444</v>
      </c>
      <c r="D1519" t="s">
        <v>7445</v>
      </c>
      <c r="E1519" t="s">
        <v>5643</v>
      </c>
      <c r="F1519" t="s">
        <v>847</v>
      </c>
      <c r="G1519" t="s">
        <v>162</v>
      </c>
      <c r="H1519" t="s">
        <v>163</v>
      </c>
      <c r="I1519" t="s">
        <v>35</v>
      </c>
      <c r="J1519" t="s">
        <v>164</v>
      </c>
      <c r="K1519" t="s">
        <v>2</v>
      </c>
      <c r="L1519" t="s">
        <v>7446</v>
      </c>
      <c r="M1519" t="s">
        <v>7447</v>
      </c>
      <c r="N1519" t="s">
        <v>5646</v>
      </c>
      <c r="O1519" t="s">
        <v>71</v>
      </c>
      <c r="P1519" t="s">
        <v>7448</v>
      </c>
      <c r="Q1519" t="s">
        <v>114</v>
      </c>
      <c r="R1519" t="s">
        <v>434</v>
      </c>
      <c r="S1519">
        <v>0.76</v>
      </c>
      <c r="T1519">
        <v>6795</v>
      </c>
      <c r="U1519">
        <v>124.95</v>
      </c>
      <c r="V1519">
        <v>6919.95</v>
      </c>
    </row>
    <row r="1520" spans="1:22" x14ac:dyDescent="0.25">
      <c r="A1520">
        <v>186607</v>
      </c>
      <c r="B1520">
        <v>131782826</v>
      </c>
      <c r="C1520" t="s">
        <v>7449</v>
      </c>
      <c r="D1520" t="s">
        <v>7450</v>
      </c>
      <c r="E1520" t="s">
        <v>5643</v>
      </c>
      <c r="F1520" t="s">
        <v>847</v>
      </c>
      <c r="G1520" t="s">
        <v>162</v>
      </c>
      <c r="H1520" t="s">
        <v>163</v>
      </c>
      <c r="I1520" t="s">
        <v>35</v>
      </c>
      <c r="J1520" t="s">
        <v>164</v>
      </c>
      <c r="K1520" t="s">
        <v>2</v>
      </c>
      <c r="L1520" t="s">
        <v>7451</v>
      </c>
      <c r="M1520" t="s">
        <v>7452</v>
      </c>
      <c r="N1520" t="s">
        <v>5646</v>
      </c>
      <c r="O1520" t="s">
        <v>71</v>
      </c>
      <c r="P1520" t="s">
        <v>7453</v>
      </c>
      <c r="Q1520" t="s">
        <v>257</v>
      </c>
      <c r="R1520" t="s">
        <v>7101</v>
      </c>
      <c r="S1520">
        <v>1.52</v>
      </c>
      <c r="T1520">
        <v>6691</v>
      </c>
      <c r="U1520">
        <v>249.9</v>
      </c>
      <c r="V1520">
        <v>6940.9</v>
      </c>
    </row>
    <row r="1521" spans="1:22" x14ac:dyDescent="0.25">
      <c r="A1521">
        <v>186607</v>
      </c>
      <c r="B1521">
        <v>131590311</v>
      </c>
      <c r="C1521" t="s">
        <v>7454</v>
      </c>
      <c r="D1521" t="s">
        <v>7455</v>
      </c>
      <c r="E1521" t="s">
        <v>5643</v>
      </c>
      <c r="F1521" t="s">
        <v>847</v>
      </c>
      <c r="G1521" t="s">
        <v>162</v>
      </c>
      <c r="H1521" t="s">
        <v>163</v>
      </c>
      <c r="I1521" t="s">
        <v>35</v>
      </c>
      <c r="J1521" t="s">
        <v>164</v>
      </c>
      <c r="K1521" t="s">
        <v>2</v>
      </c>
      <c r="L1521" t="s">
        <v>7456</v>
      </c>
      <c r="M1521" t="s">
        <v>7457</v>
      </c>
      <c r="N1521" t="s">
        <v>5646</v>
      </c>
      <c r="O1521" t="s">
        <v>71</v>
      </c>
      <c r="P1521" t="s">
        <v>7458</v>
      </c>
      <c r="Q1521" t="s">
        <v>204</v>
      </c>
      <c r="R1521" t="s">
        <v>5764</v>
      </c>
      <c r="S1521">
        <v>0.5</v>
      </c>
      <c r="T1521">
        <v>5282</v>
      </c>
      <c r="U1521">
        <v>124.95</v>
      </c>
      <c r="V1521">
        <v>5406.95</v>
      </c>
    </row>
    <row r="1522" spans="1:22" x14ac:dyDescent="0.25">
      <c r="A1522">
        <v>186607</v>
      </c>
      <c r="B1522">
        <v>131618436</v>
      </c>
      <c r="C1522" t="s">
        <v>7459</v>
      </c>
      <c r="D1522" t="s">
        <v>7460</v>
      </c>
      <c r="E1522" t="s">
        <v>5643</v>
      </c>
      <c r="F1522" t="s">
        <v>847</v>
      </c>
      <c r="G1522" t="s">
        <v>162</v>
      </c>
      <c r="H1522" t="s">
        <v>163</v>
      </c>
      <c r="I1522" t="s">
        <v>35</v>
      </c>
      <c r="J1522" t="s">
        <v>164</v>
      </c>
      <c r="K1522" t="s">
        <v>2</v>
      </c>
      <c r="L1522" t="s">
        <v>7461</v>
      </c>
      <c r="M1522" t="s">
        <v>7462</v>
      </c>
      <c r="N1522" t="s">
        <v>5646</v>
      </c>
      <c r="O1522" t="s">
        <v>71</v>
      </c>
      <c r="P1522" t="s">
        <v>7463</v>
      </c>
      <c r="Q1522" t="s">
        <v>240</v>
      </c>
      <c r="R1522" t="s">
        <v>5749</v>
      </c>
      <c r="S1522">
        <v>1.28</v>
      </c>
      <c r="T1522">
        <v>7141</v>
      </c>
      <c r="U1522">
        <v>124.95</v>
      </c>
      <c r="V1522">
        <v>7265.95</v>
      </c>
    </row>
    <row r="1523" spans="1:22" x14ac:dyDescent="0.25">
      <c r="A1523">
        <v>186607</v>
      </c>
      <c r="B1523">
        <v>131590293</v>
      </c>
      <c r="C1523" t="s">
        <v>7464</v>
      </c>
      <c r="D1523" t="s">
        <v>7465</v>
      </c>
      <c r="E1523" t="s">
        <v>5643</v>
      </c>
      <c r="F1523" t="s">
        <v>847</v>
      </c>
      <c r="G1523" t="s">
        <v>162</v>
      </c>
      <c r="H1523" t="s">
        <v>163</v>
      </c>
      <c r="I1523" t="s">
        <v>35</v>
      </c>
      <c r="J1523" t="s">
        <v>164</v>
      </c>
      <c r="K1523" t="s">
        <v>2</v>
      </c>
      <c r="L1523" t="s">
        <v>7466</v>
      </c>
      <c r="M1523" t="s">
        <v>7467</v>
      </c>
      <c r="N1523" t="s">
        <v>5646</v>
      </c>
      <c r="O1523" t="s">
        <v>71</v>
      </c>
      <c r="P1523" t="s">
        <v>7468</v>
      </c>
      <c r="Q1523" t="s">
        <v>233</v>
      </c>
      <c r="R1523" t="s">
        <v>5764</v>
      </c>
      <c r="S1523">
        <v>1.52</v>
      </c>
      <c r="T1523">
        <v>7141</v>
      </c>
      <c r="U1523">
        <v>249.9</v>
      </c>
      <c r="V1523">
        <v>7390.9</v>
      </c>
    </row>
    <row r="1524" spans="1:22" x14ac:dyDescent="0.25">
      <c r="A1524">
        <v>186607</v>
      </c>
      <c r="B1524">
        <v>131618420</v>
      </c>
      <c r="C1524" t="s">
        <v>7469</v>
      </c>
      <c r="D1524" t="s">
        <v>7470</v>
      </c>
      <c r="E1524" t="s">
        <v>5643</v>
      </c>
      <c r="F1524" t="s">
        <v>847</v>
      </c>
      <c r="G1524" t="s">
        <v>162</v>
      </c>
      <c r="H1524" t="s">
        <v>163</v>
      </c>
      <c r="I1524" t="s">
        <v>35</v>
      </c>
      <c r="J1524" t="s">
        <v>164</v>
      </c>
      <c r="K1524" t="s">
        <v>2</v>
      </c>
      <c r="L1524" t="s">
        <v>7471</v>
      </c>
      <c r="M1524" t="s">
        <v>7472</v>
      </c>
      <c r="N1524" t="s">
        <v>5646</v>
      </c>
      <c r="O1524" t="s">
        <v>71</v>
      </c>
      <c r="P1524" t="s">
        <v>7473</v>
      </c>
      <c r="Q1524" t="s">
        <v>114</v>
      </c>
      <c r="R1524" t="s">
        <v>5749</v>
      </c>
      <c r="S1524">
        <v>1.47</v>
      </c>
      <c r="T1524">
        <v>8061</v>
      </c>
      <c r="U1524">
        <v>249.9</v>
      </c>
      <c r="V1524">
        <v>8310.9</v>
      </c>
    </row>
    <row r="1525" spans="1:22" x14ac:dyDescent="0.25">
      <c r="A1525">
        <v>186607</v>
      </c>
      <c r="B1525">
        <v>131590324</v>
      </c>
      <c r="C1525" t="s">
        <v>7474</v>
      </c>
      <c r="D1525" t="s">
        <v>7475</v>
      </c>
      <c r="E1525" t="s">
        <v>5643</v>
      </c>
      <c r="F1525" t="s">
        <v>847</v>
      </c>
      <c r="G1525" t="s">
        <v>162</v>
      </c>
      <c r="H1525" t="s">
        <v>163</v>
      </c>
      <c r="I1525" t="s">
        <v>35</v>
      </c>
      <c r="J1525" t="s">
        <v>164</v>
      </c>
      <c r="K1525" t="s">
        <v>2</v>
      </c>
      <c r="L1525" t="s">
        <v>7476</v>
      </c>
      <c r="M1525" t="s">
        <v>7477</v>
      </c>
      <c r="N1525" t="s">
        <v>5646</v>
      </c>
      <c r="O1525" t="s">
        <v>71</v>
      </c>
      <c r="P1525" t="s">
        <v>7478</v>
      </c>
      <c r="Q1525" t="s">
        <v>114</v>
      </c>
      <c r="R1525" t="s">
        <v>5764</v>
      </c>
      <c r="S1525">
        <v>1.44</v>
      </c>
      <c r="T1525">
        <v>8061</v>
      </c>
      <c r="U1525">
        <v>249.9</v>
      </c>
      <c r="V1525">
        <v>8310.9</v>
      </c>
    </row>
    <row r="1526" spans="1:22" x14ac:dyDescent="0.25">
      <c r="A1526">
        <v>186607</v>
      </c>
      <c r="B1526">
        <v>131383646</v>
      </c>
      <c r="C1526" t="s">
        <v>7479</v>
      </c>
      <c r="D1526" t="s">
        <v>7480</v>
      </c>
      <c r="E1526" t="s">
        <v>5643</v>
      </c>
      <c r="F1526" t="s">
        <v>847</v>
      </c>
      <c r="G1526" t="s">
        <v>162</v>
      </c>
      <c r="H1526" t="s">
        <v>163</v>
      </c>
      <c r="I1526" t="s">
        <v>35</v>
      </c>
      <c r="J1526" t="s">
        <v>164</v>
      </c>
      <c r="K1526" t="s">
        <v>2</v>
      </c>
      <c r="L1526" t="s">
        <v>7481</v>
      </c>
      <c r="M1526" t="s">
        <v>7482</v>
      </c>
      <c r="N1526" t="s">
        <v>5646</v>
      </c>
      <c r="O1526" t="s">
        <v>71</v>
      </c>
      <c r="P1526" t="s">
        <v>7483</v>
      </c>
      <c r="Q1526" t="s">
        <v>396</v>
      </c>
      <c r="R1526" t="s">
        <v>6023</v>
      </c>
      <c r="S1526">
        <v>1.51</v>
      </c>
      <c r="T1526">
        <v>12715</v>
      </c>
      <c r="U1526">
        <v>249.9</v>
      </c>
      <c r="V1526">
        <v>12964.9</v>
      </c>
    </row>
    <row r="1527" spans="1:22" x14ac:dyDescent="0.25">
      <c r="A1527">
        <v>186607</v>
      </c>
      <c r="B1527">
        <v>131383680</v>
      </c>
      <c r="C1527" t="s">
        <v>7484</v>
      </c>
      <c r="D1527" t="s">
        <v>7485</v>
      </c>
      <c r="E1527" t="s">
        <v>5643</v>
      </c>
      <c r="F1527" t="s">
        <v>847</v>
      </c>
      <c r="G1527" t="s">
        <v>162</v>
      </c>
      <c r="H1527" t="s">
        <v>163</v>
      </c>
      <c r="I1527" t="s">
        <v>35</v>
      </c>
      <c r="J1527" t="s">
        <v>164</v>
      </c>
      <c r="K1527" t="s">
        <v>2</v>
      </c>
      <c r="L1527" t="s">
        <v>7486</v>
      </c>
      <c r="M1527" t="s">
        <v>7487</v>
      </c>
      <c r="N1527" t="s">
        <v>5646</v>
      </c>
      <c r="O1527" t="s">
        <v>71</v>
      </c>
      <c r="P1527" t="s">
        <v>7488</v>
      </c>
      <c r="Q1527" t="s">
        <v>253</v>
      </c>
      <c r="R1527" t="s">
        <v>6023</v>
      </c>
      <c r="S1527">
        <v>0.5</v>
      </c>
      <c r="T1527">
        <v>8743</v>
      </c>
      <c r="U1527">
        <v>124.95</v>
      </c>
      <c r="V1527">
        <v>8867.9500000000007</v>
      </c>
    </row>
    <row r="1528" spans="1:22" x14ac:dyDescent="0.25">
      <c r="A1528">
        <v>186607</v>
      </c>
      <c r="B1528">
        <v>131383669</v>
      </c>
      <c r="C1528" t="s">
        <v>7489</v>
      </c>
      <c r="D1528" t="s">
        <v>7490</v>
      </c>
      <c r="E1528" t="s">
        <v>5643</v>
      </c>
      <c r="F1528" t="s">
        <v>847</v>
      </c>
      <c r="G1528" t="s">
        <v>162</v>
      </c>
      <c r="H1528" t="s">
        <v>163</v>
      </c>
      <c r="I1528" t="s">
        <v>35</v>
      </c>
      <c r="J1528" t="s">
        <v>164</v>
      </c>
      <c r="K1528" t="s">
        <v>2</v>
      </c>
      <c r="L1528" t="s">
        <v>103</v>
      </c>
      <c r="M1528" t="s">
        <v>7491</v>
      </c>
      <c r="N1528" t="s">
        <v>5646</v>
      </c>
      <c r="O1528" t="s">
        <v>71</v>
      </c>
      <c r="P1528" t="s">
        <v>7492</v>
      </c>
      <c r="Q1528" t="s">
        <v>233</v>
      </c>
      <c r="R1528" t="s">
        <v>6023</v>
      </c>
      <c r="S1528">
        <v>0.78</v>
      </c>
      <c r="T1528">
        <v>5461</v>
      </c>
      <c r="U1528">
        <v>124.95</v>
      </c>
      <c r="V1528">
        <v>5585.95</v>
      </c>
    </row>
    <row r="1529" spans="1:22" x14ac:dyDescent="0.25">
      <c r="A1529">
        <v>186607</v>
      </c>
      <c r="B1529">
        <v>131312191</v>
      </c>
      <c r="C1529" t="s">
        <v>7493</v>
      </c>
      <c r="D1529" t="s">
        <v>7494</v>
      </c>
      <c r="E1529" t="s">
        <v>5643</v>
      </c>
      <c r="F1529" t="s">
        <v>847</v>
      </c>
      <c r="G1529" t="s">
        <v>162</v>
      </c>
      <c r="H1529" t="s">
        <v>163</v>
      </c>
      <c r="I1529" t="s">
        <v>35</v>
      </c>
      <c r="J1529" t="s">
        <v>164</v>
      </c>
      <c r="K1529" t="s">
        <v>2</v>
      </c>
      <c r="L1529" t="s">
        <v>7495</v>
      </c>
      <c r="M1529" t="s">
        <v>7496</v>
      </c>
      <c r="N1529" t="s">
        <v>5646</v>
      </c>
      <c r="O1529" t="s">
        <v>71</v>
      </c>
      <c r="P1529" t="s">
        <v>7497</v>
      </c>
      <c r="Q1529" t="s">
        <v>54</v>
      </c>
      <c r="R1529" t="s">
        <v>522</v>
      </c>
      <c r="S1529">
        <v>0.95</v>
      </c>
      <c r="T1529">
        <v>4402</v>
      </c>
      <c r="U1529">
        <v>124.95</v>
      </c>
      <c r="V1529">
        <v>4526.95</v>
      </c>
    </row>
    <row r="1530" spans="1:22" x14ac:dyDescent="0.25">
      <c r="A1530">
        <v>186607</v>
      </c>
      <c r="B1530">
        <v>131277925</v>
      </c>
      <c r="C1530" t="s">
        <v>7498</v>
      </c>
      <c r="D1530" t="s">
        <v>7499</v>
      </c>
      <c r="E1530" t="s">
        <v>5643</v>
      </c>
      <c r="F1530" t="s">
        <v>847</v>
      </c>
      <c r="G1530" t="s">
        <v>162</v>
      </c>
      <c r="H1530" t="s">
        <v>163</v>
      </c>
      <c r="I1530" t="s">
        <v>35</v>
      </c>
      <c r="J1530" t="s">
        <v>164</v>
      </c>
      <c r="K1530" t="s">
        <v>2</v>
      </c>
      <c r="L1530" t="s">
        <v>7500</v>
      </c>
      <c r="M1530" t="s">
        <v>7501</v>
      </c>
      <c r="N1530" t="s">
        <v>5646</v>
      </c>
      <c r="O1530" t="s">
        <v>71</v>
      </c>
      <c r="P1530" t="s">
        <v>7502</v>
      </c>
      <c r="Q1530" t="s">
        <v>114</v>
      </c>
      <c r="R1530" t="s">
        <v>623</v>
      </c>
      <c r="S1530">
        <v>0.8</v>
      </c>
      <c r="T1530">
        <v>6795</v>
      </c>
      <c r="U1530">
        <v>124.95</v>
      </c>
      <c r="V1530">
        <v>6919.95</v>
      </c>
    </row>
    <row r="1531" spans="1:22" x14ac:dyDescent="0.25">
      <c r="A1531">
        <v>186607</v>
      </c>
      <c r="B1531">
        <v>131821855</v>
      </c>
      <c r="C1531" t="s">
        <v>7503</v>
      </c>
      <c r="D1531" t="s">
        <v>7504</v>
      </c>
      <c r="E1531" t="s">
        <v>5643</v>
      </c>
      <c r="F1531" t="s">
        <v>847</v>
      </c>
      <c r="G1531" t="s">
        <v>156</v>
      </c>
      <c r="H1531" t="s">
        <v>157</v>
      </c>
      <c r="I1531" t="s">
        <v>35</v>
      </c>
      <c r="J1531" t="s">
        <v>166</v>
      </c>
      <c r="K1531" t="s">
        <v>2</v>
      </c>
      <c r="L1531" t="s">
        <v>158</v>
      </c>
      <c r="M1531" t="s">
        <v>184</v>
      </c>
      <c r="N1531" t="s">
        <v>5646</v>
      </c>
      <c r="O1531" t="s">
        <v>71</v>
      </c>
      <c r="P1531" t="s">
        <v>7505</v>
      </c>
      <c r="Q1531" t="s">
        <v>53</v>
      </c>
      <c r="R1531" t="s">
        <v>412</v>
      </c>
      <c r="S1531">
        <v>3.41</v>
      </c>
      <c r="T1531">
        <v>4537</v>
      </c>
      <c r="U1531">
        <v>0</v>
      </c>
      <c r="V1531">
        <v>4537</v>
      </c>
    </row>
    <row r="1532" spans="1:22" x14ac:dyDescent="0.25">
      <c r="A1532">
        <v>186607</v>
      </c>
      <c r="B1532">
        <v>131952822</v>
      </c>
      <c r="C1532" t="s">
        <v>7506</v>
      </c>
      <c r="D1532" t="s">
        <v>7507</v>
      </c>
      <c r="E1532" t="s">
        <v>5643</v>
      </c>
      <c r="F1532" t="s">
        <v>847</v>
      </c>
      <c r="G1532" t="s">
        <v>156</v>
      </c>
      <c r="H1532" t="s">
        <v>157</v>
      </c>
      <c r="I1532" t="s">
        <v>35</v>
      </c>
      <c r="J1532" t="s">
        <v>166</v>
      </c>
      <c r="K1532" t="s">
        <v>2</v>
      </c>
      <c r="L1532" t="s">
        <v>158</v>
      </c>
      <c r="M1532" t="s">
        <v>7508</v>
      </c>
      <c r="N1532" t="s">
        <v>5646</v>
      </c>
      <c r="O1532" t="s">
        <v>71</v>
      </c>
      <c r="P1532" t="s">
        <v>7509</v>
      </c>
      <c r="Q1532" t="s">
        <v>239</v>
      </c>
      <c r="R1532" t="s">
        <v>819</v>
      </c>
      <c r="S1532">
        <v>3.13</v>
      </c>
      <c r="T1532">
        <v>7297</v>
      </c>
      <c r="U1532">
        <v>0</v>
      </c>
      <c r="V1532">
        <v>7297</v>
      </c>
    </row>
    <row r="1533" spans="1:22" x14ac:dyDescent="0.25">
      <c r="A1533">
        <v>186607</v>
      </c>
      <c r="B1533">
        <v>131821920</v>
      </c>
      <c r="C1533" t="s">
        <v>7510</v>
      </c>
      <c r="D1533" t="s">
        <v>7511</v>
      </c>
      <c r="E1533" t="s">
        <v>5643</v>
      </c>
      <c r="F1533" t="s">
        <v>847</v>
      </c>
      <c r="G1533" t="s">
        <v>156</v>
      </c>
      <c r="H1533" t="s">
        <v>157</v>
      </c>
      <c r="I1533" t="s">
        <v>35</v>
      </c>
      <c r="J1533" t="s">
        <v>166</v>
      </c>
      <c r="K1533" t="s">
        <v>2</v>
      </c>
      <c r="L1533" t="s">
        <v>158</v>
      </c>
      <c r="M1533" t="s">
        <v>7512</v>
      </c>
      <c r="N1533" t="s">
        <v>5646</v>
      </c>
      <c r="O1533" t="s">
        <v>71</v>
      </c>
      <c r="P1533" t="s">
        <v>7513</v>
      </c>
      <c r="Q1533" t="s">
        <v>196</v>
      </c>
      <c r="R1533" t="s">
        <v>412</v>
      </c>
      <c r="S1533">
        <v>2.96</v>
      </c>
      <c r="T1533">
        <v>6708</v>
      </c>
      <c r="U1533">
        <v>0</v>
      </c>
      <c r="V1533">
        <v>6708</v>
      </c>
    </row>
    <row r="1534" spans="1:22" x14ac:dyDescent="0.25">
      <c r="A1534">
        <v>186607</v>
      </c>
      <c r="B1534">
        <v>131821886</v>
      </c>
      <c r="C1534" t="s">
        <v>7514</v>
      </c>
      <c r="D1534" t="s">
        <v>7515</v>
      </c>
      <c r="E1534" t="s">
        <v>5643</v>
      </c>
      <c r="F1534" t="s">
        <v>847</v>
      </c>
      <c r="G1534" t="s">
        <v>156</v>
      </c>
      <c r="H1534" t="s">
        <v>157</v>
      </c>
      <c r="I1534" t="s">
        <v>35</v>
      </c>
      <c r="J1534" t="s">
        <v>166</v>
      </c>
      <c r="K1534" t="s">
        <v>2</v>
      </c>
      <c r="L1534" t="s">
        <v>158</v>
      </c>
      <c r="M1534" t="s">
        <v>7516</v>
      </c>
      <c r="N1534" t="s">
        <v>5646</v>
      </c>
      <c r="O1534" t="s">
        <v>71</v>
      </c>
      <c r="P1534" t="s">
        <v>7517</v>
      </c>
      <c r="Q1534" t="s">
        <v>196</v>
      </c>
      <c r="R1534" t="s">
        <v>412</v>
      </c>
      <c r="S1534">
        <v>2.0699999999999998</v>
      </c>
      <c r="T1534">
        <v>6708</v>
      </c>
      <c r="U1534">
        <v>0</v>
      </c>
      <c r="V1534">
        <v>6708</v>
      </c>
    </row>
    <row r="1535" spans="1:22" x14ac:dyDescent="0.25">
      <c r="A1535">
        <v>186607</v>
      </c>
      <c r="B1535">
        <v>131821888</v>
      </c>
      <c r="C1535" t="s">
        <v>7518</v>
      </c>
      <c r="D1535" t="s">
        <v>7519</v>
      </c>
      <c r="E1535" t="s">
        <v>5643</v>
      </c>
      <c r="F1535" t="s">
        <v>847</v>
      </c>
      <c r="G1535" t="s">
        <v>156</v>
      </c>
      <c r="H1535" t="s">
        <v>157</v>
      </c>
      <c r="I1535" t="s">
        <v>35</v>
      </c>
      <c r="J1535" t="s">
        <v>166</v>
      </c>
      <c r="K1535" t="s">
        <v>2</v>
      </c>
      <c r="L1535" t="s">
        <v>158</v>
      </c>
      <c r="M1535" t="s">
        <v>7520</v>
      </c>
      <c r="N1535" t="s">
        <v>5646</v>
      </c>
      <c r="O1535" t="s">
        <v>71</v>
      </c>
      <c r="P1535" t="s">
        <v>7521</v>
      </c>
      <c r="Q1535" t="s">
        <v>136</v>
      </c>
      <c r="R1535" t="s">
        <v>412</v>
      </c>
      <c r="S1535">
        <v>1.6</v>
      </c>
      <c r="T1535">
        <v>7015</v>
      </c>
      <c r="U1535">
        <v>0</v>
      </c>
      <c r="V1535">
        <v>7015</v>
      </c>
    </row>
    <row r="1536" spans="1:22" x14ac:dyDescent="0.25">
      <c r="A1536">
        <v>186607</v>
      </c>
      <c r="B1536">
        <v>131821891</v>
      </c>
      <c r="C1536" t="s">
        <v>7522</v>
      </c>
      <c r="D1536" t="s">
        <v>7523</v>
      </c>
      <c r="E1536" t="s">
        <v>5643</v>
      </c>
      <c r="F1536" t="s">
        <v>847</v>
      </c>
      <c r="G1536" t="s">
        <v>156</v>
      </c>
      <c r="H1536" t="s">
        <v>157</v>
      </c>
      <c r="I1536" t="s">
        <v>35</v>
      </c>
      <c r="J1536" t="s">
        <v>166</v>
      </c>
      <c r="K1536" t="s">
        <v>2</v>
      </c>
      <c r="L1536" t="s">
        <v>158</v>
      </c>
      <c r="M1536" t="s">
        <v>7524</v>
      </c>
      <c r="N1536" t="s">
        <v>5646</v>
      </c>
      <c r="O1536" t="s">
        <v>71</v>
      </c>
      <c r="P1536" t="s">
        <v>7525</v>
      </c>
      <c r="Q1536" t="s">
        <v>84</v>
      </c>
      <c r="R1536" t="s">
        <v>412</v>
      </c>
      <c r="S1536">
        <v>2.4500000000000002</v>
      </c>
      <c r="T1536">
        <v>4168</v>
      </c>
      <c r="U1536">
        <v>0</v>
      </c>
      <c r="V1536">
        <v>4168</v>
      </c>
    </row>
    <row r="1537" spans="1:22" x14ac:dyDescent="0.25">
      <c r="A1537">
        <v>186607</v>
      </c>
      <c r="B1537">
        <v>131952808</v>
      </c>
      <c r="C1537" t="s">
        <v>7526</v>
      </c>
      <c r="D1537" t="s">
        <v>7527</v>
      </c>
      <c r="E1537" t="s">
        <v>5643</v>
      </c>
      <c r="F1537" t="s">
        <v>847</v>
      </c>
      <c r="G1537" t="s">
        <v>156</v>
      </c>
      <c r="H1537" t="s">
        <v>157</v>
      </c>
      <c r="I1537" t="s">
        <v>35</v>
      </c>
      <c r="J1537" t="s">
        <v>166</v>
      </c>
      <c r="K1537" t="s">
        <v>2</v>
      </c>
      <c r="L1537" t="s">
        <v>158</v>
      </c>
      <c r="M1537" t="s">
        <v>786</v>
      </c>
      <c r="N1537" t="s">
        <v>5646</v>
      </c>
      <c r="O1537" t="s">
        <v>71</v>
      </c>
      <c r="P1537" t="s">
        <v>7528</v>
      </c>
      <c r="Q1537" t="s">
        <v>88</v>
      </c>
      <c r="R1537" t="s">
        <v>819</v>
      </c>
      <c r="S1537">
        <v>3.44</v>
      </c>
      <c r="T1537">
        <v>6998</v>
      </c>
      <c r="U1537">
        <v>0</v>
      </c>
      <c r="V1537">
        <v>6998</v>
      </c>
    </row>
    <row r="1538" spans="1:22" x14ac:dyDescent="0.25">
      <c r="A1538">
        <v>186607</v>
      </c>
      <c r="B1538">
        <v>131774091</v>
      </c>
      <c r="C1538" t="s">
        <v>7529</v>
      </c>
      <c r="D1538" t="s">
        <v>7530</v>
      </c>
      <c r="E1538" t="s">
        <v>5643</v>
      </c>
      <c r="F1538" t="s">
        <v>847</v>
      </c>
      <c r="G1538" t="s">
        <v>156</v>
      </c>
      <c r="H1538" t="s">
        <v>157</v>
      </c>
      <c r="I1538" t="s">
        <v>35</v>
      </c>
      <c r="J1538" t="s">
        <v>166</v>
      </c>
      <c r="K1538" t="s">
        <v>2</v>
      </c>
      <c r="L1538" t="s">
        <v>158</v>
      </c>
      <c r="M1538" t="s">
        <v>7531</v>
      </c>
      <c r="N1538" t="s">
        <v>5646</v>
      </c>
      <c r="O1538" t="s">
        <v>71</v>
      </c>
      <c r="P1538" t="s">
        <v>7532</v>
      </c>
      <c r="Q1538" t="s">
        <v>53</v>
      </c>
      <c r="R1538" t="s">
        <v>632</v>
      </c>
      <c r="S1538">
        <v>3.39</v>
      </c>
      <c r="T1538">
        <v>4537</v>
      </c>
      <c r="U1538">
        <v>0</v>
      </c>
      <c r="V1538">
        <v>4537</v>
      </c>
    </row>
    <row r="1539" spans="1:22" x14ac:dyDescent="0.25">
      <c r="A1539">
        <v>186607</v>
      </c>
      <c r="B1539">
        <v>131821876</v>
      </c>
      <c r="C1539" t="s">
        <v>7533</v>
      </c>
      <c r="D1539" t="s">
        <v>7534</v>
      </c>
      <c r="E1539" t="s">
        <v>5643</v>
      </c>
      <c r="F1539" t="s">
        <v>847</v>
      </c>
      <c r="G1539" t="s">
        <v>156</v>
      </c>
      <c r="H1539" t="s">
        <v>157</v>
      </c>
      <c r="I1539" t="s">
        <v>35</v>
      </c>
      <c r="J1539" t="s">
        <v>166</v>
      </c>
      <c r="K1539" t="s">
        <v>2</v>
      </c>
      <c r="L1539" t="s">
        <v>158</v>
      </c>
      <c r="M1539" t="s">
        <v>7535</v>
      </c>
      <c r="N1539" t="s">
        <v>5646</v>
      </c>
      <c r="O1539" t="s">
        <v>71</v>
      </c>
      <c r="P1539" t="s">
        <v>7536</v>
      </c>
      <c r="Q1539" t="s">
        <v>53</v>
      </c>
      <c r="R1539" t="s">
        <v>412</v>
      </c>
      <c r="S1539">
        <v>2.23</v>
      </c>
      <c r="T1539">
        <v>4168</v>
      </c>
      <c r="U1539">
        <v>0</v>
      </c>
      <c r="V1539">
        <v>4168</v>
      </c>
    </row>
    <row r="1540" spans="1:22" x14ac:dyDescent="0.25">
      <c r="A1540">
        <v>186607</v>
      </c>
      <c r="B1540">
        <v>131706293</v>
      </c>
      <c r="C1540" t="s">
        <v>7537</v>
      </c>
      <c r="D1540" t="s">
        <v>7538</v>
      </c>
      <c r="E1540" t="s">
        <v>5643</v>
      </c>
      <c r="F1540" t="s">
        <v>847</v>
      </c>
      <c r="G1540" t="s">
        <v>156</v>
      </c>
      <c r="H1540" t="s">
        <v>157</v>
      </c>
      <c r="I1540" t="s">
        <v>35</v>
      </c>
      <c r="J1540" t="s">
        <v>166</v>
      </c>
      <c r="K1540" t="s">
        <v>2</v>
      </c>
      <c r="L1540" t="s">
        <v>158</v>
      </c>
      <c r="M1540" t="s">
        <v>7539</v>
      </c>
      <c r="N1540" t="s">
        <v>5646</v>
      </c>
      <c r="O1540" t="s">
        <v>71</v>
      </c>
      <c r="P1540" t="s">
        <v>7540</v>
      </c>
      <c r="Q1540" t="s">
        <v>59</v>
      </c>
      <c r="R1540" t="s">
        <v>4926</v>
      </c>
      <c r="S1540">
        <v>3.8</v>
      </c>
      <c r="T1540">
        <v>7129</v>
      </c>
      <c r="U1540">
        <v>0</v>
      </c>
      <c r="V1540">
        <v>7129</v>
      </c>
    </row>
    <row r="1541" spans="1:22" x14ac:dyDescent="0.25">
      <c r="A1541">
        <v>186607</v>
      </c>
      <c r="B1541">
        <v>131662736</v>
      </c>
      <c r="C1541" t="s">
        <v>7541</v>
      </c>
      <c r="D1541" t="s">
        <v>7542</v>
      </c>
      <c r="E1541" t="s">
        <v>5643</v>
      </c>
      <c r="F1541" t="s">
        <v>847</v>
      </c>
      <c r="G1541" t="s">
        <v>156</v>
      </c>
      <c r="H1541" t="s">
        <v>157</v>
      </c>
      <c r="I1541" t="s">
        <v>35</v>
      </c>
      <c r="J1541" t="s">
        <v>166</v>
      </c>
      <c r="K1541" t="s">
        <v>2</v>
      </c>
      <c r="L1541" t="s">
        <v>158</v>
      </c>
      <c r="M1541" t="s">
        <v>7543</v>
      </c>
      <c r="N1541" t="s">
        <v>5646</v>
      </c>
      <c r="O1541" t="s">
        <v>71</v>
      </c>
      <c r="P1541" t="s">
        <v>7544</v>
      </c>
      <c r="Q1541" t="s">
        <v>127</v>
      </c>
      <c r="R1541" t="s">
        <v>5755</v>
      </c>
      <c r="S1541">
        <v>3.14</v>
      </c>
      <c r="T1541">
        <v>7224</v>
      </c>
      <c r="U1541">
        <v>0</v>
      </c>
      <c r="V1541">
        <v>7224</v>
      </c>
    </row>
    <row r="1542" spans="1:22" x14ac:dyDescent="0.25">
      <c r="A1542">
        <v>186607</v>
      </c>
      <c r="B1542">
        <v>131732711</v>
      </c>
      <c r="C1542" t="s">
        <v>7545</v>
      </c>
      <c r="D1542" t="s">
        <v>7546</v>
      </c>
      <c r="E1542" t="s">
        <v>5643</v>
      </c>
      <c r="F1542" t="s">
        <v>847</v>
      </c>
      <c r="G1542" t="s">
        <v>156</v>
      </c>
      <c r="H1542" t="s">
        <v>157</v>
      </c>
      <c r="I1542" t="s">
        <v>35</v>
      </c>
      <c r="J1542" t="s">
        <v>166</v>
      </c>
      <c r="K1542" t="s">
        <v>2</v>
      </c>
      <c r="L1542" t="s">
        <v>158</v>
      </c>
      <c r="M1542" t="s">
        <v>7547</v>
      </c>
      <c r="N1542" t="s">
        <v>5646</v>
      </c>
      <c r="O1542" t="s">
        <v>71</v>
      </c>
      <c r="P1542" t="s">
        <v>7548</v>
      </c>
      <c r="Q1542" t="s">
        <v>195</v>
      </c>
      <c r="R1542" t="s">
        <v>411</v>
      </c>
      <c r="S1542">
        <v>3.09</v>
      </c>
      <c r="T1542">
        <v>4537</v>
      </c>
      <c r="U1542">
        <v>0</v>
      </c>
      <c r="V1542">
        <v>4537</v>
      </c>
    </row>
    <row r="1543" spans="1:22" x14ac:dyDescent="0.25">
      <c r="A1543">
        <v>186607</v>
      </c>
      <c r="B1543">
        <v>131732685</v>
      </c>
      <c r="C1543" t="s">
        <v>7549</v>
      </c>
      <c r="D1543" t="s">
        <v>7550</v>
      </c>
      <c r="E1543" t="s">
        <v>5643</v>
      </c>
      <c r="F1543" t="s">
        <v>847</v>
      </c>
      <c r="G1543" t="s">
        <v>156</v>
      </c>
      <c r="H1543" t="s">
        <v>157</v>
      </c>
      <c r="I1543" t="s">
        <v>35</v>
      </c>
      <c r="J1543" t="s">
        <v>166</v>
      </c>
      <c r="K1543" t="s">
        <v>2</v>
      </c>
      <c r="L1543" t="s">
        <v>158</v>
      </c>
      <c r="M1543" t="s">
        <v>7551</v>
      </c>
      <c r="N1543" t="s">
        <v>5646</v>
      </c>
      <c r="O1543" t="s">
        <v>71</v>
      </c>
      <c r="P1543" t="s">
        <v>7552</v>
      </c>
      <c r="Q1543" t="s">
        <v>207</v>
      </c>
      <c r="R1543" t="s">
        <v>411</v>
      </c>
      <c r="S1543">
        <v>3.69</v>
      </c>
      <c r="T1543">
        <v>7224</v>
      </c>
      <c r="U1543">
        <v>0</v>
      </c>
      <c r="V1543">
        <v>7224</v>
      </c>
    </row>
    <row r="1544" spans="1:22" x14ac:dyDescent="0.25">
      <c r="A1544">
        <v>186607</v>
      </c>
      <c r="B1544">
        <v>131641655</v>
      </c>
      <c r="C1544" t="s">
        <v>7553</v>
      </c>
      <c r="D1544" t="s">
        <v>7554</v>
      </c>
      <c r="E1544" t="s">
        <v>5643</v>
      </c>
      <c r="F1544" t="s">
        <v>847</v>
      </c>
      <c r="G1544" t="s">
        <v>156</v>
      </c>
      <c r="H1544" t="s">
        <v>157</v>
      </c>
      <c r="I1544" t="s">
        <v>35</v>
      </c>
      <c r="J1544" t="s">
        <v>166</v>
      </c>
      <c r="K1544" t="s">
        <v>2</v>
      </c>
      <c r="L1544" t="s">
        <v>158</v>
      </c>
      <c r="M1544" t="s">
        <v>7555</v>
      </c>
      <c r="N1544" t="s">
        <v>5646</v>
      </c>
      <c r="O1544" t="s">
        <v>71</v>
      </c>
      <c r="P1544" t="s">
        <v>7556</v>
      </c>
      <c r="Q1544" t="s">
        <v>53</v>
      </c>
      <c r="R1544" t="s">
        <v>308</v>
      </c>
      <c r="S1544">
        <v>2.0699999999999998</v>
      </c>
      <c r="T1544">
        <v>4168</v>
      </c>
      <c r="U1544">
        <v>0</v>
      </c>
      <c r="V1544">
        <v>4168</v>
      </c>
    </row>
    <row r="1545" spans="1:22" x14ac:dyDescent="0.25">
      <c r="A1545">
        <v>186607</v>
      </c>
      <c r="B1545">
        <v>131662737</v>
      </c>
      <c r="C1545" t="s">
        <v>7557</v>
      </c>
      <c r="D1545" t="s">
        <v>7558</v>
      </c>
      <c r="E1545" t="s">
        <v>5643</v>
      </c>
      <c r="F1545" t="s">
        <v>847</v>
      </c>
      <c r="G1545" t="s">
        <v>156</v>
      </c>
      <c r="H1545" t="s">
        <v>157</v>
      </c>
      <c r="I1545" t="s">
        <v>35</v>
      </c>
      <c r="J1545" t="s">
        <v>166</v>
      </c>
      <c r="K1545" t="s">
        <v>2</v>
      </c>
      <c r="L1545" t="s">
        <v>158</v>
      </c>
      <c r="M1545" t="s">
        <v>7559</v>
      </c>
      <c r="N1545" t="s">
        <v>5646</v>
      </c>
      <c r="O1545" t="s">
        <v>71</v>
      </c>
      <c r="P1545" t="s">
        <v>7560</v>
      </c>
      <c r="Q1545" t="s">
        <v>203</v>
      </c>
      <c r="R1545" t="s">
        <v>5755</v>
      </c>
      <c r="S1545">
        <v>3.54</v>
      </c>
      <c r="T1545">
        <v>7449</v>
      </c>
      <c r="U1545">
        <v>0</v>
      </c>
      <c r="V1545">
        <v>7449</v>
      </c>
    </row>
    <row r="1546" spans="1:22" x14ac:dyDescent="0.25">
      <c r="A1546">
        <v>186607</v>
      </c>
      <c r="B1546">
        <v>131662744</v>
      </c>
      <c r="C1546" t="s">
        <v>7561</v>
      </c>
      <c r="D1546" t="s">
        <v>7562</v>
      </c>
      <c r="E1546" t="s">
        <v>5643</v>
      </c>
      <c r="F1546" t="s">
        <v>847</v>
      </c>
      <c r="G1546" t="s">
        <v>156</v>
      </c>
      <c r="H1546" t="s">
        <v>157</v>
      </c>
      <c r="I1546" t="s">
        <v>35</v>
      </c>
      <c r="J1546" t="s">
        <v>166</v>
      </c>
      <c r="K1546" t="s">
        <v>2</v>
      </c>
      <c r="L1546" t="s">
        <v>158</v>
      </c>
      <c r="M1546" t="s">
        <v>7563</v>
      </c>
      <c r="N1546" t="s">
        <v>5646</v>
      </c>
      <c r="O1546" t="s">
        <v>71</v>
      </c>
      <c r="P1546" t="s">
        <v>7564</v>
      </c>
      <c r="Q1546" t="s">
        <v>346</v>
      </c>
      <c r="R1546" t="s">
        <v>5755</v>
      </c>
      <c r="S1546">
        <v>4</v>
      </c>
      <c r="T1546">
        <v>8439</v>
      </c>
      <c r="U1546">
        <v>0</v>
      </c>
      <c r="V1546">
        <v>8439</v>
      </c>
    </row>
    <row r="1547" spans="1:22" x14ac:dyDescent="0.25">
      <c r="A1547">
        <v>186607</v>
      </c>
      <c r="B1547">
        <v>131618431</v>
      </c>
      <c r="C1547" t="s">
        <v>7565</v>
      </c>
      <c r="D1547" t="s">
        <v>7566</v>
      </c>
      <c r="E1547" t="s">
        <v>5643</v>
      </c>
      <c r="F1547" t="s">
        <v>847</v>
      </c>
      <c r="G1547" t="s">
        <v>156</v>
      </c>
      <c r="H1547" t="s">
        <v>157</v>
      </c>
      <c r="I1547" t="s">
        <v>35</v>
      </c>
      <c r="J1547" t="s">
        <v>166</v>
      </c>
      <c r="K1547" t="s">
        <v>2</v>
      </c>
      <c r="L1547" t="s">
        <v>158</v>
      </c>
      <c r="M1547" t="s">
        <v>7567</v>
      </c>
      <c r="N1547" t="s">
        <v>5646</v>
      </c>
      <c r="O1547" t="s">
        <v>71</v>
      </c>
      <c r="P1547" t="s">
        <v>7568</v>
      </c>
      <c r="Q1547" t="s">
        <v>203</v>
      </c>
      <c r="R1547" t="s">
        <v>5749</v>
      </c>
      <c r="S1547">
        <v>3.28</v>
      </c>
      <c r="T1547">
        <v>7449</v>
      </c>
      <c r="U1547">
        <v>0</v>
      </c>
      <c r="V1547">
        <v>7449</v>
      </c>
    </row>
    <row r="1548" spans="1:22" x14ac:dyDescent="0.25">
      <c r="A1548">
        <v>186607</v>
      </c>
      <c r="B1548">
        <v>131706288</v>
      </c>
      <c r="C1548" t="s">
        <v>7569</v>
      </c>
      <c r="D1548" t="s">
        <v>7570</v>
      </c>
      <c r="E1548" t="s">
        <v>5643</v>
      </c>
      <c r="F1548" t="s">
        <v>847</v>
      </c>
      <c r="G1548" t="s">
        <v>156</v>
      </c>
      <c r="H1548" t="s">
        <v>157</v>
      </c>
      <c r="I1548" t="s">
        <v>35</v>
      </c>
      <c r="J1548" t="s">
        <v>166</v>
      </c>
      <c r="K1548" t="s">
        <v>2</v>
      </c>
      <c r="L1548" t="s">
        <v>158</v>
      </c>
      <c r="M1548" t="s">
        <v>7571</v>
      </c>
      <c r="N1548" t="s">
        <v>5646</v>
      </c>
      <c r="O1548" t="s">
        <v>71</v>
      </c>
      <c r="P1548" t="s">
        <v>7572</v>
      </c>
      <c r="Q1548" t="s">
        <v>203</v>
      </c>
      <c r="R1548" t="s">
        <v>4926</v>
      </c>
      <c r="S1548">
        <v>3.8</v>
      </c>
      <c r="T1548">
        <v>7449</v>
      </c>
      <c r="U1548">
        <v>0</v>
      </c>
      <c r="V1548">
        <v>7449</v>
      </c>
    </row>
    <row r="1549" spans="1:22" x14ac:dyDescent="0.25">
      <c r="A1549">
        <v>186607</v>
      </c>
      <c r="B1549">
        <v>131706296</v>
      </c>
      <c r="C1549" t="s">
        <v>7573</v>
      </c>
      <c r="D1549" t="s">
        <v>7574</v>
      </c>
      <c r="E1549" t="s">
        <v>5643</v>
      </c>
      <c r="F1549" t="s">
        <v>847</v>
      </c>
      <c r="G1549" t="s">
        <v>156</v>
      </c>
      <c r="H1549" t="s">
        <v>157</v>
      </c>
      <c r="I1549" t="s">
        <v>35</v>
      </c>
      <c r="J1549" t="s">
        <v>166</v>
      </c>
      <c r="K1549" t="s">
        <v>2</v>
      </c>
      <c r="L1549" t="s">
        <v>158</v>
      </c>
      <c r="M1549" t="s">
        <v>7575</v>
      </c>
      <c r="N1549" t="s">
        <v>5646</v>
      </c>
      <c r="O1549" t="s">
        <v>71</v>
      </c>
      <c r="P1549" t="s">
        <v>7576</v>
      </c>
      <c r="Q1549" t="s">
        <v>128</v>
      </c>
      <c r="R1549" t="s">
        <v>4926</v>
      </c>
      <c r="S1549">
        <v>3.8</v>
      </c>
      <c r="T1549">
        <v>6998</v>
      </c>
      <c r="U1549">
        <v>0</v>
      </c>
      <c r="V1549">
        <v>6998</v>
      </c>
    </row>
    <row r="1550" spans="1:22" x14ac:dyDescent="0.25">
      <c r="A1550">
        <v>186607</v>
      </c>
      <c r="B1550">
        <v>131618445</v>
      </c>
      <c r="C1550" t="s">
        <v>7577</v>
      </c>
      <c r="D1550" t="s">
        <v>7578</v>
      </c>
      <c r="E1550" t="s">
        <v>5643</v>
      </c>
      <c r="F1550" t="s">
        <v>847</v>
      </c>
      <c r="G1550" t="s">
        <v>156</v>
      </c>
      <c r="H1550" t="s">
        <v>157</v>
      </c>
      <c r="I1550" t="s">
        <v>35</v>
      </c>
      <c r="J1550" t="s">
        <v>166</v>
      </c>
      <c r="K1550" t="s">
        <v>2</v>
      </c>
      <c r="L1550" t="s">
        <v>158</v>
      </c>
      <c r="M1550" t="s">
        <v>580</v>
      </c>
      <c r="N1550" t="s">
        <v>5646</v>
      </c>
      <c r="O1550" t="s">
        <v>71</v>
      </c>
      <c r="P1550" t="s">
        <v>7579</v>
      </c>
      <c r="Q1550" t="s">
        <v>53</v>
      </c>
      <c r="R1550" t="s">
        <v>5979</v>
      </c>
      <c r="S1550">
        <v>2.5</v>
      </c>
      <c r="T1550">
        <v>4168</v>
      </c>
      <c r="U1550">
        <v>0</v>
      </c>
      <c r="V1550">
        <v>4168</v>
      </c>
    </row>
    <row r="1551" spans="1:22" x14ac:dyDescent="0.25">
      <c r="A1551">
        <v>186607</v>
      </c>
      <c r="B1551">
        <v>131678863</v>
      </c>
      <c r="C1551" t="s">
        <v>7580</v>
      </c>
      <c r="D1551" t="s">
        <v>7581</v>
      </c>
      <c r="E1551" t="s">
        <v>5643</v>
      </c>
      <c r="F1551" t="s">
        <v>847</v>
      </c>
      <c r="G1551" t="s">
        <v>156</v>
      </c>
      <c r="H1551" t="s">
        <v>157</v>
      </c>
      <c r="I1551" t="s">
        <v>35</v>
      </c>
      <c r="J1551" t="s">
        <v>166</v>
      </c>
      <c r="K1551" t="s">
        <v>2</v>
      </c>
      <c r="L1551" t="s">
        <v>158</v>
      </c>
      <c r="M1551" t="s">
        <v>7582</v>
      </c>
      <c r="N1551" t="s">
        <v>5646</v>
      </c>
      <c r="O1551" t="s">
        <v>71</v>
      </c>
      <c r="P1551" t="s">
        <v>7583</v>
      </c>
      <c r="Q1551" t="s">
        <v>346</v>
      </c>
      <c r="R1551" t="s">
        <v>379</v>
      </c>
      <c r="S1551">
        <v>3.75</v>
      </c>
      <c r="T1551">
        <v>8439</v>
      </c>
      <c r="U1551">
        <v>0</v>
      </c>
      <c r="V1551">
        <v>8439</v>
      </c>
    </row>
    <row r="1552" spans="1:22" x14ac:dyDescent="0.25">
      <c r="A1552">
        <v>186607</v>
      </c>
      <c r="B1552">
        <v>131555161</v>
      </c>
      <c r="C1552" t="s">
        <v>7584</v>
      </c>
      <c r="D1552" t="s">
        <v>7585</v>
      </c>
      <c r="E1552" t="s">
        <v>5643</v>
      </c>
      <c r="F1552" t="s">
        <v>847</v>
      </c>
      <c r="G1552" t="s">
        <v>156</v>
      </c>
      <c r="H1552" t="s">
        <v>157</v>
      </c>
      <c r="I1552" t="s">
        <v>35</v>
      </c>
      <c r="J1552" t="s">
        <v>166</v>
      </c>
      <c r="K1552" t="s">
        <v>2</v>
      </c>
      <c r="L1552" t="s">
        <v>158</v>
      </c>
      <c r="M1552" t="s">
        <v>7586</v>
      </c>
      <c r="N1552" t="s">
        <v>5646</v>
      </c>
      <c r="O1552" t="s">
        <v>71</v>
      </c>
      <c r="P1552" t="s">
        <v>7587</v>
      </c>
      <c r="Q1552" t="s">
        <v>118</v>
      </c>
      <c r="R1552" t="s">
        <v>7210</v>
      </c>
      <c r="S1552">
        <v>2.13</v>
      </c>
      <c r="T1552">
        <v>7326</v>
      </c>
      <c r="U1552">
        <v>0</v>
      </c>
      <c r="V1552">
        <v>7326</v>
      </c>
    </row>
    <row r="1553" spans="1:22" x14ac:dyDescent="0.25">
      <c r="A1553">
        <v>186607</v>
      </c>
      <c r="B1553">
        <v>131383632</v>
      </c>
      <c r="C1553" t="s">
        <v>7588</v>
      </c>
      <c r="D1553" t="s">
        <v>7589</v>
      </c>
      <c r="E1553" t="s">
        <v>5643</v>
      </c>
      <c r="F1553" t="s">
        <v>847</v>
      </c>
      <c r="G1553" t="s">
        <v>156</v>
      </c>
      <c r="H1553" t="s">
        <v>157</v>
      </c>
      <c r="I1553" t="s">
        <v>35</v>
      </c>
      <c r="J1553" t="s">
        <v>166</v>
      </c>
      <c r="K1553" t="s">
        <v>2</v>
      </c>
      <c r="L1553" t="s">
        <v>158</v>
      </c>
      <c r="M1553" t="s">
        <v>7590</v>
      </c>
      <c r="N1553" t="s">
        <v>5646</v>
      </c>
      <c r="O1553" t="s">
        <v>71</v>
      </c>
      <c r="P1553" t="s">
        <v>7591</v>
      </c>
      <c r="Q1553" t="s">
        <v>212</v>
      </c>
      <c r="R1553" t="s">
        <v>6023</v>
      </c>
      <c r="S1553">
        <v>3.22</v>
      </c>
      <c r="T1553">
        <v>8439</v>
      </c>
      <c r="U1553">
        <v>0</v>
      </c>
      <c r="V1553">
        <v>8439</v>
      </c>
    </row>
    <row r="1554" spans="1:22" x14ac:dyDescent="0.25">
      <c r="A1554">
        <v>186607</v>
      </c>
      <c r="B1554">
        <v>131533844</v>
      </c>
      <c r="C1554" t="s">
        <v>7592</v>
      </c>
      <c r="D1554" t="s">
        <v>7593</v>
      </c>
      <c r="E1554" t="s">
        <v>5643</v>
      </c>
      <c r="F1554" t="s">
        <v>847</v>
      </c>
      <c r="G1554" t="s">
        <v>156</v>
      </c>
      <c r="H1554" t="s">
        <v>157</v>
      </c>
      <c r="I1554" t="s">
        <v>35</v>
      </c>
      <c r="J1554" t="s">
        <v>166</v>
      </c>
      <c r="K1554" t="s">
        <v>2</v>
      </c>
      <c r="L1554" t="s">
        <v>158</v>
      </c>
      <c r="M1554" t="s">
        <v>7594</v>
      </c>
      <c r="N1554" t="s">
        <v>5646</v>
      </c>
      <c r="O1554" t="s">
        <v>71</v>
      </c>
      <c r="P1554" t="s">
        <v>7595</v>
      </c>
      <c r="Q1554" t="s">
        <v>145</v>
      </c>
      <c r="R1554" t="s">
        <v>391</v>
      </c>
      <c r="S1554">
        <v>3.51</v>
      </c>
      <c r="T1554">
        <v>4537</v>
      </c>
      <c r="U1554">
        <v>0</v>
      </c>
      <c r="V1554">
        <v>4537</v>
      </c>
    </row>
    <row r="1555" spans="1:22" x14ac:dyDescent="0.25">
      <c r="A1555">
        <v>186607</v>
      </c>
      <c r="B1555">
        <v>131340106</v>
      </c>
      <c r="C1555" t="s">
        <v>7596</v>
      </c>
      <c r="D1555" t="s">
        <v>7597</v>
      </c>
      <c r="E1555" t="s">
        <v>5643</v>
      </c>
      <c r="F1555" t="s">
        <v>847</v>
      </c>
      <c r="G1555" t="s">
        <v>156</v>
      </c>
      <c r="H1555" t="s">
        <v>157</v>
      </c>
      <c r="I1555" t="s">
        <v>35</v>
      </c>
      <c r="J1555" t="s">
        <v>166</v>
      </c>
      <c r="K1555" t="s">
        <v>2</v>
      </c>
      <c r="L1555" t="s">
        <v>158</v>
      </c>
      <c r="M1555" t="s">
        <v>7598</v>
      </c>
      <c r="N1555" t="s">
        <v>5646</v>
      </c>
      <c r="O1555" t="s">
        <v>71</v>
      </c>
      <c r="P1555" t="s">
        <v>7599</v>
      </c>
      <c r="Q1555" t="s">
        <v>84</v>
      </c>
      <c r="R1555" t="s">
        <v>6039</v>
      </c>
      <c r="S1555">
        <v>2.0699999999999998</v>
      </c>
      <c r="T1555">
        <v>4168</v>
      </c>
      <c r="U1555">
        <v>0</v>
      </c>
      <c r="V1555">
        <v>4168</v>
      </c>
    </row>
    <row r="1556" spans="1:22" x14ac:dyDescent="0.25">
      <c r="A1556">
        <v>186607</v>
      </c>
      <c r="B1556">
        <v>131340117</v>
      </c>
      <c r="C1556" t="s">
        <v>7600</v>
      </c>
      <c r="D1556" t="s">
        <v>7601</v>
      </c>
      <c r="E1556" t="s">
        <v>5643</v>
      </c>
      <c r="F1556" t="s">
        <v>847</v>
      </c>
      <c r="G1556" t="s">
        <v>156</v>
      </c>
      <c r="H1556" t="s">
        <v>157</v>
      </c>
      <c r="I1556" t="s">
        <v>35</v>
      </c>
      <c r="J1556" t="s">
        <v>166</v>
      </c>
      <c r="K1556" t="s">
        <v>2</v>
      </c>
      <c r="L1556" t="s">
        <v>158</v>
      </c>
      <c r="M1556" t="s">
        <v>7602</v>
      </c>
      <c r="N1556" t="s">
        <v>5646</v>
      </c>
      <c r="O1556" t="s">
        <v>71</v>
      </c>
      <c r="P1556" t="s">
        <v>7603</v>
      </c>
      <c r="Q1556" t="s">
        <v>53</v>
      </c>
      <c r="R1556" t="s">
        <v>6039</v>
      </c>
      <c r="S1556">
        <v>3</v>
      </c>
      <c r="T1556">
        <v>4168</v>
      </c>
      <c r="U1556">
        <v>0</v>
      </c>
      <c r="V1556">
        <v>4168</v>
      </c>
    </row>
    <row r="1557" spans="1:22" x14ac:dyDescent="0.25">
      <c r="A1557">
        <v>186607</v>
      </c>
      <c r="B1557">
        <v>131383671</v>
      </c>
      <c r="C1557" t="s">
        <v>7604</v>
      </c>
      <c r="D1557" t="s">
        <v>7605</v>
      </c>
      <c r="E1557" t="s">
        <v>5643</v>
      </c>
      <c r="F1557" t="s">
        <v>847</v>
      </c>
      <c r="G1557" t="s">
        <v>156</v>
      </c>
      <c r="H1557" t="s">
        <v>157</v>
      </c>
      <c r="I1557" t="s">
        <v>35</v>
      </c>
      <c r="J1557" t="s">
        <v>166</v>
      </c>
      <c r="K1557" t="s">
        <v>2</v>
      </c>
      <c r="L1557" t="s">
        <v>158</v>
      </c>
      <c r="M1557" t="s">
        <v>7606</v>
      </c>
      <c r="N1557" t="s">
        <v>5646</v>
      </c>
      <c r="O1557" t="s">
        <v>71</v>
      </c>
      <c r="P1557" t="s">
        <v>7607</v>
      </c>
      <c r="Q1557" t="s">
        <v>59</v>
      </c>
      <c r="R1557" t="s">
        <v>6023</v>
      </c>
      <c r="S1557">
        <v>0.01</v>
      </c>
      <c r="T1557">
        <v>5601</v>
      </c>
      <c r="U1557">
        <v>0</v>
      </c>
      <c r="V1557">
        <v>5601</v>
      </c>
    </row>
    <row r="1558" spans="1:22" x14ac:dyDescent="0.25">
      <c r="A1558">
        <v>186607</v>
      </c>
      <c r="B1558">
        <v>131489812</v>
      </c>
      <c r="C1558" t="s">
        <v>7608</v>
      </c>
      <c r="D1558" t="s">
        <v>7609</v>
      </c>
      <c r="E1558" t="s">
        <v>5643</v>
      </c>
      <c r="F1558" t="s">
        <v>847</v>
      </c>
      <c r="G1558" t="s">
        <v>156</v>
      </c>
      <c r="H1558" t="s">
        <v>157</v>
      </c>
      <c r="I1558" t="s">
        <v>35</v>
      </c>
      <c r="J1558" t="s">
        <v>166</v>
      </c>
      <c r="K1558" t="s">
        <v>2</v>
      </c>
      <c r="L1558" t="s">
        <v>158</v>
      </c>
      <c r="M1558" t="s">
        <v>7610</v>
      </c>
      <c r="N1558" t="s">
        <v>5646</v>
      </c>
      <c r="O1558" t="s">
        <v>71</v>
      </c>
      <c r="P1558" t="s">
        <v>7611</v>
      </c>
      <c r="Q1558" t="s">
        <v>59</v>
      </c>
      <c r="R1558" t="s">
        <v>310</v>
      </c>
      <c r="S1558">
        <v>3.29</v>
      </c>
      <c r="T1558">
        <v>7129</v>
      </c>
      <c r="U1558">
        <v>0</v>
      </c>
      <c r="V1558">
        <v>7129</v>
      </c>
    </row>
    <row r="1559" spans="1:22" x14ac:dyDescent="0.25">
      <c r="A1559">
        <v>186607</v>
      </c>
      <c r="B1559">
        <v>131448799</v>
      </c>
      <c r="C1559" t="s">
        <v>7612</v>
      </c>
      <c r="D1559" t="s">
        <v>7613</v>
      </c>
      <c r="E1559" t="s">
        <v>5643</v>
      </c>
      <c r="F1559" t="s">
        <v>847</v>
      </c>
      <c r="G1559" t="s">
        <v>156</v>
      </c>
      <c r="H1559" t="s">
        <v>157</v>
      </c>
      <c r="I1559" t="s">
        <v>35</v>
      </c>
      <c r="J1559" t="s">
        <v>166</v>
      </c>
      <c r="K1559" t="s">
        <v>2</v>
      </c>
      <c r="L1559" t="s">
        <v>158</v>
      </c>
      <c r="M1559" t="s">
        <v>697</v>
      </c>
      <c r="N1559" t="s">
        <v>5646</v>
      </c>
      <c r="O1559" t="s">
        <v>71</v>
      </c>
      <c r="P1559" t="s">
        <v>7614</v>
      </c>
      <c r="Q1559" t="s">
        <v>226</v>
      </c>
      <c r="R1559" t="s">
        <v>489</v>
      </c>
      <c r="S1559">
        <v>3.37</v>
      </c>
      <c r="T1559">
        <v>7224</v>
      </c>
      <c r="U1559">
        <v>0</v>
      </c>
      <c r="V1559">
        <v>7224</v>
      </c>
    </row>
    <row r="1560" spans="1:22" x14ac:dyDescent="0.25">
      <c r="A1560">
        <v>186607</v>
      </c>
      <c r="B1560">
        <v>131489830</v>
      </c>
      <c r="C1560" t="s">
        <v>7615</v>
      </c>
      <c r="D1560" t="s">
        <v>7616</v>
      </c>
      <c r="E1560" t="s">
        <v>5643</v>
      </c>
      <c r="F1560" t="s">
        <v>847</v>
      </c>
      <c r="G1560" t="s">
        <v>156</v>
      </c>
      <c r="H1560" t="s">
        <v>157</v>
      </c>
      <c r="I1560" t="s">
        <v>35</v>
      </c>
      <c r="J1560" t="s">
        <v>166</v>
      </c>
      <c r="K1560" t="s">
        <v>2</v>
      </c>
      <c r="L1560" t="s">
        <v>158</v>
      </c>
      <c r="M1560" t="s">
        <v>7617</v>
      </c>
      <c r="N1560" t="s">
        <v>5646</v>
      </c>
      <c r="O1560" t="s">
        <v>71</v>
      </c>
      <c r="P1560" t="s">
        <v>7618</v>
      </c>
      <c r="Q1560" t="s">
        <v>262</v>
      </c>
      <c r="R1560" t="s">
        <v>310</v>
      </c>
      <c r="S1560">
        <v>0.75</v>
      </c>
      <c r="T1560">
        <v>6064</v>
      </c>
      <c r="U1560">
        <v>0</v>
      </c>
      <c r="V1560">
        <v>6064</v>
      </c>
    </row>
    <row r="1561" spans="1:22" x14ac:dyDescent="0.25">
      <c r="A1561">
        <v>186607</v>
      </c>
      <c r="B1561">
        <v>131501452</v>
      </c>
      <c r="C1561" t="s">
        <v>7619</v>
      </c>
      <c r="D1561" t="s">
        <v>7620</v>
      </c>
      <c r="E1561" t="s">
        <v>5643</v>
      </c>
      <c r="F1561" t="s">
        <v>847</v>
      </c>
      <c r="G1561" t="s">
        <v>156</v>
      </c>
      <c r="H1561" t="s">
        <v>157</v>
      </c>
      <c r="I1561" t="s">
        <v>35</v>
      </c>
      <c r="J1561" t="s">
        <v>166</v>
      </c>
      <c r="K1561" t="s">
        <v>2</v>
      </c>
      <c r="L1561" t="s">
        <v>158</v>
      </c>
      <c r="M1561" t="s">
        <v>7621</v>
      </c>
      <c r="N1561" t="s">
        <v>5646</v>
      </c>
      <c r="O1561" t="s">
        <v>71</v>
      </c>
      <c r="P1561" t="s">
        <v>7622</v>
      </c>
      <c r="Q1561" t="s">
        <v>196</v>
      </c>
      <c r="R1561" t="s">
        <v>663</v>
      </c>
      <c r="S1561">
        <v>3.19</v>
      </c>
      <c r="T1561">
        <v>7943</v>
      </c>
      <c r="U1561">
        <v>0</v>
      </c>
      <c r="V1561">
        <v>7943</v>
      </c>
    </row>
    <row r="1562" spans="1:22" x14ac:dyDescent="0.25">
      <c r="A1562">
        <v>186607</v>
      </c>
      <c r="B1562">
        <v>131555162</v>
      </c>
      <c r="C1562" t="s">
        <v>7623</v>
      </c>
      <c r="D1562" t="s">
        <v>7624</v>
      </c>
      <c r="E1562" t="s">
        <v>5643</v>
      </c>
      <c r="F1562" t="s">
        <v>847</v>
      </c>
      <c r="G1562" t="s">
        <v>156</v>
      </c>
      <c r="H1562" t="s">
        <v>157</v>
      </c>
      <c r="I1562" t="s">
        <v>35</v>
      </c>
      <c r="J1562" t="s">
        <v>166</v>
      </c>
      <c r="K1562" t="s">
        <v>2</v>
      </c>
      <c r="L1562" t="s">
        <v>158</v>
      </c>
      <c r="M1562" t="s">
        <v>7625</v>
      </c>
      <c r="N1562" t="s">
        <v>5646</v>
      </c>
      <c r="O1562" t="s">
        <v>71</v>
      </c>
      <c r="P1562" t="s">
        <v>7626</v>
      </c>
      <c r="Q1562" t="s">
        <v>53</v>
      </c>
      <c r="R1562" t="s">
        <v>7210</v>
      </c>
      <c r="S1562">
        <v>1.97</v>
      </c>
      <c r="T1562">
        <v>4168</v>
      </c>
      <c r="U1562">
        <v>0</v>
      </c>
      <c r="V1562">
        <v>4168</v>
      </c>
    </row>
    <row r="1563" spans="1:22" x14ac:dyDescent="0.25">
      <c r="A1563">
        <v>186607</v>
      </c>
      <c r="B1563">
        <v>131533581</v>
      </c>
      <c r="C1563" t="s">
        <v>7627</v>
      </c>
      <c r="D1563" t="s">
        <v>7628</v>
      </c>
      <c r="E1563" t="s">
        <v>5643</v>
      </c>
      <c r="F1563" t="s">
        <v>847</v>
      </c>
      <c r="G1563" t="s">
        <v>156</v>
      </c>
      <c r="H1563" t="s">
        <v>157</v>
      </c>
      <c r="I1563" t="s">
        <v>35</v>
      </c>
      <c r="J1563" t="s">
        <v>166</v>
      </c>
      <c r="K1563" t="s">
        <v>2</v>
      </c>
      <c r="L1563" t="s">
        <v>158</v>
      </c>
      <c r="M1563" t="s">
        <v>7629</v>
      </c>
      <c r="N1563" t="s">
        <v>5646</v>
      </c>
      <c r="O1563" t="s">
        <v>71</v>
      </c>
      <c r="P1563" t="s">
        <v>7630</v>
      </c>
      <c r="Q1563" t="s">
        <v>53</v>
      </c>
      <c r="R1563" t="s">
        <v>445</v>
      </c>
      <c r="S1563">
        <v>3.94</v>
      </c>
      <c r="T1563">
        <v>4537</v>
      </c>
      <c r="U1563">
        <v>0</v>
      </c>
      <c r="V1563">
        <v>4537</v>
      </c>
    </row>
    <row r="1564" spans="1:22" x14ac:dyDescent="0.25">
      <c r="A1564">
        <v>186607</v>
      </c>
      <c r="B1564">
        <v>131533591</v>
      </c>
      <c r="C1564" t="s">
        <v>7631</v>
      </c>
      <c r="D1564" t="s">
        <v>7632</v>
      </c>
      <c r="E1564" t="s">
        <v>5643</v>
      </c>
      <c r="F1564" t="s">
        <v>847</v>
      </c>
      <c r="G1564" t="s">
        <v>156</v>
      </c>
      <c r="H1564" t="s">
        <v>157</v>
      </c>
      <c r="I1564" t="s">
        <v>35</v>
      </c>
      <c r="J1564" t="s">
        <v>166</v>
      </c>
      <c r="K1564" t="s">
        <v>2</v>
      </c>
      <c r="L1564" t="s">
        <v>158</v>
      </c>
      <c r="M1564" t="s">
        <v>7633</v>
      </c>
      <c r="N1564" t="s">
        <v>5646</v>
      </c>
      <c r="O1564" t="s">
        <v>71</v>
      </c>
      <c r="P1564" t="s">
        <v>7634</v>
      </c>
      <c r="Q1564" t="s">
        <v>195</v>
      </c>
      <c r="R1564" t="s">
        <v>445</v>
      </c>
      <c r="S1564">
        <v>3.13</v>
      </c>
      <c r="T1564">
        <v>4537</v>
      </c>
      <c r="U1564">
        <v>0</v>
      </c>
      <c r="V1564">
        <v>4537</v>
      </c>
    </row>
    <row r="1565" spans="1:22" x14ac:dyDescent="0.25">
      <c r="A1565">
        <v>186607</v>
      </c>
      <c r="B1565">
        <v>131489826</v>
      </c>
      <c r="C1565" t="s">
        <v>7635</v>
      </c>
      <c r="D1565" t="s">
        <v>7636</v>
      </c>
      <c r="E1565" t="s">
        <v>5643</v>
      </c>
      <c r="F1565" t="s">
        <v>847</v>
      </c>
      <c r="G1565" t="s">
        <v>156</v>
      </c>
      <c r="H1565" t="s">
        <v>157</v>
      </c>
      <c r="I1565" t="s">
        <v>35</v>
      </c>
      <c r="J1565" t="s">
        <v>166</v>
      </c>
      <c r="K1565" t="s">
        <v>2</v>
      </c>
      <c r="L1565" t="s">
        <v>158</v>
      </c>
      <c r="M1565" t="s">
        <v>7637</v>
      </c>
      <c r="N1565" t="s">
        <v>5646</v>
      </c>
      <c r="O1565" t="s">
        <v>71</v>
      </c>
      <c r="P1565" t="s">
        <v>7638</v>
      </c>
      <c r="Q1565" t="s">
        <v>256</v>
      </c>
      <c r="R1565" t="s">
        <v>310</v>
      </c>
      <c r="S1565">
        <v>2.16</v>
      </c>
      <c r="T1565">
        <v>7326</v>
      </c>
      <c r="U1565">
        <v>0</v>
      </c>
      <c r="V1565">
        <v>7326</v>
      </c>
    </row>
    <row r="1566" spans="1:22" x14ac:dyDescent="0.25">
      <c r="A1566">
        <v>186607</v>
      </c>
      <c r="B1566">
        <v>131448801</v>
      </c>
      <c r="C1566" t="s">
        <v>7639</v>
      </c>
      <c r="D1566" t="s">
        <v>7640</v>
      </c>
      <c r="E1566" t="s">
        <v>5643</v>
      </c>
      <c r="F1566" t="s">
        <v>847</v>
      </c>
      <c r="G1566" t="s">
        <v>156</v>
      </c>
      <c r="H1566" t="s">
        <v>157</v>
      </c>
      <c r="I1566" t="s">
        <v>35</v>
      </c>
      <c r="J1566" t="s">
        <v>166</v>
      </c>
      <c r="K1566" t="s">
        <v>2</v>
      </c>
      <c r="L1566" t="s">
        <v>158</v>
      </c>
      <c r="M1566" t="s">
        <v>7641</v>
      </c>
      <c r="N1566" t="s">
        <v>5646</v>
      </c>
      <c r="O1566" t="s">
        <v>71</v>
      </c>
      <c r="P1566" t="s">
        <v>7642</v>
      </c>
      <c r="Q1566" t="s">
        <v>195</v>
      </c>
      <c r="R1566" t="s">
        <v>489</v>
      </c>
      <c r="S1566">
        <v>2.23</v>
      </c>
      <c r="T1566">
        <v>4168</v>
      </c>
      <c r="U1566">
        <v>0</v>
      </c>
      <c r="V1566">
        <v>4168</v>
      </c>
    </row>
    <row r="1567" spans="1:22" x14ac:dyDescent="0.25">
      <c r="A1567">
        <v>186607</v>
      </c>
      <c r="B1567">
        <v>131383654</v>
      </c>
      <c r="C1567" t="s">
        <v>7643</v>
      </c>
      <c r="D1567" t="s">
        <v>7644</v>
      </c>
      <c r="E1567" t="s">
        <v>5643</v>
      </c>
      <c r="F1567" t="s">
        <v>847</v>
      </c>
      <c r="G1567" t="s">
        <v>156</v>
      </c>
      <c r="H1567" t="s">
        <v>157</v>
      </c>
      <c r="I1567" t="s">
        <v>35</v>
      </c>
      <c r="J1567" t="s">
        <v>166</v>
      </c>
      <c r="K1567" t="s">
        <v>2</v>
      </c>
      <c r="L1567" t="s">
        <v>158</v>
      </c>
      <c r="M1567" t="s">
        <v>7645</v>
      </c>
      <c r="N1567" t="s">
        <v>5646</v>
      </c>
      <c r="O1567" t="s">
        <v>71</v>
      </c>
      <c r="P1567" t="s">
        <v>7646</v>
      </c>
      <c r="Q1567" t="s">
        <v>195</v>
      </c>
      <c r="R1567" t="s">
        <v>6023</v>
      </c>
      <c r="S1567">
        <v>3.02</v>
      </c>
      <c r="T1567">
        <v>4537</v>
      </c>
      <c r="U1567">
        <v>0</v>
      </c>
      <c r="V1567">
        <v>4537</v>
      </c>
    </row>
    <row r="1568" spans="1:22" x14ac:dyDescent="0.25">
      <c r="A1568">
        <v>186607</v>
      </c>
      <c r="B1568">
        <v>131406412</v>
      </c>
      <c r="C1568" t="s">
        <v>7647</v>
      </c>
      <c r="D1568" t="s">
        <v>7648</v>
      </c>
      <c r="E1568" t="s">
        <v>5643</v>
      </c>
      <c r="F1568" t="s">
        <v>847</v>
      </c>
      <c r="G1568" t="s">
        <v>156</v>
      </c>
      <c r="H1568" t="s">
        <v>157</v>
      </c>
      <c r="I1568" t="s">
        <v>35</v>
      </c>
      <c r="J1568" t="s">
        <v>166</v>
      </c>
      <c r="K1568" t="s">
        <v>2</v>
      </c>
      <c r="L1568" t="s">
        <v>158</v>
      </c>
      <c r="M1568" t="s">
        <v>556</v>
      </c>
      <c r="N1568" t="s">
        <v>5646</v>
      </c>
      <c r="O1568" t="s">
        <v>71</v>
      </c>
      <c r="P1568" t="s">
        <v>7649</v>
      </c>
      <c r="Q1568" t="s">
        <v>243</v>
      </c>
      <c r="R1568" t="s">
        <v>756</v>
      </c>
      <c r="S1568">
        <v>9.8800000000000008</v>
      </c>
      <c r="T1568">
        <v>8693</v>
      </c>
      <c r="U1568">
        <v>0</v>
      </c>
      <c r="V1568">
        <v>8693</v>
      </c>
    </row>
    <row r="1569" spans="1:22" x14ac:dyDescent="0.25">
      <c r="A1569">
        <v>186607</v>
      </c>
      <c r="B1569">
        <v>131448823</v>
      </c>
      <c r="C1569" t="s">
        <v>7650</v>
      </c>
      <c r="D1569" t="s">
        <v>7651</v>
      </c>
      <c r="E1569" t="s">
        <v>5643</v>
      </c>
      <c r="F1569" t="s">
        <v>847</v>
      </c>
      <c r="G1569" t="s">
        <v>156</v>
      </c>
      <c r="H1569" t="s">
        <v>157</v>
      </c>
      <c r="I1569" t="s">
        <v>35</v>
      </c>
      <c r="J1569" t="s">
        <v>166</v>
      </c>
      <c r="K1569" t="s">
        <v>2</v>
      </c>
      <c r="L1569" t="s">
        <v>158</v>
      </c>
      <c r="M1569" t="s">
        <v>7652</v>
      </c>
      <c r="N1569" t="s">
        <v>5646</v>
      </c>
      <c r="O1569" t="s">
        <v>71</v>
      </c>
      <c r="P1569" t="s">
        <v>7653</v>
      </c>
      <c r="Q1569" t="s">
        <v>84</v>
      </c>
      <c r="R1569" t="s">
        <v>489</v>
      </c>
      <c r="S1569">
        <v>2.36</v>
      </c>
      <c r="T1569">
        <v>4168</v>
      </c>
      <c r="U1569">
        <v>0</v>
      </c>
      <c r="V1569">
        <v>4168</v>
      </c>
    </row>
    <row r="1570" spans="1:22" x14ac:dyDescent="0.25">
      <c r="A1570">
        <v>186607</v>
      </c>
      <c r="B1570">
        <v>131107946</v>
      </c>
      <c r="C1570" t="s">
        <v>7654</v>
      </c>
      <c r="D1570" t="s">
        <v>7655</v>
      </c>
      <c r="E1570" t="s">
        <v>5643</v>
      </c>
      <c r="F1570" t="s">
        <v>847</v>
      </c>
      <c r="G1570" t="s">
        <v>156</v>
      </c>
      <c r="H1570" t="s">
        <v>157</v>
      </c>
      <c r="I1570" t="s">
        <v>35</v>
      </c>
      <c r="J1570" t="s">
        <v>166</v>
      </c>
      <c r="K1570" t="s">
        <v>2</v>
      </c>
      <c r="L1570" t="s">
        <v>158</v>
      </c>
      <c r="M1570" t="s">
        <v>750</v>
      </c>
      <c r="N1570" t="s">
        <v>5646</v>
      </c>
      <c r="O1570" t="s">
        <v>71</v>
      </c>
      <c r="P1570" t="s">
        <v>7656</v>
      </c>
      <c r="Q1570" t="s">
        <v>168</v>
      </c>
      <c r="R1570" t="s">
        <v>7363</v>
      </c>
      <c r="S1570">
        <v>4.49</v>
      </c>
      <c r="T1570">
        <v>4537</v>
      </c>
      <c r="U1570">
        <v>0</v>
      </c>
      <c r="V1570">
        <v>4537</v>
      </c>
    </row>
    <row r="1571" spans="1:22" x14ac:dyDescent="0.25">
      <c r="A1571">
        <v>186607</v>
      </c>
      <c r="B1571">
        <v>131277926</v>
      </c>
      <c r="C1571" t="s">
        <v>7657</v>
      </c>
      <c r="D1571" t="s">
        <v>7658</v>
      </c>
      <c r="E1571" t="s">
        <v>5643</v>
      </c>
      <c r="F1571" t="s">
        <v>847</v>
      </c>
      <c r="G1571" t="s">
        <v>156</v>
      </c>
      <c r="H1571" t="s">
        <v>157</v>
      </c>
      <c r="I1571" t="s">
        <v>35</v>
      </c>
      <c r="J1571" t="s">
        <v>166</v>
      </c>
      <c r="K1571" t="s">
        <v>2</v>
      </c>
      <c r="L1571" t="s">
        <v>158</v>
      </c>
      <c r="M1571" t="s">
        <v>7659</v>
      </c>
      <c r="N1571" t="s">
        <v>5646</v>
      </c>
      <c r="O1571" t="s">
        <v>71</v>
      </c>
      <c r="P1571" t="s">
        <v>7660</v>
      </c>
      <c r="Q1571" t="s">
        <v>243</v>
      </c>
      <c r="R1571" t="s">
        <v>623</v>
      </c>
      <c r="S1571">
        <v>4.4800000000000004</v>
      </c>
      <c r="T1571">
        <v>6998</v>
      </c>
      <c r="U1571">
        <v>0</v>
      </c>
      <c r="V1571">
        <v>6998</v>
      </c>
    </row>
    <row r="1572" spans="1:22" x14ac:dyDescent="0.25">
      <c r="A1572">
        <v>186607</v>
      </c>
      <c r="B1572">
        <v>131193350</v>
      </c>
      <c r="C1572" t="s">
        <v>7661</v>
      </c>
      <c r="D1572" t="s">
        <v>7662</v>
      </c>
      <c r="E1572" t="s">
        <v>5643</v>
      </c>
      <c r="F1572" t="s">
        <v>847</v>
      </c>
      <c r="G1572" t="s">
        <v>156</v>
      </c>
      <c r="H1572" t="s">
        <v>157</v>
      </c>
      <c r="I1572" t="s">
        <v>35</v>
      </c>
      <c r="J1572" t="s">
        <v>166</v>
      </c>
      <c r="K1572" t="s">
        <v>2</v>
      </c>
      <c r="L1572" t="s">
        <v>158</v>
      </c>
      <c r="M1572" t="s">
        <v>7663</v>
      </c>
      <c r="N1572" t="s">
        <v>5646</v>
      </c>
      <c r="O1572" t="s">
        <v>71</v>
      </c>
      <c r="P1572" t="s">
        <v>7664</v>
      </c>
      <c r="Q1572" t="s">
        <v>53</v>
      </c>
      <c r="R1572" t="s">
        <v>630</v>
      </c>
      <c r="S1572">
        <v>1.99</v>
      </c>
      <c r="T1572">
        <v>4168</v>
      </c>
      <c r="U1572">
        <v>0</v>
      </c>
      <c r="V1572">
        <v>4168</v>
      </c>
    </row>
    <row r="1573" spans="1:22" x14ac:dyDescent="0.25">
      <c r="A1573">
        <v>186607</v>
      </c>
      <c r="B1573">
        <v>131182385</v>
      </c>
      <c r="C1573" t="s">
        <v>7665</v>
      </c>
      <c r="D1573" t="s">
        <v>7666</v>
      </c>
      <c r="E1573" t="s">
        <v>5643</v>
      </c>
      <c r="F1573" t="s">
        <v>847</v>
      </c>
      <c r="G1573" t="s">
        <v>156</v>
      </c>
      <c r="H1573" t="s">
        <v>157</v>
      </c>
      <c r="I1573" t="s">
        <v>35</v>
      </c>
      <c r="J1573" t="s">
        <v>166</v>
      </c>
      <c r="K1573" t="s">
        <v>2</v>
      </c>
      <c r="L1573" t="s">
        <v>158</v>
      </c>
      <c r="M1573" t="s">
        <v>7667</v>
      </c>
      <c r="N1573" t="s">
        <v>5646</v>
      </c>
      <c r="O1573" t="s">
        <v>71</v>
      </c>
      <c r="P1573" t="s">
        <v>7668</v>
      </c>
      <c r="Q1573" t="s">
        <v>225</v>
      </c>
      <c r="R1573" t="s">
        <v>7669</v>
      </c>
      <c r="S1573">
        <v>3.08</v>
      </c>
      <c r="T1573">
        <v>7224</v>
      </c>
      <c r="U1573">
        <v>0</v>
      </c>
      <c r="V1573">
        <v>7224</v>
      </c>
    </row>
    <row r="1574" spans="1:22" x14ac:dyDescent="0.25">
      <c r="A1574">
        <v>186607</v>
      </c>
      <c r="B1574">
        <v>131152316</v>
      </c>
      <c r="C1574" t="s">
        <v>7670</v>
      </c>
      <c r="D1574" t="s">
        <v>7671</v>
      </c>
      <c r="E1574" t="s">
        <v>5643</v>
      </c>
      <c r="F1574" t="s">
        <v>847</v>
      </c>
      <c r="G1574" t="s">
        <v>156</v>
      </c>
      <c r="H1574" t="s">
        <v>157</v>
      </c>
      <c r="I1574" t="s">
        <v>35</v>
      </c>
      <c r="J1574" t="s">
        <v>166</v>
      </c>
      <c r="K1574" t="s">
        <v>2</v>
      </c>
      <c r="L1574" t="s">
        <v>158</v>
      </c>
      <c r="M1574" t="s">
        <v>7672</v>
      </c>
      <c r="N1574" t="s">
        <v>5646</v>
      </c>
      <c r="O1574" t="s">
        <v>71</v>
      </c>
      <c r="P1574" t="s">
        <v>7673</v>
      </c>
      <c r="Q1574" t="s">
        <v>59</v>
      </c>
      <c r="R1574" t="s">
        <v>398</v>
      </c>
      <c r="S1574">
        <v>4.1500000000000004</v>
      </c>
      <c r="T1574">
        <v>7129</v>
      </c>
      <c r="U1574">
        <v>0</v>
      </c>
      <c r="V1574">
        <v>7129</v>
      </c>
    </row>
    <row r="1575" spans="1:22" x14ac:dyDescent="0.25">
      <c r="A1575">
        <v>186607</v>
      </c>
      <c r="B1575">
        <v>131268193</v>
      </c>
      <c r="C1575" t="s">
        <v>7674</v>
      </c>
      <c r="D1575" t="s">
        <v>7675</v>
      </c>
      <c r="E1575" t="s">
        <v>5643</v>
      </c>
      <c r="F1575" t="s">
        <v>847</v>
      </c>
      <c r="G1575" t="s">
        <v>156</v>
      </c>
      <c r="H1575" t="s">
        <v>157</v>
      </c>
      <c r="I1575" t="s">
        <v>35</v>
      </c>
      <c r="J1575" t="s">
        <v>166</v>
      </c>
      <c r="K1575" t="s">
        <v>2</v>
      </c>
      <c r="L1575" t="s">
        <v>158</v>
      </c>
      <c r="M1575" t="s">
        <v>7676</v>
      </c>
      <c r="N1575" t="s">
        <v>5646</v>
      </c>
      <c r="O1575" t="s">
        <v>71</v>
      </c>
      <c r="P1575" t="s">
        <v>7677</v>
      </c>
      <c r="Q1575" t="s">
        <v>147</v>
      </c>
      <c r="R1575" t="s">
        <v>303</v>
      </c>
      <c r="S1575">
        <v>3.31</v>
      </c>
      <c r="T1575">
        <v>4537</v>
      </c>
      <c r="U1575">
        <v>0</v>
      </c>
      <c r="V1575">
        <v>4537</v>
      </c>
    </row>
    <row r="1576" spans="1:22" x14ac:dyDescent="0.25">
      <c r="A1576">
        <v>186607</v>
      </c>
      <c r="B1576">
        <v>131268207</v>
      </c>
      <c r="C1576" t="s">
        <v>7678</v>
      </c>
      <c r="D1576" t="s">
        <v>7679</v>
      </c>
      <c r="E1576" t="s">
        <v>5643</v>
      </c>
      <c r="F1576" t="s">
        <v>847</v>
      </c>
      <c r="G1576" t="s">
        <v>156</v>
      </c>
      <c r="H1576" t="s">
        <v>157</v>
      </c>
      <c r="I1576" t="s">
        <v>35</v>
      </c>
      <c r="J1576" t="s">
        <v>166</v>
      </c>
      <c r="K1576" t="s">
        <v>2</v>
      </c>
      <c r="L1576" t="s">
        <v>158</v>
      </c>
      <c r="M1576" t="s">
        <v>7680</v>
      </c>
      <c r="N1576" t="s">
        <v>5646</v>
      </c>
      <c r="O1576" t="s">
        <v>71</v>
      </c>
      <c r="P1576" t="s">
        <v>7681</v>
      </c>
      <c r="Q1576" t="s">
        <v>203</v>
      </c>
      <c r="R1576" t="s">
        <v>303</v>
      </c>
      <c r="S1576">
        <v>4.7</v>
      </c>
      <c r="T1576">
        <v>7449</v>
      </c>
      <c r="U1576">
        <v>0</v>
      </c>
      <c r="V1576">
        <v>7449</v>
      </c>
    </row>
    <row r="1577" spans="1:22" x14ac:dyDescent="0.25">
      <c r="A1577">
        <v>186607</v>
      </c>
      <c r="B1577">
        <v>131268209</v>
      </c>
      <c r="C1577" t="s">
        <v>7682</v>
      </c>
      <c r="D1577" t="s">
        <v>7683</v>
      </c>
      <c r="E1577" t="s">
        <v>5643</v>
      </c>
      <c r="F1577" t="s">
        <v>847</v>
      </c>
      <c r="G1577" t="s">
        <v>156</v>
      </c>
      <c r="H1577" t="s">
        <v>157</v>
      </c>
      <c r="I1577" t="s">
        <v>35</v>
      </c>
      <c r="J1577" t="s">
        <v>166</v>
      </c>
      <c r="K1577" t="s">
        <v>2</v>
      </c>
      <c r="L1577" t="s">
        <v>158</v>
      </c>
      <c r="M1577" t="s">
        <v>810</v>
      </c>
      <c r="N1577" t="s">
        <v>5646</v>
      </c>
      <c r="O1577" t="s">
        <v>71</v>
      </c>
      <c r="P1577" t="s">
        <v>7684</v>
      </c>
      <c r="Q1577" t="s">
        <v>128</v>
      </c>
      <c r="R1577" t="s">
        <v>303</v>
      </c>
      <c r="S1577">
        <v>4.28</v>
      </c>
      <c r="T1577">
        <v>6998</v>
      </c>
      <c r="U1577">
        <v>0</v>
      </c>
      <c r="V1577">
        <v>6998</v>
      </c>
    </row>
    <row r="1578" spans="1:22" x14ac:dyDescent="0.25">
      <c r="A1578">
        <v>7547</v>
      </c>
      <c r="E1578" t="s">
        <v>847</v>
      </c>
      <c r="F1578" t="s">
        <v>847</v>
      </c>
      <c r="G1578" t="s">
        <v>504</v>
      </c>
      <c r="H1578" t="s">
        <v>505</v>
      </c>
      <c r="I1578" t="s">
        <v>328</v>
      </c>
      <c r="K1578" t="s">
        <v>770</v>
      </c>
      <c r="Q1578"/>
      <c r="R1578">
        <v>45896</v>
      </c>
      <c r="S1578">
        <v>1</v>
      </c>
      <c r="T1578">
        <v>3300</v>
      </c>
      <c r="U1578">
        <v>0</v>
      </c>
      <c r="V1578">
        <v>3300</v>
      </c>
    </row>
    <row r="1579" spans="1:22" x14ac:dyDescent="0.25">
      <c r="A1579">
        <v>7547</v>
      </c>
      <c r="E1579" t="s">
        <v>847</v>
      </c>
      <c r="F1579" t="s">
        <v>847</v>
      </c>
      <c r="G1579" t="s">
        <v>504</v>
      </c>
      <c r="H1579" t="s">
        <v>505</v>
      </c>
      <c r="I1579" t="s">
        <v>328</v>
      </c>
      <c r="K1579" t="s">
        <v>770</v>
      </c>
      <c r="Q1579"/>
      <c r="R1579">
        <v>45896</v>
      </c>
      <c r="S1579">
        <v>1</v>
      </c>
      <c r="T1579">
        <v>3300</v>
      </c>
      <c r="U1579">
        <v>0</v>
      </c>
      <c r="V1579">
        <v>3300</v>
      </c>
    </row>
    <row r="1580" spans="1:22" x14ac:dyDescent="0.25">
      <c r="A1580">
        <v>7547</v>
      </c>
      <c r="E1580" t="s">
        <v>847</v>
      </c>
      <c r="F1580" t="s">
        <v>847</v>
      </c>
      <c r="G1580" t="s">
        <v>504</v>
      </c>
      <c r="H1580" t="s">
        <v>505</v>
      </c>
      <c r="I1580" t="s">
        <v>328</v>
      </c>
      <c r="K1580" t="s">
        <v>770</v>
      </c>
      <c r="Q1580"/>
      <c r="R1580">
        <v>45894</v>
      </c>
      <c r="S1580">
        <v>1</v>
      </c>
      <c r="T1580">
        <v>3300</v>
      </c>
      <c r="U1580">
        <v>0</v>
      </c>
      <c r="V1580">
        <v>3300</v>
      </c>
    </row>
    <row r="1581" spans="1:22" x14ac:dyDescent="0.25">
      <c r="A1581">
        <v>7547</v>
      </c>
      <c r="E1581" t="s">
        <v>847</v>
      </c>
      <c r="F1581" t="s">
        <v>847</v>
      </c>
      <c r="G1581" t="s">
        <v>504</v>
      </c>
      <c r="H1581" t="s">
        <v>505</v>
      </c>
      <c r="I1581" t="s">
        <v>328</v>
      </c>
      <c r="K1581" t="s">
        <v>770</v>
      </c>
      <c r="Q1581"/>
      <c r="R1581">
        <v>45890</v>
      </c>
      <c r="S1581">
        <v>1</v>
      </c>
      <c r="T1581">
        <v>3300</v>
      </c>
      <c r="U1581">
        <v>0</v>
      </c>
      <c r="V1581">
        <v>3300</v>
      </c>
    </row>
    <row r="1582" spans="1:22" x14ac:dyDescent="0.25">
      <c r="A1582">
        <v>7547</v>
      </c>
      <c r="E1582" t="s">
        <v>847</v>
      </c>
      <c r="F1582" t="s">
        <v>847</v>
      </c>
      <c r="G1582" t="s">
        <v>504</v>
      </c>
      <c r="H1582" t="s">
        <v>505</v>
      </c>
      <c r="I1582" t="s">
        <v>328</v>
      </c>
      <c r="K1582" t="s">
        <v>770</v>
      </c>
      <c r="Q1582"/>
      <c r="R1582">
        <v>45889</v>
      </c>
      <c r="S1582">
        <v>1</v>
      </c>
      <c r="T1582">
        <v>3300</v>
      </c>
      <c r="U1582">
        <v>0</v>
      </c>
      <c r="V1582">
        <v>3300</v>
      </c>
    </row>
    <row r="1583" spans="1:22" x14ac:dyDescent="0.25">
      <c r="A1583">
        <v>7547</v>
      </c>
      <c r="E1583" t="s">
        <v>847</v>
      </c>
      <c r="F1583" t="s">
        <v>847</v>
      </c>
      <c r="G1583" t="s">
        <v>504</v>
      </c>
      <c r="H1583" t="s">
        <v>505</v>
      </c>
      <c r="I1583" t="s">
        <v>328</v>
      </c>
      <c r="K1583" t="s">
        <v>770</v>
      </c>
      <c r="Q1583"/>
      <c r="R1583">
        <v>45887</v>
      </c>
      <c r="S1583">
        <v>1</v>
      </c>
      <c r="T1583">
        <v>3300</v>
      </c>
      <c r="U1583">
        <v>0</v>
      </c>
      <c r="V1583">
        <v>3300</v>
      </c>
    </row>
    <row r="1584" spans="1:22" x14ac:dyDescent="0.25">
      <c r="A1584">
        <v>7547</v>
      </c>
      <c r="E1584" t="s">
        <v>847</v>
      </c>
      <c r="F1584" t="s">
        <v>847</v>
      </c>
      <c r="G1584" t="s">
        <v>504</v>
      </c>
      <c r="H1584" t="s">
        <v>505</v>
      </c>
      <c r="I1584" t="s">
        <v>328</v>
      </c>
      <c r="K1584" t="s">
        <v>770</v>
      </c>
      <c r="Q1584"/>
      <c r="R1584">
        <v>45883</v>
      </c>
      <c r="S1584">
        <v>1</v>
      </c>
      <c r="T1584">
        <v>3300</v>
      </c>
      <c r="U1584">
        <v>0</v>
      </c>
      <c r="V1584">
        <v>3300</v>
      </c>
    </row>
    <row r="1585" spans="1:22" x14ac:dyDescent="0.25">
      <c r="A1585">
        <v>7547</v>
      </c>
      <c r="E1585" t="s">
        <v>847</v>
      </c>
      <c r="F1585" t="s">
        <v>847</v>
      </c>
      <c r="G1585" t="s">
        <v>504</v>
      </c>
      <c r="H1585" t="s">
        <v>505</v>
      </c>
      <c r="I1585" t="s">
        <v>328</v>
      </c>
      <c r="K1585" t="s">
        <v>770</v>
      </c>
      <c r="Q1585"/>
      <c r="R1585">
        <v>45880</v>
      </c>
      <c r="S1585">
        <v>1</v>
      </c>
      <c r="T1585">
        <v>3300</v>
      </c>
      <c r="U1585">
        <v>0</v>
      </c>
      <c r="V1585">
        <v>3300</v>
      </c>
    </row>
    <row r="1586" spans="1:22" x14ac:dyDescent="0.25">
      <c r="A1586">
        <v>7547</v>
      </c>
      <c r="E1586" t="s">
        <v>847</v>
      </c>
      <c r="F1586" t="s">
        <v>847</v>
      </c>
      <c r="G1586" t="s">
        <v>504</v>
      </c>
      <c r="H1586" t="s">
        <v>505</v>
      </c>
      <c r="I1586" t="s">
        <v>328</v>
      </c>
      <c r="K1586" t="s">
        <v>770</v>
      </c>
      <c r="Q1586"/>
      <c r="R1586">
        <v>45877</v>
      </c>
      <c r="S1586">
        <v>1</v>
      </c>
      <c r="T1586">
        <v>3300</v>
      </c>
      <c r="U1586">
        <v>0</v>
      </c>
      <c r="V1586">
        <v>3300</v>
      </c>
    </row>
    <row r="1587" spans="1:22" x14ac:dyDescent="0.25">
      <c r="A1587">
        <v>7547</v>
      </c>
      <c r="E1587" t="s">
        <v>847</v>
      </c>
      <c r="F1587" t="s">
        <v>847</v>
      </c>
      <c r="G1587" t="s">
        <v>504</v>
      </c>
      <c r="H1587" t="s">
        <v>505</v>
      </c>
      <c r="I1587" t="s">
        <v>328</v>
      </c>
      <c r="K1587" t="s">
        <v>770</v>
      </c>
      <c r="Q1587"/>
      <c r="R1587">
        <v>45876</v>
      </c>
      <c r="S1587">
        <v>1</v>
      </c>
      <c r="T1587">
        <v>3300</v>
      </c>
      <c r="U1587">
        <v>0</v>
      </c>
      <c r="V1587">
        <v>3300</v>
      </c>
    </row>
    <row r="1588" spans="1:22" x14ac:dyDescent="0.25">
      <c r="A1588">
        <v>7547</v>
      </c>
      <c r="E1588" t="s">
        <v>847</v>
      </c>
      <c r="F1588" t="s">
        <v>847</v>
      </c>
      <c r="G1588" t="s">
        <v>504</v>
      </c>
      <c r="H1588" t="s">
        <v>505</v>
      </c>
      <c r="I1588" t="s">
        <v>328</v>
      </c>
      <c r="K1588" t="s">
        <v>770</v>
      </c>
      <c r="Q1588"/>
      <c r="R1588">
        <v>45875</v>
      </c>
      <c r="S1588">
        <v>1</v>
      </c>
      <c r="T1588">
        <v>3300</v>
      </c>
      <c r="U1588">
        <v>0</v>
      </c>
      <c r="V1588">
        <v>3300</v>
      </c>
    </row>
    <row r="1589" spans="1:22" x14ac:dyDescent="0.25">
      <c r="A1589">
        <v>7547</v>
      </c>
      <c r="E1589" t="s">
        <v>847</v>
      </c>
      <c r="F1589" t="s">
        <v>847</v>
      </c>
      <c r="G1589" t="s">
        <v>504</v>
      </c>
      <c r="H1589" t="s">
        <v>505</v>
      </c>
      <c r="I1589" t="s">
        <v>328</v>
      </c>
      <c r="K1589" t="s">
        <v>770</v>
      </c>
      <c r="Q1589"/>
      <c r="R1589">
        <v>45873</v>
      </c>
      <c r="S1589">
        <v>1</v>
      </c>
      <c r="T1589">
        <v>3300</v>
      </c>
      <c r="U1589">
        <v>0</v>
      </c>
      <c r="V1589">
        <v>3300</v>
      </c>
    </row>
    <row r="1590" spans="1:22" x14ac:dyDescent="0.25">
      <c r="A1590">
        <v>8326</v>
      </c>
      <c r="B1590">
        <v>132163139</v>
      </c>
      <c r="C1590" t="s">
        <v>7685</v>
      </c>
      <c r="D1590">
        <v>18852319</v>
      </c>
      <c r="E1590" t="s">
        <v>7686</v>
      </c>
      <c r="F1590" t="s">
        <v>847</v>
      </c>
      <c r="G1590" t="s">
        <v>504</v>
      </c>
      <c r="H1590" t="s">
        <v>505</v>
      </c>
      <c r="I1590" t="s">
        <v>35</v>
      </c>
      <c r="J1590" t="s">
        <v>320</v>
      </c>
      <c r="K1590" t="s">
        <v>2</v>
      </c>
      <c r="L1590" t="s">
        <v>103</v>
      </c>
      <c r="M1590" t="s">
        <v>7687</v>
      </c>
      <c r="N1590" t="s">
        <v>850</v>
      </c>
      <c r="O1590" t="s">
        <v>40</v>
      </c>
      <c r="P1590" t="s">
        <v>7688</v>
      </c>
      <c r="Q1590" t="s">
        <v>37</v>
      </c>
      <c r="R1590" t="s">
        <v>7689</v>
      </c>
      <c r="S1590">
        <v>1</v>
      </c>
      <c r="T1590">
        <v>2706</v>
      </c>
      <c r="U1590">
        <v>0</v>
      </c>
      <c r="V1590">
        <v>2706</v>
      </c>
    </row>
    <row r="1591" spans="1:22" x14ac:dyDescent="0.25">
      <c r="A1591">
        <v>8326</v>
      </c>
      <c r="B1591">
        <v>132162863</v>
      </c>
      <c r="C1591" t="s">
        <v>7690</v>
      </c>
      <c r="D1591">
        <v>18852300</v>
      </c>
      <c r="E1591" t="s">
        <v>7686</v>
      </c>
      <c r="F1591" t="s">
        <v>847</v>
      </c>
      <c r="G1591" t="s">
        <v>504</v>
      </c>
      <c r="H1591" t="s">
        <v>505</v>
      </c>
      <c r="I1591" t="s">
        <v>35</v>
      </c>
      <c r="J1591" t="s">
        <v>320</v>
      </c>
      <c r="K1591" t="s">
        <v>2</v>
      </c>
      <c r="L1591" t="s">
        <v>103</v>
      </c>
      <c r="M1591" t="s">
        <v>7691</v>
      </c>
      <c r="N1591" t="s">
        <v>850</v>
      </c>
      <c r="O1591" t="s">
        <v>40</v>
      </c>
      <c r="P1591" t="s">
        <v>7692</v>
      </c>
      <c r="Q1591" t="s">
        <v>39</v>
      </c>
      <c r="R1591" t="s">
        <v>373</v>
      </c>
      <c r="S1591">
        <v>1</v>
      </c>
      <c r="T1591">
        <v>2706</v>
      </c>
      <c r="U1591">
        <v>0</v>
      </c>
      <c r="V1591">
        <v>2706</v>
      </c>
    </row>
    <row r="1592" spans="1:22" x14ac:dyDescent="0.25">
      <c r="A1592">
        <v>8326</v>
      </c>
      <c r="B1592">
        <v>132162500</v>
      </c>
      <c r="C1592" t="s">
        <v>7693</v>
      </c>
      <c r="D1592">
        <v>18852286</v>
      </c>
      <c r="E1592" t="s">
        <v>7686</v>
      </c>
      <c r="F1592" t="s">
        <v>847</v>
      </c>
      <c r="G1592" t="s">
        <v>504</v>
      </c>
      <c r="H1592" t="s">
        <v>505</v>
      </c>
      <c r="I1592" t="s">
        <v>35</v>
      </c>
      <c r="J1592" t="s">
        <v>320</v>
      </c>
      <c r="K1592" t="s">
        <v>2</v>
      </c>
      <c r="L1592" t="s">
        <v>103</v>
      </c>
      <c r="M1592" t="s">
        <v>7694</v>
      </c>
      <c r="N1592" t="s">
        <v>850</v>
      </c>
      <c r="O1592" t="s">
        <v>40</v>
      </c>
      <c r="P1592" t="s">
        <v>7695</v>
      </c>
      <c r="Q1592" t="s">
        <v>37</v>
      </c>
      <c r="R1592" t="s">
        <v>388</v>
      </c>
      <c r="S1592">
        <v>1</v>
      </c>
      <c r="T1592">
        <v>2706</v>
      </c>
      <c r="U1592">
        <v>0</v>
      </c>
      <c r="V1592">
        <v>2706</v>
      </c>
    </row>
    <row r="1593" spans="1:22" x14ac:dyDescent="0.25">
      <c r="A1593">
        <v>8326</v>
      </c>
      <c r="B1593">
        <v>132129407</v>
      </c>
      <c r="C1593" t="s">
        <v>7696</v>
      </c>
      <c r="D1593">
        <v>18848827</v>
      </c>
      <c r="E1593" t="s">
        <v>7686</v>
      </c>
      <c r="F1593" t="s">
        <v>847</v>
      </c>
      <c r="G1593" t="s">
        <v>504</v>
      </c>
      <c r="H1593" t="s">
        <v>505</v>
      </c>
      <c r="I1593" t="s">
        <v>35</v>
      </c>
      <c r="J1593" t="s">
        <v>320</v>
      </c>
      <c r="K1593" t="s">
        <v>2</v>
      </c>
      <c r="L1593" t="s">
        <v>103</v>
      </c>
      <c r="M1593" t="s">
        <v>7697</v>
      </c>
      <c r="N1593" t="s">
        <v>850</v>
      </c>
      <c r="O1593" t="s">
        <v>40</v>
      </c>
      <c r="P1593" t="s">
        <v>4261</v>
      </c>
      <c r="Q1593" t="s">
        <v>99</v>
      </c>
      <c r="R1593" t="s">
        <v>682</v>
      </c>
      <c r="S1593">
        <v>1</v>
      </c>
      <c r="T1593">
        <v>2706</v>
      </c>
      <c r="U1593">
        <v>0</v>
      </c>
      <c r="V1593">
        <v>2706</v>
      </c>
    </row>
    <row r="1594" spans="1:22" x14ac:dyDescent="0.25">
      <c r="A1594">
        <v>8326</v>
      </c>
      <c r="B1594">
        <v>132129319</v>
      </c>
      <c r="C1594" t="s">
        <v>7698</v>
      </c>
      <c r="D1594">
        <v>18848819</v>
      </c>
      <c r="E1594" t="s">
        <v>7686</v>
      </c>
      <c r="F1594" t="s">
        <v>847</v>
      </c>
      <c r="G1594" t="s">
        <v>504</v>
      </c>
      <c r="H1594" t="s">
        <v>505</v>
      </c>
      <c r="I1594" t="s">
        <v>35</v>
      </c>
      <c r="J1594" t="s">
        <v>320</v>
      </c>
      <c r="K1594" t="s">
        <v>2</v>
      </c>
      <c r="L1594" t="s">
        <v>103</v>
      </c>
      <c r="M1594" t="s">
        <v>7699</v>
      </c>
      <c r="N1594" t="s">
        <v>850</v>
      </c>
      <c r="O1594" t="s">
        <v>40</v>
      </c>
      <c r="P1594" t="s">
        <v>7700</v>
      </c>
      <c r="Q1594" t="s">
        <v>39</v>
      </c>
      <c r="R1594" t="s">
        <v>834</v>
      </c>
      <c r="S1594">
        <v>1</v>
      </c>
      <c r="T1594">
        <v>2706</v>
      </c>
      <c r="U1594">
        <v>0</v>
      </c>
      <c r="V1594">
        <v>2706</v>
      </c>
    </row>
    <row r="1595" spans="1:22" x14ac:dyDescent="0.25">
      <c r="A1595">
        <v>8326</v>
      </c>
      <c r="B1595">
        <v>132071978</v>
      </c>
      <c r="C1595" t="s">
        <v>7701</v>
      </c>
      <c r="D1595">
        <v>18843597</v>
      </c>
      <c r="E1595" t="s">
        <v>7686</v>
      </c>
      <c r="F1595" t="s">
        <v>847</v>
      </c>
      <c r="G1595" t="s">
        <v>504</v>
      </c>
      <c r="H1595" t="s">
        <v>505</v>
      </c>
      <c r="I1595" t="s">
        <v>35</v>
      </c>
      <c r="J1595" t="s">
        <v>320</v>
      </c>
      <c r="K1595" t="s">
        <v>2</v>
      </c>
      <c r="L1595" t="s">
        <v>103</v>
      </c>
      <c r="M1595" t="s">
        <v>7702</v>
      </c>
      <c r="N1595" t="s">
        <v>850</v>
      </c>
      <c r="O1595" t="s">
        <v>40</v>
      </c>
      <c r="P1595" t="s">
        <v>7703</v>
      </c>
      <c r="Q1595" t="s">
        <v>39</v>
      </c>
      <c r="R1595" t="s">
        <v>482</v>
      </c>
      <c r="S1595">
        <v>1</v>
      </c>
      <c r="T1595">
        <v>2706</v>
      </c>
      <c r="U1595">
        <v>0</v>
      </c>
      <c r="V1595">
        <v>2706</v>
      </c>
    </row>
    <row r="1596" spans="1:22" x14ac:dyDescent="0.25">
      <c r="A1596">
        <v>8326</v>
      </c>
      <c r="B1596">
        <v>132071953</v>
      </c>
      <c r="C1596" t="s">
        <v>7704</v>
      </c>
      <c r="D1596">
        <v>18843595</v>
      </c>
      <c r="E1596" t="s">
        <v>7686</v>
      </c>
      <c r="F1596" t="s">
        <v>847</v>
      </c>
      <c r="G1596" t="s">
        <v>504</v>
      </c>
      <c r="H1596" t="s">
        <v>505</v>
      </c>
      <c r="I1596" t="s">
        <v>35</v>
      </c>
      <c r="J1596" t="s">
        <v>320</v>
      </c>
      <c r="K1596" t="s">
        <v>2</v>
      </c>
      <c r="L1596" t="s">
        <v>103</v>
      </c>
      <c r="M1596" t="s">
        <v>319</v>
      </c>
      <c r="N1596" t="s">
        <v>850</v>
      </c>
      <c r="O1596" t="s">
        <v>40</v>
      </c>
      <c r="P1596" t="s">
        <v>7705</v>
      </c>
      <c r="Q1596" t="s">
        <v>72</v>
      </c>
      <c r="R1596" t="s">
        <v>820</v>
      </c>
      <c r="S1596">
        <v>1</v>
      </c>
      <c r="T1596">
        <v>2706</v>
      </c>
      <c r="U1596">
        <v>0</v>
      </c>
      <c r="V1596">
        <v>2706</v>
      </c>
    </row>
    <row r="1597" spans="1:22" x14ac:dyDescent="0.25">
      <c r="A1597">
        <v>8326</v>
      </c>
      <c r="B1597">
        <v>132047597</v>
      </c>
      <c r="C1597" t="s">
        <v>7706</v>
      </c>
      <c r="D1597">
        <v>18841476</v>
      </c>
      <c r="E1597" t="s">
        <v>7686</v>
      </c>
      <c r="F1597" t="s">
        <v>847</v>
      </c>
      <c r="G1597" t="s">
        <v>504</v>
      </c>
      <c r="H1597" t="s">
        <v>505</v>
      </c>
      <c r="I1597" t="s">
        <v>35</v>
      </c>
      <c r="J1597" t="s">
        <v>320</v>
      </c>
      <c r="K1597" t="s">
        <v>2</v>
      </c>
      <c r="L1597" t="s">
        <v>103</v>
      </c>
      <c r="M1597" t="s">
        <v>7707</v>
      </c>
      <c r="N1597" t="s">
        <v>850</v>
      </c>
      <c r="O1597" t="s">
        <v>40</v>
      </c>
      <c r="P1597" t="s">
        <v>7708</v>
      </c>
      <c r="Q1597" t="s">
        <v>102</v>
      </c>
      <c r="R1597" t="s">
        <v>416</v>
      </c>
      <c r="S1597">
        <v>1</v>
      </c>
      <c r="T1597">
        <v>2706</v>
      </c>
      <c r="U1597">
        <v>0</v>
      </c>
      <c r="V1597">
        <v>2706</v>
      </c>
    </row>
    <row r="1598" spans="1:22" x14ac:dyDescent="0.25">
      <c r="A1598">
        <v>8326</v>
      </c>
      <c r="B1598">
        <v>131829961</v>
      </c>
      <c r="C1598" t="s">
        <v>7709</v>
      </c>
      <c r="D1598">
        <v>18822312</v>
      </c>
      <c r="E1598" t="s">
        <v>7686</v>
      </c>
      <c r="F1598" t="s">
        <v>847</v>
      </c>
      <c r="G1598" t="s">
        <v>504</v>
      </c>
      <c r="H1598" t="s">
        <v>505</v>
      </c>
      <c r="I1598" t="s">
        <v>35</v>
      </c>
      <c r="J1598" t="s">
        <v>320</v>
      </c>
      <c r="K1598" t="s">
        <v>2</v>
      </c>
      <c r="L1598" t="s">
        <v>103</v>
      </c>
      <c r="M1598" t="s">
        <v>7710</v>
      </c>
      <c r="N1598" t="s">
        <v>850</v>
      </c>
      <c r="O1598" t="s">
        <v>40</v>
      </c>
      <c r="P1598" t="s">
        <v>7711</v>
      </c>
      <c r="Q1598" t="s">
        <v>43</v>
      </c>
      <c r="R1598" t="s">
        <v>364</v>
      </c>
      <c r="S1598">
        <v>1</v>
      </c>
      <c r="T1598">
        <v>2706</v>
      </c>
      <c r="U1598">
        <v>0</v>
      </c>
      <c r="V1598">
        <v>2706</v>
      </c>
    </row>
    <row r="1599" spans="1:22" x14ac:dyDescent="0.25">
      <c r="A1599">
        <v>8326</v>
      </c>
      <c r="B1599">
        <v>131741156</v>
      </c>
      <c r="C1599" t="s">
        <v>7712</v>
      </c>
      <c r="D1599">
        <v>18814668</v>
      </c>
      <c r="E1599" t="s">
        <v>7686</v>
      </c>
      <c r="F1599" t="s">
        <v>847</v>
      </c>
      <c r="G1599" t="s">
        <v>504</v>
      </c>
      <c r="H1599" t="s">
        <v>505</v>
      </c>
      <c r="I1599" t="s">
        <v>35</v>
      </c>
      <c r="J1599" t="s">
        <v>320</v>
      </c>
      <c r="K1599" t="s">
        <v>2</v>
      </c>
      <c r="L1599" t="s">
        <v>103</v>
      </c>
      <c r="M1599" t="s">
        <v>7713</v>
      </c>
      <c r="N1599" t="s">
        <v>850</v>
      </c>
      <c r="O1599" t="s">
        <v>40</v>
      </c>
      <c r="P1599" t="s">
        <v>7714</v>
      </c>
      <c r="Q1599" t="s">
        <v>43</v>
      </c>
      <c r="R1599" t="s">
        <v>497</v>
      </c>
      <c r="S1599">
        <v>1</v>
      </c>
      <c r="T1599">
        <v>2706</v>
      </c>
      <c r="U1599">
        <v>0</v>
      </c>
      <c r="V1599">
        <v>2706</v>
      </c>
    </row>
    <row r="1600" spans="1:22" x14ac:dyDescent="0.25">
      <c r="A1600">
        <v>8326</v>
      </c>
      <c r="B1600">
        <v>131741094</v>
      </c>
      <c r="C1600" t="s">
        <v>7715</v>
      </c>
      <c r="D1600">
        <v>18814664</v>
      </c>
      <c r="E1600" t="s">
        <v>7686</v>
      </c>
      <c r="F1600" t="s">
        <v>847</v>
      </c>
      <c r="G1600" t="s">
        <v>504</v>
      </c>
      <c r="H1600" t="s">
        <v>505</v>
      </c>
      <c r="I1600" t="s">
        <v>35</v>
      </c>
      <c r="J1600" t="s">
        <v>320</v>
      </c>
      <c r="K1600" t="s">
        <v>2</v>
      </c>
      <c r="L1600" t="s">
        <v>103</v>
      </c>
      <c r="M1600" t="s">
        <v>471</v>
      </c>
      <c r="N1600" t="s">
        <v>850</v>
      </c>
      <c r="O1600" t="s">
        <v>40</v>
      </c>
      <c r="P1600" t="s">
        <v>7716</v>
      </c>
      <c r="Q1600" t="s">
        <v>198</v>
      </c>
      <c r="R1600" t="s">
        <v>710</v>
      </c>
      <c r="S1600">
        <v>1</v>
      </c>
      <c r="T1600">
        <v>2706</v>
      </c>
      <c r="U1600">
        <v>0</v>
      </c>
      <c r="V1600">
        <v>2706</v>
      </c>
    </row>
    <row r="1601" spans="1:22" x14ac:dyDescent="0.25">
      <c r="A1601">
        <v>8326</v>
      </c>
      <c r="B1601">
        <v>131740619</v>
      </c>
      <c r="C1601" t="s">
        <v>7717</v>
      </c>
      <c r="D1601">
        <v>18814625</v>
      </c>
      <c r="E1601" t="s">
        <v>7686</v>
      </c>
      <c r="F1601" t="s">
        <v>847</v>
      </c>
      <c r="G1601" t="s">
        <v>504</v>
      </c>
      <c r="H1601" t="s">
        <v>505</v>
      </c>
      <c r="I1601" t="s">
        <v>35</v>
      </c>
      <c r="J1601" t="s">
        <v>320</v>
      </c>
      <c r="K1601" t="s">
        <v>2</v>
      </c>
      <c r="L1601" t="s">
        <v>103</v>
      </c>
      <c r="M1601" t="s">
        <v>7718</v>
      </c>
      <c r="N1601" t="s">
        <v>850</v>
      </c>
      <c r="O1601" t="s">
        <v>40</v>
      </c>
      <c r="P1601" t="s">
        <v>7719</v>
      </c>
      <c r="Q1601" t="s">
        <v>71</v>
      </c>
      <c r="R1601" t="s">
        <v>544</v>
      </c>
      <c r="S1601">
        <v>1</v>
      </c>
      <c r="T1601">
        <v>2706</v>
      </c>
      <c r="U1601">
        <v>0</v>
      </c>
      <c r="V1601">
        <v>2706</v>
      </c>
    </row>
    <row r="1602" spans="1:22" x14ac:dyDescent="0.25">
      <c r="A1602">
        <v>8326</v>
      </c>
      <c r="B1602">
        <v>131740062</v>
      </c>
      <c r="C1602" t="s">
        <v>7720</v>
      </c>
      <c r="D1602">
        <v>18814582</v>
      </c>
      <c r="E1602" t="s">
        <v>7686</v>
      </c>
      <c r="F1602" t="s">
        <v>847</v>
      </c>
      <c r="G1602" t="s">
        <v>504</v>
      </c>
      <c r="H1602" t="s">
        <v>505</v>
      </c>
      <c r="I1602" t="s">
        <v>35</v>
      </c>
      <c r="J1602" t="s">
        <v>320</v>
      </c>
      <c r="K1602" t="s">
        <v>2</v>
      </c>
      <c r="L1602" t="s">
        <v>103</v>
      </c>
      <c r="M1602" t="s">
        <v>7721</v>
      </c>
      <c r="N1602" t="s">
        <v>850</v>
      </c>
      <c r="O1602" t="s">
        <v>40</v>
      </c>
      <c r="P1602" t="s">
        <v>7722</v>
      </c>
      <c r="Q1602" t="s">
        <v>98</v>
      </c>
      <c r="R1602" t="s">
        <v>741</v>
      </c>
      <c r="S1602">
        <v>1</v>
      </c>
      <c r="T1602">
        <v>2706</v>
      </c>
      <c r="U1602">
        <v>0</v>
      </c>
      <c r="V1602">
        <v>2706</v>
      </c>
    </row>
    <row r="1603" spans="1:22" x14ac:dyDescent="0.25">
      <c r="A1603">
        <v>8326</v>
      </c>
      <c r="B1603">
        <v>131739881</v>
      </c>
      <c r="C1603" t="s">
        <v>7723</v>
      </c>
      <c r="D1603">
        <v>18814562</v>
      </c>
      <c r="E1603" t="s">
        <v>7686</v>
      </c>
      <c r="F1603" t="s">
        <v>847</v>
      </c>
      <c r="G1603" t="s">
        <v>504</v>
      </c>
      <c r="H1603" t="s">
        <v>505</v>
      </c>
      <c r="I1603" t="s">
        <v>35</v>
      </c>
      <c r="J1603" t="s">
        <v>320</v>
      </c>
      <c r="K1603" t="s">
        <v>2</v>
      </c>
      <c r="L1603" t="s">
        <v>103</v>
      </c>
      <c r="M1603" t="s">
        <v>7724</v>
      </c>
      <c r="N1603" t="s">
        <v>850</v>
      </c>
      <c r="O1603" t="s">
        <v>40</v>
      </c>
      <c r="P1603" t="s">
        <v>7725</v>
      </c>
      <c r="Q1603" t="s">
        <v>42</v>
      </c>
      <c r="R1603" t="s">
        <v>386</v>
      </c>
      <c r="S1603">
        <v>1</v>
      </c>
      <c r="T1603">
        <v>2706</v>
      </c>
      <c r="U1603">
        <v>0</v>
      </c>
      <c r="V1603">
        <v>2706</v>
      </c>
    </row>
    <row r="1604" spans="1:22" x14ac:dyDescent="0.25">
      <c r="A1604">
        <v>8326</v>
      </c>
      <c r="B1604">
        <v>131708430</v>
      </c>
      <c r="C1604" t="s">
        <v>7726</v>
      </c>
      <c r="D1604">
        <v>18811298</v>
      </c>
      <c r="E1604" t="s">
        <v>7686</v>
      </c>
      <c r="F1604" t="s">
        <v>847</v>
      </c>
      <c r="G1604" t="s">
        <v>504</v>
      </c>
      <c r="H1604" t="s">
        <v>505</v>
      </c>
      <c r="I1604" t="s">
        <v>35</v>
      </c>
      <c r="J1604" t="s">
        <v>320</v>
      </c>
      <c r="K1604" t="s">
        <v>2</v>
      </c>
      <c r="L1604" t="s">
        <v>103</v>
      </c>
      <c r="M1604" t="s">
        <v>7727</v>
      </c>
      <c r="N1604" t="s">
        <v>850</v>
      </c>
      <c r="O1604" t="s">
        <v>40</v>
      </c>
      <c r="P1604" t="s">
        <v>7728</v>
      </c>
      <c r="Q1604" t="s">
        <v>44</v>
      </c>
      <c r="R1604" t="s">
        <v>7729</v>
      </c>
      <c r="S1604">
        <v>1</v>
      </c>
      <c r="T1604">
        <v>2706</v>
      </c>
      <c r="U1604">
        <v>0</v>
      </c>
      <c r="V1604">
        <v>2706</v>
      </c>
    </row>
    <row r="1605" spans="1:22" x14ac:dyDescent="0.25">
      <c r="A1605">
        <v>8326</v>
      </c>
      <c r="B1605">
        <v>131708322</v>
      </c>
      <c r="C1605" t="s">
        <v>7730</v>
      </c>
      <c r="D1605">
        <v>18811291</v>
      </c>
      <c r="E1605" t="s">
        <v>7686</v>
      </c>
      <c r="F1605" t="s">
        <v>847</v>
      </c>
      <c r="G1605" t="s">
        <v>504</v>
      </c>
      <c r="H1605" t="s">
        <v>505</v>
      </c>
      <c r="I1605" t="s">
        <v>35</v>
      </c>
      <c r="J1605" t="s">
        <v>320</v>
      </c>
      <c r="K1605" t="s">
        <v>2</v>
      </c>
      <c r="L1605" t="s">
        <v>103</v>
      </c>
      <c r="M1605" t="s">
        <v>7697</v>
      </c>
      <c r="N1605" t="s">
        <v>850</v>
      </c>
      <c r="O1605" t="s">
        <v>40</v>
      </c>
      <c r="P1605" t="s">
        <v>4261</v>
      </c>
      <c r="Q1605" t="s">
        <v>99</v>
      </c>
      <c r="R1605" t="s">
        <v>438</v>
      </c>
      <c r="S1605">
        <v>1</v>
      </c>
      <c r="T1605">
        <v>2706</v>
      </c>
      <c r="U1605">
        <v>0</v>
      </c>
      <c r="V1605">
        <v>2706</v>
      </c>
    </row>
    <row r="1606" spans="1:22" x14ac:dyDescent="0.25">
      <c r="A1606">
        <v>8326</v>
      </c>
      <c r="B1606">
        <v>131708127</v>
      </c>
      <c r="C1606" t="s">
        <v>7731</v>
      </c>
      <c r="D1606">
        <v>18811269</v>
      </c>
      <c r="E1606" t="s">
        <v>7686</v>
      </c>
      <c r="F1606" t="s">
        <v>847</v>
      </c>
      <c r="G1606" t="s">
        <v>504</v>
      </c>
      <c r="H1606" t="s">
        <v>505</v>
      </c>
      <c r="I1606" t="s">
        <v>35</v>
      </c>
      <c r="J1606" t="s">
        <v>320</v>
      </c>
      <c r="K1606" t="s">
        <v>2</v>
      </c>
      <c r="L1606" t="s">
        <v>103</v>
      </c>
      <c r="M1606" t="s">
        <v>7732</v>
      </c>
      <c r="N1606" t="s">
        <v>850</v>
      </c>
      <c r="O1606" t="s">
        <v>40</v>
      </c>
      <c r="P1606" t="s">
        <v>7733</v>
      </c>
      <c r="Q1606" t="s">
        <v>37</v>
      </c>
      <c r="R1606" t="s">
        <v>104</v>
      </c>
      <c r="S1606">
        <v>1</v>
      </c>
      <c r="T1606">
        <v>2706</v>
      </c>
      <c r="U1606">
        <v>0</v>
      </c>
      <c r="V1606">
        <v>2706</v>
      </c>
    </row>
    <row r="1607" spans="1:22" x14ac:dyDescent="0.25">
      <c r="A1607">
        <v>8326</v>
      </c>
      <c r="B1607">
        <v>131678162</v>
      </c>
      <c r="C1607" t="s">
        <v>7734</v>
      </c>
      <c r="D1607">
        <v>18808020</v>
      </c>
      <c r="E1607" t="s">
        <v>7686</v>
      </c>
      <c r="F1607" t="s">
        <v>847</v>
      </c>
      <c r="G1607" t="s">
        <v>504</v>
      </c>
      <c r="H1607" t="s">
        <v>505</v>
      </c>
      <c r="I1607" t="s">
        <v>35</v>
      </c>
      <c r="J1607" t="s">
        <v>320</v>
      </c>
      <c r="K1607" t="s">
        <v>2</v>
      </c>
      <c r="L1607" t="s">
        <v>103</v>
      </c>
      <c r="M1607" t="s">
        <v>7735</v>
      </c>
      <c r="N1607" t="s">
        <v>850</v>
      </c>
      <c r="O1607" t="s">
        <v>40</v>
      </c>
      <c r="P1607" t="s">
        <v>7736</v>
      </c>
      <c r="Q1607" t="s">
        <v>42</v>
      </c>
      <c r="R1607" t="s">
        <v>649</v>
      </c>
      <c r="S1607">
        <v>1</v>
      </c>
      <c r="T1607">
        <v>2706</v>
      </c>
      <c r="U1607">
        <v>0</v>
      </c>
      <c r="V1607">
        <v>2706</v>
      </c>
    </row>
    <row r="1608" spans="1:22" x14ac:dyDescent="0.25">
      <c r="A1608">
        <v>8326</v>
      </c>
      <c r="B1608">
        <v>131678103</v>
      </c>
      <c r="C1608" t="s">
        <v>7737</v>
      </c>
      <c r="D1608">
        <v>18808016</v>
      </c>
      <c r="E1608" t="s">
        <v>7686</v>
      </c>
      <c r="F1608" t="s">
        <v>847</v>
      </c>
      <c r="G1608" t="s">
        <v>504</v>
      </c>
      <c r="H1608" t="s">
        <v>505</v>
      </c>
      <c r="I1608" t="s">
        <v>35</v>
      </c>
      <c r="J1608" t="s">
        <v>320</v>
      </c>
      <c r="K1608" t="s">
        <v>2</v>
      </c>
      <c r="L1608" t="s">
        <v>103</v>
      </c>
      <c r="M1608" t="s">
        <v>7738</v>
      </c>
      <c r="N1608" t="s">
        <v>850</v>
      </c>
      <c r="O1608" t="s">
        <v>40</v>
      </c>
      <c r="P1608" t="s">
        <v>7739</v>
      </c>
      <c r="Q1608" t="s">
        <v>37</v>
      </c>
      <c r="R1608" t="s">
        <v>769</v>
      </c>
      <c r="S1608">
        <v>1</v>
      </c>
      <c r="T1608">
        <v>2706</v>
      </c>
      <c r="U1608">
        <v>0</v>
      </c>
      <c r="V1608">
        <v>2706</v>
      </c>
    </row>
    <row r="1609" spans="1:22" x14ac:dyDescent="0.25">
      <c r="A1609">
        <v>8326</v>
      </c>
      <c r="B1609">
        <v>131678030</v>
      </c>
      <c r="C1609" t="s">
        <v>7740</v>
      </c>
      <c r="D1609">
        <v>18808008</v>
      </c>
      <c r="E1609" t="s">
        <v>7686</v>
      </c>
      <c r="F1609" t="s">
        <v>847</v>
      </c>
      <c r="G1609" t="s">
        <v>504</v>
      </c>
      <c r="H1609" t="s">
        <v>505</v>
      </c>
      <c r="I1609" t="s">
        <v>35</v>
      </c>
      <c r="J1609" t="s">
        <v>320</v>
      </c>
      <c r="K1609" t="s">
        <v>2</v>
      </c>
      <c r="L1609" t="s">
        <v>103</v>
      </c>
      <c r="M1609" t="s">
        <v>634</v>
      </c>
      <c r="N1609" t="s">
        <v>850</v>
      </c>
      <c r="O1609" t="s">
        <v>40</v>
      </c>
      <c r="P1609" t="s">
        <v>7741</v>
      </c>
      <c r="Q1609" t="s">
        <v>36</v>
      </c>
      <c r="R1609" t="s">
        <v>604</v>
      </c>
      <c r="S1609">
        <v>1</v>
      </c>
      <c r="T1609">
        <v>2706</v>
      </c>
      <c r="U1609">
        <v>0</v>
      </c>
      <c r="V1609">
        <v>2706</v>
      </c>
    </row>
    <row r="1610" spans="1:22" x14ac:dyDescent="0.25">
      <c r="A1610">
        <v>8326</v>
      </c>
      <c r="B1610">
        <v>131643621</v>
      </c>
      <c r="C1610" t="s">
        <v>7742</v>
      </c>
      <c r="D1610">
        <v>18804419</v>
      </c>
      <c r="E1610" t="s">
        <v>7686</v>
      </c>
      <c r="F1610" t="s">
        <v>847</v>
      </c>
      <c r="G1610" t="s">
        <v>504</v>
      </c>
      <c r="H1610" t="s">
        <v>505</v>
      </c>
      <c r="I1610" t="s">
        <v>35</v>
      </c>
      <c r="J1610" t="s">
        <v>320</v>
      </c>
      <c r="K1610" t="s">
        <v>2</v>
      </c>
      <c r="L1610" t="s">
        <v>103</v>
      </c>
      <c r="M1610" t="s">
        <v>288</v>
      </c>
      <c r="N1610" t="s">
        <v>850</v>
      </c>
      <c r="O1610" t="s">
        <v>40</v>
      </c>
      <c r="P1610" t="s">
        <v>7743</v>
      </c>
      <c r="Q1610" t="s">
        <v>97</v>
      </c>
      <c r="R1610" t="s">
        <v>643</v>
      </c>
      <c r="S1610">
        <v>1</v>
      </c>
      <c r="T1610">
        <v>2706</v>
      </c>
      <c r="U1610">
        <v>0</v>
      </c>
      <c r="V1610">
        <v>2706</v>
      </c>
    </row>
    <row r="1611" spans="1:22" x14ac:dyDescent="0.25">
      <c r="A1611">
        <v>8326</v>
      </c>
      <c r="B1611">
        <v>131643547</v>
      </c>
      <c r="C1611" t="s">
        <v>7744</v>
      </c>
      <c r="D1611">
        <v>18804395</v>
      </c>
      <c r="E1611" t="s">
        <v>7686</v>
      </c>
      <c r="F1611" t="s">
        <v>847</v>
      </c>
      <c r="G1611" t="s">
        <v>504</v>
      </c>
      <c r="H1611" t="s">
        <v>505</v>
      </c>
      <c r="I1611" t="s">
        <v>35</v>
      </c>
      <c r="J1611" t="s">
        <v>320</v>
      </c>
      <c r="K1611" t="s">
        <v>2</v>
      </c>
      <c r="L1611" t="s">
        <v>103</v>
      </c>
      <c r="M1611" t="s">
        <v>7745</v>
      </c>
      <c r="N1611" t="s">
        <v>850</v>
      </c>
      <c r="O1611" t="s">
        <v>40</v>
      </c>
      <c r="P1611" t="s">
        <v>7746</v>
      </c>
      <c r="Q1611" t="s">
        <v>93</v>
      </c>
      <c r="R1611" t="s">
        <v>671</v>
      </c>
      <c r="S1611">
        <v>1</v>
      </c>
      <c r="T1611">
        <v>2706</v>
      </c>
      <c r="U1611">
        <v>0</v>
      </c>
      <c r="V1611">
        <v>2706</v>
      </c>
    </row>
    <row r="1612" spans="1:22" x14ac:dyDescent="0.25">
      <c r="A1612">
        <v>8326</v>
      </c>
      <c r="B1612">
        <v>131534950</v>
      </c>
      <c r="C1612" t="s">
        <v>7747</v>
      </c>
      <c r="D1612">
        <v>18792526</v>
      </c>
      <c r="E1612" t="s">
        <v>7686</v>
      </c>
      <c r="F1612" t="s">
        <v>847</v>
      </c>
      <c r="G1612" t="s">
        <v>504</v>
      </c>
      <c r="H1612" t="s">
        <v>505</v>
      </c>
      <c r="I1612" t="s">
        <v>35</v>
      </c>
      <c r="J1612" t="s">
        <v>320</v>
      </c>
      <c r="K1612" t="s">
        <v>2</v>
      </c>
      <c r="L1612" t="s">
        <v>103</v>
      </c>
      <c r="M1612" t="s">
        <v>7748</v>
      </c>
      <c r="N1612" t="s">
        <v>850</v>
      </c>
      <c r="O1612" t="s">
        <v>40</v>
      </c>
      <c r="P1612" t="s">
        <v>7749</v>
      </c>
      <c r="Q1612" t="s">
        <v>42</v>
      </c>
      <c r="R1612" t="s">
        <v>601</v>
      </c>
      <c r="S1612">
        <v>1</v>
      </c>
      <c r="T1612">
        <v>2706</v>
      </c>
      <c r="U1612">
        <v>0</v>
      </c>
      <c r="V1612">
        <v>2706</v>
      </c>
    </row>
    <row r="1613" spans="1:22" x14ac:dyDescent="0.25">
      <c r="A1613">
        <v>8326</v>
      </c>
      <c r="B1613">
        <v>131534885</v>
      </c>
      <c r="C1613" t="s">
        <v>7750</v>
      </c>
      <c r="D1613">
        <v>18792519</v>
      </c>
      <c r="E1613" t="s">
        <v>7686</v>
      </c>
      <c r="F1613" t="s">
        <v>847</v>
      </c>
      <c r="G1613" t="s">
        <v>504</v>
      </c>
      <c r="H1613" t="s">
        <v>505</v>
      </c>
      <c r="I1613" t="s">
        <v>35</v>
      </c>
      <c r="J1613" t="s">
        <v>320</v>
      </c>
      <c r="K1613" t="s">
        <v>2</v>
      </c>
      <c r="L1613" t="s">
        <v>103</v>
      </c>
      <c r="M1613" t="s">
        <v>7751</v>
      </c>
      <c r="N1613" t="s">
        <v>850</v>
      </c>
      <c r="O1613" t="s">
        <v>40</v>
      </c>
      <c r="P1613" t="s">
        <v>7752</v>
      </c>
      <c r="Q1613" t="s">
        <v>72</v>
      </c>
      <c r="R1613" t="s">
        <v>425</v>
      </c>
      <c r="S1613">
        <v>1</v>
      </c>
      <c r="T1613">
        <v>2706</v>
      </c>
      <c r="U1613">
        <v>0</v>
      </c>
      <c r="V1613">
        <v>2706</v>
      </c>
    </row>
    <row r="1614" spans="1:22" x14ac:dyDescent="0.25">
      <c r="A1614">
        <v>8326</v>
      </c>
      <c r="B1614">
        <v>131461539</v>
      </c>
      <c r="C1614" t="s">
        <v>7753</v>
      </c>
      <c r="D1614" t="s">
        <v>7754</v>
      </c>
      <c r="E1614" t="s">
        <v>7686</v>
      </c>
      <c r="F1614" t="s">
        <v>847</v>
      </c>
      <c r="G1614" t="s">
        <v>142</v>
      </c>
      <c r="H1614" t="s">
        <v>143</v>
      </c>
      <c r="I1614" t="s">
        <v>35</v>
      </c>
      <c r="J1614" t="s">
        <v>144</v>
      </c>
      <c r="K1614" t="s">
        <v>2</v>
      </c>
      <c r="L1614" t="s">
        <v>7755</v>
      </c>
      <c r="M1614" t="s">
        <v>7756</v>
      </c>
      <c r="N1614" t="s">
        <v>850</v>
      </c>
      <c r="O1614" t="s">
        <v>40</v>
      </c>
      <c r="P1614" t="s">
        <v>7757</v>
      </c>
      <c r="Q1614" t="s">
        <v>84</v>
      </c>
      <c r="R1614" t="s">
        <v>306</v>
      </c>
      <c r="S1614">
        <v>8.0500000000000007</v>
      </c>
      <c r="T1614">
        <v>4153</v>
      </c>
      <c r="U1614">
        <v>0</v>
      </c>
      <c r="V1614">
        <v>4153</v>
      </c>
    </row>
    <row r="1615" spans="1:22" x14ac:dyDescent="0.25">
      <c r="A1615">
        <v>8326</v>
      </c>
      <c r="B1615">
        <v>132096705</v>
      </c>
      <c r="C1615" t="s">
        <v>7758</v>
      </c>
      <c r="D1615" t="s">
        <v>7759</v>
      </c>
      <c r="E1615" t="s">
        <v>7686</v>
      </c>
      <c r="F1615" t="s">
        <v>847</v>
      </c>
      <c r="G1615" t="s">
        <v>142</v>
      </c>
      <c r="H1615" t="s">
        <v>143</v>
      </c>
      <c r="I1615" t="s">
        <v>35</v>
      </c>
      <c r="J1615" t="s">
        <v>144</v>
      </c>
      <c r="K1615" t="s">
        <v>2</v>
      </c>
      <c r="L1615" t="s">
        <v>7760</v>
      </c>
      <c r="M1615" t="s">
        <v>7761</v>
      </c>
      <c r="N1615" t="s">
        <v>850</v>
      </c>
      <c r="O1615" t="s">
        <v>40</v>
      </c>
      <c r="P1615" t="s">
        <v>7762</v>
      </c>
      <c r="Q1615" t="s">
        <v>59</v>
      </c>
      <c r="R1615" t="s">
        <v>842</v>
      </c>
      <c r="S1615">
        <v>0.21</v>
      </c>
      <c r="T1615">
        <v>3299</v>
      </c>
      <c r="U1615">
        <v>0</v>
      </c>
      <c r="V1615">
        <v>3299</v>
      </c>
    </row>
    <row r="1616" spans="1:22" x14ac:dyDescent="0.25">
      <c r="A1616">
        <v>8326</v>
      </c>
      <c r="B1616">
        <v>131868348</v>
      </c>
      <c r="C1616" t="s">
        <v>7763</v>
      </c>
      <c r="D1616" t="s">
        <v>7764</v>
      </c>
      <c r="E1616" t="s">
        <v>7686</v>
      </c>
      <c r="F1616" t="s">
        <v>847</v>
      </c>
      <c r="G1616" t="s">
        <v>142</v>
      </c>
      <c r="H1616" t="s">
        <v>143</v>
      </c>
      <c r="I1616" t="s">
        <v>35</v>
      </c>
      <c r="J1616" t="s">
        <v>144</v>
      </c>
      <c r="K1616" t="s">
        <v>2</v>
      </c>
      <c r="L1616" t="s">
        <v>7765</v>
      </c>
      <c r="M1616" t="s">
        <v>7766</v>
      </c>
      <c r="N1616" t="s">
        <v>850</v>
      </c>
      <c r="O1616" t="s">
        <v>40</v>
      </c>
      <c r="P1616" t="s">
        <v>7767</v>
      </c>
      <c r="Q1616" t="s">
        <v>60</v>
      </c>
      <c r="R1616" t="s">
        <v>688</v>
      </c>
      <c r="S1616">
        <v>1</v>
      </c>
      <c r="T1616">
        <v>3366</v>
      </c>
      <c r="U1616">
        <v>0</v>
      </c>
      <c r="V1616">
        <v>3366</v>
      </c>
    </row>
    <row r="1617" spans="1:22" x14ac:dyDescent="0.25">
      <c r="A1617">
        <v>8326</v>
      </c>
      <c r="B1617">
        <v>131832254</v>
      </c>
      <c r="C1617" t="s">
        <v>7768</v>
      </c>
      <c r="D1617" t="s">
        <v>7769</v>
      </c>
      <c r="E1617" t="s">
        <v>7686</v>
      </c>
      <c r="F1617" t="s">
        <v>847</v>
      </c>
      <c r="G1617" t="s">
        <v>142</v>
      </c>
      <c r="H1617" t="s">
        <v>143</v>
      </c>
      <c r="I1617" t="s">
        <v>35</v>
      </c>
      <c r="J1617" t="s">
        <v>144</v>
      </c>
      <c r="K1617" t="s">
        <v>2</v>
      </c>
      <c r="L1617" t="s">
        <v>7770</v>
      </c>
      <c r="M1617" t="s">
        <v>7771</v>
      </c>
      <c r="N1617" t="s">
        <v>850</v>
      </c>
      <c r="O1617" t="s">
        <v>40</v>
      </c>
      <c r="P1617" t="s">
        <v>7772</v>
      </c>
      <c r="Q1617" t="s">
        <v>161</v>
      </c>
      <c r="R1617" t="s">
        <v>695</v>
      </c>
      <c r="S1617">
        <v>1</v>
      </c>
      <c r="T1617">
        <v>3366</v>
      </c>
      <c r="U1617">
        <v>0</v>
      </c>
      <c r="V1617">
        <v>3366</v>
      </c>
    </row>
    <row r="1618" spans="1:22" x14ac:dyDescent="0.25">
      <c r="A1618">
        <v>8326</v>
      </c>
      <c r="B1618">
        <v>131652038</v>
      </c>
      <c r="C1618" t="s">
        <v>7773</v>
      </c>
      <c r="D1618" t="s">
        <v>7774</v>
      </c>
      <c r="E1618" t="s">
        <v>7686</v>
      </c>
      <c r="F1618" t="s">
        <v>847</v>
      </c>
      <c r="G1618" t="s">
        <v>142</v>
      </c>
      <c r="H1618" t="s">
        <v>143</v>
      </c>
      <c r="I1618" t="s">
        <v>35</v>
      </c>
      <c r="J1618" t="s">
        <v>144</v>
      </c>
      <c r="K1618" t="s">
        <v>2</v>
      </c>
      <c r="L1618" t="s">
        <v>7775</v>
      </c>
      <c r="M1618" t="s">
        <v>174</v>
      </c>
      <c r="N1618" t="s">
        <v>850</v>
      </c>
      <c r="O1618" t="s">
        <v>40</v>
      </c>
      <c r="P1618" t="s">
        <v>7776</v>
      </c>
      <c r="Q1618" t="s">
        <v>49</v>
      </c>
      <c r="R1618" t="s">
        <v>535</v>
      </c>
      <c r="S1618">
        <v>1</v>
      </c>
      <c r="T1618">
        <v>3366</v>
      </c>
      <c r="U1618">
        <v>0</v>
      </c>
      <c r="V1618">
        <v>3366</v>
      </c>
    </row>
    <row r="1619" spans="1:22" x14ac:dyDescent="0.25">
      <c r="A1619">
        <v>8326</v>
      </c>
      <c r="B1619">
        <v>131650980</v>
      </c>
      <c r="C1619" t="s">
        <v>7777</v>
      </c>
      <c r="D1619" t="s">
        <v>7778</v>
      </c>
      <c r="E1619" t="s">
        <v>7686</v>
      </c>
      <c r="F1619" t="s">
        <v>847</v>
      </c>
      <c r="G1619" t="s">
        <v>142</v>
      </c>
      <c r="H1619" t="s">
        <v>143</v>
      </c>
      <c r="I1619" t="s">
        <v>35</v>
      </c>
      <c r="J1619" t="s">
        <v>144</v>
      </c>
      <c r="K1619" t="s">
        <v>2</v>
      </c>
      <c r="L1619" t="s">
        <v>7779</v>
      </c>
      <c r="M1619" t="s">
        <v>7780</v>
      </c>
      <c r="N1619" t="s">
        <v>850</v>
      </c>
      <c r="O1619" t="s">
        <v>40</v>
      </c>
      <c r="P1619" t="s">
        <v>7781</v>
      </c>
      <c r="Q1619" t="s">
        <v>47</v>
      </c>
      <c r="R1619" t="s">
        <v>7782</v>
      </c>
      <c r="S1619">
        <v>4.05</v>
      </c>
      <c r="T1619">
        <v>3797</v>
      </c>
      <c r="U1619">
        <v>0</v>
      </c>
      <c r="V1619">
        <v>3797</v>
      </c>
    </row>
    <row r="1620" spans="1:22" x14ac:dyDescent="0.25">
      <c r="A1620">
        <v>8326</v>
      </c>
      <c r="B1620">
        <v>131679137</v>
      </c>
      <c r="C1620" t="s">
        <v>7783</v>
      </c>
      <c r="D1620" t="s">
        <v>7784</v>
      </c>
      <c r="E1620" t="s">
        <v>7686</v>
      </c>
      <c r="F1620" t="s">
        <v>847</v>
      </c>
      <c r="G1620" t="s">
        <v>142</v>
      </c>
      <c r="H1620" t="s">
        <v>143</v>
      </c>
      <c r="I1620" t="s">
        <v>35</v>
      </c>
      <c r="J1620" t="s">
        <v>144</v>
      </c>
      <c r="K1620" t="s">
        <v>2</v>
      </c>
      <c r="L1620" t="s">
        <v>7785</v>
      </c>
      <c r="M1620" t="s">
        <v>7786</v>
      </c>
      <c r="N1620" t="s">
        <v>850</v>
      </c>
      <c r="O1620" t="s">
        <v>40</v>
      </c>
      <c r="P1620" t="s">
        <v>7787</v>
      </c>
      <c r="Q1620" t="s">
        <v>48</v>
      </c>
      <c r="R1620" t="s">
        <v>626</v>
      </c>
      <c r="S1620">
        <v>1</v>
      </c>
      <c r="T1620">
        <v>3366</v>
      </c>
      <c r="U1620">
        <v>0</v>
      </c>
      <c r="V1620">
        <v>3366</v>
      </c>
    </row>
    <row r="1621" spans="1:22" x14ac:dyDescent="0.25">
      <c r="A1621">
        <v>8326</v>
      </c>
      <c r="B1621">
        <v>131540347</v>
      </c>
      <c r="C1621" t="s">
        <v>7788</v>
      </c>
      <c r="D1621" t="s">
        <v>7789</v>
      </c>
      <c r="E1621" t="s">
        <v>7686</v>
      </c>
      <c r="F1621" t="s">
        <v>847</v>
      </c>
      <c r="G1621" t="s">
        <v>142</v>
      </c>
      <c r="H1621" t="s">
        <v>143</v>
      </c>
      <c r="I1621" t="s">
        <v>35</v>
      </c>
      <c r="J1621" t="s">
        <v>144</v>
      </c>
      <c r="K1621" t="s">
        <v>2</v>
      </c>
      <c r="L1621" t="s">
        <v>7790</v>
      </c>
      <c r="M1621" t="s">
        <v>606</v>
      </c>
      <c r="N1621" t="s">
        <v>850</v>
      </c>
      <c r="O1621" t="s">
        <v>40</v>
      </c>
      <c r="P1621" t="s">
        <v>7791</v>
      </c>
      <c r="Q1621" t="s">
        <v>126</v>
      </c>
      <c r="R1621" t="s">
        <v>591</v>
      </c>
      <c r="S1621">
        <v>2.5</v>
      </c>
      <c r="T1621">
        <v>3366</v>
      </c>
      <c r="U1621">
        <v>0</v>
      </c>
      <c r="V1621">
        <v>3366</v>
      </c>
    </row>
    <row r="1622" spans="1:22" x14ac:dyDescent="0.25">
      <c r="A1622">
        <v>8326</v>
      </c>
      <c r="B1622">
        <v>131463709</v>
      </c>
      <c r="C1622" t="s">
        <v>7792</v>
      </c>
      <c r="D1622" t="s">
        <v>7793</v>
      </c>
      <c r="E1622" t="s">
        <v>7686</v>
      </c>
      <c r="F1622" t="s">
        <v>847</v>
      </c>
      <c r="G1622" t="s">
        <v>142</v>
      </c>
      <c r="H1622" t="s">
        <v>143</v>
      </c>
      <c r="I1622" t="s">
        <v>35</v>
      </c>
      <c r="J1622" t="s">
        <v>144</v>
      </c>
      <c r="K1622" t="s">
        <v>2</v>
      </c>
      <c r="L1622" t="s">
        <v>7794</v>
      </c>
      <c r="M1622" t="s">
        <v>7795</v>
      </c>
      <c r="N1622" t="s">
        <v>850</v>
      </c>
      <c r="O1622" t="s">
        <v>40</v>
      </c>
      <c r="P1622" t="s">
        <v>7796</v>
      </c>
      <c r="Q1622" t="s">
        <v>59</v>
      </c>
      <c r="R1622" t="s">
        <v>7797</v>
      </c>
      <c r="S1622">
        <v>7.9</v>
      </c>
      <c r="T1622">
        <v>5198</v>
      </c>
      <c r="U1622">
        <v>0</v>
      </c>
      <c r="V1622">
        <v>5198</v>
      </c>
    </row>
    <row r="1623" spans="1:22" x14ac:dyDescent="0.25">
      <c r="A1623">
        <v>8326</v>
      </c>
      <c r="B1623">
        <v>131412995</v>
      </c>
      <c r="C1623" t="s">
        <v>7798</v>
      </c>
      <c r="D1623" t="s">
        <v>7799</v>
      </c>
      <c r="E1623" t="s">
        <v>7686</v>
      </c>
      <c r="F1623" t="s">
        <v>847</v>
      </c>
      <c r="G1623" t="s">
        <v>142</v>
      </c>
      <c r="H1623" t="s">
        <v>143</v>
      </c>
      <c r="I1623" t="s">
        <v>35</v>
      </c>
      <c r="J1623" t="s">
        <v>144</v>
      </c>
      <c r="K1623" t="s">
        <v>2</v>
      </c>
      <c r="L1623" t="s">
        <v>273</v>
      </c>
      <c r="M1623" t="s">
        <v>7800</v>
      </c>
      <c r="N1623" t="s">
        <v>850</v>
      </c>
      <c r="O1623" t="s">
        <v>40</v>
      </c>
      <c r="P1623" t="s">
        <v>7801</v>
      </c>
      <c r="Q1623" t="s">
        <v>46</v>
      </c>
      <c r="R1623" t="s">
        <v>409</v>
      </c>
      <c r="S1623">
        <v>1</v>
      </c>
      <c r="T1623">
        <v>3366</v>
      </c>
      <c r="U1623">
        <v>0</v>
      </c>
      <c r="V1623">
        <v>3366</v>
      </c>
    </row>
    <row r="1624" spans="1:22" x14ac:dyDescent="0.25">
      <c r="A1624">
        <v>8326</v>
      </c>
      <c r="B1624">
        <v>131327532</v>
      </c>
      <c r="C1624" t="s">
        <v>7802</v>
      </c>
      <c r="D1624" t="s">
        <v>7803</v>
      </c>
      <c r="E1624" t="s">
        <v>7686</v>
      </c>
      <c r="F1624" t="s">
        <v>847</v>
      </c>
      <c r="G1624" t="s">
        <v>142</v>
      </c>
      <c r="H1624" t="s">
        <v>143</v>
      </c>
      <c r="I1624" t="s">
        <v>35</v>
      </c>
      <c r="J1624" t="s">
        <v>144</v>
      </c>
      <c r="K1624" t="s">
        <v>2</v>
      </c>
      <c r="L1624" t="s">
        <v>7804</v>
      </c>
      <c r="M1624" t="s">
        <v>7805</v>
      </c>
      <c r="N1624" t="s">
        <v>850</v>
      </c>
      <c r="O1624" t="s">
        <v>40</v>
      </c>
      <c r="P1624" t="s">
        <v>7806</v>
      </c>
      <c r="Q1624" t="s">
        <v>60</v>
      </c>
      <c r="R1624" t="s">
        <v>7807</v>
      </c>
      <c r="S1624">
        <v>0.65</v>
      </c>
      <c r="T1624">
        <v>3366</v>
      </c>
      <c r="U1624">
        <v>0</v>
      </c>
      <c r="V1624">
        <v>3366</v>
      </c>
    </row>
    <row r="1625" spans="1:22" x14ac:dyDescent="0.25">
      <c r="A1625">
        <v>8326</v>
      </c>
      <c r="B1625">
        <v>132096762</v>
      </c>
      <c r="C1625" t="s">
        <v>7808</v>
      </c>
      <c r="D1625" t="s">
        <v>7809</v>
      </c>
      <c r="E1625" t="s">
        <v>7686</v>
      </c>
      <c r="F1625" t="s">
        <v>847</v>
      </c>
      <c r="G1625" t="s">
        <v>142</v>
      </c>
      <c r="H1625" t="s">
        <v>143</v>
      </c>
      <c r="I1625" t="s">
        <v>35</v>
      </c>
      <c r="J1625" t="s">
        <v>144</v>
      </c>
      <c r="K1625" t="s">
        <v>169</v>
      </c>
      <c r="L1625" t="s">
        <v>267</v>
      </c>
      <c r="M1625" t="s">
        <v>7810</v>
      </c>
      <c r="N1625" t="s">
        <v>850</v>
      </c>
      <c r="O1625" t="s">
        <v>40</v>
      </c>
      <c r="P1625" t="s">
        <v>7811</v>
      </c>
      <c r="Q1625" t="s">
        <v>52</v>
      </c>
      <c r="R1625" t="s">
        <v>690</v>
      </c>
      <c r="S1625">
        <v>0.26</v>
      </c>
      <c r="T1625">
        <v>3680</v>
      </c>
      <c r="U1625">
        <v>0</v>
      </c>
      <c r="V1625">
        <v>3680</v>
      </c>
    </row>
    <row r="1626" spans="1:22" x14ac:dyDescent="0.25">
      <c r="A1626">
        <v>8326</v>
      </c>
      <c r="B1626">
        <v>132063651</v>
      </c>
      <c r="C1626" t="s">
        <v>7812</v>
      </c>
      <c r="D1626" t="s">
        <v>7813</v>
      </c>
      <c r="E1626" t="s">
        <v>7686</v>
      </c>
      <c r="F1626" t="s">
        <v>847</v>
      </c>
      <c r="G1626" t="s">
        <v>142</v>
      </c>
      <c r="H1626" t="s">
        <v>143</v>
      </c>
      <c r="I1626" t="s">
        <v>35</v>
      </c>
      <c r="J1626" t="s">
        <v>144</v>
      </c>
      <c r="K1626" t="s">
        <v>2</v>
      </c>
      <c r="L1626" t="s">
        <v>7814</v>
      </c>
      <c r="M1626" t="s">
        <v>318</v>
      </c>
      <c r="N1626" t="s">
        <v>850</v>
      </c>
      <c r="O1626" t="s">
        <v>40</v>
      </c>
      <c r="P1626" t="s">
        <v>7815</v>
      </c>
      <c r="Q1626" t="s">
        <v>52</v>
      </c>
      <c r="R1626" t="s">
        <v>775</v>
      </c>
      <c r="S1626">
        <v>1.35</v>
      </c>
      <c r="T1626">
        <v>3753</v>
      </c>
      <c r="U1626">
        <v>0</v>
      </c>
      <c r="V1626">
        <v>3753</v>
      </c>
    </row>
    <row r="1627" spans="1:22" x14ac:dyDescent="0.25">
      <c r="A1627">
        <v>8326</v>
      </c>
      <c r="B1627">
        <v>131678925</v>
      </c>
      <c r="C1627" t="s">
        <v>7816</v>
      </c>
      <c r="D1627" t="s">
        <v>7817</v>
      </c>
      <c r="E1627" t="s">
        <v>7686</v>
      </c>
      <c r="F1627" t="s">
        <v>847</v>
      </c>
      <c r="G1627" t="s">
        <v>142</v>
      </c>
      <c r="H1627" t="s">
        <v>143</v>
      </c>
      <c r="I1627" t="s">
        <v>35</v>
      </c>
      <c r="J1627" t="s">
        <v>144</v>
      </c>
      <c r="K1627" t="s">
        <v>2</v>
      </c>
      <c r="L1627" t="s">
        <v>7818</v>
      </c>
      <c r="M1627" t="s">
        <v>7819</v>
      </c>
      <c r="N1627" t="s">
        <v>850</v>
      </c>
      <c r="O1627" t="s">
        <v>40</v>
      </c>
      <c r="P1627" t="s">
        <v>7820</v>
      </c>
      <c r="Q1627" t="s">
        <v>58</v>
      </c>
      <c r="R1627" t="s">
        <v>375</v>
      </c>
      <c r="S1627">
        <v>0.95</v>
      </c>
      <c r="T1627">
        <v>3753</v>
      </c>
      <c r="U1627">
        <v>0</v>
      </c>
      <c r="V1627">
        <v>3753</v>
      </c>
    </row>
    <row r="1628" spans="1:22" x14ac:dyDescent="0.25">
      <c r="A1628">
        <v>8326</v>
      </c>
      <c r="B1628">
        <v>131651095</v>
      </c>
      <c r="C1628" t="s">
        <v>7821</v>
      </c>
      <c r="D1628" t="s">
        <v>7822</v>
      </c>
      <c r="E1628" t="s">
        <v>7686</v>
      </c>
      <c r="F1628" t="s">
        <v>847</v>
      </c>
      <c r="G1628" t="s">
        <v>142</v>
      </c>
      <c r="H1628" t="s">
        <v>143</v>
      </c>
      <c r="I1628" t="s">
        <v>35</v>
      </c>
      <c r="J1628" t="s">
        <v>144</v>
      </c>
      <c r="K1628" t="s">
        <v>2</v>
      </c>
      <c r="L1628" t="s">
        <v>1872</v>
      </c>
      <c r="M1628" t="s">
        <v>7823</v>
      </c>
      <c r="N1628" t="s">
        <v>850</v>
      </c>
      <c r="O1628" t="s">
        <v>40</v>
      </c>
      <c r="P1628" t="s">
        <v>7824</v>
      </c>
      <c r="Q1628" t="s">
        <v>52</v>
      </c>
      <c r="R1628" t="s">
        <v>647</v>
      </c>
      <c r="S1628">
        <v>1</v>
      </c>
      <c r="T1628">
        <v>3753</v>
      </c>
      <c r="U1628">
        <v>0</v>
      </c>
      <c r="V1628">
        <v>3753</v>
      </c>
    </row>
    <row r="1629" spans="1:22" x14ac:dyDescent="0.25">
      <c r="A1629">
        <v>8326</v>
      </c>
      <c r="B1629">
        <v>132096857</v>
      </c>
      <c r="C1629" t="s">
        <v>7825</v>
      </c>
      <c r="D1629" t="s">
        <v>7826</v>
      </c>
      <c r="E1629" t="s">
        <v>7686</v>
      </c>
      <c r="F1629" t="s">
        <v>847</v>
      </c>
      <c r="G1629" t="s">
        <v>142</v>
      </c>
      <c r="H1629" t="s">
        <v>143</v>
      </c>
      <c r="I1629" t="s">
        <v>35</v>
      </c>
      <c r="J1629" t="s">
        <v>144</v>
      </c>
      <c r="K1629" t="s">
        <v>2</v>
      </c>
      <c r="L1629" t="s">
        <v>7827</v>
      </c>
      <c r="M1629" t="s">
        <v>7828</v>
      </c>
      <c r="N1629" t="s">
        <v>850</v>
      </c>
      <c r="O1629" t="s">
        <v>40</v>
      </c>
      <c r="P1629" t="s">
        <v>7829</v>
      </c>
      <c r="Q1629" t="s">
        <v>64</v>
      </c>
      <c r="R1629" t="s">
        <v>7830</v>
      </c>
      <c r="S1629">
        <v>1</v>
      </c>
      <c r="T1629">
        <v>3784</v>
      </c>
      <c r="U1629">
        <v>0</v>
      </c>
      <c r="V1629">
        <v>3784</v>
      </c>
    </row>
    <row r="1630" spans="1:22" x14ac:dyDescent="0.25">
      <c r="A1630">
        <v>8326</v>
      </c>
      <c r="B1630">
        <v>132061606</v>
      </c>
      <c r="C1630" t="s">
        <v>7831</v>
      </c>
      <c r="D1630" t="s">
        <v>7832</v>
      </c>
      <c r="E1630" t="s">
        <v>7686</v>
      </c>
      <c r="F1630" t="s">
        <v>847</v>
      </c>
      <c r="G1630" t="s">
        <v>142</v>
      </c>
      <c r="H1630" t="s">
        <v>143</v>
      </c>
      <c r="I1630" t="s">
        <v>35</v>
      </c>
      <c r="J1630" t="s">
        <v>144</v>
      </c>
      <c r="K1630" t="s">
        <v>2</v>
      </c>
      <c r="L1630" t="s">
        <v>7833</v>
      </c>
      <c r="M1630" t="s">
        <v>7834</v>
      </c>
      <c r="N1630" t="s">
        <v>850</v>
      </c>
      <c r="O1630" t="s">
        <v>40</v>
      </c>
      <c r="P1630" t="s">
        <v>625</v>
      </c>
      <c r="Q1630" t="s">
        <v>107</v>
      </c>
      <c r="R1630" t="s">
        <v>417</v>
      </c>
      <c r="S1630">
        <v>0.61</v>
      </c>
      <c r="T1630">
        <v>5198</v>
      </c>
      <c r="U1630">
        <v>0</v>
      </c>
      <c r="V1630">
        <v>5198</v>
      </c>
    </row>
    <row r="1631" spans="1:22" x14ac:dyDescent="0.25">
      <c r="A1631">
        <v>8326</v>
      </c>
      <c r="B1631">
        <v>132043918</v>
      </c>
      <c r="C1631" t="s">
        <v>7835</v>
      </c>
      <c r="D1631" t="s">
        <v>7836</v>
      </c>
      <c r="E1631" t="s">
        <v>7686</v>
      </c>
      <c r="F1631" t="s">
        <v>847</v>
      </c>
      <c r="G1631" t="s">
        <v>142</v>
      </c>
      <c r="H1631" t="s">
        <v>143</v>
      </c>
      <c r="I1631" t="s">
        <v>35</v>
      </c>
      <c r="J1631" t="s">
        <v>144</v>
      </c>
      <c r="K1631" t="s">
        <v>2</v>
      </c>
      <c r="L1631" t="s">
        <v>7837</v>
      </c>
      <c r="M1631" t="s">
        <v>7838</v>
      </c>
      <c r="N1631" t="s">
        <v>850</v>
      </c>
      <c r="O1631" t="s">
        <v>40</v>
      </c>
      <c r="P1631" t="s">
        <v>7839</v>
      </c>
      <c r="Q1631" t="s">
        <v>63</v>
      </c>
      <c r="R1631" t="s">
        <v>415</v>
      </c>
      <c r="S1631">
        <v>0.9</v>
      </c>
      <c r="T1631">
        <v>4067</v>
      </c>
      <c r="U1631">
        <v>0</v>
      </c>
      <c r="V1631">
        <v>4067</v>
      </c>
    </row>
    <row r="1632" spans="1:22" x14ac:dyDescent="0.25">
      <c r="A1632">
        <v>8326</v>
      </c>
      <c r="B1632">
        <v>131941696</v>
      </c>
      <c r="C1632" t="s">
        <v>7840</v>
      </c>
      <c r="D1632" t="s">
        <v>7841</v>
      </c>
      <c r="E1632" t="s">
        <v>7686</v>
      </c>
      <c r="F1632" t="s">
        <v>847</v>
      </c>
      <c r="G1632" t="s">
        <v>142</v>
      </c>
      <c r="H1632" t="s">
        <v>143</v>
      </c>
      <c r="I1632" t="s">
        <v>35</v>
      </c>
      <c r="J1632" t="s">
        <v>144</v>
      </c>
      <c r="K1632" t="s">
        <v>2</v>
      </c>
      <c r="L1632" t="s">
        <v>7842</v>
      </c>
      <c r="M1632" t="s">
        <v>7843</v>
      </c>
      <c r="N1632" t="s">
        <v>850</v>
      </c>
      <c r="O1632" t="s">
        <v>40</v>
      </c>
      <c r="P1632" t="s">
        <v>363</v>
      </c>
      <c r="Q1632" t="s">
        <v>112</v>
      </c>
      <c r="R1632" t="s">
        <v>691</v>
      </c>
      <c r="S1632">
        <v>1</v>
      </c>
      <c r="T1632">
        <v>4067</v>
      </c>
      <c r="U1632">
        <v>0</v>
      </c>
      <c r="V1632">
        <v>4067</v>
      </c>
    </row>
    <row r="1633" spans="1:22" x14ac:dyDescent="0.25">
      <c r="A1633">
        <v>8326</v>
      </c>
      <c r="B1633">
        <v>131868433</v>
      </c>
      <c r="C1633" t="s">
        <v>7844</v>
      </c>
      <c r="D1633" t="s">
        <v>7845</v>
      </c>
      <c r="E1633" t="s">
        <v>7686</v>
      </c>
      <c r="F1633" t="s">
        <v>847</v>
      </c>
      <c r="G1633" t="s">
        <v>142</v>
      </c>
      <c r="H1633" t="s">
        <v>143</v>
      </c>
      <c r="I1633" t="s">
        <v>35</v>
      </c>
      <c r="J1633" t="s">
        <v>144</v>
      </c>
      <c r="K1633" t="s">
        <v>2</v>
      </c>
      <c r="L1633" t="s">
        <v>7846</v>
      </c>
      <c r="M1633" t="s">
        <v>7847</v>
      </c>
      <c r="N1633" t="s">
        <v>850</v>
      </c>
      <c r="O1633" t="s">
        <v>40</v>
      </c>
      <c r="P1633" t="s">
        <v>7848</v>
      </c>
      <c r="Q1633" t="s">
        <v>56</v>
      </c>
      <c r="R1633" t="s">
        <v>519</v>
      </c>
      <c r="S1633">
        <v>1</v>
      </c>
      <c r="T1633">
        <v>4067</v>
      </c>
      <c r="U1633">
        <v>0</v>
      </c>
      <c r="V1633">
        <v>4067</v>
      </c>
    </row>
    <row r="1634" spans="1:22" x14ac:dyDescent="0.25">
      <c r="A1634">
        <v>8326</v>
      </c>
      <c r="B1634">
        <v>131832155</v>
      </c>
      <c r="C1634" t="s">
        <v>7849</v>
      </c>
      <c r="D1634" t="s">
        <v>7850</v>
      </c>
      <c r="E1634" t="s">
        <v>7686</v>
      </c>
      <c r="F1634" t="s">
        <v>847</v>
      </c>
      <c r="G1634" t="s">
        <v>142</v>
      </c>
      <c r="H1634" t="s">
        <v>143</v>
      </c>
      <c r="I1634" t="s">
        <v>35</v>
      </c>
      <c r="J1634" t="s">
        <v>144</v>
      </c>
      <c r="K1634" t="s">
        <v>2</v>
      </c>
      <c r="L1634" t="s">
        <v>7851</v>
      </c>
      <c r="M1634" t="s">
        <v>7852</v>
      </c>
      <c r="N1634" t="s">
        <v>850</v>
      </c>
      <c r="O1634" t="s">
        <v>40</v>
      </c>
      <c r="P1634" t="s">
        <v>7853</v>
      </c>
      <c r="Q1634" t="s">
        <v>265</v>
      </c>
      <c r="R1634" t="s">
        <v>516</v>
      </c>
      <c r="S1634">
        <v>1</v>
      </c>
      <c r="T1634">
        <v>3784</v>
      </c>
      <c r="U1634">
        <v>0</v>
      </c>
      <c r="V1634">
        <v>3784</v>
      </c>
    </row>
    <row r="1635" spans="1:22" x14ac:dyDescent="0.25">
      <c r="A1635">
        <v>8326</v>
      </c>
      <c r="B1635">
        <v>131570341</v>
      </c>
      <c r="C1635" t="s">
        <v>7854</v>
      </c>
      <c r="D1635" t="s">
        <v>7855</v>
      </c>
      <c r="E1635" t="s">
        <v>7686</v>
      </c>
      <c r="F1635" t="s">
        <v>847</v>
      </c>
      <c r="G1635" t="s">
        <v>142</v>
      </c>
      <c r="H1635" t="s">
        <v>143</v>
      </c>
      <c r="I1635" t="s">
        <v>35</v>
      </c>
      <c r="J1635" t="s">
        <v>144</v>
      </c>
      <c r="K1635" t="s">
        <v>2</v>
      </c>
      <c r="L1635" t="s">
        <v>7856</v>
      </c>
      <c r="M1635" t="s">
        <v>7843</v>
      </c>
      <c r="N1635" t="s">
        <v>850</v>
      </c>
      <c r="O1635" t="s">
        <v>40</v>
      </c>
      <c r="P1635" t="s">
        <v>363</v>
      </c>
      <c r="Q1635" t="s">
        <v>112</v>
      </c>
      <c r="R1635" t="s">
        <v>309</v>
      </c>
      <c r="S1635">
        <v>1</v>
      </c>
      <c r="T1635">
        <v>4067</v>
      </c>
      <c r="U1635">
        <v>0</v>
      </c>
      <c r="V1635">
        <v>4067</v>
      </c>
    </row>
    <row r="1636" spans="1:22" x14ac:dyDescent="0.25">
      <c r="A1636">
        <v>8326</v>
      </c>
      <c r="B1636">
        <v>131461270</v>
      </c>
      <c r="C1636" t="s">
        <v>7857</v>
      </c>
      <c r="D1636" t="s">
        <v>7858</v>
      </c>
      <c r="E1636" t="s">
        <v>7686</v>
      </c>
      <c r="F1636" t="s">
        <v>847</v>
      </c>
      <c r="G1636" t="s">
        <v>142</v>
      </c>
      <c r="H1636" t="s">
        <v>143</v>
      </c>
      <c r="I1636" t="s">
        <v>35</v>
      </c>
      <c r="J1636" t="s">
        <v>144</v>
      </c>
      <c r="K1636" t="s">
        <v>2</v>
      </c>
      <c r="L1636" t="s">
        <v>7859</v>
      </c>
      <c r="M1636" t="s">
        <v>677</v>
      </c>
      <c r="N1636" t="s">
        <v>850</v>
      </c>
      <c r="O1636" t="s">
        <v>40</v>
      </c>
      <c r="P1636" t="s">
        <v>7860</v>
      </c>
      <c r="Q1636" t="s">
        <v>112</v>
      </c>
      <c r="R1636" t="s">
        <v>454</v>
      </c>
      <c r="S1636">
        <v>1</v>
      </c>
      <c r="T1636">
        <v>4067</v>
      </c>
      <c r="U1636">
        <v>0</v>
      </c>
      <c r="V1636">
        <v>4067</v>
      </c>
    </row>
    <row r="1637" spans="1:22" x14ac:dyDescent="0.25">
      <c r="A1637">
        <v>8326</v>
      </c>
      <c r="B1637">
        <v>132096651</v>
      </c>
      <c r="C1637" t="s">
        <v>7861</v>
      </c>
      <c r="D1637" t="s">
        <v>7862</v>
      </c>
      <c r="E1637" t="s">
        <v>7686</v>
      </c>
      <c r="F1637" t="s">
        <v>847</v>
      </c>
      <c r="G1637" t="s">
        <v>142</v>
      </c>
      <c r="H1637" t="s">
        <v>143</v>
      </c>
      <c r="I1637" t="s">
        <v>35</v>
      </c>
      <c r="J1637" t="s">
        <v>144</v>
      </c>
      <c r="K1637" t="s">
        <v>2</v>
      </c>
      <c r="L1637" t="s">
        <v>7863</v>
      </c>
      <c r="M1637" t="s">
        <v>515</v>
      </c>
      <c r="N1637" t="s">
        <v>850</v>
      </c>
      <c r="O1637" t="s">
        <v>40</v>
      </c>
      <c r="P1637" t="s">
        <v>7864</v>
      </c>
      <c r="Q1637" t="s">
        <v>74</v>
      </c>
      <c r="R1637" t="s">
        <v>7865</v>
      </c>
      <c r="S1637">
        <v>1</v>
      </c>
      <c r="T1637">
        <v>4346</v>
      </c>
      <c r="U1637">
        <v>0</v>
      </c>
      <c r="V1637">
        <v>4346</v>
      </c>
    </row>
    <row r="1638" spans="1:22" x14ac:dyDescent="0.25">
      <c r="A1638">
        <v>8326</v>
      </c>
      <c r="B1638">
        <v>131868153</v>
      </c>
      <c r="C1638" t="s">
        <v>7866</v>
      </c>
      <c r="D1638" t="s">
        <v>7867</v>
      </c>
      <c r="E1638" t="s">
        <v>7686</v>
      </c>
      <c r="F1638" t="s">
        <v>847</v>
      </c>
      <c r="G1638" t="s">
        <v>142</v>
      </c>
      <c r="H1638" t="s">
        <v>143</v>
      </c>
      <c r="I1638" t="s">
        <v>35</v>
      </c>
      <c r="J1638" t="s">
        <v>144</v>
      </c>
      <c r="K1638" t="s">
        <v>2</v>
      </c>
      <c r="L1638" t="s">
        <v>7868</v>
      </c>
      <c r="M1638" t="s">
        <v>7869</v>
      </c>
      <c r="N1638" t="s">
        <v>850</v>
      </c>
      <c r="O1638" t="s">
        <v>40</v>
      </c>
      <c r="P1638" t="s">
        <v>7870</v>
      </c>
      <c r="Q1638" t="s">
        <v>234</v>
      </c>
      <c r="R1638" t="s">
        <v>447</v>
      </c>
      <c r="S1638">
        <v>1</v>
      </c>
      <c r="T1638">
        <v>4503</v>
      </c>
      <c r="U1638">
        <v>0</v>
      </c>
      <c r="V1638">
        <v>4503</v>
      </c>
    </row>
    <row r="1639" spans="1:22" x14ac:dyDescent="0.25">
      <c r="A1639">
        <v>8326</v>
      </c>
      <c r="B1639">
        <v>131832097</v>
      </c>
      <c r="C1639" t="s">
        <v>7871</v>
      </c>
      <c r="D1639" t="s">
        <v>7872</v>
      </c>
      <c r="E1639" t="s">
        <v>7686</v>
      </c>
      <c r="F1639" t="s">
        <v>847</v>
      </c>
      <c r="G1639" t="s">
        <v>142</v>
      </c>
      <c r="H1639" t="s">
        <v>143</v>
      </c>
      <c r="I1639" t="s">
        <v>35</v>
      </c>
      <c r="J1639" t="s">
        <v>144</v>
      </c>
      <c r="K1639" t="s">
        <v>2</v>
      </c>
      <c r="L1639" t="s">
        <v>7873</v>
      </c>
      <c r="M1639" t="s">
        <v>7874</v>
      </c>
      <c r="N1639" t="s">
        <v>850</v>
      </c>
      <c r="O1639" t="s">
        <v>40</v>
      </c>
      <c r="P1639" t="s">
        <v>7875</v>
      </c>
      <c r="Q1639" t="s">
        <v>229</v>
      </c>
      <c r="R1639" t="s">
        <v>694</v>
      </c>
      <c r="S1639">
        <v>1</v>
      </c>
      <c r="T1639">
        <v>4542</v>
      </c>
      <c r="U1639">
        <v>0</v>
      </c>
      <c r="V1639">
        <v>4542</v>
      </c>
    </row>
    <row r="1640" spans="1:22" x14ac:dyDescent="0.25">
      <c r="A1640">
        <v>8326</v>
      </c>
      <c r="B1640">
        <v>131959935</v>
      </c>
      <c r="C1640" t="s">
        <v>7876</v>
      </c>
      <c r="D1640" t="s">
        <v>7877</v>
      </c>
      <c r="E1640" t="s">
        <v>7686</v>
      </c>
      <c r="F1640" t="s">
        <v>847</v>
      </c>
      <c r="G1640" t="s">
        <v>142</v>
      </c>
      <c r="H1640" t="s">
        <v>143</v>
      </c>
      <c r="I1640" t="s">
        <v>35</v>
      </c>
      <c r="J1640" t="s">
        <v>144</v>
      </c>
      <c r="K1640" t="s">
        <v>169</v>
      </c>
      <c r="L1640" t="s">
        <v>267</v>
      </c>
      <c r="M1640" t="s">
        <v>7878</v>
      </c>
      <c r="N1640" t="s">
        <v>850</v>
      </c>
      <c r="O1640" t="s">
        <v>40</v>
      </c>
      <c r="P1640" t="s">
        <v>7879</v>
      </c>
      <c r="Q1640" t="s">
        <v>137</v>
      </c>
      <c r="R1640" t="s">
        <v>395</v>
      </c>
      <c r="S1640">
        <v>1</v>
      </c>
      <c r="T1640">
        <v>5131</v>
      </c>
      <c r="U1640">
        <v>0</v>
      </c>
      <c r="V1640">
        <v>5131</v>
      </c>
    </row>
    <row r="1641" spans="1:22" x14ac:dyDescent="0.25">
      <c r="A1641">
        <v>8326</v>
      </c>
      <c r="B1641">
        <v>131650792</v>
      </c>
      <c r="C1641" t="s">
        <v>7880</v>
      </c>
      <c r="D1641" t="s">
        <v>7881</v>
      </c>
      <c r="E1641" t="s">
        <v>7686</v>
      </c>
      <c r="F1641" t="s">
        <v>847</v>
      </c>
      <c r="G1641" t="s">
        <v>142</v>
      </c>
      <c r="H1641" t="s">
        <v>143</v>
      </c>
      <c r="I1641" t="s">
        <v>35</v>
      </c>
      <c r="J1641" t="s">
        <v>144</v>
      </c>
      <c r="K1641" t="s">
        <v>2</v>
      </c>
      <c r="L1641" t="s">
        <v>7882</v>
      </c>
      <c r="M1641" t="s">
        <v>748</v>
      </c>
      <c r="N1641" t="s">
        <v>850</v>
      </c>
      <c r="O1641" t="s">
        <v>40</v>
      </c>
      <c r="P1641" t="s">
        <v>7883</v>
      </c>
      <c r="Q1641" t="s">
        <v>192</v>
      </c>
      <c r="R1641" t="s">
        <v>753</v>
      </c>
      <c r="S1641">
        <v>4.05</v>
      </c>
      <c r="T1641">
        <v>5536</v>
      </c>
      <c r="U1641">
        <v>0</v>
      </c>
      <c r="V1641">
        <v>5536</v>
      </c>
    </row>
    <row r="1642" spans="1:22" x14ac:dyDescent="0.25">
      <c r="A1642">
        <v>8326</v>
      </c>
      <c r="B1642">
        <v>131327799</v>
      </c>
      <c r="C1642" t="s">
        <v>7884</v>
      </c>
      <c r="D1642" t="s">
        <v>7885</v>
      </c>
      <c r="E1642" t="s">
        <v>7686</v>
      </c>
      <c r="F1642" t="s">
        <v>847</v>
      </c>
      <c r="G1642" t="s">
        <v>142</v>
      </c>
      <c r="H1642" t="s">
        <v>143</v>
      </c>
      <c r="I1642" t="s">
        <v>35</v>
      </c>
      <c r="J1642" t="s">
        <v>144</v>
      </c>
      <c r="K1642" t="s">
        <v>2</v>
      </c>
      <c r="L1642" t="s">
        <v>7886</v>
      </c>
      <c r="M1642" t="s">
        <v>7887</v>
      </c>
      <c r="N1642" t="s">
        <v>850</v>
      </c>
      <c r="O1642" t="s">
        <v>40</v>
      </c>
      <c r="P1642" t="s">
        <v>7888</v>
      </c>
      <c r="Q1642" t="s">
        <v>137</v>
      </c>
      <c r="R1642" t="s">
        <v>536</v>
      </c>
      <c r="S1642">
        <v>1</v>
      </c>
      <c r="T1642">
        <v>5131</v>
      </c>
      <c r="U1642">
        <v>0</v>
      </c>
      <c r="V1642">
        <v>5131</v>
      </c>
    </row>
    <row r="1643" spans="1:22" x14ac:dyDescent="0.25">
      <c r="A1643">
        <v>8326</v>
      </c>
      <c r="B1643">
        <v>131873700</v>
      </c>
      <c r="C1643" t="s">
        <v>7889</v>
      </c>
      <c r="D1643" t="s">
        <v>7890</v>
      </c>
      <c r="E1643" t="s">
        <v>7686</v>
      </c>
      <c r="F1643" t="s">
        <v>847</v>
      </c>
      <c r="G1643" t="s">
        <v>142</v>
      </c>
      <c r="H1643" t="s">
        <v>143</v>
      </c>
      <c r="I1643" t="s">
        <v>35</v>
      </c>
      <c r="J1643" t="s">
        <v>144</v>
      </c>
      <c r="K1643" t="s">
        <v>2</v>
      </c>
      <c r="L1643" t="s">
        <v>7891</v>
      </c>
      <c r="M1643" t="s">
        <v>7892</v>
      </c>
      <c r="N1643" t="s">
        <v>850</v>
      </c>
      <c r="O1643" t="s">
        <v>40</v>
      </c>
      <c r="P1643" t="s">
        <v>7893</v>
      </c>
      <c r="Q1643" t="s">
        <v>218</v>
      </c>
      <c r="R1643" t="s">
        <v>500</v>
      </c>
      <c r="S1643">
        <v>0.65</v>
      </c>
      <c r="T1643">
        <v>5476</v>
      </c>
      <c r="U1643">
        <v>0</v>
      </c>
      <c r="V1643">
        <v>5476</v>
      </c>
    </row>
    <row r="1644" spans="1:22" x14ac:dyDescent="0.25">
      <c r="A1644">
        <v>8326</v>
      </c>
      <c r="B1644">
        <v>131708243</v>
      </c>
      <c r="C1644" t="s">
        <v>7894</v>
      </c>
      <c r="D1644" t="s">
        <v>7895</v>
      </c>
      <c r="E1644" t="s">
        <v>7686</v>
      </c>
      <c r="F1644" t="s">
        <v>847</v>
      </c>
      <c r="G1644" t="s">
        <v>142</v>
      </c>
      <c r="H1644" t="s">
        <v>143</v>
      </c>
      <c r="I1644" t="s">
        <v>35</v>
      </c>
      <c r="J1644" t="s">
        <v>144</v>
      </c>
      <c r="K1644" t="s">
        <v>2</v>
      </c>
      <c r="L1644" t="s">
        <v>7896</v>
      </c>
      <c r="M1644" t="s">
        <v>7897</v>
      </c>
      <c r="N1644" t="s">
        <v>850</v>
      </c>
      <c r="O1644" t="s">
        <v>40</v>
      </c>
      <c r="P1644" t="s">
        <v>7898</v>
      </c>
      <c r="Q1644" t="s">
        <v>149</v>
      </c>
      <c r="R1644" t="s">
        <v>289</v>
      </c>
      <c r="S1644">
        <v>1</v>
      </c>
      <c r="T1644">
        <v>5759</v>
      </c>
      <c r="U1644">
        <v>0</v>
      </c>
      <c r="V1644">
        <v>5759</v>
      </c>
    </row>
    <row r="1645" spans="1:22" x14ac:dyDescent="0.25">
      <c r="A1645">
        <v>8326</v>
      </c>
      <c r="B1645">
        <v>132063583</v>
      </c>
      <c r="C1645" t="s">
        <v>7899</v>
      </c>
      <c r="D1645" t="s">
        <v>7900</v>
      </c>
      <c r="E1645" t="s">
        <v>7686</v>
      </c>
      <c r="F1645" t="s">
        <v>847</v>
      </c>
      <c r="G1645" t="s">
        <v>142</v>
      </c>
      <c r="H1645" t="s">
        <v>143</v>
      </c>
      <c r="I1645" t="s">
        <v>35</v>
      </c>
      <c r="J1645" t="s">
        <v>144</v>
      </c>
      <c r="K1645" t="s">
        <v>2</v>
      </c>
      <c r="L1645" t="s">
        <v>7901</v>
      </c>
      <c r="M1645" t="s">
        <v>776</v>
      </c>
      <c r="N1645" t="s">
        <v>850</v>
      </c>
      <c r="O1645" t="s">
        <v>40</v>
      </c>
      <c r="P1645" t="s">
        <v>777</v>
      </c>
      <c r="Q1645" t="s">
        <v>54</v>
      </c>
      <c r="R1645" t="s">
        <v>421</v>
      </c>
      <c r="S1645">
        <v>1</v>
      </c>
      <c r="T1645">
        <v>7000</v>
      </c>
      <c r="U1645">
        <v>0</v>
      </c>
      <c r="V1645">
        <v>7000</v>
      </c>
    </row>
    <row r="1646" spans="1:22" x14ac:dyDescent="0.25">
      <c r="A1646">
        <v>8326</v>
      </c>
      <c r="B1646">
        <v>130958231</v>
      </c>
      <c r="C1646" t="s">
        <v>7889</v>
      </c>
      <c r="D1646" t="s">
        <v>7902</v>
      </c>
      <c r="E1646" t="s">
        <v>7686</v>
      </c>
      <c r="F1646" t="s">
        <v>847</v>
      </c>
      <c r="G1646" t="s">
        <v>142</v>
      </c>
      <c r="H1646" t="s">
        <v>143</v>
      </c>
      <c r="I1646" t="s">
        <v>35</v>
      </c>
      <c r="J1646" t="s">
        <v>144</v>
      </c>
      <c r="K1646" t="s">
        <v>66</v>
      </c>
      <c r="L1646" t="s">
        <v>283</v>
      </c>
      <c r="M1646" t="s">
        <v>7892</v>
      </c>
      <c r="N1646" t="s">
        <v>850</v>
      </c>
      <c r="O1646" t="s">
        <v>40</v>
      </c>
      <c r="P1646" t="s">
        <v>7903</v>
      </c>
      <c r="Q1646" t="s">
        <v>107</v>
      </c>
      <c r="R1646" t="s">
        <v>7904</v>
      </c>
      <c r="S1646">
        <v>0.31</v>
      </c>
      <c r="T1646">
        <v>20294.11</v>
      </c>
      <c r="U1646">
        <v>0</v>
      </c>
      <c r="V1646">
        <v>20294.11</v>
      </c>
    </row>
    <row r="1647" spans="1:22" x14ac:dyDescent="0.25">
      <c r="A1647">
        <v>8326</v>
      </c>
      <c r="B1647">
        <v>132026222</v>
      </c>
      <c r="C1647" t="s">
        <v>7905</v>
      </c>
      <c r="D1647" t="s">
        <v>7906</v>
      </c>
      <c r="E1647" t="s">
        <v>7686</v>
      </c>
      <c r="F1647" t="s">
        <v>847</v>
      </c>
      <c r="G1647" t="s">
        <v>162</v>
      </c>
      <c r="H1647" t="s">
        <v>163</v>
      </c>
      <c r="I1647" t="s">
        <v>35</v>
      </c>
      <c r="J1647" t="s">
        <v>164</v>
      </c>
      <c r="K1647" t="s">
        <v>2</v>
      </c>
      <c r="L1647" t="s">
        <v>7907</v>
      </c>
      <c r="M1647" t="s">
        <v>7908</v>
      </c>
      <c r="N1647" t="s">
        <v>850</v>
      </c>
      <c r="O1647" t="s">
        <v>40</v>
      </c>
      <c r="P1647" t="s">
        <v>7909</v>
      </c>
      <c r="Q1647" t="s">
        <v>258</v>
      </c>
      <c r="R1647" t="s">
        <v>7910</v>
      </c>
      <c r="S1647">
        <v>7.06</v>
      </c>
      <c r="T1647">
        <v>12495</v>
      </c>
      <c r="U1647">
        <v>500</v>
      </c>
      <c r="V1647">
        <v>12995</v>
      </c>
    </row>
    <row r="1648" spans="1:22" x14ac:dyDescent="0.25">
      <c r="A1648">
        <v>8326</v>
      </c>
      <c r="B1648">
        <v>131871990</v>
      </c>
      <c r="C1648" t="s">
        <v>7911</v>
      </c>
      <c r="D1648" t="s">
        <v>7912</v>
      </c>
      <c r="E1648" t="s">
        <v>7686</v>
      </c>
      <c r="F1648" t="s">
        <v>847</v>
      </c>
      <c r="G1648" t="s">
        <v>162</v>
      </c>
      <c r="H1648" t="s">
        <v>163</v>
      </c>
      <c r="I1648" t="s">
        <v>35</v>
      </c>
      <c r="J1648" t="s">
        <v>164</v>
      </c>
      <c r="K1648" t="s">
        <v>2</v>
      </c>
      <c r="L1648" t="s">
        <v>7913</v>
      </c>
      <c r="M1648" t="s">
        <v>7914</v>
      </c>
      <c r="N1648" t="s">
        <v>850</v>
      </c>
      <c r="O1648" t="s">
        <v>40</v>
      </c>
      <c r="P1648" t="s">
        <v>7915</v>
      </c>
      <c r="Q1648" t="s">
        <v>237</v>
      </c>
      <c r="R1648" t="s">
        <v>827</v>
      </c>
      <c r="S1648">
        <v>1.01</v>
      </c>
      <c r="T1648">
        <v>7141</v>
      </c>
      <c r="U1648">
        <v>0</v>
      </c>
      <c r="V1648">
        <v>7141</v>
      </c>
    </row>
    <row r="1649" spans="17:17" x14ac:dyDescent="0.25">
      <c r="Q1649"/>
    </row>
    <row r="1650" spans="17:17" x14ac:dyDescent="0.25">
      <c r="Q1650"/>
    </row>
    <row r="1651" spans="17:17" x14ac:dyDescent="0.25">
      <c r="Q1651"/>
    </row>
    <row r="1652" spans="17:17" x14ac:dyDescent="0.25">
      <c r="Q1652"/>
    </row>
    <row r="1653" spans="17:17" x14ac:dyDescent="0.25">
      <c r="Q1653"/>
    </row>
    <row r="1654" spans="17:17" x14ac:dyDescent="0.25">
      <c r="Q1654"/>
    </row>
    <row r="1655" spans="17:17" x14ac:dyDescent="0.25">
      <c r="Q1655"/>
    </row>
    <row r="1656" spans="17:17" x14ac:dyDescent="0.25">
      <c r="Q1656"/>
    </row>
    <row r="1657" spans="17:17" x14ac:dyDescent="0.25">
      <c r="Q1657"/>
    </row>
    <row r="1658" spans="17:17" x14ac:dyDescent="0.25">
      <c r="Q1658"/>
    </row>
    <row r="1659" spans="17:17" x14ac:dyDescent="0.25">
      <c r="Q1659"/>
    </row>
    <row r="1660" spans="17:17" x14ac:dyDescent="0.25">
      <c r="Q1660"/>
    </row>
    <row r="1661" spans="17:17" x14ac:dyDescent="0.25">
      <c r="Q1661"/>
    </row>
    <row r="1662" spans="17:17" x14ac:dyDescent="0.25">
      <c r="Q1662"/>
    </row>
    <row r="1663" spans="17:17" x14ac:dyDescent="0.25">
      <c r="Q1663"/>
    </row>
    <row r="1664" spans="17:17" x14ac:dyDescent="0.25">
      <c r="Q1664"/>
    </row>
    <row r="1665" spans="17:17" x14ac:dyDescent="0.25">
      <c r="Q1665"/>
    </row>
    <row r="1666" spans="17:17" x14ac:dyDescent="0.25">
      <c r="Q1666"/>
    </row>
    <row r="1667" spans="17:17" x14ac:dyDescent="0.25">
      <c r="Q1667"/>
    </row>
    <row r="1668" spans="17:17" x14ac:dyDescent="0.25">
      <c r="Q1668"/>
    </row>
    <row r="1669" spans="17:17" x14ac:dyDescent="0.25">
      <c r="Q1669"/>
    </row>
    <row r="1670" spans="17:17" x14ac:dyDescent="0.25">
      <c r="Q1670"/>
    </row>
    <row r="1671" spans="17:17" x14ac:dyDescent="0.25">
      <c r="Q1671"/>
    </row>
    <row r="1672" spans="17:17" x14ac:dyDescent="0.25">
      <c r="Q1672"/>
    </row>
    <row r="1673" spans="17:17" x14ac:dyDescent="0.25">
      <c r="Q1673"/>
    </row>
    <row r="1674" spans="17:17" x14ac:dyDescent="0.25">
      <c r="Q1674"/>
    </row>
    <row r="1675" spans="17:17" x14ac:dyDescent="0.25">
      <c r="Q1675"/>
    </row>
    <row r="1676" spans="17:17" x14ac:dyDescent="0.25">
      <c r="Q1676"/>
    </row>
    <row r="1677" spans="17:17" x14ac:dyDescent="0.25">
      <c r="Q1677"/>
    </row>
    <row r="1678" spans="17:17" x14ac:dyDescent="0.25">
      <c r="Q1678"/>
    </row>
    <row r="1679" spans="17:17" x14ac:dyDescent="0.25">
      <c r="Q1679"/>
    </row>
    <row r="1680" spans="17:17" x14ac:dyDescent="0.25">
      <c r="Q1680"/>
    </row>
    <row r="1681" spans="17:17" x14ac:dyDescent="0.25">
      <c r="Q1681"/>
    </row>
    <row r="1682" spans="17:17" x14ac:dyDescent="0.25">
      <c r="Q1682"/>
    </row>
    <row r="1683" spans="17:17" x14ac:dyDescent="0.25">
      <c r="Q1683"/>
    </row>
    <row r="1684" spans="17:17" x14ac:dyDescent="0.25">
      <c r="Q1684"/>
    </row>
    <row r="1685" spans="17:17" x14ac:dyDescent="0.25">
      <c r="Q1685"/>
    </row>
    <row r="1686" spans="17:17" x14ac:dyDescent="0.25">
      <c r="Q1686"/>
    </row>
    <row r="1687" spans="17:17" x14ac:dyDescent="0.25">
      <c r="Q1687"/>
    </row>
    <row r="1688" spans="17:17" x14ac:dyDescent="0.25">
      <c r="Q1688"/>
    </row>
    <row r="1689" spans="17:17" x14ac:dyDescent="0.25">
      <c r="Q1689"/>
    </row>
    <row r="1690" spans="17:17" x14ac:dyDescent="0.25">
      <c r="Q1690"/>
    </row>
    <row r="1691" spans="17:17" x14ac:dyDescent="0.25">
      <c r="Q1691"/>
    </row>
    <row r="1692" spans="17:17" x14ac:dyDescent="0.25">
      <c r="Q1692"/>
    </row>
    <row r="1693" spans="17:17" x14ac:dyDescent="0.25">
      <c r="Q1693"/>
    </row>
    <row r="1694" spans="17:17" x14ac:dyDescent="0.25">
      <c r="Q1694"/>
    </row>
    <row r="1695" spans="17:17" x14ac:dyDescent="0.25">
      <c r="Q1695"/>
    </row>
    <row r="1696" spans="17:17" x14ac:dyDescent="0.25">
      <c r="Q1696"/>
    </row>
    <row r="1697" spans="17:17" x14ac:dyDescent="0.25">
      <c r="Q1697"/>
    </row>
    <row r="1698" spans="17:17" x14ac:dyDescent="0.25">
      <c r="Q1698"/>
    </row>
    <row r="1699" spans="17:17" x14ac:dyDescent="0.25">
      <c r="Q1699"/>
    </row>
    <row r="1700" spans="17:17" x14ac:dyDescent="0.25">
      <c r="Q1700"/>
    </row>
    <row r="1701" spans="17:17" x14ac:dyDescent="0.25">
      <c r="Q1701"/>
    </row>
    <row r="1702" spans="17:17" x14ac:dyDescent="0.25">
      <c r="Q1702"/>
    </row>
    <row r="1703" spans="17:17" x14ac:dyDescent="0.25">
      <c r="Q1703"/>
    </row>
    <row r="1704" spans="17:17" x14ac:dyDescent="0.25">
      <c r="Q1704"/>
    </row>
    <row r="1705" spans="17:17" x14ac:dyDescent="0.25">
      <c r="Q1705"/>
    </row>
    <row r="1706" spans="17:17" x14ac:dyDescent="0.25">
      <c r="Q1706"/>
    </row>
    <row r="1707" spans="17:17" x14ac:dyDescent="0.25">
      <c r="Q1707"/>
    </row>
    <row r="1708" spans="17:17" x14ac:dyDescent="0.25">
      <c r="Q1708"/>
    </row>
    <row r="1709" spans="17:17" x14ac:dyDescent="0.25">
      <c r="Q1709"/>
    </row>
    <row r="1710" spans="17:17" x14ac:dyDescent="0.25">
      <c r="Q1710"/>
    </row>
    <row r="1711" spans="17:17" x14ac:dyDescent="0.25">
      <c r="Q1711"/>
    </row>
    <row r="1712" spans="17:17" x14ac:dyDescent="0.25">
      <c r="Q1712"/>
    </row>
    <row r="1713" spans="17:17" x14ac:dyDescent="0.25">
      <c r="Q1713"/>
    </row>
    <row r="1714" spans="17:17" x14ac:dyDescent="0.25">
      <c r="Q1714"/>
    </row>
    <row r="1715" spans="17:17" x14ac:dyDescent="0.25">
      <c r="Q1715"/>
    </row>
    <row r="1716" spans="17:17" x14ac:dyDescent="0.25">
      <c r="Q1716"/>
    </row>
    <row r="1717" spans="17:17" x14ac:dyDescent="0.25">
      <c r="Q1717"/>
    </row>
    <row r="1718" spans="17:17" x14ac:dyDescent="0.25">
      <c r="Q1718"/>
    </row>
    <row r="1719" spans="17:17" x14ac:dyDescent="0.25">
      <c r="Q1719"/>
    </row>
    <row r="1720" spans="17:17" x14ac:dyDescent="0.25">
      <c r="Q1720"/>
    </row>
    <row r="1721" spans="17:17" x14ac:dyDescent="0.25">
      <c r="Q1721"/>
    </row>
    <row r="1722" spans="17:17" x14ac:dyDescent="0.25">
      <c r="Q1722"/>
    </row>
    <row r="1723" spans="17:17" x14ac:dyDescent="0.25">
      <c r="Q1723"/>
    </row>
    <row r="1724" spans="17:17" x14ac:dyDescent="0.25">
      <c r="Q1724"/>
    </row>
    <row r="1725" spans="17:17" x14ac:dyDescent="0.25">
      <c r="Q1725"/>
    </row>
    <row r="1726" spans="17:17" x14ac:dyDescent="0.25">
      <c r="Q1726"/>
    </row>
    <row r="1727" spans="17:17" x14ac:dyDescent="0.25">
      <c r="Q1727"/>
    </row>
    <row r="1728" spans="17:17" x14ac:dyDescent="0.25">
      <c r="Q1728"/>
    </row>
    <row r="1729" spans="17:17" x14ac:dyDescent="0.25">
      <c r="Q1729"/>
    </row>
    <row r="1730" spans="17:17" x14ac:dyDescent="0.25">
      <c r="Q1730"/>
    </row>
    <row r="1731" spans="17:17" x14ac:dyDescent="0.25">
      <c r="Q1731"/>
    </row>
    <row r="1732" spans="17:17" x14ac:dyDescent="0.25">
      <c r="Q1732"/>
    </row>
    <row r="1733" spans="17:17" x14ac:dyDescent="0.25">
      <c r="Q1733"/>
    </row>
    <row r="1734" spans="17:17" x14ac:dyDescent="0.25">
      <c r="Q1734"/>
    </row>
    <row r="1735" spans="17:17" x14ac:dyDescent="0.25">
      <c r="Q1735"/>
    </row>
    <row r="1736" spans="17:17" x14ac:dyDescent="0.25">
      <c r="Q1736"/>
    </row>
    <row r="1737" spans="17:17" x14ac:dyDescent="0.25">
      <c r="Q1737"/>
    </row>
    <row r="1738" spans="17:17" x14ac:dyDescent="0.25">
      <c r="Q1738"/>
    </row>
    <row r="1739" spans="17:17" x14ac:dyDescent="0.25">
      <c r="Q1739"/>
    </row>
    <row r="1740" spans="17:17" x14ac:dyDescent="0.25">
      <c r="Q1740"/>
    </row>
    <row r="1741" spans="17:17" x14ac:dyDescent="0.25">
      <c r="Q1741"/>
    </row>
    <row r="1742" spans="17:17" x14ac:dyDescent="0.25">
      <c r="Q1742"/>
    </row>
    <row r="1743" spans="17:17" x14ac:dyDescent="0.25">
      <c r="Q1743"/>
    </row>
    <row r="1744" spans="17:17" x14ac:dyDescent="0.25">
      <c r="Q1744"/>
    </row>
    <row r="1745" spans="17:17" x14ac:dyDescent="0.25">
      <c r="Q1745"/>
    </row>
    <row r="1746" spans="17:17" x14ac:dyDescent="0.25">
      <c r="Q1746"/>
    </row>
    <row r="1747" spans="17:17" x14ac:dyDescent="0.25">
      <c r="Q1747"/>
    </row>
    <row r="1748" spans="17:17" x14ac:dyDescent="0.25">
      <c r="Q1748"/>
    </row>
    <row r="1749" spans="17:17" x14ac:dyDescent="0.25">
      <c r="Q1749"/>
    </row>
    <row r="1750" spans="17:17" x14ac:dyDescent="0.25">
      <c r="Q1750"/>
    </row>
    <row r="1751" spans="17:17" x14ac:dyDescent="0.25">
      <c r="Q1751"/>
    </row>
    <row r="1752" spans="17:17" x14ac:dyDescent="0.25">
      <c r="Q1752"/>
    </row>
    <row r="1753" spans="17:17" x14ac:dyDescent="0.25">
      <c r="Q1753"/>
    </row>
    <row r="1754" spans="17:17" x14ac:dyDescent="0.25">
      <c r="Q1754"/>
    </row>
    <row r="1755" spans="17:17" x14ac:dyDescent="0.25">
      <c r="Q1755"/>
    </row>
    <row r="1756" spans="17:17" x14ac:dyDescent="0.25">
      <c r="Q1756"/>
    </row>
    <row r="1757" spans="17:17" x14ac:dyDescent="0.25">
      <c r="Q1757"/>
    </row>
    <row r="1758" spans="17:17" x14ac:dyDescent="0.25">
      <c r="Q1758"/>
    </row>
    <row r="1759" spans="17:17" x14ac:dyDescent="0.25">
      <c r="Q1759"/>
    </row>
    <row r="1760" spans="17:17" x14ac:dyDescent="0.25">
      <c r="Q1760"/>
    </row>
    <row r="1761" spans="17:17" x14ac:dyDescent="0.25">
      <c r="Q1761"/>
    </row>
    <row r="1762" spans="17:17" x14ac:dyDescent="0.25">
      <c r="Q1762"/>
    </row>
    <row r="1763" spans="17:17" x14ac:dyDescent="0.25">
      <c r="Q1763"/>
    </row>
    <row r="1764" spans="17:17" x14ac:dyDescent="0.25">
      <c r="Q1764"/>
    </row>
    <row r="1765" spans="17:17" x14ac:dyDescent="0.25">
      <c r="Q1765"/>
    </row>
    <row r="1766" spans="17:17" x14ac:dyDescent="0.25">
      <c r="Q1766"/>
    </row>
    <row r="1767" spans="17:17" x14ac:dyDescent="0.25">
      <c r="Q1767"/>
    </row>
    <row r="1768" spans="17:17" x14ac:dyDescent="0.25">
      <c r="Q1768"/>
    </row>
    <row r="1769" spans="17:17" x14ac:dyDescent="0.25">
      <c r="Q1769"/>
    </row>
    <row r="1770" spans="17:17" x14ac:dyDescent="0.25">
      <c r="Q1770"/>
    </row>
    <row r="1771" spans="17:17" x14ac:dyDescent="0.25">
      <c r="Q1771"/>
    </row>
    <row r="1772" spans="17:17" x14ac:dyDescent="0.25">
      <c r="Q1772"/>
    </row>
    <row r="1773" spans="17:17" x14ac:dyDescent="0.25">
      <c r="Q1773"/>
    </row>
    <row r="1774" spans="17:17" x14ac:dyDescent="0.25">
      <c r="Q177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2025-09-10T22:47:42Z</dcterms:modified>
</cp:coreProperties>
</file>