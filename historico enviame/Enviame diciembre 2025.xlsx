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.shortcut-targets-by-id\1gXvBPyPuabCO7EMyk9v14xq3ZnJs03kU\Facturación compartido\Facturación\Facturación 2025\Facturación 2025-12 Diciembre\Detalles\"/>
    </mc:Choice>
  </mc:AlternateContent>
  <xr:revisionPtr revIDLastSave="0" documentId="8_{BCCFC30E-EA67-49F9-9131-C1E85326BD9C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sumen" sheetId="2" r:id="rId1"/>
    <sheet name="Detalle" sheetId="1" r:id="rId2"/>
  </sheets>
  <definedNames>
    <definedName name="_xlnm._FilterDatabase" localSheetId="1" hidden="1">Detalle!$A$1:$V$84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0" i="2" l="1"/>
  <c r="D10" i="2"/>
  <c r="D5" i="2" l="1"/>
  <c r="D9" i="2"/>
  <c r="E12" i="2"/>
  <c r="D12" i="2"/>
  <c r="E5" i="2"/>
  <c r="E8" i="2" l="1"/>
  <c r="D8" i="2"/>
  <c r="E7" i="2"/>
  <c r="D7" i="2"/>
  <c r="E9" i="2"/>
  <c r="E13" i="2"/>
  <c r="D13" i="2"/>
  <c r="D2" i="2" l="1"/>
  <c r="D11" i="2"/>
  <c r="E11" i="2"/>
  <c r="D6" i="2"/>
  <c r="E6" i="2"/>
  <c r="E17" i="2" l="1"/>
  <c r="E19" i="2" s="1"/>
  <c r="E20" i="2" s="1"/>
</calcChain>
</file>

<file path=xl/sharedStrings.xml><?xml version="1.0" encoding="utf-8"?>
<sst xmlns="http://schemas.openxmlformats.org/spreadsheetml/2006/main" count="55880" uniqueCount="17647">
  <si>
    <t>IVA</t>
  </si>
  <si>
    <t>Total</t>
  </si>
  <si>
    <t>Pasarela</t>
  </si>
  <si>
    <t>Envíos</t>
  </si>
  <si>
    <t>Facturación:</t>
  </si>
  <si>
    <t>Rut:</t>
  </si>
  <si>
    <t>Marketplace</t>
  </si>
  <si>
    <t>Adicional</t>
  </si>
  <si>
    <t>Subtotal</t>
  </si>
  <si>
    <t>imported_id</t>
  </si>
  <si>
    <t>tracking_number</t>
  </si>
  <si>
    <t>carrier</t>
  </si>
  <si>
    <t>carrier_code</t>
  </si>
  <si>
    <t>comment</t>
  </si>
  <si>
    <t>name_person</t>
  </si>
  <si>
    <t>com_origen</t>
  </si>
  <si>
    <t>dir_destino</t>
  </si>
  <si>
    <t>com_destino</t>
  </si>
  <si>
    <t>created_at</t>
  </si>
  <si>
    <t>status</t>
  </si>
  <si>
    <t>company</t>
  </si>
  <si>
    <t>dir_origen</t>
  </si>
  <si>
    <t>id</t>
  </si>
  <si>
    <t>Retiros</t>
  </si>
  <si>
    <t>Por pagar</t>
  </si>
  <si>
    <t>Marketcenter</t>
  </si>
  <si>
    <t>Mensajeria</t>
  </si>
  <si>
    <t>company_id</t>
  </si>
  <si>
    <t>precio</t>
  </si>
  <si>
    <t>total</t>
  </si>
  <si>
    <t>Connect</t>
  </si>
  <si>
    <t>Distribución</t>
  </si>
  <si>
    <t>Pasarelapro</t>
  </si>
  <si>
    <t>Enviatrack</t>
  </si>
  <si>
    <t>distribucion</t>
  </si>
  <si>
    <t>contract_type</t>
  </si>
  <si>
    <t>peso informado por carrier</t>
  </si>
  <si>
    <t>Flex</t>
  </si>
  <si>
    <t>mkp</t>
  </si>
  <si>
    <t>carrier_service_name</t>
  </si>
  <si>
    <t>seguro</t>
  </si>
  <si>
    <t>Entregado</t>
  </si>
  <si>
    <t>Graneros</t>
  </si>
  <si>
    <t>Chillán</t>
  </si>
  <si>
    <t>En Reparto</t>
  </si>
  <si>
    <t>Devolucion entregada</t>
  </si>
  <si>
    <t>En planta destino</t>
  </si>
  <si>
    <t>2025-12-11 11:27</t>
  </si>
  <si>
    <t>En planta de origen</t>
  </si>
  <si>
    <t>Coquimbo</t>
  </si>
  <si>
    <t>Los Ángeles</t>
  </si>
  <si>
    <t>Retirado por courier</t>
  </si>
  <si>
    <t>Punta Arenas</t>
  </si>
  <si>
    <t>Aysén</t>
  </si>
  <si>
    <t>Iquique</t>
  </si>
  <si>
    <t>Antofagasta</t>
  </si>
  <si>
    <t>En tránsito</t>
  </si>
  <si>
    <t>Calama</t>
  </si>
  <si>
    <t>Arica</t>
  </si>
  <si>
    <t>Copiapó</t>
  </si>
  <si>
    <t>Puerto Montt</t>
  </si>
  <si>
    <t>Osorno</t>
  </si>
  <si>
    <t>Castro</t>
  </si>
  <si>
    <t>Temuco</t>
  </si>
  <si>
    <t>Valdivia</t>
  </si>
  <si>
    <t>Pucón</t>
  </si>
  <si>
    <t>La Unión</t>
  </si>
  <si>
    <t>Angol</t>
  </si>
  <si>
    <t>San Pedro de la Paz</t>
  </si>
  <si>
    <t>Concepción</t>
  </si>
  <si>
    <t>Curicó</t>
  </si>
  <si>
    <t>Talca</t>
  </si>
  <si>
    <t>La Serena</t>
  </si>
  <si>
    <t>Linares</t>
  </si>
  <si>
    <t>Chiguayante</t>
  </si>
  <si>
    <t>Illapel</t>
  </si>
  <si>
    <t>Talcahuano</t>
  </si>
  <si>
    <t>San Carlos</t>
  </si>
  <si>
    <t>Ovalle</t>
  </si>
  <si>
    <t>Laja</t>
  </si>
  <si>
    <t>Curanilahue</t>
  </si>
  <si>
    <t>Parral</t>
  </si>
  <si>
    <t>Hualpén</t>
  </si>
  <si>
    <t>Valparaíso</t>
  </si>
  <si>
    <t>Viña del Mar</t>
  </si>
  <si>
    <t>Quillota</t>
  </si>
  <si>
    <t>Concón</t>
  </si>
  <si>
    <t>Los Andes</t>
  </si>
  <si>
    <t>Santo Domingo</t>
  </si>
  <si>
    <t>Rengo</t>
  </si>
  <si>
    <t>Machalí</t>
  </si>
  <si>
    <t>Limache</t>
  </si>
  <si>
    <t>Rancagua</t>
  </si>
  <si>
    <t>San Antonio</t>
  </si>
  <si>
    <t>Villa Alemana</t>
  </si>
  <si>
    <t>Rinconada</t>
  </si>
  <si>
    <t>Santa Cruz</t>
  </si>
  <si>
    <t>San Felipe</t>
  </si>
  <si>
    <t>San Fernando</t>
  </si>
  <si>
    <t>Colina</t>
  </si>
  <si>
    <t>Ñuñoa</t>
  </si>
  <si>
    <t>La Reina</t>
  </si>
  <si>
    <t>Buin</t>
  </si>
  <si>
    <t>Lampa</t>
  </si>
  <si>
    <t>Peñaflor</t>
  </si>
  <si>
    <t>Melipilla</t>
  </si>
  <si>
    <t>Calera de Tango</t>
  </si>
  <si>
    <t>Paine</t>
  </si>
  <si>
    <t>Matias Fuentes</t>
  </si>
  <si>
    <t>Puerto Varas</t>
  </si>
  <si>
    <t>Penco</t>
  </si>
  <si>
    <t>2025-12-15 12:32</t>
  </si>
  <si>
    <t>Romeral</t>
  </si>
  <si>
    <t>El Quisco</t>
  </si>
  <si>
    <t>Requínoa</t>
  </si>
  <si>
    <t>Talagante</t>
  </si>
  <si>
    <t>Pirque</t>
  </si>
  <si>
    <t>Río Bueno</t>
  </si>
  <si>
    <t>Ancud</t>
  </si>
  <si>
    <t>Lautaro</t>
  </si>
  <si>
    <t>Panquehue</t>
  </si>
  <si>
    <t>San Vicente</t>
  </si>
  <si>
    <t>Carolina Acevedo</t>
  </si>
  <si>
    <t>Sebastian Ramirez</t>
  </si>
  <si>
    <t>2025-12-12 11:14</t>
  </si>
  <si>
    <t>2025-12-15 11:01</t>
  </si>
  <si>
    <t>2025-12-15 11:05</t>
  </si>
  <si>
    <t>Olmué</t>
  </si>
  <si>
    <t>2025-12-01 16:30</t>
  </si>
  <si>
    <t>2025-12-16 13:01</t>
  </si>
  <si>
    <t>2025-12-16 15:39</t>
  </si>
  <si>
    <t>Cartagena</t>
  </si>
  <si>
    <t>2025-12-11 11:34</t>
  </si>
  <si>
    <t>Llanquihue</t>
  </si>
  <si>
    <t>Mulchén</t>
  </si>
  <si>
    <t>Pelluhue</t>
  </si>
  <si>
    <t>Francisca Valenzuela</t>
  </si>
  <si>
    <t>Nacimiento</t>
  </si>
  <si>
    <t>2025-12-15 11:06</t>
  </si>
  <si>
    <t>Paulina Castillo</t>
  </si>
  <si>
    <t>Javiera Guzman</t>
  </si>
  <si>
    <t>Hijuelas</t>
  </si>
  <si>
    <t>Francisca Gonzalez</t>
  </si>
  <si>
    <t>2025-12-12 13:08</t>
  </si>
  <si>
    <t>2025-12-02 10:35</t>
  </si>
  <si>
    <t>Francisca Barros</t>
  </si>
  <si>
    <t>2025-11-30 12:07</t>
  </si>
  <si>
    <t>2025-12-15 11:17</t>
  </si>
  <si>
    <t>2025-12-16 15:08</t>
  </si>
  <si>
    <t>2025-12-18 11:47</t>
  </si>
  <si>
    <t>Paola Elgueta</t>
  </si>
  <si>
    <t>Daniela Jara</t>
  </si>
  <si>
    <t>Carlos Herreros</t>
  </si>
  <si>
    <t>2025-12-15 11:12</t>
  </si>
  <si>
    <t>2025-12-12 11:17</t>
  </si>
  <si>
    <t>2025-12-11 11:18</t>
  </si>
  <si>
    <t>2025-12-11 11:24</t>
  </si>
  <si>
    <t>2025-11-30 09:38</t>
  </si>
  <si>
    <t>Karen Arriaza</t>
  </si>
  <si>
    <t>Karin Moller</t>
  </si>
  <si>
    <t>Tina Seidel</t>
  </si>
  <si>
    <t>Lomas de montemar 800, Casa 8</t>
  </si>
  <si>
    <t>null</t>
  </si>
  <si>
    <t>Carolina Gonzalez</t>
  </si>
  <si>
    <t>STARKEN</t>
  </si>
  <si>
    <t>SKN</t>
  </si>
  <si>
    <t>Normal</t>
  </si>
  <si>
    <t>Quellón</t>
  </si>
  <si>
    <t>Puchuncaví</t>
  </si>
  <si>
    <t>Calbuco</t>
  </si>
  <si>
    <t>Camila Navarro</t>
  </si>
  <si>
    <t>Paola Miranda</t>
  </si>
  <si>
    <t>BLUEXPRESS</t>
  </si>
  <si>
    <t>BLX</t>
  </si>
  <si>
    <t>ENTREGADO</t>
  </si>
  <si>
    <t>Constitución</t>
  </si>
  <si>
    <t>2025-11-28 11:57</t>
  </si>
  <si>
    <t>Ana Luengo avila</t>
  </si>
  <si>
    <t>2025-11-30 15:26</t>
  </si>
  <si>
    <t>Carolina Silva</t>
  </si>
  <si>
    <t>Maule</t>
  </si>
  <si>
    <t>Camila Fuentes</t>
  </si>
  <si>
    <t>Claudia Cisternas</t>
  </si>
  <si>
    <t>Daniela Muñoz</t>
  </si>
  <si>
    <t>Nicolas Sobarzo</t>
  </si>
  <si>
    <t>Maullín</t>
  </si>
  <si>
    <t>NOMBRE RETIRA: ESTEBAN VILLAGRAN . RUT RETIRA: 21993230-8</t>
  </si>
  <si>
    <t>Los Vilos</t>
  </si>
  <si>
    <t>EN REPARTO</t>
  </si>
  <si>
    <t>Isla de Maipo</t>
  </si>
  <si>
    <t>Quilpué</t>
  </si>
  <si>
    <t>Curacaví</t>
  </si>
  <si>
    <t>NOMBRE RETIRA: FRANCISCO INZUNZA A RUT RETIRA: 21290455-4</t>
  </si>
  <si>
    <t>Taltal</t>
  </si>
  <si>
    <t>Arauco</t>
  </si>
  <si>
    <t>Padre Hurtado</t>
  </si>
  <si>
    <t>Curacautín</t>
  </si>
  <si>
    <t>San Esteban</t>
  </si>
  <si>
    <t>NOMBRE RETIRA: DIEGO , , RUT RETIRA: 53310370-7</t>
  </si>
  <si>
    <t>Panguipulli</t>
  </si>
  <si>
    <t>Coronel</t>
  </si>
  <si>
    <t>Diego de Almagro</t>
  </si>
  <si>
    <t>Traiguén</t>
  </si>
  <si>
    <t>Los Álamos</t>
  </si>
  <si>
    <t>Nogales</t>
  </si>
  <si>
    <t>Cauquenes</t>
  </si>
  <si>
    <t>Tomé</t>
  </si>
  <si>
    <t>Alejandra Sibila Toledo</t>
  </si>
  <si>
    <t>Marcela Cifuentes San Martin</t>
  </si>
  <si>
    <t>Alto Hospicio</t>
  </si>
  <si>
    <t>Frutillar</t>
  </si>
  <si>
    <t>Vallenar</t>
  </si>
  <si>
    <t>Nueva Imperial</t>
  </si>
  <si>
    <t>NOMBRE RETIRA: JUAN CERDA . RUT RETIRA: 65063776-3</t>
  </si>
  <si>
    <t>Llaillay</t>
  </si>
  <si>
    <t>Padre las Casas</t>
  </si>
  <si>
    <t>La Cruz</t>
  </si>
  <si>
    <t>NOMBRE RETIRA: . . . RUT RETIRA: 13465010-9</t>
  </si>
  <si>
    <t>Loncoche</t>
  </si>
  <si>
    <t>Carahue</t>
  </si>
  <si>
    <t>Gorbea</t>
  </si>
  <si>
    <t>Algarrobo</t>
  </si>
  <si>
    <t>Pitrufquén</t>
  </si>
  <si>
    <t>Camila Espinoza</t>
  </si>
  <si>
    <t>Villarrica</t>
  </si>
  <si>
    <t>Andrea Soto</t>
  </si>
  <si>
    <t>Chillán Viejo</t>
  </si>
  <si>
    <t>Paillaco</t>
  </si>
  <si>
    <t>Anyela Peña</t>
  </si>
  <si>
    <t>Caldera</t>
  </si>
  <si>
    <t>Retiro</t>
  </si>
  <si>
    <t>Chépica</t>
  </si>
  <si>
    <t>Daniela Gonzalez</t>
  </si>
  <si>
    <t>Matias Vasquez</t>
  </si>
  <si>
    <t>La Ligua</t>
  </si>
  <si>
    <t>Ignacio Muñoz</t>
  </si>
  <si>
    <t>Jessica Campos</t>
  </si>
  <si>
    <t>Casablanca</t>
  </si>
  <si>
    <t>Cabildo</t>
  </si>
  <si>
    <t>Tocopilla</t>
  </si>
  <si>
    <t>Yungay</t>
  </si>
  <si>
    <t>Tiltil</t>
  </si>
  <si>
    <t>PINCHAZO DE ARRIBO</t>
  </si>
  <si>
    <t>Peumo</t>
  </si>
  <si>
    <t>Tucapel</t>
  </si>
  <si>
    <t>Pinto</t>
  </si>
  <si>
    <t>Coyhaique</t>
  </si>
  <si>
    <t>Pichilemu</t>
  </si>
  <si>
    <t>Teno</t>
  </si>
  <si>
    <t>Huasco</t>
  </si>
  <si>
    <t>San Javier</t>
  </si>
  <si>
    <t>Vilcún</t>
  </si>
  <si>
    <t>Adriana García Ibáñez 2078, 201 B</t>
  </si>
  <si>
    <t>San Clemente</t>
  </si>
  <si>
    <t>Los Muermos</t>
  </si>
  <si>
    <t>San Fabián</t>
  </si>
  <si>
    <t>Malloa</t>
  </si>
  <si>
    <t>Mostazal</t>
  </si>
  <si>
    <t>Quinta de Tilcoco</t>
  </si>
  <si>
    <t>Chimbarongo</t>
  </si>
  <si>
    <t>Peralillo</t>
  </si>
  <si>
    <t>ARRIBADO</t>
  </si>
  <si>
    <t>Hualqui</t>
  </si>
  <si>
    <t>Salamanca</t>
  </si>
  <si>
    <t>Natales</t>
  </si>
  <si>
    <t>Navidad</t>
  </si>
  <si>
    <t>2025-11-30 15:48</t>
  </si>
  <si>
    <t>CHILEXPRESS</t>
  </si>
  <si>
    <t>CHX</t>
  </si>
  <si>
    <t>Dia Hábil Siguiente (Express Aéreo)</t>
  </si>
  <si>
    <t>2025-12-01 10:14</t>
  </si>
  <si>
    <t>Av. Sorvicenta 2113</t>
  </si>
  <si>
    <t>Standard</t>
  </si>
  <si>
    <t>Cañete</t>
  </si>
  <si>
    <t>Calera</t>
  </si>
  <si>
    <t>Palmilla</t>
  </si>
  <si>
    <t>Paola Morales</t>
  </si>
  <si>
    <t>El Monte</t>
  </si>
  <si>
    <t>Las Cabras</t>
  </si>
  <si>
    <t>Coinco</t>
  </si>
  <si>
    <t>Disponible para retiro</t>
  </si>
  <si>
    <t>PENDIENTE ENTREGA</t>
  </si>
  <si>
    <t>Quintero</t>
  </si>
  <si>
    <t>Cristóbal Pizarro</t>
  </si>
  <si>
    <t>2025-12-16 20:19</t>
  </si>
  <si>
    <t>2025-11-28 09:16</t>
  </si>
  <si>
    <t>2025-12-07 19:56</t>
  </si>
  <si>
    <t>2025-12-01 19:12</t>
  </si>
  <si>
    <t>2025-11-30 15:02</t>
  </si>
  <si>
    <t>2025-11-30 11:17</t>
  </si>
  <si>
    <t>2025-11-29 19:18</t>
  </si>
  <si>
    <t>2025-11-29 19:01</t>
  </si>
  <si>
    <t>Cunco</t>
  </si>
  <si>
    <t>Litueche</t>
  </si>
  <si>
    <t>Putaendo</t>
  </si>
  <si>
    <t>Placilla</t>
  </si>
  <si>
    <t>NOMBRE RETIRA: ANDRES MONCADA . RUT RETIRA: 7951750-K</t>
  </si>
  <si>
    <t>NOMBRE RETIRA: ALEJANDRO MARENGO F RUT RETIRA: 65088669-0</t>
  </si>
  <si>
    <t>Paulina López</t>
  </si>
  <si>
    <t>2025-12-03 19:41</t>
  </si>
  <si>
    <t>2025-11-29 14:04</t>
  </si>
  <si>
    <t>2025-11-30 22:45</t>
  </si>
  <si>
    <t>Quillón</t>
  </si>
  <si>
    <t>Nicole Guiñez Alvarez</t>
  </si>
  <si>
    <t>Paillaco 918</t>
  </si>
  <si>
    <t>Javiera Del Campo</t>
  </si>
  <si>
    <t>2025-11-25 11:07</t>
  </si>
  <si>
    <t>Lebu</t>
  </si>
  <si>
    <t>Lota</t>
  </si>
  <si>
    <t>Camila Miranda</t>
  </si>
  <si>
    <t>2025-12-11 11:19</t>
  </si>
  <si>
    <t>Alhué</t>
  </si>
  <si>
    <t>2025-12-08 22:13</t>
  </si>
  <si>
    <t>2025-12-17 20:27</t>
  </si>
  <si>
    <t>Papudo</t>
  </si>
  <si>
    <t>Victoria</t>
  </si>
  <si>
    <t>Olivar</t>
  </si>
  <si>
    <t>Javiera Maturana</t>
  </si>
  <si>
    <t>2025-12-20 11:14</t>
  </si>
  <si>
    <t>2025-12-19 20:00</t>
  </si>
  <si>
    <t>Pamela Arancibia</t>
  </si>
  <si>
    <t>2025-12-19 11:07</t>
  </si>
  <si>
    <t>Chaitén</t>
  </si>
  <si>
    <t>2025-12-15 11:31</t>
  </si>
  <si>
    <t>2025-12-15 11:00</t>
  </si>
  <si>
    <t>2025-12-12 13:16</t>
  </si>
  <si>
    <t>Carolina Marchant</t>
  </si>
  <si>
    <t>Ingrid Alegria Saez</t>
  </si>
  <si>
    <t>2025-12-11 20:09</t>
  </si>
  <si>
    <t>2025-12-11 18:16</t>
  </si>
  <si>
    <t>Patricio Vergara</t>
  </si>
  <si>
    <t>2025-12-10 12:19</t>
  </si>
  <si>
    <t>2025-12-10 11:08</t>
  </si>
  <si>
    <t>2025-12-06 09:46</t>
  </si>
  <si>
    <t>2025-12-05 10:27</t>
  </si>
  <si>
    <t>2025-12-04 21:05</t>
  </si>
  <si>
    <t>Alejandro Ahumada</t>
  </si>
  <si>
    <t>Daniel Gonzalez</t>
  </si>
  <si>
    <t>2025-12-02 10:26</t>
  </si>
  <si>
    <t>2025-12-01 19:24</t>
  </si>
  <si>
    <t>2025-11-30 22:55</t>
  </si>
  <si>
    <t>2025-11-30 22:11</t>
  </si>
  <si>
    <t>2025-11-30 21:08</t>
  </si>
  <si>
    <t>2025-11-30 16:19</t>
  </si>
  <si>
    <t>2025-11-30 15:25</t>
  </si>
  <si>
    <t>2025-11-30 14:48</t>
  </si>
  <si>
    <t>Pablo Marquez thomas</t>
  </si>
  <si>
    <t>2025-12-01 11:32</t>
  </si>
  <si>
    <t>2025-12-01 06:40</t>
  </si>
  <si>
    <t>Doñihue</t>
  </si>
  <si>
    <t>Boris Jimenez Borquez</t>
  </si>
  <si>
    <t>2025-12-18 11:30</t>
  </si>
  <si>
    <t>2025-12-17 23:26</t>
  </si>
  <si>
    <t>daniel Faundez Rosas</t>
  </si>
  <si>
    <t>Lanco</t>
  </si>
  <si>
    <t>Danae Llaña</t>
  </si>
  <si>
    <t>Calle Duna cerro bramador 570</t>
  </si>
  <si>
    <t>Natalia Villalobos Díaz</t>
  </si>
  <si>
    <t>Juan Pablo I 1125</t>
  </si>
  <si>
    <t>Ivania Carcamo Aguilar</t>
  </si>
  <si>
    <t>NOMBRE RETIRA: ANGEL BECERRA . RUT RETIRA: 18898387-1</t>
  </si>
  <si>
    <t>Contulmo</t>
  </si>
  <si>
    <t>Claudia Acevedo</t>
  </si>
  <si>
    <t>Los Juncos 488</t>
  </si>
  <si>
    <t>2025-12-01 17:05</t>
  </si>
  <si>
    <t>2025-12-09 11:10</t>
  </si>
  <si>
    <t>Hernan Soto Rojas</t>
  </si>
  <si>
    <t>Jannet Álvarez Céspedes</t>
  </si>
  <si>
    <t>Daniela Escobar</t>
  </si>
  <si>
    <t>2025-12-01 10:21</t>
  </si>
  <si>
    <t>Claudio Solis</t>
  </si>
  <si>
    <t>NOMBRE RETIRA: CARMEN DURAN . RUT RETIRA: 53337448-4</t>
  </si>
  <si>
    <t>2025-12-02 10:20</t>
  </si>
  <si>
    <t>NOMBRE RETIRA: JUAN MARIN . RUT RETIRA: 27764198-4</t>
  </si>
  <si>
    <t>NOMBRE RETIRA: HORTENSIA ROA . RUT RETIRA: 13214790-6</t>
  </si>
  <si>
    <t>NOMBRE RETIRA: DAVID GONZALEZ . RUT RETIRA: 17671741-6</t>
  </si>
  <si>
    <t>Pilar González Ogalde</t>
  </si>
  <si>
    <t>2025-11-28 11:33</t>
  </si>
  <si>
    <t>NOMBRE RETIRA: MARIA GOMEZ . RUT RETIRA: 20344126-6</t>
  </si>
  <si>
    <t>Sofia Norambuena Romero</t>
  </si>
  <si>
    <t>2025-11-29 13:45</t>
  </si>
  <si>
    <t>Cabrero</t>
  </si>
  <si>
    <t>Catemu</t>
  </si>
  <si>
    <t>Jacqueline Muñoz</t>
  </si>
  <si>
    <t>2025-11-25 11:13</t>
  </si>
  <si>
    <t>2025-12-19 11:15</t>
  </si>
  <si>
    <t>Coltauco</t>
  </si>
  <si>
    <t>2025-12-13 11:20</t>
  </si>
  <si>
    <t>Gladys Muñoz Olivera</t>
  </si>
  <si>
    <t>Codegua</t>
  </si>
  <si>
    <t>Sagrada Familia</t>
  </si>
  <si>
    <t>Negrete</t>
  </si>
  <si>
    <t>Chonchi</t>
  </si>
  <si>
    <t>Sofía González</t>
  </si>
  <si>
    <t>2025-12-17 20:18</t>
  </si>
  <si>
    <t>Camila Gonzalez</t>
  </si>
  <si>
    <t>2025-12-11 12:33</t>
  </si>
  <si>
    <t>2025-12-01 20:44</t>
  </si>
  <si>
    <t>2025-11-30 15:03</t>
  </si>
  <si>
    <t>Isla de Pascua</t>
  </si>
  <si>
    <t>2025-11-28 19:09</t>
  </si>
  <si>
    <t>Calle Larga</t>
  </si>
  <si>
    <t>NOMBRE RETIRA: BENJAMIN ALVAREZ . RUT RETIRA: 21584180-4</t>
  </si>
  <si>
    <t>2025-11-30 21:09</t>
  </si>
  <si>
    <t>2025-11-28 10:29</t>
  </si>
  <si>
    <t>Felipe Fuentes</t>
  </si>
  <si>
    <t>Paula Tapia</t>
  </si>
  <si>
    <t>2025-11-30 19:18</t>
  </si>
  <si>
    <t>NOMBRE RETIRA: RUT RETIRA: 1-9</t>
  </si>
  <si>
    <t>San José de Maipo</t>
  </si>
  <si>
    <t>2025-12-20 11:23</t>
  </si>
  <si>
    <t>Diego Figueroa</t>
  </si>
  <si>
    <t>Cristian Riquelme</t>
  </si>
  <si>
    <t>2025-12-17 20:21</t>
  </si>
  <si>
    <t>Matias Espinoza</t>
  </si>
  <si>
    <t>Felipe Rios</t>
  </si>
  <si>
    <t>O'Higgins</t>
  </si>
  <si>
    <t>Carlos Morales</t>
  </si>
  <si>
    <t>2025-12-12 11:07</t>
  </si>
  <si>
    <t>Javier González</t>
  </si>
  <si>
    <t>2025-12-16 11:02</t>
  </si>
  <si>
    <t>Francisco Gonzalez</t>
  </si>
  <si>
    <t>Margarita Vergara</t>
  </si>
  <si>
    <t>2025-12-12 09:05</t>
  </si>
  <si>
    <t>2025-12-09 11:17</t>
  </si>
  <si>
    <t>2025-12-08 13:10</t>
  </si>
  <si>
    <t>2025-12-08 10:41</t>
  </si>
  <si>
    <t>2025-12-06 10:04</t>
  </si>
  <si>
    <t>Futaleufú</t>
  </si>
  <si>
    <t>Camila Ortiz</t>
  </si>
  <si>
    <t>2025-12-03 19:35</t>
  </si>
  <si>
    <t>2025-12-02 19:22</t>
  </si>
  <si>
    <t>Molina</t>
  </si>
  <si>
    <t>Erika Cares Abarzua</t>
  </si>
  <si>
    <t>Mariquina</t>
  </si>
  <si>
    <t>NOMBRE RETIRA: MARIO OPAZO . RUT RETIRA: 53298684-2</t>
  </si>
  <si>
    <t>NOMBRE RETIRA: ALFREDO SEPULVEDA . RUT RETIRA: 53330390-0</t>
  </si>
  <si>
    <t>2025-11-28 10:21</t>
  </si>
  <si>
    <t>NOMBRE RETIRA: FABIAN CASTILLO . RUT RETIRA: 65140587-4</t>
  </si>
  <si>
    <t>2025-12-03 10:27</t>
  </si>
  <si>
    <t>Katherine Miranda</t>
  </si>
  <si>
    <t>2025-12-22 13:59</t>
  </si>
  <si>
    <t>Sebastian Castillo</t>
  </si>
  <si>
    <t>2025-12-20 11:09</t>
  </si>
  <si>
    <t>2025-12-18 11:48</t>
  </si>
  <si>
    <t>2025-12-17 12:33</t>
  </si>
  <si>
    <t>2025-12-17 12:23</t>
  </si>
  <si>
    <t>2025-12-17 11:17</t>
  </si>
  <si>
    <t>2025-12-17 11:14</t>
  </si>
  <si>
    <t>2025-12-17 10:57</t>
  </si>
  <si>
    <t>2025-12-17 09:29</t>
  </si>
  <si>
    <t>Sofia Herrera</t>
  </si>
  <si>
    <t>2025-12-16 22:57</t>
  </si>
  <si>
    <t>2025-12-16 14:06</t>
  </si>
  <si>
    <t>2025-12-16 13:07</t>
  </si>
  <si>
    <t>2025-12-16 11:29</t>
  </si>
  <si>
    <t>2025-12-16 11:19</t>
  </si>
  <si>
    <t>2025-12-16 11:15</t>
  </si>
  <si>
    <t>2025-12-16 11:10</t>
  </si>
  <si>
    <t>Pamela Rojas</t>
  </si>
  <si>
    <t>2025-12-15 20:05</t>
  </si>
  <si>
    <t>2025-12-15 19:07</t>
  </si>
  <si>
    <t>2025-12-14 21:17</t>
  </si>
  <si>
    <t>Francisca Vidal</t>
  </si>
  <si>
    <t>Carolina Vilches</t>
  </si>
  <si>
    <t>2025-12-12 22:26</t>
  </si>
  <si>
    <t>Tamara Maturana</t>
  </si>
  <si>
    <t>Carolina Rodriguez</t>
  </si>
  <si>
    <t>Catalina Gonzalez</t>
  </si>
  <si>
    <t>2025-12-10 11:11</t>
  </si>
  <si>
    <t>2025-12-09 22:48</t>
  </si>
  <si>
    <t>2025-12-09 18:43</t>
  </si>
  <si>
    <t>Daniela Molina</t>
  </si>
  <si>
    <t>2025-12-09 11:22</t>
  </si>
  <si>
    <t>2025-12-09 10:33</t>
  </si>
  <si>
    <t>2025-12-08 17:17</t>
  </si>
  <si>
    <t>2025-12-06 13:52</t>
  </si>
  <si>
    <t>2025-12-03 18:13</t>
  </si>
  <si>
    <t>2025-12-03 17:21</t>
  </si>
  <si>
    <t>2025-12-02 12:34</t>
  </si>
  <si>
    <t>2025-12-02 08:50</t>
  </si>
  <si>
    <t>2025-12-01 23:49</t>
  </si>
  <si>
    <t>2025-12-01 23:16</t>
  </si>
  <si>
    <t>2025-12-01 21:08</t>
  </si>
  <si>
    <t>2025-12-01 16:25</t>
  </si>
  <si>
    <t>2025-12-01 13:39</t>
  </si>
  <si>
    <t>2025-11-30 22:47</t>
  </si>
  <si>
    <t>María Pinto</t>
  </si>
  <si>
    <t>2025-11-30 21:27</t>
  </si>
  <si>
    <t>2025-11-30 21:20</t>
  </si>
  <si>
    <t>2025-11-30 19:12</t>
  </si>
  <si>
    <t>Rodrigo Diaz</t>
  </si>
  <si>
    <t>2025-11-30 17:05</t>
  </si>
  <si>
    <t>2025-11-30 15:44</t>
  </si>
  <si>
    <t>2025-11-30 14:07</t>
  </si>
  <si>
    <t>2025-11-30 01:11</t>
  </si>
  <si>
    <t>Carolina Ruiz</t>
  </si>
  <si>
    <t>2025-12-01 11:31</t>
  </si>
  <si>
    <t>2025-11-29 19:28</t>
  </si>
  <si>
    <t>2025-11-29 19:19</t>
  </si>
  <si>
    <t>2025-11-29 10:43</t>
  </si>
  <si>
    <t>2025-11-29 10:37</t>
  </si>
  <si>
    <t>Juan Robles</t>
  </si>
  <si>
    <t>2025-11-29 10:06</t>
  </si>
  <si>
    <t>Benjamin Molina</t>
  </si>
  <si>
    <t>Maria Urzua</t>
  </si>
  <si>
    <t>2025-11-28 20:04</t>
  </si>
  <si>
    <t>2025-11-28 19:26</t>
  </si>
  <si>
    <t>2025-11-28 19:25</t>
  </si>
  <si>
    <t>2025-11-28 19:17</t>
  </si>
  <si>
    <t>2025-11-28 17:35</t>
  </si>
  <si>
    <t>Cochrane</t>
  </si>
  <si>
    <t>Mejillones</t>
  </si>
  <si>
    <t>Río Negro</t>
  </si>
  <si>
    <t>Quinchao</t>
  </si>
  <si>
    <t>2025-12-21 20:32</t>
  </si>
  <si>
    <t>Judith Riquelme</t>
  </si>
  <si>
    <t>Monte Patria</t>
  </si>
  <si>
    <t>Vanessa Matus pardo</t>
  </si>
  <si>
    <t>2025-12-16 11:09</t>
  </si>
  <si>
    <t>Chanco</t>
  </si>
  <si>
    <t>Daniela Valenzuela</t>
  </si>
  <si>
    <t>Andacollo</t>
  </si>
  <si>
    <t>Lorena Urbina</t>
  </si>
  <si>
    <t>Canela</t>
  </si>
  <si>
    <t>Rauco</t>
  </si>
  <si>
    <t>Jonathan Espinoza</t>
  </si>
  <si>
    <t>Santa María</t>
  </si>
  <si>
    <t>Nancagua</t>
  </si>
  <si>
    <t>Lidia Gallegos</t>
  </si>
  <si>
    <t>Zapallar</t>
  </si>
  <si>
    <t>2025-12-15 20:32</t>
  </si>
  <si>
    <t>Eduardo Díaz Aros</t>
  </si>
  <si>
    <t>Los Álamos 363</t>
  </si>
  <si>
    <t>Sebastian Fuentes</t>
  </si>
  <si>
    <t>2025-11-28 13:33</t>
  </si>
  <si>
    <t>Rodrigo Rojas</t>
  </si>
  <si>
    <t>Petric Medina Briceño</t>
  </si>
  <si>
    <t>NOMBRE RETIRA: PIEDAD PEREZ . RUT RETIRA: 24043166-1</t>
  </si>
  <si>
    <t>2025-12-17 11:45</t>
  </si>
  <si>
    <t>NOMBRE RETIRA: FRESIA CORONADO . RUT RETIRA: 15734737-3</t>
  </si>
  <si>
    <t>Jorge Mena</t>
  </si>
  <si>
    <t>NOMBRE RETIRA: VIVIANA GUARDADO . RUT RETIRA: 26391125-3</t>
  </si>
  <si>
    <t>NOMBRE RETIRA: VALESKA SOTO . RUT RETIRA: 19205972-0</t>
  </si>
  <si>
    <t>Pozo Almonte</t>
  </si>
  <si>
    <t>Betania Gajardo Ramirez</t>
  </si>
  <si>
    <t>2025-12-18 20:03</t>
  </si>
  <si>
    <t>2025-12-17 10:58</t>
  </si>
  <si>
    <t>cristian rivera</t>
  </si>
  <si>
    <t>Ricardo Vergara</t>
  </si>
  <si>
    <t>2025-12-18 11:50</t>
  </si>
  <si>
    <t>NOMBRE RETIRA: SEBASTIAN TARABIO 0 RUT RETIRA: 12345678-5</t>
  </si>
  <si>
    <t>Carolina Urbina</t>
  </si>
  <si>
    <t>Av. Vicuña Mackenna 2039</t>
  </si>
  <si>
    <t>NOMBRE RETIRA: CAMILA . . RUT RETIRA: 12345678-5</t>
  </si>
  <si>
    <t>NOMBRE RETIRA: MIRADOR DEL LAGO . RUT RETIRA: 65136978-9</t>
  </si>
  <si>
    <t>NOMBRE RETIRA: ALDO NUNEZ N RUT RETIRA: 65190752-7</t>
  </si>
  <si>
    <t>Vicuña</t>
  </si>
  <si>
    <t>Carlos Jimenez</t>
  </si>
  <si>
    <t>Evelyn Pavez</t>
  </si>
  <si>
    <t>Marcela Apablaza</t>
  </si>
  <si>
    <t>NOMBRE RETIRA: JOCELYN RAMOS CONSERJERIA RUT RETIRA: 65105345-5</t>
  </si>
  <si>
    <t>NOMBRE RETIRA: CAMILO TORRES . RUT RETIRA: 65201876-9</t>
  </si>
  <si>
    <t>Ingrid Bahamonde</t>
  </si>
  <si>
    <t>Daniel Diaz</t>
  </si>
  <si>
    <t>2025-12-14 21:12</t>
  </si>
  <si>
    <t>Carmen Campos</t>
  </si>
  <si>
    <t>NOMBRE RETIRA: JOSE BRAVO B RUT RETIRA: 65067074-4</t>
  </si>
  <si>
    <t>2025-12-13 11:15</t>
  </si>
  <si>
    <t>Cristina Hidalgo</t>
  </si>
  <si>
    <t>2025-12-14 16:55</t>
  </si>
  <si>
    <t>NOMBRE RETIRA: OSVALDO MUNOZ O RUT RETIRA: 6844262-1</t>
  </si>
  <si>
    <t>NOMBRE RETIRA: DIANA PULGAR PULGAR RUT RETIRA: 18446261-3</t>
  </si>
  <si>
    <t>Paulina Reyes</t>
  </si>
  <si>
    <t>Miguel Ángel Casanova Vega</t>
  </si>
  <si>
    <t>NOMBRE RETIRA: JORGE PAEZ X RUT RETIRA: 12345678-5</t>
  </si>
  <si>
    <t>Paulina Valenzuela</t>
  </si>
  <si>
    <t>Purén</t>
  </si>
  <si>
    <t>Andrea Riebel Brummer</t>
  </si>
  <si>
    <t>2025-11-27 21:14</t>
  </si>
  <si>
    <t>2025-12-11 21:43</t>
  </si>
  <si>
    <t>Yumbel</t>
  </si>
  <si>
    <t>El Carmen</t>
  </si>
  <si>
    <t>Viviana Reyes</t>
  </si>
  <si>
    <t>Camila Fuentealba</t>
  </si>
  <si>
    <t>NOMBRE RETIRA: JESUS BERMUDEZ Y RUT RETIRA: 53317100-1</t>
  </si>
  <si>
    <t>Nicolas Herrera Espinoza</t>
  </si>
  <si>
    <t>Claudio Matte 788</t>
  </si>
  <si>
    <t>2025-12-10 19:16</t>
  </si>
  <si>
    <t>NOMBRE RETIRA: CLAUDIO MEZA CONSERJE RUT RETIRA: 17625970-1</t>
  </si>
  <si>
    <t>2025-12-04 19:15</t>
  </si>
  <si>
    <t>Mario Ramirez</t>
  </si>
  <si>
    <t>2025-12-05 10:20</t>
  </si>
  <si>
    <t>NOMBRE RETIRA: LESLIE MUJICA . RUT RETIRA: 65221533-5</t>
  </si>
  <si>
    <t>Maria Araya</t>
  </si>
  <si>
    <t>NOMBRE RETIRA: MAGALY MARTINEZ X RUT RETIRA: 53337500-6</t>
  </si>
  <si>
    <t>2025-12-04 10:30</t>
  </si>
  <si>
    <t>Andrea Muñoz Martínez</t>
  </si>
  <si>
    <t>General Gana 492</t>
  </si>
  <si>
    <t>2025-12-01 10:04</t>
  </si>
  <si>
    <t>2025-12-02 14:51</t>
  </si>
  <si>
    <t>2025-12-01 23:27</t>
  </si>
  <si>
    <t>2025-11-30 22:03</t>
  </si>
  <si>
    <t>2025-12-01 14:44</t>
  </si>
  <si>
    <t>NOMBRE RETIRA: ORLANDO TAPIA RECEPCION RUT RETIRA: 65093621-3</t>
  </si>
  <si>
    <t>NOMBRE RETIRA: GLADYS BAEZA B RUT RETIRA: 65067074-4</t>
  </si>
  <si>
    <t>NOMBRE RETIRA: LUIS AHUMADA . RUT RETIRA: 53309187-3</t>
  </si>
  <si>
    <t>Quirihue</t>
  </si>
  <si>
    <t>2025-11-29 10:49</t>
  </si>
  <si>
    <t>NOMBRE RETIRA: MIGUEL ANGEL . RUT RETIRA: 22278718-1</t>
  </si>
  <si>
    <t>2025-11-28 10:43</t>
  </si>
  <si>
    <t>2025-11-30 15:54</t>
  </si>
  <si>
    <t>2025-11-29 19:37</t>
  </si>
  <si>
    <t>2025-11-29 21:51</t>
  </si>
  <si>
    <t>San Pedro de Atacama</t>
  </si>
  <si>
    <t>2025-11-30 12:09</t>
  </si>
  <si>
    <t>Carla Rojas</t>
  </si>
  <si>
    <t>NOMBRE RETIRA: BETTY REBOLLEDO . RUT RETIRA: 10720458-K</t>
  </si>
  <si>
    <t>Joaquin Parra</t>
  </si>
  <si>
    <t>Chacayal 885, villa antihual</t>
  </si>
  <si>
    <t>2025-11-29 15:33</t>
  </si>
  <si>
    <t>NOMBRE RETIRA: IVAN MUNDACA . RUT RETIRA: 13650384-7</t>
  </si>
  <si>
    <t>Sebastian Vasquez</t>
  </si>
  <si>
    <t>2025-11-28 10:19</t>
  </si>
  <si>
    <t>NOMBRE RETIRA: DEBORA ANDRADA . RUT RETIRA: 17142603-0</t>
  </si>
  <si>
    <t>Debora Andrada</t>
  </si>
  <si>
    <t>Carlos Hernandez</t>
  </si>
  <si>
    <t>2025-12-23 11:39</t>
  </si>
  <si>
    <t>San Pedro</t>
  </si>
  <si>
    <t>2025-12-10 10:44</t>
  </si>
  <si>
    <t>2025-12-11 09:38</t>
  </si>
  <si>
    <t>Carolina Rivera</t>
  </si>
  <si>
    <t>NOMBRE RETIRA: CRISTIAN QUINTANA . RUT RETIRA: 53325452-7</t>
  </si>
  <si>
    <t>Sergio Abuauad Abello</t>
  </si>
  <si>
    <t>Nicolas Alvarez</t>
  </si>
  <si>
    <t>Francisco Rojas</t>
  </si>
  <si>
    <t>Carolina Romero</t>
  </si>
  <si>
    <t>2025-12-21 20:52</t>
  </si>
  <si>
    <t>David Gonzalez</t>
  </si>
  <si>
    <t>2025-12-08 17:43</t>
  </si>
  <si>
    <t>2025-12-07 22:07</t>
  </si>
  <si>
    <t>2025-12-03 19:23</t>
  </si>
  <si>
    <t>2025-12-03 13:22</t>
  </si>
  <si>
    <t>Camila Mella</t>
  </si>
  <si>
    <t>2025-11-30 17:37</t>
  </si>
  <si>
    <t>2025-12-01 12:42</t>
  </si>
  <si>
    <t>2025-11-29 10:15</t>
  </si>
  <si>
    <t>Lago Ranco</t>
  </si>
  <si>
    <t>Los Sauces</t>
  </si>
  <si>
    <t>Quemchi</t>
  </si>
  <si>
    <t>2025-12-11 20:17</t>
  </si>
  <si>
    <t>Francisco Contreras</t>
  </si>
  <si>
    <t>Bulnes</t>
  </si>
  <si>
    <t>Membrillar 792</t>
  </si>
  <si>
    <t>2025-12-20 11:08</t>
  </si>
  <si>
    <t>2025-11-28 10:27</t>
  </si>
  <si>
    <t>NOMBRE RETIRA: FRANCISCA ORELLANA . RUT RETIRA: 13899141-5</t>
  </si>
  <si>
    <t>Martín Llanza</t>
  </si>
  <si>
    <t>NOMBRE RETIRA: SEBASTIAN TAPIA . RUT RETIRA: 16755426-1</t>
  </si>
  <si>
    <t>2025-11-28 13:23</t>
  </si>
  <si>
    <t>2025-11-30 15:17</t>
  </si>
  <si>
    <t>Manuel Muñoz</t>
  </si>
  <si>
    <t>2025-12-09 22:52</t>
  </si>
  <si>
    <t>Rodrigo Muñoz</t>
  </si>
  <si>
    <t>Catherine Gonzalez</t>
  </si>
  <si>
    <t>Jose Arias</t>
  </si>
  <si>
    <t>2025-11-30 14:46</t>
  </si>
  <si>
    <t>2025-12-20 00:33</t>
  </si>
  <si>
    <t>2025-12-05 13:48</t>
  </si>
  <si>
    <t>2025-12-22 14:06</t>
  </si>
  <si>
    <t>2025-12-15 15:55</t>
  </si>
  <si>
    <t>Amanda Olivares</t>
  </si>
  <si>
    <t>Matias Sanhueza</t>
  </si>
  <si>
    <t>2025-12-04 11:59</t>
  </si>
  <si>
    <t>2025-11-25 11:04</t>
  </si>
  <si>
    <t>2025-11-21 13:47</t>
  </si>
  <si>
    <t>2025-11-29 10:30</t>
  </si>
  <si>
    <t>2025-12-01 14:30</t>
  </si>
  <si>
    <t>2025-12-11 16:29</t>
  </si>
  <si>
    <t>2025-12-11 11:28</t>
  </si>
  <si>
    <t>2025-12-18 20:21</t>
  </si>
  <si>
    <t>2025-11-28 13:42</t>
  </si>
  <si>
    <t>2025-12-04 15:39</t>
  </si>
  <si>
    <t>Gabriel Rojas</t>
  </si>
  <si>
    <t>Río Ibáñez</t>
  </si>
  <si>
    <t>Manuel Cortes</t>
  </si>
  <si>
    <t>BXG:RGBW54</t>
  </si>
  <si>
    <t>2025-11-27 08:02</t>
  </si>
  <si>
    <t>2025-11-27 11:07</t>
  </si>
  <si>
    <t>Elizabeth Carrasco</t>
  </si>
  <si>
    <t>2025-11-28 16:38</t>
  </si>
  <si>
    <t>2025-11-28 14:38</t>
  </si>
  <si>
    <t>2025-11-28 15:54</t>
  </si>
  <si>
    <t>2025-11-28 09:21</t>
  </si>
  <si>
    <t>2025-11-28 19:32</t>
  </si>
  <si>
    <t>2025-11-27 22:45</t>
  </si>
  <si>
    <t>Los Lagos</t>
  </si>
  <si>
    <t>Yasna Morales</t>
  </si>
  <si>
    <t>Maria Ramirez</t>
  </si>
  <si>
    <t>2025-11-28 15:42</t>
  </si>
  <si>
    <t>Ricardo Medina</t>
  </si>
  <si>
    <t>2025-11-28 19:10</t>
  </si>
  <si>
    <t>2025-11-28 23:01</t>
  </si>
  <si>
    <t>Francisca Pinto</t>
  </si>
  <si>
    <t>2025-12-04 10:21</t>
  </si>
  <si>
    <t>2025-11-23 21:10</t>
  </si>
  <si>
    <t>2025-12-04 22:09</t>
  </si>
  <si>
    <t>Camila Soto</t>
  </si>
  <si>
    <t>2025-12-02 19:15</t>
  </si>
  <si>
    <t>2025-12-03 00:14</t>
  </si>
  <si>
    <t>2025-12-10 18:27</t>
  </si>
  <si>
    <t>2025-11-24 21:10</t>
  </si>
  <si>
    <t>Pablo Gonzalez</t>
  </si>
  <si>
    <t>2025-11-27 11:02</t>
  </si>
  <si>
    <t>Karen Cortes</t>
  </si>
  <si>
    <t>Jorge Carrasco</t>
  </si>
  <si>
    <t>2025-12-01 19:10</t>
  </si>
  <si>
    <t>Andrea Vásquez</t>
  </si>
  <si>
    <t>2025-12-01 19:25</t>
  </si>
  <si>
    <t>2025-12-01 20:49</t>
  </si>
  <si>
    <t>2025-11-30 21:16</t>
  </si>
  <si>
    <t>Felipe Escobar</t>
  </si>
  <si>
    <t>Víctor Nuñez Martinez</t>
  </si>
  <si>
    <t>2025-12-11 20:15</t>
  </si>
  <si>
    <t>2025-12-26 20:00</t>
  </si>
  <si>
    <t>2025-12-01 19:21</t>
  </si>
  <si>
    <t>2025-12-02 07:39</t>
  </si>
  <si>
    <t>2025-12-02 14:35</t>
  </si>
  <si>
    <t>conserjeria ok</t>
  </si>
  <si>
    <t>2025-12-07 20:58</t>
  </si>
  <si>
    <t>2025-11-25 11:10</t>
  </si>
  <si>
    <t>2025-11-26 16:04</t>
  </si>
  <si>
    <t>Fernanda Rojas</t>
  </si>
  <si>
    <t>Nicolás Soto</t>
  </si>
  <si>
    <t>Gonzalo recibe familiar</t>
  </si>
  <si>
    <t>Cisnes</t>
  </si>
  <si>
    <t>2025-11-28 14:23</t>
  </si>
  <si>
    <t>2025-11-29 10:36</t>
  </si>
  <si>
    <t>2025-11-28 13:34</t>
  </si>
  <si>
    <t>Máfil</t>
  </si>
  <si>
    <t>Combarbalá</t>
  </si>
  <si>
    <t>Chañaral</t>
  </si>
  <si>
    <t>Paula Poblete</t>
  </si>
  <si>
    <t>Camila Alfaro</t>
  </si>
  <si>
    <t>María Elena</t>
  </si>
  <si>
    <t>2025-12-17 11:10</t>
  </si>
  <si>
    <t>Cristian Morales</t>
  </si>
  <si>
    <t>Susana Vergara</t>
  </si>
  <si>
    <t>2025-12-16 11:06</t>
  </si>
  <si>
    <t>2025-12-14 11:01</t>
  </si>
  <si>
    <t>Vicente Delgado</t>
  </si>
  <si>
    <t>Las Pelargonias 936, Casa</t>
  </si>
  <si>
    <t>Pamela Castillo</t>
  </si>
  <si>
    <t>2025-12-14 21:16</t>
  </si>
  <si>
    <t>Freire</t>
  </si>
  <si>
    <t>2025-12-07 14:17</t>
  </si>
  <si>
    <t>2025-12-04 10:27</t>
  </si>
  <si>
    <t>2025-12-03 19:30</t>
  </si>
  <si>
    <t>2025-12-03 10:29</t>
  </si>
  <si>
    <t>2025-12-02 10:10</t>
  </si>
  <si>
    <t>2025-11-26 12:03</t>
  </si>
  <si>
    <t>Petorca</t>
  </si>
  <si>
    <t>Karen Aguilera</t>
  </si>
  <si>
    <t>2025-11-29 19:02</t>
  </si>
  <si>
    <t>Constanza Acevedo</t>
  </si>
  <si>
    <t>Carlos Caceres</t>
  </si>
  <si>
    <t>Pelarco</t>
  </si>
  <si>
    <t>2025-11-30 12:35</t>
  </si>
  <si>
    <t>Javiera Flores</t>
  </si>
  <si>
    <t>2025-11-28 10:04</t>
  </si>
  <si>
    <t>2025-11-28 19:16</t>
  </si>
  <si>
    <t>2025-11-28 20:59</t>
  </si>
  <si>
    <t>2025-12-19 11:13</t>
  </si>
  <si>
    <t>laura ok</t>
  </si>
  <si>
    <t>Melipeuco</t>
  </si>
  <si>
    <t>BXG:EPINTO</t>
  </si>
  <si>
    <t>2025-11-29 16:55</t>
  </si>
  <si>
    <t>Hualaihué</t>
  </si>
  <si>
    <t>2025-12-23 11:49</t>
  </si>
  <si>
    <t>2025-12-02 10:24</t>
  </si>
  <si>
    <t>2025-12-10 11:15</t>
  </si>
  <si>
    <t>2025-12-18 20:08</t>
  </si>
  <si>
    <t>2025-12-10 11:02</t>
  </si>
  <si>
    <t>2025-12-05 11:25</t>
  </si>
  <si>
    <t>2025-12-02 09:33</t>
  </si>
  <si>
    <t>2025-12-02 10:34</t>
  </si>
  <si>
    <t>2025-12-23 10:06</t>
  </si>
  <si>
    <t>Yazmín Luengo Barra</t>
  </si>
  <si>
    <t>2025-12-03 10:30</t>
  </si>
  <si>
    <t>2025-12-15 15:09</t>
  </si>
  <si>
    <t>2025-12-09 14:38</t>
  </si>
  <si>
    <t>MARIA ELENA SEPULVEDA ROJAS</t>
  </si>
  <si>
    <t>2025-12-08 17:16</t>
  </si>
  <si>
    <t>2025-12-05 18:59</t>
  </si>
  <si>
    <t>2025-12-02 10:09</t>
  </si>
  <si>
    <t>2025-11-28 14:22</t>
  </si>
  <si>
    <t>2025-12-19 12:49</t>
  </si>
  <si>
    <t>2025-12-10 12:18</t>
  </si>
  <si>
    <t>2025-12-02 09:44</t>
  </si>
  <si>
    <t>2025-12-02 09:45</t>
  </si>
  <si>
    <t>2025-11-28 10:18</t>
  </si>
  <si>
    <t>Francisco Muñoz</t>
  </si>
  <si>
    <t>Javiera Romero</t>
  </si>
  <si>
    <t>2025-12-01 10:05</t>
  </si>
  <si>
    <t>Curepto</t>
  </si>
  <si>
    <t>2025-12-09 15:33</t>
  </si>
  <si>
    <t>2025-12-03 12:15</t>
  </si>
  <si>
    <t>2025-11-29 18:21</t>
  </si>
  <si>
    <t>Carla Schott</t>
  </si>
  <si>
    <t>Jose Bustos</t>
  </si>
  <si>
    <t>2025-11-23 14:15</t>
  </si>
  <si>
    <t>Saavedra</t>
  </si>
  <si>
    <t>Reinaldo Letelier Contreras</t>
  </si>
  <si>
    <t>Maipón 255, 805</t>
  </si>
  <si>
    <t>Marcela Ortiz</t>
  </si>
  <si>
    <t>Santa Juana</t>
  </si>
  <si>
    <t>Juan Araya</t>
  </si>
  <si>
    <t>Eduardo Miranda</t>
  </si>
  <si>
    <t>Jaime Henriquez</t>
  </si>
  <si>
    <t>Amaranda Silva Torres</t>
  </si>
  <si>
    <t>Milton González</t>
  </si>
  <si>
    <t>estación los vientos 267, 17</t>
  </si>
  <si>
    <t>2025-12-21 21:05</t>
  </si>
  <si>
    <t>2025-12-05 11:20</t>
  </si>
  <si>
    <t>2025-12-03 20:35</t>
  </si>
  <si>
    <t>2025-12-01 00:25</t>
  </si>
  <si>
    <t>San Ignacio</t>
  </si>
  <si>
    <t>Fresia</t>
  </si>
  <si>
    <t>Toltén</t>
  </si>
  <si>
    <t>2025-11-25 11:25</t>
  </si>
  <si>
    <t>2025-12-18 11:55</t>
  </si>
  <si>
    <t>Luis Morales</t>
  </si>
  <si>
    <t>NOMBRE RETIRA: MARTA ROJAS . RUT RETIRA: 53330390-0</t>
  </si>
  <si>
    <t>Paola Escobar</t>
  </si>
  <si>
    <t>Camilo Salazar</t>
  </si>
  <si>
    <t>Camila Olivares</t>
  </si>
  <si>
    <t>2025-12-03 20:26</t>
  </si>
  <si>
    <t>2025-12-10 19:09</t>
  </si>
  <si>
    <t>Silvio Moraga</t>
  </si>
  <si>
    <t>Del salvador 568</t>
  </si>
  <si>
    <t>2025-11-27 21:17</t>
  </si>
  <si>
    <t>BIT11038482</t>
  </si>
  <si>
    <t>260546171</t>
  </si>
  <si>
    <t>BACK IN TIME</t>
  </si>
  <si>
    <t>Stocka</t>
  </si>
  <si>
    <t>NOMBRE RETIRA: LUCASBORQUEZ . . RUT RETIRA: 20313132-1</t>
  </si>
  <si>
    <t>martín borquez</t>
  </si>
  <si>
    <t>Av. Campos de Deportes 405</t>
  </si>
  <si>
    <t>pasaje barcelona 1809, casa con grifo</t>
  </si>
  <si>
    <t>2025-12-21 20:30</t>
  </si>
  <si>
    <t>BIT11038307</t>
  </si>
  <si>
    <t>260389276</t>
  </si>
  <si>
    <t>NOMBRE RETIRA: NICOLAA BRAVO J RUT RETIRA: 21248155-6</t>
  </si>
  <si>
    <t>Nicolas Bravo Godoy</t>
  </si>
  <si>
    <t>El Ramal 356, Doña Ignacia 2</t>
  </si>
  <si>
    <t>2025-12-19 19:43</t>
  </si>
  <si>
    <t>BIT11038421</t>
  </si>
  <si>
    <t>260546413</t>
  </si>
  <si>
    <t>NOMBRE RETIRA: CRISTIAN ACUNA . RUT RETIRA: 18720709-6</t>
  </si>
  <si>
    <t>alejandro mendoza</t>
  </si>
  <si>
    <t>nueva oriente 4, numero 5701, 14</t>
  </si>
  <si>
    <t>BIT11038648</t>
  </si>
  <si>
    <t>260545196</t>
  </si>
  <si>
    <t>NOMBRE RETIRA: CAROLINA NAVARRO .. RUT RETIRA: 15884198-3</t>
  </si>
  <si>
    <t>Maryoris Jara</t>
  </si>
  <si>
    <t>Alcazar 94</t>
  </si>
  <si>
    <t>2025-12-22 11:01</t>
  </si>
  <si>
    <t>BIT11038249</t>
  </si>
  <si>
    <t>260303074</t>
  </si>
  <si>
    <t>NOMBRE RETIRA: NILDA DALMAZZO N RUT RETIRA: 6639442-5</t>
  </si>
  <si>
    <t>Nilda Dalmazzo Donoso</t>
  </si>
  <si>
    <t>Casa, Séptima 828</t>
  </si>
  <si>
    <t>2025-12-19 11:08</t>
  </si>
  <si>
    <t>BIT11038789</t>
  </si>
  <si>
    <t>260610406</t>
  </si>
  <si>
    <t>NOMBRE RETIRA: PABLO . . RUT RETIRA: 16153517-6</t>
  </si>
  <si>
    <t>Maria Rivera</t>
  </si>
  <si>
    <t>Almirante Riveros Norte 2677A, 12</t>
  </si>
  <si>
    <t>2025-12-22 20:22</t>
  </si>
  <si>
    <t>BIT11038314</t>
  </si>
  <si>
    <t>260389252</t>
  </si>
  <si>
    <t>NOMBRE RETIRA: JUAN ROMERO . RUT RETIRA: 21251455-1</t>
  </si>
  <si>
    <t>Vanesa Bravo</t>
  </si>
  <si>
    <t>Dieciocho de Septiembre 1961, 805</t>
  </si>
  <si>
    <t>2025-12-19 19:44</t>
  </si>
  <si>
    <t>BIT11038459</t>
  </si>
  <si>
    <t>260546241</t>
  </si>
  <si>
    <t>NOMBRE RETIRA: ALEJANDRO URRUTIA . RUT RETIRA: 19616462-6</t>
  </si>
  <si>
    <t>Rodrigo NEIRA NAVARRO</t>
  </si>
  <si>
    <t>San Martin 1159</t>
  </si>
  <si>
    <t>BIT11038350</t>
  </si>
  <si>
    <t>260389073</t>
  </si>
  <si>
    <t>NOMBRE RETIRA: LUIS ALFARO ALFARO RUT RETIRA: 5585851-9</t>
  </si>
  <si>
    <t>Martina Alvarez</t>
  </si>
  <si>
    <t>Costa Atacama #344, CALDERILLA</t>
  </si>
  <si>
    <t>BIT11038099</t>
  </si>
  <si>
    <t>260303718</t>
  </si>
  <si>
    <t>NOMBRE RETIRA: FRANCISCA SAN MARTIN N RUT RETIRA: 17013784-1</t>
  </si>
  <si>
    <t>Joaquin Osses</t>
  </si>
  <si>
    <t>Lorena 3774, Casa</t>
  </si>
  <si>
    <t>2025-12-18 11:39</t>
  </si>
  <si>
    <t>BIT11038787</t>
  </si>
  <si>
    <t>260610407</t>
  </si>
  <si>
    <t>NOMBRE RETIRA: LORENA SEPULVEDA . RUT RETIRA: 11643775-9</t>
  </si>
  <si>
    <t>LORENA SEPULVEDA</t>
  </si>
  <si>
    <t>C. Puerto Gregorio 1305, Casa 1305</t>
  </si>
  <si>
    <t>BIT11038593</t>
  </si>
  <si>
    <t>260545563</t>
  </si>
  <si>
    <t>NOMBRE RETIRA: TERESA GUAJARDO . RUT RETIRA: 8025090-8</t>
  </si>
  <si>
    <t>Nicolas Ortiz</t>
  </si>
  <si>
    <t>Los abetos 391, Casa</t>
  </si>
  <si>
    <t>BIT11038271</t>
  </si>
  <si>
    <t>260302959</t>
  </si>
  <si>
    <t>NOMBRE RETIRA: FELIPE AVILA AVILA RUT RETIRA: 15610316-0</t>
  </si>
  <si>
    <t>Felipe Ávila Troncoso</t>
  </si>
  <si>
    <t>Estela Calderón 2669, Villa Portal de San Fernando</t>
  </si>
  <si>
    <t>BIT11038686</t>
  </si>
  <si>
    <t>260545011</t>
  </si>
  <si>
    <t>NOMBRE RETIRA: MARIA CARDENAS . RUT RETIRA: 10542443-4</t>
  </si>
  <si>
    <t>maria Eugenia cardenas</t>
  </si>
  <si>
    <t>Chamiza 0733, Pichipelluco</t>
  </si>
  <si>
    <t>2025-12-22 11:02</t>
  </si>
  <si>
    <t>BIT11038764</t>
  </si>
  <si>
    <t>260610411</t>
  </si>
  <si>
    <t>NOMBRE RETIRA: HECTOR SALGADO . RUT RETIRA: 8264036-3</t>
  </si>
  <si>
    <t>Andrea Salgado Romero</t>
  </si>
  <si>
    <t>Amanda Labarca 445 autoconstrucción, Casa esquina con fco encina, casa 2piso color café</t>
  </si>
  <si>
    <t>2025-12-22 20:21</t>
  </si>
  <si>
    <t>BIT11038607</t>
  </si>
  <si>
    <t>260545466</t>
  </si>
  <si>
    <t>Paula Jimena Castillo Martinez</t>
  </si>
  <si>
    <t>La Araucana 808. Villa Alto Lo Castillo, Casa</t>
  </si>
  <si>
    <t>BIT11038377</t>
  </si>
  <si>
    <t>260547288</t>
  </si>
  <si>
    <t>NOMBRE RETIRA: MARIA ROJAS NN RUT RETIRA: 6628724-6</t>
  </si>
  <si>
    <t>Lucia Vilches</t>
  </si>
  <si>
    <t>Av las flores 587, altos de la herradura, 587</t>
  </si>
  <si>
    <t>BIT11038226</t>
  </si>
  <si>
    <t>260303230</t>
  </si>
  <si>
    <t>NOMBRE RETIRA: JAVIER MONJE . RUT RETIRA: 11721335-8</t>
  </si>
  <si>
    <t>Javier Monje</t>
  </si>
  <si>
    <t>MIRAFLORES 1097</t>
  </si>
  <si>
    <t>BIT11038455</t>
  </si>
  <si>
    <t>260546278</t>
  </si>
  <si>
    <t>Nicolas Güell</t>
  </si>
  <si>
    <t>Bombero Villalobos 1231 depto 204 c, Casa</t>
  </si>
  <si>
    <t>BIT11038423</t>
  </si>
  <si>
    <t>260546374</t>
  </si>
  <si>
    <t>NOMBRE RETIRA: CONSTANZA ALVAREZ . RUT RETIRA: 20727742-8</t>
  </si>
  <si>
    <t>Alvaro Paz Contreras</t>
  </si>
  <si>
    <t>Las araucarias 4453</t>
  </si>
  <si>
    <t>BIT11038646</t>
  </si>
  <si>
    <t>260545206</t>
  </si>
  <si>
    <t>NOMBRE RETIRA: MAGALY REYES . RUT RETIRA: 8334093-2</t>
  </si>
  <si>
    <t>MAGALY REYES MARAMBIO</t>
  </si>
  <si>
    <t>AVENIDA MOLINOS DEL SOL NR 89</t>
  </si>
  <si>
    <t>BIT11038603</t>
  </si>
  <si>
    <t>260545503</t>
  </si>
  <si>
    <t>NOMBRE RETIRA: JAIME REITAN A RUT RETIRA: 53325784-4</t>
  </si>
  <si>
    <t>Maria Jose Lapostol Coello</t>
  </si>
  <si>
    <t>Avenida Edmundo Eluchans número 1985, Depto 24</t>
  </si>
  <si>
    <t>BIT11037848</t>
  </si>
  <si>
    <t>260087837</t>
  </si>
  <si>
    <t>NOMBRE RETIRA: RAQUEL RETAMAL. 1 RUT RETIRA: 7932480-9</t>
  </si>
  <si>
    <t>Raquel Retamal cisterna</t>
  </si>
  <si>
    <t>Pasaje cipres 3 sector metreñehue, Casa</t>
  </si>
  <si>
    <t>2025-12-16 20:03</t>
  </si>
  <si>
    <t>BIT11038376</t>
  </si>
  <si>
    <t>260547332</t>
  </si>
  <si>
    <t>NOMBRE RETIRA: HECTOR REYES . RUT RETIRA: 65169981-9</t>
  </si>
  <si>
    <t>Debora Meza Santibañez</t>
  </si>
  <si>
    <t>Quinel Sur 2680, 21D</t>
  </si>
  <si>
    <t>BIT11038197</t>
  </si>
  <si>
    <t>260303286</t>
  </si>
  <si>
    <t>NOMBRE RETIRA: MACARENA MARTINEZ . RUT RETIRA: 16034915-8</t>
  </si>
  <si>
    <t>Macarena Martínez Muñoz</t>
  </si>
  <si>
    <t>Río lauca poniente 3122, Casa</t>
  </si>
  <si>
    <t>BIT11038225</t>
  </si>
  <si>
    <t>260303235</t>
  </si>
  <si>
    <t>Manuel Hidalgo Valdebenito</t>
  </si>
  <si>
    <t>Los chunchos 4039</t>
  </si>
  <si>
    <t>BIT11038713</t>
  </si>
  <si>
    <t>260610437</t>
  </si>
  <si>
    <t>NOMBRE RETIRA: VIRGINIA SCHEIHING . RUT RETIRA: 17047930-0</t>
  </si>
  <si>
    <t>Virginia Scheihing</t>
  </si>
  <si>
    <t>Salvador Sanfuentes 4300</t>
  </si>
  <si>
    <t>BIT11038062</t>
  </si>
  <si>
    <t>260304528</t>
  </si>
  <si>
    <t>NOMBRE RETIRA: CAROLYN VEGA ... RUT RETIRA: 19146817-1</t>
  </si>
  <si>
    <t>Carolayn Vega</t>
  </si>
  <si>
    <t>Las encinas 751</t>
  </si>
  <si>
    <t>BIT11038209</t>
  </si>
  <si>
    <t>260303249</t>
  </si>
  <si>
    <t>NOMBRE RETIRA: RAQUEL ARAYA URRELO RUT RETIRA: 13417219-3</t>
  </si>
  <si>
    <t>MARIA JESUS FERNANDEZ LOPEZ</t>
  </si>
  <si>
    <t>Bannen 73, Local Comercial Digitalclick</t>
  </si>
  <si>
    <t>BIT11038395</t>
  </si>
  <si>
    <t>260547178</t>
  </si>
  <si>
    <t>NOMBRE RETIRA: GUIKLERMO MARCOS N M RUT RETIRA: 9850457-5</t>
  </si>
  <si>
    <t>Guerrero Marcos</t>
  </si>
  <si>
    <t>Padre hurtado 660, J72</t>
  </si>
  <si>
    <t>BIT11038640</t>
  </si>
  <si>
    <t>260545268</t>
  </si>
  <si>
    <t>NOMBRE RETIRA: GLORIA MOLINA . RUT RETIRA: 13620812-8</t>
  </si>
  <si>
    <t>David Nova pinto</t>
  </si>
  <si>
    <t>galia diaz san pedro de la paz 8139, Casa</t>
  </si>
  <si>
    <t>BIT11038299</t>
  </si>
  <si>
    <t>260389346</t>
  </si>
  <si>
    <t>NOMBRE RETIRA: ELSON BECERRA , RUT RETIRA: 14106569-6</t>
  </si>
  <si>
    <t>ELSSON BECERRA MURILLO</t>
  </si>
  <si>
    <t>LLANOS DEL VALLE 556</t>
  </si>
  <si>
    <t>BIT11038759</t>
  </si>
  <si>
    <t>260610414</t>
  </si>
  <si>
    <t>Carolina Ahumada González</t>
  </si>
  <si>
    <t>Casa, Cordova 42 poblacion urmeneta</t>
  </si>
  <si>
    <t>BIT11038411</t>
  </si>
  <si>
    <t>260546468</t>
  </si>
  <si>
    <t>NOMBRE RETIRA: NICOLAS QUIMTANA . RUT RETIRA: 21793235-1</t>
  </si>
  <si>
    <t>Patricia Meléndez Molina</t>
  </si>
  <si>
    <t>Avenida el Belloto, 611</t>
  </si>
  <si>
    <t>BIT11038561</t>
  </si>
  <si>
    <t>260545733</t>
  </si>
  <si>
    <t>NOMBRE RETIRA: SARA GON GONZALEZ B RUT RETIRA: 14343682-9</t>
  </si>
  <si>
    <t>Sara Gonzalez</t>
  </si>
  <si>
    <t>19 NORTE 1961</t>
  </si>
  <si>
    <t>2025-12-21 20:31</t>
  </si>
  <si>
    <t>BIT11038422</t>
  </si>
  <si>
    <t>260546399</t>
  </si>
  <si>
    <t>Javier Escalera galaz</t>
  </si>
  <si>
    <t>Los maquis 4273</t>
  </si>
  <si>
    <t>BIT11038778</t>
  </si>
  <si>
    <t>260610373</t>
  </si>
  <si>
    <t>NOMBRE RETIRA: JESICA SANDOVAL NUNEZ RUT RETIRA: 12851954-8</t>
  </si>
  <si>
    <t>Jessica Sandoval</t>
  </si>
  <si>
    <t>Paicavi 917, 204</t>
  </si>
  <si>
    <t>BIT11038373</t>
  </si>
  <si>
    <t>260547380</t>
  </si>
  <si>
    <t>NOMBRE RETIRA: VICTORIA GATICA . RUT RETIRA: 16947088-K</t>
  </si>
  <si>
    <t>Juan carlos Gatica Cardenas</t>
  </si>
  <si>
    <t>Avenida argentina 897, Taller electrico</t>
  </si>
  <si>
    <t>BIT11038254</t>
  </si>
  <si>
    <t>260303067</t>
  </si>
  <si>
    <t>NOMBRE RETIRA: DELCY RODRIGUEZ . RUT RETIRA: 12582532-K</t>
  </si>
  <si>
    <t>Casa E21, Av Laguna Kalina 1463, Casa E 21</t>
  </si>
  <si>
    <t>BIT11038736</t>
  </si>
  <si>
    <t>260610460</t>
  </si>
  <si>
    <t>NOMBRE RETIRA: ALTO MARGA MARGA 2 COMEJE ENRIQUE RUT RETIRA: 53333532-2</t>
  </si>
  <si>
    <t>Ignacio Ivan Bustamante</t>
  </si>
  <si>
    <t>Irma johnson molina 201, A 124</t>
  </si>
  <si>
    <t>2025-12-22 13:58</t>
  </si>
  <si>
    <t>BIT11038662</t>
  </si>
  <si>
    <t>260545035</t>
  </si>
  <si>
    <t>NOMBRE RETIRA: JORGE BASCUR . . RUT RETIRA: 10425830-1</t>
  </si>
  <si>
    <t>Luis Cid Arrey</t>
  </si>
  <si>
    <t>Avenida Oriente 565, H 202</t>
  </si>
  <si>
    <t>BIT11038211</t>
  </si>
  <si>
    <t>260303244</t>
  </si>
  <si>
    <t>NOMBRE RETIRA: IVO MANRIQUEZ . RUT RETIRA: 17445596-1</t>
  </si>
  <si>
    <t>Ivo Manríquez Torres</t>
  </si>
  <si>
    <t>Volcan San Pablo Jorge Alessandri,, #2844</t>
  </si>
  <si>
    <t>BIT11038437</t>
  </si>
  <si>
    <t>260546296</t>
  </si>
  <si>
    <t>NOMBRE RETIRA: FERNANDO VURGO Y RUT RETIRA: 53333753-8</t>
  </si>
  <si>
    <t>Felipe Lepe Araya</t>
  </si>
  <si>
    <t>Avenida Tierras Coloradas 9655, Casa 37</t>
  </si>
  <si>
    <t>BIT11038497</t>
  </si>
  <si>
    <t>260546001</t>
  </si>
  <si>
    <t>NOMBRE RETIRA: FRANCO IBACACHE . RUT RETIRA: 17969979-6</t>
  </si>
  <si>
    <t>Camila Gatica Henríquez</t>
  </si>
  <si>
    <t>Av lumilla 3001, Casa</t>
  </si>
  <si>
    <t>BIT11038200</t>
  </si>
  <si>
    <t>260303255</t>
  </si>
  <si>
    <t>NOMBRE RETIRA: SUSANA . . RUT RETIRA: 12345678-5</t>
  </si>
  <si>
    <t>Susana Huanquilef</t>
  </si>
  <si>
    <t>Subdelegado Martin Gregorio del Villar 710 Las Pircas, Casa</t>
  </si>
  <si>
    <t>BIT11038664</t>
  </si>
  <si>
    <t>260545057</t>
  </si>
  <si>
    <t>NOMBRE RETIRA: CARLOA ROJAS N RUT RETIRA: 53297881-5</t>
  </si>
  <si>
    <t>Maria emilia Jeria cortes</t>
  </si>
  <si>
    <t>Avenida camino del sol 2300, Casa d4</t>
  </si>
  <si>
    <t>BIT11038429</t>
  </si>
  <si>
    <t>260546326</t>
  </si>
  <si>
    <t>NOMBRE RETIRA: JAIME GARCIA N RUT RETIRA: 65163035-5</t>
  </si>
  <si>
    <t>SAMUEL SANCHEZ</t>
  </si>
  <si>
    <t>Las Acacias #749, 522</t>
  </si>
  <si>
    <t>BIT11038326</t>
  </si>
  <si>
    <t>260389208</t>
  </si>
  <si>
    <t>NOMBRE RETIRA: MARCOS PIZARRO PIZARRO RUT RETIRA: 9647877-1</t>
  </si>
  <si>
    <t>Mauricio Godoy Tapia</t>
  </si>
  <si>
    <t>Calle Rancagua 494, Depto 1310</t>
  </si>
  <si>
    <t>BIT11038321</t>
  </si>
  <si>
    <t>260389180</t>
  </si>
  <si>
    <t>NOMBRE RETIRA: MARISOL LEPILLAN .. RUT RETIRA: 12038900-9</t>
  </si>
  <si>
    <t>Daniel Martinez gamio</t>
  </si>
  <si>
    <t>Carlos ibalez del campo 303 santa rosa, lebu, Frente copa de agua santa rosa</t>
  </si>
  <si>
    <t>BIT11038187</t>
  </si>
  <si>
    <t>260303302</t>
  </si>
  <si>
    <t>NOMBRE RETIRA: AMDRES PUGA MOLINA RUT RETIRA: 21852775-2</t>
  </si>
  <si>
    <t>Andres Puga Molina</t>
  </si>
  <si>
    <t>Parque nacional la campana 1083</t>
  </si>
  <si>
    <t>BIT11038078</t>
  </si>
  <si>
    <t>260303943</t>
  </si>
  <si>
    <t>NOMBRE RETIRA: ABEL VERA J RUT RETIRA: 65050899-8</t>
  </si>
  <si>
    <t>Víctor Chousal Baez</t>
  </si>
  <si>
    <t>Camilo Henríquez 291, Depto. 54</t>
  </si>
  <si>
    <t>BIT11038342</t>
  </si>
  <si>
    <t>260389111</t>
  </si>
  <si>
    <t>NOMBRE RETIRA: MARIANE SANDOVAL . RUT RETIRA: 13822148-2</t>
  </si>
  <si>
    <t>Marianne Sandoval Recabarren</t>
  </si>
  <si>
    <t>Laguna Galletue 1758 Vil Reina Luisa Iv, Casa</t>
  </si>
  <si>
    <t>BIT11038236</t>
  </si>
  <si>
    <t>260303175</t>
  </si>
  <si>
    <t>NOMBRE RETIRA: MARIA PAREDES . RUT RETIRA: 10517953-7</t>
  </si>
  <si>
    <t>Marlenne Trapp C</t>
  </si>
  <si>
    <t>Esmeralda 573, Casa</t>
  </si>
  <si>
    <t>BIT11038315</t>
  </si>
  <si>
    <t>260389255</t>
  </si>
  <si>
    <t>Victor Urzúa</t>
  </si>
  <si>
    <t>Avenida Miguel Ramírez 723, Restaurante Perla Oriental</t>
  </si>
  <si>
    <t>BIT11037993</t>
  </si>
  <si>
    <t>260194448</t>
  </si>
  <si>
    <t>NOMBRE RETIRA: ASTRID ESPINOZA 0 RUT RETIRA: 8470390-7</t>
  </si>
  <si>
    <t>Astrid Espinoza</t>
  </si>
  <si>
    <t>Rengo 1638 (esquina Colo-Colo), Casa interior, llamar al llegar</t>
  </si>
  <si>
    <t>2025-12-17 20:07</t>
  </si>
  <si>
    <t>BIT11036598</t>
  </si>
  <si>
    <t>259024411</t>
  </si>
  <si>
    <t>NOMBRE RETIRA: MSRIA M . RUT RETIRA: 18642909-5</t>
  </si>
  <si>
    <t>Maria Vergara santic</t>
  </si>
  <si>
    <t>Arauco 670, Puerto Natales, Natales, Chile, Casa</t>
  </si>
  <si>
    <t>2025-12-02 19:14</t>
  </si>
  <si>
    <t>BIT11038089</t>
  </si>
  <si>
    <t>260303822</t>
  </si>
  <si>
    <t>NOMBRE RETIRA: CARLOS MOYA . RUT RETIRA: 16190198-9</t>
  </si>
  <si>
    <t>Karina Waghorn</t>
  </si>
  <si>
    <t>Pasaje nueva 42 casa 803, Valle volcanes</t>
  </si>
  <si>
    <t>BIT11037532</t>
  </si>
  <si>
    <t>259841779</t>
  </si>
  <si>
    <t>NOMBRE RETIRA: VANIA MARTINIC .. RUT RETIRA: 11111111-1</t>
  </si>
  <si>
    <t>Vannia Martinic Coutts</t>
  </si>
  <si>
    <t>Conrado pittet 0244, Casa villa el bosque</t>
  </si>
  <si>
    <t>2025-12-14 21:00</t>
  </si>
  <si>
    <t>BIT11038257</t>
  </si>
  <si>
    <t>260303060</t>
  </si>
  <si>
    <t>NOMBRE RETIRA: ANDREA SOTO . RUT RETIRA: 22924774-3</t>
  </si>
  <si>
    <t>Pasaje Rio Arenas 4022 Trapen Sur Panitao</t>
  </si>
  <si>
    <t>BIT11038183</t>
  </si>
  <si>
    <t>260303339</t>
  </si>
  <si>
    <t>NOMBRE RETIRA: MARISOL LEIVA . RUT RETIRA: 10463188-6</t>
  </si>
  <si>
    <t>Paula Reyes</t>
  </si>
  <si>
    <t>Av. Ramón Sanfurgo 478</t>
  </si>
  <si>
    <t>BIT11038289</t>
  </si>
  <si>
    <t>260302882</t>
  </si>
  <si>
    <t>NOMBRE RETIRA: JAVIERA CHORRP M RUT RETIRA: 9850457-5</t>
  </si>
  <si>
    <t>Javiera Chamorro</t>
  </si>
  <si>
    <t>Recreo, Madre De Dios 11</t>
  </si>
  <si>
    <t>BIT11038046</t>
  </si>
  <si>
    <t>260304579</t>
  </si>
  <si>
    <t>NOMBRE RETIRA: JOSE LAGOS ... RUT RETIRA: 8420653-9</t>
  </si>
  <si>
    <t>Catalina Francisca Salvo Parraguez</t>
  </si>
  <si>
    <t>Holandesa 0590, Departamento 204</t>
  </si>
  <si>
    <t>2025-12-18 11:38</t>
  </si>
  <si>
    <t>BIT11038268</t>
  </si>
  <si>
    <t>260302973</t>
  </si>
  <si>
    <t>NOMBRE RETIRA: EMILIO ESCARE . RUT RETIRA: 7072386-7</t>
  </si>
  <si>
    <t>SONIA DENIS Piñeiro fierro</t>
  </si>
  <si>
    <t>Los Arrayanes 314 Edificio El Notro Isla Teja 112, 112</t>
  </si>
  <si>
    <t>BIT11038306</t>
  </si>
  <si>
    <t>260389325</t>
  </si>
  <si>
    <t>Tania Munizaga Jure</t>
  </si>
  <si>
    <t>Laura Rodig 1603, Casa</t>
  </si>
  <si>
    <t>BIT11038294</t>
  </si>
  <si>
    <t>260389400</t>
  </si>
  <si>
    <t>ERIKA JIMENEZ</t>
  </si>
  <si>
    <t>SANTA MARGARITA 518, EDIFICIO DAEM NACIMIENTO</t>
  </si>
  <si>
    <t>BIT11038009</t>
  </si>
  <si>
    <t>260194366</t>
  </si>
  <si>
    <t>NOMBRE RETIRA: MANUEL PIZARRO . RUT RETIRA: 21557510-1</t>
  </si>
  <si>
    <t>MANUEL EDUARDO PIZARRO VICENCIO</t>
  </si>
  <si>
    <t>LATORRE 2068  SECTOR CENTRO, CASA</t>
  </si>
  <si>
    <t>BIT11038318</t>
  </si>
  <si>
    <t>260389225</t>
  </si>
  <si>
    <t>NOMBRE RETIRA: AMERICO VARELA . RUT RETIRA: 12569784-4</t>
  </si>
  <si>
    <t>cecilia lertora</t>
  </si>
  <si>
    <t>lago maihue 586</t>
  </si>
  <si>
    <t>BIT11038316</t>
  </si>
  <si>
    <t>260389259</t>
  </si>
  <si>
    <t>NOMBRE RETIRA: EVELYN VALLEJOS . RUT RETIRA: 14063618-5</t>
  </si>
  <si>
    <t>evelyn vallejos</t>
  </si>
  <si>
    <t>Maipú 970</t>
  </si>
  <si>
    <t>BIT11038185</t>
  </si>
  <si>
    <t>260303328</t>
  </si>
  <si>
    <t>NOMBRE RETIRA: JUAN OROSTICA .. RUT RETIRA: 20069605-0</t>
  </si>
  <si>
    <t>Felipe Chaparro</t>
  </si>
  <si>
    <t>Estado 318, Oficina 302</t>
  </si>
  <si>
    <t>BIT11038335</t>
  </si>
  <si>
    <t>260389156</t>
  </si>
  <si>
    <t>Esteban Donoso</t>
  </si>
  <si>
    <t>Noruega 331, Torre b2 dpto 11</t>
  </si>
  <si>
    <t>BIT11038297</t>
  </si>
  <si>
    <t>260389351</t>
  </si>
  <si>
    <t>NOMBRE RETIRA: MOISES VIDAL . RUT RETIRA: 53330390-0</t>
  </si>
  <si>
    <t>Ingrid Lobos Lopez</t>
  </si>
  <si>
    <t>Blanca 655 Depto 1404,cerro Los Placeres Valparaiso, Blanca 655, 1304</t>
  </si>
  <si>
    <t>BIT11038260</t>
  </si>
  <si>
    <t>260303015</t>
  </si>
  <si>
    <t>NOMBRE RETIRA: DAGOBERTO CARCAMO . RUT RETIRA: 8709050-7</t>
  </si>
  <si>
    <t>Roberto Caceres</t>
  </si>
  <si>
    <t>Pasaje araucaria nueva celedonia 519</t>
  </si>
  <si>
    <t>BIT11038322</t>
  </si>
  <si>
    <t>260389228</t>
  </si>
  <si>
    <t>NOMBRE RETIRA: KATHERINE MIRANDA . RUT RETIRA: 17998296-K</t>
  </si>
  <si>
    <t>Brayan Miranda Godoy</t>
  </si>
  <si>
    <t>Pasaje Pintor Juan Pereira, 396</t>
  </si>
  <si>
    <t>BIT11038164</t>
  </si>
  <si>
    <t>260303446</t>
  </si>
  <si>
    <t>NOMBRE RETIRA: PAOLA , , RUT RETIRA: 53310370-7</t>
  </si>
  <si>
    <t>Paola Andurand Rüth</t>
  </si>
  <si>
    <t>Los Afluentes 03212, Altos de Mirasur</t>
  </si>
  <si>
    <t>BIT11037161</t>
  </si>
  <si>
    <t>259487047</t>
  </si>
  <si>
    <t>NOMBRE RETIRA: PAULA CARRILLO . RUT RETIRA: 21917691-0</t>
  </si>
  <si>
    <t>Marta Pelle muñoz</t>
  </si>
  <si>
    <t>Calle valle simson 227, Casa</t>
  </si>
  <si>
    <t>BIT11038288</t>
  </si>
  <si>
    <t>260302873</t>
  </si>
  <si>
    <t>NOMBRE RETIRA: BERNARDITA BUZETA A RUT RETIRA: 6908105-3</t>
  </si>
  <si>
    <t>Bernardita Buzeta</t>
  </si>
  <si>
    <t>Thompson 1155</t>
  </si>
  <si>
    <t>BIT11038295</t>
  </si>
  <si>
    <t>260389373</t>
  </si>
  <si>
    <t>NOMBRE RETIRA: CRISTOBAM HENRIQUEZ O RUT RETIRA: 20071444-K</t>
  </si>
  <si>
    <t>Rodrigo Henríquez</t>
  </si>
  <si>
    <t>Tomas Daskam 1492</t>
  </si>
  <si>
    <t>BIT11038304</t>
  </si>
  <si>
    <t>260389303</t>
  </si>
  <si>
    <t>NOMBRE RETIRA: JULIO PLIVARES M RUT RETIRA: 18510121-5</t>
  </si>
  <si>
    <t>Julio Olivares</t>
  </si>
  <si>
    <t>Caupolicán  750, Parcelación Los Tiuques lt8, Sector La Ttetera</t>
  </si>
  <si>
    <t>BIT11038274</t>
  </si>
  <si>
    <t>260302893</t>
  </si>
  <si>
    <t>Sandra Verdugo</t>
  </si>
  <si>
    <t>Madrid 1757, Los Alpes</t>
  </si>
  <si>
    <t>BIT11038086</t>
  </si>
  <si>
    <t>260303854</t>
  </si>
  <si>
    <t>Avenida Comandante San Martin 3460, Golden Omega</t>
  </si>
  <si>
    <t>BIT11037878</t>
  </si>
  <si>
    <t>260087758</t>
  </si>
  <si>
    <t>NOMBRE RETIRA: PILAR SOTO SOTO RUT RETIRA: 11111111-1</t>
  </si>
  <si>
    <t>RICARDO TORRES</t>
  </si>
  <si>
    <t>ANIBAL PINTO 1450</t>
  </si>
  <si>
    <t>BIT11036959</t>
  </si>
  <si>
    <t>259314376</t>
  </si>
  <si>
    <t>NOMBRE RETIRA: JESSICA CAMPOS . RUT RETIRA: 11111111-1</t>
  </si>
  <si>
    <t>Calle 3 Proyectada 680. Población  Loteo Patagonia</t>
  </si>
  <si>
    <t>BIT11038044</t>
  </si>
  <si>
    <t>260304580</t>
  </si>
  <si>
    <t>Lissette Berroeta Aguilera</t>
  </si>
  <si>
    <t>Bombero Fuentes 45, depa 507 torre B, 507 torre B</t>
  </si>
  <si>
    <t>BIT11037582</t>
  </si>
  <si>
    <t>259841705</t>
  </si>
  <si>
    <t>NOMBRE RETIRA: LAURA CALDERON . RUT RETIRA: 9906202-9</t>
  </si>
  <si>
    <t>Francisco Inostroza</t>
  </si>
  <si>
    <t>Poblacion Poconchile, Lorena 3835</t>
  </si>
  <si>
    <t>BIT11038052</t>
  </si>
  <si>
    <t>260304561</t>
  </si>
  <si>
    <t>NOMBRE RETIRA: CARLOS CARVACHO H RUT RETIRA: 13286697-K</t>
  </si>
  <si>
    <t>Carlos Carvacho</t>
  </si>
  <si>
    <t>Venticinco 1/2 Oriente A 1547, Talca, Casa</t>
  </si>
  <si>
    <t>BIT11037986</t>
  </si>
  <si>
    <t>260194452</t>
  </si>
  <si>
    <t>NOMBRE RETIRA: LEONOR ROSEIGUEZ . RUT RETIRA: 18686873-0</t>
  </si>
  <si>
    <t>Sandra Pichilén</t>
  </si>
  <si>
    <t>Eugenio Matte s/n casi esquina A Prat, Oficina color café con antejardín</t>
  </si>
  <si>
    <t>BIT11037951</t>
  </si>
  <si>
    <t>260194531</t>
  </si>
  <si>
    <t>Hans Silva</t>
  </si>
  <si>
    <t>verdes campiñas 3179, casa 79</t>
  </si>
  <si>
    <t>BIT11038075</t>
  </si>
  <si>
    <t>260303986</t>
  </si>
  <si>
    <t>NOMBRE RETIRA: GLORIA VERGARA . RUT RETIRA: 65072049-0</t>
  </si>
  <si>
    <t>Alvaro Toledo</t>
  </si>
  <si>
    <t>Condominio Nuevo Centro 1061 2 Poniente 1061, Departamento n 121</t>
  </si>
  <si>
    <t>BIT11037841</t>
  </si>
  <si>
    <t>260087866</t>
  </si>
  <si>
    <t>NOMBRE RETIRA: CLAUDIO DIAS . RUT RETIRA: 21820954-8</t>
  </si>
  <si>
    <t>Claudio Diaz</t>
  </si>
  <si>
    <t>Av el parque 104, Sitio 41</t>
  </si>
  <si>
    <t>BIT11038180</t>
  </si>
  <si>
    <t>260303352</t>
  </si>
  <si>
    <t>NOMBRE RETIRA: LUIS MELLA . RUT RETIRA: 18824756-3</t>
  </si>
  <si>
    <t>Alexia Aliaga</t>
  </si>
  <si>
    <t>Almirante Juan José Latorre 1508</t>
  </si>
  <si>
    <t>BIT11038159</t>
  </si>
  <si>
    <t>260303478</t>
  </si>
  <si>
    <t>NOMBRE RETIRA: DIEGO RODRIGUEZ . RUT RETIRA: 17798414-0</t>
  </si>
  <si>
    <t>Rudeger Antonio Vicuña Fernández</t>
  </si>
  <si>
    <t>Manuel Jesús Silva 2249, 1104</t>
  </si>
  <si>
    <t>BIT11038080</t>
  </si>
  <si>
    <t>260303865</t>
  </si>
  <si>
    <t>NOMBRE RETIRA: VICTOR NAVARRETE . RUT RETIRA: 76669508-6</t>
  </si>
  <si>
    <t>Víctor Alejandro Navarrete Garcés</t>
  </si>
  <si>
    <t>Aníbal Pinto 618, Casa</t>
  </si>
  <si>
    <t>BIT11037999</t>
  </si>
  <si>
    <t>260194428</t>
  </si>
  <si>
    <t>NOMBRE RETIRA: ALFREDO VOAL M RUT RETIRA: 23193302-6</t>
  </si>
  <si>
    <t>Alfredo Schick Vidal</t>
  </si>
  <si>
    <t>O Higgins 336, Pucon, Oficinas administrativas</t>
  </si>
  <si>
    <t>BIT11038068</t>
  </si>
  <si>
    <t>260304021</t>
  </si>
  <si>
    <t>NOMBRE RETIRA: FRANCISCO INZUZNA A RUT RETIRA: 21290455-4</t>
  </si>
  <si>
    <t>Susana Hidalgo Díaz</t>
  </si>
  <si>
    <t>Francisco Guzmán Rocha 1031(ex calle el Pinar 228 tejas verdes San Antonio</t>
  </si>
  <si>
    <t>BIT11038117</t>
  </si>
  <si>
    <t>260303622</t>
  </si>
  <si>
    <t>NOMBRE RETIRA: TITO BECERRA B RUT RETIRA: 7951238-9</t>
  </si>
  <si>
    <t>Fabián Manzor</t>
  </si>
  <si>
    <t>Calle 21 Norte 1580, condominio lircay,  casa 15,</t>
  </si>
  <si>
    <t>BIT11037959</t>
  </si>
  <si>
    <t>260194541</t>
  </si>
  <si>
    <t>NOMBRE RETIRA: BLANCA LEIVA . RUT RETIRA: 16159159-9</t>
  </si>
  <si>
    <t>Blanca Leiva Salgado</t>
  </si>
  <si>
    <t>Las Araucarias 993 ,contulmo, Casa</t>
  </si>
  <si>
    <t>BIT11037797</t>
  </si>
  <si>
    <t>260088079</t>
  </si>
  <si>
    <t>NOMBRE RETIRA: ROSA OLIVARES . RUT RETIRA: 7805903-6</t>
  </si>
  <si>
    <t>Johana Lopez Hurtado</t>
  </si>
  <si>
    <t>Don milenko 376</t>
  </si>
  <si>
    <t>BIT11036989</t>
  </si>
  <si>
    <t>259314343</t>
  </si>
  <si>
    <t>NOMBRE RETIRA: LUIS CARO . RUT RETIRA: 17910293-5</t>
  </si>
  <si>
    <t>ivan martinez caro</t>
  </si>
  <si>
    <t>costanera del rio norte 0340</t>
  </si>
  <si>
    <t>BIT11037127</t>
  </si>
  <si>
    <t>259473176</t>
  </si>
  <si>
    <t>NOMBRE RETIRA: CECILI GARCIA ESQUI RUT RETIRA: 16769447-0</t>
  </si>
  <si>
    <t>Cecilia García Esquivel</t>
  </si>
  <si>
    <t>Granaderos 3698, Cesfam donde trabajo</t>
  </si>
  <si>
    <t>2025-12-09 19:02</t>
  </si>
  <si>
    <t>BIT11037727</t>
  </si>
  <si>
    <t>259989208</t>
  </si>
  <si>
    <t>NOMBRE RETIRA: FRANCISCO PINCHEIRA A RUT RETIRA: 15692585-3</t>
  </si>
  <si>
    <t>FRANCISCO PINCHEIRA COSTANSO</t>
  </si>
  <si>
    <t>MUNICH 2275</t>
  </si>
  <si>
    <t>BIT11037866</t>
  </si>
  <si>
    <t>260087812</t>
  </si>
  <si>
    <t>NOMBRE RETIRA: PATRICIA RIVERA . RUT RETIRA: 14104224-6</t>
  </si>
  <si>
    <t>Patricia Rivera</t>
  </si>
  <si>
    <t>Codpa 2128, Casa</t>
  </si>
  <si>
    <t>BIT11036946</t>
  </si>
  <si>
    <t>259314418</t>
  </si>
  <si>
    <t>NOMBRE RETIRA: PATRICIA GARAY . RUT RETIRA: 11111111-1</t>
  </si>
  <si>
    <t>Eduardo Garay Kevin</t>
  </si>
  <si>
    <t>Miraflores 624, Casa</t>
  </si>
  <si>
    <t>BIT11037906</t>
  </si>
  <si>
    <t>260194672</t>
  </si>
  <si>
    <t>NOMBRE RETIRA: ROXSANA CASTRO PIZARRO RUT RETIRA: 9698411-1</t>
  </si>
  <si>
    <t>Alejandro Vergara</t>
  </si>
  <si>
    <t>Bruno Pizarro 232 - dep 602A, 602A</t>
  </si>
  <si>
    <t>BIT11038033</t>
  </si>
  <si>
    <t>260194309</t>
  </si>
  <si>
    <t>NOMBRE RETIRA: MARTIN LARDAGUEZ . RUT RETIRA: 26076095-5</t>
  </si>
  <si>
    <t>Martin Larraguibel Larraguibel</t>
  </si>
  <si>
    <t>Avda Costanera 3100, Depto 2003</t>
  </si>
  <si>
    <t>BIT11037753</t>
  </si>
  <si>
    <t>259988933</t>
  </si>
  <si>
    <t>NOMBRE RETIRA: OMAR ALARCON J RUT RETIRA: 12207865-5</t>
  </si>
  <si>
    <t>David Jaque Oyarzo</t>
  </si>
  <si>
    <t>Guacolda #4208,</t>
  </si>
  <si>
    <t>BIT11038179</t>
  </si>
  <si>
    <t>260303367</t>
  </si>
  <si>
    <t>NOMBRE RETIRA: RONAL ESMITH VALDIVIA RUT RETIRA: 15038491-5</t>
  </si>
  <si>
    <t>Vanessa Estay</t>
  </si>
  <si>
    <t>Amador lopez 4361 villa casas de placilla</t>
  </si>
  <si>
    <t>BIT11038098</t>
  </si>
  <si>
    <t>260303763</t>
  </si>
  <si>
    <t>NOMBRE RETIRA: TAMMYA MELENDEZ . RUT RETIRA: 17865332-6</t>
  </si>
  <si>
    <t>Alvaro Rivera Ogalde</t>
  </si>
  <si>
    <t>Avenida Balmaceda 600O Condomino plaza balmaceda DPTO D 301, DPTO D 301</t>
  </si>
  <si>
    <t>BIT11037922</t>
  </si>
  <si>
    <t>260194632</t>
  </si>
  <si>
    <t>NOMBRE RETIRA: ABRAM AGUILAR . RUT RETIRA: 12345678-5</t>
  </si>
  <si>
    <t>Abraham Aguilar</t>
  </si>
  <si>
    <t>Las buganbilias 2524-A, Casa verde</t>
  </si>
  <si>
    <t>BIT11037792</t>
  </si>
  <si>
    <t>260088073</t>
  </si>
  <si>
    <t>NOMBRE RETIRA: RODRIGO GUARDIA . RUT RETIRA: 15092131-7</t>
  </si>
  <si>
    <t>Alejandro Ahumada Abarza</t>
  </si>
  <si>
    <t>El Oro 8235, Departamento 210</t>
  </si>
  <si>
    <t>BIT11038063</t>
  </si>
  <si>
    <t>260304037</t>
  </si>
  <si>
    <t>NOMBRE RETIRA: ROCIO GALLEGUILLOS . RUT RETIRA: 21874837-6</t>
  </si>
  <si>
    <t>Rocio Galleguillos</t>
  </si>
  <si>
    <t>Av rio andalien 816 brisas de labranza temuco., Botilleria.</t>
  </si>
  <si>
    <t>BIT11038048</t>
  </si>
  <si>
    <t>260304553</t>
  </si>
  <si>
    <t>NOMBRE RETIRA: ANA OYARZUN . RUT RETIRA: 15270956-0</t>
  </si>
  <si>
    <t>Ana Luisa Oyarzun Martinez</t>
  </si>
  <si>
    <t>Ohiggins 648</t>
  </si>
  <si>
    <t>BIT11038110</t>
  </si>
  <si>
    <t>260303633</t>
  </si>
  <si>
    <t>NOMBRE RETIRA: SHAOMEI LAUNG LUANG RUT RETIRA: 12109801-6</t>
  </si>
  <si>
    <t>BIT11037687</t>
  </si>
  <si>
    <t>259989527</t>
  </si>
  <si>
    <t>NOMBRE RETIRA: CRIATIAN GONZALEZ . RUT RETIRA: 56047880-1</t>
  </si>
  <si>
    <t>Alicia Bodelon Mattensohn</t>
  </si>
  <si>
    <t>Avenida Edmundo Eluchans 1555, 131, Reñaca, dep 131</t>
  </si>
  <si>
    <t>BIT11038085</t>
  </si>
  <si>
    <t>260303861</t>
  </si>
  <si>
    <t>NOMBRE RETIRA: CARLOS CORDERO . RUT RETIRA: 11509178-6</t>
  </si>
  <si>
    <t>Leticia Molgas</t>
  </si>
  <si>
    <t>Jose Joaquin Perez  3253, Peñuelas</t>
  </si>
  <si>
    <t>BIT11037817</t>
  </si>
  <si>
    <t>260087987</t>
  </si>
  <si>
    <t>NOMBRE RETIRA: GIOVANA AGUIRRE . RUT RETIRA: 11818558-7</t>
  </si>
  <si>
    <t>Liliana Escobar Muñoz</t>
  </si>
  <si>
    <t>Oficina Petronila 135, Casa 10. Condominio Apolo</t>
  </si>
  <si>
    <t>BIT11038101</t>
  </si>
  <si>
    <t>260303732</t>
  </si>
  <si>
    <t>NOMBRE RETIRA: CUMBRES SE MARSELLA CONEHE FERNADO RUT RETIRA: 53333532-2</t>
  </si>
  <si>
    <t>Las islitas 3160, Casa 3</t>
  </si>
  <si>
    <t>BIT11037945</t>
  </si>
  <si>
    <t>260194579</t>
  </si>
  <si>
    <t>NOMBRE RETIRA: GUIDO GUTIERREZ . RUT RETIRA: 7317505-4</t>
  </si>
  <si>
    <t>Gimena Alvarez</t>
  </si>
  <si>
    <t>Avenida Salvador Allende Gossens 609, Departamento 609 reina isabel, condominio 4 reinas</t>
  </si>
  <si>
    <t>BIT11037874</t>
  </si>
  <si>
    <t>260087757</t>
  </si>
  <si>
    <t>NOMBRE RETIRA: LORENA VARAS . RUT RETIRA: 11931324-4</t>
  </si>
  <si>
    <t>Loreto Medina Valdés</t>
  </si>
  <si>
    <t>Petronila 140, Casa 52</t>
  </si>
  <si>
    <t>BIT11038131</t>
  </si>
  <si>
    <t>260303558</t>
  </si>
  <si>
    <t>NOMBRE RETIRA: RICARDO CONSERJE . RUT RETIRA: 53319939-9</t>
  </si>
  <si>
    <t>Juan Carlos HUENTELICAN SALAZAR</t>
  </si>
  <si>
    <t>2 NORTE 1338, DEPARTAMENTO 804</t>
  </si>
  <si>
    <t>BIT11038147</t>
  </si>
  <si>
    <t>260303521</t>
  </si>
  <si>
    <t>NOMBRE RETIRA: DIEGO GUERRA . RUT RETIRA: 21367291-6</t>
  </si>
  <si>
    <t>Paola Longoni Opazo</t>
  </si>
  <si>
    <t>Av. Almirante Gómez Carrreño #404, Belloto Norte, frente Calle Guacolda, Casa ( Color Azul)</t>
  </si>
  <si>
    <t>BIT11038059</t>
  </si>
  <si>
    <t>260304543</t>
  </si>
  <si>
    <t>NOMBRE RETIRA: DANIEL MONATANARES. . RUT RETIRA: 13624927-4</t>
  </si>
  <si>
    <t>Patricia Barría Fernandez</t>
  </si>
  <si>
    <t>Manuel Bulnes 1476, Depto 902</t>
  </si>
  <si>
    <t>BIT11038093</t>
  </si>
  <si>
    <t>260303798</t>
  </si>
  <si>
    <t>NOMBRE RETIRA: JULIA A ARDILLA .. RUT RETIRA: 19041203-2</t>
  </si>
  <si>
    <t>Juliana Ardila</t>
  </si>
  <si>
    <t>Ceres sn, Estancia la Varilla, Parcela BB43</t>
  </si>
  <si>
    <t>BIT11037683</t>
  </si>
  <si>
    <t>259989630</t>
  </si>
  <si>
    <t>NOMBRE RETIRA: ROXANA OLEA CUBILLOS RUT RETIRA: 10395964-0</t>
  </si>
  <si>
    <t>Roxana olea cubillos</t>
  </si>
  <si>
    <t>Avenida Los Naranjos 1024, Avenida Los Naranjos 1024</t>
  </si>
  <si>
    <t>BIT11038119</t>
  </si>
  <si>
    <t>260303604</t>
  </si>
  <si>
    <t>NOMBRE RETIRA: MARIA ORTEGA KK RUT RETIRA: 16540000-3</t>
  </si>
  <si>
    <t>MARIA ORTEGA MUÑOZ</t>
  </si>
  <si>
    <t>Pintor Roberto Matta 2183, Villa El Sendero</t>
  </si>
  <si>
    <t>BIT11037976</t>
  </si>
  <si>
    <t>260194486</t>
  </si>
  <si>
    <t>NOMBRE RETIRA: MAITE SID . RUT RETIRA: 22283803-7</t>
  </si>
  <si>
    <t>Emma Lorena Andrade Rodas</t>
  </si>
  <si>
    <t>Pedro Aguirre Cerda 044, Casa 10</t>
  </si>
  <si>
    <t>BIT11038088</t>
  </si>
  <si>
    <t>260303843</t>
  </si>
  <si>
    <t>NOMBRE RETIRA: IGOR TOREES . RUT RETIRA: 17217113-3</t>
  </si>
  <si>
    <t>Igor Torres</t>
  </si>
  <si>
    <t>Santa Marta 1354</t>
  </si>
  <si>
    <t>BIT11038176</t>
  </si>
  <si>
    <t>260303387</t>
  </si>
  <si>
    <t>NOMBRE RETIRA: PRCILLA HONIRES ..... RUT RETIRA: 19146817-1</t>
  </si>
  <si>
    <t>Priscilla Honores</t>
  </si>
  <si>
    <t>Patricia Poblete 682, Casa dos pisos</t>
  </si>
  <si>
    <t>BIT11037829</t>
  </si>
  <si>
    <t>260087927</t>
  </si>
  <si>
    <t>NOMBRE RETIRA: AMELIA ROJAS . RUT RETIRA: 10500404-4</t>
  </si>
  <si>
    <t>Rosario Chumacero</t>
  </si>
  <si>
    <t>Yquique, Salvado allende N 2250 depto 165</t>
  </si>
  <si>
    <t>BIT11037825</t>
  </si>
  <si>
    <t>260087890</t>
  </si>
  <si>
    <t>NOMBRE RETIRA: JANETH SIERRA K RUT RETIRA: 9994438-2</t>
  </si>
  <si>
    <t>Tatiana Urtubia</t>
  </si>
  <si>
    <t>Limache 976, Casa</t>
  </si>
  <si>
    <t>BIT11038039</t>
  </si>
  <si>
    <t>260304590</t>
  </si>
  <si>
    <t>NOMBRE RETIRA: FERNANDO CIFUENTES MUNOZ RUT RETIRA: 10071426-4</t>
  </si>
  <si>
    <t>FERNANDO CIFUENTES</t>
  </si>
  <si>
    <t>PANAMA 068</t>
  </si>
  <si>
    <t>BIT11038043</t>
  </si>
  <si>
    <t>260304600</t>
  </si>
  <si>
    <t>NOMBRE RETIRA: CARMEN CORONADO . RUT RETIRA: 7595641-K</t>
  </si>
  <si>
    <t>Fabián Mendoza</t>
  </si>
  <si>
    <t>Uno Oriente 5967</t>
  </si>
  <si>
    <t>BIT11037921</t>
  </si>
  <si>
    <t>260194635</t>
  </si>
  <si>
    <t>NOMBRE RETIRA: BENJAMIN CASANOVA . RUT RETIRA: 10141063-3</t>
  </si>
  <si>
    <t>Benjamin Casanova</t>
  </si>
  <si>
    <t>villa los maitenes, pasaje los pinos 1498</t>
  </si>
  <si>
    <t>BIT11038057</t>
  </si>
  <si>
    <t>260304536</t>
  </si>
  <si>
    <t>NOMBRE RETIRA: BETSABET CAMPOS . RUT RETIRA: 65170374-3</t>
  </si>
  <si>
    <t>Michelle Sills</t>
  </si>
  <si>
    <t>Bombero fuentes 27, depto 1504</t>
  </si>
  <si>
    <t>BIT11038120</t>
  </si>
  <si>
    <t>260303575</t>
  </si>
  <si>
    <t>NOMBRE RETIRA: AGUSTIN RIVAS . RUT RETIRA: 22089858-K</t>
  </si>
  <si>
    <t>Sebastián Rivas Castillo</t>
  </si>
  <si>
    <t>Los Jesuitas 1486, Villa Galilea</t>
  </si>
  <si>
    <t>BIT11038178</t>
  </si>
  <si>
    <t>260303313</t>
  </si>
  <si>
    <t>NOMBRE RETIRA: LUIS JAQUE . RUT RETIRA: 8209875-5</t>
  </si>
  <si>
    <t>Mery Parra Santander</t>
  </si>
  <si>
    <t>Av. Monseñor Alarcón 274, Local comercial Check</t>
  </si>
  <si>
    <t>BIT11038173</t>
  </si>
  <si>
    <t>260303398</t>
  </si>
  <si>
    <t>NOMBRE RETIRA: JORGE BARRA . RUT RETIRA: 53330390-0</t>
  </si>
  <si>
    <t>Jorge Barra</t>
  </si>
  <si>
    <t>Vil BerlÍn Cerro Placeres, Pasaje RÍo Loa 134</t>
  </si>
  <si>
    <t>BIT11038076</t>
  </si>
  <si>
    <t>260303972</t>
  </si>
  <si>
    <t>NOMBRE RETIRA: MIGUEL MAULEN . RUT RETIRA: 15227963-9</t>
  </si>
  <si>
    <t>Natalia Sanhueza</t>
  </si>
  <si>
    <t>Los lirios 5219, 5219</t>
  </si>
  <si>
    <t>BIT11038125</t>
  </si>
  <si>
    <t>260303553</t>
  </si>
  <si>
    <t>NOMBRE RETIRA: TERESITA PEREZ P RUT RETIRA: 56086560-0</t>
  </si>
  <si>
    <t>Grace Alvarado</t>
  </si>
  <si>
    <t>Gonzalez 585, 104</t>
  </si>
  <si>
    <t>BIT11038123</t>
  </si>
  <si>
    <t>260303585</t>
  </si>
  <si>
    <t>NOMBRE RETIRA: SEBASTIAN FUENTES FUENTES RUT RETIRA: 15372287-0</t>
  </si>
  <si>
    <t>Volcan osorno 1657, 1657</t>
  </si>
  <si>
    <t>BIT11037925</t>
  </si>
  <si>
    <t>260194612</t>
  </si>
  <si>
    <t>NOMBRE RETIRA: RICA AVENTURA . . RUT RETIRA: 65151081-3</t>
  </si>
  <si>
    <t>Cristian Rivera diaz</t>
  </si>
  <si>
    <t>Benito ocampos  11730, C43</t>
  </si>
  <si>
    <t>BIT11038167</t>
  </si>
  <si>
    <t>260303407</t>
  </si>
  <si>
    <t>NOMBRE RETIRA: MARCELO VEGA . RUT RETIRA: 15764998-1</t>
  </si>
  <si>
    <t>Marcelo Vegas Flores</t>
  </si>
  <si>
    <t>Principal s/n Campiche</t>
  </si>
  <si>
    <t>BIT11037612</t>
  </si>
  <si>
    <t>259841656</t>
  </si>
  <si>
    <t>NOMBRE RETIRA: GEORGINA GONZALEZ . RUT RETIRA: 9432137-9</t>
  </si>
  <si>
    <t>Giovanni Angel Gonzalez</t>
  </si>
  <si>
    <t>Avenida Grau 1307. poblacion Manuel Rodriguez.</t>
  </si>
  <si>
    <t>2025-12-14 21:01</t>
  </si>
  <si>
    <t>BIT11038096</t>
  </si>
  <si>
    <t>260303766</t>
  </si>
  <si>
    <t>NOMBRE RETIRA: JORGE GONZALEZ . . RUT RETIRA: 9415392-1</t>
  </si>
  <si>
    <t>Jorge González Pérez</t>
  </si>
  <si>
    <t>Av Independencia 1615</t>
  </si>
  <si>
    <t>BIT11038026</t>
  </si>
  <si>
    <t>260194325</t>
  </si>
  <si>
    <t>NOMBRE RETIRA: VERONICA SALDIVIA . RUT RETIRA: 18546817-8</t>
  </si>
  <si>
    <t>Veronica Saldivia Alvarado</t>
  </si>
  <si>
    <t>Calle Las Rosas, 270, casa 30 condominio Los encinos</t>
  </si>
  <si>
    <t>BIT11037972</t>
  </si>
  <si>
    <t>260194507</t>
  </si>
  <si>
    <t>NOMBRE RETIRA: RPDOLFO PUELLEA . RUT RETIRA: 10141063-3</t>
  </si>
  <si>
    <t>Rodolfo Puelles Alegria</t>
  </si>
  <si>
    <t>Los choapinos, Población Salvador Allende, Pasaje Victor Jara #26, comuna Rengo, casa esquina color blanca con reja negra, costado plaza</t>
  </si>
  <si>
    <t>BIT11038102</t>
  </si>
  <si>
    <t>260303706</t>
  </si>
  <si>
    <t>NOMBRE RETIRA: KATERIN CARDENAS . RUT RETIRA: 13603526-6</t>
  </si>
  <si>
    <t>Katherine Emperatriz Cardenas Muñoz</t>
  </si>
  <si>
    <t>Maratón 522, Villa san Vicente</t>
  </si>
  <si>
    <t>BIT11037837</t>
  </si>
  <si>
    <t>260087880</t>
  </si>
  <si>
    <t>NOMBRE RETIRA: IGNACIO GONZALEZ . RUT RETIRA: 22915092-8</t>
  </si>
  <si>
    <t>Maria carolina Aguirre escudero</t>
  </si>
  <si>
    <t>La Vendimia 434, La Vendimia 434, La Vendimia 434, 434</t>
  </si>
  <si>
    <t>BIT11038005</t>
  </si>
  <si>
    <t>260194389</t>
  </si>
  <si>
    <t>BIT11037975</t>
  </si>
  <si>
    <t>260194454</t>
  </si>
  <si>
    <t>NOMBRE RETIRA: HECTOR VELOAO . RUT RETIRA: 26076095-5</t>
  </si>
  <si>
    <t>Héctor Veloso</t>
  </si>
  <si>
    <t>avenida pacifico 3160, 402B</t>
  </si>
  <si>
    <t>BIT11037967</t>
  </si>
  <si>
    <t>260194493</t>
  </si>
  <si>
    <t>NOMBRE RETIRA: AMANDA CANALES . RUT RETIRA: 19814689-7</t>
  </si>
  <si>
    <t>Lilian Lagos</t>
  </si>
  <si>
    <t>Punta del Este 02260</t>
  </si>
  <si>
    <t>BIT11037958</t>
  </si>
  <si>
    <t>260194527</t>
  </si>
  <si>
    <t>NOMBRE RETIRA: PABLO ARAYA . RUT RETIRA: 8447649-8</t>
  </si>
  <si>
    <t>SEBASTIAN ARAYA PIÑA</t>
  </si>
  <si>
    <t>AVENIDA CENTRAL 624, CASA</t>
  </si>
  <si>
    <t>BIT11037948</t>
  </si>
  <si>
    <t>260194567</t>
  </si>
  <si>
    <t>NOMBRE RETIRA: JUAN DIAZ D RUT RETIRA: 56049520-K</t>
  </si>
  <si>
    <t>BIT11037998</t>
  </si>
  <si>
    <t>260194420</t>
  </si>
  <si>
    <t>NOMBRE RETIRA: MACARENA TRONCOSO . RUT RETIRA: 13508031-4</t>
  </si>
  <si>
    <t>Macarena Troncoso</t>
  </si>
  <si>
    <t>Cam. a Penco 450</t>
  </si>
  <si>
    <t>BIT11036882</t>
  </si>
  <si>
    <t>259205758</t>
  </si>
  <si>
    <t>NOMBRE RETIRA: FABIOLA ITURRA . RUT RETIRA: 18090108-6</t>
  </si>
  <si>
    <t>Germán Andrés Fuentealba Arriagada</t>
  </si>
  <si>
    <t>Ejército 40, Casa 1</t>
  </si>
  <si>
    <t>2025-12-06 09:59</t>
  </si>
  <si>
    <t>BIT11038015</t>
  </si>
  <si>
    <t>260194367</t>
  </si>
  <si>
    <t>NOMBRE RETIRA: TANIA PARADA ... RUT RETIRA: 8200602-8</t>
  </si>
  <si>
    <t>Elias alfonso Godoy  parada</t>
  </si>
  <si>
    <t>Avenida fundadores 980 curauma, Casa</t>
  </si>
  <si>
    <t>BIT11037929</t>
  </si>
  <si>
    <t>260194639</t>
  </si>
  <si>
    <t>NOMBRE RETIRA: LINA GONZALEZ B RUT RETIRA: 8021707-2</t>
  </si>
  <si>
    <t>Lina González Winkler</t>
  </si>
  <si>
    <t>Rancagua 248</t>
  </si>
  <si>
    <t>BIT11037798</t>
  </si>
  <si>
    <t>260088057</t>
  </si>
  <si>
    <t>NOMBRE RETIRA: LUIS QUINTANA A RUT RETIRA: 15015185-6</t>
  </si>
  <si>
    <t>Luis Quintana</t>
  </si>
  <si>
    <t>Bayo 745, Villa Caspana</t>
  </si>
  <si>
    <t>BIT11037881</t>
  </si>
  <si>
    <t>260087704</t>
  </si>
  <si>
    <t>NOMBRE RETIRA: LUIS CORTES CORTES RUT RETIRA: 9811812-8</t>
  </si>
  <si>
    <t>Luis Zamora Alvarez</t>
  </si>
  <si>
    <t>Colipi 260</t>
  </si>
  <si>
    <t>BIT11037815</t>
  </si>
  <si>
    <t>260088026</t>
  </si>
  <si>
    <t>NOMBRE RETIRA: ABEL FERNANDEZ P RUT RETIRA: 16249132-6</t>
  </si>
  <si>
    <t>Abel Fernandez pifano</t>
  </si>
  <si>
    <t>Ines de suarez 453, Casa 453</t>
  </si>
  <si>
    <t>BIT11037935</t>
  </si>
  <si>
    <t>260194609</t>
  </si>
  <si>
    <t>NOMBRE RETIRA: PATRICIO NAVARRETE . RUT RETIRA: 19136034-6</t>
  </si>
  <si>
    <t>Patricio Navarrete contreras</t>
  </si>
  <si>
    <t>Avenida Bosque Mar 632</t>
  </si>
  <si>
    <t>BIT11037934</t>
  </si>
  <si>
    <t>260194597</t>
  </si>
  <si>
    <t>NOMBRE RETIRA: SANDRA OLIVAREZ . RUT RETIRA: 12345678-5</t>
  </si>
  <si>
    <t>Manuel Contrera</t>
  </si>
  <si>
    <t>Caiti 2772, Casa</t>
  </si>
  <si>
    <t>BIT11037658</t>
  </si>
  <si>
    <t>259841629</t>
  </si>
  <si>
    <t>NOMBRE RETIRA: LEONARDO LILLO . RUT RETIRA: 17222932-8</t>
  </si>
  <si>
    <t>LEONARDO LILLO</t>
  </si>
  <si>
    <t>Pasaje 3 los almendros, 2645</t>
  </si>
  <si>
    <t>BIT11037733</t>
  </si>
  <si>
    <t>259989166</t>
  </si>
  <si>
    <t>NOMBRE RETIRA: ESTER AVALO . RUT RETIRA: 6127743-9</t>
  </si>
  <si>
    <t>Paolo Berrios</t>
  </si>
  <si>
    <t>La Portada 2225</t>
  </si>
  <si>
    <t>BIT11038012</t>
  </si>
  <si>
    <t>260194372</t>
  </si>
  <si>
    <t>NOMBRE RETIRA: ANTONIETA VALDIVIA VALDOVIA RUT RETIRA: 21688617-8</t>
  </si>
  <si>
    <t>Antonieta Valdivia Jones</t>
  </si>
  <si>
    <t>Condom Los Nogales, Escriva De Balaguer 625, Casa 40</t>
  </si>
  <si>
    <t>BIT11037703</t>
  </si>
  <si>
    <t>259989336</t>
  </si>
  <si>
    <t>NOMBRE RETIRA: PAMELA GOMEZ . RUT RETIRA: 4415996-1</t>
  </si>
  <si>
    <t>Pamela Gómez Valdés</t>
  </si>
  <si>
    <t>La concepcion 1746, Casa, esquina</t>
  </si>
  <si>
    <t>BIT11037877</t>
  </si>
  <si>
    <t>260087739</t>
  </si>
  <si>
    <t>NOMBRE RETIRA: MARCELA PONCE PONCE RUT RETIRA: 10546275-1</t>
  </si>
  <si>
    <t>MARCELA PONCE JAMETT</t>
  </si>
  <si>
    <t>LA HIGUERA CALLE TOBIAS CABRERA 23, CASA</t>
  </si>
  <si>
    <t>BIT11037943</t>
  </si>
  <si>
    <t>260194598</t>
  </si>
  <si>
    <t>NOMBRE RETIRA: MARGOT RODRIGUEZ RODRIGUEZ RUT RETIRA: 15252844-2</t>
  </si>
  <si>
    <t>Matias Lara</t>
  </si>
  <si>
    <t>Chuquicamata 123 brisas de machali, 123</t>
  </si>
  <si>
    <t>BIT11037887</t>
  </si>
  <si>
    <t>260087653</t>
  </si>
  <si>
    <t>NOMBRE RETIRA: JOSE RUIZ ROSAS RUT RETIRA: 20292404-2</t>
  </si>
  <si>
    <t>Patricio Contreras Ruiz</t>
  </si>
  <si>
    <t>Av. Hamburgo, Lomas De Coihuin, Parcela 105, Casa</t>
  </si>
  <si>
    <t>BIT11037552</t>
  </si>
  <si>
    <t>259841758</t>
  </si>
  <si>
    <t>NOMBRE RETIRA: MIRIAM JIMENEZ . RUT RETIRA: 5724795-9</t>
  </si>
  <si>
    <t>Miriam Benavides Jiménez</t>
  </si>
  <si>
    <t>Magallanes 1623, Pob. Magisterio</t>
  </si>
  <si>
    <t>BIT11037777</t>
  </si>
  <si>
    <t>260088170</t>
  </si>
  <si>
    <t>NOMBRE RETIRA: ANDREA MIRANDA . RUT RETIRA: 21613923-2</t>
  </si>
  <si>
    <t>Andrea Miranda</t>
  </si>
  <si>
    <t>Avenida los huilliches 2589, parque fundadores, Casa</t>
  </si>
  <si>
    <t>BIT11038020</t>
  </si>
  <si>
    <t>260194351</t>
  </si>
  <si>
    <t>NOMBRE RETIRA: MAGDALENA VALDES N RUT RETIRA: 16540000-3</t>
  </si>
  <si>
    <t>Magdalena Valdz Durán</t>
  </si>
  <si>
    <t>Pasaje Las Lengas #2000, Portal Araucaria</t>
  </si>
  <si>
    <t>BIT11037996</t>
  </si>
  <si>
    <t>260194415</t>
  </si>
  <si>
    <t>NOMBRE RETIRA: NIRNA GUTIERRES . RUT RETIRA: 14398357-9</t>
  </si>
  <si>
    <t>3 oriente 1645, 608</t>
  </si>
  <si>
    <t>BIT11037909</t>
  </si>
  <si>
    <t>260194655</t>
  </si>
  <si>
    <t>NOMBRE RETIRA: DANIELA OSSES . RUT RETIRA: 17768578-K</t>
  </si>
  <si>
    <t>daniela osses barra</t>
  </si>
  <si>
    <t>Andrés bello 836</t>
  </si>
  <si>
    <t>BIT11038001</t>
  </si>
  <si>
    <t>260194399</t>
  </si>
  <si>
    <t>NOMBRE RETIRA: ALLISON AVILES . RUT RETIRA: 53337172-8</t>
  </si>
  <si>
    <t>Allison Avilés</t>
  </si>
  <si>
    <t>Huechuraba 02146 villa los arquitectos sector los naranjos</t>
  </si>
  <si>
    <t>BIT11037678</t>
  </si>
  <si>
    <t>259989699</t>
  </si>
  <si>
    <t>NOMBRE RETIRA: MARIELA SAN MARTIN X RUT RETIRA: 16360679-8</t>
  </si>
  <si>
    <t>Mariela San Martin Manns</t>
  </si>
  <si>
    <t>Geronimo de alderete 800, local Embapck</t>
  </si>
  <si>
    <t>BIT11037994</t>
  </si>
  <si>
    <t>260194458</t>
  </si>
  <si>
    <t>NOMBRE RETIRA: ANDREA ESCOBAR . RUT RETIRA: 6532250-1</t>
  </si>
  <si>
    <t>Andrea Escobar Illanes</t>
  </si>
  <si>
    <t>Garay alto 790, Lomas de doña Adela</t>
  </si>
  <si>
    <t>BIT11037763</t>
  </si>
  <si>
    <t>259988974</t>
  </si>
  <si>
    <t>NOMBRE RETIRA: ROSA GOMEZ . RUT RETIRA: 7580734-1</t>
  </si>
  <si>
    <t>Nicole Araya araya</t>
  </si>
  <si>
    <t>Lima 360, Depto 70</t>
  </si>
  <si>
    <t>BIT11037907</t>
  </si>
  <si>
    <t>260194699</t>
  </si>
  <si>
    <t>NOMBRE RETIRA: JIMENA JIMENEZ JIMENEZ RUT RETIRA: 10996153-1</t>
  </si>
  <si>
    <t>Jimena Jiménez</t>
  </si>
  <si>
    <t>Calle 1 número 198 departamento 203 torre F nueva aurora de chile, Departamento</t>
  </si>
  <si>
    <t>BIT11037886</t>
  </si>
  <si>
    <t>260087683</t>
  </si>
  <si>
    <t>NOMBRE RETIRA: CAROLINA CERDA . RUT RETIRA: 16332773-2</t>
  </si>
  <si>
    <t>Carolina Cerda</t>
  </si>
  <si>
    <t>Angamos 1190</t>
  </si>
  <si>
    <t>BIT11037655</t>
  </si>
  <si>
    <t>259841644</t>
  </si>
  <si>
    <t>NOMBRE RETIRA: ULISES MITODIO . RUT RETIRA: 5576243-0</t>
  </si>
  <si>
    <t>Camila Villagran</t>
  </si>
  <si>
    <t>Cerro Moreno 10550, Casa 95</t>
  </si>
  <si>
    <t>BIT11037694</t>
  </si>
  <si>
    <t>259989433</t>
  </si>
  <si>
    <t>NOMBRE RETIRA: GILDA CASTILLO 0 RUT RETIRA: 12345678-5</t>
  </si>
  <si>
    <t>Gilda Castillo Sepulveda</t>
  </si>
  <si>
    <t>Huellelhue 1340</t>
  </si>
  <si>
    <t>BIT11037448</t>
  </si>
  <si>
    <t>259759564</t>
  </si>
  <si>
    <t>NOMBRE RETIRA: SEBASTIAN SANGUEZA . RUT RETIRA: 15683842-K</t>
  </si>
  <si>
    <t>Sebastian Andres Sanhueza Zaninovic</t>
  </si>
  <si>
    <t>Av Rancagua 3416, Jardin Emita</t>
  </si>
  <si>
    <t>2025-12-12 20:00</t>
  </si>
  <si>
    <t>BIT11037443</t>
  </si>
  <si>
    <t>259759529</t>
  </si>
  <si>
    <t>NOMBRE RETIRA: MARIO GUERRERO J RUT RETIRA: 15980869-6</t>
  </si>
  <si>
    <t>Mario Guerrero</t>
  </si>
  <si>
    <t>Loicas 1956, Casa</t>
  </si>
  <si>
    <t>BIT11037809</t>
  </si>
  <si>
    <t>260088004</t>
  </si>
  <si>
    <t>NOMBRE RETIRA: CESAR ALVAREZ ALVAREZ RUT RETIRA: 12347301-9</t>
  </si>
  <si>
    <t>Cesar Alvarez Alvarez</t>
  </si>
  <si>
    <t>Alcalde Alfredo Moreno 559</t>
  </si>
  <si>
    <t>BIT11037861</t>
  </si>
  <si>
    <t>260087818</t>
  </si>
  <si>
    <t>NOMBRE RETIRA: MARIA SEPULVEDA . RUT RETIRA: 14041198-1</t>
  </si>
  <si>
    <t>Sebastian Villalobos</t>
  </si>
  <si>
    <t>Isla Acuy 4026</t>
  </si>
  <si>
    <t>BIT11037879</t>
  </si>
  <si>
    <t>260087707</t>
  </si>
  <si>
    <t>NOMBRE RETIRA: FABIO DOMENICONE B RUT RETIRA: 10429652-1</t>
  </si>
  <si>
    <t>Maria jose Bustos</t>
  </si>
  <si>
    <t>Avenida República 1225, Entregar en supermercado italia horario  9-14 y 16-20:30 hrs</t>
  </si>
  <si>
    <t>BIT11037790</t>
  </si>
  <si>
    <t>260088096</t>
  </si>
  <si>
    <t>NOMBRE RETIRA: CARLOS MONTIEL . RUT RETIRA: 53300553-5</t>
  </si>
  <si>
    <t>Raquel Harris</t>
  </si>
  <si>
    <t>Avenida Borde Laguna 34, Casa 34 curauma, Casa 34</t>
  </si>
  <si>
    <t>BIT11037677</t>
  </si>
  <si>
    <t>259989735</t>
  </si>
  <si>
    <t>NOMBRE RETIRA: GLENDA MERINO . RUT RETIRA: 12747801-5</t>
  </si>
  <si>
    <t>Glenda merino</t>
  </si>
  <si>
    <t>Puerta de Mérida 02156</t>
  </si>
  <si>
    <t>BIT11037692</t>
  </si>
  <si>
    <t>259989484</t>
  </si>
  <si>
    <t>NOMBRE RETIRA: MATIAS HIDALGO . RUT RETIRA: 21791941-K</t>
  </si>
  <si>
    <t>Hernán Garcia</t>
  </si>
  <si>
    <t>Av arturo prat 3120, Dep 102</t>
  </si>
  <si>
    <t>BIT11037888</t>
  </si>
  <si>
    <t>260087658</t>
  </si>
  <si>
    <t>NOMBRE RETIRA: LILIANA LINARES J RUT RETIRA: 26590134-4</t>
  </si>
  <si>
    <t>Liliana Linares</t>
  </si>
  <si>
    <t>Gilberto pellegrini 1120, 1120</t>
  </si>
  <si>
    <t>BIT11037457</t>
  </si>
  <si>
    <t>259759522</t>
  </si>
  <si>
    <t>NOMBRE RETIRA: ALEJANDRO PONCE . RUT RETIRA: 53313896-9</t>
  </si>
  <si>
    <t>Carla Baeza Navarro</t>
  </si>
  <si>
    <t>Subida Torpederas 40, Depto 805, Edificio Playa Paraiso 1</t>
  </si>
  <si>
    <t>BIT11037883</t>
  </si>
  <si>
    <t>260087697</t>
  </si>
  <si>
    <t>NOMBRE RETIRA: SOLEDAD N N RUT RETIRA: 10633722-5</t>
  </si>
  <si>
    <t>soledad jimenez oyarzun</t>
  </si>
  <si>
    <t>baquedano 561</t>
  </si>
  <si>
    <t>BIT11037722</t>
  </si>
  <si>
    <t>259989233</t>
  </si>
  <si>
    <t>NOMBRE RETIRA: JUDITH CORTEZ 0 RUT RETIRA: 12345678-5</t>
  </si>
  <si>
    <t>Judith Cortes</t>
  </si>
  <si>
    <t>Jardines Del Sur, Travesia Del Cerro 03064</t>
  </si>
  <si>
    <t>BIT11037872</t>
  </si>
  <si>
    <t>260087783</t>
  </si>
  <si>
    <t>NOMBRE RETIRA: MARISA GRAU . RUT RETIRA: 14579306-8</t>
  </si>
  <si>
    <t>Marisa Grau</t>
  </si>
  <si>
    <t>Casa, San Pablo # 350</t>
  </si>
  <si>
    <t>BIT11037787</t>
  </si>
  <si>
    <t>260088123</t>
  </si>
  <si>
    <t>NOMBRE RETIRA: CARLA NUNEZ A RUT RETIRA: 7510277-1</t>
  </si>
  <si>
    <t>Carla Nuñez Paredes</t>
  </si>
  <si>
    <t>Los Maitenes 621, Quilpue, 621</t>
  </si>
  <si>
    <t>BIT11037801</t>
  </si>
  <si>
    <t>260088014</t>
  </si>
  <si>
    <t>NOMBRE RETIRA: PATRICIA ALBORNOZ . RUT RETIRA: 19198720-9</t>
  </si>
  <si>
    <t>Enrique Solano teran</t>
  </si>
  <si>
    <t>Torre A, Camino Botrolhue 02483, Depto 608</t>
  </si>
  <si>
    <t>BIT11036977</t>
  </si>
  <si>
    <t>259314348</t>
  </si>
  <si>
    <t>NOMBRE RETIRA: IVONE GUERRERO ALMONACID RUT RETIRA: 15305192-5</t>
  </si>
  <si>
    <t>Luis Segundo Bascuñan Sanchez</t>
  </si>
  <si>
    <t>cañete 411 Coyhaique</t>
  </si>
  <si>
    <t>BIT11037821</t>
  </si>
  <si>
    <t>260087950</t>
  </si>
  <si>
    <t>NOMBRE RETIRA: JAVIERA PUCHSER J RUT RETIRA: 18194820-5</t>
  </si>
  <si>
    <t>Belén Orellana orellana</t>
  </si>
  <si>
    <t>Ricardo anwanther 2960, 2960</t>
  </si>
  <si>
    <t>BIT11037783</t>
  </si>
  <si>
    <t>260088126</t>
  </si>
  <si>
    <t>NOMBRE RETIRA: VICTOR RODRIGUEZ Y Y RUT RETIRA: 7210184-7</t>
  </si>
  <si>
    <t>Gerardo Panes Mosso</t>
  </si>
  <si>
    <t>Orompello 87, Departamento 112</t>
  </si>
  <si>
    <t>BIT11037897</t>
  </si>
  <si>
    <t>260087612</t>
  </si>
  <si>
    <t>NOMBRE RETIRA: TERESA ARIAS . RUT RETIRA: 7331461-5</t>
  </si>
  <si>
    <t>Caterina Celle</t>
  </si>
  <si>
    <t>Agua Santa 379, Casa costado gruta lourdes</t>
  </si>
  <si>
    <t>BIT11037782</t>
  </si>
  <si>
    <t>260088150</t>
  </si>
  <si>
    <t>NOMBRE RETIRA: YASNA QUEZADA . RUT RETIRA: 18388576-6</t>
  </si>
  <si>
    <t>Esteban Gutierrez</t>
  </si>
  <si>
    <t>Cosme Churruca 150, 10</t>
  </si>
  <si>
    <t>BIT11037547</t>
  </si>
  <si>
    <t>259841723</t>
  </si>
  <si>
    <t>NOMBRE RETIRA: ANGENICA GARRIDO . RUT RETIRA: 19089657-9</t>
  </si>
  <si>
    <t>Eduardo Martinez Dinamarca</t>
  </si>
  <si>
    <t>Manuel Montt 1432, Casa N°1432</t>
  </si>
  <si>
    <t>BIT11037871</t>
  </si>
  <si>
    <t>260087791</t>
  </si>
  <si>
    <t>NOMBRE RETIRA: RUTH CARO . RUT RETIRA: 20486743-7</t>
  </si>
  <si>
    <t>Ruth Caro</t>
  </si>
  <si>
    <t>Carlos Leon 797</t>
  </si>
  <si>
    <t>BIT11037527</t>
  </si>
  <si>
    <t>259772220</t>
  </si>
  <si>
    <t>NOMBRE RETIRA: GUIDO MOSCOSO J RUT RETIRA: 5509647-3</t>
  </si>
  <si>
    <t>Paola Lastra</t>
  </si>
  <si>
    <t>Rosa lillo, 2334</t>
  </si>
  <si>
    <t>2025-12-13 11:11</t>
  </si>
  <si>
    <t>BIT11037858</t>
  </si>
  <si>
    <t>260087828</t>
  </si>
  <si>
    <t>NOMBRE RETIRA: ANA FUENZALIDA RODRIGUEZ RUT RETIRA: 15102712-1</t>
  </si>
  <si>
    <t>ana maria faundez pino</t>
  </si>
  <si>
    <t>camino del amanecer 03550</t>
  </si>
  <si>
    <t>BIT11037433</t>
  </si>
  <si>
    <t>259759607</t>
  </si>
  <si>
    <t>NOMBRE RETIRA: FERNANDA CASTRO . RUT RETIRA: 9167664-8</t>
  </si>
  <si>
    <t>BIT11037442</t>
  </si>
  <si>
    <t>259759589</t>
  </si>
  <si>
    <t>NOMBRE RETIRA: VIRTUOSO CHANDIA CHANDIA RUT RETIRA: 15745271-1</t>
  </si>
  <si>
    <t>Virtuoso Chandía</t>
  </si>
  <si>
    <t>Cruz del molino 386, Colegio amazing grace</t>
  </si>
  <si>
    <t>BIT11037672</t>
  </si>
  <si>
    <t>259989795</t>
  </si>
  <si>
    <t>NOMBRE RETIRA: CARMEN DOMINGUEZ M RUT RETIRA: 13396185-2</t>
  </si>
  <si>
    <t>Carmen Dominguez Schlie</t>
  </si>
  <si>
    <t>Trizano 245, 203</t>
  </si>
  <si>
    <t>BIT11037832</t>
  </si>
  <si>
    <t>260087966</t>
  </si>
  <si>
    <t>NOMBRE RETIRA: ALMA ARANGUIZ . RUT RETIRA: 14272831-1</t>
  </si>
  <si>
    <t>Alma Aranguiz</t>
  </si>
  <si>
    <t>Avenida Las Terrazas 1499, Lomas san andres</t>
  </si>
  <si>
    <t>BIT11037652</t>
  </si>
  <si>
    <t>259841645</t>
  </si>
  <si>
    <t>NOMBRE RETIRA: CARMEN CANILEF . RUT RETIRA: 6090907-5</t>
  </si>
  <si>
    <t>cristian delannoy</t>
  </si>
  <si>
    <t>Calle juanita aguirre 1121</t>
  </si>
  <si>
    <t>BIT11037280</t>
  </si>
  <si>
    <t>259585836</t>
  </si>
  <si>
    <t>NOMBRE RETIRA: HERNAM CARMONAA . RUT RETIRA: 10141063-3</t>
  </si>
  <si>
    <t>Hernán Carmona Abarca</t>
  </si>
  <si>
    <t>Calle Arturo Prat 975, 975</t>
  </si>
  <si>
    <t>BIT11037710</t>
  </si>
  <si>
    <t>259989292</t>
  </si>
  <si>
    <t>NOMBRE RETIRA: JULIO YEPES . RUT RETIRA: 28048181-5</t>
  </si>
  <si>
    <t>Francisca Agurto</t>
  </si>
  <si>
    <t>Avenida Maximiliano Poblete 14601 casa 58 condominio Miñique costa Laguna</t>
  </si>
  <si>
    <t>BIT11037830</t>
  </si>
  <si>
    <t>260087937</t>
  </si>
  <si>
    <t>NOMBRE RETIRA: MARCELO DONOSO . RUT RETIRA: 9317808-4</t>
  </si>
  <si>
    <t>marcelo donoso</t>
  </si>
  <si>
    <t>1 poniente 1337</t>
  </si>
  <si>
    <t>BIT11037609</t>
  </si>
  <si>
    <t>259841678</t>
  </si>
  <si>
    <t>NOMBRE RETIRA: CARLA NEIRA . RUT RETIRA: 22322169-6</t>
  </si>
  <si>
    <t>Natalia Sepúlveda Alarcón</t>
  </si>
  <si>
    <t>Mac Iver 21, Casa</t>
  </si>
  <si>
    <t>BIT11037680</t>
  </si>
  <si>
    <t>259989683</t>
  </si>
  <si>
    <t>NOMBRE RETIRA: EDUARDO FIGUEROA L RUT RETIRA: 28602059-3</t>
  </si>
  <si>
    <t>Eduardo Figueroa Vargas</t>
  </si>
  <si>
    <t>Minero Clavería 3242, Casa</t>
  </si>
  <si>
    <t>BIT11037810</t>
  </si>
  <si>
    <t>260088040</t>
  </si>
  <si>
    <t>NOMBRE RETIRA: CECILIA , , RUT RETIRA: 53310370-7</t>
  </si>
  <si>
    <t>Cecilia Henríquez</t>
  </si>
  <si>
    <t>Temuco, Pasaje El Acantilado Poniente 841</t>
  </si>
  <si>
    <t>BIT11037836</t>
  </si>
  <si>
    <t>260087907</t>
  </si>
  <si>
    <t>NOMBRE RETIRA: DAMARIS MAIA .. RUT RETIRA: 25556563-K</t>
  </si>
  <si>
    <t>Damaris Maia</t>
  </si>
  <si>
    <t>Rengo 156</t>
  </si>
  <si>
    <t>BIT11037884</t>
  </si>
  <si>
    <t>260087690</t>
  </si>
  <si>
    <t>NOMBRE RETIRA: JAVIER ESCAKERA . RUT RETIRA: 19647255-K</t>
  </si>
  <si>
    <t>Andres Escalera</t>
  </si>
  <si>
    <t>Avenida Alberto Arenas Carvajal 4074</t>
  </si>
  <si>
    <t>BIT11037875</t>
  </si>
  <si>
    <t>260087762</t>
  </si>
  <si>
    <t>NOMBRE RETIRA: CATHERINE GONZALEZ . RUT RETIRA: 65085279-6</t>
  </si>
  <si>
    <t>Jose tomas urmeneta 1105, 653</t>
  </si>
  <si>
    <t>BIT11037779</t>
  </si>
  <si>
    <t>260088133</t>
  </si>
  <si>
    <t>NOMBRE RETIRA: GABRIEL ZULEYA ZULETA RUT RETIRA: 16493716-K</t>
  </si>
  <si>
    <t>Gabriel Zuleta</t>
  </si>
  <si>
    <t>Parque nacional huerquehue 2747, Casa</t>
  </si>
  <si>
    <t>BIT11037718</t>
  </si>
  <si>
    <t>259989324</t>
  </si>
  <si>
    <t>NOMBRE RETIRA: MIRIAM CAMPOS . RUT RETIRA: 10730239-5</t>
  </si>
  <si>
    <t>Miriam campos Campos</t>
  </si>
  <si>
    <t>BIT11037501</t>
  </si>
  <si>
    <t>259772365</t>
  </si>
  <si>
    <t>NOMBRE RETIRA: ANA BARBOSA BARBOSA RUT RETIRA: 10141654-2</t>
  </si>
  <si>
    <t>Adelinda Vergara Godoy</t>
  </si>
  <si>
    <t>Caldera, Calle Carvallo 868</t>
  </si>
  <si>
    <t>BIT11037771</t>
  </si>
  <si>
    <t>260088186</t>
  </si>
  <si>
    <t>NOMBRE RETIRA: PAULINA ESPINOZQ C RUT RETIRA: 76669508-6</t>
  </si>
  <si>
    <t>Paulina Espinoza Cabezas</t>
  </si>
  <si>
    <t>Avenida Andalien, 756</t>
  </si>
  <si>
    <t>BIT11037685</t>
  </si>
  <si>
    <t>259989598</t>
  </si>
  <si>
    <t>NOMBRE RETIRA: NATHALI PEREDO . RUT RETIRA: 12345678-5</t>
  </si>
  <si>
    <t>Edda Lasala</t>
  </si>
  <si>
    <t>Avenida Cinco 4300, Condominio La Tirana., Casa 128</t>
  </si>
  <si>
    <t>BIT11037681</t>
  </si>
  <si>
    <t>259989616</t>
  </si>
  <si>
    <t>NOMBRE RETIRA: JAVIERA SILVA M RUT RETIRA: 21990562-9</t>
  </si>
  <si>
    <t>Martinez Gomez</t>
  </si>
  <si>
    <t>Las Tepas 741</t>
  </si>
  <si>
    <t>BIT11037467</t>
  </si>
  <si>
    <t>259759486</t>
  </si>
  <si>
    <t>NOMBRE RETIRA: CRISTINA PINCHEIRA . RUT RETIRA: 8183405-9</t>
  </si>
  <si>
    <t>Rodrigo Núñez</t>
  </si>
  <si>
    <t>Cerro moreno, 10580, torre C, depto 102</t>
  </si>
  <si>
    <t>BIT11037688</t>
  </si>
  <si>
    <t>259989535</t>
  </si>
  <si>
    <t>NOMBRE RETIRA: MARIA ARAYA S RUT RETIRA: 15612072-3</t>
  </si>
  <si>
    <t>Leonidas perez 3189, Depto 204A</t>
  </si>
  <si>
    <t>BIT11037742</t>
  </si>
  <si>
    <t>259989077</t>
  </si>
  <si>
    <t>NOMBRE RETIRA: JONATHAN ESPINOSA L RUT RETIRA: 24462176-7</t>
  </si>
  <si>
    <t>Lima 360, 70</t>
  </si>
  <si>
    <t>BIT11037431</t>
  </si>
  <si>
    <t>259759608</t>
  </si>
  <si>
    <t>NOMBRE RETIRA: GERARDO RANGEL .. RUT RETIRA: 11115120-2</t>
  </si>
  <si>
    <t>Gerardo rangel</t>
  </si>
  <si>
    <t>Luis González Edwards 1231, 1231 casa de color blanco</t>
  </si>
  <si>
    <t>BIT11037606</t>
  </si>
  <si>
    <t>259841676</t>
  </si>
  <si>
    <t>NOMBRE RETIRA: SONIA BECERRA V RUT RETIRA: 12075843-8</t>
  </si>
  <si>
    <t>Leonardo Orellana</t>
  </si>
  <si>
    <t>Restaurant donde la pita. Ruta 5 km 247, Restaurant. Trabajo</t>
  </si>
  <si>
    <t>BIT11037667</t>
  </si>
  <si>
    <t>259841622</t>
  </si>
  <si>
    <t>NOMBRE RETIRA: BIANCA SALGADO HBIAMCA RUT RETIRA: 7139241-4</t>
  </si>
  <si>
    <t>Viviana Saavedra</t>
  </si>
  <si>
    <t>Mollenahuer pasaje 16, 060</t>
  </si>
  <si>
    <t>2025-12-14 21:02</t>
  </si>
  <si>
    <t>BIT11037477</t>
  </si>
  <si>
    <t>259759422</t>
  </si>
  <si>
    <t>NOMBRE RETIRA: ANDRES VILLAZON . RUT RETIRA: 13743487-3</t>
  </si>
  <si>
    <t>Andres Villazon</t>
  </si>
  <si>
    <t>Alfalfa 4137 Villa Puerta Del Inca, 4137</t>
  </si>
  <si>
    <t>2025-12-12 20:01</t>
  </si>
  <si>
    <t>BIT11036409</t>
  </si>
  <si>
    <t>258925336</t>
  </si>
  <si>
    <t>NOMBRE RETIRA: HERNAN PADILLA . RUT RETIRA: 11111111-1</t>
  </si>
  <si>
    <t>Sebastian Garrido Gajardo</t>
  </si>
  <si>
    <t>Benjamin Dibasson Biurr, 1059</t>
  </si>
  <si>
    <t>2025-12-01 19:11</t>
  </si>
  <si>
    <t>BIT11037624</t>
  </si>
  <si>
    <t>259841672</t>
  </si>
  <si>
    <t>NOMBRE RETIRA: ARTURO DIAS . RUT RETIRA: 12345678-5</t>
  </si>
  <si>
    <t>Arturo Díaz Rivas</t>
  </si>
  <si>
    <t>pasaje río doñihue 1328, casa</t>
  </si>
  <si>
    <t>BIT11037744</t>
  </si>
  <si>
    <t>259989061</t>
  </si>
  <si>
    <t>NOMBRE RETIRA: BASTIAM EAPINOZA A RUT RETIRA: 53324685-0</t>
  </si>
  <si>
    <t>Orietq Cruz</t>
  </si>
  <si>
    <t>Edmundo Eluchans 2705 depto 42, Edificio playa mar II</t>
  </si>
  <si>
    <t>BIT11037633</t>
  </si>
  <si>
    <t>259841654</t>
  </si>
  <si>
    <t>NOMBRE RETIRA: JULIO BLANCO . RUT RETIRA: 10829693-3</t>
  </si>
  <si>
    <t>Beatriz Zuleta</t>
  </si>
  <si>
    <t>Pedro Gamboni 2147, 2004 Edificio Plaza Campanario 1</t>
  </si>
  <si>
    <t>BIT11037651</t>
  </si>
  <si>
    <t>259841633</t>
  </si>
  <si>
    <t>NOMBRE RETIRA: RICARDO MUNOZ . RUT RETIRA: 13056733-9</t>
  </si>
  <si>
    <t>Ricardo Muñoz alcarrruz</t>
  </si>
  <si>
    <t>Villa brisas del valle, Paje venecianas 1105</t>
  </si>
  <si>
    <t>BIT11037670</t>
  </si>
  <si>
    <t>259841620</t>
  </si>
  <si>
    <t>NOMBRE RETIRA: NARISOL SALAZAR CONSERJE RUT RETIRA: 12481147-3</t>
  </si>
  <si>
    <t>Jocelyn Maluenda</t>
  </si>
  <si>
    <t>Recoleta 770, 902</t>
  </si>
  <si>
    <t>BIT11037646</t>
  </si>
  <si>
    <t>259841636</t>
  </si>
  <si>
    <t>NOMBRE RETIRA: AMERICO , , , RUT RETIRA: 53310370-7</t>
  </si>
  <si>
    <t>Paola Rios Rios</t>
  </si>
  <si>
    <t>Martín lutero 02806 mirador de la frontera, Casa 14</t>
  </si>
  <si>
    <t>BIT11037647</t>
  </si>
  <si>
    <t>259841634</t>
  </si>
  <si>
    <t>NOMBRE RETIRA: ANDRES DONOSO H RUT RETIRA: 56077480-K</t>
  </si>
  <si>
    <t>cintia canto</t>
  </si>
  <si>
    <t>RODRIGUEZ 99, 1104</t>
  </si>
  <si>
    <t>BIT11037566</t>
  </si>
  <si>
    <t>259841752</t>
  </si>
  <si>
    <t>NOMBRE RETIRA: ELVA ORTIZ .. RUT RETIRA: 6212786-4</t>
  </si>
  <si>
    <t>Rodolfo Ramirez</t>
  </si>
  <si>
    <t>Pasaje uno casa 17, Casa 17</t>
  </si>
  <si>
    <t>BIT11037643</t>
  </si>
  <si>
    <t>259841647</t>
  </si>
  <si>
    <t>NOMBRE RETIRA: BERNABE GUERRA . RUT RETIRA: 12345678-5</t>
  </si>
  <si>
    <t>Bernabe Guerra Cerda</t>
  </si>
  <si>
    <t>Calle las barrancas, Nro 2801 Los Pinos</t>
  </si>
  <si>
    <t>BIT11037708</t>
  </si>
  <si>
    <t>259989281</t>
  </si>
  <si>
    <t>NOMBRE RETIRA: ALMA VERGUES . RUT RETIRA: 17971129-K</t>
  </si>
  <si>
    <t>Evelyn Aguirre Olivares</t>
  </si>
  <si>
    <t>Guillermo Echeverría, 212</t>
  </si>
  <si>
    <t>BIT11037661</t>
  </si>
  <si>
    <t>259841625</t>
  </si>
  <si>
    <t>NOMBRE RETIRA: PATRICIO GONZALEZ .. RUT RETIRA: 53332519-K</t>
  </si>
  <si>
    <t>Matias ignacio Retamal meza</t>
  </si>
  <si>
    <t>Uno y medio norte A #4711, Depto 7C</t>
  </si>
  <si>
    <t>BIT11037682</t>
  </si>
  <si>
    <t>259989583</t>
  </si>
  <si>
    <t>NOMBRE RETIRA: CONSTAB YUCRA H RUT RETIRA: 6186678-7</t>
  </si>
  <si>
    <t>Bayona 2410, Casa 25</t>
  </si>
  <si>
    <t>BIT11037544</t>
  </si>
  <si>
    <t>259841764</t>
  </si>
  <si>
    <t>NOMBRE RETIRA: FRANCESCO INZUNZA A RUT RETIRA: 21290455-4</t>
  </si>
  <si>
    <t>Claudio Farias</t>
  </si>
  <si>
    <t>Del Canelo 302 oficina 3 Llolleo</t>
  </si>
  <si>
    <t>BIT11037459</t>
  </si>
  <si>
    <t>259759539</t>
  </si>
  <si>
    <t>NOMBRE RETIRA: ROSA Z , RUT RETIRA: 53310370-7</t>
  </si>
  <si>
    <t>Matilde Lassalle</t>
  </si>
  <si>
    <t>Los Pablos 2144, depto 602</t>
  </si>
  <si>
    <t>BIT11037749</t>
  </si>
  <si>
    <t>259989019</t>
  </si>
  <si>
    <t>NOMBRE RETIRA: GONZALO RECEPCION . RUT RETIRA: 53318781-1</t>
  </si>
  <si>
    <t>Lorena Olguin aninat</t>
  </si>
  <si>
    <t>4 norte 1015, Depto 105 edificio plaza rioja</t>
  </si>
  <si>
    <t>BIT11037713</t>
  </si>
  <si>
    <t>259989240</t>
  </si>
  <si>
    <t>Maria Esperanza Plaza</t>
  </si>
  <si>
    <t>40 oriente 1935, Condominio alto rucahue 2</t>
  </si>
  <si>
    <t>BIT11037599</t>
  </si>
  <si>
    <t>259841677</t>
  </si>
  <si>
    <t>NOMBRE RETIRA: SUSANA DELGADO DELGADO RUT RETIRA: 21852775-2</t>
  </si>
  <si>
    <t>Susana Delgado Delson</t>
  </si>
  <si>
    <t>Decher 638, Depto E204</t>
  </si>
  <si>
    <t>BIT11037495</t>
  </si>
  <si>
    <t>259772419</t>
  </si>
  <si>
    <t>NOMBRE RETIRA: JAIME , , RUT RETIRA: 53310370-7</t>
  </si>
  <si>
    <t>Jaime Saldivia</t>
  </si>
  <si>
    <t>Francisco de Aguirre 02809</t>
  </si>
  <si>
    <t>BIT11037516</t>
  </si>
  <si>
    <t>259772281</t>
  </si>
  <si>
    <t>NOMBRE RETIRA: MATIAS OJEDA .. RUT RETIRA: 16814037-1</t>
  </si>
  <si>
    <t>Matías Ojeda Araya</t>
  </si>
  <si>
    <t>Pasaje Las Madreselvas 1437</t>
  </si>
  <si>
    <t>BIT11037702</t>
  </si>
  <si>
    <t>259989366</t>
  </si>
  <si>
    <t>NOMBRE RETIRA: RUTH ARRIAGADA . RUT RETIRA: 76669508-6</t>
  </si>
  <si>
    <t>Carmen Gloria Arriagada Soto</t>
  </si>
  <si>
    <t>Leoncio Gallegos 1189 Población Coinac, Casa</t>
  </si>
  <si>
    <t>BIT11037468</t>
  </si>
  <si>
    <t>259759408</t>
  </si>
  <si>
    <t>NOMBRE RETIRA: IGOR PAULOS B RUT RETIRA: 9655309-9</t>
  </si>
  <si>
    <t>Igor Paulos  De La Fuente</t>
  </si>
  <si>
    <t>Los Lingues parcela 5-A 2 sector el recreo</t>
  </si>
  <si>
    <t>BIT11037729</t>
  </si>
  <si>
    <t>259989085</t>
  </si>
  <si>
    <t>Avenida Alberto Arenas Carvajal 2967, Casa</t>
  </si>
  <si>
    <t>BIT11037666</t>
  </si>
  <si>
    <t>259841617</t>
  </si>
  <si>
    <t>NOMBRE RETIRA: DISNELLY SALCEDO . RUT RETIRA: 56076050-7</t>
  </si>
  <si>
    <t>Astrid Kling</t>
  </si>
  <si>
    <t>Victoria 1204, Depto 404</t>
  </si>
  <si>
    <t>BIT11037496</t>
  </si>
  <si>
    <t>259772392</t>
  </si>
  <si>
    <t>NOMBRE RETIRA: ELLIOT HORMAZABAL . RUT RETIRA: 23018424-0</t>
  </si>
  <si>
    <t>Melissa Massiel Vidal Arancibia</t>
  </si>
  <si>
    <t>Casa, Fresia 2520</t>
  </si>
  <si>
    <t>BIT11037711</t>
  </si>
  <si>
    <t>259989139</t>
  </si>
  <si>
    <t>Ricardo Ramírez</t>
  </si>
  <si>
    <t>7 norte 1401, depto 2004</t>
  </si>
  <si>
    <t>BIT11037657</t>
  </si>
  <si>
    <t>259841643</t>
  </si>
  <si>
    <t>NOMBRE RETIRA: JIMENA TRONCOSO . RUT RETIRA: 13951536-6</t>
  </si>
  <si>
    <t>Jimena Troncoso Saez</t>
  </si>
  <si>
    <t>Los Claveles 173, Huertos Familiares, Casa 1</t>
  </si>
  <si>
    <t>BIT11037697</t>
  </si>
  <si>
    <t>259989406</t>
  </si>
  <si>
    <t>NOMBRE RETIRA: MARCELA CUELLO . RUT RETIRA: 12598488-6</t>
  </si>
  <si>
    <t>DANISA OGALDE</t>
  </si>
  <si>
    <t>fundo caracas parcela 28A</t>
  </si>
  <si>
    <t>BIT11037675</t>
  </si>
  <si>
    <t>259989783</t>
  </si>
  <si>
    <t>NOMBRE RETIRA: MIRIAM CONCHA . RUT RETIRA: 11380387-8</t>
  </si>
  <si>
    <t>Anita Irarrazaval</t>
  </si>
  <si>
    <t>A3, Pasaje Miramar 6200</t>
  </si>
  <si>
    <t>BIT11037170</t>
  </si>
  <si>
    <t>259486960</t>
  </si>
  <si>
    <t>NOMBRE RETIRA: CAMILO CARRASCO . RUT RETIRA: 16790667-2</t>
  </si>
  <si>
    <t>Angelo Morales Tapia</t>
  </si>
  <si>
    <t>Base Aérea Cerro Moreno</t>
  </si>
  <si>
    <t>BIT11037679</t>
  </si>
  <si>
    <t>259989723</t>
  </si>
  <si>
    <t>NOMBRE RETIRA: PAULA SILVA . RUT RETIRA: 53321047-3</t>
  </si>
  <si>
    <t>Paulina Silva</t>
  </si>
  <si>
    <t>Chancal 244, Lomas de san andres</t>
  </si>
  <si>
    <t>BIT11037463</t>
  </si>
  <si>
    <t>259759502</t>
  </si>
  <si>
    <t>NOMBRE RETIRA: SERGIO CASTILLO . RUT RETIRA: 8727709-7</t>
  </si>
  <si>
    <t>Pablo Villanueva</t>
  </si>
  <si>
    <t>Avenida cerro paranal 310, 61</t>
  </si>
  <si>
    <t>BIT11037665</t>
  </si>
  <si>
    <t>259841639</t>
  </si>
  <si>
    <t>NOMBRE RETIRA: ALEJANDRO FLORES A RUT RETIRA: 7056715-6</t>
  </si>
  <si>
    <t>constanza ROJAS UBILLA</t>
  </si>
  <si>
    <t>Riquelme 1075 depto 303 torre b</t>
  </si>
  <si>
    <t>BIT11037436</t>
  </si>
  <si>
    <t>259759603</t>
  </si>
  <si>
    <t>NOMBRE RETIRA: ARISTOBULO . . RUT RETIRA: 26309296-1</t>
  </si>
  <si>
    <t>Manuel Celis Tacussis</t>
  </si>
  <si>
    <t>Oficina Ausonia 120, 54</t>
  </si>
  <si>
    <t>BIT11037693</t>
  </si>
  <si>
    <t>259989453</t>
  </si>
  <si>
    <t>NOMBRE RETIRA: ALEXIS SANTANDER . RUT RETIRA: 53303607-4</t>
  </si>
  <si>
    <t>Erika Astrosa Aravena</t>
  </si>
  <si>
    <t>Camino del Sol 800, Condominio Montesol II, B 22</t>
  </si>
  <si>
    <t>BIT11037481</t>
  </si>
  <si>
    <t>259772444</t>
  </si>
  <si>
    <t>NOMBRE RETIRA: LILIAN AEDO . RUT RETIRA: 10753955-7</t>
  </si>
  <si>
    <t>BIT11037594</t>
  </si>
  <si>
    <t>259841681</t>
  </si>
  <si>
    <t>NOMBRE RETIRA: YAMILET CASTILLO M RUT RETIRA: 8727709-7</t>
  </si>
  <si>
    <t>Jorge Jara</t>
  </si>
  <si>
    <t>Cerro Paranal 380, Depto 238 Edificio Rapallo</t>
  </si>
  <si>
    <t>BIT11037456</t>
  </si>
  <si>
    <t>259759491</t>
  </si>
  <si>
    <t>NOMBRE RETIRA: JOHANNA SAAVEDRA X RUT RETIRA: 22256515-4</t>
  </si>
  <si>
    <t>Johanna Saavedra Marin</t>
  </si>
  <si>
    <t>Las gaviotas 365</t>
  </si>
  <si>
    <t>BIT11037556</t>
  </si>
  <si>
    <t>259841755</t>
  </si>
  <si>
    <t>NOMBRE RETIRA: CARLOS GUINEZ M RUT RETIRA: 8727709-7</t>
  </si>
  <si>
    <t>Gloria Cartagena Aravena</t>
  </si>
  <si>
    <t>Cerro paranal 515, Departamento 125 torre GEA</t>
  </si>
  <si>
    <t>BIT11037444</t>
  </si>
  <si>
    <t>259759536</t>
  </si>
  <si>
    <t>NOMBRE RETIRA: VERONICA LEMONE LEMONE RUT RETIRA: 19590509-6</t>
  </si>
  <si>
    <t>Veronica Lemoine</t>
  </si>
  <si>
    <t>Avda San Juan 2064 Machali, Casa</t>
  </si>
  <si>
    <t>BIT11037578</t>
  </si>
  <si>
    <t>259841692</t>
  </si>
  <si>
    <t>NOMBRE RETIRA: JOCELYN LOPEZ . RUT RETIRA: 15761347-2</t>
  </si>
  <si>
    <t>Raul Rojas</t>
  </si>
  <si>
    <t>Francia 1163</t>
  </si>
  <si>
    <t>BIT11037635</t>
  </si>
  <si>
    <t>259841648</t>
  </si>
  <si>
    <t>Juan Añasco Araya</t>
  </si>
  <si>
    <t>Camino a Chiu Chiu 446 sitio 30, Planta de revision tecnica</t>
  </si>
  <si>
    <t>BIT11036967</t>
  </si>
  <si>
    <t>259314379</t>
  </si>
  <si>
    <t>NOMBRE RETIRA: ROSA AGUILAR F RUT RETIRA: 12345678-5</t>
  </si>
  <si>
    <t>Rosa Aguilar Montero</t>
  </si>
  <si>
    <t>Sector 4 palomas., Sitio 14</t>
  </si>
  <si>
    <t>BIT11037246</t>
  </si>
  <si>
    <t>259586023</t>
  </si>
  <si>
    <t>NOMBRE RETIRA: ALEJANDRA PERDOMO X RUT RETIRA: 24501153-9</t>
  </si>
  <si>
    <t>Alejandra Perdomo</t>
  </si>
  <si>
    <t>Camino villarrica pucon ALTO PINAR, Parcela 10A</t>
  </si>
  <si>
    <t>2025-12-10 19:06</t>
  </si>
  <si>
    <t>BIT11037474</t>
  </si>
  <si>
    <t>259759433</t>
  </si>
  <si>
    <t>NOMBRE RETIRA: DANIELA SAN MARTIN . 2 V RUT RETIRA: 11437014-2</t>
  </si>
  <si>
    <t>Daniela Alejandra San Martín Fernández</t>
  </si>
  <si>
    <t>Pasaje Santiago de Compostela 1825, Mirador de la Bahía</t>
  </si>
  <si>
    <t>BIT11037500</t>
  </si>
  <si>
    <t>259772389</t>
  </si>
  <si>
    <t>NOMBRE RETIRA: DANIELA LAZCANO A RUT RETIRA: 9088089-6</t>
  </si>
  <si>
    <t>Daniela Lazcano</t>
  </si>
  <si>
    <t>Etchevers 729, Block B5 depto 40</t>
  </si>
  <si>
    <t>BIT11037627</t>
  </si>
  <si>
    <t>259841655</t>
  </si>
  <si>
    <t>NOMBRE RETIRA: ARMIN GONZALEZ . RUT RETIRA: 26607325-9</t>
  </si>
  <si>
    <t>Lorena Ramirez Peralta</t>
  </si>
  <si>
    <t>Calle Pintor Ernesto Molina 1476, La Serena, Casa Verde</t>
  </si>
  <si>
    <t>BIT11037571</t>
  </si>
  <si>
    <t>259841741</t>
  </si>
  <si>
    <t>NOMBRE RETIRA: CRIS HIDALGO X RUT RETIRA: 12523628-6</t>
  </si>
  <si>
    <t>Avenida, Wilhelm Schaub 60 , Depto 301</t>
  </si>
  <si>
    <t>BIT11037604</t>
  </si>
  <si>
    <t>259841679</t>
  </si>
  <si>
    <t>NOMBRE RETIRA: YERLIN MAYOR DE ROO .. RUT RETIRA: 27757778-K</t>
  </si>
  <si>
    <t>Francisca Mancilla</t>
  </si>
  <si>
    <t>Nueva oriente 4, 5013, Departamento 541 Valle Volcanes, 541</t>
  </si>
  <si>
    <t>BIT11037587</t>
  </si>
  <si>
    <t>259841683</t>
  </si>
  <si>
    <t>NOMBRE RETIRA: JORGE HADIDA . RUT RETIRA: 16543079-4</t>
  </si>
  <si>
    <t>Jorge daniel Hadida rudzajs</t>
  </si>
  <si>
    <t>Calle Del Agua 10, Puerto Montt, Chile, Casa</t>
  </si>
  <si>
    <t>BIT11037580</t>
  </si>
  <si>
    <t>259841691</t>
  </si>
  <si>
    <t>NOMBRE RETIRA: CARMEN MARAGOLI . RUT RETIRA: 6661424-7</t>
  </si>
  <si>
    <t>Adriana Olivos</t>
  </si>
  <si>
    <t>Pfister 1886 C, C</t>
  </si>
  <si>
    <t>BIT11037450</t>
  </si>
  <si>
    <t>259759560</t>
  </si>
  <si>
    <t>NOMBRE RETIRA: MARIANA LEPPE . RUT RETIRA: 18563640-2</t>
  </si>
  <si>
    <t>Mariana Lepe araneda</t>
  </si>
  <si>
    <t>Casa, Patria Nueva N 14</t>
  </si>
  <si>
    <t>BIT11037534</t>
  </si>
  <si>
    <t>259841775</t>
  </si>
  <si>
    <t>NOMBRE RETIRA: MARIA LARENAS . RUT RETIRA: 5691544-3</t>
  </si>
  <si>
    <t>Marta Larenas</t>
  </si>
  <si>
    <t>Dr. Octavio Maira 1627, Dr. Octavio Maira 1627, 1627</t>
  </si>
  <si>
    <t>BIT11037102</t>
  </si>
  <si>
    <t>259473250</t>
  </si>
  <si>
    <t>NOMBRE RETIRA: RICARDO . . RUT RETIRA: 12345678-5</t>
  </si>
  <si>
    <t>Matriz 474</t>
  </si>
  <si>
    <t>BIT11037644</t>
  </si>
  <si>
    <t>259841637</t>
  </si>
  <si>
    <t>NOMBRE RETIRA: TOMAS BIANCHI . RUT RETIRA: 18532481-8</t>
  </si>
  <si>
    <t>Jaime Gutierrez Arriagada</t>
  </si>
  <si>
    <t>Jose M Carrera 417, Recreo, Edif Campanario 3, Depto 402</t>
  </si>
  <si>
    <t>BIT11037568</t>
  </si>
  <si>
    <t>259841745</t>
  </si>
  <si>
    <t>NOMBRE RETIRA: CLAUDIA NEIRA .. RUT RETIRA: 19571418-5</t>
  </si>
  <si>
    <t>Karen Barrientos</t>
  </si>
  <si>
    <t>Aerodromo marcel marchant, Hangar 3</t>
  </si>
  <si>
    <t>BIT11037472</t>
  </si>
  <si>
    <t>259759462</t>
  </si>
  <si>
    <t>NOMBRE RETIRA: JORGE HERNANDEZ . RUT RETIRA: 19490050-3</t>
  </si>
  <si>
    <t>Alejandro Ruz Urzúa</t>
  </si>
  <si>
    <t>Pasaje Celia Castro 1572 Villa Roberto Matta Placilla</t>
  </si>
  <si>
    <t>BIT11037629</t>
  </si>
  <si>
    <t>259841669</t>
  </si>
  <si>
    <t>NOMBRE RETIRA: MARIA PAZ BUSTAMANTE RUT RETIRA: 15104845-5</t>
  </si>
  <si>
    <t>Maria Paz Bustamante</t>
  </si>
  <si>
    <t>Miguel González 1311, Villa Triana</t>
  </si>
  <si>
    <t>BIT11037558</t>
  </si>
  <si>
    <t>259841754</t>
  </si>
  <si>
    <t>Leslie Riffo</t>
  </si>
  <si>
    <t>Jardines de Andalien pasaje 3 casa 40</t>
  </si>
  <si>
    <t>BIT11037485</t>
  </si>
  <si>
    <t>259772434</t>
  </si>
  <si>
    <t>NOMBRE RETIRA: ROSARIO MORAGA A RUT RETIRA: 7739314-5</t>
  </si>
  <si>
    <t>Marjorie Donoso</t>
  </si>
  <si>
    <t>Pasaje sur 978 villa balmaceda</t>
  </si>
  <si>
    <t>BIT11037507</t>
  </si>
  <si>
    <t>259772277</t>
  </si>
  <si>
    <t>NOMBRE RETIRA: INGRID BAHAMONDES -- RUT RETIRA: 19550772-4</t>
  </si>
  <si>
    <t>Calle Andres Murillo 1693, Casa 75</t>
  </si>
  <si>
    <t>BIT11037393</t>
  </si>
  <si>
    <t>259678845</t>
  </si>
  <si>
    <t>NOMBRE RETIRA: MARIELA GONZALEZ 1 RUT RETIRA: 15415812-K</t>
  </si>
  <si>
    <t>Mariela González Alarcón</t>
  </si>
  <si>
    <t>El gran roble parcela 69 Pucón</t>
  </si>
  <si>
    <t>BIT11037543</t>
  </si>
  <si>
    <t>259841766</t>
  </si>
  <si>
    <t>NOMBRE RETIRA: FERNANDO LARA 0 RUT RETIRA: 13765905-0</t>
  </si>
  <si>
    <t>Blanca González</t>
  </si>
  <si>
    <t>24 y media norte, 4063</t>
  </si>
  <si>
    <t>BIT11037505</t>
  </si>
  <si>
    <t>259772379</t>
  </si>
  <si>
    <t>NOMBRE RETIRA: DANNY RIVEROS . RUT RETIRA: 7858640-0</t>
  </si>
  <si>
    <t>Carlos Valenzuela</t>
  </si>
  <si>
    <t>D 2 Curauma Valparaiso, Cardenal Antonio Samore 1451 D2</t>
  </si>
  <si>
    <t>BIT11037522</t>
  </si>
  <si>
    <t>259772247</t>
  </si>
  <si>
    <t>NOMBRE RETIRA: JORGE ESPINOZA . RUT RETIRA: 8762758-6</t>
  </si>
  <si>
    <t>MONICA ESPINOSA</t>
  </si>
  <si>
    <t>Coquimbo, Casa</t>
  </si>
  <si>
    <t>BIT11037610</t>
  </si>
  <si>
    <t>259841657</t>
  </si>
  <si>
    <t>NOMBRE RETIRA: CESAR PINILLA . RUT RETIRA: 20641984-9</t>
  </si>
  <si>
    <t>Sebastian Murúa</t>
  </si>
  <si>
    <t>Los arrayanes 390, condominio teja sur, 111, edificio Notro</t>
  </si>
  <si>
    <t>BIT11037570</t>
  </si>
  <si>
    <t>259841743</t>
  </si>
  <si>
    <t>NOMBRE RETIRA: ARTURO LOZANO U RUT RETIRA: 7504879-3</t>
  </si>
  <si>
    <t>arturo lozano martinez</t>
  </si>
  <si>
    <t>pasaje puig, 4</t>
  </si>
  <si>
    <t>BIT11037621</t>
  </si>
  <si>
    <t>259841673</t>
  </si>
  <si>
    <t>NOMBRE RETIRA: CAROLINA MEDINA AVALOS RUT RETIRA: 15722948-6</t>
  </si>
  <si>
    <t>Carolina de Los Ángeles Medina Ávalos</t>
  </si>
  <si>
    <t>Avenida Perez de Arce 01571 villa las mercedes, graneros, Casa esquina</t>
  </si>
  <si>
    <t>BIT11037503</t>
  </si>
  <si>
    <t>259772356</t>
  </si>
  <si>
    <t>NOMBRE RETIRA: ROSA GUERRA .. RUT RETIRA: 6416507-0</t>
  </si>
  <si>
    <t>Los Almendros 1309</t>
  </si>
  <si>
    <t>BIT11037567</t>
  </si>
  <si>
    <t>259841750</t>
  </si>
  <si>
    <t>NOMBRE RETIRA: JORGE JARA MILLAN RUT RETIRA: 7463566-0</t>
  </si>
  <si>
    <t>Jorge Jara millan</t>
  </si>
  <si>
    <t>18 norte 5 1/2 oriente C, 2886</t>
  </si>
  <si>
    <t>BIT11037382</t>
  </si>
  <si>
    <t>259678860</t>
  </si>
  <si>
    <t>NOMBRE RETIRA: SERGIO ROJAS . RUT RETIRA: 16868634-K</t>
  </si>
  <si>
    <t>sergio angel contreras</t>
  </si>
  <si>
    <t>ramon silva ulloa # 1239, casa</t>
  </si>
  <si>
    <t>BIT11037471</t>
  </si>
  <si>
    <t>259759455</t>
  </si>
  <si>
    <t>NOMBRE RETIRA: PRISCILA MOLINA . RUT RETIRA: 13625180-5</t>
  </si>
  <si>
    <t>Priscilla Molina</t>
  </si>
  <si>
    <t>Treinta De Octubre 152 Villa Nonguen, 152</t>
  </si>
  <si>
    <t>BIT11037480</t>
  </si>
  <si>
    <t>259772478</t>
  </si>
  <si>
    <t>NOMBRE RETIRA: DIEGO AROSTEGUI M RUT RETIRA: 19124878-3</t>
  </si>
  <si>
    <t>Hernán Olivares</t>
  </si>
  <si>
    <t>Calle Diaz 1046, pasaje magasich casa 6, Villa Alemana, Casa 6</t>
  </si>
  <si>
    <t>BIT11037626</t>
  </si>
  <si>
    <t>259841670</t>
  </si>
  <si>
    <t>NOMBRE RETIRA: PAMELA VICENCIO . RUT RETIRA: 17971129-K</t>
  </si>
  <si>
    <t>Camila Toro Pasten</t>
  </si>
  <si>
    <t>Los Crisantemos 2206, 407D</t>
  </si>
  <si>
    <t>BIT11037482</t>
  </si>
  <si>
    <t>259772442</t>
  </si>
  <si>
    <t>NOMBRE RETIRA: BERNARDITA BUZETA A RUT RETIRA: 6418415-6</t>
  </si>
  <si>
    <t>BIT11037577</t>
  </si>
  <si>
    <t>259841711</t>
  </si>
  <si>
    <t>NOMBRE RETIRA: ALWCIA RIQUELMW . RUT RETIRA: 15180469-1</t>
  </si>
  <si>
    <t>soledad Sáez Díaz</t>
  </si>
  <si>
    <t>los claveles 311 huertos familiares, casa 13 cond doña catalina</t>
  </si>
  <si>
    <t>BIT11037589</t>
  </si>
  <si>
    <t>259841682</t>
  </si>
  <si>
    <t>NOMBRE RETIRA: MARGARITA HUERTA 9 RUT RETIRA: 16895442-5</t>
  </si>
  <si>
    <t>Margarita Huerta</t>
  </si>
  <si>
    <t>Enrique Moya 1433,   Parque residencial los Canelos, casa</t>
  </si>
  <si>
    <t>BIT11037511</t>
  </si>
  <si>
    <t>259772333</t>
  </si>
  <si>
    <t>NOMBRE RETIRA: ALVERTO DURAN . RUT RETIRA: 13628339-1</t>
  </si>
  <si>
    <t>Avda Vicuña Mackenna 897, Casa</t>
  </si>
  <si>
    <t>BIT11037545</t>
  </si>
  <si>
    <t>259841762</t>
  </si>
  <si>
    <t>NOMBRE RETIRA: VERONICA ESCHMANN . RUT RETIRA: 17047930-0</t>
  </si>
  <si>
    <t>Verónica Eschmann Delgado</t>
  </si>
  <si>
    <t>Intendente Juan Ruiz Marín 992 villa Los fundadores, Casa</t>
  </si>
  <si>
    <t>BIT11037583</t>
  </si>
  <si>
    <t>259841700</t>
  </si>
  <si>
    <t>NOMBRE RETIRA: EVELYN TAPIA CONSERJERIA RUT RETIRA: 16466458-9</t>
  </si>
  <si>
    <t>Eduardo Verdejo muñoz</t>
  </si>
  <si>
    <t>Condominio monjitas oriente 2867, Depto.1142, torre 11</t>
  </si>
  <si>
    <t>BIT11037478</t>
  </si>
  <si>
    <t>259759417</t>
  </si>
  <si>
    <t>NOMBRE RETIRA: NURI CONTRERAS B RUT RETIRA: 12607161-2</t>
  </si>
  <si>
    <t>Nuri contreras Contreras</t>
  </si>
  <si>
    <t>20 y medio sur 14 y medio poniente #104, 104</t>
  </si>
  <si>
    <t>BIT11037451</t>
  </si>
  <si>
    <t>259759532</t>
  </si>
  <si>
    <t>NOMBRE RETIRA: ROXANA ABARCA RAIL RUT RETIRA: 21092740-9</t>
  </si>
  <si>
    <t>Olga Rail</t>
  </si>
  <si>
    <t>Angamos 25 limache, Casa 25,  Angamos esquina transito guerra</t>
  </si>
  <si>
    <t>BIT11037497</t>
  </si>
  <si>
    <t>259772412</t>
  </si>
  <si>
    <t>NOMBRE RETIRA: CLAUDIO AVILA . RUT RETIRA: 15573333-0</t>
  </si>
  <si>
    <t>Claudio Avila olivares</t>
  </si>
  <si>
    <t>Pasaje los algarrobos 104, villa las palmas , SOTAQUI,  OVALLE</t>
  </si>
  <si>
    <t>BIT11037465</t>
  </si>
  <si>
    <t>259759512</t>
  </si>
  <si>
    <t>NOMBRE RETIRA: PAMELA ARANCIBIA .... RUT RETIRA: 6913137-9</t>
  </si>
  <si>
    <t>Pamela Arancibia Cisternas</t>
  </si>
  <si>
    <t>Ortiz De Rosas 434 , Local 38</t>
  </si>
  <si>
    <t>BIT11037576</t>
  </si>
  <si>
    <t>259841696</t>
  </si>
  <si>
    <t>NOMBRE RETIRA: JOSE CUEVAS A RUT RETIRA: 15354775-0</t>
  </si>
  <si>
    <t>Jose Cuevas</t>
  </si>
  <si>
    <t>51 y medio Oriente B 1133, Casa</t>
  </si>
  <si>
    <t>BIT11037517</t>
  </si>
  <si>
    <t>259772264</t>
  </si>
  <si>
    <t>NOMBRE RETIRA: FRANCISCO NUNEZ NUNEZ RUT RETIRA: 65207896-6</t>
  </si>
  <si>
    <t>Jose Ignacio Riquelme Vallejos</t>
  </si>
  <si>
    <t>Av Pedro de Valdivia 1248, 1602</t>
  </si>
  <si>
    <t>BIT11037640</t>
  </si>
  <si>
    <t>259841658</t>
  </si>
  <si>
    <t>NOMBRE RETIRA: MARISOL JIMENEZ JIMENEZ RUT RETIRA: 7274853-0</t>
  </si>
  <si>
    <t>Marisol Jiménez</t>
  </si>
  <si>
    <t>La Estancia Interior 504, Casa en condominio</t>
  </si>
  <si>
    <t>BIT11037486</t>
  </si>
  <si>
    <t>259772458</t>
  </si>
  <si>
    <t>NOMBRE RETIRA: ENRIQUE MUNOZ N RUT RETIRA: 4231380-7</t>
  </si>
  <si>
    <t>Freddy Araya muñoz</t>
  </si>
  <si>
    <t>Jaime Juan Oliver 329, San Juan</t>
  </si>
  <si>
    <t>BIT11037546</t>
  </si>
  <si>
    <t>259841761</t>
  </si>
  <si>
    <t>NOMBRE RETIRA: HECTOR ALVAREZ . RUT RETIRA: 9813349-6</t>
  </si>
  <si>
    <t>Javiera Nuñez Narvarte</t>
  </si>
  <si>
    <t>Camino del Sur, 416, Barrio Idahue</t>
  </si>
  <si>
    <t>BIT11037526</t>
  </si>
  <si>
    <t>259772195</t>
  </si>
  <si>
    <t>NOMBRE RETIRA: ANA SALDOVAL . RUT RETIRA: 15204509-3</t>
  </si>
  <si>
    <t>Ana Maria Sandoval troncoso</t>
  </si>
  <si>
    <t>Avenida Maria dolores 3309 cond.cordillera, 54</t>
  </si>
  <si>
    <t>BIT11037573</t>
  </si>
  <si>
    <t>259841716</t>
  </si>
  <si>
    <t>NOMBRE RETIRA: GUSTAVO GARRIDO H RUT RETIRA: 20083455-0</t>
  </si>
  <si>
    <t>Gustavo Garrido</t>
  </si>
  <si>
    <t>5 sur 2515, Minimarket Santa Sofia</t>
  </si>
  <si>
    <t>BIT11037512</t>
  </si>
  <si>
    <t>259772322</t>
  </si>
  <si>
    <t>NOMBRE RETIRA: NICOLAS OJEDA O RUT RETIRA: 8908874-7</t>
  </si>
  <si>
    <t>Nicolas Ojeda</t>
  </si>
  <si>
    <t>2 Norte 3495, Dpto 102b</t>
  </si>
  <si>
    <t>BIT11037475</t>
  </si>
  <si>
    <t>259759428</t>
  </si>
  <si>
    <t>NOMBRE RETIRA: CARLA SCHOT X RUT RETIRA: 7834846-1</t>
  </si>
  <si>
    <t>37 oriente 1255, 1001</t>
  </si>
  <si>
    <t>BIT11037634</t>
  </si>
  <si>
    <t>259841661</t>
  </si>
  <si>
    <t>NOMBRE RETIRA: SOLANGE VERA . RUT RETIRA: 26496611-6</t>
  </si>
  <si>
    <t>Solange Vera</t>
  </si>
  <si>
    <t>Interior la febre parcela 22 , pasaje ian tapia hacia adentro altura torres electricas</t>
  </si>
  <si>
    <t>BIT11037309</t>
  </si>
  <si>
    <t>259585755</t>
  </si>
  <si>
    <t>NOMBRE RETIRA: ALVARO CASTILLO 0 RUT RETIRA: 14259020-4</t>
  </si>
  <si>
    <t>Alvaro Castillo lopez Castillo</t>
  </si>
  <si>
    <t>Pedro Antonio Gonzalez 0227, Departamento 13</t>
  </si>
  <si>
    <t>BIT11037247</t>
  </si>
  <si>
    <t>259585990</t>
  </si>
  <si>
    <t>NOMBRE RETIRA: SASHA MAMANI . RUT RETIRA: 28281358-0</t>
  </si>
  <si>
    <t>Octavio cepeda</t>
  </si>
  <si>
    <t>Patricio lynch 502</t>
  </si>
  <si>
    <t>BIT11037218</t>
  </si>
  <si>
    <t>259586113</t>
  </si>
  <si>
    <t>NOMBRE RETIRA: MARIA JOSE H RUT RETIRA: 78225813-3</t>
  </si>
  <si>
    <t>Maria Jose Mouras Mendoza</t>
  </si>
  <si>
    <t>Pasaje villarrica 2667, Casa . Pbl. Nueva Alemania</t>
  </si>
  <si>
    <t>2025-12-10 19:05</t>
  </si>
  <si>
    <t>BIT11037190</t>
  </si>
  <si>
    <t>259486866</t>
  </si>
  <si>
    <t>NOMBRE RETIRA: GABRIELA VILLAROEL VILLAROEL RUT RETIRA: 10957249-7</t>
  </si>
  <si>
    <t>Gabriela Villarroel</t>
  </si>
  <si>
    <t>Camino Principal Pencahue 1150</t>
  </si>
  <si>
    <t>BIT11037241</t>
  </si>
  <si>
    <t>259586036</t>
  </si>
  <si>
    <t>NOMBRE RETIRA: BERNARDO RECEPCION . RUT RETIRA: 7716666-1</t>
  </si>
  <si>
    <t>Carolina Polanco García</t>
  </si>
  <si>
    <t>ViÑa Del Mar, 2 Norte 1323</t>
  </si>
  <si>
    <t>BIT11037019</t>
  </si>
  <si>
    <t>259314321</t>
  </si>
  <si>
    <t>NOMBRE RETIRA: FERNANDA AROSTICA 0 RUT RETIRA: 12345678-5</t>
  </si>
  <si>
    <t>Fernanda Arostica</t>
  </si>
  <si>
    <t>Travesía de los vientos 03014, 3</t>
  </si>
  <si>
    <t>2025-12-08 17:18</t>
  </si>
  <si>
    <t>BIT11037351</t>
  </si>
  <si>
    <t>259678922</t>
  </si>
  <si>
    <t>NOMBRE RETIRA: JAQUELINE VIDAL . RUT RETIRA: 76669508-6</t>
  </si>
  <si>
    <t>Jacqueline Vidal Cordero</t>
  </si>
  <si>
    <t>Isidoro Campaña 3397, Cesfam Juan Pablo ll sector Las Compañias</t>
  </si>
  <si>
    <t>BIT11037373</t>
  </si>
  <si>
    <t>259678868</t>
  </si>
  <si>
    <t>NOMBRE RETIRA: PEDRO DONOSO A RUT RETIRA: 14237996-1</t>
  </si>
  <si>
    <t>Paulina Pasten</t>
  </si>
  <si>
    <t>Condominio Alto Belloto, Los Alerces 101</t>
  </si>
  <si>
    <t>BIT11037180</t>
  </si>
  <si>
    <t>259486964</t>
  </si>
  <si>
    <t>NOMBRE RETIRA: ERICA GODOY . RUT RETIRA: 17370075-K</t>
  </si>
  <si>
    <t>Erika Godoy</t>
  </si>
  <si>
    <t>Los Artesanos 892</t>
  </si>
  <si>
    <t>BIT11037108</t>
  </si>
  <si>
    <t>259473225</t>
  </si>
  <si>
    <t>NOMBRE RETIRA: CAMILA CORTES N RUT RETIRA: 17938427-2</t>
  </si>
  <si>
    <t>camila cortes vega</t>
  </si>
  <si>
    <t>BOGOTA 1547, BOGOTA 1547</t>
  </si>
  <si>
    <t>BIT11037412</t>
  </si>
  <si>
    <t>259678767</t>
  </si>
  <si>
    <t>NOMBRE RETIRA: SANDRA MUNOS LLL RUT RETIRA: 11707004-2</t>
  </si>
  <si>
    <t>Sandra Muñoz</t>
  </si>
  <si>
    <t>Casa Color Azul . Ruta Que Va Puerto Nuevo A Coique, Sector Playa San Pedro Ruta 785 Km 13 Parcela 2</t>
  </si>
  <si>
    <t>BIT11037376</t>
  </si>
  <si>
    <t>259678864</t>
  </si>
  <si>
    <t>NOMBRE RETIRA: ERWIN BRATH . RUT RETIRA: 12533484-9</t>
  </si>
  <si>
    <t>Erwin Brath</t>
  </si>
  <si>
    <t>Ramón Freire 360</t>
  </si>
  <si>
    <t>BIT11037319</t>
  </si>
  <si>
    <t>259585746</t>
  </si>
  <si>
    <t>NOMBRE RETIRA: JAVIERA GARRIDO . RUT RETIRA: 21577587-9</t>
  </si>
  <si>
    <t>José Urrutia</t>
  </si>
  <si>
    <t>Vil Alemana, Avenida Almirante Latorre 360</t>
  </si>
  <si>
    <t>BIT11037345</t>
  </si>
  <si>
    <t>259678926</t>
  </si>
  <si>
    <t>NOMBRE RETIRA: GONZALO MILLA . RUT RETIRA: 14355904-1</t>
  </si>
  <si>
    <t>Gonzalo Antonio Millar Arevalo</t>
  </si>
  <si>
    <t>Freire n 83</t>
  </si>
  <si>
    <t>BIT11037397</t>
  </si>
  <si>
    <t>259678811</t>
  </si>
  <si>
    <t>NOMBRE RETIRA: DAVID JIMENEZ . RUT RETIRA: 20090620-9</t>
  </si>
  <si>
    <t>David Jimenez</t>
  </si>
  <si>
    <t>Pasaje libertad, Casa 18</t>
  </si>
  <si>
    <t>BIT11037328</t>
  </si>
  <si>
    <t>259679012</t>
  </si>
  <si>
    <t>NOMBRE RETIRA: CRISTOBAL CONDEZA . RUT RETIRA: 20687220-9</t>
  </si>
  <si>
    <t>Pablo PINCHEIRA CASTRO</t>
  </si>
  <si>
    <t>ANFION MUÑOZ 700 LA SERENA 700</t>
  </si>
  <si>
    <t>BIT11037081</t>
  </si>
  <si>
    <t>259473369</t>
  </si>
  <si>
    <t>NOMBRE RETIRA: MARTA POBLETE . RUT RETIRA: 12240555-9</t>
  </si>
  <si>
    <t>Aldo Osorio Poblete</t>
  </si>
  <si>
    <t>Francisco Escalona 1120</t>
  </si>
  <si>
    <t>BIT11037421</t>
  </si>
  <si>
    <t>259678717</t>
  </si>
  <si>
    <t>NOMBRE RETIRA: RUT ELIZABTH .. RUT RETIRA: 11115120-2</t>
  </si>
  <si>
    <t>Yasna Droguett</t>
  </si>
  <si>
    <t>Variante dr Luis reuss Bernat 1488, Casa</t>
  </si>
  <si>
    <t>BIT11037301</t>
  </si>
  <si>
    <t>259585737</t>
  </si>
  <si>
    <t>NOMBRE RETIRA: ABELARDO INOSTROZ J RUT RETIRA: 18194820-5</t>
  </si>
  <si>
    <t>FRANCISCO MUNOZ</t>
  </si>
  <si>
    <t>EL CORRAL 0300 CASA 083 CONDOMINIO ALTOS DEL MAIPO 2, CASA 083</t>
  </si>
  <si>
    <t>BIT11037424</t>
  </si>
  <si>
    <t>259678687</t>
  </si>
  <si>
    <t>NOMBRE RETIRA: VIVIANA SEXTON . RUT RETIRA: 16189436-2</t>
  </si>
  <si>
    <t>Viviana Sexton</t>
  </si>
  <si>
    <t>Guillermo Max Schdmit Pozo 2847 Serena Oriente, La serena</t>
  </si>
  <si>
    <t>BIT11037408</t>
  </si>
  <si>
    <t>259678802</t>
  </si>
  <si>
    <t>NOMBRE RETIRA: SONIA ARREDONDO ARREDONDO RUT RETIRA: 5006551-0</t>
  </si>
  <si>
    <t>Vil Alto Rancagua, Ciprés Austral 0509, 0509</t>
  </si>
  <si>
    <t>BIT11037362</t>
  </si>
  <si>
    <t>259678900</t>
  </si>
  <si>
    <t>NOMBRE RETIRA: ANDRES JORQUERA . RUT RETIRA: 19132385-8</t>
  </si>
  <si>
    <t>Andrés Jorquera</t>
  </si>
  <si>
    <t>Camino a Nacimiento Km 1, 1</t>
  </si>
  <si>
    <t>BIT11037413</t>
  </si>
  <si>
    <t>259678736</t>
  </si>
  <si>
    <t>NOMBRE RETIRA: CARLOS TAGLE . RUT RETIRA: 16589833-8</t>
  </si>
  <si>
    <t>Carlos Tagle Sepulveda</t>
  </si>
  <si>
    <t>Urmeneta 815, Depto 301</t>
  </si>
  <si>
    <t>BIT11037395</t>
  </si>
  <si>
    <t>259678838</t>
  </si>
  <si>
    <t>NOMBRE RETIRA: ELENA CATALAN . RUT RETIRA: 65201876-9</t>
  </si>
  <si>
    <t>Bárbara Constanza Cárcamo Roldán</t>
  </si>
  <si>
    <t>Avenida Austral 1250, Casa 87, Lago Penuelas 1251</t>
  </si>
  <si>
    <t>BIT11037357</t>
  </si>
  <si>
    <t>259678909</t>
  </si>
  <si>
    <t>NOMBRE RETIRA: VICTOR URRUTIA CARVAJAL RUT RETIRA: 6587862-3</t>
  </si>
  <si>
    <t>Maria Pia Hernandez toro</t>
  </si>
  <si>
    <t>Avenida el parronal 51-b, Casa27</t>
  </si>
  <si>
    <t>BIT11037416</t>
  </si>
  <si>
    <t>259678697</t>
  </si>
  <si>
    <t>NOMBRE RETIRA: JORGE MEBA N RUT RETIRA: 5153029-2</t>
  </si>
  <si>
    <t>Lircay 1717 La Serena</t>
  </si>
  <si>
    <t>BIT11037327</t>
  </si>
  <si>
    <t>259678975</t>
  </si>
  <si>
    <t>NOMBRE RETIRA: CARLOS ALVAREZ . . RUT RETIRA: 10395550-5</t>
  </si>
  <si>
    <t>Valentina Álvarez</t>
  </si>
  <si>
    <t>Chapiquiña #2078, La Serena, 2078</t>
  </si>
  <si>
    <t>BIT11037338</t>
  </si>
  <si>
    <t>259678981</t>
  </si>
  <si>
    <t>NOMBRE RETIRA: ESTEBAN CUADRA . RUT RETIRA: 26076095-5</t>
  </si>
  <si>
    <t>Esteban Cuadra</t>
  </si>
  <si>
    <t>Avenida las higueras 671, Depto 306, torre 3</t>
  </si>
  <si>
    <t>BIT11037410</t>
  </si>
  <si>
    <t>259678774</t>
  </si>
  <si>
    <t>NOMBRE RETIRA: PEDRO VADILLO NOLI RUT RETIRA: 13016474-9</t>
  </si>
  <si>
    <t>Pedro Vadillo Noli</t>
  </si>
  <si>
    <t>Psje miosporo por calle corona del fraile, parcela 8 lote 15, Piedra Colgada</t>
  </si>
  <si>
    <t>BIT11037324</t>
  </si>
  <si>
    <t>259585717</t>
  </si>
  <si>
    <t>NOMBRE RETIRA: YAQUELIN CONDORI . RUT RETIRA: 25203446-3</t>
  </si>
  <si>
    <t>Fabian Ibarra</t>
  </si>
  <si>
    <t>Vicuña Mackenna 1980</t>
  </si>
  <si>
    <t>BIT11037253</t>
  </si>
  <si>
    <t>259585952</t>
  </si>
  <si>
    <t>NOMBRE RETIRA: LILIAN VERGARA . RUT RETIRA: 17094317-1</t>
  </si>
  <si>
    <t>Wilson Molina</t>
  </si>
  <si>
    <t>Calle Cinco Sur 4272 condominio puesta de sol torreA, 604A</t>
  </si>
  <si>
    <t>BIT11037236</t>
  </si>
  <si>
    <t>259586052</t>
  </si>
  <si>
    <t>NOMBRE RETIRA: RICARDO PLAZA . RUT RETIRA: 19130203-6</t>
  </si>
  <si>
    <t>Ricardo Plaza</t>
  </si>
  <si>
    <t>San Francisco Javier 2638</t>
  </si>
  <si>
    <t>BIT11037275</t>
  </si>
  <si>
    <t>259585861</t>
  </si>
  <si>
    <t>NOMBRE RETIRA: PABLO VARELA . RUT RETIRA: 53321047-3</t>
  </si>
  <si>
    <t>Monica Morales Tapia</t>
  </si>
  <si>
    <t>Ramón Carrasco, 239, casa 242</t>
  </si>
  <si>
    <t>BIT11037217</t>
  </si>
  <si>
    <t>259586118</t>
  </si>
  <si>
    <t>NOMBRE RETIRA: FRANCISCO CASAS ALVAREZ RUT RETIRA: 20151853-9</t>
  </si>
  <si>
    <t>Veronica Alvarez</t>
  </si>
  <si>
    <t>Carrera 4239 Villa Copiapo, Casa 17</t>
  </si>
  <si>
    <t>BIT11037095</t>
  </si>
  <si>
    <t>259473321</t>
  </si>
  <si>
    <t>NOMBRE RETIRA: FELIPE SOTO . RUT RETIRA: 1004897-4</t>
  </si>
  <si>
    <t>Felipe Aguilera soto</t>
  </si>
  <si>
    <t>Goycolea 1254, Casa al fondo, reja blanca</t>
  </si>
  <si>
    <t>BIT11037417</t>
  </si>
  <si>
    <t>259678724</t>
  </si>
  <si>
    <t>BIT11037291</t>
  </si>
  <si>
    <t>259585794</t>
  </si>
  <si>
    <t>Victor Vargas moya</t>
  </si>
  <si>
    <t>Francisco de echaurren 191, 191</t>
  </si>
  <si>
    <t>BIT11037290</t>
  </si>
  <si>
    <t>259585798</t>
  </si>
  <si>
    <t>NOMBRE RETIRA: GONZALO . . RUT RETIRA: 16754596-3</t>
  </si>
  <si>
    <t>Gonzalo andres Melendez melendez</t>
  </si>
  <si>
    <t>Urriola 472, 472</t>
  </si>
  <si>
    <t>BIT11037340</t>
  </si>
  <si>
    <t>259678955</t>
  </si>
  <si>
    <t>NOMBRE RETIRA: ABIGAEL . . RUT RETIRA: 21011889-6</t>
  </si>
  <si>
    <t>Sandra LEMUS Cortes</t>
  </si>
  <si>
    <t>Vicuña Mackenna 310, Ofina 102</t>
  </si>
  <si>
    <t>BIT11037074</t>
  </si>
  <si>
    <t>259473405</t>
  </si>
  <si>
    <t>NOMBRE RETIRA: CARMEN CORVALAN . RUT RETIRA: 11111111-1</t>
  </si>
  <si>
    <t>Carmen Corvalán Corvalán</t>
  </si>
  <si>
    <t>C. Dieciocho 361, 4650146 Angol, Araucanía, Chile, Casa</t>
  </si>
  <si>
    <t>BIT11037366</t>
  </si>
  <si>
    <t>259678874</t>
  </si>
  <si>
    <t>NOMBRE RETIRA: RODRIGO LAZCANO . RUT RETIRA: 17300819-8</t>
  </si>
  <si>
    <t>Rodrigo Lazcano</t>
  </si>
  <si>
    <t>Avenida 12 de Febrero 1802, 1802</t>
  </si>
  <si>
    <t>BIT11037427</t>
  </si>
  <si>
    <t>259678681</t>
  </si>
  <si>
    <t>NOMBRE RETIRA: LUZ SAAVEDRA S RUT RETIRA: 17361678-3</t>
  </si>
  <si>
    <t>luz saavedra navarrete</t>
  </si>
  <si>
    <t>Cibeles 201 Plazas de Santa Maria Los Angeles, Casa</t>
  </si>
  <si>
    <t>BIT11037295</t>
  </si>
  <si>
    <t>259585788</t>
  </si>
  <si>
    <t>NOMBRE RETIRA: MARIA IBANEZ . RUT RETIRA: 7612479-5</t>
  </si>
  <si>
    <t>Carlos Hernández Yañez</t>
  </si>
  <si>
    <t>1 oriente 16 1/2 sur # 786, Casa</t>
  </si>
  <si>
    <t>BIT11037273</t>
  </si>
  <si>
    <t>259585875</t>
  </si>
  <si>
    <t>NOMBRE RETIRA: DIANA VALLEJOS VALLEJOS RUT RETIRA: 17491632-2</t>
  </si>
  <si>
    <t>Guillermo Romero</t>
  </si>
  <si>
    <t>Wheelwrigth 750 Caldera, Hosteria Puerta del Sol</t>
  </si>
  <si>
    <t>BIT11037249</t>
  </si>
  <si>
    <t>259585966</t>
  </si>
  <si>
    <t>NOMBRE RETIRA: JUAN CASERES C RUT RETIRA: 7003243-0</t>
  </si>
  <si>
    <t>Volcán doña Inés 507, 17</t>
  </si>
  <si>
    <t>BIT11037209</t>
  </si>
  <si>
    <t>259486785</t>
  </si>
  <si>
    <t>NOMBRE RETIRA: LESLIE POBLETE X RUT RETIRA: 12345678-5</t>
  </si>
  <si>
    <t>Leslie Poblete Pavez</t>
  </si>
  <si>
    <t>Francisco Coloane 742, villa El Manantial, Casa</t>
  </si>
  <si>
    <t>BIT11037080</t>
  </si>
  <si>
    <t>259473312</t>
  </si>
  <si>
    <t>NOMBRE RETIRA: EDUARDO YANEZ -CONSERJE RUT RETIRA: 7368684-9</t>
  </si>
  <si>
    <t>Eduardo Yáñez Muñoz</t>
  </si>
  <si>
    <t>Guillermo Ulriksen 1680, depto J24</t>
  </si>
  <si>
    <t>BIT11037219</t>
  </si>
  <si>
    <t>259586127</t>
  </si>
  <si>
    <t>Belén Botta Salgado</t>
  </si>
  <si>
    <t>Salvador Sanfuentes, 242</t>
  </si>
  <si>
    <t>BIT11036841</t>
  </si>
  <si>
    <t>259205930</t>
  </si>
  <si>
    <t>NOMBRE RETIRA: MAUREN ENRIQUES L RUT RETIRA: 12437767-6</t>
  </si>
  <si>
    <t>Maureen Henriquez Ordoñez</t>
  </si>
  <si>
    <t>Tierras Blancas pasaje Sargento Candelaria N° 3234, Casa</t>
  </si>
  <si>
    <t>2025-12-05 19:08</t>
  </si>
  <si>
    <t>BIT11037248</t>
  </si>
  <si>
    <t>259585976</t>
  </si>
  <si>
    <t>NOMBRE RETIRA: JAVIER ROSRIGUEZ R RUT RETIRA: 19248643-2</t>
  </si>
  <si>
    <t>Javier Rodríguez</t>
  </si>
  <si>
    <t>Avenida Pedro Montt 2075, Valdivia</t>
  </si>
  <si>
    <t>BIT11037313</t>
  </si>
  <si>
    <t>259585749</t>
  </si>
  <si>
    <t>NOMBRE RETIRA: SNDREA RIEBEK R RUT RETIRA: 19248643-2</t>
  </si>
  <si>
    <t>Simpson 1440, Casa</t>
  </si>
  <si>
    <t>BIT11037172</t>
  </si>
  <si>
    <t>259487000</t>
  </si>
  <si>
    <t>NOMBRE RETIRA: PEDRO AGUILERA . RUT RETIRA: 6328506-4</t>
  </si>
  <si>
    <t>Verónica Aguilera</t>
  </si>
  <si>
    <t>Las Guayatas 9077</t>
  </si>
  <si>
    <t>BIT11037244</t>
  </si>
  <si>
    <t>259586009</t>
  </si>
  <si>
    <t>NOMBRE RETIRA: HUMBERTO MUNOZ . RUT RETIRA: 53319939-9</t>
  </si>
  <si>
    <t>JUAN CARLOS HUENTELICAN SALAZAR</t>
  </si>
  <si>
    <t>BIT11036941</t>
  </si>
  <si>
    <t>259314422</t>
  </si>
  <si>
    <t>NOMBRE RETIRA: NELLY VARGAS 0 RUT RETIRA: 12345678-5</t>
  </si>
  <si>
    <t>Jorge Vindigni</t>
  </si>
  <si>
    <t>Av. Jaime Guzmán Errázuriz 4200, 1505</t>
  </si>
  <si>
    <t>BIT11037227</t>
  </si>
  <si>
    <t>259586084</t>
  </si>
  <si>
    <t>NOMBRE RETIRA: BASTIAN ESPINOZA E RUT RETIRA: 56049520-K</t>
  </si>
  <si>
    <t>Orietq Cruz  soza</t>
  </si>
  <si>
    <t>Ednundo eluchans 2705 depto 42 edific playamaw iI, Deparamento</t>
  </si>
  <si>
    <t>BIT11037001</t>
  </si>
  <si>
    <t>259314329</t>
  </si>
  <si>
    <t>NOMBRE RETIRA: PASCAL VILLALOBOS .. RUT RETIRA: 22068298-6</t>
  </si>
  <si>
    <t>Barbara Lazo</t>
  </si>
  <si>
    <t>Ecuador 341, Casa 6</t>
  </si>
  <si>
    <t>BIT11037255</t>
  </si>
  <si>
    <t>259585917</t>
  </si>
  <si>
    <t>NOMBRE RETIRA: CAROLINS ZUMARAN ZUMARAN RUT RETIRA: 15745271-1</t>
  </si>
  <si>
    <t>Carolina Zumaran</t>
  </si>
  <si>
    <t>GÉnova 436, Santa Margarita Del Mar, Casa</t>
  </si>
  <si>
    <t>BIT11037288</t>
  </si>
  <si>
    <t>259585821</t>
  </si>
  <si>
    <t>NOMBRE RETIRA: ALEJANDRO FLAMEING C RUT RETIRA: 56049520-K</t>
  </si>
  <si>
    <t>Andres Izurieta</t>
  </si>
  <si>
    <t>Edmundo Eluchans 1737, Depto 29</t>
  </si>
  <si>
    <t>BIT11037124</t>
  </si>
  <si>
    <t>259473188</t>
  </si>
  <si>
    <t>NOMBRE RETIRA: RICARDO SEPULVEDA . RUT RETIRA: 65107002-3</t>
  </si>
  <si>
    <t>Ricardo Brio Sepulveda</t>
  </si>
  <si>
    <t>Los fundadores 180, Departamento 13-G</t>
  </si>
  <si>
    <t>BIT11037274</t>
  </si>
  <si>
    <t>259585878</t>
  </si>
  <si>
    <t>NOMBRE RETIRA: MARCOS ORENA . RUT RETIRA: 21774901-8</t>
  </si>
  <si>
    <t>Erwin Or Rubilar</t>
  </si>
  <si>
    <t>Diagonal pedro aguirre cerda 1231, Depto 3</t>
  </si>
  <si>
    <t>BIT11037167</t>
  </si>
  <si>
    <t>259487012</t>
  </si>
  <si>
    <t>NOMBRE RETIRA: VALERIA PAREDES M RUT RETIRA: 13622801-3</t>
  </si>
  <si>
    <t>Elicer Placencia</t>
  </si>
  <si>
    <t>Luis flores 582</t>
  </si>
  <si>
    <t>BIT11037027</t>
  </si>
  <si>
    <t>259314300</t>
  </si>
  <si>
    <t>NOMBRE RETIRA: NICOMEDES VALENZUELA . RUT RETIRA: 9092537-7</t>
  </si>
  <si>
    <t>Daisy Lopez Galleguillos</t>
  </si>
  <si>
    <t>Salvador Reyes  1230, Departamento 1603</t>
  </si>
  <si>
    <t>BIT11037203</t>
  </si>
  <si>
    <t>259486794</t>
  </si>
  <si>
    <t>NOMBRE RETIRA: DORCA ALVARADO . RUT RETIRA: 13165481-2</t>
  </si>
  <si>
    <t>Monica Cardenas</t>
  </si>
  <si>
    <t>Galvarino Riveros 169</t>
  </si>
  <si>
    <t>BIT11037130</t>
  </si>
  <si>
    <t>259473169</t>
  </si>
  <si>
    <t>NOMBRE RETIRA: BEATRIZ CORTEZ . RUT RETIRA: 6581291-6</t>
  </si>
  <si>
    <t>Cecilia Geraldo</t>
  </si>
  <si>
    <t>Los chunchos 4039, casa</t>
  </si>
  <si>
    <t>BIT11036865</t>
  </si>
  <si>
    <t>259205775</t>
  </si>
  <si>
    <t>NOMBRE RETIRA: NATALIA AGUDELO X RUT RETIRA: 28747870-4</t>
  </si>
  <si>
    <t>Natalia Agudelo Noreña</t>
  </si>
  <si>
    <t>Sierra nevada 9636, Casa</t>
  </si>
  <si>
    <t>2025-12-05 19:09</t>
  </si>
  <si>
    <t>BIT11037286</t>
  </si>
  <si>
    <t>259585822</t>
  </si>
  <si>
    <t>NOMBRE RETIRA: JORGE PI . RUT RETIRA: 14220746-K</t>
  </si>
  <si>
    <t>Jorge Aníbal Huitraiqueo</t>
  </si>
  <si>
    <t>Lautaro 398, Carahue, Local comercial Casa Bella</t>
  </si>
  <si>
    <t>BIT11037191</t>
  </si>
  <si>
    <t>259486903</t>
  </si>
  <si>
    <t>NOMBRE RETIRA: RDUARDO MORAN . RUT RETIRA: 7213470-2</t>
  </si>
  <si>
    <t>Juan carlos Perez leon</t>
  </si>
  <si>
    <t>Villa primavera avenida gabriela mistral #1151, Casa</t>
  </si>
  <si>
    <t>BIT11037239</t>
  </si>
  <si>
    <t>259586059</t>
  </si>
  <si>
    <t>NOMBRE RETIRA: RAMON NAHUELAN J RUT RETIRA: 18194820-5</t>
  </si>
  <si>
    <t>Margarita Castro</t>
  </si>
  <si>
    <t>Manuel Recabarren 03160, COCA COLA TEMUCO</t>
  </si>
  <si>
    <t>BIT11037100</t>
  </si>
  <si>
    <t>259473276</t>
  </si>
  <si>
    <t>NOMBRE RETIRA: BERNARDITA CHAVEZ H RUT RETIRA: 6777020-K</t>
  </si>
  <si>
    <t>BIT11037071</t>
  </si>
  <si>
    <t>259473427</t>
  </si>
  <si>
    <t>NOMBRE RETIRA: CRISTOBAL BECERRA . RUT RETIRA: 20565227-2</t>
  </si>
  <si>
    <t>Maria elvira Parra soto</t>
  </si>
  <si>
    <t>6 sur 144 Cooperativa Jorge Correa montt, Casa</t>
  </si>
  <si>
    <t>BIT11036996</t>
  </si>
  <si>
    <t>259314314</t>
  </si>
  <si>
    <t>NOMBRE RETIRA: LUIS CARDENAS . RUT RETIRA: 12345678-5</t>
  </si>
  <si>
    <t>Luis Cardenas</t>
  </si>
  <si>
    <t>Las Piedras con Avda Alemania, Frutillar Bajo ( Hospital de Frutillar)</t>
  </si>
  <si>
    <t>BIT11037079</t>
  </si>
  <si>
    <t>259473401</t>
  </si>
  <si>
    <t>NOMBRE RETIRA: LUISA . . RUT RETIRA: 13356962-6</t>
  </si>
  <si>
    <t>LUISA GONZALEZ ROJAS</t>
  </si>
  <si>
    <t>calle Santiago 277 oficina 203, Departamento don Santiago</t>
  </si>
  <si>
    <t>BIT11037091</t>
  </si>
  <si>
    <t>259473326</t>
  </si>
  <si>
    <t>NOMBRE RETIRA: CLAUDIO BARRA ... RUT RETIRA: 15173686-6</t>
  </si>
  <si>
    <t>Claudio Barra</t>
  </si>
  <si>
    <t>Avenida Los Arrayanes 23, Placilla</t>
  </si>
  <si>
    <t>BIT11037231</t>
  </si>
  <si>
    <t>259586055</t>
  </si>
  <si>
    <t>NOMBRE RETIRA: HECTOR RUIZ CONSRRJE RUT RETIRA: 5252433-4</t>
  </si>
  <si>
    <t>Ximena San martin saldias</t>
  </si>
  <si>
    <t>Santa Teresa de Los Andes 107, Casa 14</t>
  </si>
  <si>
    <t>BIT11037103</t>
  </si>
  <si>
    <t>259473285</t>
  </si>
  <si>
    <t>NOMBRE RETIRA: BLANCA MENARES -- RUT RETIRA: 9131556-4</t>
  </si>
  <si>
    <t>Blanca Menares</t>
  </si>
  <si>
    <t>Melquiades Galleguillos 2829</t>
  </si>
  <si>
    <t>BIT11037121</t>
  </si>
  <si>
    <t>259473210</t>
  </si>
  <si>
    <t>NOMBRE RETIRA: JIMENA . . RUT RETIRA: 12795845-9</t>
  </si>
  <si>
    <t>Susan Escobar Aguilera</t>
  </si>
  <si>
    <t>Avenida Los Carrera 1931, Departamento 1104</t>
  </si>
  <si>
    <t>BIT11037063</t>
  </si>
  <si>
    <t>259473437</t>
  </si>
  <si>
    <t>NOMBRE RETIRA: RUBY BORGEUD . RUT RETIRA: 7447387-3</t>
  </si>
  <si>
    <t>RUBY NATACHA BORGEAUD PADILLA</t>
  </si>
  <si>
    <t>Costanera Quilque Norte 1048</t>
  </si>
  <si>
    <t>BIT11037086</t>
  </si>
  <si>
    <t>259473336</t>
  </si>
  <si>
    <t>NOMBRE RETIRA: ANDRES ESCALERA . RUT RETIRA: 17625970-1</t>
  </si>
  <si>
    <t>BIT11036858</t>
  </si>
  <si>
    <t>259205855</t>
  </si>
  <si>
    <t>NOMBRE RETIRA: ANDRES PEREZ . RUT RETIRA: 10638375-8</t>
  </si>
  <si>
    <t>Erika Alejandra carcamo espinoza</t>
  </si>
  <si>
    <t>dos oriente 2783 poblacion romilio concha, casa</t>
  </si>
  <si>
    <t>BIT11037251</t>
  </si>
  <si>
    <t>259585982</t>
  </si>
  <si>
    <t>NOMBRE RETIRA: VICTOR DURA . RUT RETIRA: 15728488-6</t>
  </si>
  <si>
    <t>Johan Diaz</t>
  </si>
  <si>
    <t>Avenida ValparaÍso 898, Local comercial cortinas viña</t>
  </si>
  <si>
    <t>BIT11037284</t>
  </si>
  <si>
    <t>259585829</t>
  </si>
  <si>
    <t>NOMBRE RETIRA: SANDRA GUAJARDO .. . RUT RETIRA: 12558714-3</t>
  </si>
  <si>
    <t>Perla Gonzalez</t>
  </si>
  <si>
    <t>Ohhigins 480 torre A depto 204, Departamento</t>
  </si>
  <si>
    <t>BIT11037107</t>
  </si>
  <si>
    <t>259473242</t>
  </si>
  <si>
    <t>NOMBRE RETIRA: ALEXIS SILVA . RUT RETIRA: 11991146-K</t>
  </si>
  <si>
    <t>Jose Luis Pérez</t>
  </si>
  <si>
    <t>Pasaje Santa Emilia 344, Sector El Sol (Pje de San Enrique) Tirar cerca puerta entrada a casa</t>
  </si>
  <si>
    <t>BIT11037101</t>
  </si>
  <si>
    <t>259473258</t>
  </si>
  <si>
    <t>NOMBRE RETIRA: PEDRO RUBILAR . RUT RETIRA: 8380916-7</t>
  </si>
  <si>
    <t>Carlos Romero Cerda</t>
  </si>
  <si>
    <t>5 poniente 177, Departamento 405</t>
  </si>
  <si>
    <t>BIT11036965</t>
  </si>
  <si>
    <t>259314371</t>
  </si>
  <si>
    <t>NOMBRE RETIRA: MANUEK ORELKANA ORELLANA RUT RETIRA: 14204347-5</t>
  </si>
  <si>
    <t>Manuel Orellana</t>
  </si>
  <si>
    <t>Pasaje Raymond Monvoisin</t>
  </si>
  <si>
    <t>BIT11036869</t>
  </si>
  <si>
    <t>259205788</t>
  </si>
  <si>
    <t>NOMBRE RETIRA: CRISTOFER CORTES . RUT RETIRA: 17542479-2</t>
  </si>
  <si>
    <t>Christopher Cortes Tirado</t>
  </si>
  <si>
    <t>Avenida La paz S/n, Trabajo oficina</t>
  </si>
  <si>
    <t>BIT11037054</t>
  </si>
  <si>
    <t>259314263</t>
  </si>
  <si>
    <t>NOMBRE RETIRA: SEBASTIAN RIOS . RUT RETIRA: 53321293-K</t>
  </si>
  <si>
    <t>Alberto Camus Rastello</t>
  </si>
  <si>
    <t>24 norte 1790 cond mirador norte santa ines, Dpto 602</t>
  </si>
  <si>
    <t>BIT11036958</t>
  </si>
  <si>
    <t>259473471</t>
  </si>
  <si>
    <t>NOMBRE RETIRA: VALENTINA DIAZ J RUT RETIRA: 16540000-3</t>
  </si>
  <si>
    <t>Pasaje Las Lengas #2000 Villa Portal Araucaria</t>
  </si>
  <si>
    <t>BIT11036990</t>
  </si>
  <si>
    <t>259314342</t>
  </si>
  <si>
    <t>NOMBRE RETIRA: BEATRIS CORTES . RUT RETIRA: 12345678-5</t>
  </si>
  <si>
    <t>JOEL GARCIA</t>
  </si>
  <si>
    <t>Los Almendros 3017</t>
  </si>
  <si>
    <t>BIT11037152</t>
  </si>
  <si>
    <t>259473077</t>
  </si>
  <si>
    <t>NOMBRE RETIRA: EMILIO NEVES . RUT RETIRA: 7699583-4</t>
  </si>
  <si>
    <t>Emilio Neves</t>
  </si>
  <si>
    <t>Av. Cachapoal 354</t>
  </si>
  <si>
    <t>BIT11036932</t>
  </si>
  <si>
    <t>259314431</t>
  </si>
  <si>
    <t>NOMBRE RETIRA: CINTIA ALVAREZ ..1 RUT RETIRA: 12837605-4</t>
  </si>
  <si>
    <t>Evelyn Santibañez Peralta</t>
  </si>
  <si>
    <t>Manuel Verbal 1545, 1204 torre A</t>
  </si>
  <si>
    <t>BIT11037258</t>
  </si>
  <si>
    <t>259585923</t>
  </si>
  <si>
    <t>NOMBRE RETIRA: BRENDA OLIVARES .. RUT RETIRA: 11784795-0</t>
  </si>
  <si>
    <t>A.Riquelme 9, 9</t>
  </si>
  <si>
    <t>BIT11037269</t>
  </si>
  <si>
    <t>259585908</t>
  </si>
  <si>
    <t>NOMBRE RETIRA: LISBET DE SOUZA D RUT RETIRA: 26814936-8</t>
  </si>
  <si>
    <t>Liseth De Sousa</t>
  </si>
  <si>
    <t>30 oriente #1330 Derma&amp;Plastic Piso 1 Oficina 1, Punto de referencia: Entre Banco Bice y MK</t>
  </si>
  <si>
    <t>BIT11037254</t>
  </si>
  <si>
    <t>259585943</t>
  </si>
  <si>
    <t>NOMBRE RETIRA: ERIC RIPS . RUT RETIRA: 53309725-1</t>
  </si>
  <si>
    <t>Eric Rios</t>
  </si>
  <si>
    <t>2 sur 1285, Depto 704</t>
  </si>
  <si>
    <t>BIT11036843</t>
  </si>
  <si>
    <t>259205913</t>
  </si>
  <si>
    <t>NOMBRE RETIRA: MARIA SANCHEZ . RUT RETIRA: 25852118-8</t>
  </si>
  <si>
    <t>Jessica Gonzalez Araya</t>
  </si>
  <si>
    <t>Antonino Toro 742, Depto 702</t>
  </si>
  <si>
    <t>BIT11036001</t>
  </si>
  <si>
    <t>258553050</t>
  </si>
  <si>
    <t>NOMBRE RETIRA: ROBINSON HORMAZABAL . RUT RETIRA: 16975248-6</t>
  </si>
  <si>
    <t>Robinson Hormazabal</t>
  </si>
  <si>
    <t>Poniente 3 sector socovesa, 1032</t>
  </si>
  <si>
    <t>BIT11036974</t>
  </si>
  <si>
    <t>259314367</t>
  </si>
  <si>
    <t>NOMBRE RETIRA: PATRICIA MOLINA MOLINA RUT RETIRA: 14123322-K</t>
  </si>
  <si>
    <t>Patricia Molina</t>
  </si>
  <si>
    <t>San Pedro 451 local, Tienda Huerto Home &amp; Care</t>
  </si>
  <si>
    <t>BIT11037182</t>
  </si>
  <si>
    <t>259486926</t>
  </si>
  <si>
    <t>NOMBRE RETIRA: HILDA ALFARO . RUT RETIRA: 12595822-2</t>
  </si>
  <si>
    <t>Andrea Diaz</t>
  </si>
  <si>
    <t>Prat 461, 1501</t>
  </si>
  <si>
    <t>BIT11037062</t>
  </si>
  <si>
    <t>259473463</t>
  </si>
  <si>
    <t>NOMBRE RETIRA: JUAN GONZALEZ B RUT RETIRA: 13145862-2</t>
  </si>
  <si>
    <t>Juan Pablo Gonzalez Yañez</t>
  </si>
  <si>
    <t>17 norte 9 oriente # 1491</t>
  </si>
  <si>
    <t>BIT11037033</t>
  </si>
  <si>
    <t>259314294</t>
  </si>
  <si>
    <t>NOMBRE RETIRA: CRISTOBAL PONCE . RUT RETIRA: 21239220-0</t>
  </si>
  <si>
    <t>Francisco Rodriguez</t>
  </si>
  <si>
    <t>Avenida Rica aventura 10701, 1204</t>
  </si>
  <si>
    <t>BIT11037018</t>
  </si>
  <si>
    <t>259314308</t>
  </si>
  <si>
    <t>NOMBRE RETIRA: TANIA CONTRERAS C RUT RETIRA: 7585704-7</t>
  </si>
  <si>
    <t>Tania Contreras Alvarez</t>
  </si>
  <si>
    <t>Libertad 310 b, Población Cartavio</t>
  </si>
  <si>
    <t>BIT11037006</t>
  </si>
  <si>
    <t>259314325</t>
  </si>
  <si>
    <t>NOMBRE RETIRA: MYRIAM ROJAS . RUT RETIRA: 11316893-5</t>
  </si>
  <si>
    <t>Myriam Rojas Parra</t>
  </si>
  <si>
    <t>Capitán Ávalos 6041, Puerta Sur</t>
  </si>
  <si>
    <t>BIT11036976</t>
  </si>
  <si>
    <t>259314352</t>
  </si>
  <si>
    <t>NOMBRE RETIRA: JIMENA FUWNTE F RUT RETIRA: 16435667-1</t>
  </si>
  <si>
    <t>Ximena Fuentes</t>
  </si>
  <si>
    <t>Melitón Martínez 1979, Casa</t>
  </si>
  <si>
    <t>BIT11037045</t>
  </si>
  <si>
    <t>259314283</t>
  </si>
  <si>
    <t>NOMBRE RETIRA: PEDRO JARA M RUT RETIRA: 8810182-0</t>
  </si>
  <si>
    <t>Catalina rebolledo</t>
  </si>
  <si>
    <t>5 de abril 1001</t>
  </si>
  <si>
    <t>BIT11037044</t>
  </si>
  <si>
    <t>259314272</t>
  </si>
  <si>
    <t>NOMBRE RETIRA: PESRO JARA M RUT RETIRA: 8810182-0</t>
  </si>
  <si>
    <t>Catalina Rebolledo gajardo</t>
  </si>
  <si>
    <t>5 de abril 1001, El globo</t>
  </si>
  <si>
    <t>BIT11037040</t>
  </si>
  <si>
    <t>259314287</t>
  </si>
  <si>
    <t>NOMBRE RETIRA: BERNARDO NEGRON . RUT RETIRA: 65168959-7</t>
  </si>
  <si>
    <t>Loreto Páez Alliendes</t>
  </si>
  <si>
    <t>Avenida Jardines Del Bosque 311 Curauma, Casa 56</t>
  </si>
  <si>
    <t>BIT11036982</t>
  </si>
  <si>
    <t>259314337</t>
  </si>
  <si>
    <t>NOMBRE RETIRA: INGRID VARGA V RUT RETIRA: 56049520-K</t>
  </si>
  <si>
    <t>Pamela Villarroel</t>
  </si>
  <si>
    <t>Avenida Edmundo Eluchans 2805 Edificio Makrovista, 1904</t>
  </si>
  <si>
    <t>BIT11037177</t>
  </si>
  <si>
    <t>259486973</t>
  </si>
  <si>
    <t>NOMBRE RETIRA: VANESA SEPULVEDA P RUT RETIRA: 21442412-6</t>
  </si>
  <si>
    <t>Vanessa Sepúlveda</t>
  </si>
  <si>
    <t>Heriberto scheuch 1575, Casa</t>
  </si>
  <si>
    <t>BIT11036969</t>
  </si>
  <si>
    <t>259314357</t>
  </si>
  <si>
    <t>NOMBRE RETIRA: PAULA TAPIA . RUT RETIRA: 15269919-0</t>
  </si>
  <si>
    <t>AnÍbal Pinto 294, 294</t>
  </si>
  <si>
    <t>BIT11037049</t>
  </si>
  <si>
    <t>259314264</t>
  </si>
  <si>
    <t>NOMBRE RETIRA: MATIAS FUENTES . RUT RETIRA: 19124681-0</t>
  </si>
  <si>
    <t>carlos fuentes gomez</t>
  </si>
  <si>
    <t>Pasaje Manuel Rodríguez  465 Belloto Norte, 465</t>
  </si>
  <si>
    <t>BIT11036979</t>
  </si>
  <si>
    <t>259314346</t>
  </si>
  <si>
    <t>NOMBRE RETIRA: RICARDO BELMAR . RUT RETIRA: 7186951-2</t>
  </si>
  <si>
    <t>Soledad Apablaza</t>
  </si>
  <si>
    <t>Calle cerro tronador 4877 casa 31 en valle volcanes, puerto montt, Condominio valle volcanes</t>
  </si>
  <si>
    <t>BIT11037047</t>
  </si>
  <si>
    <t>259314279</t>
  </si>
  <si>
    <t>NOMBRE RETIRA: JOSE DEL SOLAR . RUT RETIRA: 19231633-2</t>
  </si>
  <si>
    <t>Jose Tomas Del Solar bou</t>
  </si>
  <si>
    <t>Arauco 401, Local comercial movilchile</t>
  </si>
  <si>
    <t>BIT11036984</t>
  </si>
  <si>
    <t>259314335</t>
  </si>
  <si>
    <t>NOMBRE RETIRA: MONICA SANCRISTOFUL . RUT RETIRA: 6727518-7</t>
  </si>
  <si>
    <t>Mónica Venegas Sancristoful</t>
  </si>
  <si>
    <t>jahuel 1640</t>
  </si>
  <si>
    <t>BIT11037036</t>
  </si>
  <si>
    <t>259314292</t>
  </si>
  <si>
    <t>NOMBRE RETIRA: JUAN PABLO MONTES . RUT RETIRA: 21668780-9</t>
  </si>
  <si>
    <t>Christa joseclinne Carcamo soto</t>
  </si>
  <si>
    <t>Santuario De La Laguna Valle Volcanes, Pasaje Lepihue 5068</t>
  </si>
  <si>
    <t>BIT11037010</t>
  </si>
  <si>
    <t>259314324</t>
  </si>
  <si>
    <t>NOMBRE RETIRA: GIOVANNI PASTENES . RUT RETIRA: 53312046-6</t>
  </si>
  <si>
    <t>Viviana Ledezma Rojas</t>
  </si>
  <si>
    <t>Padre René Pienovi 755. Depto 1802. Recreo., Esquina camino de La Hacienda</t>
  </si>
  <si>
    <t>BIT11037176</t>
  </si>
  <si>
    <t>259486888</t>
  </si>
  <si>
    <t>NOMBRE RETIRA: CARLOS PEREZ J RUT RETIRA: 6666860-6</t>
  </si>
  <si>
    <t>BIT11037147</t>
  </si>
  <si>
    <t>259473093</t>
  </si>
  <si>
    <t>NOMBRE RETIRA: DAID FIGUEROA. . RUT RETIRA: 12671491-2</t>
  </si>
  <si>
    <t>Lidia Ramos</t>
  </si>
  <si>
    <t>Manuel Rodriguez 1211 Escuela Ferroviaria, Manuel Rodriguez 1211</t>
  </si>
  <si>
    <t>BIT11037211</t>
  </si>
  <si>
    <t>259486753</t>
  </si>
  <si>
    <t>NOMBRE RETIRA: MARCIA YOMAN SOLIS RUT RETIRA: 9819877-6</t>
  </si>
  <si>
    <t>Marcia Yeomans Solis</t>
  </si>
  <si>
    <t>Bombero Isaac Anich N°547</t>
  </si>
  <si>
    <t>BIT11036798</t>
  </si>
  <si>
    <t>259131732</t>
  </si>
  <si>
    <t>NOMBRE RETIRA: JUAN VEJAR B RUT RETIRA: 4695810-1</t>
  </si>
  <si>
    <t>Drina Vejar</t>
  </si>
  <si>
    <t>Sargento candelaria # 1006, Casa de 3 pisos color cafe clara</t>
  </si>
  <si>
    <t>BIT11037039</t>
  </si>
  <si>
    <t>259314290</t>
  </si>
  <si>
    <t>NOMBRE RETIRA: MATIAS VENEGAS .. RUT RETIRA: 21045796-8</t>
  </si>
  <si>
    <t>Samuel Venegas</t>
  </si>
  <si>
    <t>Villa La Marqueza Dos, Pasaje 1 No. 148</t>
  </si>
  <si>
    <t>BIT11035816</t>
  </si>
  <si>
    <t>258421692</t>
  </si>
  <si>
    <t>NOMBRE RETIRA: EDUARDO MAMSILLA .. RUT RETIRA: 12715471-6</t>
  </si>
  <si>
    <t>geraldine herrera</t>
  </si>
  <si>
    <t>valle simpson 145, coyhaique</t>
  </si>
  <si>
    <t>BIT11037017</t>
  </si>
  <si>
    <t>259314309</t>
  </si>
  <si>
    <t>NOMBRE RETIRA: ESUARDO LOBOS . RUT RETIRA: 7541111-1</t>
  </si>
  <si>
    <t>Marianela Gayoso</t>
  </si>
  <si>
    <t>Santiago Rosas 3279, Casa 4 Condominio Portal Los Alpes</t>
  </si>
  <si>
    <t>BIT11036896</t>
  </si>
  <si>
    <t>259205670</t>
  </si>
  <si>
    <t>NOMBRE RETIRA: VERONICA ROJO . RUT RETIRA: 11326375-K</t>
  </si>
  <si>
    <t>Jorge Villalobos Iribarren</t>
  </si>
  <si>
    <t>Yerbas buenas 450</t>
  </si>
  <si>
    <t>BIT11036890</t>
  </si>
  <si>
    <t>259205705</t>
  </si>
  <si>
    <t>NOMBRE RETIRA: LUACIONO ALLE . RUT RETIRA: 21347717-K</t>
  </si>
  <si>
    <t>CARMENGLORIA SALGADO</t>
  </si>
  <si>
    <t>Los Castaños 7051 Lomas Coloradas, San Pedro de la Paz</t>
  </si>
  <si>
    <t>BIT11037026</t>
  </si>
  <si>
    <t>259314305</t>
  </si>
  <si>
    <t>NOMBRE RETIRA: MARCELA UNION . RUT RETIRA: 8214319-K</t>
  </si>
  <si>
    <t>Marcela Union</t>
  </si>
  <si>
    <t>Comercio 237 Rio Bueno, Casa</t>
  </si>
  <si>
    <t>BIT11037012</t>
  </si>
  <si>
    <t>259314323</t>
  </si>
  <si>
    <t>NOMBRE RETIRA: BRANDON VILLALOBOS N RUT RETIRA: 19469741-4</t>
  </si>
  <si>
    <t>Corina Gonzalez Macedo</t>
  </si>
  <si>
    <t>Pasaje Dos 1013, 2° pasaje calle A</t>
  </si>
  <si>
    <t>BIT11037085</t>
  </si>
  <si>
    <t>259473361</t>
  </si>
  <si>
    <t>NOMBRE RETIRA: ALBA SALEIAS . RUT RETIRA: 18805117-0</t>
  </si>
  <si>
    <t>Alba Saldias</t>
  </si>
  <si>
    <t>Roma 0453 villa Italia</t>
  </si>
  <si>
    <t>BIT11036854</t>
  </si>
  <si>
    <t>259205832</t>
  </si>
  <si>
    <t>NOMBRE RETIRA: GABRIEL RAMOS U RUT RETIRA: 20066879-0</t>
  </si>
  <si>
    <t>Gabriel Ramos Cárdenas</t>
  </si>
  <si>
    <t>Avenida Colón 0645</t>
  </si>
  <si>
    <t>BIT11037157</t>
  </si>
  <si>
    <t>259473083</t>
  </si>
  <si>
    <t>NOMBRE RETIRA: JAVIER GARAY . RUT RETIRA: 17947402-6</t>
  </si>
  <si>
    <t>Javier Garay Rivera</t>
  </si>
  <si>
    <t>Juan Budinich 3791</t>
  </si>
  <si>
    <t>BIT11035920</t>
  </si>
  <si>
    <t>258421154</t>
  </si>
  <si>
    <t>Giovane Villesca Pacheco</t>
  </si>
  <si>
    <t>Starken Boulevard del Valle, Av. Laguna Grande 115, local 8 y 9, 4131942 San Pedro de la Paz, Bío Bío</t>
  </si>
  <si>
    <t>BIT11037194</t>
  </si>
  <si>
    <t>259486851</t>
  </si>
  <si>
    <t>NOMBRE RETIRA: JACQUELINE CONSERJE . RUT RETIRA: 13386683-3</t>
  </si>
  <si>
    <t>Karla Salgado Romero</t>
  </si>
  <si>
    <t>Comandante Luis Soto 759, Depto 901 Torre A</t>
  </si>
  <si>
    <t>BIT11036992</t>
  </si>
  <si>
    <t>259314339</t>
  </si>
  <si>
    <t>NOMBRE RETIRA: VICTOR ACUNA J RUT RETIRA: 18194820-5</t>
  </si>
  <si>
    <t>Victor Acuña</t>
  </si>
  <si>
    <t>Milano 01485, Casa</t>
  </si>
  <si>
    <t>BIT11037207</t>
  </si>
  <si>
    <t>259486768</t>
  </si>
  <si>
    <t>NOMBRE RETIRA: SERGIO ARRIAGADA . RUT RETIRA: 5065268-8</t>
  </si>
  <si>
    <t>Victor Arriagada</t>
  </si>
  <si>
    <t>Pasaje 4, Casa 407, Villa Pie De Monte, Chiguayante</t>
  </si>
  <si>
    <t>BIT11037155</t>
  </si>
  <si>
    <t>259473087</t>
  </si>
  <si>
    <t>NOMBRE RETIRA: KATHERINE ORTIZ . RUT RETIRA: 16450710-6</t>
  </si>
  <si>
    <t>Katherine Andrea Ortiz Paredes</t>
  </si>
  <si>
    <t>Las ligustrinas 1673</t>
  </si>
  <si>
    <t>BIT11036955</t>
  </si>
  <si>
    <t>259314389</t>
  </si>
  <si>
    <t>NOMBRE RETIRA: ALICIA AGUILAR J RUT RETIRA: 15014492-2</t>
  </si>
  <si>
    <t>LUIS NUÑEZ</t>
  </si>
  <si>
    <t>AVDA TADEO HAENKE 2221, 225A</t>
  </si>
  <si>
    <t>BIT11037135</t>
  </si>
  <si>
    <t>259473127</t>
  </si>
  <si>
    <t>NOMBRE RETIRA: NATALIA SEPULVEDA . RUT RETIRA: 22391987-1</t>
  </si>
  <si>
    <t>BIT11037196</t>
  </si>
  <si>
    <t>259486828</t>
  </si>
  <si>
    <t>NOMBRE RETIRA: CRITIBAL CID V RUT RETIRA: 13624643-7</t>
  </si>
  <si>
    <t>Ximena Sagredo Heitmann</t>
  </si>
  <si>
    <t>Calle LL 5904 condominio Alerce, Casa 22 brisa del sol</t>
  </si>
  <si>
    <t>BIT11037037</t>
  </si>
  <si>
    <t>259314268</t>
  </si>
  <si>
    <t>NOMBRE RETIRA: RODRIGO SALDANO . RUT RETIRA: 8168895-8</t>
  </si>
  <si>
    <t>FELIPE IGNACIO ACUNA LANG</t>
  </si>
  <si>
    <t>2 Norte 1013, Dpto 507 Edificio Mirador Rioja, 1013</t>
  </si>
  <si>
    <t>BIT11036916</t>
  </si>
  <si>
    <t>259314463</t>
  </si>
  <si>
    <t>NOMBRE RETIRA: MILDRED OROZCO . RUT RETIRA: 24760528-2</t>
  </si>
  <si>
    <t>Rocio trinidad Argandoña vargas</t>
  </si>
  <si>
    <t>General velasquez 956, 14B</t>
  </si>
  <si>
    <t>BIT11036901</t>
  </si>
  <si>
    <t>259314464</t>
  </si>
  <si>
    <t>NOMBRE RETIRA: FABIOLA REBEHEIM K RUT RETIRA: 20066879-0</t>
  </si>
  <si>
    <t>Fabiola Rehbein</t>
  </si>
  <si>
    <t>Del Salvador 750, Depto B 407</t>
  </si>
  <si>
    <t>BIT11037138</t>
  </si>
  <si>
    <t>259473115</t>
  </si>
  <si>
    <t>NOMBRE RETIRA: YESENIA OLGUIN OLGUIN RUT RETIRA: 18446261-3</t>
  </si>
  <si>
    <t>Yessenia Olguin Perez</t>
  </si>
  <si>
    <t>Pasaje espino de cristo 2138  los bosques de san francisco, Casa</t>
  </si>
  <si>
    <t>BIT11037129</t>
  </si>
  <si>
    <t>259473163</t>
  </si>
  <si>
    <t>NOMBRE RETIRA: CAROLINA GONZALEZ VALLE RUT RETIRA: 11365994-7</t>
  </si>
  <si>
    <t>Cirilo Espinoza Aravena</t>
  </si>
  <si>
    <t>Las Acacias 50</t>
  </si>
  <si>
    <t>BIT11035757</t>
  </si>
  <si>
    <t>258421934</t>
  </si>
  <si>
    <t>NOMBRE RETIRA: PABLO PEREZ N RUT RETIRA: 16065225-K</t>
  </si>
  <si>
    <t>pablo alejandro perez nuñez</t>
  </si>
  <si>
    <t>av  frei 1134, casa</t>
  </si>
  <si>
    <t>BIT11037178</t>
  </si>
  <si>
    <t>259486984</t>
  </si>
  <si>
    <t>NOMBRE RETIRA: MARCELO CARCAMO . RUT RETIRA: 16947088-K</t>
  </si>
  <si>
    <t>Avenida Vicente Méndez 419, Edificio Mirador Oriente, Chillán, 114</t>
  </si>
  <si>
    <t>BIT11035415</t>
  </si>
  <si>
    <t>9392212771</t>
  </si>
  <si>
    <t>Barbara Valderrama</t>
  </si>
  <si>
    <t>Fundo El Huapi S/N. Quinta de Tilcoco. Sexta Region, 1</t>
  </si>
  <si>
    <t>BIT11037174</t>
  </si>
  <si>
    <t>259487005</t>
  </si>
  <si>
    <t>NOMBRE RETIRA: NATALIE CONTRERAS . RUT RETIRA: 16765431-2</t>
  </si>
  <si>
    <t>Natalie Contreras Reymar</t>
  </si>
  <si>
    <t>Pasaje rio Pudeto 2775 villa el Recodo San Pedro de la Paz ,Concepcion, Casa</t>
  </si>
  <si>
    <t>BIT11037200</t>
  </si>
  <si>
    <t>259486823</t>
  </si>
  <si>
    <t>NOMBRE RETIRA: BRANCO TOLEDO . RUT RETIRA: 16308746-4</t>
  </si>
  <si>
    <t>MARIA IVANOVIC</t>
  </si>
  <si>
    <t>ALESSANDRI 1075, SECTOR COVICO</t>
  </si>
  <si>
    <t>BIT11036842</t>
  </si>
  <si>
    <t>259205883</t>
  </si>
  <si>
    <t>NOMBRE RETIRA: BRENDA JIMENEZ . RUT RETIRA: 16564890-0</t>
  </si>
  <si>
    <t>Rodrigo Flores Cruz</t>
  </si>
  <si>
    <t>Avenida Granaderos 1686, Clinica Dental Plus</t>
  </si>
  <si>
    <t>BIT11036930</t>
  </si>
  <si>
    <t>259314433</t>
  </si>
  <si>
    <t>NOMBRE RETIRA: JESSICA ADONES . RUT RETIRA: 9147070-5</t>
  </si>
  <si>
    <t>Giannina Araus</t>
  </si>
  <si>
    <t>Sierra Nevada 11110, 901</t>
  </si>
  <si>
    <t>BIT11036888</t>
  </si>
  <si>
    <t>259205692</t>
  </si>
  <si>
    <t>Mónica Romero</t>
  </si>
  <si>
    <t>BIT11036555</t>
  </si>
  <si>
    <t>259024674</t>
  </si>
  <si>
    <t>NOMBRE RETIRA: PEDRO VALDEVENITO Z RUT RETIRA: 17557062-4</t>
  </si>
  <si>
    <t>Pedro Valdebenito</t>
  </si>
  <si>
    <t>Miramar 1455</t>
  </si>
  <si>
    <t>BIT11036954</t>
  </si>
  <si>
    <t>259314386</t>
  </si>
  <si>
    <t>NOMBRE RETIRA: MARCELO INZUNSA M RUT RETIRA: 11492753-8</t>
  </si>
  <si>
    <t>Ivette Reyes</t>
  </si>
  <si>
    <t>Claro solar310, Casa</t>
  </si>
  <si>
    <t>BIT11035233</t>
  </si>
  <si>
    <t>257838268</t>
  </si>
  <si>
    <t>NOMBRE RETIRA: PATRICIA CARRENO . RUT RETIRA: 11111111-1</t>
  </si>
  <si>
    <t>Patricia Carreño</t>
  </si>
  <si>
    <t>Ignacio Carrera Pinto 424</t>
  </si>
  <si>
    <t>2025-11-22 11:28</t>
  </si>
  <si>
    <t>BIT11036936</t>
  </si>
  <si>
    <t>259314446</t>
  </si>
  <si>
    <t>NOMBRE RETIRA: CRISTIAN SEGUEL A RUT RETIRA: 65027230-7</t>
  </si>
  <si>
    <t>Manuel Latoja Saavedra</t>
  </si>
  <si>
    <t>Epsilon 1920, Depto. G 31</t>
  </si>
  <si>
    <t>BIT11036964</t>
  </si>
  <si>
    <t>259314373</t>
  </si>
  <si>
    <t>NOMBRE RETIRA: AGUSTIN CONTRERAA . RUT RETIRA: 12345678-5</t>
  </si>
  <si>
    <t>BIT11036917</t>
  </si>
  <si>
    <t>259314462</t>
  </si>
  <si>
    <t>NOMBRE RETIRA: CONDOMINIO MIRADOR DEL VALLE N RUT RETIRA: 53331607-7</t>
  </si>
  <si>
    <t>Italo Vera inostroza</t>
  </si>
  <si>
    <t>Lago villarica 650, Departamento b210</t>
  </si>
  <si>
    <t>BIT11036944</t>
  </si>
  <si>
    <t>259314415</t>
  </si>
  <si>
    <t>NOMBRE RETIRA: ANGELO DOMENICONE B RUT RETIRA: 10429668-8</t>
  </si>
  <si>
    <t>Avenida Republica 1225, Entregar en supermercado italia 9-14 hrs 16-20:30 hrs</t>
  </si>
  <si>
    <t>BIT11036889</t>
  </si>
  <si>
    <t>259205741</t>
  </si>
  <si>
    <t>NOMBRE RETIRA: CAROLA SANHUEZA 0 RUT RETIRA: 10362212-3</t>
  </si>
  <si>
    <t>Carola Sanhueza Cifuentes</t>
  </si>
  <si>
    <t>31y medio oriente 2725 valles del country, 2725</t>
  </si>
  <si>
    <t>BIT11036950</t>
  </si>
  <si>
    <t>259314390</t>
  </si>
  <si>
    <t>NOMBRE RETIRA: HWCTOR BUSTAMANTE BUSTAMANTE RUT RETIRA: 13120645-3</t>
  </si>
  <si>
    <t>Héctor Bustamante</t>
  </si>
  <si>
    <t>Quintanilla 1350, 1350</t>
  </si>
  <si>
    <t>BIT11036927</t>
  </si>
  <si>
    <t>259314458</t>
  </si>
  <si>
    <t>NOMBRE RETIRA: XIMENA GUERRA GUERRA RUT RETIRA: 10309750-9</t>
  </si>
  <si>
    <t>Ximena Guerra arancibia</t>
  </si>
  <si>
    <t>Notaria, O'higgins 744</t>
  </si>
  <si>
    <t>BIT11036273</t>
  </si>
  <si>
    <t>258928116</t>
  </si>
  <si>
    <t>NOMBRE RETIRA: JUAN PENA X RUT RETIRA: 9610101-5</t>
  </si>
  <si>
    <t>Barbara Echague</t>
  </si>
  <si>
    <t>Calle seis poniente 415 , LICAN RAY</t>
  </si>
  <si>
    <t>BIT11036761</t>
  </si>
  <si>
    <t>259131825</t>
  </si>
  <si>
    <t>NOMBRE RETIRA: ORLANDO BASCUR . RUT RETIRA: 53330390-0</t>
  </si>
  <si>
    <t>Iván Garcia Contreras</t>
  </si>
  <si>
    <t>Mercedes 461, Departamento 208</t>
  </si>
  <si>
    <t>2025-12-04 19:14</t>
  </si>
  <si>
    <t>BIT11036822</t>
  </si>
  <si>
    <t>259131635</t>
  </si>
  <si>
    <t>NOMBRE RETIRA: MARCELO. PAREDES . RUT RETIRA: 15268381-2</t>
  </si>
  <si>
    <t>Marcelo Paredes Sanchez</t>
  </si>
  <si>
    <t>Diagonal los carrera block 15 depto 22, Block 15 depto 22</t>
  </si>
  <si>
    <t>2025-12-05 10:15</t>
  </si>
  <si>
    <t>BIT11036312</t>
  </si>
  <si>
    <t>258927925</t>
  </si>
  <si>
    <t>NOMBRE RETIRA: GERARDO CORTEZ H RUT RETIRA: 161268948-9</t>
  </si>
  <si>
    <t>Gerardo Cortes Muñoz</t>
  </si>
  <si>
    <t>Osorno 4698, casa</t>
  </si>
  <si>
    <t>BIT11036937</t>
  </si>
  <si>
    <t>259314438</t>
  </si>
  <si>
    <t>NOMBRE RETIRA: YANETH PUGENO PUGENO RUT RETIRA: 13531012-3</t>
  </si>
  <si>
    <t>Rodrigo Diaz adonis</t>
  </si>
  <si>
    <t>Salas173</t>
  </si>
  <si>
    <t>BIT11036342</t>
  </si>
  <si>
    <t>258927783</t>
  </si>
  <si>
    <t>NOMBRE RETIRA: ROSIO LAFORME MONTANO RUT RETIRA: 22866316-6</t>
  </si>
  <si>
    <t>Víctor Sanchez</t>
  </si>
  <si>
    <t>Policarpo toro 0288, Villa las rocas</t>
  </si>
  <si>
    <t>BIT11036853</t>
  </si>
  <si>
    <t>259205814</t>
  </si>
  <si>
    <t>Marion Rivas Muñoz</t>
  </si>
  <si>
    <t>Buena Vista, Valle Nonguen 253, Casa</t>
  </si>
  <si>
    <t>BIT11036907</t>
  </si>
  <si>
    <t>259314465</t>
  </si>
  <si>
    <t>NOMBRE RETIRA: OSVALDO CALQUIN . RUT RETIRA: 15180728-3</t>
  </si>
  <si>
    <t>Flores Millán 1342, Casa 65</t>
  </si>
  <si>
    <t>BIT11036933</t>
  </si>
  <si>
    <t>259314444</t>
  </si>
  <si>
    <t>NOMBRE RETIRA: MIGUEL NAVARRETE . RUT RETIRA: 65013005-7</t>
  </si>
  <si>
    <t>Massiel Peralta Araya</t>
  </si>
  <si>
    <t>Obispo Hipolito Salas 53, 802</t>
  </si>
  <si>
    <t>BIT11036877</t>
  </si>
  <si>
    <t>259205779</t>
  </si>
  <si>
    <t>NOMBRE RETIRA: CARMEN OSSES . RUT RETIRA: 19089657-9</t>
  </si>
  <si>
    <t>Carmen Gloria Osses Guzmán</t>
  </si>
  <si>
    <t>Avenida 101 (Entre calles Libertad y Progreso), 1374</t>
  </si>
  <si>
    <t>BIT11035812</t>
  </si>
  <si>
    <t>258421744</t>
  </si>
  <si>
    <t>NOMBRE RETIRA: CAMILO VILLAR . RUT RETIRA: 16975248-6</t>
  </si>
  <si>
    <t>Camilo Villar</t>
  </si>
  <si>
    <t>Pasaje 7 1668</t>
  </si>
  <si>
    <t>BIT11036894</t>
  </si>
  <si>
    <t>259205649</t>
  </si>
  <si>
    <t>NOMBRE RETIRA: TIARE BASTIAS . RUT RETIRA: 53337172-8</t>
  </si>
  <si>
    <t>Irene Roa</t>
  </si>
  <si>
    <t>San Sebastian 02240, Casa 56</t>
  </si>
  <si>
    <t>BIT11036762</t>
  </si>
  <si>
    <t>259131840</t>
  </si>
  <si>
    <t>NOMBRE RETIRA: SAMUEL ORELLANA . RUT RETIRA: 11505547-K</t>
  </si>
  <si>
    <t>Samuel Orellana Soto</t>
  </si>
  <si>
    <t>Collaguasi 1576 v Ayquina, Casa</t>
  </si>
  <si>
    <t>BIT11036182</t>
  </si>
  <si>
    <t>258552332</t>
  </si>
  <si>
    <t>NOMBRE RETIRA: FRECIA CARBAJAL . RUT RETIRA: 11097454-K</t>
  </si>
  <si>
    <t>CIRO OSORIO</t>
  </si>
  <si>
    <t>galleguillos lorca 1654 casa D, casa D</t>
  </si>
  <si>
    <t>2025-11-30 15:04</t>
  </si>
  <si>
    <t>BIT11036897</t>
  </si>
  <si>
    <t>259205664</t>
  </si>
  <si>
    <t>NOMBRE RETIRA: CLAUDIA GUTIERREZ ... RUT RETIRA: 76669508-6</t>
  </si>
  <si>
    <t>BIT11036862</t>
  </si>
  <si>
    <t>259205805</t>
  </si>
  <si>
    <t>NOMBRE RETIRA: ANA CAMPSO U RUT RETIRA: 15988892-4</t>
  </si>
  <si>
    <t>Consuelo Muñoz</t>
  </si>
  <si>
    <t>Av Pedro De Valdivia 0390, Torre 3 depto 103</t>
  </si>
  <si>
    <t>BIT11036956</t>
  </si>
  <si>
    <t>259314400</t>
  </si>
  <si>
    <t>NOMBRE RETIRA: ANA CAMPOS H RUT RETIRA: 15988892-4</t>
  </si>
  <si>
    <t>Diego Alveal Seguel</t>
  </si>
  <si>
    <t>Avenida Pedro de Valdivia 0400, B203</t>
  </si>
  <si>
    <t>BIT11036785</t>
  </si>
  <si>
    <t>259131779</t>
  </si>
  <si>
    <t>NOMBRE RETIRA: MARITZA PALACIOS . RUT RETIRA: 11377696-K</t>
  </si>
  <si>
    <t>Ingrid Ramirez becerra</t>
  </si>
  <si>
    <t>Salvador reyes 940, Departamento 1903</t>
  </si>
  <si>
    <t>BIT11036235</t>
  </si>
  <si>
    <t>258928279</t>
  </si>
  <si>
    <t>Pamela Peñafiel</t>
  </si>
  <si>
    <t>Salvador reyes 940, Dep 2302</t>
  </si>
  <si>
    <t>BIT11036938</t>
  </si>
  <si>
    <t>259314442</t>
  </si>
  <si>
    <t>NOMBRE RETIRA: PAULA TAPIA . RUT RETIRA: 18180637-0</t>
  </si>
  <si>
    <t>Anibal Pinto 294</t>
  </si>
  <si>
    <t>BIT11036831</t>
  </si>
  <si>
    <t>259131615</t>
  </si>
  <si>
    <t>NOMBRE RETIRA: ISABEL DE LA SOTA . RUT RETIRA: 4715626-2</t>
  </si>
  <si>
    <t>Jorge Parot</t>
  </si>
  <si>
    <t>Camino Nahueltoro 18000</t>
  </si>
  <si>
    <t>BIT11036857</t>
  </si>
  <si>
    <t>259205862</t>
  </si>
  <si>
    <t>NOMBRE RETIRA: SEBASTIAN MENARES . RUT RETIRA: 16973728-2</t>
  </si>
  <si>
    <t>francesca gatica chiple</t>
  </si>
  <si>
    <t>olegario lazo 496, cuartel pdi san fernando</t>
  </si>
  <si>
    <t>BIT11036845</t>
  </si>
  <si>
    <t>259205909</t>
  </si>
  <si>
    <t>NOMBRE RETIRA: GONZALO LOPEZ N RUT RETIRA: 65200575-6</t>
  </si>
  <si>
    <t>Marcos Cortes Aguilera</t>
  </si>
  <si>
    <t>Las acacias 240, Condominio Blanc 1, Casa 16</t>
  </si>
  <si>
    <t>BIT11036671</t>
  </si>
  <si>
    <t>259131874</t>
  </si>
  <si>
    <t>NOMBRE RETIRA: WALTER SEMINO. . RUT RETIRA: 23082146-1</t>
  </si>
  <si>
    <t>Loreto Lavanderos</t>
  </si>
  <si>
    <t>Playa el aguila 2223, 1401</t>
  </si>
  <si>
    <t>2025-12-03 10:21</t>
  </si>
  <si>
    <t>BIT11036789</t>
  </si>
  <si>
    <t>259131728</t>
  </si>
  <si>
    <t>NOMBRE RETIRA: ADOLFO MORALES . RUT RETIRA: 18816881-7</t>
  </si>
  <si>
    <t>DANIELA PAZ MATUS ROSAS</t>
  </si>
  <si>
    <t>senador estebanez 880, 121</t>
  </si>
  <si>
    <t>BIT11036345</t>
  </si>
  <si>
    <t>258927733</t>
  </si>
  <si>
    <t>NOMBRE RETIRA: JUAN ORELLANA ORELLANA RUT RETIRA: 78255656-8</t>
  </si>
  <si>
    <t>Juan Pablo Orellana Cádiz</t>
  </si>
  <si>
    <t>Av. el Cristo local 6 y 7, Hidroagro</t>
  </si>
  <si>
    <t>BIT11036331</t>
  </si>
  <si>
    <t>258927805</t>
  </si>
  <si>
    <t>NOMBRE RETIRA: CARELI GUTIERREZ . RUT RETIRA: 15214392-3</t>
  </si>
  <si>
    <t>Miguel Barraza ilaja</t>
  </si>
  <si>
    <t>Genaro gallo 1925, Casa</t>
  </si>
  <si>
    <t>BIT11035456</t>
  </si>
  <si>
    <t>258098966</t>
  </si>
  <si>
    <t>NOMBRE RETIRA: JAUN N . RUT RETIRA: 18642909-5</t>
  </si>
  <si>
    <t>Juan Carlos Barraza Vera</t>
  </si>
  <si>
    <t>Granaderos 1619, Casa</t>
  </si>
  <si>
    <t>2025-11-26 11:02</t>
  </si>
  <si>
    <t>BIT11036819</t>
  </si>
  <si>
    <t>259131664</t>
  </si>
  <si>
    <t>NOMBRE RETIRA: GABRIEL SANCHEZ B RUT RETIRA: 12110208-0</t>
  </si>
  <si>
    <t>Gabriel Sánchez Bauzá</t>
  </si>
  <si>
    <t>Pasaje la cumbre 434</t>
  </si>
  <si>
    <t>BIT11036550</t>
  </si>
  <si>
    <t>259024659</t>
  </si>
  <si>
    <t>NOMBRE RETIRA: MARCOS CAMUS . RUT RETIRA: 56052390-4</t>
  </si>
  <si>
    <t>Dp 901 Edifício Las Acacias, Salvador Reyes 1094</t>
  </si>
  <si>
    <t>BIT11035493</t>
  </si>
  <si>
    <t>258191635</t>
  </si>
  <si>
    <t>NOMBRE RETIRA: VRISTINA PACHECO . RUT RETIRA: 16338356-K</t>
  </si>
  <si>
    <t>Cristina andrea Pacheco gonzalez</t>
  </si>
  <si>
    <t>Francisco bilbao 1240, Casa</t>
  </si>
  <si>
    <t>2025-11-26 21:04</t>
  </si>
  <si>
    <t>BIT11036634</t>
  </si>
  <si>
    <t>258924696</t>
  </si>
  <si>
    <t>NOMBRE RETIRA: FELICIANO BURGO .. RUT RETIRA: 24995216-8</t>
  </si>
  <si>
    <t>Karla Gaete Mujica</t>
  </si>
  <si>
    <t>Galleguillos Lorca 1204, Dpto. 104 Edificio Altamira</t>
  </si>
  <si>
    <t>BIT11036790</t>
  </si>
  <si>
    <t>259131762</t>
  </si>
  <si>
    <t>NOMBRE RETIRA: LUIS REYES ... RUT RETIRA: 65063059-9</t>
  </si>
  <si>
    <t>Claudio Contreras Contreras</t>
  </si>
  <si>
    <t>Alto Laguna 61 ⁠61, Casa 14 Condominio Aires de Curauma</t>
  </si>
  <si>
    <t>BIT11036370</t>
  </si>
  <si>
    <t>258925495</t>
  </si>
  <si>
    <t>NOMBRE RETIRA: MAURICIO RIOS 7 RUT RETIRA: 15988892-4</t>
  </si>
  <si>
    <t>Mauricio Ríos Lavado</t>
  </si>
  <si>
    <t>Javiera Carerra 403, Torre 1, departamento 403</t>
  </si>
  <si>
    <t>BIT11036830</t>
  </si>
  <si>
    <t>259131593</t>
  </si>
  <si>
    <t>NOMBRE RETIRA: RICARDO GONZALEZ . RUT RETIRA: 17870089-8</t>
  </si>
  <si>
    <t>Claudia Andrea Alveal Meza</t>
  </si>
  <si>
    <t>Alamedas de San Francisco Los Abedules A 42</t>
  </si>
  <si>
    <t>BIT11036562</t>
  </si>
  <si>
    <t>259024641</t>
  </si>
  <si>
    <t>NOMBRE RETIRA: NATALIE PEGY CASTANEDO . RUT RETIRA: 26234703-6</t>
  </si>
  <si>
    <t>Luis Poblete Sepúlveda</t>
  </si>
  <si>
    <t>Casilla de correos : 8066 Sucursal Viña Arcadia, Av. Valparaíso 429, Viña del Mar, Valparaíso</t>
  </si>
  <si>
    <t>BIT11036570</t>
  </si>
  <si>
    <t>259024622</t>
  </si>
  <si>
    <t>NOMBRE RETIRA: ARIANA URZUA . RUT RETIRA: 21478247-2</t>
  </si>
  <si>
    <t>claudia carreño</t>
  </si>
  <si>
    <t>av balmaceda 487</t>
  </si>
  <si>
    <t>BIT11036264</t>
  </si>
  <si>
    <t>258928151</t>
  </si>
  <si>
    <t>NOMBRE RETIRA: NELSON BELMAR N RUT RETIRA: 21678995-4</t>
  </si>
  <si>
    <t>Yolanda Alday</t>
  </si>
  <si>
    <t>Huamachuco 8612</t>
  </si>
  <si>
    <t>BIT11036462</t>
  </si>
  <si>
    <t>258925089</t>
  </si>
  <si>
    <t>NOMBRE RETIRA: SILIVIA . M RUT RETIRA: 53330390-0</t>
  </si>
  <si>
    <t>Orlando Antonio Burgos Figueroa</t>
  </si>
  <si>
    <t>Carmen 446, 1501</t>
  </si>
  <si>
    <t>BIT11036352</t>
  </si>
  <si>
    <t>258925578</t>
  </si>
  <si>
    <t>Alejandro Carvallo arenas</t>
  </si>
  <si>
    <t>Pasaje Los Copihues 116, Dpto 14, Dpto 14</t>
  </si>
  <si>
    <t>BIT11036451</t>
  </si>
  <si>
    <t>258925133</t>
  </si>
  <si>
    <t>NOMBRE RETIRA: CARMEN VERGARA VERGARA RUT RETIRA: 11508825-4</t>
  </si>
  <si>
    <t>Carmen Vergara</t>
  </si>
  <si>
    <t>Panamericana norte km 882</t>
  </si>
  <si>
    <t>BIT11036629</t>
  </si>
  <si>
    <t>259024280</t>
  </si>
  <si>
    <t>NOMBRE RETIRA: MACAREN MORAGA Y RUT RETIRA: 11971935-6</t>
  </si>
  <si>
    <t>makarena moraga cruz</t>
  </si>
  <si>
    <t>Villota #6, Oficina</t>
  </si>
  <si>
    <t>BIT11036542</t>
  </si>
  <si>
    <t>259024663</t>
  </si>
  <si>
    <t>NOMBRE RETIRA: SAMUEL CHAVEZ . RUT RETIRA: 7072386-7</t>
  </si>
  <si>
    <t>Las Encinas 51, 603</t>
  </si>
  <si>
    <t>BIT11036602</t>
  </si>
  <si>
    <t>259024370</t>
  </si>
  <si>
    <t>NOMBRE RETIRA: JORGUE SUNIGA . RUT RETIRA: 53335457-2</t>
  </si>
  <si>
    <t>Alamos Alan</t>
  </si>
  <si>
    <t>9 Norte 450, 2113</t>
  </si>
  <si>
    <t>BIT11036777</t>
  </si>
  <si>
    <t>259131807</t>
  </si>
  <si>
    <t>NOMBRE RETIRA: NICOLE SAINT N RUT RETIRA: 13332645-6</t>
  </si>
  <si>
    <t>Nicole Saint Jean Cifuentes</t>
  </si>
  <si>
    <t>El Bosque 293, 59</t>
  </si>
  <si>
    <t>BIT11036778</t>
  </si>
  <si>
    <t>259131776</t>
  </si>
  <si>
    <t>NOMBRE RETIRA: CRISTIAN ROJAS . RUT RETIRA: 15825587-1</t>
  </si>
  <si>
    <t>Cristian Rojas Godoy</t>
  </si>
  <si>
    <t>Av. Nueva Oriente #2864, Depto 32</t>
  </si>
  <si>
    <t>BIT11036414</t>
  </si>
  <si>
    <t>258925317</t>
  </si>
  <si>
    <t>NOMBRE RETIRA: PAMELA BRAVO U RUT RETIRA: 18194820-5</t>
  </si>
  <si>
    <t>Rosita Erices</t>
  </si>
  <si>
    <t>Venus 2341, Oficina Dirección</t>
  </si>
  <si>
    <t>BIT11036577</t>
  </si>
  <si>
    <t>259024588</t>
  </si>
  <si>
    <t>NOMBRE RETIRA: VEGONA GARCIA J RUT RETIRA: 17994445-6</t>
  </si>
  <si>
    <t>Arthur Schutte</t>
  </si>
  <si>
    <t>Peña 369, Clínica veterinaria</t>
  </si>
  <si>
    <t>BIT11036504</t>
  </si>
  <si>
    <t>258924830</t>
  </si>
  <si>
    <t>NOMBRE RETIRA: ANA LIZARDI . RUT RETIRA: 10573490-5</t>
  </si>
  <si>
    <t>Manuel Cáceres</t>
  </si>
  <si>
    <t>Pedro aguirre cerda 10571, Depto H 404</t>
  </si>
  <si>
    <t>BIT11036354</t>
  </si>
  <si>
    <t>258925571</t>
  </si>
  <si>
    <t>NOMBRE RETIRA: IGNACIO CASTRO M RUT RETIRA: 19101551-7</t>
  </si>
  <si>
    <t>Jorge Tapia</t>
  </si>
  <si>
    <t>Av. Cerro Paranal 315, Departamento 194 A</t>
  </si>
  <si>
    <t>BIT11036821</t>
  </si>
  <si>
    <t>259131653</t>
  </si>
  <si>
    <t>NOMBRE RETIRA: JUAN YANEZ CONSERJERIA RUT RETIRA: 6003770-1</t>
  </si>
  <si>
    <t>Andrés Cruz Barrientos</t>
  </si>
  <si>
    <t>Avenida Cuatro Esquinas 4500, Casa 74, Barrio Umbrales</t>
  </si>
  <si>
    <t>BIT11036134</t>
  </si>
  <si>
    <t>258552520</t>
  </si>
  <si>
    <t>NOMBRE RETIRA: HERNAR PINOCHE . RUT RETIRA: 8224994-K</t>
  </si>
  <si>
    <t>José Domingo Diaz Vasquez</t>
  </si>
  <si>
    <t>Renato Rocca 1261</t>
  </si>
  <si>
    <t>BIT11035673</t>
  </si>
  <si>
    <t>258423437</t>
  </si>
  <si>
    <t>NOMBRE RETIRA: JUAN RIQUELME . RUT RETIRA: 9512590-5</t>
  </si>
  <si>
    <t>Juan Riquelme Sepúlveda</t>
  </si>
  <si>
    <t>Condominio montesol II calle 4N 60, Block3  drpto 202</t>
  </si>
  <si>
    <t>2025-11-28 10:03</t>
  </si>
  <si>
    <t>BIT11036476</t>
  </si>
  <si>
    <t>258924975</t>
  </si>
  <si>
    <t>NOMBRE RETIRA: JAVIER MONJE MONJE RUT RETIRA: 5676849-1</t>
  </si>
  <si>
    <t>Pasaje Miraflores 1097, Pasaje Miraflores 1097</t>
  </si>
  <si>
    <t>BIT11036827</t>
  </si>
  <si>
    <t>259131587</t>
  </si>
  <si>
    <t>Fr Campos</t>
  </si>
  <si>
    <t>Parcela C lote B 1 1 dos hermanas piedra colgada</t>
  </si>
  <si>
    <t>BIT11036707</t>
  </si>
  <si>
    <t>259024221</t>
  </si>
  <si>
    <t>NOMBRE RETIRA: ANGEL CABANA MOLINA RUT RETIRA: 10743609-K</t>
  </si>
  <si>
    <t>Angel Cabana Molina Cabaña</t>
  </si>
  <si>
    <t>Calle Tarapaca 333 Machali, Calle Tarapaca 333</t>
  </si>
  <si>
    <t>BIT11036216</t>
  </si>
  <si>
    <t>258928307</t>
  </si>
  <si>
    <t>NOMBRE RETIRA: PAULA ALVAREZ . RUT RETIRA: 15014910-K</t>
  </si>
  <si>
    <t>Luis Álvarez</t>
  </si>
  <si>
    <t>Alpaca 1272 villa ascotan, Casa</t>
  </si>
  <si>
    <t>BIT11036584</t>
  </si>
  <si>
    <t>259024520</t>
  </si>
  <si>
    <t>NOMBRE RETIRA: IGNASIO PENNAROLI P RUT RETIRA: 17434034-K</t>
  </si>
  <si>
    <t>Nelson Araya</t>
  </si>
  <si>
    <t>Cerro moreno 10585, Casa 6</t>
  </si>
  <si>
    <t>BIT11036328</t>
  </si>
  <si>
    <t>258927827</t>
  </si>
  <si>
    <t>NOMBRE RETIRA: RODRIGO AEDO . RUT RETIRA: 10779537-5</t>
  </si>
  <si>
    <t>Rodrigo Aedo Montealegre</t>
  </si>
  <si>
    <t>Avenida Bernardino Guerra 0342, Casa</t>
  </si>
  <si>
    <t>BIT11036809</t>
  </si>
  <si>
    <t>259131671</t>
  </si>
  <si>
    <t>NOMBRE RETIRA: ANDRES MONTERO . RUT RETIRA: 16093862-5</t>
  </si>
  <si>
    <t>Cristina Marambio Cuevas</t>
  </si>
  <si>
    <t>Su santidad Juan XXIII 3317</t>
  </si>
  <si>
    <t>BIT11036561</t>
  </si>
  <si>
    <t>259024633</t>
  </si>
  <si>
    <t>NOMBRE RETIRA: PATRICIO ESCARE . RUT RETIRA: 12533484-9</t>
  </si>
  <si>
    <t>Patricio Escare</t>
  </si>
  <si>
    <t>Nueva Norte 265</t>
  </si>
  <si>
    <t>BIT11036826</t>
  </si>
  <si>
    <t>259131631</t>
  </si>
  <si>
    <t>NOMBRE RETIRA: GUSTAVO YONES . RUT RETIRA: 12533484-9</t>
  </si>
  <si>
    <t>Gustavo Yones Pande</t>
  </si>
  <si>
    <t>Casa, Calle Libertad 450</t>
  </si>
  <si>
    <t>BIT11036375</t>
  </si>
  <si>
    <t>258925449</t>
  </si>
  <si>
    <t>NOMBRE RETIRA: CARMEN ARANCIBIA . RUT RETIRA: 8211032-1</t>
  </si>
  <si>
    <t>Fresia #2520, Casa</t>
  </si>
  <si>
    <t>BIT11036386</t>
  </si>
  <si>
    <t>258925441</t>
  </si>
  <si>
    <t>NOMBRE RETIRA: FELIPE MONTECINOS .. RUT RETIRA: 21199739-7</t>
  </si>
  <si>
    <t>Fernando Rodrigo Montecinos Aguilera</t>
  </si>
  <si>
    <t>Sevilla 697, Casa  esquina</t>
  </si>
  <si>
    <t>BIT11036311</t>
  </si>
  <si>
    <t>258927874</t>
  </si>
  <si>
    <t>NOMBRE RETIRA: JIMMY RAMIREZ J RUT RETIRA: 78225813-3</t>
  </si>
  <si>
    <t>Jimmy Ramírez Yáñez</t>
  </si>
  <si>
    <t>Psje Tikan Kabur Norte 3668, Villa Portal del Inca</t>
  </si>
  <si>
    <t>BIT11036720</t>
  </si>
  <si>
    <t>259024169</t>
  </si>
  <si>
    <t>NOMBRE RETIRA: CLAUDIO .. . RUT RETIRA: 53310370-7</t>
  </si>
  <si>
    <t>Sebastian Gimpel</t>
  </si>
  <si>
    <t>Los Pablos 2031, Depto 1207 B</t>
  </si>
  <si>
    <t>2025-12-03 19:24</t>
  </si>
  <si>
    <t>BIT11036426</t>
  </si>
  <si>
    <t>258925248</t>
  </si>
  <si>
    <t>NOMBRE RETIRA: OSCAR SANTANDRR A RUT RETIRA: 10050628-9</t>
  </si>
  <si>
    <t>Oscar Robert Aguilera Diaz</t>
  </si>
  <si>
    <t>Ascotán Norte 155, Depto 312 B</t>
  </si>
  <si>
    <t>BIT11036326</t>
  </si>
  <si>
    <t>258927834</t>
  </si>
  <si>
    <t>NOMBRE RETIRA: ARMIN PINTO . RUT RETIRA: 10995043-2</t>
  </si>
  <si>
    <t>Armin Pinto chavez</t>
  </si>
  <si>
    <t>Los serafines, 1277</t>
  </si>
  <si>
    <t>BIT11036693</t>
  </si>
  <si>
    <t>259024236</t>
  </si>
  <si>
    <t>NOMBRE RETIRA: SOTO . . RUT RETIRA: 53310370-7</t>
  </si>
  <si>
    <t>Mixchar Miquel</t>
  </si>
  <si>
    <t>Avenida Gabriela Mistral 03325, Casa 22</t>
  </si>
  <si>
    <t>BIT11036771</t>
  </si>
  <si>
    <t>259131789</t>
  </si>
  <si>
    <t>NOMBRE RETIRA: PATRICOO PINO M RUT RETIRA: 10970487-3</t>
  </si>
  <si>
    <t>Constanza Naranjo Alé</t>
  </si>
  <si>
    <t>John Macnab 3460, casa 1</t>
  </si>
  <si>
    <t>BIT11036458</t>
  </si>
  <si>
    <t>258925105</t>
  </si>
  <si>
    <t>NOMBRE RETIRA: CARLOS CABRERA , RUT RETIRA: 10263228-1</t>
  </si>
  <si>
    <t>Pablo Cabrera</t>
  </si>
  <si>
    <t>Calle Mataquito 858, aguas negras</t>
  </si>
  <si>
    <t>BIT11036212</t>
  </si>
  <si>
    <t>258928337</t>
  </si>
  <si>
    <t>Juan Valdes</t>
  </si>
  <si>
    <t>12 1/2 Oriente 2229, Casa</t>
  </si>
  <si>
    <t>BIT11036472</t>
  </si>
  <si>
    <t>258924992</t>
  </si>
  <si>
    <t>NOMBRE RETIRA: JUAN PABLO . RUT RETIRA: 10883378-5</t>
  </si>
  <si>
    <t>Marjorie Villalobos</t>
  </si>
  <si>
    <t>Pasaje Camino A La Playa 2040, 419</t>
  </si>
  <si>
    <t>BIT11036374</t>
  </si>
  <si>
    <t>258925468</t>
  </si>
  <si>
    <t>NOMBRE RETIRA: LUIS JOSAFAT JOSAFAT RUT RETIRA: 7491481-0</t>
  </si>
  <si>
    <t>LUIS JOSAFAT BORDONES MORALES</t>
  </si>
  <si>
    <t>Prat 779</t>
  </si>
  <si>
    <t>BIT11036165</t>
  </si>
  <si>
    <t>258552370</t>
  </si>
  <si>
    <t>Stefhania Moro Araya</t>
  </si>
  <si>
    <t>Calle La Pampa 982 Kamac Mayu, Casa</t>
  </si>
  <si>
    <t>BIT11036665</t>
  </si>
  <si>
    <t>258924578</t>
  </si>
  <si>
    <t>NOMBRE RETIRA: MARIO RAMIREZ . . RUT RETIRA: 7601801-4</t>
  </si>
  <si>
    <t>Marcial martinez cuadros 789, Casa</t>
  </si>
  <si>
    <t>BIT11036741</t>
  </si>
  <si>
    <t>259024098</t>
  </si>
  <si>
    <t>Santiago Acevedo Jimenéz</t>
  </si>
  <si>
    <t>Avenida Arturo Prat ChacÓn 2272, Edificio Aruba, Departamento 1003</t>
  </si>
  <si>
    <t>2025-12-04 10:16</t>
  </si>
  <si>
    <t>BIT11036575</t>
  </si>
  <si>
    <t>259024577</t>
  </si>
  <si>
    <t>NOMBRE RETIRA: JOSE TORRES . RUT RETIRA: 65094356-2</t>
  </si>
  <si>
    <t>LORENA ARAVENA</t>
  </si>
  <si>
    <t>AVENIDA ATLANTICO 4030, 184</t>
  </si>
  <si>
    <t>BIT11036591</t>
  </si>
  <si>
    <t>259024483</t>
  </si>
  <si>
    <t>NOMBRE RETIRA: MYRISM JEREZ . RUT RETIRA: 13022713-9</t>
  </si>
  <si>
    <t>Myriam Jerez</t>
  </si>
  <si>
    <t>Quinto Sector, Tres Sur 5721 Gómez Carreño 3</t>
  </si>
  <si>
    <t>BIT11036407</t>
  </si>
  <si>
    <t>258925352</t>
  </si>
  <si>
    <t>NOMBRE RETIRA: SOFIA MOLLO . RUT RETIRA: 20775939-2</t>
  </si>
  <si>
    <t>Daisy Ana Luisa Alarcon Valenzuela</t>
  </si>
  <si>
    <t>Avda Arturo Prat 1670. Edificio Mykonos. Depto 241, Condominio Mar Egeo</t>
  </si>
  <si>
    <t>BIT11036490</t>
  </si>
  <si>
    <t>258924927</t>
  </si>
  <si>
    <t>BIT11036611</t>
  </si>
  <si>
    <t>259024332</t>
  </si>
  <si>
    <t>NOMBRE RETIRA: JUANA VERA . RUT RETIRA: 16947088-K</t>
  </si>
  <si>
    <t>Hernan Perez</t>
  </si>
  <si>
    <t>Calle La Laguna 338</t>
  </si>
  <si>
    <t>BIT11036132</t>
  </si>
  <si>
    <t>258552541</t>
  </si>
  <si>
    <t>NOMBRE RETIRA: SEBASTIAN ARAYA N RUT RETIRA: 28602059-3</t>
  </si>
  <si>
    <t>Axel Varas Caro</t>
  </si>
  <si>
    <t>Casa, Romulo Peña 4258</t>
  </si>
  <si>
    <t>BIT11036714</t>
  </si>
  <si>
    <t>259024151</t>
  </si>
  <si>
    <t>NOMBRE RETIRA: JORGE MUNOZ CONSERJE RUT RETIRA: 5252433-4</t>
  </si>
  <si>
    <t>Catherine Durán Hernández</t>
  </si>
  <si>
    <t>Calle J 889 Condominio Ciprés casa 32 Brisa del Sol, Casa 32</t>
  </si>
  <si>
    <t>BIT11036645</t>
  </si>
  <si>
    <t>258924706</t>
  </si>
  <si>
    <t>NOMBRE RETIRA: PABLO GONZALEZ . RUT RETIRA: 12345678-5</t>
  </si>
  <si>
    <t>Km 1.5 Quebrada Honda, Parcela 39 Lavanda Frutillar</t>
  </si>
  <si>
    <t>BIT11036493</t>
  </si>
  <si>
    <t>258924892</t>
  </si>
  <si>
    <t>NOMBRE RETIRA: VICTOR LARENAS LA RUT RETIRA: 9238500-0</t>
  </si>
  <si>
    <t>Victor Larenas Badilla</t>
  </si>
  <si>
    <t>Casa, Pasaje Santa Mirta 1990</t>
  </si>
  <si>
    <t>BIT11036111</t>
  </si>
  <si>
    <t>258552655</t>
  </si>
  <si>
    <t>NOMBRE RETIRA: CARLOS CEPEDA . RUT RETIRA: 5590940-7</t>
  </si>
  <si>
    <t>Luz Oliva</t>
  </si>
  <si>
    <t>General Velasquez, 956</t>
  </si>
  <si>
    <t>BIT11036257</t>
  </si>
  <si>
    <t>258928189</t>
  </si>
  <si>
    <t>NOMBRE RETIRA: NERI VENEGAS . RUT RETIRA: 7715032-3</t>
  </si>
  <si>
    <t>Neri Venegas Velis</t>
  </si>
  <si>
    <t>laguna san pedro 706</t>
  </si>
  <si>
    <t>BIT11036055</t>
  </si>
  <si>
    <t>258552839</t>
  </si>
  <si>
    <t>NOMBRE RETIRA: OSCAR CEPEDA E RUT RETIRA: 12437893-1</t>
  </si>
  <si>
    <t>Enzo Rivera</t>
  </si>
  <si>
    <t>Lastarria #220, Depto 606</t>
  </si>
  <si>
    <t>BIT11036601</t>
  </si>
  <si>
    <t>259024406</t>
  </si>
  <si>
    <t>NOMBRE RETIRA: RENZO MAGGIOLO . RUT RETIRA: 56041780-2</t>
  </si>
  <si>
    <t>Claudia Martinez</t>
  </si>
  <si>
    <t>Uno Poniente 960, 401, Torre 2 401, 401 torre 2</t>
  </si>
  <si>
    <t>BIT11036698</t>
  </si>
  <si>
    <t>259024238</t>
  </si>
  <si>
    <t>NOMBRE RETIRA: ANDRES CASTILLO CASTILLO RUT RETIRA: 18446261-3</t>
  </si>
  <si>
    <t>JOSE SANCHEZ</t>
  </si>
  <si>
    <t>Av.koke 257, 16</t>
  </si>
  <si>
    <t>BIT11036750</t>
  </si>
  <si>
    <t>259024072</t>
  </si>
  <si>
    <t>Catherine Toro Gómez</t>
  </si>
  <si>
    <t>Rengo 1281 depto 1307 concepcion, departamento 1307</t>
  </si>
  <si>
    <t>BIT11036445</t>
  </si>
  <si>
    <t>258925152</t>
  </si>
  <si>
    <t>NOMBRE RETIRA: JAQUELIN MUNOZ . RUT RETIRA: 9352079-3</t>
  </si>
  <si>
    <t>Monturaqui1319</t>
  </si>
  <si>
    <t>BIT11036703</t>
  </si>
  <si>
    <t>259024194</t>
  </si>
  <si>
    <t>NOMBRE RETIRA: FRANCISCO ESPEJO M RUT RETIRA: 20718743-7</t>
  </si>
  <si>
    <t>Ignacio Cáceres López</t>
  </si>
  <si>
    <t>Avenida Videla 810, Oficina 318</t>
  </si>
  <si>
    <t>BIT11036437</t>
  </si>
  <si>
    <t>258925205</t>
  </si>
  <si>
    <t>NOMBRE RETIRA: LUIS MATURANA . RUT RETIRA: 8021725-0</t>
  </si>
  <si>
    <t>Luis Maturana</t>
  </si>
  <si>
    <t>Camino El Peumo 116, Casa</t>
  </si>
  <si>
    <t>BIT11036401</t>
  </si>
  <si>
    <t>258925376</t>
  </si>
  <si>
    <t>NOMBRE RETIRA: NELLY PADILLA . RUT RETIRA: 15052365-6</t>
  </si>
  <si>
    <t>Nelly Padilla</t>
  </si>
  <si>
    <t>Ulmo 1903, 32</t>
  </si>
  <si>
    <t>BIT11036812</t>
  </si>
  <si>
    <t>259131682</t>
  </si>
  <si>
    <t>NOMBRE RETIRA: PAULA TAPIA . RUT RETIRA: 15280377-K</t>
  </si>
  <si>
    <t>anibal pinto 294</t>
  </si>
  <si>
    <t>BIT11036536</t>
  </si>
  <si>
    <t>259024783</t>
  </si>
  <si>
    <t>NOMBRE RETIRA: NATALIA VERGARA FAMILIAR RUT RETIRA: 16590250-5</t>
  </si>
  <si>
    <t>Claudio Vergara</t>
  </si>
  <si>
    <t>Don sebastian de rauquen calle berlin 1383, Casa</t>
  </si>
  <si>
    <t>BIT11036501</t>
  </si>
  <si>
    <t>258924879</t>
  </si>
  <si>
    <t>NOMBRE RETIRA: XIMENA SAEZ . RUT RETIRA: 9085437-2</t>
  </si>
  <si>
    <t>Ximena Sáez</t>
  </si>
  <si>
    <t>Casa, Galvarino 1975</t>
  </si>
  <si>
    <t>BIT11036599</t>
  </si>
  <si>
    <t>259024367</t>
  </si>
  <si>
    <t>NOMBRE RETIRA: RODRIGO MUNOZ . RUT RETIRA: 15162192-9</t>
  </si>
  <si>
    <t>Alejandro Aguilera Zambrano</t>
  </si>
  <si>
    <t>Avenida Coihueco 281, Depto 902, edificio Avellanos</t>
  </si>
  <si>
    <t>BIT11036772</t>
  </si>
  <si>
    <t>259131784</t>
  </si>
  <si>
    <t>NOMBRE RETIRA: GABRIEL ELGUETA ELGUETA RUT RETIRA: 53331819-3</t>
  </si>
  <si>
    <t>Nicolloe Provoste Serruys</t>
  </si>
  <si>
    <t>Avenida Pedro de Valdivia 1805, dpto 801</t>
  </si>
  <si>
    <t>BIT11036708</t>
  </si>
  <si>
    <t>259024189</t>
  </si>
  <si>
    <t>NOMBRE RETIRA: NATALIA ARCE . RUT RETIRA: 15568101-2</t>
  </si>
  <si>
    <t>Natalia Arce Escalona</t>
  </si>
  <si>
    <t>Villa buen pastor, Pasaje Seis Y Media Poniente 867,Esquina Tres Y Media Sur Talca Maule Chile, Casa roja</t>
  </si>
  <si>
    <t>BIT11036582</t>
  </si>
  <si>
    <t>259024457</t>
  </si>
  <si>
    <t>NOMBRE RETIRA: RONY CHAVEZ . RUT RETIRA: 13628920-9</t>
  </si>
  <si>
    <t>RONY CHAVEZ</t>
  </si>
  <si>
    <t>Chacabuco 477, Casa</t>
  </si>
  <si>
    <t>BIT11036126</t>
  </si>
  <si>
    <t>258552571</t>
  </si>
  <si>
    <t>NOMBRE RETIRA: JAVIERA RIVERA . RUT RETIRA: 19868571-2</t>
  </si>
  <si>
    <t>patricio ramirez</t>
  </si>
  <si>
    <t>SANTIAGO ARATA 4075, C41 COND. DOÑA MARGARITA</t>
  </si>
  <si>
    <t>BIT11036578</t>
  </si>
  <si>
    <t>259024571</t>
  </si>
  <si>
    <t>NOMBRE RETIRA: MATIAS SEGUEL . RUT RETIRA: 17061257-4</t>
  </si>
  <si>
    <t>Mathias Seguel</t>
  </si>
  <si>
    <t>Los almendros #128 (Villa los Castaños), Casa</t>
  </si>
  <si>
    <t>BIT11036276</t>
  </si>
  <si>
    <t>258928073</t>
  </si>
  <si>
    <t>NOMBRE RETIRA: DANIELA CUEVAS . RUT RETIRA: 10141063-3</t>
  </si>
  <si>
    <t>Raquel López Correa</t>
  </si>
  <si>
    <t>Calle Pedro de Miranda #651 hacienda los montes, Casa esquina</t>
  </si>
  <si>
    <t>BIT11036572</t>
  </si>
  <si>
    <t>259024593</t>
  </si>
  <si>
    <t>NOMBRE RETIRA: ELSA GALLON . RUT RETIRA: 25960017-0</t>
  </si>
  <si>
    <t>Julio Alvarado Aravena</t>
  </si>
  <si>
    <t>Sotomayor 415, edificio Lynch, Depto 1204</t>
  </si>
  <si>
    <t>BIT11036756</t>
  </si>
  <si>
    <t>259131818</t>
  </si>
  <si>
    <t>NOMBRE RETIRA: YUSMARI LOPEZ LOPEZ RUT RETIRA: 16679611-3</t>
  </si>
  <si>
    <t>Luis pizarro</t>
  </si>
  <si>
    <t>Astorga 360, Local 3, Local 3, Local 3, Local 3, Local 3, Local 3, Local 3, Local 3, Local 3</t>
  </si>
  <si>
    <t>BIT11036246</t>
  </si>
  <si>
    <t>258928213</t>
  </si>
  <si>
    <t>NOMBRE RETIRA: ALEJABDEO BORDONES M RUT RETIRA: 18868550-1</t>
  </si>
  <si>
    <t>Alejandro Bordones</t>
  </si>
  <si>
    <t>El litre 2136, la Florida, La serena, Casa</t>
  </si>
  <si>
    <t>BIT11036128</t>
  </si>
  <si>
    <t>258552555</t>
  </si>
  <si>
    <t>NOMBRE RETIRA: MAROCOS MOYO M RUT RETIRA: 13866715-4</t>
  </si>
  <si>
    <t>Marco Moyo colque</t>
  </si>
  <si>
    <t>Colonia 2858</t>
  </si>
  <si>
    <t>BIT11036416</t>
  </si>
  <si>
    <t>258925308</t>
  </si>
  <si>
    <t>NOMBRE RETIRA: MARIA RODRIGUEZ PEREZ RUT RETIRA: 24780780-2</t>
  </si>
  <si>
    <t>Sergio Basualto Alfaro</t>
  </si>
  <si>
    <t>democracia 64B , clinica Caledent</t>
  </si>
  <si>
    <t>BIT11036502</t>
  </si>
  <si>
    <t>258924806</t>
  </si>
  <si>
    <t>NOMBRE RETIRA: PABLO MELENDEZ MELENDEZ RUT RETIRA: 17117577-1</t>
  </si>
  <si>
    <t>Pablo Melendez</t>
  </si>
  <si>
    <t>Avenida Vichuquen 836, Paipote</t>
  </si>
  <si>
    <t>BIT11036419</t>
  </si>
  <si>
    <t>258925300</t>
  </si>
  <si>
    <t>NOMBRE RETIRA: PABLO TORRES TORRES RUT RETIRA: 15495303-5</t>
  </si>
  <si>
    <t>Pablo Torres</t>
  </si>
  <si>
    <t>Caiquen 84 lonco parque</t>
  </si>
  <si>
    <t>BIT11036508</t>
  </si>
  <si>
    <t>258924838</t>
  </si>
  <si>
    <t>NOMBRE RETIRA: PRIACILA ORTIZ . RUT RETIRA: 10730239-5</t>
  </si>
  <si>
    <t>PRISCILA ORTIZ VEGA</t>
  </si>
  <si>
    <t>Chacabuco N°9 con esquina calle Victoria, Casa de esquina</t>
  </si>
  <si>
    <t>BIT11036291</t>
  </si>
  <si>
    <t>258928022</t>
  </si>
  <si>
    <t>NOMBRE RETIRA: FLOR VEGA . RUT RETIRA: 10351145-3</t>
  </si>
  <si>
    <t>Maria Valderrama Pereira</t>
  </si>
  <si>
    <t>Obispo HipÓlito Salas 548</t>
  </si>
  <si>
    <t>BIT11036600</t>
  </si>
  <si>
    <t>259024376</t>
  </si>
  <si>
    <t>NOMBRE RETIRA: MARTIN ROA . RUT RETIRA: 17214893-K</t>
  </si>
  <si>
    <t>Cristian Roa</t>
  </si>
  <si>
    <t>Villa Los Jardines, pasaje los Jazmines, Cssa 1221</t>
  </si>
  <si>
    <t>BIT11036607</t>
  </si>
  <si>
    <t>259024349</t>
  </si>
  <si>
    <t>NOMBRE RETIRA: DIEGO ROMERO ONATE RUT RETIRA: 18548782-2</t>
  </si>
  <si>
    <t>Patricio Sandoval Sepulveda</t>
  </si>
  <si>
    <t>Avenida Ohiggins 1490</t>
  </si>
  <si>
    <t>BIT11036293</t>
  </si>
  <si>
    <t>258927976</t>
  </si>
  <si>
    <t>NOMBRE RETIRA: MARIO PIZARRO . RUT RETIRA: 8138482-7</t>
  </si>
  <si>
    <t>Pablo Meza Miranda</t>
  </si>
  <si>
    <t>Av Salvador Allende 448, ANA 806</t>
  </si>
  <si>
    <t>BIT11036748</t>
  </si>
  <si>
    <t>259024067</t>
  </si>
  <si>
    <t>NOMBRE RETIRA: SANDRA PARDO . RUT RETIRA: 5165371-8</t>
  </si>
  <si>
    <t>Sandra Pardo Pardo</t>
  </si>
  <si>
    <t>Avenida El Tamarugal 3955, Depto. 204, Depto 204</t>
  </si>
  <si>
    <t>BIT11036499</t>
  </si>
  <si>
    <t>258924844</t>
  </si>
  <si>
    <t>NOMBRE RETIRA: MAURICIO FUENTES C RUT RETIRA: 15171070-0</t>
  </si>
  <si>
    <t>Mauricio Fuentes Kloss</t>
  </si>
  <si>
    <t>Los tilos pasaje campo verde 1090 Bellavista Tome, Casa</t>
  </si>
  <si>
    <t>BIT11036435</t>
  </si>
  <si>
    <t>258925217</t>
  </si>
  <si>
    <t>NOMBRE RETIRA: JUAN CASTILLO . RUT RETIRA: 9872243-2</t>
  </si>
  <si>
    <t>David Peña Inostroza</t>
  </si>
  <si>
    <t>Genaro gallo 554, Depto 55 torre B</t>
  </si>
  <si>
    <t>BIT11036721</t>
  </si>
  <si>
    <t>259024133</t>
  </si>
  <si>
    <t>NOMBRE RETIRA: ISABEL TORRES . RUT RETIRA: 12675223-7</t>
  </si>
  <si>
    <t>20 de agosto 891</t>
  </si>
  <si>
    <t>BIT11036788</t>
  </si>
  <si>
    <t>259131766</t>
  </si>
  <si>
    <t>NOMBRE RETIRA: JUAN CORDOVA . RUT RETIRA: 9556231-0</t>
  </si>
  <si>
    <t>Juan Cordova</t>
  </si>
  <si>
    <t>Avda juan Pablo II 801, El Encuentro, 801</t>
  </si>
  <si>
    <t>BIT11036282</t>
  </si>
  <si>
    <t>258928068</t>
  </si>
  <si>
    <t>NOMBRE RETIRA: CARMEN BURGOW BURGIS RUT RETIRA: 13873147-2</t>
  </si>
  <si>
    <t>Carmen Burgos</t>
  </si>
  <si>
    <t>El canelo 464 villa las araucarias del desierto, Casa</t>
  </si>
  <si>
    <t>BIT11036677</t>
  </si>
  <si>
    <t>258924504</t>
  </si>
  <si>
    <t>NOMBRE RETIRA: RICARDO VALENCIA . RUT RETIRA: 8727709-7</t>
  </si>
  <si>
    <t>Carlos Solano</t>
  </si>
  <si>
    <t>Avenida cerro paranal 360, 193</t>
  </si>
  <si>
    <t>BIT11036810</t>
  </si>
  <si>
    <t>259131714</t>
  </si>
  <si>
    <t>NOMBRE RETIRA: RODRIGO FRES . RUT RETIRA: 17636083-6</t>
  </si>
  <si>
    <t>BIT11036650</t>
  </si>
  <si>
    <t>258924654</t>
  </si>
  <si>
    <t>NOMBRE RETIRA: SAMUEL GONZALEZ REYES RUT RETIRA: 11111111-1</t>
  </si>
  <si>
    <t>Samuel González Reyes</t>
  </si>
  <si>
    <t>quiroga 750</t>
  </si>
  <si>
    <t>BIT11036526</t>
  </si>
  <si>
    <t>259024772</t>
  </si>
  <si>
    <t>NOMBRE RETIRA: SANDRA CASTRO . RUT RETIRA: 12597213-6</t>
  </si>
  <si>
    <t>Patricio Gallardo</t>
  </si>
  <si>
    <t>Mexico 159 San Juan, 159</t>
  </si>
  <si>
    <t>BIT11036597</t>
  </si>
  <si>
    <t>259024437</t>
  </si>
  <si>
    <t>NOMBRE RETIRA: SEBASTIAN GODOY . RUT RETIRA: 10748970-3</t>
  </si>
  <si>
    <t>Sebastian Andres Godoy Fariña</t>
  </si>
  <si>
    <t>Anibal pinto 531, 535</t>
  </si>
  <si>
    <t>BIT11036661</t>
  </si>
  <si>
    <t>258924590</t>
  </si>
  <si>
    <t>NOMBRE RETIRA: MARIO RIOS . RUT RETIRA: 6826312-3</t>
  </si>
  <si>
    <t>monica andrea rios zuñiga</t>
  </si>
  <si>
    <t>Panamericana norte km 86</t>
  </si>
  <si>
    <t>BIT11036452</t>
  </si>
  <si>
    <t>258925140</t>
  </si>
  <si>
    <t>NOMBRE RETIRA: ELIANA SAAVEDRA . RUT RETIRA: 9133500-K</t>
  </si>
  <si>
    <t>Rodrigo Cid Montoya</t>
  </si>
  <si>
    <t>Miraflores 122, Casa</t>
  </si>
  <si>
    <t>BIT11036621</t>
  </si>
  <si>
    <t>259024302</t>
  </si>
  <si>
    <t>NOMBRE RETIRA: ALBA SALDIAS . RUT RETIRA: 13055031-2</t>
  </si>
  <si>
    <t>Roma 0453 Villa Italia, 7.344.743-7</t>
  </si>
  <si>
    <t>BIT11036393</t>
  </si>
  <si>
    <t>258925389</t>
  </si>
  <si>
    <t>NOMBRE RETIRA: VERONICA ASTETE . RUT RETIRA: 16159159-9</t>
  </si>
  <si>
    <t>Verónica Astete Vallejos</t>
  </si>
  <si>
    <t>Nahuelco, 895</t>
  </si>
  <si>
    <t>BIT11036424</t>
  </si>
  <si>
    <t>258925261</t>
  </si>
  <si>
    <t>NOMBRE RETIRA: EDUARDO INOSTROZA . RUT RETIRA: 12337697-8</t>
  </si>
  <si>
    <t>Eduardo Hinostroza Ruiz</t>
  </si>
  <si>
    <t>Padre harter 100, 1307</t>
  </si>
  <si>
    <t>BIT11035869</t>
  </si>
  <si>
    <t>258421404</t>
  </si>
  <si>
    <t>NOMBRE RETIRA: BEATRIS BERTRAN . RUT RETIRA: 81201000-K</t>
  </si>
  <si>
    <t>Beatriz Bertrán Blaskovic</t>
  </si>
  <si>
    <t>Santa Teresa de los andes 27, Casa 2</t>
  </si>
  <si>
    <t>2025-11-29 10:05</t>
  </si>
  <si>
    <t>BIT11036320</t>
  </si>
  <si>
    <t>258927861</t>
  </si>
  <si>
    <t>Diego Arancibia Maluenda</t>
  </si>
  <si>
    <t>Tucapel 262, 1214</t>
  </si>
  <si>
    <t>BIT11036643</t>
  </si>
  <si>
    <t>258924735</t>
  </si>
  <si>
    <t>NOMBRE RETIRA: MARIA EUGENIA URTADO RUT RETIRA: 12345678-5</t>
  </si>
  <si>
    <t>Yerko Vlahovic</t>
  </si>
  <si>
    <t>Pasaje Martín Galán 3102, Casa, Alto Manquehue, Los Pinos, Pasaje Martin Galán 3102</t>
  </si>
  <si>
    <t>BIT11036418</t>
  </si>
  <si>
    <t>258925265</t>
  </si>
  <si>
    <t>NOMBRE RETIRA: CARLOS CAAMANO . RUT RETIRA: 53312019-9</t>
  </si>
  <si>
    <t>Cristian Gomez</t>
  </si>
  <si>
    <t>9 Norte 1024, Departamento 801</t>
  </si>
  <si>
    <t>BIT11036287</t>
  </si>
  <si>
    <t>258928033</t>
  </si>
  <si>
    <t>NOMBRE RETIRA: VALENTINNAVARRO .. ... RUT RETIRA: 20171762-0</t>
  </si>
  <si>
    <t>Ahimsa Galea Fuentes</t>
  </si>
  <si>
    <t>Avenida Universidad 630 Curauma, Casa 85</t>
  </si>
  <si>
    <t>BIT11036522</t>
  </si>
  <si>
    <t>258924771</t>
  </si>
  <si>
    <t>NOMBRE RETIRA: MARYINA RUIZ . RUT RETIRA: 18650603-0</t>
  </si>
  <si>
    <t>Cecilia Espinosa Diaz</t>
  </si>
  <si>
    <t>Av. Nelson Pereira 2411, Centro de Salud</t>
  </si>
  <si>
    <t>BIT11036389</t>
  </si>
  <si>
    <t>258925396</t>
  </si>
  <si>
    <t>NOMBRE RETIRA: ALFTEDO BARAHONA N RUT RETIRA: 53301181-0</t>
  </si>
  <si>
    <t>Marcelo Zavala Jara</t>
  </si>
  <si>
    <t>Baquedano 1 Hac. S/Isidro P 90 Peñablanca, 90</t>
  </si>
  <si>
    <t>BIT11036463</t>
  </si>
  <si>
    <t>258925080</t>
  </si>
  <si>
    <t>NOMBRE RETIRA: KAREN RODRIGUEZ NUNEZ RUT RETIRA: 15745271-1</t>
  </si>
  <si>
    <t>Karen Rodriguez Núñez</t>
  </si>
  <si>
    <t>Pasaje Placenza 523, Santa Margarita del Mar, Casa al final del pasaje</t>
  </si>
  <si>
    <t>BIT11036537</t>
  </si>
  <si>
    <t>259024768</t>
  </si>
  <si>
    <t>NOMBRE RETIRA: LUIS SOLAR . RUT RETIRA: 13117308-3</t>
  </si>
  <si>
    <t>Alejandro Garrido</t>
  </si>
  <si>
    <t>Beauchef 705</t>
  </si>
  <si>
    <t>BIT11035843</t>
  </si>
  <si>
    <t>258421541</t>
  </si>
  <si>
    <t>Pasaje Flor del Inca 2793</t>
  </si>
  <si>
    <t>BIT11036410</t>
  </si>
  <si>
    <t>258925365</t>
  </si>
  <si>
    <t>NOMBRE RETIRA: ELISEO BURGOS H RUT RETIRA: 53324690-7</t>
  </si>
  <si>
    <t>Gerardo Blanco</t>
  </si>
  <si>
    <t>Avenida Edmundo Eluchans 2305, Departamento 1110</t>
  </si>
  <si>
    <t>BIT11036736</t>
  </si>
  <si>
    <t>259024105</t>
  </si>
  <si>
    <t>NOMBRE RETIRA: MONICA HERRERA J RUT RETIRA: 4775934-K</t>
  </si>
  <si>
    <t>MONICA HERRERA INOSTROZA</t>
  </si>
  <si>
    <t>Los Boldos 435</t>
  </si>
  <si>
    <t>BIT11036279</t>
  </si>
  <si>
    <t>258928099</t>
  </si>
  <si>
    <t>NOMBRE RETIRA: VICTOR BUR .. RUT RETIRA: 56052650-4</t>
  </si>
  <si>
    <t>Cristián Faúndez Lafarga</t>
  </si>
  <si>
    <t>Errázuriz 531 Dpto. 803, Edificio Arvense</t>
  </si>
  <si>
    <t>BIT11036343</t>
  </si>
  <si>
    <t>258927771</t>
  </si>
  <si>
    <t>NOMBRE RETIRA: ANGELICA FLORENCIA A RUT RETIRA: 7429503-7</t>
  </si>
  <si>
    <t>Diego Navia Zarate</t>
  </si>
  <si>
    <t>Carrera 291, Depto 702, Quillahua</t>
  </si>
  <si>
    <t>BIT11036441</t>
  </si>
  <si>
    <t>258925172</t>
  </si>
  <si>
    <t>NOMBRE RETIRA: IRIS HELLE .. RUT RETIRA: 10556383-3</t>
  </si>
  <si>
    <t>Iris helle helle</t>
  </si>
  <si>
    <t>Málaga 345 parque del río las ánimas</t>
  </si>
  <si>
    <t>BIT11036397</t>
  </si>
  <si>
    <t>258925400</t>
  </si>
  <si>
    <t>NOMBRE RETIRA: ROMINA LOPEZ . RUT RETIRA: 15062827-K</t>
  </si>
  <si>
    <t>Romina Lopez Duran</t>
  </si>
  <si>
    <t>Deiciocho de Septiembre 192, Recreo</t>
  </si>
  <si>
    <t>BIT11036237</t>
  </si>
  <si>
    <t>258928259</t>
  </si>
  <si>
    <t>NOMBRE RETIRA: AMINTA MANRIQUE A RUT RETIRA: 22233837-9</t>
  </si>
  <si>
    <t>Arlette Leupin Benitez</t>
  </si>
  <si>
    <t>Camino a Tutuquen #2075, Torre VI, Depto 324</t>
  </si>
  <si>
    <t>BIT11036576</t>
  </si>
  <si>
    <t>259024497</t>
  </si>
  <si>
    <t>NOMBRE RETIRA: BELEN OYARZO .. RUT RETIRA: 16236664-5</t>
  </si>
  <si>
    <t>Nicole Oyarzo</t>
  </si>
  <si>
    <t>Santiago Amengual 533, Negocio Belen</t>
  </si>
  <si>
    <t>BIT11036319</t>
  </si>
  <si>
    <t>258927886</t>
  </si>
  <si>
    <t>NOMBRE RETIRA: ERWIN HINIRES . RUT RETIRA: 26076095-5</t>
  </si>
  <si>
    <t>Erwin Honores</t>
  </si>
  <si>
    <t>Peñuelas Norte 101, Depto 182 Torre 3</t>
  </si>
  <si>
    <t>BIT11036056</t>
  </si>
  <si>
    <t>258552816</t>
  </si>
  <si>
    <t>NOMBRE RETIRA: NICOL CONTRERAS . RUT RETIRA: 17450882-8</t>
  </si>
  <si>
    <t>Nicol Andrea Contreras Muñoz</t>
  </si>
  <si>
    <t>Avenida San Martin 03029, Casa esquina con rosas y flores sin reja</t>
  </si>
  <si>
    <t>BIT11036660</t>
  </si>
  <si>
    <t>258924622</t>
  </si>
  <si>
    <t>NOMBRE RETIRA: MARCELA CERDA . RUT RETIRA: 16092333-4</t>
  </si>
  <si>
    <t>Marcela Cerda yañez</t>
  </si>
  <si>
    <t>Bellavista 1255, Cerro Recreo. Entre baquedano y calle nueve</t>
  </si>
  <si>
    <t>BIT11036121</t>
  </si>
  <si>
    <t>258552603</t>
  </si>
  <si>
    <t>NOMBRE RETIRA: PEDRO SILVA PERSGALO RUT RETIRA: 6697332-8</t>
  </si>
  <si>
    <t>Pedro Silva Peragallo</t>
  </si>
  <si>
    <t>Pencahue Plaza 690 Ruta H-76</t>
  </si>
  <si>
    <t>BIT11036392</t>
  </si>
  <si>
    <t>258925412</t>
  </si>
  <si>
    <t>NOMBRE RETIRA: JAVIER GUGLIELMI . RUT RETIRA: 26795025-3</t>
  </si>
  <si>
    <t>Javier Guglielmi</t>
  </si>
  <si>
    <t>Via Azul 951, casa 15, Puerto Montt, Condominio Sur Alto de Reloncaví</t>
  </si>
  <si>
    <t>BIT11036583</t>
  </si>
  <si>
    <t>259024524</t>
  </si>
  <si>
    <t>NOMBRE RETIRA: MAEY MUNOS MUNOZ RUT RETIRA: 6920149-0</t>
  </si>
  <si>
    <t>Mary Muñoz</t>
  </si>
  <si>
    <t>Luis Bravo 19</t>
  </si>
  <si>
    <t>BIT11036305</t>
  </si>
  <si>
    <t>258927967</t>
  </si>
  <si>
    <t>NOMBRE RETIRA: FRANCO DE LA FUENTE HERNANDEZ RUT RETIRA: 12469440-K</t>
  </si>
  <si>
    <t>REGINA BASALDÚA</t>
  </si>
  <si>
    <t>TORREONES OESTE 1826, 1</t>
  </si>
  <si>
    <t>BIT11036125</t>
  </si>
  <si>
    <t>258552582</t>
  </si>
  <si>
    <t>NOMBRE RETIRA: RICARDO WEISSER . RUT RETIRA: 18734021-7</t>
  </si>
  <si>
    <t>Ricardo Weisser Hernández</t>
  </si>
  <si>
    <t>Otto Klein Dorner A5, Nueva Braunau, A5</t>
  </si>
  <si>
    <t>BIT11036515</t>
  </si>
  <si>
    <t>258924796</t>
  </si>
  <si>
    <t>NOMBRE RETIRA: JUVENAL VILLAROEL . RUT RETIRA: 17047930-0</t>
  </si>
  <si>
    <t>Juvenal Villarroel</t>
  </si>
  <si>
    <t>Villa Galilea pasaje metrenco 096</t>
  </si>
  <si>
    <t>BIT11036127</t>
  </si>
  <si>
    <t>258552579</t>
  </si>
  <si>
    <t>Marcelino Champagnat 385, Casa 3</t>
  </si>
  <si>
    <t>BIT11036663</t>
  </si>
  <si>
    <t>258924604</t>
  </si>
  <si>
    <t>NOMBRE RETIRA: JORJE CENTELLO . . RUT RETIRA: 6098001-2</t>
  </si>
  <si>
    <t>Rodrigo Centellas Briones</t>
  </si>
  <si>
    <t>Villa Padre Hurtado, Pasaje Rene Pienovi #741, Casa # 741</t>
  </si>
  <si>
    <t>BIT11036469</t>
  </si>
  <si>
    <t>258925039</t>
  </si>
  <si>
    <t>NOMBRE RETIRA: ALEJANDRO REBOLLEDO . RUT RETIRA: 53335457-2</t>
  </si>
  <si>
    <t>Alan Alamos</t>
  </si>
  <si>
    <t>9 norte 450, Departamento 2113</t>
  </si>
  <si>
    <t>BIT11036238</t>
  </si>
  <si>
    <t>258928240</t>
  </si>
  <si>
    <t>NOMBRE RETIRA: CRISTOBAL BURGOS LLLL RUT RETIRA: 7035098-K</t>
  </si>
  <si>
    <t>cristobal burgos</t>
  </si>
  <si>
    <t>Bilbao 902</t>
  </si>
  <si>
    <t>BIT11036749</t>
  </si>
  <si>
    <t>259024062</t>
  </si>
  <si>
    <t>NOMBRE RETIRA: TOMAS LABBE . . RUT RETIRA: 13736682-7</t>
  </si>
  <si>
    <t>Tomás Labbé</t>
  </si>
  <si>
    <t>Los Colonos 2100, Dpto 1202 condominio portal las quemas</t>
  </si>
  <si>
    <t>BIT11036162</t>
  </si>
  <si>
    <t>258552387</t>
  </si>
  <si>
    <t>NOMBRE RETIRA: LORENA PENA .. RUT RETIRA: 15630288-0</t>
  </si>
  <si>
    <t>Lorena Peña Narvaez</t>
  </si>
  <si>
    <t>Hilanderos 212 la labranza de alqueria, 212</t>
  </si>
  <si>
    <t>BIT11036470</t>
  </si>
  <si>
    <t>258925010</t>
  </si>
  <si>
    <t>NOMBRE RETIRA: FERNANDO LAGOS L RUT RETIRA: 56049520-K</t>
  </si>
  <si>
    <t>Felipe Gurtubay</t>
  </si>
  <si>
    <t>Av Jose Manuel Balmaceda 825, 544</t>
  </si>
  <si>
    <t>BIT11036340</t>
  </si>
  <si>
    <t>258927795</t>
  </si>
  <si>
    <t>NOMBRE RETIRA: DOROTY FUENTES B RUT RETIRA: 26608148-0</t>
  </si>
  <si>
    <t>Ramon Moncada</t>
  </si>
  <si>
    <t>Federico Errázuriz 1055, Dep 608</t>
  </si>
  <si>
    <t>BIT11036641</t>
  </si>
  <si>
    <t>258924686</t>
  </si>
  <si>
    <t>NOMBRE RETIRA: ROSA ARCE GOMEZ RUT RETIRA: 12164662-5</t>
  </si>
  <si>
    <t>Rosa Arce</t>
  </si>
  <si>
    <t>Ohiggins 694, Banco estado</t>
  </si>
  <si>
    <t>BIT11036496</t>
  </si>
  <si>
    <t>258924903</t>
  </si>
  <si>
    <t>NOMBRE RETIRA: ANDREA CUEVAS . RUT RETIRA: 15716963-7</t>
  </si>
  <si>
    <t>Mary Silva</t>
  </si>
  <si>
    <t>Miraflores Alto, Notro 3689</t>
  </si>
  <si>
    <t>BIT11036255</t>
  </si>
  <si>
    <t>258928196</t>
  </si>
  <si>
    <t>NOMBRE RETIRA: PAMELA PUEBLA .. RUT RETIRA: 11621683-3</t>
  </si>
  <si>
    <t>Gonzalo Muñoz Mendez</t>
  </si>
  <si>
    <t>Los Apostoles 96, Casa 8 Curauma, Casa 8 Curauma</t>
  </si>
  <si>
    <t>BIT11036534</t>
  </si>
  <si>
    <t>259024809</t>
  </si>
  <si>
    <t>NOMBRE RETIRA: RODRIGO GOMZALEZ . RUT RETIRA: 53321780-K</t>
  </si>
  <si>
    <t>Daniel Barrueto</t>
  </si>
  <si>
    <t>Castilla124, Torre B depto 903</t>
  </si>
  <si>
    <t>BIT11036269</t>
  </si>
  <si>
    <t>258928141</t>
  </si>
  <si>
    <t>NOMBRE RETIRA: IVETTE VALDES . RUT RETIRA: 13110372-7</t>
  </si>
  <si>
    <t>BIT11036163</t>
  </si>
  <si>
    <t>258552376</t>
  </si>
  <si>
    <t>NOMBRE RETIRA: LORENA SANDOVAL L RUT RETIRA: 17457878-8</t>
  </si>
  <si>
    <t>Chillan, Independencia 149</t>
  </si>
  <si>
    <t>BIT11036204</t>
  </si>
  <si>
    <t>258928401</t>
  </si>
  <si>
    <t>NOMBRE RETIRA: MARCOS PAVEZ B RUT RETIRA: 10448550-2</t>
  </si>
  <si>
    <t>Víctor Chousal Báez</t>
  </si>
  <si>
    <t>BIT11036277</t>
  </si>
  <si>
    <t>258928108</t>
  </si>
  <si>
    <t>NOMBRE RETIRA: LAURA JARA J RUT RETIRA: 17187352-5</t>
  </si>
  <si>
    <t>Laura Jara Rojas</t>
  </si>
  <si>
    <t>10 1/2 norte 4030, Casa</t>
  </si>
  <si>
    <t>BIT11036465</t>
  </si>
  <si>
    <t>258925047</t>
  </si>
  <si>
    <t>NOMBRE RETIRA: FERNANDO HERNANDEZ . RUT RETIRA: 13396185-2</t>
  </si>
  <si>
    <t>Alexis Gómez</t>
  </si>
  <si>
    <t>Aragón 130, Dpto 1401</t>
  </si>
  <si>
    <t>BIT11036294</t>
  </si>
  <si>
    <t>258927999</t>
  </si>
  <si>
    <t>NOMBRE RETIRA: JOSE JIMENEZ N RUT RETIRA: 15762018-5</t>
  </si>
  <si>
    <t>Jose luis Jimenez covarrubias</t>
  </si>
  <si>
    <t>Ines De Suarez 66</t>
  </si>
  <si>
    <t>BIT11036724</t>
  </si>
  <si>
    <t>259024129</t>
  </si>
  <si>
    <t>NOMBRE RETIRA: CAROLINA ARANDA . RUT RETIRA: 53309525-9</t>
  </si>
  <si>
    <t>Rafaela Hurtado</t>
  </si>
  <si>
    <t>Av playa ancha #926, Depto 502. Edificio Puerto Playa Ancha</t>
  </si>
  <si>
    <t>2025-12-04 10:15</t>
  </si>
  <si>
    <t>BIT11036456</t>
  </si>
  <si>
    <t>258925095</t>
  </si>
  <si>
    <t>NOMBRE RETIRA: FELIPE HURTADO . RUT RETIRA: 15199933-6</t>
  </si>
  <si>
    <t>Felipe Hurtado Belmar</t>
  </si>
  <si>
    <t>21 de mayo 851, Oficina</t>
  </si>
  <si>
    <t>BIT11036547</t>
  </si>
  <si>
    <t>259024720</t>
  </si>
  <si>
    <t>NOMBRE RETIRA: RAUL CACERES Z RUT RETIRA: 19474586-9</t>
  </si>
  <si>
    <t>Raúl Cáceres Zucchi</t>
  </si>
  <si>
    <t>5 1/2 Oriente I 27 Norte #3906, Casa</t>
  </si>
  <si>
    <t>BIT11036592</t>
  </si>
  <si>
    <t>259024469</t>
  </si>
  <si>
    <t>NOMBRE RETIRA: CLAUDIO BARRA ... RUT RETIRA: 17139829-0</t>
  </si>
  <si>
    <t>BIT11036133</t>
  </si>
  <si>
    <t>258552531</t>
  </si>
  <si>
    <t>NOMBRE RETIRA: MARCELOS CORREA . RUT RETIRA: 19435695-1</t>
  </si>
  <si>
    <t>Carla Eloy silorza</t>
  </si>
  <si>
    <t>Aníbal pinto 1303, Depto 140, edificio vista azul</t>
  </si>
  <si>
    <t>BIT11035760</t>
  </si>
  <si>
    <t>258421883</t>
  </si>
  <si>
    <t>NOMBRE RETIRA: NICOLE . . RUT RETIRA: 53310370-7</t>
  </si>
  <si>
    <t>Nicole Ernst Juzan</t>
  </si>
  <si>
    <t>Pasaje falmouth 02541</t>
  </si>
  <si>
    <t>BIT11036667</t>
  </si>
  <si>
    <t>258924573</t>
  </si>
  <si>
    <t>NOMBRE RETIRA: SAMUEL MARCON . RUT RETIRA: 22128138-1</t>
  </si>
  <si>
    <t>Carolina Avalos Vasquez</t>
  </si>
  <si>
    <t>Pasaje Las Torcazas, 4020, Coquimbo</t>
  </si>
  <si>
    <t>BIT11036180</t>
  </si>
  <si>
    <t>258552339</t>
  </si>
  <si>
    <t>NOMBRE RETIRA: JORGE CRUZ X RUT RETIRA: 13759879-5</t>
  </si>
  <si>
    <t>Jorge Cruz vicencio</t>
  </si>
  <si>
    <t>Arturo aliaga 662, Casa</t>
  </si>
  <si>
    <t>BIT11036184</t>
  </si>
  <si>
    <t>258928454</t>
  </si>
  <si>
    <t>NOMBRE RETIRA: ISIDORA CORVALAN . RUT RETIRA: 22644571-4</t>
  </si>
  <si>
    <t>carmen carmen</t>
  </si>
  <si>
    <t>dieciocho 361, Casa</t>
  </si>
  <si>
    <t>BIT11036495</t>
  </si>
  <si>
    <t>258924853</t>
  </si>
  <si>
    <t>NOMBRE RETIRA: JAIME SAEZ J RUT RETIRA: 15165625-0</t>
  </si>
  <si>
    <t>Jaime Saez Arevalo</t>
  </si>
  <si>
    <t>Villa San Cristóbal Calle San Cristóbal 235, Sector Parque Lantaňo</t>
  </si>
  <si>
    <t>BIT11036632</t>
  </si>
  <si>
    <t>258924756</t>
  </si>
  <si>
    <t>NOMBRE RETIRA: MIGUEL BASAURIO A RUT RETIRA: 20137133-3</t>
  </si>
  <si>
    <t>Genesis dali Huiman valenzuela</t>
  </si>
  <si>
    <t>Ibsen 235 edificio vista bahia, 1801</t>
  </si>
  <si>
    <t>2025-12-03 10:20</t>
  </si>
  <si>
    <t>BIT11036114</t>
  </si>
  <si>
    <t>258552648</t>
  </si>
  <si>
    <t>NOMBRE RETIRA: PATRICIA FERRAN . RUT RETIRA: 12102435-7</t>
  </si>
  <si>
    <t>Paul Reynaud</t>
  </si>
  <si>
    <t>Pasaje las vertientes 2, parcela 20, Sector pampa negron</t>
  </si>
  <si>
    <t>BIT11036529</t>
  </si>
  <si>
    <t>259024760</t>
  </si>
  <si>
    <t>NOMBRE RETIRA: MARIO OLAVARRIA NN RUT RETIRA: 16585019-K</t>
  </si>
  <si>
    <t>Cinthya Hermosilla</t>
  </si>
  <si>
    <t>Comdominio Las Vertientes, Parcela 66</t>
  </si>
  <si>
    <t>BIT11036531</t>
  </si>
  <si>
    <t>259024838</t>
  </si>
  <si>
    <t>NOMBRE RETIRA: LORENA GONZALEZ . RUT RETIRA: 15268381-2</t>
  </si>
  <si>
    <t>Lorena González Brito</t>
  </si>
  <si>
    <t>Jose Fruto Saez 946, Casa. A la entrada del Club Deportivo Olimpia</t>
  </si>
  <si>
    <t>BIT11036475</t>
  </si>
  <si>
    <t>258924962</t>
  </si>
  <si>
    <t>NOMBRE RETIRA: FERNANDO ROJAS 0 RUT RETIRA: 11984594-7</t>
  </si>
  <si>
    <t>MARCELO VIVES</t>
  </si>
  <si>
    <t>Los Avellanos, 45</t>
  </si>
  <si>
    <t>BIT11036372</t>
  </si>
  <si>
    <t>258925479</t>
  </si>
  <si>
    <t>NOMBRE RETIRA: MAXIMIANI RAMIREZ W RUT RETIRA: 53130190-0</t>
  </si>
  <si>
    <t>Nicolas Knabe</t>
  </si>
  <si>
    <t>Rodimenia 290, Depto 501</t>
  </si>
  <si>
    <t>BIT11036640</t>
  </si>
  <si>
    <t>258924740</t>
  </si>
  <si>
    <t>NOMBRE RETIRA: JAVIEER COLIN . RUT RETIRA: 6634477-0</t>
  </si>
  <si>
    <t>Javier Colin Alan</t>
  </si>
  <si>
    <t>Ava. República 1055, Salida Almagro</t>
  </si>
  <si>
    <t>BIT11036224</t>
  </si>
  <si>
    <t>258928300</t>
  </si>
  <si>
    <t>NOMBRE RETIRA: CRISTIAN SILVA . RUT RETIRA: 12643460-K</t>
  </si>
  <si>
    <t>Cristian silva valdivia</t>
  </si>
  <si>
    <t>Pasaje belladona 2762 jardines del sol, Casa</t>
  </si>
  <si>
    <t>BIT11036196</t>
  </si>
  <si>
    <t>258928394</t>
  </si>
  <si>
    <t>NOMBRE RETIRA: TATIANA PINA . RUT RETIRA: 8384938-K</t>
  </si>
  <si>
    <t>BIT11036449</t>
  </si>
  <si>
    <t>258925159</t>
  </si>
  <si>
    <t>NOMBRE RETIRA: MARIA HENRIQUEZ ... RUT RETIRA: 9335020-0</t>
  </si>
  <si>
    <t>Cristian Muñoz Puentes</t>
  </si>
  <si>
    <t>Cholguán oriente casa 20, Casa</t>
  </si>
  <si>
    <t>BIT11036324</t>
  </si>
  <si>
    <t>258927850</t>
  </si>
  <si>
    <t>NOMBRE RETIRA: JUAN LETER . RUT RETIRA: 20000504-K</t>
  </si>
  <si>
    <t>Susana Rojas Cortez</t>
  </si>
  <si>
    <t>Limache # 1280, Depto 1801, Departamento 1801</t>
  </si>
  <si>
    <t>BIT11036230</t>
  </si>
  <si>
    <t>258928288</t>
  </si>
  <si>
    <t>NOMBRE RETIRA: CECILIA PEREZ . RUT RETIRA: 12942356-0</t>
  </si>
  <si>
    <t>Cecilia Pérez Politi</t>
  </si>
  <si>
    <t>Ester Pizarro Rojas 4543</t>
  </si>
  <si>
    <t>BIT11036731</t>
  </si>
  <si>
    <t>259024120</t>
  </si>
  <si>
    <t>NOMBRE RETIRA: JOSE CONTRERAS CONTRERAS RUT RETIRA: 16963594-3</t>
  </si>
  <si>
    <t>Andrea Olivares Bustos</t>
  </si>
  <si>
    <t>Rancagua 499, Edificio MOP 3er. Piso  Gendarmería.</t>
  </si>
  <si>
    <t>BIT11036193</t>
  </si>
  <si>
    <t>258928425</t>
  </si>
  <si>
    <t>NOMBRE RETIRA: ELINOR HENRIQUEZ . RUT RETIRA: 16947088-K</t>
  </si>
  <si>
    <t>Karem Henriquez Aedo</t>
  </si>
  <si>
    <t>Avenida Paul Harris 790, Farmacia SaludFarm</t>
  </si>
  <si>
    <t>BIT11036357</t>
  </si>
  <si>
    <t>258925564</t>
  </si>
  <si>
    <t>NOMBRE RETIRA: RICARDO SALAS . . RUT RETIRA: 11157458-8</t>
  </si>
  <si>
    <t>Gabriela Mistral 160, 906</t>
  </si>
  <si>
    <t>BIT11036203</t>
  </si>
  <si>
    <t>258928388</t>
  </si>
  <si>
    <t>NOMBRE RETIRA: MOISES MILLALAF 0 RUT RETIRA: 13306476-1</t>
  </si>
  <si>
    <t>Mauricio Flores</t>
  </si>
  <si>
    <t>Colo Colo 252, departamento O303</t>
  </si>
  <si>
    <t>BIT11036350</t>
  </si>
  <si>
    <t>258925584</t>
  </si>
  <si>
    <t>NOMBRE RETIRA: ANTONIO FERNANDEZ . RUT RETIRA: 18386471-8</t>
  </si>
  <si>
    <t>Augusto Sassi gonzalez</t>
  </si>
  <si>
    <t>Rengo 575</t>
  </si>
  <si>
    <t>BIT11036194</t>
  </si>
  <si>
    <t>258928418</t>
  </si>
  <si>
    <t>NOMBRE RETIRA: CONSTANSA CAVADA . RUT RETIRA: 21279389-2</t>
  </si>
  <si>
    <t>Nicolas Cabib Olave</t>
  </si>
  <si>
    <t>Federico Cavada 2922</t>
  </si>
  <si>
    <t>BIT11036346</t>
  </si>
  <si>
    <t>258927736</t>
  </si>
  <si>
    <t>NOMBRE RETIRA: PAMELA VILLABLANCA . RUT RETIRA: 10508109-K</t>
  </si>
  <si>
    <t>Jorge Cofre basaure</t>
  </si>
  <si>
    <t>Avenida federico santamaria 2044, Oficina</t>
  </si>
  <si>
    <t>BIT11036317</t>
  </si>
  <si>
    <t>258927889</t>
  </si>
  <si>
    <t>NOMBRE RETIRA: ANGEL BRICENO . RUT RETIRA: 6511605-7</t>
  </si>
  <si>
    <t>Daniela Diaz Rosal</t>
  </si>
  <si>
    <t>Las azucenas 461, Sindempart</t>
  </si>
  <si>
    <t>BIT11036327</t>
  </si>
  <si>
    <t>258927843</t>
  </si>
  <si>
    <t>NOMBRE RETIRA: MONICA CARLO N RUT RETIRA: 16540000-3</t>
  </si>
  <si>
    <t>Monica Carlo Cademartori</t>
  </si>
  <si>
    <t>Villa El Sendero, Camilo Mori 1553 Quillota., Camilo Mori 1553 Villa El Sendero Quillota</t>
  </si>
  <si>
    <t>BIT11036651</t>
  </si>
  <si>
    <t>258924626</t>
  </si>
  <si>
    <t>NOMBRE RETIRA: ARREDINDO M N RUT RETIRA: 16540144-1</t>
  </si>
  <si>
    <t>Priscilla Arredondo nuñez</t>
  </si>
  <si>
    <t>Rincon de las parinas, 732</t>
  </si>
  <si>
    <t>BIT11036288</t>
  </si>
  <si>
    <t>258928078</t>
  </si>
  <si>
    <t>NOMBRE RETIRA: EDUARDO JAVIER . RUT RETIRA: 15812352-5</t>
  </si>
  <si>
    <t>EDUARDO JAVIER RODRIGUEZ CASTRO</t>
  </si>
  <si>
    <t>Leucoton 245 (Internado Municipal), Internado Municipal de Los Vilos</t>
  </si>
  <si>
    <t>BIT11034792</t>
  </si>
  <si>
    <t>257291016</t>
  </si>
  <si>
    <t>NOMBRE RETIRA: OSWALDO VANDELIR .. .. RUT RETIRA: 9415392-1</t>
  </si>
  <si>
    <t>Ewaldo Vanderlinder</t>
  </si>
  <si>
    <t>Diego Portales 832</t>
  </si>
  <si>
    <t>2025-11-13 21:08</t>
  </si>
  <si>
    <t>BIT11036153</t>
  </si>
  <si>
    <t>258552413</t>
  </si>
  <si>
    <t>NOMBRE RETIRA: MAURICO ARAVENA . RUT RETIRA: 77159101-9</t>
  </si>
  <si>
    <t>Catherinne Zapata</t>
  </si>
  <si>
    <t>Valle las monjas 710, 11</t>
  </si>
  <si>
    <t>BIT11036231</t>
  </si>
  <si>
    <t>258928293</t>
  </si>
  <si>
    <t>NOMBRE RETIRA: GISCARLO . . RUT RETIRA: 53310370-7</t>
  </si>
  <si>
    <t>Giancarlo Aracena</t>
  </si>
  <si>
    <t>La llanura 02281</t>
  </si>
  <si>
    <t>BIT11036029</t>
  </si>
  <si>
    <t>258552929</t>
  </si>
  <si>
    <t>NOMBRE RETIRA: NICOL GUINE, 0 RUT RETIRA: 12345678-5</t>
  </si>
  <si>
    <t>BIT11036249</t>
  </si>
  <si>
    <t>258928201</t>
  </si>
  <si>
    <t>NOMBRE RETIRA: LUIS LEON . RUT RETIRA: 16328903-2</t>
  </si>
  <si>
    <t>JOSE MATAMALA PEREIRA</t>
  </si>
  <si>
    <t>RAMON CARRASCO 231, 78</t>
  </si>
  <si>
    <t>BIT11036313</t>
  </si>
  <si>
    <t>258927930</t>
  </si>
  <si>
    <t>NOMBRE RETIRA: OLGA MERINO . RUT RETIRA: 8287705-3</t>
  </si>
  <si>
    <t>Angelo Hurtado Merino</t>
  </si>
  <si>
    <t>Los Magnolios 240, Casa</t>
  </si>
  <si>
    <t>BIT11036420</t>
  </si>
  <si>
    <t>258925288</t>
  </si>
  <si>
    <t>NOMBRE RETIRA: RAFAEN.GABILAB F G RUT RETIRA: 65124512-5</t>
  </si>
  <si>
    <t>Fabián Quezada</t>
  </si>
  <si>
    <t>Avenida Parques De Carriel 5580, Avenida Parques De Carriel 5580, Casa 4</t>
  </si>
  <si>
    <t>BIT11036310</t>
  </si>
  <si>
    <t>258927958</t>
  </si>
  <si>
    <t>NOMBRE RETIRA: GASTON RODRIGUEZ RODRIGUEZ RUT RETIRA: 65207896-6</t>
  </si>
  <si>
    <t>BIT11036442</t>
  </si>
  <si>
    <t>258925169</t>
  </si>
  <si>
    <t>NOMBRE RETIRA: ARACELI SANCHEZ . RUT RETIRA: 16492941-8</t>
  </si>
  <si>
    <t>CRISTOFER BRUNA</t>
  </si>
  <si>
    <t>AVDA REGIMIENTO ARICA CON RUTA 5 NORTE TIENDA CIC OUTLET PEÑUELAS, 1424 TIENDA CIC</t>
  </si>
  <si>
    <t>BIT11036408</t>
  </si>
  <si>
    <t>258925372</t>
  </si>
  <si>
    <t>NOMBRE RETIRA: CRISTIAN ZEPEDA CONSERJE RUT RETIRA: 16249965-3</t>
  </si>
  <si>
    <t>Anibal Villalobos</t>
  </si>
  <si>
    <t>Los copihues 370, Depto 2044</t>
  </si>
  <si>
    <t>BIT11036413</t>
  </si>
  <si>
    <t>258925329</t>
  </si>
  <si>
    <t>NOMBRE RETIRA: SOLEDAD HERRERA . RUT RETIRA: 18805117-0</t>
  </si>
  <si>
    <t>Soledad Soledad Herrera</t>
  </si>
  <si>
    <t>Dr Manuel Rioseco 1295, departamento 404A</t>
  </si>
  <si>
    <t>BIT11036013</t>
  </si>
  <si>
    <t>258552976</t>
  </si>
  <si>
    <t>NOMBRE RETIRA: HUMBERTO RIVERA .. RUT RETIRA: 7240127-1</t>
  </si>
  <si>
    <t>Humberto Rivera</t>
  </si>
  <si>
    <t>Arturo Perez Canto 16 Lebu</t>
  </si>
  <si>
    <t>BIT11036443</t>
  </si>
  <si>
    <t>258925180</t>
  </si>
  <si>
    <t>Jaime Román Román</t>
  </si>
  <si>
    <t>Avenida Chile #105 Llolleo, Casa</t>
  </si>
  <si>
    <t>BIT11036642</t>
  </si>
  <si>
    <t>258924636</t>
  </si>
  <si>
    <t>NOMBRE RETIRA: CLAUDIO TRONCOSO . RUT RETIRA: 26076095-5</t>
  </si>
  <si>
    <t>Claudio Troncoso Leyton</t>
  </si>
  <si>
    <t>Avenida Peñuelas Norte 191, Restaurante Pilla La Vaca</t>
  </si>
  <si>
    <t>BIT11036207</t>
  </si>
  <si>
    <t>258928345</t>
  </si>
  <si>
    <t>NOMBRE RETIRA: KARLA GONZALES . RUT RETIRA: 14397323-9</t>
  </si>
  <si>
    <t>Karla Gonzalez Abarca</t>
  </si>
  <si>
    <t>Victor jury enriquez 1528, Condominio altos del monaaterio</t>
  </si>
  <si>
    <t>BIT11036176</t>
  </si>
  <si>
    <t>258552341</t>
  </si>
  <si>
    <t>NOMBRE RETIRA: NICOLE GUTUERREZ . RUT RETIRA: 22255379-2</t>
  </si>
  <si>
    <t>fabian Gutierrez</t>
  </si>
  <si>
    <t>calle bernardo leighton 1251, 17</t>
  </si>
  <si>
    <t>BIT11036117</t>
  </si>
  <si>
    <t>258552622</t>
  </si>
  <si>
    <t>NOMBRE RETIRA: JOSE SALAZAR . RUT RETIRA: 19809386-6</t>
  </si>
  <si>
    <t>Vergara Vergara Rojas</t>
  </si>
  <si>
    <t>Vallenar, Serrano. 1196</t>
  </si>
  <si>
    <t>BIT11036090</t>
  </si>
  <si>
    <t>258552740</t>
  </si>
  <si>
    <t>NOMBRE RETIRA: AILIN DURAN . RUT RETIRA: 17097494-8</t>
  </si>
  <si>
    <t>Benjamin Reyes</t>
  </si>
  <si>
    <t>manuel castro ramos 2385, Casa</t>
  </si>
  <si>
    <t>BIT11036105</t>
  </si>
  <si>
    <t>258552681</t>
  </si>
  <si>
    <t>NOMBRE RETIRA: RODRIGO ROMERO A RUT RETIRA: 13270159-8</t>
  </si>
  <si>
    <t>Catherine Gomez Barrera</t>
  </si>
  <si>
    <t>Dieciocho de septiembre 170 casa 6 Recreo</t>
  </si>
  <si>
    <t>BIT11036120</t>
  </si>
  <si>
    <t>258552598</t>
  </si>
  <si>
    <t>NOMBRE RETIRA: MARCELA AGUAYO . RUT RETIRA: 5330390-0</t>
  </si>
  <si>
    <t>Maximiliano Olguín</t>
  </si>
  <si>
    <t>Reñaca Norte 265, 310</t>
  </si>
  <si>
    <t>BIT11036015</t>
  </si>
  <si>
    <t>258552950</t>
  </si>
  <si>
    <t>NOMBRE RETIRA: CONSTANZA RODRIGUEZ C RUT RETIRA: 12804843-K</t>
  </si>
  <si>
    <t>Constanza Rodriguez diaz</t>
  </si>
  <si>
    <t>Salitrera Ángeles 310</t>
  </si>
  <si>
    <t>BIT11036043</t>
  </si>
  <si>
    <t>258552898</t>
  </si>
  <si>
    <t>Capitan Roberto Perez 808, Dpto 1704</t>
  </si>
  <si>
    <t>BIT11036095</t>
  </si>
  <si>
    <t>258552692</t>
  </si>
  <si>
    <t>Carol Loreto Ortiz Latud</t>
  </si>
  <si>
    <t>Avenida Austral 1250, 2000</t>
  </si>
  <si>
    <t>BIT11036075</t>
  </si>
  <si>
    <t>258552784</t>
  </si>
  <si>
    <t>NOMBRE RETIRA: DANIEL MUNOZ 0 RUT RETIRA: 12345678-5</t>
  </si>
  <si>
    <t>Daniel Muñoz</t>
  </si>
  <si>
    <t>Los Quechuas 02760</t>
  </si>
  <si>
    <t>BIT11036106</t>
  </si>
  <si>
    <t>258552671</t>
  </si>
  <si>
    <t>NOMBRE RETIRA: CLEMENCIA ROJAS DIAZ RUT RETIRA: 10756883-2</t>
  </si>
  <si>
    <t>Guillermo Escobar 527, Casa</t>
  </si>
  <si>
    <t>BIT11035865</t>
  </si>
  <si>
    <t>258421381</t>
  </si>
  <si>
    <t>NOMBRE RETIRA: NOLBERTO AVENDANO . RUT RETIRA: 6533454-2</t>
  </si>
  <si>
    <t>Sergio Santibañez Gallardo</t>
  </si>
  <si>
    <t>Cerro Paranal 320, Departamento 175</t>
  </si>
  <si>
    <t>BIT11036091</t>
  </si>
  <si>
    <t>258552746</t>
  </si>
  <si>
    <t>NOMBRE RETIRA: FRANCISCO MEDINA 7 RUT RETIRA: 15988892-4</t>
  </si>
  <si>
    <t>Francisco Medina Jarpa</t>
  </si>
  <si>
    <t>Anunciacion 0528, Villa San Marcos, Casa</t>
  </si>
  <si>
    <t>BIT11036034</t>
  </si>
  <si>
    <t>258552917</t>
  </si>
  <si>
    <t>NOMBRE RETIRA: BRYAN AVELLO . RUT RETIRA: 18376105-6</t>
  </si>
  <si>
    <t>Isolina González Mendoza</t>
  </si>
  <si>
    <t>Membrillar 400 depto 306 Ed. Gabriela Mistral, Dpto 306</t>
  </si>
  <si>
    <t>BIT11036164</t>
  </si>
  <si>
    <t>258552381</t>
  </si>
  <si>
    <t>NOMBRE RETIRA: LUIS VELOZO . RUT RETIRA: 9237272-3</t>
  </si>
  <si>
    <t>Ignacio Fuenzalida henriquez</t>
  </si>
  <si>
    <t>Las Margaritas 1677, Casa 10</t>
  </si>
  <si>
    <t>BIT11036679</t>
  </si>
  <si>
    <t>258924490</t>
  </si>
  <si>
    <t>NOMBRE RETIRA: JORGE ORREGO . RUT RETIRA: 56015170-5</t>
  </si>
  <si>
    <t>Isis Palacio Alvarez</t>
  </si>
  <si>
    <t>4 norte 818, Depto 62</t>
  </si>
  <si>
    <t>BIT11036047</t>
  </si>
  <si>
    <t>258552868</t>
  </si>
  <si>
    <t>NOMBRE RETIRA: MELISSA VILLAGRAN Z RUT RETIRA: 19518219-1</t>
  </si>
  <si>
    <t>Melissa Villagrán Montalba</t>
  </si>
  <si>
    <t>Julio Zegers 690</t>
  </si>
  <si>
    <t>BIT11035868</t>
  </si>
  <si>
    <t>258421427</t>
  </si>
  <si>
    <t>NOMBRE RETIRA: ALEX SISTERNAS SISTERNAS RUT RETIRA: 12945679-5</t>
  </si>
  <si>
    <t>Miguel Huerta Gonzalez</t>
  </si>
  <si>
    <t>Los carrera 2092, A106</t>
  </si>
  <si>
    <t>BIT11036112</t>
  </si>
  <si>
    <t>258552634</t>
  </si>
  <si>
    <t>NOMBRE RETIRA: MARILU HERNANDEZ . RUT RETIRA: 12540030-2</t>
  </si>
  <si>
    <t>Teresa Perez Pastor</t>
  </si>
  <si>
    <t>Lawrence 366</t>
  </si>
  <si>
    <t>BIT11036053</t>
  </si>
  <si>
    <t>258552848</t>
  </si>
  <si>
    <t>NOMBRE RETIRA: BERTA LOPEZ . RUT RETIRA: 17625970-1</t>
  </si>
  <si>
    <t>Berta Lopez</t>
  </si>
  <si>
    <t>La Academia 1542, Casa</t>
  </si>
  <si>
    <t>BIT11036349</t>
  </si>
  <si>
    <t>258927749</t>
  </si>
  <si>
    <t>NOMBRE RETIRA: BRENDA RUIZ . RUT RETIRA: 24819874-5</t>
  </si>
  <si>
    <t>BRENDA RUIZ SALAS</t>
  </si>
  <si>
    <t>PASAJE UNO 4843, casa 2 CONDOMINIO VILUMANQUE</t>
  </si>
  <si>
    <t>BIT11035998</t>
  </si>
  <si>
    <t>258560879</t>
  </si>
  <si>
    <t>NOMBRE RETIRA: FELIX PINTO PINTO RUT RETIRA: 11185043-7</t>
  </si>
  <si>
    <t>Félix Marcelo Pinto Alcaino</t>
  </si>
  <si>
    <t>Marcos Maturana 2348, Casa</t>
  </si>
  <si>
    <t>BIT11036674</t>
  </si>
  <si>
    <t>258924560</t>
  </si>
  <si>
    <t>NOMBRE RETIRA: NATALIA ARCE . RUT RETIRA: 11674226-8</t>
  </si>
  <si>
    <t>BIT11036025</t>
  </si>
  <si>
    <t>258552942</t>
  </si>
  <si>
    <t>NOMBRE RETIRA: ALEJANDRO STEVENS S RUT RETIRA: 8437230-7</t>
  </si>
  <si>
    <t>Alejandro Stevens Marquez</t>
  </si>
  <si>
    <t>Psje Santa Mariana 1750 Villa Sta Marta</t>
  </si>
  <si>
    <t>BIT11036159</t>
  </si>
  <si>
    <t>258552404</t>
  </si>
  <si>
    <t>NOMBRE RETIRA: FELIX LACALLE .. RUT RETIRA: 6451075-4</t>
  </si>
  <si>
    <t>Rodrigo Flores Órdenes</t>
  </si>
  <si>
    <t>Alcalde Prieto Nieto 410, Depto 71</t>
  </si>
  <si>
    <t>BIT11036009</t>
  </si>
  <si>
    <t>258552986</t>
  </si>
  <si>
    <t>NOMBRE RETIRA: KARETINE SOTO SOTO RUT RETIRA: 20442481-0</t>
  </si>
  <si>
    <t>Rodolfo Valenzuela</t>
  </si>
  <si>
    <t>La cruz 0535, E302</t>
  </si>
  <si>
    <t>BIT11036023</t>
  </si>
  <si>
    <t>258552971</t>
  </si>
  <si>
    <t>NOMBRE RETIRA: DORIS ARAYA . RUT RETIRA: 14590377-7</t>
  </si>
  <si>
    <t>Simon Labarca Orellana</t>
  </si>
  <si>
    <t>Los Alerces 1776 loteo abaroa, Calama</t>
  </si>
  <si>
    <t>BIT11036010</t>
  </si>
  <si>
    <t>258552997</t>
  </si>
  <si>
    <t>NOMBRE RETIRA: ELIZABETH SOTO . RUT RETIRA: 7687778-5</t>
  </si>
  <si>
    <t>Elizabeth Soto  Ahumada</t>
  </si>
  <si>
    <t>Secundino Carrizo 01568, Casa</t>
  </si>
  <si>
    <t>BIT11036113</t>
  </si>
  <si>
    <t>258552641</t>
  </si>
  <si>
    <t>NOMBRE RETIRA: RICARDO CARDENQS . RUT RETIRA: 15268381-2</t>
  </si>
  <si>
    <t>Ricardo Cardenas</t>
  </si>
  <si>
    <t>Cesar Ercilla 761 Osorno, Casa (poblaciÓn Endesa) (junto A Una MueblerÍa)</t>
  </si>
  <si>
    <t>BIT11035779</t>
  </si>
  <si>
    <t>258421831</t>
  </si>
  <si>
    <t>NOMBRE RETIRA: CLAUDIA PINO . RUT RETIRA: 12990878-5</t>
  </si>
  <si>
    <t>Claudia Herrera Pino</t>
  </si>
  <si>
    <t>Fresia 457, Librería Martinez</t>
  </si>
  <si>
    <t>BIT11036107</t>
  </si>
  <si>
    <t>258552667</t>
  </si>
  <si>
    <t>NOMBRE RETIRA: FRANCESCA PENA 6 RUT RETIRA: 19332670-6</t>
  </si>
  <si>
    <t>Oreste Pallini</t>
  </si>
  <si>
    <t>O'Higgins 1338</t>
  </si>
  <si>
    <t>BIT11036050</t>
  </si>
  <si>
    <t>258552837</t>
  </si>
  <si>
    <t>NOMBRE RETIRA: DAVID TORRES . RUT RETIRA: 17641549-5</t>
  </si>
  <si>
    <t>David Torres Silva</t>
  </si>
  <si>
    <t>Casa, La Arboleda 968</t>
  </si>
  <si>
    <t>BIT11036064</t>
  </si>
  <si>
    <t>258552812</t>
  </si>
  <si>
    <t>NOMBRE RETIRA: FREDD . . RUT RETIRA: 19825429-0</t>
  </si>
  <si>
    <t>Alex Miranda Rozas</t>
  </si>
  <si>
    <t>Andres bello 2346</t>
  </si>
  <si>
    <t>BIT11036131</t>
  </si>
  <si>
    <t>258552516</t>
  </si>
  <si>
    <t>NOMBRE RETIRA: JUAN DURAN DURAN RUT RETIRA: 26680889-5</t>
  </si>
  <si>
    <t>Juan Duran</t>
  </si>
  <si>
    <t>Psje Pedro Arenas 1098</t>
  </si>
  <si>
    <t>BIT11036103</t>
  </si>
  <si>
    <t>258552684</t>
  </si>
  <si>
    <t>NOMBRE RETIRA: JAVIER . . RUT RETIRA: 56032540-1</t>
  </si>
  <si>
    <t>Cristian Aedo</t>
  </si>
  <si>
    <t>Liagora 420, 904</t>
  </si>
  <si>
    <t>BIT11035914</t>
  </si>
  <si>
    <t>258421256</t>
  </si>
  <si>
    <t>NOMBRE RETIRA: RICARDO BOUTAUD . RUT RETIRA: 17068343-9</t>
  </si>
  <si>
    <t>Ricardo Boutaud Carrillo</t>
  </si>
  <si>
    <t>Camilo Henriquez 763, Casa</t>
  </si>
  <si>
    <t>BIT11035428</t>
  </si>
  <si>
    <t>9392024806</t>
  </si>
  <si>
    <t>jaime recibe portero</t>
  </si>
  <si>
    <t>patricia cisternas</t>
  </si>
  <si>
    <t>josemaria escriva de balaguer 955, colegio montemar</t>
  </si>
  <si>
    <t>2025-11-25 21:16</t>
  </si>
  <si>
    <t>BIT11036143</t>
  </si>
  <si>
    <t>258552457</t>
  </si>
  <si>
    <t>NOMBRE RETIRA: FERNANDO RIVEROS R RUT RETIRA: 78225813-3</t>
  </si>
  <si>
    <t>Fernando Riveros</t>
  </si>
  <si>
    <t>Violeta Vergara 4029</t>
  </si>
  <si>
    <t>BIT11036675</t>
  </si>
  <si>
    <t>258924511</t>
  </si>
  <si>
    <t>NOMBRE RETIRA: LUIS ROJAS . RUT RETIRA: 53321293-K</t>
  </si>
  <si>
    <t>BIT11035904</t>
  </si>
  <si>
    <t>258421276</t>
  </si>
  <si>
    <t>NOMBRE RETIRA: MARGOT ALVAREZ MUNOZ RUT RETIRA: 5988704-1</t>
  </si>
  <si>
    <t>Roberto Rios</t>
  </si>
  <si>
    <t>Marcela Paz Norte 24 , Mirador Andino, Casa</t>
  </si>
  <si>
    <t>BIT11035970</t>
  </si>
  <si>
    <t>258553122</t>
  </si>
  <si>
    <t>San Martín 428, Local Comercial</t>
  </si>
  <si>
    <t>BIT11036364</t>
  </si>
  <si>
    <t>258925515</t>
  </si>
  <si>
    <t>NOMBRE RETIRA: CAROLINA HUENUNQUEO . RUT RETIRA: 18067217-6</t>
  </si>
  <si>
    <t>Carolina Huenuqueo Hernandez</t>
  </si>
  <si>
    <t>Lago Villarrica 645, Casa 645</t>
  </si>
  <si>
    <t>BIT11036192</t>
  </si>
  <si>
    <t>258928431</t>
  </si>
  <si>
    <t>NOMBRE RETIRA: MARIBEL ASTUDILLO A RUT RETIRA: 16159159-9</t>
  </si>
  <si>
    <t>maribel astudillo</t>
  </si>
  <si>
    <t>De la Constitución 1594 plazas de Santa María Villa Galilea</t>
  </si>
  <si>
    <t>BIT11036672</t>
  </si>
  <si>
    <t>258924563</t>
  </si>
  <si>
    <t>NOMBRE RETIRA: RODRIGO DEVERA . RUT RETIRA: 12817882-1</t>
  </si>
  <si>
    <t>Rodrigo De Vera Fernandez</t>
  </si>
  <si>
    <t>Hermano Aquilino 267, 33</t>
  </si>
  <si>
    <t>BIT11036347</t>
  </si>
  <si>
    <t>258927751</t>
  </si>
  <si>
    <t>NOMBRE RETIRA: FELIPE VILLALOBOS H RUT RETIRA: 19533847-7</t>
  </si>
  <si>
    <t>BIT11036136</t>
  </si>
  <si>
    <t>258552477</t>
  </si>
  <si>
    <t>NOMBRE RETIRA: DOMINGO BORGUEZ MARANO RUT RETIRA: 33465318-8</t>
  </si>
  <si>
    <t>Macarena Aravena Barbano</t>
  </si>
  <si>
    <t>Francisco de Aguirre 147 casa 11, Casa 11</t>
  </si>
  <si>
    <t>BIT11036044</t>
  </si>
  <si>
    <t>258552892</t>
  </si>
  <si>
    <t>NOMBRE RETIRA: PASCUALA VILLCA . RUT RETIRA: 14508205-6</t>
  </si>
  <si>
    <t>Pablo Campillay</t>
  </si>
  <si>
    <t>Pantaleon Cortes 760, Casa</t>
  </si>
  <si>
    <t>BIT11036686</t>
  </si>
  <si>
    <t>258924440</t>
  </si>
  <si>
    <t>NOMBRE RETIRA: FANNY DIAS . RUT RETIRA: 13380583-4</t>
  </si>
  <si>
    <t>Andrés Utz</t>
  </si>
  <si>
    <t>El Roble 665, A/406</t>
  </si>
  <si>
    <t>BIT11035981</t>
  </si>
  <si>
    <t>258553104</t>
  </si>
  <si>
    <t>NOMBRE RETIRA: GUIDO CASTILLO X RUT RETIRA: 6392944-1</t>
  </si>
  <si>
    <t>GUIDO CASTILLO CARRASCO</t>
  </si>
  <si>
    <t>MANUEL ANTONIO MATTA  1073   VILLARRICA</t>
  </si>
  <si>
    <t>BIT11036682</t>
  </si>
  <si>
    <t>258924446</t>
  </si>
  <si>
    <t>NOMBRE RETIRA: JORGE AGUIRRE __ RUT RETIRA: 12345678-5</t>
  </si>
  <si>
    <t>Jorge aguirre urrutia 15.037.676-9</t>
  </si>
  <si>
    <t>Villa doña insolina Barraza #16, Casa</t>
  </si>
  <si>
    <t>BIT11036188</t>
  </si>
  <si>
    <t>258928458</t>
  </si>
  <si>
    <t>NOMBRE RETIRA: ANDREINA TERAN . RUT RETIRA: 53321047-3</t>
  </si>
  <si>
    <t>Alex Quezada</t>
  </si>
  <si>
    <t>Canto del Valle 1777, 122</t>
  </si>
  <si>
    <t>BIT11036170</t>
  </si>
  <si>
    <t>258552367</t>
  </si>
  <si>
    <t>NOMBRE RETIRA: ALEJANDRO OCARES CONSERJE RUT RETIRA: 5252433-4</t>
  </si>
  <si>
    <t>MARIA ANTONIETA VILLOUTA  MUÑOZ</t>
  </si>
  <si>
    <t>CALLE G 1189, casa 35, condominio alto los avellanos, Casa 35</t>
  </si>
  <si>
    <t>BIT11035884</t>
  </si>
  <si>
    <t>258421359</t>
  </si>
  <si>
    <t>NOMBRE RETIRA: SEBASTIAN DIAZ Y RUT RETIRA: 65232003-1</t>
  </si>
  <si>
    <t>Claudia Constanzo</t>
  </si>
  <si>
    <t>Maipu 1740, Dpto 1212</t>
  </si>
  <si>
    <t>BIT11035858</t>
  </si>
  <si>
    <t>258421471</t>
  </si>
  <si>
    <t>Josè Gonzalez Robles</t>
  </si>
  <si>
    <t>Genaro gallo 554, C102</t>
  </si>
  <si>
    <t>BIT11035909</t>
  </si>
  <si>
    <t>258421209</t>
  </si>
  <si>
    <t>NOMBRE RETIRA: JENIFER LEVIPAN . RUT RETIRA: 19717715-2</t>
  </si>
  <si>
    <t>DAVID RIOSECO MONTECINO</t>
  </si>
  <si>
    <t>OSCAR BONILLA PARCELA 17, LOTE 19, LOTE 19</t>
  </si>
  <si>
    <t>BIT11036147</t>
  </si>
  <si>
    <t>258552448</t>
  </si>
  <si>
    <t>NOMBRE RETIRA: CRISTINA BASTIDAS . RUT RETIRA: 8082951-5</t>
  </si>
  <si>
    <t>Pamela Marín</t>
  </si>
  <si>
    <t>Pedro Méndez 01970, Villa Héroes de la Concepción</t>
  </si>
  <si>
    <t>BIT11035855</t>
  </si>
  <si>
    <t>258421463</t>
  </si>
  <si>
    <t>NOMBRE RETIRA: BENJAMIN CHAMORRRO 0 RUT RETIRA: 15944689-1</t>
  </si>
  <si>
    <t>Hernan Morales gallardo</t>
  </si>
  <si>
    <t>Los cisnes 940, casa 22, 14409262-7</t>
  </si>
  <si>
    <t>BIT11036080</t>
  </si>
  <si>
    <t>258552771</t>
  </si>
  <si>
    <t>NOMBRE RETIRA: BARBARA SCHAFF . RUT RETIRA: 18531219-4</t>
  </si>
  <si>
    <t>Gerardo Quintana Cifuentes</t>
  </si>
  <si>
    <t>Santo cura de ars 2121 bosque oriente VI, Casa, referencia condominio los avellanos 11</t>
  </si>
  <si>
    <t>BIT11036040</t>
  </si>
  <si>
    <t>258552908</t>
  </si>
  <si>
    <t>NOMBRE RETIRA: SEBASTIAN B B RUT RETIRA: 19248643-2</t>
  </si>
  <si>
    <t>Sebastián Bolados Zumelzu</t>
  </si>
  <si>
    <t>Carlos Krahmer Richter 2660 Condominio Lomas del Rio 1, Depto 354</t>
  </si>
  <si>
    <t>BIT11035835</t>
  </si>
  <si>
    <t>258421583</t>
  </si>
  <si>
    <t>NOMBRE RETIRA: SCARLETH PINEDA . RUT RETIRA: 20315280-9</t>
  </si>
  <si>
    <t>Paola Canario Gajardo</t>
  </si>
  <si>
    <t>Yungay 773, dpto 101</t>
  </si>
  <si>
    <t>BIT11035876</t>
  </si>
  <si>
    <t>258421398</t>
  </si>
  <si>
    <t>Francisco de echaurren, 191</t>
  </si>
  <si>
    <t>BIT11035870</t>
  </si>
  <si>
    <t>258421333</t>
  </si>
  <si>
    <t>NOMBRE RETIRA: GUSTAVO ANGULO . RUT RETIRA: 12533484-9</t>
  </si>
  <si>
    <t>Gustavo Angulo</t>
  </si>
  <si>
    <t>Dieciocho esq. Cóndor. Of N°6 Inspección del Trabajo, Edificios Públicos, Edificios Públicos</t>
  </si>
  <si>
    <t>BIT11036065</t>
  </si>
  <si>
    <t>258552792</t>
  </si>
  <si>
    <t>NOMBRE RETIRA: ANTONIA PIZARRO PIZARRO RUT RETIRA: 15573058-7</t>
  </si>
  <si>
    <t>Antonio Pizarro Cortes</t>
  </si>
  <si>
    <t>Erasmo bernales 907 tierra viva oriente, Casa</t>
  </si>
  <si>
    <t>BIT11036002</t>
  </si>
  <si>
    <t>258553013</t>
  </si>
  <si>
    <t>NOMBRE RETIRA: PATRICIA PELOSO . RUT RETIRA: 22077383-3</t>
  </si>
  <si>
    <t>BIT11035961</t>
  </si>
  <si>
    <t>258553129</t>
  </si>
  <si>
    <t>NOMBRE RETIRA: ANDREA MARTINEZ . RUT RETIRA: 20985709-K</t>
  </si>
  <si>
    <t>Luz Zapata</t>
  </si>
  <si>
    <t>Salvador Allende 1668, Depto 127 torre B</t>
  </si>
  <si>
    <t>BIT11036012</t>
  </si>
  <si>
    <t>258552983</t>
  </si>
  <si>
    <t>NOMBRE RETIRA: PATRICIA AVATCA V RUT RETIRA: 12787175-2</t>
  </si>
  <si>
    <t>Nathan El Moro</t>
  </si>
  <si>
    <t>30 oriente 1330, Mercadofarma</t>
  </si>
  <si>
    <t>BIT11035888</t>
  </si>
  <si>
    <t>258421312</t>
  </si>
  <si>
    <t>NOMBRE RETIRA: JORGE VALLEJOS . RUT RETIRA: 17625970-1</t>
  </si>
  <si>
    <t>Cristian Vallejos</t>
  </si>
  <si>
    <t>Carmen Silva rojas 1464</t>
  </si>
  <si>
    <t>BIT11035621</t>
  </si>
  <si>
    <t>258423778</t>
  </si>
  <si>
    <t>NOMBRE RETIRA: SERGIO MACAYA . RUT RETIRA: 19969174-0</t>
  </si>
  <si>
    <t>Luis Rivera Venegas</t>
  </si>
  <si>
    <t>Nicolas Tirado 90, Depto 34 Torre B</t>
  </si>
  <si>
    <t>BIT11035756</t>
  </si>
  <si>
    <t>258421962</t>
  </si>
  <si>
    <t>NOMBRE RETIRA: ESTEVAN ORELLSNA . RUT RETIRA: 16160281-7</t>
  </si>
  <si>
    <t>esteban orellana</t>
  </si>
  <si>
    <t>don juan carlos 374</t>
  </si>
  <si>
    <t>BIT11035711</t>
  </si>
  <si>
    <t>258422154</t>
  </si>
  <si>
    <t>Matthew Shaw</t>
  </si>
  <si>
    <t>Capitan roberto perez 2777, Apt. 402</t>
  </si>
  <si>
    <t>BIT11035857</t>
  </si>
  <si>
    <t>258421488</t>
  </si>
  <si>
    <t>NOMBRE RETIRA: ALEJANDRA LEIVA . RUT RETIRA: 11344070-8</t>
  </si>
  <si>
    <t>Basian Henseleit leiva</t>
  </si>
  <si>
    <t>Juan De Dios Reyes Franzzani 9162</t>
  </si>
  <si>
    <t>BIT11036006</t>
  </si>
  <si>
    <t>258553029</t>
  </si>
  <si>
    <t>NOMBRE RETIRA: HUMBERTO MENDOZA . RUT RETIRA: 82734400-1</t>
  </si>
  <si>
    <t>Consuelo paulina Alarcon Lizarde</t>
  </si>
  <si>
    <t>Plaza sucre 220, departamento 408</t>
  </si>
  <si>
    <t>BIT11036054</t>
  </si>
  <si>
    <t>258552843</t>
  </si>
  <si>
    <t>NOMBRE RETIRA: MARIANA . . RUT RETIRA: 53310370-7</t>
  </si>
  <si>
    <t>Mario Oñat Godoy</t>
  </si>
  <si>
    <t>Los Pablos 2500, Departamento 1401</t>
  </si>
  <si>
    <t>BIT11035863</t>
  </si>
  <si>
    <t>258421395</t>
  </si>
  <si>
    <t>NOMBRE RETIRA: MICHEL DECAP . RUT RETIRA: 18865257-3</t>
  </si>
  <si>
    <t>Michel Decap</t>
  </si>
  <si>
    <t>Camino cerro colorado km 1,5 el porvenir 2, 56</t>
  </si>
  <si>
    <t>BIT11036048</t>
  </si>
  <si>
    <t>258552862</t>
  </si>
  <si>
    <t>NOMBRE RETIRA: JORGE BUSTAMANTE . RUT RETIRA: 16510588-5</t>
  </si>
  <si>
    <t>Fernando Rodriguez</t>
  </si>
  <si>
    <t>Eucaliptus 551 Llo-Lleo, Depto 31</t>
  </si>
  <si>
    <t>BIT11035742</t>
  </si>
  <si>
    <t>258422018</t>
  </si>
  <si>
    <t>NOMBRE RETIRA: VERIOXI OCHOA . RUT RETIRA: 25902375-0</t>
  </si>
  <si>
    <t>Beatriz Gonzalez</t>
  </si>
  <si>
    <t>Manuel Antonio Matta 2757, Apt. 2104</t>
  </si>
  <si>
    <t>BIT11035900</t>
  </si>
  <si>
    <t>258421266</t>
  </si>
  <si>
    <t>NOMBRE RETIRA: GUSTAVO NOVA . RUT RETIRA: 6910017-1</t>
  </si>
  <si>
    <t>Ignacio Pino</t>
  </si>
  <si>
    <t>Calle Valparaíso, 350</t>
  </si>
  <si>
    <t>BIT11035853</t>
  </si>
  <si>
    <t>258421518</t>
  </si>
  <si>
    <t>NOMBRE RETIRA: MARCOS . . RUT RETIRA: 17037423-1</t>
  </si>
  <si>
    <t>Marcos Nuñez calbucura</t>
  </si>
  <si>
    <t>Adolfo saelser los robles sn</t>
  </si>
  <si>
    <t>BIT11035878</t>
  </si>
  <si>
    <t>258421318</t>
  </si>
  <si>
    <t>NOMBRE RETIRA: JUAN CARLOS RIQUELME RUT RETIRA: 10782925-3</t>
  </si>
  <si>
    <t>Juan Carlos Riquelme</t>
  </si>
  <si>
    <t>Hermano Francisco de Asis 2299, 2299</t>
  </si>
  <si>
    <t>BIT11036137</t>
  </si>
  <si>
    <t>258552489</t>
  </si>
  <si>
    <t>NOMBRE RETIRA: CECILIA PALACIOS M RUT RETIRA: 9850457-5</t>
  </si>
  <si>
    <t>Cecilia Palacios</t>
  </si>
  <si>
    <t>Amunategui 1946. Recreo, Depto 1501 torre D</t>
  </si>
  <si>
    <t>BIT11035951</t>
  </si>
  <si>
    <t>258560639</t>
  </si>
  <si>
    <t>NOMBRE RETIRA: JAQUELINE OLGUIN P RUT RETIRA: 13251609-K</t>
  </si>
  <si>
    <t>BIT11035674</t>
  </si>
  <si>
    <t>258423425</t>
  </si>
  <si>
    <t>NOMBRE RETIRA: LINO CONTRERAS CONTRERAS RUT RETIRA: 7099914-5</t>
  </si>
  <si>
    <t>Lino Contreras Lanas</t>
  </si>
  <si>
    <t>Pasaje nevado tres cruces  1055, Casa</t>
  </si>
  <si>
    <t>BIT11035629</t>
  </si>
  <si>
    <t>258423707</t>
  </si>
  <si>
    <t>NOMBRE RETIRA: MIRIAM TORRES . RUT RETIRA: 9398045-K</t>
  </si>
  <si>
    <t>Freddy Alday Sfarcic</t>
  </si>
  <si>
    <t>Los Algarrobos 4055</t>
  </si>
  <si>
    <t>BIT11035625</t>
  </si>
  <si>
    <t>258423695</t>
  </si>
  <si>
    <t>Freddy ALday Sfarcic</t>
  </si>
  <si>
    <t>BIT11035840</t>
  </si>
  <si>
    <t>258421567</t>
  </si>
  <si>
    <t>NOMBRE RETIRA: PAULO AGUILA . RUT RETIRA: 13968625-K</t>
  </si>
  <si>
    <t>Paulo Aguila</t>
  </si>
  <si>
    <t>Via azul 950, A20</t>
  </si>
  <si>
    <t>BIT11036087</t>
  </si>
  <si>
    <t>258552760</t>
  </si>
  <si>
    <t>NOMBRE RETIRA: FLORENCIA LENIS R RUT RETIRA: 19088116-4</t>
  </si>
  <si>
    <t>SAMUEL FUENZALIDA</t>
  </si>
  <si>
    <t>NUEVA PALENA 2740, CHIGUAYANTE, CASA 2</t>
  </si>
  <si>
    <t>BIT11036033</t>
  </si>
  <si>
    <t>258552923</t>
  </si>
  <si>
    <t>NOMBRE RETIRA: REINALDO BARRIO . RUT RETIRA: 81201000-K</t>
  </si>
  <si>
    <t>juan pereira fierro</t>
  </si>
  <si>
    <t>avenida siete lagunas 939, 607 A</t>
  </si>
  <si>
    <t>BIT11035875</t>
  </si>
  <si>
    <t>258421330</t>
  </si>
  <si>
    <t>NOMBRE RETIRA: ROBERTO GONZALES G RUT RETIRA: 8908874-7</t>
  </si>
  <si>
    <t>Roberto Gonzalez Briones</t>
  </si>
  <si>
    <t>2 norte 3495, Depto 307b</t>
  </si>
  <si>
    <t>BIT11035759</t>
  </si>
  <si>
    <t>258421938</t>
  </si>
  <si>
    <t>NOMBRE RETIRA: NICOLAS QUEDA B RUT RETIRA: 8908874-7</t>
  </si>
  <si>
    <t>Nicolas Ojeda Espinoza</t>
  </si>
  <si>
    <t>BIT11036045</t>
  </si>
  <si>
    <t>258552865</t>
  </si>
  <si>
    <t>Ana Maria Pino Vivanco</t>
  </si>
  <si>
    <t>Sol y mar 530, Depto A62</t>
  </si>
  <si>
    <t>BIT11036042</t>
  </si>
  <si>
    <t>258552872</t>
  </si>
  <si>
    <t>NOMBRE RETIRA: CLAUDIA SEPULVEDA Y RUT RETIRA: 13956206-2</t>
  </si>
  <si>
    <t>Jorge Valenzuela Barriga</t>
  </si>
  <si>
    <t>Victor lamas 1275, Departamento 1306</t>
  </si>
  <si>
    <t>BIT11036074</t>
  </si>
  <si>
    <t>258552803</t>
  </si>
  <si>
    <t>NOMBRE RETIRA: JENNI GODOY V RUT RETIRA: 11223012-2</t>
  </si>
  <si>
    <t>DANIEL VICENCIO</t>
  </si>
  <si>
    <t>OXALIX 180, OXALIX 180</t>
  </si>
  <si>
    <t>BIT11035720</t>
  </si>
  <si>
    <t>258422093</t>
  </si>
  <si>
    <t>NOMBRE RETIRA: JORGE CAMACHO . RUT RETIRA: 13869390-2</t>
  </si>
  <si>
    <t>cynthia Araya morales</t>
  </si>
  <si>
    <t>Santa barbara 702, villa caspana, Sector subagencia</t>
  </si>
  <si>
    <t>BIT11035849</t>
  </si>
  <si>
    <t>258421526</t>
  </si>
  <si>
    <t>NOMBRE RETIRA: EVELYN MANRIQUEZ . RUT RETIRA: 21076211-6</t>
  </si>
  <si>
    <t>Evelyn Manriquez</t>
  </si>
  <si>
    <t>Pasaje las codornices 1686 Pulmahue, Casa</t>
  </si>
  <si>
    <t>BIT11035551</t>
  </si>
  <si>
    <t>258248663</t>
  </si>
  <si>
    <t>NOMBRE RETIRA: DANIEL BAUER M RUT RETIRA: 18139259-2</t>
  </si>
  <si>
    <t>Daniel Bauer  Lissner</t>
  </si>
  <si>
    <t>Camino Villarrica a Pucón Kmt 22,5, Edificio Alerce Depto 22</t>
  </si>
  <si>
    <t>2025-11-27 21:05</t>
  </si>
  <si>
    <t>BIT11035740</t>
  </si>
  <si>
    <t>258422008</t>
  </si>
  <si>
    <t>NOMBRE RETIRA: ZOILA AGUIRRE O RUT RETIRA: 22222222-2</t>
  </si>
  <si>
    <t>Alvaro Castillo</t>
  </si>
  <si>
    <t>Pedro Antonio González  0227, Departamento 13</t>
  </si>
  <si>
    <t>BIT11036008</t>
  </si>
  <si>
    <t>258553037</t>
  </si>
  <si>
    <t>NOMBRE RETIRA: CAROLINA ROMERO . RUT RETIRA: 15016595-4</t>
  </si>
  <si>
    <t>La Gruta 2558, La Gruta 2558</t>
  </si>
  <si>
    <t>BIT11036089</t>
  </si>
  <si>
    <t>258552752</t>
  </si>
  <si>
    <t>NOMBRE RETIRA: ALEJANDRO PACHECO P RUT RETIRA: 13320493-8</t>
  </si>
  <si>
    <t>Alejandro Pacheco Pozo</t>
  </si>
  <si>
    <t>7 Norte, Casa 3517</t>
  </si>
  <si>
    <t>BIT11035838</t>
  </si>
  <si>
    <t>258421560</t>
  </si>
  <si>
    <t>NOMBRE RETIRA: GIMENA H N RUT RETIRA: 11098354-9</t>
  </si>
  <si>
    <t>jimena highfield vidal</t>
  </si>
  <si>
    <t>chiloe 4087</t>
  </si>
  <si>
    <t>BIT11035728</t>
  </si>
  <si>
    <t>258422050</t>
  </si>
  <si>
    <t>NOMBRE RETIRA: JEAN SWANESK. . RUT RETIRA: 16875457-4</t>
  </si>
  <si>
    <t>Jean Swaneck</t>
  </si>
  <si>
    <t>Enrique Budge 745, 613</t>
  </si>
  <si>
    <t>BIT11035414</t>
  </si>
  <si>
    <t>258019496</t>
  </si>
  <si>
    <t>NOMBRE RETIRA: PEDRO POZAS . RUT RETIRA: 13507073-4</t>
  </si>
  <si>
    <t>pedro pozas frias</t>
  </si>
  <si>
    <t>romulo correa 475 (Pasaje Tarapacá), casa</t>
  </si>
  <si>
    <t>BIT11035586</t>
  </si>
  <si>
    <t>258248612</t>
  </si>
  <si>
    <t>NOMBRE RETIRA: PATEICIO VERGARA . RUT RETIRA: 16590882-1</t>
  </si>
  <si>
    <t>Camino a zapallar kmtr 5,2</t>
  </si>
  <si>
    <t>BIT11035919</t>
  </si>
  <si>
    <t>258421228</t>
  </si>
  <si>
    <t>Javier Figueroa</t>
  </si>
  <si>
    <t>Galvani 01850, Pasaje Galvani 01850</t>
  </si>
  <si>
    <t>BIT11035887</t>
  </si>
  <si>
    <t>258421340</t>
  </si>
  <si>
    <t>NOMBRE RETIRA: LIDIA MELLA . RUT RETIRA: 76669508-6</t>
  </si>
  <si>
    <t>Ingrid peña</t>
  </si>
  <si>
    <t>Valdivia 286, Banco bci</t>
  </si>
  <si>
    <t>BIT11035856</t>
  </si>
  <si>
    <t>258421435</t>
  </si>
  <si>
    <t>NOMBRE RETIRA: NICOL SAINT K RUT RETIRA: 13332645-6</t>
  </si>
  <si>
    <t>BIT11035872</t>
  </si>
  <si>
    <t>258421415</t>
  </si>
  <si>
    <t>NOMBRE RETIRA: CLAUDIO ROJAS . RUT RETIRA: 12193656-9</t>
  </si>
  <si>
    <t>Claudio Rojas Ayala</t>
  </si>
  <si>
    <t>Las Heras 283, Casa</t>
  </si>
  <si>
    <t>BIT11035839</t>
  </si>
  <si>
    <t>258421577</t>
  </si>
  <si>
    <t>NOMBRE RETIRA: PABLO ALZAMORA . RUT RETIRA: 53318824-9</t>
  </si>
  <si>
    <t>NICOLAS BRAVO ALTAMIRANO</t>
  </si>
  <si>
    <t>Alvarez 1136 Depto, 1502</t>
  </si>
  <si>
    <t>BIT11036085</t>
  </si>
  <si>
    <t>258552767</t>
  </si>
  <si>
    <t>NOMBRE RETIRA: DENISE . . RUT RETIRA: 76669508-6</t>
  </si>
  <si>
    <t>Luis Herrera leiva</t>
  </si>
  <si>
    <t>La frontera 110, Poblacion lautaro</t>
  </si>
  <si>
    <t>BIT11035928</t>
  </si>
  <si>
    <t>258421151</t>
  </si>
  <si>
    <t>NOMBRE RETIRA: RONALD ALFARO A RUT RETIRA: 78225813-3</t>
  </si>
  <si>
    <t>Ronald Alfaro castillo</t>
  </si>
  <si>
    <t>Pasaje Felipe Lilayu Cosme Sur 3839</t>
  </si>
  <si>
    <t>BIT11035727</t>
  </si>
  <si>
    <t>258422063</t>
  </si>
  <si>
    <t>NOMBRE RETIRA: NUECES RAMIREZ . RUT RETIRA: 20417018-5</t>
  </si>
  <si>
    <t>Antonio Vives</t>
  </si>
  <si>
    <t>Ohiggins 1650, antofagasta, chile, 2705</t>
  </si>
  <si>
    <t>BIT11035892</t>
  </si>
  <si>
    <t>258421292</t>
  </si>
  <si>
    <t>NOMBRE RETIRA: MIRNA GUTIERRZ . RUT RETIRA: 14398357-9</t>
  </si>
  <si>
    <t>Juan Francisco Sepulveda Brito</t>
  </si>
  <si>
    <t>3 oriente 1645, 603, edificio raices</t>
  </si>
  <si>
    <t>BIT11035903</t>
  </si>
  <si>
    <t>258421302</t>
  </si>
  <si>
    <t>NOMBRE RETIRA: KARINA LEIVA X RUT RETIRA: 13828986-9</t>
  </si>
  <si>
    <t>Karina Leiva</t>
  </si>
  <si>
    <t>Lastra, 1884</t>
  </si>
  <si>
    <t>BIT11036076</t>
  </si>
  <si>
    <t>258552801</t>
  </si>
  <si>
    <t>NOMBRE RETIRA: JORGUE MAVRAKIS M RUT RETIRA: 26076095-5</t>
  </si>
  <si>
    <t>Jorge Mavrakis</t>
  </si>
  <si>
    <t>Avenida los pescadores 5315, 407</t>
  </si>
  <si>
    <t>BIT11036150</t>
  </si>
  <si>
    <t>258552417</t>
  </si>
  <si>
    <t>NOMBRE RETIRA: CATY ORDNES M RUT RETIRA: 18510121-5</t>
  </si>
  <si>
    <t>Caty Ordenes Gaete</t>
  </si>
  <si>
    <t>Freire 765 Quillota</t>
  </si>
  <si>
    <t>BIT11036022</t>
  </si>
  <si>
    <t>258552966</t>
  </si>
  <si>
    <t>NOMBRE RETIRA: GUSTAVO . . RUT RETIRA: 20011646-1</t>
  </si>
  <si>
    <t>Eduardo david Araneda bravo</t>
  </si>
  <si>
    <t>Santa maria 340 concepcion, Sector chillancito</t>
  </si>
  <si>
    <t>BIT11035618</t>
  </si>
  <si>
    <t>258423791</t>
  </si>
  <si>
    <t>NOMBRE RETIRA: MARI FERNANDEZ .. RUT RETIRA: 28746412-6</t>
  </si>
  <si>
    <t>Javier Beiza Ayala</t>
  </si>
  <si>
    <t>El Waman 613</t>
  </si>
  <si>
    <t>BIT11035406</t>
  </si>
  <si>
    <t>258019547</t>
  </si>
  <si>
    <t>NOMBRE RETIRA: VIVIANA CASTRO . RUT RETIRA: 11111111-1</t>
  </si>
  <si>
    <t>paola navarro</t>
  </si>
  <si>
    <t>jose menendez 788</t>
  </si>
  <si>
    <t>BIT11035814</t>
  </si>
  <si>
    <t>258421695</t>
  </si>
  <si>
    <t>NOMBRE RETIRA: FRANCISCO BLANCO BLANCO RUT RETIRA: 6329395-4</t>
  </si>
  <si>
    <t>Stella Figueroa</t>
  </si>
  <si>
    <t>Germán Riesco 230 oficina 1101</t>
  </si>
  <si>
    <t>BIT11035752</t>
  </si>
  <si>
    <t>258421971</t>
  </si>
  <si>
    <t>NOMBRE RETIRA: DAYAN CASTRO L RUT RETIRA: 28602059-3</t>
  </si>
  <si>
    <t>Dayan Castro</t>
  </si>
  <si>
    <t>Elqui 710, Casa amarilla</t>
  </si>
  <si>
    <t>BIT11035790</t>
  </si>
  <si>
    <t>258421774</t>
  </si>
  <si>
    <t>NOMBRE RETIRA: DANIELA MOLINA . RUT RETIRA: 18917891-3</t>
  </si>
  <si>
    <t>Alejandra Villalobos</t>
  </si>
  <si>
    <t>Los Ligustros 133 Miraflores, Miraflores bajo</t>
  </si>
  <si>
    <t>BIT11035805</t>
  </si>
  <si>
    <t>258421758</t>
  </si>
  <si>
    <t>NOMBRE RETIRA: MILTON GONZALEZ J RUT RETIRA: 18607579-K</t>
  </si>
  <si>
    <t>BIT11035710</t>
  </si>
  <si>
    <t>258422117</t>
  </si>
  <si>
    <t>NOMBRE RETIRA: WLADIMIR UBEDA . RUT RETIRA: 15687197-4</t>
  </si>
  <si>
    <t>Wladimir Ubeda Tamayo</t>
  </si>
  <si>
    <t>Avenida salvador allende gossens 2540, Depto. 13 block F</t>
  </si>
  <si>
    <t>BIT11035935</t>
  </si>
  <si>
    <t>258421166</t>
  </si>
  <si>
    <t>NOMBRE RETIRA: SILVANA FUENZALIDA . RUT RETIRA: 7165446-K</t>
  </si>
  <si>
    <t>Javier Araneda</t>
  </si>
  <si>
    <t>Genaro gallo 960, Casa</t>
  </si>
  <si>
    <t>BIT11035974</t>
  </si>
  <si>
    <t>258553110</t>
  </si>
  <si>
    <t>NOMBRE RETIRA: MAURO M M RUT RETIRA: 6780194-6</t>
  </si>
  <si>
    <t>Mauricio Martínez Gutiérrez</t>
  </si>
  <si>
    <t>Fernando de Aguirre 1150 Cartabio, 1150</t>
  </si>
  <si>
    <t>BIT11035823</t>
  </si>
  <si>
    <t>258421666</t>
  </si>
  <si>
    <t>NOMBRE RETIRA: MAURICIO SOTO . RUT RETIRA: 14149543-7</t>
  </si>
  <si>
    <t>Eduardo Salgado</t>
  </si>
  <si>
    <t>Amanecer De Alicante 2031</t>
  </si>
  <si>
    <t>BIT11035718</t>
  </si>
  <si>
    <t>258422107</t>
  </si>
  <si>
    <t>NOMBRE RETIRA: JAVIER VALENCIA I RUT RETIRA: 18709670-7</t>
  </si>
  <si>
    <t>Javier Valencia inostroza</t>
  </si>
  <si>
    <t>Leonidaz perez 3450, Dpto 1020 torre 3 doña alejandrina  1</t>
  </si>
  <si>
    <t>BIT11035647</t>
  </si>
  <si>
    <t>258423572</t>
  </si>
  <si>
    <t>NOMBRE RETIRA: TALIA OSORIO B RUT RETIRA: 10721237-K</t>
  </si>
  <si>
    <t>Talía Osorio</t>
  </si>
  <si>
    <t>Plaza Poniente 662</t>
  </si>
  <si>
    <t>BIT11035648</t>
  </si>
  <si>
    <t>258423598</t>
  </si>
  <si>
    <t>NOMBRE RETIRA: ROBERTO AGUIRRE. . RUT RETIRA: 56041900-7</t>
  </si>
  <si>
    <t>Jorge Pulgar Villalobos</t>
  </si>
  <si>
    <t>Amunategui 1946, Depa 1003-A</t>
  </si>
  <si>
    <t>BIT11035614</t>
  </si>
  <si>
    <t>258423804</t>
  </si>
  <si>
    <t>NOMBRE RETIRA: FRANCO ARANEDA . RUT RETIRA: 19427794-6</t>
  </si>
  <si>
    <t>BIT11035954</t>
  </si>
  <si>
    <t>258553125</t>
  </si>
  <si>
    <t>NOMBRE RETIRA: CINTHIA GONZALEZ 0 RUT RETIRA: 16973869-6</t>
  </si>
  <si>
    <t>Carlos Carreño</t>
  </si>
  <si>
    <t>17 norte 3824, Casa</t>
  </si>
  <si>
    <t>BIT11035778</t>
  </si>
  <si>
    <t>258421844</t>
  </si>
  <si>
    <t>NOMBRE RETIRA: CARLOS MOMBERG B RUT RETIRA: 10721237-K</t>
  </si>
  <si>
    <t>Carlos Momberg</t>
  </si>
  <si>
    <t>Holandeda 0460, 1201</t>
  </si>
  <si>
    <t>BIT11035278</t>
  </si>
  <si>
    <t>257925858</t>
  </si>
  <si>
    <t>NOMBRE RETIRA: LUIS BASCUNAN . RUT RETIRA: 15968744-9</t>
  </si>
  <si>
    <t>2025-11-23 21:26</t>
  </si>
  <si>
    <t>BIT11035990</t>
  </si>
  <si>
    <t>258553079</t>
  </si>
  <si>
    <t>NOMBRE RETIRA: JUAN MATUS MATUS RUT RETIRA: 20586313-3</t>
  </si>
  <si>
    <t>Matias Heredia</t>
  </si>
  <si>
    <t>Jose M. Infante 1020a, 705a</t>
  </si>
  <si>
    <t>BIT11035725</t>
  </si>
  <si>
    <t>258422087</t>
  </si>
  <si>
    <t>NOMBRE RETIRA: CRISTOBAL LIPSKI . RUT RETIRA: 15961844-7</t>
  </si>
  <si>
    <t>Cristobal Lipski</t>
  </si>
  <si>
    <t>Lolenco 160</t>
  </si>
  <si>
    <t>BIT11035669</t>
  </si>
  <si>
    <t>258423460</t>
  </si>
  <si>
    <t>NOMBRE RETIRA: JORGE VEGA . RUT RETIRA: 8682890-1</t>
  </si>
  <si>
    <t>Jorge Ismael Vega Bustos</t>
  </si>
  <si>
    <t>Avenida de Los Lagos 535</t>
  </si>
  <si>
    <t>BIT11035826</t>
  </si>
  <si>
    <t>258421634</t>
  </si>
  <si>
    <t>BIT11035822</t>
  </si>
  <si>
    <t>258421624</t>
  </si>
  <si>
    <t>NOMBRE RETIRA: AARON AGUERO . RUT RETIRA: 15769755-2</t>
  </si>
  <si>
    <t>Aaron Agüero</t>
  </si>
  <si>
    <t>Avenida Río Lauca Poniente 3140</t>
  </si>
  <si>
    <t>BIT11035619</t>
  </si>
  <si>
    <t>258423769</t>
  </si>
  <si>
    <t>NOMBRE RETIRA: LILIAN LAGOS . RUT RETIRA: 22819729-7</t>
  </si>
  <si>
    <t>BIT11035636</t>
  </si>
  <si>
    <t>258423632</t>
  </si>
  <si>
    <t>NOMBRE RETIRA: JUAN MORA OLIVARES RUT RETIRA: 12180698-3</t>
  </si>
  <si>
    <t>omar mora</t>
  </si>
  <si>
    <t>Río Lontué 667</t>
  </si>
  <si>
    <t>BIT11035651</t>
  </si>
  <si>
    <t>258423568</t>
  </si>
  <si>
    <t>NOMBRE RETIRA: RODRIGO LAZCANO CC . RUT RETIRA: 9699003-0</t>
  </si>
  <si>
    <t>BIT11035827</t>
  </si>
  <si>
    <t>258421619</t>
  </si>
  <si>
    <t>NOMBRE RETIRA: DANIEL . . RUT RETIRA: 26209641-6</t>
  </si>
  <si>
    <t>Daniel Perines</t>
  </si>
  <si>
    <t>socos 56, ovalle centro</t>
  </si>
  <si>
    <t>BIT11035665</t>
  </si>
  <si>
    <t>258423487</t>
  </si>
  <si>
    <t>NOMBRE RETIRA: MELISSA CONTRERAS ... RUT RETIRA: 65202577-3</t>
  </si>
  <si>
    <t>Avenida borde laguna 1407, dpto 136, curauma, placilla, Depto 136</t>
  </si>
  <si>
    <t>BIT11035986</t>
  </si>
  <si>
    <t>258553085</t>
  </si>
  <si>
    <t>NOMBRE RETIRA: RUT SEPULVEDA N RUT RETIRA: 3536999-6</t>
  </si>
  <si>
    <t>Victor Flores Sepulveda</t>
  </si>
  <si>
    <t>Las Calandrias 160, Villa El Conquistador</t>
  </si>
  <si>
    <t>BIT11035791</t>
  </si>
  <si>
    <t>258421810</t>
  </si>
  <si>
    <t>NOMBRE RETIRA: SERGIO SANDOVAL . RUT RETIRA: 56058900-K</t>
  </si>
  <si>
    <t>Veronica Narbona</t>
  </si>
  <si>
    <t>Avda pacifico gomez carreño, 4401   torre E depto 1003</t>
  </si>
  <si>
    <t>BIT11035689</t>
  </si>
  <si>
    <t>258422199</t>
  </si>
  <si>
    <t>NOMBRE RETIRA: ORIELA GONZALEZ . RUT RETIRA: 6275296-3</t>
  </si>
  <si>
    <t>Carlos Galleguillos</t>
  </si>
  <si>
    <t>Aurora 2655, compañía baja</t>
  </si>
  <si>
    <t>BIT11035731</t>
  </si>
  <si>
    <t>258422024</t>
  </si>
  <si>
    <t>NOMBRE RETIRA: WENDY ARREDONDO A RUT RETIRA: 12227241-9</t>
  </si>
  <si>
    <t>wendy arredondo</t>
  </si>
  <si>
    <t>Los Arrayanes 329, Condominio Alto Belloto</t>
  </si>
  <si>
    <t>BIT11035688</t>
  </si>
  <si>
    <t>258422238</t>
  </si>
  <si>
    <t>NOMBRE RETIRA: JASSNA CASTILLO .. RUT RETIRA: 19146817-1</t>
  </si>
  <si>
    <t>Jassna Castillo</t>
  </si>
  <si>
    <t>Nicolas castillo 1571 población limari, Tercera etapa</t>
  </si>
  <si>
    <t>BIT11035798</t>
  </si>
  <si>
    <t>258421782</t>
  </si>
  <si>
    <t>NOMBRE RETIRA: TERESA IBACACHE . RUT RETIRA: 7393413-3</t>
  </si>
  <si>
    <t>Teresa Ibacache Silva</t>
  </si>
  <si>
    <t>Ignacio Carrera Pinto 208, C 31</t>
  </si>
  <si>
    <t>BIT11035555</t>
  </si>
  <si>
    <t>258248644</t>
  </si>
  <si>
    <t>NOMBRE RETIRA: MIGUEL CASANOVA CAASANOVA RUT RETIRA: 15479321-6</t>
  </si>
  <si>
    <t>Héroes del morro 526</t>
  </si>
  <si>
    <t>BIT11035626</t>
  </si>
  <si>
    <t>258423691</t>
  </si>
  <si>
    <t>NOMBRE RETIRA: MARIA CONTRERAS . RUT RETIRA: 65049277-3</t>
  </si>
  <si>
    <t>Christian Quintana Pizarto</t>
  </si>
  <si>
    <t>Calle Nahuelbuta interior 1520 Edificio Quilen, 81A</t>
  </si>
  <si>
    <t>BIT11035985</t>
  </si>
  <si>
    <t>258553076</t>
  </si>
  <si>
    <t>Bruno Pizarro 232, Depto 602a, Depto 602a</t>
  </si>
  <si>
    <t>BIT11035739</t>
  </si>
  <si>
    <t>258422020</t>
  </si>
  <si>
    <t>NOMBRE RETIRA: STEFANY DELGADO . RUT RETIRA: 19949508-9</t>
  </si>
  <si>
    <t>Jonathan Delgado Campaña</t>
  </si>
  <si>
    <t>Chamorro Canteros 2523 Las Compañías Alta, Casa</t>
  </si>
  <si>
    <t>BIT11035831</t>
  </si>
  <si>
    <t>258421591</t>
  </si>
  <si>
    <t>NOMBRE RETIRA: MOICES VARAS VARAS RUT RETIRA: 10658451-6</t>
  </si>
  <si>
    <t>Juan Cardenas Gomez</t>
  </si>
  <si>
    <t>Yerbas Buenas 67, Liceo Catolico Atacama</t>
  </si>
  <si>
    <t>BIT11035637</t>
  </si>
  <si>
    <t>258423663</t>
  </si>
  <si>
    <t>NOMBRE RETIRA: JAVIER ESCAMILLA M RUT RETIRA: 17457878-8</t>
  </si>
  <si>
    <t>BIT11035708</t>
  </si>
  <si>
    <t>258422161</t>
  </si>
  <si>
    <t>NOMBRE RETIRA: JOSE ORTIZ -- RUT RETIRA: 12942695-0</t>
  </si>
  <si>
    <t>JOSE ORTIZ</t>
  </si>
  <si>
    <t>AVDA GABRIELA MISTRAL 2252, OFICINA AUDITORES TRIBUTARIOS</t>
  </si>
  <si>
    <t>BIT11035978</t>
  </si>
  <si>
    <t>258553097</t>
  </si>
  <si>
    <t>NOMBRE RETIRA: MIGUEL BASTIDAS . RUT RETIRA: 12968681-2</t>
  </si>
  <si>
    <t>Camila Aguilar Castillo</t>
  </si>
  <si>
    <t>Volcan Corcovado 5820, 307, torre 4</t>
  </si>
  <si>
    <t>BIT11035989</t>
  </si>
  <si>
    <t>258553083</t>
  </si>
  <si>
    <t>NOMBRE RETIRA: YONI SANDOVAL . RUT RETIRA: 15256496-1</t>
  </si>
  <si>
    <t>Yoni Sandoval</t>
  </si>
  <si>
    <t>Bilbao 1505</t>
  </si>
  <si>
    <t>BIT11035682</t>
  </si>
  <si>
    <t>258423413</t>
  </si>
  <si>
    <t>NOMBRE RETIRA: YANET ROCHA . RUT RETIRA: 10730319-7</t>
  </si>
  <si>
    <t>Miguel Aparicio</t>
  </si>
  <si>
    <t>Camino Antuco Km 3 Condominio 7Rios, Casa 20</t>
  </si>
  <si>
    <t>BIT11035729</t>
  </si>
  <si>
    <t>258422056</t>
  </si>
  <si>
    <t>NOMBRE RETIRA: CLAUDIO RIQUELME . RUT RETIRA: 16103485-1</t>
  </si>
  <si>
    <t>Claudio Riquelme Jerez</t>
  </si>
  <si>
    <t>Isla Riesco 561</t>
  </si>
  <si>
    <t>BIT11035871</t>
  </si>
  <si>
    <t>258421424</t>
  </si>
  <si>
    <t>NOMBRE RETIRA: LORNA HUICHALAF ... RUT RETIRA: 14516255-6</t>
  </si>
  <si>
    <t>Lorna Huichalaf Vargas</t>
  </si>
  <si>
    <t>Lord Cochrane 599, Las Brisas 19, Condominio Vientos del Sur</t>
  </si>
  <si>
    <t>BIT11035815</t>
  </si>
  <si>
    <t>258421724</t>
  </si>
  <si>
    <t>NOMBRE RETIRA: BERNARDO GONZALES . RUT RETIRA: 18805117-0</t>
  </si>
  <si>
    <t>Bernardo Gonzalez Soto</t>
  </si>
  <si>
    <t>San Gabriel 1807, pobl Basilio Muñoz, Casa</t>
  </si>
  <si>
    <t>BIT11035640</t>
  </si>
  <si>
    <t>258423591</t>
  </si>
  <si>
    <t>NOMBRE RETIRA: CARLOS RAMOS . RUT RETIRA: 13650180-1</t>
  </si>
  <si>
    <t>Carlos Ramos</t>
  </si>
  <si>
    <t>panamá #2297, casa</t>
  </si>
  <si>
    <t>BIT11035821</t>
  </si>
  <si>
    <t>258421702</t>
  </si>
  <si>
    <t>NOMBRE RETIRA: ANDREA RALTON RALTON RUT RETIRA: 9556804-1</t>
  </si>
  <si>
    <t>andrea railton</t>
  </si>
  <si>
    <t>4 PONIENTE 3278 LONCO ORIENTE, CASA</t>
  </si>
  <si>
    <t>BIT11035828</t>
  </si>
  <si>
    <t>258421658</t>
  </si>
  <si>
    <t>NOMBRE RETIRA: ERNA RATSH . RUT RETIRA: 9725682-9</t>
  </si>
  <si>
    <t>Erna Ratsch</t>
  </si>
  <si>
    <t>Ignacio.Serrano  130 SINDEMPART la herradura, casa</t>
  </si>
  <si>
    <t>BIT11035763</t>
  </si>
  <si>
    <t>258421870</t>
  </si>
  <si>
    <t>NOMBRE RETIRA: ADOLFO ACEVEDO . RUT RETIRA: 17625970-1</t>
  </si>
  <si>
    <t>FRANCISCO VON TROTT</t>
  </si>
  <si>
    <t>Jose Luis Daire 1200 Dpto 402 Torre 1, Condominio Panoramic</t>
  </si>
  <si>
    <t>BIT11035630</t>
  </si>
  <si>
    <t>258423686</t>
  </si>
  <si>
    <t>NOMBRE RETIRA: LUIS RUMINOT 0 RUT RETIRA: 76266076-8</t>
  </si>
  <si>
    <t>Gerardo Lacroix Alvarez</t>
  </si>
  <si>
    <t>Avenida laguna grande 533, 26</t>
  </si>
  <si>
    <t>BIT11035761</t>
  </si>
  <si>
    <t>258421913</t>
  </si>
  <si>
    <t>NOMBRE RETIRA: ALFERINO APABLAZA . RUT RETIRA: 81201000-K</t>
  </si>
  <si>
    <t>DANIEL IGNACIO CASTRO GONZALEZ</t>
  </si>
  <si>
    <t>Santa Teresa de Los Andes 27. Condominio don Fernando Casa 2. Lomas de San Sebastián., (casa está frente a Plaza Bélgica, pero por fuera del condominio: directamente en la calle Santa Te[...]</t>
  </si>
  <si>
    <t>BIT11035653</t>
  </si>
  <si>
    <t>258423566</t>
  </si>
  <si>
    <t>NOMBRE RETIRA: FANNY SILVA GUERRERO RUT RETIRA: 15113448-3</t>
  </si>
  <si>
    <t>Pablo Lizama</t>
  </si>
  <si>
    <t>Los Guindos 277</t>
  </si>
  <si>
    <t>BIT11035706</t>
  </si>
  <si>
    <t>258422173</t>
  </si>
  <si>
    <t>NOMBRE RETIRA: RENE AMBIADO . RUT RETIRA: 9221734-5</t>
  </si>
  <si>
    <t>Jorge González</t>
  </si>
  <si>
    <t>Esperanza 775, Departamento 17 torre 2</t>
  </si>
  <si>
    <t>BIT11035627</t>
  </si>
  <si>
    <t>258423730</t>
  </si>
  <si>
    <t>NOMBRE RETIRA: BIANCA LOBOS . RUT RETIRA: 26072101-1</t>
  </si>
  <si>
    <t>Enoc Monsalve</t>
  </si>
  <si>
    <t>Ohiggins 760 B, Farmacia Enoc</t>
  </si>
  <si>
    <t>BIT11035599</t>
  </si>
  <si>
    <t>258248587</t>
  </si>
  <si>
    <t>NOMBRE RETIRA: CRISTHIAN ESPINOZA ESPINOZA RUT RETIRA: 12436985-1</t>
  </si>
  <si>
    <t>Cristian Espinoza</t>
  </si>
  <si>
    <t>Los lirios 140, Casa</t>
  </si>
  <si>
    <t>BIT11035931</t>
  </si>
  <si>
    <t>258421141</t>
  </si>
  <si>
    <t>NOMBRE RETIRA: ALEXIS RIQUELMES . RUT RETIRA: 15180469-1</t>
  </si>
  <si>
    <t>Víctor Romero Pacheco</t>
  </si>
  <si>
    <t>Avenida Los Claveles 311, Casa 17</t>
  </si>
  <si>
    <t>BIT11035750</t>
  </si>
  <si>
    <t>258421985</t>
  </si>
  <si>
    <t>NOMBRE RETIRA: VICTOR CHART B RUT RETIRA: 6502940-5</t>
  </si>
  <si>
    <t>Evelyn Martínez</t>
  </si>
  <si>
    <t>Av. campos deportivos  482, 6</t>
  </si>
  <si>
    <t>BIT11035701</t>
  </si>
  <si>
    <t>258422181</t>
  </si>
  <si>
    <t>NOMBRE RETIRA: GUSTAVO ARAYA . RUT RETIRA: 11724914-K</t>
  </si>
  <si>
    <t>Gustavo Araya Zarricueta</t>
  </si>
  <si>
    <t>Carmen Goudie de Del Río 5024, Peñuelas, Coquimbo, Casa</t>
  </si>
  <si>
    <t>BIT11035984</t>
  </si>
  <si>
    <t>258553092</t>
  </si>
  <si>
    <t>NOMBRE RETIRA: MIRIAM DELSON . RUT RETIRA: 9163769-3</t>
  </si>
  <si>
    <t>Ramon Acevedo</t>
  </si>
  <si>
    <t>Chillan 489, COMERCIAL ACSA</t>
  </si>
  <si>
    <t>BIT11035638</t>
  </si>
  <si>
    <t>258423621</t>
  </si>
  <si>
    <t>NOMBRE RETIRA: SANDRA GUAJARDO . . RUT RETIRA: 12558414-4</t>
  </si>
  <si>
    <t>BIT11035771</t>
  </si>
  <si>
    <t>258421863</t>
  </si>
  <si>
    <t>NOMBRE RETIRA: RAFAEL LEON . RUT RETIRA: 7663593-5</t>
  </si>
  <si>
    <t>Rafael Leon Oses</t>
  </si>
  <si>
    <t>Cayumanqui 407, Farmacia Quillon</t>
  </si>
  <si>
    <t>BIT11035642</t>
  </si>
  <si>
    <t>258423604</t>
  </si>
  <si>
    <t>NOMBRE RETIRA: EDUARDO ROSEL __ RUT RETIRA: 12345678-5</t>
  </si>
  <si>
    <t>Eduardo Rosel</t>
  </si>
  <si>
    <t>Colombia 1458, Condominio Mistral Oriente 3, Depto 304C</t>
  </si>
  <si>
    <t>BIT11035654</t>
  </si>
  <si>
    <t>258423507</t>
  </si>
  <si>
    <t>NOMBRE RETIRA: JORGE NARANJO . RUT RETIRA: 11399366-9</t>
  </si>
  <si>
    <t>6 1/2 oriente 151, Dpto 603</t>
  </si>
  <si>
    <t>BIT11035924</t>
  </si>
  <si>
    <t>258421157</t>
  </si>
  <si>
    <t>NOMBRE RETIRA: LENNIS CALDERON . RUT RETIRA: 17971129-K</t>
  </si>
  <si>
    <t>Lorna toselli</t>
  </si>
  <si>
    <t>C. Pedro Herrera Balharry 1051, Apt. depto 506 A</t>
  </si>
  <si>
    <t>BIT11035724</t>
  </si>
  <si>
    <t>258422074</t>
  </si>
  <si>
    <t>NOMBRE RETIRA: IGNACIO REYES . RUT RETIRA: 14398357-9</t>
  </si>
  <si>
    <t>Juan Ignacio Reyes fuentes</t>
  </si>
  <si>
    <t>5 oriente 2039</t>
  </si>
  <si>
    <t>BIT11035697</t>
  </si>
  <si>
    <t>258422192</t>
  </si>
  <si>
    <t>NOMBRE RETIRA: PABLO FONDECA .11 RUT RETIRA: 10921220-2</t>
  </si>
  <si>
    <t>Dante Barra de la Parra</t>
  </si>
  <si>
    <t>Ramón Carrasco 239, 264</t>
  </si>
  <si>
    <t>BIT11035659</t>
  </si>
  <si>
    <t>258423495</t>
  </si>
  <si>
    <t>NOMBRE RETIRA: JULIA PACHECO J RUT RETIRA: 9026367-6</t>
  </si>
  <si>
    <t>BIT11035664</t>
  </si>
  <si>
    <t>258423491</t>
  </si>
  <si>
    <t>NOMBRE RETIRA: YASNA CORTEZ . RUT RETIRA: 10297049-7</t>
  </si>
  <si>
    <t>Yasna Vinka Cortės Aguilar</t>
  </si>
  <si>
    <t>Cerro Nido de Cóndores 1814, Vista Cordilera 2</t>
  </si>
  <si>
    <t>BIT11035656</t>
  </si>
  <si>
    <t>258423534</t>
  </si>
  <si>
    <t>NOMBRE RETIRA: MIRNA PEREZ . RUT RETIRA: 15268381-2</t>
  </si>
  <si>
    <t>Mirna Pérez</t>
  </si>
  <si>
    <t>Pasaje Dresden 1331, Casa</t>
  </si>
  <si>
    <t>BIT11035655</t>
  </si>
  <si>
    <t>258423517</t>
  </si>
  <si>
    <t>NOMBRE RETIRA: WALDO SILVA . RUT RETIRA: 10527271-5</t>
  </si>
  <si>
    <t>Cristián Borjas</t>
  </si>
  <si>
    <t>Las Araucarias 20, Casa 2</t>
  </si>
  <si>
    <t>BIT11035639</t>
  </si>
  <si>
    <t>258423674</t>
  </si>
  <si>
    <t>NOMBRE RETIRA: VIRGINIA RIFFO . RUT RETIRA: 4436624-K</t>
  </si>
  <si>
    <t>María Cecilia Soto Riffo</t>
  </si>
  <si>
    <t>Pasaje San Benito 356</t>
  </si>
  <si>
    <t>BIT11035938</t>
  </si>
  <si>
    <t>258421123</t>
  </si>
  <si>
    <t>NOMBRE RETIRA: MARIA ULLOA . RUT RETIRA: 18805117-0</t>
  </si>
  <si>
    <t>María José Ulloa Mendoza</t>
  </si>
  <si>
    <t>Calle Laguna Verde 2398 Condominio Hacienda Los Encinos, Casa 7</t>
  </si>
  <si>
    <t>BIT11035818</t>
  </si>
  <si>
    <t>258421670</t>
  </si>
  <si>
    <t>NOMBRE RETIRA: MIRTZA NAVEA . . RUT RETIRA: 10761010-3</t>
  </si>
  <si>
    <t>Madeleine Monroy Huerta</t>
  </si>
  <si>
    <t>Los Arrayanes 1000, 501</t>
  </si>
  <si>
    <t>BIT11035679</t>
  </si>
  <si>
    <t>258423368</t>
  </si>
  <si>
    <t>NOMBRE RETIRA: MANUEL ORELLA A . RUT RETIRA: 14204347-5</t>
  </si>
  <si>
    <t>Pasaje Raymond Monvoisin 059, Machali, 059</t>
  </si>
  <si>
    <t>BIT11035764</t>
  </si>
  <si>
    <t>258421892</t>
  </si>
  <si>
    <t>NOMBRE RETIRA: MICHEL DE LA PAZ . RUT RETIRA: 20530448-7</t>
  </si>
  <si>
    <t>Michel de la Paz</t>
  </si>
  <si>
    <t>Avenida Bernardo Ohiggins 422, Condominio Palguin, Casa 2025</t>
  </si>
  <si>
    <t>BIT11035611</t>
  </si>
  <si>
    <t>258248535</t>
  </si>
  <si>
    <t>BIT11035792</t>
  </si>
  <si>
    <t>258421818</t>
  </si>
  <si>
    <t>NOMBRE RETIRA: MAFLENE MARIN . RUT RETIRA: 6756814-1</t>
  </si>
  <si>
    <t>Marlene Marin Marin</t>
  </si>
  <si>
    <t>Madrid 27 A, Frente a Totus</t>
  </si>
  <si>
    <t>BIT11035965</t>
  </si>
  <si>
    <t>258553127</t>
  </si>
  <si>
    <t>NOMBRE RETIRA: JEREMY CAREAZCO BUSTAMANTE RUT RETIRA: 20370222-1</t>
  </si>
  <si>
    <t>Karen Bustamante</t>
  </si>
  <si>
    <t>Santa Ana 0188, oficina</t>
  </si>
  <si>
    <t>BIT11035687</t>
  </si>
  <si>
    <t>258423398</t>
  </si>
  <si>
    <t>NOMBRE RETIRA: MANUELA MUNOZ . RUT RETIRA: 6041784-9</t>
  </si>
  <si>
    <t>Pri Baez</t>
  </si>
  <si>
    <t>Vil Jamaica, Los Alerces 41</t>
  </si>
  <si>
    <t>BIT11035598</t>
  </si>
  <si>
    <t>258248565</t>
  </si>
  <si>
    <t>NOMBRE RETIRA: JANET ALTAMIRANO X RUT RETIRA: 9000313-5</t>
  </si>
  <si>
    <t>Janet Altamirano</t>
  </si>
  <si>
    <t>Pasaje bellavista, lote 7, camino Villarrica Pucón km 11,5</t>
  </si>
  <si>
    <t>BIT11035590</t>
  </si>
  <si>
    <t>258248606</t>
  </si>
  <si>
    <t>NOMBRE RETIRA: VALENTINA CORNEJO . RUT RETIRA: 23573537-7</t>
  </si>
  <si>
    <t>Marcial alexis Cornejo rozas</t>
  </si>
  <si>
    <t>Chomedahue</t>
  </si>
  <si>
    <t>BIT11035461</t>
  </si>
  <si>
    <t>258098961</t>
  </si>
  <si>
    <t>NOMBRE RETIRA: MARISOL ECHEVERRIA . RUT RETIRA: 8448143-2</t>
  </si>
  <si>
    <t>Raúl Pomareda</t>
  </si>
  <si>
    <t>Matias rojas 1301, Casa esquina</t>
  </si>
  <si>
    <t>BIT11035427</t>
  </si>
  <si>
    <t>258099049</t>
  </si>
  <si>
    <t>NOMBRE RETIRA: VERONICA ECHMANN ECHMANN RUT RETIRA: 18281534-9</t>
  </si>
  <si>
    <t>General Baquedano 170, Casa</t>
  </si>
  <si>
    <t>BIT11035606</t>
  </si>
  <si>
    <t>258248556</t>
  </si>
  <si>
    <t>NOMBRE RETIRA: SERGIO JOFRE . RUT RETIRA: 11506200-K</t>
  </si>
  <si>
    <t>Sergio Jofre Pizarro</t>
  </si>
  <si>
    <t>pasaje el teniente 4122, villa los yacimiento</t>
  </si>
  <si>
    <t>BIT11035603</t>
  </si>
  <si>
    <t>258248563</t>
  </si>
  <si>
    <t>NOMBRE RETIRA: WENDY GALLEGUILLOS . RUT RETIRA: 8480907-1</t>
  </si>
  <si>
    <t>BIT11035558</t>
  </si>
  <si>
    <t>258248639</t>
  </si>
  <si>
    <t>NOMBRE RETIRA: JORGE CORTEZ OLMOS RUT RETIRA: 13222851-5</t>
  </si>
  <si>
    <t>jorge cortes olmos</t>
  </si>
  <si>
    <t>avenida ejercito 7. población los estandartes, casa</t>
  </si>
  <si>
    <t>BIT11035581</t>
  </si>
  <si>
    <t>258248593</t>
  </si>
  <si>
    <t>NOMBRE RETIRA: HUGO CARCAMO . RUT RETIRA: 8051625-8</t>
  </si>
  <si>
    <t>Hugo Carcamo</t>
  </si>
  <si>
    <t>Llancamil 4984</t>
  </si>
  <si>
    <t>BIT11035579</t>
  </si>
  <si>
    <t>258248613</t>
  </si>
  <si>
    <t>NOMBRE RETIRA: PAULO FERRARI F RUT RETIRA: 7671352-9</t>
  </si>
  <si>
    <t>Emanuel Damiano</t>
  </si>
  <si>
    <t>Pasaje Río Ebro 2139, Casa</t>
  </si>
  <si>
    <t>2025-11-27 21:07</t>
  </si>
  <si>
    <t>BIT11035536</t>
  </si>
  <si>
    <t>258248676</t>
  </si>
  <si>
    <t>NOMBRE RETIRA: JONATHAN BAZAN . RUT RETIRA: 16174279-1</t>
  </si>
  <si>
    <t>Patricio Soto</t>
  </si>
  <si>
    <t>Av. San Andrés 183, Departamento 505B</t>
  </si>
  <si>
    <t>BIT11035544</t>
  </si>
  <si>
    <t>258248657</t>
  </si>
  <si>
    <t>NOMBRE RETIRA: LUIS . . RUT RETIRA: 53330390-0</t>
  </si>
  <si>
    <t>Mario Estay Astorga</t>
  </si>
  <si>
    <t>Toro Zambrano 450, Cerro Esperanza</t>
  </si>
  <si>
    <t>BIT11035595</t>
  </si>
  <si>
    <t>258248588</t>
  </si>
  <si>
    <t>Mauricio Adriazola Jara</t>
  </si>
  <si>
    <t>San Carlos 107, Telsur</t>
  </si>
  <si>
    <t>BIT11035589</t>
  </si>
  <si>
    <t>258248570</t>
  </si>
  <si>
    <t>NOMBRE RETIRA: ALEX FUARDIA U RUT RETIRA: 18194820-5</t>
  </si>
  <si>
    <t>EVANDRO CELEDON</t>
  </si>
  <si>
    <t>MIGUEL FARADAY 2470, BODEGAS ENTREGAR MOISES CARES</t>
  </si>
  <si>
    <t>BIT11035609</t>
  </si>
  <si>
    <t>258248547</t>
  </si>
  <si>
    <t>NOMBRE RETIRA: NICOLE KRUMM . RUT RETIRA: 17615017-3</t>
  </si>
  <si>
    <t>Nicole Krumm</t>
  </si>
  <si>
    <t>Los olmos 1151, 304</t>
  </si>
  <si>
    <t>BIT11035571</t>
  </si>
  <si>
    <t>258248626</t>
  </si>
  <si>
    <t>NOMBRE RETIRA: MARCELO . . RUT RETIRA: 53310370-7</t>
  </si>
  <si>
    <t>Marcelo Stumfol Rivera</t>
  </si>
  <si>
    <t>Preston 01841</t>
  </si>
  <si>
    <t>BIT11035546</t>
  </si>
  <si>
    <t>258248654</t>
  </si>
  <si>
    <t>NOMBRE RETIRA: GABRIELA KOZT . RUT RETIRA: 14587008-9</t>
  </si>
  <si>
    <t>GABRIELA KOTZ</t>
  </si>
  <si>
    <t>Ignacio de Loyola 128, Casa 2 - Condominio Fray Thomas</t>
  </si>
  <si>
    <t>BIT11035608</t>
  </si>
  <si>
    <t>258248555</t>
  </si>
  <si>
    <t>NOMBRE RETIRA: FELIPE CONA . RUT RETIRA: 19799846-6</t>
  </si>
  <si>
    <t>Teresa Romero</t>
  </si>
  <si>
    <t>Casas Quiero 211</t>
  </si>
  <si>
    <t>BIT11035564</t>
  </si>
  <si>
    <t>258248635</t>
  </si>
  <si>
    <t>NOMBRE RETIRA: GLORIA SANCHES LLL RUT RETIRA: 11922658-9</t>
  </si>
  <si>
    <t>Jorge ubilla wagenknecht</t>
  </si>
  <si>
    <t>Francisco bilbao 1072, Depto 1510</t>
  </si>
  <si>
    <t>BIT11035585</t>
  </si>
  <si>
    <t>258248623</t>
  </si>
  <si>
    <t>NOMBRE RETIRA: SIMON TORO . RUT RETIRA: 13974592-2</t>
  </si>
  <si>
    <t>Simon Toro Fernandez</t>
  </si>
  <si>
    <t>Miramar 5129</t>
  </si>
  <si>
    <t>BIT11035540</t>
  </si>
  <si>
    <t>258248698</t>
  </si>
  <si>
    <t>NOMBRE RETIRA: VIRGINIA RODRIGUEZ . RUT RETIRA: 5553139-0</t>
  </si>
  <si>
    <t>Virginia Rodriguez Parry</t>
  </si>
  <si>
    <t>Curali 522, Casa</t>
  </si>
  <si>
    <t>BIT11035549</t>
  </si>
  <si>
    <t>258248636</t>
  </si>
  <si>
    <t>NOMBRE RETIRA: JUAN CARLOS HENRIQUEZ . RUT RETIRA: 16992835-5</t>
  </si>
  <si>
    <t>Juan Carlos Henriquez</t>
  </si>
  <si>
    <t>Calle José Miguel Carrera, N°913, Quillón, Ñuble</t>
  </si>
  <si>
    <t>BIT11035613</t>
  </si>
  <si>
    <t>258248550</t>
  </si>
  <si>
    <t>NOMBRE RETIRA: ELIANA QUEZADAA . RUT RETIRA: 10201662-9</t>
  </si>
  <si>
    <t>Stefano Lueiza</t>
  </si>
  <si>
    <t>Villa las gardenias 1 Oriente #979</t>
  </si>
  <si>
    <t>BIT11035563</t>
  </si>
  <si>
    <t>258248633</t>
  </si>
  <si>
    <t>NOMBRE RETIRA: JORGE ROCOS . RUT RETIRA: 17384298-8</t>
  </si>
  <si>
    <t>Jorge Roco Villarreal</t>
  </si>
  <si>
    <t>2 norte 1686, Talca, Entre 9 y 10 oriente</t>
  </si>
  <si>
    <t>BIT11035511</t>
  </si>
  <si>
    <t>258191502</t>
  </si>
  <si>
    <t>NOMBRE RETIRA: MIGUEL ALMONACID M RUT RETIRA: 9549819-1</t>
  </si>
  <si>
    <t>Miguel Almonacid</t>
  </si>
  <si>
    <t>Los chucaos 467</t>
  </si>
  <si>
    <t>BIT11035478</t>
  </si>
  <si>
    <t>258191694</t>
  </si>
  <si>
    <t>CHRISTIAN RAVAZZANO</t>
  </si>
  <si>
    <t>General Lagos 746, oficina 1 NS corretaje</t>
  </si>
  <si>
    <t>BIT11035494</t>
  </si>
  <si>
    <t>258191680</t>
  </si>
  <si>
    <t>NOMBRE RETIRA: MITCHEL AVALOS B RUT RETIRA: 53333463-6</t>
  </si>
  <si>
    <t>Samuel Bustamante</t>
  </si>
  <si>
    <t>Condell Sur 1237 - Edificio Mondrian, Depto 903</t>
  </si>
  <si>
    <t>BIT11035529</t>
  </si>
  <si>
    <t>258191452</t>
  </si>
  <si>
    <t>NOMBRE RETIRA: FR I . RUT RETIRA: 53310370-7</t>
  </si>
  <si>
    <t>Ana maria Canseco</t>
  </si>
  <si>
    <t>Martin lutero 02580, Dpto 81</t>
  </si>
  <si>
    <t>BIT11035513</t>
  </si>
  <si>
    <t>258191505</t>
  </si>
  <si>
    <t>NOMBRE RETIRA: JORGE PADILLA H RUT RETIRA: 65088669-0</t>
  </si>
  <si>
    <t>Morris 776,, Departamento 1506</t>
  </si>
  <si>
    <t>BIT11035422</t>
  </si>
  <si>
    <t>258099078</t>
  </si>
  <si>
    <t>NOMBRE RETIRA: MERCEDES . . RUT RETIRA: 10150326-7</t>
  </si>
  <si>
    <t>Mackarena Araya aguilera</t>
  </si>
  <si>
    <t>Gladys marin 605, Condominio chaxa casa 54</t>
  </si>
  <si>
    <t>BIT11035517</t>
  </si>
  <si>
    <t>258191495</t>
  </si>
  <si>
    <t>NOMBRE RETIRA: EDUARDO CARVAJAL . RUT RETIRA: 12232855-4</t>
  </si>
  <si>
    <t>Eduardo Carvajal Diaz</t>
  </si>
  <si>
    <t>Cruce paredes 8000, Casa</t>
  </si>
  <si>
    <t>BIT11035496</t>
  </si>
  <si>
    <t>258191690</t>
  </si>
  <si>
    <t>BIT11035501</t>
  </si>
  <si>
    <t>258191665</t>
  </si>
  <si>
    <t>BIT11035482</t>
  </si>
  <si>
    <t>258191737</t>
  </si>
  <si>
    <t>NOMBRE RETIRA: ERICK CONRRERAS CONTRERAS RUT RETIRA: 18043833-5</t>
  </si>
  <si>
    <t>BIT11035509</t>
  </si>
  <si>
    <t>258191621</t>
  </si>
  <si>
    <t>Marcelino Champagnat 3, Casa 3, Casa 3</t>
  </si>
  <si>
    <t>BIT11035445</t>
  </si>
  <si>
    <t>258098987</t>
  </si>
  <si>
    <t>NOMBRE RETIRA: JAQUELINE MUNOZ . RUT RETIRA: 9753911-1</t>
  </si>
  <si>
    <t>Monturaqui 1319, Casa</t>
  </si>
  <si>
    <t>BIT11035488</t>
  </si>
  <si>
    <t>258191718</t>
  </si>
  <si>
    <t>NOMBRE RETIRA: BINDER CASTILLO H RUT RETIRA: 19168955-0</t>
  </si>
  <si>
    <t>Diego Cabrera Martinez</t>
  </si>
  <si>
    <t>Las rosas 488, Torre 1, depto 43</t>
  </si>
  <si>
    <t>BIT11035519</t>
  </si>
  <si>
    <t>258191489</t>
  </si>
  <si>
    <t>NOMBRE RETIRA: RODRIGO GARCIA . RUT RETIRA: 65051133-6</t>
  </si>
  <si>
    <t>Carmen Gloria Moreno</t>
  </si>
  <si>
    <t>Av 21 de mayo 1442, Casa 4</t>
  </si>
  <si>
    <t>BIT11035510</t>
  </si>
  <si>
    <t>258191515</t>
  </si>
  <si>
    <t>NOMBRE RETIRA: JORGE PAATEN . RUT RETIRA: 53321780-K</t>
  </si>
  <si>
    <t>BIT11035498</t>
  </si>
  <si>
    <t>258191654</t>
  </si>
  <si>
    <t>NOMBRE RETIRA: CARLA MULLER M RUT RETIRA: 8949383-8</t>
  </si>
  <si>
    <t>Carla Muller</t>
  </si>
  <si>
    <t>Baquedano 795 depto 44, Osorno</t>
  </si>
  <si>
    <t>BIT11035466</t>
  </si>
  <si>
    <t>258098912</t>
  </si>
  <si>
    <t>Av. Jaime Guzmán Errázuriz 04824, Antofagasta, Chile, depto 801.</t>
  </si>
  <si>
    <t>BIT11035441</t>
  </si>
  <si>
    <t>258099014</t>
  </si>
  <si>
    <t>NOMBRE RETIRA: ANTONIO PISARRO . RUT RETIRA: 56052390-4</t>
  </si>
  <si>
    <t>David Alvarez</t>
  </si>
  <si>
    <t>Diaz gana 900, El roble 144</t>
  </si>
  <si>
    <t>BIT11035505</t>
  </si>
  <si>
    <t>258191555</t>
  </si>
  <si>
    <t>NOMBRE RETIRA: CATALIMA OYARCE W RUT RETIRA: 14594469-4</t>
  </si>
  <si>
    <t>Jose Elizondo</t>
  </si>
  <si>
    <t>Tegula 155</t>
  </si>
  <si>
    <t>BIT11035483</t>
  </si>
  <si>
    <t>258191728</t>
  </si>
  <si>
    <t>NOMBRE RETIRA: CONSTANZA FUENTES . RUT RETIRA: 18261719-9</t>
  </si>
  <si>
    <t>BIT11035499</t>
  </si>
  <si>
    <t>258191637</t>
  </si>
  <si>
    <t>NOMBRE RETIRA: NATANIEL CONSRRJE N RUT RETIRA: 9345768-4</t>
  </si>
  <si>
    <t>BIT11035442</t>
  </si>
  <si>
    <t>258099021</t>
  </si>
  <si>
    <t>NOMBRE RETIRA: LEIDY MURCIA .. RUT RETIRA: 28780719-8</t>
  </si>
  <si>
    <t>Rossanne Juul</t>
  </si>
  <si>
    <t>Aconcagua 923, 1601</t>
  </si>
  <si>
    <t>BIT11035443</t>
  </si>
  <si>
    <t>258099003</t>
  </si>
  <si>
    <t>NOMBRE RETIRA: KATHERIN TAPIA CUELLO RUT RETIRA: 18520545-2</t>
  </si>
  <si>
    <t>Katherine Tapia</t>
  </si>
  <si>
    <t>Moises Arce 5989 paipote, Casa</t>
  </si>
  <si>
    <t>BIT11035356</t>
  </si>
  <si>
    <t>258019747</t>
  </si>
  <si>
    <t>NOMBRE RETIRA: LUIS VARAS P RUT RETIRA: 8023142-3</t>
  </si>
  <si>
    <t>Constanza Varas Muñoz</t>
  </si>
  <si>
    <t>Carlos Pezoa Véliz 021 depto. 23 V</t>
  </si>
  <si>
    <t>2025-11-24 11:37</t>
  </si>
  <si>
    <t>BIT11035400</t>
  </si>
  <si>
    <t>258019618</t>
  </si>
  <si>
    <t>NOMBRE RETIRA: SUSAN CAICEA A RUT RETIRA: 9790351-4</t>
  </si>
  <si>
    <t>Danilo Quiroz</t>
  </si>
  <si>
    <t>Avenida El Retiro Sur 240</t>
  </si>
  <si>
    <t>BIT11035384</t>
  </si>
  <si>
    <t>258019686</t>
  </si>
  <si>
    <t>NOMBRE RETIRA: MARIA SELIS . RUT RETIRA: 5982676-K</t>
  </si>
  <si>
    <t>Maria Eugenia Siles Phillips</t>
  </si>
  <si>
    <t>Altos del mar 1157 casa 26, Casa 26</t>
  </si>
  <si>
    <t>BIT11035449</t>
  </si>
  <si>
    <t>258098981</t>
  </si>
  <si>
    <t>NOMBRE RETIRA: DANIEL ROMO R RUT RETIRA: 56049520-K</t>
  </si>
  <si>
    <t>Felipe Gomez</t>
  </si>
  <si>
    <t>Reñaca Norte 265, 1801</t>
  </si>
  <si>
    <t>2025-11-25 21:17</t>
  </si>
  <si>
    <t>BIT11035383</t>
  </si>
  <si>
    <t>258019666</t>
  </si>
  <si>
    <t>Jorge Ramos Riveros</t>
  </si>
  <si>
    <t>La Greda 1925, Depto 208 B</t>
  </si>
  <si>
    <t>BIT11035426</t>
  </si>
  <si>
    <t>258099044</t>
  </si>
  <si>
    <t>NOMBRE RETIRA: ARMANDO SALGADO . RUT RETIRA: 12317937-4</t>
  </si>
  <si>
    <t>Cristian Ariz</t>
  </si>
  <si>
    <t>cosme churruca 150 casa, Casa 29 lomas de san andres</t>
  </si>
  <si>
    <t>BIT11035024</t>
  </si>
  <si>
    <t>257602197</t>
  </si>
  <si>
    <t>NOMBRE RETIRA: MELISA CARMODY . RUT RETIRA: 11111111-1</t>
  </si>
  <si>
    <t>Nelson Silva</t>
  </si>
  <si>
    <t>Balmaceda 586 , Oficina WCS</t>
  </si>
  <si>
    <t>2025-11-18 21:23</t>
  </si>
  <si>
    <t>BIT11035474</t>
  </si>
  <si>
    <t>258098924</t>
  </si>
  <si>
    <t>NOMBRE RETIRA: PIA ZEPEDA . RUT RETIRA: 18823908-0</t>
  </si>
  <si>
    <t>BIT11035457</t>
  </si>
  <si>
    <t>258098950</t>
  </si>
  <si>
    <t>NOMBRE RETIRA: MARIA HENRIQUEZ . RUT RETIRA: 9936562-5</t>
  </si>
  <si>
    <t>Angelica Leiva</t>
  </si>
  <si>
    <t>Juan Casas 12 Villa Las Acacias San Felipe, casa</t>
  </si>
  <si>
    <t>BIT11035468</t>
  </si>
  <si>
    <t>258098933</t>
  </si>
  <si>
    <t>NOMBRE RETIRA: PABLO COLINAD J RUT RETIRA: 10721237-K</t>
  </si>
  <si>
    <t>Pablo Colinad</t>
  </si>
  <si>
    <t>Las Heras 305, Casa amarilla portón negro</t>
  </si>
  <si>
    <t>BIT11035465</t>
  </si>
  <si>
    <t>258098941</t>
  </si>
  <si>
    <t>NOMBRE RETIRA: JACQUELINE ABURTO A RUT RETIRA: 13894707-6</t>
  </si>
  <si>
    <t>Norita Jorquera</t>
  </si>
  <si>
    <t>Tegula 287,, Jardín del mar</t>
  </si>
  <si>
    <t>BIT11035403</t>
  </si>
  <si>
    <t>258019582</t>
  </si>
  <si>
    <t>NOMBRE RETIRA: INES GODOY . RUT RETIRA: 8480461-4</t>
  </si>
  <si>
    <t>Andrés Bugueño Godoy</t>
  </si>
  <si>
    <t>Talca 887, Casa</t>
  </si>
  <si>
    <t>BIT11035224</t>
  </si>
  <si>
    <t>257838323</t>
  </si>
  <si>
    <t>NOMBRE RETIRA: CARLOS OVIEDO . RUT RETIRA: 10614561-K</t>
  </si>
  <si>
    <t>Juan Morales</t>
  </si>
  <si>
    <t>Avenida Arturo Prat 3783, 403 torre A</t>
  </si>
  <si>
    <t>BIT11035401</t>
  </si>
  <si>
    <t>258019595</t>
  </si>
  <si>
    <t>NOMBRE RETIRA: PILAR GUTIERREZ . RUT RETIRA: 12533484-9</t>
  </si>
  <si>
    <t>Daniel Pineda</t>
  </si>
  <si>
    <t>Los mañios 0171, Población la conquista</t>
  </si>
  <si>
    <t>BIT11035284</t>
  </si>
  <si>
    <t>257925831</t>
  </si>
  <si>
    <t>NOMBRE RETIRA: YIMY PEDRO . RUT RETIRA: 6969742-9</t>
  </si>
  <si>
    <t>José Silva</t>
  </si>
  <si>
    <t>Dieciocho septiembre 2044</t>
  </si>
  <si>
    <t>BIT11035379</t>
  </si>
  <si>
    <t>258019699</t>
  </si>
  <si>
    <t>NOMBRE RETIRA: MIGUEL CABANA 0 RUT RETIRA: 28162790-2</t>
  </si>
  <si>
    <t>Maria Padilla</t>
  </si>
  <si>
    <t>13 norte 3882 panaderia la orquidea, local 1, 2, 3 y 4 valles del country</t>
  </si>
  <si>
    <t>2025-11-24 21:09</t>
  </si>
  <si>
    <t>BIT11035416</t>
  </si>
  <si>
    <t>258019483</t>
  </si>
  <si>
    <t>juan manuel</t>
  </si>
  <si>
    <t>13 norte 3882 talca, Panadería la orquídea</t>
  </si>
  <si>
    <t>BIT11035227</t>
  </si>
  <si>
    <t>257838346</t>
  </si>
  <si>
    <t>NOMBRE RETIRA: ROSA FIGUEROA . RUT RETIRA: 26322903-7</t>
  </si>
  <si>
    <t>Mauricio Valenzuela</t>
  </si>
  <si>
    <t>Oficina petronila, 170</t>
  </si>
  <si>
    <t>BIT11035242</t>
  </si>
  <si>
    <t>257838233</t>
  </si>
  <si>
    <t>NOMBRE RETIRA: JORGE H N RUT RETIRA: 11111111-1</t>
  </si>
  <si>
    <t>Devora Suarez Avilez</t>
  </si>
  <si>
    <t>Nicolas tirado 90 condominio parquemar, Depto 34 b</t>
  </si>
  <si>
    <t>BIT11035295</t>
  </si>
  <si>
    <t>257925774</t>
  </si>
  <si>
    <t>NOMBRE RETIRA: FABIOLA RIVERA . RUT RETIRA: 12345678-5</t>
  </si>
  <si>
    <t>Evelyn Reyes Cañas</t>
  </si>
  <si>
    <t>Av. Humberto Palza 3148, Depto 105, Edificio azapa club</t>
  </si>
  <si>
    <t>BIT11035354</t>
  </si>
  <si>
    <t>258019753</t>
  </si>
  <si>
    <t>NOMBRE RETIRA: SUSANA COLIMAA J RUT RETIRA: 18194820-5</t>
  </si>
  <si>
    <t>venus 2431, Temuco, oficina dirección</t>
  </si>
  <si>
    <t>BIT11035386</t>
  </si>
  <si>
    <t>258021180</t>
  </si>
  <si>
    <t>NOMBRE RETIRA: FRANCISCA ROJAS N RUT RETIRA: 10721237-K</t>
  </si>
  <si>
    <t>Aragon 85, Zaragoza 506</t>
  </si>
  <si>
    <t>BIT11035373</t>
  </si>
  <si>
    <t>258019714</t>
  </si>
  <si>
    <t>NOMBRE RETIRA: NELLY CARTES C RUT RETIRA: 18395863-1</t>
  </si>
  <si>
    <t>Baeza Pedro</t>
  </si>
  <si>
    <t>Carahue 645, 645</t>
  </si>
  <si>
    <t>BIT11035378</t>
  </si>
  <si>
    <t>258019706</t>
  </si>
  <si>
    <t>NOMBRE RETIRA: LORENA GONZALEZ . RUT RETIRA: 11708906-1</t>
  </si>
  <si>
    <t>BIT11035390</t>
  </si>
  <si>
    <t>258019643</t>
  </si>
  <si>
    <t>NOMBRE RETIRA: JAVIER DOGNAC 0 RUT RETIRA: 12345678-5</t>
  </si>
  <si>
    <t>javier dougnac</t>
  </si>
  <si>
    <t>gabriela mistral 997, Casa esquina, gabriela mistral esquina blanco encalada</t>
  </si>
  <si>
    <t>BIT11034921</t>
  </si>
  <si>
    <t>257442063</t>
  </si>
  <si>
    <t>NOMBRE RETIRA: ROBERTO MANRIQUEZ . RUT RETIRA: 11111111-1</t>
  </si>
  <si>
    <t>Roberto Manriquez</t>
  </si>
  <si>
    <t>sarmiento 464</t>
  </si>
  <si>
    <t>2025-11-16 21:02</t>
  </si>
  <si>
    <t>BIT11035376</t>
  </si>
  <si>
    <t>258019702</t>
  </si>
  <si>
    <t>NOMBRE RETIRA: RAUMUNDO MONTOLIVO . RUT RETIRA: 53321780-K</t>
  </si>
  <si>
    <t>Torre B, Castilla 124, Depto 903</t>
  </si>
  <si>
    <t>BIT11035389</t>
  </si>
  <si>
    <t>258019630</t>
  </si>
  <si>
    <t>NOMBRE RETIRA: HEINZ SCHULTZ . RUT RETIRA: 16970452-K</t>
  </si>
  <si>
    <t>Heinz Schultz</t>
  </si>
  <si>
    <t>LA ARAUCANIA  137, Sector CAUPOLICAN Vina Del Mar., Casa 137</t>
  </si>
  <si>
    <t>BIT11035368</t>
  </si>
  <si>
    <t>258019717</t>
  </si>
  <si>
    <t>NOMBRE RETIRA: MARIA BAHAMONDEZ B RUT RETIRA: 56049520-K</t>
  </si>
  <si>
    <t>Las Tortolas 230, departamento 1405,  reñaca</t>
  </si>
  <si>
    <t>BIT11035375</t>
  </si>
  <si>
    <t>258019726</t>
  </si>
  <si>
    <t>NOMBRE RETIRA: MAURICIO GODOY . RUT RETIRA: 13921521-4</t>
  </si>
  <si>
    <t>BIT11035349</t>
  </si>
  <si>
    <t>258019807</t>
  </si>
  <si>
    <t>José Jiménez Jiménez</t>
  </si>
  <si>
    <t>3 Poniente 0460</t>
  </si>
  <si>
    <t>BIT11035355</t>
  </si>
  <si>
    <t>258019745</t>
  </si>
  <si>
    <t>NOMBRE RETIRA: SOFIA ZUNIGA . RUT RETIRA: 6221535-6</t>
  </si>
  <si>
    <t>Jaime Fuentes</t>
  </si>
  <si>
    <t>Roble 468, casa</t>
  </si>
  <si>
    <t>BIT11035412</t>
  </si>
  <si>
    <t>258019514</t>
  </si>
  <si>
    <t>NOMBRE RETIRA: RODRIGO ARIAS .. RUT RETIRA: 17375440-K</t>
  </si>
  <si>
    <t>Ursula Zuñiga  moreta</t>
  </si>
  <si>
    <t>Avenida obispo valdes 1461, condominio reserva de curauma 2, Casa 9</t>
  </si>
  <si>
    <t>BIT11035404</t>
  </si>
  <si>
    <t>258019579</t>
  </si>
  <si>
    <t>NOMBRE RETIRA: JAVIER PINOCHET . RUT RETIRA: 15582031-4</t>
  </si>
  <si>
    <t>Javier Pinochet</t>
  </si>
  <si>
    <t>Sajonia 2738</t>
  </si>
  <si>
    <t>BIT11035353</t>
  </si>
  <si>
    <t>258019799</t>
  </si>
  <si>
    <t>NOMBRE RETIRA: BERNARDITA BUZETA A RUT RETIRA: 17086725-4</t>
  </si>
  <si>
    <t>BIT11035362</t>
  </si>
  <si>
    <t>258019765</t>
  </si>
  <si>
    <t>NOMBRE RETIRA: CECILIA RUIZ Y RUT RETIRA: 12323730-7</t>
  </si>
  <si>
    <t>Paula Cardenas Seguel</t>
  </si>
  <si>
    <t>Janequeo 564, Depto 1502, Depto 1502</t>
  </si>
  <si>
    <t>BIT11035363</t>
  </si>
  <si>
    <t>258019741</t>
  </si>
  <si>
    <t>BIT11035219</t>
  </si>
  <si>
    <t>257838394</t>
  </si>
  <si>
    <t>NOMBRE RETIRA: TABITA VILLA . RUT RETIRA: 12993563-4</t>
  </si>
  <si>
    <t>Tabita Villa jara</t>
  </si>
  <si>
    <t>Jose puchi 1700, Punto copec</t>
  </si>
  <si>
    <t>2025-11-22 11:27</t>
  </si>
  <si>
    <t>BIT11035334</t>
  </si>
  <si>
    <t>257925587</t>
  </si>
  <si>
    <t>NOMBRE RETIRA: CESAR VARGAS . RUT RETIRA: 10311425-K</t>
  </si>
  <si>
    <t>César Vargas marín</t>
  </si>
  <si>
    <t>La vara, Lirios de agua</t>
  </si>
  <si>
    <t>BIT11035336</t>
  </si>
  <si>
    <t>258019819</t>
  </si>
  <si>
    <t>NOMBRE RETIRA: ROBERTO RODRIGUEZ . RUT RETIRA: 53337172-8</t>
  </si>
  <si>
    <t>Cristian Almonacid Merello</t>
  </si>
  <si>
    <t>Avenida San Sebastián 02240, Casa 43</t>
  </si>
  <si>
    <t>BIT11035408</t>
  </si>
  <si>
    <t>258019537</t>
  </si>
  <si>
    <t>NOMBRE RETIRA: JORGE BARRA GUAJARDO RUT RETIRA: 53330390-0</t>
  </si>
  <si>
    <t>Jorge Barra Gajardo</t>
  </si>
  <si>
    <t>Pasaje Rio Loa 134 Villa Berlin Cerro Placeres, Casa 134</t>
  </si>
  <si>
    <t>BIT11035392</t>
  </si>
  <si>
    <t>258019624</t>
  </si>
  <si>
    <t>NOMBRE RETIRA: JUAN MORALEZ . RUT RETIRA: 10036225-2</t>
  </si>
  <si>
    <t>2025-11-25 11:09</t>
  </si>
  <si>
    <t>BIT11035342</t>
  </si>
  <si>
    <t>258019810</t>
  </si>
  <si>
    <t>NOMBRE RETIRA: FELIX LA CALLE .. RUT RETIRA: 6451075-4</t>
  </si>
  <si>
    <t>BIT11035413</t>
  </si>
  <si>
    <t>258019524</t>
  </si>
  <si>
    <t>NOMBRE RETIRA: DIAB ZEGPI . RUT RETIRA: 18805117-0</t>
  </si>
  <si>
    <t>Diabb Zegpi</t>
  </si>
  <si>
    <t>Llano Blanco 332</t>
  </si>
  <si>
    <t>BIT11035206</t>
  </si>
  <si>
    <t>257838432</t>
  </si>
  <si>
    <t>NOMBRE RETIRA: YELISA GUTIERREZ . RUT RETIRA: 25232984-6</t>
  </si>
  <si>
    <t>Gonzalo Sanchez</t>
  </si>
  <si>
    <t>Lidia Moreno 153, depto 1302</t>
  </si>
  <si>
    <t>2025-11-21 21:11</t>
  </si>
  <si>
    <t>BIT11035304</t>
  </si>
  <si>
    <t>257925753</t>
  </si>
  <si>
    <t>NOMBRE RETIRA: MANUEL SALINAS . RUT RETIRA: 14441882-4</t>
  </si>
  <si>
    <t>Manuel Salinas Salinas</t>
  </si>
  <si>
    <t>RamÓn Freire 3332</t>
  </si>
  <si>
    <t>BIT11035245</t>
  </si>
  <si>
    <t>257838220</t>
  </si>
  <si>
    <t>NOMBRE RETIRA: RUTH CHAVEZ . RUT RETIRA: 17736384-7</t>
  </si>
  <si>
    <t>Jorge Maluenda Caceres</t>
  </si>
  <si>
    <t>Avenida Cerro Paranal #380, Antofagasta, Departamento 88C</t>
  </si>
  <si>
    <t>BIT11035235</t>
  </si>
  <si>
    <t>257838266</t>
  </si>
  <si>
    <t>NOMBRE RETIRA: JULIO BERA . RUT RETIRA: 7267806-0</t>
  </si>
  <si>
    <t>Jhonatan Ogalde</t>
  </si>
  <si>
    <t>Calle don Bosco parcelación la fortuna parcela 6, 6</t>
  </si>
  <si>
    <t>BIT11036266</t>
  </si>
  <si>
    <t>260681411</t>
  </si>
  <si>
    <t>Francisca Molina Ruz</t>
  </si>
  <si>
    <t>Santa irene el Huique, Casa</t>
  </si>
  <si>
    <t>BIT11035302</t>
  </si>
  <si>
    <t>258184266</t>
  </si>
  <si>
    <t>NOMBRE RETIRA: JUANA VIZAMA . RUT RETIRA: 5550303-6</t>
  </si>
  <si>
    <t>Luisortiz Ortiz</t>
  </si>
  <si>
    <t>Casa, Colima 1522</t>
  </si>
  <si>
    <t>BIT11039274</t>
  </si>
  <si>
    <t>712998379870</t>
  </si>
  <si>
    <t>Nombre: raul munoz - Rut: 172574785</t>
  </si>
  <si>
    <t>Omar Romero valencia</t>
  </si>
  <si>
    <t>21 de mayo 1430</t>
  </si>
  <si>
    <t>2025-12-29 11:09</t>
  </si>
  <si>
    <t>BIT11039218</t>
  </si>
  <si>
    <t>712997825621</t>
  </si>
  <si>
    <t>Nombre: Marco Osorio - Rut: 120107798</t>
  </si>
  <si>
    <t>Marco Osorio</t>
  </si>
  <si>
    <t>Calle Los Bolsos 17, Ruta G60, Km 17 , Altos de Popeta</t>
  </si>
  <si>
    <t>2025-12-28 20:13</t>
  </si>
  <si>
    <t>BIT11039208</t>
  </si>
  <si>
    <t>712997825735</t>
  </si>
  <si>
    <t>Nombre: cintia Monsalve - Rut: 129638710</t>
  </si>
  <si>
    <t>Leonardo Bertolini Monsalve</t>
  </si>
  <si>
    <t>Angamos 415, Casa</t>
  </si>
  <si>
    <t>BIT11039160</t>
  </si>
  <si>
    <t>712997826586</t>
  </si>
  <si>
    <t>Nombre: claudio gonzales - Rut: 8749182</t>
  </si>
  <si>
    <t>Claudio González</t>
  </si>
  <si>
    <t>Intendente Arturo García 485</t>
  </si>
  <si>
    <t>2025-12-27 11:04</t>
  </si>
  <si>
    <t>BIT11039111</t>
  </si>
  <si>
    <t>712996992190</t>
  </si>
  <si>
    <t>Nombre: tomas gomez - Rut: 0</t>
  </si>
  <si>
    <t>TOMÁS GÓMEZ AMPUERO</t>
  </si>
  <si>
    <t>Los carrera 346</t>
  </si>
  <si>
    <t>BIT11038970</t>
  </si>
  <si>
    <t>712996599501</t>
  </si>
  <si>
    <t>Nombre: cecilia jaramillo - Rut: 9918583</t>
  </si>
  <si>
    <t>Francisco Patiño</t>
  </si>
  <si>
    <t>Libertad 1041, Casa 8</t>
  </si>
  <si>
    <t>2025-12-25 19:06</t>
  </si>
  <si>
    <t>BIT11038721</t>
  </si>
  <si>
    <t>712995281040</t>
  </si>
  <si>
    <t>René Born</t>
  </si>
  <si>
    <t>La Celada 1724, Ingresar por camino El Peumo</t>
  </si>
  <si>
    <t>BIT11038514</t>
  </si>
  <si>
    <t>712994987482</t>
  </si>
  <si>
    <t>Nombre: maria cabrera - Rut: 86296594</t>
  </si>
  <si>
    <t>Mary Zepeda Cabrera</t>
  </si>
  <si>
    <t>Tucapel 15 Villa Freiré</t>
  </si>
  <si>
    <t>BIT11038363</t>
  </si>
  <si>
    <t>712994992054</t>
  </si>
  <si>
    <t>Nombre: francisca venenciano - Rut: 150466237</t>
  </si>
  <si>
    <t>Francisca Venenciano Cortes</t>
  </si>
  <si>
    <t>Calle Julio Echeverria 150, 150</t>
  </si>
  <si>
    <t>BIT11038433</t>
  </si>
  <si>
    <t>712994988506</t>
  </si>
  <si>
    <t>Nombre: Luis alarcon - Rut: 136211765</t>
  </si>
  <si>
    <t>Tabita Pérez</t>
  </si>
  <si>
    <t>Villa don matias orompello 764</t>
  </si>
  <si>
    <t>BIT11035423</t>
  </si>
  <si>
    <t>9392304143</t>
  </si>
  <si>
    <t>Francisca Allende ex</t>
  </si>
  <si>
    <t>Camila Allende</t>
  </si>
  <si>
    <t>Condell 61, Casa amarilla de tres pisos</t>
  </si>
  <si>
    <t>BIT11038518</t>
  </si>
  <si>
    <t>712994987423</t>
  </si>
  <si>
    <t>Nombre: Elias Cespedes - Rut: 184874903</t>
  </si>
  <si>
    <t>Susan Carrasco Berenguer</t>
  </si>
  <si>
    <t>Valdes 0191 Condominio Los Paltos, Casa 3</t>
  </si>
  <si>
    <t>BIT11038567</t>
  </si>
  <si>
    <t>712994986594</t>
  </si>
  <si>
    <t>Nombre: Camilo Barros - Rut: 213938428</t>
  </si>
  <si>
    <t>Marcelo Bastias</t>
  </si>
  <si>
    <t>Presidente ibañez 972</t>
  </si>
  <si>
    <t>BIT11038355</t>
  </si>
  <si>
    <t>712994992264</t>
  </si>
  <si>
    <t>Nombre: Fredy ibacache - Rut: 83004231</t>
  </si>
  <si>
    <t>Freddy Ibacache</t>
  </si>
  <si>
    <t>Río Barcelo, Hornopirén, Casa radio Hualaihué</t>
  </si>
  <si>
    <t>BIT11038584</t>
  </si>
  <si>
    <t>712994986480</t>
  </si>
  <si>
    <t>Nombre: paulina vera - Rut: 132134405</t>
  </si>
  <si>
    <t>Paulina Vera</t>
  </si>
  <si>
    <t>Miguel moreira 093, Casa 11 condominio mediterraneo</t>
  </si>
  <si>
    <t>BIT11038216</t>
  </si>
  <si>
    <t>712993543345</t>
  </si>
  <si>
    <t>Nombre: CAROLINA PAREDES ARIZAGA - Rut: 9016383</t>
  </si>
  <si>
    <t>CAROLINA PAREDES ARIZAGA</t>
  </si>
  <si>
    <t>Santa Luisa 4866 Condomino Doña Inés del Oliveto, Parcela 11</t>
  </si>
  <si>
    <t>BIT11038137</t>
  </si>
  <si>
    <t>712993544476</t>
  </si>
  <si>
    <t>Nombre: Albertina Araya - Rut: 56726756</t>
  </si>
  <si>
    <t>Cecilia Lopez Herrera</t>
  </si>
  <si>
    <t>Almirante Castillo 125 Mejillones, Mejillones</t>
  </si>
  <si>
    <t>BIT11038273</t>
  </si>
  <si>
    <t>712993541842</t>
  </si>
  <si>
    <t>Nombre: Marcos Sandoval - Rut: 159205614</t>
  </si>
  <si>
    <t>Sebastián Miranda</t>
  </si>
  <si>
    <t>Brasil 0383</t>
  </si>
  <si>
    <t>BIT11038107</t>
  </si>
  <si>
    <t>712993545353</t>
  </si>
  <si>
    <t>Nombre: Benjamin barria - Rut: 214188163</t>
  </si>
  <si>
    <t>Viviana Castillo Reveco</t>
  </si>
  <si>
    <t>Freire 455</t>
  </si>
  <si>
    <t>BIT11038232</t>
  </si>
  <si>
    <t>712993543102</t>
  </si>
  <si>
    <t>Nombre: felipe - Rut: 138822834</t>
  </si>
  <si>
    <t>Johanna Barrios</t>
  </si>
  <si>
    <t>El oliveto 1397, condominio Jardines del Oliveto, 8</t>
  </si>
  <si>
    <t>BIT11038266</t>
  </si>
  <si>
    <t>712993542240</t>
  </si>
  <si>
    <t>Nombre: jose marquez - Rut: 155229896</t>
  </si>
  <si>
    <t>Jose Marquez</t>
  </si>
  <si>
    <t>El mirador 730, Población tamango</t>
  </si>
  <si>
    <t>BIT11038244</t>
  </si>
  <si>
    <t>712993542914</t>
  </si>
  <si>
    <t>Nombre: maria etcheverria - Rut: 79117765</t>
  </si>
  <si>
    <t>Maria Monica Echeverria Bravo</t>
  </si>
  <si>
    <t>Casa Al Lado Escuela Master, Porvenir Poniente 500 Mts Al Cerro Casa El Tilo 0</t>
  </si>
  <si>
    <t>BIT11038160</t>
  </si>
  <si>
    <t>712993544303</t>
  </si>
  <si>
    <t>Pedro Montt 840, Casa</t>
  </si>
  <si>
    <t>BIT11037936</t>
  </si>
  <si>
    <t>712992839801</t>
  </si>
  <si>
    <t>Nombre: nataly Romero - Rut: 162429965</t>
  </si>
  <si>
    <t>Amalia Isabel Andrioletti Rodriguez</t>
  </si>
  <si>
    <t>Avenida Linares 977, Huepil, Tucapel, Chile</t>
  </si>
  <si>
    <t>BIT11037781</t>
  </si>
  <si>
    <t>712992116465</t>
  </si>
  <si>
    <t>Nombre: Licarayen Encina rodriguez - Rut: 15026058</t>
  </si>
  <si>
    <t>Licarayen Encina rodriguez</t>
  </si>
  <si>
    <t>Manuel rodriguez 1081</t>
  </si>
  <si>
    <t>BIT11037870</t>
  </si>
  <si>
    <t>712992114133</t>
  </si>
  <si>
    <t>Nombre: JAIME MUNOZ - Rut: 9267086</t>
  </si>
  <si>
    <t>Laura Farias barraza</t>
  </si>
  <si>
    <t>Arboleda Grande 53</t>
  </si>
  <si>
    <t>BIT11037807</t>
  </si>
  <si>
    <t>712992115636</t>
  </si>
  <si>
    <t>Nombre: Leandro Rossel - Rut: 216561309</t>
  </si>
  <si>
    <t>Veronica Garcia Gaviria</t>
  </si>
  <si>
    <t>Evaristo Merino 288, Local comercial</t>
  </si>
  <si>
    <t>BIT11037997</t>
  </si>
  <si>
    <t>712992838283</t>
  </si>
  <si>
    <t>Nombre: Patricia almonacid - Rut: 18204539</t>
  </si>
  <si>
    <t>Karla Vera Asencio</t>
  </si>
  <si>
    <t>Gaspar del Río 85 - Maullín, departamento de salud</t>
  </si>
  <si>
    <t>BIT11037966</t>
  </si>
  <si>
    <t>712992839134</t>
  </si>
  <si>
    <t>Nombre: emely - Rut: 18388591</t>
  </si>
  <si>
    <t>emily arias</t>
  </si>
  <si>
    <t>Avenida reconquista 3897 depto 41, 3897</t>
  </si>
  <si>
    <t>BIT11037828</t>
  </si>
  <si>
    <t>712992115006</t>
  </si>
  <si>
    <t>Nombre: Nicolas andrade - Rut: 200103858</t>
  </si>
  <si>
    <t>Nathaly Veliz</t>
  </si>
  <si>
    <t>Centenario 77</t>
  </si>
  <si>
    <t>BIT11037593</t>
  </si>
  <si>
    <t>712990305495</t>
  </si>
  <si>
    <t>Nombre: fco ramos - Rut: 652871704</t>
  </si>
  <si>
    <t>Ximena Caldera villagran</t>
  </si>
  <si>
    <t>Carampangue 0175. P 5 Pimientos, 0175 Parcela 5</t>
  </si>
  <si>
    <t>BIT11037523</t>
  </si>
  <si>
    <t>712989504426</t>
  </si>
  <si>
    <t>Nombre: Sara Canelo - Rut: 46714105</t>
  </si>
  <si>
    <t>Marisol Rivera</t>
  </si>
  <si>
    <t>Luis Cereceda 110, Casa</t>
  </si>
  <si>
    <t>BIT11037518</t>
  </si>
  <si>
    <t>712989504566</t>
  </si>
  <si>
    <t>Nombre: cristian - Rut: 14618264</t>
  </si>
  <si>
    <t>Christian Catalán Izarraulde</t>
  </si>
  <si>
    <t>El Bosque 14b</t>
  </si>
  <si>
    <t>BIT11037488</t>
  </si>
  <si>
    <t>712989505093</t>
  </si>
  <si>
    <t>Nombre: orieta Miranda - Rut: 72134052</t>
  </si>
  <si>
    <t>Sebastián Sandoval</t>
  </si>
  <si>
    <t>Ubaldo Mansilla 137</t>
  </si>
  <si>
    <t>BIT11037521</t>
  </si>
  <si>
    <t>712989504371</t>
  </si>
  <si>
    <t>Nombre: oficina chilexprescanela - Rut: 170661184</t>
  </si>
  <si>
    <t>Esteban Marin</t>
  </si>
  <si>
    <t>Local Yoya, Estanislado Oyarzun 475</t>
  </si>
  <si>
    <t>BIT11037404</t>
  </si>
  <si>
    <t>712988866800</t>
  </si>
  <si>
    <t>Nombre: eliazar - Rut: 560462204</t>
  </si>
  <si>
    <t>Pablo Muñoz Pacheco</t>
  </si>
  <si>
    <t>El Oliveto 3992, Parcela 88</t>
  </si>
  <si>
    <t>BIT11037405</t>
  </si>
  <si>
    <t>712988866951</t>
  </si>
  <si>
    <t>Nombre: Orlando Munoz - Rut: 192158567</t>
  </si>
  <si>
    <t>Orlando Muñoz</t>
  </si>
  <si>
    <t>Carrera 506</t>
  </si>
  <si>
    <t>BIT11037348</t>
  </si>
  <si>
    <t>712988867813</t>
  </si>
  <si>
    <t>Nombre: aliro gascon - Rut: 92283682</t>
  </si>
  <si>
    <t>Aliro Gascón</t>
  </si>
  <si>
    <t>Manuel Rodriguez 580 1er piso, 9228368-2</t>
  </si>
  <si>
    <t>BIT11037367</t>
  </si>
  <si>
    <t>712988867592</t>
  </si>
  <si>
    <t>Nombre: deysi cabrera - Rut: 174713499</t>
  </si>
  <si>
    <t>Alan Mellado Sills</t>
  </si>
  <si>
    <t>Villa Tomas Marin Calle Carlos Piddo Casa 60, Casa</t>
  </si>
  <si>
    <t>BIT11037221</t>
  </si>
  <si>
    <t>712988209824</t>
  </si>
  <si>
    <t>Nombre: barbara - Rut: 13458310</t>
  </si>
  <si>
    <t>BARBARA READI</t>
  </si>
  <si>
    <t>Condominio entre cerros parcela 33</t>
  </si>
  <si>
    <t>BIT11037112</t>
  </si>
  <si>
    <t>712987462482</t>
  </si>
  <si>
    <t>Nombre: Luis Fernandwz - Rut: 194631898</t>
  </si>
  <si>
    <t>Jaime Lara</t>
  </si>
  <si>
    <t>Pasaje Curali, 958</t>
  </si>
  <si>
    <t>BIT11037243</t>
  </si>
  <si>
    <t>712988209463</t>
  </si>
  <si>
    <t>Nombre: mauricio usabeaga - Rut: 163381176</t>
  </si>
  <si>
    <t>Patricia Contreras</t>
  </si>
  <si>
    <t>Avenida Buschmann 74, Avenida Buschmann 74</t>
  </si>
  <si>
    <t>BIT11037294</t>
  </si>
  <si>
    <t>712988207993</t>
  </si>
  <si>
    <t>Nombre: caroline covarubias - Rut: 108059508</t>
  </si>
  <si>
    <t>Caroline Covarrubias</t>
  </si>
  <si>
    <t>Los molles 90 Culipran, Parcela</t>
  </si>
  <si>
    <t>BIT11037325</t>
  </si>
  <si>
    <t>712988207750</t>
  </si>
  <si>
    <t>Nombre: jaquelin Saez - Rut: 144806573</t>
  </si>
  <si>
    <t>Ariel Aburto Contreras</t>
  </si>
  <si>
    <t>Casa, Pasaje San Vicente 420 Valle Santa MarÍa HualpÉn</t>
  </si>
  <si>
    <t>BIT11037136</t>
  </si>
  <si>
    <t>712987462062</t>
  </si>
  <si>
    <t>Nombre: luis ramirez - Rut: 79805351</t>
  </si>
  <si>
    <t>Romina Sanhueza</t>
  </si>
  <si>
    <t>Camino Loreto 1953, Parcela 26, condominio el álamo</t>
  </si>
  <si>
    <t>BIT11037165</t>
  </si>
  <si>
    <t>712987557446</t>
  </si>
  <si>
    <t>Guadal 1221</t>
  </si>
  <si>
    <t>BIT11036849</t>
  </si>
  <si>
    <t>712985317494</t>
  </si>
  <si>
    <t>Nombre: erica - Rut: 96809255</t>
  </si>
  <si>
    <t>Jacqueline Ibañez</t>
  </si>
  <si>
    <t>Lonquen sur 5247 paradero 30 condominio santa monica, Parcela 3</t>
  </si>
  <si>
    <t>BIT11037013</t>
  </si>
  <si>
    <t>712986492621</t>
  </si>
  <si>
    <t>Nombre: Juan Pablo Cabrera - Rut: 190676935</t>
  </si>
  <si>
    <t>Valeska Cabrera</t>
  </si>
  <si>
    <t>Hanga Roa, 317</t>
  </si>
  <si>
    <t>BIT11036884</t>
  </si>
  <si>
    <t>712985317225</t>
  </si>
  <si>
    <t>Nombre: Teresa urra - Rut: 67701526</t>
  </si>
  <si>
    <t>Miriam Aravena Urra</t>
  </si>
  <si>
    <t>Fuenzalida 629, 124116031</t>
  </si>
  <si>
    <t>BIT11036846</t>
  </si>
  <si>
    <t>712985317623</t>
  </si>
  <si>
    <t>Nombre: Claudia Valladares - Rut: 158672189</t>
  </si>
  <si>
    <t>Sergio Gonzalez</t>
  </si>
  <si>
    <t>Pasaje Montura 0168, Casa</t>
  </si>
  <si>
    <t>BIT11036968</t>
  </si>
  <si>
    <t>712986492945</t>
  </si>
  <si>
    <t>Nombre: patricio javier - Rut: 169070776</t>
  </si>
  <si>
    <t>Patricio Javier</t>
  </si>
  <si>
    <t>Hualaihue, Calle los coihues s/n</t>
  </si>
  <si>
    <t>BIT11037030</t>
  </si>
  <si>
    <t>712986492481</t>
  </si>
  <si>
    <t>Nombre: Angelo fernandez - Rut: 268193510</t>
  </si>
  <si>
    <t>Claudia Saldivia Guerrero</t>
  </si>
  <si>
    <t>Mercado Municipal Lillo, Local 23</t>
  </si>
  <si>
    <t>BIT11036991</t>
  </si>
  <si>
    <t>712986492702</t>
  </si>
  <si>
    <t>BIT11036791</t>
  </si>
  <si>
    <t>712984846490</t>
  </si>
  <si>
    <t>Nombre: tomas - Rut: 154412972</t>
  </si>
  <si>
    <t>Carmen Gloria Leyton Francione</t>
  </si>
  <si>
    <t>Parque Doña Javiera calle Doña Javiera parcela q, Parcela1</t>
  </si>
  <si>
    <t>BIT11036806</t>
  </si>
  <si>
    <t>712984846335</t>
  </si>
  <si>
    <t>Nombre: Patricia Roca - Rut: 186983726</t>
  </si>
  <si>
    <t>Francisca Hernandez varela</t>
  </si>
  <si>
    <t>tucapel bustamante lastra 090</t>
  </si>
  <si>
    <t>BIT11036688</t>
  </si>
  <si>
    <t>712983874750</t>
  </si>
  <si>
    <t>Nombre: Marilyn Pizarro - Rut: 17605840</t>
  </si>
  <si>
    <t>Marilyn Pizarro</t>
  </si>
  <si>
    <t>Av matta 2235, Trabajo</t>
  </si>
  <si>
    <t>BIT11036614</t>
  </si>
  <si>
    <t>712983875181</t>
  </si>
  <si>
    <t>Nombre: rene - Rut: 39967111</t>
  </si>
  <si>
    <t>BIT11036617</t>
  </si>
  <si>
    <t>712983875144</t>
  </si>
  <si>
    <t>Nombre: aro - Rut: 186916166</t>
  </si>
  <si>
    <t>Sebastian Haro</t>
  </si>
  <si>
    <t>Carmela de fredes 413, Casa</t>
  </si>
  <si>
    <t>BIT11036730</t>
  </si>
  <si>
    <t>712983873291</t>
  </si>
  <si>
    <t>Nombre: norma Inostroza - Rut: 109374121</t>
  </si>
  <si>
    <t>Norma Susana Inostroza Esprell</t>
  </si>
  <si>
    <t>Baltazar zuleta 989, Casa</t>
  </si>
  <si>
    <t>BIT11036308</t>
  </si>
  <si>
    <t>712983071500</t>
  </si>
  <si>
    <t>Nombre: Eliana Duarte - Rut: 80108028</t>
  </si>
  <si>
    <t>BIT11036341</t>
  </si>
  <si>
    <t>712983068980</t>
  </si>
  <si>
    <t>Nombre: galo vera - Rut: 82290095</t>
  </si>
  <si>
    <t>Jacqueline Vera</t>
  </si>
  <si>
    <t>Pedro Aguirre Cerda 76, Casa interior</t>
  </si>
  <si>
    <t>BIT11036488</t>
  </si>
  <si>
    <t>712983048481</t>
  </si>
  <si>
    <t>Nombre: alvaro gil - Rut: 186244788</t>
  </si>
  <si>
    <t>Alvaro Gil Miranda</t>
  </si>
  <si>
    <t>Pasaje Matrona Amada Soto Silva 1205, Talagante</t>
  </si>
  <si>
    <t>BIT11036491</t>
  </si>
  <si>
    <t>712983047910</t>
  </si>
  <si>
    <t>Nombre: edo garate - Rut: 652871704</t>
  </si>
  <si>
    <t>Aldo Estay</t>
  </si>
  <si>
    <t>Camino Carampangue 0175, Parcela 42, Condominio Don Ladislao</t>
  </si>
  <si>
    <t>BIT11036427</t>
  </si>
  <si>
    <t>712983050183</t>
  </si>
  <si>
    <t>Nombre: ideas sapata - Rut: 93232976</t>
  </si>
  <si>
    <t>Eduardo Tiznado Zapata</t>
  </si>
  <si>
    <t>Población luis salamanca, pasaje dos, 17</t>
  </si>
  <si>
    <t>BIT11036185</t>
  </si>
  <si>
    <t>712983078732</t>
  </si>
  <si>
    <t>Nombre: Camila Munoz - Rut: 201366771</t>
  </si>
  <si>
    <t>Denisse Araneda</t>
  </si>
  <si>
    <t>Ortuzar 674</t>
  </si>
  <si>
    <t>BIT11036275</t>
  </si>
  <si>
    <t>712983073040</t>
  </si>
  <si>
    <t>Nombre: Hernesto Alvarez - Rut: 95313418</t>
  </si>
  <si>
    <t>Ingrid Villalon Badilla</t>
  </si>
  <si>
    <t>Alcalde 645 Chacra San Pedro - Melipilla, Alcalde 645 Entre Calles Libertad y Valdes - Melipilla</t>
  </si>
  <si>
    <t>BIT11036189</t>
  </si>
  <si>
    <t>712983078301</t>
  </si>
  <si>
    <t>Nombre: Juan zenteno - Rut: 120327275</t>
  </si>
  <si>
    <t>Juan Carlos Zenteno San Martín</t>
  </si>
  <si>
    <t>Pasaje Vara Gruesa 251</t>
  </si>
  <si>
    <t>BIT11036371</t>
  </si>
  <si>
    <t>712983051966</t>
  </si>
  <si>
    <t>Nombre: Lorena Saenz - Rut: 112572120</t>
  </si>
  <si>
    <t>Andrea San Pedro</t>
  </si>
  <si>
    <t>Folclorista Margot Loyola Palacios  1761, 1761</t>
  </si>
  <si>
    <t>BIT11036243</t>
  </si>
  <si>
    <t>712983075803</t>
  </si>
  <si>
    <t>Nombre: patricio borquez - Rut: 197702559</t>
  </si>
  <si>
    <t>Rosa Rebolledo</t>
  </si>
  <si>
    <t>San Martin 142, Dpto 116</t>
  </si>
  <si>
    <t>BIT11036514</t>
  </si>
  <si>
    <t>712983047162</t>
  </si>
  <si>
    <t>Nombre: Reveca Garrido - Rut: 65030853</t>
  </si>
  <si>
    <t>Luis Eduardo Bustamante arevalo</t>
  </si>
  <si>
    <t>Avenida januario Espinoza 1098, Casa azul</t>
  </si>
  <si>
    <t>BIT11036644</t>
  </si>
  <si>
    <t>712983046366</t>
  </si>
  <si>
    <t>Nombre: Silvia tapia - Rut: 51753151</t>
  </si>
  <si>
    <t>Jose Villagran Tapia</t>
  </si>
  <si>
    <t>Curepto 8920, Casa</t>
  </si>
  <si>
    <t>BIT11036233</t>
  </si>
  <si>
    <t>712983076315</t>
  </si>
  <si>
    <t>Nombre: paola campillay - Rut: 140995304</t>
  </si>
  <si>
    <t>Paola Campillay</t>
  </si>
  <si>
    <t>Braden 704, El Salvador., 704</t>
  </si>
  <si>
    <t>BIT11036432</t>
  </si>
  <si>
    <t>712983050091</t>
  </si>
  <si>
    <t>Nombre: fernanda martinez - Rut: 214635313</t>
  </si>
  <si>
    <t>MARÍA JOSÉ DEL RÍO</t>
  </si>
  <si>
    <t>ABDON FUENTEALBA 334</t>
  </si>
  <si>
    <t>BIT11035417</t>
  </si>
  <si>
    <t>9392545105</t>
  </si>
  <si>
    <t>raul sanchez cliente</t>
  </si>
  <si>
    <t>Raúl Sánchez</t>
  </si>
  <si>
    <t>Pje brito lote B1 gultro, Casa</t>
  </si>
  <si>
    <t>BIT11036382</t>
  </si>
  <si>
    <t>712983051664</t>
  </si>
  <si>
    <t>Nombre: Carmen Ruiz - Rut: 83599030</t>
  </si>
  <si>
    <t>Alexis Huichaman ruiz</t>
  </si>
  <si>
    <t>Arturo prat 50, Restaurat la casona</t>
  </si>
  <si>
    <t>BIT11036019</t>
  </si>
  <si>
    <t>712980054183</t>
  </si>
  <si>
    <t>Nombre: angelo huerta - Rut: 170822994</t>
  </si>
  <si>
    <t>Angelo Huerta</t>
  </si>
  <si>
    <t>Condominio el rosal 32, Parcela 12</t>
  </si>
  <si>
    <t>BIT11036101</t>
  </si>
  <si>
    <t>712980052245</t>
  </si>
  <si>
    <t>Nombre: rita quintana - Rut: 69294391</t>
  </si>
  <si>
    <t>Mariela Chavez Quintana</t>
  </si>
  <si>
    <t>Los Nardos 170</t>
  </si>
  <si>
    <t>BIT11036183</t>
  </si>
  <si>
    <t>712980049423</t>
  </si>
  <si>
    <t>Nombre: pablo valencia - Rut: 67797558</t>
  </si>
  <si>
    <t>javiera carrera 11 población los libertadores, 11</t>
  </si>
  <si>
    <t>BIT11035948</t>
  </si>
  <si>
    <t>712980128744</t>
  </si>
  <si>
    <t>Nombre: francisca rivera - Rut: 0</t>
  </si>
  <si>
    <t>Ariel Francisco Rivera Nieto</t>
  </si>
  <si>
    <t>Balmaceda 262</t>
  </si>
  <si>
    <t>BIT11036052</t>
  </si>
  <si>
    <t>712980053262</t>
  </si>
  <si>
    <t>Nombre: Luis alvarado - Rut: 72903862</t>
  </si>
  <si>
    <t>Francisco Alvarado</t>
  </si>
  <si>
    <t>Galvarino Riveros 776</t>
  </si>
  <si>
    <t>BIT11036021</t>
  </si>
  <si>
    <t>712980054216</t>
  </si>
  <si>
    <t>Nombre: tirzo ojeda - Rut: 0</t>
  </si>
  <si>
    <t>Tirso Ojeda</t>
  </si>
  <si>
    <t>Centro MÉdico Austral, Ignacio Serrano 459</t>
  </si>
  <si>
    <t>BIT11038420</t>
  </si>
  <si>
    <t>9421700293</t>
  </si>
  <si>
    <t>BXG:JWKH57</t>
  </si>
  <si>
    <t>Giannina Arias</t>
  </si>
  <si>
    <t>San Martin 125 LOCAL 1</t>
  </si>
  <si>
    <t>BIT11038674</t>
  </si>
  <si>
    <t>9421598491</t>
  </si>
  <si>
    <t>Viviana Duarte</t>
  </si>
  <si>
    <t>Miraflores 1360, Casa S</t>
  </si>
  <si>
    <t>BIT11038430</t>
  </si>
  <si>
    <t>9421446871</t>
  </si>
  <si>
    <t>Paulina Albarracín</t>
  </si>
  <si>
    <t>La Tropilla 114, La Tropilla 114</t>
  </si>
  <si>
    <t>BIT11038687</t>
  </si>
  <si>
    <t>9421598686</t>
  </si>
  <si>
    <t>Paola Luzio</t>
  </si>
  <si>
    <t>Tte merino 670, 204 E</t>
  </si>
  <si>
    <t>BIT11038371</t>
  </si>
  <si>
    <t>9422066754</t>
  </si>
  <si>
    <t>Nairim Cristina Sandoval Naveda</t>
  </si>
  <si>
    <t>Av. Pdte Salvador Allende G, N 01650, Casa 15</t>
  </si>
  <si>
    <t>BIT11038195</t>
  </si>
  <si>
    <t>9424293572</t>
  </si>
  <si>
    <t>10150606-1 Sandra morena ok</t>
  </si>
  <si>
    <t>Sandra Moranda</t>
  </si>
  <si>
    <t>Juana Rosa Bustos 150, Casa</t>
  </si>
  <si>
    <t>BIT11038262</t>
  </si>
  <si>
    <t>9424753085</t>
  </si>
  <si>
    <t>Sergio Rodriguez recibe conserje</t>
  </si>
  <si>
    <t>Ana Carrera Bruzual</t>
  </si>
  <si>
    <t>Blanca Estela 1355, 18</t>
  </si>
  <si>
    <t>BIT11038070</t>
  </si>
  <si>
    <t>9424540440</t>
  </si>
  <si>
    <t>Manuel Vilches</t>
  </si>
  <si>
    <t>el estero 99 sector san vicente, Casa</t>
  </si>
  <si>
    <t>BIT11037946</t>
  </si>
  <si>
    <t>9421661966</t>
  </si>
  <si>
    <t>Gisela Solis</t>
  </si>
  <si>
    <t>El roto chileno 6866 talagante, Parcela 53</t>
  </si>
  <si>
    <t>BIT11038588</t>
  </si>
  <si>
    <t>9421458093</t>
  </si>
  <si>
    <t>Francisco Lima</t>
  </si>
  <si>
    <t>Comunidad Viña Pelvín, Parcela 19 lote 6A</t>
  </si>
  <si>
    <t>BIT11038714</t>
  </si>
  <si>
    <t>9421907272</t>
  </si>
  <si>
    <t>Oriana Scheihing</t>
  </si>
  <si>
    <t>Río Tolten n°2951, Valle Grande, Lampa, Casa</t>
  </si>
  <si>
    <t>BIT11038540</t>
  </si>
  <si>
    <t>9421417025</t>
  </si>
  <si>
    <t>Gonzalo Flores Valdivia</t>
  </si>
  <si>
    <t>Avenida Victor Troncoso Muñoz 445, Casa 148</t>
  </si>
  <si>
    <t>BIT11038181</t>
  </si>
  <si>
    <t>9424434051</t>
  </si>
  <si>
    <t>Benjamin Molina recibe titular</t>
  </si>
  <si>
    <t>Camino padre hurtado 3621 alto jahuel, Casa ( Fundo el parron)</t>
  </si>
  <si>
    <t>BIT11038419</t>
  </si>
  <si>
    <t>9421714945</t>
  </si>
  <si>
    <t>BXG:PRXP67</t>
  </si>
  <si>
    <t>Daniel Berrios</t>
  </si>
  <si>
    <t>Balmaceda 6245 Casa 21 Isla de Maipo</t>
  </si>
  <si>
    <t>BIT11038400</t>
  </si>
  <si>
    <t>9424236802</t>
  </si>
  <si>
    <t>BXG:HZWR38</t>
  </si>
  <si>
    <t>Victor Forjan Albrillar</t>
  </si>
  <si>
    <t>Calle Dos Sur 200 Huertos Familiares Til Til, A una cuadra de la ruta 5 norte</t>
  </si>
  <si>
    <t>BIT11038636</t>
  </si>
  <si>
    <t>9421457931</t>
  </si>
  <si>
    <t>BXG:lfyr81</t>
  </si>
  <si>
    <t>Henry Torres palavecino</t>
  </si>
  <si>
    <t>Calle avila 10</t>
  </si>
  <si>
    <t>BIT11038189</t>
  </si>
  <si>
    <t>9424496104</t>
  </si>
  <si>
    <t>Cristopher recibido en recepcion del condominio el</t>
  </si>
  <si>
    <t>MILKA KEPEC</t>
  </si>
  <si>
    <t>Loma del Durazno 1051, condominio de casas, SECTOR VALLE DEL PRINCIPAL</t>
  </si>
  <si>
    <t>BIT11038132</t>
  </si>
  <si>
    <t>9424622071</t>
  </si>
  <si>
    <t>15930416-7 Juan Villalobos recibe cliente</t>
  </si>
  <si>
    <t>Juan Villalobos Flores</t>
  </si>
  <si>
    <t>Don vicente 2884, Casa</t>
  </si>
  <si>
    <t>BIT11038379</t>
  </si>
  <si>
    <t>9421476643</t>
  </si>
  <si>
    <t>Mauricio Oliva</t>
  </si>
  <si>
    <t>Calle el estero 99A</t>
  </si>
  <si>
    <t>BIT11038134</t>
  </si>
  <si>
    <t>9424375590</t>
  </si>
  <si>
    <t>BXG:KFZB87</t>
  </si>
  <si>
    <t>María José Molina Lisboa</t>
  </si>
  <si>
    <t>Siete Poniente 720, Paine, EcoHotel El Almendro Paine</t>
  </si>
  <si>
    <t>BIT11038302</t>
  </si>
  <si>
    <t>9424397802</t>
  </si>
  <si>
    <t>BXG:RRSZ92</t>
  </si>
  <si>
    <t>Susana Hernandez</t>
  </si>
  <si>
    <t>Camino Loreto 2000, Parcela 9</t>
  </si>
  <si>
    <t>BIT11038369</t>
  </si>
  <si>
    <t>9421807356</t>
  </si>
  <si>
    <t>11373814-6 Sandra soto familiar</t>
  </si>
  <si>
    <t>CECILIA ANDRADE ROJAS</t>
  </si>
  <si>
    <t>VIAL 470 LOCAL 48 CONSTITUCION ⁠470, LOCAL COMERCIAL, CORDONERIA CINTAS ⁠CONSTITUCION</t>
  </si>
  <si>
    <t>BIT11038444</t>
  </si>
  <si>
    <t>9421534636</t>
  </si>
  <si>
    <t>Alejandra Santelices</t>
  </si>
  <si>
    <t>Ave. Bosques de Montemar 400, Depto 101</t>
  </si>
  <si>
    <t>BIT11038385</t>
  </si>
  <si>
    <t>9421416211</t>
  </si>
  <si>
    <t>Angelica Orellana diaz</t>
  </si>
  <si>
    <t>Prieto 1055, Casa245</t>
  </si>
  <si>
    <t>BIT11038488</t>
  </si>
  <si>
    <t>9421749503</t>
  </si>
  <si>
    <t>Karla Barraza</t>
  </si>
  <si>
    <t>Llahuin 156 VSR, Villa San Rafael</t>
  </si>
  <si>
    <t>BIT11037765</t>
  </si>
  <si>
    <t>9424667545</t>
  </si>
  <si>
    <t>Sebastián Gutierrez</t>
  </si>
  <si>
    <t>La Montaña Sur 2839, Valle Grande</t>
  </si>
  <si>
    <t>BIT11038157</t>
  </si>
  <si>
    <t>9423467281</t>
  </si>
  <si>
    <t>23248448-9 paul jorquera hijo</t>
  </si>
  <si>
    <t>Maria Jose Serra Rovira</t>
  </si>
  <si>
    <t>Marta letelier de bernstein 38, paine</t>
  </si>
  <si>
    <t>BIT11038171</t>
  </si>
  <si>
    <t>9424652506</t>
  </si>
  <si>
    <t>Carlos Hernandez cliente</t>
  </si>
  <si>
    <t>Villa bicentenario pasaje rigoberto ibarra 1530, Casa</t>
  </si>
  <si>
    <t>BIT11038231</t>
  </si>
  <si>
    <t>9424509861</t>
  </si>
  <si>
    <t>monica valencia recibe en domicilio</t>
  </si>
  <si>
    <t>monica campos</t>
  </si>
  <si>
    <t>Los robles sur 156, penaflor</t>
  </si>
  <si>
    <t>BIT11038241</t>
  </si>
  <si>
    <t>9424585715</t>
  </si>
  <si>
    <t>Javier Dalidet</t>
  </si>
  <si>
    <t>Teodora Martinez 120</t>
  </si>
  <si>
    <t>BIT11038242</t>
  </si>
  <si>
    <t>9424582484</t>
  </si>
  <si>
    <t>cristian miranda carreño</t>
  </si>
  <si>
    <t>Avenida Rancagua 0440, OFICINA CHILEXPRESS</t>
  </si>
  <si>
    <t>BIT11038186</t>
  </si>
  <si>
    <t>9424307266</t>
  </si>
  <si>
    <t>Barbara Martinez Naranjo</t>
  </si>
  <si>
    <t>Barros Luco 532, Sector Poblacion</t>
  </si>
  <si>
    <t>BIT11038191</t>
  </si>
  <si>
    <t>9424722123</t>
  </si>
  <si>
    <t>17505701-3 Maria Angelica cliente no quiere foto</t>
  </si>
  <si>
    <t>María Angélica Muñoz</t>
  </si>
  <si>
    <t>Poeta Edgardo retamales, 2520</t>
  </si>
  <si>
    <t>BIT11038340</t>
  </si>
  <si>
    <t>9424738223</t>
  </si>
  <si>
    <t>BXG:RPPW24</t>
  </si>
  <si>
    <t>Nicolas Quiñones veloso</t>
  </si>
  <si>
    <t>Bonilla norte 3335, Casa 28</t>
  </si>
  <si>
    <t>BIT11038248</t>
  </si>
  <si>
    <t>9424571531</t>
  </si>
  <si>
    <t>16856564-K Miguel Rodriguez recibe titular</t>
  </si>
  <si>
    <t>miguel rodriguez farias</t>
  </si>
  <si>
    <t>viento sur, calle rio maule 1152, 1152</t>
  </si>
  <si>
    <t>BIT11038436</t>
  </si>
  <si>
    <t>9421434562</t>
  </si>
  <si>
    <t>Avenida miraflores 1135, Casa L</t>
  </si>
  <si>
    <t>BIT11038507</t>
  </si>
  <si>
    <t>9421779706</t>
  </si>
  <si>
    <t>BIT11038416</t>
  </si>
  <si>
    <t>9421979943</t>
  </si>
  <si>
    <t>Alejandra Carreno</t>
  </si>
  <si>
    <t>Av. Tabancura 1091, Local 7</t>
  </si>
  <si>
    <t>BIT11038680</t>
  </si>
  <si>
    <t>9421610531</t>
  </si>
  <si>
    <t>Daniela Paz Oyarzun Paredes</t>
  </si>
  <si>
    <t>Avenida Costa de Montemar 460, Edificio Geomar 1, Concón, Depto. 206, edificio geomar 1</t>
  </si>
  <si>
    <t>BIT11038403</t>
  </si>
  <si>
    <t>9422089025</t>
  </si>
  <si>
    <t>Trinidad Carvallo Ossa</t>
  </si>
  <si>
    <t>Camino al club de golf los lirios, casa C1, Casa C1</t>
  </si>
  <si>
    <t>BIT11038065</t>
  </si>
  <si>
    <t>9424342336</t>
  </si>
  <si>
    <t>Ruslays Peralta Castro</t>
  </si>
  <si>
    <t>Maule, pueblo Duao 3Esquinas, Villa Quineo 35</t>
  </si>
  <si>
    <t>BIT11038079</t>
  </si>
  <si>
    <t>9424584013</t>
  </si>
  <si>
    <t>Tomas Benjamin Tapia Acuña</t>
  </si>
  <si>
    <t>Villa Puerta Del Inca Calle 6 Rio Maipo #181, #181</t>
  </si>
  <si>
    <t>BIT11038220</t>
  </si>
  <si>
    <t>9424541195</t>
  </si>
  <si>
    <t>Rene Gaete Valenzuela</t>
  </si>
  <si>
    <t>Casa, Carrera 444</t>
  </si>
  <si>
    <t>BIT11038265</t>
  </si>
  <si>
    <t>9424294611</t>
  </si>
  <si>
    <t>15145430-5 barbara faundeZ producto entregado</t>
  </si>
  <si>
    <t>Barbara Faundez</t>
  </si>
  <si>
    <t>Maciver 5430, Casa</t>
  </si>
  <si>
    <t>BIT11037849</t>
  </si>
  <si>
    <t>9420311316</t>
  </si>
  <si>
    <t>Carolina gatica ella,familiar</t>
  </si>
  <si>
    <t>Carolina Gatica Gatica</t>
  </si>
  <si>
    <t>Calle los eucaliptus sector los Notros, Casa</t>
  </si>
  <si>
    <t>BIT11037531</t>
  </si>
  <si>
    <t>9419618810</t>
  </si>
  <si>
    <t>irene yanez recibe familia</t>
  </si>
  <si>
    <t>Pamela González Mur</t>
  </si>
  <si>
    <t>Acevedo 508, Batuco, Lampa, Casa esquina</t>
  </si>
  <si>
    <t>BIT11037537</t>
  </si>
  <si>
    <t>9419472112</t>
  </si>
  <si>
    <t>patente: LFCZ38 | id del viaje: 139241</t>
  </si>
  <si>
    <t>Fernanda Santander</t>
  </si>
  <si>
    <t>Carretera Austral 198, Carretera Austral</t>
  </si>
  <si>
    <t>BIT11038003</t>
  </si>
  <si>
    <t>9422912446</t>
  </si>
  <si>
    <t>Alejandra Diaz</t>
  </si>
  <si>
    <t>Francisco Javier Krugger 1665, Casa 26, Casa 26</t>
  </si>
  <si>
    <t>BIT11038023</t>
  </si>
  <si>
    <t>9423252554</t>
  </si>
  <si>
    <t>Laura Carrasco Lagos</t>
  </si>
  <si>
    <t>Argentina  1589, Batuco</t>
  </si>
  <si>
    <t>BIT11037726</t>
  </si>
  <si>
    <t>9418187763</t>
  </si>
  <si>
    <t>Juan conserje</t>
  </si>
  <si>
    <t>Soledad Tejada</t>
  </si>
  <si>
    <t>Los Pellines 1042, Departamento 51</t>
  </si>
  <si>
    <t>BIT11038021</t>
  </si>
  <si>
    <t>9423191245</t>
  </si>
  <si>
    <t>Gabriela Lopez saavedra</t>
  </si>
  <si>
    <t>Cristo redentor, Parcela 26 lote 31 CALLE LARGA</t>
  </si>
  <si>
    <t>BIT11037560</t>
  </si>
  <si>
    <t>9417881222</t>
  </si>
  <si>
    <t>edita lobos destinataria</t>
  </si>
  <si>
    <t>Edita Edita Lobos</t>
  </si>
  <si>
    <t>Manuel Larrain 621, 621</t>
  </si>
  <si>
    <t>BIT11037565</t>
  </si>
  <si>
    <t>9419396346</t>
  </si>
  <si>
    <t>erik lagos conserje</t>
  </si>
  <si>
    <t>Giorgio Merello</t>
  </si>
  <si>
    <t>Calle la luna 115, 73</t>
  </si>
  <si>
    <t>BIT11037541</t>
  </si>
  <si>
    <t>9419486333</t>
  </si>
  <si>
    <t>20002185-1 ana belen recibidos</t>
  </si>
  <si>
    <t>Marcelo Cofre Dote</t>
  </si>
  <si>
    <t>Arturo Prat N° 2490</t>
  </si>
  <si>
    <t>BIT11037926</t>
  </si>
  <si>
    <t>9423353962</t>
  </si>
  <si>
    <t>Patricia Morales</t>
  </si>
  <si>
    <t>Avda Costa de Montemar 624 edificio Parque Montemar, 191</t>
  </si>
  <si>
    <t>BIT11037391</t>
  </si>
  <si>
    <t>9423102172</t>
  </si>
  <si>
    <t>francisca recube conserje</t>
  </si>
  <si>
    <t>Avenida La HaCienda 3008 casa 96 A, 12808908-k</t>
  </si>
  <si>
    <t>BIT11037524</t>
  </si>
  <si>
    <t>9419593853</t>
  </si>
  <si>
    <t>Yasna Olivares segovia</t>
  </si>
  <si>
    <t>Constitucion 055, Oficina de salud rural</t>
  </si>
  <si>
    <t>BIT11035527</t>
  </si>
  <si>
    <t>9392314702</t>
  </si>
  <si>
    <t>Rodrigo Ignacio Osorio Olivares</t>
  </si>
  <si>
    <t>Las Fucsias 390</t>
  </si>
  <si>
    <t>BIT11037947</t>
  </si>
  <si>
    <t>9422974735</t>
  </si>
  <si>
    <t>Agnes Mimica</t>
  </si>
  <si>
    <t>Laura barros 205, 1302A</t>
  </si>
  <si>
    <t>BIT11037912</t>
  </si>
  <si>
    <t>9423320546</t>
  </si>
  <si>
    <t>Alejandra Varas Cea</t>
  </si>
  <si>
    <t>Av. Víctor Troncoso Muñoz 0911, Casa 107</t>
  </si>
  <si>
    <t>BIT11037484</t>
  </si>
  <si>
    <t>9419671026</t>
  </si>
  <si>
    <t>BIT11037554</t>
  </si>
  <si>
    <t>9419350043</t>
  </si>
  <si>
    <t>8789777-K Maria Sepulveda recibe titular no autor</t>
  </si>
  <si>
    <t>EL ACACIO 840, CASA</t>
  </si>
  <si>
    <t>BIT11037648</t>
  </si>
  <si>
    <t>9417821700</t>
  </si>
  <si>
    <t>RSVA: 201291151. 211589795. se retiran 14</t>
  </si>
  <si>
    <t>Jenny Marambio Rodriguez Marambio</t>
  </si>
  <si>
    <t>Calle Antoceros 50</t>
  </si>
  <si>
    <t>BIT11037628</t>
  </si>
  <si>
    <t>9419439245</t>
  </si>
  <si>
    <t>11311947-0 Hector Pereira familiar recibe</t>
  </si>
  <si>
    <t>Bryan Figueroa</t>
  </si>
  <si>
    <t>Villa San clemente 2 pasaje 3, Casa</t>
  </si>
  <si>
    <t>BIT11037669</t>
  </si>
  <si>
    <t>9419514414</t>
  </si>
  <si>
    <t>Cecilia Ortiz ok</t>
  </si>
  <si>
    <t>La Santa María 145 Concón Sur</t>
  </si>
  <si>
    <t>BIT11037731</t>
  </si>
  <si>
    <t>9418312271</t>
  </si>
  <si>
    <t>hans topp ok</t>
  </si>
  <si>
    <t>Patricia Vega</t>
  </si>
  <si>
    <t>Ohiggins, 1423</t>
  </si>
  <si>
    <t>BIT11037499</t>
  </si>
  <si>
    <t>9419986844</t>
  </si>
  <si>
    <t>Veronica Arroyo Arancibia</t>
  </si>
  <si>
    <t>Calle Central Con Esquina Condell Pobl. Los Castanos, Casa #21</t>
  </si>
  <si>
    <t>BIT11037918</t>
  </si>
  <si>
    <t>9423443470</t>
  </si>
  <si>
    <t>Karina Luz Garrido Morales</t>
  </si>
  <si>
    <t>Montt 327, Local</t>
  </si>
  <si>
    <t>BIT11037494</t>
  </si>
  <si>
    <t>9419358325</t>
  </si>
  <si>
    <t>Miguel Romero</t>
  </si>
  <si>
    <t>Olegario Reyes #283</t>
  </si>
  <si>
    <t>BIT11037508</t>
  </si>
  <si>
    <t>9419905880</t>
  </si>
  <si>
    <t>Jimena Vargas Diaz</t>
  </si>
  <si>
    <t>Av. 1 ote. 1849 Doña Ignacia Naule, Casa</t>
  </si>
  <si>
    <t>BIT11037914</t>
  </si>
  <si>
    <t>9423443260</t>
  </si>
  <si>
    <t>BIT11037386</t>
  </si>
  <si>
    <t>9419278654</t>
  </si>
  <si>
    <t>13557398-1 Cristian recibe tio</t>
  </si>
  <si>
    <t>Deyanira Fuentealba</t>
  </si>
  <si>
    <t>Frutillar, 1233</t>
  </si>
  <si>
    <t>BIT11036949</t>
  </si>
  <si>
    <t>9413452580</t>
  </si>
  <si>
    <t>Cristina Eliana Guerrero Delgado</t>
  </si>
  <si>
    <t>Roberto Loyola 575 Casablanca, Referencia Supermercado Masateca</t>
  </si>
  <si>
    <t>BIT11037082</t>
  </si>
  <si>
    <t>9412495190</t>
  </si>
  <si>
    <t>Nelly Molina</t>
  </si>
  <si>
    <t>Los laureles 1034, Casa</t>
  </si>
  <si>
    <t>BIT11037139</t>
  </si>
  <si>
    <t>9411918342</t>
  </si>
  <si>
    <t>Mirta San Martín Vega</t>
  </si>
  <si>
    <t>Carrera Hermanos 422, 422</t>
  </si>
  <si>
    <t>BIT11037409</t>
  </si>
  <si>
    <t>9419237704</t>
  </si>
  <si>
    <t>BXG:SV VC 93</t>
  </si>
  <si>
    <t>Lissette Pezoa vergara</t>
  </si>
  <si>
    <t>La gloria, parcela 5, Comuna Olivar</t>
  </si>
  <si>
    <t>BIT11037406</t>
  </si>
  <si>
    <t>9418755080</t>
  </si>
  <si>
    <t>Katherine pirul ok</t>
  </si>
  <si>
    <t>Ruth Salgado</t>
  </si>
  <si>
    <t>Jovino Novoa 0913, Casa</t>
  </si>
  <si>
    <t>BIT11036906</t>
  </si>
  <si>
    <t>9413062525</t>
  </si>
  <si>
    <t>Joao Vergara</t>
  </si>
  <si>
    <t>Pje. Mina Botón de Oro, 1685</t>
  </si>
  <si>
    <t>BIT11037252</t>
  </si>
  <si>
    <t>9419311506</t>
  </si>
  <si>
    <t>Lorena Castillo Canales</t>
  </si>
  <si>
    <t>Avenida El Rodeo 1393, 18</t>
  </si>
  <si>
    <t>BIT11037166</t>
  </si>
  <si>
    <t>9412494862</t>
  </si>
  <si>
    <t>Jesica Benitez 990735547 cliente Inda que se lo de</t>
  </si>
  <si>
    <t>Jessica Benítez Martínez</t>
  </si>
  <si>
    <t>Las cumbres 421, Casa 9</t>
  </si>
  <si>
    <t>BIT11037169</t>
  </si>
  <si>
    <t>9412327411</t>
  </si>
  <si>
    <t>Patricia soto ok</t>
  </si>
  <si>
    <t>waldo soto valdivia</t>
  </si>
  <si>
    <t>crescente errazuriz 499</t>
  </si>
  <si>
    <t>BIT11037123</t>
  </si>
  <si>
    <t>9412599766</t>
  </si>
  <si>
    <t>Los prados 283, Condominio alto el manzano</t>
  </si>
  <si>
    <t>BIT11037270</t>
  </si>
  <si>
    <t>9418521825</t>
  </si>
  <si>
    <t>Patricio Huaiquin</t>
  </si>
  <si>
    <t>Las Catalpas 99, Brisas de Costa Brava</t>
  </si>
  <si>
    <t>BIT11037031</t>
  </si>
  <si>
    <t>9413511354</t>
  </si>
  <si>
    <t>Juan Carlos Muñoz</t>
  </si>
  <si>
    <t>Lago chistie 20</t>
  </si>
  <si>
    <t>BIT11037343</t>
  </si>
  <si>
    <t>9419260745</t>
  </si>
  <si>
    <t>Juan Carlos recibe conforme</t>
  </si>
  <si>
    <t>Juan Carlos Veloso Latorre</t>
  </si>
  <si>
    <t>Av. Santa Rita 2705, condominio Santa Margarita, parcela 14, Casa</t>
  </si>
  <si>
    <t>BIT11037016</t>
  </si>
  <si>
    <t>9413031563</t>
  </si>
  <si>
    <t>Enrique Vega Saure</t>
  </si>
  <si>
    <t>Avda la montaña norte 3650, Casa 39F</t>
  </si>
  <si>
    <t>BIT11037168</t>
  </si>
  <si>
    <t>9412092966</t>
  </si>
  <si>
    <t>María Eugenia López Rojas</t>
  </si>
  <si>
    <t>Camino La Esmeralda Parcela 12 , B 13</t>
  </si>
  <si>
    <t>BIT11037183</t>
  </si>
  <si>
    <t>9412679662</t>
  </si>
  <si>
    <t>Paulina recibe cliente pero evita fotos</t>
  </si>
  <si>
    <t>Quebrada el manzano 37, Casa</t>
  </si>
  <si>
    <t>BIT11037067</t>
  </si>
  <si>
    <t>9412621853</t>
  </si>
  <si>
    <t>Aaron Rojas</t>
  </si>
  <si>
    <t>Calle 11, Casa 96</t>
  </si>
  <si>
    <t>BIT11037002</t>
  </si>
  <si>
    <t>9413281894</t>
  </si>
  <si>
    <t>erika Orellana</t>
  </si>
  <si>
    <t>Ruta H-66 lote 1 El Manzano SN supermarke Don kiko, casa 337</t>
  </si>
  <si>
    <t>BIT11036945</t>
  </si>
  <si>
    <t>9411684391</t>
  </si>
  <si>
    <t>Felipe Miranda</t>
  </si>
  <si>
    <t>Parcela 11-g, Callejón los aromos Casablanca la vinilla norte</t>
  </si>
  <si>
    <t>BIT11037299</t>
  </si>
  <si>
    <t>9418951485</t>
  </si>
  <si>
    <t>BIT11037350</t>
  </si>
  <si>
    <t>9419031226</t>
  </si>
  <si>
    <t>franco gaete cliente</t>
  </si>
  <si>
    <t>FRANCO GAETE GUEVARA</t>
  </si>
  <si>
    <t>Avenida esperanza, 298</t>
  </si>
  <si>
    <t>BIT11037069</t>
  </si>
  <si>
    <t>9412061400</t>
  </si>
  <si>
    <t>Hector Soliz santana</t>
  </si>
  <si>
    <t>Bulnes 363, Casa restaurante</t>
  </si>
  <si>
    <t>BIT11037276</t>
  </si>
  <si>
    <t>9418790721</t>
  </si>
  <si>
    <t>Paola Duarte</t>
  </si>
  <si>
    <t>josé maría escrivá de balaguer 720, 103</t>
  </si>
  <si>
    <t>BIT11037148</t>
  </si>
  <si>
    <t>9412325650</t>
  </si>
  <si>
    <t>Diego Leonardo González Muñoz</t>
  </si>
  <si>
    <t>Séptimo de Línea 1177, Población Bicentenario</t>
  </si>
  <si>
    <t>BIT11036987</t>
  </si>
  <si>
    <t>9413452101</t>
  </si>
  <si>
    <t>Camila Allende Gajardo</t>
  </si>
  <si>
    <t>Condell #61, Población Los Castaños, Casa amarilla de 3 pisos en una esquina</t>
  </si>
  <si>
    <t>BIT11037388</t>
  </si>
  <si>
    <t>9418844562</t>
  </si>
  <si>
    <t>Solange matus ok</t>
  </si>
  <si>
    <t>Ricardo Retamales</t>
  </si>
  <si>
    <t>1170 Las Pelargonias</t>
  </si>
  <si>
    <t>BIT11037059</t>
  </si>
  <si>
    <t>9412203710</t>
  </si>
  <si>
    <t>BIT11036850</t>
  </si>
  <si>
    <t>9411518830</t>
  </si>
  <si>
    <t>Marcelo Dasso</t>
  </si>
  <si>
    <t>Tabolango 1320, Casa 1</t>
  </si>
  <si>
    <t>BIT11036767</t>
  </si>
  <si>
    <t>9411556125</t>
  </si>
  <si>
    <t>Marco Sepúlveda Medina</t>
  </si>
  <si>
    <t>Avda Manantiales 1440, Casa 515</t>
  </si>
  <si>
    <t>BIT11036805</t>
  </si>
  <si>
    <t>9411018540</t>
  </si>
  <si>
    <t>BIT11036866</t>
  </si>
  <si>
    <t>9411668862</t>
  </si>
  <si>
    <t>Carolina Muñoz sepulveda</t>
  </si>
  <si>
    <t>Pasaje taguita 4910</t>
  </si>
  <si>
    <t>BIT11036867</t>
  </si>
  <si>
    <t>9411691100</t>
  </si>
  <si>
    <t>Juan Bianchi</t>
  </si>
  <si>
    <t>Vicuña Mackenna 2146, Parcela 28-A</t>
  </si>
  <si>
    <t>BIT11036528</t>
  </si>
  <si>
    <t>9414972232</t>
  </si>
  <si>
    <t>Franco Polanco toro</t>
  </si>
  <si>
    <t>Raul sanchez cerda 14, paine, Casa containner</t>
  </si>
  <si>
    <t>BIT11036630</t>
  </si>
  <si>
    <t>9415316470</t>
  </si>
  <si>
    <t>Pedro Balbontin Krummenaker</t>
  </si>
  <si>
    <t>Calle del Sol, 55 depto 251 B</t>
  </si>
  <si>
    <t>BIT11036729</t>
  </si>
  <si>
    <t>9415133571</t>
  </si>
  <si>
    <t>BIT11036832</t>
  </si>
  <si>
    <t>9411391920</t>
  </si>
  <si>
    <t>MARIA GRACIELA HIDALGO PEDRERO</t>
  </si>
  <si>
    <t>LOS COPIHUES 411, DOÑIHUE, CASA</t>
  </si>
  <si>
    <t>BIT11036759</t>
  </si>
  <si>
    <t>9411147443</t>
  </si>
  <si>
    <t>PAZ ANDREA FLORES FLORES</t>
  </si>
  <si>
    <t>John Kennedy 414</t>
  </si>
  <si>
    <t>BIT11036615</t>
  </si>
  <si>
    <t>9415029643</t>
  </si>
  <si>
    <t>Daniel Sepulveda Navarrete</t>
  </si>
  <si>
    <t>Zañartu 95y, Casa</t>
  </si>
  <si>
    <t>BIT11036787</t>
  </si>
  <si>
    <t>9410987681</t>
  </si>
  <si>
    <t>Los Prados 283 alto el manzano</t>
  </si>
  <si>
    <t>BIT11036794</t>
  </si>
  <si>
    <t>9411148095</t>
  </si>
  <si>
    <t>eduardo sandoval</t>
  </si>
  <si>
    <t>Evenida Berlin 26A, Casa</t>
  </si>
  <si>
    <t>BIT11036702</t>
  </si>
  <si>
    <t>9414663952</t>
  </si>
  <si>
    <t>Eduardo Llach</t>
  </si>
  <si>
    <t>Liquidambar 928, Casa 2</t>
  </si>
  <si>
    <t>BIT11036618</t>
  </si>
  <si>
    <t>9414879003</t>
  </si>
  <si>
    <t>Dayse Cantillana Navarro</t>
  </si>
  <si>
    <t>El asiento, sector el bajo, 001</t>
  </si>
  <si>
    <t>BIT11036892</t>
  </si>
  <si>
    <t>9411164066</t>
  </si>
  <si>
    <t>Katia Soto Martínez</t>
  </si>
  <si>
    <t>Calle alcalde Julio Arangua Núñez sur 297, Casa</t>
  </si>
  <si>
    <t>BIT11036797</t>
  </si>
  <si>
    <t>9411642870</t>
  </si>
  <si>
    <t>Paz Gutierrez</t>
  </si>
  <si>
    <t>Santa Laura 511, 804</t>
  </si>
  <si>
    <t>BIT11036358</t>
  </si>
  <si>
    <t>9416228990</t>
  </si>
  <si>
    <t>Adalin Clara Martinez Vera</t>
  </si>
  <si>
    <t>Fundo las  calerias de batuco parcela 57, 57</t>
  </si>
  <si>
    <t>BIT11036359</t>
  </si>
  <si>
    <t>9415802745</t>
  </si>
  <si>
    <t>Leonardo Carrillo</t>
  </si>
  <si>
    <t>El Espino 430, Alto el Manzano</t>
  </si>
  <si>
    <t>BIT11036365</t>
  </si>
  <si>
    <t>9415614880</t>
  </si>
  <si>
    <t>Eduardo Eduardo Sandoval</t>
  </si>
  <si>
    <t>Avenida Berlín Parcela 26A casa 3, Casa 3</t>
  </si>
  <si>
    <t>BIT11036378</t>
  </si>
  <si>
    <t>9415990765</t>
  </si>
  <si>
    <t>Patricio Neira</t>
  </si>
  <si>
    <t>francisco Javier Krugger 3380, buin, Casa 1 F</t>
  </si>
  <si>
    <t>BIT11036404</t>
  </si>
  <si>
    <t>9415905225</t>
  </si>
  <si>
    <t>Noelia Ibarra Merino</t>
  </si>
  <si>
    <t>Avda 7 abril 2086 lontue, De 9 a 14 y 16.30 a 20 hrs</t>
  </si>
  <si>
    <t>BIT11036483</t>
  </si>
  <si>
    <t>9416035086</t>
  </si>
  <si>
    <t>Herlan Venegas Vera</t>
  </si>
  <si>
    <t>Oscar Bonilla 452, Depto. 552</t>
  </si>
  <si>
    <t>BIT11036489</t>
  </si>
  <si>
    <t>9415714210</t>
  </si>
  <si>
    <t>Antonia Vial</t>
  </si>
  <si>
    <t>Camino Rinconada de San Vicente, Parcela 57</t>
  </si>
  <si>
    <t>BIT11036492</t>
  </si>
  <si>
    <t>9416445076</t>
  </si>
  <si>
    <t>Rodrigo Medina Medina</t>
  </si>
  <si>
    <t>Galvez 2121, Casaquinta</t>
  </si>
  <si>
    <t>BIT11036638</t>
  </si>
  <si>
    <t>9416249032</t>
  </si>
  <si>
    <t>Berta Zurita</t>
  </si>
  <si>
    <t>Avenida Francisco Bilbao 1005 Peñaflor</t>
  </si>
  <si>
    <t>BIT11036636</t>
  </si>
  <si>
    <t>9415598360</t>
  </si>
  <si>
    <t>Verónica Frings</t>
  </si>
  <si>
    <t>Camino cervera 1000 linderos, 101</t>
  </si>
  <si>
    <t>BIT11036656</t>
  </si>
  <si>
    <t>9415918470</t>
  </si>
  <si>
    <t>Maximiliano Barahona Bravo</t>
  </si>
  <si>
    <t>Arturo Prat 499 Maipo, Casa</t>
  </si>
  <si>
    <t>BIT11036664</t>
  </si>
  <si>
    <t>9416351744</t>
  </si>
  <si>
    <t>Diego Piña acevedo</t>
  </si>
  <si>
    <t>Balmaceda 951, Casa</t>
  </si>
  <si>
    <t>BIT11036211</t>
  </si>
  <si>
    <t>9415961155</t>
  </si>
  <si>
    <t>Maximiliano Benavides Cathalifaud</t>
  </si>
  <si>
    <t>Casa, Calle martin pescador 153</t>
  </si>
  <si>
    <t>BIT11036225</t>
  </si>
  <si>
    <t>9415704211</t>
  </si>
  <si>
    <t>Fransisco díaz Muñoz 626, 3 casas mas allá del restourante voy y vuelvo</t>
  </si>
  <si>
    <t>BIT11036684</t>
  </si>
  <si>
    <t>9416424334</t>
  </si>
  <si>
    <t>Eduardo Pinto González</t>
  </si>
  <si>
    <t>Aguada De Dolores 3</t>
  </si>
  <si>
    <t>BIT11036322</t>
  </si>
  <si>
    <t>9416382931</t>
  </si>
  <si>
    <t>Claudio Pavez Molinez</t>
  </si>
  <si>
    <t>Avenida Victor Troncoso Muñoz 321, 51</t>
  </si>
  <si>
    <t>BIT11036325</t>
  </si>
  <si>
    <t>9415585196</t>
  </si>
  <si>
    <t>Cristian Huerta letelier</t>
  </si>
  <si>
    <t>Elena Caffarena 16, Casa esquina costado Plaza</t>
  </si>
  <si>
    <t>BIT11036258</t>
  </si>
  <si>
    <t>9416312861</t>
  </si>
  <si>
    <t>Adolfo Gutiérrez</t>
  </si>
  <si>
    <t>Pedro Aguirre Cerda 1738 Puente Lampa</t>
  </si>
  <si>
    <t>BIT11036344</t>
  </si>
  <si>
    <t>9416318424</t>
  </si>
  <si>
    <t>Pedro Pablo Contreras Quinteros</t>
  </si>
  <si>
    <t>Calle los espinos s/n, Departamento de Salud de San Clemente</t>
  </si>
  <si>
    <t>BIT11036274</t>
  </si>
  <si>
    <t>9415584566</t>
  </si>
  <si>
    <t>Ernesto Zapata Gatica</t>
  </si>
  <si>
    <t>avenida el rodeo sur 1393, casa 16</t>
  </si>
  <si>
    <t>BIT11036290</t>
  </si>
  <si>
    <t>9416409251</t>
  </si>
  <si>
    <t>Luis Ibacache Olivares</t>
  </si>
  <si>
    <t>Carrera 602, Carrera 602</t>
  </si>
  <si>
    <t>BIT11036535</t>
  </si>
  <si>
    <t>9414679374</t>
  </si>
  <si>
    <t>Juan Pablo Garrido Ferreira</t>
  </si>
  <si>
    <t>Arenales 540, Concón, 1305 B</t>
  </si>
  <si>
    <t>BIT11036540</t>
  </si>
  <si>
    <t>9415423662</t>
  </si>
  <si>
    <t>Carolina Corvalan</t>
  </si>
  <si>
    <t>Los Patos 48 Condominio La Castellana Casa 2, Casa 2, Casa 2</t>
  </si>
  <si>
    <t>BIT11036571</t>
  </si>
  <si>
    <t>9415146495</t>
  </si>
  <si>
    <t>Ariel Vasquez</t>
  </si>
  <si>
    <t>Avenida las tranqueras 230, Casa 30</t>
  </si>
  <si>
    <t>BIT11035622</t>
  </si>
  <si>
    <t>9409085906</t>
  </si>
  <si>
    <t>Carolina Cantillana Urra</t>
  </si>
  <si>
    <t>Avenida Almendro 1508, Supermercado Cantillana</t>
  </si>
  <si>
    <t>BIT11035906</t>
  </si>
  <si>
    <t>9408823395</t>
  </si>
  <si>
    <t>8172817-8 veronica esposa</t>
  </si>
  <si>
    <t>BIT11035633</t>
  </si>
  <si>
    <t>9409020040</t>
  </si>
  <si>
    <t>Juan Sebastián Navarro González</t>
  </si>
  <si>
    <t>Avenida El Porvenir 1344, Casa 122</t>
  </si>
  <si>
    <t>BIT11035672</t>
  </si>
  <si>
    <t>9408564502</t>
  </si>
  <si>
    <t>Carla Peña</t>
  </si>
  <si>
    <t>Camino la obra 536, Parcela 20</t>
  </si>
  <si>
    <t>BIT11036049</t>
  </si>
  <si>
    <t>9417265104</t>
  </si>
  <si>
    <t>felipe cartagena ok</t>
  </si>
  <si>
    <t>Felipe Cartagena</t>
  </si>
  <si>
    <t>Camino longitudinal ruta 5 3020, 50</t>
  </si>
  <si>
    <t>BIT11036092</t>
  </si>
  <si>
    <t>9417342406</t>
  </si>
  <si>
    <t>Waldo ok</t>
  </si>
  <si>
    <t>BIT11036142</t>
  </si>
  <si>
    <t>9417362146</t>
  </si>
  <si>
    <t>BXG:LGJ76</t>
  </si>
  <si>
    <t>Alejandro Diaz</t>
  </si>
  <si>
    <t>Parcela 17 sector el vinculo</t>
  </si>
  <si>
    <t>BIT11036145</t>
  </si>
  <si>
    <t>9416982013</t>
  </si>
  <si>
    <t>Alain Garrido Román</t>
  </si>
  <si>
    <t>Borgoño 19700, 132</t>
  </si>
  <si>
    <t>BIT11035714</t>
  </si>
  <si>
    <t>9408238803</t>
  </si>
  <si>
    <t>Siomara Garcia</t>
  </si>
  <si>
    <t>Camino los husares, 29</t>
  </si>
  <si>
    <t>BIT11035773</t>
  </si>
  <si>
    <t>9408405646</t>
  </si>
  <si>
    <t>Las catalpas parcela D5, CONDOMINIO EL ACASIO Y LA CRUZ</t>
  </si>
  <si>
    <t>BIT11035895</t>
  </si>
  <si>
    <t>9409120394</t>
  </si>
  <si>
    <t>Gerardo Ahumada titular</t>
  </si>
  <si>
    <t>Gerardo Ahumada Allendes</t>
  </si>
  <si>
    <t>PoblaciÓn El Carmen Calle 13 Casa 90, 90</t>
  </si>
  <si>
    <t>BIT11035891</t>
  </si>
  <si>
    <t>9408299725</t>
  </si>
  <si>
    <t>ghesleine san Martin</t>
  </si>
  <si>
    <t>Nicolas Mardones Sandoval</t>
  </si>
  <si>
    <t>Compañía de Jesús 203, Oficina de trabajo</t>
  </si>
  <si>
    <t>BIT11036156</t>
  </si>
  <si>
    <t>9416974350</t>
  </si>
  <si>
    <t>Alejandro Trejos Arrué</t>
  </si>
  <si>
    <t>Calle de Servicio N°220, sector Angostura, Casa</t>
  </si>
  <si>
    <t>BIT11036154</t>
  </si>
  <si>
    <t>9417308526</t>
  </si>
  <si>
    <t>Maria Duarte</t>
  </si>
  <si>
    <t>Manuel Castillo, Calera de Tango, Chile, Parcela D7</t>
  </si>
  <si>
    <t>BIT11035797</t>
  </si>
  <si>
    <t>9409005690</t>
  </si>
  <si>
    <t>Marco Antonio Osorio perez</t>
  </si>
  <si>
    <t>Erasno ovando 425</t>
  </si>
  <si>
    <t>BIT11035940</t>
  </si>
  <si>
    <t>9408566451</t>
  </si>
  <si>
    <t>nicolas entrega exitosa</t>
  </si>
  <si>
    <t>nicolas antonio escobar vasquez</t>
  </si>
  <si>
    <t>general bonilla 352</t>
  </si>
  <si>
    <t>BIT11036119</t>
  </si>
  <si>
    <t>9417030195</t>
  </si>
  <si>
    <t>9024961-4 Guillermo Letelier recibe guardia de co</t>
  </si>
  <si>
    <t>Janira Diaz</t>
  </si>
  <si>
    <t>Camino carampangue 5912, 93 b</t>
  </si>
  <si>
    <t>BIT11036122</t>
  </si>
  <si>
    <t>9416580353</t>
  </si>
  <si>
    <t>BXG:RGSH94</t>
  </si>
  <si>
    <t>Fernando Ponce</t>
  </si>
  <si>
    <t>Rio maule 2610, 77</t>
  </si>
  <si>
    <t>BIT11036138</t>
  </si>
  <si>
    <t>9417267871</t>
  </si>
  <si>
    <t>6025558-K lidia Aguilar recibe mama</t>
  </si>
  <si>
    <t>Pasaje Pica 3226, Villa Florencia</t>
  </si>
  <si>
    <t>BIT11036155</t>
  </si>
  <si>
    <t>9417356211</t>
  </si>
  <si>
    <t>Leandro Alarcon Sepulveda</t>
  </si>
  <si>
    <t>Pasaje Licanray 321</t>
  </si>
  <si>
    <t>BIT11035809</t>
  </si>
  <si>
    <t>9408376224</t>
  </si>
  <si>
    <t>luis marillanca</t>
  </si>
  <si>
    <t>Camino longitudinal ruta 5 sur 3020, casa 81</t>
  </si>
  <si>
    <t>BIT11035203</t>
  </si>
  <si>
    <t>9394392324</t>
  </si>
  <si>
    <t>Eduardo Roberto Valenzuela Caselli</t>
  </si>
  <si>
    <t>Loteo Las Casas San Isidro, Lote 13, Teno, Curico</t>
  </si>
  <si>
    <t>BIT11035584</t>
  </si>
  <si>
    <t>9409877514</t>
  </si>
  <si>
    <t>MARIA CATALAN GONZALEZ</t>
  </si>
  <si>
    <t>Calle Luz Maria Corrales 044</t>
  </si>
  <si>
    <t>BIT11035507</t>
  </si>
  <si>
    <t>9409751234</t>
  </si>
  <si>
    <t>Isrrael Caro aravena</t>
  </si>
  <si>
    <t>Juan maisonave 779</t>
  </si>
  <si>
    <t>BIT11035521</t>
  </si>
  <si>
    <t>9391869292</t>
  </si>
  <si>
    <t>BIT11035503</t>
  </si>
  <si>
    <t>9392476634</t>
  </si>
  <si>
    <t>BIT11035554</t>
  </si>
  <si>
    <t>9409516981</t>
  </si>
  <si>
    <t>Enrique Vega</t>
  </si>
  <si>
    <t>Avda la montaña norte 3650, casa 39F</t>
  </si>
  <si>
    <t>DOR55015323</t>
  </si>
  <si>
    <t>259981258</t>
  </si>
  <si>
    <t>DORMILONES</t>
  </si>
  <si>
    <t>NOMBRE RETIRA: VICTOR DIAS . RUT RETIRA: 12345678-5</t>
  </si>
  <si>
    <t>Victor Diaz</t>
  </si>
  <si>
    <t>Pasaje negreiros 669 villa santa Ana</t>
  </si>
  <si>
    <t>DOR55015413</t>
  </si>
  <si>
    <t>260203752</t>
  </si>
  <si>
    <t>NOMBRE RETIRA: KEVIN GARCIA 0 RUT RETIRA: 12345678-5</t>
  </si>
  <si>
    <t>Silvia Alejandra Magna Acevedo</t>
  </si>
  <si>
    <t>Llullaillaco 2651, Depto 106</t>
  </si>
  <si>
    <t>DOR55015391</t>
  </si>
  <si>
    <t>260123165</t>
  </si>
  <si>
    <t>Camila Santana</t>
  </si>
  <si>
    <t>Lincoyan Rojas Sagua 185, Villa San Ambrosio</t>
  </si>
  <si>
    <t>DOR55014702</t>
  </si>
  <si>
    <t>9409357425</t>
  </si>
  <si>
    <t>Los Olivos 019. Población Nueva Bellavista</t>
  </si>
  <si>
    <t>2025-11-28 10:20</t>
  </si>
  <si>
    <t>DOR55015374</t>
  </si>
  <si>
    <t>260123317</t>
  </si>
  <si>
    <t>NOMBRE RETIRA: SAMUEL DONOSO . RUT RETIRA: 13202757-9</t>
  </si>
  <si>
    <t>Arturo Luna Opazo</t>
  </si>
  <si>
    <t>Punto Bluexpress, Ferreteria Empemat, Sargento Aldea Esquina Balmaceda S/n</t>
  </si>
  <si>
    <t>Empedrado</t>
  </si>
  <si>
    <t>DOR55015420</t>
  </si>
  <si>
    <t>260203709</t>
  </si>
  <si>
    <t>NOMBRE RETIRA: SUSANA OLIVA . RUT RETIRA: 9070180-0</t>
  </si>
  <si>
    <t>Mariela Salinas</t>
  </si>
  <si>
    <t>Manuel Vidal 123</t>
  </si>
  <si>
    <t>DOR55015393</t>
  </si>
  <si>
    <t>260123132</t>
  </si>
  <si>
    <t>NOMBRE RETIRA: NOELIA ROMERO . RUT RETIRA: 8727709-7</t>
  </si>
  <si>
    <t>Santiago Haddad</t>
  </si>
  <si>
    <t>Trumao 1100 edificio alcázar del mar, Torre 1 departamento 143</t>
  </si>
  <si>
    <t>DOR55015429</t>
  </si>
  <si>
    <t>260203652</t>
  </si>
  <si>
    <t>NOMBRE RETIRA: DSNIEL DIAZ . RUT RETIRA: 15764225-1</t>
  </si>
  <si>
    <t>Montemar 24, Villa Monte / Sector Nueva Aurora</t>
  </si>
  <si>
    <t>DOR55015343</t>
  </si>
  <si>
    <t>259981035</t>
  </si>
  <si>
    <t>NOMBRE RETIRA: DARINKA CORTES . RUT RETIRA: 15026432-4</t>
  </si>
  <si>
    <t>Darinka Cortes</t>
  </si>
  <si>
    <t>Republica 844</t>
  </si>
  <si>
    <t>2025-12-15 20:19</t>
  </si>
  <si>
    <t>DOR55015363</t>
  </si>
  <si>
    <t>260123357</t>
  </si>
  <si>
    <t>NOMBRE RETIRA: ROXAN V B RUT RETIRA: 15022201-K</t>
  </si>
  <si>
    <t>Roxana Gajardo Collao</t>
  </si>
  <si>
    <t>Pasaje Sewell 281</t>
  </si>
  <si>
    <t>DOR55015294</t>
  </si>
  <si>
    <t>259981437</t>
  </si>
  <si>
    <t>NOMBRE RETIRA: AMANDA RIQUELME , RUT RETIRA: 19494392-K</t>
  </si>
  <si>
    <t>Amanda Riquelme Riquelme</t>
  </si>
  <si>
    <t>Hualles 3150, Casa</t>
  </si>
  <si>
    <t>2025-12-13 11:19</t>
  </si>
  <si>
    <t>DOR55015295</t>
  </si>
  <si>
    <t>259981506</t>
  </si>
  <si>
    <t>NOMBRE RETIRA: MARISOL CANETE L RUT RETIRA: 17724370-1</t>
  </si>
  <si>
    <t>MARISOL CAÑETE PEÑA</t>
  </si>
  <si>
    <t>SANTA CLARA 02065</t>
  </si>
  <si>
    <t>DOR55015241</t>
  </si>
  <si>
    <t>259584415</t>
  </si>
  <si>
    <t>NOMBRE RETIRA: LIDIA CONTRERAS . RUT RETIRA: 5099826-6</t>
  </si>
  <si>
    <t>Javier Espinoza</t>
  </si>
  <si>
    <t>Hamburgo Norte</t>
  </si>
  <si>
    <t>DOR55015403</t>
  </si>
  <si>
    <t>260123106</t>
  </si>
  <si>
    <t>NOMBRE RETIRA: MARIA CONTRERAS . RUT RETIRA: 11931111-K</t>
  </si>
  <si>
    <t>Michael Rodríguez</t>
  </si>
  <si>
    <t>Simón bolivar  1875, 1875</t>
  </si>
  <si>
    <t>DOR55015427</t>
  </si>
  <si>
    <t>260203683</t>
  </si>
  <si>
    <t>NOMBRE RETIRA: HECTOR GARCIA . RUT RETIRA: 21127632-0</t>
  </si>
  <si>
    <t>Fernanda Ruiz</t>
  </si>
  <si>
    <t>Juan martinez de rozas 475, Depto 402</t>
  </si>
  <si>
    <t>DOR55015351</t>
  </si>
  <si>
    <t>259980957</t>
  </si>
  <si>
    <t>NOMBRE RETIRA: MATILDE OYALA N RUT RETIRA: 24462176-7</t>
  </si>
  <si>
    <t>Olaya Matilde Bugueño Claros</t>
  </si>
  <si>
    <t>Avenida Carlos Oviedo Cavada 4455, 45</t>
  </si>
  <si>
    <t>DOR55015405</t>
  </si>
  <si>
    <t>260203764</t>
  </si>
  <si>
    <t>NOMBRE RETIRA: JUAN PEDRO . RUT RETIRA: 18219492-1</t>
  </si>
  <si>
    <t>Juan Pedro Cuello Barraza</t>
  </si>
  <si>
    <t>las tencas 1836, barrio las torcazas</t>
  </si>
  <si>
    <t>DOR55015419</t>
  </si>
  <si>
    <t>260203741</t>
  </si>
  <si>
    <t>NOMBRE RETIRA: MARIANA VALDIVIA .. RUT RETIRA: 19146817-1</t>
  </si>
  <si>
    <t>Yuliette Villarroel</t>
  </si>
  <si>
    <t>Michelle Bachelet 36, Casa 89. Condominio la quebrada donde se encuentra la caseta del guardia</t>
  </si>
  <si>
    <t>DOR55015232</t>
  </si>
  <si>
    <t>259584510</t>
  </si>
  <si>
    <t>NOMBRE RETIRA: OLGA TARAZONA . RUT RETIRA: 22433886-4</t>
  </si>
  <si>
    <t>Natalia Bravo</t>
  </si>
  <si>
    <t>Av rica aventura 10650, Casa 23 condominio atenea</t>
  </si>
  <si>
    <t>2025-12-09 19:08</t>
  </si>
  <si>
    <t>DOR55015316</t>
  </si>
  <si>
    <t>259981249</t>
  </si>
  <si>
    <t>NOMBRE RETIRA: AYSA PAIVA . RUT RETIRA: 13427526-K</t>
  </si>
  <si>
    <t>Cristian Janania</t>
  </si>
  <si>
    <t>Belisario Riquelme 3290</t>
  </si>
  <si>
    <t>DOR55015425</t>
  </si>
  <si>
    <t>260203671</t>
  </si>
  <si>
    <t>Carla Del Rio</t>
  </si>
  <si>
    <t>Carriel Oriente 5865 casa 59, condominio valle de illapel, Casa 59</t>
  </si>
  <si>
    <t>DOR55015357</t>
  </si>
  <si>
    <t>260123389</t>
  </si>
  <si>
    <t>La Puntilla Nro. 41, block C8, Depto 107</t>
  </si>
  <si>
    <t>DOR55015353</t>
  </si>
  <si>
    <t>259980932</t>
  </si>
  <si>
    <t>NOMBRE RETIRA: RAMON GARAY . RUT RETIRA: 6468521-K</t>
  </si>
  <si>
    <t>Matthew Garay</t>
  </si>
  <si>
    <t>Tamarugal 1499 El Olivar, Casa</t>
  </si>
  <si>
    <t>DOR55015376</t>
  </si>
  <si>
    <t>260123237</t>
  </si>
  <si>
    <t>NOMBRE RETIRA: NELSON PARRA . RUT RETIRA: 20892252-1</t>
  </si>
  <si>
    <t>Nelson Parra Schafer</t>
  </si>
  <si>
    <t>Aerodromo Cochamo 6576, Casa</t>
  </si>
  <si>
    <t>2025-12-16 20:11</t>
  </si>
  <si>
    <t>DOR55015375</t>
  </si>
  <si>
    <t>260123284</t>
  </si>
  <si>
    <t>NOMBRE RETIRA: LUIS GODOY --VECINA JUANA RUT RETIRA: 6911026-6</t>
  </si>
  <si>
    <t>luis godoy</t>
  </si>
  <si>
    <t>Jorge Brañes 1801 Barrio universitario</t>
  </si>
  <si>
    <t>DOR55015380</t>
  </si>
  <si>
    <t>260123241</t>
  </si>
  <si>
    <t>NOMBRE RETIRA: MARIA JOSE TOBAR -- RUT RETIRA: 12483197-0</t>
  </si>
  <si>
    <t>Maria Jose Tobar</t>
  </si>
  <si>
    <t>Raul Salamanca 1650, casa 154</t>
  </si>
  <si>
    <t>DOR55015401</t>
  </si>
  <si>
    <t>260123119</t>
  </si>
  <si>
    <t>NOMBRE RETIRA: LUIS FUENTES . RUT RETIRA: 18000394-0</t>
  </si>
  <si>
    <t>Luis Fuentes</t>
  </si>
  <si>
    <t>Santa Bernardita de Lourdes 1410, Frente a plaza</t>
  </si>
  <si>
    <t>DOR55015377</t>
  </si>
  <si>
    <t>260123255</t>
  </si>
  <si>
    <t>NOMBRE RETIRA: OLGA GUERRERO . RUT RETIRA: 13972831-9</t>
  </si>
  <si>
    <t>Carlos Villarroel</t>
  </si>
  <si>
    <t>La Oración 1565</t>
  </si>
  <si>
    <t>DOR55015371</t>
  </si>
  <si>
    <t>260123326</t>
  </si>
  <si>
    <t>NOMBRE RETIRA: ANA CACERES B RUT RETIRA: 16860554-4</t>
  </si>
  <si>
    <t>Cristian Llantén</t>
  </si>
  <si>
    <t>Ruta í-151 #5040, Minimarket Los Nilos</t>
  </si>
  <si>
    <t>DOR55015387</t>
  </si>
  <si>
    <t>260123175</t>
  </si>
  <si>
    <t>NOMBRE RETIRA: GABRIELA OO J RUT RETIRA: 15944689-1</t>
  </si>
  <si>
    <t>Gabriela Tippmann</t>
  </si>
  <si>
    <t>Ernesto Pinto Lagarrigue 1287</t>
  </si>
  <si>
    <t>DOR55015395</t>
  </si>
  <si>
    <t>260123127</t>
  </si>
  <si>
    <t>NOMBRE RETIRA: ROBERTO HERNANDEZ . RUT RETIRA: 10954766-2</t>
  </si>
  <si>
    <t>Roberto Hernández Massardo</t>
  </si>
  <si>
    <t>Av Valparaíso 01180, Oficina ATOM - Lubricantes Mobil</t>
  </si>
  <si>
    <t>DOR55015366</t>
  </si>
  <si>
    <t>260123350</t>
  </si>
  <si>
    <t>NOMBRE RETIRA: MARIA CORTES . RUT RETIRA: 20619541-K</t>
  </si>
  <si>
    <t>María Eugenia Cortes</t>
  </si>
  <si>
    <t>Inés de Suárez 200, Colegio</t>
  </si>
  <si>
    <t>DOR55015356</t>
  </si>
  <si>
    <t>260123404</t>
  </si>
  <si>
    <t>NOMBRE RETIRA: HECTOR TRAILLANCA ... RUT RETIRA: 16177566-5</t>
  </si>
  <si>
    <t>Ivan Lagos</t>
  </si>
  <si>
    <t>Hochstetter 405, Depto 501</t>
  </si>
  <si>
    <t>DOR55015301</t>
  </si>
  <si>
    <t>259981318</t>
  </si>
  <si>
    <t>NOMBRE RETIRA: YASIRI MUNOZ . RUT RETIRA: 18362696-5</t>
  </si>
  <si>
    <t>Yasiry alejandra Muñoz araya</t>
  </si>
  <si>
    <t>Avenida balmaceda 746, Casa</t>
  </si>
  <si>
    <t>DOR55015385</t>
  </si>
  <si>
    <t>260123211</t>
  </si>
  <si>
    <t>NOMBRE RETIRA: ASTRID PEREZ P RUT RETIRA: 7479406-8</t>
  </si>
  <si>
    <t>Felipe Ibañez</t>
  </si>
  <si>
    <t>Ramon Freire sur 1250, Clinica veterinaria</t>
  </si>
  <si>
    <t>DOR55015296</t>
  </si>
  <si>
    <t>259981481</t>
  </si>
  <si>
    <t>NOMBRE RETIRA: ANGELICA SILVA . RUT RETIRA: 13118049-7</t>
  </si>
  <si>
    <t>Angélica Silva Ríos</t>
  </si>
  <si>
    <t>Santiago 880, condominio Jardín de las Bellotas, Casa 10</t>
  </si>
  <si>
    <t>DOR55015303</t>
  </si>
  <si>
    <t>259981394</t>
  </si>
  <si>
    <t>NOMBRE RETIRA: GABRIEL CONSERJE . RUT RETIRA: 19198720-9</t>
  </si>
  <si>
    <t>raider guerrero</t>
  </si>
  <si>
    <t>Javier carrera 102, depto 44 torre 8</t>
  </si>
  <si>
    <t>DOR55015367</t>
  </si>
  <si>
    <t>260123303</t>
  </si>
  <si>
    <t>NOMBRE RETIRA: INES MOLINA . RUT RETIRA: 13570186-6</t>
  </si>
  <si>
    <t>Ivonne Oyarzun</t>
  </si>
  <si>
    <t>Hermano Fernando de la fuente 418, (Casa)</t>
  </si>
  <si>
    <t>DOR55015388</t>
  </si>
  <si>
    <t>260123202</t>
  </si>
  <si>
    <t>NOMBRE RETIRA: ALEJANDRA BAEZA . RUT RETIRA: 19414415-6</t>
  </si>
  <si>
    <t>David Vera</t>
  </si>
  <si>
    <t>Vicente mendez 419, 144</t>
  </si>
  <si>
    <t>DOR55015311</t>
  </si>
  <si>
    <t>259981370</t>
  </si>
  <si>
    <t>Romina Diaz</t>
  </si>
  <si>
    <t>Avenida Austral 1250 casa 105, Condominio Aires del sur 125 casa 105</t>
  </si>
  <si>
    <t>DOR55015336</t>
  </si>
  <si>
    <t>259981140</t>
  </si>
  <si>
    <t>NOMBRE RETIRA: BENJAMIN NUNEZ N RUT RETIRA: 10047880-3</t>
  </si>
  <si>
    <t>Benjamín Nuñez ubilla</t>
  </si>
  <si>
    <t>Diego duble almeyda 1629, Casa</t>
  </si>
  <si>
    <t>DOR55015346</t>
  </si>
  <si>
    <t>259981050</t>
  </si>
  <si>
    <t>NOMBRE RETIRA: MIGUEL GOMEZ . RUT RETIRA: 56086010-2</t>
  </si>
  <si>
    <t>Micaela Urbina</t>
  </si>
  <si>
    <t>6 norte 536, 1105</t>
  </si>
  <si>
    <t>DOR55015347</t>
  </si>
  <si>
    <t>259981013</t>
  </si>
  <si>
    <t>NOMBRE RETIRA: FRANCISCO CORREA SOTO RUT RETIRA: 16492277-4</t>
  </si>
  <si>
    <t>Francisco Correa</t>
  </si>
  <si>
    <t>César augustus 1565</t>
  </si>
  <si>
    <t>DOR55015312</t>
  </si>
  <si>
    <t>259981335</t>
  </si>
  <si>
    <t>NOMBRE RETIRA: XIMENROJAS ROJAS ROJAS RUT RETIRA: 12993967-2</t>
  </si>
  <si>
    <t>Ximena Rojas</t>
  </si>
  <si>
    <t>Calle Calama 852, Villa Nelson Pereira, casa</t>
  </si>
  <si>
    <t>DOR55015319</t>
  </si>
  <si>
    <t>259981177</t>
  </si>
  <si>
    <t>NOMBRE RETIRA: RICARDO CORNEJO . RUT RETIRA: 12345678-5</t>
  </si>
  <si>
    <t>Daniela Gomez</t>
  </si>
  <si>
    <t>Volcan ollagüe 2655, Casa</t>
  </si>
  <si>
    <t>DOR55015341</t>
  </si>
  <si>
    <t>259981107</t>
  </si>
  <si>
    <t>NOMBRE RETIRA: CAROLINA GALLEGOA . RUT RETIRA: 15773225-0</t>
  </si>
  <si>
    <t>Selika Torres</t>
  </si>
  <si>
    <t>5 oriente 1492, Edificio España</t>
  </si>
  <si>
    <t>DOR55015313</t>
  </si>
  <si>
    <t>259981231</t>
  </si>
  <si>
    <t>NOMBRE RETIRA: BARBARA SIMAN . . RUT RETIRA: 19603814-0</t>
  </si>
  <si>
    <t>SORAYA LANDEROS MIRANDA</t>
  </si>
  <si>
    <t>Avda Gabriel Gonzalez Videla 1771, Depto 301</t>
  </si>
  <si>
    <t>DOR55015305</t>
  </si>
  <si>
    <t>259981323</t>
  </si>
  <si>
    <t>Sofia Contreras</t>
  </si>
  <si>
    <t>Volcán Carrán 1941, Casa con reja blanca</t>
  </si>
  <si>
    <t>DOR55015307</t>
  </si>
  <si>
    <t>259981287</t>
  </si>
  <si>
    <t>NOMBRE RETIRA: MARIA MONTOYA . RUT RETIRA: 53321155-0</t>
  </si>
  <si>
    <t>Carolina Pincheira</t>
  </si>
  <si>
    <t>Maipú Poniente 44, Dpto 505 Torre A</t>
  </si>
  <si>
    <t>DOR55015325</t>
  </si>
  <si>
    <t>259981185</t>
  </si>
  <si>
    <t>Felipe Sáez Vergara</t>
  </si>
  <si>
    <t>Francisco Bilbao # 992, Depto. 1009</t>
  </si>
  <si>
    <t>DOR55015337</t>
  </si>
  <si>
    <t>259981116</t>
  </si>
  <si>
    <t>NOMBRE RETIRA: SIEGO SOBARZO K RUT RETIRA: 18886739-1</t>
  </si>
  <si>
    <t>Volcan apagado 4771, villa entre rios, casa</t>
  </si>
  <si>
    <t>DOR55015300</t>
  </si>
  <si>
    <t>259981423</t>
  </si>
  <si>
    <t>NOMBRE RETIRA: STEFANY MONSUMAN . RUT RETIRA: 26076095-5</t>
  </si>
  <si>
    <t>Stefanie Mosumann Ramos</t>
  </si>
  <si>
    <t>Avenida Los Pescadores 5281, Depto 211</t>
  </si>
  <si>
    <t>DOR55015321</t>
  </si>
  <si>
    <t>259981267</t>
  </si>
  <si>
    <t>NOMBRE RETIRA: ALVARO TORRES . RUT RETIRA: 17749866-1</t>
  </si>
  <si>
    <t>Rossana Sandoval</t>
  </si>
  <si>
    <t>Gacitua 317, Condominio Gacitúa 1, TD Dp 102</t>
  </si>
  <si>
    <t>DOR55015328</t>
  </si>
  <si>
    <t>259981145</t>
  </si>
  <si>
    <t>NOMBRE RETIRA: MARIA GAGUILLOS . RUT RETIRA: 17971129-K</t>
  </si>
  <si>
    <t>Maria Galleguillos</t>
  </si>
  <si>
    <t>Graciela Espinoza Pte. 1321 Villa El Señorial, Casa 1321</t>
  </si>
  <si>
    <t>DOR55015348</t>
  </si>
  <si>
    <t>259981000</t>
  </si>
  <si>
    <t>NOMBRE RETIRA: RICARDO MATURANA .... RUT RETIRA: 14348287-1</t>
  </si>
  <si>
    <t>Alejandra Opazo Bravo</t>
  </si>
  <si>
    <t>Pablo Neruda 209,  Villa Futuro</t>
  </si>
  <si>
    <t>DOR55015245</t>
  </si>
  <si>
    <t>259584398</t>
  </si>
  <si>
    <t>NOMBRE RETIRA: DIEGO RIFO CABRERA RUT RETIRA: 18745023-3</t>
  </si>
  <si>
    <t>CLAUDIA PORTIÑO</t>
  </si>
  <si>
    <t>COSTANERA NORTE, 287</t>
  </si>
  <si>
    <t>DOR55015158</t>
  </si>
  <si>
    <t>259348567</t>
  </si>
  <si>
    <t>NOMBRE RETIRA: NATALY CAMPILLAY . RUT RETIRA: 17556990-1</t>
  </si>
  <si>
    <t>Juan Cornejo</t>
  </si>
  <si>
    <t>Burdeos 3694, Villa John Wall</t>
  </si>
  <si>
    <t>DOR55014830</t>
  </si>
  <si>
    <t>258606121</t>
  </si>
  <si>
    <t>NOMBRE RETIRA: MARIA GARRIDO . RUT RETIRA: 18642909-5</t>
  </si>
  <si>
    <t>María Garrido Garrido Bauerle</t>
  </si>
  <si>
    <t>Ladrilleros 546</t>
  </si>
  <si>
    <t>DOR55015199</t>
  </si>
  <si>
    <t>259584588</t>
  </si>
  <si>
    <t>NOMBRE RETIRA: ANGEL GONZALES GONZALES RUT RETIRA: 14400995-9</t>
  </si>
  <si>
    <t>Angel Gonzalez</t>
  </si>
  <si>
    <t>Av. Circunvalación Bernardo O'Higgins 506, Casa</t>
  </si>
  <si>
    <t>DOR55015204</t>
  </si>
  <si>
    <t>259584555</t>
  </si>
  <si>
    <t>NOMBRE RETIRA: PAMELA FLORES . RUT RETIRA: 13021194-1</t>
  </si>
  <si>
    <t>Cristian Alfaro</t>
  </si>
  <si>
    <t>Pasaje Tres Sur 2589, Condominio Doña Olga</t>
  </si>
  <si>
    <t>DOR55015266</t>
  </si>
  <si>
    <t>259584266</t>
  </si>
  <si>
    <t>NOMBRE RETIRA: LINO RIVAS . RUT RETIRA: 7657135-K</t>
  </si>
  <si>
    <t>Carolina Rivas Astorga</t>
  </si>
  <si>
    <t>Atacama 411, Casa</t>
  </si>
  <si>
    <t>DOR55015277</t>
  </si>
  <si>
    <t>259679936</t>
  </si>
  <si>
    <t>NOMBRE RETIRA: MIGUEL LOPES . RUT RETIRA: 8578148-0</t>
  </si>
  <si>
    <t>Yasna Bustamante</t>
  </si>
  <si>
    <t>Bellavista 4630</t>
  </si>
  <si>
    <t>DOR55015235</t>
  </si>
  <si>
    <t>259584505</t>
  </si>
  <si>
    <t>NOMBRE RETIRA: NARIA BARRAZA X RUT RETIRA: 15003567-8</t>
  </si>
  <si>
    <t>Maria jose Barraza</t>
  </si>
  <si>
    <t>Carriel Sur 302</t>
  </si>
  <si>
    <t>DOR55015216</t>
  </si>
  <si>
    <t>259584545</t>
  </si>
  <si>
    <t>NOMBRE RETIRA: CINTIA CARO . RUT RETIRA: 11819186-2</t>
  </si>
  <si>
    <t>Avenida Cari 3576, Casa</t>
  </si>
  <si>
    <t>DOR55015287</t>
  </si>
  <si>
    <t>259679910</t>
  </si>
  <si>
    <t>NOMBRE RETIRA: MIGUEL BAEZA . RUT RETIRA: 18595839-6</t>
  </si>
  <si>
    <t>Kevin Llanten</t>
  </si>
  <si>
    <t>Central norte 1965</t>
  </si>
  <si>
    <t>2025-12-12 11:11</t>
  </si>
  <si>
    <t>DOR55015188</t>
  </si>
  <si>
    <t>259348333</t>
  </si>
  <si>
    <t>NOMBRE RETIRA: JOANNA VITHINI X RUT RETIRA: 11111111-1</t>
  </si>
  <si>
    <t>Joanna Vittini</t>
  </si>
  <si>
    <t>Km 4,3 villarrica pucon, 7</t>
  </si>
  <si>
    <t>DOR55015131</t>
  </si>
  <si>
    <t>259112065</t>
  </si>
  <si>
    <t>NOMBRE RETIRA: JECHU CARRACEDO CARRACEDO RUT RETIRA: 18395369-9</t>
  </si>
  <si>
    <t>Jechu Carracedo</t>
  </si>
  <si>
    <t>Aguas calientes 207, ayllu de solor</t>
  </si>
  <si>
    <t>DOR55015256</t>
  </si>
  <si>
    <t>259584345</t>
  </si>
  <si>
    <t>NOMBRE RETIRA: ANDREA FONTECILLA . RUT RETIRA: 15244577-6</t>
  </si>
  <si>
    <t>Jorge Verdugo</t>
  </si>
  <si>
    <t>Simon Bolivar 01925</t>
  </si>
  <si>
    <t>2025-12-10 19:14</t>
  </si>
  <si>
    <t>DOR55015201</t>
  </si>
  <si>
    <t>259584579</t>
  </si>
  <si>
    <t>NOMBRE RETIRA: MARIA MORALES X RUT RETIRA: 65202184-0</t>
  </si>
  <si>
    <t>Marcela Martini Tiznado</t>
  </si>
  <si>
    <t>Arturo Prat 690, Departamento 416</t>
  </si>
  <si>
    <t>DOR55015236</t>
  </si>
  <si>
    <t>259584501</t>
  </si>
  <si>
    <t>NOMBRE RETIRA: KEVIN CARMONA . RUT RETIRA: 19432966-0</t>
  </si>
  <si>
    <t>Kevin Carmona lemus</t>
  </si>
  <si>
    <t>Los Algarrobos 4033, Casa rejas negras</t>
  </si>
  <si>
    <t>DOR55015254</t>
  </si>
  <si>
    <t>259584358</t>
  </si>
  <si>
    <t>Ignacio Taborga Ahumada</t>
  </si>
  <si>
    <t>Av los sauces 2750</t>
  </si>
  <si>
    <t>DOR55015272</t>
  </si>
  <si>
    <t>259679968</t>
  </si>
  <si>
    <t>NOMBRE RETIRA: REINALDO ASTUDILLO GALLARDO RUT RETIRA: 6183267-K</t>
  </si>
  <si>
    <t>Juan Vivanco</t>
  </si>
  <si>
    <t>Infante 1020, 407a</t>
  </si>
  <si>
    <t>DOR55015284</t>
  </si>
  <si>
    <t>259679890</t>
  </si>
  <si>
    <t>NOMBRE RETIRA: MARCOS OSORIO .. RUT RETIRA: 53330439-7</t>
  </si>
  <si>
    <t>Natali Morales Trujillo</t>
  </si>
  <si>
    <t>Ocoa 65, 704</t>
  </si>
  <si>
    <t>DOR55015251</t>
  </si>
  <si>
    <t>259584319</t>
  </si>
  <si>
    <t>NOMBRE RETIRA: PAMELA MUNOZ . RUT RETIRA: 16727061-1</t>
  </si>
  <si>
    <t>Pamela Muñoz castro</t>
  </si>
  <si>
    <t>7 sur 944, R y m garage</t>
  </si>
  <si>
    <t>DOR55014880</t>
  </si>
  <si>
    <t>258605818</t>
  </si>
  <si>
    <t>NOMBRE RETIRA: JOVTA MUNSMAYER K RUT RETIRA: 7397325-2</t>
  </si>
  <si>
    <t>Oscar Carcamo Negrier</t>
  </si>
  <si>
    <t>Arturo Prat 2050, Casa Interior amarilla de dos pisos</t>
  </si>
  <si>
    <t>2025-11-30 15:16</t>
  </si>
  <si>
    <t>DOR55015244</t>
  </si>
  <si>
    <t>259584403</t>
  </si>
  <si>
    <t>NOMBRE RETIRA: MARIO BORQIEZ ALVAREZ RUT RETIRA: 18969775-9</t>
  </si>
  <si>
    <t>Carolina Peña Alfaro</t>
  </si>
  <si>
    <t>Los Carrera 6268, 208 A</t>
  </si>
  <si>
    <t>DOR55015211</t>
  </si>
  <si>
    <t>259584536</t>
  </si>
  <si>
    <t>NOMBRE RETIRA: JEAN SEGOVIA SEGOVIA RUT RETIRA: 16832878-8</t>
  </si>
  <si>
    <t>Jean Segovia</t>
  </si>
  <si>
    <t>Padre caciano 5877</t>
  </si>
  <si>
    <t>DOR55014941</t>
  </si>
  <si>
    <t>258880106</t>
  </si>
  <si>
    <t>NOMBRE RETIRA: PABLO ROMERO . RUT RETIRA: 18578038-4</t>
  </si>
  <si>
    <t>Pablo Romero</t>
  </si>
  <si>
    <t>Freire 1383</t>
  </si>
  <si>
    <t>2025-11-30 21:17</t>
  </si>
  <si>
    <t>DOR55015282</t>
  </si>
  <si>
    <t>259679960</t>
  </si>
  <si>
    <t>NOMBRE RETIRA: NATALIA SAN MARTIN RUT RETIRA: 17061240-K</t>
  </si>
  <si>
    <t>Natalia San Martín Espinoza</t>
  </si>
  <si>
    <t>Los Barriales sin número</t>
  </si>
  <si>
    <t>DOR55015262</t>
  </si>
  <si>
    <t>259584305</t>
  </si>
  <si>
    <t>NOMBRE RETIRA: VICENTE BAVARTO H RUT RETIRA: 12369770-7</t>
  </si>
  <si>
    <t>Vicente Navarro</t>
  </si>
  <si>
    <t>Las riendas 1676, Villa El Romero, Compañia Alta</t>
  </si>
  <si>
    <t>DOR55015259</t>
  </si>
  <si>
    <t>259584293</t>
  </si>
  <si>
    <t>NOMBRE RETIRA: MARLY CARRASCO . RUT RETIRA: 19798746-4</t>
  </si>
  <si>
    <t>Marly Carrasco</t>
  </si>
  <si>
    <t>Pasaje La Quinta casa 1 Las Mariposas</t>
  </si>
  <si>
    <t>DOR55015243</t>
  </si>
  <si>
    <t>259584409</t>
  </si>
  <si>
    <t>NOMBRE RETIRA: MIRIAM QUILAMAN . RUT RETIRA: 18686873-0</t>
  </si>
  <si>
    <t>MIRIAM QUILAMAN</t>
  </si>
  <si>
    <t>PAICAVI, 282</t>
  </si>
  <si>
    <t>DOR55015174</t>
  </si>
  <si>
    <t>259348432</t>
  </si>
  <si>
    <t>NOMBRE RETIRA: LUIS REJAS X RUT RETIRA: 56075680-1</t>
  </si>
  <si>
    <t>Luis Rejas</t>
  </si>
  <si>
    <t>Las Palmeras 45 , Casa jardines del norte 3</t>
  </si>
  <si>
    <t>DOR55015173</t>
  </si>
  <si>
    <t>259348425</t>
  </si>
  <si>
    <t>NOMBRE RETIRA: MAURICIO ROA .. RUT RETIRA: 7055030-K</t>
  </si>
  <si>
    <t>Gladys Arriagada</t>
  </si>
  <si>
    <t>Av.Los Fundadores 0155, Casa 18</t>
  </si>
  <si>
    <t>DOR55015162</t>
  </si>
  <si>
    <t>259348467</t>
  </si>
  <si>
    <t>NOMBRE RETIRA: RAUL VERA .. RUT RETIRA: 15768591-0</t>
  </si>
  <si>
    <t>Nicolás Vera</t>
  </si>
  <si>
    <t>Socavones de Pica 948</t>
  </si>
  <si>
    <t>DOR55015240</t>
  </si>
  <si>
    <t>259584458</t>
  </si>
  <si>
    <t>NOMBRE RETIRA: MAXI REBOLLEDO REBOLLEDO RUT RETIRA: 18044517-K</t>
  </si>
  <si>
    <t>Maximiliano Rebolledo</t>
  </si>
  <si>
    <t>Flor de Azahar 0534, 0534</t>
  </si>
  <si>
    <t>DOR55015227</t>
  </si>
  <si>
    <t>259584512</t>
  </si>
  <si>
    <t>NOMBRE RETIRA: JOSE VERGARA . . RUT RETIRA: 15680804-0</t>
  </si>
  <si>
    <t>José Vergara</t>
  </si>
  <si>
    <t>Av. Juan Cisternas 2025</t>
  </si>
  <si>
    <t>DOR55015238</t>
  </si>
  <si>
    <t>259584444</t>
  </si>
  <si>
    <t>NOMBRE RETIRA: FRANCISCO RETAMAL RETAMAL RUT RETIRA: 17110111-5</t>
  </si>
  <si>
    <t>Francisco Retamal</t>
  </si>
  <si>
    <t>Av. Río Loco 2198, Galilea F</t>
  </si>
  <si>
    <t>DOR55015239</t>
  </si>
  <si>
    <t>259584451</t>
  </si>
  <si>
    <t>Rosa Fuentes</t>
  </si>
  <si>
    <t>Pje. Benjamín Subercaseaux 1517, Villa Almonacid</t>
  </si>
  <si>
    <t>DOR55015248</t>
  </si>
  <si>
    <t>259584380</t>
  </si>
  <si>
    <t>NOMBRE RETIRA: IGNACIO RODRIGUEZ . RUT RETIRA: 19676443-7</t>
  </si>
  <si>
    <t>Ignacio Rodriguez</t>
  </si>
  <si>
    <t>Curepto 1514</t>
  </si>
  <si>
    <t>DOR55015252</t>
  </si>
  <si>
    <t>259584335</t>
  </si>
  <si>
    <t>NOMBRE RETIRA: PIA AVILA . RUT RETIRA: 17351055-1</t>
  </si>
  <si>
    <t>Pia Avila</t>
  </si>
  <si>
    <t>Calle parque cordillera 940</t>
  </si>
  <si>
    <t>DOR55015281</t>
  </si>
  <si>
    <t>259679940</t>
  </si>
  <si>
    <t>NOMBRE RETIRA: CELIA SILVA . RUT RETIRA: 8214319-K</t>
  </si>
  <si>
    <t>Celia Vega</t>
  </si>
  <si>
    <t>Calle Victoria, 651</t>
  </si>
  <si>
    <t>DOR55014846</t>
  </si>
  <si>
    <t>258606052</t>
  </si>
  <si>
    <t>NOMBRE RETIRA: GABRIELA SIERPE . RUT RETIRA: 11111111-1</t>
  </si>
  <si>
    <t>Gabriela Sierpe</t>
  </si>
  <si>
    <t>Mauricio Levet 0210</t>
  </si>
  <si>
    <t>DOR55015271</t>
  </si>
  <si>
    <t>259584216</t>
  </si>
  <si>
    <t>NOMBRE RETIRA: LUIS ALTAMIRANO . RUT RETIRA: 56052750-0</t>
  </si>
  <si>
    <t>Luis Alvarez cárcamo</t>
  </si>
  <si>
    <t>Isla picton 280, Depto 535 Edificio 9 colinas del mar 1</t>
  </si>
  <si>
    <t>DOR55015246</t>
  </si>
  <si>
    <t>259584374</t>
  </si>
  <si>
    <t>NOMBRE RETIRA: CRISTIAN MORENO BARRERA RUT RETIRA: 12691804-6</t>
  </si>
  <si>
    <t>Cristian Moreno</t>
  </si>
  <si>
    <t>Luces del Alba 232, Loteo Sanchina</t>
  </si>
  <si>
    <t>DOR55014744</t>
  </si>
  <si>
    <t>258606504</t>
  </si>
  <si>
    <t>NOMBRE RETIRA: DARWIN CASTRO .. RUT RETIRA: 11111111-1</t>
  </si>
  <si>
    <t>Bahia catalina s/n, Guardia bahia catalina</t>
  </si>
  <si>
    <t>DOR55015192</t>
  </si>
  <si>
    <t>259348214</t>
  </si>
  <si>
    <t>NOMBRE RETIRA: KSREN SEPULVERA . RUT RETIRA: 15134669-3</t>
  </si>
  <si>
    <t>Karen Sepulveda</t>
  </si>
  <si>
    <t>Av. Cinco 4300,  CALLE B CASA 313</t>
  </si>
  <si>
    <t>DOR55014852</t>
  </si>
  <si>
    <t>258605998</t>
  </si>
  <si>
    <t>NOMBRE RETIRA: ROBERTO MARTINEZ . RUT RETIRA: 21793010-3</t>
  </si>
  <si>
    <t>Roberto Martínez</t>
  </si>
  <si>
    <t>Camino a Bulnes Km 16 Sector Agua de la Gloria Concepción</t>
  </si>
  <si>
    <t>DOR55014768</t>
  </si>
  <si>
    <t>258606367</t>
  </si>
  <si>
    <t>NOMBRE RETIRA: VIVIANA ROMERO L RUT RETIRA: 10905914-5</t>
  </si>
  <si>
    <t>Viviana Romero</t>
  </si>
  <si>
    <t>Manuel de salas 0420, Casa</t>
  </si>
  <si>
    <t>DOR55015123</t>
  </si>
  <si>
    <t>259112124</t>
  </si>
  <si>
    <t>NOMBRE RETIRA: JUAN MALLA . RUT RETIRA: 11377395-2</t>
  </si>
  <si>
    <t>Daniela Véliz</t>
  </si>
  <si>
    <t>Antofagasta 1251, Casa 709</t>
  </si>
  <si>
    <t>DOR55015184</t>
  </si>
  <si>
    <t>259348343</t>
  </si>
  <si>
    <t>NOMBRE RETIRA: JENNIFER RAMIREZ . RUT RETIRA: 17745024-3</t>
  </si>
  <si>
    <t>Jennifer Ramirez</t>
  </si>
  <si>
    <t>Las Amapolas 1238</t>
  </si>
  <si>
    <t>DOR55015189</t>
  </si>
  <si>
    <t>259348298</t>
  </si>
  <si>
    <t>NOMBRE RETIRA: RODOLFO GALVEZ . RUT RETIRA: 17572118-5</t>
  </si>
  <si>
    <t>rodolfo galvez</t>
  </si>
  <si>
    <t>Esfuerzo 27, casa</t>
  </si>
  <si>
    <t>DOR55015091</t>
  </si>
  <si>
    <t>259112348</t>
  </si>
  <si>
    <t>NOMBRE RETIRA: SUANI VARAS .. RUT RETIRA: 10305176-2</t>
  </si>
  <si>
    <t>Valentina Herrera varas</t>
  </si>
  <si>
    <t>Pto williams 3698, Casa Esquina</t>
  </si>
  <si>
    <t>DOR55015033</t>
  </si>
  <si>
    <t>259112619</t>
  </si>
  <si>
    <t>NOMBRE RETIRA: LUCIA ROJAS F RUT RETIRA: 12345678-5</t>
  </si>
  <si>
    <t>Alejandra Páez</t>
  </si>
  <si>
    <t>Amancay 655, Depto 103 B</t>
  </si>
  <si>
    <t>DOR55015146</t>
  </si>
  <si>
    <t>259348634</t>
  </si>
  <si>
    <t>NOMBRE RETIRA: DANIEL HERNANDEZ . RUT RETIRA: 9727403-7</t>
  </si>
  <si>
    <t>Daniel Hernández</t>
  </si>
  <si>
    <t>Luis Abalos Lavanderos 1778, Barrio Universitario</t>
  </si>
  <si>
    <t>2025-12-05 19:15</t>
  </si>
  <si>
    <t>DOR55015161</t>
  </si>
  <si>
    <t>259348558</t>
  </si>
  <si>
    <t>NOMBRE RETIRA: PAULA GARCIA . RUT RETIRA: 15101837-8</t>
  </si>
  <si>
    <t>Paula García</t>
  </si>
  <si>
    <t>Gabriel Dazarola 1064, Casa</t>
  </si>
  <si>
    <t>DOR55015191</t>
  </si>
  <si>
    <t>259348275</t>
  </si>
  <si>
    <t>NOMBRE RETIRA: GABRIEL VALENZUELA A RUT RETIRA: 53312109-8</t>
  </si>
  <si>
    <t>Esteban Dib</t>
  </si>
  <si>
    <t>Reñaca norte 145, 174</t>
  </si>
  <si>
    <t>DOR55015118</t>
  </si>
  <si>
    <t>259112170</t>
  </si>
  <si>
    <t>NOMBRE RETIRA: LIDIA QUIROZ . RUT RETIRA: 5094001-2</t>
  </si>
  <si>
    <t>Jose Miguel Carrera 1116-A, Casa Esquina</t>
  </si>
  <si>
    <t>DOR55015190</t>
  </si>
  <si>
    <t>259348263</t>
  </si>
  <si>
    <t>NOMBRE RETIRA: CRISTIAN FUENTES X RUT RETIRA: 56017290-7</t>
  </si>
  <si>
    <t>6 Norte 289, Depto 12F</t>
  </si>
  <si>
    <t>DOR55015177</t>
  </si>
  <si>
    <t>259348402</t>
  </si>
  <si>
    <t>NOMBRE RETIRA: FRANCO DIAZ .. RUT RETIRA: 18868550-1</t>
  </si>
  <si>
    <t>Franco Diaz</t>
  </si>
  <si>
    <t>Av. Arauco 5328 , Casa 28. Altos de la Florida 2</t>
  </si>
  <si>
    <t>DOR55015169</t>
  </si>
  <si>
    <t>259348451</t>
  </si>
  <si>
    <t>NOMBRE RETIRA: VAURE TIRREZ Y RUT RETIRA: 9554850-4</t>
  </si>
  <si>
    <t>Vaihere Torres</t>
  </si>
  <si>
    <t>Orella 25, Casa</t>
  </si>
  <si>
    <t>DOR55015124</t>
  </si>
  <si>
    <t>259349275</t>
  </si>
  <si>
    <t>NOMBRE RETIRA: ERIC VIVAR . RUT RETIRA: 15268381-2</t>
  </si>
  <si>
    <t>Eric Vivar</t>
  </si>
  <si>
    <t>Volcán Puntiagudo 2590</t>
  </si>
  <si>
    <t>DOR55015132</t>
  </si>
  <si>
    <t>259112052</t>
  </si>
  <si>
    <t>NOMBRE RETIRA: CLARA RIASCOS P RUT RETIRA: 28517062-1</t>
  </si>
  <si>
    <t>Juan Pablo Ordenes Morales</t>
  </si>
  <si>
    <t>Mirasol 741, 741</t>
  </si>
  <si>
    <t>DOR55015187</t>
  </si>
  <si>
    <t>259348307</t>
  </si>
  <si>
    <t>NOMBRE RETIRA: PAULINA GALLEGUILOS . RUT RETIRA: 26076095-5</t>
  </si>
  <si>
    <t>Paulina Galleguillos</t>
  </si>
  <si>
    <t>Av. Pacífico 3160, Depto 415 A. Condominio Marina la serena</t>
  </si>
  <si>
    <t>DOR55015092</t>
  </si>
  <si>
    <t>259112342</t>
  </si>
  <si>
    <t>NOMBRE RETIRA: SEBASTIAN OVALLE X RUT RETIRA: 22813924-6</t>
  </si>
  <si>
    <t>Alex Vergara</t>
  </si>
  <si>
    <t>Consejal eladio acevedo vera 316</t>
  </si>
  <si>
    <t>DOR55015122</t>
  </si>
  <si>
    <t>259112159</t>
  </si>
  <si>
    <t>NOMBRE RETIRA: SINTIA VALENCIA . RUT RETIRA: 9280845-9</t>
  </si>
  <si>
    <t>Diego Esparza</t>
  </si>
  <si>
    <t>Sergio Ortega 0380, Depto 905</t>
  </si>
  <si>
    <t>DOR55015150</t>
  </si>
  <si>
    <t>259348616</t>
  </si>
  <si>
    <t>NOMBRE RETIRA: LAURA GONZALEZ . RUT RETIRA: 14398357-9</t>
  </si>
  <si>
    <t>Francisca Valdés Mella</t>
  </si>
  <si>
    <t>Calle 4 Oriente 2154, Entre 10 y 11 Norte, Clínica Veterinaria CSF</t>
  </si>
  <si>
    <t>DOR55015193</t>
  </si>
  <si>
    <t>259348239</t>
  </si>
  <si>
    <t>NOMBRE RETIRA: JAVIERA ZAPATA . RUT RETIRA: 18805117-0</t>
  </si>
  <si>
    <t>Javiera Zapata</t>
  </si>
  <si>
    <t>Costanera Quilque Norte 780, Condominio Santa Ana Edificio El Roble Depto 603</t>
  </si>
  <si>
    <t>DOR55015163</t>
  </si>
  <si>
    <t>259348523</t>
  </si>
  <si>
    <t>NOMBRE RETIRA: MANUELCANALES CANALES . RUT RETIRA: 53322543-8</t>
  </si>
  <si>
    <t>Av. San Andrés 246</t>
  </si>
  <si>
    <t>DOR55015164</t>
  </si>
  <si>
    <t>259348515</t>
  </si>
  <si>
    <t>NOMBRE RETIRA: JUAN CARDENAS . RUT RETIRA: 11709229-1</t>
  </si>
  <si>
    <t>Carolina Torres Riobó</t>
  </si>
  <si>
    <t>Avenida Francia 1760, Casa 38</t>
  </si>
  <si>
    <t>DOR55015101</t>
  </si>
  <si>
    <t>259112336</t>
  </si>
  <si>
    <t>NOMBRE RETIRA: JEREMIAS URIBE L RUT RETIRA: 15986486-3</t>
  </si>
  <si>
    <t>DOR55015176</t>
  </si>
  <si>
    <t>259348376</t>
  </si>
  <si>
    <t>NOMBRE RETIRA: SANDRA SILVA . RUT RETIRA: 11924332-7</t>
  </si>
  <si>
    <t>Katiuska López</t>
  </si>
  <si>
    <t>Zenteno 2795, Casa 22</t>
  </si>
  <si>
    <t>DOR55014776</t>
  </si>
  <si>
    <t>258606330</t>
  </si>
  <si>
    <t>NOMBRE RETIRA: FABIOLA HERNANDEZ . RUT RETIRA: 14415717-6</t>
  </si>
  <si>
    <t>Fabiola Hernández</t>
  </si>
  <si>
    <t>Monseñor Jose Fagnano 565, Oficina Zurich</t>
  </si>
  <si>
    <t>2025-11-29 10:29</t>
  </si>
  <si>
    <t>DOR55015080</t>
  </si>
  <si>
    <t>259112387</t>
  </si>
  <si>
    <t>NOMBRE RETIRA: REINALDO PILGRIN U RUT RETIRA: 18349113-K</t>
  </si>
  <si>
    <t>Reinaldo Pilgrin</t>
  </si>
  <si>
    <t>Palena 1055, Depto.209</t>
  </si>
  <si>
    <t>DOR55015166</t>
  </si>
  <si>
    <t>259348502</t>
  </si>
  <si>
    <t>NOMBRE RETIRA: MARIA BUSTAMANTE .. RUT RETIRA: 9999459-2</t>
  </si>
  <si>
    <t>Alan Ramírez</t>
  </si>
  <si>
    <t>16 de Julio 574, casa</t>
  </si>
  <si>
    <t>DOR55015179</t>
  </si>
  <si>
    <t>259348367</t>
  </si>
  <si>
    <t>NOMBRE RETIRA: FELIPE ESTAY ... RUT RETIRA: 11254165-9</t>
  </si>
  <si>
    <t>Felipe Estay Moraga</t>
  </si>
  <si>
    <t>Sta Rosa, El roble Lote 4 A3, Lote 4, A3</t>
  </si>
  <si>
    <t>DOR55015151</t>
  </si>
  <si>
    <t>259348592</t>
  </si>
  <si>
    <t>NOMBRE RETIRA: BRYAN JELDES VALENCIA RUT RETIRA: 18567018-K</t>
  </si>
  <si>
    <t>Bryan Jeldes</t>
  </si>
  <si>
    <t>Pasaje San Marcelino 238</t>
  </si>
  <si>
    <t>DOR55015136</t>
  </si>
  <si>
    <t>259112028</t>
  </si>
  <si>
    <t>NOMBRE RETIRA: MARCELA MUNOZ X RUT RETIRA: 6752249-4</t>
  </si>
  <si>
    <t>G. Marcela Muñoz Briones</t>
  </si>
  <si>
    <t>Rafael Mera 545 en Licanray, Casa</t>
  </si>
  <si>
    <t>DOR55015140</t>
  </si>
  <si>
    <t>259348656</t>
  </si>
  <si>
    <t>NOMBRE RETIRA: GLORIA AEDO . RUT RETIRA: 6544247-7</t>
  </si>
  <si>
    <t>Pamela Aedo Venegas</t>
  </si>
  <si>
    <t>Las Heras 520 B</t>
  </si>
  <si>
    <t>DOR55015105</t>
  </si>
  <si>
    <t>259112295</t>
  </si>
  <si>
    <t>NOMBRE RETIRA: ERWIN SAEZ . RUT RETIRA: 10897130-4</t>
  </si>
  <si>
    <t>Cintya Canales</t>
  </si>
  <si>
    <t>Avenida Ignacio Carrera Pinto 50</t>
  </si>
  <si>
    <t>DOR55015017</t>
  </si>
  <si>
    <t>259112712</t>
  </si>
  <si>
    <t>NOMBRE RETIRA: PEDRO HENAO . RUT RETIRA: 8727709-7</t>
  </si>
  <si>
    <t>Sabrina Valdivia Salvo</t>
  </si>
  <si>
    <t>Avenida Cerro Paranal 515 depto 63 GEA, Depto 63 Gea</t>
  </si>
  <si>
    <t>DOR55015111</t>
  </si>
  <si>
    <t>259112238</t>
  </si>
  <si>
    <t>NOMBRE RETIRA: ELENA SALAZAR .M RUT RETIRA: 28699794-5</t>
  </si>
  <si>
    <t>JUAN GALLARDO</t>
  </si>
  <si>
    <t>ESMERALDA 2658</t>
  </si>
  <si>
    <t>DOR55015125</t>
  </si>
  <si>
    <t>259112122</t>
  </si>
  <si>
    <t>NOMBRE RETIRA: ANDRES DE LARRAECHEA RUT RETIRA: 16672089-3</t>
  </si>
  <si>
    <t>andres de larraechea</t>
  </si>
  <si>
    <t>villarrica 1081</t>
  </si>
  <si>
    <t>2025-12-04 19:19</t>
  </si>
  <si>
    <t>DOR55015058</t>
  </si>
  <si>
    <t>259112470</t>
  </si>
  <si>
    <t>Carla Chavez</t>
  </si>
  <si>
    <t>San fernando 46, Depto 1102</t>
  </si>
  <si>
    <t>DOR55015060</t>
  </si>
  <si>
    <t>259112461</t>
  </si>
  <si>
    <t>NOMBRE RETIRA: ARIEL CORONADO . RUT RETIRA: 13115187-K</t>
  </si>
  <si>
    <t>Barbara Rojel Rivera</t>
  </si>
  <si>
    <t>Pedro Lagos 865, 1506</t>
  </si>
  <si>
    <t>DOR55014658</t>
  </si>
  <si>
    <t>258181286</t>
  </si>
  <si>
    <t>NOMBRE RETIRA: EDUARDO PRADO . RUT RETIRA: 18218084-K</t>
  </si>
  <si>
    <t>Eduardo Prado</t>
  </si>
  <si>
    <t>Circunvalación Oriente Poniente 1405, Chacra 39 o Aserradero Santa Margarita</t>
  </si>
  <si>
    <t>2025-11-26 21:08</t>
  </si>
  <si>
    <t>DOR55015085</t>
  </si>
  <si>
    <t>259112376</t>
  </si>
  <si>
    <t>NOMBRE RETIRA: CAROLINA RIVERA P RUT RETIRA: 13251609-K</t>
  </si>
  <si>
    <t>General Alzerreca #65, 65</t>
  </si>
  <si>
    <t>DOR55015106</t>
  </si>
  <si>
    <t>259112226</t>
  </si>
  <si>
    <t>Avenida El Milagro 5200, C-204</t>
  </si>
  <si>
    <t>DOR55015052</t>
  </si>
  <si>
    <t>259112562</t>
  </si>
  <si>
    <t>NOMBRE RETIRA: PABLO CARVALLO . RUT RETIRA: 19030648-8</t>
  </si>
  <si>
    <t>Viviana Sánchez Barría</t>
  </si>
  <si>
    <t>Av. Cardonal 31, A</t>
  </si>
  <si>
    <t>DOR55015120</t>
  </si>
  <si>
    <t>259112165</t>
  </si>
  <si>
    <t>NOMBRE RETIRA: IRIS CUNIO . RUT RETIRA: 9180882-K</t>
  </si>
  <si>
    <t>Carlos Jeldres</t>
  </si>
  <si>
    <t>San Bernardo 640</t>
  </si>
  <si>
    <t>DOR55015030</t>
  </si>
  <si>
    <t>259112633</t>
  </si>
  <si>
    <t>NOMBRE RETIRA: LOMAS LOS PINOS 2 CONSERJE LADISLAV RUT RETIRA: 53330480-K</t>
  </si>
  <si>
    <t>paola Paez</t>
  </si>
  <si>
    <t>PIEDRA LANCETA 2518 DEPTO 202E, E 202</t>
  </si>
  <si>
    <t>DOR55015069</t>
  </si>
  <si>
    <t>259112431</t>
  </si>
  <si>
    <t>NOMBRE RETIRA: GUILLERMO ROMERO . RUT RETIRA: 4823844-0</t>
  </si>
  <si>
    <t>Macarena Romero</t>
  </si>
  <si>
    <t>Calle carlos norero lote 3 paradero 15 olmue, Casa</t>
  </si>
  <si>
    <t>DOR55015070</t>
  </si>
  <si>
    <t>259112425</t>
  </si>
  <si>
    <t>NOMBRE RETIRA: ERICK ULLOA U RUT RETIRA: 16878575-5</t>
  </si>
  <si>
    <t>Erick Ulloa</t>
  </si>
  <si>
    <t>Pasaje Sur Uno 1922, Población Santa Elvira</t>
  </si>
  <si>
    <t>DOR55015043</t>
  </si>
  <si>
    <t>259112555</t>
  </si>
  <si>
    <t>NOMBRE RETIRA: CATALINA GONZALES . RUT RETIRA: 16590882-1</t>
  </si>
  <si>
    <t>Madrid 503, Casa</t>
  </si>
  <si>
    <t>DOR55015129</t>
  </si>
  <si>
    <t>259112022</t>
  </si>
  <si>
    <t>NOMBRE RETIRA: MARITZA TELIER . RUT RETIRA: 13160291-K</t>
  </si>
  <si>
    <t>Maritza Teillier Romero</t>
  </si>
  <si>
    <t>Barros Arana 1535, Casa</t>
  </si>
  <si>
    <t>DOR55015040</t>
  </si>
  <si>
    <t>259112604</t>
  </si>
  <si>
    <t>NOMBRE RETIRA: ANYELA PENA . RUT RETIRA: 5252433-4</t>
  </si>
  <si>
    <t>Los Naranjos 3693, Casa, villa san martin</t>
  </si>
  <si>
    <t>DOR55015115</t>
  </si>
  <si>
    <t>259112202</t>
  </si>
  <si>
    <t>NOMBRE RETIRA: MARIO LAGOS LAGOS RUT RETIRA: 53312767-3</t>
  </si>
  <si>
    <t>MARÍA ELIANA Vega</t>
  </si>
  <si>
    <t>Avenida Alemana 28, Depto 123</t>
  </si>
  <si>
    <t>DOR55015055</t>
  </si>
  <si>
    <t>259112473</t>
  </si>
  <si>
    <t>NOMBRE RETIRA: DAVID ALVAREZ . RUT RETIRA: 12345678-5</t>
  </si>
  <si>
    <t>Felipe Moreno</t>
  </si>
  <si>
    <t>Lautaro 300, Depto 006</t>
  </si>
  <si>
    <t>DOR55015090</t>
  </si>
  <si>
    <t>259112367</t>
  </si>
  <si>
    <t>NOMBRE RETIRA: XIMENA GONZALEZ . RUT RETIRA: 16510588-5</t>
  </si>
  <si>
    <t>ximena Gonzalez</t>
  </si>
  <si>
    <t>Las Águilas 1525 , viuda X, casa roja portón negro</t>
  </si>
  <si>
    <t>DOR55015110</t>
  </si>
  <si>
    <t>259112260</t>
  </si>
  <si>
    <t>Jaime Sepúlveda</t>
  </si>
  <si>
    <t>Virgilio Arias 65 Depto 1209, Cerro Polanco</t>
  </si>
  <si>
    <t>DOR55014898</t>
  </si>
  <si>
    <t>258605726</t>
  </si>
  <si>
    <t>NOMBRE RETIRA: ANIBAL NAVARRETE . RUT RETIRA: 7070469-2</t>
  </si>
  <si>
    <t>Andrea Navarrete correa</t>
  </si>
  <si>
    <t>Los ñires 1096, Casa</t>
  </si>
  <si>
    <t>DOR55015016</t>
  </si>
  <si>
    <t>259112726</t>
  </si>
  <si>
    <t>NOMBRE RETIRA: DIEGO QUEUCUMIL M RUT RETIRA: 53320606-9</t>
  </si>
  <si>
    <t>Maria Amigo</t>
  </si>
  <si>
    <t>Thiers 681, 606</t>
  </si>
  <si>
    <t>DOR55015100</t>
  </si>
  <si>
    <t>259112321</t>
  </si>
  <si>
    <t>NOMBRE RETIRA: FABIAN JARA J RUT RETIRA: 20622393-6</t>
  </si>
  <si>
    <t>FABIAN JARA</t>
  </si>
  <si>
    <t>CALLE SOR MARIA OLIVA, PASAJE UNO #4, CASA AMARILLO MOSTAZA (SIN NUMERO)</t>
  </si>
  <si>
    <t>DOR55015031</t>
  </si>
  <si>
    <t>259112659</t>
  </si>
  <si>
    <t>NOMBRE RETIRA: ROSA BOBADILLA R RUT RETIRA: 11448213-7</t>
  </si>
  <si>
    <t>Ely Díaz</t>
  </si>
  <si>
    <t>Calle Emilio Rojas pasaje 7, Casa 390</t>
  </si>
  <si>
    <t>DOR55015024</t>
  </si>
  <si>
    <t>259112675</t>
  </si>
  <si>
    <t>NOMBRE RETIRA: CAMILA REGIO . RUT RETIRA: 18136986-8</t>
  </si>
  <si>
    <t>Angela Herrera</t>
  </si>
  <si>
    <t>Avda 3 Poniente 235, Casa 39B</t>
  </si>
  <si>
    <t>DOR55015126</t>
  </si>
  <si>
    <t>259112076</t>
  </si>
  <si>
    <t>NOMBRE RETIRA: LUCIA VALDES X RUT RETIRA: 12850413-3</t>
  </si>
  <si>
    <t>Los ginkos 507</t>
  </si>
  <si>
    <t>DOR55015014</t>
  </si>
  <si>
    <t>259112756</t>
  </si>
  <si>
    <t>NOMBRE RETIRA: INGRID ANGULO . RUT RETIRA: 22479898-9</t>
  </si>
  <si>
    <t>Ingrid Angulo</t>
  </si>
  <si>
    <t>Avenida Marcelo Fourcade 4996</t>
  </si>
  <si>
    <t>DOR55015074</t>
  </si>
  <si>
    <t>259112419</t>
  </si>
  <si>
    <t>NOMBRE RETIRA: ALEX CONTRERAS H RUT RETIRA: 16981891-6</t>
  </si>
  <si>
    <t>Barbara González Pedreros</t>
  </si>
  <si>
    <t>Corbeta Chacabuco 54 , Población Young Las Canchas</t>
  </si>
  <si>
    <t>DOR55015015</t>
  </si>
  <si>
    <t>259112748</t>
  </si>
  <si>
    <t>NOMBRE RETIRA: ALEJANDRA TRIVINO . RUT RETIRA: 15268381-2</t>
  </si>
  <si>
    <t>Alejandra Triviño</t>
  </si>
  <si>
    <t>Alfredo Neumann 1453, Casa</t>
  </si>
  <si>
    <t>DOR55015053</t>
  </si>
  <si>
    <t>259112542</t>
  </si>
  <si>
    <t>NOMBRE RETIRA: ANITA GUITE . RUT RETIRA: 13156868-1</t>
  </si>
  <si>
    <t>Anita Fernanda Gutierrez Inostroza</t>
  </si>
  <si>
    <t>Rio Huasco 405</t>
  </si>
  <si>
    <t>DOR55015109</t>
  </si>
  <si>
    <t>259112285</t>
  </si>
  <si>
    <t>NOMBRE RETIRA: JAVIERA POBLETE . RUT RETIRA: 20521937-4</t>
  </si>
  <si>
    <t>Javiera Poblete</t>
  </si>
  <si>
    <t>Quillota 176, 42</t>
  </si>
  <si>
    <t>DOR55015013</t>
  </si>
  <si>
    <t>259112709</t>
  </si>
  <si>
    <t>NOMBRE RETIRA: CAMILA ALFARO . RUT RETIRA: 26076095-5</t>
  </si>
  <si>
    <t>Avenida Los Pescadores 5281, departamento 404</t>
  </si>
  <si>
    <t>DOR55015102</t>
  </si>
  <si>
    <t>259112340</t>
  </si>
  <si>
    <t>NOMBRE RETIRA: GLORIA ACOSTA . . RUT RETIRA: 9682351-7</t>
  </si>
  <si>
    <t>Angela Jaure Sagredo</t>
  </si>
  <si>
    <t>Rafael Ariztia 315</t>
  </si>
  <si>
    <t>DOR55015021</t>
  </si>
  <si>
    <t>259112700</t>
  </si>
  <si>
    <t>NOMBRE RETIRA: ALEJANDRO PROVOSTE N RUT RETIRA: 65118983-7</t>
  </si>
  <si>
    <t>Gesslien Gonzalez Ramos</t>
  </si>
  <si>
    <t>Los Aromos 770, Condominio Jardines De Peñablanca Casa 15</t>
  </si>
  <si>
    <t>DOR55015054</t>
  </si>
  <si>
    <t>259112505</t>
  </si>
  <si>
    <t>Fabian Alvarez</t>
  </si>
  <si>
    <t>Nelson Roumat 748, Depto 723, cumbres de miramar V</t>
  </si>
  <si>
    <t>DOR55014939</t>
  </si>
  <si>
    <t>258880125</t>
  </si>
  <si>
    <t>DOR55014997</t>
  </si>
  <si>
    <t>258880044</t>
  </si>
  <si>
    <t>NOMBRE RETIRA: ALEXANDER ARCE . RUT RETIRA: 23203952-3</t>
  </si>
  <si>
    <t>Bryan Arce</t>
  </si>
  <si>
    <t>Pasaje Guinea 3129</t>
  </si>
  <si>
    <t>DOR55014963</t>
  </si>
  <si>
    <t>258880082</t>
  </si>
  <si>
    <t>NOMBRE RETIRA: NICOL QUIROZ X RUT RETIRA: 21175753-1</t>
  </si>
  <si>
    <t>Santiago Herrera Moratorio</t>
  </si>
  <si>
    <t>Bernardo O'Higgins 01, CAPITANIA DE PUERTO</t>
  </si>
  <si>
    <t>DOR55014793</t>
  </si>
  <si>
    <t>258606252</t>
  </si>
  <si>
    <t>NOMBRE RETIRA: BE JAMIN AGUILAR . . RUT RETIRA: 19618293-4</t>
  </si>
  <si>
    <t>Mane Woszczynin</t>
  </si>
  <si>
    <t>Condominio Alto Colmo. Parcela 3            , Ruta F-190 km.2</t>
  </si>
  <si>
    <t>DOR55014797</t>
  </si>
  <si>
    <t>258606196</t>
  </si>
  <si>
    <t>NOMBRE RETIRA: WILFREDO FLORES . RUT RETIRA: 10963386-0</t>
  </si>
  <si>
    <t>Mackarena Flores Soza</t>
  </si>
  <si>
    <t>Brasil 3464</t>
  </si>
  <si>
    <t>DOR55014656</t>
  </si>
  <si>
    <t>258181308</t>
  </si>
  <si>
    <t>NOMBRE RETIRA: ROSA GAMIN . RUT RETIRA: 11430606-1</t>
  </si>
  <si>
    <t>Elizabeth Cabezas</t>
  </si>
  <si>
    <t>José Manuel Balmaceda 410 (Home Cooking)</t>
  </si>
  <si>
    <t>DOR55014813</t>
  </si>
  <si>
    <t>258879903</t>
  </si>
  <si>
    <t>NOMBRE RETIRA: DANIELA ROMERO . RUT RETIRA: 16869152-1</t>
  </si>
  <si>
    <t>daniela romero</t>
  </si>
  <si>
    <t>San Antonio 3432, Casa</t>
  </si>
  <si>
    <t>DOR55015011</t>
  </si>
  <si>
    <t>258880011</t>
  </si>
  <si>
    <t>NOMBRE RETIRA: OSCAR CARDIO . RUT RETIRA: 9379674-8</t>
  </si>
  <si>
    <t>Andrea Subiabre</t>
  </si>
  <si>
    <t>Av. Arturo Prat Chacón 5469</t>
  </si>
  <si>
    <t>DOR55014944</t>
  </si>
  <si>
    <t>258880122</t>
  </si>
  <si>
    <t>NOMBRE RETIRA: NICOMEDES VALENZUELA . RUT RETIRA: 6495660-4</t>
  </si>
  <si>
    <t>Sofia Riveros</t>
  </si>
  <si>
    <t>Salvador reyes 1230, Depto 203</t>
  </si>
  <si>
    <t>DOR55014604</t>
  </si>
  <si>
    <t>9392719070</t>
  </si>
  <si>
    <t>Yoana Jelvez</t>
  </si>
  <si>
    <t>Alberto Fellenberg 320, BATUCO</t>
  </si>
  <si>
    <t>2025-11-23 21:20</t>
  </si>
  <si>
    <t>DOR55015000</t>
  </si>
  <si>
    <t>258880025</t>
  </si>
  <si>
    <t>NOMBRE RETIRA: LORETO SANCHEZ . RUT RETIRA: 19297435-6</t>
  </si>
  <si>
    <t>Loreto Sánchez Pavez</t>
  </si>
  <si>
    <t>Los Coigües 3041, Casa lagunillas 3</t>
  </si>
  <si>
    <t>DOR55014969</t>
  </si>
  <si>
    <t>258880036</t>
  </si>
  <si>
    <t>NOMBRE RETIRA: KRIS ROA . RUT RETIRA: 10209955-9</t>
  </si>
  <si>
    <t>Kriss Roa Weber</t>
  </si>
  <si>
    <t>Avenida 2 poniente 180, Casa 106 condominio los Avellanos</t>
  </si>
  <si>
    <t>DOR55014978</t>
  </si>
  <si>
    <t>258880054</t>
  </si>
  <si>
    <t>NOMBRE RETIRA: ANDREA V V RUT RETIRA: 15020846-7</t>
  </si>
  <si>
    <t>Llanquihue 4138, 604</t>
  </si>
  <si>
    <t>DOR55014808</t>
  </si>
  <si>
    <t>258879884</t>
  </si>
  <si>
    <t>NOMBRE RETIRA: SARAI RAMOS . RUT RETIRA: 65063777-1</t>
  </si>
  <si>
    <t>sarai Belem Ramos Arana</t>
  </si>
  <si>
    <t>El Azufre 23, Torre A / Depto 1507</t>
  </si>
  <si>
    <t>DOR55014938</t>
  </si>
  <si>
    <t>258880132</t>
  </si>
  <si>
    <t>NOMBRE RETIRA: MIRIAM GUTIERREZ . RUT RETIRA: 8134175-3</t>
  </si>
  <si>
    <t>Daniel Saavedra</t>
  </si>
  <si>
    <t>Pedro aguirre cerda 1385, Villa kimpen</t>
  </si>
  <si>
    <t>DOR55014590</t>
  </si>
  <si>
    <t>258017990</t>
  </si>
  <si>
    <t>NOMBRE RETIRA: ANA ANTINANCO . RUT RETIRA: 10500775-2</t>
  </si>
  <si>
    <t>Katerine Guerrero</t>
  </si>
  <si>
    <t>Ventisquero 3240, Casa esquina</t>
  </si>
  <si>
    <t>2025-11-21 21:15</t>
  </si>
  <si>
    <t>DOR55014946</t>
  </si>
  <si>
    <t>258880097</t>
  </si>
  <si>
    <t>NOMBRE RETIRA: MIRIAM TORRES . RUT RETIRA: 13316578-9</t>
  </si>
  <si>
    <t>Florencia Riquelme</t>
  </si>
  <si>
    <t>Cacique Chihuaihuen 1775, Casa</t>
  </si>
  <si>
    <t>DOR55015005</t>
  </si>
  <si>
    <t>258880017</t>
  </si>
  <si>
    <t>NOMBRE RETIRA: HELIBERTO URRUTIA . RUT RETIRA: 12293744-5</t>
  </si>
  <si>
    <t>Jessica Urrutia</t>
  </si>
  <si>
    <t>Sendero Longaví 0180</t>
  </si>
  <si>
    <t>DOR55014724</t>
  </si>
  <si>
    <t>258606654</t>
  </si>
  <si>
    <t>NOMBRE RETIRA: IVAN GIBERTH . RUT RETIRA: 13160291-K</t>
  </si>
  <si>
    <t>Mikahela Gibert</t>
  </si>
  <si>
    <t>Eleuterio Ramírez 347</t>
  </si>
  <si>
    <t>DOR55014985</t>
  </si>
  <si>
    <t>258880031</t>
  </si>
  <si>
    <t>NOMBRE RETIRA: FERNANDA GARRILO . RUT RETIRA: 4650268-K</t>
  </si>
  <si>
    <t>Fernanda Carrillo</t>
  </si>
  <si>
    <t>Uno Sur 319</t>
  </si>
  <si>
    <t>DOR55014809</t>
  </si>
  <si>
    <t>258879904</t>
  </si>
  <si>
    <t>NOMBRE RETIRA: CYNA NUNEZ . RUT RETIRA: 15099116-1</t>
  </si>
  <si>
    <t>Cyna Wiuckstern</t>
  </si>
  <si>
    <t>Las Salinas 39</t>
  </si>
  <si>
    <t>DOR55014991</t>
  </si>
  <si>
    <t>258880048</t>
  </si>
  <si>
    <t>NOMBRE RETIRA: CLAUDIA OYARCE O RUT RETIRA: 22154968-6</t>
  </si>
  <si>
    <t>claudia Oyarce Araneda</t>
  </si>
  <si>
    <t>Almirante Simpson 1995 esquina Angamos, Atacama</t>
  </si>
  <si>
    <t>DOR55014996</t>
  </si>
  <si>
    <t>258880039</t>
  </si>
  <si>
    <t>NOMBRE RETIRA: GABRIELA CISTERNA . RUT RETIRA: 16762770-6</t>
  </si>
  <si>
    <t>Gabriela Cisterna</t>
  </si>
  <si>
    <t>av zañartu 1114, casa 1114</t>
  </si>
  <si>
    <t>DOR55014929</t>
  </si>
  <si>
    <t>258880112</t>
  </si>
  <si>
    <t>NOMBRE RETIRA: DYLAN JAVIER X RUT RETIRA: 22640336-1</t>
  </si>
  <si>
    <t>Dylan Javier Castro Cifuentes</t>
  </si>
  <si>
    <t>Cupo 9470</t>
  </si>
  <si>
    <t>DOR55014806</t>
  </si>
  <si>
    <t>258879911</t>
  </si>
  <si>
    <t>NOMBRE RETIRA: MATIAS CASTANEDA . RUT RETIRA: 17507583-6</t>
  </si>
  <si>
    <t>Camila Galaz</t>
  </si>
  <si>
    <t>Base Aérea Cerro Moreno s/n</t>
  </si>
  <si>
    <t>DOR55014717</t>
  </si>
  <si>
    <t>258280646</t>
  </si>
  <si>
    <t>NOMBRE RETIRA: DANIEL PEREZ . RUT RETIRA: 11111111-1</t>
  </si>
  <si>
    <t>Rodolfo Gonzalez</t>
  </si>
  <si>
    <t>Av 2 sur, Manzana 6A, N67-68, Recasur dercocenter</t>
  </si>
  <si>
    <t>DOR55015008</t>
  </si>
  <si>
    <t>258880013</t>
  </si>
  <si>
    <t>NOMBRE RETIRA: PAULO HERRERA . RUT RETIRA: 18526311-8</t>
  </si>
  <si>
    <t>Paulo Herrada</t>
  </si>
  <si>
    <t>Av. Igualdad Sur 1051, 502A</t>
  </si>
  <si>
    <t>DOR55014824</t>
  </si>
  <si>
    <t>258879876</t>
  </si>
  <si>
    <t>NOMBRE RETIRA: CARLOS SAAVEDRA . RUT RETIRA: 10827060-8</t>
  </si>
  <si>
    <t>Felipe Pereira</t>
  </si>
  <si>
    <t>Canal sarmiento 101, Torre 5 depto 501</t>
  </si>
  <si>
    <t>DOR55014815</t>
  </si>
  <si>
    <t>258879902</t>
  </si>
  <si>
    <t>NOMBRE RETIRA: CRISTOBAL TROMCOZO J RUT RETIRA: 18194820-5</t>
  </si>
  <si>
    <t>Belén Poblete Donat</t>
  </si>
  <si>
    <t>Av. portal del maipo 02268, Casa</t>
  </si>
  <si>
    <t>DOR55014974</t>
  </si>
  <si>
    <t>258880033</t>
  </si>
  <si>
    <t>NOMBRE RETIRA: VIVIANA SEPULVEDA . RUT RETIRA: 11237140-0</t>
  </si>
  <si>
    <t>Jimena Cartes sepulveda</t>
  </si>
  <si>
    <t>Estero el Salto 3559, 3559</t>
  </si>
  <si>
    <t>DOR55014820</t>
  </si>
  <si>
    <t>258879899</t>
  </si>
  <si>
    <t>NOMBRE RETIRA: ALEJANDRO HENRIQUEZ . RUT RETIRA: 13621375-K</t>
  </si>
  <si>
    <t>Laura Enriquez</t>
  </si>
  <si>
    <t>km 4 camino a Huape Chillan, Vibrosur</t>
  </si>
  <si>
    <t>DOR55015009</t>
  </si>
  <si>
    <t>258880020</t>
  </si>
  <si>
    <t>NOMBRE RETIRA: FELIX RAMOS . . RUT RETIRA: 16611943-K</t>
  </si>
  <si>
    <t>Makarena Huerta</t>
  </si>
  <si>
    <t>Los Cardenales 1641, Casa</t>
  </si>
  <si>
    <t>DOR55014960</t>
  </si>
  <si>
    <t>258880069</t>
  </si>
  <si>
    <t>NOMBRE RETIRA: FRANCISCA . . RUT RETIRA: 19152154-4</t>
  </si>
  <si>
    <t>Maria Carlina Vargas</t>
  </si>
  <si>
    <t>Agua Santa 1400, depto. 402. Condominio Lago Calafquén. Torre10 Namancura</t>
  </si>
  <si>
    <t>DOR55015004</t>
  </si>
  <si>
    <t>258880038</t>
  </si>
  <si>
    <t>NOMBRE RETIRA: EBER LUENGO SILVA RUT RETIRA: 21672054-7</t>
  </si>
  <si>
    <t>eber luengo silva</t>
  </si>
  <si>
    <t>Julio Prado 1719, casa</t>
  </si>
  <si>
    <t>DOR55014925</t>
  </si>
  <si>
    <t>258880116</t>
  </si>
  <si>
    <t>NOMBRE RETIRA: XIMENA VALENZUELA N RUT RETIRA: 53333463-6</t>
  </si>
  <si>
    <t>Javiera Córdova Suárez</t>
  </si>
  <si>
    <t>Condell Sur 1237, 1106</t>
  </si>
  <si>
    <t>DOR55014928</t>
  </si>
  <si>
    <t>258880137</t>
  </si>
  <si>
    <t>NOMBRE RETIRA: EDHIT OLIVARES . RUT RETIRA: 7546823-7</t>
  </si>
  <si>
    <t>Edith Olivares Reyes</t>
  </si>
  <si>
    <t>Las Rejas 977, Casa</t>
  </si>
  <si>
    <t>DOR55014973</t>
  </si>
  <si>
    <t>258880032</t>
  </si>
  <si>
    <t>NOMBRE RETIRA: JOSE VEGA . RUT RETIRA: 17713317-5</t>
  </si>
  <si>
    <t>Darlyng Carvajal</t>
  </si>
  <si>
    <t>Miguel Aguirre 789, Departamento 106 Edificio Quipu</t>
  </si>
  <si>
    <t>DOR55014948</t>
  </si>
  <si>
    <t>258880088</t>
  </si>
  <si>
    <t>NOMBRE RETIRA: LUIS TRONCOSO . RUT RETIRA: 13160291-K</t>
  </si>
  <si>
    <t>Yessenia Troncoso Liempi</t>
  </si>
  <si>
    <t>Isabel Riquelme 91, Pitrufquén, 91</t>
  </si>
  <si>
    <t>DOR55014924</t>
  </si>
  <si>
    <t>258880158</t>
  </si>
  <si>
    <t>NOMBRE RETIRA: CLAUDIO SANCHEZ A RUT RETIRA: 53313208-1</t>
  </si>
  <si>
    <t>Cristian Valdes Aguilar</t>
  </si>
  <si>
    <t>De Veer 1043, Dpto 902 B</t>
  </si>
  <si>
    <t>DOR55014872</t>
  </si>
  <si>
    <t>258605869</t>
  </si>
  <si>
    <t>NOMBRE RETIRA: PAULA DIAS ARAVENA RUT RETIRA: 20036375-2</t>
  </si>
  <si>
    <t>Cristina Aravena Montaña</t>
  </si>
  <si>
    <t>Av. El Palomar 2677, 2677</t>
  </si>
  <si>
    <t>DOR55014994</t>
  </si>
  <si>
    <t>258880046</t>
  </si>
  <si>
    <t>NOMBRE RETIRA: YESSICA BRIONAS . RUT RETIRA: 13311542-0</t>
  </si>
  <si>
    <t>YESSICA Briones</t>
  </si>
  <si>
    <t>Par Vial La Torres Cond Costa San Pedro, 4419</t>
  </si>
  <si>
    <t>DOR55014955</t>
  </si>
  <si>
    <t>258880070</t>
  </si>
  <si>
    <t>NOMBRE RETIRA: YERKO NUNES .. RUT RETIRA: 65235415-7</t>
  </si>
  <si>
    <t>Avenida lomas de la luz 1006, Placilla, Valparaíso, Departamento 4204</t>
  </si>
  <si>
    <t>DOR55014949</t>
  </si>
  <si>
    <t>258880092</t>
  </si>
  <si>
    <t>NOMBRE RETIRA: PATRICIA AGUILAR 0 RUT RETIRA: 11251398-1</t>
  </si>
  <si>
    <t>Daniela Barra Aguilar</t>
  </si>
  <si>
    <t>Pasaje trece, #1683,poblacion jardines del mirador, casa de dos pisos</t>
  </si>
  <si>
    <t>DOR55014945</t>
  </si>
  <si>
    <t>258880124</t>
  </si>
  <si>
    <t>NOMBRE RETIRA: CESAR MEDEL . RUT RETIRA: 13512150-9</t>
  </si>
  <si>
    <t>leticia orostica</t>
  </si>
  <si>
    <t>Camino El Venado Interior 1459</t>
  </si>
  <si>
    <t>DOR55014926</t>
  </si>
  <si>
    <t>258880115</t>
  </si>
  <si>
    <t>NOMBRE RETIRA: BASTIAN SOLIS . RUT RETIRA: 19109789-0</t>
  </si>
  <si>
    <t>Bastian Solis</t>
  </si>
  <si>
    <t>Pasaje 5 #396</t>
  </si>
  <si>
    <t>DOR55014899</t>
  </si>
  <si>
    <t>258605718</t>
  </si>
  <si>
    <t>NOMBRE RETIRA: RAUL . RIVERA RUT RETIRA: 5995000-2</t>
  </si>
  <si>
    <t>Marcos Galvez</t>
  </si>
  <si>
    <t>Rengo 1201, Depto 33</t>
  </si>
  <si>
    <t>DOR55014966</t>
  </si>
  <si>
    <t>258880061</t>
  </si>
  <si>
    <t>NOMBRE RETIRA: MANUEL ARAMFULO . RUT RETIRA: 7241706-2</t>
  </si>
  <si>
    <t>Claudio Muñoz</t>
  </si>
  <si>
    <t>Los Ibiscos 1453</t>
  </si>
  <si>
    <t>DOR55014956</t>
  </si>
  <si>
    <t>258880087</t>
  </si>
  <si>
    <t>NOMBRE RETIRA: EDGAR GUILLON CONSERJE RUT RETIRA: 10414331-8</t>
  </si>
  <si>
    <t>Figueras 1996, Torre E Departamento 414</t>
  </si>
  <si>
    <t>DOR55014912</t>
  </si>
  <si>
    <t>258605659</t>
  </si>
  <si>
    <t>NOMBRE RETIRA: FRANCISCO MEZA . RUT RETIRA: 20885256-6</t>
  </si>
  <si>
    <t>Gisselle Meza</t>
  </si>
  <si>
    <t>Las amapolas 2515</t>
  </si>
  <si>
    <t>DOR55014984</t>
  </si>
  <si>
    <t>258880052</t>
  </si>
  <si>
    <t>NOMBRE RETIRA: GATON COLO.A .CONSERJE RUT RETIRA: 5252433-4</t>
  </si>
  <si>
    <t>Fernando Bravo Vergara</t>
  </si>
  <si>
    <t>Calle J 1281, Cond El Alamo, casa 41.  Brisa del Sol</t>
  </si>
  <si>
    <t>DOR55014988</t>
  </si>
  <si>
    <t>258880050</t>
  </si>
  <si>
    <t>NOMBRE RETIRA: ANA AEDO . RUT RETIRA: 9429554-8</t>
  </si>
  <si>
    <t>Ana Aedo</t>
  </si>
  <si>
    <t>Pasaje tupper Nro 1</t>
  </si>
  <si>
    <t>DOR55014802</t>
  </si>
  <si>
    <t>258606155</t>
  </si>
  <si>
    <t>NOMBRE RETIRA: ALEJANDRO MIRANDA . RUT RETIRA: 9333445-0</t>
  </si>
  <si>
    <t>Avenida Javiera Carrera 6735, Oficina</t>
  </si>
  <si>
    <t>DOR55014749</t>
  </si>
  <si>
    <t>258606498</t>
  </si>
  <si>
    <t>NOMBRE RETIRA: JOSE VILLEGAS MARILICAN RUT RETIRA: 7134628-5</t>
  </si>
  <si>
    <t>Jose Villegas</t>
  </si>
  <si>
    <t>Calle José Vidal 47, Casa blanca. Población Comandante Araya</t>
  </si>
  <si>
    <t>DOR55014799</t>
  </si>
  <si>
    <t>258606191</t>
  </si>
  <si>
    <t>NOMBRE RETIRA: PATRICIA COLLAO .. RUT RETIRA: 11330601-7</t>
  </si>
  <si>
    <t>Echevers 535, Departamento 27</t>
  </si>
  <si>
    <t>DOR55014801</t>
  </si>
  <si>
    <t>258606204</t>
  </si>
  <si>
    <t>NOMBRE RETIRA: JHISEY VELAZQUWZ . RUT RETIRA: 14308164-8</t>
  </si>
  <si>
    <t>Joseph Velásquez</t>
  </si>
  <si>
    <t>Castro 5855, Casa</t>
  </si>
  <si>
    <t>DOR55014756</t>
  </si>
  <si>
    <t>258606451</t>
  </si>
  <si>
    <t>NOMBRE RETIRA: ESMERALDA QUEZADA HH RUT RETIRA: 11294254-8</t>
  </si>
  <si>
    <t>Pavel Rivera</t>
  </si>
  <si>
    <t>Carlos Silva 1451, sector 3, polvorín</t>
  </si>
  <si>
    <t>DOR55014647</t>
  </si>
  <si>
    <t>258102859</t>
  </si>
  <si>
    <t>NOMBRE RETIRA: JUANA MARITZA YANEZ GALLARDO RUT RETIRA: 16353401-0</t>
  </si>
  <si>
    <t>Maritza Yañez Gallardo</t>
  </si>
  <si>
    <t>Carlos Condell 01045, Block 7 dept 202 cuadripareos amarillos</t>
  </si>
  <si>
    <t>2025-11-26 11:05</t>
  </si>
  <si>
    <t>DOR55014870</t>
  </si>
  <si>
    <t>258605893</t>
  </si>
  <si>
    <t>NOMBRE RETIRA: EVELYN MOYA . RUT RETIRA: 18370892-9</t>
  </si>
  <si>
    <t>Jessica Arenas</t>
  </si>
  <si>
    <t>Santa Rosa De Huara 4220, Casa 14</t>
  </si>
  <si>
    <t>DOR55014825</t>
  </si>
  <si>
    <t>258606092</t>
  </si>
  <si>
    <t>NOMBRE RETIRA: JUAN LUIS ARANCIVIA ARANCIBIA RUT RETIRA: 17724178-4</t>
  </si>
  <si>
    <t>Francisca Ortiz Navarrete</t>
  </si>
  <si>
    <t>Quinta Junge 76, Casa A</t>
  </si>
  <si>
    <t>DOR55014881</t>
  </si>
  <si>
    <t>258605796</t>
  </si>
  <si>
    <t>NOMBRE RETIRA: PEDRO TRUJILLO . RUT RETIRA: 16880540-3</t>
  </si>
  <si>
    <t>Pedro Juan Trujillo Jimenez</t>
  </si>
  <si>
    <t>Bahía Martín 86</t>
  </si>
  <si>
    <t>DOR55014766</t>
  </si>
  <si>
    <t>258606376</t>
  </si>
  <si>
    <t>NOMBRE RETIRA: MAURICIO SANCHEZ ROMERO RUT RETIRA: 18869478-0</t>
  </si>
  <si>
    <t>Mauricio Sanchez Romero</t>
  </si>
  <si>
    <t>Costa Rica 581, Casa</t>
  </si>
  <si>
    <t>DOR55014883</t>
  </si>
  <si>
    <t>258605772</t>
  </si>
  <si>
    <t>NOMBRE RETIRA: NATALIA CABELLO . RUT RETIRA: 16484872-8</t>
  </si>
  <si>
    <t>Natalia Cabello Moya</t>
  </si>
  <si>
    <t>Los castaños 319, Depto 31</t>
  </si>
  <si>
    <t>DOR55014900</t>
  </si>
  <si>
    <t>258605691</t>
  </si>
  <si>
    <t>NOMBRE RETIRA: NAHIR CONTRERAS . RUT RETIRA: 18897159-8</t>
  </si>
  <si>
    <t>Laura Latorre Saavedra</t>
  </si>
  <si>
    <t>Santa Ines 4279</t>
  </si>
  <si>
    <t>DOR55014873</t>
  </si>
  <si>
    <t>258605601</t>
  </si>
  <si>
    <t>NOMBRE RETIRA: MARIA JOSE PARRA RUT RETIRA: 28602059-3</t>
  </si>
  <si>
    <t>Mariajose Parra Rivera</t>
  </si>
  <si>
    <t>Montevideo 464, Depto i 401</t>
  </si>
  <si>
    <t>DOR55014879</t>
  </si>
  <si>
    <t>258605809</t>
  </si>
  <si>
    <t>NOMBRE RETIRA: IRIS SUAREZ . RUT RETIRA: 17736384-7</t>
  </si>
  <si>
    <t>Valentina Peñailillo orellana</t>
  </si>
  <si>
    <t>Avenida Cerro Paranal 360, Depto 164</t>
  </si>
  <si>
    <t>DOR55014856</t>
  </si>
  <si>
    <t>258606005</t>
  </si>
  <si>
    <t>NOMBRE RETIRA: JUAN CARDWNAS . RUT RETIRA: 15268381-2</t>
  </si>
  <si>
    <t>Valeria Carrasco</t>
  </si>
  <si>
    <t>Alsacia 1143, 405</t>
  </si>
  <si>
    <t>DOR55014783</t>
  </si>
  <si>
    <t>258606299</t>
  </si>
  <si>
    <t>NOMBRE RETIRA: MARITZA NAVEA X RUT RETIRA: 11111111-1</t>
  </si>
  <si>
    <t>Maritza Navea</t>
  </si>
  <si>
    <t>Juan Retamal 685, Casa esquina</t>
  </si>
  <si>
    <t>DOR55014737</t>
  </si>
  <si>
    <t>258606632</t>
  </si>
  <si>
    <t>NOMBRE RETIRA: LUIS MONARDEZ MONARDEZ RUT RETIRA: 8780524-7</t>
  </si>
  <si>
    <t>Romina Ibáñez Tamblay</t>
  </si>
  <si>
    <t>Chañarcillo 831, Departamento 205</t>
  </si>
  <si>
    <t>DOR55014767</t>
  </si>
  <si>
    <t>258606363</t>
  </si>
  <si>
    <t>NOMBRE RETIRA: AGUSTIN GONZALEZ . RUT RETIRA: 18898621-8</t>
  </si>
  <si>
    <t>María José González Coloma</t>
  </si>
  <si>
    <t>Pasaje Aysén 2919, 2919</t>
  </si>
  <si>
    <t>DOR55014867</t>
  </si>
  <si>
    <t>258605923</t>
  </si>
  <si>
    <t>NOMBRE RETIRA: RICARDO BRICENO L RUT RETIRA: 28602059-3</t>
  </si>
  <si>
    <t>Ricardo Espinoza Chamorro</t>
  </si>
  <si>
    <t>Avenida Iquique #3857, Depto 27</t>
  </si>
  <si>
    <t>DOR55014850</t>
  </si>
  <si>
    <t>258606019</t>
  </si>
  <si>
    <t>NOMBRE RETIRA: CATALIMA CARRASCO U RUT RETIRA: 15118584-3</t>
  </si>
  <si>
    <t>Catalina Carrasco</t>
  </si>
  <si>
    <t>Eduardo Anguita 1718, Casa Villa Eduardo Barrios</t>
  </si>
  <si>
    <t>DOR55014781</t>
  </si>
  <si>
    <t>258606309</t>
  </si>
  <si>
    <t>NOMBRE RETIRA: ENRIQUE CAMPIO HKI RUT RETIRA: 7939878-0</t>
  </si>
  <si>
    <t>Bastian Clark</t>
  </si>
  <si>
    <t>Av. Bombero Villalobos 1075, Depto 613</t>
  </si>
  <si>
    <t>DOR55014620</t>
  </si>
  <si>
    <t>258017852</t>
  </si>
  <si>
    <t>Villa los Guindos 37 Curicó, Casa sector Santa Olga</t>
  </si>
  <si>
    <t>2025-11-24 21:07</t>
  </si>
  <si>
    <t>DOR55014890</t>
  </si>
  <si>
    <t>258605764</t>
  </si>
  <si>
    <t>NOMBRE RETIRA: FERNANDO TAPIA . RUT RETIRA: 17127325-0</t>
  </si>
  <si>
    <t>Danica Norero</t>
  </si>
  <si>
    <t>Laguna Cejar 1715</t>
  </si>
  <si>
    <t>DOR55014837</t>
  </si>
  <si>
    <t>258606086</t>
  </si>
  <si>
    <t>NOMBRE RETIRA: DAMARIS CADENA . RUT RETIRA: 13645771-3</t>
  </si>
  <si>
    <t>Damaris Cadena</t>
  </si>
  <si>
    <t>Sendero Longavi 0290 Polo de Machali. (Pje Maule 0290)</t>
  </si>
  <si>
    <t>DOR55014892</t>
  </si>
  <si>
    <t>258605745</t>
  </si>
  <si>
    <t>NOMBRE RETIRA: ESTEBA MENESES .. RUT RETIRA: 13488143-7</t>
  </si>
  <si>
    <t>Avenida Camino del Agua 1170, Casa 5. Condominio bosque real vi</t>
  </si>
  <si>
    <t>DOR55014757</t>
  </si>
  <si>
    <t>258606442</t>
  </si>
  <si>
    <t>NOMBRE RETIRA: RODRIGO MIRALLES H RUT RETIRA: 53310041-4</t>
  </si>
  <si>
    <t>Santiago Cabrales</t>
  </si>
  <si>
    <t>Edmundo Eluchans 1615, Dpto 1902</t>
  </si>
  <si>
    <t>DOR55014777</t>
  </si>
  <si>
    <t>258606340</t>
  </si>
  <si>
    <t>NOMBRE RETIRA: PAULINA VILLA . RUT RETIRA: 7754433-K</t>
  </si>
  <si>
    <t>paulina villa</t>
  </si>
  <si>
    <t>san francisco de asis 341, villa san cristobal. Labranza</t>
  </si>
  <si>
    <t>DOR55014707</t>
  </si>
  <si>
    <t>258280742</t>
  </si>
  <si>
    <t>NOMBRE RETIRA: PAMELA GAVIA . RUT RETIRA: 12423669-K</t>
  </si>
  <si>
    <t>david avendaño concha</t>
  </si>
  <si>
    <t>Esperanza atacameña 167 población likan Antay.</t>
  </si>
  <si>
    <t>DOR55014738</t>
  </si>
  <si>
    <t>258606595</t>
  </si>
  <si>
    <t>NOMBRE RETIRA: LEOINES ROMERO . RUT RETIRA: 27136015-0</t>
  </si>
  <si>
    <t>María José Ahumada Henríquez</t>
  </si>
  <si>
    <t>Pedro Aguirre Cerda 295, 907</t>
  </si>
  <si>
    <t>DOR55014861</t>
  </si>
  <si>
    <t>258605962</t>
  </si>
  <si>
    <t>NOMBRE RETIRA: SWBASTIAN CONEJEROS .. RUT RETIRA: 15268381-2</t>
  </si>
  <si>
    <t>Sebastian Conejeros</t>
  </si>
  <si>
    <t>Antumalal 1778. Casa Praderas de pilauco</t>
  </si>
  <si>
    <t>DOR55014843</t>
  </si>
  <si>
    <t>258606062</t>
  </si>
  <si>
    <t>NOMBRE RETIRA: CARLOS MOYA F RUT RETIRA: 65088669-0</t>
  </si>
  <si>
    <t>Valeska Castillo</t>
  </si>
  <si>
    <t>Hontaneda 735, 1108</t>
  </si>
  <si>
    <t>DOR55014760</t>
  </si>
  <si>
    <t>258606427</t>
  </si>
  <si>
    <t>NOMBRE RETIRA: ARTURO ARENAS . RUT RETIRA: 56051330-5</t>
  </si>
  <si>
    <t>Agustín Mella</t>
  </si>
  <si>
    <t>2 poniente 648, 202</t>
  </si>
  <si>
    <t>DOR55014839</t>
  </si>
  <si>
    <t>258606045</t>
  </si>
  <si>
    <t>NOMBRE RETIRA: MANUEL PERRIMAN . RUT RETIRA: 5232105-0</t>
  </si>
  <si>
    <t>Cristian Inostroza</t>
  </si>
  <si>
    <t>Pedro lagos 207, Casa</t>
  </si>
  <si>
    <t>DOR55014746</t>
  </si>
  <si>
    <t>258606493</t>
  </si>
  <si>
    <t>NOMBRE RETIRA: JOHANNA MEDINA . RUT RETIRA: 11809535-9</t>
  </si>
  <si>
    <t>Elaine Benítez Correa</t>
  </si>
  <si>
    <t>Gerónimo Michael 197, Casa Esquina</t>
  </si>
  <si>
    <t>DOR55014826</t>
  </si>
  <si>
    <t>258606153</t>
  </si>
  <si>
    <t>NOMBRE RETIRA: ALBINA TRIVINO T RUT RETIRA: 65067074-4</t>
  </si>
  <si>
    <t>Carolina Morales Tribiño</t>
  </si>
  <si>
    <t>Cordillera de los Andes 749, Cerro Rodelillo, Población Básica en las casas junto al segundo negocio.</t>
  </si>
  <si>
    <t>DOR55014742</t>
  </si>
  <si>
    <t>258606532</t>
  </si>
  <si>
    <t>NOMBRE RETIRA: ANA CAMPOS . RUT RETIRA: 13209135-8</t>
  </si>
  <si>
    <t>Ana María Campos brito</t>
  </si>
  <si>
    <t>Jose Regis 78, El melon nogales</t>
  </si>
  <si>
    <t>DOR55014780</t>
  </si>
  <si>
    <t>258606292</t>
  </si>
  <si>
    <t>NOMBRE RETIRA: KAREN OGARAY .. RUT RETIRA: 14000826-5</t>
  </si>
  <si>
    <t>Karen Iligaray</t>
  </si>
  <si>
    <t>Conquista de América 204</t>
  </si>
  <si>
    <t>DOR55014828</t>
  </si>
  <si>
    <t>258606136</t>
  </si>
  <si>
    <t>NOMBRE RETIRA: ANA MACHUCA .. RUT RETIRA: 12587960-8</t>
  </si>
  <si>
    <t>Ana Elisa Machuca</t>
  </si>
  <si>
    <t>16 Norte 5392, Casa</t>
  </si>
  <si>
    <t>DOR55014860</t>
  </si>
  <si>
    <t>258605972</t>
  </si>
  <si>
    <t>NOMBRE RETIRA: LUIS CAMPOS . RUT RETIRA: 20906843-5</t>
  </si>
  <si>
    <t>Jorge Bohle</t>
  </si>
  <si>
    <t>Serrano, 76</t>
  </si>
  <si>
    <t>DOR55014741</t>
  </si>
  <si>
    <t>258606550</t>
  </si>
  <si>
    <t>NOMBRE RETIRA: PAOLA VERGARA -- RUT RETIRA: 20768018-4</t>
  </si>
  <si>
    <t>PAOLA Vergara</t>
  </si>
  <si>
    <t>Quebrada de socos # 1506, Casa</t>
  </si>
  <si>
    <t>DOR55014832</t>
  </si>
  <si>
    <t>258606115</t>
  </si>
  <si>
    <t>NOMBRE RETIRA: FRESIA MORA J RUT RETIRA: 18194820-5</t>
  </si>
  <si>
    <t>Deneb 1854</t>
  </si>
  <si>
    <t>DOR55014743</t>
  </si>
  <si>
    <t>258606512</t>
  </si>
  <si>
    <t>Josefa Leniz</t>
  </si>
  <si>
    <t>Carmen 446, Dpto 607</t>
  </si>
  <si>
    <t>DOR55014871</t>
  </si>
  <si>
    <t>258605874</t>
  </si>
  <si>
    <t>NOMBRE RETIRA: SONIA BONILLA . RUT RETIRA: 19692926-6</t>
  </si>
  <si>
    <t>Cristian Sánchez</t>
  </si>
  <si>
    <t>Onofre jarpa 136, Casa</t>
  </si>
  <si>
    <t>DOR55014734</t>
  </si>
  <si>
    <t>258606543</t>
  </si>
  <si>
    <t>NOMBRE RETIRA: LUIS LOPEZ X RUT RETIRA: 53306781-6</t>
  </si>
  <si>
    <t>Sebastian Maximo</t>
  </si>
  <si>
    <t>7 norte 360, 171</t>
  </si>
  <si>
    <t>DOR55014750</t>
  </si>
  <si>
    <t>258606481</t>
  </si>
  <si>
    <t>Karina Zuchel</t>
  </si>
  <si>
    <t>San Martin poniente 042, Doña Paula 1302</t>
  </si>
  <si>
    <t>DOR55014864</t>
  </si>
  <si>
    <t>258605941</t>
  </si>
  <si>
    <t>NOMBRE RETIRA: DANIEL MANRIQUEZ . RUT RETIRA: 16947088-K</t>
  </si>
  <si>
    <t>Susana Fischer</t>
  </si>
  <si>
    <t>Camilo Mori 853, Casa</t>
  </si>
  <si>
    <t>DOR55014740</t>
  </si>
  <si>
    <t>258606599</t>
  </si>
  <si>
    <t>NOMBRE RETIRA: ESTELA . FLOREZ RUT RETIRA: 4982084-4</t>
  </si>
  <si>
    <t>Leslie Squella</t>
  </si>
  <si>
    <t>FernÁndez Vial 2518 Lorenzo Arenas, Casa</t>
  </si>
  <si>
    <t>DOR55014650</t>
  </si>
  <si>
    <t>9392145055</t>
  </si>
  <si>
    <t>10745009-2 massiel Mena recibe encomienda compane</t>
  </si>
  <si>
    <t>Rodrigo Recasens</t>
  </si>
  <si>
    <t>Lautaro 654</t>
  </si>
  <si>
    <t>DOR55014763</t>
  </si>
  <si>
    <t>258606409</t>
  </si>
  <si>
    <t>NOMBRE RETIRA: RODRIGO POZO ITURRA RUT RETIRA: 26883439-7</t>
  </si>
  <si>
    <t>Rodrigo Alejandro Pozo Iturra</t>
  </si>
  <si>
    <t>Av. Parque Viña Santa Blanca, 0411., Torre B Depto 402.</t>
  </si>
  <si>
    <t>DOR55014907</t>
  </si>
  <si>
    <t>258605651</t>
  </si>
  <si>
    <t>NOMBRE RETIRA: ZAINETH SANCHEZ . RUT RETIRA: 25825737-5</t>
  </si>
  <si>
    <t>Monica Acuña Araya</t>
  </si>
  <si>
    <t>Avenida los carrera 1931 departamento 1305</t>
  </si>
  <si>
    <t>DOR55014786</t>
  </si>
  <si>
    <t>258606282</t>
  </si>
  <si>
    <t>NOMBRE RETIRA: FELIPE SALINAS F RUT RETIRA: 65067074-4</t>
  </si>
  <si>
    <t>amaraly salinas</t>
  </si>
  <si>
    <t>Almirante Simpson 513, Block B depto 105</t>
  </si>
  <si>
    <t>DOR55014895</t>
  </si>
  <si>
    <t>258605715</t>
  </si>
  <si>
    <t>NOMBRE RETIRA: IVONNE PINTO PINTO RUT RETIRA: 15107352-2</t>
  </si>
  <si>
    <t>Ivonne Pinto</t>
  </si>
  <si>
    <t>Pje. Mimosa 539, Casa</t>
  </si>
  <si>
    <t>DOR55014778</t>
  </si>
  <si>
    <t>258606318</t>
  </si>
  <si>
    <t>NOMBRE RETIRA: CAMILA TORRES .AA RUT RETIRA: 16983630-2</t>
  </si>
  <si>
    <t>Jonathan Burgos</t>
  </si>
  <si>
    <t>Variante 1 El Peral 899, Clínica dental lemu, sector El Peral</t>
  </si>
  <si>
    <t>DOR55014739</t>
  </si>
  <si>
    <t>258606589</t>
  </si>
  <si>
    <t>NOMBRE RETIRA: BARRIO LOS ALERCE K RUT RETIRA: 65089208-9</t>
  </si>
  <si>
    <t>Pablo Valdebenito</t>
  </si>
  <si>
    <t>El Mirador 371, Casa 3</t>
  </si>
  <si>
    <t>DOR55014920</t>
  </si>
  <si>
    <t>258605584</t>
  </si>
  <si>
    <t>NOMBRE RETIRA: JOHAN . . RUT RETIRA: 53330390-0</t>
  </si>
  <si>
    <t>David Andre Muñoz Ulloa</t>
  </si>
  <si>
    <t>Av frankfurt 1134 placeres Valparaíso, 1005</t>
  </si>
  <si>
    <t>DOR55014834</t>
  </si>
  <si>
    <t>258606103</t>
  </si>
  <si>
    <t>Javiera Pinochet</t>
  </si>
  <si>
    <t>Condominio Los Aromos. Ruta T340, Parcela</t>
  </si>
  <si>
    <t>DOR55014908</t>
  </si>
  <si>
    <t>258605670</t>
  </si>
  <si>
    <t>NOMBRE RETIRA: HECTOR BECERRA . RUT RETIRA: 9061662-5</t>
  </si>
  <si>
    <t>Ana Maria Alvarez</t>
  </si>
  <si>
    <t>Los Palacios 580, Condominio Las Araucarias</t>
  </si>
  <si>
    <t>DOR55014845</t>
  </si>
  <si>
    <t>258606034</t>
  </si>
  <si>
    <t>NOMBRE RETIRA: NICOLAS NORAMVUENA . RUT RETIRA: 19808080-2</t>
  </si>
  <si>
    <t>Nicolás Norambuena</t>
  </si>
  <si>
    <t>Pasaje Haití 174</t>
  </si>
  <si>
    <t>DOR55014735</t>
  </si>
  <si>
    <t>258606636</t>
  </si>
  <si>
    <t>NOMBRE RETIRA: ALEXIS SANTANDER B RUT RETIRA: 53303607-4</t>
  </si>
  <si>
    <t>Bruno Filippi</t>
  </si>
  <si>
    <t>camino del sol 800, E64</t>
  </si>
  <si>
    <t>DOR55014733</t>
  </si>
  <si>
    <t>258606660</t>
  </si>
  <si>
    <t>NOMBRE RETIRA: CECILIA VILLANUEVA . RUT RETIRA: 13489453-9</t>
  </si>
  <si>
    <t>cecilia villanueva</t>
  </si>
  <si>
    <t>Reinaldo Martín 975</t>
  </si>
  <si>
    <t>DOR55014911</t>
  </si>
  <si>
    <t>258605627</t>
  </si>
  <si>
    <t>NOMBRE RETIRA: CESAR ARAYA . RUT RETIRA: 12174941-6</t>
  </si>
  <si>
    <t>Matias Maureira riquelme</t>
  </si>
  <si>
    <t>5 sur 1631, Restaurante</t>
  </si>
  <si>
    <t>DOR55014764</t>
  </si>
  <si>
    <t>258606403</t>
  </si>
  <si>
    <t>NOMBRE RETIRA: CAROLINA PEREZ CASTRO RUT RETIRA: 15745271-1</t>
  </si>
  <si>
    <t>Carolina Pérez Castro</t>
  </si>
  <si>
    <t>Emilio Apey 405, Depto.430</t>
  </si>
  <si>
    <t>DOR55014795</t>
  </si>
  <si>
    <t>258606246</t>
  </si>
  <si>
    <t>NOMBRE RETIRA: DANIXZA VARGAS .. RUT RETIRA: 21060828-1</t>
  </si>
  <si>
    <t>Karinna Inostroza</t>
  </si>
  <si>
    <t>Ostolosa 171, 171</t>
  </si>
  <si>
    <t>DOR55014788</t>
  </si>
  <si>
    <t>258606263</t>
  </si>
  <si>
    <t>NOMBRE RETIRA: CLAUDIA NEGRETE . RUT RETIRA: 10476272-7</t>
  </si>
  <si>
    <t>Daniela Salgado Negrete</t>
  </si>
  <si>
    <t>Avenida Bahía Azul 335, casa 3</t>
  </si>
  <si>
    <t>DOR55014875</t>
  </si>
  <si>
    <t>258605840</t>
  </si>
  <si>
    <t>NOMBRE RETIRA: ANA LUENGO A RUT RETIRA: 76669508-6</t>
  </si>
  <si>
    <t>Veinte y medio poniente 0940, 0940</t>
  </si>
  <si>
    <t>DOR55014683</t>
  </si>
  <si>
    <t>258280860</t>
  </si>
  <si>
    <t>NOMBRE RETIRA: JOSEFINA GARAY E RUT RETIRA: 6049365-0</t>
  </si>
  <si>
    <t>Josefina Garay</t>
  </si>
  <si>
    <t>Jose Victorino Lastarria 1236, casa</t>
  </si>
  <si>
    <t>DOR55014665</t>
  </si>
  <si>
    <t>258280894</t>
  </si>
  <si>
    <t>NOMBRE RETIRA: MARIA MOBTERO 0 RUT RETIRA: 12345678-5</t>
  </si>
  <si>
    <t>Maria Jesus Montero Vergara</t>
  </si>
  <si>
    <t>Travesia del Cerro 02984, Departamento 11</t>
  </si>
  <si>
    <t>DOR55014698</t>
  </si>
  <si>
    <t>258280788</t>
  </si>
  <si>
    <t>NOMBRE RETIRA: PAMELA CASTILLO X RUT RETIRA: 16042214-9</t>
  </si>
  <si>
    <t>San Juan 1950, Casa</t>
  </si>
  <si>
    <t>DOR55014646</t>
  </si>
  <si>
    <t>258102883</t>
  </si>
  <si>
    <t>NOMBRE RETIRA: PATRICO ARAVENA . RUT RETIRA: 16582815-1</t>
  </si>
  <si>
    <t>Patricio Aravena Agurto</t>
  </si>
  <si>
    <t>Catedral 319, Oficina 207</t>
  </si>
  <si>
    <t>DOR55014709</t>
  </si>
  <si>
    <t>258280662</t>
  </si>
  <si>
    <t>NOMBRE RETIRA: ALEJANDRO CARMONA QUINE RUT RETIRA: 23613642-6</t>
  </si>
  <si>
    <t>Jenny Swaneck</t>
  </si>
  <si>
    <t>Rafael Zorraindo # 451, villa flamencos</t>
  </si>
  <si>
    <t>DOR55014696</t>
  </si>
  <si>
    <t>258280815</t>
  </si>
  <si>
    <t>NOMBRE RETIRA: PAULINA GALLEGUILLOS M RUT RETIRA: 26076095-5</t>
  </si>
  <si>
    <t>Paulina Galleguillos araya</t>
  </si>
  <si>
    <t>Av. Pacífico 3160, Departamento 415 A</t>
  </si>
  <si>
    <t>DOR55014705</t>
  </si>
  <si>
    <t>258280761</t>
  </si>
  <si>
    <t>NOMBRE RETIRA: CONSTANZA . . RUT RETIRA: 19207947-0</t>
  </si>
  <si>
    <t>Constanza Candia</t>
  </si>
  <si>
    <t>Capitan Avalos 6041, Cada</t>
  </si>
  <si>
    <t>DOR55014710</t>
  </si>
  <si>
    <t>258280705</t>
  </si>
  <si>
    <t>NOMBRE RETIRA: MARCELA TAPIA N RUT RETIRA: 13319938-1</t>
  </si>
  <si>
    <t>Ailene Volke Oyarzun</t>
  </si>
  <si>
    <t>Anibal Pinto 1747, 707</t>
  </si>
  <si>
    <t>DOR55014666</t>
  </si>
  <si>
    <t>258280915</t>
  </si>
  <si>
    <t>NOMBRE RETIRA: CLAUDIA CORDOBA .. RUT RETIRA: 13231430-6</t>
  </si>
  <si>
    <t>Claudia Cordova</t>
  </si>
  <si>
    <t>Avenida Curauma Sur 1826, 322</t>
  </si>
  <si>
    <t>DOR55014715</t>
  </si>
  <si>
    <t>258280659</t>
  </si>
  <si>
    <t>NOMBRE RETIRA: LUIS CINTRERAS H RUT RETIRA: 13857549-7</t>
  </si>
  <si>
    <t>Alfonso Canales</t>
  </si>
  <si>
    <t>4 oriente 1271, Departamento 1110</t>
  </si>
  <si>
    <t>DOR55014684</t>
  </si>
  <si>
    <t>258280858</t>
  </si>
  <si>
    <t>NOMBRE RETIRA: CAMILA ARAYA K RUT RETIRA: 18136005-4</t>
  </si>
  <si>
    <t>Camila Araya</t>
  </si>
  <si>
    <t>Calle Canada 3099, Casa 3099</t>
  </si>
  <si>
    <t>DOR55014711</t>
  </si>
  <si>
    <t>258280665</t>
  </si>
  <si>
    <t>NOMBRE RETIRA: MANUEL SALAS B RUT RETIRA: 15988892-4</t>
  </si>
  <si>
    <t>Mauricio Murua</t>
  </si>
  <si>
    <t>Pedro de valdivia 0400, Departamento 703 Torre B</t>
  </si>
  <si>
    <t>DOR55014670</t>
  </si>
  <si>
    <t>258280880</t>
  </si>
  <si>
    <t>NOMBRE RETIRA: TERESA ROBLES C RUT RETIRA: 17710520-1</t>
  </si>
  <si>
    <t>Carolina Gómez Cabrera</t>
  </si>
  <si>
    <t>Maipú 1207, Centro de Dialisis</t>
  </si>
  <si>
    <t>DOR55014673</t>
  </si>
  <si>
    <t>258280870</t>
  </si>
  <si>
    <t>NOMBRE RETIRA: CAMILA FUENTEALBA F RUT RETIRA: 18832876-8</t>
  </si>
  <si>
    <t>Avenida Francia 748, Depto 322</t>
  </si>
  <si>
    <t>DOR55014631</t>
  </si>
  <si>
    <t>258017744</t>
  </si>
  <si>
    <t>Av. Arturo Prat Chacón 1670, depto rodas 82</t>
  </si>
  <si>
    <t>DOR55014627</t>
  </si>
  <si>
    <t>258017757</t>
  </si>
  <si>
    <t>NOMBRE RETIRA: MELANIA ELGUETA . RUT RETIRA: 10921130-3</t>
  </si>
  <si>
    <t>DOR55014609</t>
  </si>
  <si>
    <t>258017922</t>
  </si>
  <si>
    <t>NOMBRE RETIRA: LIDIA SOTO . RUT RETIRA: 19492232-9</t>
  </si>
  <si>
    <t>karen Vega espinoza</t>
  </si>
  <si>
    <t>luis cruz martinez 1692, casa B</t>
  </si>
  <si>
    <t>DOR55014605</t>
  </si>
  <si>
    <t>258018002</t>
  </si>
  <si>
    <t>NOMBRE RETIRA: FRANCISCO BAHAMONDES . RUT RETIRA: 6346263-2</t>
  </si>
  <si>
    <t>Valeria Bahamondes</t>
  </si>
  <si>
    <t>Estación de los Vientos 295, Casa 26. Condominio Tamarugo</t>
  </si>
  <si>
    <t>DOR55014614</t>
  </si>
  <si>
    <t>258017890</t>
  </si>
  <si>
    <t>NOMBRE RETIRA: IVAN RODRIGUEZ . RUT RETIRA: 18234701-9</t>
  </si>
  <si>
    <t>Ivan rodriguez</t>
  </si>
  <si>
    <t>Esmeralda 2481</t>
  </si>
  <si>
    <t>2025-11-24 11:32</t>
  </si>
  <si>
    <t>DOR55014595</t>
  </si>
  <si>
    <t>258018008</t>
  </si>
  <si>
    <t>NOMBRE RETIRA: MARIA . . RUT RETIRA: 10067952-3</t>
  </si>
  <si>
    <t>LORETO LONCON</t>
  </si>
  <si>
    <t>Galvarino Riveros 284</t>
  </si>
  <si>
    <t>DOR55014638</t>
  </si>
  <si>
    <t>258102921</t>
  </si>
  <si>
    <t>NOMBRE RETIRA: JACQUELINE OLIVARES OLIVARES RUT RETIRA: 8905666-7</t>
  </si>
  <si>
    <t>Valentina Camacho Olivares</t>
  </si>
  <si>
    <t>Justo Arteaga 2927 , Villa Caspana</t>
  </si>
  <si>
    <t>2025-11-25 21:20</t>
  </si>
  <si>
    <t>DOR55014616</t>
  </si>
  <si>
    <t>258017909</t>
  </si>
  <si>
    <t>NOMBRE RETIRA: FERNANDA AGUILAR . RUT RETIRA: 19397046-K</t>
  </si>
  <si>
    <t>Cynthia Castillo</t>
  </si>
  <si>
    <t>Av. Gral. Bernardo O'Higgins 1650, 1305</t>
  </si>
  <si>
    <t>DOR55014615</t>
  </si>
  <si>
    <t>258017884</t>
  </si>
  <si>
    <t>NOMBRE RETIRA: JAZMIN FUENZALIDA RODRIGUEZ RUT RETIRA: 20757322-1</t>
  </si>
  <si>
    <t>Jazmine Fuenzalida Rodriguez</t>
  </si>
  <si>
    <t>Vista Hermosa, Vil Rebolledo, Segunda Casa Mano Izquierda, CuricÓ, Casa</t>
  </si>
  <si>
    <t>DOR55014659</t>
  </si>
  <si>
    <t>258181275</t>
  </si>
  <si>
    <t>NOMBRE RETIRA: NELSON ORELLANA . RUT RETIRA: 82281800-5</t>
  </si>
  <si>
    <t>Javiera Vargas coronado</t>
  </si>
  <si>
    <t>7 Norte 360, 171</t>
  </si>
  <si>
    <t>DOR55014652</t>
  </si>
  <si>
    <t>258181314</t>
  </si>
  <si>
    <t>NOMBRE RETIRA: RODRIGO MELLA . RUT RETIRA: 53330390-0</t>
  </si>
  <si>
    <t>Viviana Ahumada</t>
  </si>
  <si>
    <t>Irene Morales 649 , Casa Cerro Placeres</t>
  </si>
  <si>
    <t>DOR55014583</t>
  </si>
  <si>
    <t>258018043</t>
  </si>
  <si>
    <t>NOMBRE RETIRA: MARIO CALLEJAS . RUT RETIRA: 8727709-7</t>
  </si>
  <si>
    <t>JOSE FERRADA</t>
  </si>
  <si>
    <t>Alcalde Germán Miric 216, D1803  Bartolome</t>
  </si>
  <si>
    <t>DOR55014448</t>
  </si>
  <si>
    <t>256951462</t>
  </si>
  <si>
    <t>NOMBRE RETIRA: DIEGO ROBLES . RUT RETIRA: 18024901-K</t>
  </si>
  <si>
    <t>Javiera Gomez Agüero</t>
  </si>
  <si>
    <t>Camino Amador Gutierrez huerto 184 A3, Casa negra al fondo</t>
  </si>
  <si>
    <t>2025-11-08 11:11</t>
  </si>
  <si>
    <t>DOR55014661</t>
  </si>
  <si>
    <t>258181266</t>
  </si>
  <si>
    <t>NOMBRE RETIRA: HECTOR ALVARADO . RUT RETIRA: 9348716-8</t>
  </si>
  <si>
    <t>HECTOR ALVARADO</t>
  </si>
  <si>
    <t>DIAZ 1532, CASA</t>
  </si>
  <si>
    <t>2025-11-27 11:05</t>
  </si>
  <si>
    <t>DOR55014655</t>
  </si>
  <si>
    <t>258181270</t>
  </si>
  <si>
    <t>NOMBRE RETIRA: MARIA GAETE . RUT RETIRA: 8230874-1</t>
  </si>
  <si>
    <t>Catherine Saint-Laurence</t>
  </si>
  <si>
    <t>4 Norte 440, Local 440</t>
  </si>
  <si>
    <t>DOR55014629</t>
  </si>
  <si>
    <t>258017807</t>
  </si>
  <si>
    <t>NOMBRE RETIRA: ALICIA CONAJAGUA CONAJAGUA RUT RETIRA: 11415087-8</t>
  </si>
  <si>
    <t>Cristian Solar Barra</t>
  </si>
  <si>
    <t>Av. Ohiggins 214 depto 904 torre 2, Condominio borde rio</t>
  </si>
  <si>
    <t>DOR55014622</t>
  </si>
  <si>
    <t>258017816</t>
  </si>
  <si>
    <t>NOMBRE RETIRA: IGNACIO MELLADO . RUT RETIRA: 19781035-1</t>
  </si>
  <si>
    <t>Ignacio Mellado</t>
  </si>
  <si>
    <t>Antifil 084, Casa</t>
  </si>
  <si>
    <t>DOR55014608</t>
  </si>
  <si>
    <t>258017952</t>
  </si>
  <si>
    <t>NOMBRE RETIRA: VLADEMIR MENESES MENESES RUT RETIRA: 15745271-1</t>
  </si>
  <si>
    <t>Vladimir Meneses Díaz</t>
  </si>
  <si>
    <t>Génova 436, 436</t>
  </si>
  <si>
    <t>DOR55014613</t>
  </si>
  <si>
    <t>258017897</t>
  </si>
  <si>
    <t>NOMBRE RETIRA: FLAVUO ZANATA A RUT RETIRA: 53330390-0</t>
  </si>
  <si>
    <t>Tomas Barros</t>
  </si>
  <si>
    <t>Edmundo Eluchans 2066, dpto 507</t>
  </si>
  <si>
    <t>DOR55014630</t>
  </si>
  <si>
    <t>258017751</t>
  </si>
  <si>
    <t>NOMBRE RETIRA: MANUEL JARA . RUT RETIRA: 10311425-K</t>
  </si>
  <si>
    <t>YESLY MABEL GOMEZ</t>
  </si>
  <si>
    <t>Puerto Natales 1422, altos de alerce, alerce sur</t>
  </si>
  <si>
    <t>DOR55014612</t>
  </si>
  <si>
    <t>258017930</t>
  </si>
  <si>
    <t>NOMBRE RETIRA: CLAUDIA OYARCE O RUT RETIRA: 15941586-4</t>
  </si>
  <si>
    <t>DOR55014584</t>
  </si>
  <si>
    <t>258017997</t>
  </si>
  <si>
    <t>NOMBRE RETIRA: INRIQUE MORALES .. RUT RETIRA: 6391842-3</t>
  </si>
  <si>
    <t>Enrique Morales Jofre</t>
  </si>
  <si>
    <t>Raúl Cerda Palma 481</t>
  </si>
  <si>
    <t>DOR55014633</t>
  </si>
  <si>
    <t>258017717</t>
  </si>
  <si>
    <t>NOMBRE RETIRA: JAIME RAMIREZ A RUT RETIRA: 53333564-0</t>
  </si>
  <si>
    <t>Hernán Ríos Tapia</t>
  </si>
  <si>
    <t>Eleuterio Ramírez 1147, Edificio parque las Palmas II, depto 87</t>
  </si>
  <si>
    <t>DOR55014640</t>
  </si>
  <si>
    <t>258102877</t>
  </si>
  <si>
    <t>NOMBRE RETIRA: OMAR LIZAMA U RUT RETIRA: 15988892-4</t>
  </si>
  <si>
    <t>Catalina Frutos</t>
  </si>
  <si>
    <t>Los Castaños 55, Depto. 33 D</t>
  </si>
  <si>
    <t>2025-11-25 21:21</t>
  </si>
  <si>
    <t>DOR55014643</t>
  </si>
  <si>
    <t>258102893</t>
  </si>
  <si>
    <t>NOMBRE RETIRA: HERNAN . . RUT RETIRA: 53330390-0</t>
  </si>
  <si>
    <t>Hernán Caviedes Manzano</t>
  </si>
  <si>
    <t>Manuel montt 749, Manuel montt 749, cerro placeres, valparaíso</t>
  </si>
  <si>
    <t>DOR55014602</t>
  </si>
  <si>
    <t>258017928</t>
  </si>
  <si>
    <t>NOMBRE RETIRA: CARMEN MADINA PALMA RUT RETIRA: 18377037-3</t>
  </si>
  <si>
    <t>Lucas Contreras</t>
  </si>
  <si>
    <t>Peñi 832, Alto Lo Castillo</t>
  </si>
  <si>
    <t>DOR55014625</t>
  </si>
  <si>
    <t>258017789</t>
  </si>
  <si>
    <t>NOMBRE RETIRA: ANA MORALES PORTERIA RUT RETIRA: 65093621-3</t>
  </si>
  <si>
    <t>Jorge Ignacio Reyes Silva</t>
  </si>
  <si>
    <t>Angelica 99, DEPTO 3114 CONDOMINIO COSTA HERRADURA</t>
  </si>
  <si>
    <t>DOR55014587</t>
  </si>
  <si>
    <t>258018018</t>
  </si>
  <si>
    <t>NOMBRE RETIRA: MARIA RIOS . RUT RETIRA: 14560435-4</t>
  </si>
  <si>
    <t>Maria Rebeca Rios</t>
  </si>
  <si>
    <t>Av. Gabriela Mistral 2629</t>
  </si>
  <si>
    <t>DOR55014611</t>
  </si>
  <si>
    <t>258017936</t>
  </si>
  <si>
    <t>NOMBRE RETIRA: CARLOS SOTO .. RUT RETIRA: 15532186-5</t>
  </si>
  <si>
    <t>Maria Fernanda Medina Ferreira</t>
  </si>
  <si>
    <t>Avenida Oriente 714, Avenida Oriente 714, casa, condominio valle oriente</t>
  </si>
  <si>
    <t>DOR55014637</t>
  </si>
  <si>
    <t>258102938</t>
  </si>
  <si>
    <t>NOMBRE RETIRA: LUIS GONZALEZ . RUT RETIRA: 8184897-1</t>
  </si>
  <si>
    <t>Teresita Umanzor Borquez</t>
  </si>
  <si>
    <t>Cerro Negro 873, Lomas de oriente 1</t>
  </si>
  <si>
    <t>DOR55014619</t>
  </si>
  <si>
    <t>258017862</t>
  </si>
  <si>
    <t>NOMBRE RETIRA: REINALDO MARIN . RUT RETIRA: 11794370-4</t>
  </si>
  <si>
    <t>Eduardo Godoy</t>
  </si>
  <si>
    <t>Av. Curamonte norte 301 (laderas de curamonte ), Consergeria</t>
  </si>
  <si>
    <t>DOR55014624</t>
  </si>
  <si>
    <t>258017845</t>
  </si>
  <si>
    <t>NOMBRE RETIRA: VANESA SOTO . RUT RETIRA: 19826392-3</t>
  </si>
  <si>
    <t>Ana María Fuentes Valdes</t>
  </si>
  <si>
    <t>Ernesto Pinto Lagarrigue 2973, 2973</t>
  </si>
  <si>
    <t>DOR55014618</t>
  </si>
  <si>
    <t>258017875</t>
  </si>
  <si>
    <t>NOMBRE RETIRA: ANGELA REYES XX XX RUT RETIRA: 10946481-3</t>
  </si>
  <si>
    <t>Angela Reyes</t>
  </si>
  <si>
    <t>Guillermo Munich 391, 9</t>
  </si>
  <si>
    <t>DOR55014509</t>
  </si>
  <si>
    <t>257288692</t>
  </si>
  <si>
    <t>NOMBRE RETIRA: ELIAS CRUCES . RUT RETIRA: 17594100-2</t>
  </si>
  <si>
    <t>Maria jose Aguilar Burgos</t>
  </si>
  <si>
    <t>Baquedano 773, Local Comercial</t>
  </si>
  <si>
    <t>2025-11-14 11:19</t>
  </si>
  <si>
    <t>DOR55015443</t>
  </si>
  <si>
    <t>712995283173</t>
  </si>
  <si>
    <t>Nombre: TITO VENENCIANO - Rut: 13537410</t>
  </si>
  <si>
    <t>Oseas Venenciano</t>
  </si>
  <si>
    <t>CallejÓn Monte Oscuro 90, Tahuinco</t>
  </si>
  <si>
    <t>DOR55015441</t>
  </si>
  <si>
    <t>712995283221</t>
  </si>
  <si>
    <t>Nombre: Maria olivares - Rut: 100213893</t>
  </si>
  <si>
    <t>Margarita Carvajal</t>
  </si>
  <si>
    <t>Balmaceda 61</t>
  </si>
  <si>
    <t>2025-12-18 20:14</t>
  </si>
  <si>
    <t>DOR55015434</t>
  </si>
  <si>
    <t>712995283195</t>
  </si>
  <si>
    <t>Nombre: marycel Gonzalez - Rut: 143805107</t>
  </si>
  <si>
    <t>Daniela Torres López</t>
  </si>
  <si>
    <t>Juana Álvarez 114-A pomaire, Pomaire</t>
  </si>
  <si>
    <t>DOR55015392</t>
  </si>
  <si>
    <t>712992334762</t>
  </si>
  <si>
    <t>Nombre: Jonatan Betancourt - Rut: 176098600</t>
  </si>
  <si>
    <t>Jonathan Bettancourt</t>
  </si>
  <si>
    <t>Psje las añañucas 557, Casa</t>
  </si>
  <si>
    <t>DOR55015334</t>
  </si>
  <si>
    <t>712991343912</t>
  </si>
  <si>
    <t>Nombre: Adrian silva - Rut: 143070964</t>
  </si>
  <si>
    <t>Sergio Rodriguez</t>
  </si>
  <si>
    <t>Vicuña Mackenna 3548, Parcela 41</t>
  </si>
  <si>
    <t>DOR55015209</t>
  </si>
  <si>
    <t>712988200724</t>
  </si>
  <si>
    <t>Nombre: Javiera brito - Rut: 192127440</t>
  </si>
  <si>
    <t>Javiera Brito</t>
  </si>
  <si>
    <t>Miraflores 1905, Casa 24</t>
  </si>
  <si>
    <t>DOR55015181</t>
  </si>
  <si>
    <t>712986711290</t>
  </si>
  <si>
    <t>Nombre: Cristian calderon - Rut: 236111814</t>
  </si>
  <si>
    <t>Paulina García Toro</t>
  </si>
  <si>
    <t>Liberona 956</t>
  </si>
  <si>
    <t>DOR55015039</t>
  </si>
  <si>
    <t>712984702802</t>
  </si>
  <si>
    <t>Nombre: ana vargas - Rut: 59505424</t>
  </si>
  <si>
    <t>Allison Moreno</t>
  </si>
  <si>
    <t>Los Espinos 105, La foresta</t>
  </si>
  <si>
    <t>DOR55014950</t>
  </si>
  <si>
    <t>712982683534</t>
  </si>
  <si>
    <t>Nombre: Nando Gutierrez - Rut: 228247332</t>
  </si>
  <si>
    <t>Francisco Gutierrez</t>
  </si>
  <si>
    <t>Las palomas 25</t>
  </si>
  <si>
    <t>DOR55014800</t>
  </si>
  <si>
    <t>712980529306</t>
  </si>
  <si>
    <t>Nombre: Araceli Romo - Rut: 184885735</t>
  </si>
  <si>
    <t>Araceli Romo</t>
  </si>
  <si>
    <t>Italia 2048</t>
  </si>
  <si>
    <t>DOR55014704</t>
  </si>
  <si>
    <t>9409400280</t>
  </si>
  <si>
    <t>Michele Véliz Gómez</t>
  </si>
  <si>
    <t>Psje. Lago Panguipulli 1585, Villa Cordillera, 1er pasaje mano derecha, atrás Mimbral Balmaceda</t>
  </si>
  <si>
    <t>DOR55015358</t>
  </si>
  <si>
    <t>9420041525</t>
  </si>
  <si>
    <t>Helmut Cerda</t>
  </si>
  <si>
    <t>José Miguel carrera 74</t>
  </si>
  <si>
    <t>DOR55015308</t>
  </si>
  <si>
    <t>9418335220</t>
  </si>
  <si>
    <t>P.PATIOLA App: Numero Retiro: 201305012</t>
  </si>
  <si>
    <t>Sebastián Cerón Peñailillo</t>
  </si>
  <si>
    <t>Las parras 1001, 134</t>
  </si>
  <si>
    <t>DOR55015293</t>
  </si>
  <si>
    <t>9417655365</t>
  </si>
  <si>
    <t>Mario rojas recibido</t>
  </si>
  <si>
    <t>Mario Rojas</t>
  </si>
  <si>
    <t>Craig 330</t>
  </si>
  <si>
    <t>2025-12-12 20:14</t>
  </si>
  <si>
    <t>DOR55015342</t>
  </si>
  <si>
    <t>9418200260</t>
  </si>
  <si>
    <t>Gissel Rodriguez duena permite dejar en el patio</t>
  </si>
  <si>
    <t>Gissel Soto Garrido</t>
  </si>
  <si>
    <t>Pasaje la ligua 61, El Villar, Casa</t>
  </si>
  <si>
    <t>DOR55015407</t>
  </si>
  <si>
    <t>9423436595</t>
  </si>
  <si>
    <t>marcelo gallegillos padre</t>
  </si>
  <si>
    <t>Yessy Osorio Rivera</t>
  </si>
  <si>
    <t>La Cervera 1000 Club  Golf Araucarias parcela 2</t>
  </si>
  <si>
    <t>DOR55015297</t>
  </si>
  <si>
    <t>9418322782</t>
  </si>
  <si>
    <t>19183372-4 Felipe Caceres recibe conforme</t>
  </si>
  <si>
    <t>Cecilia Orellana</t>
  </si>
  <si>
    <t>Condominio parque colonial, Parcela 6</t>
  </si>
  <si>
    <t>DOR55015154</t>
  </si>
  <si>
    <t>9413239931</t>
  </si>
  <si>
    <t>Ihara Muñoz</t>
  </si>
  <si>
    <t>Camino Padre Hurtado 20120, Gimnasio Valle Sport</t>
  </si>
  <si>
    <t>DOR55015267</t>
  </si>
  <si>
    <t>9418926355</t>
  </si>
  <si>
    <t>Fernando Flores Basualto</t>
  </si>
  <si>
    <t>Los robles 1426</t>
  </si>
  <si>
    <t>DOR55015264</t>
  </si>
  <si>
    <t>9412758552</t>
  </si>
  <si>
    <t>Felipe Farías</t>
  </si>
  <si>
    <t>Av. 18 de septiembre 707, Casa</t>
  </si>
  <si>
    <t>DOR55015265</t>
  </si>
  <si>
    <t>9418731615</t>
  </si>
  <si>
    <t>Los naranjos 325</t>
  </si>
  <si>
    <t>DOR55015263</t>
  </si>
  <si>
    <t>9419008211</t>
  </si>
  <si>
    <t>Miguel Mellado</t>
  </si>
  <si>
    <t>Pasaje tres 4154, Casa</t>
  </si>
  <si>
    <t>DOR55015200</t>
  </si>
  <si>
    <t>9418478263</t>
  </si>
  <si>
    <t>JULY DIAZ MONTERO</t>
  </si>
  <si>
    <t>Avda Santa María Poniente 7778</t>
  </si>
  <si>
    <t>DOR55015143</t>
  </si>
  <si>
    <t>9413168310</t>
  </si>
  <si>
    <t>Andersson Castañeda</t>
  </si>
  <si>
    <t>Luis Hinojosa Pascua 1740, casa 52, Casa 52</t>
  </si>
  <si>
    <t>DOR55015155</t>
  </si>
  <si>
    <t>9413560295</t>
  </si>
  <si>
    <t>Marco Moran</t>
  </si>
  <si>
    <t>Chapito 242</t>
  </si>
  <si>
    <t>DOR55015034</t>
  </si>
  <si>
    <t>9415140081</t>
  </si>
  <si>
    <t>pamela Munoz mama. recibe conforme</t>
  </si>
  <si>
    <t>Xabier Moreno</t>
  </si>
  <si>
    <t>Corona de inca 321, Casa</t>
  </si>
  <si>
    <t>DOR55015138</t>
  </si>
  <si>
    <t>9411509166</t>
  </si>
  <si>
    <t>Nicolas Aguilera</t>
  </si>
  <si>
    <t>Vicente Huidobro 01405</t>
  </si>
  <si>
    <t>DOR55015063</t>
  </si>
  <si>
    <t>9411421994</t>
  </si>
  <si>
    <t>Pia Cancino</t>
  </si>
  <si>
    <t>C. Rio Cautín 368, Cajón</t>
  </si>
  <si>
    <t>DOR55015133</t>
  </si>
  <si>
    <t>9411216426</t>
  </si>
  <si>
    <t>Cristian Aroca</t>
  </si>
  <si>
    <t>Callejón las rosas ,condominio los nogales parcela 15 15 ,paine, Parcela 15</t>
  </si>
  <si>
    <t>DOR55015059</t>
  </si>
  <si>
    <t>9414845392</t>
  </si>
  <si>
    <t>María Jesús Osorio LAFONTAINE</t>
  </si>
  <si>
    <t>Los Almendros 3611</t>
  </si>
  <si>
    <t>DOR55015088</t>
  </si>
  <si>
    <t>9414699825</t>
  </si>
  <si>
    <t>Ruby Bobadilla</t>
  </si>
  <si>
    <t>Corcoven 2085</t>
  </si>
  <si>
    <t>DOR55015048</t>
  </si>
  <si>
    <t>9411509564</t>
  </si>
  <si>
    <t>BXG:LRSR95</t>
  </si>
  <si>
    <t>Tatiana Ormeño ocampo</t>
  </si>
  <si>
    <t>Los Geranios 265, Casa</t>
  </si>
  <si>
    <t>DOR55014986</t>
  </si>
  <si>
    <t>9416210204</t>
  </si>
  <si>
    <t>7213039-1 Maria. veliz recibe titular</t>
  </si>
  <si>
    <t>Camila Olivares A.</t>
  </si>
  <si>
    <t>Pje Las Violetas 116, Villa los Bronces</t>
  </si>
  <si>
    <t>DOR55014995</t>
  </si>
  <si>
    <t>9415797344</t>
  </si>
  <si>
    <t>griselda ok</t>
  </si>
  <si>
    <t>Claudio Romero</t>
  </si>
  <si>
    <t>Luis Hinojosa Pascua 1633</t>
  </si>
  <si>
    <t>DOR55014792</t>
  </si>
  <si>
    <t>9410915953</t>
  </si>
  <si>
    <t>Eric Felipe Ayala Córdova</t>
  </si>
  <si>
    <t>Av. Victor Troncoso Muñoz 375, Casa 25</t>
  </si>
  <si>
    <t>DOR55014835</t>
  </si>
  <si>
    <t>9410487682</t>
  </si>
  <si>
    <t>Leslie Polanco</t>
  </si>
  <si>
    <t>Palermo 3349, 3349</t>
  </si>
  <si>
    <t>DOR55014854</t>
  </si>
  <si>
    <t>9410396925</t>
  </si>
  <si>
    <t>Macarena Aliaga</t>
  </si>
  <si>
    <t>Casa Esquina Minimarket, Calle AnÍbal Pinto 502</t>
  </si>
  <si>
    <t>DOR55014761</t>
  </si>
  <si>
    <t>9410119736</t>
  </si>
  <si>
    <t>Arturo Prat 320, DIDECO</t>
  </si>
  <si>
    <t>DOR55014758</t>
  </si>
  <si>
    <t>9410596414</t>
  </si>
  <si>
    <t>Katherine Parra ubal</t>
  </si>
  <si>
    <t>Eduardo Cortés Medina 944, Casa</t>
  </si>
  <si>
    <t>DOR55014754</t>
  </si>
  <si>
    <t>9410563455</t>
  </si>
  <si>
    <t>Karla Asbún</t>
  </si>
  <si>
    <t>DOR55014913</t>
  </si>
  <si>
    <t>9417119353</t>
  </si>
  <si>
    <t>Dominique Sanchez</t>
  </si>
  <si>
    <t>Francisco Krugger 2500, 25</t>
  </si>
  <si>
    <t>DOR55014876</t>
  </si>
  <si>
    <t>9410384410</t>
  </si>
  <si>
    <t>Manuel Figueroa Castro</t>
  </si>
  <si>
    <t>Serena 553</t>
  </si>
  <si>
    <t>DOR55014773</t>
  </si>
  <si>
    <t>9410341511</t>
  </si>
  <si>
    <t>Juan Miranda Muñoz</t>
  </si>
  <si>
    <t>Melipeuco, Chile</t>
  </si>
  <si>
    <t>DOR55014893</t>
  </si>
  <si>
    <t>9410673764</t>
  </si>
  <si>
    <t>Hector Campos</t>
  </si>
  <si>
    <t>Av. los Corraleros 2731, Casa 105</t>
  </si>
  <si>
    <t>DOR55014838</t>
  </si>
  <si>
    <t>9410918031</t>
  </si>
  <si>
    <t>Yal Mazuret Caceres</t>
  </si>
  <si>
    <t>Rio Loncomilla 1421</t>
  </si>
  <si>
    <t>DOR55014726</t>
  </si>
  <si>
    <t>9416614314</t>
  </si>
  <si>
    <t>Leslie Rebolledo</t>
  </si>
  <si>
    <t>Villaseca 672 , Casa 3. Condominio Quinta Villaseca</t>
  </si>
  <si>
    <t>DOR55014626</t>
  </si>
  <si>
    <t>9391959964</t>
  </si>
  <si>
    <t>Yasna Torres peña y lillo</t>
  </si>
  <si>
    <t>Piloto Samuel Ulloa 637, Casa 637</t>
  </si>
  <si>
    <t>DOR55014692</t>
  </si>
  <si>
    <t>9409731004</t>
  </si>
  <si>
    <t>Ivonne Herrera Silva</t>
  </si>
  <si>
    <t>Gabriela Mistral 17 , Villa el Abra</t>
  </si>
  <si>
    <t>MVI-2673</t>
  </si>
  <si>
    <t>260530390</t>
  </si>
  <si>
    <t>MARINA VITAL</t>
  </si>
  <si>
    <t>NOMBRE RETIRA: DANIELA MOLINA . RUT RETIRA: 16037005-K</t>
  </si>
  <si>
    <t>CAUPOLICAN 518 PISO 8</t>
  </si>
  <si>
    <t>2025-12-22 12:16</t>
  </si>
  <si>
    <t>MVI-2656</t>
  </si>
  <si>
    <t>259690289</t>
  </si>
  <si>
    <t>NOMBRE RETIRA: JUANA OJEDA . RUT RETIRA: 11111111-1</t>
  </si>
  <si>
    <t>Nicole Arata</t>
  </si>
  <si>
    <t>Enrique abello 705</t>
  </si>
  <si>
    <t>MVI-2671</t>
  </si>
  <si>
    <t>260323392</t>
  </si>
  <si>
    <t>NOMBRE RETIRA: SANDRA RODRIGUEZ . RUT RETIRA: 10967860-0</t>
  </si>
  <si>
    <t>Sandra Rodriguez</t>
  </si>
  <si>
    <t>Humberto Marín Williams 1163</t>
  </si>
  <si>
    <t>MVI-2666</t>
  </si>
  <si>
    <t>260107300</t>
  </si>
  <si>
    <t>NOMBRE RETIRA: MARIA SOTO B RUT RETIRA: 11388354-5</t>
  </si>
  <si>
    <t>Catalina Angel Orrego Sato</t>
  </si>
  <si>
    <t>Pasaje Maullin, Andres Bello, Limache, #125, casa 125</t>
  </si>
  <si>
    <t>MVI-2658</t>
  </si>
  <si>
    <t>260106962</t>
  </si>
  <si>
    <t>NOMBRE RETIRA: MARIA ARAVENA A RUT RETIRA: 8488848-6</t>
  </si>
  <si>
    <t>María Victoria Aravena Rojas</t>
  </si>
  <si>
    <t>Del Arrayan población esperanza 1680</t>
  </si>
  <si>
    <t>MVI-2662</t>
  </si>
  <si>
    <t>260106953</t>
  </si>
  <si>
    <t>NOMBRE RETIRA: FRANCISCO AYARA ARAYA RUT RETIRA: 21248155-6</t>
  </si>
  <si>
    <t>Francisco Araya collao</t>
  </si>
  <si>
    <t>Paisaje del Maule ,537</t>
  </si>
  <si>
    <t>MVI-2652</t>
  </si>
  <si>
    <t>259484170</t>
  </si>
  <si>
    <t>NOMBRE RETIRA: EDISON GODOY . RUT RETIRA: 17222337-0</t>
  </si>
  <si>
    <t>Paulina Villegas</t>
  </si>
  <si>
    <t>Tucapel 90 Concepcion Dpto 607, Dpto 607</t>
  </si>
  <si>
    <t>MVI-2648</t>
  </si>
  <si>
    <t>259484200</t>
  </si>
  <si>
    <t>NOMBRE RETIRA: MOISES BELLO . RUT RETIRA: 8361313-0</t>
  </si>
  <si>
    <t>Daniela Maldonado</t>
  </si>
  <si>
    <t>Camilo Henriquez 980</t>
  </si>
  <si>
    <t>MVI-2636</t>
  </si>
  <si>
    <t>258930545</t>
  </si>
  <si>
    <t>NOMBRE RETIRA: MACARENA MENECES ... RUT RETIRA: 12840839-8</t>
  </si>
  <si>
    <t>Macarena Meneses Osorio</t>
  </si>
  <si>
    <t>Carlos Newman 699, Cerro La Loma, depto A</t>
  </si>
  <si>
    <t>MVI-2638</t>
  </si>
  <si>
    <t>258930533</t>
  </si>
  <si>
    <t>NOMBRE RETIRA: KAREN LOPEZ X RUT RETIRA: 17437920-3</t>
  </si>
  <si>
    <t>Karen Lopez rojas</t>
  </si>
  <si>
    <t>Av Arturo Pérez Canto 560</t>
  </si>
  <si>
    <t>MVI-2634</t>
  </si>
  <si>
    <t>258759024</t>
  </si>
  <si>
    <t>NOMBRE RETIRA: WUALDO MACHUCA . RUT RETIRA: 8416064-4</t>
  </si>
  <si>
    <t>Pamela Herrera Vergara</t>
  </si>
  <si>
    <t>Los Maitenes 550, Condominio Conguillio, San Guillermo, Casa 29</t>
  </si>
  <si>
    <t>MVI-2619</t>
  </si>
  <si>
    <t>9392494624</t>
  </si>
  <si>
    <t>BXG:LHHF37</t>
  </si>
  <si>
    <t>Carolina Arancibia robledo</t>
  </si>
  <si>
    <t>Parcela 10, Calle Coquimbo 1793 P10 batuco</t>
  </si>
  <si>
    <t>2025-11-27 14:11</t>
  </si>
  <si>
    <t>MVI-2641</t>
  </si>
  <si>
    <t>712983103243</t>
  </si>
  <si>
    <t>Nombre: cinthia rojas - Rut: 164595331</t>
  </si>
  <si>
    <t>Cinthya Rojas Canales</t>
  </si>
  <si>
    <t>Blanco encalada #556, Casa</t>
  </si>
  <si>
    <t>MVI-2651</t>
  </si>
  <si>
    <t>9412297705</t>
  </si>
  <si>
    <t>Veronica vergara okb</t>
  </si>
  <si>
    <t>Maria Lagos Curiqueo</t>
  </si>
  <si>
    <t>Pasaje los Manzanos 20.008, Poblacion Victoria, Casa</t>
  </si>
  <si>
    <t>MMEDD907</t>
  </si>
  <si>
    <t>260642570</t>
  </si>
  <si>
    <t>MUNDOBAREFOOT-SAGUAROSHOES</t>
  </si>
  <si>
    <t>NOMBRE RETIRA: FRANCISCO SOTO SOTO RUT RETIRA: 18446261-3</t>
  </si>
  <si>
    <t>Nueva koke, 257, CASA 42, ARBOLEDA DE KOKE</t>
  </si>
  <si>
    <t>2025-12-23 11:44</t>
  </si>
  <si>
    <t>Sag_14763</t>
  </si>
  <si>
    <t>259888110</t>
  </si>
  <si>
    <t>NOMBRE RETIRA: RODRIGO MUNOZ ORTEGA RUT RETIRA: 19599516-8</t>
  </si>
  <si>
    <t>Rodrigo Muñoz Ortega</t>
  </si>
  <si>
    <t>CALLE CAUPOLICAN 583</t>
  </si>
  <si>
    <t>2025-12-15 12:34</t>
  </si>
  <si>
    <t>Sag_T0315</t>
  </si>
  <si>
    <t>259569895</t>
  </si>
  <si>
    <t>NOMBRE RETIRA: PAMELA MAZA . RUT RETIRA: 13509269-K</t>
  </si>
  <si>
    <t>Distrito andalue - Mundo barefoot</t>
  </si>
  <si>
    <t>Av. Andalue 2249</t>
  </si>
  <si>
    <t>Sag_13266</t>
  </si>
  <si>
    <t>257699883</t>
  </si>
  <si>
    <t>NOMBRE RETIRA: JULIETA SALINAS . RUT RETIRA: 1-9</t>
  </si>
  <si>
    <t>julieta SALINAS VARELA</t>
  </si>
  <si>
    <t>Licancabur 294</t>
  </si>
  <si>
    <t>2025-11-20 14:45</t>
  </si>
  <si>
    <t>Sag_13739-2</t>
  </si>
  <si>
    <t>258056425</t>
  </si>
  <si>
    <t>NOMBRE RETIRA: MARIAPAZ ACUNA ORELLAN RUT RETIRA: 17040734-2</t>
  </si>
  <si>
    <t>Mariapaz Acuña Orellana</t>
  </si>
  <si>
    <t>Calle 6 Poniente nº498 Villa Eden</t>
  </si>
  <si>
    <t>2025-11-25 18:09</t>
  </si>
  <si>
    <t>Sag_14065</t>
  </si>
  <si>
    <t>258057495</t>
  </si>
  <si>
    <t>NOMBRE RETIRA: KIMBERLY GUEDES . RUT RETIRA: 1-9</t>
  </si>
  <si>
    <t>Kimberly Guedes</t>
  </si>
  <si>
    <t>2025-11-25 18:21</t>
  </si>
  <si>
    <t>Sag_13739</t>
  </si>
  <si>
    <t>257145547</t>
  </si>
  <si>
    <t>13 1/2 Sur. 8 1/2 oriente 219, casa esquina</t>
  </si>
  <si>
    <t>2025-11-12 14:04</t>
  </si>
  <si>
    <t>Sag_13557</t>
  </si>
  <si>
    <t>257768155</t>
  </si>
  <si>
    <t>NOMBRE RETIRA: LUZ REDLICH ABURTO RUT RETIRA: 16136730-3</t>
  </si>
  <si>
    <t>Luz María Redlich Aburto</t>
  </si>
  <si>
    <t>Del Salvador 1093</t>
  </si>
  <si>
    <t>2025-11-21 12:46</t>
  </si>
  <si>
    <t>#NTVA7265</t>
  </si>
  <si>
    <t>260403106</t>
  </si>
  <si>
    <t>NATIVA ELEMENTS</t>
  </si>
  <si>
    <t>NOMBRE RETIRA: CECILIA OYARZUN . RUT RETIRA: 7521811-7</t>
  </si>
  <si>
    <t>Maria Paz Rodríguez Oyarzún</t>
  </si>
  <si>
    <t>Nonguén 309, Casa</t>
  </si>
  <si>
    <t>#NTVA6510</t>
  </si>
  <si>
    <t>256798751</t>
  </si>
  <si>
    <t>NOMBRE RETIRA: MIGUEL ILLESCA . RUT RETIRA: 9848223-7</t>
  </si>
  <si>
    <t>Yajaira Arriagada</t>
  </si>
  <si>
    <t>Monte Udalaitz 2006, Casa esquina</t>
  </si>
  <si>
    <t>2025-11-07 12:06</t>
  </si>
  <si>
    <t>#NTVA7328</t>
  </si>
  <si>
    <t>260553256</t>
  </si>
  <si>
    <t>NOMBRE RETIRA: BASTIAN SANHUEZA . RUT RETIRA: 18100464-9</t>
  </si>
  <si>
    <t>Bastian Sanhueza Chávez</t>
  </si>
  <si>
    <t>Patricio Lynch #571, Casa C</t>
  </si>
  <si>
    <t>2025-12-22 11:17</t>
  </si>
  <si>
    <t>#NTVA7285</t>
  </si>
  <si>
    <t>260553602</t>
  </si>
  <si>
    <t>NOMBRE RETIRA: DEISY CERDA . RUT RETIRA: 15929075-1</t>
  </si>
  <si>
    <t>Gustavo Quitral</t>
  </si>
  <si>
    <t>Pasaje Zaragoza 259, Valle Noble</t>
  </si>
  <si>
    <t>2025-12-21 21:04</t>
  </si>
  <si>
    <t>#NTVA7298</t>
  </si>
  <si>
    <t>260553533</t>
  </si>
  <si>
    <t>NOMBRE RETIRA: SAIRA GAMBETA .. RUT RETIRA: 7532747-1</t>
  </si>
  <si>
    <t>Nayeli contreras</t>
  </si>
  <si>
    <t>Almirante Williams Rebolledo 469</t>
  </si>
  <si>
    <t>#NTVA7247</t>
  </si>
  <si>
    <t>260403245</t>
  </si>
  <si>
    <t>NOMBRE RETIRA: VALENTINA NAVARRETE . RUT RETIRA: 23111605-2</t>
  </si>
  <si>
    <t>Javiera Navarrete Sanhueza</t>
  </si>
  <si>
    <t>Estanislao Espinoza 2190, Casa</t>
  </si>
  <si>
    <t>#NTVA7166</t>
  </si>
  <si>
    <t>260169976</t>
  </si>
  <si>
    <t>NOMBRE RETIRA: MARIA CONSERJE . RUT RETIRA: 19599564-8</t>
  </si>
  <si>
    <t>Benjamín García Montecinos</t>
  </si>
  <si>
    <t>Avenida Los Carrera 1865, edificio Plaza Boulevard, depto 603</t>
  </si>
  <si>
    <t>#NTVA7310</t>
  </si>
  <si>
    <t>260553424</t>
  </si>
  <si>
    <t>NOMBRE RETIRA: HERIBERTO GOMEZ Y RUT RETIRA: 4917243-5</t>
  </si>
  <si>
    <t>Vicente Gómez</t>
  </si>
  <si>
    <t>Laurel Seis 5028, Casa a mitad del pasaje color amarillo</t>
  </si>
  <si>
    <t>#NTVA7315</t>
  </si>
  <si>
    <t>260553349</t>
  </si>
  <si>
    <t>NOMBRE RETIRA: HUGO OJEDA . RUT RETIRA: 7943770-0</t>
  </si>
  <si>
    <t>Felipe Ojeda</t>
  </si>
  <si>
    <t>Baviera 1866, Casa</t>
  </si>
  <si>
    <t>#NTVA7311</t>
  </si>
  <si>
    <t>260553413</t>
  </si>
  <si>
    <t>NOMBRE RETIRA: IVAN BUGUENO . RUT RETIRA: 19982393-0</t>
  </si>
  <si>
    <t>Ivan Bugueño</t>
  </si>
  <si>
    <t>Población el recuerdo calle victoria 471, Casa</t>
  </si>
  <si>
    <t>#NTVA7330</t>
  </si>
  <si>
    <t>260553251</t>
  </si>
  <si>
    <t>NOMBRE RETIRA: LUIS CHUQUEAN . RUT RETIRA: 13590968-8</t>
  </si>
  <si>
    <t>Luis Cheuquean</t>
  </si>
  <si>
    <t>Paraná 1449, Casa</t>
  </si>
  <si>
    <t>#NTVA7338</t>
  </si>
  <si>
    <t>260553225</t>
  </si>
  <si>
    <t>NOMBRE RETIRA: CLAUDIO PUELLES . RUT RETIRA: 56052880-9</t>
  </si>
  <si>
    <t>Debora Zambra</t>
  </si>
  <si>
    <t>3 norte 270, Depto 72</t>
  </si>
  <si>
    <t>#NTVA7296</t>
  </si>
  <si>
    <t>260553566</t>
  </si>
  <si>
    <t>NOMBRE RETIRA: VERONOCA B B RUT RETIRA: 13624643-7</t>
  </si>
  <si>
    <t>Camila Martínez Fuentes</t>
  </si>
  <si>
    <t>Calle LL 1201, casa 16</t>
  </si>
  <si>
    <t>#NTVA7305</t>
  </si>
  <si>
    <t>260553441</t>
  </si>
  <si>
    <t>NOMBRE RETIRA: VICENTE PQLACIOS . RUT RETIRA: 13724955-3</t>
  </si>
  <si>
    <t>Ximena Salazar Manquelipe</t>
  </si>
  <si>
    <t>Nahuel 655, San Pedro de La Paz</t>
  </si>
  <si>
    <t>#NTVA7327</t>
  </si>
  <si>
    <t>260553296</t>
  </si>
  <si>
    <t>NOMBRE RETIRA: BELEN PKNO . RUT RETIRA: 21381158-4</t>
  </si>
  <si>
    <t>Belén Pino Arévalo</t>
  </si>
  <si>
    <t>Comandante Simpson 45, Casa</t>
  </si>
  <si>
    <t>#NTVA7271</t>
  </si>
  <si>
    <t>260553721</t>
  </si>
  <si>
    <t>Claudio Bobadilla</t>
  </si>
  <si>
    <t>Santa teresita 53, machali, Casa</t>
  </si>
  <si>
    <t>#NTVA7246</t>
  </si>
  <si>
    <t>260403253</t>
  </si>
  <si>
    <t>NOMBRE RETIRA: ENZO MORENO . RUT RETIRA: 20868962-2</t>
  </si>
  <si>
    <t>Carla Melo</t>
  </si>
  <si>
    <t>Caupolican 330 ,lota bajo, Local sushimixlota</t>
  </si>
  <si>
    <t>#NTVA7237</t>
  </si>
  <si>
    <t>260306410</t>
  </si>
  <si>
    <t>NOMBRE RETIRA: GONZALO HUILIPAN . RUT RETIRA: 22245055-1</t>
  </si>
  <si>
    <t>Gonzalo Huilipan</t>
  </si>
  <si>
    <t>Pucon</t>
  </si>
  <si>
    <t>2025-12-19 11:22</t>
  </si>
  <si>
    <t>#NTVA7231</t>
  </si>
  <si>
    <t>260306488</t>
  </si>
  <si>
    <t>NOMBRE RETIRA: FERNANDA MALDONADO . RUT RETIRA: 28094903-5</t>
  </si>
  <si>
    <t>fernanda maldonado</t>
  </si>
  <si>
    <t>chile españa 235, los villares 4900</t>
  </si>
  <si>
    <t>#NTVA7057</t>
  </si>
  <si>
    <t>260015598</t>
  </si>
  <si>
    <t>NOMBRE RETIRA: LAURA MERINO . RUT RETIRA: 21805186-3</t>
  </si>
  <si>
    <t>Laura Merino</t>
  </si>
  <si>
    <t>El Ventisquero 490, Casa</t>
  </si>
  <si>
    <t>2025-12-12 20:21</t>
  </si>
  <si>
    <t>#NTVA7198</t>
  </si>
  <si>
    <t>260306623</t>
  </si>
  <si>
    <t>NOMBRE RETIRA: ANGELICA CONTRERAS MUNOZ RUT RETIRA: 13417240-1</t>
  </si>
  <si>
    <t>Giovanni Sepulveda Ramos</t>
  </si>
  <si>
    <t>Chacra vieja 3818, Villa portal del inca</t>
  </si>
  <si>
    <t>2025-12-18 11:54</t>
  </si>
  <si>
    <t>#NTVA7250</t>
  </si>
  <si>
    <t>260403198</t>
  </si>
  <si>
    <t>NOMBRE RETIRA: JUAN PEREZ . RUT RETIRA: 18486096-1</t>
  </si>
  <si>
    <t>Paula Tiznado Aguilera</t>
  </si>
  <si>
    <t>los químicos 055</t>
  </si>
  <si>
    <t>#NTVA7227</t>
  </si>
  <si>
    <t>260306529</t>
  </si>
  <si>
    <t>NOMBRE RETIRA: MARCELA MOLLA . RUT RETIRA: 10829731-K</t>
  </si>
  <si>
    <t>Javier Gutierrez moya</t>
  </si>
  <si>
    <t>6 norte 5 y media poniente pasaje D, 1691</t>
  </si>
  <si>
    <t>#NTVA7258</t>
  </si>
  <si>
    <t>260403145</t>
  </si>
  <si>
    <t>Perla Lueiza</t>
  </si>
  <si>
    <t>roque esteban scarpa 2089</t>
  </si>
  <si>
    <t>#NTVA7256</t>
  </si>
  <si>
    <t>260403168</t>
  </si>
  <si>
    <t>NOMBRE RETIRA: CLAUDIA . . RUT RETIRA: 20619803-6</t>
  </si>
  <si>
    <t>Benjamin Sepulveda</t>
  </si>
  <si>
    <t>Ernesto riquelme 449 oficina 10, Oficina 10 primer piso</t>
  </si>
  <si>
    <t>#NTVA7138</t>
  </si>
  <si>
    <t>260170021</t>
  </si>
  <si>
    <t>NOMBRE RETIRA: GERARDO VILLANUEVA . RUT RETIRA: 81201000-K</t>
  </si>
  <si>
    <t>Gabriela Navarro</t>
  </si>
  <si>
    <t>Pasaje Caupolicán 1430, 605, torre b</t>
  </si>
  <si>
    <t>#NTVA7085</t>
  </si>
  <si>
    <t>260015433</t>
  </si>
  <si>
    <t>NOMBRE RETIRA: ANGELICA SHMIDT J RUT RETIRA: 20066879-0</t>
  </si>
  <si>
    <t>Angelica Gaedicke Schmidt</t>
  </si>
  <si>
    <t>Loteo altos del llanquihue, calle los radales numero 35, 35</t>
  </si>
  <si>
    <t>2025-12-14 21:18</t>
  </si>
  <si>
    <t>#NTVA7197</t>
  </si>
  <si>
    <t>260306664</t>
  </si>
  <si>
    <t>NOMBRE RETIRA: ATIAA AREVALO . RUT RETIRA: 21295982-0</t>
  </si>
  <si>
    <t>Matías Arévalo Muñoz</t>
  </si>
  <si>
    <t>Av. Porvenir 1975</t>
  </si>
  <si>
    <t>#NTVA7171</t>
  </si>
  <si>
    <t>260169995</t>
  </si>
  <si>
    <t>NOMBRE RETIRA: PIA ALBORNOZ J RUT RETIRA: 20306180-3</t>
  </si>
  <si>
    <t>Pia Albornoz</t>
  </si>
  <si>
    <t>Av. Ignacio Carrera Pinto 0490, Talca, Maule</t>
  </si>
  <si>
    <t>#NTVA7153</t>
  </si>
  <si>
    <t>260170009</t>
  </si>
  <si>
    <t>NOMBRE RETIRA: JEANETTE SANHUEZA KXNF RUT RETIRA: 12305508-K</t>
  </si>
  <si>
    <t>Angelo Hermosilla</t>
  </si>
  <si>
    <t>Casa, Cancha El Chiflon Villa El Progreso Sector El Morro Lota Alto # 14</t>
  </si>
  <si>
    <t>#NTVA7112</t>
  </si>
  <si>
    <t>260015270</t>
  </si>
  <si>
    <t>NOMBRE RETIRA: FELIPE ALVAREZ . RUT RETIRA: 20328774-7</t>
  </si>
  <si>
    <t>Felipe Alvarez</t>
  </si>
  <si>
    <t>Avenida las encimas, Temuco, Gimnasio max fitness and health alfrente del jumbo</t>
  </si>
  <si>
    <t>#NTVA7222</t>
  </si>
  <si>
    <t>260306547</t>
  </si>
  <si>
    <t>NOMBRE RETIRA: LUIS GONZALEZ AVALOS RUT RETIRA: 7507722-K</t>
  </si>
  <si>
    <t>Camila Gonzalez Bustamante</t>
  </si>
  <si>
    <t>Mina Reventon Colorado 4147, 4147, 4147</t>
  </si>
  <si>
    <t>#NTVA7182</t>
  </si>
  <si>
    <t>260169992</t>
  </si>
  <si>
    <t>NOMBRE RETIRA: LUIS ITURRA . RUT RETIRA: 53319905-4</t>
  </si>
  <si>
    <t>Josefina Oyarzún Naour</t>
  </si>
  <si>
    <t>Av. Los urbanistas 380, Departamento 904 torre 1</t>
  </si>
  <si>
    <t>#NTVA7199</t>
  </si>
  <si>
    <t>260306635</t>
  </si>
  <si>
    <t>Emilio Navarro Moraga</t>
  </si>
  <si>
    <t>Los naranjos 520</t>
  </si>
  <si>
    <t>#NTVA7238</t>
  </si>
  <si>
    <t>260306464</t>
  </si>
  <si>
    <t>NOMBRE RETIRA: PIA IGNAXIA G RUT RETIRA: 21248155-6</t>
  </si>
  <si>
    <t>Pía Ignacia Núñez Salas</t>
  </si>
  <si>
    <t>Pasaje Gonzalez Bastias, 1538</t>
  </si>
  <si>
    <t>#NTVA7155</t>
  </si>
  <si>
    <t>260170008</t>
  </si>
  <si>
    <t>NOMBRE RETIRA: KATALINA RIVERA K RUT RETIRA: 12345678-5</t>
  </si>
  <si>
    <t>Catalina Rivera de la Cerda</t>
  </si>
  <si>
    <t>Teatinos 6604, casa esquina amarilla</t>
  </si>
  <si>
    <t>#NTVA7207</t>
  </si>
  <si>
    <t>260306601</t>
  </si>
  <si>
    <t>NOMBRE RETIRA: NOELIA FLORES . RUT RETIRA: 17597377-K</t>
  </si>
  <si>
    <t>Noelia Flores</t>
  </si>
  <si>
    <t>Porvenir 23 san fernando, Casa blanca 2 pisos</t>
  </si>
  <si>
    <t>#NTVA7192</t>
  </si>
  <si>
    <t>260306676</t>
  </si>
  <si>
    <t>NOMBRE RETIRA: PAMELA PEREZ . RUT RETIRA: 17516786-2</t>
  </si>
  <si>
    <t>Pamela Perez rojas</t>
  </si>
  <si>
    <t>Los ciruelos 586, Poblacion vicente martinez, esquina calle carrers</t>
  </si>
  <si>
    <t>#NTVA7194</t>
  </si>
  <si>
    <t>260306709</t>
  </si>
  <si>
    <t>NOMBRE RETIRA: ADRIANA ARAYA .. RUT RETIRA: 12805375-1</t>
  </si>
  <si>
    <t>Eduardo Hernán García Araya</t>
  </si>
  <si>
    <t>Jorge Edwards 458, Casa</t>
  </si>
  <si>
    <t>#NTVA6899</t>
  </si>
  <si>
    <t>259104470</t>
  </si>
  <si>
    <t>NOMBRE RETIRA: EGIDIUA , , RUT RETIRA: 17363373-4</t>
  </si>
  <si>
    <t>Gabriela Mistral, Casa</t>
  </si>
  <si>
    <t>#NTVA7071</t>
  </si>
  <si>
    <t>260015534</t>
  </si>
  <si>
    <t>NOMBRE RETIRA: PILAR MELLA X RUT RETIRA: 15337761-8</t>
  </si>
  <si>
    <t>Pilar Mella Villanueva</t>
  </si>
  <si>
    <t>Calle Los Pensamientos 34</t>
  </si>
  <si>
    <t>#NTVA7177</t>
  </si>
  <si>
    <t>260169972</t>
  </si>
  <si>
    <t>NOMBRE RETIRA: PATTICIA MENDEZ . RUT RETIRA: 7825321-5</t>
  </si>
  <si>
    <t>Mauricio Navarro</t>
  </si>
  <si>
    <t>Coralina 241</t>
  </si>
  <si>
    <t>#NTVA7204</t>
  </si>
  <si>
    <t>260306591</t>
  </si>
  <si>
    <t>NOMBRE RETIRA: ALFONSO SALINAS S RUT RETIRA: 13894707-6</t>
  </si>
  <si>
    <t>Marcos Montt</t>
  </si>
  <si>
    <t>Anabaena 250, Jardin del mar, Viña del mar, Casa</t>
  </si>
  <si>
    <t>#NTVA7156</t>
  </si>
  <si>
    <t>260170020</t>
  </si>
  <si>
    <t>NOMBRE RETIRA: JORGE ALVARADO . RUT RETIRA: 13525856-3</t>
  </si>
  <si>
    <t>vicente Alvarado</t>
  </si>
  <si>
    <t>Los aromos 63, casa de esquina frente hospital puerto montt</t>
  </si>
  <si>
    <t>#NTVA7170</t>
  </si>
  <si>
    <t>260169996</t>
  </si>
  <si>
    <t>NOMBRE RETIRA: JOSE HERRERA . RUT RETIRA: 70007920-1</t>
  </si>
  <si>
    <t>Fiorella Berríos</t>
  </si>
  <si>
    <t>Calle La torre 60, Dpto 72,</t>
  </si>
  <si>
    <t>#NTVA7158</t>
  </si>
  <si>
    <t>260170004</t>
  </si>
  <si>
    <t>NOMBRE RETIRA: MARTINA CARRASCO C RUT RETIRA: 14073168-4</t>
  </si>
  <si>
    <t>Martina carrasco</t>
  </si>
  <si>
    <t>Termas de Mamiña 792, Casa</t>
  </si>
  <si>
    <t>#NTVA7125</t>
  </si>
  <si>
    <t>260015252</t>
  </si>
  <si>
    <t>NOMBRE RETIRA: CAMILA MONSALVE . RUT RETIRA: 19371057-3</t>
  </si>
  <si>
    <t>Camila Monsalve</t>
  </si>
  <si>
    <t>#NTVA7078</t>
  </si>
  <si>
    <t>260015452</t>
  </si>
  <si>
    <t>Yadranka Escobar Arcos</t>
  </si>
  <si>
    <t>Cerro paranal 380 depto 215C, Depto 215 C</t>
  </si>
  <si>
    <t>#NTVA7159</t>
  </si>
  <si>
    <t>260170019</t>
  </si>
  <si>
    <t>NOMBRE RETIRA: MARIO PEREIRA . RUT RETIRA: 15378327-6</t>
  </si>
  <si>
    <t>Tatiana Belmar</t>
  </si>
  <si>
    <t>Avenida Austral 1265, Jardín Austral 4</t>
  </si>
  <si>
    <t>#NTVA7183</t>
  </si>
  <si>
    <t>260169990</t>
  </si>
  <si>
    <t>NOMBRE RETIRA: MARIA ALARCON Y RUT RETIRA: 15988892-4</t>
  </si>
  <si>
    <t>María Paz Alarcón</t>
  </si>
  <si>
    <t>Iberia 180, Casa</t>
  </si>
  <si>
    <t>#NTVA7185</t>
  </si>
  <si>
    <t>260169989</t>
  </si>
  <si>
    <t>NOMBRE RETIRA: JAVIER TAMAYO T RUT RETIRA: 19248643-2</t>
  </si>
  <si>
    <t>Javier Tamayo</t>
  </si>
  <si>
    <t>Urmeneta 245, casa</t>
  </si>
  <si>
    <t>#NTVA7150</t>
  </si>
  <si>
    <t>260170011</t>
  </si>
  <si>
    <t>NOMBRE RETIRA: SEBASTIAN DABIKE . RUT RETIRA: 11111111-1</t>
  </si>
  <si>
    <t>Sebastian Dabike</t>
  </si>
  <si>
    <t>Pasaje retrato de mujer casa 56, Casa 56</t>
  </si>
  <si>
    <t>#NTVA7172</t>
  </si>
  <si>
    <t>260169975</t>
  </si>
  <si>
    <t>NOMBRE RETIRA: SEBASTIAN PARRA 0 RUT RETIRA: 18068872-2</t>
  </si>
  <si>
    <t>matias salgado</t>
  </si>
  <si>
    <t>Edificio Castellon 152, departamento 608</t>
  </si>
  <si>
    <t>#NTVA7145</t>
  </si>
  <si>
    <t>260170014</t>
  </si>
  <si>
    <t>NOMBRE RETIRA: MARIA MONTOLLA T RUT RETIRA: 15952177-K</t>
  </si>
  <si>
    <t>#NTVA7137</t>
  </si>
  <si>
    <t>260170012</t>
  </si>
  <si>
    <t>NOMBRE RETIRA: MATIAS PINCHEIRA . RUT RETIRA: 20731933-3</t>
  </si>
  <si>
    <t>Matias Pincheira</t>
  </si>
  <si>
    <t>Tucapel 1788</t>
  </si>
  <si>
    <t>#NTVA7179</t>
  </si>
  <si>
    <t>260169993</t>
  </si>
  <si>
    <t>NOMBRE RETIRA: RODRIGO CALDERON . RUT RETIRA: 53303120-K</t>
  </si>
  <si>
    <t>Camila Fuentes Cerda</t>
  </si>
  <si>
    <t>Padre hurtado 660, K11</t>
  </si>
  <si>
    <t>#NTVA7044</t>
  </si>
  <si>
    <t>259713641</t>
  </si>
  <si>
    <t>NOMBRE RETIRA: SEBASTIAN SANTOS . RUT RETIRA: 23116667-K</t>
  </si>
  <si>
    <t>Francisca Cárdenas contreras</t>
  </si>
  <si>
    <t>Hierba negra 361, hualpen</t>
  </si>
  <si>
    <t>2025-12-11 20:24</t>
  </si>
  <si>
    <t>#NTVA7164</t>
  </si>
  <si>
    <t>260169977</t>
  </si>
  <si>
    <t>NOMBRE RETIRA: JUAN EGUILUZ K RUT RETIRA: 81201000-K</t>
  </si>
  <si>
    <t>Juan Eguiluz Opazo</t>
  </si>
  <si>
    <t>15 poniente, entre 22 y media y 24 sur #0286, Casa</t>
  </si>
  <si>
    <t>#NTVA7128</t>
  </si>
  <si>
    <t>260015214</t>
  </si>
  <si>
    <t>NOMBRE RETIRA: KAREN PARRA X RUT RETIRA: 19304118-3</t>
  </si>
  <si>
    <t>Andres Gonzalez Galvez</t>
  </si>
  <si>
    <t>Costanera Pucara 695, Departamento 804D torre D</t>
  </si>
  <si>
    <t>#NTVA7173</t>
  </si>
  <si>
    <t>260169973</t>
  </si>
  <si>
    <t>NOMBRE RETIRA: PATRICIO ESPINZOA . RUT RETIRA: 18805117-0</t>
  </si>
  <si>
    <t>PATRICIO ESPINOZA OÑATE</t>
  </si>
  <si>
    <t>EL AVELLANO 2484, VILLA EL ENCINO</t>
  </si>
  <si>
    <t>#NTVA7111</t>
  </si>
  <si>
    <t>260015276</t>
  </si>
  <si>
    <t>NOMBRE RETIRA: KEVIN FRITZ . RUT RETIRA: 21069065-4</t>
  </si>
  <si>
    <t>Kevin Fritz</t>
  </si>
  <si>
    <t>21 de mayo 1398, Negocio</t>
  </si>
  <si>
    <t>#NTVA7165</t>
  </si>
  <si>
    <t>260170001</t>
  </si>
  <si>
    <t>NOMBRE RETIRA: LUIS CARRENO .. RUT RETIRA: 56053380-2</t>
  </si>
  <si>
    <t>Claudia Saravia</t>
  </si>
  <si>
    <t>Tucapel 564 of 97, 97</t>
  </si>
  <si>
    <t>#NTVA7169</t>
  </si>
  <si>
    <t>260169999</t>
  </si>
  <si>
    <t>Abraham Torres</t>
  </si>
  <si>
    <t>Isla melinka 220, Depto 1102</t>
  </si>
  <si>
    <t>#NTVA7162</t>
  </si>
  <si>
    <t>260170018</t>
  </si>
  <si>
    <t>NOMBRE RETIRA: TOMMY DIAZ DIAZ RUT RETIRA: 13720788-5</t>
  </si>
  <si>
    <t>TOMY BLADIMIR DIAZ ESPINOZA</t>
  </si>
  <si>
    <t>Calle 10 oriente 135, El polo Machali</t>
  </si>
  <si>
    <t>#NTVA7181</t>
  </si>
  <si>
    <t>260169991</t>
  </si>
  <si>
    <t>NOMBRE RETIRA: JUAN RIQUELME T RUT RETIRA: 53325255-9</t>
  </si>
  <si>
    <t>German Zambrano</t>
  </si>
  <si>
    <t>Av Jorge Alessandri 450, Depto. 411-C</t>
  </si>
  <si>
    <t>#NTVA7101</t>
  </si>
  <si>
    <t>260015349</t>
  </si>
  <si>
    <t>NOMBRE RETIRA: ALEJANDRA LEAL . RUT RETIRA: 19416907-8</t>
  </si>
  <si>
    <t>alejandra leal</t>
  </si>
  <si>
    <t>el roble 77, tienda merrell</t>
  </si>
  <si>
    <t>#NTVA7108</t>
  </si>
  <si>
    <t>260015297</t>
  </si>
  <si>
    <t>NOMBRE RETIRA: SERGIO HERNANDEZ . RUT RETIRA: 82281800-5</t>
  </si>
  <si>
    <t>Constanza Olivares Reyes</t>
  </si>
  <si>
    <t>1 poniente 45, Edificio Sunlite, depto 1302</t>
  </si>
  <si>
    <t>#NTVA7076</t>
  </si>
  <si>
    <t>260015490</t>
  </si>
  <si>
    <t>NOMBRE RETIRA: XANDER COLLAO A RUT RETIRA: 8476272-5</t>
  </si>
  <si>
    <t>xander Collao castillo</t>
  </si>
  <si>
    <t>Blanco encalada 1800</t>
  </si>
  <si>
    <t>#NTVA7093</t>
  </si>
  <si>
    <t>260015389</t>
  </si>
  <si>
    <t>NOMBRE RETIRA: FELIPE TORO OLGUIN RUT RETIRA: 16417038-1</t>
  </si>
  <si>
    <t>Felipe Toro Olguín</t>
  </si>
  <si>
    <t>Carretera H30 3727 Lo Miranda</t>
  </si>
  <si>
    <t>#NTVA7063</t>
  </si>
  <si>
    <t>260015578</t>
  </si>
  <si>
    <t>NOMBRE RETIRA: HIMBERTO GALLEGUILLOS . RUT RETIRA: 65051133-6</t>
  </si>
  <si>
    <t>ERIKA CONCHA ALVARADO</t>
  </si>
  <si>
    <t>Avenida 21 de Mayo 1531, 59</t>
  </si>
  <si>
    <t>#NTVA7110</t>
  </si>
  <si>
    <t>260015313</t>
  </si>
  <si>
    <t>NOMBRE RETIRA: VIDAL TAPIA . RUT RETIRA: 56047910-7</t>
  </si>
  <si>
    <t>Fernanda Nahuelpán Cuevas</t>
  </si>
  <si>
    <t>8 norte 980, Departamento 22</t>
  </si>
  <si>
    <t>#NTVA7075</t>
  </si>
  <si>
    <t>260015503</t>
  </si>
  <si>
    <t>NOMBRE RETIRA: FERNANDO DELGADO . RUT RETIRA: 18384442-3</t>
  </si>
  <si>
    <t>Fernando delgado</t>
  </si>
  <si>
    <t>Las magnolias 407, Casa</t>
  </si>
  <si>
    <t>#NTVA7100</t>
  </si>
  <si>
    <t>260015354</t>
  </si>
  <si>
    <t>pamela santis</t>
  </si>
  <si>
    <t>lautaro 424, departamento 12</t>
  </si>
  <si>
    <t>#NTVA7095</t>
  </si>
  <si>
    <t>260015394</t>
  </si>
  <si>
    <t>NOMBRE RETIRA: LEANDRO FERNANDEZ . RUT RETIRA: 65130888-7</t>
  </si>
  <si>
    <t>Leandro Fernández</t>
  </si>
  <si>
    <t>98 34 Oriente Talca</t>
  </si>
  <si>
    <t>#NTVA7099</t>
  </si>
  <si>
    <t>260015366</t>
  </si>
  <si>
    <t>NOMBRE RETIRA: ELIZABETH RIQUELME K RUT RETIRA: 18194820-5</t>
  </si>
  <si>
    <t>Ricardo Petaros Riquelme</t>
  </si>
  <si>
    <t>Palermo 01644</t>
  </si>
  <si>
    <t>#NTVA7092</t>
  </si>
  <si>
    <t>260015420</t>
  </si>
  <si>
    <t>NOMBRE RETIRA: GILDA VASQUEZ CORDOVA RUT RETIRA: 12722130-8</t>
  </si>
  <si>
    <t>Gilda Vasquez</t>
  </si>
  <si>
    <t>La Montura 12, Haras de Machalí</t>
  </si>
  <si>
    <t>#NTVA6944</t>
  </si>
  <si>
    <t>259104159</t>
  </si>
  <si>
    <t>NOMBRE RETIRA: ANTONIA GOMEZ . RUT RETIRA: 11111111-1</t>
  </si>
  <si>
    <t>Antonia Gómez Moore</t>
  </si>
  <si>
    <t>Gabriela Mistral 165, Casa</t>
  </si>
  <si>
    <t>#NTVA6657</t>
  </si>
  <si>
    <t>259046014</t>
  </si>
  <si>
    <t>2025-11-27 21:26</t>
  </si>
  <si>
    <t>#NTVA7073</t>
  </si>
  <si>
    <t>260015529</t>
  </si>
  <si>
    <t>NOMBRE RETIRA: PATRICIO CABRERA . RUT RETIRA: 20313314-6</t>
  </si>
  <si>
    <t>Pablo Santi</t>
  </si>
  <si>
    <t>Pasaje Estación Metrenco 2235</t>
  </si>
  <si>
    <t>#NTVA7106</t>
  </si>
  <si>
    <t>260015342</t>
  </si>
  <si>
    <t>NOMBRE RETIRA: BENJAMIN TORRES .. . RUT RETIRA: 9415392-1</t>
  </si>
  <si>
    <t>Benjamin Torres vasquez</t>
  </si>
  <si>
    <t>Copiapo 698</t>
  </si>
  <si>
    <t>#NTVA7079</t>
  </si>
  <si>
    <t>260017994</t>
  </si>
  <si>
    <t>Susett Badilla</t>
  </si>
  <si>
    <t>Carrera 1676, Departamento 311</t>
  </si>
  <si>
    <t>#NTVA7041</t>
  </si>
  <si>
    <t>259713649</t>
  </si>
  <si>
    <t>NOMBRE RETIRA: LORENA OLAYA O RUT RETIRA: 13894707-6</t>
  </si>
  <si>
    <t>martin Luhrs</t>
  </si>
  <si>
    <t>Las Perdices 230</t>
  </si>
  <si>
    <t>#NTVA7047</t>
  </si>
  <si>
    <t>259713592</t>
  </si>
  <si>
    <t>NOMBRE RETIRA: SANDRA PEREZ . RUT RETIRA: 15548960-K</t>
  </si>
  <si>
    <t>Pamela Carvajal Muñoz</t>
  </si>
  <si>
    <t>Hilda Miranda 930 Altos del Mirador Punta Mira Norte, Casa</t>
  </si>
  <si>
    <t>#NTVA7056</t>
  </si>
  <si>
    <t>260015618</t>
  </si>
  <si>
    <t>NOMBRE RETIRA: MARIO MOLINA . RUT RETIRA: 3487769-6</t>
  </si>
  <si>
    <t>Rosy edith Molina dan martin</t>
  </si>
  <si>
    <t>Amoliacion el tejar 1 oriente casa 1780, Casa</t>
  </si>
  <si>
    <t>#NTVA7064</t>
  </si>
  <si>
    <t>260015544</t>
  </si>
  <si>
    <t>NOMBRE RETIRA: VICENTE PONCE . RUT RETIRA: 10491414-4</t>
  </si>
  <si>
    <t>Vicente Ponce Mena</t>
  </si>
  <si>
    <t>Pasaje cerro juncal 03330</t>
  </si>
  <si>
    <t>#NTVA7062</t>
  </si>
  <si>
    <t>260015589</t>
  </si>
  <si>
    <t>NOMBRE RETIRA: ERIKA NAVARRETE . RUT RETIRA: 15117664-K</t>
  </si>
  <si>
    <t>Erica Navarrete Cáceres</t>
  </si>
  <si>
    <t>Cardenal Caro 273, 273</t>
  </si>
  <si>
    <t>#NTVA7021</t>
  </si>
  <si>
    <t>259604061</t>
  </si>
  <si>
    <t>NOMBRE RETIRA: ISAIAS SANCHEZ 0 RUT RETIRA: 20274897-K</t>
  </si>
  <si>
    <t>Isaías Sánchez Quiroz</t>
  </si>
  <si>
    <t>Santa Verónica 02339</t>
  </si>
  <si>
    <t>#NTVA7026</t>
  </si>
  <si>
    <t>259604012</t>
  </si>
  <si>
    <t>NOMBRE RETIRA: JUAN AGUILERA A RUT RETIRA: 17005119-K</t>
  </si>
  <si>
    <t>Juan Aguilera</t>
  </si>
  <si>
    <t>sipas 2745</t>
  </si>
  <si>
    <t>#NTVA6741</t>
  </si>
  <si>
    <t>259045702</t>
  </si>
  <si>
    <t>NOMBRE RETIRA: SANDRA NUNEZ NUNEZ RUT RETIRA: 10980615-3</t>
  </si>
  <si>
    <t>Javiera Colihuinca</t>
  </si>
  <si>
    <t>Janequeo 2151</t>
  </si>
  <si>
    <t>#NTVA6872</t>
  </si>
  <si>
    <t>259104601</t>
  </si>
  <si>
    <t>NOMBRE RETIRA: JONATHAN PINEDA . RUT RETIRA: 16960690-0</t>
  </si>
  <si>
    <t>jonathan pineda</t>
  </si>
  <si>
    <t>calle angol, 301</t>
  </si>
  <si>
    <t>2025-12-01 10:29</t>
  </si>
  <si>
    <t>#NTVA6678</t>
  </si>
  <si>
    <t>259045941</t>
  </si>
  <si>
    <t>NOMBRE RETIRA: CESAE , , RUT RETIRA: 53310370-7</t>
  </si>
  <si>
    <t>los pablos 2190, depto 105</t>
  </si>
  <si>
    <t>#NTVA6996</t>
  </si>
  <si>
    <t>259385792</t>
  </si>
  <si>
    <t>Radomiro Araneda</t>
  </si>
  <si>
    <t>Subida De La Quebrada 492, casa</t>
  </si>
  <si>
    <t>2025-12-09 11:26</t>
  </si>
  <si>
    <t>#NTVA7030</t>
  </si>
  <si>
    <t>259603976</t>
  </si>
  <si>
    <t>NOMBRE RETIRA: JORGE CURINAO C RUT RETIRA: 15889484-K</t>
  </si>
  <si>
    <t>Felipe Keim</t>
  </si>
  <si>
    <t>Ramón Freire 980, Edificio Cooprinsem</t>
  </si>
  <si>
    <t>#NTVA6642</t>
  </si>
  <si>
    <t>259046072</t>
  </si>
  <si>
    <t>NOMBRE RETIRA: BASTIAN CONTRERAS N RUT RETIRA: 21142784-1</t>
  </si>
  <si>
    <t>Bastian Contreras</t>
  </si>
  <si>
    <t>Parque nacional, llullaillaco 1462, Casa</t>
  </si>
  <si>
    <t>#NTVA7005</t>
  </si>
  <si>
    <t>259483541</t>
  </si>
  <si>
    <t>NOMBRE RETIRA: FRANCISCO GONZALES FZ RUT RETIRA: 12345678-5</t>
  </si>
  <si>
    <t>Riquelme 480</t>
  </si>
  <si>
    <t>2025-12-09 19:18</t>
  </si>
  <si>
    <t>#NTVA6983</t>
  </si>
  <si>
    <t>259385998</t>
  </si>
  <si>
    <t>NOMBRE RETIRA: ADRINA SELIS . RUT RETIRA: 17736384-7</t>
  </si>
  <si>
    <t>Gonzalo Arredondo</t>
  </si>
  <si>
    <t>Trumao 1153, 69</t>
  </si>
  <si>
    <t>2025-12-08 18:20</t>
  </si>
  <si>
    <t>#NTVA7028</t>
  </si>
  <si>
    <t>259604020</t>
  </si>
  <si>
    <t>NOMBRE RETIRA: JUAN DIAZ . RUT RETIRA: 17092549-1</t>
  </si>
  <si>
    <t>Juan Diaz</t>
  </si>
  <si>
    <t>Padre José Zevald, 1022</t>
  </si>
  <si>
    <t>#NTVA6958</t>
  </si>
  <si>
    <t>259386110</t>
  </si>
  <si>
    <t>NOMBRE RETIRA: YULIETH GONZALES . RUT RETIRA: 27485562-2</t>
  </si>
  <si>
    <t>Yulie Gonzalez Ordóñez</t>
  </si>
  <si>
    <t>Antonio José de Sucre 720, Shoperia “Faenero”</t>
  </si>
  <si>
    <t>#NTVA6916</t>
  </si>
  <si>
    <t>259386053</t>
  </si>
  <si>
    <t>NOMBRE RETIRA: CONSUELO PERES . RUT RETIRA: 21855427-K</t>
  </si>
  <si>
    <t>Mirta Duran gatica</t>
  </si>
  <si>
    <t>Pedro de oña 535</t>
  </si>
  <si>
    <t>2025-12-06 13:32</t>
  </si>
  <si>
    <t>#NTVA6963</t>
  </si>
  <si>
    <t>259386087</t>
  </si>
  <si>
    <t>NOMBRE RETIRA: MARCOS TAPIA. . RUT RETIRA: 17575914-K</t>
  </si>
  <si>
    <t>paula astudillo</t>
  </si>
  <si>
    <t>calle limache 1943, edificio lago ranco, viña del mar, edificio lago ranco, depto 703</t>
  </si>
  <si>
    <t>2025-12-05 19:24</t>
  </si>
  <si>
    <t>#NTVA7004</t>
  </si>
  <si>
    <t>259385759</t>
  </si>
  <si>
    <t>NOMBRE RETIRA: CRISTINA LOPEZ M RUT RETIRA: 8366500-9</t>
  </si>
  <si>
    <t>Cristina Lopez</t>
  </si>
  <si>
    <t>Itata 954, A</t>
  </si>
  <si>
    <t>#NTVA6968</t>
  </si>
  <si>
    <t>259386071</t>
  </si>
  <si>
    <t>NOMBRE RETIRA: JULIAN HENRIQUEZ . RUT RETIRA: 22072626-6</t>
  </si>
  <si>
    <t>Julian Henriquez</t>
  </si>
  <si>
    <t>3 norte 834, 41</t>
  </si>
  <si>
    <t>2025-12-06 10:12</t>
  </si>
  <si>
    <t>#NTVA6971</t>
  </si>
  <si>
    <t>259386032</t>
  </si>
  <si>
    <t>NOMBRE RETIRA: MARIA TOBAR . RUT RETIRA: 7619621-4</t>
  </si>
  <si>
    <t>Felipe Ramirez Tobar</t>
  </si>
  <si>
    <t>Benavente 1179, Block f depto b</t>
  </si>
  <si>
    <t>#NTVA7019</t>
  </si>
  <si>
    <t>259483429</t>
  </si>
  <si>
    <t>NOMBRE RETIRA: DAVID IVANU . RUT RETIRA: 12990216-7</t>
  </si>
  <si>
    <t>Catalina Pacheco</t>
  </si>
  <si>
    <t>Las heras 549, Departamento 604</t>
  </si>
  <si>
    <t>#NTVA6984</t>
  </si>
  <si>
    <t>259385942</t>
  </si>
  <si>
    <t>NOMBRE RETIRA: AMALIA SANS A RUT RETIRA: 53130190-0</t>
  </si>
  <si>
    <t>Amalia Sáenz Márquez</t>
  </si>
  <si>
    <t>Las golondrinas 1259, Casa</t>
  </si>
  <si>
    <t>#NTVA6972</t>
  </si>
  <si>
    <t>259386022</t>
  </si>
  <si>
    <t>NOMBRE RETIRA: ALESSANDRA RADDATZ . RUT RETIRA: 21621682-2</t>
  </si>
  <si>
    <t>Gabriela Vega Guitart</t>
  </si>
  <si>
    <t>Avenida Diego Portales 2000. Piso 9, Oficina Marine Farm</t>
  </si>
  <si>
    <t>#NTVA6986</t>
  </si>
  <si>
    <t>259385956</t>
  </si>
  <si>
    <t>NOMBRE RETIRA: LUIS VALENZUELA V RUT RETIRA: 56049520-K</t>
  </si>
  <si>
    <t>Franco Paolinelli Rosas</t>
  </si>
  <si>
    <t>Las Tórtolas 155, Condominio la foresta, Casa 2</t>
  </si>
  <si>
    <t>#NTVA7017</t>
  </si>
  <si>
    <t>259483442</t>
  </si>
  <si>
    <t>NOMBRE RETIRA: MARIA TERESA R RUT RETIRA: 65067074-4</t>
  </si>
  <si>
    <t>Branka Sorich Garcia</t>
  </si>
  <si>
    <t>calle isla de pascua 317, Departamento 2830</t>
  </si>
  <si>
    <t>#NTVA7001</t>
  </si>
  <si>
    <t>259385755</t>
  </si>
  <si>
    <t>NOMBRE RETIRA: AGUSTIN CELIS OSSES RUT RETIRA: 23696592-9</t>
  </si>
  <si>
    <t>Agustin Celis Osses</t>
  </si>
  <si>
    <t>Héctor Zamorano 1062</t>
  </si>
  <si>
    <t>#NTVA7014</t>
  </si>
  <si>
    <t>259483444</t>
  </si>
  <si>
    <t>NOMBRE RETIRA: FRANCISCA GONSALEZ G RUT RETIRA: 18832876-8</t>
  </si>
  <si>
    <t>Francisca González Lobos</t>
  </si>
  <si>
    <t>Granda 1157, Casa</t>
  </si>
  <si>
    <t>#NTVA6985</t>
  </si>
  <si>
    <t>259385936</t>
  </si>
  <si>
    <t>NOMBRE RETIRA: NICOLAS OLIVARRS M RUT RETIRA: 19612724-0</t>
  </si>
  <si>
    <t>nicolas olivares</t>
  </si>
  <si>
    <t>Río Riñihue, mirador de reñaca, 1060</t>
  </si>
  <si>
    <t>#NTVA6947</t>
  </si>
  <si>
    <t>259386812</t>
  </si>
  <si>
    <t>NOMBRE RETIRA: CROSTPBAL PIZARRO . RUT RETIRA: 19349314-9</t>
  </si>
  <si>
    <t>Andres Murillo 1463, Casa</t>
  </si>
  <si>
    <t>#NTVA7003</t>
  </si>
  <si>
    <t>259385772</t>
  </si>
  <si>
    <t>NOMBRE RETIRA: POLETTE ULLOA H RUT RETIRA: 20154162-K</t>
  </si>
  <si>
    <t>Paulette Ulloa</t>
  </si>
  <si>
    <t>Fernando paz 14, Casa</t>
  </si>
  <si>
    <t>#NTVA6725</t>
  </si>
  <si>
    <t>259045781</t>
  </si>
  <si>
    <t>NOMBRE RETIRA: LUISA TORRES .. RUT RETIRA: 5034207-7</t>
  </si>
  <si>
    <t>diego belmar lagos</t>
  </si>
  <si>
    <t>coihueco 770, casa</t>
  </si>
  <si>
    <t>2025-11-28 19:13</t>
  </si>
  <si>
    <t>#NTVA6630</t>
  </si>
  <si>
    <t>259046134</t>
  </si>
  <si>
    <t>NOMBRE RETIRA: PEDRO MORENO . RUT RETIRA: 22061817-K</t>
  </si>
  <si>
    <t>Pedro Romero Rojas</t>
  </si>
  <si>
    <t>Covadonga Nueva 1355, Casa</t>
  </si>
  <si>
    <t>#NTVA6993</t>
  </si>
  <si>
    <t>259385864</t>
  </si>
  <si>
    <t>NOMBRE RETIRA: FERNANDO ZUMBA A RUT RETIRA: 53323765-7</t>
  </si>
  <si>
    <t>Melanie Perez matta</t>
  </si>
  <si>
    <t>Litorina 210, Departamento 52A</t>
  </si>
  <si>
    <t>#NTVA7011</t>
  </si>
  <si>
    <t>259483505</t>
  </si>
  <si>
    <t>NOMBRE RETIRA: EDGAR FERREIRA . RUT RETIRA: 18805117-0</t>
  </si>
  <si>
    <t>edgar ferreira</t>
  </si>
  <si>
    <t>san gabriel 2, casa 210</t>
  </si>
  <si>
    <t>#NTVA7013</t>
  </si>
  <si>
    <t>259483499</t>
  </si>
  <si>
    <t>NOMBRE RETIRA: JOSE GODOI . RUT RETIRA: 12313023-5</t>
  </si>
  <si>
    <t>Jose Godoi Valenzuela</t>
  </si>
  <si>
    <t>Villa Victoria, constitucion 328</t>
  </si>
  <si>
    <t>#NTVA6995</t>
  </si>
  <si>
    <t>259385810</t>
  </si>
  <si>
    <t>NOMBRE RETIRA: KARINA . . RUT RETIRA: 15041215-3</t>
  </si>
  <si>
    <t>Karina García vega</t>
  </si>
  <si>
    <t>Calle Coquimbo 142, Centro de ovalle</t>
  </si>
  <si>
    <t>#NTVA6724</t>
  </si>
  <si>
    <t>259045804</t>
  </si>
  <si>
    <t>NOMBRE RETIRA: CECILIA MUNOZ . RUT RETIRA: 12139155-4</t>
  </si>
  <si>
    <t>Diego González Muñoz</t>
  </si>
  <si>
    <t>Calle Astilla, 907. Vallenar. Villa los Yacimientos., Casa</t>
  </si>
  <si>
    <t>#NTVA7010</t>
  </si>
  <si>
    <t>259483511</t>
  </si>
  <si>
    <t>NOMBRE RETIRA: CONSTANZA YANEZ. . RUT RETIRA: 15180469-1</t>
  </si>
  <si>
    <t>Constanza Yañez</t>
  </si>
  <si>
    <t>Av. Las margaritas 1723, pasaje interior . Casa 4</t>
  </si>
  <si>
    <t>#NTVA6990</t>
  </si>
  <si>
    <t>259385830</t>
  </si>
  <si>
    <t>NOMBRE RETIRA: ISABEL LEIVA POZO RUT RETIRA: 7135991-3</t>
  </si>
  <si>
    <t>Stephanie Osorio</t>
  </si>
  <si>
    <t>Punta de cortes carretera h-30 1702, Casa 1702</t>
  </si>
  <si>
    <t>#NTVA7012</t>
  </si>
  <si>
    <t>259483491</t>
  </si>
  <si>
    <t>NOMBRE RETIRA: CATALINA GARCIA K RUT RETIRA: 17267404-6</t>
  </si>
  <si>
    <t>Catalina García Perez</t>
  </si>
  <si>
    <t>ramon subercaseaux 260, casa 260</t>
  </si>
  <si>
    <t>#NTVA6688</t>
  </si>
  <si>
    <t>259045938</t>
  </si>
  <si>
    <t>NOMBRE RETIRA: LORENA CARCAMO M RUT RETIRA: 13396185-2</t>
  </si>
  <si>
    <t>Constanza Tillería</t>
  </si>
  <si>
    <t>Porvenir 789, 21</t>
  </si>
  <si>
    <t>#NTVA6835</t>
  </si>
  <si>
    <t>259104768</t>
  </si>
  <si>
    <t>NOMBRE RETIRA: ANDREA SELADIO K RUT RETIRA: 12345678-5</t>
  </si>
  <si>
    <t>Hernan naranjo 8009</t>
  </si>
  <si>
    <t>#NTVA6743</t>
  </si>
  <si>
    <t>259045693</t>
  </si>
  <si>
    <t>NOMBRE RETIRA: JULIANA BURGOS 0 RUT RETIRA: 21574646-1</t>
  </si>
  <si>
    <t>Amaya Flores Flores</t>
  </si>
  <si>
    <t>Jose Blumell 01371</t>
  </si>
  <si>
    <t>#NTVA6723</t>
  </si>
  <si>
    <t>259045820</t>
  </si>
  <si>
    <t>NOMBRE RETIRA: Y0HANA . . RUT RETIRA: 13530420-4</t>
  </si>
  <si>
    <t>bruno cortes</t>
  </si>
  <si>
    <t>calle 1 sur 0330, casa 46</t>
  </si>
  <si>
    <t>#NTVA6803</t>
  </si>
  <si>
    <t>259045578</t>
  </si>
  <si>
    <t>NOMBRE RETIRA: VIVIANA GALLARDO . RUT RETIRA: 16868206-9</t>
  </si>
  <si>
    <t>Luis Eduardo Schumacher Pizarro</t>
  </si>
  <si>
    <t>Vivar 1455, Depto. 411</t>
  </si>
  <si>
    <t>#NTVA6628</t>
  </si>
  <si>
    <t>259046169</t>
  </si>
  <si>
    <t>NOMBRE RETIRA: JOAQUIN LOPEZ X RUT RETIRA: 21395863-1</t>
  </si>
  <si>
    <t>Joaquín López Peña</t>
  </si>
  <si>
    <t>Malaquias Concha 892</t>
  </si>
  <si>
    <t>#NTVA6631</t>
  </si>
  <si>
    <t>259046117</t>
  </si>
  <si>
    <t>NOMBRE RETIRA: FERNANDO PRADO X RUT RETIRA: 12345678-5</t>
  </si>
  <si>
    <t>Sebastian Prado mercado</t>
  </si>
  <si>
    <t>José Miguel carrera 2160, casa</t>
  </si>
  <si>
    <t>#NTVA6824</t>
  </si>
  <si>
    <t>259045505</t>
  </si>
  <si>
    <t>NOMBRE RETIRA: OSCAR CARVAJAL . RUT RETIRA: 22846140-7</t>
  </si>
  <si>
    <t>Oscar Carvajal</t>
  </si>
  <si>
    <t>Raúl Silva Henríquez 1820, Casa</t>
  </si>
  <si>
    <t>#NTVA6621</t>
  </si>
  <si>
    <t>259046201</t>
  </si>
  <si>
    <t>Mario Lepicheo</t>
  </si>
  <si>
    <t>El Arrayán 075</t>
  </si>
  <si>
    <t>#NTVA6799</t>
  </si>
  <si>
    <t>259045599</t>
  </si>
  <si>
    <t>NOMBRE RETIRA: SEBASTIAN REYES . RUT RETIRA: 21415884-1</t>
  </si>
  <si>
    <t>Sebastian Reyes mancilla</t>
  </si>
  <si>
    <t>Av. el palomar #2331 depto 431, Departamento</t>
  </si>
  <si>
    <t>#NTVA6654</t>
  </si>
  <si>
    <t>259046028</t>
  </si>
  <si>
    <t>#NTVA6691</t>
  </si>
  <si>
    <t>259045926</t>
  </si>
  <si>
    <t>NOMBRE RETIRA: LUIS ZAMORA . RUT RETIRA: 7957886-K</t>
  </si>
  <si>
    <t>Adolfo Quintana</t>
  </si>
  <si>
    <t>santiago humberstone 145 casa 80, casa 80</t>
  </si>
  <si>
    <t>#NTVA6750</t>
  </si>
  <si>
    <t>258831243</t>
  </si>
  <si>
    <t>NOMBRE RETIRA: FRANCISCO GONZALEZ . RUT RETIRA: 22669702-0</t>
  </si>
  <si>
    <t>Francisco Javier Gonzalez Fritz</t>
  </si>
  <si>
    <t>Casa, Casa</t>
  </si>
  <si>
    <t>#NTVA6740</t>
  </si>
  <si>
    <t>259045724</t>
  </si>
  <si>
    <t>NOMBRE RETIRA: ALEXANDRA GALVEZ X RUT RETIRA: 14560400-1</t>
  </si>
  <si>
    <t>Josefa Peña Castro</t>
  </si>
  <si>
    <t>Saturnino epulef, kilometro 0,1, cafeteria dentro de homecenter sodimac, local 1</t>
  </si>
  <si>
    <t>#NTVA6829</t>
  </si>
  <si>
    <t>259104792</t>
  </si>
  <si>
    <t>NOMBRE RETIRA: MARIA JOSE PEREIRA RUT RETIRA: 65056385-9</t>
  </si>
  <si>
    <t>Felipe Carmona Pizarro</t>
  </si>
  <si>
    <t>Viana 837, Departamento 309</t>
  </si>
  <si>
    <t>#NTVA6893</t>
  </si>
  <si>
    <t>259104511</t>
  </si>
  <si>
    <t>NOMBRE RETIRA: ELIZABETH ESCOBAR . RUT RETIRA: 9163189-K</t>
  </si>
  <si>
    <t>Cristian Alejandro Urra Escobar</t>
  </si>
  <si>
    <t>Magdalena mira 565, Casa 3 pisos</t>
  </si>
  <si>
    <t>2025-12-01 19:35</t>
  </si>
  <si>
    <t>#NTVA6599</t>
  </si>
  <si>
    <t>259046247</t>
  </si>
  <si>
    <t>NOMBRE RETIRA: ROBERTO MUNIZ .. RUT RETIRA: 20441281-2</t>
  </si>
  <si>
    <t>Roberto Muñoz Arriagada</t>
  </si>
  <si>
    <t>Prat 381, Casa</t>
  </si>
  <si>
    <t>2025-11-26 21:17</t>
  </si>
  <si>
    <t>#NTVA6861</t>
  </si>
  <si>
    <t>259104698</t>
  </si>
  <si>
    <t>NOMBRE RETIRA: JEISON MILLAR . KM RUT RETIRA: 21326378-1</t>
  </si>
  <si>
    <t>Yerly Millar Lagos</t>
  </si>
  <si>
    <t>Pasaje Uno 4065, Casa, Arriba Agro Sur</t>
  </si>
  <si>
    <t>#NTVA6885</t>
  </si>
  <si>
    <t>259104559</t>
  </si>
  <si>
    <t>NOMBRE RETIRA: WLADIMIR LLANOS . RUT RETIRA: 18322129-9</t>
  </si>
  <si>
    <t>Wladimir Llanos</t>
  </si>
  <si>
    <t>Castellón #268</t>
  </si>
  <si>
    <t>#NTVA6718</t>
  </si>
  <si>
    <t>259045817</t>
  </si>
  <si>
    <t>NOMBRE RETIRA: EDIFICIO BICENTENARIO .. RUT RETIRA: 53315116-7</t>
  </si>
  <si>
    <t>Matias Lorca</t>
  </si>
  <si>
    <t>1403 Torre B, Álvarez 1822</t>
  </si>
  <si>
    <t>#NTVA6950</t>
  </si>
  <si>
    <t>259104125</t>
  </si>
  <si>
    <t>NOMBRE RETIRA: CECILIA JIMENEZ . RUT RETIRA: 14084317-2</t>
  </si>
  <si>
    <t>Enrique Navarrete Jimenez</t>
  </si>
  <si>
    <t>Los Ulmos #89</t>
  </si>
  <si>
    <t>#NTVA6616</t>
  </si>
  <si>
    <t>259046190</t>
  </si>
  <si>
    <t>Los Ulmos 89</t>
  </si>
  <si>
    <t>#NTVA6902</t>
  </si>
  <si>
    <t>259104442</t>
  </si>
  <si>
    <t>NOMBRE RETIRA: MARIA AGUILERA HAFNER RUT RETIRA: 11111111-1</t>
  </si>
  <si>
    <t>Maria Aguilera Hafner</t>
  </si>
  <si>
    <t>Lopez de ulloa 055</t>
  </si>
  <si>
    <t>#NTVA6886</t>
  </si>
  <si>
    <t>259104556</t>
  </si>
  <si>
    <t>NOMBRE RETIRA: JUDITH OLIVARES . RUT RETIRA: 15691380-4</t>
  </si>
  <si>
    <t>Constanza Alejandra Castillo Araya</t>
  </si>
  <si>
    <t>Avenida rica aventura 10701</t>
  </si>
  <si>
    <t>#NTVA6776</t>
  </si>
  <si>
    <t>259045658</t>
  </si>
  <si>
    <t>NOMBRE RETIRA: FRANCISCO MALDONSDO . RUT RETIRA: 20006208-6</t>
  </si>
  <si>
    <t>Francisco Maldonado Jopia</t>
  </si>
  <si>
    <t>Cinco de Mayo 1194, Casa color azul</t>
  </si>
  <si>
    <t>#NTVA6830</t>
  </si>
  <si>
    <t>259104787</t>
  </si>
  <si>
    <t>NOMBRE RETIRA: FRANCISCO VARAS . RUT RETIRA: 21269629-3</t>
  </si>
  <si>
    <t>Francisco Varas</t>
  </si>
  <si>
    <t>Avenida el sauce 2755, Casa</t>
  </si>
  <si>
    <t>#NTVA6716</t>
  </si>
  <si>
    <t>259045843</t>
  </si>
  <si>
    <t>NOMBRE RETIRA: VANESA BRITO . RUT RETIRA: 16046151-9</t>
  </si>
  <si>
    <t>Catalina Saavedra</t>
  </si>
  <si>
    <t>Laura Rodig 1641</t>
  </si>
  <si>
    <t>#NTVA6637</t>
  </si>
  <si>
    <t>259046092</t>
  </si>
  <si>
    <t>NOMBRE RETIRA: EMILIO MAVARRO . RUT RETIRA: 12345678-5</t>
  </si>
  <si>
    <t>#NTVA6662</t>
  </si>
  <si>
    <t>259045988</t>
  </si>
  <si>
    <t>NOMBRE RETIRA: VICTOR LEYTON . RUT RETIRA: 5800697-1</t>
  </si>
  <si>
    <t>Felipe Salazar Traegert</t>
  </si>
  <si>
    <t>Las primulas 1620, Casa</t>
  </si>
  <si>
    <t>#NTVA6952</t>
  </si>
  <si>
    <t>259104099</t>
  </si>
  <si>
    <t>NOMBRE RETIRA: BASTIAN FREIRE . RUT RETIRA: 14215144-8</t>
  </si>
  <si>
    <t>Bastian Freire</t>
  </si>
  <si>
    <t>Sargento aldea 0484</t>
  </si>
  <si>
    <t>2025-12-04 19:24</t>
  </si>
  <si>
    <t>#NTVA6773</t>
  </si>
  <si>
    <t>259045679</t>
  </si>
  <si>
    <t>NOMBRE RETIRA: JOSE ESCOBAR . RUT RETIRA: 18486096-1</t>
  </si>
  <si>
    <t>Felipe Andres Melinao Maliqueo</t>
  </si>
  <si>
    <t>Avenida San Sebastián 2030, 43</t>
  </si>
  <si>
    <t>#NTVA6912</t>
  </si>
  <si>
    <t>259104393</t>
  </si>
  <si>
    <t>NOMBRE RETIRA: NICOLE VIVEROS .CONSERJE RUT RETIRA: 19293865-1</t>
  </si>
  <si>
    <t>Rodrigo Mansilla Reyes</t>
  </si>
  <si>
    <t>Avda. Gabriela Mistral 3605 Dpto 43, 103</t>
  </si>
  <si>
    <t>#NTVA6919</t>
  </si>
  <si>
    <t>259104282</t>
  </si>
  <si>
    <t>NOMBRE RETIRA: ALVARO SAAVEDRA M RUT RETIRA: 13396185-2</t>
  </si>
  <si>
    <t>Alvaro Saavedra</t>
  </si>
  <si>
    <t>Lombardia, Arquimides con Lombardia 01859</t>
  </si>
  <si>
    <t>#NTVA6851</t>
  </si>
  <si>
    <t>259104713</t>
  </si>
  <si>
    <t>NOMBRE RETIRA: ELIZABET RIQUELME M RUT RETIRA: 9117215-1</t>
  </si>
  <si>
    <t>#NTVA6943</t>
  </si>
  <si>
    <t>259104115</t>
  </si>
  <si>
    <t>NOMBRE RETIRA: JAIME ALIANTE . RUT RETIRA: 10491414-4</t>
  </si>
  <si>
    <t>Sebastian Aliante Poblete</t>
  </si>
  <si>
    <t>Rio salado 03246, Casa</t>
  </si>
  <si>
    <t>#NTVA6785</t>
  </si>
  <si>
    <t>259045644</t>
  </si>
  <si>
    <t>NOMBRE RETIRA: ANDREA PARRA M RUT RETIRA: 12720895-6</t>
  </si>
  <si>
    <t>Camila Yáñez</t>
  </si>
  <si>
    <t>William O’Reilly 3236, Casa</t>
  </si>
  <si>
    <t>#NTVA6888</t>
  </si>
  <si>
    <t>259104519</t>
  </si>
  <si>
    <t>NOMBRE RETIRA: PATRICIO ALARCON . RUT RETIRA: 19089657-9</t>
  </si>
  <si>
    <t>Patricio Alarcon</t>
  </si>
  <si>
    <t>Balmaceda 217</t>
  </si>
  <si>
    <t>#NTVA6611</t>
  </si>
  <si>
    <t>259046216</t>
  </si>
  <si>
    <t>NOMBRE RETIRA: RODRIGO CID Y RUT RETIRA: 15224434-7</t>
  </si>
  <si>
    <t>Tomas Sepulveda Cortez</t>
  </si>
  <si>
    <t>Cochrane 1140, Departamento 1301</t>
  </si>
  <si>
    <t>2025-11-27 12:02</t>
  </si>
  <si>
    <t>#NTVA6836</t>
  </si>
  <si>
    <t>259104731</t>
  </si>
  <si>
    <t>NOMBRE RETIRA: ANGELA TAPIA . RUT RETIRA: 20514487-0</t>
  </si>
  <si>
    <t>Angela Tapia Ancatrio</t>
  </si>
  <si>
    <t>corbeta constitución 469, casa 469 color verde</t>
  </si>
  <si>
    <t>#NTVA6948</t>
  </si>
  <si>
    <t>259104136</t>
  </si>
  <si>
    <t>NOMBRE RETIRA: IVONNE CERDA . RUT RETIRA: 19089657-9</t>
  </si>
  <si>
    <t>Cristina Cifuentes</t>
  </si>
  <si>
    <t>Miguel de Unamuno, #2337</t>
  </si>
  <si>
    <t>#NTVA6915</t>
  </si>
  <si>
    <t>259104378</t>
  </si>
  <si>
    <t>NOMBRE RETIRA: PABLO VILLABLANCA 9844837 RUT RETIRA: 9844837-3</t>
  </si>
  <si>
    <t>marcia reyes campos</t>
  </si>
  <si>
    <t>calle paula jaraquemada #683, casa #683</t>
  </si>
  <si>
    <t>#NTVA6689</t>
  </si>
  <si>
    <t>259045911</t>
  </si>
  <si>
    <t>NOMBRE RETIRA: IGNACIA DANTIBANEZ SA RUT RETIRA: 7590559-9</t>
  </si>
  <si>
    <t>Ignacia Santibañez</t>
  </si>
  <si>
    <t>Claudio Miranda 3129, Casa esquina</t>
  </si>
  <si>
    <t>#NTVA6705</t>
  </si>
  <si>
    <t>259045855</t>
  </si>
  <si>
    <t>NOMBRE RETIRA: RODRIGO LANAS TAMBLAY RUT RETIRA: 19400402-8</t>
  </si>
  <si>
    <t>Callejon de Aguirre 628, Villa los Damascos</t>
  </si>
  <si>
    <t>Francisco de Aguirre 628, Villa los damascos</t>
  </si>
  <si>
    <t>#NTVA6858</t>
  </si>
  <si>
    <t>259104704</t>
  </si>
  <si>
    <t>NOMBRE RETIRA: ALEJANDRO JOMENES . RUT RETIRA: 16970452-K</t>
  </si>
  <si>
    <t>Alejandro Jimenez</t>
  </si>
  <si>
    <t>Los Geranios 6, Paso Los Andes, paradero 4 Santa julia</t>
  </si>
  <si>
    <t>#NTVA6765</t>
  </si>
  <si>
    <t>258831176</t>
  </si>
  <si>
    <t>NOMBRE RETIRA: MARICIEL TOLEDO . RUT RETIRA: 13564621-0</t>
  </si>
  <si>
    <t>Diego Jordan</t>
  </si>
  <si>
    <t>Diego portales 1072, depto 1203</t>
  </si>
  <si>
    <t>#NTVA6865</t>
  </si>
  <si>
    <t>259104633</t>
  </si>
  <si>
    <t>NOMBRE RETIRA: JUAN OPAZO . RUT RETIRA: 11498160-5</t>
  </si>
  <si>
    <t>Colipi 2350, Casa</t>
  </si>
  <si>
    <t>#NTVA6904</t>
  </si>
  <si>
    <t>259104432</t>
  </si>
  <si>
    <t>NOMBRE RETIRA: PEDRO AGUILA M RUT RETIRA: 6322501-0</t>
  </si>
  <si>
    <t>Fabian Miranda Tarkowski</t>
  </si>
  <si>
    <t>Pedro Ruiz Manriquez, 16</t>
  </si>
  <si>
    <t>#NTVA6840</t>
  </si>
  <si>
    <t>259104743</t>
  </si>
  <si>
    <t>NOMBRE RETIRA: ANDRES GALDAMES A RUT RETIRA: 23065943-5</t>
  </si>
  <si>
    <t>andres galdames castro</t>
  </si>
  <si>
    <t>los arados 170, casa</t>
  </si>
  <si>
    <t>#NTVA6927</t>
  </si>
  <si>
    <t>259104311</t>
  </si>
  <si>
    <t>Denis figueroa</t>
  </si>
  <si>
    <t>Chamiza km9, Parcela</t>
  </si>
  <si>
    <t>#NTVA6934</t>
  </si>
  <si>
    <t>259104207</t>
  </si>
  <si>
    <t>NOMBRE RETIRA: AMANDA FLORES . RUT RETIRA: 20078727-7</t>
  </si>
  <si>
    <t>Amanda Flores</t>
  </si>
  <si>
    <t>Los quillayes 1079 lagunillas 2, Casa</t>
  </si>
  <si>
    <t>2025-12-03 10:39</t>
  </si>
  <si>
    <t>#NTVA6887</t>
  </si>
  <si>
    <t>259104574</t>
  </si>
  <si>
    <t>NOMBRE RETIRA: JENIFER SEPULVEDA .. RUT RETIRA: 15968958-1</t>
  </si>
  <si>
    <t>claudio caico</t>
  </si>
  <si>
    <t>Fleming 258, casa de esquina blanca</t>
  </si>
  <si>
    <t>#NTVA6867</t>
  </si>
  <si>
    <t>259104646</t>
  </si>
  <si>
    <t>Christopher Urrutia Gonzalez</t>
  </si>
  <si>
    <t>Morris 776, Dpto 1211</t>
  </si>
  <si>
    <t>#NTVA6762</t>
  </si>
  <si>
    <t>259045684</t>
  </si>
  <si>
    <t>NOMBRE RETIRA: CARLOS BASUALTO B RUT RETIRA: 56049520-K</t>
  </si>
  <si>
    <t>Felipe Olea</t>
  </si>
  <si>
    <t>Avenida José Manuel balmaceda 833, Departamento A-102</t>
  </si>
  <si>
    <t>#NTVA6679</t>
  </si>
  <si>
    <t>259045960</t>
  </si>
  <si>
    <t>NOMBRE RETIRA: MAXIMOLIANO BUGMANN 0 RUT RETIRA: 22115435-5</t>
  </si>
  <si>
    <t>Maximiliano Bugmann</t>
  </si>
  <si>
    <t>Av. Vicuña Mackenna Pasaje Quince 1104, Casa</t>
  </si>
  <si>
    <t>#NTVA6847</t>
  </si>
  <si>
    <t>259104719</t>
  </si>
  <si>
    <t>NOMBRE RETIRA: FRANCISCA HENRIQUEZ F RUT RETIRA: 65067074-4</t>
  </si>
  <si>
    <t>Benjamin Henríquez Alcaíno</t>
  </si>
  <si>
    <t>Villa rapanui , Tahatai 16 , valparaiso, Casa 16</t>
  </si>
  <si>
    <t>#NTVA6940</t>
  </si>
  <si>
    <t>259104163</t>
  </si>
  <si>
    <t>NOMBRE RETIRA: DIEGO REYES .. RUT RETIRA: 18133197-6</t>
  </si>
  <si>
    <t>Israel Reyes</t>
  </si>
  <si>
    <t>Salamanca 315, Es un condominio</t>
  </si>
  <si>
    <t>#NTVA6614</t>
  </si>
  <si>
    <t>259046222</t>
  </si>
  <si>
    <t>NOMBRE RETIRA: NICOLAS RODRIGUEZ . RUT RETIRA: 21982276-6</t>
  </si>
  <si>
    <t>Nicolás Rodríguez</t>
  </si>
  <si>
    <t>Calle los copihues 85 Nonguen</t>
  </si>
  <si>
    <t>#NTVA6921</t>
  </si>
  <si>
    <t>259104269</t>
  </si>
  <si>
    <t>NOMBRE RETIRA: FERNANDA MAR8N B RUT RETIRA: 22837656-6</t>
  </si>
  <si>
    <t>Danae Araneda velasquez</t>
  </si>
  <si>
    <t>Bartolome del pozo 259, Depto 26</t>
  </si>
  <si>
    <t>#NTVA6693</t>
  </si>
  <si>
    <t>259045896</t>
  </si>
  <si>
    <t>NOMBRE RETIRA: MATIAS SANDOVAL . RUT RETIRA: 18686873-0</t>
  </si>
  <si>
    <t>Matías Sandoval Nuñez</t>
  </si>
  <si>
    <t>Eleuterio ramirez, pasaje 5, 059</t>
  </si>
  <si>
    <t>#NTVA6729</t>
  </si>
  <si>
    <t>259045769</t>
  </si>
  <si>
    <t>NOMBRE RETIRA: ALEJANDRO MOLINA MOLINA RUT RETIRA: 10700393-2</t>
  </si>
  <si>
    <t>Alejandro Molina</t>
  </si>
  <si>
    <t>Fray pedro catani 2157 , galilea f, Casa 2157</t>
  </si>
  <si>
    <t>#NTVA6789</t>
  </si>
  <si>
    <t>259045621</t>
  </si>
  <si>
    <t>NOMBRE RETIRA: JOHANA . . RUT RETIRA: 53330390-0</t>
  </si>
  <si>
    <t>Nicolás Saavedra</t>
  </si>
  <si>
    <t>Frankfurt 1134, 501</t>
  </si>
  <si>
    <t>#NTVA6935</t>
  </si>
  <si>
    <t>259104183</t>
  </si>
  <si>
    <t>NOMBRE RETIRA: JOSE ARIAS H RUT RETIRA: 14516220-3</t>
  </si>
  <si>
    <t>Pasaje F 435, Pob Guaiquillo</t>
  </si>
  <si>
    <t>#NTVA6736</t>
  </si>
  <si>
    <t>259045712</t>
  </si>
  <si>
    <t>NOMBRE RETIRA: NICOLAS ROBLES .. RUT RETIRA: 22679282-1</t>
  </si>
  <si>
    <t>Trini Robles</t>
  </si>
  <si>
    <t>Santa matia alto las cruces, Casa 6</t>
  </si>
  <si>
    <t>#NTVA6709</t>
  </si>
  <si>
    <t>259045850</t>
  </si>
  <si>
    <t>NOMBRE RETIRA: JUAN EGUILUZ N RUT RETIRA: 12607161-2</t>
  </si>
  <si>
    <t>#NTVA6695</t>
  </si>
  <si>
    <t>259045874</t>
  </si>
  <si>
    <t>NOMBRE RETIRA: LUIS 1QUIROGA 0 RUT RETIRA: 7665176-0</t>
  </si>
  <si>
    <t>valentina figueroa</t>
  </si>
  <si>
    <t>Avenida Laguna Grande, condominio los olivos #480 casa 42</t>
  </si>
  <si>
    <t>#NTVA6868</t>
  </si>
  <si>
    <t>259104605</t>
  </si>
  <si>
    <t>NOMBRE RETIRA: YOLANDA GONZALEZ V RUT RETIRA: 8552776-2</t>
  </si>
  <si>
    <t>ALFONSO DIAZ FERNANDEZ</t>
  </si>
  <si>
    <t>Pasaje lord cochranne 683</t>
  </si>
  <si>
    <t>#NTVA6706</t>
  </si>
  <si>
    <t>259045472</t>
  </si>
  <si>
    <t>NOMBRE RETIRA: SOFIA HERRERA . RUT RETIRA: 15204509-3</t>
  </si>
  <si>
    <t>Rio yaqui 1951, 1951</t>
  </si>
  <si>
    <t>2025-12-04 15:18</t>
  </si>
  <si>
    <t>#NTVA6913</t>
  </si>
  <si>
    <t>259104388</t>
  </si>
  <si>
    <t>NOMBRE RETIRA: JAQUELINE REUIZ M RUT RETIRA: 11238354-9</t>
  </si>
  <si>
    <t>#NTVA6624</t>
  </si>
  <si>
    <t>259046155</t>
  </si>
  <si>
    <t>NOMBRE RETIRA: CLAUDIO GUTIERRES . RUT RETIRA: 5668961-3</t>
  </si>
  <si>
    <t>Clyde Gutierrez infante</t>
  </si>
  <si>
    <t>Cerro torres del paine 1283</t>
  </si>
  <si>
    <t>#NTVA6900</t>
  </si>
  <si>
    <t>259104477</t>
  </si>
  <si>
    <t>NOMBRE RETIRA: ROBERTO FUENTE U RUT RETIRA: 14026176-9</t>
  </si>
  <si>
    <t>María Gabriela Bravo Jara</t>
  </si>
  <si>
    <t>Arboleda 148 etapa 3, Departamento G102</t>
  </si>
  <si>
    <t>#NTVA6815</t>
  </si>
  <si>
    <t>259045564</t>
  </si>
  <si>
    <t>NOMBRE RETIRA: PEDRO MELLA . RUT RETIRA: 13056733-9</t>
  </si>
  <si>
    <t>Pedro Mella Narváez</t>
  </si>
  <si>
    <t>La viña 1046, 1046</t>
  </si>
  <si>
    <t>#NTVA6645</t>
  </si>
  <si>
    <t>259046079</t>
  </si>
  <si>
    <t>NOMBRE RETIRA: GREGORI AZOR . RUT RETIRA: 26357931-3</t>
  </si>
  <si>
    <t>Job Palacios lastra</t>
  </si>
  <si>
    <t>Es avenida brasil 270, Departamento Montalbán 313</t>
  </si>
  <si>
    <t>#NTVA6674</t>
  </si>
  <si>
    <t>259045969</t>
  </si>
  <si>
    <t>NOMBRE RETIRA: GLADIS URRA K RUT RETIRA: 17457878-8</t>
  </si>
  <si>
    <t>Yamit Valenzuela Campos</t>
  </si>
  <si>
    <t>Itata 573</t>
  </si>
  <si>
    <t>#NTVA6726</t>
  </si>
  <si>
    <t>259045777</t>
  </si>
  <si>
    <t>calle 13 norte pasaje 7 1/2 oriente 1385, Casa</t>
  </si>
  <si>
    <t>#NTVA6816</t>
  </si>
  <si>
    <t>258831103</t>
  </si>
  <si>
    <t>NOMBRE RETIRA: PEDRO PARRA . RUT RETIRA: 18686443-3</t>
  </si>
  <si>
    <t>Pedro Parra Ulloa</t>
  </si>
  <si>
    <t>Villa el Aromo, calle los Avellanos 65, Penco, Casa</t>
  </si>
  <si>
    <t>#NTVA6936</t>
  </si>
  <si>
    <t>259104199</t>
  </si>
  <si>
    <t>NOMBRE RETIRA: BASTIAN URIBE . RUT RETIRA: 13312211-7</t>
  </si>
  <si>
    <t>Bastian Uribe</t>
  </si>
  <si>
    <t>Juan Antonio rios 3149. escuadrón sur, Local de comida Flakys</t>
  </si>
  <si>
    <t>#NTVA6931</t>
  </si>
  <si>
    <t>259104240</t>
  </si>
  <si>
    <t>NOMBRE RETIRA: CLEMENTINA ROJAS J RUT RETIRA: 12977946-2</t>
  </si>
  <si>
    <t>Bastian Eduardo Polanco</t>
  </si>
  <si>
    <t>Ejercito 435 edificio don diego dpto. 524, edificio don diego dpto. 524</t>
  </si>
  <si>
    <t>#NTVA6923</t>
  </si>
  <si>
    <t>259104347</t>
  </si>
  <si>
    <t>NOMBRE RETIRA: JORGE FAUNDEZ .. RUT RETIRA: 53297375-9</t>
  </si>
  <si>
    <t>javiera juleff</t>
  </si>
  <si>
    <t>calle von schroeder, departamento</t>
  </si>
  <si>
    <t>#NTVA6699</t>
  </si>
  <si>
    <t>259045867</t>
  </si>
  <si>
    <t>NOMBRE RETIRA: ALEJANDRA POBLETE . RUT RETIRA: 14367929-2</t>
  </si>
  <si>
    <t>Fernanda Isidora Parra Poblete</t>
  </si>
  <si>
    <t>Pasaje Pichidegua 692 Barrio Marista San Fernando, Casa</t>
  </si>
  <si>
    <t>#NTVA6929</t>
  </si>
  <si>
    <t>259104254</t>
  </si>
  <si>
    <t>NOMBRE RETIRA: EVA CHAVES . RUT RETIRA: 19053338-7</t>
  </si>
  <si>
    <t>Matias Gomez</t>
  </si>
  <si>
    <t>Lago conguillio 1666, Casa</t>
  </si>
  <si>
    <t>#NTVA6896</t>
  </si>
  <si>
    <t>259104507</t>
  </si>
  <si>
    <t>NOMBRE RETIRA: PATRICIO AEDO . RUT RETIRA: 13055031-2</t>
  </si>
  <si>
    <t>Patricio Aedo Peña</t>
  </si>
  <si>
    <t>Genova 1983</t>
  </si>
  <si>
    <t>#NTVA6807</t>
  </si>
  <si>
    <t>259045549</t>
  </si>
  <si>
    <t>NOMBRE RETIRA: BAYTON JORQUERA . RUT RETIRA: 20542052-5</t>
  </si>
  <si>
    <t>Bayron Jorquera Gallardo</t>
  </si>
  <si>
    <t>Villa Renacer, Calle Los Claveles N121. Rinconada de Los Andes.</t>
  </si>
  <si>
    <t>#NTVA6863</t>
  </si>
  <si>
    <t>259104679</t>
  </si>
  <si>
    <t>NOMBRE RETIRA: DIEGO CRISOSTOMO . RUT RETIRA: 19486867-7</t>
  </si>
  <si>
    <t>Diego Crisostomo</t>
  </si>
  <si>
    <t>Sinforiano ossa 913</t>
  </si>
  <si>
    <t>#NTVA6532</t>
  </si>
  <si>
    <t>257055485</t>
  </si>
  <si>
    <t>NOMBRE RETIRA: NELSON AVILA . RUT RETIRA: 10012238-3</t>
  </si>
  <si>
    <t>José Riera</t>
  </si>
  <si>
    <t>Avenida Nahuelbuta 2255, 901 A</t>
  </si>
  <si>
    <t>2025-11-11 12:10</t>
  </si>
  <si>
    <t>#NTVA6819</t>
  </si>
  <si>
    <t>258831076</t>
  </si>
  <si>
    <t>NOMBRE RETIRA: CRISTIAM SANDOVAL N RUT RETIRA: 21248155-6</t>
  </si>
  <si>
    <t>cristian sandoval</t>
  </si>
  <si>
    <t>pasaje rio tinguiririca 1910, Casa 1910</t>
  </si>
  <si>
    <t>#NTVA6814</t>
  </si>
  <si>
    <t>258831108</t>
  </si>
  <si>
    <t>NOMBRE RETIRA: FELIEP ARAYA F RUT RETIRA: 26387135-9</t>
  </si>
  <si>
    <t>Felipe Araya Muñoz</t>
  </si>
  <si>
    <t>C. 7 6112, Talcahuano, 6112</t>
  </si>
  <si>
    <t>#NTVA6749</t>
  </si>
  <si>
    <t>258831248</t>
  </si>
  <si>
    <t>NOMBRE RETIRA: DANIEL MUNOZ . RUT RETIRA: 56041900-7</t>
  </si>
  <si>
    <t>Victor Paz Correa</t>
  </si>
  <si>
    <t>gregorio marañon 2380, departamento 403</t>
  </si>
  <si>
    <t>#NTVA6719</t>
  </si>
  <si>
    <t>258831286</t>
  </si>
  <si>
    <t>NOMBRE RETIRA: MANUEL LEAL .. RUT RETIRA: 9658458-K</t>
  </si>
  <si>
    <t>Sebastian Fredes</t>
  </si>
  <si>
    <t>Perez interior 154, Lebu, Casa 2</t>
  </si>
  <si>
    <t>#NTVA6817</t>
  </si>
  <si>
    <t>258831097</t>
  </si>
  <si>
    <t>NOMBRE RETIRA: XIMENA RIOS . RUT RETIRA: 5778347-8</t>
  </si>
  <si>
    <t>Andres Velastin</t>
  </si>
  <si>
    <t>Traslaviña 315, Puerta cafe al costado del centro medico</t>
  </si>
  <si>
    <t>#NTVA6826</t>
  </si>
  <si>
    <t>258831084</t>
  </si>
  <si>
    <t>NOMBRE RETIRA: GABRIEL CAAMANO . RUT RETIRA: 16159159-9</t>
  </si>
  <si>
    <t>Gabriel caamaño</t>
  </si>
  <si>
    <t>Calle HernÁn Trizano 798, Calle HernÁn Trizano 798</t>
  </si>
  <si>
    <t>#NTVA6731</t>
  </si>
  <si>
    <t>258831253</t>
  </si>
  <si>
    <t>NOMBRE RETIRA: IGNACIA WEVAR . RUT RETIRA: 17997653-6</t>
  </si>
  <si>
    <t>Pedro Wevar</t>
  </si>
  <si>
    <t>El chacay 3287</t>
  </si>
  <si>
    <t>#NTVA6761</t>
  </si>
  <si>
    <t>258831200</t>
  </si>
  <si>
    <t>NOMBRE RETIRA: LUIS QUINTERO . RUT RETIRA: 53317003-K</t>
  </si>
  <si>
    <t>Nicolas acevedo</t>
  </si>
  <si>
    <t>1 poniente 140, 407</t>
  </si>
  <si>
    <t>#NTVA6757</t>
  </si>
  <si>
    <t>258831191</t>
  </si>
  <si>
    <t>NOMBRE RETIRA: JIHAN REBOLLEDO REBOLLEDO RUT RETIRA: 21858747-K</t>
  </si>
  <si>
    <t>Johann Rebolledo</t>
  </si>
  <si>
    <t>Callejon lo cartagena 871, Casa</t>
  </si>
  <si>
    <t>#NTVA6751</t>
  </si>
  <si>
    <t>258831219</t>
  </si>
  <si>
    <t>NOMBRE RETIRA: CARLOS COFRE . RUT RETIRA: 10827060-8</t>
  </si>
  <si>
    <t>Carlos Cofré</t>
  </si>
  <si>
    <t>Bahia soberania 572 canal beagle</t>
  </si>
  <si>
    <t>#NTVA6766</t>
  </si>
  <si>
    <t>258831150</t>
  </si>
  <si>
    <t>NOMBRE RETIRA: FRANKLIN RIVAS . RUT RETIRA: 11677307-4</t>
  </si>
  <si>
    <t>Camila Martínez</t>
  </si>
  <si>
    <t>Avenida nahuelbuta 2520, Casa 12</t>
  </si>
  <si>
    <t>#NTVA6753</t>
  </si>
  <si>
    <t>258831196</t>
  </si>
  <si>
    <t>NOMBRE RETIRA: ROCIO FERNANDA PEREZ RUT RETIRA: 14337326-6</t>
  </si>
  <si>
    <t>Rocio fernanda Perez navarrete</t>
  </si>
  <si>
    <t>Villa galilea pasaje marengo 1985, Casa</t>
  </si>
  <si>
    <t>#NTVA6759</t>
  </si>
  <si>
    <t>258831208</t>
  </si>
  <si>
    <t>NOMBRE RETIRA: SUSANA ORTEGA . RUT RETIRA: 17575914-K</t>
  </si>
  <si>
    <t>Ignacio Villagra Ortega</t>
  </si>
  <si>
    <t>Rogelio astudillo 26, Negocio rojo</t>
  </si>
  <si>
    <t>#NTVA6777</t>
  </si>
  <si>
    <t>258831135</t>
  </si>
  <si>
    <t>NOMBRE RETIRA: GENESUS GONZALES . RUT RETIRA: 9012798-5</t>
  </si>
  <si>
    <t>Genesis gonzalez salgado</t>
  </si>
  <si>
    <t>Parque Nacional Huerquehue, 6995</t>
  </si>
  <si>
    <t>#NTVA6721</t>
  </si>
  <si>
    <t>258831236</t>
  </si>
  <si>
    <t>NOMBRE RETIRA: DANITZA JARA . RUT RETIRA: 20256220-5</t>
  </si>
  <si>
    <t>Daniela Mendoza</t>
  </si>
  <si>
    <t>Calle nueva 1280, Dpto 203 torre A</t>
  </si>
  <si>
    <t>#NTVA6707</t>
  </si>
  <si>
    <t>258831276</t>
  </si>
  <si>
    <t>NOMBRE RETIRA: SOFIA HERRERA . RUT RETIRA: 18866844-5</t>
  </si>
  <si>
    <t>#NTVA6770</t>
  </si>
  <si>
    <t>258831159</t>
  </si>
  <si>
    <t>NOMBRE RETIRA: DANIELA OLIVARES . RUT RETIRA: 13723681-8</t>
  </si>
  <si>
    <t>Simon Faundez Olivares</t>
  </si>
  <si>
    <t>Lafquen 1160, Casa</t>
  </si>
  <si>
    <t>#NTVA6669</t>
  </si>
  <si>
    <t>258337197</t>
  </si>
  <si>
    <t>NOMBRE RETIRA: JULIANA HERNANDEZ . RUT RETIRA: 10772798-1</t>
  </si>
  <si>
    <t>Alejandro Abasolo Hernández</t>
  </si>
  <si>
    <t>Nahuelbuta con Balmaceda 022, 022</t>
  </si>
  <si>
    <t>#NTVA6675</t>
  </si>
  <si>
    <t>258337177</t>
  </si>
  <si>
    <t>NOMBRE RETIRA: JUAN CALDERON 0 RUT RETIRA: 22222222-2</t>
  </si>
  <si>
    <t>Juan Calderon Ceballos</t>
  </si>
  <si>
    <t>JosÉ Santos Ossa 2213</t>
  </si>
  <si>
    <t>#NTVA6666</t>
  </si>
  <si>
    <t>258337226</t>
  </si>
  <si>
    <t>NOMBRE RETIRA: CAMILQ MONAALVE . RUT RETIRA: 19371057-3</t>
  </si>
  <si>
    <t>Sucursal starken Los Ángeles, av Sor Vicenta 2061, Sucursal starken</t>
  </si>
  <si>
    <t>#NTVA6655</t>
  </si>
  <si>
    <t>258337248</t>
  </si>
  <si>
    <t>NOMBRE RETIRA: IGNACIO MUNOZ . RUT RETIRA: 19577616-4</t>
  </si>
  <si>
    <t>Colo Colo 1576, Edif 1 Dpto 504, Departamento 504</t>
  </si>
  <si>
    <t>#NTVA6690</t>
  </si>
  <si>
    <t>258337144</t>
  </si>
  <si>
    <t>NOMBRE RETIRA: CARLOS OLIVAREZ . RUT RETIRA: 21163952-0</t>
  </si>
  <si>
    <t>Carlos nicolas Olivares</t>
  </si>
  <si>
    <t>Jose villanueva sur 2267, Casa</t>
  </si>
  <si>
    <t>#NTVA6632</t>
  </si>
  <si>
    <t>258337366</t>
  </si>
  <si>
    <t>NOMBRE RETIRA: CATALINA ACEVEDO . RUT RETIRA: 17625970-1</t>
  </si>
  <si>
    <t>Laura rodig 1641, 1641</t>
  </si>
  <si>
    <t>#NTVA6692</t>
  </si>
  <si>
    <t>258337139</t>
  </si>
  <si>
    <t>NOMBRE RETIRA: YOLANDA FIGUEROA . RUT RETIRA: 12729135-7</t>
  </si>
  <si>
    <t>Renato Rivera</t>
  </si>
  <si>
    <t>Paula Jaraquemada, Paula Jaraquemada 285, Forjadores De Chile, Penco, Región del Bío-Bío.</t>
  </si>
  <si>
    <t>#NTVA6681</t>
  </si>
  <si>
    <t>258337148</t>
  </si>
  <si>
    <t>NOMBRE RETIRA: MANUEL ARAYA A RUT RETIRA: 56049520-K</t>
  </si>
  <si>
    <t>Diego Cantariño Morales</t>
  </si>
  <si>
    <t>General Prieto 450, Apartamento g604</t>
  </si>
  <si>
    <t>#NTVA6652</t>
  </si>
  <si>
    <t>258337252</t>
  </si>
  <si>
    <t>Paz Gonzalez Irarrazabal</t>
  </si>
  <si>
    <t>Cochrane 1164, 205</t>
  </si>
  <si>
    <t>#NTVA6644</t>
  </si>
  <si>
    <t>258337293</t>
  </si>
  <si>
    <t>NOMBRE RETIRA: CARLOS CISTERNA . RUT RETIRA: 10311425-K</t>
  </si>
  <si>
    <t>Carlos Cisterna Alvarado</t>
  </si>
  <si>
    <t>Karl Whilelm 993, Casa</t>
  </si>
  <si>
    <t>#NTVA6625</t>
  </si>
  <si>
    <t>258337390</t>
  </si>
  <si>
    <t>NOMBRE RETIRA: CAROLINA SALAZAR S RUT RETIRA: 19270070-1</t>
  </si>
  <si>
    <t>Vanessa Silva</t>
  </si>
  <si>
    <t>Ramón Freire 624, 311 (RDOX)</t>
  </si>
  <si>
    <t>#NTVA6656</t>
  </si>
  <si>
    <t>258337237</t>
  </si>
  <si>
    <t>NOMBRE RETIRA: CAROLINA ARANEDA ARANEDA RUT RETIRA: 14211431-3</t>
  </si>
  <si>
    <t>Vilumilla 1611</t>
  </si>
  <si>
    <t>#NTVA6635</t>
  </si>
  <si>
    <t>258337326</t>
  </si>
  <si>
    <t>NOMBRE RETIRA: VICTORIA ESPINOZA LINGUE RUT RETIRA: 12135395-4</t>
  </si>
  <si>
    <t>#NTVA6595</t>
  </si>
  <si>
    <t>258110216</t>
  </si>
  <si>
    <t>NOMBRE RETIRA: JORGE TORO . RUT RETIRA: 8887684-9</t>
  </si>
  <si>
    <t>Alberto Miño Olavarría</t>
  </si>
  <si>
    <t>Block 5a dpto 13, 5to sector Playa Ancha calle melipilla, 13</t>
  </si>
  <si>
    <t>#NTVA6596</t>
  </si>
  <si>
    <t>258195155</t>
  </si>
  <si>
    <t>NOMBRE RETIRA: PATRICIA QUIROGA M RUT RETIRA: 9850457-5</t>
  </si>
  <si>
    <t>Patricia Quiroga Robles</t>
  </si>
  <si>
    <t>Granada 1345</t>
  </si>
  <si>
    <t>#NTVA6603</t>
  </si>
  <si>
    <t>258195151</t>
  </si>
  <si>
    <t>NOMBRE RETIRA: SEBASTIAN PARDO 0 RUT RETIRA: 12345678-5</t>
  </si>
  <si>
    <t>#NTVA6550</t>
  </si>
  <si>
    <t>258110227</t>
  </si>
  <si>
    <t>NOMBRE RETIRA: LUCIANO PARADA . RUT RETIRA: 15270956-0</t>
  </si>
  <si>
    <t>Luciano Parada</t>
  </si>
  <si>
    <t>Piedra Mesa 331</t>
  </si>
  <si>
    <t>2025-11-26 13:31</t>
  </si>
  <si>
    <t>#NTVA6590</t>
  </si>
  <si>
    <t>258025601</t>
  </si>
  <si>
    <t>NOMBRE RETIRA: FELIPE RIVERA . RUT RETIRA: 21384442-3</t>
  </si>
  <si>
    <t>felipe rivera</t>
  </si>
  <si>
    <t>Huichalef 4948, casa</t>
  </si>
  <si>
    <t>#NTVA6589</t>
  </si>
  <si>
    <t>258025624</t>
  </si>
  <si>
    <t>NOMBRE RETIRA: MAIRA MORAN . RUT RETIRA: 15952046-3</t>
  </si>
  <si>
    <t>Fernando Suazo Cifuentes</t>
  </si>
  <si>
    <t>Tucapel 515, 1113</t>
  </si>
  <si>
    <t>#NTVA6573</t>
  </si>
  <si>
    <t>257617239</t>
  </si>
  <si>
    <t>NOMBRE RETIRA: BRENDA CRISOSTOMO C RUT RETIRA: 13068188-3</t>
  </si>
  <si>
    <t>Felipe Dossow</t>
  </si>
  <si>
    <t>Pasaje El valle 718, Casa</t>
  </si>
  <si>
    <t>2025-11-18 21:14</t>
  </si>
  <si>
    <t>#NTVA6591</t>
  </si>
  <si>
    <t>258025599</t>
  </si>
  <si>
    <t>NOMBRE RETIRA: BARBARA REBOLLEDO . RUT RETIRA: 21367413-7</t>
  </si>
  <si>
    <t>Cristian Galaz Beltran</t>
  </si>
  <si>
    <t>Parcela 8, Tolpan</t>
  </si>
  <si>
    <t>#NTVA7343</t>
  </si>
  <si>
    <t>712996895531</t>
  </si>
  <si>
    <t>Nombre: maximiliano fernandez - Rut: 222226805</t>
  </si>
  <si>
    <t>Maximiliano Fernandez</t>
  </si>
  <si>
    <t>Pablo de rokha 98, casa</t>
  </si>
  <si>
    <t>2025-12-22 20:36</t>
  </si>
  <si>
    <t>#NTVA7410</t>
  </si>
  <si>
    <t>712996652082</t>
  </si>
  <si>
    <t>Nombre: Maria Santibanez - Rut: 231035796</t>
  </si>
  <si>
    <t>María Paz Santibáñez</t>
  </si>
  <si>
    <t>Sitio #24 Las Lomas de Cholqui, Casa amarilla con palmera en el patio.</t>
  </si>
  <si>
    <t>2025-12-26 11:16</t>
  </si>
  <si>
    <t>#NTVA7394</t>
  </si>
  <si>
    <t>712996652314</t>
  </si>
  <si>
    <t>Nombre: Lorena Seguel - Rut: 156232661</t>
  </si>
  <si>
    <t>Sofia Barrera</t>
  </si>
  <si>
    <t>Ruta G-646, casa azul con porton de metal frente a casa de dos pisos</t>
  </si>
  <si>
    <t>2025-12-25 19:19</t>
  </si>
  <si>
    <t>#NTVA7357</t>
  </si>
  <si>
    <t>712996895494</t>
  </si>
  <si>
    <t>Nombre: Luis Gonzalez - Rut: 52187001</t>
  </si>
  <si>
    <t>Matias Donoso Gonzalez</t>
  </si>
  <si>
    <t>Obispo Eduardo Larrain N°731, Litueche, 201.1434.404-1</t>
  </si>
  <si>
    <t>#NTVA6855</t>
  </si>
  <si>
    <t>712984630341</t>
  </si>
  <si>
    <t>Nombre: Marcela Sanchez - Rut: 14380464</t>
  </si>
  <si>
    <t>Marcela Sánchez Santibañez</t>
  </si>
  <si>
    <t>Villa Sotomayor, Manuel Rodriguez. Casa 50, Casa 50 Frente a grifo</t>
  </si>
  <si>
    <t>#NTVA7324</t>
  </si>
  <si>
    <t>712995010711</t>
  </si>
  <si>
    <t>Nombre: tomas rojas - Rut: 219372345</t>
  </si>
  <si>
    <t>Tomás Martínez Rojas</t>
  </si>
  <si>
    <t>Pasaje San Agustin 412, Valle Santa Maria, Hualpén, Casa</t>
  </si>
  <si>
    <t>#NTVA7193</t>
  </si>
  <si>
    <t>712993561851</t>
  </si>
  <si>
    <t>Nombre: David sSanchez - Rut: 13659737</t>
  </si>
  <si>
    <t>Giordano Garces</t>
  </si>
  <si>
    <t>Dr Nestor Barrientos Bustamante 609</t>
  </si>
  <si>
    <t>#NTVA7262</t>
  </si>
  <si>
    <t>712994081575</t>
  </si>
  <si>
    <t>Nombre: pedro loyola - Rut: 199079700</t>
  </si>
  <si>
    <t>Valentina Loyola Sepulveda</t>
  </si>
  <si>
    <t>Cholguan 9218</t>
  </si>
  <si>
    <t>#NTVA7161</t>
  </si>
  <si>
    <t>712992658464</t>
  </si>
  <si>
    <t>Nombre: maribel cerda - Rut: 15404924</t>
  </si>
  <si>
    <t>Tomas Retamal Cerda</t>
  </si>
  <si>
    <t>Av manso 962, Casa</t>
  </si>
  <si>
    <t>#NTVA7084</t>
  </si>
  <si>
    <t>712991541673</t>
  </si>
  <si>
    <t>Alexander Julian</t>
  </si>
  <si>
    <t>Villa Los Alcaldes 125, 125</t>
  </si>
  <si>
    <t>#NTVA7109</t>
  </si>
  <si>
    <t>712991541161</t>
  </si>
  <si>
    <t>Nombre: diego - Rut: 184145421</t>
  </si>
  <si>
    <t>Diego Belmar</t>
  </si>
  <si>
    <t>Coihueco 770, Casa</t>
  </si>
  <si>
    <t>#NTVA7065</t>
  </si>
  <si>
    <t>712991542443</t>
  </si>
  <si>
    <t>Nombre: david sanchez - Rut: 13659737</t>
  </si>
  <si>
    <t>Yordano Garces catelican</t>
  </si>
  <si>
    <t>Nestor Barrientos Bustamante 609</t>
  </si>
  <si>
    <t>#NTVA7025</t>
  </si>
  <si>
    <t>712988318501</t>
  </si>
  <si>
    <t>Nombre: Yaresla Vargas - XIMENA NAHUEQUEN - Rut: 21492780</t>
  </si>
  <si>
    <t>Yaresla Vargas</t>
  </si>
  <si>
    <t>Ignacio Serrano 397, Local Depomed</t>
  </si>
  <si>
    <t>#NTVA7009</t>
  </si>
  <si>
    <t>712987537091</t>
  </si>
  <si>
    <t>Nombre: valentina galdames - Rut: 203110200</t>
  </si>
  <si>
    <t>Valentina Galdames</t>
  </si>
  <si>
    <t>Arturo Prat #96 Bollenar, Casa</t>
  </si>
  <si>
    <t>#NTVA6838</t>
  </si>
  <si>
    <t>712984630470</t>
  </si>
  <si>
    <t>Nombre: jose correa - Rut: 189617844</t>
  </si>
  <si>
    <t>Jose Correa Alvarez</t>
  </si>
  <si>
    <t>Scottie Scott 565</t>
  </si>
  <si>
    <t>#NTVA6924</t>
  </si>
  <si>
    <t>712984628801</t>
  </si>
  <si>
    <t>Nombre: Julia Zambrano - Rut: 97168695</t>
  </si>
  <si>
    <t>Eric Vásquez zambrano</t>
  </si>
  <si>
    <t>2 sur 0100 A, Casa</t>
  </si>
  <si>
    <t>#NTVA6932</t>
  </si>
  <si>
    <t>712984628064</t>
  </si>
  <si>
    <t>Nombre: marcia rebolledo - Rut: 652288022</t>
  </si>
  <si>
    <t>renzo bello</t>
  </si>
  <si>
    <t>Avenida Rucalhue 395, Torre J235</t>
  </si>
  <si>
    <t>#NTVA7210</t>
  </si>
  <si>
    <t>9424609751</t>
  </si>
  <si>
    <t>Julian recibido por el cliente en el domicilio</t>
  </si>
  <si>
    <t>Julián Díaz Ulloa</t>
  </si>
  <si>
    <t>Camino orilla del río paradero 11 170D</t>
  </si>
  <si>
    <t>#NTVA7321</t>
  </si>
  <si>
    <t>9421625802</t>
  </si>
  <si>
    <t>Daniel Erazo</t>
  </si>
  <si>
    <t>Dos sur 31, Lampa, Poblacion batuco</t>
  </si>
  <si>
    <t>#NTVA7082</t>
  </si>
  <si>
    <t>9420442474</t>
  </si>
  <si>
    <t>cristofer resibe titular cliente no quiere foto</t>
  </si>
  <si>
    <t>Cristofer Perez</t>
  </si>
  <si>
    <t>Guacarhue Las Palmas De Arriba Callejon Los Perez 080</t>
  </si>
  <si>
    <t>#NTVA7089</t>
  </si>
  <si>
    <t>9420107760</t>
  </si>
  <si>
    <t>Elena Covarrubias ok</t>
  </si>
  <si>
    <t>#NTVA7152</t>
  </si>
  <si>
    <t>9420118245</t>
  </si>
  <si>
    <t>Paula cruz 939e83883 recibe conforme familiar del</t>
  </si>
  <si>
    <t>Olea 4019 portones de santa beatriz, Parcela 34</t>
  </si>
  <si>
    <t>#NTVA7146</t>
  </si>
  <si>
    <t>9423037676</t>
  </si>
  <si>
    <t>Miguel Allende ok</t>
  </si>
  <si>
    <t>Miguel Allende</t>
  </si>
  <si>
    <t>Santa carolina, parcela 32, batuco, lampa, 29</t>
  </si>
  <si>
    <t>#NTVA7141</t>
  </si>
  <si>
    <t>9423274195</t>
  </si>
  <si>
    <t>Jose guerrero recibe conforme</t>
  </si>
  <si>
    <t>Analia Aguilera Guerrero</t>
  </si>
  <si>
    <t>Zoila gac 305 (restorán esquina de la plaza)</t>
  </si>
  <si>
    <t>#NTVA6987</t>
  </si>
  <si>
    <t>9413639852</t>
  </si>
  <si>
    <t>Lucas Gonzalez Zamorano</t>
  </si>
  <si>
    <t>Argomedo 1948, Local Jtec</t>
  </si>
  <si>
    <t>#NTVA7027</t>
  </si>
  <si>
    <t>9418910222</t>
  </si>
  <si>
    <t>Ian donoso ok</t>
  </si>
  <si>
    <t>Ian Donoso Romero</t>
  </si>
  <si>
    <t>Boris Calderon Soto 54, 54</t>
  </si>
  <si>
    <t>#NTVA6784</t>
  </si>
  <si>
    <t>9414668325</t>
  </si>
  <si>
    <t>14009637-7 Angel fuentes reciben en conserjeria d</t>
  </si>
  <si>
    <t>Antonia Aguila</t>
  </si>
  <si>
    <t>camino los tilos 2702, p15</t>
  </si>
  <si>
    <t>#NTVA6832</t>
  </si>
  <si>
    <t>9411840572</t>
  </si>
  <si>
    <t>Daniel Lecaros Villarroel</t>
  </si>
  <si>
    <t>Libertad 1101, Casa de esquina</t>
  </si>
  <si>
    <t>#NTVA6660</t>
  </si>
  <si>
    <t>9414752336</t>
  </si>
  <si>
    <t>23309666-0 alfonso cliente no quiere foto</t>
  </si>
  <si>
    <t>alfonso hernandez soto</t>
  </si>
  <si>
    <t>5 de abril, 453</t>
  </si>
  <si>
    <t>#NTVA6862</t>
  </si>
  <si>
    <t>9411421331</t>
  </si>
  <si>
    <t>Martín Henriquez</t>
  </si>
  <si>
    <t>Parroco agustin lobos 2510</t>
  </si>
  <si>
    <t>#NTVA6951</t>
  </si>
  <si>
    <t>9411530811</t>
  </si>
  <si>
    <t>BXG:HZBP18</t>
  </si>
  <si>
    <t>Edward Verdejo</t>
  </si>
  <si>
    <t>Quintero, Santa Victoria, Casa 3431, Casa 3431</t>
  </si>
  <si>
    <t>#NTVA6870</t>
  </si>
  <si>
    <t>9411589784</t>
  </si>
  <si>
    <t>Isidora Vega</t>
  </si>
  <si>
    <t>Almirante latorre 876 buin, Casa 876</t>
  </si>
  <si>
    <t>#NTVA6672</t>
  </si>
  <si>
    <t>9408398344</t>
  </si>
  <si>
    <t>Camilo Letelier Muñoz</t>
  </si>
  <si>
    <t>El belloto 1245, depto 102</t>
  </si>
  <si>
    <t>#NTVA6677</t>
  </si>
  <si>
    <t>9408845272</t>
  </si>
  <si>
    <t>rosa ok</t>
  </si>
  <si>
    <t>Aileen Jiménez Soto</t>
  </si>
  <si>
    <t>Fortunato Vengas 11, casa 27,</t>
  </si>
  <si>
    <t>12278</t>
  </si>
  <si>
    <t>9392196181</t>
  </si>
  <si>
    <t>RCT CHILE</t>
  </si>
  <si>
    <t>Aracely escobar entregavext</t>
  </si>
  <si>
    <t>Hernan Aguilera</t>
  </si>
  <si>
    <t>Las Cinerarias 4492, Villa La Florida, La Serena</t>
  </si>
  <si>
    <t>2025-11-26 17:49</t>
  </si>
  <si>
    <t>12223</t>
  </si>
  <si>
    <t>9405893195</t>
  </si>
  <si>
    <t>Diana Molina Avilés</t>
  </si>
  <si>
    <t>El roble 050</t>
  </si>
  <si>
    <t>2025-11-24 11:53</t>
  </si>
  <si>
    <t>12201</t>
  </si>
  <si>
    <t>9405920311</t>
  </si>
  <si>
    <t>Marco Antonio Saavedra Higuera</t>
  </si>
  <si>
    <t>Pedro de Valdivia 810</t>
  </si>
  <si>
    <t>2025-11-23 07:26</t>
  </si>
  <si>
    <t>12333</t>
  </si>
  <si>
    <t>9409386022</t>
  </si>
  <si>
    <t>Carla María Alarcon</t>
  </si>
  <si>
    <t>Camino Del Rio 899</t>
  </si>
  <si>
    <t>2025-11-28 07:21</t>
  </si>
  <si>
    <t>12215</t>
  </si>
  <si>
    <t>9406326031</t>
  </si>
  <si>
    <t>Gonzalo Duarte muñoz</t>
  </si>
  <si>
    <t>Luis Ambrosio Concha Nro. 1</t>
  </si>
  <si>
    <t>2025-11-23 20:28</t>
  </si>
  <si>
    <t>12267</t>
  </si>
  <si>
    <t>9392499373</t>
  </si>
  <si>
    <t>Ricardo Esteban Vasquez Peña</t>
  </si>
  <si>
    <t>CAMINO A PUERTO OCTAY 655 KM 1 PLANTA GASCO OSORNO ENTREGAR EN PORTERÍA.</t>
  </si>
  <si>
    <t>2025-11-26 10:49</t>
  </si>
  <si>
    <t>12259</t>
  </si>
  <si>
    <t>9391787860</t>
  </si>
  <si>
    <t>Nicolás Neufeld</t>
  </si>
  <si>
    <t>Av cuatro esquinas s/n Loteo encomendero, lote 275, sector cerro grande</t>
  </si>
  <si>
    <t>2025-11-25 22:01</t>
  </si>
  <si>
    <t>12247</t>
  </si>
  <si>
    <t>9392721262</t>
  </si>
  <si>
    <t>Arturo Donoso parra</t>
  </si>
  <si>
    <t>Gabriela mistral 36</t>
  </si>
  <si>
    <t>2025-11-25 13:10</t>
  </si>
  <si>
    <t>12261</t>
  </si>
  <si>
    <t>9392605272</t>
  </si>
  <si>
    <t>Armando Perez Varas</t>
  </si>
  <si>
    <t>Larrain Gandarillas 230, llolleo</t>
  </si>
  <si>
    <t>2025-11-25 22:33</t>
  </si>
  <si>
    <t>12243</t>
  </si>
  <si>
    <t>9391994522</t>
  </si>
  <si>
    <t>Luisana nicolina Homsi mendoza</t>
  </si>
  <si>
    <t>Francisco canton 478</t>
  </si>
  <si>
    <t>2025-11-25 12:13</t>
  </si>
  <si>
    <t>12242</t>
  </si>
  <si>
    <t>9391817466</t>
  </si>
  <si>
    <t>Carolina Flores</t>
  </si>
  <si>
    <t>La Reserva de Frutillar 104</t>
  </si>
  <si>
    <t>12178</t>
  </si>
  <si>
    <t>9394450472</t>
  </si>
  <si>
    <t>Eduardo Alvarado galleguillos</t>
  </si>
  <si>
    <t>Alfonso Néspolo 410</t>
  </si>
  <si>
    <t>2025-11-20 12:03</t>
  </si>
  <si>
    <t>12285</t>
  </si>
  <si>
    <t>9409799350</t>
  </si>
  <si>
    <t>Ricardo del pino familiar</t>
  </si>
  <si>
    <t>Valentina del Pino Morales</t>
  </si>
  <si>
    <t>Arturo Pérez Canto 068 Villa Profesores</t>
  </si>
  <si>
    <t>12274</t>
  </si>
  <si>
    <t>9392284812</t>
  </si>
  <si>
    <t>Perla Ramirez destinataria</t>
  </si>
  <si>
    <t>Perla Ramirez</t>
  </si>
  <si>
    <t>Baquedano 226</t>
  </si>
  <si>
    <t>12347</t>
  </si>
  <si>
    <t>9409820033</t>
  </si>
  <si>
    <t>Camila Quiñones Soto</t>
  </si>
  <si>
    <t>Pampa germania 3272 villa magisterio</t>
  </si>
  <si>
    <t>12269</t>
  </si>
  <si>
    <t>9392709830</t>
  </si>
  <si>
    <t>SOCIEDAD DE SERVICIO GEOSATELSPA Galdavini Araya</t>
  </si>
  <si>
    <t>hernan fuenzalida 1064-a</t>
  </si>
  <si>
    <t>2025-11-26 10:42</t>
  </si>
  <si>
    <t>12345</t>
  </si>
  <si>
    <t>9409135960</t>
  </si>
  <si>
    <t>Julieth Ocampo</t>
  </si>
  <si>
    <t>Avenida los libertadores 791. Trabajo, DENTRO de verdulería grande, frente bloques amarillos, al lado de condominio</t>
  </si>
  <si>
    <t>12326</t>
  </si>
  <si>
    <t>9409656594</t>
  </si>
  <si>
    <t>Rommy Cortes leighton</t>
  </si>
  <si>
    <t>Río Mapocho 221</t>
  </si>
  <si>
    <t>2025-11-27 22:05</t>
  </si>
  <si>
    <t>12336</t>
  </si>
  <si>
    <t>9409520131</t>
  </si>
  <si>
    <t>javiera Soto-aguilar nuñez</t>
  </si>
  <si>
    <t>Ramon carrasco 239, casa 256</t>
  </si>
  <si>
    <t>12316</t>
  </si>
  <si>
    <t>9409418126</t>
  </si>
  <si>
    <t>Bernardo Troncoso</t>
  </si>
  <si>
    <t>Avda Ifarle Oriente 6191 cond caucaso 3</t>
  </si>
  <si>
    <t>2025-11-27 14:19</t>
  </si>
  <si>
    <t>12213</t>
  </si>
  <si>
    <t>9406351813</t>
  </si>
  <si>
    <t>Rodrigo Corvalan Abarca</t>
  </si>
  <si>
    <t>Av Errazuriz 746</t>
  </si>
  <si>
    <t>2025-11-23 17:46</t>
  </si>
  <si>
    <t>12344</t>
  </si>
  <si>
    <t>9409253722</t>
  </si>
  <si>
    <t>Vanessa Ortega Gutierrez</t>
  </si>
  <si>
    <t>Magallanes 446</t>
  </si>
  <si>
    <t>12325</t>
  </si>
  <si>
    <t>9409834066</t>
  </si>
  <si>
    <t>Miguel Carrizo</t>
  </si>
  <si>
    <t>Avenida Jose Joaquin Perez 3416</t>
  </si>
  <si>
    <t>12981</t>
  </si>
  <si>
    <t>9424394313</t>
  </si>
  <si>
    <t>Ivette Tapia Castillo</t>
  </si>
  <si>
    <t>Los Exploradores 14136 casa 34 (Condominio Chiu Chiu)</t>
  </si>
  <si>
    <t>2025-12-19 06:06</t>
  </si>
  <si>
    <t>12979</t>
  </si>
  <si>
    <t>9424497515</t>
  </si>
  <si>
    <t>Denisse Ranaldi</t>
  </si>
  <si>
    <t>Gabriel Dazarola 1176 Villa Alemana, Valparaíso.</t>
  </si>
  <si>
    <t>2025-12-18 16:32</t>
  </si>
  <si>
    <t>12975</t>
  </si>
  <si>
    <t>9423277850</t>
  </si>
  <si>
    <t>Julio Vera</t>
  </si>
  <si>
    <t>Alto Las Parras Parcela A7</t>
  </si>
  <si>
    <t>2025-12-17 18:23</t>
  </si>
  <si>
    <t>12980</t>
  </si>
  <si>
    <t>9424436862</t>
  </si>
  <si>
    <t>Priscilla Gordillo</t>
  </si>
  <si>
    <t>Doctor Ariel Diaz rojas 1577</t>
  </si>
  <si>
    <t>12976</t>
  </si>
  <si>
    <t>9423360376</t>
  </si>
  <si>
    <t>Cintya Iriarte Rojas</t>
  </si>
  <si>
    <t>Rio bueno 290</t>
  </si>
  <si>
    <t>12988</t>
  </si>
  <si>
    <t>9421534286</t>
  </si>
  <si>
    <t>laura ferrasa lo escribio xonfome</t>
  </si>
  <si>
    <t>Laura Ferrada</t>
  </si>
  <si>
    <t>Oscar Alfaro 4</t>
  </si>
  <si>
    <t>12994</t>
  </si>
  <si>
    <t>9421628005</t>
  </si>
  <si>
    <t>SOR:01-OLA:150-E:1500-SP:92-SR:92-PZA:1</t>
  </si>
  <si>
    <t>Alejandra Ardiles</t>
  </si>
  <si>
    <t>Ulmo 1903, casa 138</t>
  </si>
  <si>
    <t>2025-12-22 01:43</t>
  </si>
  <si>
    <t>12972</t>
  </si>
  <si>
    <t>9422916646</t>
  </si>
  <si>
    <t>Priscila Muñoz</t>
  </si>
  <si>
    <t>Calle CaupolicÁn 968</t>
  </si>
  <si>
    <t>12950</t>
  </si>
  <si>
    <t>9423311074</t>
  </si>
  <si>
    <t>Francisco Gonzalez Recibido por el titular</t>
  </si>
  <si>
    <t>Francisco González</t>
  </si>
  <si>
    <t>Pasaje claudio gay 492</t>
  </si>
  <si>
    <t>12966</t>
  </si>
  <si>
    <t>9422901854</t>
  </si>
  <si>
    <t>dayana Sanchez ok</t>
  </si>
  <si>
    <t>Darwin Llopis</t>
  </si>
  <si>
    <t>Marco Gallardo Ligueño 150</t>
  </si>
  <si>
    <t>12388</t>
  </si>
  <si>
    <t>9417754150</t>
  </si>
  <si>
    <t>Luis garces recibe conserje</t>
  </si>
  <si>
    <t>Loreto Saenz</t>
  </si>
  <si>
    <t>Padre hurtado 1832 chillan</t>
  </si>
  <si>
    <t>12946</t>
  </si>
  <si>
    <t>9422887014</t>
  </si>
  <si>
    <t>katerine ok</t>
  </si>
  <si>
    <t>Katherine Arancibia cisternas</t>
  </si>
  <si>
    <t>Calle las dalias #74</t>
  </si>
  <si>
    <t>12953</t>
  </si>
  <si>
    <t>9420067882</t>
  </si>
  <si>
    <t>Jose Quiroz entrega exitosa</t>
  </si>
  <si>
    <t>Francisco Unión del Río</t>
  </si>
  <si>
    <t>Carelmapu 2481</t>
  </si>
  <si>
    <t>12955</t>
  </si>
  <si>
    <t>9423327281</t>
  </si>
  <si>
    <t>roxana recibodo</t>
  </si>
  <si>
    <t>Alexander Salas</t>
  </si>
  <si>
    <t>pasaje jesus diez martinez 2862 villa los tilos</t>
  </si>
  <si>
    <t>12969</t>
  </si>
  <si>
    <t>9423408304</t>
  </si>
  <si>
    <t>Angelica galvez h</t>
  </si>
  <si>
    <t>Angelica Gálvez Santibáñez</t>
  </si>
  <si>
    <t>El kiwal 1724</t>
  </si>
  <si>
    <t>12880</t>
  </si>
  <si>
    <t>9419607466</t>
  </si>
  <si>
    <t>erick reyes titular</t>
  </si>
  <si>
    <t>Erick Rubén Reyes Ortega</t>
  </si>
  <si>
    <t>Fermín colinas 2645</t>
  </si>
  <si>
    <t>12963</t>
  </si>
  <si>
    <t>9423243465</t>
  </si>
  <si>
    <t>8244168-9 Carolina Meza reciben sin problemas</t>
  </si>
  <si>
    <t>sindy guzman</t>
  </si>
  <si>
    <t>DON ARTURO 630</t>
  </si>
  <si>
    <t>2025-12-16 18:32</t>
  </si>
  <si>
    <t>12965</t>
  </si>
  <si>
    <t>9423465715</t>
  </si>
  <si>
    <t>12590710-5 Cristian rojas recibe titular</t>
  </si>
  <si>
    <t>Christian Rojas Guerrero</t>
  </si>
  <si>
    <t>27 Sur 4 1/2 Poniente D</t>
  </si>
  <si>
    <t>2025-12-16 22:12</t>
  </si>
  <si>
    <t>12862</t>
  </si>
  <si>
    <t>9419462356</t>
  </si>
  <si>
    <t>leonidas rivas entregado recepcion</t>
  </si>
  <si>
    <t>Margarita Saiz</t>
  </si>
  <si>
    <t>Avenida San Andres 202 departamento 207</t>
  </si>
  <si>
    <t>2025-12-12 13:50</t>
  </si>
  <si>
    <t>12874</t>
  </si>
  <si>
    <t>9419848675</t>
  </si>
  <si>
    <t>ZCO</t>
  </si>
  <si>
    <t>Claudio Mellado Henríquez</t>
  </si>
  <si>
    <t>Matias Rioseco 1865</t>
  </si>
  <si>
    <t>2025-12-12 18:27</t>
  </si>
  <si>
    <t>12869</t>
  </si>
  <si>
    <t>9419713170</t>
  </si>
  <si>
    <t>16452715-8 dorka oyarzo concerjeria</t>
  </si>
  <si>
    <t>Oxana Kutsenko</t>
  </si>
  <si>
    <t>Palena 1055 edificio Vista Lago dep409</t>
  </si>
  <si>
    <t>2025-12-12 15:50</t>
  </si>
  <si>
    <t>12891</t>
  </si>
  <si>
    <t>9419399640</t>
  </si>
  <si>
    <t>denise recibido</t>
  </si>
  <si>
    <t>Ninosska Aracena</t>
  </si>
  <si>
    <t>Pasaje Adesmia 424</t>
  </si>
  <si>
    <t>2025-12-13 10:10</t>
  </si>
  <si>
    <t>12864</t>
  </si>
  <si>
    <t>9419521182</t>
  </si>
  <si>
    <t>16787349-9 jocelin cliente</t>
  </si>
  <si>
    <t>Jocelyn López salinas</t>
  </si>
  <si>
    <t>Manuel González 325</t>
  </si>
  <si>
    <t>2025-12-12 14:06</t>
  </si>
  <si>
    <t>12922</t>
  </si>
  <si>
    <t>9423149190</t>
  </si>
  <si>
    <t>luis entregado recepcion</t>
  </si>
  <si>
    <t>Alejandro Aguayo-Reyes</t>
  </si>
  <si>
    <t>García Hurtado de Mendoza 1243 casa 10</t>
  </si>
  <si>
    <t>12932</t>
  </si>
  <si>
    <t>9422888215</t>
  </si>
  <si>
    <t>Francisca Marcela Diaz</t>
  </si>
  <si>
    <t>Loteo campo y mar tongoycillo Ruta D-427 Km 2</t>
  </si>
  <si>
    <t>12896</t>
  </si>
  <si>
    <t>9420299582</t>
  </si>
  <si>
    <t>agustina ardiles recibe conserje</t>
  </si>
  <si>
    <t>Yazminca Ubilla San Martin</t>
  </si>
  <si>
    <t>Sergio Ortega 380, dpto 1306</t>
  </si>
  <si>
    <t>2025-12-13 20:20</t>
  </si>
  <si>
    <t>12914</t>
  </si>
  <si>
    <t>9417825981</t>
  </si>
  <si>
    <t>Yamilet arcia recibido por vendedora</t>
  </si>
  <si>
    <t>2025-12-15 00:13</t>
  </si>
  <si>
    <t>12908</t>
  </si>
  <si>
    <t>9417783056</t>
  </si>
  <si>
    <t>Dario Caceres enth</t>
  </si>
  <si>
    <t>Darío Andrés Cáceres Tapia</t>
  </si>
  <si>
    <t>Manso de Velasco 725. Curico</t>
  </si>
  <si>
    <t>12941</t>
  </si>
  <si>
    <t>9420298370</t>
  </si>
  <si>
    <t>Paula pena recibe conforme</t>
  </si>
  <si>
    <t>Paula Peña Aguirre</t>
  </si>
  <si>
    <t>Barros luco 1613 of 704</t>
  </si>
  <si>
    <t>2025-12-16 07:10</t>
  </si>
  <si>
    <t>12926</t>
  </si>
  <si>
    <t>9423048434</t>
  </si>
  <si>
    <t>francisca abarca conforme</t>
  </si>
  <si>
    <t>Francisca Abarca Vilches</t>
  </si>
  <si>
    <t>Soldado Pedro villarroel 55 pucara</t>
  </si>
  <si>
    <t>12928</t>
  </si>
  <si>
    <t>9422955452</t>
  </si>
  <si>
    <t>Miranda recibe conforme</t>
  </si>
  <si>
    <t>Miranda Iturriaga Mora</t>
  </si>
  <si>
    <t>Camino las majadas, parcela 10</t>
  </si>
  <si>
    <t>2025-12-15 16:08</t>
  </si>
  <si>
    <t>12947</t>
  </si>
  <si>
    <t>9420240561</t>
  </si>
  <si>
    <t>antinieta celis colega</t>
  </si>
  <si>
    <t>Susana Muñoz Henriquez</t>
  </si>
  <si>
    <t>Arturo Prat nro 399</t>
  </si>
  <si>
    <t>12951</t>
  </si>
  <si>
    <t>9420070796</t>
  </si>
  <si>
    <t>yazmina ok</t>
  </si>
  <si>
    <t>Yazmina Alvarez</t>
  </si>
  <si>
    <t>Queltehue norte 658 larapinta</t>
  </si>
  <si>
    <t>12938</t>
  </si>
  <si>
    <t>9423167250</t>
  </si>
  <si>
    <t>bombero beltral ok</t>
  </si>
  <si>
    <t>Carolina Ortúzar Schneider</t>
  </si>
  <si>
    <t>General Urrutia 283 oficina 41</t>
  </si>
  <si>
    <t>2025-12-15 23:02</t>
  </si>
  <si>
    <t>12970</t>
  </si>
  <si>
    <t>9422887224</t>
  </si>
  <si>
    <t>Guillermo Carvajal conserje</t>
  </si>
  <si>
    <t>HEIDI ALEXANDRA MANSILLA LOYOLA</t>
  </si>
  <si>
    <t>LOS PESCADORES 5341 - DEPTO 1202</t>
  </si>
  <si>
    <t>2025-12-17 10:15</t>
  </si>
  <si>
    <t>12859</t>
  </si>
  <si>
    <t>9419896835</t>
  </si>
  <si>
    <t>Gustavo Araya cliente pide no salir en foto</t>
  </si>
  <si>
    <t>Carmen Goudie de Del Río 5024, Peñuelas, Coquimbo</t>
  </si>
  <si>
    <t>12888</t>
  </si>
  <si>
    <t>9419975725</t>
  </si>
  <si>
    <t>25287408-9 victoria Yucra .</t>
  </si>
  <si>
    <t>CARLOS SOTO</t>
  </si>
  <si>
    <t>PasajeBilbao752</t>
  </si>
  <si>
    <t>2025-12-13 07:56</t>
  </si>
  <si>
    <t>12917</t>
  </si>
  <si>
    <t>9417545303</t>
  </si>
  <si>
    <t>nelu entrwgado</t>
  </si>
  <si>
    <t>Vanessa Eyzaguirre</t>
  </si>
  <si>
    <t>Av. Acceso Sur 163 Pichidangui</t>
  </si>
  <si>
    <t>12903</t>
  </si>
  <si>
    <t>9417436173</t>
  </si>
  <si>
    <t>BXG:KJKK58</t>
  </si>
  <si>
    <t>Lorena angelica Parada caneo</t>
  </si>
  <si>
    <t>Callejón el retiro s/n peralillo</t>
  </si>
  <si>
    <t>12916</t>
  </si>
  <si>
    <t>9417753855</t>
  </si>
  <si>
    <t>luis vera recibe conserje</t>
  </si>
  <si>
    <t>Viviana Uribe</t>
  </si>
  <si>
    <t>Avenida Francia 1771 Depto 702 Torre 2</t>
  </si>
  <si>
    <t>12971</t>
  </si>
  <si>
    <t>9423115866</t>
  </si>
  <si>
    <t>claudia fredes recibe conforme</t>
  </si>
  <si>
    <t>Paulina Pizarro Rodriguez</t>
  </si>
  <si>
    <t>Avenida Humeres 1938</t>
  </si>
  <si>
    <t>12852</t>
  </si>
  <si>
    <t>9418920114</t>
  </si>
  <si>
    <t>RCB PATENTE: PRWY48 RUTA: 675 BASE: SCL</t>
  </si>
  <si>
    <t>DEISY FAISURY PEREA ZULETA</t>
  </si>
  <si>
    <t>Víctor Troncoso Muñoz 1081, casa 13</t>
  </si>
  <si>
    <t>2025-12-12 00:50</t>
  </si>
  <si>
    <t>12853</t>
  </si>
  <si>
    <t>9419031296</t>
  </si>
  <si>
    <t>Arturo Peréz Cnto 068 Villa Profesores</t>
  </si>
  <si>
    <t>2025-12-12 05:53</t>
  </si>
  <si>
    <t>12857</t>
  </si>
  <si>
    <t>9419278341</t>
  </si>
  <si>
    <t>rebeca recibe conforme</t>
  </si>
  <si>
    <t>Cesar Olguin Palacios</t>
  </si>
  <si>
    <t>Amadeo Casarino Candia 1709 villa horizonte</t>
  </si>
  <si>
    <t>2025-12-12 10:43</t>
  </si>
  <si>
    <t>12690</t>
  </si>
  <si>
    <t>9413691055</t>
  </si>
  <si>
    <t>Mabel Venegas Castilla</t>
  </si>
  <si>
    <t>Pasaje 9 casa #24 Villa Kennedy</t>
  </si>
  <si>
    <t>2025-12-05 21:46</t>
  </si>
  <si>
    <t>12730</t>
  </si>
  <si>
    <t>9413302651</t>
  </si>
  <si>
    <t>Carolina Beatriz Suárez Squadritto</t>
  </si>
  <si>
    <t>La joya 425 depto 201 renaca</t>
  </si>
  <si>
    <t>2025-12-07 15:54</t>
  </si>
  <si>
    <t>12756</t>
  </si>
  <si>
    <t>9412851571</t>
  </si>
  <si>
    <t>Carla Ruiz</t>
  </si>
  <si>
    <t>Calle esperanza s/n Pargua</t>
  </si>
  <si>
    <t>2025-12-08 22:04</t>
  </si>
  <si>
    <t>12758</t>
  </si>
  <si>
    <t>9413596732</t>
  </si>
  <si>
    <t>Darinka Guerrero Garay</t>
  </si>
  <si>
    <t>estero maitenlahue 975</t>
  </si>
  <si>
    <t>2025-12-08 23:03</t>
  </si>
  <si>
    <t>12855</t>
  </si>
  <si>
    <t>9418846032</t>
  </si>
  <si>
    <t>polet recibe colega</t>
  </si>
  <si>
    <t>Julio Molina</t>
  </si>
  <si>
    <t>Bernardo O’Higgins 821</t>
  </si>
  <si>
    <t>12688</t>
  </si>
  <si>
    <t>9413656044</t>
  </si>
  <si>
    <t>Gonzalo Ossa Gomez</t>
  </si>
  <si>
    <t>Los Aromos 226</t>
  </si>
  <si>
    <t>12680</t>
  </si>
  <si>
    <t>9412795265</t>
  </si>
  <si>
    <t>JAIRO FUENTEALBA VENEGAS</t>
  </si>
  <si>
    <t>LEPIÑANCO N°122</t>
  </si>
  <si>
    <t>2025-12-05 15:11</t>
  </si>
  <si>
    <t>12721</t>
  </si>
  <si>
    <t>9413275244</t>
  </si>
  <si>
    <t>Christian Saelzer Estefo</t>
  </si>
  <si>
    <t>Cochrane 635-A</t>
  </si>
  <si>
    <t>2025-12-07 10:56</t>
  </si>
  <si>
    <t>12757</t>
  </si>
  <si>
    <t>9412839376</t>
  </si>
  <si>
    <t>Orlando Espinoza</t>
  </si>
  <si>
    <t>rio mataquito 647</t>
  </si>
  <si>
    <t>12801</t>
  </si>
  <si>
    <t>9419058810</t>
  </si>
  <si>
    <t>Pamela Diaz Alarcón</t>
  </si>
  <si>
    <t>Ibsen 568 depto haya 41 condominio jardín suizo</t>
  </si>
  <si>
    <t>2025-12-10 17:17</t>
  </si>
  <si>
    <t>12811</t>
  </si>
  <si>
    <t>9419088022</t>
  </si>
  <si>
    <t>Cristian Rosales</t>
  </si>
  <si>
    <t>San Ignacio 879</t>
  </si>
  <si>
    <t>2025-12-10 22:51</t>
  </si>
  <si>
    <t>12705</t>
  </si>
  <si>
    <t>9413668762</t>
  </si>
  <si>
    <t>nicol paredes</t>
  </si>
  <si>
    <t>av rica aventura 11618</t>
  </si>
  <si>
    <t>12695</t>
  </si>
  <si>
    <t>9413641974</t>
  </si>
  <si>
    <t>Torre de comares 1243 condominio Barcelona Casa 27 torreones</t>
  </si>
  <si>
    <t>2025-12-06 07:08</t>
  </si>
  <si>
    <t>12713</t>
  </si>
  <si>
    <t>9413173464</t>
  </si>
  <si>
    <t>José Aguirre</t>
  </si>
  <si>
    <t>Oriente Dos, N°92, Población Santa Elvira</t>
  </si>
  <si>
    <t>2025-12-07 00:50</t>
  </si>
  <si>
    <t>12698</t>
  </si>
  <si>
    <t>9413620160</t>
  </si>
  <si>
    <t>Dany Canales Merino</t>
  </si>
  <si>
    <t>Avenida Arturo Prat Chacón 3068. Departamento 1302</t>
  </si>
  <si>
    <t>12701</t>
  </si>
  <si>
    <t>9413613764</t>
  </si>
  <si>
    <t>Paulina Monroy</t>
  </si>
  <si>
    <t>Los presidentes 1542 casa 11</t>
  </si>
  <si>
    <t>2025-12-06 11:37</t>
  </si>
  <si>
    <t>12736</t>
  </si>
  <si>
    <t>9413438996</t>
  </si>
  <si>
    <t>José Tomás Sepúlveda Orostica</t>
  </si>
  <si>
    <t>Avenida Balmaceda 2140</t>
  </si>
  <si>
    <t>12728</t>
  </si>
  <si>
    <t>9412982740</t>
  </si>
  <si>
    <t>Hanna Löwen</t>
  </si>
  <si>
    <t>Los Rododendros 108</t>
  </si>
  <si>
    <t>12761</t>
  </si>
  <si>
    <t>9413541060</t>
  </si>
  <si>
    <t>Marie Pauline Allamand Turner</t>
  </si>
  <si>
    <t>Casanova 958</t>
  </si>
  <si>
    <t>2025-12-09 01:24</t>
  </si>
  <si>
    <t>12802</t>
  </si>
  <si>
    <t>9418977540</t>
  </si>
  <si>
    <t>Ricardo Donoso Lopez</t>
  </si>
  <si>
    <t>Pasaje 1 numero 943, villa los cantaros Rancagua</t>
  </si>
  <si>
    <t>2025-12-10 16:22</t>
  </si>
  <si>
    <t>12825</t>
  </si>
  <si>
    <t>9419298895</t>
  </si>
  <si>
    <t>13015782-3 Humberto Carvajal recibe conforme</t>
  </si>
  <si>
    <t>Lissette Francke Rivera</t>
  </si>
  <si>
    <t>Quilaco 6423</t>
  </si>
  <si>
    <t>12794</t>
  </si>
  <si>
    <t>9418641853</t>
  </si>
  <si>
    <t>ERICK CORNEJO</t>
  </si>
  <si>
    <t>GLACIAR 2209</t>
  </si>
  <si>
    <t>12818</t>
  </si>
  <si>
    <t>9419065121</t>
  </si>
  <si>
    <t>PAULO CELERY</t>
  </si>
  <si>
    <t>Ferreteria El Carpintero Km 72.5 Camino Las Termas de Chillan</t>
  </si>
  <si>
    <t>2025-12-11 10:40</t>
  </si>
  <si>
    <t>12808</t>
  </si>
  <si>
    <t>9418983685</t>
  </si>
  <si>
    <t>carla carroza</t>
  </si>
  <si>
    <t>Avenida Bernardo O'Higgins 1078</t>
  </si>
  <si>
    <t>2025-12-10 19:48</t>
  </si>
  <si>
    <t>12717</t>
  </si>
  <si>
    <t>9413575275</t>
  </si>
  <si>
    <t>Jacqueline Carol Olivia Castro Salazar</t>
  </si>
  <si>
    <t>Pasaje Camilo Mori 2366</t>
  </si>
  <si>
    <t>2025-12-07 03:51</t>
  </si>
  <si>
    <t>12732</t>
  </si>
  <si>
    <t>9413229486</t>
  </si>
  <si>
    <t>Sebastian Cáceres</t>
  </si>
  <si>
    <t>Oficina Salitrera Victoria 3278</t>
  </si>
  <si>
    <t>2025-12-07 16:25</t>
  </si>
  <si>
    <t>12739</t>
  </si>
  <si>
    <t>9412955112</t>
  </si>
  <si>
    <t>Camila Alegria gamboa</t>
  </si>
  <si>
    <t>Pasaje praga casa 6 cerro playa ancha</t>
  </si>
  <si>
    <t>2025-12-08 09:34</t>
  </si>
  <si>
    <t>12735</t>
  </si>
  <si>
    <t>9413037071</t>
  </si>
  <si>
    <t>Abby Poblete Díaz</t>
  </si>
  <si>
    <t>Las dunas de Penuelas 6240</t>
  </si>
  <si>
    <t>12759</t>
  </si>
  <si>
    <t>9413541196</t>
  </si>
  <si>
    <t>Daniela Sarkis anselmi</t>
  </si>
  <si>
    <t>Calle los peumos casa J21 condominio club golf los lirios</t>
  </si>
  <si>
    <t>2025-12-08 23:26</t>
  </si>
  <si>
    <t>RCT12222-2</t>
  </si>
  <si>
    <t>9418840712</t>
  </si>
  <si>
    <t>conserjeria problema aplicacion</t>
  </si>
  <si>
    <t>Santa rita 950 dpto 405 a</t>
  </si>
  <si>
    <t>2025-12-11 21:11</t>
  </si>
  <si>
    <t>12804</t>
  </si>
  <si>
    <t>9419119673</t>
  </si>
  <si>
    <t>Ivonne marquez</t>
  </si>
  <si>
    <t>Camino El Venado 1780, Departamento 605b, Dpto 605b</t>
  </si>
  <si>
    <t>2025-12-10 16:50</t>
  </si>
  <si>
    <t>12806</t>
  </si>
  <si>
    <t>9418929715</t>
  </si>
  <si>
    <t>Fernando ibieta</t>
  </si>
  <si>
    <t>cochrane 1090 depto 41</t>
  </si>
  <si>
    <t>12814</t>
  </si>
  <si>
    <t>9419071690</t>
  </si>
  <si>
    <t>Nicolas Garcia Fariad</t>
  </si>
  <si>
    <t>Avenida El Parronal 351 Casa 39</t>
  </si>
  <si>
    <t>2025-12-11 00:06</t>
  </si>
  <si>
    <t>12815</t>
  </si>
  <si>
    <t>9419071712</t>
  </si>
  <si>
    <t>Jorge Morales Avendaño</t>
  </si>
  <si>
    <t>Damiana Carrera 172</t>
  </si>
  <si>
    <t>2025-12-11 10:52</t>
  </si>
  <si>
    <t>12727</t>
  </si>
  <si>
    <t>9413595026</t>
  </si>
  <si>
    <t>Pablo Castro Pizaro</t>
  </si>
  <si>
    <t>Benito Ocampo 10022</t>
  </si>
  <si>
    <t>2025-12-07 13:59</t>
  </si>
  <si>
    <t>12724</t>
  </si>
  <si>
    <t>9413024876</t>
  </si>
  <si>
    <t>GUSTAVO IGNACIO ÁLVAREZ DÍAZ</t>
  </si>
  <si>
    <t>Pasaje Daniel de la Vega 1998</t>
  </si>
  <si>
    <t>2025-12-07 14:07</t>
  </si>
  <si>
    <t>12723</t>
  </si>
  <si>
    <t>9412848874</t>
  </si>
  <si>
    <t>Ana Ramos del valle</t>
  </si>
  <si>
    <t>Pasaje Antonio cornejo 1367</t>
  </si>
  <si>
    <t>2025-12-08 11:47</t>
  </si>
  <si>
    <t>12714</t>
  </si>
  <si>
    <t>9412982714</t>
  </si>
  <si>
    <t>Camila Rodriguez saavedra</t>
  </si>
  <si>
    <t>Colo colo 2256</t>
  </si>
  <si>
    <t>2025-12-07 02:23</t>
  </si>
  <si>
    <t>12710</t>
  </si>
  <si>
    <t>9412920495</t>
  </si>
  <si>
    <t>Karina Mora gonzalez</t>
  </si>
  <si>
    <t>Avenida cabalin 87 sarmiento curico</t>
  </si>
  <si>
    <t>2025-12-06 21:31</t>
  </si>
  <si>
    <t>12731</t>
  </si>
  <si>
    <t>9413012630</t>
  </si>
  <si>
    <t>Juan Duran Olea</t>
  </si>
  <si>
    <t>Estación de los vientos 283</t>
  </si>
  <si>
    <t>2025-12-07 16:11</t>
  </si>
  <si>
    <t>12824</t>
  </si>
  <si>
    <t>9418681042</t>
  </si>
  <si>
    <t>BXG:SKJJ16</t>
  </si>
  <si>
    <t>Genesis estefani Duran espinosa</t>
  </si>
  <si>
    <t>Avenida colon 910</t>
  </si>
  <si>
    <t>12803</t>
  </si>
  <si>
    <t>9418881710</t>
  </si>
  <si>
    <t>Mario Canahuate</t>
  </si>
  <si>
    <t>Salto de agua 1965, sector quilamapu</t>
  </si>
  <si>
    <t>2025-12-10 16:45</t>
  </si>
  <si>
    <t>12807</t>
  </si>
  <si>
    <t>9418463703</t>
  </si>
  <si>
    <t>Sebastian Valenzuela Moraga</t>
  </si>
  <si>
    <t>Germán Riesco #1260</t>
  </si>
  <si>
    <t>2025-12-10 19:13</t>
  </si>
  <si>
    <t>12821</t>
  </si>
  <si>
    <t>9418814786</t>
  </si>
  <si>
    <t>ana Gutierrez familia</t>
  </si>
  <si>
    <t>Johan Aguirre Gutierrez</t>
  </si>
  <si>
    <t>Cancha Rayada # 556</t>
  </si>
  <si>
    <t>2025-12-11 13:35</t>
  </si>
  <si>
    <t>12834</t>
  </si>
  <si>
    <t>9419151685</t>
  </si>
  <si>
    <t>eduardo ubillo conserjeria</t>
  </si>
  <si>
    <t>Felioe Maluenda Gomez</t>
  </si>
  <si>
    <t>Troncal 7836 casa b14</t>
  </si>
  <si>
    <t>12828</t>
  </si>
  <si>
    <t>9419267185</t>
  </si>
  <si>
    <t>Luis gallardo enth</t>
  </si>
  <si>
    <t>KAREN SALAS SAZO</t>
  </si>
  <si>
    <t>CARMEN 752, OFICINA 603</t>
  </si>
  <si>
    <t>2025-12-11 19:46</t>
  </si>
  <si>
    <t>12655</t>
  </si>
  <si>
    <t>9413621184</t>
  </si>
  <si>
    <t>Angelo Inostroza Soto</t>
  </si>
  <si>
    <t>Los onas #528, cerro la gloria, Talcahuano</t>
  </si>
  <si>
    <t>12654</t>
  </si>
  <si>
    <t>9413637461</t>
  </si>
  <si>
    <t>Polet Perez Rojas</t>
  </si>
  <si>
    <t>Independencia 661</t>
  </si>
  <si>
    <t>2025-12-05 13:24</t>
  </si>
  <si>
    <t>12693</t>
  </si>
  <si>
    <t>9413688060</t>
  </si>
  <si>
    <t>Jhon Briceño Rivero</t>
  </si>
  <si>
    <t>Monte aguila Oriente 1425</t>
  </si>
  <si>
    <t>2025-12-06 00:19</t>
  </si>
  <si>
    <t>12771</t>
  </si>
  <si>
    <t>9412664284</t>
  </si>
  <si>
    <t>17834563-K David sepu tirular</t>
  </si>
  <si>
    <t>DAVID SEPULVEDA CASTRO</t>
  </si>
  <si>
    <t>A.V OHIGGINS 3637 LOTE 2G CHILLAN VIEJO</t>
  </si>
  <si>
    <t>2025-12-09 15:07</t>
  </si>
  <si>
    <t>12716</t>
  </si>
  <si>
    <t>9413621066</t>
  </si>
  <si>
    <t>CRISTOBAL SEBASTIAN MORALES Perez</t>
  </si>
  <si>
    <t>Pablo Neruda #901</t>
  </si>
  <si>
    <t>2025-12-07 13:15</t>
  </si>
  <si>
    <t>12750</t>
  </si>
  <si>
    <t>9413042435</t>
  </si>
  <si>
    <t>Av panoramica 906 casa 14</t>
  </si>
  <si>
    <t>2025-12-08 19:26</t>
  </si>
  <si>
    <t>12792</t>
  </si>
  <si>
    <t>9419308765</t>
  </si>
  <si>
    <t>Elizabeth Aguila</t>
  </si>
  <si>
    <t>Yuseff Laibe 180</t>
  </si>
  <si>
    <t>12777</t>
  </si>
  <si>
    <t>9419089024</t>
  </si>
  <si>
    <t>Rayza Santander Fuentes</t>
  </si>
  <si>
    <t>Av. Las Torres #489</t>
  </si>
  <si>
    <t>2025-12-09 18:41</t>
  </si>
  <si>
    <t>12789</t>
  </si>
  <si>
    <t>9419311731</t>
  </si>
  <si>
    <t>Mario Delgado Navarro</t>
  </si>
  <si>
    <t>Covadonga 69</t>
  </si>
  <si>
    <t>2025-12-10 00:38</t>
  </si>
  <si>
    <t>12820</t>
  </si>
  <si>
    <t>9419298722</t>
  </si>
  <si>
    <t>BERNARDO naufamer</t>
  </si>
  <si>
    <t>Dussen N° 376</t>
  </si>
  <si>
    <t>12726</t>
  </si>
  <si>
    <t>9413684501</t>
  </si>
  <si>
    <t>Marcos Fuentes</t>
  </si>
  <si>
    <t>Calle 5 villa eden alto laguna verde</t>
  </si>
  <si>
    <t>2025-12-07 13:54</t>
  </si>
  <si>
    <t>12769</t>
  </si>
  <si>
    <t>9412591053</t>
  </si>
  <si>
    <t>13783542-8 Guido olea recibe duena de casa</t>
  </si>
  <si>
    <t>Guido Olea guajardo</t>
  </si>
  <si>
    <t>Queñoa 692</t>
  </si>
  <si>
    <t>2025-12-09 14:13</t>
  </si>
  <si>
    <t>12778</t>
  </si>
  <si>
    <t>9412182846</t>
  </si>
  <si>
    <t>jeanete rodrigue</t>
  </si>
  <si>
    <t>Las Cinerarias 460 Depto 153a</t>
  </si>
  <si>
    <t>12784</t>
  </si>
  <si>
    <t>9412358465</t>
  </si>
  <si>
    <t>Estefany Rodriguez Santana</t>
  </si>
  <si>
    <t>Avenida edmundo perez zujovic 10890 torre Aqua Departamento N83 condominio bahia blanca</t>
  </si>
  <si>
    <t>2025-12-09 21:48</t>
  </si>
  <si>
    <t>12850</t>
  </si>
  <si>
    <t>9418786064</t>
  </si>
  <si>
    <t>juan familiar</t>
  </si>
  <si>
    <t>Charlot Guerrero</t>
  </si>
  <si>
    <t>Avenida el chañar 2303</t>
  </si>
  <si>
    <t>2025-12-11 22:40</t>
  </si>
  <si>
    <t>12692</t>
  </si>
  <si>
    <t>9413114174</t>
  </si>
  <si>
    <t>Valentin Bustos Bustos</t>
  </si>
  <si>
    <t>San Guillermo 1735</t>
  </si>
  <si>
    <t>2025-12-05 23:31</t>
  </si>
  <si>
    <t>12681</t>
  </si>
  <si>
    <t>9412780403</t>
  </si>
  <si>
    <t>Georgios Papasideris</t>
  </si>
  <si>
    <t>Valle Apacible 3646</t>
  </si>
  <si>
    <t>2025-12-05 16:07</t>
  </si>
  <si>
    <t>12725</t>
  </si>
  <si>
    <t>9413672881</t>
  </si>
  <si>
    <t>Valeria Lobos Carrillo</t>
  </si>
  <si>
    <t>Camino a la cantera 562</t>
  </si>
  <si>
    <t>2025-12-07 13:40</t>
  </si>
  <si>
    <t>12742</t>
  </si>
  <si>
    <t>9412825575</t>
  </si>
  <si>
    <t>Constanza Arriagada Delgado</t>
  </si>
  <si>
    <t>Colón 448</t>
  </si>
  <si>
    <t>12744</t>
  </si>
  <si>
    <t>9413229965</t>
  </si>
  <si>
    <t>Carlos Aravena Zambrano</t>
  </si>
  <si>
    <t>Pasaje San Felipe 880</t>
  </si>
  <si>
    <t>12733</t>
  </si>
  <si>
    <t>9413375856</t>
  </si>
  <si>
    <t>Mario osorio contreras</t>
  </si>
  <si>
    <t>Pasaje gema #2255</t>
  </si>
  <si>
    <t>2025-12-07 19:30</t>
  </si>
  <si>
    <t>12718</t>
  </si>
  <si>
    <t>9413188492</t>
  </si>
  <si>
    <t>Juan Vicente Cortés Cuadra</t>
  </si>
  <si>
    <t>Condominio Alto Rungue, parcela 47</t>
  </si>
  <si>
    <t>2025-12-07 09:10</t>
  </si>
  <si>
    <t>12737</t>
  </si>
  <si>
    <t>9413657783</t>
  </si>
  <si>
    <t>Daniela Cifuentes</t>
  </si>
  <si>
    <t>Colo Colo 491 oficina 301</t>
  </si>
  <si>
    <t>12773</t>
  </si>
  <si>
    <t>9411960725</t>
  </si>
  <si>
    <t>sebastian .</t>
  </si>
  <si>
    <t>Sebastian Espinoza coñoman</t>
  </si>
  <si>
    <t>Pedro Polanco 230</t>
  </si>
  <si>
    <t>12650</t>
  </si>
  <si>
    <t>9411751694</t>
  </si>
  <si>
    <t>Avenida Gabriela Mistral 3251, depto 17, torre 2, Condominio Vista</t>
  </si>
  <si>
    <t>12235</t>
  </si>
  <si>
    <t>9391825590</t>
  </si>
  <si>
    <t>Angelica recibe el cliente</t>
  </si>
  <si>
    <t>Angelica del carmen molina escalante</t>
  </si>
  <si>
    <t>osvaldo wenzel 517</t>
  </si>
  <si>
    <t>2025-11-24 17:48</t>
  </si>
  <si>
    <t>12640</t>
  </si>
  <si>
    <t>9411618996</t>
  </si>
  <si>
    <t>Maribel Fontealba</t>
  </si>
  <si>
    <t>Caleta cebada poniente #2138, San Ramón</t>
  </si>
  <si>
    <t>12603</t>
  </si>
  <si>
    <t>9411382901</t>
  </si>
  <si>
    <t>Nelson Espinoza</t>
  </si>
  <si>
    <t>Avenida San Andres 202</t>
  </si>
  <si>
    <t>12567</t>
  </si>
  <si>
    <t>9411560211</t>
  </si>
  <si>
    <t>12571</t>
  </si>
  <si>
    <t>9411701526</t>
  </si>
  <si>
    <t>Pilar Caroca Córdova</t>
  </si>
  <si>
    <t>las bandurrias, pirque</t>
  </si>
  <si>
    <t>2025-12-02 16:16</t>
  </si>
  <si>
    <t>12597</t>
  </si>
  <si>
    <t>9411613050</t>
  </si>
  <si>
    <t>karla vasquez</t>
  </si>
  <si>
    <t>av el rodeo 1135 casa 70, Chicauma</t>
  </si>
  <si>
    <t>2025-12-03 15:30</t>
  </si>
  <si>
    <t>12592</t>
  </si>
  <si>
    <t>9411325265</t>
  </si>
  <si>
    <t>Avenida Alto Palermo 223 Loteo El Polo B</t>
  </si>
  <si>
    <t>2025-12-03 13:01</t>
  </si>
  <si>
    <t>12481</t>
  </si>
  <si>
    <t>9415191041</t>
  </si>
  <si>
    <t>pablo recibe sin foto</t>
  </si>
  <si>
    <t>Pablo Riveros</t>
  </si>
  <si>
    <t>Germán Sandoval Miranda 635</t>
  </si>
  <si>
    <t>12523</t>
  </si>
  <si>
    <t>9414922893</t>
  </si>
  <si>
    <t>oscar delgado papa</t>
  </si>
  <si>
    <t>exequiel delgado muñoz</t>
  </si>
  <si>
    <t>el roble 21</t>
  </si>
  <si>
    <t>2025-12-01 15:53</t>
  </si>
  <si>
    <t>12519</t>
  </si>
  <si>
    <t>9415141466</t>
  </si>
  <si>
    <t>salome gomez ok</t>
  </si>
  <si>
    <t>Alexis Rojas Quiroz</t>
  </si>
  <si>
    <t>Gonzalo Barrios 155</t>
  </si>
  <si>
    <t>12608</t>
  </si>
  <si>
    <t>9411449423</t>
  </si>
  <si>
    <t>Esteban Rivas</t>
  </si>
  <si>
    <t>Union 1045</t>
  </si>
  <si>
    <t>12615</t>
  </si>
  <si>
    <t>9411251846</t>
  </si>
  <si>
    <t>Victor Uribe Saavedra</t>
  </si>
  <si>
    <t>Hermanos carrera #2013</t>
  </si>
  <si>
    <t>2025-12-04 09:16</t>
  </si>
  <si>
    <t>12644</t>
  </si>
  <si>
    <t>9411439015</t>
  </si>
  <si>
    <t>nick lancaster</t>
  </si>
  <si>
    <t>Los Graneros 0689, Villa Molinera III</t>
  </si>
  <si>
    <t>2025-12-05 07:07</t>
  </si>
  <si>
    <t>12651</t>
  </si>
  <si>
    <t>9411537273</t>
  </si>
  <si>
    <t>Franco Cartagena Aqueveque</t>
  </si>
  <si>
    <t>Camino Loreto Parcela A2</t>
  </si>
  <si>
    <t>12646</t>
  </si>
  <si>
    <t>9411037252</t>
  </si>
  <si>
    <t>Charima Seura pizarro</t>
  </si>
  <si>
    <t>Carlos Condell 136, Cabildo, Chile</t>
  </si>
  <si>
    <t>2025-12-05 09:01</t>
  </si>
  <si>
    <t>12642</t>
  </si>
  <si>
    <t>9411618753</t>
  </si>
  <si>
    <t>Alberto Latoja</t>
  </si>
  <si>
    <t>calle 18 de septiembre 246 oficina 201</t>
  </si>
  <si>
    <t>2025-12-04 23:19</t>
  </si>
  <si>
    <t>12653</t>
  </si>
  <si>
    <t>9411603154</t>
  </si>
  <si>
    <t>Guillermo Valdivia Godoy</t>
  </si>
  <si>
    <t>Carabineros de Chile 2350</t>
  </si>
  <si>
    <t>2025-12-05 12:47</t>
  </si>
  <si>
    <t>12601</t>
  </si>
  <si>
    <t>9411548543</t>
  </si>
  <si>
    <t>Marcos Abel Henriquez Saldivia</t>
  </si>
  <si>
    <t>Lord Cochrane 226</t>
  </si>
  <si>
    <t>12610</t>
  </si>
  <si>
    <t>9411602421</t>
  </si>
  <si>
    <t>Omar Carvajal Segura</t>
  </si>
  <si>
    <t>Ignacio Carrera Pinto 2328</t>
  </si>
  <si>
    <t>12572</t>
  </si>
  <si>
    <t>9411548145</t>
  </si>
  <si>
    <t>Cristian Bravo Troncozo</t>
  </si>
  <si>
    <t>ruta Q-90 Km 10</t>
  </si>
  <si>
    <t>2025-12-02 16:36</t>
  </si>
  <si>
    <t>12637</t>
  </si>
  <si>
    <t>9411312374</t>
  </si>
  <si>
    <t>Felipe Ignacio Salinas Palacios</t>
  </si>
  <si>
    <t>La unión 292</t>
  </si>
  <si>
    <t>12619</t>
  </si>
  <si>
    <t>9411397520</t>
  </si>
  <si>
    <t>Dennis Catalan Gaete</t>
  </si>
  <si>
    <t>Renato Dalbosco 1964. Casa 2 Cond. Quillay</t>
  </si>
  <si>
    <t>12623</t>
  </si>
  <si>
    <t>9411636975</t>
  </si>
  <si>
    <t>Manuel Hernández</t>
  </si>
  <si>
    <t>AVENIDA SENADOR JAIME GUZMAN 694 A, ISLA DE MAIPO</t>
  </si>
  <si>
    <t>2025-12-04 13:37</t>
  </si>
  <si>
    <t>12489</t>
  </si>
  <si>
    <t>9415190326</t>
  </si>
  <si>
    <t>pino jose ok</t>
  </si>
  <si>
    <t>YENNY PINO</t>
  </si>
  <si>
    <t>CRUZ DEL SUR 34, ALTO JAHUEL</t>
  </si>
  <si>
    <t>12546</t>
  </si>
  <si>
    <t>9414982205</t>
  </si>
  <si>
    <t>Juan Flores cl</t>
  </si>
  <si>
    <t>Maria Paz Gallardo Varela</t>
  </si>
  <si>
    <t>Lautaro 1983 casa19</t>
  </si>
  <si>
    <t>12591</t>
  </si>
  <si>
    <t>9415209985</t>
  </si>
  <si>
    <t>Rodrigo Bernardo Sepulveda amar</t>
  </si>
  <si>
    <t>Comerciante Edison meruane poniente 649</t>
  </si>
  <si>
    <t>12641</t>
  </si>
  <si>
    <t>9411095212</t>
  </si>
  <si>
    <t>Pilar Saldaña</t>
  </si>
  <si>
    <t>Lago Chungara Uno 7241</t>
  </si>
  <si>
    <t>2025-12-04 22:44</t>
  </si>
  <si>
    <t>12649</t>
  </si>
  <si>
    <t>9411181684</t>
  </si>
  <si>
    <t>Caroline Arriagada</t>
  </si>
  <si>
    <t>Calle dos oriente 419A casa 25</t>
  </si>
  <si>
    <t>2025-12-05 10:42</t>
  </si>
  <si>
    <t>12587</t>
  </si>
  <si>
    <t>9411574690</t>
  </si>
  <si>
    <t>Joselyn Delgado López</t>
  </si>
  <si>
    <t>Calle Las Violetas # 34</t>
  </si>
  <si>
    <t>2025-12-03 09:39</t>
  </si>
  <si>
    <t>12582</t>
  </si>
  <si>
    <t>9411585061</t>
  </si>
  <si>
    <t>Daniela Gallardo moreno</t>
  </si>
  <si>
    <t>Río maule 5148</t>
  </si>
  <si>
    <t>12581</t>
  </si>
  <si>
    <t>9411248663</t>
  </si>
  <si>
    <t>Constanza Araya</t>
  </si>
  <si>
    <t>Pasaje los perales sitio 8 el rosario</t>
  </si>
  <si>
    <t>2025-12-02 23:49</t>
  </si>
  <si>
    <t>12628</t>
  </si>
  <si>
    <t>9411396400</t>
  </si>
  <si>
    <t>Yohan Contreras</t>
  </si>
  <si>
    <t>Benito rebolledo 1689</t>
  </si>
  <si>
    <t>12630</t>
  </si>
  <si>
    <t>9411512725</t>
  </si>
  <si>
    <t>Miguel Herrera Marquez</t>
  </si>
  <si>
    <t>18 1/2 oriente 141 , villa Rembrandt , Talca</t>
  </si>
  <si>
    <t>2025-12-04 16:20</t>
  </si>
  <si>
    <t>12498</t>
  </si>
  <si>
    <t>9414982813</t>
  </si>
  <si>
    <t>Felipe Avila ok</t>
  </si>
  <si>
    <t>Damaris Villalobos Becerra</t>
  </si>
  <si>
    <t>Los Filtros 834</t>
  </si>
  <si>
    <t>12528</t>
  </si>
  <si>
    <t>9415083484</t>
  </si>
  <si>
    <t>rosa rojas conserje</t>
  </si>
  <si>
    <t>Karla Ocayo Tapia</t>
  </si>
  <si>
    <t>AVENIDA VOLCAN DOÑA INES 905 DPTO 306 B</t>
  </si>
  <si>
    <t>12556</t>
  </si>
  <si>
    <t>9415085352</t>
  </si>
  <si>
    <t>joacim barahona titular</t>
  </si>
  <si>
    <t>JOACIM BELTSASAR BARAHONA NAVARRO</t>
  </si>
  <si>
    <t>Carlos Morales 8, Rapel de Navidad</t>
  </si>
  <si>
    <t>2025-12-02 06:35</t>
  </si>
  <si>
    <t>12558</t>
  </si>
  <si>
    <t>9415336980</t>
  </si>
  <si>
    <t>sara ok</t>
  </si>
  <si>
    <t>Ruta 640 parcela 63 lote 12 s/n</t>
  </si>
  <si>
    <t>12564</t>
  </si>
  <si>
    <t>9414703594</t>
  </si>
  <si>
    <t>Sonia iturriaga se entrega en direccion</t>
  </si>
  <si>
    <t>Estefania Orellana Iturriaga</t>
  </si>
  <si>
    <t>Jose joaquin aguirre con thompson 998</t>
  </si>
  <si>
    <t>2025-12-02 12:09</t>
  </si>
  <si>
    <t>12485</t>
  </si>
  <si>
    <t>9414701995</t>
  </si>
  <si>
    <t>BXG:RGLX61</t>
  </si>
  <si>
    <t>Jeannette Alejandra García Sepúlveda</t>
  </si>
  <si>
    <t>Santa Sara parcela #9 batuco</t>
  </si>
  <si>
    <t>12574</t>
  </si>
  <si>
    <t>9415211164</t>
  </si>
  <si>
    <t>magaly romero entregado</t>
  </si>
  <si>
    <t>Magaly Martinez</t>
  </si>
  <si>
    <t>Parque nacional lauca 1339</t>
  </si>
  <si>
    <t>2025-12-02 17:01</t>
  </si>
  <si>
    <t>12593</t>
  </si>
  <si>
    <t>9415193664</t>
  </si>
  <si>
    <t>Tiara Nahir Culleton</t>
  </si>
  <si>
    <t>Te pito o te Henua</t>
  </si>
  <si>
    <t>2025-12-03 13:11</t>
  </si>
  <si>
    <t>12352</t>
  </si>
  <si>
    <t>9414207530</t>
  </si>
  <si>
    <t>Tamara Chavarría Alveal</t>
  </si>
  <si>
    <t>José Santos Ossa 244</t>
  </si>
  <si>
    <t>2025-11-28 11:24</t>
  </si>
  <si>
    <t>12355</t>
  </si>
  <si>
    <t>9414412501</t>
  </si>
  <si>
    <t>ZULEICA MONTILLA VELASQUEZ</t>
  </si>
  <si>
    <t>calle 1 norte 550, Talca</t>
  </si>
  <si>
    <t>12357</t>
  </si>
  <si>
    <t>9414348462</t>
  </si>
  <si>
    <t>Pedro Celis</t>
  </si>
  <si>
    <t>El Arrayan 97</t>
  </si>
  <si>
    <t>2025-11-28 11:59</t>
  </si>
  <si>
    <t>12358</t>
  </si>
  <si>
    <t>9413961933</t>
  </si>
  <si>
    <t>Paulo Rebolledo sepulveda</t>
  </si>
  <si>
    <t>SAN VICENTE 1353</t>
  </si>
  <si>
    <t>2025-11-28 12:07</t>
  </si>
  <si>
    <t>12362</t>
  </si>
  <si>
    <t>9414350444</t>
  </si>
  <si>
    <t>Casandra Olivares Olivares</t>
  </si>
  <si>
    <t>Avenida Bernardo Ohiggins 829, dpto 226</t>
  </si>
  <si>
    <t>2025-11-28 13:19</t>
  </si>
  <si>
    <t>12363</t>
  </si>
  <si>
    <t>9414444966</t>
  </si>
  <si>
    <t>Pablo Saravia Barros</t>
  </si>
  <si>
    <t>Gladiadores 324</t>
  </si>
  <si>
    <t>12365</t>
  </si>
  <si>
    <t>9413887291</t>
  </si>
  <si>
    <t>Camila Toledo</t>
  </si>
  <si>
    <t>Villa Las Americas Calle La Paz Artificio, blcok 395, depto 22</t>
  </si>
  <si>
    <t>2025-11-28 13:51</t>
  </si>
  <si>
    <t>12368</t>
  </si>
  <si>
    <t>9414314615</t>
  </si>
  <si>
    <t>cristina gonzalez vargas</t>
  </si>
  <si>
    <t>Victoria 115</t>
  </si>
  <si>
    <t>2025-11-28 13:58</t>
  </si>
  <si>
    <t>12367</t>
  </si>
  <si>
    <t>9414422636</t>
  </si>
  <si>
    <t>Yessica Sierra</t>
  </si>
  <si>
    <t>El boldo #28 ,Villa Nueva,Catapilco</t>
  </si>
  <si>
    <t>12374</t>
  </si>
  <si>
    <t>9413842314</t>
  </si>
  <si>
    <t>Barbara Ignacia Sepulveda Sepulveda</t>
  </si>
  <si>
    <t>Francisco Pizarro 649 Padre las Casas</t>
  </si>
  <si>
    <t>2025-11-28 15:35</t>
  </si>
  <si>
    <t>12375</t>
  </si>
  <si>
    <t>9414399691</t>
  </si>
  <si>
    <t>Ana Carolina Cornejo Orellana</t>
  </si>
  <si>
    <t>Avenida Gabriela Mistral #360</t>
  </si>
  <si>
    <t>12380</t>
  </si>
  <si>
    <t>9413977031</t>
  </si>
  <si>
    <t>Sofía Maluenda</t>
  </si>
  <si>
    <t>Pampa Baja 69</t>
  </si>
  <si>
    <t>2025-11-28 16:29</t>
  </si>
  <si>
    <t>12379</t>
  </si>
  <si>
    <t>9414167571</t>
  </si>
  <si>
    <t>Luis marcelo Rivera bugueño</t>
  </si>
  <si>
    <t>Juan godoy 526, el salado</t>
  </si>
  <si>
    <t>12382</t>
  </si>
  <si>
    <t>9413771603</t>
  </si>
  <si>
    <t>Jocelyn Pino</t>
  </si>
  <si>
    <t>Mallin 0720</t>
  </si>
  <si>
    <t>12386</t>
  </si>
  <si>
    <t>9414363486</t>
  </si>
  <si>
    <t>Andrea Cristi</t>
  </si>
  <si>
    <t>Esmeralda641PueblodeTambillos</t>
  </si>
  <si>
    <t>2025-11-28 18:56</t>
  </si>
  <si>
    <t>12391</t>
  </si>
  <si>
    <t>9414153416</t>
  </si>
  <si>
    <t>Rodrigo Cortés Saavedra</t>
  </si>
  <si>
    <t>El Litre 2162 casa 007</t>
  </si>
  <si>
    <t>12404</t>
  </si>
  <si>
    <t>9414222075</t>
  </si>
  <si>
    <t>Ignacio Chacón araya</t>
  </si>
  <si>
    <t>Gomez carreño 365</t>
  </si>
  <si>
    <t>2025-11-29 08:59</t>
  </si>
  <si>
    <t>12405</t>
  </si>
  <si>
    <t>9413946721</t>
  </si>
  <si>
    <t>Marcelo Alvarado Call</t>
  </si>
  <si>
    <t>Antonio Maichil 0871</t>
  </si>
  <si>
    <t>12406</t>
  </si>
  <si>
    <t>9414384313</t>
  </si>
  <si>
    <t>Francisca Gutiérrez Lobos</t>
  </si>
  <si>
    <t>Uno Oriente 187 Huertos Familiares</t>
  </si>
  <si>
    <t>2025-11-29 10:55</t>
  </si>
  <si>
    <t>12502</t>
  </si>
  <si>
    <t>9414776372</t>
  </si>
  <si>
    <t>Ruth Rubilar .</t>
  </si>
  <si>
    <t>Tamara Baeza Rubilar</t>
  </si>
  <si>
    <t>Manuel Montt 0343</t>
  </si>
  <si>
    <t>2025-12-01 09:09</t>
  </si>
  <si>
    <t>12521</t>
  </si>
  <si>
    <t>9415191181</t>
  </si>
  <si>
    <t>Nancy vargas x</t>
  </si>
  <si>
    <t>Marilyn Soto</t>
  </si>
  <si>
    <t>Avenida codpa 2532</t>
  </si>
  <si>
    <t>12557</t>
  </si>
  <si>
    <t>9415127422</t>
  </si>
  <si>
    <t>juan pablo cruz conserje</t>
  </si>
  <si>
    <t>erick caro moreno</t>
  </si>
  <si>
    <t>Sol y mar 155 depto 52 i</t>
  </si>
  <si>
    <t>12561</t>
  </si>
  <si>
    <t>9416382986</t>
  </si>
  <si>
    <t>aurelio villanueva cliente</t>
  </si>
  <si>
    <t>AURELIO VILLANUEVA</t>
  </si>
  <si>
    <t>LOS ALERCES 1445- EL BERMEJO</t>
  </si>
  <si>
    <t>12588</t>
  </si>
  <si>
    <t>9415155691</t>
  </si>
  <si>
    <t>maria otoniel esposo</t>
  </si>
  <si>
    <t>Maria Gatica</t>
  </si>
  <si>
    <t>Villa las fundadoras #1950</t>
  </si>
  <si>
    <t>2025-12-03 10:24</t>
  </si>
  <si>
    <t>12488</t>
  </si>
  <si>
    <t>9416456475</t>
  </si>
  <si>
    <t>Rodrigo jamett entrega exitosa</t>
  </si>
  <si>
    <t>Allinson Campusano Vega</t>
  </si>
  <si>
    <t>Villa jardines de la cruz, pasaje los geranios 01</t>
  </si>
  <si>
    <t>12480</t>
  </si>
  <si>
    <t>9415673503</t>
  </si>
  <si>
    <t>jeferson yanez entregado</t>
  </si>
  <si>
    <t>Jefferson Yañez yañez</t>
  </si>
  <si>
    <t>Yacimiento mineral el indio 482</t>
  </si>
  <si>
    <t>12491</t>
  </si>
  <si>
    <t>9416215782</t>
  </si>
  <si>
    <t>BXG:KJTR28</t>
  </si>
  <si>
    <t>leonardo Arevalo parra</t>
  </si>
  <si>
    <t>Pasaje 22 Villa CAP</t>
  </si>
  <si>
    <t>12492</t>
  </si>
  <si>
    <t>9415789961</t>
  </si>
  <si>
    <t>Francisco Soto companeros de trabajo</t>
  </si>
  <si>
    <t>Felipe Avilés Maldonado</t>
  </si>
  <si>
    <t>La Paz 406</t>
  </si>
  <si>
    <t>12493</t>
  </si>
  <si>
    <t>9415223952</t>
  </si>
  <si>
    <t>Alejandro entrega ok</t>
  </si>
  <si>
    <t>Alejandro Castro</t>
  </si>
  <si>
    <t>Avenida Los Libertadores 1680</t>
  </si>
  <si>
    <t>12501</t>
  </si>
  <si>
    <t>9416341082</t>
  </si>
  <si>
    <t>Nestor Montero conserje</t>
  </si>
  <si>
    <t>Luis Volante Grillo</t>
  </si>
  <si>
    <t>Parques de Carriel 9385 casa 26</t>
  </si>
  <si>
    <t>12510</t>
  </si>
  <si>
    <t>9415723704</t>
  </si>
  <si>
    <t>65062138-7 Ivan oliva conserje</t>
  </si>
  <si>
    <t>Krishna Reyes beiza</t>
  </si>
  <si>
    <t>Lago villarrica 350, mirador de reñaca. Depto 424</t>
  </si>
  <si>
    <t>12513</t>
  </si>
  <si>
    <t>9416402144</t>
  </si>
  <si>
    <t>20376876-1 Felipe ovando ok</t>
  </si>
  <si>
    <t>Yasmin Vega Mora</t>
  </si>
  <si>
    <t>Avenida Olimpia 1680 Torre 4 Departamento 409</t>
  </si>
  <si>
    <t>12520</t>
  </si>
  <si>
    <t>9415291480</t>
  </si>
  <si>
    <t>Nelly varas familia</t>
  </si>
  <si>
    <t>Miguel Pinilla lorca</t>
  </si>
  <si>
    <t>Pje Eucaliptus 234 , vila el sol ,catemu</t>
  </si>
  <si>
    <t>12527</t>
  </si>
  <si>
    <t>9415196243</t>
  </si>
  <si>
    <t>Camila Igor recepcionista</t>
  </si>
  <si>
    <t>Max Marquez Burger</t>
  </si>
  <si>
    <t>Del salvador 72 - Oficina Turistour</t>
  </si>
  <si>
    <t>12534</t>
  </si>
  <si>
    <t>9415081631</t>
  </si>
  <si>
    <t>Cecilia Tirado recibe familiar</t>
  </si>
  <si>
    <t>Sandra Judith Castillo Sandoval</t>
  </si>
  <si>
    <t>Eugenio Marzal 330</t>
  </si>
  <si>
    <t>12535</t>
  </si>
  <si>
    <t>9415306806</t>
  </si>
  <si>
    <t>liliana orta recepcion</t>
  </si>
  <si>
    <t>Margaret Arguello</t>
  </si>
  <si>
    <t>Bello horizonte 845 piso 8 of 802</t>
  </si>
  <si>
    <t>12477</t>
  </si>
  <si>
    <t>9415036326</t>
  </si>
  <si>
    <t>13549503-4 Pablo gaete esposo</t>
  </si>
  <si>
    <t>Consuelo Mohr</t>
  </si>
  <si>
    <t>Ricardo Neumann 1034 Parcela Las Lagunas</t>
  </si>
  <si>
    <t>12479</t>
  </si>
  <si>
    <t>9415110666</t>
  </si>
  <si>
    <t>53321062-7 Veronica navarro conserge</t>
  </si>
  <si>
    <t>Las golondrinas 1731 Depto 601</t>
  </si>
  <si>
    <t>12536</t>
  </si>
  <si>
    <t>9415728022</t>
  </si>
  <si>
    <t>carolin ok</t>
  </si>
  <si>
    <t>Carolin MIRANDA</t>
  </si>
  <si>
    <t>Los Lilenes 59</t>
  </si>
  <si>
    <t>12537</t>
  </si>
  <si>
    <t>9416461950</t>
  </si>
  <si>
    <t>Cristian munoz ok</t>
  </si>
  <si>
    <t>Angelica Caneo guerrero</t>
  </si>
  <si>
    <t>Andacollo 673b paradero 5 achupallas viña del mar</t>
  </si>
  <si>
    <t>2025-12-01 21:21</t>
  </si>
  <si>
    <t>12548</t>
  </si>
  <si>
    <t>9416424850</t>
  </si>
  <si>
    <t>carolina leiva cliente y pareja</t>
  </si>
  <si>
    <t>Franco xavier Abarca castro</t>
  </si>
  <si>
    <t>Camino internacional el sauce km 6</t>
  </si>
  <si>
    <t>12550</t>
  </si>
  <si>
    <t>9415891682</t>
  </si>
  <si>
    <t>7397326-0 patricio prieto papa</t>
  </si>
  <si>
    <t>Valentina Prieto</t>
  </si>
  <si>
    <t>Pasaje el rio damas 624</t>
  </si>
  <si>
    <t>12554</t>
  </si>
  <si>
    <t>9416227903</t>
  </si>
  <si>
    <t>Sebastian ok</t>
  </si>
  <si>
    <t>Consuelo Muñoz Reyes</t>
  </si>
  <si>
    <t>Av Pedro De Valdivia 0390 torre 3 depto 103</t>
  </si>
  <si>
    <t>2025-12-02 02:17</t>
  </si>
  <si>
    <t>12549</t>
  </si>
  <si>
    <t>9415345822</t>
  </si>
  <si>
    <t>marcela cardenas recibe secretaria</t>
  </si>
  <si>
    <t>Carlos Rojas Encina</t>
  </si>
  <si>
    <t>SOTOMAYOR 527</t>
  </si>
  <si>
    <t>2025-12-01 23:45</t>
  </si>
  <si>
    <t>12570</t>
  </si>
  <si>
    <t>9415115010</t>
  </si>
  <si>
    <t>luis conserjeria</t>
  </si>
  <si>
    <t>Alvaro Caldeeon garcia</t>
  </si>
  <si>
    <t>Viana 459</t>
  </si>
  <si>
    <t>12410</t>
  </si>
  <si>
    <t>9415953061</t>
  </si>
  <si>
    <t>Ramona Caratelli</t>
  </si>
  <si>
    <t>Parque Residencial Los Lirios J23</t>
  </si>
  <si>
    <t>2025-11-29 12:42</t>
  </si>
  <si>
    <t>12413</t>
  </si>
  <si>
    <t>9415736455</t>
  </si>
  <si>
    <t>francisca alvarado</t>
  </si>
  <si>
    <t>Casa 2 Entre Latorre Y Blanco Por Madrid</t>
  </si>
  <si>
    <t>12414</t>
  </si>
  <si>
    <t>9416310820</t>
  </si>
  <si>
    <t>Alfredo Cisternas Cubillos</t>
  </si>
  <si>
    <t>Retazo Parcela 31, lote C, Carmen Bajo, Melipilla</t>
  </si>
  <si>
    <t>2025-11-29 14:00</t>
  </si>
  <si>
    <t>12415</t>
  </si>
  <si>
    <t>9416173513</t>
  </si>
  <si>
    <t>Rossana Farfan Uribe</t>
  </si>
  <si>
    <t>Avenida Diego portales 1821</t>
  </si>
  <si>
    <t>12417</t>
  </si>
  <si>
    <t>9416028344</t>
  </si>
  <si>
    <t>Silvia Nessi Moreau</t>
  </si>
  <si>
    <t>Costa De Montemar 624 dpto 113</t>
  </si>
  <si>
    <t>12420</t>
  </si>
  <si>
    <t>9414015063</t>
  </si>
  <si>
    <t>Calle el molino s/n con esperanza</t>
  </si>
  <si>
    <t>2025-11-29 16:16</t>
  </si>
  <si>
    <t>12424</t>
  </si>
  <si>
    <t>9415748263</t>
  </si>
  <si>
    <t>PATRICIA Arroyo</t>
  </si>
  <si>
    <t>Psje Daniel droguett, casa 037</t>
  </si>
  <si>
    <t>12425</t>
  </si>
  <si>
    <t>9415780496</t>
  </si>
  <si>
    <t>Maria lorena Salas Sanchez</t>
  </si>
  <si>
    <t>Avenida Ohiggins 1084</t>
  </si>
  <si>
    <t>2025-11-29 17:33</t>
  </si>
  <si>
    <t>12427</t>
  </si>
  <si>
    <t>9415793100</t>
  </si>
  <si>
    <t>Condominio Avellanos de Trapen</t>
  </si>
  <si>
    <t>2025-11-29 17:56</t>
  </si>
  <si>
    <t>12428</t>
  </si>
  <si>
    <t>9416042591</t>
  </si>
  <si>
    <t>Camila Hune</t>
  </si>
  <si>
    <t>Baquedano 253</t>
  </si>
  <si>
    <t>12436</t>
  </si>
  <si>
    <t>9415983555</t>
  </si>
  <si>
    <t>Mayra Barrera</t>
  </si>
  <si>
    <t>julio ortiz de zarate 2000</t>
  </si>
  <si>
    <t>12439</t>
  </si>
  <si>
    <t>9416310223</t>
  </si>
  <si>
    <t>Oscar Meneses Contreras</t>
  </si>
  <si>
    <t>Capitán Avalos 230</t>
  </si>
  <si>
    <t>2025-11-29 23:10</t>
  </si>
  <si>
    <t>12445</t>
  </si>
  <si>
    <t>9416193264</t>
  </si>
  <si>
    <t>Francisca Candia</t>
  </si>
  <si>
    <t>Almirante riveros norte 2677 block C dpto 33</t>
  </si>
  <si>
    <t>12450</t>
  </si>
  <si>
    <t>9415825311</t>
  </si>
  <si>
    <t>Natalie Rodriguez Cabello</t>
  </si>
  <si>
    <t>Larapinta Oriente 3053, casa 112</t>
  </si>
  <si>
    <t>12454</t>
  </si>
  <si>
    <t>9416234936</t>
  </si>
  <si>
    <t>Calle Las Lomas 108 - Sitio 42 - La Serena</t>
  </si>
  <si>
    <t>12458</t>
  </si>
  <si>
    <t>9415936865</t>
  </si>
  <si>
    <t>José Luis Plaza</t>
  </si>
  <si>
    <t>salar de pujsa 4032</t>
  </si>
  <si>
    <t>12459</t>
  </si>
  <si>
    <t>9415911606</t>
  </si>
  <si>
    <t>Pasaje Valle Aconcagua 02981</t>
  </si>
  <si>
    <t>12461</t>
  </si>
  <si>
    <t>9416241203</t>
  </si>
  <si>
    <t>Felipe Céspedes Herrera</t>
  </si>
  <si>
    <t>Capitán Jorge Oryan 2039</t>
  </si>
  <si>
    <t>12462</t>
  </si>
  <si>
    <t>9415795616</t>
  </si>
  <si>
    <t>Krishhnna Ortega Mesias</t>
  </si>
  <si>
    <t>Pasaje arevalo #13</t>
  </si>
  <si>
    <t>2025-11-30 13:00</t>
  </si>
  <si>
    <t>12465</t>
  </si>
  <si>
    <t>9415651162</t>
  </si>
  <si>
    <t>Pamela Salazar Ríos</t>
  </si>
  <si>
    <t>Los tilos 0751</t>
  </si>
  <si>
    <t>12469</t>
  </si>
  <si>
    <t>9416206623</t>
  </si>
  <si>
    <t>Roberto Perez Oyarzun</t>
  </si>
  <si>
    <t>Avenida España 919</t>
  </si>
  <si>
    <t>12470</t>
  </si>
  <si>
    <t>9415778735</t>
  </si>
  <si>
    <t>Richard Faundez Martinez</t>
  </si>
  <si>
    <t>Avenida Cementerio 1525</t>
  </si>
  <si>
    <t>12472</t>
  </si>
  <si>
    <t>9415805851</t>
  </si>
  <si>
    <t>Allan Zúñiga Díaz</t>
  </si>
  <si>
    <t>Álvaro Lavin 884</t>
  </si>
  <si>
    <t>12473</t>
  </si>
  <si>
    <t>9416195692</t>
  </si>
  <si>
    <t>Beatriz Ruiz López</t>
  </si>
  <si>
    <t>10 oriente 28 y 29 sur pasaje 22 #1058</t>
  </si>
  <si>
    <t>12474</t>
  </si>
  <si>
    <t>9414528303</t>
  </si>
  <si>
    <t>GERMAN HERNANDEZ SAEZ</t>
  </si>
  <si>
    <t>CALLE 21 DE MAYO 882</t>
  </si>
  <si>
    <t>2025-11-30 15:58</t>
  </si>
  <si>
    <t>12451</t>
  </si>
  <si>
    <t>9416234553</t>
  </si>
  <si>
    <t>Jose Callunao Fuentes</t>
  </si>
  <si>
    <t>Rayen rayen quitral 01587</t>
  </si>
  <si>
    <t>12342</t>
  </si>
  <si>
    <t>9410741605</t>
  </si>
  <si>
    <t>Mario meza casa 9</t>
  </si>
  <si>
    <t>Mario Meza docmac</t>
  </si>
  <si>
    <t>Maipu norte 307 casa 9</t>
  </si>
  <si>
    <t>2025-11-28 10:16</t>
  </si>
  <si>
    <t>12353</t>
  </si>
  <si>
    <t>9410140972</t>
  </si>
  <si>
    <t>nikolas fabio erreira entregado autoriza dejar en</t>
  </si>
  <si>
    <t>Nicolas Fabio éreira</t>
  </si>
  <si>
    <t>Yorkshire 02727</t>
  </si>
  <si>
    <t>12359</t>
  </si>
  <si>
    <t>9410042541</t>
  </si>
  <si>
    <t>Juan Enrique Calderón Robledo</t>
  </si>
  <si>
    <t>Avenida Arauco 5503, casa 102</t>
  </si>
  <si>
    <t>12370</t>
  </si>
  <si>
    <t>9410780864</t>
  </si>
  <si>
    <t>Ivanka Crovetto</t>
  </si>
  <si>
    <t>Camino La Loma 4941</t>
  </si>
  <si>
    <t>12369</t>
  </si>
  <si>
    <t>9410377174</t>
  </si>
  <si>
    <t>Alai spa</t>
  </si>
  <si>
    <t>Urmeneta 305, edificio los heroes, oficina 610. Puerto Montt</t>
  </si>
  <si>
    <t>2025-11-28 14:40</t>
  </si>
  <si>
    <t>12377</t>
  </si>
  <si>
    <t>9410814873</t>
  </si>
  <si>
    <t>Ana Marisol Martinez</t>
  </si>
  <si>
    <t>Los notros 376</t>
  </si>
  <si>
    <t>12394</t>
  </si>
  <si>
    <t>9410273073</t>
  </si>
  <si>
    <t>Bruno Solari Vega</t>
  </si>
  <si>
    <t>Valle del atardecer 03839 depto 2104</t>
  </si>
  <si>
    <t>2025-11-28 21:31</t>
  </si>
  <si>
    <t>12399</t>
  </si>
  <si>
    <t>9410057333</t>
  </si>
  <si>
    <t>Claudia Bustamante Aguilar</t>
  </si>
  <si>
    <t>Cabo Exequiel Aroca 308 Tierras Blancas</t>
  </si>
  <si>
    <t>12197</t>
  </si>
  <si>
    <t>9405732081</t>
  </si>
  <si>
    <t>Alex Ronny Guzmán Fuenzalida</t>
  </si>
  <si>
    <t>El Yodo 8235, depto 111</t>
  </si>
  <si>
    <t>2025-11-23 12:18</t>
  </si>
  <si>
    <t>12186</t>
  </si>
  <si>
    <t>9406242742</t>
  </si>
  <si>
    <t>San martin 1366, Colegio entregas hasta 16.00</t>
  </si>
  <si>
    <t>2025-11-22 01:17</t>
  </si>
  <si>
    <t>12237</t>
  </si>
  <si>
    <t>9405848410</t>
  </si>
  <si>
    <t>Felipe cortes ok</t>
  </si>
  <si>
    <t>Felipe Cortes</t>
  </si>
  <si>
    <t>Calle calais 3432 condominio puertas del pacifico IV edificio 19 departamento 32</t>
  </si>
  <si>
    <t>2025-11-25 09:13</t>
  </si>
  <si>
    <t>12286</t>
  </si>
  <si>
    <t>9392687032</t>
  </si>
  <si>
    <t>Claudia Villa entrega exitosa</t>
  </si>
  <si>
    <t>Johan Cabezas</t>
  </si>
  <si>
    <t>Avenida Simpson 522</t>
  </si>
  <si>
    <t>2025-11-27 08:31</t>
  </si>
  <si>
    <t>12280</t>
  </si>
  <si>
    <t>9392374751</t>
  </si>
  <si>
    <t>16907496-8 makarena entrega ok</t>
  </si>
  <si>
    <t>Makarena Martínez perez</t>
  </si>
  <si>
    <t>Camino a coyhaique alto km 7 condominio alta vista, l calle los calafates parcela c65</t>
  </si>
  <si>
    <t>2025-11-26 21:24</t>
  </si>
  <si>
    <t>12327</t>
  </si>
  <si>
    <t>9409311052</t>
  </si>
  <si>
    <t>jonatan menay .</t>
  </si>
  <si>
    <t>Jonathan Menay Chaparro</t>
  </si>
  <si>
    <t>Valdivia 1225</t>
  </si>
  <si>
    <t>2025-11-27 22:49</t>
  </si>
  <si>
    <t>12315</t>
  </si>
  <si>
    <t>9409433725</t>
  </si>
  <si>
    <t>Carmen Palma recibe la hermana</t>
  </si>
  <si>
    <t>Carmen Palma</t>
  </si>
  <si>
    <t>avenida balmaceda 5591, La serena, La pampa</t>
  </si>
  <si>
    <t>2025-11-27 13:57</t>
  </si>
  <si>
    <t>12331</t>
  </si>
  <si>
    <t>9409331094</t>
  </si>
  <si>
    <t>21276361-6 alexis recibe familiar</t>
  </si>
  <si>
    <t>Alexis Santana chacana</t>
  </si>
  <si>
    <t>Justo Arteaga 2466</t>
  </si>
  <si>
    <t>2025-11-28 01:21</t>
  </si>
  <si>
    <t>12218</t>
  </si>
  <si>
    <t>9405742275</t>
  </si>
  <si>
    <t>Freddy Gonzalez Onfray</t>
  </si>
  <si>
    <t>Argentina 18</t>
  </si>
  <si>
    <t>2025-11-24 02:05</t>
  </si>
  <si>
    <t>12337</t>
  </si>
  <si>
    <t>9409503913</t>
  </si>
  <si>
    <t>jorge hernandez z</t>
  </si>
  <si>
    <t>Jorge Hernández</t>
  </si>
  <si>
    <t>Pasaje railef 5301</t>
  </si>
  <si>
    <t>12205</t>
  </si>
  <si>
    <t>9406336796</t>
  </si>
  <si>
    <t>Claudio Uribe Holz</t>
  </si>
  <si>
    <t>Retén 395 Placilla Valparaiso</t>
  </si>
  <si>
    <t>12216</t>
  </si>
  <si>
    <t>9406242731</t>
  </si>
  <si>
    <t>Francisco Moreno</t>
  </si>
  <si>
    <t>Los Lotos Oriente 2429</t>
  </si>
  <si>
    <t>2025-11-23 22:49</t>
  </si>
  <si>
    <t>12187</t>
  </si>
  <si>
    <t>9405735021</t>
  </si>
  <si>
    <t>Cristobal Jerez guzman</t>
  </si>
  <si>
    <t>Av Gabriel Gonzalez Videla 2515 31b</t>
  </si>
  <si>
    <t>2025-11-22 11:33</t>
  </si>
  <si>
    <t>RCT11825-2</t>
  </si>
  <si>
    <t>9392157261</t>
  </si>
  <si>
    <t>Franchesca Dauros</t>
  </si>
  <si>
    <t>AV ESCONDIDA 03075</t>
  </si>
  <si>
    <t>2025-11-26 14:05</t>
  </si>
  <si>
    <t>12272</t>
  </si>
  <si>
    <t>9392560295</t>
  </si>
  <si>
    <t>Lucio Condori</t>
  </si>
  <si>
    <t>Despacho a Lucio Condori. Dirección Av. Cinco 4300 casa 335</t>
  </si>
  <si>
    <t>2025-11-26 11:26</t>
  </si>
  <si>
    <t>12219</t>
  </si>
  <si>
    <t>9405726831</t>
  </si>
  <si>
    <t>Marcela Medina</t>
  </si>
  <si>
    <t>Santiago Humberstone 265 Casa 73</t>
  </si>
  <si>
    <t>2025-11-24 09:48</t>
  </si>
  <si>
    <t>12222</t>
  </si>
  <si>
    <t>9406248331</t>
  </si>
  <si>
    <t>2025-11-24 11:33</t>
  </si>
  <si>
    <t>12181</t>
  </si>
  <si>
    <t>9406021155</t>
  </si>
  <si>
    <t>Tomas Bravo velasquez</t>
  </si>
  <si>
    <t>Parcela 8 lote 3 llancay san pedro</t>
  </si>
  <si>
    <t>2025-11-23 17:15</t>
  </si>
  <si>
    <t>12254</t>
  </si>
  <si>
    <t>9391905261</t>
  </si>
  <si>
    <t>javiera piriz</t>
  </si>
  <si>
    <t>hacienda los aromos B015</t>
  </si>
  <si>
    <t>2025-11-25 19:19</t>
  </si>
  <si>
    <t>12255</t>
  </si>
  <si>
    <t>9392412341</t>
  </si>
  <si>
    <t>Loreto Dragoni Cifuentes</t>
  </si>
  <si>
    <t>Gonzalo Cerda 964</t>
  </si>
  <si>
    <t>2025-11-25 19:55</t>
  </si>
  <si>
    <t>12266</t>
  </si>
  <si>
    <t>9392067974</t>
  </si>
  <si>
    <t>VERONICA PEREZ</t>
  </si>
  <si>
    <t>AVDA PORTAL DEL LIBERTADOR 1088 DP 205 TORRE 1</t>
  </si>
  <si>
    <t>2025-11-26 09:42</t>
  </si>
  <si>
    <t>12276</t>
  </si>
  <si>
    <t>9409948332</t>
  </si>
  <si>
    <t>Enrique beissinger entregado</t>
  </si>
  <si>
    <t>Enrique Beissinger</t>
  </si>
  <si>
    <t>Francisco Bilbao 716</t>
  </si>
  <si>
    <t>2025-11-26 17:29</t>
  </si>
  <si>
    <t>12289</t>
  </si>
  <si>
    <t>9409230051</t>
  </si>
  <si>
    <t>jaqueline recibe mama</t>
  </si>
  <si>
    <t>Michael Miller Jaque</t>
  </si>
  <si>
    <t>Calle Palena 1735</t>
  </si>
  <si>
    <t>2025-11-27 10:52</t>
  </si>
  <si>
    <t>REL710053</t>
  </si>
  <si>
    <t>260191744</t>
  </si>
  <si>
    <t>RELAJARTE</t>
  </si>
  <si>
    <t>NOMBRE RETIRA: CRISTIAN URIBE .. RUT RETIRA: 11115120-2</t>
  </si>
  <si>
    <t>Cristian Uribe Marin</t>
  </si>
  <si>
    <t>Av. Alcalde Fernando Castillo Velasco 8146</t>
  </si>
  <si>
    <t>Manuel Rodriguez 951, 30 de Marzo</t>
  </si>
  <si>
    <t>REL79020</t>
  </si>
  <si>
    <t>259316703</t>
  </si>
  <si>
    <t>NOMBRE RETIRA: MARIA GARRIDO . RUT RETIRA: 17395487-5</t>
  </si>
  <si>
    <t>María Garrido Bauerle</t>
  </si>
  <si>
    <t>2025-12-05 19:19</t>
  </si>
  <si>
    <t>REL710124</t>
  </si>
  <si>
    <t>260309634</t>
  </si>
  <si>
    <t>NOMBRE RETIRA: JACQUELINE CACERES . RUT RETIRA: 8869827-4</t>
  </si>
  <si>
    <t>Christopher Illanes Fernandez</t>
  </si>
  <si>
    <t>Ascotan 141, 1502</t>
  </si>
  <si>
    <t>REL710032</t>
  </si>
  <si>
    <t>260191955</t>
  </si>
  <si>
    <t>NOMBRE RETIRA: OSCAR LOPEZ ... RUT RETIRA: 65794790-3</t>
  </si>
  <si>
    <t>Mauricio Ochoa Arroyo</t>
  </si>
  <si>
    <t>Hochstetter 640, 202</t>
  </si>
  <si>
    <t>2025-12-17 20:20</t>
  </si>
  <si>
    <t>REL79893</t>
  </si>
  <si>
    <t>260121738</t>
  </si>
  <si>
    <t>NOMBRE RETIRA: MARYORI VERGARA . RUT RETIRA: 9514374-1</t>
  </si>
  <si>
    <t>David Eugenin</t>
  </si>
  <si>
    <t>Balmaceda 746</t>
  </si>
  <si>
    <t>REL79327</t>
  </si>
  <si>
    <t>259580034</t>
  </si>
  <si>
    <t>NOMBRE RETIRA: ANDREA ARTEAGA . RUT RETIRA: 16363921-1</t>
  </si>
  <si>
    <t>Andrea Arteaga</t>
  </si>
  <si>
    <t>Ogana 1035</t>
  </si>
  <si>
    <t>REL710183</t>
  </si>
  <si>
    <t>260309329</t>
  </si>
  <si>
    <t>NOMBRE RETIRA: CLAUDIO MENA E RUT RETIRA: 18313720-4</t>
  </si>
  <si>
    <t>Claudio Andres Mena Chamorro</t>
  </si>
  <si>
    <t>18 de septiembre #2455, casa color calipso</t>
  </si>
  <si>
    <t>REL710185</t>
  </si>
  <si>
    <t>260309293</t>
  </si>
  <si>
    <t>NOMBRE RETIRA: JAVIERA FLORES X RUT RETIRA: 22619944-6</t>
  </si>
  <si>
    <t>Nevada 781 villa paraiso, Cada</t>
  </si>
  <si>
    <t>REL710100</t>
  </si>
  <si>
    <t>260309823</t>
  </si>
  <si>
    <t>NOMBRE RETIRA: FABIAN H H RUT RETIRA: 7664098-K</t>
  </si>
  <si>
    <t>Fabian Estay calderon</t>
  </si>
  <si>
    <t>Casa, Huasco 455</t>
  </si>
  <si>
    <t>REL79709</t>
  </si>
  <si>
    <t>259996780</t>
  </si>
  <si>
    <t>NOMBRE RETIRA: CARLOS VERA 0 RUT RETIRA: 22222222-2</t>
  </si>
  <si>
    <t>Carlos Vera</t>
  </si>
  <si>
    <t>Avenida Balmaceda 2455, Oficina 1208, piso 12. Edificio Balmaceda</t>
  </si>
  <si>
    <t>REL710113</t>
  </si>
  <si>
    <t>260309713</t>
  </si>
  <si>
    <t>NOMBRE RETIRA: JOAQUIN MARIN . RUT RETIRA: 19505547-5</t>
  </si>
  <si>
    <t>Katherine Aracena</t>
  </si>
  <si>
    <t>O"Higgins 1335, Casa</t>
  </si>
  <si>
    <t>REL78750</t>
  </si>
  <si>
    <t>259084808</t>
  </si>
  <si>
    <t>NOMBRE RETIRA: DANIEL GON . RUT RETIRA: 18642909-5</t>
  </si>
  <si>
    <t>René Schneider 1223</t>
  </si>
  <si>
    <t>2025-12-02 19:31</t>
  </si>
  <si>
    <t>REL710068</t>
  </si>
  <si>
    <t>260191625</t>
  </si>
  <si>
    <t>NOMBRE RETIRA: CARMEN ASTORGA ASTORGA RUT RETIRA: 14105277-2</t>
  </si>
  <si>
    <t>Carmen Astorga G.</t>
  </si>
  <si>
    <t>CHACABUCO 871, SECTOR CENTRO, SECTOR CENTRO, SECTOR CENTRO</t>
  </si>
  <si>
    <t>REL79966</t>
  </si>
  <si>
    <t>260122342</t>
  </si>
  <si>
    <t>Alamiro Manque</t>
  </si>
  <si>
    <t>Independencia # 0152 local 2</t>
  </si>
  <si>
    <t>REL710122</t>
  </si>
  <si>
    <t>260309658</t>
  </si>
  <si>
    <t>NOMBRE RETIRA: MELISA CONTRERS . RUT RETIRA: 65202577-3</t>
  </si>
  <si>
    <t>Lorena Llanos</t>
  </si>
  <si>
    <t>Avenida Borde Laguna 1407, 161</t>
  </si>
  <si>
    <t>REL710147</t>
  </si>
  <si>
    <t>260309535</t>
  </si>
  <si>
    <t>NOMBRE RETIRA: MIGULLEL MANCILA M RUT RETIRA: 17182544-K</t>
  </si>
  <si>
    <t>Miguel Mansilla Ortiz</t>
  </si>
  <si>
    <t>Maipon 352, Casa - oficina</t>
  </si>
  <si>
    <t>2025-12-18 20:16</t>
  </si>
  <si>
    <t>REL79959</t>
  </si>
  <si>
    <t>260121447</t>
  </si>
  <si>
    <t>NOMBRE RETIRA: JONATHAN ORELLANA . RUT RETIRA: 16090091-1</t>
  </si>
  <si>
    <t>Jonathan Leonardo Orellana Espinoza</t>
  </si>
  <si>
    <t>Ignacio carrera pinto pasaje los pesos 1402, Casa</t>
  </si>
  <si>
    <t>REL710230</t>
  </si>
  <si>
    <t>260309092</t>
  </si>
  <si>
    <t>NOMBRE RETIRA: YEISON ROJAS RIJAS RUT RETIRA: 11111111-1</t>
  </si>
  <si>
    <t>yeison rojas</t>
  </si>
  <si>
    <t>baquedano, 370</t>
  </si>
  <si>
    <t>2025-12-19 11:16</t>
  </si>
  <si>
    <t>REL710149</t>
  </si>
  <si>
    <t>260309527</t>
  </si>
  <si>
    <t>NOMBRE RETIRA: BESTRIZ SANZANA . RUT RETIRA: 20340393-3</t>
  </si>
  <si>
    <t>Beatriz Sanzana</t>
  </si>
  <si>
    <t>Manuel Bulnes 897, Mop</t>
  </si>
  <si>
    <t>REL79510</t>
  </si>
  <si>
    <t>259842644</t>
  </si>
  <si>
    <t>NOMBRE RETIRA: HECTOR ANDRES PACHECO NAVARRO RUT RETIRA: 18789104-3</t>
  </si>
  <si>
    <t>María Fernanda Soto</t>
  </si>
  <si>
    <t>Panamericana 733</t>
  </si>
  <si>
    <t>REL710189</t>
  </si>
  <si>
    <t>260309266</t>
  </si>
  <si>
    <t>Renè Martinez Nuñez</t>
  </si>
  <si>
    <t>Freire Nª 1086, Casa</t>
  </si>
  <si>
    <t>REL710125</t>
  </si>
  <si>
    <t>260309630</t>
  </si>
  <si>
    <t>NOMBRE RETIRA: CRISTIAN CERDA . RUT RETIRA: 81201000-K</t>
  </si>
  <si>
    <t>Cristian Fernandez</t>
  </si>
  <si>
    <t>Salas 1541, Depto R35</t>
  </si>
  <si>
    <t>REL710095</t>
  </si>
  <si>
    <t>260309843</t>
  </si>
  <si>
    <t>Karina Tapia</t>
  </si>
  <si>
    <t>El estero 5 tejas verdes San Antonio, Tomas cancha de los tigres casa reja de zinc</t>
  </si>
  <si>
    <t>REL710050</t>
  </si>
  <si>
    <t>260191781</t>
  </si>
  <si>
    <t>NOMBRE RETIRA: HERNAN VIGIL A RUT RETIRA: 15980982-K</t>
  </si>
  <si>
    <t>Hernán Vigil</t>
  </si>
  <si>
    <t>Los Tucanes 2347</t>
  </si>
  <si>
    <t>REL710042</t>
  </si>
  <si>
    <t>260191843</t>
  </si>
  <si>
    <t>Rodrigo Garces</t>
  </si>
  <si>
    <t>Alexis Sanchez, 2321</t>
  </si>
  <si>
    <t>REL710127</t>
  </si>
  <si>
    <t>260309620</t>
  </si>
  <si>
    <t>NOMBRE RETIRA: CLAUDIA ANTINANCO . RUT RETIRA: 14419720-8</t>
  </si>
  <si>
    <t>Claudia Antinanco</t>
  </si>
  <si>
    <t>Pasaje Rucahue 4689</t>
  </si>
  <si>
    <t>REL710146</t>
  </si>
  <si>
    <t>260309543</t>
  </si>
  <si>
    <t>NOMBRE RETIRA: IGNACIO PENA . RUT RETIRA: 16863334-3</t>
  </si>
  <si>
    <t>Ismael Heredia</t>
  </si>
  <si>
    <t>Calle Francisco de Collao 1023, 701</t>
  </si>
  <si>
    <t>REL710085</t>
  </si>
  <si>
    <t>260309914</t>
  </si>
  <si>
    <t>NOMBRE RETIRA: GABRIELA FERNANDA 0 RUT RETIRA: 12345678-5</t>
  </si>
  <si>
    <t>Gabriela Fernanda Zárate Malebrán</t>
  </si>
  <si>
    <t>Juan villalobos 525 portal de tuqui, Costado colegio manantial</t>
  </si>
  <si>
    <t>REL710129</t>
  </si>
  <si>
    <t>260309575</t>
  </si>
  <si>
    <t>NOMBRE RETIRA: ERIK PEREZ . RUT RETIRA: 19109789-0</t>
  </si>
  <si>
    <t>Fabiola Alvarado Venegas</t>
  </si>
  <si>
    <t>Manuel Rodríguez 334, 1902</t>
  </si>
  <si>
    <t>REL79236</t>
  </si>
  <si>
    <t>259580667</t>
  </si>
  <si>
    <t>NOMBRE RETIRA: FELIPE SANDOVAL . RUT RETIRA: 21634023-K</t>
  </si>
  <si>
    <t>Felipe Sandoval carrasco</t>
  </si>
  <si>
    <t>Las tepas 933, Casa</t>
  </si>
  <si>
    <t>2025-12-09 11:21</t>
  </si>
  <si>
    <t>REL710120</t>
  </si>
  <si>
    <t>260309684</t>
  </si>
  <si>
    <t>NOMBRE RETIRA: JOSE SANHUEZA . RUT RETIRA: 21881834-K</t>
  </si>
  <si>
    <t>jose manuel sanhueza salgado</t>
  </si>
  <si>
    <t>villa huascar pasaje 8 casa 888</t>
  </si>
  <si>
    <t>REL710117</t>
  </si>
  <si>
    <t>260309677</t>
  </si>
  <si>
    <t>NOMBRE RETIRA: RODRIGO BRAVO . RUT RETIRA: 10491414-4</t>
  </si>
  <si>
    <t>Luis Alberto Ahuanari Angeles</t>
  </si>
  <si>
    <t>Vicente Perez rosales 01649, Departamento 406 torre 4</t>
  </si>
  <si>
    <t>REL710143</t>
  </si>
  <si>
    <t>260309565</t>
  </si>
  <si>
    <t>NOMBRE RETIRA: JESUS ARAYA MM RUT RETIRA: 19146817-1</t>
  </si>
  <si>
    <t>Jesús Araya</t>
  </si>
  <si>
    <t>Alberto Blest gana 703, Casa 4</t>
  </si>
  <si>
    <t>REL710154</t>
  </si>
  <si>
    <t>260309507</t>
  </si>
  <si>
    <t>NOMBRE RETIRA: CAMILA TELLO TELLO RUT RETIRA: 15745271-1</t>
  </si>
  <si>
    <t>Camila Soledad Tello Araya</t>
  </si>
  <si>
    <t>Av Francisco de aguirre 097 , departamento 58A, departamento 058A</t>
  </si>
  <si>
    <t>REL710126</t>
  </si>
  <si>
    <t>260309640</t>
  </si>
  <si>
    <t>NOMBRE RETIRA: CLAUDIO , , RUT RETIRA: 53310370-7</t>
  </si>
  <si>
    <t>Maureen Muller</t>
  </si>
  <si>
    <t>Montes Sabinos 103, C 103, 103 c</t>
  </si>
  <si>
    <t>REL710094</t>
  </si>
  <si>
    <t>260309838</t>
  </si>
  <si>
    <t>NOMBRE RETIRA: NATHALIA MENA . RUT RETIRA: 9222831-2</t>
  </si>
  <si>
    <t>Natalia Bustamante Lopez</t>
  </si>
  <si>
    <t>Arauco 561 local 337, tercer piso</t>
  </si>
  <si>
    <t>REL79176</t>
  </si>
  <si>
    <t>259316282</t>
  </si>
  <si>
    <t>NOMBRE RETIRA: PAULA MARTIN . RUT RETIRA: 16612680-0</t>
  </si>
  <si>
    <t>Victor Levicoy Osorio</t>
  </si>
  <si>
    <t>Manuel Rodriguez 3654</t>
  </si>
  <si>
    <t>2025-12-08 17:31</t>
  </si>
  <si>
    <t>REL710145</t>
  </si>
  <si>
    <t>260309553</t>
  </si>
  <si>
    <t>NOMBRE RETIRA: LAURA JARA . RUT RETIRA: 11221883-1</t>
  </si>
  <si>
    <t>Camilo Lopez ortega</t>
  </si>
  <si>
    <t>Traslaviña 7, Servicio Técnico fensa- mademsa</t>
  </si>
  <si>
    <t>REL710190</t>
  </si>
  <si>
    <t>260309284</t>
  </si>
  <si>
    <t>NOMBRE RETIRA: HUGO RETAMAL H RUT RETIRA: 5016956-1</t>
  </si>
  <si>
    <t>Maycol Briones</t>
  </si>
  <si>
    <t>8 sur, 13 y 14 oriente, 2036-B</t>
  </si>
  <si>
    <t>REL79937</t>
  </si>
  <si>
    <t>260121523</t>
  </si>
  <si>
    <t>NOMBRE RETIRA: ENRIQUE URBINA UEBINA RUT RETIRA: 9760514-9</t>
  </si>
  <si>
    <t>Enrique Urbina</t>
  </si>
  <si>
    <t>Vincent Van Gogh # 144 Villa Ma. Lucia, Casa</t>
  </si>
  <si>
    <t>2025-12-16 20:14</t>
  </si>
  <si>
    <t>REL710115</t>
  </si>
  <si>
    <t>260309707</t>
  </si>
  <si>
    <t>NOMBRE RETIRA: CARLOS MORALES M RUT RETIRA: 19954285-0</t>
  </si>
  <si>
    <t>Avenida San Miguel #3010</t>
  </si>
  <si>
    <t>REL79328</t>
  </si>
  <si>
    <t>259580018</t>
  </si>
  <si>
    <t>NOMBRE RETIRA: ESTEFANIA CONTRERAS . RUT RETIRA: 18585970-3</t>
  </si>
  <si>
    <t>BORIS ROMÁN CARTES DÍAZ</t>
  </si>
  <si>
    <t>C. Lautaro Navarro 1150, Comandancia en jefe de la 3ra zona naval</t>
  </si>
  <si>
    <t>REL710052</t>
  </si>
  <si>
    <t>260191737</t>
  </si>
  <si>
    <t>NOMBRE RETIRA: PAOLA NUNEZ T RUT RETIRA: 7737760-3</t>
  </si>
  <si>
    <t>paola nunez</t>
  </si>
  <si>
    <t>doctor osorio 145</t>
  </si>
  <si>
    <t>REL79595</t>
  </si>
  <si>
    <t>259842535</t>
  </si>
  <si>
    <t>NOMBRE RETIRA: SEBASTIAN CEPEDA . RUT RETIRA: 56052390-4</t>
  </si>
  <si>
    <t>Oriel Rivera González</t>
  </si>
  <si>
    <t>Diaz Gana 900, Ed Arrecife 3. Dpto 81</t>
  </si>
  <si>
    <t>REL79643</t>
  </si>
  <si>
    <t>259842452</t>
  </si>
  <si>
    <t>NOMBRE RETIRA: CAROLINA PEREIRA . RUT RETIRA: 13992868-7</t>
  </si>
  <si>
    <t>Yerson adiel Lagos Salamanca</t>
  </si>
  <si>
    <t>Las torres 2 chorrillos bajo, Casa esquina blanca</t>
  </si>
  <si>
    <t>REL79600</t>
  </si>
  <si>
    <t>259842517</t>
  </si>
  <si>
    <t>NOMBRE RETIRA: RICARDO TRUNCI . RUT RETIRA: 12345678-5</t>
  </si>
  <si>
    <t>Claudio Perez</t>
  </si>
  <si>
    <t>Ruta 5 1007, Puerto Varas, Los Lagos, Chile</t>
  </si>
  <si>
    <t>REL79361</t>
  </si>
  <si>
    <t>259579849</t>
  </si>
  <si>
    <t>NOMBRE RETIRA: MARIA TAMAYO . RUT RETIRA: 11111111-1</t>
  </si>
  <si>
    <t>Maria Jose Tamayo velasquez</t>
  </si>
  <si>
    <t>General Ernesto medina 323</t>
  </si>
  <si>
    <t>REL79967</t>
  </si>
  <si>
    <t>260121430</t>
  </si>
  <si>
    <t>NOMBRE RETIRA: PAOLA JOHALR . RUT RETIRA: 16244948-6</t>
  </si>
  <si>
    <t>Paola Joglar</t>
  </si>
  <si>
    <t>Coronel Emilio Sotomayor 83, Casa</t>
  </si>
  <si>
    <t>REL710192</t>
  </si>
  <si>
    <t>260309252</t>
  </si>
  <si>
    <t>NOMBRE RETIRA: LIA . . RUT RETIRA: 18643001-8</t>
  </si>
  <si>
    <t>Lia paz Oyarzo igor</t>
  </si>
  <si>
    <t>Calle San MartÍn 293, Calle San MartÍn 293, Calle San MartÍn 293</t>
  </si>
  <si>
    <t>REL79914</t>
  </si>
  <si>
    <t>260121647</t>
  </si>
  <si>
    <t>NOMBRE RETIRA: MARYALICE . . RUT RETIRA: 5977062-4</t>
  </si>
  <si>
    <t>Andres Alvarado vera</t>
  </si>
  <si>
    <t>Calle 3 norte #0393, Casa 117.condominio Ollague 2</t>
  </si>
  <si>
    <t>REL79705</t>
  </si>
  <si>
    <t>259996788</t>
  </si>
  <si>
    <t>NOMBRE RETIRA: DIEGO ESPINISA . RUT RETIRA: 19101551-7</t>
  </si>
  <si>
    <t>Cerro sombrero, 302</t>
  </si>
  <si>
    <t>REL79697</t>
  </si>
  <si>
    <t>259996802</t>
  </si>
  <si>
    <t>NOMBRE RETIRA: RICARDO CHAVEZ J RUT RETIRA: 20066879-0</t>
  </si>
  <si>
    <t>Ricardo Chavez Loyola</t>
  </si>
  <si>
    <t>Palena 1055, 514</t>
  </si>
  <si>
    <t>REL710179</t>
  </si>
  <si>
    <t>260309360</t>
  </si>
  <si>
    <t>NOMBRE RETIRA: MAXIMILIANO POZO . RUT RETIRA: 16754596-3</t>
  </si>
  <si>
    <t>Maximiliano Pozo Bernal</t>
  </si>
  <si>
    <t>Rita otaegui, 66</t>
  </si>
  <si>
    <t>REL710059</t>
  </si>
  <si>
    <t>260191681</t>
  </si>
  <si>
    <t>NOMBRE RETIRA: JAVIERA ARAYA . RUT RETIRA: 21199436-3</t>
  </si>
  <si>
    <t>Giliant Hott</t>
  </si>
  <si>
    <t>Arturo Prat 1251, Of 13</t>
  </si>
  <si>
    <t>REL79602</t>
  </si>
  <si>
    <t>259842520</t>
  </si>
  <si>
    <t>NOMBRE RETIRA: ROSMERY GONGORA . RUT RETIRA: 24315430-8</t>
  </si>
  <si>
    <t>Jose Antonio Sepulveda Rojas</t>
  </si>
  <si>
    <t>galleguillos Lorca 1631, depto 2101</t>
  </si>
  <si>
    <t>REL710069</t>
  </si>
  <si>
    <t>260191584</t>
  </si>
  <si>
    <t>NOMBRE RETIRA: FERNANDO CORONA . RUT RETIRA: 15270956-0</t>
  </si>
  <si>
    <t>Fernando Corona Cárdenas</t>
  </si>
  <si>
    <t>Ojos del huishue 378, lago ranco</t>
  </si>
  <si>
    <t>REL710229</t>
  </si>
  <si>
    <t>260309086</t>
  </si>
  <si>
    <t>NOMBRE RETIRA: JORGE URRUTIA X RUT RETIRA: 12345678-5</t>
  </si>
  <si>
    <t>Jorge Urrutia robles</t>
  </si>
  <si>
    <t>Chañar blanco 810 villa edén, Casa</t>
  </si>
  <si>
    <t>REL79973</t>
  </si>
  <si>
    <t>260121315</t>
  </si>
  <si>
    <t>NOMBRE RETIRA: MARIA SALINAS . RUT RETIRA: 6180869-8</t>
  </si>
  <si>
    <t>Moira Pacheco Salinas</t>
  </si>
  <si>
    <t>Los Laureles 1060, Sindempart</t>
  </si>
  <si>
    <t>REL710017</t>
  </si>
  <si>
    <t>260192102</t>
  </si>
  <si>
    <t>NOMBRE RETIRA: PEDRO BURGOS . RUT RETIRA: 10977124-4</t>
  </si>
  <si>
    <t>Fabiola Gatica Maureira</t>
  </si>
  <si>
    <t>Gran Bretaña #955, Entregar en Pesquera PacificBlu</t>
  </si>
  <si>
    <t>REL710204</t>
  </si>
  <si>
    <t>260309174</t>
  </si>
  <si>
    <t>NOMBRE RETIRA: DAVID SALGADO . RUT RETIRA: 18110541-0</t>
  </si>
  <si>
    <t>David Salgado</t>
  </si>
  <si>
    <t>Avenida Independencia 1590, Obra de construcción</t>
  </si>
  <si>
    <t>REL79371</t>
  </si>
  <si>
    <t>259579707</t>
  </si>
  <si>
    <t>NOMBRE RETIRA: SUSANA GOMEZ . RUT RETIRA: 17910293-5</t>
  </si>
  <si>
    <t>Susana Calixto Gomez</t>
  </si>
  <si>
    <t>Cerro Tenerife 0737, Casa</t>
  </si>
  <si>
    <t>REL710155</t>
  </si>
  <si>
    <t>260309503</t>
  </si>
  <si>
    <t>NOMBRE RETIRA: ALVARO ARTEAGA 0 RUT RETIRA: 18753276-0</t>
  </si>
  <si>
    <t>ALVARO ARTEAGA URIBE</t>
  </si>
  <si>
    <t>DIEGO DE ALMAGRO NORTE 1524 PUERTO MONTT</t>
  </si>
  <si>
    <t>REL710008</t>
  </si>
  <si>
    <t>260192155</t>
  </si>
  <si>
    <t>NOMBRE RETIRA: FRANCIS . . RUT RETIRA: 10672583-7</t>
  </si>
  <si>
    <t>Vianka Rivero</t>
  </si>
  <si>
    <t>San Gregorio 070 Plaza Norte 7</t>
  </si>
  <si>
    <t>REL79749</t>
  </si>
  <si>
    <t>259996438</t>
  </si>
  <si>
    <t>NOMBRE RETIRA: CONTANZA MARZAN . RUT RETIRA: 19336522-1</t>
  </si>
  <si>
    <t>Constanza Marzan gsllardo</t>
  </si>
  <si>
    <t>Camino internacional parcela 4 la victoria, Restaurant el capo</t>
  </si>
  <si>
    <t>2025-12-15 11:07</t>
  </si>
  <si>
    <t>REL710173</t>
  </si>
  <si>
    <t>260309373</t>
  </si>
  <si>
    <t>NOMBRE RETIRA: ELSA VASQUEZ . RUT RETIRA: 8328888-4</t>
  </si>
  <si>
    <t>Marta ELena Alarcón</t>
  </si>
  <si>
    <t>Casa, Fernando Chuecas 815</t>
  </si>
  <si>
    <t>REL710060</t>
  </si>
  <si>
    <t>260191693</t>
  </si>
  <si>
    <t>NOMBRE RETIRA: MARISOLL REYES M RUT RETIRA: 12418372-3</t>
  </si>
  <si>
    <t>Tania Hernández</t>
  </si>
  <si>
    <t>Benedicto Leon 191, 73 g</t>
  </si>
  <si>
    <t>REL710023</t>
  </si>
  <si>
    <t>260192039</t>
  </si>
  <si>
    <t>NOMBRE RETIRA: CONSTANZA PONTIGO . RUT RETIRA: 21682703-1</t>
  </si>
  <si>
    <t>Cristian Caparros</t>
  </si>
  <si>
    <t>32 y medio oriente B 1954</t>
  </si>
  <si>
    <t>REL79552</t>
  </si>
  <si>
    <t>259842594</t>
  </si>
  <si>
    <t>NOMBRE RETIRA: ANEGALIS PAPAGALOS . RUT RETIRA: 11612277-4</t>
  </si>
  <si>
    <t>Cristian Mauricio Altina godoy</t>
  </si>
  <si>
    <t>Pasaje seis 4426, Casa</t>
  </si>
  <si>
    <t>REL79858</t>
  </si>
  <si>
    <t>259995656</t>
  </si>
  <si>
    <t>NOMBRE RETIRA: MARYORI DE LA VEGA . RUT RETIRA: 10862094-3</t>
  </si>
  <si>
    <t>Renato rocca 1448</t>
  </si>
  <si>
    <t>REL79278</t>
  </si>
  <si>
    <t>259580431</t>
  </si>
  <si>
    <t>NOMBRE RETIRA: ALVARO DIAZ . RUT RETIRA: 11111111-1</t>
  </si>
  <si>
    <t>Lastenia Rojas</t>
  </si>
  <si>
    <t>Franco Bianco 831</t>
  </si>
  <si>
    <t>REL79694</t>
  </si>
  <si>
    <t>259996811</t>
  </si>
  <si>
    <t>NOMBRE RETIRA: EMA BUSTAMANTE . RUT RETIRA: 6043892-7</t>
  </si>
  <si>
    <t>Jeannette Galleguillos Bustamante</t>
  </si>
  <si>
    <t>Los narcisos 30, Viña del Mar</t>
  </si>
  <si>
    <t>REL79925</t>
  </si>
  <si>
    <t>260121600</t>
  </si>
  <si>
    <t>NOMBRE RETIRA: MAGALY BECERRA . RUT RETIRA: 10178462-2</t>
  </si>
  <si>
    <t>Eduardo Gaete</t>
  </si>
  <si>
    <t>La Paz 1517, Casa</t>
  </si>
  <si>
    <t>REL710075</t>
  </si>
  <si>
    <t>260191524</t>
  </si>
  <si>
    <t>NOMBRE RETIRA: CARLOA HUENTEN H RUT RETIRA: 13967135-K</t>
  </si>
  <si>
    <t>Carlos Huenten González</t>
  </si>
  <si>
    <t>Psje 3 casa 5219 villa producción y comercio, Minimarket Ayün</t>
  </si>
  <si>
    <t>REL710055</t>
  </si>
  <si>
    <t>260191723</t>
  </si>
  <si>
    <t>NOMBRE RETIRA: JUAN PABLO HERRERA H RUT RETIRA: 20306486-1</t>
  </si>
  <si>
    <t>Constanza Cancino Poblete</t>
  </si>
  <si>
    <t>13 Oriente 180</t>
  </si>
  <si>
    <t>REL710167</t>
  </si>
  <si>
    <t>260309438</t>
  </si>
  <si>
    <t>NOMBRE RETIRA: BERNARDO GALLARDO . RUT RETIRA: 17667735-K</t>
  </si>
  <si>
    <t>Bernardo Gallardo villalobos</t>
  </si>
  <si>
    <t>Av el tofo 2225 las compañías</t>
  </si>
  <si>
    <t>REL79964</t>
  </si>
  <si>
    <t>260121416</t>
  </si>
  <si>
    <t>NOMBRE RETIRA: FELIPE CARRIZO . RUT RETIRA: 17667735-K</t>
  </si>
  <si>
    <t>felipe carrizo</t>
  </si>
  <si>
    <t>kochai 3035, Casa</t>
  </si>
  <si>
    <t>REL79527</t>
  </si>
  <si>
    <t>259842641</t>
  </si>
  <si>
    <t>NOMBRE RETIRA: AYLEEN ARAYA X RUT RETIRA: 10839635-0</t>
  </si>
  <si>
    <t>Aileen Leal Araya</t>
  </si>
  <si>
    <t>Vladimir Saavedra 651, Casa 69</t>
  </si>
  <si>
    <t>REL79535</t>
  </si>
  <si>
    <t>259842620</t>
  </si>
  <si>
    <t>NOMBRE RETIRA: GANRIELA PINCHES L RUT RETIRA: 22222222-2</t>
  </si>
  <si>
    <t>Nataly Dominguez</t>
  </si>
  <si>
    <t>Av ejercito 01180</t>
  </si>
  <si>
    <t>REL710027</t>
  </si>
  <si>
    <t>260191936</t>
  </si>
  <si>
    <t>NOMBRE RETIRA: ANGELO CABRERA C RUT RETIRA: 15681203-K</t>
  </si>
  <si>
    <t>Angelo Cabrera</t>
  </si>
  <si>
    <t>altos de cato 19, parcela 19</t>
  </si>
  <si>
    <t>REL710202</t>
  </si>
  <si>
    <t>260309220</t>
  </si>
  <si>
    <t>NOMBRE RETIRA: JAIME RIOS ARAYA RUT RETIRA: 15745271-1</t>
  </si>
  <si>
    <t>Jaime Rios Araya</t>
  </si>
  <si>
    <t>Guido Bertin Soto 485</t>
  </si>
  <si>
    <t>REL710056</t>
  </si>
  <si>
    <t>260191714</t>
  </si>
  <si>
    <t>NOMBRE RETIRA: KARIN RIEDMAN H RUT RETIRA: 13587625-9</t>
  </si>
  <si>
    <t>CLAUDIO ANDRES RODRIGUEZ MARTINEZ</t>
  </si>
  <si>
    <t>Av. Patricio Lynch 930, Dpto. C 46</t>
  </si>
  <si>
    <t>REL710073</t>
  </si>
  <si>
    <t>260191533</t>
  </si>
  <si>
    <t>NOMBRE RETIRA: JOSE FREDES . RUT RETIRA: 21256640-3</t>
  </si>
  <si>
    <t>Tatiana Figueroa Lagos</t>
  </si>
  <si>
    <t>Pasaje uno 1181, La Estrella Michaihue</t>
  </si>
  <si>
    <t>REL710226</t>
  </si>
  <si>
    <t>260309121</t>
  </si>
  <si>
    <t>NOMBRE RETIRA: YERALD PASTEN . RUT RETIRA: 22348744-0</t>
  </si>
  <si>
    <t>Yerald Pasten</t>
  </si>
  <si>
    <t>Agustin Virgilio 799</t>
  </si>
  <si>
    <t>REL79926</t>
  </si>
  <si>
    <t>260121573</t>
  </si>
  <si>
    <t>NOMBRE RETIRA: DARLIN PINTO . RUT RETIRA: 22206195-4</t>
  </si>
  <si>
    <t>Gonzalo Andrés Sandoval Navarrete</t>
  </si>
  <si>
    <t>Pasaje camino a la playa 2040, 301 A</t>
  </si>
  <si>
    <t>REL710159</t>
  </si>
  <si>
    <t>260309474</t>
  </si>
  <si>
    <t>NOMBRE RETIRA: CARLOZ BELLO J RUT RETIRA: 12862163-6</t>
  </si>
  <si>
    <t>Carlos Bello Rivera</t>
  </si>
  <si>
    <t>Pasaje capitan francisco Diaz #1365, villa el sauce, Casa</t>
  </si>
  <si>
    <t>REL79933</t>
  </si>
  <si>
    <t>260121548</t>
  </si>
  <si>
    <t>NOMBRE RETIRA: JOSE LARRAIN TRONCOS RUT RETIRA: 21852775-2</t>
  </si>
  <si>
    <t>José Larraín Troncoso</t>
  </si>
  <si>
    <t>Los avellanos, Parcela 104, Cond los ulmos de molino viejo</t>
  </si>
  <si>
    <t>REL710174</t>
  </si>
  <si>
    <t>260309344</t>
  </si>
  <si>
    <t>NOMBRE RETIRA: FRANCISCA SOTO . RUT RETIRA: 22825025-2</t>
  </si>
  <si>
    <t>Harold Ojeda</t>
  </si>
  <si>
    <t>Pasaje los chilcos, Avellanos de Trapen, 51</t>
  </si>
  <si>
    <t>REL79869</t>
  </si>
  <si>
    <t>259995589</t>
  </si>
  <si>
    <t>NOMBRE RETIRA: HECTOR TOLOSA B RUT RETIRA: 11507008-8</t>
  </si>
  <si>
    <t>FRANCHESKA ANDREA VILLEGAS GONZÁLEZ</t>
  </si>
  <si>
    <t>Detective solon salas fuentealba 8741</t>
  </si>
  <si>
    <t>REL710026</t>
  </si>
  <si>
    <t>260192004</t>
  </si>
  <si>
    <t>NOMBRE RETIRA: FRANCO FLORES . RUT RETIRA: 19206572-0</t>
  </si>
  <si>
    <t>Franco Flores Hernandez</t>
  </si>
  <si>
    <t>Poeta romero 1745</t>
  </si>
  <si>
    <t>REL710168</t>
  </si>
  <si>
    <t>260309397</t>
  </si>
  <si>
    <t>NOMBRE RETIRA: CESAR SILVA . RUT RETIRA: 56065000-0</t>
  </si>
  <si>
    <t>Simoné Olmos</t>
  </si>
  <si>
    <t>Alvarez 1722, Condominio Los Lagos</t>
  </si>
  <si>
    <t>REL710162</t>
  </si>
  <si>
    <t>260309461</t>
  </si>
  <si>
    <t>NOMBRE RETIRA: IDELFONSL CONTRERA .. RUT RETIRA: 19041203-2</t>
  </si>
  <si>
    <t>Idelfonso Contreras Muñoz</t>
  </si>
  <si>
    <t>El Litre 2116, Casa 25</t>
  </si>
  <si>
    <t>REL710015</t>
  </si>
  <si>
    <t>260192114</t>
  </si>
  <si>
    <t>NOMBRE RETIRA: RICHARD VILLEGAS VILLEGAS RUT RETIRA: 8161957-3</t>
  </si>
  <si>
    <t>nora tejeda</t>
  </si>
  <si>
    <t>quebrada de las galerias 1731, villa san joaquin</t>
  </si>
  <si>
    <t>REL79825</t>
  </si>
  <si>
    <t>259995923</t>
  </si>
  <si>
    <t>NOMBRE RETIRA: ARTURO CORREA CONCHA RUT RETIRA: 18188998-5</t>
  </si>
  <si>
    <t>Arturo Correa Concha</t>
  </si>
  <si>
    <t>Camino a lechagua km1, Cuesta hostal ahui, terrazas de puquillihue, pasaje con basurero amarillo casa de al fondo</t>
  </si>
  <si>
    <t>2025-12-15 20:16</t>
  </si>
  <si>
    <t>REL710029</t>
  </si>
  <si>
    <t>260191968</t>
  </si>
  <si>
    <t>NOMBRE RETIRA: VICTORIA FIGUEROA . RUT RETIRA: 16906286-2</t>
  </si>
  <si>
    <t>Franco Uribe</t>
  </si>
  <si>
    <t>Isla acuy 3958</t>
  </si>
  <si>
    <t>REL710070</t>
  </si>
  <si>
    <t>260191576</t>
  </si>
  <si>
    <t>NOMBRE RETIRA: KATALINA MONTENEGRO . RUT RETIRA: 13764082-1</t>
  </si>
  <si>
    <t>Katalina Montenegro alvarado</t>
  </si>
  <si>
    <t>Villa el horizonte pasaje domingo bonelli 239, Casa</t>
  </si>
  <si>
    <t>REL710036</t>
  </si>
  <si>
    <t>260191894</t>
  </si>
  <si>
    <t>NOMBRE RETIRA: RICARDO ORMENO . RUT RETIRA: 81201000-K</t>
  </si>
  <si>
    <t>Felipe Ormeño Puentes</t>
  </si>
  <si>
    <t>Castellón 984, Casa 10</t>
  </si>
  <si>
    <t>REL710161</t>
  </si>
  <si>
    <t>260309467</t>
  </si>
  <si>
    <t>NOMBRE RETIRA: PAMELA CAVIERES . RUT RETIRA: 13767487-4</t>
  </si>
  <si>
    <t>Florencia Córdoba Del Fierro</t>
  </si>
  <si>
    <t>Tres Norte 4650, Casa 4650 Gomez Carreño</t>
  </si>
  <si>
    <t>REL710033</t>
  </si>
  <si>
    <t>260191941</t>
  </si>
  <si>
    <t>NOMBRE RETIRA: RIGIBERTO CARRILLANCA 0 RUT RETIRA: 10259003-1</t>
  </si>
  <si>
    <t>Samuel Troncoso</t>
  </si>
  <si>
    <t>Jorge Alessandri 2462, Condominio Terrazas De AngelmÓ 136, Condominio Terrazas De AngelmÓ 136, 136, Condominio Terrazas de Angelmó</t>
  </si>
  <si>
    <t>REL79752</t>
  </si>
  <si>
    <t>259996414</t>
  </si>
  <si>
    <t>NOMBRE RETIRA: NORKA FRANCHESCA . RUT RETIRA: 53335758-K</t>
  </si>
  <si>
    <t>Norka Franchesca Dominguez</t>
  </si>
  <si>
    <t>rey guillermo I # 136, casa</t>
  </si>
  <si>
    <t>REL710065</t>
  </si>
  <si>
    <t>260191633</t>
  </si>
  <si>
    <t>NOMBRE RETIRA: CARLOS MARTINEZ A RUT RETIRA: 7334539-1</t>
  </si>
  <si>
    <t>Carlos Martínez Erba</t>
  </si>
  <si>
    <t>Los Estanques 1374</t>
  </si>
  <si>
    <t>REL710024</t>
  </si>
  <si>
    <t>260192030</t>
  </si>
  <si>
    <t>NOMBRE RETIRA: JESUS SALCOBRAN . RUT RETIRA: 27093857-4</t>
  </si>
  <si>
    <t>Lino Arevalo</t>
  </si>
  <si>
    <t>1 Sur 1403, Farmacia Salcobrand</t>
  </si>
  <si>
    <t>REL710012</t>
  </si>
  <si>
    <t>260192096</t>
  </si>
  <si>
    <t>NOMBRE RETIRA: JUAQUIN RUIZ RUIZ RUT RETIRA: 7927958-7</t>
  </si>
  <si>
    <t>Claudio Ruiz Fernández</t>
  </si>
  <si>
    <t>Sector Illalolen (Valle Hermoso), sitio 132, La Ligua, Casa de color celeste en zona rural</t>
  </si>
  <si>
    <t>REL710220</t>
  </si>
  <si>
    <t>260309122</t>
  </si>
  <si>
    <t>NOMBRE RETIRA: GENOVEVA SEPULVEDA SOTO RUT RETIRA: 17651347-0</t>
  </si>
  <si>
    <t>Genoveva Sepulveda jara</t>
  </si>
  <si>
    <t>Arica 1049, 0, Casa</t>
  </si>
  <si>
    <t>REL79781</t>
  </si>
  <si>
    <t>259996200</t>
  </si>
  <si>
    <t>NOMBRE RETIRA: CATALINA VILLAN . RUT RETIRA: 18734021-7</t>
  </si>
  <si>
    <t>catalina villan</t>
  </si>
  <si>
    <t>Rodrigo de triana 0102, B</t>
  </si>
  <si>
    <t>2025-12-15 20:15</t>
  </si>
  <si>
    <t>REL710057</t>
  </si>
  <si>
    <t>260191649</t>
  </si>
  <si>
    <t>NOMBRE RETIRA: VOCTPR VILLAGOMEZ . RUT RETIRA: 16693237-8</t>
  </si>
  <si>
    <t>Victor Villagomez Vergara</t>
  </si>
  <si>
    <t>Calle del cobre, parcela 4 , sector los trigales de guanaqueros, Es la segunda parcela a mano derecha entrando por calle del cobre, sitio con frente de zinc</t>
  </si>
  <si>
    <t>REL79710</t>
  </si>
  <si>
    <t>259996755</t>
  </si>
  <si>
    <t>NOMBRE RETIRA: JAVIER MEDEL . RUT RETIRA: 20881073-1</t>
  </si>
  <si>
    <t>Waldo Quezada</t>
  </si>
  <si>
    <t>estacion los viento 281, 28</t>
  </si>
  <si>
    <t>REL710062</t>
  </si>
  <si>
    <t>260191641</t>
  </si>
  <si>
    <t>NOMBRE RETIRA: BERTA VENEGAS . RUT RETIRA: 18120639-K</t>
  </si>
  <si>
    <t>Sergio Royo</t>
  </si>
  <si>
    <t>Enrique segundo donoso 1210</t>
  </si>
  <si>
    <t>REL710209</t>
  </si>
  <si>
    <t>260309159</t>
  </si>
  <si>
    <t>NOMBRE RETIRA: GUSTAVO LOPEZ H RUT RETIRA: 56005210-3</t>
  </si>
  <si>
    <t>Alejandra Sandoval</t>
  </si>
  <si>
    <t>Yungay 2549, 112</t>
  </si>
  <si>
    <t>REL710160</t>
  </si>
  <si>
    <t>260309489</t>
  </si>
  <si>
    <t>NOMBRE RETIRA: ERIC DIAZ N RUT RETIRA: 12607161-2</t>
  </si>
  <si>
    <t>Eric Diaz Miranda</t>
  </si>
  <si>
    <t>6 1/2 Poniente B 0856, 0856. Entre 25 y 26 sur</t>
  </si>
  <si>
    <t>REL79680</t>
  </si>
  <si>
    <t>259997777</t>
  </si>
  <si>
    <t>NOMBRE RETIRA: MARCOS OSORIO . RUT RETIRA: 9027027-3</t>
  </si>
  <si>
    <t>sandra jara</t>
  </si>
  <si>
    <t>Colon 3355, negocio</t>
  </si>
  <si>
    <t>REL710010</t>
  </si>
  <si>
    <t>260192174</t>
  </si>
  <si>
    <t>NOMBRE RETIRA: GLORIA AQUEVEQUE J RUT RETIRA: 17457878-8</t>
  </si>
  <si>
    <t>Jorge Canales Zambrano</t>
  </si>
  <si>
    <t>Maipon 255, 1005</t>
  </si>
  <si>
    <t>REL710184</t>
  </si>
  <si>
    <t>260309315</t>
  </si>
  <si>
    <t>NOMBRE RETIRA: MATOAS ISES K RUT RETIRA: 17343221-6</t>
  </si>
  <si>
    <t>Matias Osses</t>
  </si>
  <si>
    <t>Benedictinos, 34</t>
  </si>
  <si>
    <t>REL710031</t>
  </si>
  <si>
    <t>260191962</t>
  </si>
  <si>
    <t>NOMBRE RETIRA: CESAR DEL CANTO . RUT RETIRA: 12110208-0</t>
  </si>
  <si>
    <t>Cesar Del Canto Olmos</t>
  </si>
  <si>
    <t>Los Chañares 898, Placilla</t>
  </si>
  <si>
    <t>REL79965</t>
  </si>
  <si>
    <t>260121461</t>
  </si>
  <si>
    <t>NOMBRE RETIRA: BORIS BUSTOS N RUT RETIRA: 9370933-0</t>
  </si>
  <si>
    <t>Cristina Molina</t>
  </si>
  <si>
    <t>Los carrera 9, Casa</t>
  </si>
  <si>
    <t>REL710004</t>
  </si>
  <si>
    <t>260192200</t>
  </si>
  <si>
    <t>NOMBRE RETIRA: LORENA CABRERA . RUT RETIRA: 10712209-5</t>
  </si>
  <si>
    <t>Ricardo Lara</t>
  </si>
  <si>
    <t>Salar de atacama 523, Casa</t>
  </si>
  <si>
    <t>REL710166</t>
  </si>
  <si>
    <t>260309427</t>
  </si>
  <si>
    <t>NOMBRE RETIRA: VICTOR VALDEBENITO VALDEBENITO RUT RETIRA: 5397088-5</t>
  </si>
  <si>
    <t>Javiera Conta Rojas</t>
  </si>
  <si>
    <t>Los arrayanes 1277 depto 381</t>
  </si>
  <si>
    <t>REL79750</t>
  </si>
  <si>
    <t>259996458</t>
  </si>
  <si>
    <t>NOMBRE RETIRA: SERGIO MARQUEZ .. RUT RETIRA: 6848541-K</t>
  </si>
  <si>
    <t>Marcelo Mardones</t>
  </si>
  <si>
    <t>Hochstetter 1050, 304, torre p</t>
  </si>
  <si>
    <t>REL710049</t>
  </si>
  <si>
    <t>260191798</t>
  </si>
  <si>
    <t>NOMBRE RETIRA: YANG , , RUT RETIRA: 53310370-7</t>
  </si>
  <si>
    <t>ANDREA BERG</t>
  </si>
  <si>
    <t>CAMINO BOTROLHUE 1545, 46</t>
  </si>
  <si>
    <t>REL710040</t>
  </si>
  <si>
    <t>260191863</t>
  </si>
  <si>
    <t>NOMBRE RETIRA: ALVARO CARRASCO . RUT RETIRA: 53330390-0</t>
  </si>
  <si>
    <t>Alvaro Carrasco</t>
  </si>
  <si>
    <t>Los Helechos 13 Villa Berlín Cerro placeres</t>
  </si>
  <si>
    <t>REL79717</t>
  </si>
  <si>
    <t>259996718</t>
  </si>
  <si>
    <t>NOMBRE RETIRA: SAURA LOPEZ . RUT RETIRA: 12281224-3</t>
  </si>
  <si>
    <t>Jorge Navarro López</t>
  </si>
  <si>
    <t>Nueva Braunau, Los Aromos 20</t>
  </si>
  <si>
    <t>REL79455</t>
  </si>
  <si>
    <t>259670623</t>
  </si>
  <si>
    <t>NOMBRE RETIRA: FRANCISCO BERRIOS CONVEAO RUT RETIRA: 15438144-9</t>
  </si>
  <si>
    <t>Francisco Berrios</t>
  </si>
  <si>
    <t>Carretera Austral, Kilómetro 46</t>
  </si>
  <si>
    <t>REL710072</t>
  </si>
  <si>
    <t>260191565</t>
  </si>
  <si>
    <t>NOMBRE RETIRA: SOFIA SOTO . RUT RETIRA: 22571884-9</t>
  </si>
  <si>
    <t>Luz Reyes</t>
  </si>
  <si>
    <t>Jerusalén 879, Casa</t>
  </si>
  <si>
    <t>REL710205</t>
  </si>
  <si>
    <t>260309164</t>
  </si>
  <si>
    <t>NOMBRE RETIRA: PATRICIA MERINO . RUT RETIRA: 9654345-K</t>
  </si>
  <si>
    <t>Patricia Meriño Montanares</t>
  </si>
  <si>
    <t>Villa jardines del sur, calle las margaritas #967</t>
  </si>
  <si>
    <t>REL710064</t>
  </si>
  <si>
    <t>260191639</t>
  </si>
  <si>
    <t>NOMBRE RETIRA: MARIOLI DELGADO J RUT RETIRA: 9490117-0</t>
  </si>
  <si>
    <t>Marioli Delgado</t>
  </si>
  <si>
    <t>Corvi once, 296</t>
  </si>
  <si>
    <t>REL710009</t>
  </si>
  <si>
    <t>260192159</t>
  </si>
  <si>
    <t>NOMBRE RETIRA: VICTOR ESPINOZA . RUT RETIRA: 8153609-0</t>
  </si>
  <si>
    <t>Victor domingo silva 363, Casa esquina dos pisos</t>
  </si>
  <si>
    <t>REL79514</t>
  </si>
  <si>
    <t>259842627</t>
  </si>
  <si>
    <t>NOMBRE RETIRA: YOSELIN H H RUT RETIRA: 11819619-8</t>
  </si>
  <si>
    <t>Miguel Vidal</t>
  </si>
  <si>
    <t>El azufre 23, 1107A</t>
  </si>
  <si>
    <t>REL710003</t>
  </si>
  <si>
    <t>260192226</t>
  </si>
  <si>
    <t>NOMBRE RETIRA: MAXIMILIANO RAMOS . RUT RETIRA: 19457462-2</t>
  </si>
  <si>
    <t>Maximiliano Ramos</t>
  </si>
  <si>
    <t>Barros Arana 0545, Plaza Club 3-116</t>
  </si>
  <si>
    <t>REL79997</t>
  </si>
  <si>
    <t>260192217</t>
  </si>
  <si>
    <t>NOMBRE RETIRA: CAROL MUNO, M RUT RETIRA: 17457878-8</t>
  </si>
  <si>
    <t>Pablo Ortúzar Valdés</t>
  </si>
  <si>
    <t>Vega de saldias 350,  Chillán</t>
  </si>
  <si>
    <t>REL710169</t>
  </si>
  <si>
    <t>260309386</t>
  </si>
  <si>
    <t>NOMBRE RETIRA: EDGAR QUILLONES . RUT RETIRA: 10414331-8</t>
  </si>
  <si>
    <t>Claudia alejandra Villegas jara</t>
  </si>
  <si>
    <t>Figuras 1996 ., Condominio altos del retiro , departamento torre h 512</t>
  </si>
  <si>
    <t>REL710206</t>
  </si>
  <si>
    <t>260309178</t>
  </si>
  <si>
    <t>NOMBRE RETIRA: ANDRES ARIAS A RUT RETIRA: 6487041-6</t>
  </si>
  <si>
    <t>Andres Arias</t>
  </si>
  <si>
    <t>Barros Arana 1590</t>
  </si>
  <si>
    <t>REL79880</t>
  </si>
  <si>
    <t>259995508</t>
  </si>
  <si>
    <t>NOMBRE RETIRA: ALEXIS CONSERJW N RUT RETIRA: 18194820-5</t>
  </si>
  <si>
    <t>Michael Borquez</t>
  </si>
  <si>
    <t>Avenida los poetas 233, 1405 neruda</t>
  </si>
  <si>
    <t>REL79802</t>
  </si>
  <si>
    <t>259996087</t>
  </si>
  <si>
    <t>NOMBRE RETIRA: WALDO TERRILE X RUT RETIRA: 6923800-9</t>
  </si>
  <si>
    <t>Waldo Alejandro Terrile González</t>
  </si>
  <si>
    <t>Juan Bautista Ulloa 74, 2</t>
  </si>
  <si>
    <t>REL79738</t>
  </si>
  <si>
    <t>259996562</t>
  </si>
  <si>
    <t>NOMBRE RETIRA: ERICK OYARZO CHAVEZ RUT RETIRA: 19607422-8</t>
  </si>
  <si>
    <t>Erick Oyarzo Chávez</t>
  </si>
  <si>
    <t>Rivera sur 280</t>
  </si>
  <si>
    <t>REL710018</t>
  </si>
  <si>
    <t>260192080</t>
  </si>
  <si>
    <t>NOMBRE RETIRA: LORENA LAFARQUE . RUT RETIRA: 15159821-8</t>
  </si>
  <si>
    <t>Claudio Pavez Retamal</t>
  </si>
  <si>
    <t>Francisco Puelma 146, Casa Interior</t>
  </si>
  <si>
    <t>REL710172</t>
  </si>
  <si>
    <t>260309342</t>
  </si>
  <si>
    <t>NOMBRE RETIRA: JORGE PALAVECINOJ J RUT RETIRA: 14026176-9</t>
  </si>
  <si>
    <t>Jorge Palavecino</t>
  </si>
  <si>
    <t>judith Alpi 578  Chillán, 578</t>
  </si>
  <si>
    <t>REL79606</t>
  </si>
  <si>
    <t>259842515</t>
  </si>
  <si>
    <t>NOMBRE RETIRA: BRANDON BASUELTO . RUT RETIRA: 12836250-9</t>
  </si>
  <si>
    <t>Pasaje camino a la playa 2040, Depto 902 torre A</t>
  </si>
  <si>
    <t>REL79583</t>
  </si>
  <si>
    <t>259842564</t>
  </si>
  <si>
    <t>NOMBRE RETIRA: FRANCISCO BELMAR BELMAR RUT RETIRA: 7213470-2</t>
  </si>
  <si>
    <t>Francisco Belmar</t>
  </si>
  <si>
    <t>Pasaje Juan de la Cruz #175 naranjal nuevo</t>
  </si>
  <si>
    <t>2025-12-12 20:11</t>
  </si>
  <si>
    <t>REL79855</t>
  </si>
  <si>
    <t>259995701</t>
  </si>
  <si>
    <t>NOMBRE RETIRA: JAVIER BENAVENTE . RUT RETIRA: 81201000-K</t>
  </si>
  <si>
    <t>Jorge Reyes</t>
  </si>
  <si>
    <t>ongolmo 1131, 504</t>
  </si>
  <si>
    <t>REL79716</t>
  </si>
  <si>
    <t>259996688</t>
  </si>
  <si>
    <t>NOMBRE RETIRA: MIGUEL GALAZ .. RUT RETIRA: 10089558-7</t>
  </si>
  <si>
    <t>Matías Andrés Galaz Isla</t>
  </si>
  <si>
    <t>Camino del Mirador, 790, Idahue</t>
  </si>
  <si>
    <t>REL79961</t>
  </si>
  <si>
    <t>260121387</t>
  </si>
  <si>
    <t>NOMBRE RETIRA: JUAN VILLEGAS 6 RUT RETIRA: 15988892-4</t>
  </si>
  <si>
    <t>Juan Villegas Almonacid</t>
  </si>
  <si>
    <t>Apostol San Juan 0300</t>
  </si>
  <si>
    <t>REL79844</t>
  </si>
  <si>
    <t>259995766</t>
  </si>
  <si>
    <t>NOMBRE RETIRA: SUSAN CARCAMO . RUT RETIRA: 13008738-8</t>
  </si>
  <si>
    <t>Byron Morgado</t>
  </si>
  <si>
    <t>Casa Botilleria Union, Céspedes Y González 1592</t>
  </si>
  <si>
    <t>REL79974</t>
  </si>
  <si>
    <t>260121379</t>
  </si>
  <si>
    <t>NOMBRE RETIRA: ELSA PARRA . RUT RETIRA: 10491414-4</t>
  </si>
  <si>
    <t>gonzalo caro parra</t>
  </si>
  <si>
    <t>juan rulfo 3550</t>
  </si>
  <si>
    <t>REL79903</t>
  </si>
  <si>
    <t>260121703</t>
  </si>
  <si>
    <t>NOMBRE RETIRA: PAULA PALACIOS . RUT RETIRA: 15620116-2</t>
  </si>
  <si>
    <t>Felipe Navarrete</t>
  </si>
  <si>
    <t>Araucaria 357, Villa doña violeta</t>
  </si>
  <si>
    <t>REL79815</t>
  </si>
  <si>
    <t>259996043</t>
  </si>
  <si>
    <t>NOMBRE RETIRA: MOISES CARRASCO 5 RUT RETIRA: 15988892-4</t>
  </si>
  <si>
    <t>Moisés Carrasco</t>
  </si>
  <si>
    <t>La Serena 110</t>
  </si>
  <si>
    <t>REL79906</t>
  </si>
  <si>
    <t>260121718</t>
  </si>
  <si>
    <t>NOMBRE RETIRA: JOSE CATALAN . RUT RETIRA: 53313599-4</t>
  </si>
  <si>
    <t>Maria Jesus Gaete Holck</t>
  </si>
  <si>
    <t>Buin 356, 1207</t>
  </si>
  <si>
    <t>REL79875</t>
  </si>
  <si>
    <t>259995528</t>
  </si>
  <si>
    <t>NOMBRE RETIRA: VIXTOR HUGO ZENTENO RUT RETIRA: 27805818-2</t>
  </si>
  <si>
    <t>Victor Hugo Zenteno Hermosilla</t>
  </si>
  <si>
    <t>Independencia 57</t>
  </si>
  <si>
    <t>REL79916</t>
  </si>
  <si>
    <t>260121634</t>
  </si>
  <si>
    <t>NOMBRE RETIRA: LUIS LAURENS .. RUT RETIRA: 25655733-9</t>
  </si>
  <si>
    <t>Luis Laurens Arredondo</t>
  </si>
  <si>
    <t>24 1/2 Norte A con 41 oriente, 4193</t>
  </si>
  <si>
    <t>REL79923</t>
  </si>
  <si>
    <t>260121596</t>
  </si>
  <si>
    <t>NOMBRE RETIRA: DANILO MONSALVE .. RUT RETIRA: 19304617-7</t>
  </si>
  <si>
    <t>Rolando Esteban Morales Contreras</t>
  </si>
  <si>
    <t>Arturo Prat 191</t>
  </si>
  <si>
    <t>REL79816</t>
  </si>
  <si>
    <t>259996006</t>
  </si>
  <si>
    <t>NOMBRE RETIRA: EDUARDO TORO M RUT RETIRA: 17814684-K</t>
  </si>
  <si>
    <t>Paolo Monsalve Cantillanes</t>
  </si>
  <si>
    <t>Av. San Juan 4430</t>
  </si>
  <si>
    <t>REL79819</t>
  </si>
  <si>
    <t>259995954</t>
  </si>
  <si>
    <t>NOMBRE RETIRA: HEBER COTERA . RUT RETIRA: 28721791-9</t>
  </si>
  <si>
    <t>Juan Pablo Lobos</t>
  </si>
  <si>
    <t>Filomena Valenzuela 712, Departamento 92</t>
  </si>
  <si>
    <t>REL79963</t>
  </si>
  <si>
    <t>260121404</t>
  </si>
  <si>
    <t>Natalia Valencia Muñoz</t>
  </si>
  <si>
    <t>Avenida Lomas de la Luz #3846, Depto A311</t>
  </si>
  <si>
    <t>REL79806</t>
  </si>
  <si>
    <t>259996064</t>
  </si>
  <si>
    <t>NOMBRE RETIRA: SIMON BARRIA . RUT RETIRA: 10544290-4</t>
  </si>
  <si>
    <t>Simon Barría Velásquez</t>
  </si>
  <si>
    <t>Coyam 28, Casa cafe, tres arboles por fuera de la reja</t>
  </si>
  <si>
    <t>REL79976</t>
  </si>
  <si>
    <t>260121330</t>
  </si>
  <si>
    <t>NOMBRE RETIRA: GONZALO CEA . RUT RETIRA: 18805117-0</t>
  </si>
  <si>
    <t>Gonzalo Cea</t>
  </si>
  <si>
    <t>Joan Miro 120</t>
  </si>
  <si>
    <t>REL79940</t>
  </si>
  <si>
    <t>260121538</t>
  </si>
  <si>
    <t>NOMBRE RETIRA: ROXANA CISTERNAS . RUT RETIRA: 14391143-8</t>
  </si>
  <si>
    <t>Sergio Carrasco Anabalón</t>
  </si>
  <si>
    <t>Cerro Caracol 981, Casa 47 condominio vista monte</t>
  </si>
  <si>
    <t>REL79826</t>
  </si>
  <si>
    <t>259995907</t>
  </si>
  <si>
    <t>NOMBRE RETIRA: MIGUEL LATORRE . RUT RETIRA: 7213470-2</t>
  </si>
  <si>
    <t>María de los Ángeles Latorre Escandón</t>
  </si>
  <si>
    <t>Calle Padre Hurtado, 352</t>
  </si>
  <si>
    <t>REL79983</t>
  </si>
  <si>
    <t>260121352</t>
  </si>
  <si>
    <t>NOMBRE RETIRA: CLAUDIO SEPULVEDA .. RUT RETIRA: 53332519-K</t>
  </si>
  <si>
    <t>Sofia Vásquez</t>
  </si>
  <si>
    <t>San francisco de asis 26</t>
  </si>
  <si>
    <t>REL79561</t>
  </si>
  <si>
    <t>259842577</t>
  </si>
  <si>
    <t>NOMBRE RETIRA: MARITZA GARRIDO . RUT RETIRA: 18734021-7</t>
  </si>
  <si>
    <t>CARRIZO CAPDEVILLA HUMBERTO</t>
  </si>
  <si>
    <t>Parcelacion los CANELOS sector la laja Pasaje los Ulmos, 122</t>
  </si>
  <si>
    <t>REL79904</t>
  </si>
  <si>
    <t>260121688</t>
  </si>
  <si>
    <t>NOMBRE RETIRA: ALEJANDRO GATINO . RUT RETIRA: 18203959-4</t>
  </si>
  <si>
    <t>Alejandro Gatino osses</t>
  </si>
  <si>
    <t>Calle via azul 1051, lomas de reloncavi, Casa</t>
  </si>
  <si>
    <t>REL79365</t>
  </si>
  <si>
    <t>259579825</t>
  </si>
  <si>
    <t>NOMBRE RETIRA: ALEXIS URRA . RUT RETIRA: 27871863-8</t>
  </si>
  <si>
    <t>ALEXIS URRA</t>
  </si>
  <si>
    <t>camino internacional km 80, Rio Blanco., 00</t>
  </si>
  <si>
    <t>REL79713</t>
  </si>
  <si>
    <t>259996744</t>
  </si>
  <si>
    <t>NOMBRE RETIRA: RUBY ZAMBRA . RUT RETIRA: 18632165-0</t>
  </si>
  <si>
    <t>Ximena Mondaca Mundaca</t>
  </si>
  <si>
    <t>Waldo alcalde 1180, Depto 406 torre C</t>
  </si>
  <si>
    <t>REL79518</t>
  </si>
  <si>
    <t>259842642</t>
  </si>
  <si>
    <t>NOMBRE RETIRA: MICHEL ORMENO . RUT RETIRA: 18526311-8</t>
  </si>
  <si>
    <t>Michael Ormeño</t>
  </si>
  <si>
    <t>Villa don rafael calle quellon cauquenes, 1559</t>
  </si>
  <si>
    <t>REL79913</t>
  </si>
  <si>
    <t>260121653</t>
  </si>
  <si>
    <t>NOMBRE RETIRA: ELIZABETH DONOSO . RUT RETIRA: 19550374-5</t>
  </si>
  <si>
    <t>Elizabeth Donoso Díaz</t>
  </si>
  <si>
    <t>La orilla de auquinco, villa Napoles chepica 0, casa blanca porton gris</t>
  </si>
  <si>
    <t>REL79956</t>
  </si>
  <si>
    <t>260121481</t>
  </si>
  <si>
    <t>NOMBRE RETIRA: CKAUDIA ZAVAKA A RUT RETIRA: 15098049-6</t>
  </si>
  <si>
    <t>Claudia Zavala Valdovino</t>
  </si>
  <si>
    <t>Borgoño 14545, local 4 GRDS Reñaca, Local esta abierto desde las 12:00 en adelante</t>
  </si>
  <si>
    <t>REL79952</t>
  </si>
  <si>
    <t>260121485</t>
  </si>
  <si>
    <t>NOMBRE RETIRA: DIEGO ESCOBAR ... RUT RETIRA: 18181010-6</t>
  </si>
  <si>
    <t>Natalia Muñoz campos</t>
  </si>
  <si>
    <t>General cruz 1801, Casa</t>
  </si>
  <si>
    <t>REL79970</t>
  </si>
  <si>
    <t>260121398</t>
  </si>
  <si>
    <t>NOMBRE RETIRA: MANUEL SALAS J RUT RETIRA: 15988892-4</t>
  </si>
  <si>
    <t>Leonardo Vega</t>
  </si>
  <si>
    <t>Av Pedro De Valdivia 0400, 405 B</t>
  </si>
  <si>
    <t>REL79971</t>
  </si>
  <si>
    <t>260121362</t>
  </si>
  <si>
    <t>NOMBRE RETIRA: CRIATIAN MARTINEZ I RUT RETIRA: 15988892-4</t>
  </si>
  <si>
    <t>Natasha Segura Cueto</t>
  </si>
  <si>
    <t>Prieto Norte 395, Edificio Barcelona</t>
  </si>
  <si>
    <t>REL79726</t>
  </si>
  <si>
    <t>259996609</t>
  </si>
  <si>
    <t>NOMBRE RETIRA: VICTOR ARAYA ARAYA RUT RETIRA: 18654785-3</t>
  </si>
  <si>
    <t>victor araya</t>
  </si>
  <si>
    <t>petrohue sur 3076</t>
  </si>
  <si>
    <t>REL79928</t>
  </si>
  <si>
    <t>260121555</t>
  </si>
  <si>
    <t>NOMBRE RETIRA: DANY JARA . RUT RETIRA: 16949459-2</t>
  </si>
  <si>
    <t>Danny Jara</t>
  </si>
  <si>
    <t>Avenida barros arana 0545, Torre 1 depto 102</t>
  </si>
  <si>
    <t>REL79873</t>
  </si>
  <si>
    <t>259995516</t>
  </si>
  <si>
    <t>NOMBRE RETIRA: OLGA SALAZAR . RUT RETIRA: 10381310-7</t>
  </si>
  <si>
    <t>Casa, San Ignacio 265</t>
  </si>
  <si>
    <t>REL79555</t>
  </si>
  <si>
    <t>259842588</t>
  </si>
  <si>
    <t>NOMBRE RETIRA: KARIN CARMONA . RUT RETIRA: 13217293-5</t>
  </si>
  <si>
    <t>David Valencia Skamiotis</t>
  </si>
  <si>
    <t>Collahuasi 1551</t>
  </si>
  <si>
    <t>REL79585</t>
  </si>
  <si>
    <t>259842559</t>
  </si>
  <si>
    <t>NOMBRE RETIRA: JONATHAN ARAYA ARAYA RUT RETIRA: 18400388-0</t>
  </si>
  <si>
    <t>Jonathan Araya guzman</t>
  </si>
  <si>
    <t>Pasaje jorge alvear, 3045</t>
  </si>
  <si>
    <t>REL79912</t>
  </si>
  <si>
    <t>260121671</t>
  </si>
  <si>
    <t>NOMBRE RETIRA: BELLA CAMPOS . RUT RETIRA: 10464658-1</t>
  </si>
  <si>
    <t>Juan Lagos</t>
  </si>
  <si>
    <t>José Manuel balmaceda 232</t>
  </si>
  <si>
    <t>REL79938</t>
  </si>
  <si>
    <t>260121505</t>
  </si>
  <si>
    <t>NOMBRE RETIRA: JUAN PANGUI . RUT RETIRA: 18522618-2</t>
  </si>
  <si>
    <t>XIMENA ANDREA CARCAMO BRAVO</t>
  </si>
  <si>
    <t>independencia nro. 491(oficina 302), depto 302</t>
  </si>
  <si>
    <t>REL79905</t>
  </si>
  <si>
    <t>260121722</t>
  </si>
  <si>
    <t>Valentina Pizarro Brito</t>
  </si>
  <si>
    <t>Pedro herrera balharry 1051, Depto 604A</t>
  </si>
  <si>
    <t>REL79662</t>
  </si>
  <si>
    <t>259842465</t>
  </si>
  <si>
    <t>NOMBRE RETIRA: YOICE GRAJALES . RUT RETIRA: 24100155-5</t>
  </si>
  <si>
    <t>Emilio Valdés</t>
  </si>
  <si>
    <t>Avenida Antonio rendic 4727, departamento 1502</t>
  </si>
  <si>
    <t>REL79993</t>
  </si>
  <si>
    <t>260121257</t>
  </si>
  <si>
    <t>NOMBRE RETIRA: BETSABE VILLALOBOS . RUT RETIRA: 28374602-K</t>
  </si>
  <si>
    <t>Antonio Francisco Arellano fuentes</t>
  </si>
  <si>
    <t>Ruta 68 1070, placilla, Ferretería industrial atexo</t>
  </si>
  <si>
    <t>REL79981</t>
  </si>
  <si>
    <t>260121299</t>
  </si>
  <si>
    <t>NOMBRE RETIRA: VICTOR LARENAS . RUT RETIRA: 53325994-4</t>
  </si>
  <si>
    <t>Milenko Solas  Verdugo</t>
  </si>
  <si>
    <t>Carlos Saavedra 80, Casa 15</t>
  </si>
  <si>
    <t>REL79986</t>
  </si>
  <si>
    <t>260121227</t>
  </si>
  <si>
    <t>NOMBRE RETIRA: CINTHYA MORALES . RUT RETIRA: 11902477-3</t>
  </si>
  <si>
    <t>cinthia morales</t>
  </si>
  <si>
    <t>Volcan villarrica, 112</t>
  </si>
  <si>
    <t>REL79619</t>
  </si>
  <si>
    <t>259842494</t>
  </si>
  <si>
    <t>NOMBRE RETIRA: JORGUE BLANCO URRA RUT RETIRA: 6697332-8</t>
  </si>
  <si>
    <t>Jorge Blanco Urra</t>
  </si>
  <si>
    <t>German Riesco 510, Express de lider</t>
  </si>
  <si>
    <t>REL78672</t>
  </si>
  <si>
    <t>259084940</t>
  </si>
  <si>
    <t>NOMBRE RETIRA: JAVIER FERNANDEZ . RUT RETIRA: 21922046-4</t>
  </si>
  <si>
    <t>Vanessa Martinez</t>
  </si>
  <si>
    <t>Avenida circunvalación nueva poniente 01940</t>
  </si>
  <si>
    <t>2025-12-02 10:25</t>
  </si>
  <si>
    <t>REL79995</t>
  </si>
  <si>
    <t>260121240</t>
  </si>
  <si>
    <t>NOMBRE RETIRA: SUSUNA VARAS . . RUT RETIRA: 65213167-0</t>
  </si>
  <si>
    <t>Mauro Pino</t>
  </si>
  <si>
    <t>Simón Álamos 94, Condominio Aliwen depto 651</t>
  </si>
  <si>
    <t>REL79909</t>
  </si>
  <si>
    <t>260121617</t>
  </si>
  <si>
    <t>NOMBRE RETIRA: GLADYS STUARDO . RUT RETIRA: 12345678-5</t>
  </si>
  <si>
    <t>Marjorie Iturra</t>
  </si>
  <si>
    <t>San Martín 158, Quillon, Casa</t>
  </si>
  <si>
    <t>REL79653</t>
  </si>
  <si>
    <t>259842473</t>
  </si>
  <si>
    <t>NOMBRE RETIRA: JHONATAN ROJAS . RUT RETIRA: 16438687-2</t>
  </si>
  <si>
    <t>Hector CARRASCO SÁNCHEZ</t>
  </si>
  <si>
    <t>BASE AEREA CERRO MORENO, CASA 46</t>
  </si>
  <si>
    <t>REL79605</t>
  </si>
  <si>
    <t>259842516</t>
  </si>
  <si>
    <t>NOMBRE RETIRA: CAROLINA DONOSO . RUT RETIRA: 13948901-2</t>
  </si>
  <si>
    <t>Hairon Ponce Donoso</t>
  </si>
  <si>
    <t>La esmeralda, villa 94, Casa 20</t>
  </si>
  <si>
    <t>REL79723</t>
  </si>
  <si>
    <t>259996647</t>
  </si>
  <si>
    <t>NOMBRE RETIRA: MIGUEL ORREGO . RUT RETIRA: 18452649-2</t>
  </si>
  <si>
    <t>Miguel Orrego</t>
  </si>
  <si>
    <t>Independencia 635</t>
  </si>
  <si>
    <t>REL79571</t>
  </si>
  <si>
    <t>259842552</t>
  </si>
  <si>
    <t>NOMBRE RETIRA: RAFAEL MATAMALA . RUT RETIRA: 19469951-4</t>
  </si>
  <si>
    <t>Rafael Matallana Pastén</t>
  </si>
  <si>
    <t>Fermín León 132, Casa</t>
  </si>
  <si>
    <t>REL79841</t>
  </si>
  <si>
    <t>259995812</t>
  </si>
  <si>
    <t>NOMBRE RETIRA: LUCAS ESTAY A RUT RETIRA: 21556103-8</t>
  </si>
  <si>
    <t>Lucas Estay</t>
  </si>
  <si>
    <t>Gregorio Marañón 1363</t>
  </si>
  <si>
    <t>REL79787</t>
  </si>
  <si>
    <t>259996167</t>
  </si>
  <si>
    <t>NOMBRE RETIRA: LUIS RODRIGUEZ . RUT RETIRA: 8839698-7</t>
  </si>
  <si>
    <t>cristian rodriguez</t>
  </si>
  <si>
    <t>Feliu hurtado 0945, casa 0945</t>
  </si>
  <si>
    <t>REL79688</t>
  </si>
  <si>
    <t>259996851</t>
  </si>
  <si>
    <t>NOMBRE RETIRA: VICTOR ROMERO . RUT RETIRA: 23630329-2</t>
  </si>
  <si>
    <t>Victor Romero</t>
  </si>
  <si>
    <t>Monseñor Jorge Hourton 2060, Cond. Mirador dos Lote 61</t>
  </si>
  <si>
    <t>REL79684</t>
  </si>
  <si>
    <t>259996891</t>
  </si>
  <si>
    <t>NOMBRE RETIRA: SUSANA DIAZ DIAZ RUT RETIRA: 12000466-2</t>
  </si>
  <si>
    <t>Jocelyn Aspee Diaz</t>
  </si>
  <si>
    <t>Calle Los Temos 02975, Villa los girasoles</t>
  </si>
  <si>
    <t>REL79603</t>
  </si>
  <si>
    <t>259842521</t>
  </si>
  <si>
    <t>NOMBRE RETIRA: RAUL LAGOS . RUT RETIRA: 7540232-5</t>
  </si>
  <si>
    <t>Rodrigo Naranjo</t>
  </si>
  <si>
    <t>Av Gómez Carreño 3707, Depto 32</t>
  </si>
  <si>
    <t>REL79545</t>
  </si>
  <si>
    <t>259842621</t>
  </si>
  <si>
    <t>NOMBRE RETIRA: BLANCA TORTEON J RUT RETIRA: 18632776-4</t>
  </si>
  <si>
    <t>Blanca Torrejón</t>
  </si>
  <si>
    <t>Mar jonico norte 180, Casa</t>
  </si>
  <si>
    <t>REL79656</t>
  </si>
  <si>
    <t>259842450</t>
  </si>
  <si>
    <t>NOMBRE RETIRA: GIMENA COFRE . RUT RETIRA: 21597222-4</t>
  </si>
  <si>
    <t>Sebastian Perez Maldonado</t>
  </si>
  <si>
    <t>CapitÁn Roberto PÉrez 2791, Dpto 1502</t>
  </si>
  <si>
    <t>REL79864</t>
  </si>
  <si>
    <t>259995628</t>
  </si>
  <si>
    <t>NOMBRE RETIRA: GUILLERMO QUEZADA . RUT RETIRA: 73543100-5</t>
  </si>
  <si>
    <t>Jose miguel Carvajal</t>
  </si>
  <si>
    <t>5 poniente 460</t>
  </si>
  <si>
    <t>REL79547</t>
  </si>
  <si>
    <t>259842615</t>
  </si>
  <si>
    <t>NOMBRE RETIRA: MARIA HUAREA JUAREA RUT RETIRA: 8159644-1</t>
  </si>
  <si>
    <t>HERNAN PEREZ GONZALEZ</t>
  </si>
  <si>
    <t>LAS LENGAS 398</t>
  </si>
  <si>
    <t>REL79822</t>
  </si>
  <si>
    <t>259995960</t>
  </si>
  <si>
    <t>NOMBRE RETIRA: NICOLE SEGUEL . RUT RETIRA: 10540208-2</t>
  </si>
  <si>
    <t>Nicole Seguel</t>
  </si>
  <si>
    <t>Condominio Lord Cochrane Amanecer torre 70 depto. 202, depto 202, depto 202</t>
  </si>
  <si>
    <t>REL79795</t>
  </si>
  <si>
    <t>259996125</t>
  </si>
  <si>
    <t>NOMBRE RETIRA: SEBA VALENCIA . RUT RETIRA: 19948162-2</t>
  </si>
  <si>
    <t>Sebastian Valencia Sagredo</t>
  </si>
  <si>
    <t>Ecuador 2899</t>
  </si>
  <si>
    <t>REL79524</t>
  </si>
  <si>
    <t>259842626</t>
  </si>
  <si>
    <t>NOMBRE RETIRA: JUAN QUEVEDO . RUT RETIRA: 17971129-K</t>
  </si>
  <si>
    <t>Jessica Quevedo Rodríguez</t>
  </si>
  <si>
    <t>Avenida Santa Teresa de Los Andes 1899, Villa Bernardo Cruz, San Felipe. V región de Valparaíso, Casa 1899</t>
  </si>
  <si>
    <t>REL79820</t>
  </si>
  <si>
    <t>259995998</t>
  </si>
  <si>
    <t>NOMBRE RETIRA: TERESA FRITZ . RUT RETIRA: 13108234-7</t>
  </si>
  <si>
    <t>Jazmina Olivares</t>
  </si>
  <si>
    <t>Cerro Caracol 937, Casa 40</t>
  </si>
  <si>
    <t>REL79804</t>
  </si>
  <si>
    <t>259996074</t>
  </si>
  <si>
    <t>NOMBRE RETIRA: SOFIA SANTANDER . RUT RETIRA: 12345678-5</t>
  </si>
  <si>
    <t>Sofia Santander claveria</t>
  </si>
  <si>
    <t>Los Tricahues 1773</t>
  </si>
  <si>
    <t>REL79591</t>
  </si>
  <si>
    <t>259842544</t>
  </si>
  <si>
    <t>NOMBRE RETIRA: VANESSA BUSTOS N RUT RETIRA: 17395171-K</t>
  </si>
  <si>
    <t>Franco Ari Goldemberg Vargas</t>
  </si>
  <si>
    <t>Jose de garro 1095, lomas de san andres</t>
  </si>
  <si>
    <t>REL79594</t>
  </si>
  <si>
    <t>259842529</t>
  </si>
  <si>
    <t>NOMBRE RETIRA: SUSANA COCIDAN . RUT RETIRA: 11335320-1</t>
  </si>
  <si>
    <t>Mario Aravena Varas</t>
  </si>
  <si>
    <t>Manquimávida 251, condominio Don Elías, Casa 42</t>
  </si>
  <si>
    <t>REL79668</t>
  </si>
  <si>
    <t>259842440</t>
  </si>
  <si>
    <t>NOMBRE RETIRA: YERKO ROBLEDO . RUT RETIRA: 13530545-6</t>
  </si>
  <si>
    <t>Yerko Robledo</t>
  </si>
  <si>
    <t>Casa, Pasaje Caleta Barquito 743</t>
  </si>
  <si>
    <t>REL79724</t>
  </si>
  <si>
    <t>259996678</t>
  </si>
  <si>
    <t>NOMBRE RETIRA: EDIFICIO MAR DEL SUR . RUT RETIRA: 56015410-0</t>
  </si>
  <si>
    <t>Andrés Rojas González</t>
  </si>
  <si>
    <t>Alvarez 58, 89</t>
  </si>
  <si>
    <t>REL79588</t>
  </si>
  <si>
    <t>259842558</t>
  </si>
  <si>
    <t>NOMBRE RETIRA: VICTOR TORRES F RUT RETIRA: 9453098-9</t>
  </si>
  <si>
    <t>Matias Anjari</t>
  </si>
  <si>
    <t>Yungay, 2549 depto 53</t>
  </si>
  <si>
    <t>REL79516</t>
  </si>
  <si>
    <t>259842624</t>
  </si>
  <si>
    <t>NOMBRE RETIRA: HECTOR FELIPE TT RUT RETIRA: 9534340-6</t>
  </si>
  <si>
    <t>Hector Felipe Salazar Perez</t>
  </si>
  <si>
    <t>Población Caupolican, Riquelme 50, 50</t>
  </si>
  <si>
    <t>REL79644</t>
  </si>
  <si>
    <t>259842476</t>
  </si>
  <si>
    <t>NOMBRE RETIRA: MANUELA ARAYA . RUT RETIRA: 9061657-9</t>
  </si>
  <si>
    <t>Manuela Araya Mandiola</t>
  </si>
  <si>
    <t>Linares 2363, Porton grande de madera</t>
  </si>
  <si>
    <t>REL79485</t>
  </si>
  <si>
    <t>259670320</t>
  </si>
  <si>
    <t>NOMBRE RETIRA: ALEKANDRO FRANCISCO M RUT RETIRA: 18007754-5</t>
  </si>
  <si>
    <t>Alejandro Francisco Paseta Anillo</t>
  </si>
  <si>
    <t>Fresia 246, Restaurante Puerto Pucon</t>
  </si>
  <si>
    <t>REL79772</t>
  </si>
  <si>
    <t>259996238</t>
  </si>
  <si>
    <t>NOMBRE RETIRA: ANA CORTES . RUT RETIRA: 10131697-1</t>
  </si>
  <si>
    <t>Patricia Lozano Hernandez</t>
  </si>
  <si>
    <t>margarita hermosilla 16, Casa</t>
  </si>
  <si>
    <t>REL79876</t>
  </si>
  <si>
    <t>259995523</t>
  </si>
  <si>
    <t>NOMBRE RETIRA: ALFONSO GUZMAN 0 RUT RETIRA: 22514121-5</t>
  </si>
  <si>
    <t>Daniel Cabrera Parra</t>
  </si>
  <si>
    <t>Colo Colo 252, Dpto O 1301</t>
  </si>
  <si>
    <t>REL79559</t>
  </si>
  <si>
    <t>259842582</t>
  </si>
  <si>
    <t>NOMBRE RETIRA: LUIS HUENTEQUEO . RUT RETIRA: 15268381-2</t>
  </si>
  <si>
    <t>Gustavo Amthauer</t>
  </si>
  <si>
    <t>Letelier 287, Primera compañia</t>
  </si>
  <si>
    <t>REL79578</t>
  </si>
  <si>
    <t>259842567</t>
  </si>
  <si>
    <t>NOMBRE RETIRA: DIEGO BRAVO . RUT RETIRA: 18040782-0</t>
  </si>
  <si>
    <t>Emerson Contreras Martínez</t>
  </si>
  <si>
    <t>Calle Almarza 818</t>
  </si>
  <si>
    <t>REL79590</t>
  </si>
  <si>
    <t>259842536</t>
  </si>
  <si>
    <t>NOMBRE RETIRA: CLAUDIA LAGOS .. RUT RETIRA: 21094081-2</t>
  </si>
  <si>
    <t>Claudia Miranda Lagos Miranda lagos</t>
  </si>
  <si>
    <t>49 1/2 Oriente B. #2850, Parque del Sol, Las Rastras, Talca, Casa</t>
  </si>
  <si>
    <t>REL79760</t>
  </si>
  <si>
    <t>259996309</t>
  </si>
  <si>
    <t>Esteban Díaz Villarreal</t>
  </si>
  <si>
    <t>Av. Cardenal Samoré 2171, Placilla, Valparaíso, 842</t>
  </si>
  <si>
    <t>REL79566</t>
  </si>
  <si>
    <t>259842572</t>
  </si>
  <si>
    <t>NOMBRE RETIRA: ALEJANDRO SANDOVAL SANDOVAL RUT RETIRA: 9076426-8</t>
  </si>
  <si>
    <t>Leslie Sandoval</t>
  </si>
  <si>
    <t>Pasaje nevado de flores 775 población manzanal, Casa</t>
  </si>
  <si>
    <t>REL79764</t>
  </si>
  <si>
    <t>259996276</t>
  </si>
  <si>
    <t>NOMBRE RETIRA: ANTONI AYCINENA . RUT RETIRA: 12049103-2</t>
  </si>
  <si>
    <t>Anthony Aycinena Feliu</t>
  </si>
  <si>
    <t>Santiago 687, casa gris de 2 pisos</t>
  </si>
  <si>
    <t>REL79766</t>
  </si>
  <si>
    <t>259996264</t>
  </si>
  <si>
    <t>NOMBRE RETIRA: MARIA HERNANDEZ . RUT RETIRA: 16834799-5</t>
  </si>
  <si>
    <t>Maria ines Hernandez bastias</t>
  </si>
  <si>
    <t>Esmeralda 2047, villa parque ñuble, Casa, cerca de pizzería mía massa</t>
  </si>
  <si>
    <t>REL79793</t>
  </si>
  <si>
    <t>259996142</t>
  </si>
  <si>
    <t>NOMBRE RETIRA: KARINA LOPEZ L RUT RETIRA: 17160447-8</t>
  </si>
  <si>
    <t>Jenny Rodriguez Toro</t>
  </si>
  <si>
    <t>Duco 1050, Centro comunitario 4 Villas</t>
  </si>
  <si>
    <t>REL79676</t>
  </si>
  <si>
    <t>259997824</t>
  </si>
  <si>
    <t>NOMBRE RETIRA: EMMANYEL ALFARO .. RUT RETIRA: 14000826-5</t>
  </si>
  <si>
    <t>Emmanuel Alfaro</t>
  </si>
  <si>
    <t>El Alamo 360, Puerta del Sol, Placilla</t>
  </si>
  <si>
    <t>REL79829</t>
  </si>
  <si>
    <t>259995866</t>
  </si>
  <si>
    <t>NOMBRE RETIRA: ARIEL MORALEA MORALEA RUT RETIRA: 18042774-0</t>
  </si>
  <si>
    <t>Ariel Morales</t>
  </si>
  <si>
    <t>Calle 4 135, Machalí</t>
  </si>
  <si>
    <t>REL79863</t>
  </si>
  <si>
    <t>259995646</t>
  </si>
  <si>
    <t>NOMBRE RETIRA: JUAN IGLESIAS . RUT RETIRA: 12160894-4</t>
  </si>
  <si>
    <t>Juan Iglesias</t>
  </si>
  <si>
    <t>Leopoldo Julio Legay 1001, Brisamar, Sindempart</t>
  </si>
  <si>
    <t>REL79856</t>
  </si>
  <si>
    <t>259995464</t>
  </si>
  <si>
    <t>NOMBRE RETIRA: CATALINA FAJARDO .. . RUT RETIRA: 9415392-1</t>
  </si>
  <si>
    <t>CATALINA FAJARDO PIÑEIRO</t>
  </si>
  <si>
    <t>Blanco Encalada 800, CENTRO DE RESOLUTIVIDAD - PUERTA OFTALMOLOGÍA</t>
  </si>
  <si>
    <t>REL79614</t>
  </si>
  <si>
    <t>259842497</t>
  </si>
  <si>
    <t>NOMBRE RETIRA: CELSY CARMONA A RUT RETIRA: 8922748-8</t>
  </si>
  <si>
    <t>Solange Martinez Carmona</t>
  </si>
  <si>
    <t>Buenos aires 1234, Casa 18</t>
  </si>
  <si>
    <t>REL79848</t>
  </si>
  <si>
    <t>259995716</t>
  </si>
  <si>
    <t>NOMBRE RETIRA: CAMILA FUENTES M RUT RETIRA: 53331607-7</t>
  </si>
  <si>
    <t>Lomas del Bosque #183</t>
  </si>
  <si>
    <t>REL79562</t>
  </si>
  <si>
    <t>259842598</t>
  </si>
  <si>
    <t>NOMBRE RETIRA: NATALIA VILLALOVOA .. RUT RETIRA: 18868550-1</t>
  </si>
  <si>
    <t>REL79759</t>
  </si>
  <si>
    <t>259996352</t>
  </si>
  <si>
    <t>NOMBRE RETIRA: BAYRON ELGUEDA C RUT RETIRA: 17117726-K</t>
  </si>
  <si>
    <t>Bayron Elgueda</t>
  </si>
  <si>
    <t>Avenida la mineria 1938, Condominio crisol depto 307B</t>
  </si>
  <si>
    <t>REL79620</t>
  </si>
  <si>
    <t>259842493</t>
  </si>
  <si>
    <t>NOMBRE RETIRA: JULIO GONZALEZ . RUT RETIRA: 10363172-6</t>
  </si>
  <si>
    <t>Jorge Alcaino</t>
  </si>
  <si>
    <t>Mateo de Toro y Zambrano 1923</t>
  </si>
  <si>
    <t>REL78996</t>
  </si>
  <si>
    <t>259316736</t>
  </si>
  <si>
    <t>NOMBRE RETIRA: DAVID ELISEO . RUT RETIRA: 13534187-8</t>
  </si>
  <si>
    <t>David  eliseo Valdivia Contreras</t>
  </si>
  <si>
    <t>El salitre 4709, Blok.5.4 DEP 201 condominio hualpen 2</t>
  </si>
  <si>
    <t>2025-12-05 10:22</t>
  </si>
  <si>
    <t>REL79744</t>
  </si>
  <si>
    <t>259996495</t>
  </si>
  <si>
    <t>NOMBRE RETIRA: JOAQUIN AGUIRRR A RUT RETIRA: 19939757-5</t>
  </si>
  <si>
    <t>Cecilia Aguirre</t>
  </si>
  <si>
    <t>Liagora 388</t>
  </si>
  <si>
    <t>REL78507</t>
  </si>
  <si>
    <t>259040987</t>
  </si>
  <si>
    <t>NOMBRE RETIRA: GLADIS AGUILAR K RUT RETIRA: 9426420-0</t>
  </si>
  <si>
    <t>Deisy Muñoz Mansilla</t>
  </si>
  <si>
    <t>Almte. Manuel Señoret 2149</t>
  </si>
  <si>
    <t>REL79540</t>
  </si>
  <si>
    <t>259842622</t>
  </si>
  <si>
    <t>NOMBRE RETIRA: TEGUALDA PONCE . RUT RETIRA: 53330390-0</t>
  </si>
  <si>
    <t>Tegualda Ponce</t>
  </si>
  <si>
    <t>Pasaje Rio Cachapoal 25, 30</t>
  </si>
  <si>
    <t>REL79852</t>
  </si>
  <si>
    <t>259995720</t>
  </si>
  <si>
    <t>NOMBRE RETIRA: ALTO MAEGA MARGA 1 COMSEJE . RUT RETIRA: 12345678-5</t>
  </si>
  <si>
    <t>Maithie Riveros arancibia</t>
  </si>
  <si>
    <t>Los topacios 1310, Block D 401</t>
  </si>
  <si>
    <t>REL79664</t>
  </si>
  <si>
    <t>259842460</t>
  </si>
  <si>
    <t>NOMBRE RETIRA: LUIS DIAZ . RUT RETIRA: 6102298-8</t>
  </si>
  <si>
    <t>Jorge Guido</t>
  </si>
  <si>
    <t>Galleguillos Lorca 1693, administración</t>
  </si>
  <si>
    <t>REL79589</t>
  </si>
  <si>
    <t>259842537</t>
  </si>
  <si>
    <t>NOMBRE RETIRA: ARSENIO PARRA . RUT RETIRA: 15952046-3</t>
  </si>
  <si>
    <t>Arsenio Parra</t>
  </si>
  <si>
    <t>Calle Carlos Mariategui 3573</t>
  </si>
  <si>
    <t>REL79617</t>
  </si>
  <si>
    <t>259842513</t>
  </si>
  <si>
    <t>NOMBRE RETIRA: FELIPE GONZALEZ . RUT RETIRA: 18552864-2</t>
  </si>
  <si>
    <t>Gabriel robles</t>
  </si>
  <si>
    <t>Los acacios 2140, Viña del Mar, Valparaíso, Chile</t>
  </si>
  <si>
    <t>REL79550</t>
  </si>
  <si>
    <t>259842613</t>
  </si>
  <si>
    <t>NOMBRE RETIRA: ALEXSN DAZSO 0 RUT RETIRA: 12023766-7</t>
  </si>
  <si>
    <t>Eduardo Garcia</t>
  </si>
  <si>
    <t>Pasaje Laura Rodic 37</t>
  </si>
  <si>
    <t>REL79685</t>
  </si>
  <si>
    <t>259996881</t>
  </si>
  <si>
    <t>NOMBRE RETIRA: MARIA BASCUNAN . RUT RETIRA: 8667213-8</t>
  </si>
  <si>
    <t>Maria Bascuñan Contreras</t>
  </si>
  <si>
    <t>Fresia 183 Pueblo Nuevo, Casa</t>
  </si>
  <si>
    <t>REL79778</t>
  </si>
  <si>
    <t>259996211</t>
  </si>
  <si>
    <t>NOMBRE RETIRA: GONZALO CONSEEJE N RUT RETIRA: 11547330-1</t>
  </si>
  <si>
    <t>Franco Alonso</t>
  </si>
  <si>
    <t>El Sendero 990, Casa 12</t>
  </si>
  <si>
    <t>REL79857</t>
  </si>
  <si>
    <t>259995684</t>
  </si>
  <si>
    <t>NOMBRE RETIRA: VERONICA SOLIS LAGOA RUT RETIRA: 18832876-8</t>
  </si>
  <si>
    <t>Veronica Solis Lagos</t>
  </si>
  <si>
    <t>Cienfuegos</t>
  </si>
  <si>
    <t>REL79846</t>
  </si>
  <si>
    <t>259995748</t>
  </si>
  <si>
    <t>NOMBRE RETIRA: SERGIO SILVA . RUT RETIRA: 5751606-2</t>
  </si>
  <si>
    <t>Rodrigo Tirado Soza</t>
  </si>
  <si>
    <t>Nicolas Munizaga, Casa</t>
  </si>
  <si>
    <t>REL79758</t>
  </si>
  <si>
    <t>259996360</t>
  </si>
  <si>
    <t>NOMBRE RETIRA: GERAL GARCIA A RUT RETIRA: 53130190-0</t>
  </si>
  <si>
    <t>Felipe Adaros Bozzo</t>
  </si>
  <si>
    <t>Avenida Jorge Montt 1598, Depto 102, Torre 2</t>
  </si>
  <si>
    <t>REL79682</t>
  </si>
  <si>
    <t>259996914</t>
  </si>
  <si>
    <t>NOMBRE RETIRA: MELHEN ABDALA ABDALA RUT RETIRA: 17240999-7</t>
  </si>
  <si>
    <t>Melhem Abdala Zeran Vera</t>
  </si>
  <si>
    <t>Alcazar 561, Oficina</t>
  </si>
  <si>
    <t>REL79528</t>
  </si>
  <si>
    <t>259842617</t>
  </si>
  <si>
    <t>NOMBRE RETIRA: MARIA ANHULO . RUT RETIRA: 25751098-0</t>
  </si>
  <si>
    <t>Maria Laura Angulo Davila</t>
  </si>
  <si>
    <t>Avenida capitán Ramón freire 603, Tienda Mk esquina con gamero</t>
  </si>
  <si>
    <t>REL79761</t>
  </si>
  <si>
    <t>259996341</t>
  </si>
  <si>
    <t>NOMBRE RETIRA: FELIPE ARENAS J RUT RETIRA: 8763636-4</t>
  </si>
  <si>
    <t>Felipe Arenas Torres</t>
  </si>
  <si>
    <t>13 Norte 1339, Condominio Los Robles. Entre 6 y 7 oriente., Entre 6 y 7 oriente, al lado de cancha</t>
  </si>
  <si>
    <t>REL79767</t>
  </si>
  <si>
    <t>259996225</t>
  </si>
  <si>
    <t>NOMBRE RETIRA: ROXANA OTAIZA O RUT RETIRA: 16337442-0</t>
  </si>
  <si>
    <t>Roxana Otaiza</t>
  </si>
  <si>
    <t>Eleuterio Ramirez 977 oficina H, Oficina segundo piso</t>
  </si>
  <si>
    <t>REL79557</t>
  </si>
  <si>
    <t>259842585</t>
  </si>
  <si>
    <t>NOMBRE RETIRA: CLAUDIO CID . RUT RETIRA: 76669508-6</t>
  </si>
  <si>
    <t>Francisco Javier Peña Castro</t>
  </si>
  <si>
    <t>la suerte 765, casa 13</t>
  </si>
  <si>
    <t>REL79597</t>
  </si>
  <si>
    <t>259842523</t>
  </si>
  <si>
    <t>NOMBRE RETIRA: LEONARDO MENDEZ A RUT RETIRA: 6836075-7</t>
  </si>
  <si>
    <t>Leonardo Mendez Campos</t>
  </si>
  <si>
    <t>Veintiuno de Mayo 1033</t>
  </si>
  <si>
    <t>REL79728</t>
  </si>
  <si>
    <t>259996595</t>
  </si>
  <si>
    <t>NOMBRE RETIRA: FRANCISCO ESPINOSA . RUT RETIRA: 53314904-9</t>
  </si>
  <si>
    <t>Alejandra Casas-Cordero Herrera</t>
  </si>
  <si>
    <t>Jorge Alessandri 546, 505 - B. Condominio Parque Urbano 1</t>
  </si>
  <si>
    <t>REL79144</t>
  </si>
  <si>
    <t>259316316</t>
  </si>
  <si>
    <t>NOMBRE RETIRA: MONICA GUERRA . RUT RETIRA: 8545968-6</t>
  </si>
  <si>
    <t>Carolina Ramos</t>
  </si>
  <si>
    <t>Manuel Montt 69, Colegio médico</t>
  </si>
  <si>
    <t>REL79584</t>
  </si>
  <si>
    <t>259842563</t>
  </si>
  <si>
    <t>NOMBRE RETIRA: ALEJANDRO OPAZO . RUT RETIRA: 20007394-0</t>
  </si>
  <si>
    <t>Mario Ortiz Henríquez</t>
  </si>
  <si>
    <t>Acabo Exequiel Aroca 1300, Departamento 423</t>
  </si>
  <si>
    <t>REL79771</t>
  </si>
  <si>
    <t>259996249</t>
  </si>
  <si>
    <t>NOMBRE RETIRA: BENJAMIN GARAY ROJAS RUT RETIRA: 12125085-3</t>
  </si>
  <si>
    <t>Benjamin A Garay Rojas</t>
  </si>
  <si>
    <t>el vergel norte 1105, block j1,, departamento 104</t>
  </si>
  <si>
    <t>REL79839</t>
  </si>
  <si>
    <t>259995847</t>
  </si>
  <si>
    <t>NOMBRE RETIRA: YASNA ROMWRO H RUT RETIRA: 12550896-0</t>
  </si>
  <si>
    <t>Juan Bustamante Vasquez</t>
  </si>
  <si>
    <t>Nemesio Antúnez 160</t>
  </si>
  <si>
    <t>REL78504</t>
  </si>
  <si>
    <t>259041034</t>
  </si>
  <si>
    <t>NOMBRE RETIRA: MAURICIO SILVA . RUT RETIRA: 7670817-7</t>
  </si>
  <si>
    <t>Mauricio Silva madriaga</t>
  </si>
  <si>
    <t>Av. Guillermo Pérez de Arce 452</t>
  </si>
  <si>
    <t>REL79814</t>
  </si>
  <si>
    <t>259995993</t>
  </si>
  <si>
    <t>NOMBRE RETIRA: ROSA ROMAN . RUT RETIRA: 18805117-0</t>
  </si>
  <si>
    <t>Rosa Ester Román Maldonado</t>
  </si>
  <si>
    <t>Av Sor Vicenta 2276 casa 48 Condominio El Avellano</t>
  </si>
  <si>
    <t>REL79598</t>
  </si>
  <si>
    <t>259842534</t>
  </si>
  <si>
    <t>NOMBRE RETIRA: MICHEL VILLARROWL M RUT RETIRA: 20178231-7</t>
  </si>
  <si>
    <t>Michelle Villarroel Martinez</t>
  </si>
  <si>
    <t>Las frambuesas 146</t>
  </si>
  <si>
    <t>REL79392</t>
  </si>
  <si>
    <t>259579510</t>
  </si>
  <si>
    <t>NOMBRE RETIRA: KEVIN GONZALE . RUT RETIRA: 12345678-5</t>
  </si>
  <si>
    <t>Claudia Carrillo</t>
  </si>
  <si>
    <t>El rodano 664</t>
  </si>
  <si>
    <t>2025-12-10 19:10</t>
  </si>
  <si>
    <t>REL79641</t>
  </si>
  <si>
    <t>259842477</t>
  </si>
  <si>
    <t>NOMBRE RETIRA: CLAUDIA MARIN . RUT RETIRA: 12447624-0</t>
  </si>
  <si>
    <t>Pilar Rojas Zarate</t>
  </si>
  <si>
    <t>Gregorio cordoves 656 la serena</t>
  </si>
  <si>
    <t>REL79648</t>
  </si>
  <si>
    <t>259842453</t>
  </si>
  <si>
    <t>NOMBRE RETIRA: CATALINA RIARTE -- RUT RETIRA: 19145005-1</t>
  </si>
  <si>
    <t>Catalina Riarte Zuleta</t>
  </si>
  <si>
    <t>Calle Los Condores 1990</t>
  </si>
  <si>
    <t>REL79170</t>
  </si>
  <si>
    <t>259316308</t>
  </si>
  <si>
    <t>NOMBRE RETIRA: CLAUDIA GALANES . RUT RETIRA: 10976561-9</t>
  </si>
  <si>
    <t>Marco Navarro</t>
  </si>
  <si>
    <t>Las Golondrinas 1430, Poblacion Prat</t>
  </si>
  <si>
    <t>REL79625</t>
  </si>
  <si>
    <t>259842504</t>
  </si>
  <si>
    <t>NOMBRE RETIRA: ROMULO SANTLICES . RUT RETIRA: 16941215-4</t>
  </si>
  <si>
    <t>Francisco González Christen</t>
  </si>
  <si>
    <t>7 oriente #2178</t>
  </si>
  <si>
    <t>REL79667</t>
  </si>
  <si>
    <t>259842437</t>
  </si>
  <si>
    <t>NOMBRE RETIRA: CLAUDIO TORRES . RUT RETIRA: 10809614-4</t>
  </si>
  <si>
    <t>Francisco Saavedra Rodriguez</t>
  </si>
  <si>
    <t>Obispo Hipólito salas 89, 1803</t>
  </si>
  <si>
    <t>REL79674</t>
  </si>
  <si>
    <t>259842411</t>
  </si>
  <si>
    <t>NOMBRE RETIRA: BENJAMIN AGUILERA . RUT RETIRA: 21759827-3</t>
  </si>
  <si>
    <t>Myriam Maldonado</t>
  </si>
  <si>
    <t>Pasaje Juan budinich 272, Casa</t>
  </si>
  <si>
    <t>REL79659</t>
  </si>
  <si>
    <t>259842470</t>
  </si>
  <si>
    <t>NOMBRE RETIRA: BETANIA GAJARDO . RUT RETIRA: 20018297-9</t>
  </si>
  <si>
    <t>Pasaje El Ulmo 293, Villa los robles km 11 cam a labranza</t>
  </si>
  <si>
    <t>REL79621</t>
  </si>
  <si>
    <t>259842508</t>
  </si>
  <si>
    <t>NOMBRE RETIRA: ROCIO COTRONEO A RUT RETIRA: 11832958-9</t>
  </si>
  <si>
    <t>Rocio Belén Cotroneo Mena</t>
  </si>
  <si>
    <t>Cerro manantiales 1843</t>
  </si>
  <si>
    <t>REL79425</t>
  </si>
  <si>
    <t>259670842</t>
  </si>
  <si>
    <t>NOMBRE RETIRA: MARIO VERA SALINAS RUT RETIRA: 7395106-2</t>
  </si>
  <si>
    <t>Melisa Vera liguez</t>
  </si>
  <si>
    <t>Pasaje Puyehue 186</t>
  </si>
  <si>
    <t>REL78347</t>
  </si>
  <si>
    <t>258576340</t>
  </si>
  <si>
    <t>NOMBRE RETIRA: FELIPEJ K . RUT RETIRA: 18642909-5</t>
  </si>
  <si>
    <t>Felipe Esteban Reyes Vargas</t>
  </si>
  <si>
    <t>Domeyko 654, SOLO WHATSAPP</t>
  </si>
  <si>
    <t>REL79669</t>
  </si>
  <si>
    <t>259842432</t>
  </si>
  <si>
    <t>NOMBRE RETIRA: MARTA MANRIQUEZ . RUT RETIRA: 16761383-7</t>
  </si>
  <si>
    <t>Marisel del carmen Gallardo cifuentes</t>
  </si>
  <si>
    <t>Caupolican 946, Local comercial</t>
  </si>
  <si>
    <t>REL79670</t>
  </si>
  <si>
    <t>259842430</t>
  </si>
  <si>
    <t>NOMBRE RETIRA: VALENTINA SALINAS ... RUT RETIRA: 20236070-K</t>
  </si>
  <si>
    <t>Valentina Salinas Robles</t>
  </si>
  <si>
    <t>MARIA INES CORRAL 710</t>
  </si>
  <si>
    <t>REL79627</t>
  </si>
  <si>
    <t>259842502</t>
  </si>
  <si>
    <t>NOMBRE RETIRA: OSCAR GONZALEZ G RUT RETIRA: 56049520-K</t>
  </si>
  <si>
    <t>Franco Santambrogio</t>
  </si>
  <si>
    <t>Lesonia 463 Jardín del mar, Reñaca, Departamento 502</t>
  </si>
  <si>
    <t>REL79639</t>
  </si>
  <si>
    <t>259842478</t>
  </si>
  <si>
    <t>NOMBRE RETIRA: CAROLINA TAPIA . RUT RETIRA: 19486867-7</t>
  </si>
  <si>
    <t>Carolina Tapia Gallardo</t>
  </si>
  <si>
    <t>Brasil 341 San Carlos Ñuble, Casa al lado centro medico Akros</t>
  </si>
  <si>
    <t>REL79654</t>
  </si>
  <si>
    <t>259842471</t>
  </si>
  <si>
    <t>NOMBRE RETIRA: VARVARA GARATE G RUT RETIRA: 17676274-8</t>
  </si>
  <si>
    <t>Osvaldo Venegas</t>
  </si>
  <si>
    <t>El Cedro 0742, Florería amatista interior unimarc Henríquez</t>
  </si>
  <si>
    <t>REL79671</t>
  </si>
  <si>
    <t>259842414</t>
  </si>
  <si>
    <t>NOMBRE RETIRA: JUAN PINO . RUT RETIRA: 22473322-4</t>
  </si>
  <si>
    <t>Sofia Sepulveda leiva</t>
  </si>
  <si>
    <t>Díaz besoain 146, Clínica</t>
  </si>
  <si>
    <t>REL79629</t>
  </si>
  <si>
    <t>259842500</t>
  </si>
  <si>
    <t>NOMBRE RETIRA: CAROLINA ASTETE ASTETE RUT RETIRA: 15745271-1</t>
  </si>
  <si>
    <t>Carolina Astete</t>
  </si>
  <si>
    <t>Juana rivera espinoza 525, condominio espacio uno, puertas del mar, 1204</t>
  </si>
  <si>
    <t>REL79626</t>
  </si>
  <si>
    <t>259842488</t>
  </si>
  <si>
    <t>NOMBRE RETIRA: ERIKA BERNALES . RUT RETIRA: 19109789-0</t>
  </si>
  <si>
    <t>Erika Bernales</t>
  </si>
  <si>
    <t>Ríos de chile 618</t>
  </si>
  <si>
    <t>REL79631</t>
  </si>
  <si>
    <t>259842486</t>
  </si>
  <si>
    <t>NOMBRE RETIRA: MAURICIO BROUBERS BROUBERS RUT RETIRA: 9165527-6</t>
  </si>
  <si>
    <t>Emanuel Escobar salazar</t>
  </si>
  <si>
    <t>Manuel rodriguez 1267, Dpto 1308</t>
  </si>
  <si>
    <t>2025-12-13 11:16</t>
  </si>
  <si>
    <t>REL79632</t>
  </si>
  <si>
    <t>259842481</t>
  </si>
  <si>
    <t>NOMBRE RETIRA: VICTOR JORQUERA Y RUT RETIRA: 11913059-K</t>
  </si>
  <si>
    <t>ANA LIA HENRIQUEZ HERRERA</t>
  </si>
  <si>
    <t>FREIRE 1458, DPTO 302</t>
  </si>
  <si>
    <t>REL78833</t>
  </si>
  <si>
    <t>258923732</t>
  </si>
  <si>
    <t>NOMBRE RETIRA: PATRICIO DIAZ K RUT RETIRA: 9274278-4</t>
  </si>
  <si>
    <t>Patricio Diaz</t>
  </si>
  <si>
    <t>Pedro Borquez 01016</t>
  </si>
  <si>
    <t>REL79385</t>
  </si>
  <si>
    <t>259579573</t>
  </si>
  <si>
    <t>NOMBRE RETIRA: LAURA SALAZAR . RUT RETIRA: 8153339-3</t>
  </si>
  <si>
    <t>Karen Flores rivera</t>
  </si>
  <si>
    <t>Renato rocca, 1740</t>
  </si>
  <si>
    <t>REL79440</t>
  </si>
  <si>
    <t>259670778</t>
  </si>
  <si>
    <t>NOMBRE RETIRA: MAURA . . RUT RETIRA: 10227175-0</t>
  </si>
  <si>
    <t>Maura Mendez Belmar</t>
  </si>
  <si>
    <t>Avenida Rucalhue 691, Parque Residencial Biobio, HualpÉn</t>
  </si>
  <si>
    <t>REL79410</t>
  </si>
  <si>
    <t>259670982</t>
  </si>
  <si>
    <t>NOMBRE RETIRA: EDUARDO CORTES . RUT RETIRA: 16596148-K</t>
  </si>
  <si>
    <t>Eduardo andres Cortes marin</t>
  </si>
  <si>
    <t>Inacaliri 3814 villa ayquina</t>
  </si>
  <si>
    <t>REL79123</t>
  </si>
  <si>
    <t>259316372</t>
  </si>
  <si>
    <t>NOMBRE RETIRA: DANAE LUNA LUNA RUT RETIRA: 15030767-8</t>
  </si>
  <si>
    <t>REL79437</t>
  </si>
  <si>
    <t>259670711</t>
  </si>
  <si>
    <t>NOMBRE RETIRA: PAULA LEPPE . RUT RETIRA: 14165373-3</t>
  </si>
  <si>
    <t>Christian Arenas</t>
  </si>
  <si>
    <t>Los Notros 23, Parcelación Los Canelos</t>
  </si>
  <si>
    <t>REL79476</t>
  </si>
  <si>
    <t>259670376</t>
  </si>
  <si>
    <t>NOMBRE RETIRA: JAVIERA SALINAS . RUT RETIRA: 20885391-0</t>
  </si>
  <si>
    <t>Joaquín Carlos Alberto Quiroz Rivas</t>
  </si>
  <si>
    <t>Edmundo Pérez Zujovic 10890. depto 215. Edificio petra</t>
  </si>
  <si>
    <t>REL79430</t>
  </si>
  <si>
    <t>259670835</t>
  </si>
  <si>
    <t>NOMBRE RETIRA: MARCOS OLATE . RUT RETIRA: 17389957-2</t>
  </si>
  <si>
    <t>Marcos Olate</t>
  </si>
  <si>
    <t>Pasaje Loma Blanca 2851, Casa</t>
  </si>
  <si>
    <t>REL79298</t>
  </si>
  <si>
    <t>259580280</t>
  </si>
  <si>
    <t>NOMBRE RETIRA: LORENA DIAZ PENA RUT RETIRA: 13742484-3</t>
  </si>
  <si>
    <t>Lorena Diaz Peña</t>
  </si>
  <si>
    <t>Pasaje Sucre 2986</t>
  </si>
  <si>
    <t>2025-12-09 19:14</t>
  </si>
  <si>
    <t>REL79480</t>
  </si>
  <si>
    <t>259670343</t>
  </si>
  <si>
    <t>NOMBRE RETIRA: ANDREA M . RUT RETIRA: 24308608-6</t>
  </si>
  <si>
    <t>Lizbeth Vilchez</t>
  </si>
  <si>
    <t>Oficina Lastenía11850, Block 5 departamento 304</t>
  </si>
  <si>
    <t>REL79424</t>
  </si>
  <si>
    <t>259670849</t>
  </si>
  <si>
    <t>NOMBRE RETIRA: LUIS DIAS . RUT RETIRA: 6102298-8</t>
  </si>
  <si>
    <t>Manuel Opazo Durán</t>
  </si>
  <si>
    <t>Galleguillos lorca 1693, 2207</t>
  </si>
  <si>
    <t>REL77805</t>
  </si>
  <si>
    <t>9406322284</t>
  </si>
  <si>
    <t>Nicolas Olavarria</t>
  </si>
  <si>
    <t>Av. Isidoro Dubournais 205. Restaurante Giros</t>
  </si>
  <si>
    <t>2025-11-24 21:16</t>
  </si>
  <si>
    <t>REL79394</t>
  </si>
  <si>
    <t>259579477</t>
  </si>
  <si>
    <t>NOMBRE RETIRA: CRISTINA ORTEGA . . RUT RETIRA: 12593029-8</t>
  </si>
  <si>
    <t>clara hernandez</t>
  </si>
  <si>
    <t>Álamos norte, 1044</t>
  </si>
  <si>
    <t>REL79411</t>
  </si>
  <si>
    <t>259671001</t>
  </si>
  <si>
    <t>NOMBRE RETIRA: YANINA BAZQUEZ . RUT RETIRA: 14112971-6</t>
  </si>
  <si>
    <t>Benjamin Rivera</t>
  </si>
  <si>
    <t>Eduardo Vital Leporte 8270, es casa, 8270</t>
  </si>
  <si>
    <t>REL79077</t>
  </si>
  <si>
    <t>259316482</t>
  </si>
  <si>
    <t>NOMBRE RETIRA: RODRIGO VELASQUEZ . RUT RETIRA: 14121310-5</t>
  </si>
  <si>
    <t>Rodrigo Velasquez</t>
  </si>
  <si>
    <t>Camino viejo sin número puchuncavi</t>
  </si>
  <si>
    <t>2025-12-08 17:30</t>
  </si>
  <si>
    <t>REL79388</t>
  </si>
  <si>
    <t>259579533</t>
  </si>
  <si>
    <t>NOMBRE RETIRA: SEBASTIAN JARA . RUT RETIRA: 19088568-2</t>
  </si>
  <si>
    <t>constanza jara fernandez</t>
  </si>
  <si>
    <t>rancagua 1675, maestranza JARAYJARA</t>
  </si>
  <si>
    <t>REL79459</t>
  </si>
  <si>
    <t>259670572</t>
  </si>
  <si>
    <t>NOMBRE RETIRA: SANDRO ESCOBAR L RUT RETIRA: 28602059-3</t>
  </si>
  <si>
    <t>SANDRo Escobar</t>
  </si>
  <si>
    <t>Iquique 4569, Casa</t>
  </si>
  <si>
    <t>2025-12-11 20:16</t>
  </si>
  <si>
    <t>REL78985</t>
  </si>
  <si>
    <t>259316801</t>
  </si>
  <si>
    <t>NOMBRE RETIRA: JUAN SOTO . RUT RETIRA: 14106000-7</t>
  </si>
  <si>
    <t>juan mena</t>
  </si>
  <si>
    <t>Panamericana Norte 70, Aduana Chañaral</t>
  </si>
  <si>
    <t>REL79150</t>
  </si>
  <si>
    <t>259316344</t>
  </si>
  <si>
    <t>NOMBRE RETIRA: CINTIA OYARZO MORALEZ RUT RETIRA: 19146186-K</t>
  </si>
  <si>
    <t>Cintia Oyarzo Morales</t>
  </si>
  <si>
    <t>Las violetas 10, Casa</t>
  </si>
  <si>
    <t>REL79418</t>
  </si>
  <si>
    <t>259670885</t>
  </si>
  <si>
    <t>NOMBRE RETIRA: RICARDO LOCK VEGA RUT RETIRA: 16249412-0</t>
  </si>
  <si>
    <t>Claudio Naranjo</t>
  </si>
  <si>
    <t>Iglesia colorada, 326</t>
  </si>
  <si>
    <t>REL79271</t>
  </si>
  <si>
    <t>259580473</t>
  </si>
  <si>
    <t>NOMBRE RETIRA: RODRIGO POZO . RUT RETIRA: 10732278-7</t>
  </si>
  <si>
    <t>Rodrigo Pozo Rivera</t>
  </si>
  <si>
    <t>Calle los carrera 467</t>
  </si>
  <si>
    <t>REL79372</t>
  </si>
  <si>
    <t>259579727</t>
  </si>
  <si>
    <t>NOMBRE RETIRA: FRANCISCA PINTO . RUT RETIRA: 17214893-K</t>
  </si>
  <si>
    <t>San martin 310</t>
  </si>
  <si>
    <t>REL79446</t>
  </si>
  <si>
    <t>259670663</t>
  </si>
  <si>
    <t>NOMBRE RETIRA: AROLDO JIMENEZ M RUT RETIRA: 65867260-6</t>
  </si>
  <si>
    <t>Gonzalo Vidal</t>
  </si>
  <si>
    <t>Holandesa 0460, Depto 1204</t>
  </si>
  <si>
    <t>REL79415</t>
  </si>
  <si>
    <t>259670960</t>
  </si>
  <si>
    <t>NOMBRE RETIRA: CHRISTIAN VERGARA . RUT RETIRA: 12533484-9</t>
  </si>
  <si>
    <t>Christian Vergara Sepulveda</t>
  </si>
  <si>
    <t>Calle union 251, Local Comercial Abre De 10 A 13 Y De 15 A 19 Hrs.</t>
  </si>
  <si>
    <t>REL78376</t>
  </si>
  <si>
    <t>258924872</t>
  </si>
  <si>
    <t>NOMBRE RETIRA: CREMILDA MANCILLA . RUT RETIRA: 8422416-2</t>
  </si>
  <si>
    <t>Maria Fernanda</t>
  </si>
  <si>
    <t>Pasaje 3 #1532, Casa, Población los ovejeros</t>
  </si>
  <si>
    <t>REL79421</t>
  </si>
  <si>
    <t>259670913</t>
  </si>
  <si>
    <t>NOMBRE RETIRA: CARLOS ENCLADA . RUT RETIRA: 9136582-0</t>
  </si>
  <si>
    <t>Carlos Encalada</t>
  </si>
  <si>
    <t>General Baquedano 802</t>
  </si>
  <si>
    <t>REL79315</t>
  </si>
  <si>
    <t>259580057</t>
  </si>
  <si>
    <t>NOMBRE RETIRA: AIDE M . RUT RETIRA: 23349469-0</t>
  </si>
  <si>
    <t>Roberto kasic</t>
  </si>
  <si>
    <t>Los Exploradores 14065, casa 95</t>
  </si>
  <si>
    <t>REL79375</t>
  </si>
  <si>
    <t>259579679</t>
  </si>
  <si>
    <t>NOMBRE RETIRA: IGNACIO URRUTIA . RUT RETIRA: 19858163-1</t>
  </si>
  <si>
    <t>IGNACIO URRUTIA BUSTOS</t>
  </si>
  <si>
    <t>Pasaje Nueve 3089, Miraflores Alto, 3089</t>
  </si>
  <si>
    <t>REL79126</t>
  </si>
  <si>
    <t>259316394</t>
  </si>
  <si>
    <t>NOMBRE RETIRA: ALEJANDRS SLVARADO X RUT RETIRA: 22640336-1</t>
  </si>
  <si>
    <t>Alejandra Alvarado Araya</t>
  </si>
  <si>
    <t>Los poetas 10800, Departamento</t>
  </si>
  <si>
    <t>REL79438</t>
  </si>
  <si>
    <t>259670776</t>
  </si>
  <si>
    <t>NOMBRE RETIRA: MAXIMO OJEDA . RUT RETIRA: 12759296-9</t>
  </si>
  <si>
    <t>MÁXIMO ALFONSO OJEDA DÍAZ</t>
  </si>
  <si>
    <t>Camilo Henriquez 611, Paillaco, obra en construcción, recinto Suralis</t>
  </si>
  <si>
    <t>REL79368</t>
  </si>
  <si>
    <t>259579801</t>
  </si>
  <si>
    <t>NOMBRE RETIRA: GABRIEL RODRIGUEZ . RUT RETIRA: 17119385-0</t>
  </si>
  <si>
    <t>Gabriel Rodriguez</t>
  </si>
  <si>
    <t>4 Nte. 182, Departamento 1F</t>
  </si>
  <si>
    <t>REL79439</t>
  </si>
  <si>
    <t>259670741</t>
  </si>
  <si>
    <t>NOMBRE RETIRA: YENI CARRASCO . RUT RETIRA: 28806356-7</t>
  </si>
  <si>
    <t>Michael Alfredo Moris Barrios</t>
  </si>
  <si>
    <t>Putre, 0322, Curicó, casa</t>
  </si>
  <si>
    <t>REL78941</t>
  </si>
  <si>
    <t>259316848</t>
  </si>
  <si>
    <t>NOMBRE RETIRA: GUIDO CATALAN X RUT RETIRA: 11111111-1</t>
  </si>
  <si>
    <t>Guido Catalán Rozas</t>
  </si>
  <si>
    <t>Calle Línea Ferrea 65, 65</t>
  </si>
  <si>
    <t>2025-12-04 19:21</t>
  </si>
  <si>
    <t>REL79330</t>
  </si>
  <si>
    <t>259579987</t>
  </si>
  <si>
    <t>NOMBRE RETIRA: ILSE BARRIOS . RUT RETIRA: 10678679-8</t>
  </si>
  <si>
    <t>Mario Peñaloza Carvajal</t>
  </si>
  <si>
    <t>Silicio 8152, Casa</t>
  </si>
  <si>
    <t>REL79486</t>
  </si>
  <si>
    <t>259670286</t>
  </si>
  <si>
    <t>NOMBRE RETIRA: NICOLAS TAPAI B RUT RETIRA: 9635177-1</t>
  </si>
  <si>
    <t>Nicolás Herrera Cayo</t>
  </si>
  <si>
    <t>Calle LL 5905, Condominio el Roble, casa 75, 75</t>
  </si>
  <si>
    <t>REL79436</t>
  </si>
  <si>
    <t>259670794</t>
  </si>
  <si>
    <t>NOMBRE RETIRA: VALERIA PARRAGUEZ T RUT RETIRA: 15131584-4</t>
  </si>
  <si>
    <t>Freddy Meza Lobos</t>
  </si>
  <si>
    <t>Membrillar 812, Edificio</t>
  </si>
  <si>
    <t>REL79481</t>
  </si>
  <si>
    <t>259670316</t>
  </si>
  <si>
    <t>NOMBRE RETIRA: VICTOR SANTIS . RUT RETIRA: 11830837-9</t>
  </si>
  <si>
    <t>Pablo Damian Adasme Lueiza</t>
  </si>
  <si>
    <t>San Enrique 1024, El Retiro, Quilpue, 45</t>
  </si>
  <si>
    <t>REL77977</t>
  </si>
  <si>
    <t>9409712745</t>
  </si>
  <si>
    <t>Fabiola Ramirez</t>
  </si>
  <si>
    <t>Humberto Muñoz 1161 Villa Santa Olga</t>
  </si>
  <si>
    <t>2025-11-28 10:28</t>
  </si>
  <si>
    <t>REL78202</t>
  </si>
  <si>
    <t>258574504</t>
  </si>
  <si>
    <t>NOMBRE RETIRA: ZDENKA MILIC . RUT RETIRA: 17789296-3</t>
  </si>
  <si>
    <t>Cristobal Colon #1098, Laboratorio magallanes</t>
  </si>
  <si>
    <t>REL79299</t>
  </si>
  <si>
    <t>259580258</t>
  </si>
  <si>
    <t>NOMBRE RETIRA: EDUARDO ORTIZ B RUT RETIRA: 7928423-8</t>
  </si>
  <si>
    <t>Víctor Silva R.</t>
  </si>
  <si>
    <t>Camino del Sol 2300, H14</t>
  </si>
  <si>
    <t>REL79384</t>
  </si>
  <si>
    <t>259579606</t>
  </si>
  <si>
    <t>NOMBRE RETIRA: EMILIA IRIARTE . RUT RETIRA: 14398357-9</t>
  </si>
  <si>
    <t>Fiorella Giavio Urbinati</t>
  </si>
  <si>
    <t>4 norte 1425, Oficinas Conequip</t>
  </si>
  <si>
    <t>REL79281</t>
  </si>
  <si>
    <t>259580397</t>
  </si>
  <si>
    <t>Claudio Olguin Tapia</t>
  </si>
  <si>
    <t>Av. Rica Aventura 10701, Depto. 1205, Edificio Alerce</t>
  </si>
  <si>
    <t>2025-12-09 19:13</t>
  </si>
  <si>
    <t>REL79367</t>
  </si>
  <si>
    <t>259579804</t>
  </si>
  <si>
    <t>NOMBRE RETIRA: YARITZA . MERCADO . RUT RETIRA: 17736384-7</t>
  </si>
  <si>
    <t>cinthya miranda</t>
  </si>
  <si>
    <t>Avenida cerro paranal 271, 203 bahamas</t>
  </si>
  <si>
    <t>REL79331</t>
  </si>
  <si>
    <t>259579981</t>
  </si>
  <si>
    <t>NOMBRE RETIRA: MARIBET RIVERA R RUT RETIRA: 10351907-1</t>
  </si>
  <si>
    <t>Patricio Andrés Rojas Jopia</t>
  </si>
  <si>
    <t>Av. Iquique 3857 , Departamento 87</t>
  </si>
  <si>
    <t>REL79454</t>
  </si>
  <si>
    <t>259670596</t>
  </si>
  <si>
    <t>NOMBRE RETIRA: FERNANDA MARTINEZ. . RUT RETIRA: 7213470-2</t>
  </si>
  <si>
    <t>Fernanda Martinez</t>
  </si>
  <si>
    <t>Ruta h50 sector Camarico afuera sitio 11, Casa</t>
  </si>
  <si>
    <t>REL79479</t>
  </si>
  <si>
    <t>259670357</t>
  </si>
  <si>
    <t>NOMBRE RETIRA: PATEICIO PAAYWN . RUT RETIRA: 18868550-1</t>
  </si>
  <si>
    <t>Patricio Pastén Inostroza</t>
  </si>
  <si>
    <t>Pasaje Gualliguiaca 1268</t>
  </si>
  <si>
    <t>REL79284</t>
  </si>
  <si>
    <t>259580367</t>
  </si>
  <si>
    <t>NOMBRE RETIRA: CECILIA SANTIBANEZ X RUT RETIRA: 12345678-5</t>
  </si>
  <si>
    <t>Alejandro González Santibáñez</t>
  </si>
  <si>
    <t>Juan XXIII 808</t>
  </si>
  <si>
    <t>REL79208</t>
  </si>
  <si>
    <t>259316254</t>
  </si>
  <si>
    <t>NOMBRE RETIRA: TIAHARA ARANSIBIA A RUT RETIRA: 20330842-6</t>
  </si>
  <si>
    <t>Constanza Otero</t>
  </si>
  <si>
    <t>Barros Arana 5345, 5345</t>
  </si>
  <si>
    <t>2025-12-08 17:32</t>
  </si>
  <si>
    <t>REL79483</t>
  </si>
  <si>
    <t>259670306</t>
  </si>
  <si>
    <t>NOMBRE RETIRA: LUISA ROJAS . RUT RETIRA: 5377013-4</t>
  </si>
  <si>
    <t>Jose Luis Carcamo Rojas</t>
  </si>
  <si>
    <t>Camilo Henriquez 161 Villa Icalma, San Pedro De La Paz, Casa</t>
  </si>
  <si>
    <t>REL79500</t>
  </si>
  <si>
    <t>259670156</t>
  </si>
  <si>
    <t>NOMBRE RETIRA: MARCELA ARACENA . RUT RETIRA: 9696654-7</t>
  </si>
  <si>
    <t>Esteban Chavez  Ruz</t>
  </si>
  <si>
    <t>Arturo Fernandez N° 1092, Villa Nova, camino a Huachalalume</t>
  </si>
  <si>
    <t>REL79209</t>
  </si>
  <si>
    <t>259316208</t>
  </si>
  <si>
    <t>NOMBRE RETIRA: JUANCARLOS AHUMADA . RUT RETIRA: 22807524-8</t>
  </si>
  <si>
    <t>Cinthya Velasquez Roman</t>
  </si>
  <si>
    <t>avenida viña del mar 2290, 14</t>
  </si>
  <si>
    <t>REL79293</t>
  </si>
  <si>
    <t>259580268</t>
  </si>
  <si>
    <t>NOMBRE RETIRA: ELSON ALDUNATE TORREA RUT RETIRA: 18557935-2</t>
  </si>
  <si>
    <t>ELSON ALDUNATE</t>
  </si>
  <si>
    <t>Pje. El Sol 1014, 1014</t>
  </si>
  <si>
    <t>REL79460</t>
  </si>
  <si>
    <t>259670551</t>
  </si>
  <si>
    <t>NOMBRE RETIRA: ALEJANDRO FLEMING F RUT RETIRA: 56049520-K</t>
  </si>
  <si>
    <t>Claudio Benito</t>
  </si>
  <si>
    <t>Edmundo Eluchans 1737, 164</t>
  </si>
  <si>
    <t>REL79408</t>
  </si>
  <si>
    <t>259670993</t>
  </si>
  <si>
    <t>NOMBRE RETIRA: RAUL SANTANDER S RUT RETIRA: 19248643-2</t>
  </si>
  <si>
    <t>Raul Santander</t>
  </si>
  <si>
    <t>Urmeneta 1452, Casa 1452</t>
  </si>
  <si>
    <t>REL79495</t>
  </si>
  <si>
    <t>259670263</t>
  </si>
  <si>
    <t>NOMBRE RETIRA: NICOLAS JARAMILLO . RUT RETIRA: 15270956-0</t>
  </si>
  <si>
    <t>Nicolas Jaramillo Sánchez</t>
  </si>
  <si>
    <t>Pedro Lagos 1292</t>
  </si>
  <si>
    <t>REL79302</t>
  </si>
  <si>
    <t>259580213</t>
  </si>
  <si>
    <t>NOMBRE RETIRA: CARRASCO , , , RUT RETIRA: 53310370-7</t>
  </si>
  <si>
    <t>Daniela Rodríguez De la Jara</t>
  </si>
  <si>
    <t>Martin Lutero 3006, 108</t>
  </si>
  <si>
    <t>REL79124</t>
  </si>
  <si>
    <t>259316373</t>
  </si>
  <si>
    <t>NOMBRE RETIRA: CAROLINA MORALES . RUT RETIRA: 19463192-8</t>
  </si>
  <si>
    <t>Ignacio Morales araya</t>
  </si>
  <si>
    <t>Pocor 1233</t>
  </si>
  <si>
    <t>REL79431</t>
  </si>
  <si>
    <t>259670813</t>
  </si>
  <si>
    <t>NOMBRE RETIRA: ESTHER RUBILAR . RUT RETIRA: 19749478-6</t>
  </si>
  <si>
    <t>Esther Rubilar Reyes</t>
  </si>
  <si>
    <t>Hermosilla 11, Municipalidad</t>
  </si>
  <si>
    <t>REL79286</t>
  </si>
  <si>
    <t>259580399</t>
  </si>
  <si>
    <t>NOMBRE RETIRA: JEAN CISTERNA C RUT RETIRA: 8649314-4</t>
  </si>
  <si>
    <t>Jean Cisterna</t>
  </si>
  <si>
    <t>Las Araucarias 2728, Población Madesal, Sector Frutillares</t>
  </si>
  <si>
    <t>REL78974</t>
  </si>
  <si>
    <t>259316806</t>
  </si>
  <si>
    <t>NOMBRE RETIRA: MANUEL ROCO . RUT RETIRA: 65063777-1</t>
  </si>
  <si>
    <t>Manuel Rocco Hurtado</t>
  </si>
  <si>
    <t>El Azufre 23, Departamento 1307, Torre B</t>
  </si>
  <si>
    <t>REL79370</t>
  </si>
  <si>
    <t>259579763</t>
  </si>
  <si>
    <t>NOMBRE RETIRA: CONSTANZA PELAYO BLAESSINGER RUT RETIRA: 18798683-4</t>
  </si>
  <si>
    <t>Constanza Pelayo Blaessinger</t>
  </si>
  <si>
    <t>Quebrada de Arrayanes 55 Villa San Joaquín, Casa 55</t>
  </si>
  <si>
    <t>REL79498</t>
  </si>
  <si>
    <t>259670199</t>
  </si>
  <si>
    <t>NOMBRE RETIRA: JUAN ROBLES 0 RUT RETIRA: 12345678-5</t>
  </si>
  <si>
    <t>Juan Olmedo Carvajal 3089, villa puertas del sol, Casa</t>
  </si>
  <si>
    <t>REL79445</t>
  </si>
  <si>
    <t>259670687</t>
  </si>
  <si>
    <t>NOMBRE RETIRA: LUIS CIFUENTES . RUT RETIRA: 65106389-2</t>
  </si>
  <si>
    <t>Magaly Toro Terán</t>
  </si>
  <si>
    <t>Volcán Corcovado 5582 Torre i Condominio Alto la Paloma, Depto 206</t>
  </si>
  <si>
    <t>REL79489</t>
  </si>
  <si>
    <t>259670239</t>
  </si>
  <si>
    <t>NOMBRE RETIRA: ORLANDO HERREA . RUT RETIRA: 28519767-8</t>
  </si>
  <si>
    <t>Sandra Cereceda</t>
  </si>
  <si>
    <t>Cosme Churruca 400, Departamento 606 A</t>
  </si>
  <si>
    <t>REL78925</t>
  </si>
  <si>
    <t>259040013</t>
  </si>
  <si>
    <t>NOMBRE RETIRA: JAVIERA QUIJADA . RUT RETIRA: 19461967-7</t>
  </si>
  <si>
    <t>Javiera Quijada</t>
  </si>
  <si>
    <t>RIO ÑIREHUAO 551</t>
  </si>
  <si>
    <t>REL79414</t>
  </si>
  <si>
    <t>259670970</t>
  </si>
  <si>
    <t>NOMBRE RETIRA: EDUARDO SALINAS . RUT RETIRA: 12427364-1</t>
  </si>
  <si>
    <t>Eduardo Salinas Rojas</t>
  </si>
  <si>
    <t>María Inés Corral 710, Ovalle.</t>
  </si>
  <si>
    <t>REL79260</t>
  </si>
  <si>
    <t>259580513</t>
  </si>
  <si>
    <t>NOMBRE RETIRA: CECILIA TARA J RUT RETIRA: 10755126-3</t>
  </si>
  <si>
    <t>Jorge Cortés Rodríguez</t>
  </si>
  <si>
    <t>Manuel Plaza 2995, 2505</t>
  </si>
  <si>
    <t>REL79089</t>
  </si>
  <si>
    <t>259316442</t>
  </si>
  <si>
    <t>NOMBRE RETIRA: CAROLINA VALENCIA VALENCIA RUT RETIRA: 21852775-2</t>
  </si>
  <si>
    <t>Carolina Valencia Barrera</t>
  </si>
  <si>
    <t>Barlovento parcela 49</t>
  </si>
  <si>
    <t>REL79453</t>
  </si>
  <si>
    <t>259670627</t>
  </si>
  <si>
    <t>NOMBRE RETIRA: MARIA FUENTEALBA H RUT RETIRA: 9572705-0</t>
  </si>
  <si>
    <t>Damaris Martínez</t>
  </si>
  <si>
    <t>Superintendente Luis Antini Riveros 226</t>
  </si>
  <si>
    <t>REL79457</t>
  </si>
  <si>
    <t>259670608</t>
  </si>
  <si>
    <t>NOMBRE RETIRA: VISTA DEL VALLE TRES RUT RETIRA: 20137133-3</t>
  </si>
  <si>
    <t>Claudio Molina</t>
  </si>
  <si>
    <t>Navio san martin 365, dpto 808</t>
  </si>
  <si>
    <t>REL79307</t>
  </si>
  <si>
    <t>259580219</t>
  </si>
  <si>
    <t>Pía Guicharrousse Rojas</t>
  </si>
  <si>
    <t>Jorge Pino Alquinta 641 , Villa los Regidores</t>
  </si>
  <si>
    <t>REL79127</t>
  </si>
  <si>
    <t>259316369</t>
  </si>
  <si>
    <t>Oficina Anita 285 depto D42 condiminio portada norte VII</t>
  </si>
  <si>
    <t>REL79389</t>
  </si>
  <si>
    <t>259579526</t>
  </si>
  <si>
    <t>NOMBRE RETIRA: TERESA YEBENES V B RUT RETIRA: 53325255-9</t>
  </si>
  <si>
    <t>Belen Rojas grandon</t>
  </si>
  <si>
    <t>Calle L 995, Dpto 302E</t>
  </si>
  <si>
    <t>REL79035</t>
  </si>
  <si>
    <t>259316537</t>
  </si>
  <si>
    <t>NOMBRE RETIRA: MILENA LOZANO . RUT RETIRA: 24312412-3</t>
  </si>
  <si>
    <t>Carolina Riveros Vergara</t>
  </si>
  <si>
    <t>Maipu 974, Depto 34</t>
  </si>
  <si>
    <t>2025-12-05 19:20</t>
  </si>
  <si>
    <t>REL79469</t>
  </si>
  <si>
    <t>259670416</t>
  </si>
  <si>
    <t>Katherine Pino</t>
  </si>
  <si>
    <t>Basterrica 27, cerro. Polanco, Casa muro verde</t>
  </si>
  <si>
    <t>REL79477</t>
  </si>
  <si>
    <t>259670365</t>
  </si>
  <si>
    <t>NOMBRE RETIRA: EDUARDO CABRERA . RUT RETIRA: 8079061-9</t>
  </si>
  <si>
    <t>Eduardo Cabrera</t>
  </si>
  <si>
    <t>Camino Al Venado 665 Casa 2</t>
  </si>
  <si>
    <t>REL79450</t>
  </si>
  <si>
    <t>259670636</t>
  </si>
  <si>
    <t>Chisliane Montenegro</t>
  </si>
  <si>
    <t>Calle general bartolome mitre 775, 1601</t>
  </si>
  <si>
    <t>REL79397</t>
  </si>
  <si>
    <t>259579466</t>
  </si>
  <si>
    <t>NOMBRE RETIRA: CECILIA . . RUT RETIRA: 53330390-0</t>
  </si>
  <si>
    <t>Cecilia del Carmen Rubio Palma</t>
  </si>
  <si>
    <t>Avance sur, casa 4, Progreso, Cerro Placeres, Av Matta, frente a panificadora La Fama. Ideal llamar +56 9 7912 6270</t>
  </si>
  <si>
    <t>REL79379</t>
  </si>
  <si>
    <t>259579623</t>
  </si>
  <si>
    <t>NOMBRE RETIRA: VICENTE CUVAD CUEVAS RUT RETIRA: 18446114-5</t>
  </si>
  <si>
    <t>vicente Elton</t>
  </si>
  <si>
    <t>Licanray 45, Casa 45</t>
  </si>
  <si>
    <t>REL79464</t>
  </si>
  <si>
    <t>259670533</t>
  </si>
  <si>
    <t>NOMBRE RETIRA: LISETTE CARO . RUT RETIRA: 19760571-5</t>
  </si>
  <si>
    <t>Gustavo Filippi Muratto 601, el melón, Nogales, CESFAM ( lugar de trabajo)</t>
  </si>
  <si>
    <t>REL79435</t>
  </si>
  <si>
    <t>259670822</t>
  </si>
  <si>
    <t>NOMBRE RETIRA: MARIA ROJAS . RUT RETIRA: 7673019-9</t>
  </si>
  <si>
    <t>Marcos Sanhueza Saez</t>
  </si>
  <si>
    <t>David León Tapia 4561, casa</t>
  </si>
  <si>
    <t>REL79381</t>
  </si>
  <si>
    <t>259579617</t>
  </si>
  <si>
    <t>NOMBRE RETIRA: FABIAN OLMOS . RUT RETIRA: 16563474-8</t>
  </si>
  <si>
    <t>Fabian Olmos</t>
  </si>
  <si>
    <t>Cotapos, 745</t>
  </si>
  <si>
    <t>REL79399</t>
  </si>
  <si>
    <t>259579460</t>
  </si>
  <si>
    <t>NOMBRE RETIRA: JISE MAQUEZ . RUT RETIRA: 22425061-4</t>
  </si>
  <si>
    <t>Tania Rojas</t>
  </si>
  <si>
    <t>Av siete lagunas 1075, Dpto 1001</t>
  </si>
  <si>
    <t>REL79363</t>
  </si>
  <si>
    <t>259579835</t>
  </si>
  <si>
    <t>NOMBRE RETIRA: LUIS DONOSO . RUT RETIRA: 65197861-0</t>
  </si>
  <si>
    <t>Marcelo Molina Diaz</t>
  </si>
  <si>
    <t>Avda Santa Cruz 259, Casa 35</t>
  </si>
  <si>
    <t>REL79462</t>
  </si>
  <si>
    <t>259672314</t>
  </si>
  <si>
    <t>NOMBRE RETIRA: FABIOLA DOMINGUEZ . RUT RETIRA: 5252433-4</t>
  </si>
  <si>
    <t>Fabiola Dominguez</t>
  </si>
  <si>
    <t>San Pedro Nolasco 192, Casa 3</t>
  </si>
  <si>
    <t>REL79377</t>
  </si>
  <si>
    <t>259579666</t>
  </si>
  <si>
    <t>NOMBRE RETIRA: SILVIA MERCADO H RUT RETIRA: 5919247-7</t>
  </si>
  <si>
    <t>Cyntia Freire Campos</t>
  </si>
  <si>
    <t>Los Boldos 26B2, Pan de Azúcar Cruz de Caña Loteo San Joaquin, Pan de azucar</t>
  </si>
  <si>
    <t>REL79509</t>
  </si>
  <si>
    <t>259670177</t>
  </si>
  <si>
    <t>NOMBRE RETIRA: GABRIEL SUPANTA S RUT RETIRA: 56049520-K</t>
  </si>
  <si>
    <t>Jorge Osses</t>
  </si>
  <si>
    <t>Avenida jardines de reñaca 50, Departamento 74 costa parque</t>
  </si>
  <si>
    <t>REL79287</t>
  </si>
  <si>
    <t>259580301</t>
  </si>
  <si>
    <t>NOMBRE RETIRA: ALEJANDRO TAPIA TALA RUT RETIRA: 18008458-4</t>
  </si>
  <si>
    <t>Franchesca barrientos</t>
  </si>
  <si>
    <t>Manuel Antonio Caro 4179, Casa</t>
  </si>
  <si>
    <t>REL79416</t>
  </si>
  <si>
    <t>259670874</t>
  </si>
  <si>
    <t>NOMBRE RETIRA: CECILIA VERGARA . RUT RETIRA: 19787991-2</t>
  </si>
  <si>
    <t>Claudia Ranirez</t>
  </si>
  <si>
    <t>Joaquín oliva 28</t>
  </si>
  <si>
    <t>REL79279</t>
  </si>
  <si>
    <t>259580437</t>
  </si>
  <si>
    <t>NOMBRE RETIRA: ANA CLOSTER X RUT RETIRA: 25402138-5</t>
  </si>
  <si>
    <t>Camilo Henriquez 25, depto 403</t>
  </si>
  <si>
    <t>REL79154</t>
  </si>
  <si>
    <t>259316341</t>
  </si>
  <si>
    <t>NOMBRE RETIRA: JUAN HERRERA E RUT RETIRA: 16469273-6</t>
  </si>
  <si>
    <t>Michael Véliz Vargas</t>
  </si>
  <si>
    <t>Las palmas poniente 195, Departamento J41</t>
  </si>
  <si>
    <t>REL79206</t>
  </si>
  <si>
    <t>259316216</t>
  </si>
  <si>
    <t>NOMBRE RETIRA: ELIANA NORIEGA . RUT RETIRA: 6984178-3</t>
  </si>
  <si>
    <t>Claudio Fernández</t>
  </si>
  <si>
    <t>Llacolen 833, Casa</t>
  </si>
  <si>
    <t>REL79420</t>
  </si>
  <si>
    <t>259670922</t>
  </si>
  <si>
    <t>NOMBRE RETIRA: ADOLFO PALACIOS N RUT RETIRA: 17457878-8</t>
  </si>
  <si>
    <t>NESTOR AROCA FUENTES</t>
  </si>
  <si>
    <t>MAIPON 1079, EDIFICIO COPELEC</t>
  </si>
  <si>
    <t>REL79004</t>
  </si>
  <si>
    <t>259316714</t>
  </si>
  <si>
    <t>NOMBRE RETIRA: CLARA RIASCOS . RUT RETIRA: 28671741-1</t>
  </si>
  <si>
    <t>Harold Novoa</t>
  </si>
  <si>
    <t>Iquique 5475, Dpto 1604</t>
  </si>
  <si>
    <t>REL79102</t>
  </si>
  <si>
    <t>259316375</t>
  </si>
  <si>
    <t>NOMBRE RETIRA: BERTA AZOCAR A RUT RETIRA: 17370528-K</t>
  </si>
  <si>
    <t>Mario Azocar</t>
  </si>
  <si>
    <t>Cosapilla 1575</t>
  </si>
  <si>
    <t>REL79351</t>
  </si>
  <si>
    <t>259579887</t>
  </si>
  <si>
    <t>NOMBRE RETIRA: JAIME SALAS A RUT RETIRA: 13042879-7</t>
  </si>
  <si>
    <t>JAIME SALAS</t>
  </si>
  <si>
    <t>CALLE BARROS ARANA 1168, CASA 2</t>
  </si>
  <si>
    <t>REL79242</t>
  </si>
  <si>
    <t>259580606</t>
  </si>
  <si>
    <t>Nicole Semmler Blanlot</t>
  </si>
  <si>
    <t>Pedro Montt 1112, Depto 801</t>
  </si>
  <si>
    <t>REL79402</t>
  </si>
  <si>
    <t>259579430</t>
  </si>
  <si>
    <t>NOMBRE RETIRA: CAROLINA GUTIERREZ . RUT RETIRA: 9545565-4</t>
  </si>
  <si>
    <t>Esmeralda 588, Fruteria 2 pisos</t>
  </si>
  <si>
    <t>REL78965</t>
  </si>
  <si>
    <t>259316791</t>
  </si>
  <si>
    <t>NOMBRE RETIRA: EVELYN QUIROZ X RUT RETIRA: 15679191-1</t>
  </si>
  <si>
    <t>Ealyn Quiroz Ríos</t>
  </si>
  <si>
    <t>Los Nogales 264</t>
  </si>
  <si>
    <t>REL79383</t>
  </si>
  <si>
    <t>259579601</t>
  </si>
  <si>
    <t>NOMBRE RETIRA: CESAR GALLARDO . RUT RETIRA: 18385783-5</t>
  </si>
  <si>
    <t>Cesar eduardo Gallardo</t>
  </si>
  <si>
    <t>Av los glaciares 426, vista cordillera, Casa</t>
  </si>
  <si>
    <t>REL79497</t>
  </si>
  <si>
    <t>259670206</t>
  </si>
  <si>
    <t>NOMBRE RETIRA: EMANUEL MORENO . RUT RETIRA: 65130888-7</t>
  </si>
  <si>
    <t>Emmanuel Moreno cerda</t>
  </si>
  <si>
    <t>26 1/2 oriente con 7 1/2 Sur #362, Casa</t>
  </si>
  <si>
    <t>REL79471</t>
  </si>
  <si>
    <t>259670423</t>
  </si>
  <si>
    <t>NOMBRE RETIRA: MARIA LEAL B RUT RETIRA: 12380555-0</t>
  </si>
  <si>
    <t>MARIA leal</t>
  </si>
  <si>
    <t>5 DE ABRIL, CASA 235 ARENAS DEL BIO BIO</t>
  </si>
  <si>
    <t>REL78132</t>
  </si>
  <si>
    <t>258574931</t>
  </si>
  <si>
    <t>NOMBRE RETIRA: MARLENE RIOS . RUT RETIRA: 10218606-0</t>
  </si>
  <si>
    <t>Carolina Ruiz Rios</t>
  </si>
  <si>
    <t>Almirante Juan José Latorre 261</t>
  </si>
  <si>
    <t>REL79441</t>
  </si>
  <si>
    <t>259670695</t>
  </si>
  <si>
    <t>NOMBRE RETIRA: CAROLINA ORTIZ PINO RUT RETIRA: 18028946-1</t>
  </si>
  <si>
    <t>Carolina Ortiz Pino</t>
  </si>
  <si>
    <t>Camino La Estrella 2701, Punta de Cortes, Rancagua, Parcela 22</t>
  </si>
  <si>
    <t>REL79311</t>
  </si>
  <si>
    <t>259580157</t>
  </si>
  <si>
    <t>NOMBRE RETIRA: JORGE ARRIAGADA . RUT RETIRA: 15146654-0</t>
  </si>
  <si>
    <t>Bicentenario 31, Ferreteria bicentenario poblacion fernandez</t>
  </si>
  <si>
    <t>REL79092</t>
  </si>
  <si>
    <t>259316439</t>
  </si>
  <si>
    <t>NOMBRE RETIRA: DAFNE SOTO . RUT RETIRA: 20503326-2</t>
  </si>
  <si>
    <t>Brayan Vidal soto</t>
  </si>
  <si>
    <t>Marlene Ahrens 4005, Casa</t>
  </si>
  <si>
    <t>REL79310</t>
  </si>
  <si>
    <t>259580172</t>
  </si>
  <si>
    <t>NOMBRE RETIRA: PATRICIO MLRENO A RUT RETIRA: 53130190-0</t>
  </si>
  <si>
    <t>Francisca Simaldone</t>
  </si>
  <si>
    <t>Av. Gaston Hamel Nieto 585, depto 403A</t>
  </si>
  <si>
    <t>REL78990</t>
  </si>
  <si>
    <t>259316752</t>
  </si>
  <si>
    <t>NOMBRE RETIRA: FRAMCISCO ASENCIO A RUT RETIRA: 15720140-9</t>
  </si>
  <si>
    <t>Francisco Javier Asencio Pizarro</t>
  </si>
  <si>
    <t>Alerces 109, Condominio alto belloto</t>
  </si>
  <si>
    <t>REL79246</t>
  </si>
  <si>
    <t>259580531</t>
  </si>
  <si>
    <t>NOMBRE RETIRA: RAMON H .. RUT RETIRA: 12929658-5</t>
  </si>
  <si>
    <t>Daniela Poblete Gonzalez</t>
  </si>
  <si>
    <t>Lynch 755, 503</t>
  </si>
  <si>
    <t>REL79352</t>
  </si>
  <si>
    <t>259579864</t>
  </si>
  <si>
    <t>NOMBRE RETIRA: CRISTIAN SILVA . RUT RETIRA: 15795760-0</t>
  </si>
  <si>
    <t>Cristian Silva</t>
  </si>
  <si>
    <t>Pasaje codegua 1361</t>
  </si>
  <si>
    <t>REL79143</t>
  </si>
  <si>
    <t>259316358</t>
  </si>
  <si>
    <t>Daniella Alejandra vargas barbaric</t>
  </si>
  <si>
    <t>Avenida Arturo Prat 1670, departamento 131 Torre Rodas</t>
  </si>
  <si>
    <t>REL79268</t>
  </si>
  <si>
    <t>259580500</t>
  </si>
  <si>
    <t>NOMBRE RETIRA: VIVIANA CEA A RUT RETIRA: 19248643-2</t>
  </si>
  <si>
    <t>Viviana Cea Almonacid</t>
  </si>
  <si>
    <t>Racloma 1825</t>
  </si>
  <si>
    <t>REL79316</t>
  </si>
  <si>
    <t>259580134</t>
  </si>
  <si>
    <t>NOMBRE RETIRA: MARCELA RAMIREZ .. RUT RETIRA: 14576020-8</t>
  </si>
  <si>
    <t>Fabian Cifuentes</t>
  </si>
  <si>
    <t>Pasaje los Boldos 12, Casa pinares de Curauma</t>
  </si>
  <si>
    <t>REL79334</t>
  </si>
  <si>
    <t>259579941</t>
  </si>
  <si>
    <t>NOMBRE RETIRA: STEFI SAAVEDRA . RUT RETIRA: 17571133-3</t>
  </si>
  <si>
    <t>Stephanie Saavedra</t>
  </si>
  <si>
    <t>Juan Antonio Ríos 01705, 304</t>
  </si>
  <si>
    <t>REL79253</t>
  </si>
  <si>
    <t>259580559</t>
  </si>
  <si>
    <t>NOMBRE RETIRA: CRISTOFEER BARRIENTOS . RUT RETIRA: 15895263-7</t>
  </si>
  <si>
    <t>christopher barrientos</t>
  </si>
  <si>
    <t>Balmaceda 616</t>
  </si>
  <si>
    <t>REL79002</t>
  </si>
  <si>
    <t>259316716</t>
  </si>
  <si>
    <t>NOMBRE RETIRA: JESAICA MUNOZ H RUT RETIRA: 14539379-5</t>
  </si>
  <si>
    <t>Jessica Muñoz</t>
  </si>
  <si>
    <t>Norte 3269 Talca, 2 norte 3269</t>
  </si>
  <si>
    <t>REL78971</t>
  </si>
  <si>
    <t>259316809</t>
  </si>
  <si>
    <t>NOMBRE RETIRA: MANUEL MUNOZ 0 RUT RETIRA: 12345678-5</t>
  </si>
  <si>
    <t>Vicente Caballero 06041</t>
  </si>
  <si>
    <t>REL79292</t>
  </si>
  <si>
    <t>259580294</t>
  </si>
  <si>
    <t>NOMBRE RETIRA: NOLBERTO ROJAS . RUT RETIRA: 65215673-8</t>
  </si>
  <si>
    <t>Paula Suarez Iturrieta</t>
  </si>
  <si>
    <t>Av. Curauma Sur 1021, 134</t>
  </si>
  <si>
    <t>REL79078</t>
  </si>
  <si>
    <t>259316477</t>
  </si>
  <si>
    <t>NOMBRE RETIRA: LOIDA REBOLLEDO . RUT RETIRA: 14333637-9</t>
  </si>
  <si>
    <t>Loida Rebolledo Molina</t>
  </si>
  <si>
    <t>Av. la Tirana 3642, Casa</t>
  </si>
  <si>
    <t>REL79320</t>
  </si>
  <si>
    <t>259580125</t>
  </si>
  <si>
    <t>NOMBRE RETIRA: JAVIERA PEREZ . RUT RETIRA: 26076095-5</t>
  </si>
  <si>
    <t>Javiera Pérez Cortés</t>
  </si>
  <si>
    <t>Los nísperos 678, 613-B</t>
  </si>
  <si>
    <t>REL79333</t>
  </si>
  <si>
    <t>259579962</t>
  </si>
  <si>
    <t>NOMBRE RETIRA: JORGE CARRASCO C RUT RETIRA: 14421750-0</t>
  </si>
  <si>
    <t>9 1/2 norte C 4215</t>
  </si>
  <si>
    <t>REL78705</t>
  </si>
  <si>
    <t>259084888</t>
  </si>
  <si>
    <t>NOMBRE RETIRA: ANA FERNANDEZ . RUT RETIRA: 6237205-2</t>
  </si>
  <si>
    <t>Francisca Reyes Guicharrousse</t>
  </si>
  <si>
    <t>Avenida Grecia pasaje 3. Casa 2526. Villa Alborada., Casa 2526</t>
  </si>
  <si>
    <t>REL79044</t>
  </si>
  <si>
    <t>259316531</t>
  </si>
  <si>
    <t>NOMBRE RETIRA: RICARDO MOLINA M RUT RETIRA: 13636678-5</t>
  </si>
  <si>
    <t>Karina Lacoste Zúñiga</t>
  </si>
  <si>
    <t>Vil Gabriela Mistral, Bonn 1503, ChapiquiÑa</t>
  </si>
  <si>
    <t>2025-12-06 10:06</t>
  </si>
  <si>
    <t>REL79243</t>
  </si>
  <si>
    <t>259580594</t>
  </si>
  <si>
    <t>NOMBRE RETIRA: JOAQUIN RIQUELME . RUT RETIRA: 22787141-5</t>
  </si>
  <si>
    <t>Lorena Schafer</t>
  </si>
  <si>
    <t>Pasaje El Tranque 2023</t>
  </si>
  <si>
    <t>REL79109</t>
  </si>
  <si>
    <t>259316411</t>
  </si>
  <si>
    <t>NOMBRE RETIRA: JORGE SANHUEZA . RUT RETIRA: 8913966-K</t>
  </si>
  <si>
    <t>Mauricio Hernán Sanhueza González</t>
  </si>
  <si>
    <t>Avenida Arturo Prat 1285, Casa</t>
  </si>
  <si>
    <t>REL79239</t>
  </si>
  <si>
    <t>259580632</t>
  </si>
  <si>
    <t>NOMBRE RETIRA: GERMAN . . RUT RETIRA: 16510588-5</t>
  </si>
  <si>
    <t>German Holtheuer</t>
  </si>
  <si>
    <t>Los Confines 1333</t>
  </si>
  <si>
    <t>REL79235</t>
  </si>
  <si>
    <t>259580677</t>
  </si>
  <si>
    <t>NOMBRE RETIRA: GAMAFIEL CETDA G RUT RETIRA: 21783901-7</t>
  </si>
  <si>
    <t>Gamadiel Cerda uribe</t>
  </si>
  <si>
    <t>35 Oriente 1674</t>
  </si>
  <si>
    <t>REL79259</t>
  </si>
  <si>
    <t>259580491</t>
  </si>
  <si>
    <t>NOMBRE RETIRA: HECTOR CABANA GAJARDO RUT RETIRA: 13099159-9</t>
  </si>
  <si>
    <t>Hector Cabaña Gajardo</t>
  </si>
  <si>
    <t>Av. San Juan 1070 , Casa 20. Pasaje interior, Lote San Ignacio de Loyola</t>
  </si>
  <si>
    <t>REL77800</t>
  </si>
  <si>
    <t>9406387561</t>
  </si>
  <si>
    <t>Ricardo Gauthier</t>
  </si>
  <si>
    <t>Claudio Bravo 173</t>
  </si>
  <si>
    <t>REL79185</t>
  </si>
  <si>
    <t>259316301</t>
  </si>
  <si>
    <t>NOMBRE RETIRA: MARCEKA ROSALES . RUT RETIRA: 15756727-6</t>
  </si>
  <si>
    <t>Marcela Rosales Norambuena</t>
  </si>
  <si>
    <t>Chacabuco 238, Casa</t>
  </si>
  <si>
    <t>REL78470</t>
  </si>
  <si>
    <t>258924142</t>
  </si>
  <si>
    <t>NOMBRE RETIRA: CAMILA CASTILLO . RUT RETIRA: 19205847-3</t>
  </si>
  <si>
    <t>HERNAN MARTINEZ FERRADA</t>
  </si>
  <si>
    <t>AV EDMUNDO PEREZ ZUJOVIC 10890, EDIFICIO PETRA, DEPTO 191, CONDOMINIO BAHIA BLANCA</t>
  </si>
  <si>
    <t>REL79145</t>
  </si>
  <si>
    <t>259316315</t>
  </si>
  <si>
    <t>NOMBRE RETIRA: ANDREA MORALES . RUT RETIRA: 16185950-8</t>
  </si>
  <si>
    <t>Cristian Ávila</t>
  </si>
  <si>
    <t>Juan Paulino Flores 1160, Casa</t>
  </si>
  <si>
    <t>REL79291</t>
  </si>
  <si>
    <t>259580325</t>
  </si>
  <si>
    <t>NOMBRE RETIRA: CESAR AVELLO . RUT RETIRA: 17616146-9</t>
  </si>
  <si>
    <t>Nestor Allen</t>
  </si>
  <si>
    <t>Bernardo O'Higgins 36, Derco center Sergio escobar</t>
  </si>
  <si>
    <t>REL78509</t>
  </si>
  <si>
    <t>259040979</t>
  </si>
  <si>
    <t>NOMBRE RETIRA: CAMILO CACERES MAGANA RUT RETIRA: 18280848-2</t>
  </si>
  <si>
    <t>Camilo Cáceres Magaña</t>
  </si>
  <si>
    <t>Santa Irene s/n, Casa pasado a callejón la rampla y tiene una araucaria en el frontis</t>
  </si>
  <si>
    <t>REL79067</t>
  </si>
  <si>
    <t>259316457</t>
  </si>
  <si>
    <t>NOMBRE RETIRA: LUIS OPORTO . RUT RETIRA: 17012018-3</t>
  </si>
  <si>
    <t>Jose Luis Oporto Madrid</t>
  </si>
  <si>
    <t>Uribe 305, 610</t>
  </si>
  <si>
    <t>REL79344</t>
  </si>
  <si>
    <t>259579927</t>
  </si>
  <si>
    <t>NOMBRE RETIRA: VICTOR GUAIQUIL . RUT RETIRA: 9645087-7</t>
  </si>
  <si>
    <t>Daniel Molina</t>
  </si>
  <si>
    <t>Volcan corcovado 5600, C606</t>
  </si>
  <si>
    <t>REL79014</t>
  </si>
  <si>
    <t>259316730</t>
  </si>
  <si>
    <t>NOMBRE RETIRA: JAIME GONZALEZ . RUT RETIRA: 17861498-3</t>
  </si>
  <si>
    <t>Jaime González Soto</t>
  </si>
  <si>
    <t>Canal Sarmiento 6260, Puerta Sur</t>
  </si>
  <si>
    <t>REL79325</t>
  </si>
  <si>
    <t>259580048</t>
  </si>
  <si>
    <t>NOMBRE RETIRA: JUAN CARDENAS . RUT RETIRA: 10251610-9</t>
  </si>
  <si>
    <t>Juan Pablo Cardenas Pinol</t>
  </si>
  <si>
    <t>Orella 0578, Portón negro, frente a iglesia</t>
  </si>
  <si>
    <t>REL78548</t>
  </si>
  <si>
    <t>259040806</t>
  </si>
  <si>
    <t>NOMBRE RETIRA: ALVARO GONZALES . RUT RETIRA: 17163972-7</t>
  </si>
  <si>
    <t>Catalina Andrea Ross Acuña</t>
  </si>
  <si>
    <t>Pasaje Alana 85A, Cabañas Inquillay. Portón café a nombre de Juan Mondaca</t>
  </si>
  <si>
    <t>REL78997</t>
  </si>
  <si>
    <t>259316717</t>
  </si>
  <si>
    <t>NOMBRE RETIRA: FRANCISCO BRUNA . RUT RETIRA: 13219321-5</t>
  </si>
  <si>
    <t>Francisco Bruna Castañon</t>
  </si>
  <si>
    <t>Teniente ernesto riquelme 1385, Ubicacion exacta en Libertad &amp; Riquelme</t>
  </si>
  <si>
    <t>REL78885</t>
  </si>
  <si>
    <t>259084722</t>
  </si>
  <si>
    <t>NOMBRE RETIRA: RIBINSON MELLADO . RUT RETIRA: 13158459-8</t>
  </si>
  <si>
    <t>Daniela Cuminao Quiroga</t>
  </si>
  <si>
    <t>Camino internacional km 25 puente san luis, Negocio de alimento de animales puente san luis</t>
  </si>
  <si>
    <t>2025-12-03 19:36</t>
  </si>
  <si>
    <t>REL79321</t>
  </si>
  <si>
    <t>259580104</t>
  </si>
  <si>
    <t>Mabel Saavedra Bracho</t>
  </si>
  <si>
    <t>Maestranza 847, Casa esquina. Villa los arrayanes</t>
  </si>
  <si>
    <t>REL79339</t>
  </si>
  <si>
    <t>259579936</t>
  </si>
  <si>
    <t>NOMBRE RETIRA: GLOROA PERRAZ GV RUT RETIRA: 53325255-9</t>
  </si>
  <si>
    <t>Samuel Provoste</t>
  </si>
  <si>
    <t>Av. Vasco Núñez de Balboa 6130, 508 A</t>
  </si>
  <si>
    <t>REL79222</t>
  </si>
  <si>
    <t>259316232</t>
  </si>
  <si>
    <t>NOMBRE RETIRA: PATRICIA HERMOSILLA . RUT RETIRA: 9714168-1</t>
  </si>
  <si>
    <t>Escarlet Tapia Canales</t>
  </si>
  <si>
    <t>Federico Puga Borne 664</t>
  </si>
  <si>
    <t>REL79289</t>
  </si>
  <si>
    <t>259580344</t>
  </si>
  <si>
    <t>NOMBRE RETIRA: LORENA GONZALEZ .. RUT RETIRA: 21248919-0</t>
  </si>
  <si>
    <t>Lorena Gonzalez</t>
  </si>
  <si>
    <t>Hungría 60, Casa</t>
  </si>
  <si>
    <t>REL79157</t>
  </si>
  <si>
    <t>259316340</t>
  </si>
  <si>
    <t>NOMBRE RETIRA: ELSA REYES . RUT RETIRA: 6652282-2</t>
  </si>
  <si>
    <t>Candy Valenzuela</t>
  </si>
  <si>
    <t>Los cipreses 504</t>
  </si>
  <si>
    <t>REL78943</t>
  </si>
  <si>
    <t>259316850</t>
  </si>
  <si>
    <t>NOMBRE RETIRA: CARLOS PARRA . RUT RETIRA: 7987162-1</t>
  </si>
  <si>
    <t>Castillo Yesica</t>
  </si>
  <si>
    <t>Mar Caspio 4791,  Vil Reina Mar</t>
  </si>
  <si>
    <t>REL79274</t>
  </si>
  <si>
    <t>259580448</t>
  </si>
  <si>
    <t>NOMBRE RETIRA: CARLOS SHAUSON N RUT RETIRA: 7267839-7</t>
  </si>
  <si>
    <t>carlos shauson rivas</t>
  </si>
  <si>
    <t>Helechos 2134</t>
  </si>
  <si>
    <t>REL79172</t>
  </si>
  <si>
    <t>259316303</t>
  </si>
  <si>
    <t>NOMBRE RETIRA: CLAUDIO MARTINEZ . RUT RETIRA: 9417547-K</t>
  </si>
  <si>
    <t>claudio martinez</t>
  </si>
  <si>
    <t>Progreso 2414, CASA AZUL DE SEGUNDO PISO  CASA AZUL DE SEGUNDO PISO</t>
  </si>
  <si>
    <t>REL79348</t>
  </si>
  <si>
    <t>259579898</t>
  </si>
  <si>
    <t>NOMBRE RETIRA: NANCY BRAVO H RUT RETIRA: 16120449-8</t>
  </si>
  <si>
    <t>cristian Pizarro</t>
  </si>
  <si>
    <t>Jaime bedos 1437, Casa</t>
  </si>
  <si>
    <t>REL79056</t>
  </si>
  <si>
    <t>259316518</t>
  </si>
  <si>
    <t>NOMBRE RETIRA: CARMEN SAN JUAN . RUT RETIRA: 9110079-7</t>
  </si>
  <si>
    <t>Javier Espinoza San Juan</t>
  </si>
  <si>
    <t>Pasaje 12 #171, Población Porvenir</t>
  </si>
  <si>
    <t>REL79322</t>
  </si>
  <si>
    <t>259580082</t>
  </si>
  <si>
    <t>NOMBRE RETIRA: YERKO VALDES . RUT RETIRA: 22391987-1</t>
  </si>
  <si>
    <t>Yerko Valdés</t>
  </si>
  <si>
    <t>Luis Durand 3057, 102 / C</t>
  </si>
  <si>
    <t>REL78286</t>
  </si>
  <si>
    <t>258576594</t>
  </si>
  <si>
    <t>NOMBRE RETIRA: NICOLAS GARRIDO . RUT RETIRA: 18723574-K</t>
  </si>
  <si>
    <t>Nicolás Rodrigo Garrido Astorga</t>
  </si>
  <si>
    <t>Luis Saez Mora 522, Los Álamos.</t>
  </si>
  <si>
    <t>REL79231</t>
  </si>
  <si>
    <t>259580699</t>
  </si>
  <si>
    <t>NOMBRE RETIRA: ANDREA VALDERRAMA VALDERRAMA RUT RETIRA: 9556804-1</t>
  </si>
  <si>
    <t>Andrea Valderrama</t>
  </si>
  <si>
    <t>Pasaje Pedro Prado 185, Villuco Chiguayante</t>
  </si>
  <si>
    <t>REL79194</t>
  </si>
  <si>
    <t>259316274</t>
  </si>
  <si>
    <t>NOMBRE RETIRA: MIRKO GONZALEZ . RUT RETIRA: 17793065-2</t>
  </si>
  <si>
    <t>Claudio Orellana Reyes</t>
  </si>
  <si>
    <t>Libertad 269, Piso12 entregar en horario laboral</t>
  </si>
  <si>
    <t>REL79313</t>
  </si>
  <si>
    <t>259580161</t>
  </si>
  <si>
    <t>NOMBRE RETIRA: FRAMCISCO DIAZ . RUT RETIRA: 15466024-0</t>
  </si>
  <si>
    <t>Salvador donoso 147A</t>
  </si>
  <si>
    <t>REL77832</t>
  </si>
  <si>
    <t>9392531212</t>
  </si>
  <si>
    <t>María de Jesús Muñoz Espinoza</t>
  </si>
  <si>
    <t>1 oriente 12 sur #233 A, casa esquina frente a centro de eventos Fortunata Tejoss</t>
  </si>
  <si>
    <t>2025-11-25 21:12</t>
  </si>
  <si>
    <t>REL78967</t>
  </si>
  <si>
    <t>259316814</t>
  </si>
  <si>
    <t>NOMBRE RETIRA: JOAQUIN ALFONSO LOPEZ RUT RETIRA: 21852775-2</t>
  </si>
  <si>
    <t>Joaquin Alfonso Lopez Abelleira</t>
  </si>
  <si>
    <t>Walker Martinez 668, Departamento  207</t>
  </si>
  <si>
    <t>REL78986</t>
  </si>
  <si>
    <t>259316778</t>
  </si>
  <si>
    <t>NOMBRE RETIRA: JENIFER OZANDON . RUT RETIRA: 11615875-2</t>
  </si>
  <si>
    <t>Jennifer Ossandón</t>
  </si>
  <si>
    <t>21 de Mayo 894, Funeraria Ayuda Cristiana</t>
  </si>
  <si>
    <t>REL78998</t>
  </si>
  <si>
    <t>259319468</t>
  </si>
  <si>
    <t>NOMBRE RETIRA: CLAUDIO EGANA . RUT RETIRA: 16162557-4</t>
  </si>
  <si>
    <t>Claudio Egaña</t>
  </si>
  <si>
    <t>Salitrera La Noria 3720, entre Salitrera iris y Eslovenia</t>
  </si>
  <si>
    <t>2025-12-09 03:08</t>
  </si>
  <si>
    <t>REL79332</t>
  </si>
  <si>
    <t>259579965</t>
  </si>
  <si>
    <t>NOMBRE RETIRA: MARCELA YANEZ N RUT RETIRA: 13995733-4</t>
  </si>
  <si>
    <t>Marcela Yáñez</t>
  </si>
  <si>
    <t>Las Acacias 0175, Condominio los almendros 1 casa 21</t>
  </si>
  <si>
    <t>REL79309</t>
  </si>
  <si>
    <t>259580191</t>
  </si>
  <si>
    <t>NOMBRE RETIRA: ELIZABETH GONZALEZ . . RUT RETIRA: 65196689-2</t>
  </si>
  <si>
    <t>Marcia Chacana Alvarado</t>
  </si>
  <si>
    <t>Sargento Aldea 321, 344</t>
  </si>
  <si>
    <t>REL79028</t>
  </si>
  <si>
    <t>259316689</t>
  </si>
  <si>
    <t>NOMBRE RETIRA: VIVIANA BARRERA . RUT RETIRA: 17152905-0</t>
  </si>
  <si>
    <t>Alejandro Romero Lafuente</t>
  </si>
  <si>
    <t>Arturo Prat 297, El Tambo Café Bar</t>
  </si>
  <si>
    <t>REL78962</t>
  </si>
  <si>
    <t>259316795</t>
  </si>
  <si>
    <t>NOMBRE RETIRA: DWNISE ESPINOZA . RUT RETIRA: 20112066-7</t>
  </si>
  <si>
    <t>Juan Mejias</t>
  </si>
  <si>
    <t>Las Acacias 0182, Casa Población 11 de Septiembre</t>
  </si>
  <si>
    <t>REL79161</t>
  </si>
  <si>
    <t>259316335</t>
  </si>
  <si>
    <t>NOMBRE RETIRA: AKEJANDRA COETRS M RUT RETIRA: 13012690-1</t>
  </si>
  <si>
    <t>Alejandro Cerda</t>
  </si>
  <si>
    <t>Camino San Ramón 8400, Casa 10E</t>
  </si>
  <si>
    <t>REL79057</t>
  </si>
  <si>
    <t>259316493</t>
  </si>
  <si>
    <t>NOMBRE RETIRA: LIDIA CARRASCO .. RUT RETIRA: 11115120-2</t>
  </si>
  <si>
    <t>Lidia Carrasco</t>
  </si>
  <si>
    <t>Contulmo 1509</t>
  </si>
  <si>
    <t>REL79097</t>
  </si>
  <si>
    <t>259316420</t>
  </si>
  <si>
    <t>NOMBRE RETIRA: CLEMENTINA MARDONES M RUT RETIRA: 8222501-3</t>
  </si>
  <si>
    <t>Lorena Maza Mardones</t>
  </si>
  <si>
    <t>Pasaje Lavandas Poniente 6849 , Casa 6840, Arboleda San Pedro(casa rosada)</t>
  </si>
  <si>
    <t>REL78948</t>
  </si>
  <si>
    <t>259316845</t>
  </si>
  <si>
    <t>NOMBRE RETIRA: PAULO VELASQUEZ M RUT RETIRA: 17532674-K</t>
  </si>
  <si>
    <t>Paulo César Velásquez vargas</t>
  </si>
  <si>
    <t>colbún 1068, ovejeria alto</t>
  </si>
  <si>
    <t>REL78951</t>
  </si>
  <si>
    <t>259316823</t>
  </si>
  <si>
    <t>NOMBRE RETIRA: PAOLA MORALES Y RUT RETIRA: 13817558-8</t>
  </si>
  <si>
    <t>Petrohué 335. Sector Córvi</t>
  </si>
  <si>
    <t>REL79037</t>
  </si>
  <si>
    <t>259316512</t>
  </si>
  <si>
    <t>NOMBRE RETIRA: MIRTA MADRID K RUT RETIRA: 9818009-5</t>
  </si>
  <si>
    <t>Daniel Marín</t>
  </si>
  <si>
    <t>Ojos de Agua 1032, casa</t>
  </si>
  <si>
    <t>REL79026</t>
  </si>
  <si>
    <t>259316722</t>
  </si>
  <si>
    <t>NOMBRE RETIRA: LUIS CANO . RUT RETIRA: 53321538-6</t>
  </si>
  <si>
    <t>Cristóbal Meza</t>
  </si>
  <si>
    <t>avenida surcos de agua 1184, torre D502</t>
  </si>
  <si>
    <t>REL79205</t>
  </si>
  <si>
    <t>259316259</t>
  </si>
  <si>
    <t>NOMBRE RETIRA: MARTIN RIOSECO B H RUT RETIRA: 13624643-7</t>
  </si>
  <si>
    <t>Romina Martinez Chabur</t>
  </si>
  <si>
    <t>Avenida San Sebastian 1043, Casa</t>
  </si>
  <si>
    <t>REL78988</t>
  </si>
  <si>
    <t>259316753</t>
  </si>
  <si>
    <t>Emilio Cuadra</t>
  </si>
  <si>
    <t>1 norte 869, Departamento 2203</t>
  </si>
  <si>
    <t>REL79073</t>
  </si>
  <si>
    <t>259316463</t>
  </si>
  <si>
    <t>NOMBRE RETIRA: CAMILA CALLEJAS . RUT RETIRA: 26076095-5</t>
  </si>
  <si>
    <t>Camila Callejas Ossandón</t>
  </si>
  <si>
    <t>Peñuelas Norte 101, 171 torre 1</t>
  </si>
  <si>
    <t>REL79116</t>
  </si>
  <si>
    <t>259316406</t>
  </si>
  <si>
    <t>NOMBRE RETIRA: MARIA APABLAZA APABLAZA RUT RETIRA: 6664037-K</t>
  </si>
  <si>
    <t>MARIA APABLAZA</t>
  </si>
  <si>
    <t>Pje. Bolzano 635, 635</t>
  </si>
  <si>
    <t>REL79224</t>
  </si>
  <si>
    <t>259316234</t>
  </si>
  <si>
    <t>José Miguel Cavieres Calderón</t>
  </si>
  <si>
    <t>Camino a Tutuquén 2075, Curicó, maule, Portal Tutuquén, departamento 120</t>
  </si>
  <si>
    <t>REL79136</t>
  </si>
  <si>
    <t>259316381</t>
  </si>
  <si>
    <t>NOMBRE RETIRA: LUIS TREJO . RUT RETIRA: 26534340-6</t>
  </si>
  <si>
    <t>Dairelis Nieves</t>
  </si>
  <si>
    <t>Santiago Rosas 2871, Casa 54 etapa2</t>
  </si>
  <si>
    <t>REL78955</t>
  </si>
  <si>
    <t>259316818</t>
  </si>
  <si>
    <t>NOMBRE RETIRA: FERNANDO VALLEJO A RUT RETIRA: 16554029-8</t>
  </si>
  <si>
    <t>Fernando Vallejo</t>
  </si>
  <si>
    <t>Los Amaneceres 1539, Casa reja madera</t>
  </si>
  <si>
    <t>REL79101</t>
  </si>
  <si>
    <t>259316415</t>
  </si>
  <si>
    <t>NOMBRE RETIRA: FABIAN MALUENDA . RUT RETIRA: 18134525-K</t>
  </si>
  <si>
    <t>Fabian Maluenda Garcia</t>
  </si>
  <si>
    <t>Gordon Steel 3837, Casa</t>
  </si>
  <si>
    <t>REL79063</t>
  </si>
  <si>
    <t>259316487</t>
  </si>
  <si>
    <t>NOMBRE RETIRA: LUCIANO ASTORGA . RUT RETIRA: 19511602-4</t>
  </si>
  <si>
    <t>Martín Gundel</t>
  </si>
  <si>
    <t>Av Chacabuco 155, 701</t>
  </si>
  <si>
    <t>2025-12-06 10:07</t>
  </si>
  <si>
    <t>REL78946</t>
  </si>
  <si>
    <t>259316828</t>
  </si>
  <si>
    <t>NOMBRE RETIRA: CAMILA DIAZ A RUT RETIRA: 18681221-2</t>
  </si>
  <si>
    <t>Camila Diaz gonzalez</t>
  </si>
  <si>
    <t>Calle el equinoccio 1560, Casa</t>
  </si>
  <si>
    <t>REL79064</t>
  </si>
  <si>
    <t>259316500</t>
  </si>
  <si>
    <t>NOMBRE RETIRA: FRANCISCO FERNANDEZ . RUT RETIRA: 10973256-7</t>
  </si>
  <si>
    <t>Francisco Fernández Rojas</t>
  </si>
  <si>
    <t>Comandante Bueras 560, Casa pob Virgen del Valle</t>
  </si>
  <si>
    <t>REL79159</t>
  </si>
  <si>
    <t>259316337</t>
  </si>
  <si>
    <t>NOMBRE RETIRA: JOSE ARANEDA R RUT RETIRA: 21261337-1</t>
  </si>
  <si>
    <t>Macarena Olivares</t>
  </si>
  <si>
    <t>Esperanza 315, Depto 329 torre i</t>
  </si>
  <si>
    <t>REL79038</t>
  </si>
  <si>
    <t>259316534</t>
  </si>
  <si>
    <t>NOMBRE RETIRA: JUAN MUNOZ M RUT RETIRA: 56049520-K</t>
  </si>
  <si>
    <t>Daniel Sanchez</t>
  </si>
  <si>
    <t>Edmundo Eluchans 2490, Departamento 2004</t>
  </si>
  <si>
    <t>REL79094</t>
  </si>
  <si>
    <t>259316421</t>
  </si>
  <si>
    <t>NOMBRE RETIRA: MARCELA GAJARDO SALAS RUT RETIRA: 17749027-K</t>
  </si>
  <si>
    <t>Marcela Gajardo Salazar</t>
  </si>
  <si>
    <t>Pasaje Ediles 3322</t>
  </si>
  <si>
    <t>REL79069</t>
  </si>
  <si>
    <t>259316484</t>
  </si>
  <si>
    <t>NOMBRE RETIRA: PABLO SANCHEZ . RUT RETIRA: 11129704-5</t>
  </si>
  <si>
    <t>Jennifer Sánchez</t>
  </si>
  <si>
    <t>Regidor Carlos Wendler 849</t>
  </si>
  <si>
    <t>REL79053</t>
  </si>
  <si>
    <t>259316505</t>
  </si>
  <si>
    <t>NOMBRE RETIRA: MAURICIO GERMAIN J RUT RETIRA: 15033100-5</t>
  </si>
  <si>
    <t>Ricardo PATRICIO Pujado López</t>
  </si>
  <si>
    <t>Manuel Jesús Rivera 600</t>
  </si>
  <si>
    <t>REL79032</t>
  </si>
  <si>
    <t>259316674</t>
  </si>
  <si>
    <t>NOMBRE RETIRA: LILIANA CONTRERAS J RUT RETIRA: 12245654-4</t>
  </si>
  <si>
    <t>Liliana Contreras</t>
  </si>
  <si>
    <t>Las Nutrias 1786, Casa vista verde</t>
  </si>
  <si>
    <t>REL78703</t>
  </si>
  <si>
    <t>259084897</t>
  </si>
  <si>
    <t>NOMBRE RETIRA: LILIANA SEPULVEDA M RUT RETIRA: 11215964-9</t>
  </si>
  <si>
    <t>Nicole Fontannaz</t>
  </si>
  <si>
    <t>Hochstetter 605, Edificio Brandemburg, depto 1303</t>
  </si>
  <si>
    <t>REL79165</t>
  </si>
  <si>
    <t>259316329</t>
  </si>
  <si>
    <t>NOMBRE RETIRA: PAMELA TABILO 0 RUT RETIRA: 12345678-5</t>
  </si>
  <si>
    <t>Pamela Tabilo</t>
  </si>
  <si>
    <t>Las Torcazas 596 , Depto. 317. Condominio don Vicente</t>
  </si>
  <si>
    <t>REL78977</t>
  </si>
  <si>
    <t>259316787</t>
  </si>
  <si>
    <t>NOMBRE RETIRA: ESFREN IRIARTE . RUT RETIRA: 23388302-6</t>
  </si>
  <si>
    <t>Esfren Iriarte espinoza</t>
  </si>
  <si>
    <t>Av. la Paz 4463</t>
  </si>
  <si>
    <t>REL79087</t>
  </si>
  <si>
    <t>259316436</t>
  </si>
  <si>
    <t>NOMBRE RETIRA: MARIA MORAGA RIVEROS RUT RETIRA: 16117215-4</t>
  </si>
  <si>
    <t>Maria jose Vega orellana</t>
  </si>
  <si>
    <t>Avenida Carlos prát 0901, Local 1221-1222 banco falabella</t>
  </si>
  <si>
    <t>REL79139</t>
  </si>
  <si>
    <t>259316355</t>
  </si>
  <si>
    <t>NOMBRE RETIRA: ANA PINHEIRO . RUT RETIRA: 17625970-1</t>
  </si>
  <si>
    <t>Juan pablo Jacob</t>
  </si>
  <si>
    <t>Avenida el milagro 3280</t>
  </si>
  <si>
    <t>REL79009</t>
  </si>
  <si>
    <t>259316712</t>
  </si>
  <si>
    <t>NOMBRE RETIRA: MARIAINES PEREZ . RUT RETIRA: 8913624-5</t>
  </si>
  <si>
    <t>Gabriel Moraga Gormaz</t>
  </si>
  <si>
    <t>Hernando de Magallanes 1283, casa B - Curauma</t>
  </si>
  <si>
    <t>REL79085</t>
  </si>
  <si>
    <t>259316432</t>
  </si>
  <si>
    <t>NOMBRE RETIRA: DANIEL PARADA ACUNA RUT RETIRA: 17136526-0</t>
  </si>
  <si>
    <t>Daniel Parada Acuña</t>
  </si>
  <si>
    <t>Toribio Valdivia Reyes 29, 29</t>
  </si>
  <si>
    <t>REL79188</t>
  </si>
  <si>
    <t>259316279</t>
  </si>
  <si>
    <t>NOMBRE RETIRA: MARISOL CISTERNA. . RUT RETIRA: 10669314-5</t>
  </si>
  <si>
    <t>Antonio Diaz</t>
  </si>
  <si>
    <t>Pasaje 11 manzana f5 casa n1 alejandro navarrete gomz carreño, Casa n 1</t>
  </si>
  <si>
    <t>REL79164</t>
  </si>
  <si>
    <t>259316331</t>
  </si>
  <si>
    <t>NOMBRE RETIRA: JOSE FUENTEALBA . RUT RETIRA: 76669508-6</t>
  </si>
  <si>
    <t>Fernando Oettinger</t>
  </si>
  <si>
    <t>Picarte 1490, Portón cafe</t>
  </si>
  <si>
    <t>REL78992</t>
  </si>
  <si>
    <t>259316746</t>
  </si>
  <si>
    <t>NOMBRE RETIRA: CRISTIAN , , RUT RETIRA: 53310370-7</t>
  </si>
  <si>
    <t>Nicole Briones Lagos</t>
  </si>
  <si>
    <t>Los Pablos 2031, Depto. 903, Torre A</t>
  </si>
  <si>
    <t>REL78978</t>
  </si>
  <si>
    <t>259316785</t>
  </si>
  <si>
    <t>Valentina San Martín Vidal</t>
  </si>
  <si>
    <t>Avenida Cardenal Samoré 2171, Dpto 222</t>
  </si>
  <si>
    <t>REL78993</t>
  </si>
  <si>
    <t>259316742</t>
  </si>
  <si>
    <t>NOMBRE RETIRA: ORFELINA OLIVARES . RUT RETIRA: 10020796-6</t>
  </si>
  <si>
    <t>Paola García Olivares</t>
  </si>
  <si>
    <t>Los Ceibos 411 , Sindempart</t>
  </si>
  <si>
    <t>REL78987</t>
  </si>
  <si>
    <t>259316777</t>
  </si>
  <si>
    <t>NOMBRE RETIRA: CAMILA CARRASCO . RUT RETIRA: 16552512-4</t>
  </si>
  <si>
    <t>Camila Carrasco Guerra</t>
  </si>
  <si>
    <t>Circunvalación Ucuquer 1299, Casa blanca</t>
  </si>
  <si>
    <t>REL79013</t>
  </si>
  <si>
    <t>259316710</t>
  </si>
  <si>
    <t>NOMBRE RETIRA: JUANA PAILLLAN . RUT RETIRA: 19567935-5</t>
  </si>
  <si>
    <t>Raquel Paillán Cárdenas</t>
  </si>
  <si>
    <t>El Tepual 1660 Villa Rayen, Casa esquina, con calle Curepto</t>
  </si>
  <si>
    <t>REL78678</t>
  </si>
  <si>
    <t>259084930</t>
  </si>
  <si>
    <t>NOMBRE RETIRA: NANCI BARRERA M RUT RETIRA: 8204822-7</t>
  </si>
  <si>
    <t>Nathalia montserrat Alvarez rodriguez</t>
  </si>
  <si>
    <t>Pasaje 13 #1208, Casa</t>
  </si>
  <si>
    <t>REL79215</t>
  </si>
  <si>
    <t>259316250</t>
  </si>
  <si>
    <t>NOMBRE RETIRA: CARLOS CID . RUT RETIRA: 53298684-2</t>
  </si>
  <si>
    <t>Christian Deride Martínez</t>
  </si>
  <si>
    <t>San Martin Poniente 42, Departamento 803 Paula</t>
  </si>
  <si>
    <t>REL79120</t>
  </si>
  <si>
    <t>259316404</t>
  </si>
  <si>
    <t>NOMBRE RETIRA: VIVIANA CARDENAS . RUT RETIRA: 11691705-K</t>
  </si>
  <si>
    <t>Verónica Hernandez</t>
  </si>
  <si>
    <t>Pasaje Montahue 5093, Santuario de la Laguna</t>
  </si>
  <si>
    <t>REL78991</t>
  </si>
  <si>
    <t>259316750</t>
  </si>
  <si>
    <t>NOMBRE RETIRA: RAZIA HERNANDEZ . RUT RETIRA: 27538015-6</t>
  </si>
  <si>
    <t>Cristopher Toledo González</t>
  </si>
  <si>
    <t>Nestor Santibanez Rios 076, Prados de Angachilla</t>
  </si>
  <si>
    <t>REL79110</t>
  </si>
  <si>
    <t>259316410</t>
  </si>
  <si>
    <t>NOMBRE RETIRA: SEBASTIAN HIDALGO . RUT RETIRA: 20104128-7</t>
  </si>
  <si>
    <t>Sebastian Hidalgo Quezada</t>
  </si>
  <si>
    <t>Lautaro 430, Casa</t>
  </si>
  <si>
    <t>REL79131</t>
  </si>
  <si>
    <t>259316388</t>
  </si>
  <si>
    <t>NOMBRE RETIRA: IGNACIO BARRA . RUT RETIRA: 20649600-2</t>
  </si>
  <si>
    <t>Karina andrea Roa castillo</t>
  </si>
  <si>
    <t>Pasaje 6  448, Casa 448. Villa Celulosa</t>
  </si>
  <si>
    <t>REL79017</t>
  </si>
  <si>
    <t>259316729</t>
  </si>
  <si>
    <t>NOMBRE RETIRA: BERLIN CISTERNA M RUT RETIRA: 53331607-7</t>
  </si>
  <si>
    <t>Sebastian Manriquez</t>
  </si>
  <si>
    <t>Cristian Martínez 313, Mirador de Reñaca, Si no hay nadie, dejar en negocio donde la viví</t>
  </si>
  <si>
    <t>REL79025</t>
  </si>
  <si>
    <t>259316697</t>
  </si>
  <si>
    <t>NOMBRE RETIRA: LUIS BUGENO . RUT RETIRA: 12345678-5</t>
  </si>
  <si>
    <t>Luis Bugueño</t>
  </si>
  <si>
    <t>Balada 2816, Dpto. 191</t>
  </si>
  <si>
    <t>REL79021</t>
  </si>
  <si>
    <t>259319517</t>
  </si>
  <si>
    <t>NOMBRE RETIRA: JUANA MANIQUEO . RUT RETIRA: 5689994-4</t>
  </si>
  <si>
    <t>Emmanuel Salguero</t>
  </si>
  <si>
    <t>Avenida Portugal 3228, Casa Punta mira norte</t>
  </si>
  <si>
    <t>2025-12-09 03:10</t>
  </si>
  <si>
    <t>REL79054</t>
  </si>
  <si>
    <t>259316496</t>
  </si>
  <si>
    <t>NOMBRE RETIRA: SERGIO ULLOA . RUT RETIRA: 11115120-2</t>
  </si>
  <si>
    <t>Sergio Ulloa</t>
  </si>
  <si>
    <t>Dr Luis Reuss 1488</t>
  </si>
  <si>
    <t>REL79207</t>
  </si>
  <si>
    <t>259316214</t>
  </si>
  <si>
    <t>NOMBRE RETIRA: JAIME PALAVECINO . RUT RETIRA: 6543779-1</t>
  </si>
  <si>
    <t>Valentina Palavecino Gutiérrez</t>
  </si>
  <si>
    <t>Salto de los Pellines 3358, Casa</t>
  </si>
  <si>
    <t>REL79219</t>
  </si>
  <si>
    <t>259316248</t>
  </si>
  <si>
    <t>NOMBRE RETIRA: ANA SANTIBANE . RUT RETIRA: 15180469-1</t>
  </si>
  <si>
    <t>Cristóbal Peñaloza Santibáñez</t>
  </si>
  <si>
    <t>Enrique Soro 1547, Casa</t>
  </si>
  <si>
    <t>REL79132</t>
  </si>
  <si>
    <t>259316389</t>
  </si>
  <si>
    <t>NOMBRE RETIRA: YOLANDA HIERCAN . RUT RETIRA: 11304024-6</t>
  </si>
  <si>
    <t>Constanza Bertsch</t>
  </si>
  <si>
    <t>Pasaje Los Urbanistas 459</t>
  </si>
  <si>
    <t>REL78984</t>
  </si>
  <si>
    <t>259316779</t>
  </si>
  <si>
    <t>NOMBRE RETIRA: GUILLERMO DE LA FUENTE . RUT RETIRA: 11390896-3</t>
  </si>
  <si>
    <t>Malu Bahamonde Rojas</t>
  </si>
  <si>
    <t>Pozo Almonte 561 , 24, Villa Yolanda</t>
  </si>
  <si>
    <t>REL79183</t>
  </si>
  <si>
    <t>259316288</t>
  </si>
  <si>
    <t>NOMBRE RETIRA: PAULINA MEZA . RUT RETIRA: 18548865-9</t>
  </si>
  <si>
    <t>paulina MEZA CASTRO</t>
  </si>
  <si>
    <t>Antilhue 196, casa</t>
  </si>
  <si>
    <t>REL79045</t>
  </si>
  <si>
    <t>259316524</t>
  </si>
  <si>
    <t>NOMBRE RETIRA: MARCELA GARRIDO . RUT RETIRA: 53336581-7</t>
  </si>
  <si>
    <t>Francisco Javier Morales Guerrero</t>
  </si>
  <si>
    <t>La Arboleda 901,  Depto. 47 a Curauma</t>
  </si>
  <si>
    <t>REL79181</t>
  </si>
  <si>
    <t>259316292</t>
  </si>
  <si>
    <t>NOMBRE RETIRA: RITA ZUMELZU . RUT RETIRA: 8512409-9</t>
  </si>
  <si>
    <t>Juan Gatica</t>
  </si>
  <si>
    <t>Antihual 192, Casa esquina pasaje 2 cuculi</t>
  </si>
  <si>
    <t>REL79160</t>
  </si>
  <si>
    <t>259316333</t>
  </si>
  <si>
    <t>NOMBRE RETIRA: ISAN ANACONA PORTERIA RUT RETIRA: 65059547-5</t>
  </si>
  <si>
    <t>Iván Alexis Forconi Pizarro</t>
  </si>
  <si>
    <t>Dario Salas 1011, 108</t>
  </si>
  <si>
    <t>REL79051</t>
  </si>
  <si>
    <t>259316522</t>
  </si>
  <si>
    <t>NOMBRE RETIRA: IGNACIO CARDENAS J RUT RETIRA: 19480073-8</t>
  </si>
  <si>
    <t>Ignacio Cardenas</t>
  </si>
  <si>
    <t>Campo Basso 2185, Casa</t>
  </si>
  <si>
    <t>REL79029</t>
  </si>
  <si>
    <t>259316517</t>
  </si>
  <si>
    <t>francisco navarrete</t>
  </si>
  <si>
    <t>caupolican 946</t>
  </si>
  <si>
    <t>REL79125</t>
  </si>
  <si>
    <t>259316370</t>
  </si>
  <si>
    <t>NOMBRE RETIRA: CLELIA BARRIOS . RUT RETIRA: 13035238-3</t>
  </si>
  <si>
    <t>Luis sepulveda</t>
  </si>
  <si>
    <t>Rio Palena 403, Villa portal Aconcagua</t>
  </si>
  <si>
    <t>REL78969</t>
  </si>
  <si>
    <t>259316811</t>
  </si>
  <si>
    <t>NOMBRE RETIRA: MARITZA VERGARA . RUT RETIRA: 17853080-1</t>
  </si>
  <si>
    <t>Pablo Heinrich Rojas</t>
  </si>
  <si>
    <t>Ayinko 4480, Villa Escuadrón Oriente</t>
  </si>
  <si>
    <t>REL78947</t>
  </si>
  <si>
    <t>259316826</t>
  </si>
  <si>
    <t>NOMBRE RETIRA: DANGELA VEGA CONSERJE RUT RETIRA: 18002174-4</t>
  </si>
  <si>
    <t>Llamil Hilaja Rumie</t>
  </si>
  <si>
    <t>Av Waldo alcalde 1373, casa 97</t>
  </si>
  <si>
    <t>REL79082</t>
  </si>
  <si>
    <t>259316447</t>
  </si>
  <si>
    <t>NOMBRE RETIRA: EZEQUIEL CONSERJE . RUT RETIRA: 56015480-1</t>
  </si>
  <si>
    <t>Alejandra Tham Vera</t>
  </si>
  <si>
    <t>8 Norte 310, 310</t>
  </si>
  <si>
    <t>REL78939</t>
  </si>
  <si>
    <t>259316833</t>
  </si>
  <si>
    <t>Daniela Bollmann</t>
  </si>
  <si>
    <t>Camino Botrolhue 1504, Casa 92</t>
  </si>
  <si>
    <t>REL79134</t>
  </si>
  <si>
    <t>259316385</t>
  </si>
  <si>
    <t>NOMBRE RETIRA: MATIAS ACUNA . RUT RETIRA: 19457462-2</t>
  </si>
  <si>
    <t>matías acuña castro</t>
  </si>
  <si>
    <t>Valparaíso 01024</t>
  </si>
  <si>
    <t>REL79226</t>
  </si>
  <si>
    <t>259316236</t>
  </si>
  <si>
    <t>NOMBRE RETIRA: SEBASTIAN JAR . RUT RETIRA: 20011832-4</t>
  </si>
  <si>
    <t>sebastian elias jara peñaloza</t>
  </si>
  <si>
    <t>cerro el litre santa teresa 159</t>
  </si>
  <si>
    <t>REL79061</t>
  </si>
  <si>
    <t>259316489</t>
  </si>
  <si>
    <t>NOMBRE RETIRA: JUAN CESPEDES . RUT RETIRA: 17625970-1</t>
  </si>
  <si>
    <t>Los Arrayanes 1329 Depto. 315, torre Ciprés, Condominio Altos del Milagro</t>
  </si>
  <si>
    <t>REL79055</t>
  </si>
  <si>
    <t>259316495</t>
  </si>
  <si>
    <t>NOMBRE RETIRA: JOSE MUNOZ . RUT RETIRA: 19457462-2</t>
  </si>
  <si>
    <t>José Muñoz Marín</t>
  </si>
  <si>
    <t>Ziem 1894, Conserjería</t>
  </si>
  <si>
    <t>REL78964</t>
  </si>
  <si>
    <t>259316793</t>
  </si>
  <si>
    <t>NOMBRE RETIRA: FELIPE TAPIA . RUT RETIRA: 18494914-8</t>
  </si>
  <si>
    <t>Felipe Tapia rodriguez</t>
  </si>
  <si>
    <t>Ignacio carrera pinto 2191</t>
  </si>
  <si>
    <t>REL79023</t>
  </si>
  <si>
    <t>259316725</t>
  </si>
  <si>
    <t>NOMBRE RETIRA: JUAN HERRERA . RUT RETIRA: 20542090-8</t>
  </si>
  <si>
    <t>Juan Francisco Herrera Navarrete</t>
  </si>
  <si>
    <t>Lientur 478, Casa</t>
  </si>
  <si>
    <t>REL79090</t>
  </si>
  <si>
    <t>259316424</t>
  </si>
  <si>
    <t>NOMBRE RETIRA: ALICE VILLALON . RUT RETIRA: 17968612-0</t>
  </si>
  <si>
    <t>Alice Villalon Tapia</t>
  </si>
  <si>
    <t>Los Carrera 330, Oficina caja los andes modulo 5</t>
  </si>
  <si>
    <t>REL79217</t>
  </si>
  <si>
    <t>259316205</t>
  </si>
  <si>
    <t>NOMBRE RETIRA: MARTIN COLLAO TAPIA RUT RETIRA: 23508781-2</t>
  </si>
  <si>
    <t>José Francisco Tapia Ortiz</t>
  </si>
  <si>
    <t>Quito 1090, Villa las Américas</t>
  </si>
  <si>
    <t>REL79227</t>
  </si>
  <si>
    <t>259316230</t>
  </si>
  <si>
    <t>NOMBRE RETIRA: FLAVIA OLADE A RUT RETIRA: 13992334-0</t>
  </si>
  <si>
    <t>Flavia Olave</t>
  </si>
  <si>
    <t>Rogelio Astudillo 93, Villa linda</t>
  </si>
  <si>
    <t>REL78058</t>
  </si>
  <si>
    <t>258572764</t>
  </si>
  <si>
    <t>NOMBRE RETIRA: JESICA VERA K RUT RETIRA: 7918125-0</t>
  </si>
  <si>
    <t>Jessica Vera Alvarado</t>
  </si>
  <si>
    <t>Juan Enrique Rosales 0136</t>
  </si>
  <si>
    <t>REL79137</t>
  </si>
  <si>
    <t>259316379</t>
  </si>
  <si>
    <t>NOMBRE RETIRA: MIGUEL SALVO . RUT RETIRA: 7176731-0</t>
  </si>
  <si>
    <t>Esteban Salvo</t>
  </si>
  <si>
    <t>2 norte 1157 casa 1</t>
  </si>
  <si>
    <t>REL77740</t>
  </si>
  <si>
    <t>9405740304</t>
  </si>
  <si>
    <t>Ana Paola Castro</t>
  </si>
  <si>
    <t>El Barón 7200, Casa 25</t>
  </si>
  <si>
    <t>2025-11-23 21:15</t>
  </si>
  <si>
    <t>REL78995</t>
  </si>
  <si>
    <t>259316760</t>
  </si>
  <si>
    <t>NOMBRE RETIRA: FABIAN HUERTA Y RUT RETIRA: 65066621-6</t>
  </si>
  <si>
    <t>paulo vasquez</t>
  </si>
  <si>
    <t>Ongolmo 551, depto 906</t>
  </si>
  <si>
    <t>REL79223</t>
  </si>
  <si>
    <t>259316238</t>
  </si>
  <si>
    <t>NOMBRE RETIRA: EDITH SANDOBAL ..... RUT RETIRA: 13437119-6</t>
  </si>
  <si>
    <t>SUSAN Ramirez</t>
  </si>
  <si>
    <t>Portales 152</t>
  </si>
  <si>
    <t>REL79149</t>
  </si>
  <si>
    <t>259316313</t>
  </si>
  <si>
    <t>NOMBRE RETIRA: NIRNA GUTIERREZ , RUT RETIRA: 26413687-3</t>
  </si>
  <si>
    <t>3 Oriente 1645, Departamento 1006</t>
  </si>
  <si>
    <t>REL79115</t>
  </si>
  <si>
    <t>259316408</t>
  </si>
  <si>
    <t>NOMBRE RETIRA: SILVIA BRAVO . RUT RETIRA: 6338704-5</t>
  </si>
  <si>
    <t>Javiera Vásquez Vargas</t>
  </si>
  <si>
    <t>El nogal 2477, casa</t>
  </si>
  <si>
    <t>REL79081</t>
  </si>
  <si>
    <t>259316471</t>
  </si>
  <si>
    <t>NOMBRE RETIRA: MAURICIO PEREZ H RUT RETIRA: 16752934-8</t>
  </si>
  <si>
    <t>Mauricio Pérez</t>
  </si>
  <si>
    <t>Av. Argentina 252 , Local 1. Farmacia dr simi</t>
  </si>
  <si>
    <t>REL79080</t>
  </si>
  <si>
    <t>259316468</t>
  </si>
  <si>
    <t>NOMBRE RETIRA: JULIET . . RUT RETIRA: 8398264-0</t>
  </si>
  <si>
    <t>Benjamín Jiménez</t>
  </si>
  <si>
    <t>Brasil 332</t>
  </si>
  <si>
    <t>REL79103</t>
  </si>
  <si>
    <t>259316413</t>
  </si>
  <si>
    <t>NOMBRE RETIRA: LORENA ORMAZADA J RUT RETIRA: 12999604-8</t>
  </si>
  <si>
    <t>Gary Jara</t>
  </si>
  <si>
    <t>Venecia Norte 1044 con Caupolicán , 1044</t>
  </si>
  <si>
    <t>REL78140</t>
  </si>
  <si>
    <t>258574835</t>
  </si>
  <si>
    <t>NOMBRE RETIRA: GRACIELA SILVA . RUT RETIRA: 20031728-9</t>
  </si>
  <si>
    <t>Jaime Carrillo Moresco</t>
  </si>
  <si>
    <t>Jose Manuel balmaceda 455, Oficina Copec Plaza</t>
  </si>
  <si>
    <t>REL78748</t>
  </si>
  <si>
    <t>259316836</t>
  </si>
  <si>
    <t>NOMBRE RETIRA: MAGDALENA DONOSO J RUT RETIRA: 6666860-6</t>
  </si>
  <si>
    <t>Hernan Olea Donoso</t>
  </si>
  <si>
    <t>Salvador Said 1506 Villa San Antonio</t>
  </si>
  <si>
    <t>REL77921</t>
  </si>
  <si>
    <t>258305988</t>
  </si>
  <si>
    <t>NOMBRE RETIRA: VICTORIA LAGHAUS . RUT RETIRA: 9079974-6</t>
  </si>
  <si>
    <t>LORETO JARA LANGHAUS</t>
  </si>
  <si>
    <t>Waldo seguel 409, Casa esquina</t>
  </si>
  <si>
    <t>REL77987</t>
  </si>
  <si>
    <t>9409224134</t>
  </si>
  <si>
    <t>JESSICA Perez</t>
  </si>
  <si>
    <t>LO MARTINEZ 770</t>
  </si>
  <si>
    <t>REL78003</t>
  </si>
  <si>
    <t>258573123</t>
  </si>
  <si>
    <t>NOMBRE RETIRA: FRANKLIN FOURNIER . RUT RETIRA: 13970001-5</t>
  </si>
  <si>
    <t>Monserrat Gutierrez Diaz</t>
  </si>
  <si>
    <t>Manuel Montt 69</t>
  </si>
  <si>
    <t>REL79210</t>
  </si>
  <si>
    <t>259316251</t>
  </si>
  <si>
    <t>rossana jorquera</t>
  </si>
  <si>
    <t>San Alfonso 550, Parcela B23</t>
  </si>
  <si>
    <t>REL79034</t>
  </si>
  <si>
    <t>259316538</t>
  </si>
  <si>
    <t>Giovanni Jara Neira</t>
  </si>
  <si>
    <t>Av. 4 Norte 365, DEPTO 465 TORRE ESPINO</t>
  </si>
  <si>
    <t>REL78970</t>
  </si>
  <si>
    <t>259316808</t>
  </si>
  <si>
    <t>NOMBRE RETIRA: SILVIA CUADRA . RUT RETIRA: 6703196-2</t>
  </si>
  <si>
    <t>Pamela Leiva Cuadra</t>
  </si>
  <si>
    <t>Entre Lagos 2490, Pob el álamo el peumo, sector Sur Villa Alemana</t>
  </si>
  <si>
    <t>REL78981</t>
  </si>
  <si>
    <t>259316780</t>
  </si>
  <si>
    <t>NOMBRE RETIRA: MIGUEL MADRID . RUT RETIRA: 8294875-9</t>
  </si>
  <si>
    <t>Miguel Madrid González</t>
  </si>
  <si>
    <t>Cinco de Abril 139</t>
  </si>
  <si>
    <t>REL78505</t>
  </si>
  <si>
    <t>259041028</t>
  </si>
  <si>
    <t>NOMBRE RETIRA: BEATRIZ VEGA . RUT RETIRA: 13357752-1</t>
  </si>
  <si>
    <t>Beatriz alejandra Vega naveas</t>
  </si>
  <si>
    <t>Av. Balmaceda 5371.  Casa 13</t>
  </si>
  <si>
    <t>REL78391</t>
  </si>
  <si>
    <t>258924785</t>
  </si>
  <si>
    <t>NOMBRE RETIRA: CRISNA BARRIENTOS . RUT RETIRA: 10925235-2</t>
  </si>
  <si>
    <t>Jeannette Aguilar velasquez</t>
  </si>
  <si>
    <t>Las vertientes s/n 0. La Vara, LLAMAR AL +56 979733083</t>
  </si>
  <si>
    <t>REL78681</t>
  </si>
  <si>
    <t>259084916</t>
  </si>
  <si>
    <t>NOMBRE RETIRA: VICTOR , , RUT RETIRA: 53310370-7</t>
  </si>
  <si>
    <t>Pamela Gonzalez Ceron</t>
  </si>
  <si>
    <t>Los Pablos 2860, casa 24</t>
  </si>
  <si>
    <t>REL78670</t>
  </si>
  <si>
    <t>259084960</t>
  </si>
  <si>
    <t>NOMBRE RETIRA: DANITZA RAMIREZ . RUT RETIRA: 9514112-9</t>
  </si>
  <si>
    <t>Danitza Ramírez Moscoso</t>
  </si>
  <si>
    <t>Latorre 454, 903</t>
  </si>
  <si>
    <t>REL78692</t>
  </si>
  <si>
    <t>259084922</t>
  </si>
  <si>
    <t>NOMBRE RETIRA: MARLENE ANGELICA N RUT RETIRA: 9783821-6</t>
  </si>
  <si>
    <t>Marlene Angelica Zelada</t>
  </si>
  <si>
    <t>El Mirador 738 Casa 59. Condominio Alto Los</t>
  </si>
  <si>
    <t>REL78717</t>
  </si>
  <si>
    <t>259084884</t>
  </si>
  <si>
    <t>NOMBRE RETIRA: CATALINA SIERRA . RUT RETIRA: 19220753-3</t>
  </si>
  <si>
    <t>Catalina Sierra</t>
  </si>
  <si>
    <t>Quilamuta, Km 2</t>
  </si>
  <si>
    <t>2025-12-02 19:30</t>
  </si>
  <si>
    <t>REL78675</t>
  </si>
  <si>
    <t>259084931</t>
  </si>
  <si>
    <t>NOMBRE RETIRA: MARIA YANEZ . RUT RETIRA: 7219129-3</t>
  </si>
  <si>
    <t>Umbría 1824, Cardonal</t>
  </si>
  <si>
    <t>REL78683</t>
  </si>
  <si>
    <t>259084915</t>
  </si>
  <si>
    <t>NOMBRE RETIRA: PAOLA ELGUETA . RUT RETIRA: 17625970-1</t>
  </si>
  <si>
    <t>Pasaje Sereno 1749</t>
  </si>
  <si>
    <t>REL78273</t>
  </si>
  <si>
    <t>258576709</t>
  </si>
  <si>
    <t>NOMBRE RETIRA: MARGOT CALLE . RUT RETIRA: 14695917-2</t>
  </si>
  <si>
    <t>Karen Torrealba Torrealba</t>
  </si>
  <si>
    <t>Bernardo O'Higgins 1054, 1000777 Arica, Arica y Parinacota, Chile, Escuela</t>
  </si>
  <si>
    <t>REL78512</t>
  </si>
  <si>
    <t>259040951</t>
  </si>
  <si>
    <t>NOMBRE RETIRA: ISABEL PINO . RUT RETIRA: 14180844-3</t>
  </si>
  <si>
    <t>Karina Medina Parada</t>
  </si>
  <si>
    <t>La Ramada 280, Casa Villa don Martin</t>
  </si>
  <si>
    <t>REL78014</t>
  </si>
  <si>
    <t>258573054</t>
  </si>
  <si>
    <t>Nicole sandoval</t>
  </si>
  <si>
    <t>los manzanos 258 lomas colradas</t>
  </si>
  <si>
    <t>REL78517</t>
  </si>
  <si>
    <t>259040933</t>
  </si>
  <si>
    <t>NOMBRE RETIRA: TIARE ARAYA . RUT RETIRA: 14398357-9</t>
  </si>
  <si>
    <t>Tiara Araya Labraña</t>
  </si>
  <si>
    <t>9 1/2 oriente 1870</t>
  </si>
  <si>
    <t>REL78651</t>
  </si>
  <si>
    <t>259040149</t>
  </si>
  <si>
    <t>NOMBRE RETIRA: SEBASTIAN OJEDA . RUT RETIRA: 20218255-0</t>
  </si>
  <si>
    <t>Rosa cerda fierro</t>
  </si>
  <si>
    <t>Chacabuco 865, Casa</t>
  </si>
  <si>
    <t>REL78716</t>
  </si>
  <si>
    <t>259084869</t>
  </si>
  <si>
    <t>NOMBRE RETIRA: NICOLAS SOTO . RUT RETIRA: 15268381-2</t>
  </si>
  <si>
    <t>Pasaje san Esteban 58</t>
  </si>
  <si>
    <t>REL78684</t>
  </si>
  <si>
    <t>259084913</t>
  </si>
  <si>
    <t>REL78728</t>
  </si>
  <si>
    <t>259084854</t>
  </si>
  <si>
    <t>NOMBRE RETIRA: JOSE MALUENDA C RUT RETIRA: 8138224-7</t>
  </si>
  <si>
    <t>jose Maluenda Galleguillos</t>
  </si>
  <si>
    <t>francisco zurbaran 066</t>
  </si>
  <si>
    <t>REL78508</t>
  </si>
  <si>
    <t>259040982</t>
  </si>
  <si>
    <t>NOMBRE RETIRA: PAULINA LOPEZ . RUT RETIRA: 17971129-K</t>
  </si>
  <si>
    <t>Pasaje gregorio argomedo #2001</t>
  </si>
  <si>
    <t>REL78166</t>
  </si>
  <si>
    <t>258574718</t>
  </si>
  <si>
    <t>NOMBRE RETIRA: PABLO MARTINEZ CRUZ RUT RETIRA: 21379665-8</t>
  </si>
  <si>
    <t>Pablo Martinez</t>
  </si>
  <si>
    <t>Av. Balmaceda 4219 Starken, RETIRO EN STARKEN</t>
  </si>
  <si>
    <t>REL78720</t>
  </si>
  <si>
    <t>259084880</t>
  </si>
  <si>
    <t>NOMBRE RETIRA: NATHELIE PAVEZ PAVEZ RUT RETIRA: 6787189-8</t>
  </si>
  <si>
    <t>Nathalie Pavez</t>
  </si>
  <si>
    <t>Avenida San Juan 799</t>
  </si>
  <si>
    <t>REL78182</t>
  </si>
  <si>
    <t>258574640</t>
  </si>
  <si>
    <t>NOMBRE RETIRA: VIVIAN MIRANDA . RUT RETIRA: 16975248-6</t>
  </si>
  <si>
    <t>Vivian Miranda</t>
  </si>
  <si>
    <t>Colon #473, Oficina</t>
  </si>
  <si>
    <t>REL78668</t>
  </si>
  <si>
    <t>259084944</t>
  </si>
  <si>
    <t>NOMBRE RETIRA: KARINA RIOS R RUT RETIRA: 12418981-0</t>
  </si>
  <si>
    <t>Mauricio Escobar</t>
  </si>
  <si>
    <t>Angelino Gebauer 1930, Condominio</t>
  </si>
  <si>
    <t>REL78666</t>
  </si>
  <si>
    <t>259084961</t>
  </si>
  <si>
    <t>NOMBRE RETIRA: FRANCO CASTRO . RUT RETIRA: 18510273-4</t>
  </si>
  <si>
    <t>Lukas Silva Barahona</t>
  </si>
  <si>
    <t>Caupolican 198</t>
  </si>
  <si>
    <t>REL78139</t>
  </si>
  <si>
    <t>258574900</t>
  </si>
  <si>
    <t>NOMBRE RETIRA: SERGIO MARTINEZ . RUT RETIRA: 12990878-5</t>
  </si>
  <si>
    <t>Sergio Martínez Muñoz</t>
  </si>
  <si>
    <t>Colo colo 847, Escuela Ramón Guiñez</t>
  </si>
  <si>
    <t>REL78445</t>
  </si>
  <si>
    <t>258924379</t>
  </si>
  <si>
    <t>NOMBRE RETIRA: JESSICA FLORE . RUT RETIRA: 16132789-1</t>
  </si>
  <si>
    <t>Carolina Guerrero  san martin</t>
  </si>
  <si>
    <t>Los naranjos 20, Depto 107</t>
  </si>
  <si>
    <t>REL78932</t>
  </si>
  <si>
    <t>259039956</t>
  </si>
  <si>
    <t>NOMBRE RETIRA: GABRIEL ROJAS , RUT RETIRA: 23114477-3</t>
  </si>
  <si>
    <t>MARIANA DIAZ ALMENDRA</t>
  </si>
  <si>
    <t>MARCOS HINOJOSA 619, CASA</t>
  </si>
  <si>
    <t>REL78577</t>
  </si>
  <si>
    <t>259040657</t>
  </si>
  <si>
    <t>NOMBRE RETIRA: PHILIPPE CAVOUR . RUT RETIRA: 16564890-0</t>
  </si>
  <si>
    <t>Philippe Cavour ron</t>
  </si>
  <si>
    <t>Abaroa 1691, Gimnasio</t>
  </si>
  <si>
    <t>REL78688</t>
  </si>
  <si>
    <t>259084911</t>
  </si>
  <si>
    <t>NOMBRE RETIRA: NATALIA REYES . RUT RETIRA: 17754050-1</t>
  </si>
  <si>
    <t>Natalia Reyes Torres</t>
  </si>
  <si>
    <t>Los quirquinchos 1732</t>
  </si>
  <si>
    <t>REL78671</t>
  </si>
  <si>
    <t>259084943</t>
  </si>
  <si>
    <t>NOMBRE RETIRA: HERNAN AGUILERA . RUT RETIRA: 18262006-8</t>
  </si>
  <si>
    <t>Hernán Aguilera Hernández</t>
  </si>
  <si>
    <t>Rancagua 1132</t>
  </si>
  <si>
    <t>REL78667</t>
  </si>
  <si>
    <t>259084962</t>
  </si>
  <si>
    <t>NOMBRE RETIRA: ANGELA VENEGAS . RUT RETIRA: 16167563-6</t>
  </si>
  <si>
    <t>Angela Venegas Vera</t>
  </si>
  <si>
    <t>Mariano Egaña 655</t>
  </si>
  <si>
    <t>REL78700</t>
  </si>
  <si>
    <t>259084909</t>
  </si>
  <si>
    <t>NOMBRE RETIRA: ISABELLA POGGI . RUT RETIRA: 65149211-4</t>
  </si>
  <si>
    <t>pamela vargas</t>
  </si>
  <si>
    <t>7 Norte 1256, depto 803</t>
  </si>
  <si>
    <t>REL78673</t>
  </si>
  <si>
    <t>259084938</t>
  </si>
  <si>
    <t>NOMBRE RETIRA: EDITH MORAN ABARCA RUT RETIRA: 6652958-4</t>
  </si>
  <si>
    <t>Brandon Muñoz</t>
  </si>
  <si>
    <t>Colombia 0551, Casa 2 pisos de madera entre Rep. Dominicana y Haití</t>
  </si>
  <si>
    <t>REL78696</t>
  </si>
  <si>
    <t>259084910</t>
  </si>
  <si>
    <t>NOMBRE RETIRA: CARMEN GLORIA L RUT RETIRA: 16333342-2</t>
  </si>
  <si>
    <t>Darling Marin Lartigo</t>
  </si>
  <si>
    <t>Merced 565, Ist San Felipe</t>
  </si>
  <si>
    <t>REL78718</t>
  </si>
  <si>
    <t>259084844</t>
  </si>
  <si>
    <t>NOMBRE RETIRA: ALAN RAMIREZ RAMIREZ RUT RETIRA: 18446948-0</t>
  </si>
  <si>
    <t>Alan Ramirez Cabello</t>
  </si>
  <si>
    <t>General Velasquez 1750, Brigada motorizada N4 Rancagua</t>
  </si>
  <si>
    <t>REL78682</t>
  </si>
  <si>
    <t>259084926</t>
  </si>
  <si>
    <t>NOMBRE RETIRA: PATRICIO BARRAZA . RUT RETIRA: 15678997-6</t>
  </si>
  <si>
    <t>patricio barraza vargas</t>
  </si>
  <si>
    <t>prat 330, Von Schroeders N° 392 OFICINA PLANIFICACION Y CONTROL</t>
  </si>
  <si>
    <t>REL78506</t>
  </si>
  <si>
    <t>259041024</t>
  </si>
  <si>
    <t>NOMBRE RETIRA: CAMILA MOLINA . RUT RETIRA: 18100464-9</t>
  </si>
  <si>
    <t>Camila Molina Carvajal</t>
  </si>
  <si>
    <t>Colliguay 0290, Altos del Retiro Sur</t>
  </si>
  <si>
    <t>REL78722</t>
  </si>
  <si>
    <t>259084866</t>
  </si>
  <si>
    <t>NOMBRE RETIRA: JOSE ZUNIGA ORDENEZ RUT RETIRA: 9952515-0</t>
  </si>
  <si>
    <t>Mónica Zuñiga</t>
  </si>
  <si>
    <t>Las Brisas #379</t>
  </si>
  <si>
    <t>REL78511</t>
  </si>
  <si>
    <t>259040955</t>
  </si>
  <si>
    <t>NOMBRE RETIRA: GUILLERMO ASPEE . RUT RETIRA: 7954213-K</t>
  </si>
  <si>
    <t>Vicente Godoy Mandiola</t>
  </si>
  <si>
    <t>Avenida Troncal 7836, Casa 20b</t>
  </si>
  <si>
    <t>REL78185</t>
  </si>
  <si>
    <t>258574603</t>
  </si>
  <si>
    <t>NOMBRE RETIRA: JESSICA MALIAUEO . RUT RETIRA: 15880443-3</t>
  </si>
  <si>
    <t>Delia Bahamondes</t>
  </si>
  <si>
    <t>Pasaje Uno 51</t>
  </si>
  <si>
    <t>REL78494</t>
  </si>
  <si>
    <t>258923939</t>
  </si>
  <si>
    <t>NOMBRE RETIRA: KATERIN PADILLA . RUT RETIRA: 20730597-9</t>
  </si>
  <si>
    <t>Katherine Padilla Sanchez</t>
  </si>
  <si>
    <t>Dieciocho De Septiembre 1822</t>
  </si>
  <si>
    <t>REL78899</t>
  </si>
  <si>
    <t>259084688</t>
  </si>
  <si>
    <t>Gabriela Gonzalez Cornejo</t>
  </si>
  <si>
    <t>Bernardo O'Higgins 2929</t>
  </si>
  <si>
    <t>REL78520</t>
  </si>
  <si>
    <t>259040926</t>
  </si>
  <si>
    <t>NOMBRE RETIRA: DAVID BARRERO X RUT RETIRA: 25431857-4</t>
  </si>
  <si>
    <t>Yanina Alvarado</t>
  </si>
  <si>
    <t>Raúl Campaña 9326</t>
  </si>
  <si>
    <t>REL78856</t>
  </si>
  <si>
    <t>258923614</t>
  </si>
  <si>
    <t>NOMBRE RETIRA: CARLOS MADRID B RUT RETIRA: 18457422-5</t>
  </si>
  <si>
    <t>Felipe Álvarez Vilches</t>
  </si>
  <si>
    <t>Condell Sur 1237, Depto. 501</t>
  </si>
  <si>
    <t>REL78405</t>
  </si>
  <si>
    <t>258924692</t>
  </si>
  <si>
    <t>NOMBRE RETIRA: ENSO BASAEK . RUT RETIRA: 20787039-0</t>
  </si>
  <si>
    <t>Angela Mora</t>
  </si>
  <si>
    <t>Av. Héroes de la Concepción 2885, Universidad Santo Tomás</t>
  </si>
  <si>
    <t>REL78369</t>
  </si>
  <si>
    <t>258924909</t>
  </si>
  <si>
    <t>NOMBRE RETIRA: MATIAS TOLEDO 0 RUT RETIRA: 22222222-2</t>
  </si>
  <si>
    <t>Matias Toledo Videla</t>
  </si>
  <si>
    <t>Ramón Freire 01, Casa 1</t>
  </si>
  <si>
    <t>REL78834</t>
  </si>
  <si>
    <t>258923712</t>
  </si>
  <si>
    <t>NOMBRE RETIRA: EVELIN PAES X RUT RETIRA: 11111111-1</t>
  </si>
  <si>
    <t>Km 13 camino Villarrica Pucon, Molco Medio, 13</t>
  </si>
  <si>
    <t>REL78448</t>
  </si>
  <si>
    <t>258924332</t>
  </si>
  <si>
    <t>NOMBRE RETIRA: MARIA . . RUT RETIRA: 12345678-5</t>
  </si>
  <si>
    <t>Maria camila Guarin tabares</t>
  </si>
  <si>
    <t>El terron 1029 altos del valle</t>
  </si>
  <si>
    <t>REL78384</t>
  </si>
  <si>
    <t>258924828</t>
  </si>
  <si>
    <t>Mauro Romero Hernández</t>
  </si>
  <si>
    <t>Ruta v613, kilómetro 17000, Colonia Río Sur, Km 17.000</t>
  </si>
  <si>
    <t>REL78930</t>
  </si>
  <si>
    <t>259039995</t>
  </si>
  <si>
    <t>NOMBRE RETIRA: LUIS MUNOZ . RUT RETIRA: 9116909-6</t>
  </si>
  <si>
    <t>lorena Diaz</t>
  </si>
  <si>
    <t>Rancagua 203</t>
  </si>
  <si>
    <t>REL78630</t>
  </si>
  <si>
    <t>259040305</t>
  </si>
  <si>
    <t>NOMBRE RETIRA: PATRISIA GG IGEROA . RUT RETIRA: 7117436-0</t>
  </si>
  <si>
    <t>luis bello</t>
  </si>
  <si>
    <t>Pje. Los Castaños 3137</t>
  </si>
  <si>
    <t>REL78639</t>
  </si>
  <si>
    <t>259040231</t>
  </si>
  <si>
    <t>NOMBRE RETIRA: ELVIA FUENTES X RUT RETIRA: 15952999-1</t>
  </si>
  <si>
    <t>Salma Abara López</t>
  </si>
  <si>
    <t>Pedro Montt 615</t>
  </si>
  <si>
    <t>REL78796</t>
  </si>
  <si>
    <t>258923899</t>
  </si>
  <si>
    <t>NOMBRE RETIRA: SAMUEL GOMEZ P RUT RETIRA: 12345678-5</t>
  </si>
  <si>
    <t>Samuel Gomez Vega</t>
  </si>
  <si>
    <t>Oscar cortes 202</t>
  </si>
  <si>
    <t>REL78821</t>
  </si>
  <si>
    <t>258923798</t>
  </si>
  <si>
    <t>NOMBRE RETIRA: MONSERRAT CABEZAS . RUT RETIRA: 20859093-6</t>
  </si>
  <si>
    <t>Montserrat Cabezas Cortés</t>
  </si>
  <si>
    <t>Coronel Emilio Sotomayor 277, Casa</t>
  </si>
  <si>
    <t>REL78635</t>
  </si>
  <si>
    <t>259040262</t>
  </si>
  <si>
    <t>NOMBRE RETIRA: MARIANA URREA X RUT RETIRA: 9714675-6</t>
  </si>
  <si>
    <t>Daniela Hernndez Urrea</t>
  </si>
  <si>
    <t>Volcán Lonquimay 1354, Casa</t>
  </si>
  <si>
    <t>REL78794</t>
  </si>
  <si>
    <t>259084750</t>
  </si>
  <si>
    <t>NOMBRE RETIRA: GLORIA FLORES M RUT RETIRA: 6771039-8</t>
  </si>
  <si>
    <t>Natalia Cantillanes</t>
  </si>
  <si>
    <t>Av San Juan 4430, Casa con carrito de comida rápida afuera</t>
  </si>
  <si>
    <t>REL78603</t>
  </si>
  <si>
    <t>259040513</t>
  </si>
  <si>
    <t>NOMBRE RETIRA: MARIA MORALES MORALE RUT RETIRA: 20203796-8</t>
  </si>
  <si>
    <t>Maria Gloria Morales Erch</t>
  </si>
  <si>
    <t>Horacio Aranguiz 1601, Colegio Santa Ines</t>
  </si>
  <si>
    <t>REL78723</t>
  </si>
  <si>
    <t>259084865</t>
  </si>
  <si>
    <t>NOMBRE RETIRA: ROSA SAJAMA M RUT RETIRA: 9015277-7</t>
  </si>
  <si>
    <t>PABLO ROBLES SAJAMA</t>
  </si>
  <si>
    <t>MATAVERI 2114</t>
  </si>
  <si>
    <t>REL78561</t>
  </si>
  <si>
    <t>259040711</t>
  </si>
  <si>
    <t>NOMBRE RETIRA: MARCO SAAVEDRA N RUT RETIRA: 19469741-4</t>
  </si>
  <si>
    <t>Marco Saavedra Troncoso</t>
  </si>
  <si>
    <t>Pasaje castilla 0312</t>
  </si>
  <si>
    <t>REL78862</t>
  </si>
  <si>
    <t>259084762</t>
  </si>
  <si>
    <t>NOMBRE RETIRA: SALVADOR ZENTENO . RUT RETIRA: 23147431-5</t>
  </si>
  <si>
    <t>Patricio Allende</t>
  </si>
  <si>
    <t>Antonio salas Faundez 1348, Casa</t>
  </si>
  <si>
    <t>REL78606</t>
  </si>
  <si>
    <t>259040500</t>
  </si>
  <si>
    <t>NOMBRE RETIRA: FELIPE CARTAGENA M RUT RETIRA: 15699682-3</t>
  </si>
  <si>
    <t>Bernardino guerra 049, Block 04 depto 34</t>
  </si>
  <si>
    <t>REL77910</t>
  </si>
  <si>
    <t>258251872</t>
  </si>
  <si>
    <t>NOMBRE RETIRA: CAMILA BOZZO .H RUT RETIRA: 19893853-K</t>
  </si>
  <si>
    <t>Camila Bozzo Monroy</t>
  </si>
  <si>
    <t>Lautaro 88, Unidad Hospitalización Domiciliaria</t>
  </si>
  <si>
    <t>REL78471</t>
  </si>
  <si>
    <t>258924116</t>
  </si>
  <si>
    <t>NOMBRE RETIRA: GLADYS VALVERDE . RUT RETIRA: 23992493-K</t>
  </si>
  <si>
    <t>Katerina Valenzuela</t>
  </si>
  <si>
    <t>Eleuterio Ramírez 1429, Departamento 801</t>
  </si>
  <si>
    <t>REL78385</t>
  </si>
  <si>
    <t>258924802</t>
  </si>
  <si>
    <t>NOMBRE RETIRA: MARIOLY ANTIO YEVILAO RUT RETIRA: 1111111-4</t>
  </si>
  <si>
    <t>Marioly Antio Yevilao</t>
  </si>
  <si>
    <t>Pasaje 3 # 26, Población Lonconao</t>
  </si>
  <si>
    <t>REL78924</t>
  </si>
  <si>
    <t>259040052</t>
  </si>
  <si>
    <t>NOMBRE RETIRA: CLAUDIA OLIVARES K RUT RETIRA: 10700050-K</t>
  </si>
  <si>
    <t>John Espinoza</t>
  </si>
  <si>
    <t>Ruta F-456, Quillota parcela santa ana sn paradero 12 san Pedro de quillota</t>
  </si>
  <si>
    <t>REL78921</t>
  </si>
  <si>
    <t>259040075</t>
  </si>
  <si>
    <t>NOMBRE RETIRA: GUILLERMO SALCEDO .. RUT RETIRA: 13174969-4</t>
  </si>
  <si>
    <t>Marianela Soledad San Martín Peña</t>
  </si>
  <si>
    <t>Av. Rica Aventura 10700 Casa 11</t>
  </si>
  <si>
    <t>REL78617</t>
  </si>
  <si>
    <t>259040394</t>
  </si>
  <si>
    <t>NOMBRE RETIRA: BETTY LEYTON . RUT RETIRA: 78882180-8</t>
  </si>
  <si>
    <t>fco munoz</t>
  </si>
  <si>
    <t>Estado 336</t>
  </si>
  <si>
    <t>REL78657</t>
  </si>
  <si>
    <t>259040134</t>
  </si>
  <si>
    <t>NOMBRE RETIRA: JUAN SALDIVI . RUT RETIRA: 11503593-2</t>
  </si>
  <si>
    <t>Juan Saldivia</t>
  </si>
  <si>
    <t>Los Maticos 1982, Avenida austral, Mirador de la Bahia</t>
  </si>
  <si>
    <t>REL78478</t>
  </si>
  <si>
    <t>258924097</t>
  </si>
  <si>
    <t>NOMBRE RETIRA: DARLYN MARTINEZ . RUT RETIRA: 19835507-0</t>
  </si>
  <si>
    <t>Darlyn Martinez</t>
  </si>
  <si>
    <t>Calle 4 #110,  Villa Mira Mar, Lirquen</t>
  </si>
  <si>
    <t>REL78522</t>
  </si>
  <si>
    <t>259040897</t>
  </si>
  <si>
    <t>NOMBRE RETIRA: MARIELA HENRIQUEZ . RUT RETIRA: 25583301-4</t>
  </si>
  <si>
    <t>Karina Payauna Cifuentes</t>
  </si>
  <si>
    <t>C. Chañar 2565</t>
  </si>
  <si>
    <t>REL78450</t>
  </si>
  <si>
    <t>258924284</t>
  </si>
  <si>
    <t>NOMBRE RETIRA: MARTINA BERNA . RUT RETIRA: 8067157-1</t>
  </si>
  <si>
    <t>Bryam Olivares berna</t>
  </si>
  <si>
    <t>Escocia 2325, Escocia 2325</t>
  </si>
  <si>
    <t>REL78464</t>
  </si>
  <si>
    <t>258924148</t>
  </si>
  <si>
    <t>NOMBRE RETIRA: ALVARO PEREZ . RUT RETIRA: 19825376-6</t>
  </si>
  <si>
    <t>Klau Cuevas</t>
  </si>
  <si>
    <t>Guacolda 2562</t>
  </si>
  <si>
    <t>REL78592</t>
  </si>
  <si>
    <t>259040589</t>
  </si>
  <si>
    <t>NOMBRE RETIRA: VICTOR POBCE E RUT RETIRA: 12372791-6</t>
  </si>
  <si>
    <t>Carolina Herrera Zapata</t>
  </si>
  <si>
    <t>Rahue 2196, Casa esquina</t>
  </si>
  <si>
    <t>REL78774</t>
  </si>
  <si>
    <t>259084801</t>
  </si>
  <si>
    <t>NOMBRE RETIRA: ALADIO ZAMORA . RUT RETIRA: 10545586-0</t>
  </si>
  <si>
    <t>Karla Rojas Olivares</t>
  </si>
  <si>
    <t>Rafael Sotomayor 456</t>
  </si>
  <si>
    <t>REL78801</t>
  </si>
  <si>
    <t>258923850</t>
  </si>
  <si>
    <t>NOMBRE RETIRA: GLORIA LLANCAPANI . RUT RETIRA: 10683114-9</t>
  </si>
  <si>
    <t>Jacqueline Fernández Llancapani</t>
  </si>
  <si>
    <t>Almirante Oelcker 106</t>
  </si>
  <si>
    <t>REL78847</t>
  </si>
  <si>
    <t>258923706</t>
  </si>
  <si>
    <t>NOMBRE RETIRA: AMELIA PEREZ . RUT RETIRA: 10423244-2</t>
  </si>
  <si>
    <t>Evelyn Duque Valderrama</t>
  </si>
  <si>
    <t>Linderos 3455, Casa</t>
  </si>
  <si>
    <t>REL78861</t>
  </si>
  <si>
    <t>259084748</t>
  </si>
  <si>
    <t>NOMBRE RETIRA: ANA GALAZ GALAZ RUT RETIRA: 20369770-8</t>
  </si>
  <si>
    <t>SERGIO ARCE</t>
  </si>
  <si>
    <t>Almarza 399, 399</t>
  </si>
  <si>
    <t>REL78636</t>
  </si>
  <si>
    <t>259040258</t>
  </si>
  <si>
    <t>NOMBRE RETIRA: DIANA PRADO . RUT RETIRA: 25103551-2</t>
  </si>
  <si>
    <t>María José Cruces Salazar</t>
  </si>
  <si>
    <t>General Carrera 61, Oficina</t>
  </si>
  <si>
    <t>REL78447</t>
  </si>
  <si>
    <t>258924348</t>
  </si>
  <si>
    <t>NOMBRE RETIRA: JUDOT OLUVARWZ . RUT RETIRA: 15691380-4</t>
  </si>
  <si>
    <t>Katherine Delgado Pérez</t>
  </si>
  <si>
    <t>Av. Ricaventura 10701, Depa 301</t>
  </si>
  <si>
    <t>REL78533</t>
  </si>
  <si>
    <t>259040864</t>
  </si>
  <si>
    <t>NOMBRE RETIRA: FELIPE PANDOLFI X RUT RETIRA: 12232129-0</t>
  </si>
  <si>
    <t>jose luis vallejos rozas</t>
  </si>
  <si>
    <t>Jose Miguel Carrera 227, Oficina</t>
  </si>
  <si>
    <t>REL78741</t>
  </si>
  <si>
    <t>259084820</t>
  </si>
  <si>
    <t>NOMBRE RETIRA: MARIA GODOY . RUT RETIRA: 20618730-1</t>
  </si>
  <si>
    <t>Rodrigo Godoy Guzman</t>
  </si>
  <si>
    <t>Avenida Padre Hurtado 500, Casa</t>
  </si>
  <si>
    <t>REL78408</t>
  </si>
  <si>
    <t>258924655</t>
  </si>
  <si>
    <t>NOMBRE RETIRA: PAULO OBREQUE . RUT RETIRA: 14391714-2</t>
  </si>
  <si>
    <t>Oscar Aracena Quezada</t>
  </si>
  <si>
    <t>Cinco Sur 4272, Condominio Puesta de Sol, Torre A, depto 2304</t>
  </si>
  <si>
    <t>REL78442</t>
  </si>
  <si>
    <t>258924405</t>
  </si>
  <si>
    <t>NOMBRE RETIRA: CAMILQ BORREGO M RUT RETIRA: 20262273-9</t>
  </si>
  <si>
    <t>Paula Barrios gallardo</t>
  </si>
  <si>
    <t>Oficina Ist, Teniente Manuel Orella 679</t>
  </si>
  <si>
    <t>REL78527</t>
  </si>
  <si>
    <t>259040873</t>
  </si>
  <si>
    <t>NOMBRE RETIRA: PATRICIO LOPEZ . RUT RETIRA: 18843074-0</t>
  </si>
  <si>
    <t>Patricio Lopez quezada</t>
  </si>
  <si>
    <t>Pasaje 815 #1094 , Casa Belloto sur</t>
  </si>
  <si>
    <t>REL78751</t>
  </si>
  <si>
    <t>259084793</t>
  </si>
  <si>
    <t>NOMBRE RETIRA: LINA RENFIGO . RUT RETIRA: 24454102-K</t>
  </si>
  <si>
    <t>Franchesca Barraza Meléndez</t>
  </si>
  <si>
    <t>San Martín 2390, Laboratorio clínico Paul Erhlich</t>
  </si>
  <si>
    <t>REL78906</t>
  </si>
  <si>
    <t>259040092</t>
  </si>
  <si>
    <t>NOMBRE RETIRA: WALTER CELUS VELIS RUT RETIRA: 7939878-0</t>
  </si>
  <si>
    <t>Walter celis parraguez</t>
  </si>
  <si>
    <t>Carretera el cobre 750, Local 1085 Rotter y Krauss</t>
  </si>
  <si>
    <t>REL77826</t>
  </si>
  <si>
    <t>258102239</t>
  </si>
  <si>
    <t>NOMBRE RETIRA: IVAN LABBE . RUT RETIRA: 7687804-8</t>
  </si>
  <si>
    <t>Matias Mora</t>
  </si>
  <si>
    <t>Avenida General Baquedano 635</t>
  </si>
  <si>
    <t>REL78394</t>
  </si>
  <si>
    <t>258924754</t>
  </si>
  <si>
    <t>NOMBRE RETIRA: ALONDRA ELGUETA . RUT RETIRA: 21040123-7</t>
  </si>
  <si>
    <t>Carampangue 757, Edificio Viabilidad</t>
  </si>
  <si>
    <t>REL78645</t>
  </si>
  <si>
    <t>259040199</t>
  </si>
  <si>
    <t>NOMBRE RETIRA: MARJORI GONZALES . RUT RETIRA: 13871889-1</t>
  </si>
  <si>
    <t>Macarena Orostica</t>
  </si>
  <si>
    <t>Av. Balmaceda 2455, 1610</t>
  </si>
  <si>
    <t>REL78608</t>
  </si>
  <si>
    <t>259040483</t>
  </si>
  <si>
    <t>NOMBRE RETIRA: REBECA ESCALANTE . RUT RETIRA: 27492634-1</t>
  </si>
  <si>
    <t>Benjamin Crestá</t>
  </si>
  <si>
    <t>Avenida Balmaceda 2615, 1201</t>
  </si>
  <si>
    <t>REL78403</t>
  </si>
  <si>
    <t>258924702</t>
  </si>
  <si>
    <t>Cesar Troncoso</t>
  </si>
  <si>
    <t>Av. Balmaceda 2615, Depto 1400</t>
  </si>
  <si>
    <t>REL78435</t>
  </si>
  <si>
    <t>258924465</t>
  </si>
  <si>
    <t>NOMBRE RETIRA: MARGARITA PINO . RUT RETIRA: 15934526-2</t>
  </si>
  <si>
    <t>Margarita Pino Saldaña</t>
  </si>
  <si>
    <t>Negrete 1401 San Fernando, Departamento Jurídico del Hospital de San Fernando</t>
  </si>
  <si>
    <t>REL78900</t>
  </si>
  <si>
    <t>259084677</t>
  </si>
  <si>
    <t>NOMBRE RETIRA: MIRIAM ESPINOZA . RUT RETIRA: 17360812-8</t>
  </si>
  <si>
    <t>Miriam Espinoza</t>
  </si>
  <si>
    <t>El trigo 1814</t>
  </si>
  <si>
    <t>REL78379</t>
  </si>
  <si>
    <t>258924846</t>
  </si>
  <si>
    <t>NOMBRE RETIRA: RUDI VAZQUES . RUT RETIRA: 10311425-K</t>
  </si>
  <si>
    <t>Cesar Vasquez</t>
  </si>
  <si>
    <t>Pasaje 7 #988 , casa en Villas Unidas, Alerce Sur</t>
  </si>
  <si>
    <t>REL78897</t>
  </si>
  <si>
    <t>259084727</t>
  </si>
  <si>
    <t>NOMBRE RETIRA: KARINA VELASQUEZ . RUT RETIRA: 13727398-5</t>
  </si>
  <si>
    <t>Marcos Oyarzun  Tecay</t>
  </si>
  <si>
    <t>Oviedo 1783</t>
  </si>
  <si>
    <t>REL78278</t>
  </si>
  <si>
    <t>258576664</t>
  </si>
  <si>
    <t>NOMBRE RETIRA: ANTONIA BLANCO . RUT RETIRA: 19754092-3</t>
  </si>
  <si>
    <t>Josefina Carrasco</t>
  </si>
  <si>
    <t>Tocopilla 551, Hotel awasi</t>
  </si>
  <si>
    <t>REL78656</t>
  </si>
  <si>
    <t>259040140</t>
  </si>
  <si>
    <t>NOMBRE RETIRA: CLAUDIO MORA ENTREGADO RUT RETIRA: 18374926-9</t>
  </si>
  <si>
    <t>Claudio Andrés Mora Gómez</t>
  </si>
  <si>
    <t>El Monte 790, Casa</t>
  </si>
  <si>
    <t>REL78724</t>
  </si>
  <si>
    <t>259084855</t>
  </si>
  <si>
    <t>NOMBRE RETIRA: JESSICA GARAY GARAY RUT RETIRA: 13502563-1</t>
  </si>
  <si>
    <t>Ronald Zamorano moreno</t>
  </si>
  <si>
    <t>Avenida Arturo prat 502, Casa</t>
  </si>
  <si>
    <t>REL78629</t>
  </si>
  <si>
    <t>259040314</t>
  </si>
  <si>
    <t>NOMBRE RETIRA: FERNANDA LAZO . RUT RETIRA: 10311425-K</t>
  </si>
  <si>
    <t>Fernanda Lazo</t>
  </si>
  <si>
    <t>Los Condores Mz 14 Casa 7, Casa</t>
  </si>
  <si>
    <t>REL78752</t>
  </si>
  <si>
    <t>259084791</t>
  </si>
  <si>
    <t>NOMBRE RETIRA: ALEXANDRA JARA . RUT RETIRA: 20327061-5</t>
  </si>
  <si>
    <t>Alexis Calfuleo Morales</t>
  </si>
  <si>
    <t>Siete venas #0528, Casa</t>
  </si>
  <si>
    <t>REL78591</t>
  </si>
  <si>
    <t>259040597</t>
  </si>
  <si>
    <t>NOMBRE RETIRA: CAROLINA AMARO J RUT RETIRA: 10046540-K</t>
  </si>
  <si>
    <t>Carolina Amaro Romero</t>
  </si>
  <si>
    <t>Bío Bío 1090, 603</t>
  </si>
  <si>
    <t>REL78739</t>
  </si>
  <si>
    <t>259084840</t>
  </si>
  <si>
    <t>NOMBRE RETIRA: RODRIGO CARCAMO . RUT RETIRA: 12345678-5</t>
  </si>
  <si>
    <t>erika henriquez</t>
  </si>
  <si>
    <t>Av. Alessandri 187</t>
  </si>
  <si>
    <t>REL78860</t>
  </si>
  <si>
    <t>259084763</t>
  </si>
  <si>
    <t>NOMBRE RETIRA: CAROLINA SOTOMAYOR . RUT RETIRA: 18734021-7</t>
  </si>
  <si>
    <t>Carolina Sotomayor Ojeda</t>
  </si>
  <si>
    <t>Gnechen 1981</t>
  </si>
  <si>
    <t>REL78430</t>
  </si>
  <si>
    <t>258924533</t>
  </si>
  <si>
    <t>NOMBRE RETIRA: RSUL ULLOA .. RUT RETIRA: 18028141-K</t>
  </si>
  <si>
    <t>Isabel Alvarez Quiroz</t>
  </si>
  <si>
    <t>Coronel del canto, Manzana 4 Casa 18, Pob. RenÉ Schneider, Manzana 4 casa 18</t>
  </si>
  <si>
    <t>REL78613</t>
  </si>
  <si>
    <t>259040413</t>
  </si>
  <si>
    <t>NOMBRE RETIRA: MONSERRAT CACERS CA RUT RETIRA: 15106528-7</t>
  </si>
  <si>
    <t>Monserrat Cáceres vergara</t>
  </si>
  <si>
    <t>Azapa 1078, Villa Nelson Pereira</t>
  </si>
  <si>
    <t>REL78818</t>
  </si>
  <si>
    <t>258923808</t>
  </si>
  <si>
    <t>NOMBRE RETIRA: LAURA QUINTERO . RUT RETIRA: 25781826-8</t>
  </si>
  <si>
    <t>Priscila Gonzalez</t>
  </si>
  <si>
    <t>Michimavida 240, valle Volcanes</t>
  </si>
  <si>
    <t>REL78367</t>
  </si>
  <si>
    <t>258924944</t>
  </si>
  <si>
    <t>NOMBRE RETIRA: ROMINA CORDERO LOPEZ RUT RETIRA: 17333419-2</t>
  </si>
  <si>
    <t>Romina Alejandra Cordero lopez</t>
  </si>
  <si>
    <t>Coronel Marzán 546, Casa Villa ilustración</t>
  </si>
  <si>
    <t>REL78582</t>
  </si>
  <si>
    <t>259040662</t>
  </si>
  <si>
    <t>NOMBRE RETIRA: MARCELA MAMANI . RUT RETIRA: 13214085-5</t>
  </si>
  <si>
    <t>Paola Mamani</t>
  </si>
  <si>
    <t>Av. Salvador Allende Gossens 2928 , Casa frente a pdi</t>
  </si>
  <si>
    <t>REL78785</t>
  </si>
  <si>
    <t>259084777</t>
  </si>
  <si>
    <t>NOMBRE RETIRA: YERCO URREA . RUT RETIRA: 65234233-7</t>
  </si>
  <si>
    <t>Javiera Buttcovich</t>
  </si>
  <si>
    <t>Avenida Prat 1431, Depto 303</t>
  </si>
  <si>
    <t>REL78410</t>
  </si>
  <si>
    <t>258924627</t>
  </si>
  <si>
    <t>NOMBRE RETIRA: MARIA PAZ VERGARA . RUT RETIRA: 19089657-9</t>
  </si>
  <si>
    <t>Mariapaz Vergara</t>
  </si>
  <si>
    <t>Paula Jaraquemada 385</t>
  </si>
  <si>
    <t>REL78362</t>
  </si>
  <si>
    <t>258576248</t>
  </si>
  <si>
    <t>NOMBRE RETIRA: DANIELA SANCHEZ . RUT RETIRA: 15208824-8</t>
  </si>
  <si>
    <t>Daniela Sanchez fernandez</t>
  </si>
  <si>
    <t>Silesia 01213</t>
  </si>
  <si>
    <t>REL78611</t>
  </si>
  <si>
    <t>259040471</t>
  </si>
  <si>
    <t>NOMBRE RETIRA: MALU ALMANACIF . RUT RETIRA: 13516982-K</t>
  </si>
  <si>
    <t>Malu Almonacid Puentes</t>
  </si>
  <si>
    <t>Radal 569</t>
  </si>
  <si>
    <t>REL78781</t>
  </si>
  <si>
    <t>259084798</t>
  </si>
  <si>
    <t>NOMBRE RETIRA: EDUARDO MOLINA . RUT RETIRA: 21411932-3</t>
  </si>
  <si>
    <t>Melany Araneda Ahumada</t>
  </si>
  <si>
    <t>Av. Cristóbal Colón 8185 Depto. 708 Torre B</t>
  </si>
  <si>
    <t>REL78499</t>
  </si>
  <si>
    <t>258923913</t>
  </si>
  <si>
    <t>NOMBRE RETIRA: FRANCO OLIVARES . RUT RETIRA: 21969324-9</t>
  </si>
  <si>
    <t>Verónica Reyes  Ramírez</t>
  </si>
  <si>
    <t>Padre Luis Belmar  0136 Alto lo Castillo, Casa</t>
  </si>
  <si>
    <t>REL78492</t>
  </si>
  <si>
    <t>258923963</t>
  </si>
  <si>
    <t>NOMBRE RETIRA: CARMEN LEON T RUT RETIRA: 10221298-3</t>
  </si>
  <si>
    <t>Jasna Ruiz Ojeda</t>
  </si>
  <si>
    <t>Jotabeche 2966, Santa Clara</t>
  </si>
  <si>
    <t>REL78875</t>
  </si>
  <si>
    <t>259084736</t>
  </si>
  <si>
    <t>NOMBRE RETIRA: DANIEL TORRES . RUT RETIRA: 18632165-0</t>
  </si>
  <si>
    <t>Daniel Torres Lafferte</t>
  </si>
  <si>
    <t>Parque Nacional Lauca 1321</t>
  </si>
  <si>
    <t>REL78556</t>
  </si>
  <si>
    <t>259040779</t>
  </si>
  <si>
    <t>NOMBRE RETIRA: FELIPE GARCUA . RUT RETIRA: 20354678-5</t>
  </si>
  <si>
    <t>Herman Orellana</t>
  </si>
  <si>
    <t>Av Sendero de estrellas 401, Casa 69</t>
  </si>
  <si>
    <t>REL78529</t>
  </si>
  <si>
    <t>259040871</t>
  </si>
  <si>
    <t>NOMBRE RETIRA: MARTIN VILLALOBOS . RUT RETIRA: 11879757-4</t>
  </si>
  <si>
    <t>Martin Villalobos</t>
  </si>
  <si>
    <t>Guillermo Portales Vicuña  2574 , punta mira norte</t>
  </si>
  <si>
    <t>REL78416</t>
  </si>
  <si>
    <t>258924580</t>
  </si>
  <si>
    <t>NOMBRE RETIRA: KARUNA AGUILA . RUT RETIRA: 16934041-2</t>
  </si>
  <si>
    <t>Karina Aguila</t>
  </si>
  <si>
    <t>Bosque Costero 1571 , Casa Bosquemar</t>
  </si>
  <si>
    <t>REL78396</t>
  </si>
  <si>
    <t>258924717</t>
  </si>
  <si>
    <t>NOMBRE RETIRA: LUIS CAMPODONICO . RUT RETIRA: 53303487-K</t>
  </si>
  <si>
    <t>Emanuel Walter</t>
  </si>
  <si>
    <t>Viana 433, Departamento</t>
  </si>
  <si>
    <t>REL78481</t>
  </si>
  <si>
    <t>258924031</t>
  </si>
  <si>
    <t>NOMBRE RETIRA: ERBESTO ROS . RUT RETIRA: 6989371-6</t>
  </si>
  <si>
    <t>Ximena Delgado Fernandez</t>
  </si>
  <si>
    <t>Cabo de Hornos 2045, Depto 604 Torre 2</t>
  </si>
  <si>
    <t>REL78854</t>
  </si>
  <si>
    <t>258923638</t>
  </si>
  <si>
    <t>NOMBRE RETIRA: OMAR MORALES .. RUT RETIRA: 19616823-0</t>
  </si>
  <si>
    <t>Nicolás Kameid</t>
  </si>
  <si>
    <t>Arrieta 410, villa alemana, Casa esquina</t>
  </si>
  <si>
    <t>REL78462</t>
  </si>
  <si>
    <t>258924154</t>
  </si>
  <si>
    <t>NOMBRE RETIRA: ERIKA .. . RUT RETIRA: 16142734-9</t>
  </si>
  <si>
    <t>Mario Gutierrez</t>
  </si>
  <si>
    <t>Mostoles 1848, Casa 1848</t>
  </si>
  <si>
    <t>REL78482</t>
  </si>
  <si>
    <t>258924043</t>
  </si>
  <si>
    <t>NOMBRE RETIRA: FERNANDO URRUTIA B RUT RETIRA: 53323909-9</t>
  </si>
  <si>
    <t>Tomás Mendoza</t>
  </si>
  <si>
    <t>Valle Las Monjas 670, Condominio Santa Carmen , Casa 41</t>
  </si>
  <si>
    <t>REL78895</t>
  </si>
  <si>
    <t>259084705</t>
  </si>
  <si>
    <t>NOMBRE RETIRA: LORETO ROBWRT ROBERT . RUT RETIRA: 7666950-3</t>
  </si>
  <si>
    <t>Tomás Valderas rivera</t>
  </si>
  <si>
    <t>Rio lenga 99</t>
  </si>
  <si>
    <t>REL78609</t>
  </si>
  <si>
    <t>259040455</t>
  </si>
  <si>
    <t>NOMBRE RETIRA: ANA DEL CANTO URRELO RUT RETIRA: 18968980-2</t>
  </si>
  <si>
    <t>manuel cortazar 4527, d43</t>
  </si>
  <si>
    <t>REL78753</t>
  </si>
  <si>
    <t>259084813</t>
  </si>
  <si>
    <t>NOMBRE RETIRA: JORGE MUNOS CONSERJE RUT RETIRA: 5252433-4</t>
  </si>
  <si>
    <t>Sonja leiva arteaga</t>
  </si>
  <si>
    <t>Calle j 889, 28</t>
  </si>
  <si>
    <t>REL78550</t>
  </si>
  <si>
    <t>259040799</t>
  </si>
  <si>
    <t>NOMBRE RETIRA: JOHANA ADONES RECEPCIOM RUT RETIRA: 12805464-2</t>
  </si>
  <si>
    <t>Catalina Cavieres</t>
  </si>
  <si>
    <t>Av El Sauce 50, 1001</t>
  </si>
  <si>
    <t>REL78461</t>
  </si>
  <si>
    <t>258924201</t>
  </si>
  <si>
    <t>NOMBRE RETIRA: FANY ORTIZ . RUT RETIRA: 10560563-3</t>
  </si>
  <si>
    <t>Diego Placencia</t>
  </si>
  <si>
    <t>Rio Tolten 5626</t>
  </si>
  <si>
    <t>REL78523</t>
  </si>
  <si>
    <t>259040906</t>
  </si>
  <si>
    <t>NOMBRE RETIRA: ANA ROJAS 0 RUT RETIRA: 16005910-9</t>
  </si>
  <si>
    <t>Constanza Fernandoy</t>
  </si>
  <si>
    <t>21 norte 4170, Apt. 403 C</t>
  </si>
  <si>
    <t>REL78616</t>
  </si>
  <si>
    <t>259040407</t>
  </si>
  <si>
    <t>NOMBRE RETIRA: MARCOS SOTO . RUT RETIRA: 8078017-6</t>
  </si>
  <si>
    <t>Gerson Soto Riffo</t>
  </si>
  <si>
    <t>Aníbal Pinto 163</t>
  </si>
  <si>
    <t>REL78568</t>
  </si>
  <si>
    <t>259040728</t>
  </si>
  <si>
    <t>NOMBRE RETIRA: JOSE RUIZ . RUT RETIRA: 10519872-8</t>
  </si>
  <si>
    <t>Avenida Estocolmo 109, 109</t>
  </si>
  <si>
    <t>REL78431</t>
  </si>
  <si>
    <t>258924507</t>
  </si>
  <si>
    <t>NOMBRE RETIRA: FELIX ACUNA . RUT RETIRA: 53336919-7</t>
  </si>
  <si>
    <t>Daniel Ulloa Heinsohn</t>
  </si>
  <si>
    <t>Avenida olimpia 1680, Torre 3, depto 507</t>
  </si>
  <si>
    <t>REL78586</t>
  </si>
  <si>
    <t>259040605</t>
  </si>
  <si>
    <t>NOMBRE RETIRA: ANA CASTRO . RUT RETIRA: 10750885-6</t>
  </si>
  <si>
    <t>Ana María Castro Rosales</t>
  </si>
  <si>
    <t>Las Heras 1025, 1405</t>
  </si>
  <si>
    <t>REL78542</t>
  </si>
  <si>
    <t>259040819</t>
  </si>
  <si>
    <t>NOMBRE RETIRA: MAURICIO FLORES A RUT RETIRA: 56052830-2</t>
  </si>
  <si>
    <t>Sol y Mar 210, F51</t>
  </si>
  <si>
    <t>REL78500</t>
  </si>
  <si>
    <t>258923921</t>
  </si>
  <si>
    <t>NOMBRE RETIRA: ZEYDI CAMPOS CMAPOS RUT RETIRA: 26125287-2</t>
  </si>
  <si>
    <t>Zeidy Campos</t>
  </si>
  <si>
    <t>Palmar De Ocoa 720, 720</t>
  </si>
  <si>
    <t>REL78480</t>
  </si>
  <si>
    <t>258924082</t>
  </si>
  <si>
    <t>NOMBRE RETIRA: LISSETHE FERREIRA . RUT RETIRA: 12533484-9</t>
  </si>
  <si>
    <t>Lissethe Ferreira</t>
  </si>
  <si>
    <t>Juan Ulloa 660</t>
  </si>
  <si>
    <t>REL77989</t>
  </si>
  <si>
    <t>258305588</t>
  </si>
  <si>
    <t>NOMBRE RETIRA: CAMILO CASTILLO CASTILLO RUT RETIRA: 15745271-1</t>
  </si>
  <si>
    <t>Camilo Castillo Bahamonde</t>
  </si>
  <si>
    <t>Federico Arcos 600, 508A</t>
  </si>
  <si>
    <t>REL78853</t>
  </si>
  <si>
    <t>258923633</t>
  </si>
  <si>
    <t>NOMBRE RETIRA: CARMEN ALTUVE . RUT RETIRA: 13160291-K</t>
  </si>
  <si>
    <t>Carmen Altuve</t>
  </si>
  <si>
    <t>Casa Entre El Hospital Y La Terminal De Buses, Bernardo Ohiggins 1140</t>
  </si>
  <si>
    <t>REL78901</t>
  </si>
  <si>
    <t>259084686</t>
  </si>
  <si>
    <t>NOMBRE RETIRA: JUAN CHOAPEU V RUT RETIRA: 13367231-1</t>
  </si>
  <si>
    <t>Rio Cachapoal 25, Dpto 30</t>
  </si>
  <si>
    <t>REL78485</t>
  </si>
  <si>
    <t>258923994</t>
  </si>
  <si>
    <t>NOMBRE RETIRA: KAREN HERRERA . RUT RETIRA: 17725825-3</t>
  </si>
  <si>
    <t>Karen Herrera Villarroel</t>
  </si>
  <si>
    <t>Av. Circunvalación 2180, el bosque</t>
  </si>
  <si>
    <t>REL78397</t>
  </si>
  <si>
    <t>258924710</t>
  </si>
  <si>
    <t>Ignacia Mellado Sanhueza</t>
  </si>
  <si>
    <t>Rengo 1281, 303</t>
  </si>
  <si>
    <t>REL78600</t>
  </si>
  <si>
    <t>259040559</t>
  </si>
  <si>
    <t>NOMBRE RETIRA: ALEJAMDRA QUINTERO . RUT RETIRA: 65203087-4</t>
  </si>
  <si>
    <t>Valeria Zuñiga</t>
  </si>
  <si>
    <t>Jorge ross 975 viña del mar, Depto 78 torre 3</t>
  </si>
  <si>
    <t>REL78784</t>
  </si>
  <si>
    <t>259084770</t>
  </si>
  <si>
    <t>NOMBRE RETIRA: JOSEFINA CABRERA . RUT RETIRA: 17127812-0</t>
  </si>
  <si>
    <t>rodrigo leon</t>
  </si>
  <si>
    <t>Jardines del Bosque 231, Casa 41</t>
  </si>
  <si>
    <t>REL78823</t>
  </si>
  <si>
    <t>258923753</t>
  </si>
  <si>
    <t>NOMBRE RETIRA: RICARDO BUSTAMANTE . RUT RETIRA: 56042990-8</t>
  </si>
  <si>
    <t>Valerie Northcote</t>
  </si>
  <si>
    <t>Av Borgoño 17400, Dp 111</t>
  </si>
  <si>
    <t>REL78910</t>
  </si>
  <si>
    <t>259040062</t>
  </si>
  <si>
    <t>Joaquin Marchant</t>
  </si>
  <si>
    <t>Le mans 1760, B46</t>
  </si>
  <si>
    <t>REL78458</t>
  </si>
  <si>
    <t>258924239</t>
  </si>
  <si>
    <t>NOMBRE RETIRA: LEO MENDEZ . RUT RETIRA: 15591943-4</t>
  </si>
  <si>
    <t>José Guzmán</t>
  </si>
  <si>
    <t>Av. Nahuelbuta 1775. Depto. 11</t>
  </si>
  <si>
    <t>REL78368</t>
  </si>
  <si>
    <t>258924916</t>
  </si>
  <si>
    <t>NOMBRE RETIRA: VICENTE CERENO CERENO RUT RETIRA: 14444529-5</t>
  </si>
  <si>
    <t>Vicente Cereño</t>
  </si>
  <si>
    <t>Av. España 472</t>
  </si>
  <si>
    <t>REL78412</t>
  </si>
  <si>
    <t>258924597</t>
  </si>
  <si>
    <t>NOMBRE RETIRA: RUT MONTIEL 0 RUT RETIRA: 11413260-8</t>
  </si>
  <si>
    <t>REL78625</t>
  </si>
  <si>
    <t>259040335</t>
  </si>
  <si>
    <t>NOMBRE RETIRA: CARO CORTES . RUT RETIRA: 19288285-0</t>
  </si>
  <si>
    <t>Carolina Cortés Jerez</t>
  </si>
  <si>
    <t>Pasaje Pudeto 1881, Casa</t>
  </si>
  <si>
    <t>REL78409</t>
  </si>
  <si>
    <t>258924634</t>
  </si>
  <si>
    <t>NOMBRE RETIRA: KATHERINE CHAMBLAS . RUT RETIRA: 18137927-8</t>
  </si>
  <si>
    <t>Katherina chamblas</t>
  </si>
  <si>
    <t>Av. Llacolen 4934, Casa</t>
  </si>
  <si>
    <t>REL78643</t>
  </si>
  <si>
    <t>259040221</t>
  </si>
  <si>
    <t>NOMBRE RETIRA: PAILA POBKETE M RUT RETIRA: 18293465-8</t>
  </si>
  <si>
    <t>Pasaje Dos 1275</t>
  </si>
  <si>
    <t>REL78923</t>
  </si>
  <si>
    <t>259040043</t>
  </si>
  <si>
    <t>NOMBRE RETIRA: MARCELO SALINA . RUT RETIRA: 65130888-7</t>
  </si>
  <si>
    <t>Marcelo Salinas</t>
  </si>
  <si>
    <t>28 Oriente 232, Entre 8 y 9 Sur</t>
  </si>
  <si>
    <t>REL78489</t>
  </si>
  <si>
    <t>258924011</t>
  </si>
  <si>
    <t>NOMBRE RETIRA: MAURICIO FUENTEALBA . RUT RETIRA: 16830796-9</t>
  </si>
  <si>
    <t>MACARENA VASQUEZ</t>
  </si>
  <si>
    <t>CARLOS VALENTIN GARCIA 3272, 3272</t>
  </si>
  <si>
    <t>REL78469</t>
  </si>
  <si>
    <t>258924166</t>
  </si>
  <si>
    <t>NOMBRE RETIRA: CARLOS MARCHAN Y RUT RETIRA: 65025304-3</t>
  </si>
  <si>
    <t>Eduardo Vivallo</t>
  </si>
  <si>
    <t>Orompello 129, 1907</t>
  </si>
  <si>
    <t>REL78373</t>
  </si>
  <si>
    <t>258924898</t>
  </si>
  <si>
    <t>NOMBRE RETIRA: FRANCISCO FONTANA . RUT RETIRA: 16288936-2</t>
  </si>
  <si>
    <t>Francisco Fontana González</t>
  </si>
  <si>
    <t>Reverendo Padre Gustavo Filippi Muratto 564 , Villa Juanita Fernández, El Melón</t>
  </si>
  <si>
    <t>REL78800</t>
  </si>
  <si>
    <t>258923879</t>
  </si>
  <si>
    <t>NOMBRE RETIRA: PAULINA HERNANDEZ . RUT RETIRA: 14211738-K</t>
  </si>
  <si>
    <t>Paulina Hernandez Jara</t>
  </si>
  <si>
    <t>Camino a Nonguen 547 Casa 31, Condominio Barrio Privado Nonken</t>
  </si>
  <si>
    <t>REL78632</t>
  </si>
  <si>
    <t>259040272</t>
  </si>
  <si>
    <t>NOMBRE RETIRA: SOLEDAD HE NRIWUEZ . RUT RETIRA: 15061130-K</t>
  </si>
  <si>
    <t>Soledad Espina henriquez</t>
  </si>
  <si>
    <t>Pedro Lira 18, Barrio la concepción</t>
  </si>
  <si>
    <t>REL78797</t>
  </si>
  <si>
    <t>258923897</t>
  </si>
  <si>
    <t>NOMBRE RETIRA: RUTH MARTINEZ . RUT RETIRA: 11497916-3</t>
  </si>
  <si>
    <t>Aracelli López Medina</t>
  </si>
  <si>
    <t>Las Maestras 1727, Población O'Higgins</t>
  </si>
  <si>
    <t>REL78389</t>
  </si>
  <si>
    <t>258924795</t>
  </si>
  <si>
    <t>NOMBRE RETIRA: JAVIERA MARDONES T RUT RETIRA: 20439513-6</t>
  </si>
  <si>
    <t>Angie Sanchez</t>
  </si>
  <si>
    <t>Lautaro 378 , local 2</t>
  </si>
  <si>
    <t>REL78578</t>
  </si>
  <si>
    <t>259040671</t>
  </si>
  <si>
    <t>NOMBRE RETIRA: MAURICIO FLORES . RUT RETIRA: 56052830-2</t>
  </si>
  <si>
    <t>Daniella Perfetti</t>
  </si>
  <si>
    <t>Sol y mar 210, J 42</t>
  </si>
  <si>
    <t>REL78398</t>
  </si>
  <si>
    <t>258924725</t>
  </si>
  <si>
    <t>NOMBRE RETIRA: MARTIZA ORDENES O RUT RETIRA: 65067074-4</t>
  </si>
  <si>
    <t>Maritza Ordenes S.</t>
  </si>
  <si>
    <t>Olivar 47</t>
  </si>
  <si>
    <t>REL78872</t>
  </si>
  <si>
    <t>259084743</t>
  </si>
  <si>
    <t>NOMBRE RETIRA: JOCELYN GAETE . RUT RETIRA: 16553338-0</t>
  </si>
  <si>
    <t>Jocelyn Gaete</t>
  </si>
  <si>
    <t>Pasaje las becacinas 1803, Las torcazas</t>
  </si>
  <si>
    <t>REL78413</t>
  </si>
  <si>
    <t>258924615</t>
  </si>
  <si>
    <t>NOMBRE RETIRA: JORGE PARADA PARADA RUT RETIRA: 8576745-3</t>
  </si>
  <si>
    <t>Jorge Parada  Barraza</t>
  </si>
  <si>
    <t>Nitella 60, Jardín del Mar</t>
  </si>
  <si>
    <t>REL78525</t>
  </si>
  <si>
    <t>259040888</t>
  </si>
  <si>
    <t>NOMBRE RETIRA: NICOLAS POZO 0 RUT RETIRA: 22167949-0</t>
  </si>
  <si>
    <t>cristian pozo</t>
  </si>
  <si>
    <t>O'Higgins 442, Casa</t>
  </si>
  <si>
    <t>REL78558</t>
  </si>
  <si>
    <t>259040748</t>
  </si>
  <si>
    <t>NOMBRE RETIRA: MARTIN CAMPOS CAMPOS RUT RETIRA: 19589497-3</t>
  </si>
  <si>
    <t>Barbara Espinoza Diaz</t>
  </si>
  <si>
    <t>Confederación 788, Población diego portales</t>
  </si>
  <si>
    <t>REL78622</t>
  </si>
  <si>
    <t>259040384</t>
  </si>
  <si>
    <t>NOMBRE RETIRA: PAULA PIZARRO PIZARRO RUT RETIRA: 15855589-1</t>
  </si>
  <si>
    <t>Paula Pizarro Heyer</t>
  </si>
  <si>
    <t>Francisco Encina 2626, Lonco Norte</t>
  </si>
  <si>
    <t>REL77775</t>
  </si>
  <si>
    <t>9391781335</t>
  </si>
  <si>
    <t>Francisca Rangel Ahumada</t>
  </si>
  <si>
    <t>Pje. Baquedano 241</t>
  </si>
  <si>
    <t>2025-11-24 11:34</t>
  </si>
  <si>
    <t>REL78871</t>
  </si>
  <si>
    <t>259084758</t>
  </si>
  <si>
    <t>NOMBRE RETIRA: MACARENA FERNANDEZ . RUT RETIRA: 77393481-9</t>
  </si>
  <si>
    <t>Macarena Fernandez Mattar</t>
  </si>
  <si>
    <t>Manuel Bayon 639, Casa 11, condominio Bayon</t>
  </si>
  <si>
    <t>REL78662</t>
  </si>
  <si>
    <t>259040126</t>
  </si>
  <si>
    <t>NOMBRE RETIRA: DIXON LANDAETA B RUT RETIRA: 17395803-K</t>
  </si>
  <si>
    <t>Dixon Landaeta Jara</t>
  </si>
  <si>
    <t>Av. Andalién 1148</t>
  </si>
  <si>
    <t>REL78736</t>
  </si>
  <si>
    <t>259084825</t>
  </si>
  <si>
    <t>NOMBRE RETIRA: ANGIE MAITLAND A RUT RETIRA: 20098619-9</t>
  </si>
  <si>
    <t>Angie Maitland Garrido</t>
  </si>
  <si>
    <t>Villa tolten 3, Casa 3</t>
  </si>
  <si>
    <t>REL78576</t>
  </si>
  <si>
    <t>259040680</t>
  </si>
  <si>
    <t>Nikolai Zarecki</t>
  </si>
  <si>
    <t>María Angélica 99, depto. 154 .Condominio costa herradura</t>
  </si>
  <si>
    <t>REL78816</t>
  </si>
  <si>
    <t>258923825</t>
  </si>
  <si>
    <t>NOMBRE RETIRA: MARCELA CARRASCO T RUT RETIRA: 18832876-8</t>
  </si>
  <si>
    <t>Marcela Carrasco Tapia</t>
  </si>
  <si>
    <t>Camino Colonia Bernardo O'Higgins 2300, Casa 32</t>
  </si>
  <si>
    <t>REL78887</t>
  </si>
  <si>
    <t>259084700</t>
  </si>
  <si>
    <t>NOMBRE RETIRA: JORGE ALVARES . RUT RETIRA: 12182166-4</t>
  </si>
  <si>
    <t>Carmen Gloria Crovetto Hickmann</t>
  </si>
  <si>
    <t>Chacabuco 155, 155</t>
  </si>
  <si>
    <t>REL78590</t>
  </si>
  <si>
    <t>259041245</t>
  </si>
  <si>
    <t>NOMBRE RETIRA: LUIS REYES REYES RUT RETIRA: 7550013-0</t>
  </si>
  <si>
    <t>Avenida Bombero Villalobos 1231, 202A</t>
  </si>
  <si>
    <t>REL78908</t>
  </si>
  <si>
    <t>259040085</t>
  </si>
  <si>
    <t>NOMBRE RETIRA: BORIS MARTINEZ . RUT RETIRA: 13653710-5</t>
  </si>
  <si>
    <t>Boris Martinez</t>
  </si>
  <si>
    <t>La llaveria 232, Llanos de curauma</t>
  </si>
  <si>
    <t>REL78392</t>
  </si>
  <si>
    <t>258924768</t>
  </si>
  <si>
    <t>NOMBRE RETIRA: MARIO BASUALDO B RUT RETIRA: 56049520-K</t>
  </si>
  <si>
    <t>CLAUDIA PORTALES MORENO</t>
  </si>
  <si>
    <t>HALIMEDA 375, 1303-B</t>
  </si>
  <si>
    <t>REL78404</t>
  </si>
  <si>
    <t>258924670</t>
  </si>
  <si>
    <t>NOMBRE RETIRA: EMA HERNANDEZ . RUT RETIRA: 5629870-3</t>
  </si>
  <si>
    <t>Alfredo Rebolar 947</t>
  </si>
  <si>
    <t>REL78598</t>
  </si>
  <si>
    <t>259040565</t>
  </si>
  <si>
    <t>NOMBRE RETIRA: EDUARDO APABLAZA . RUT RETIRA: 16895415-8</t>
  </si>
  <si>
    <t>Luis Rodríguez</t>
  </si>
  <si>
    <t>Bombero Fuentes 45, 804</t>
  </si>
  <si>
    <t>REL78575</t>
  </si>
  <si>
    <t>259040689</t>
  </si>
  <si>
    <t>NOMBRE RETIRA: EDIFICIO LAURENCIA K K RUT RETIRA: 56049570-6</t>
  </si>
  <si>
    <t>Maria jose Bernal Duran</t>
  </si>
  <si>
    <t>Laurencia 420, Dpto 803</t>
  </si>
  <si>
    <t>REL78888</t>
  </si>
  <si>
    <t>259084709</t>
  </si>
  <si>
    <t>NOMBRE RETIRA: CRISTOFER VALFEBENITO . RUT RETIRA: 21688920-7</t>
  </si>
  <si>
    <t>Cristian Sepúlveda</t>
  </si>
  <si>
    <t>Avenida Manuel Bustos Huerta 2760, Casa 62</t>
  </si>
  <si>
    <t>REL78846</t>
  </si>
  <si>
    <t>258923673</t>
  </si>
  <si>
    <t>NOMBRE RETIRA: MICJAEL LOPEZ . RUT RETIRA: 18216678-2</t>
  </si>
  <si>
    <t>Sergio Montero Muñoz</t>
  </si>
  <si>
    <t>Villa doña Francisca 3, Pasaje El Zarzal 3131</t>
  </si>
  <si>
    <t>REL78421</t>
  </si>
  <si>
    <t>258924568</t>
  </si>
  <si>
    <t>NOMBRE RETIRA: DAVID DOSPITAL . RUT RETIRA: 19417307-5</t>
  </si>
  <si>
    <t>Ximena Aburto Espinoza</t>
  </si>
  <si>
    <t>Jesuitas 191, Colegio Sagrado Corazón de Jesús Chillán</t>
  </si>
  <si>
    <t>2025-11-30 21:21</t>
  </si>
  <si>
    <t>REL78544</t>
  </si>
  <si>
    <t>259040813</t>
  </si>
  <si>
    <t>NOMBRE RETIRA: MARIA CARTES RATTI RUT RETIRA: 5689356-3</t>
  </si>
  <si>
    <t>Maria Cartes Ratti</t>
  </si>
  <si>
    <t>Pasaje Héctor Acuña 1288, 1288. Población Gabriela MistraL</t>
  </si>
  <si>
    <t>REL78415</t>
  </si>
  <si>
    <t>258924605</t>
  </si>
  <si>
    <t>NOMBRE RETIRA: MARIA ANTONIA K RUT RETIRA: 26947835-7</t>
  </si>
  <si>
    <t>MARIA ANTONIA ALUCEMA ARENAS</t>
  </si>
  <si>
    <t>Condominio San Pedro Nolasco Alto. Sitio 17, Altovalsol</t>
  </si>
  <si>
    <t>REL78433</t>
  </si>
  <si>
    <t>258924495</t>
  </si>
  <si>
    <t>NOMBRE RETIRA: MATEO DIAZ . RUT RETIRA: 12345678-5</t>
  </si>
  <si>
    <t>Belén Munoz</t>
  </si>
  <si>
    <t>Tierras rojas 641, B</t>
  </si>
  <si>
    <t>REL78830</t>
  </si>
  <si>
    <t>258923745</t>
  </si>
  <si>
    <t>NOMBRE RETIRA: JUAN FABREGA . . RUT RETIRA: 16053153-3</t>
  </si>
  <si>
    <t>Juan Fabrega</t>
  </si>
  <si>
    <t>Anibal Pinto 2533, Casa</t>
  </si>
  <si>
    <t>REL78378</t>
  </si>
  <si>
    <t>258924854</t>
  </si>
  <si>
    <t>NOMBRE RETIRA: LESLIE GONZALEZ . RUT RETIRA: 17628535-4</t>
  </si>
  <si>
    <t>Leslie Gonzalez</t>
  </si>
  <si>
    <t>Av. Gral. Bartolomé Blanche 2447</t>
  </si>
  <si>
    <t>REL78733</t>
  </si>
  <si>
    <t>259084841</t>
  </si>
  <si>
    <t>NOMBRE RETIRA: LUCIANO SENULCEDA B RUT RETIRA: 12607161-2</t>
  </si>
  <si>
    <t>Luciano Sepulveda</t>
  </si>
  <si>
    <t>24 sur 153, Casa esquina amarilla al llegar a 12 poniente</t>
  </si>
  <si>
    <t>REL78754</t>
  </si>
  <si>
    <t>259084788</t>
  </si>
  <si>
    <t>NOMBRE RETIRA: JAVIER J J RUT RETIRA: 56049520-K</t>
  </si>
  <si>
    <t>Carla Aravena</t>
  </si>
  <si>
    <t>Av Jardines de Reñaca 50, Depto 18 Costa Vista</t>
  </si>
  <si>
    <t>REL78422</t>
  </si>
  <si>
    <t>258924546</t>
  </si>
  <si>
    <t>NOMBRE RETIRA: ILSW ACEVEDO . RUT RETIRA: 20619541-K</t>
  </si>
  <si>
    <t>Ilse Acevedo Gandolfo</t>
  </si>
  <si>
    <t>Lomas de Curamavida, parcela G27, Casa</t>
  </si>
  <si>
    <t>REL78308</t>
  </si>
  <si>
    <t>258576489</t>
  </si>
  <si>
    <t>NOMBRE RETIRA: CAROLINA LIZANA GONZAKEZ RUT RETIRA: 15345499-K</t>
  </si>
  <si>
    <t>Carolina Lizana</t>
  </si>
  <si>
    <t>Nueva Villarrica 1070, 1070</t>
  </si>
  <si>
    <t>REL78491</t>
  </si>
  <si>
    <t>258923954</t>
  </si>
  <si>
    <t>NOMBRE RETIRA: CAMILA VARGAS . RUT RETIRA: 7080348-8</t>
  </si>
  <si>
    <t>camila vargas dib</t>
  </si>
  <si>
    <t>bill san raimundo, casa 7</t>
  </si>
  <si>
    <t>REL78786</t>
  </si>
  <si>
    <t>259084767</t>
  </si>
  <si>
    <t>NOMBRE RETIRA: SONIA PLACENCIA H RUT RETIRA: 16033388-K</t>
  </si>
  <si>
    <t>Paolo Canto Giuliucci</t>
  </si>
  <si>
    <t>Las Rosas 488 Dpto. 731. Condominio Cumbres de Lantaño</t>
  </si>
  <si>
    <t>REL78604</t>
  </si>
  <si>
    <t>259040531</t>
  </si>
  <si>
    <t>NOMBRE RETIRA: SARA ROJAS . RUT RETIRA: 20088616-K</t>
  </si>
  <si>
    <t>Sara SARA ROJAS</t>
  </si>
  <si>
    <t>Av. Héctor Humeres 561, 41, 41 condominio la vendimia</t>
  </si>
  <si>
    <t>2025-12-01 19:29</t>
  </si>
  <si>
    <t>REL78453</t>
  </si>
  <si>
    <t>258924263</t>
  </si>
  <si>
    <t>NOMBRE RETIRA: RAMON YANEZ . RUT RETIRA: 6828328-0</t>
  </si>
  <si>
    <t>Ramon yañez</t>
  </si>
  <si>
    <t>El estribo 389</t>
  </si>
  <si>
    <t>REL78849</t>
  </si>
  <si>
    <t>258923665</t>
  </si>
  <si>
    <t>NOMBRE RETIRA: SUSANA RUIZ . RUT RETIRA: 53337262-7</t>
  </si>
  <si>
    <t>Luis Gutiérrez</t>
  </si>
  <si>
    <t>Avenida Collao 794, Depto 1014</t>
  </si>
  <si>
    <t>REL78490</t>
  </si>
  <si>
    <t>258924005</t>
  </si>
  <si>
    <t>NOMBRE RETIRA: HECTOR FIGUEROA . RUT RETIRA: 7429709-9</t>
  </si>
  <si>
    <t>Lucia Vergara</t>
  </si>
  <si>
    <t>Camino El Venado 284, Depto 25A</t>
  </si>
  <si>
    <t>REL78812</t>
  </si>
  <si>
    <t>258923815</t>
  </si>
  <si>
    <t>NOMBRE RETIRA: DARLIN RAMIREZ P RUT RETIRA: 19110529-K</t>
  </si>
  <si>
    <t>Darlin Ramirez</t>
  </si>
  <si>
    <t>Av Bayona 1847, Edificio 3, Dpto 102</t>
  </si>
  <si>
    <t>REL78601</t>
  </si>
  <si>
    <t>259040537</t>
  </si>
  <si>
    <t>NOMBRE RETIRA: ANTONIA ANSALDI . RUT RETIRA: 19940213-7</t>
  </si>
  <si>
    <t>Claudia Montero</t>
  </si>
  <si>
    <t>Arturo prat 283</t>
  </si>
  <si>
    <t>REL78419</t>
  </si>
  <si>
    <t>258924575</t>
  </si>
  <si>
    <t>Francesca Gutiérrez Zapata</t>
  </si>
  <si>
    <t>Pje. Dos 3507, San Pedro de la Paz, Casa</t>
  </si>
  <si>
    <t>REL78652</t>
  </si>
  <si>
    <t>259040172</t>
  </si>
  <si>
    <t>NOMBRE RETIRA: VALERIA HERRERA . RUT RETIRA: 13982635-3</t>
  </si>
  <si>
    <t>Ivan Fuster Donoso</t>
  </si>
  <si>
    <t>Tucapel 129, Casa</t>
  </si>
  <si>
    <t>REL78898</t>
  </si>
  <si>
    <t>259084699</t>
  </si>
  <si>
    <t>NOMBRE RETIRA: GLORIA LEIVA . RUT RETIRA: 14398357-9</t>
  </si>
  <si>
    <t>Gloria Leiva</t>
  </si>
  <si>
    <t>3 oriente 1760, Casa</t>
  </si>
  <si>
    <t>REL78737</t>
  </si>
  <si>
    <t>259084821</t>
  </si>
  <si>
    <t>NOMBRE RETIRA: JORGE KENDAK . RUT RETIRA: 8797584-3</t>
  </si>
  <si>
    <t>Vicente Becerra</t>
  </si>
  <si>
    <t>3 Sur 1150, Departamento 1204</t>
  </si>
  <si>
    <t>REL78935</t>
  </si>
  <si>
    <t>259039942</t>
  </si>
  <si>
    <t>pablo alegre</t>
  </si>
  <si>
    <t>REGIMIENTO ARICA 901, OFICINA 211, CONAF</t>
  </si>
  <si>
    <t>REL78771</t>
  </si>
  <si>
    <t>259084781</t>
  </si>
  <si>
    <t>NOMBRE RETIRA: WILLIAN VILENTINE . . RUT RETIRA: 19109789-0</t>
  </si>
  <si>
    <t>Catherinne Torres</t>
  </si>
  <si>
    <t>Los piñones 30, 2</t>
  </si>
  <si>
    <t>REL78742</t>
  </si>
  <si>
    <t>259084794</t>
  </si>
  <si>
    <t>NOMBRE RETIRA: GASPAR CONTRERAS CONTRERAS RUT RETIRA: 20038927-1</t>
  </si>
  <si>
    <t>Gaspar Contreras</t>
  </si>
  <si>
    <t>Jose Manuel Irarrazabal 251, Casa</t>
  </si>
  <si>
    <t>REL78782</t>
  </si>
  <si>
    <t>259084757</t>
  </si>
  <si>
    <t>NOMBRE RETIRA: SILVANA REYES .. RUT RETIRA: 65077568-6</t>
  </si>
  <si>
    <t>Jean Paul Morchio</t>
  </si>
  <si>
    <t>Alto Laguna 181, Depto 308-B, Curauma</t>
  </si>
  <si>
    <t>REL78134</t>
  </si>
  <si>
    <t>258574920</t>
  </si>
  <si>
    <t>NOMBRE RETIRA: CONSTANZ CASTILLO Z RUT RETIRA: 14543458-0</t>
  </si>
  <si>
    <t>Constanza Castillo Castro</t>
  </si>
  <si>
    <t>Pedro Quintavalle 2391</t>
  </si>
  <si>
    <t>REL78439</t>
  </si>
  <si>
    <t>258924416</t>
  </si>
  <si>
    <t>NOMBRE RETIRA: RODRIGO MUNOZ ARAYA RUT RETIRA: 17135100-6</t>
  </si>
  <si>
    <t>Lago peñuelas 1530 depto 304</t>
  </si>
  <si>
    <t>REL78479</t>
  </si>
  <si>
    <t>258924090</t>
  </si>
  <si>
    <t>NOMBRE RETIRA: TAMARA VILLA TORO .. .. RUT RETIRA: 9415392-1</t>
  </si>
  <si>
    <t>Tamara Antonia Villatoro Briceño</t>
  </si>
  <si>
    <t>Patria 1909, Casa color ladrillo, reja negra con madera</t>
  </si>
  <si>
    <t>REL78612</t>
  </si>
  <si>
    <t>259040459</t>
  </si>
  <si>
    <t>NOMBRE RETIRA: STJEPSNI MELENDEZ .. RUT RETIRA: 18868550-1</t>
  </si>
  <si>
    <t>Stephania Meléndez</t>
  </si>
  <si>
    <t>Los olivos, 945, Casa. Villa La florida.</t>
  </si>
  <si>
    <t>REL78877</t>
  </si>
  <si>
    <t>259084733</t>
  </si>
  <si>
    <t>NOMBRE RETIRA: FRANCISCO DELZON . RUT RETIRA: 19874332-1</t>
  </si>
  <si>
    <t>francsico delzon</t>
  </si>
  <si>
    <t>Coronel estanislao del canto 352, Casa</t>
  </si>
  <si>
    <t>REL78377</t>
  </si>
  <si>
    <t>258924883</t>
  </si>
  <si>
    <t>NOMBRE RETIRA: CLAUDIA VEGA . RUT RETIRA: 10722996-5</t>
  </si>
  <si>
    <t>Claudia Vega</t>
  </si>
  <si>
    <t>Robison Crusoe 13 , Con Américo Vespucio  Sindempart</t>
  </si>
  <si>
    <t>REL78381</t>
  </si>
  <si>
    <t>258924839</t>
  </si>
  <si>
    <t>NOMBRE RETIRA: MARIA VIDAL FLLF RUT RETIRA: 9269812-2</t>
  </si>
  <si>
    <t>Jose Rebolledo</t>
  </si>
  <si>
    <t>Covadonga 244, 244. Villa Isidora</t>
  </si>
  <si>
    <t>REL78585</t>
  </si>
  <si>
    <t>259040632</t>
  </si>
  <si>
    <t>NOMBRE RETIRA: MARVELA PINO J RUT RETIRA: 11441486-7</t>
  </si>
  <si>
    <t>Marcela Del Pino Escalona</t>
  </si>
  <si>
    <t>Calle 27 sur psje 13 y medio poniente 0785 villa quinto Centenario</t>
  </si>
  <si>
    <t>REL78758</t>
  </si>
  <si>
    <t>259084805</t>
  </si>
  <si>
    <t>NOMBRE RETIRA: LESLY SEPULVEDA . RUT RETIRA: 18857568-4</t>
  </si>
  <si>
    <t>Lesly Sepúlveda</t>
  </si>
  <si>
    <t>Patricio Lynch 146</t>
  </si>
  <si>
    <t>REL78870</t>
  </si>
  <si>
    <t>259084746</t>
  </si>
  <si>
    <t>NOMBRE RETIRA: JAVIERA CACERES . RUT RETIRA: 26999918-7</t>
  </si>
  <si>
    <t>Javiera Caceres</t>
  </si>
  <si>
    <t>Alberto Pino 183, Casa</t>
  </si>
  <si>
    <t>REL78457</t>
  </si>
  <si>
    <t>258924212</t>
  </si>
  <si>
    <t>NOMBRE RETIRA: ISBEL FUENTES . RUT RETIRA: 7236656-5</t>
  </si>
  <si>
    <t>JAVIER FUENTES</t>
  </si>
  <si>
    <t>Chacabuco 773</t>
  </si>
  <si>
    <t>REL78605</t>
  </si>
  <si>
    <t>259040519</t>
  </si>
  <si>
    <t>NOMBRE RETIRA: NICOLAS HENRIQUEZ . RUT RETIRA: 19980892-3</t>
  </si>
  <si>
    <t>Nicolas Henriquez</t>
  </si>
  <si>
    <t>Calle Serrano 529</t>
  </si>
  <si>
    <t>REL78559</t>
  </si>
  <si>
    <t>259040740</t>
  </si>
  <si>
    <t>NOMBRE RETIRA: VALENTIN FORJAN . RUT RETIRA: 9808077-5</t>
  </si>
  <si>
    <t>Natividad Espinoza</t>
  </si>
  <si>
    <t>Pje. Calafquén 15, Villa Don Camilo</t>
  </si>
  <si>
    <t>REL78259</t>
  </si>
  <si>
    <t>258574226</t>
  </si>
  <si>
    <t>NOMBRE RETIRA: JOHANA ROJAS . RUT RETIRA: 12345678-5</t>
  </si>
  <si>
    <t>Johana Rojas villalobos</t>
  </si>
  <si>
    <t>Pasaje gijon 679, Poblacion torreblanca</t>
  </si>
  <si>
    <t>REL78163</t>
  </si>
  <si>
    <t>258574721</t>
  </si>
  <si>
    <t>NOMBRE RETIRA: JHON MARTINEZ . RUT RETIRA: 24126290-1</t>
  </si>
  <si>
    <t>JAVIERA Goldsworthy</t>
  </si>
  <si>
    <t>Edificio Santa coloma de Farnes 904   Iquique, Departamento 1808, piso 18</t>
  </si>
  <si>
    <t>REL78326</t>
  </si>
  <si>
    <t>258576404</t>
  </si>
  <si>
    <t>NOMBRE RETIRA: JORGE CAMINADA MURGA RUT RETIRA: 13873802-7</t>
  </si>
  <si>
    <t>Kesia Catalán</t>
  </si>
  <si>
    <t>Los Carrera 4255, Copiapó</t>
  </si>
  <si>
    <t>REL78129</t>
  </si>
  <si>
    <t>258574896</t>
  </si>
  <si>
    <t>NOMBRE RETIRA: MAURICIO RETAMAL . RUT RETIRA: 17438070-8</t>
  </si>
  <si>
    <t>Mauricio Retamal Suárez</t>
  </si>
  <si>
    <t>Anhidrita 31, 03</t>
  </si>
  <si>
    <t>REL78238</t>
  </si>
  <si>
    <t>258574321</t>
  </si>
  <si>
    <t>NOMBRE RETIRA: JUAN SAAVEDRA . RUT RETIRA: 19434688-3</t>
  </si>
  <si>
    <t>VALENTINA JARA GUTIERREZ</t>
  </si>
  <si>
    <t>OBISPO LABBE 830, 2404</t>
  </si>
  <si>
    <t>REL77936</t>
  </si>
  <si>
    <t>258305920</t>
  </si>
  <si>
    <t>NOMBRE RETIRA: MARIA ACUNA . RUT RETIRA: 6755705-0</t>
  </si>
  <si>
    <t>Carmen Acuña</t>
  </si>
  <si>
    <t>Punta Carrizal 1321, 111</t>
  </si>
  <si>
    <t>REL78213</t>
  </si>
  <si>
    <t>258574397</t>
  </si>
  <si>
    <t>NOMBRE RETIRA: JOHANNA TABILO . RUT RETIRA: 16141901-k</t>
  </si>
  <si>
    <t>Johanna Tabilo</t>
  </si>
  <si>
    <t>El Opapa 36, Casa</t>
  </si>
  <si>
    <t>REL78256</t>
  </si>
  <si>
    <t>258574259</t>
  </si>
  <si>
    <t>NOMBRE RETIRA: FERNANDO CISTERNA . RUT RETIRA: 9319474-8</t>
  </si>
  <si>
    <t>Nataly Cisternas Poblete</t>
  </si>
  <si>
    <t>Salitrera Virginia con san Pedro, 2916-A</t>
  </si>
  <si>
    <t>REL78172</t>
  </si>
  <si>
    <t>258574689</t>
  </si>
  <si>
    <t>NOMBRE RETIRA: KATHERINE FUENTEALBA X RUT RETIRA: 17116029-4</t>
  </si>
  <si>
    <t>Escarlet Kathalina Vergara Agurto</t>
  </si>
  <si>
    <t>Avenida segunda faja 1380, 207C</t>
  </si>
  <si>
    <t>REL78364</t>
  </si>
  <si>
    <t>258576244</t>
  </si>
  <si>
    <t>NOMBRE RETIRA: ANA DIAZ . RUT RETIRA: 9684486-7</t>
  </si>
  <si>
    <t>Juan carlos Huerta diaz</t>
  </si>
  <si>
    <t>Pasaje oriental 7455</t>
  </si>
  <si>
    <t>REL78265</t>
  </si>
  <si>
    <t>258576732</t>
  </si>
  <si>
    <t>NOMBRE RETIRA: NISUKA SOTO B RUT RETIRA: 18234115-0</t>
  </si>
  <si>
    <t>Nisuka Soto</t>
  </si>
  <si>
    <t>Morro de Arica 8749</t>
  </si>
  <si>
    <t>REL78309</t>
  </si>
  <si>
    <t>258576508</t>
  </si>
  <si>
    <t>NOMBRE RETIRA: JUAN RAMIREZ . RUT RETIRA: 8419204-K</t>
  </si>
  <si>
    <t>Sebastian Ramiirez</t>
  </si>
  <si>
    <t>Crispin Reyes 7836, casa</t>
  </si>
  <si>
    <t>REL78157</t>
  </si>
  <si>
    <t>258574746</t>
  </si>
  <si>
    <t>NOMBRE RETIRA: ROSA ANDRADE . RUT RETIRA: 14441324-5</t>
  </si>
  <si>
    <t>Susana Reichert</t>
  </si>
  <si>
    <t>Camino quebrada honda km 1,5 loteo Lavanda Lote 12 , Frutillar, Parcela 12</t>
  </si>
  <si>
    <t>REL78288</t>
  </si>
  <si>
    <t>258576564</t>
  </si>
  <si>
    <t>NOMBRE RETIRA: ROBERTO PARAPE . RUT RETIRA: 4545241-7</t>
  </si>
  <si>
    <t>Portezuelo del inca 3986</t>
  </si>
  <si>
    <t>REL78316</t>
  </si>
  <si>
    <t>258576455</t>
  </si>
  <si>
    <t>NOMBRE RETIRA: AGATHA RIQUEL.E . RUT RETIRA: 19089657-9</t>
  </si>
  <si>
    <t>Agatha Riquelme Nanjari</t>
  </si>
  <si>
    <t>Pasaje 11, Amapolas, Talcahuano, 4809</t>
  </si>
  <si>
    <t>REL78241</t>
  </si>
  <si>
    <t>258574274</t>
  </si>
  <si>
    <t>NOMBRE RETIRA: MARYELI GONEZ . RUT RETIRA: 27456369-9</t>
  </si>
  <si>
    <t>Sophia Alquinta</t>
  </si>
  <si>
    <t>Avenida Francisco Bilbao 3713, Depto 1805 edificio bellaterra</t>
  </si>
  <si>
    <t>REL78204</t>
  </si>
  <si>
    <t>258574498</t>
  </si>
  <si>
    <t>NOMBRE RETIRA: ANDREA PEREZ . RUT RETIRA: 24308608-6</t>
  </si>
  <si>
    <t>Vania Cortés Salas</t>
  </si>
  <si>
    <t>Oficina Lastenia 11850, Block 6 dpto. 401</t>
  </si>
  <si>
    <t>REL78147</t>
  </si>
  <si>
    <t>258574814</t>
  </si>
  <si>
    <t>NOMBRE RETIRA: NOEMI IRARRAZABAL . RUT RETIRA: 20907311-0</t>
  </si>
  <si>
    <t>Mi Lee Teran Berna</t>
  </si>
  <si>
    <t>Avenida Balmaceda 1466, Depto 1309</t>
  </si>
  <si>
    <t>REL78262</t>
  </si>
  <si>
    <t>258574191</t>
  </si>
  <si>
    <t>NOMBRE RETIRA: INGRID VIDAL . RUT RETIRA: 33571004-5</t>
  </si>
  <si>
    <t>Carola Fuentes</t>
  </si>
  <si>
    <t>Avda. Salvador Allende 560, Departamento 701-B</t>
  </si>
  <si>
    <t>REL78201</t>
  </si>
  <si>
    <t>258574512</t>
  </si>
  <si>
    <t>NOMBRE RETIRA: ANA URIBE . RUT RETIRA: 12792717-0</t>
  </si>
  <si>
    <t>Daniela Bustos</t>
  </si>
  <si>
    <t>Balmaceda 375 local 2 DABU</t>
  </si>
  <si>
    <t>REL78235</t>
  </si>
  <si>
    <t>258574315</t>
  </si>
  <si>
    <t>NOMBRE RETIRA: ANIBAL TAPIA . RUT RETIRA: 19463378-5</t>
  </si>
  <si>
    <t>Julio Fritis</t>
  </si>
  <si>
    <t>Avenida prat 2128, Casa71</t>
  </si>
  <si>
    <t>REL78219</t>
  </si>
  <si>
    <t>258574402</t>
  </si>
  <si>
    <t>NOMBRE RETIRA: MARTIN MORA . RUT RETIRA: 10540208-2</t>
  </si>
  <si>
    <t>Karen Salinas</t>
  </si>
  <si>
    <t>Río Juncal 157</t>
  </si>
  <si>
    <t>REL78332</t>
  </si>
  <si>
    <t>258576357</t>
  </si>
  <si>
    <t>NOMBRE RETIRA: CAROL SOTO . RUT RETIRA: 18687316-5</t>
  </si>
  <si>
    <t>Paula Romero Portilla</t>
  </si>
  <si>
    <t>Avenida Reinamar 2623, Depto 1202 torre 1</t>
  </si>
  <si>
    <t>REL78361</t>
  </si>
  <si>
    <t>258576256</t>
  </si>
  <si>
    <t>NOMBRE RETIRA: JAVIERA CESPEDES . RUT RETIRA: 19998382-2</t>
  </si>
  <si>
    <t>Javiera Céspedes</t>
  </si>
  <si>
    <t>Radomiro Tomic 4250, Calama, Antofagasta, Chile, Casa</t>
  </si>
  <si>
    <t>REL78276</t>
  </si>
  <si>
    <t>258576672</t>
  </si>
  <si>
    <t>NOMBRE RETIRA: YAJAIRA NAVEA X RUT RETIRA: 11111111-1</t>
  </si>
  <si>
    <t>Yajaira Navea gomez</t>
  </si>
  <si>
    <t>Juan retamal 685</t>
  </si>
  <si>
    <t>REL78324</t>
  </si>
  <si>
    <t>258576410</t>
  </si>
  <si>
    <t>NOMBRE RETIRA: MARIA ROBLES . RUT RETIRA: 16564890-0</t>
  </si>
  <si>
    <t>Jonathan Gallardo</t>
  </si>
  <si>
    <t>Casa, ColÓn 2198</t>
  </si>
  <si>
    <t>REL78002</t>
  </si>
  <si>
    <t>258573136</t>
  </si>
  <si>
    <t>NOMBRE RETIRA: FELIPE HIDALGO . RUT RETIRA: 19432279-8</t>
  </si>
  <si>
    <t>Marjorie Rojas Castillo</t>
  </si>
  <si>
    <t>Av union europea 3175, Dpto L-21</t>
  </si>
  <si>
    <t>REL77948</t>
  </si>
  <si>
    <t>258305838</t>
  </si>
  <si>
    <t>NOMBRE RETIRA: FELIPE HIDALGO . RUT RETIRA: 17842522-6</t>
  </si>
  <si>
    <t>Felipe Gajardo Diaz</t>
  </si>
  <si>
    <t>Av union europea #3175, Departamento  L43</t>
  </si>
  <si>
    <t>REL78081</t>
  </si>
  <si>
    <t>258572627</t>
  </si>
  <si>
    <t>NOMBRE RETIRA: GREGORIO PEREZ . RUT RETIRA: 17066280-6</t>
  </si>
  <si>
    <t>Paula Gonzalez</t>
  </si>
  <si>
    <t>Obispo labbe 1268, 2104</t>
  </si>
  <si>
    <t>REL78054</t>
  </si>
  <si>
    <t>258572803</t>
  </si>
  <si>
    <t>NOMBRE RETIRA: RAUL MEMESEW . RUT RETIRA: 7952566-9</t>
  </si>
  <si>
    <t>Grettel Rojas</t>
  </si>
  <si>
    <t>Arturo Fernández 2032, dpto 203</t>
  </si>
  <si>
    <t>REL78083</t>
  </si>
  <si>
    <t>258572554</t>
  </si>
  <si>
    <t>NOMBRE RETIRA: RAUL MENESES . RUT RETIRA: 7952566-9</t>
  </si>
  <si>
    <t>Helen Ghilda Amaru Mollo</t>
  </si>
  <si>
    <t>Arturo Fernández 2032 , Edificio Azul 1. Depto. 203</t>
  </si>
  <si>
    <t>REL78195</t>
  </si>
  <si>
    <t>258574544</t>
  </si>
  <si>
    <t>NOMBRE RETIRA: MARIANNE LORETO . RUT RETIRA: 65209655-7</t>
  </si>
  <si>
    <t>Marianne Loreto Contreras Ortega</t>
  </si>
  <si>
    <t>Rio Tirua 428, Brisas de Labranza II</t>
  </si>
  <si>
    <t>REL78257</t>
  </si>
  <si>
    <t>258574232</t>
  </si>
  <si>
    <t>NOMBRE RETIRA: TAMARA ESPARZA . RUT RETIRA: 53335758-K</t>
  </si>
  <si>
    <t>Tamara Esparza Saavedra</t>
  </si>
  <si>
    <t>Rio nonguen 1226, Casa</t>
  </si>
  <si>
    <t>REL78071</t>
  </si>
  <si>
    <t>258572615</t>
  </si>
  <si>
    <t>Ximena Acevedo Bustamante</t>
  </si>
  <si>
    <t>Av. Prat 2272, Edificio Dominica, Depto. 602</t>
  </si>
  <si>
    <t>REL78282</t>
  </si>
  <si>
    <t>258576614</t>
  </si>
  <si>
    <t>NOMBRE RETIRA: NINOSKA LAURENT ROJAS RUT RETIRA: 17527470-7</t>
  </si>
  <si>
    <t>Ninoska Laurent rojas</t>
  </si>
  <si>
    <t>Juan Francisco de arrechea 940c, Llamar cuando esten afuera portón celeste</t>
  </si>
  <si>
    <t>REL78269</t>
  </si>
  <si>
    <t>258576729</t>
  </si>
  <si>
    <t>NOMBRE RETIRA: XIMENA LOPEZ LOPEZ RUT RETIRA: 15038505-9</t>
  </si>
  <si>
    <t>Ximena Lopez</t>
  </si>
  <si>
    <t>Messina 386</t>
  </si>
  <si>
    <t>REL78329</t>
  </si>
  <si>
    <t>258576401</t>
  </si>
  <si>
    <t>NOMBRE RETIRA: SUSANA SEPULVEDA . RUT RETIRA: 16976354-2</t>
  </si>
  <si>
    <t>susana sepulveda</t>
  </si>
  <si>
    <t>agustin molina 01940</t>
  </si>
  <si>
    <t>REL78188</t>
  </si>
  <si>
    <t>258574569</t>
  </si>
  <si>
    <t>NOMBRE RETIRA: DIGNA GALLARDO GALLARDO RUT RETIRA: 10341245-5</t>
  </si>
  <si>
    <t>Digna Gallardo</t>
  </si>
  <si>
    <t>Avenida Valdivia 134, chorrillos, Las lomas, entre paradero 4 y 4 y medio</t>
  </si>
  <si>
    <t>REL77962</t>
  </si>
  <si>
    <t>258305750</t>
  </si>
  <si>
    <t>NOMBRE RETIRA: CECILIA ALVARADO A RUT RETIRA: 10177855-K</t>
  </si>
  <si>
    <t>Cecilia Alvarado</t>
  </si>
  <si>
    <t>Bellavista 4452, Dpto. 403 C</t>
  </si>
  <si>
    <t>REL78255</t>
  </si>
  <si>
    <t>258574216</t>
  </si>
  <si>
    <t>NOMBRE RETIRA: KARLA PENA . RUT RETIRA: 18257102-4</t>
  </si>
  <si>
    <t>Valentina Aguilar vicencio</t>
  </si>
  <si>
    <t>Cumming, 1021</t>
  </si>
  <si>
    <t>REL77954</t>
  </si>
  <si>
    <t>258305803</t>
  </si>
  <si>
    <t>NOMBRE RETIRA: ROMINA ARSEL ARSEL RUT RETIRA: 17512091-2</t>
  </si>
  <si>
    <t>Esteban Patroni</t>
  </si>
  <si>
    <t>Los ulmos de molino viejo, Parcela 83, Parcela 83</t>
  </si>
  <si>
    <t>REL78149</t>
  </si>
  <si>
    <t>258574790</t>
  </si>
  <si>
    <t>NOMBRE RETIRA: ANA SILVA SILVA J RUT RETIRA: 15988892-4</t>
  </si>
  <si>
    <t>Ronald Uribe Silva</t>
  </si>
  <si>
    <t>Antonio Colin 241, Casa</t>
  </si>
  <si>
    <t>REL78322</t>
  </si>
  <si>
    <t>258576436</t>
  </si>
  <si>
    <t>NOMBRE RETIRA: IRENW T T RUT RETIRA: 19248643-2</t>
  </si>
  <si>
    <t>Irene Torres Montes</t>
  </si>
  <si>
    <t>Praga 428, Casa</t>
  </si>
  <si>
    <t>REL78069</t>
  </si>
  <si>
    <t>258572677</t>
  </si>
  <si>
    <t>NOMBRE RETIRA: FERNANDO VILCHEZ . . RUT RETIRA: 17209000-1</t>
  </si>
  <si>
    <t>Fernando Vilches  catalán</t>
  </si>
  <si>
    <t>Calle monet 534 villa el alba</t>
  </si>
  <si>
    <t>REL78128</t>
  </si>
  <si>
    <t>258574947</t>
  </si>
  <si>
    <t>NOMBRE RETIRA: MAXIMO VAZQUEZ . RUT RETIRA: 17575914-K</t>
  </si>
  <si>
    <t>Pilar Bahamonde Castillo</t>
  </si>
  <si>
    <t>Pedro Mackena 462, Depto 1302</t>
  </si>
  <si>
    <t>REL77953</t>
  </si>
  <si>
    <t>258305808</t>
  </si>
  <si>
    <t>Matías Arevalo Valenzuela</t>
  </si>
  <si>
    <t>José Francisco Vergara 3253, Dpto 1402</t>
  </si>
  <si>
    <t>REL78116</t>
  </si>
  <si>
    <t>258574957</t>
  </si>
  <si>
    <t>NOMBRE RETIRA: DYLAN VALENCIA . RUT RETIRA: 21586950-4</t>
  </si>
  <si>
    <t>Genesis Garrido Sanchez</t>
  </si>
  <si>
    <t>Ana María Cotapos 4b  , Casa 2 pisos-estacionamiento. Cerro Cordillera</t>
  </si>
  <si>
    <t>REL78191</t>
  </si>
  <si>
    <t>258574537</t>
  </si>
  <si>
    <t>NOMBRE RETIRA: FANNY ARANCIBIA . RUT RETIRA: 12453115-2</t>
  </si>
  <si>
    <t>Fanny Arancibia</t>
  </si>
  <si>
    <t>Gregoria 929, Casa 8</t>
  </si>
  <si>
    <t>REL78280</t>
  </si>
  <si>
    <t>258576659</t>
  </si>
  <si>
    <t>NOMBRE RETIRA: MATIAS CAMPOS . RUT RETIRA: 19745321-4</t>
  </si>
  <si>
    <t>Matías Campos Soto</t>
  </si>
  <si>
    <t>Pasaje Atacalco #3439</t>
  </si>
  <si>
    <t>REL77992</t>
  </si>
  <si>
    <t>258573220</t>
  </si>
  <si>
    <t>NOMBRE RETIRA: CAMILA ORTUNO X RUT RETIRA: 19104398-7</t>
  </si>
  <si>
    <t>Camila Artemisa Ortuño Barraza</t>
  </si>
  <si>
    <t>Hilda cruz colina 10034, casa</t>
  </si>
  <si>
    <t>REL78047</t>
  </si>
  <si>
    <t>258572835</t>
  </si>
  <si>
    <t>NOMBRE RETIRA: PILAR MELLA X RUT RETIRA: 12200857-6</t>
  </si>
  <si>
    <t>Los pensamientos 34</t>
  </si>
  <si>
    <t>REL78158</t>
  </si>
  <si>
    <t>258574742</t>
  </si>
  <si>
    <t>NOMBRE RETIRA: FABIAN VARGAS . RUT RETIRA: 65171995-K</t>
  </si>
  <si>
    <t>Lisbeth Henriquez bahamonde</t>
  </si>
  <si>
    <t>Volcán Corcovado 5800, Depto. 502B. Valle volcanes</t>
  </si>
  <si>
    <t>REL78205</t>
  </si>
  <si>
    <t>258574463</t>
  </si>
  <si>
    <t>NOMBRE RETIRA: SILVANA DIAZ . RUT RETIRA: 27106518-3</t>
  </si>
  <si>
    <t>Silvana Diaz salamanca</t>
  </si>
  <si>
    <t>Miramar 4971 los jardines de peñuelas, Casa</t>
  </si>
  <si>
    <t>REL78313</t>
  </si>
  <si>
    <t>258576480</t>
  </si>
  <si>
    <t>NOMBRE RETIRA: ALEJANDRO BAEZA . RUT RETIRA: 9046562-7</t>
  </si>
  <si>
    <t>Valeria Cecilia Arancibia Figueroa</t>
  </si>
  <si>
    <t>Federico Guzman 151 Villa Spring Hill, Federico Guzman 151 Villa Spring Hill San Pedro de La Paz</t>
  </si>
  <si>
    <t>REL78033</t>
  </si>
  <si>
    <t>258572980</t>
  </si>
  <si>
    <t>NOMBRE RETIRA: MATIAS LAGOS . RUT RETIRA: 18100464-9</t>
  </si>
  <si>
    <t>Matias Lagos Muñoz</t>
  </si>
  <si>
    <t>Cuñibal, sector san jorge, lote #22, camino santa barbara km 9</t>
  </si>
  <si>
    <t>REL78270</t>
  </si>
  <si>
    <t>258576723</t>
  </si>
  <si>
    <t>NOMBRE RETIRA: ALEX CISTERNA C RUT RETIRA: 12945679-5</t>
  </si>
  <si>
    <t>Gonzalo Rojas Santander</t>
  </si>
  <si>
    <t>Los carrera #2092, Dpto 1007-A</t>
  </si>
  <si>
    <t>REL78264</t>
  </si>
  <si>
    <t>258576735</t>
  </si>
  <si>
    <t>NOMBRE RETIRA: JUAN MILLA K RUT RETIRA: 7908492-1</t>
  </si>
  <si>
    <t>Martín Suarez Meneses</t>
  </si>
  <si>
    <t>Cooperación 140, Torre 3 / Dep 32</t>
  </si>
  <si>
    <t>REL78298</t>
  </si>
  <si>
    <t>258576542</t>
  </si>
  <si>
    <t>NOMBRE RETIRA: SANDRA HERNANDEZ . RUT RETIRA: 9750701-5</t>
  </si>
  <si>
    <t>Jessica Diaz flores</t>
  </si>
  <si>
    <t>3 norte 131, Departamento 101</t>
  </si>
  <si>
    <t>REL78359</t>
  </si>
  <si>
    <t>258576270</t>
  </si>
  <si>
    <t>REL78160</t>
  </si>
  <si>
    <t>258574717</t>
  </si>
  <si>
    <t>NOMBRE RETIRA: FRANCISCA ESPERIDION K RUT RETIRA: 18690897-K</t>
  </si>
  <si>
    <t>Francisca Esperidión</t>
  </si>
  <si>
    <t>Los tilos 81, Casa</t>
  </si>
  <si>
    <t>REL78211</t>
  </si>
  <si>
    <t>258574414</t>
  </si>
  <si>
    <t>Ariselis Sandrea</t>
  </si>
  <si>
    <t>Buin 356, 1410</t>
  </si>
  <si>
    <t>REL78082</t>
  </si>
  <si>
    <t>258572598</t>
  </si>
  <si>
    <t>Carolina Contreras Tobar</t>
  </si>
  <si>
    <t>Av. Héroes de la Concepción 1924, C23</t>
  </si>
  <si>
    <t>REL78109</t>
  </si>
  <si>
    <t>258572521</t>
  </si>
  <si>
    <t>NOMBRE RETIRA: BARBARA GARCIA GARCIA RUT RETIRA: 7210734-9</t>
  </si>
  <si>
    <t>CHACABUCO 871, SECTOR CENTRO</t>
  </si>
  <si>
    <t>REL78287</t>
  </si>
  <si>
    <t>258576587</t>
  </si>
  <si>
    <t>NOMBRE RETIRA: JOAQUIN VELOZO . RUT RETIRA: 18410012-6</t>
  </si>
  <si>
    <t>Joaquin Veloso</t>
  </si>
  <si>
    <t>Avenida andalue 2575, Casa</t>
  </si>
  <si>
    <t>REL78323</t>
  </si>
  <si>
    <t>258576416</t>
  </si>
  <si>
    <t>NOMBRE RETIRA: CARMEN VERA . RUT RETIRA: 6609375-1</t>
  </si>
  <si>
    <t>Ricardo Ariel</t>
  </si>
  <si>
    <t>Colon 135, Casa</t>
  </si>
  <si>
    <t>REL78046</t>
  </si>
  <si>
    <t>258572795</t>
  </si>
  <si>
    <t>NOMBRE RETIRA: FERNANDO SAAVEDRA ...... RUT RETIRA: 21462997-6</t>
  </si>
  <si>
    <t>Fernando Saavedra</t>
  </si>
  <si>
    <t>Arturo Perez Canto 733</t>
  </si>
  <si>
    <t>REL77947</t>
  </si>
  <si>
    <t>258305837</t>
  </si>
  <si>
    <t>NOMBRE RETIRA: MARIA FERNANDES H RUT RETIRA: 9597344-2</t>
  </si>
  <si>
    <t>Joscelyn Zambrano Fernández</t>
  </si>
  <si>
    <t>Centinela 481,villa morales</t>
  </si>
  <si>
    <t>REL78113</t>
  </si>
  <si>
    <t>258574974</t>
  </si>
  <si>
    <t>NOMBRE RETIRA: MARCOS LOPEZ N RUT RETIRA: 53315907-9</t>
  </si>
  <si>
    <t>Estibaliz Biermoritz</t>
  </si>
  <si>
    <t>Lago villarrica, Depto 143 torre 2</t>
  </si>
  <si>
    <t>REL78340</t>
  </si>
  <si>
    <t>258576350</t>
  </si>
  <si>
    <t>NOMBRE RETIRA: NORMA LEIVA . RUT RETIRA: 8655536-0</t>
  </si>
  <si>
    <t>Sofia Muñoz Figueroa</t>
  </si>
  <si>
    <t>Victor Lamas 253</t>
  </si>
  <si>
    <t>REL78284</t>
  </si>
  <si>
    <t>258576622</t>
  </si>
  <si>
    <t>NOMBRE RETIRA: CLAUDIO ARANCIBIA . RUT RETIRA: 10058408-5</t>
  </si>
  <si>
    <t>Camilo Arancibia Vasquez</t>
  </si>
  <si>
    <t>Pasaje cinco #118 deportes recreo, Viña del mar, Casa</t>
  </si>
  <si>
    <t>REL78138</t>
  </si>
  <si>
    <t>258574915</t>
  </si>
  <si>
    <t>NOMBRE RETIRA: FELIPE BEJAR .. RUT RETIRA: 53332519-K</t>
  </si>
  <si>
    <t>Víctor Gajardo</t>
  </si>
  <si>
    <t>Avenida las rastras 2925, Clínica mivision</t>
  </si>
  <si>
    <t>REL78189</t>
  </si>
  <si>
    <t>258574582</t>
  </si>
  <si>
    <t>NOMBRE RETIRA: CARLOS PIZARRO CARVAJAL RUT RETIRA: 17902221-4</t>
  </si>
  <si>
    <t>Carlos Pizarro Carvajal</t>
  </si>
  <si>
    <t>Ticsa 6489, Casa</t>
  </si>
  <si>
    <t>REL78230</t>
  </si>
  <si>
    <t>258574364</t>
  </si>
  <si>
    <t>NOMBRE RETIRA: MIRIAM TRIVINO U RUT RETIRA: 18194820-5</t>
  </si>
  <si>
    <t>Miriam Triviño elgueta</t>
  </si>
  <si>
    <t>Altamira 01573</t>
  </si>
  <si>
    <t>2025-11-30 15:24</t>
  </si>
  <si>
    <t>REL77922</t>
  </si>
  <si>
    <t>258305980</t>
  </si>
  <si>
    <t>NOMBRE RETIRA: RICARDO CACERES CACERES RUT RETIRA: 16771837-K</t>
  </si>
  <si>
    <t>General Velasquez 645</t>
  </si>
  <si>
    <t>REL78063</t>
  </si>
  <si>
    <t>258572750</t>
  </si>
  <si>
    <t>NOMBRE RETIRA: DANIELA PINONES . RUT RETIRA: 21326919-4</t>
  </si>
  <si>
    <t>Miguel Araya Romero</t>
  </si>
  <si>
    <t>El pirquineros 2881, Casa</t>
  </si>
  <si>
    <t>REL78279</t>
  </si>
  <si>
    <t>258576669</t>
  </si>
  <si>
    <t>NOMBRE RETIRA: ROSA CUEVAS K RUT RETIRA: 9551867-2</t>
  </si>
  <si>
    <t>Javiera Alondra</t>
  </si>
  <si>
    <t>Ensenada 55, Viña del Mar.</t>
  </si>
  <si>
    <t>REL78175</t>
  </si>
  <si>
    <t>258574666</t>
  </si>
  <si>
    <t>NOMBRE RETIRA: ALEJANDRA . . RUT RETIRA: 18354232-K</t>
  </si>
  <si>
    <t>Diego Alejandro Yañez Espinoza</t>
  </si>
  <si>
    <t>Libertad 1055, Sector centro</t>
  </si>
  <si>
    <t>REL78227</t>
  </si>
  <si>
    <t>258574373</t>
  </si>
  <si>
    <t>NOMBRE RETIRA: TIRZO SANCHEZ . RUT RETIRA: 53302415-7</t>
  </si>
  <si>
    <t>Rocío Hermosilla Covarrubias</t>
  </si>
  <si>
    <t>3 Oriente 1270, Depto 53A</t>
  </si>
  <si>
    <t>REL78297</t>
  </si>
  <si>
    <t>258576532</t>
  </si>
  <si>
    <t>NOMBRE RETIRA: CARLOS HERREROS . RUT RETIRA: 10438131-6</t>
  </si>
  <si>
    <t>avenida costanera 7488 condominio Bosquemar, departamento 206 torre B</t>
  </si>
  <si>
    <t>REL78156</t>
  </si>
  <si>
    <t>258574705</t>
  </si>
  <si>
    <t>NOMBRE RETIRA: IVAN PRADO . RUT RETIRA: 10220113-2</t>
  </si>
  <si>
    <t>Andrea Ruiz</t>
  </si>
  <si>
    <t>Camino Queronque Hacienda los Aromos, Rinconada del Lago 0, Parcela B-105</t>
  </si>
  <si>
    <t>REL78333</t>
  </si>
  <si>
    <t>258576379</t>
  </si>
  <si>
    <t>NOMBRE RETIRA: GIMENA . FIGUEROA RUT RETIRA: 9696116-2</t>
  </si>
  <si>
    <t>Octavio Bofi</t>
  </si>
  <si>
    <t>Avenida 21 de Mayo 2163, 1702</t>
  </si>
  <si>
    <t>REL77955</t>
  </si>
  <si>
    <t>258305799</t>
  </si>
  <si>
    <t>NOMBRE RETIRA: MARLEN CASTRO . RUT RETIRA: 24564193-1</t>
  </si>
  <si>
    <t>Laurany Pitter Gonzalez</t>
  </si>
  <si>
    <t>Vivar 1536, Torre A dpto 607</t>
  </si>
  <si>
    <t>REL78144</t>
  </si>
  <si>
    <t>258574851</t>
  </si>
  <si>
    <t>NOMBRE RETIRA: STEFFI CUEVAS .. RUT RETIRA: 28311318-3</t>
  </si>
  <si>
    <t>Roylith Steffy Cueva Vásquez</t>
  </si>
  <si>
    <t>Hochstetter 298 (James Lind), Trabajo (lunes a viernes de 8 a 5pm)</t>
  </si>
  <si>
    <t>REL78115</t>
  </si>
  <si>
    <t>258574981</t>
  </si>
  <si>
    <t>NOMBRE RETIRA: LUIS HERRERA H RUT RETIRA: 9114233-3</t>
  </si>
  <si>
    <t>Noelia Mena</t>
  </si>
  <si>
    <t>Conrado Amthauer 1057</t>
  </si>
  <si>
    <t>REL77975</t>
  </si>
  <si>
    <t>258305705</t>
  </si>
  <si>
    <t>Pablo Guerra Serrano</t>
  </si>
  <si>
    <t>Avenida balmaceda 1750, Oficina 1010</t>
  </si>
  <si>
    <t>REL78310</t>
  </si>
  <si>
    <t>258576482</t>
  </si>
  <si>
    <t>NOMBRE RETIRA: BELEN CORONA . RUT RETIRA: 20641984-9</t>
  </si>
  <si>
    <t>Belen Corona</t>
  </si>
  <si>
    <t>Los arrayanes 300, Casa 16</t>
  </si>
  <si>
    <t>REL78318</t>
  </si>
  <si>
    <t>258576478</t>
  </si>
  <si>
    <t>NOMBRE RETIRA: LEYDU REALPE . RUT RETIRA: 27925602-6</t>
  </si>
  <si>
    <t>Marite Belmonte Lerma</t>
  </si>
  <si>
    <t>Esmeralda 673</t>
  </si>
  <si>
    <t>REL78087</t>
  </si>
  <si>
    <t>258572582</t>
  </si>
  <si>
    <t>NOMBRE RETIRA: FRANCYS MORAGA . RUT RETIRA: 53310370-7</t>
  </si>
  <si>
    <t>Francys Moraga</t>
  </si>
  <si>
    <t>Pedro de Alvarado 02848, Casa</t>
  </si>
  <si>
    <t>REL77995</t>
  </si>
  <si>
    <t>258573196</t>
  </si>
  <si>
    <t>NOMBRE RETIRA: CAROMINA ZURITA X RUT RETIRA: 7024306-7</t>
  </si>
  <si>
    <t>Carolina Zurita</t>
  </si>
  <si>
    <t>Miguel Squella 534, Casa 534</t>
  </si>
  <si>
    <t>REL77982</t>
  </si>
  <si>
    <t>258305651</t>
  </si>
  <si>
    <t>NOMBRE RETIRA: MARIANELA NUNEZ N RUT RETIRA: 65067074-4</t>
  </si>
  <si>
    <t>marianella nuñez gutierrez</t>
  </si>
  <si>
    <t>dalcahue 19, casa</t>
  </si>
  <si>
    <t>REL78186</t>
  </si>
  <si>
    <t>258574618</t>
  </si>
  <si>
    <t>NOMBRE RETIRA: YASNA ORREGO . RUT RETIRA: 26648450-K</t>
  </si>
  <si>
    <t>Yasna Orrego Silva</t>
  </si>
  <si>
    <t>Pasaje José María Caro 801, 801. Población Santa Rosa</t>
  </si>
  <si>
    <t>REL78358</t>
  </si>
  <si>
    <t>258576292</t>
  </si>
  <si>
    <t>NOMBRE RETIRA: LUIS ARANEDA 0 RUT RETIRA: 16465385-4</t>
  </si>
  <si>
    <t>REL78043</t>
  </si>
  <si>
    <t>258572861</t>
  </si>
  <si>
    <t>NOMBRE RETIRA: KEVIN BELMAR . RUT RETIRA: 21326378-1</t>
  </si>
  <si>
    <t>Kevin Belmar Millar</t>
  </si>
  <si>
    <t>Pasaje Uno 4065 Villa Las Parina, Casa esquina arriba del agro sur</t>
  </si>
  <si>
    <t>REL78226</t>
  </si>
  <si>
    <t>258574383</t>
  </si>
  <si>
    <t>NOMBRE RETIRA: KATHERINE P B RUT RETIRA: 16884072-1</t>
  </si>
  <si>
    <t>Verónica Perez Parra</t>
  </si>
  <si>
    <t>Independencia 2245, Departamento 1</t>
  </si>
  <si>
    <t>REL78162</t>
  </si>
  <si>
    <t>258574741</t>
  </si>
  <si>
    <t>NOMBRE RETIRA: VICTOR ASTUDILLO -- RUT RETIRA: 15594805-1</t>
  </si>
  <si>
    <t>Victor Astudillo</t>
  </si>
  <si>
    <t>Andres murillo 1343</t>
  </si>
  <si>
    <t>REL78203</t>
  </si>
  <si>
    <t>258574472</t>
  </si>
  <si>
    <t>NOMBRE RETIRA: ROSA ORDENEZ . RUT RETIRA: 15189981-1</t>
  </si>
  <si>
    <t>Rosa Ordóñez Riquelme</t>
  </si>
  <si>
    <t>Gobernador Juan Henríquez 389, Lomas de San Andrés</t>
  </si>
  <si>
    <t>REL78263</t>
  </si>
  <si>
    <t>258574195</t>
  </si>
  <si>
    <t>NOMBRE RETIRA: OLGA SRGURA . RUT RETIRA: 14398357-9</t>
  </si>
  <si>
    <t>Olga Renee Segura Trichet</t>
  </si>
  <si>
    <t>6 Norte 625 Loteo Antillanca</t>
  </si>
  <si>
    <t>REL78148</t>
  </si>
  <si>
    <t>258574777</t>
  </si>
  <si>
    <t>NOMBRE RETIRA: FELIPE LAGOS . RUT RETIRA: 13112813-4</t>
  </si>
  <si>
    <t>Felipe Lagos</t>
  </si>
  <si>
    <t>Estero la Mora 93</t>
  </si>
  <si>
    <t>REL78193</t>
  </si>
  <si>
    <t>258574532</t>
  </si>
  <si>
    <t>NOMBRE RETIRA: ROSA GONZLWS . RUT RETIRA: 9688498-2</t>
  </si>
  <si>
    <t>Yolanda Hellriegel jara</t>
  </si>
  <si>
    <t>Bima 345, 345</t>
  </si>
  <si>
    <t>REL77933</t>
  </si>
  <si>
    <t>258305930</t>
  </si>
  <si>
    <t>NOMBRE RETIRA: ALEXANDER BUSTAMANTE . RUT RETIRA: 24863276-3</t>
  </si>
  <si>
    <t>Sofia Gomez Maldonado</t>
  </si>
  <si>
    <t>Av. Proyectada 2620, Departamento 608</t>
  </si>
  <si>
    <t>REL78009</t>
  </si>
  <si>
    <t>258573070</t>
  </si>
  <si>
    <t>NOMBRE RETIRA: FELIPE ESCOBAR X RUT RETIRA: 19058805-K</t>
  </si>
  <si>
    <t>San Francisco 1345</t>
  </si>
  <si>
    <t>REL78260</t>
  </si>
  <si>
    <t>258574175</t>
  </si>
  <si>
    <t>NOMBRE RETIRA: YOHAN BASCUR 6 RUT RETIRA: 53333480-6</t>
  </si>
  <si>
    <t>María Pía Gutiérrez</t>
  </si>
  <si>
    <t>Barros Arana 1672, 912</t>
  </si>
  <si>
    <t>REL78301</t>
  </si>
  <si>
    <t>258576497</t>
  </si>
  <si>
    <t>NOMBRE RETIRA: VICTOR ABARZUA . RUT RETIRA: 7339549-6</t>
  </si>
  <si>
    <t>Karla Abarzúa Gatica</t>
  </si>
  <si>
    <t>Los fisicos 0350, Casa</t>
  </si>
  <si>
    <t>REL78281</t>
  </si>
  <si>
    <t>258576633</t>
  </si>
  <si>
    <t>Javier Ocampo</t>
  </si>
  <si>
    <t>Avenida Francia 1779, Torre 2, depto 401</t>
  </si>
  <si>
    <t>REL78184</t>
  </si>
  <si>
    <t>258574609</t>
  </si>
  <si>
    <t>REL78307</t>
  </si>
  <si>
    <t>258576493</t>
  </si>
  <si>
    <t>NOMBRE RETIRA: JUAN AGUILERA N RUT RETIRA: 9315003-1</t>
  </si>
  <si>
    <t>Juan José Sepúlveda Acuña</t>
  </si>
  <si>
    <t>Chacabuco 470</t>
  </si>
  <si>
    <t>REL78291</t>
  </si>
  <si>
    <t>258576547</t>
  </si>
  <si>
    <t>Andrea Catalina Romero Ramirez</t>
  </si>
  <si>
    <t>Antuco 420, Casa 5 Condominio Altura de Andalue</t>
  </si>
  <si>
    <t>REL78331</t>
  </si>
  <si>
    <t>258576390</t>
  </si>
  <si>
    <t>NOMBRE RETIRA: FRANCESCA GUTIERREZ . RUT RETIRA: 11104394-9</t>
  </si>
  <si>
    <t>REL78294</t>
  </si>
  <si>
    <t>258576536</t>
  </si>
  <si>
    <t>NOMBRE RETIRA: RODRIP ZUADO R RUT RETIRA: 16155785-4</t>
  </si>
  <si>
    <t>juan pablo yañez soto</t>
  </si>
  <si>
    <t>Calle F 1100, Casa 31 condominio alto los bellotos, Brisas del sol</t>
  </si>
  <si>
    <t>REL78277</t>
  </si>
  <si>
    <t>258576679</t>
  </si>
  <si>
    <t>NOMBRE RETIRA: CAMILA GONZALEZ N RUT RETIRA: 76669508-6</t>
  </si>
  <si>
    <t>13 poniente 21 sur 121</t>
  </si>
  <si>
    <t>REL78319</t>
  </si>
  <si>
    <t>258576450</t>
  </si>
  <si>
    <t>NOMBRE RETIRA: SIMONA CORTES 0 RUT RETIRA: 21785245-5</t>
  </si>
  <si>
    <t>Paula Alejandra Daroch Flores</t>
  </si>
  <si>
    <t>Caupolicán 101 Concepción</t>
  </si>
  <si>
    <t>REL78153</t>
  </si>
  <si>
    <t>258574757</t>
  </si>
  <si>
    <t>NOMBRE RETIRA: KARINA FERNANDEZ . RUT RETIRA: 5252433-4</t>
  </si>
  <si>
    <t>Karina Fernández</t>
  </si>
  <si>
    <t>Canelo 173</t>
  </si>
  <si>
    <t>REL78067</t>
  </si>
  <si>
    <t>258572704</t>
  </si>
  <si>
    <t>NOMBRE RETIRA: NISEL CP TRERAS X RUT RETIRA: 17557062-4</t>
  </si>
  <si>
    <t>Nisiel Contreras</t>
  </si>
  <si>
    <t>Río Choapa 586</t>
  </si>
  <si>
    <t>REL78237</t>
  </si>
  <si>
    <t>258574307</t>
  </si>
  <si>
    <t>NOMBRE RETIRA: PAOLA ESCOBAR ESCOBAR RUT RETIRA: 19021512-1</t>
  </si>
  <si>
    <t>Milan 926, población Recreo 2, Casa</t>
  </si>
  <si>
    <t>REL77998</t>
  </si>
  <si>
    <t>258573188</t>
  </si>
  <si>
    <t>NOMBRE RETIRA: OSCAR ZABSLA 0 RUT RETIRA: 12345678-5</t>
  </si>
  <si>
    <t>Olga Jaramillo</t>
  </si>
  <si>
    <t>C. Llullaillaco 02451, 516</t>
  </si>
  <si>
    <t>REL78150</t>
  </si>
  <si>
    <t>258574798</t>
  </si>
  <si>
    <t>NOMBRE RETIRA: YOICE RAMIRES . RUT RETIRA: 18034367-9</t>
  </si>
  <si>
    <t>Joyce Ramírez Muñoz</t>
  </si>
  <si>
    <t>Del maiten 100 A, Casa 2</t>
  </si>
  <si>
    <t>REL78210</t>
  </si>
  <si>
    <t>258574447</t>
  </si>
  <si>
    <t>Sergio Mujica 966, Santa Cruz. Punto chilexpress y bluexpress, Punto chilexpress y bluexpress</t>
  </si>
  <si>
    <t>REL78229</t>
  </si>
  <si>
    <t>258574344</t>
  </si>
  <si>
    <t>NOMBRE RETIRA: ESTEDANY OJNS . RUT RETIRA: 13951536-6</t>
  </si>
  <si>
    <t>Stefany Reyes Hernández</t>
  </si>
  <si>
    <t>Segunda Longitudinal 553</t>
  </si>
  <si>
    <t>REL77949</t>
  </si>
  <si>
    <t>258305812</t>
  </si>
  <si>
    <t>NOMBRE RETIRA: ELENA LAI . RUT RETIRA: 19504936-K</t>
  </si>
  <si>
    <t>Elena Lai Leon</t>
  </si>
  <si>
    <t>Calcita 698, Casa</t>
  </si>
  <si>
    <t>REL78141</t>
  </si>
  <si>
    <t>258574860</t>
  </si>
  <si>
    <t>NOMBRE RETIRA: CARLA ESPINOZA . RUT RETIRA: 18686443-3</t>
  </si>
  <si>
    <t>Carla Espinoza</t>
  </si>
  <si>
    <t>Pasaje lis liquines 35</t>
  </si>
  <si>
    <t>REL78236</t>
  </si>
  <si>
    <t>258574308</t>
  </si>
  <si>
    <t>Manuel Esteban Angel Videla</t>
  </si>
  <si>
    <t>Avenida central 5000</t>
  </si>
  <si>
    <t>REL78196</t>
  </si>
  <si>
    <t>258574522</t>
  </si>
  <si>
    <t>NOMBRE RETIRA: EVELIN RIVERA . RUT RETIRA: 17760993-5</t>
  </si>
  <si>
    <t>Romina joana vergara soto</t>
  </si>
  <si>
    <t>Talcahuano 225</t>
  </si>
  <si>
    <t>REL78272</t>
  </si>
  <si>
    <t>258576682</t>
  </si>
  <si>
    <t>NOMBRE RETIRA: JUAN ALARCON . RUT RETIRA: 17313795-8</t>
  </si>
  <si>
    <t>Juan Pablo Alarcón Rojas</t>
  </si>
  <si>
    <t>Miramar 6200, Depto A3</t>
  </si>
  <si>
    <t>REL78073</t>
  </si>
  <si>
    <t>258572658</t>
  </si>
  <si>
    <t>NOMBRE RETIRA: EDWIN SOTO . RUT RETIRA: 8186150-1</t>
  </si>
  <si>
    <t>Paula Morales</t>
  </si>
  <si>
    <t>Avenida proyectada 2120, 703</t>
  </si>
  <si>
    <t>REL78171</t>
  </si>
  <si>
    <t>258574675</t>
  </si>
  <si>
    <t>NOMBRE RETIRA: ALICIA HORMAZABAL . RUT RETIRA: 15953918-0</t>
  </si>
  <si>
    <t>Alicia Hormazábal</t>
  </si>
  <si>
    <t>Avenida Las Industrias 10445</t>
  </si>
  <si>
    <t>REL78252</t>
  </si>
  <si>
    <t>258574265</t>
  </si>
  <si>
    <t>NOMBRE RETIRA: ESTER CORTES . RUT RETIRA: 5360766-7</t>
  </si>
  <si>
    <t>Andrea Castillo</t>
  </si>
  <si>
    <t>Los Lirios 430, Sindempart</t>
  </si>
  <si>
    <t>REL78151</t>
  </si>
  <si>
    <t>258574764</t>
  </si>
  <si>
    <t>NOMBRE RETIRA: MARITZA GARCIA . RUT RETIRA: 65055881-2</t>
  </si>
  <si>
    <t>Harim Elizabeth Perez</t>
  </si>
  <si>
    <t>Von schroeder 385, Dpto 95</t>
  </si>
  <si>
    <t>REL78247</t>
  </si>
  <si>
    <t>258574270</t>
  </si>
  <si>
    <t>NOMBRE RETIRA: EDUARDO CHACANA .... RUT RETIRA: 14348197-2</t>
  </si>
  <si>
    <t>paula Latoja cornejo</t>
  </si>
  <si>
    <t>pedro polanco 263, local cv</t>
  </si>
  <si>
    <t>REL78178</t>
  </si>
  <si>
    <t>258574651</t>
  </si>
  <si>
    <t>NOMBRE RETIRA: OSCAR GONZALE, . RUT RETIRA: 8054805-2</t>
  </si>
  <si>
    <t>Joaquin Molina Reinoso</t>
  </si>
  <si>
    <t>Av. Indico 4510 Condominio Alto Pacifico Norte, Gomez Carreño, Depto 54</t>
  </si>
  <si>
    <t>REL78299</t>
  </si>
  <si>
    <t>258576538</t>
  </si>
  <si>
    <t>NOMBRE RETIRA: MATIAS OERAELLABA.B G RUT RETIRA: 16155785-4</t>
  </si>
  <si>
    <t>Parques de Carriel 9279, Casa 52</t>
  </si>
  <si>
    <t>REL78022</t>
  </si>
  <si>
    <t>258573024</t>
  </si>
  <si>
    <t>NOMBRE RETIRA: PEDRO GUZMAN . RUT RETIRA: 12451631-5</t>
  </si>
  <si>
    <t>Pedro Guzmán Muñoz</t>
  </si>
  <si>
    <t>Diego Portales 1001, Local G 07 Interior Terminal de Buses</t>
  </si>
  <si>
    <t>REL78123</t>
  </si>
  <si>
    <t>258574955</t>
  </si>
  <si>
    <t>NOMBRE RETIRA: DULCE PABON . RUT RETIRA: 26680585-3</t>
  </si>
  <si>
    <t>Sindy Garcia Azocar</t>
  </si>
  <si>
    <t>17 Norte 1880</t>
  </si>
  <si>
    <t>REL78233</t>
  </si>
  <si>
    <t>258574338</t>
  </si>
  <si>
    <t>NOMBRE RETIRA: MARYURI VALDES K RUT RETIRA: 16821187-2</t>
  </si>
  <si>
    <t>Victor Esparza ramirez</t>
  </si>
  <si>
    <t>Agustín avezon 1191, Casa azul</t>
  </si>
  <si>
    <t>REL78091</t>
  </si>
  <si>
    <t>258572566</t>
  </si>
  <si>
    <t>NOMBRE RETIRA: BENJAMIN CARVALLO . RUT RETIRA: 17047930-0</t>
  </si>
  <si>
    <t>yenifer carvallo saldias</t>
  </si>
  <si>
    <t>Pasaje Las Güiñas 1774, 1774</t>
  </si>
  <si>
    <t>REL78351</t>
  </si>
  <si>
    <t>258576331</t>
  </si>
  <si>
    <t>NOMBRE RETIRA: VICENTE MUNIZAGA . RUT RETIRA: 20440602-2</t>
  </si>
  <si>
    <t>Valentina Carvajal Tobar</t>
  </si>
  <si>
    <t>Pasaje calafquen casa 16 (esquina), 16 (condominio don Camilo frente a santa Isabel)</t>
  </si>
  <si>
    <t>REL78024</t>
  </si>
  <si>
    <t>258572974</t>
  </si>
  <si>
    <t>NOMBRE RETIRA: ECTOR OYADANEL . RUT RETIRA: 7402986-8</t>
  </si>
  <si>
    <t>Claudia Zárate</t>
  </si>
  <si>
    <t>Antonio Poupin 841 depto 1502, Depto 1502</t>
  </si>
  <si>
    <t>REL78352</t>
  </si>
  <si>
    <t>258576303</t>
  </si>
  <si>
    <t>susana armijo pinto</t>
  </si>
  <si>
    <t>Nelson Roumat 749, Depto 1023, Depto 1023</t>
  </si>
  <si>
    <t>REL78145</t>
  </si>
  <si>
    <t>258574843</t>
  </si>
  <si>
    <t>NOMBRE RETIRA: WINDOLY QUINTERO . RUT RETIRA: 65208349-8</t>
  </si>
  <si>
    <t>Maribel Alejandra Linco cachaña</t>
  </si>
  <si>
    <t>Martin Rivas 3401, 117 B</t>
  </si>
  <si>
    <t>REL77986</t>
  </si>
  <si>
    <t>258305638</t>
  </si>
  <si>
    <t>NOMBRE RETIRA: CARLOS . . RUT RETIRA: 16194664-8</t>
  </si>
  <si>
    <t>Carlos Zamorano Molina</t>
  </si>
  <si>
    <t>Eulogio Goycolea 266</t>
  </si>
  <si>
    <t>REL78023</t>
  </si>
  <si>
    <t>258573012</t>
  </si>
  <si>
    <t>victor cabrera</t>
  </si>
  <si>
    <t>Avenida Circunvalación Presidente Salvador Allende 1458, Dpto 404 , Torre 2</t>
  </si>
  <si>
    <t>REL77993</t>
  </si>
  <si>
    <t>258573227</t>
  </si>
  <si>
    <t>NOMBRE RETIRA: SARA LOID . RUT RETIRA: 10879339-2</t>
  </si>
  <si>
    <t>Sara Lloyd</t>
  </si>
  <si>
    <t>Veteranos Del 79, Casa 090</t>
  </si>
  <si>
    <t>REL78032</t>
  </si>
  <si>
    <t>258572947</t>
  </si>
  <si>
    <t>NOMBRE RETIRA: JIRGE A .. RUT RETIRA: 12929658-5</t>
  </si>
  <si>
    <t>Constanza Mansilla Gomez</t>
  </si>
  <si>
    <t>Las Heras 745, 702</t>
  </si>
  <si>
    <t>REL77969</t>
  </si>
  <si>
    <t>258305714</t>
  </si>
  <si>
    <t>NOMBRE RETIRA: RAUL NARVAEZ Y RUT RETIRA: 9429084-8</t>
  </si>
  <si>
    <t>Raul Narváez Gonzalez</t>
  </si>
  <si>
    <t>San jose 356</t>
  </si>
  <si>
    <t>REL78040</t>
  </si>
  <si>
    <t>258572899</t>
  </si>
  <si>
    <t>Diana Pulgar fuentes</t>
  </si>
  <si>
    <t>Av nueva koke 1102, 202 torre a</t>
  </si>
  <si>
    <t>REL77997</t>
  </si>
  <si>
    <t>258573192</t>
  </si>
  <si>
    <t>NOMBRE RETIRA: ALEX SAN MARTIN FARIAS RUT RETIRA: 17861935-7</t>
  </si>
  <si>
    <t>Alex San martin</t>
  </si>
  <si>
    <t>Dos Sur 230</t>
  </si>
  <si>
    <t>REL78065</t>
  </si>
  <si>
    <t>258572721</t>
  </si>
  <si>
    <t>NOMBRE RETIRA: CLAUDA PINEDA 0 RUT RETIRA: 16074262-3</t>
  </si>
  <si>
    <t>Claudia Pineda Berrios</t>
  </si>
  <si>
    <t>32 Oriente 2854, Valles Del Country</t>
  </si>
  <si>
    <t>REL77941</t>
  </si>
  <si>
    <t>258305862</t>
  </si>
  <si>
    <t>NOMBRE RETIRA: MARITE GALLARO .. RUT RETIRA: 19041203-2</t>
  </si>
  <si>
    <t>Marite Perez Gallardo</t>
  </si>
  <si>
    <t>Bellavista 1737, Casa 27</t>
  </si>
  <si>
    <t>REL77821</t>
  </si>
  <si>
    <t>258015821</t>
  </si>
  <si>
    <t>NOMBRE RETIRA: JOVINA CORDOVA . RUT RETIRA: 5655166-2</t>
  </si>
  <si>
    <t>Jovina Cordova</t>
  </si>
  <si>
    <t>Los Abedules 1281</t>
  </si>
  <si>
    <t>REL77925</t>
  </si>
  <si>
    <t>258305935</t>
  </si>
  <si>
    <t>NOMBRE RETIRA: ELIAS MICALI . RUT RETIRA: 17808033-4</t>
  </si>
  <si>
    <t>Paulo Granados Núñez</t>
  </si>
  <si>
    <t>El sauce 1751, Casa esquina</t>
  </si>
  <si>
    <t>REL78005</t>
  </si>
  <si>
    <t>258573103</t>
  </si>
  <si>
    <t>NOMBRE RETIRA: GERALDINE VARGAS . RUT RETIRA: 27170344-9</t>
  </si>
  <si>
    <t>Daniela Gonzalez Morales</t>
  </si>
  <si>
    <t>Juan Soldado 426, Matiz</t>
  </si>
  <si>
    <t>REL77928</t>
  </si>
  <si>
    <t>258305933</t>
  </si>
  <si>
    <t>NOMBRE RETIRA: ANA HEYLIGERS . RUT RETIRA: 21873545-2</t>
  </si>
  <si>
    <t>Ana heyligers</t>
  </si>
  <si>
    <t>Av La Produccion 2679 , Alto Palomar</t>
  </si>
  <si>
    <t>REL77981</t>
  </si>
  <si>
    <t>258305656</t>
  </si>
  <si>
    <t>NOMBRE RETIRA: FABIAN VALDEZ .. RUT RETIRA: 19734497-0</t>
  </si>
  <si>
    <t>Fabian valdes</t>
  </si>
  <si>
    <t>Pasaje Garrido #9</t>
  </si>
  <si>
    <t>REL77964</t>
  </si>
  <si>
    <t>258305742</t>
  </si>
  <si>
    <t>NOMBRE RETIRA: XIMENA PEREZ ... RUT RETIRA: 13072848-0</t>
  </si>
  <si>
    <t>GUSTAVO BARRIENTOS LOW</t>
  </si>
  <si>
    <t>AVENIDA PRESIDENTE IBAÑEZ 600, EDIFICIO CONSISITORIAL PISO 4 OF DE PARTES</t>
  </si>
  <si>
    <t>REL77991</t>
  </si>
  <si>
    <t>258573254</t>
  </si>
  <si>
    <t>NOMBRE RETIRA: EIMY CARMONA CARMONA RUT RETIRA: 28728682-1</t>
  </si>
  <si>
    <t>Alejandra Troncoso</t>
  </si>
  <si>
    <t>Escobar, Clinica san pablo vet</t>
  </si>
  <si>
    <t>REL78036</t>
  </si>
  <si>
    <t>258572928</t>
  </si>
  <si>
    <t>NOMBRE RETIRA: LAURA YANZ B RUT RETIRA: 18218776-3</t>
  </si>
  <si>
    <t>Laura Yáñez Carmona</t>
  </si>
  <si>
    <t>Héroes de la Concepción 834, 14</t>
  </si>
  <si>
    <t>REL77934</t>
  </si>
  <si>
    <t>258305945</t>
  </si>
  <si>
    <t>NOMBRE RETIRA: PEDRO NANCO .. RUT RETIRA: 53332519-K</t>
  </si>
  <si>
    <t>María Paz Rivera</t>
  </si>
  <si>
    <t>48 oriente 2751, 2751</t>
  </si>
  <si>
    <t>REL78056</t>
  </si>
  <si>
    <t>258572773</t>
  </si>
  <si>
    <t>NOMBRE RETIRA: ADBOLINA ANGEL .. RUT RETIRA: 7674496-3</t>
  </si>
  <si>
    <t>Loreto Catalina Farias Borquez</t>
  </si>
  <si>
    <t>Emilio Vaisse 623, Población Fray Jorge</t>
  </si>
  <si>
    <t>REL78000</t>
  </si>
  <si>
    <t>258573152</t>
  </si>
  <si>
    <t>NOMBRE RETIRA: MARIA VALDIVIA . RUT RETIRA: 22097859-1</t>
  </si>
  <si>
    <t>Maria Valdivia</t>
  </si>
  <si>
    <t>Trutruka 3038, Casa frente a la plaza</t>
  </si>
  <si>
    <t>REL78088</t>
  </si>
  <si>
    <t>258572575</t>
  </si>
  <si>
    <t>NOMBRE RETIRA: SERGIO NUNEZ . RUT RETIRA: 53321047-3</t>
  </si>
  <si>
    <t>Andrea Núñez  Gutiérrez</t>
  </si>
  <si>
    <t>Francisco Lazo de La Vega 255 , Casa 255. Lomas san Andrés</t>
  </si>
  <si>
    <t>REL77958</t>
  </si>
  <si>
    <t>258305777</t>
  </si>
  <si>
    <t>NOMBRE RETIRA: NANCY BRAVO H RUT RETIRA: 8231684-1</t>
  </si>
  <si>
    <t>Carolina López Bravo</t>
  </si>
  <si>
    <t>Jaime Bedos Marcet 1437. Villa aoumanque</t>
  </si>
  <si>
    <t>REL78089</t>
  </si>
  <si>
    <t>258572570</t>
  </si>
  <si>
    <t>NOMBRE RETIRA: CRISTIAN CASTILLO . RUT RETIRA: 19199423-K</t>
  </si>
  <si>
    <t>Cristian Castillo</t>
  </si>
  <si>
    <t>Los Peumos 0923, Casa, labranza</t>
  </si>
  <si>
    <t>REL77979</t>
  </si>
  <si>
    <t>258305636</t>
  </si>
  <si>
    <t>NOMBRE RETIRA: MATIAS ARAYA . RUT RETIRA: 17791501-7</t>
  </si>
  <si>
    <t>Matias Araya</t>
  </si>
  <si>
    <t>Avenida gonzales de hontaneda 11, playa ancha, Escuela naval Arturo Pratt</t>
  </si>
  <si>
    <t>REL78041</t>
  </si>
  <si>
    <t>258572890</t>
  </si>
  <si>
    <t>NOMBRE RETIRA: ANA VALDEZ . RUT RETIRA: 12919666-1</t>
  </si>
  <si>
    <t>ANA ELOISA VALDES SEPULVEDA</t>
  </si>
  <si>
    <t>PAJAJE ALONSO MAYOR 271 VILLA SAN VALENTIN, LOMAS DE SAN ANDRES, 271</t>
  </si>
  <si>
    <t>REL78025</t>
  </si>
  <si>
    <t>258572988</t>
  </si>
  <si>
    <t>NOMBRE RETIRA: MARIA VILLAGRAN . RUT RETIRA: 8590737-9</t>
  </si>
  <si>
    <t>Carolina Alegria Alegría</t>
  </si>
  <si>
    <t>Aragón 85. Depto. 1105 Torre Teruel</t>
  </si>
  <si>
    <t>REL78020</t>
  </si>
  <si>
    <t>258573049</t>
  </si>
  <si>
    <t>NOMBRE RETIRA: ARTURO . . RUT RETIRA: 53310370-7</t>
  </si>
  <si>
    <t>Marianela Romero</t>
  </si>
  <si>
    <t>Avenida los estudiantes 02320, Dp 504 , torre 1</t>
  </si>
  <si>
    <t>REL77999</t>
  </si>
  <si>
    <t>258573181</t>
  </si>
  <si>
    <t>NOMBRE RETIRA: MARIO OYARZO . RUT RETIRA: 53332143-7</t>
  </si>
  <si>
    <t>Yannina Vasquez</t>
  </si>
  <si>
    <t>Calle Nueva Oriente 4 #4872, Casa 57. Condominio 39 Valle volcanes</t>
  </si>
  <si>
    <t>REL78037</t>
  </si>
  <si>
    <t>258572914</t>
  </si>
  <si>
    <t>NOMBRE RETIRA: FREDDY DONOSO . RUT RETIRA: 53319614-4</t>
  </si>
  <si>
    <t>Sandra Esquivel</t>
  </si>
  <si>
    <t>2 norte 550, Depto 131-A</t>
  </si>
  <si>
    <t>REL77939</t>
  </si>
  <si>
    <t>258305873</t>
  </si>
  <si>
    <t>NOMBRE RETIRA: FLOR RIJAS ABARCIA RUT RETIRA: 10434284-1</t>
  </si>
  <si>
    <t>Ignacio Rojas Rojas</t>
  </si>
  <si>
    <t>Arturo Fernández Vial 6925, Casa</t>
  </si>
  <si>
    <t>REL77961</t>
  </si>
  <si>
    <t>258305772</t>
  </si>
  <si>
    <t>NOMBRE RETIRA: GERALDINE SUAREZ . RUT RETIRA: 17575914-K</t>
  </si>
  <si>
    <t>Geraldine Suarez alegria</t>
  </si>
  <si>
    <t>Las heras 1742, Casa A</t>
  </si>
  <si>
    <t>REL78072</t>
  </si>
  <si>
    <t>258572611</t>
  </si>
  <si>
    <t>NOMBRE RETIRA: CECILIA JOFRE . RUT RETIRA: 11222188-3</t>
  </si>
  <si>
    <t>Felipe Vega estay</t>
  </si>
  <si>
    <t>El peumal 192, Parcela</t>
  </si>
  <si>
    <t>REL77976</t>
  </si>
  <si>
    <t>258305699</t>
  </si>
  <si>
    <t>NOMBRE RETIRA: CAROLONA MUNOZ . RUT RETIRA: 14398357-9</t>
  </si>
  <si>
    <t>Carolina Muñoz arce</t>
  </si>
  <si>
    <t>Calle 6 Norte 760, Casa con enchape de ladrillo y portón negro</t>
  </si>
  <si>
    <t>REL78038</t>
  </si>
  <si>
    <t>258572918</t>
  </si>
  <si>
    <t>NOMBRE RETIRA: ISRAEL PEREZ PEREZ RUT RETIRA: 18645375-1</t>
  </si>
  <si>
    <t>Rodolfo valenzuela</t>
  </si>
  <si>
    <t>La Cruz 0535, E302</t>
  </si>
  <si>
    <t>REL77937</t>
  </si>
  <si>
    <t>258305892</t>
  </si>
  <si>
    <t>Silvana Ulloa</t>
  </si>
  <si>
    <t>Volcan corcovado 5820, Torre 3, 405</t>
  </si>
  <si>
    <t>REL78077</t>
  </si>
  <si>
    <t>258572644</t>
  </si>
  <si>
    <t>NOMBRE RETIRA: ROBERTO DELGADO . RUT RETIRA: 10334199-K</t>
  </si>
  <si>
    <t>Carlos Araya Ramirez</t>
  </si>
  <si>
    <t>Alonso de Ojeda 163, Parque Las Arucas</t>
  </si>
  <si>
    <t>REL78093</t>
  </si>
  <si>
    <t>258572559</t>
  </si>
  <si>
    <t>NOMBRE RETIRA: LIDIA CACERES . RUT RETIRA: 10298886-8</t>
  </si>
  <si>
    <t>gissella ivette zañartu saez</t>
  </si>
  <si>
    <t>René Schneider 264, escuela especial emmanuel</t>
  </si>
  <si>
    <t>REL78099</t>
  </si>
  <si>
    <t>258572529</t>
  </si>
  <si>
    <t>NOMBRE RETIRA: FELIPE MATURANA . RUT RETIRA: 26648450-K</t>
  </si>
  <si>
    <t>Felipe Maturana Saa</t>
  </si>
  <si>
    <t>Pasaje Choapa 365</t>
  </si>
  <si>
    <t>REL77963</t>
  </si>
  <si>
    <t>258305721</t>
  </si>
  <si>
    <t>NOMBRE RETIRA: KATIA VIDELA BRACO RUT RETIRA: 21688617-8</t>
  </si>
  <si>
    <t>Katia Videla Bravo</t>
  </si>
  <si>
    <t>Av. Presidente salvador allende gossens 500, D 504, Torre D 504 (departamento)</t>
  </si>
  <si>
    <t>REL78062</t>
  </si>
  <si>
    <t>258572737</t>
  </si>
  <si>
    <t>NOMBRE RETIRA: MARIALEJABDRA SERRANO J RUT RETIRA: 26203588-3</t>
  </si>
  <si>
    <t>Maria Alejandra Serrano Gomez</t>
  </si>
  <si>
    <t>Madrid 1228, casa A</t>
  </si>
  <si>
    <t>REL78110</t>
  </si>
  <si>
    <t>258572510</t>
  </si>
  <si>
    <t>NOMBRE RETIRA: CAMILA GONZALEZ . RUT RETIRA: 10827060-8</t>
  </si>
  <si>
    <t>Los plátanos 2575 , Casa Miraflores bajo</t>
  </si>
  <si>
    <t>REL78053</t>
  </si>
  <si>
    <t>258572816</t>
  </si>
  <si>
    <t>NOMBRE RETIRA: KAREN ARRIZA ARRIZQ RUT RETIRA: 13720788-5</t>
  </si>
  <si>
    <t>Praxedes asela 0455, Departamento 1007 torre B</t>
  </si>
  <si>
    <t>REL78094</t>
  </si>
  <si>
    <t>258572545</t>
  </si>
  <si>
    <t>NOMBRE RETIRA: GISELLA GUERRERO . RUT RETIRA: 78882180-8</t>
  </si>
  <si>
    <t>Tibisay Bazarte Galarraga</t>
  </si>
  <si>
    <t>Av. Circunvalación Paul Harris 701, C-406</t>
  </si>
  <si>
    <t>REL78064</t>
  </si>
  <si>
    <t>258572729</t>
  </si>
  <si>
    <t>NOMBRE RETIRA: LUCY VASQUEZ . RUT RETIRA: 10222930-4</t>
  </si>
  <si>
    <t>Lucy Vasquez gonzalez</t>
  </si>
  <si>
    <t>Almirante latorre  255, 255</t>
  </si>
  <si>
    <t>REL77664</t>
  </si>
  <si>
    <t>257687293</t>
  </si>
  <si>
    <t>NOMBRE RETIRA: JUAN AMPUERO . RUT RETIRA: 11111111-1</t>
  </si>
  <si>
    <t>Cristian Saavedra Cifuentes</t>
  </si>
  <si>
    <t>Juez Waldo Seguel 560, 72</t>
  </si>
  <si>
    <t>2025-11-20 11:27</t>
  </si>
  <si>
    <t>REL77632</t>
  </si>
  <si>
    <t>257687461</t>
  </si>
  <si>
    <t>NOMBRE RETIRA: JOSE ALVARADO . RUT RETIRA: 11111111-1</t>
  </si>
  <si>
    <t>Monica Alvarado</t>
  </si>
  <si>
    <t>Jorge Montt 371</t>
  </si>
  <si>
    <t>2025-11-19 21:13</t>
  </si>
  <si>
    <t>REL77906</t>
  </si>
  <si>
    <t>258251916</t>
  </si>
  <si>
    <t>NOMBRE RETIRA: LAURA YEVENES CARES RUT RETIRA: 7835885-8</t>
  </si>
  <si>
    <t>Palomares 206, Casa 1</t>
  </si>
  <si>
    <t>REL77911</t>
  </si>
  <si>
    <t>258251896</t>
  </si>
  <si>
    <t>NOMBRE RETIRA: DARIOLETA RIFFO . RUT RETIRA: 12990216-7</t>
  </si>
  <si>
    <t>DARIOLETA RIFFO VERA</t>
  </si>
  <si>
    <t>Arturo prat 696, Depto 303</t>
  </si>
  <si>
    <t>REL77905</t>
  </si>
  <si>
    <t>258251920</t>
  </si>
  <si>
    <t>NOMBRE RETIRA: GIDO LOAYZQ LOAYZA RUT RETIRA: 10038303-9</t>
  </si>
  <si>
    <t>Sheril Loayza</t>
  </si>
  <si>
    <t>Ñielol Poniente 2761</t>
  </si>
  <si>
    <t>REL77764</t>
  </si>
  <si>
    <t>258016123</t>
  </si>
  <si>
    <t>NOMBRE RETIRA: MARIO IZQUIERDO ROJAS RUT RETIRA: 11936852-9</t>
  </si>
  <si>
    <t>Lixzi Veliz</t>
  </si>
  <si>
    <t>Juan Melgarejo 750, Oficina 74</t>
  </si>
  <si>
    <t>2025-11-23 21:16</t>
  </si>
  <si>
    <t>REL77902</t>
  </si>
  <si>
    <t>258251917</t>
  </si>
  <si>
    <t>NOMBRE RETIRA: EDWARE ALVARADI N RUT RETIRA: 17536544-3</t>
  </si>
  <si>
    <t>Edward Alvarado</t>
  </si>
  <si>
    <t>Segunda 102</t>
  </si>
  <si>
    <t>2025-11-27 21:16</t>
  </si>
  <si>
    <t>REL77888</t>
  </si>
  <si>
    <t>258184701</t>
  </si>
  <si>
    <t>ramon morales</t>
  </si>
  <si>
    <t>Colo-Colo 410 , Depto 31A</t>
  </si>
  <si>
    <t>REL77919</t>
  </si>
  <si>
    <t>258251864</t>
  </si>
  <si>
    <t>NOMBRE RETIRA: ADOLFO CARAMPANGUE N RUT RETIRA: 17457878-8</t>
  </si>
  <si>
    <t>Ena Villarroel Seguel</t>
  </si>
  <si>
    <t>Purén 315, 302</t>
  </si>
  <si>
    <t>REL77909</t>
  </si>
  <si>
    <t>258251901</t>
  </si>
  <si>
    <t>NOMBRE RETIRA: DENISE FLANDEZ . RUT RETIRA: 15253238-5</t>
  </si>
  <si>
    <t>Denise Flández</t>
  </si>
  <si>
    <t>Parque Puyehue 2589</t>
  </si>
  <si>
    <t>REL77896</t>
  </si>
  <si>
    <t>258251926</t>
  </si>
  <si>
    <t>NOMBRE RETIRA: MARIA GUERRERO GUERRREL RUT RETIRA: 21276728-K</t>
  </si>
  <si>
    <t>María Guerrero Riquelme</t>
  </si>
  <si>
    <t>Pasaje Los Palos Colorados 2279, Casa esquina</t>
  </si>
  <si>
    <t>REL77915</t>
  </si>
  <si>
    <t>258251870</t>
  </si>
  <si>
    <t>NOMBRE RETIRA: BENJAMIN VILCHEZ . RUT RETIRA: 20224612-5</t>
  </si>
  <si>
    <t>Benjamin Vilches Quezada</t>
  </si>
  <si>
    <t>Pasaje Constelación Centauro 340, Villa Los Jardines De Los Andes. Casa segundo piso</t>
  </si>
  <si>
    <t>REL77868</t>
  </si>
  <si>
    <t>258184802</t>
  </si>
  <si>
    <t>NOMBRE RETIRA: GABRIELA HUAIQUIMIL X RUT RETIRA: 10150523-5</t>
  </si>
  <si>
    <t>Mario Llancafil</t>
  </si>
  <si>
    <t>Segunda Faja, Nuevo Porvenir 2565, Villarrica, Casa</t>
  </si>
  <si>
    <t>2025-11-26 21:11</t>
  </si>
  <si>
    <t>REL77908</t>
  </si>
  <si>
    <t>258251907</t>
  </si>
  <si>
    <t>NOMBRE RETIRA: ALEJANDRO SANDIVAL CALDERON RUT RETIRA: 9076426-8</t>
  </si>
  <si>
    <t>Constanza Sandoval</t>
  </si>
  <si>
    <t>Nevado Flores 775, Casa</t>
  </si>
  <si>
    <t>REL77899</t>
  </si>
  <si>
    <t>258251925</t>
  </si>
  <si>
    <t>NOMBRE RETIRA: ISAIAS LOYOLA . RUT RETIRA: 18951217-1</t>
  </si>
  <si>
    <t>Juan Pablo Flores</t>
  </si>
  <si>
    <t>Bernardo O'Higgins 36, oficina</t>
  </si>
  <si>
    <t>REL77885</t>
  </si>
  <si>
    <t>258184731</t>
  </si>
  <si>
    <t>NOMBRE RETIRA: KARINA SANDOVAL . RUT RETIRA: 16665873-K</t>
  </si>
  <si>
    <t>Antonio Cortes</t>
  </si>
  <si>
    <t>Manuel Verbal 1545, 703 A</t>
  </si>
  <si>
    <t>REL77907</t>
  </si>
  <si>
    <t>258251903</t>
  </si>
  <si>
    <t>NOMBRE RETIRA: FERNANDO AROS . RUT RETIRA: 11180819-8</t>
  </si>
  <si>
    <t>Javiera Aros Gonzalez</t>
  </si>
  <si>
    <t>La Unión 29, 29. Villa las palmas</t>
  </si>
  <si>
    <t>REL77879</t>
  </si>
  <si>
    <t>258184781</t>
  </si>
  <si>
    <t>NOMBRE RETIRA: PIERA IBARZUA . RUT RETIRA: 12345678-5</t>
  </si>
  <si>
    <t>Piera Abarzua</t>
  </si>
  <si>
    <t>San Donato 3474, Casa</t>
  </si>
  <si>
    <t>REL77623</t>
  </si>
  <si>
    <t>257607949</t>
  </si>
  <si>
    <t>NOMBRE RETIRA: NATALI CARPA . RUT RETIRA: 14229160-6</t>
  </si>
  <si>
    <t>Natali Ancavil Carrasco</t>
  </si>
  <si>
    <t>Romulo correa 01607, Casa</t>
  </si>
  <si>
    <t>2025-11-19 11:13</t>
  </si>
  <si>
    <t>REL77916</t>
  </si>
  <si>
    <t>258251889</t>
  </si>
  <si>
    <t>NOMBRE RETIRA: GERMAN BUSTOS .... RUT RETIRA: 15515261-3</t>
  </si>
  <si>
    <t>JOCELYN Torres</t>
  </si>
  <si>
    <t>Pasaje Iloca 11, Casa 11. Población 27 de Febrero</t>
  </si>
  <si>
    <t>REL77840</t>
  </si>
  <si>
    <t>258102172</t>
  </si>
  <si>
    <t>NOMBRE RETIRA: BENEDICTO B VILLAROEL RUT RETIRA: 19146186-K</t>
  </si>
  <si>
    <t>Rosa Villarroel</t>
  </si>
  <si>
    <t>Pepita Manns 2</t>
  </si>
  <si>
    <t>2025-11-26 11:07</t>
  </si>
  <si>
    <t>REL77884</t>
  </si>
  <si>
    <t>258184741</t>
  </si>
  <si>
    <t>NOMBRE RETIRA: PAMELA BARRERA . RUT RETIRA: 11828380-5</t>
  </si>
  <si>
    <t>PAMELA BARRERA</t>
  </si>
  <si>
    <t>PABLO ORTEGA 1250</t>
  </si>
  <si>
    <t>REL77891</t>
  </si>
  <si>
    <t>258186562</t>
  </si>
  <si>
    <t>NOMBRE RETIRA: JESSICA NUNEZ - RUT RETIRA: 65072227-2</t>
  </si>
  <si>
    <t>Jessica Nunez Tapia</t>
  </si>
  <si>
    <t>Av Guillermo Ulriksen 1781, Depto. 2422. Condominio Brisas de San Joaquín</t>
  </si>
  <si>
    <t>REL77849</t>
  </si>
  <si>
    <t>258102095</t>
  </si>
  <si>
    <t>NOMBRE RETIRA: MARCELA QUINTRILEF M RUT RETIRA: 16635493-5</t>
  </si>
  <si>
    <t>Miguel angel Avendaño</t>
  </si>
  <si>
    <t>Variante internacional 1265, Bloque 3 dpto 317</t>
  </si>
  <si>
    <t>REL77867</t>
  </si>
  <si>
    <t>258184789</t>
  </si>
  <si>
    <t>NOMBRE RETIRA: CATALINA AROS . RUT RETIRA: 5252433-4</t>
  </si>
  <si>
    <t>Catalina Araos Mora</t>
  </si>
  <si>
    <t>Los Eucaliptus 3749, villa san martín</t>
  </si>
  <si>
    <t>REL77830</t>
  </si>
  <si>
    <t>258102225</t>
  </si>
  <si>
    <t>NOMBRE RETIRA: BLANCA AVALOD . RUT RETIRA: 6841331-1</t>
  </si>
  <si>
    <t>Salar del Carmen 3928</t>
  </si>
  <si>
    <t>REL77863</t>
  </si>
  <si>
    <t>258184805</t>
  </si>
  <si>
    <t>NOMBRE RETIRA: GABRIEKA GONZALES GONAZALES RUT RETIRA: 19458667-1</t>
  </si>
  <si>
    <t>gabriela Gonzalez Araya</t>
  </si>
  <si>
    <t>Pasaje Esmeralda 772, Casa 772. Borgoño</t>
  </si>
  <si>
    <t>REL77883</t>
  </si>
  <si>
    <t>258184745</t>
  </si>
  <si>
    <t>NOMBRE RETIRA: GERARDO YANEZ . RUT RETIRA: 11563589-1</t>
  </si>
  <si>
    <t>Fresia Cerda Guzman</t>
  </si>
  <si>
    <t>Ovada 1915, Villa Galilea</t>
  </si>
  <si>
    <t>REL77956</t>
  </si>
  <si>
    <t>9409683356</t>
  </si>
  <si>
    <t>Ivonne del pilar Villa Fuenzalida</t>
  </si>
  <si>
    <t>Rio maule 2610, Casa 126</t>
  </si>
  <si>
    <t>REL77860</t>
  </si>
  <si>
    <t>258184829</t>
  </si>
  <si>
    <t>NOMBRE RETIRA: BRIGIDA FLORES . RUT RETIRA: 13132108-2</t>
  </si>
  <si>
    <t>Patricio Pincheira pradenas</t>
  </si>
  <si>
    <t>Calle 4 Norte 955, Dpto. 502. Torre 5. Condominio Don Pedro 1</t>
  </si>
  <si>
    <t>REL77744</t>
  </si>
  <si>
    <t>258016260</t>
  </si>
  <si>
    <t>NOMBRE RETIRA: MARIA AGUIRRE L RUT RETIRA: 7358405-1</t>
  </si>
  <si>
    <t>Liliana Elizabeth</t>
  </si>
  <si>
    <t>Avenida Alejandro Azola 3428, Casa</t>
  </si>
  <si>
    <t>REL77842</t>
  </si>
  <si>
    <t>258102154</t>
  </si>
  <si>
    <t>NOMBRE RETIRA: LEONARDO FUENTES . RUT RETIRA: 16669238-5</t>
  </si>
  <si>
    <t>Fernando Zapata Vega</t>
  </si>
  <si>
    <t>Av. Chorrillos 716, Brigada Motorizada Nº 1 “Calama”</t>
  </si>
  <si>
    <t>REL77892</t>
  </si>
  <si>
    <t>258186574</t>
  </si>
  <si>
    <t>NOMBRE RETIRA: BRANDON CONCHA . RUT RETIRA: 19218919-5</t>
  </si>
  <si>
    <t>Pilar Sepulveda Erices</t>
  </si>
  <si>
    <t>Av. Caupolican 1077, of 302</t>
  </si>
  <si>
    <t>REL77874</t>
  </si>
  <si>
    <t>258184784</t>
  </si>
  <si>
    <t>NOMBRE RETIRA: ERNESTO DONOSO X RUT RETIRA: 11840704-0</t>
  </si>
  <si>
    <t>Ernesto Schlotterbeck</t>
  </si>
  <si>
    <t>Pasaje Aida, 1584, Laguna Verde</t>
  </si>
  <si>
    <t>REL77853</t>
  </si>
  <si>
    <t>258102093</t>
  </si>
  <si>
    <t>NOMBRE RETIRA: HECTOR RODRIGUEZ BRIONES RUT RETIRA: 9362201-4</t>
  </si>
  <si>
    <t>Jonathan Concha Guajardo</t>
  </si>
  <si>
    <t>Av. Pdte. Eduardo Frei Montalva 820, Casa 4</t>
  </si>
  <si>
    <t>REL77889</t>
  </si>
  <si>
    <t>258186598</t>
  </si>
  <si>
    <t>NOMBRE RETIRA: NANCY ESPINOZA -- RUT RETIRA: 25860397-4</t>
  </si>
  <si>
    <t>Nancy Espinoza</t>
  </si>
  <si>
    <t>Los Perales 1242, 1242</t>
  </si>
  <si>
    <t>REL77859</t>
  </si>
  <si>
    <t>258102082</t>
  </si>
  <si>
    <t>NOMBRE RETIRA: MAYERLY OGALDE OGALDE RUT RETIRA: 18654785-3</t>
  </si>
  <si>
    <t>Mayerly Ogalde</t>
  </si>
  <si>
    <t>Hernán Cortés 3052</t>
  </si>
  <si>
    <t>REL77734</t>
  </si>
  <si>
    <t>258016282</t>
  </si>
  <si>
    <t>NOMBRE RETIRA: GIANFRANCO MANDIOLA . RUT RETIRA: 19103238-1</t>
  </si>
  <si>
    <t>Gianfranco Mandiola iglesias</t>
  </si>
  <si>
    <t>Cerro Moreno 10024, Casa portón rojo</t>
  </si>
  <si>
    <t>REL77848</t>
  </si>
  <si>
    <t>258102129</t>
  </si>
  <si>
    <t>NOMBRE RETIRA: GLADYS CARVAJAL . RUT RETIRA: 11722240-3</t>
  </si>
  <si>
    <t>Alejandra Cortez Fuentes</t>
  </si>
  <si>
    <t>Avenida Jorge Alessandri 1290, Colegio Chuquicamata</t>
  </si>
  <si>
    <t>REL77862</t>
  </si>
  <si>
    <t>258184823</t>
  </si>
  <si>
    <t>NOMBRE RETIRA: BERNARDINA MARTINEZ . RUT RETIRA: 10166410-4</t>
  </si>
  <si>
    <t>Paulina andrea Silva escobedo</t>
  </si>
  <si>
    <t>Cardenal Caro 240, Centro Comunitario Se Rehabilitación</t>
  </si>
  <si>
    <t>REL77714</t>
  </si>
  <si>
    <t>258016373</t>
  </si>
  <si>
    <t>NOMBRE RETIRA: BARBARA IMACA O RUT RETIRA: 19100246-6</t>
  </si>
  <si>
    <t>Barbara Diocares galleguil</t>
  </si>
  <si>
    <t>Antilhue 1675, Dpto 408</t>
  </si>
  <si>
    <t>2025-11-22 11:38</t>
  </si>
  <si>
    <t>REL77745</t>
  </si>
  <si>
    <t>258016186</t>
  </si>
  <si>
    <t>NOMBRE RETIRA: PATRICIO VERROCAL . RUT RETIRA: 9048372-2</t>
  </si>
  <si>
    <t>Priscilla Meza alvarado</t>
  </si>
  <si>
    <t>Capitán Roberto Pérez 2791 , Edificio Nautilus, Depto. 1105. Península Cavancha</t>
  </si>
  <si>
    <t>REL77726</t>
  </si>
  <si>
    <t>258016275</t>
  </si>
  <si>
    <t>NOMBRE RETIRA: MARCELO CAYO . RUT RETIRA: 19356621-9</t>
  </si>
  <si>
    <t>marcelo cayo</t>
  </si>
  <si>
    <t>Pan de Azúcar 3705</t>
  </si>
  <si>
    <t>REL77720</t>
  </si>
  <si>
    <t>258016325</t>
  </si>
  <si>
    <t>NOMBRE RETIRA: ALONSO PERALTA P RUT RETIRA: 13871160-9</t>
  </si>
  <si>
    <t>Maullin  6138</t>
  </si>
  <si>
    <t>REL77810</t>
  </si>
  <si>
    <t>258015884</t>
  </si>
  <si>
    <t>NOMBRE RETIRA: RICHARD SOLAR M RUT RETIRA: 17453641-4</t>
  </si>
  <si>
    <t>Richard Solar</t>
  </si>
  <si>
    <t>Los Tilos 9 , villa radiata</t>
  </si>
  <si>
    <t>REL77835</t>
  </si>
  <si>
    <t>258102190</t>
  </si>
  <si>
    <t>NOMBRE RETIRA: MARIA ARDILES . RUT RETIRA: 9142538-6</t>
  </si>
  <si>
    <t>Catherine del Pilar Diaz Ardiles</t>
  </si>
  <si>
    <t>Av. Las Torres 3231, La cantera casas blancas, Calle  del camping el mirador del chivato</t>
  </si>
  <si>
    <t>REL77760</t>
  </si>
  <si>
    <t>258016148</t>
  </si>
  <si>
    <t>NOMBRE RETIRA: EMILIA SOTO . RUT RETIRA: 8544863-3</t>
  </si>
  <si>
    <t>Yuliana Araya</t>
  </si>
  <si>
    <t>Av. Argentina 1665, Departamento 1208. Torre A</t>
  </si>
  <si>
    <t>REL77822</t>
  </si>
  <si>
    <t>258015815</t>
  </si>
  <si>
    <t>NOMBRE RETIRA: VALESKA ZAMORANO . RUT RETIRA: 15745271-1</t>
  </si>
  <si>
    <t>Valeska Zamorano</t>
  </si>
  <si>
    <t>Av. Pacifico 741, 1700016 La Serena, Coquimbo, Chile, 1203 Torre Hornitos</t>
  </si>
  <si>
    <t>REL77802</t>
  </si>
  <si>
    <t>258015892</t>
  </si>
  <si>
    <t>NOMBRE RETIRA: NAHOMI PEREIRA . RUT RETIRA: 12438691-8</t>
  </si>
  <si>
    <t>Nahomi Pereira Heimpeller</t>
  </si>
  <si>
    <t>Pasaje uno 3666 Villa Gabriela Mistral Sector sur, Casa</t>
  </si>
  <si>
    <t>REL77836</t>
  </si>
  <si>
    <t>258102206</t>
  </si>
  <si>
    <t>NOMBRE RETIRA: CLAUDIO POVEDA . RUT RETIRA: 15261142-0</t>
  </si>
  <si>
    <t>Claudio Poveda Casanova</t>
  </si>
  <si>
    <t>Calfuray 4689 , santuario de la laguna</t>
  </si>
  <si>
    <t>REL77608</t>
  </si>
  <si>
    <t>257608034</t>
  </si>
  <si>
    <t>NOMBRE RETIRA: PIA BECERRA . RUT RETIRA: 15344828-0</t>
  </si>
  <si>
    <t>Pia Becerra</t>
  </si>
  <si>
    <t>21 de Mayo 466, Oficina 412</t>
  </si>
  <si>
    <t>2025-11-18 21:16</t>
  </si>
  <si>
    <t>REL77733</t>
  </si>
  <si>
    <t>258016293</t>
  </si>
  <si>
    <t>NOMBRE RETIRA: SANDRA . . RUT RETIRA: 24942233-9</t>
  </si>
  <si>
    <t>Alicia Gonzalez Rojas</t>
  </si>
  <si>
    <t>Av. Maximiliano Poblete 14601, 36</t>
  </si>
  <si>
    <t>REL77786</t>
  </si>
  <si>
    <t>258016040</t>
  </si>
  <si>
    <t>NOMBRE RETIRA: YENY CASTILLO . RUT RETIRA: 9167876-4</t>
  </si>
  <si>
    <t>LUIS FUENTEALBA ORDENES</t>
  </si>
  <si>
    <t>PEDRO LAGOS 1090, OFICINA 702</t>
  </si>
  <si>
    <t>REL77563</t>
  </si>
  <si>
    <t>257444192</t>
  </si>
  <si>
    <t>NOMBRE RETIRA: GINGER PAGELS . RUT RETIRA: 11111111-1</t>
  </si>
  <si>
    <t>Ginger Pagels Johnson</t>
  </si>
  <si>
    <t>Jorge Ivelic 01910</t>
  </si>
  <si>
    <t>2025-11-17 11:07</t>
  </si>
  <si>
    <t>REL77749</t>
  </si>
  <si>
    <t>258016226</t>
  </si>
  <si>
    <t>NOMBRE RETIRA: MARICEL . . RUT RETIRA: 12581118-3</t>
  </si>
  <si>
    <t>Francisco Ahumada romo</t>
  </si>
  <si>
    <t>Av. Rica Aventura 11930, Departamento E22</t>
  </si>
  <si>
    <t>REL77752</t>
  </si>
  <si>
    <t>258016211</t>
  </si>
  <si>
    <t>NOMBRE RETIRA: MARIA CARRASCO U RUT RETIRA: 20066879-0</t>
  </si>
  <si>
    <t>María Victoria Carrasco</t>
  </si>
  <si>
    <t>Del Salvador 320, 4 piso</t>
  </si>
  <si>
    <t>REL77796</t>
  </si>
  <si>
    <t>258015972</t>
  </si>
  <si>
    <t>NOMBRE RETIRA: ISABEL CARRASCO CARRASCO RUT RETIRA: 8360330-5</t>
  </si>
  <si>
    <t>Camila Miranda Rojas</t>
  </si>
  <si>
    <t>Los cactus 511, Casa</t>
  </si>
  <si>
    <t>REL77823</t>
  </si>
  <si>
    <t>258102240</t>
  </si>
  <si>
    <t>Cristobal pinto</t>
  </si>
  <si>
    <t>Jaime Repullo 3545, Dpto 402 block lenga</t>
  </si>
  <si>
    <t>REL77430</t>
  </si>
  <si>
    <t>257132029</t>
  </si>
  <si>
    <t>Andres Felipe Garcia Buitrago</t>
  </si>
  <si>
    <t>Pedro Montt 262, Hotel CostAustralis</t>
  </si>
  <si>
    <t>2025-11-12 11:22</t>
  </si>
  <si>
    <t>REL77846</t>
  </si>
  <si>
    <t>258102152</t>
  </si>
  <si>
    <t>NOMBRE RETIRA: ALEXANDER KUSJANOVIC A RUT RETIRA: 20137133-3</t>
  </si>
  <si>
    <t>Alexander Kusjanovic</t>
  </si>
  <si>
    <t>Washington 1785, Negocio azul</t>
  </si>
  <si>
    <t>REL77712</t>
  </si>
  <si>
    <t>258016399</t>
  </si>
  <si>
    <t>NOMBRE RETIRA: LILIAN . . RUT RETIRA: 5720999-2</t>
  </si>
  <si>
    <t>Lilian Abdala Olivares</t>
  </si>
  <si>
    <t>Avenida Sierra Nevada 11068, Casa 18 cond paranal</t>
  </si>
  <si>
    <t>2025-11-21 21:17</t>
  </si>
  <si>
    <t>REL77716</t>
  </si>
  <si>
    <t>258016370</t>
  </si>
  <si>
    <t>NOMBRE RETIRA: DERSI GARCIA .CONSERJERIA RUT RETIRA: 12582532-K</t>
  </si>
  <si>
    <t>Tais Matus</t>
  </si>
  <si>
    <t>Calle Laguna Kalina 1473, C-2</t>
  </si>
  <si>
    <t>REL77701</t>
  </si>
  <si>
    <t>258016406</t>
  </si>
  <si>
    <t>NOMBRE RETIRA: ANTONELLA . . RUT RETIRA: 18460389-6</t>
  </si>
  <si>
    <t>antonella sedini suazo</t>
  </si>
  <si>
    <t>Isla de Pascua 6181, negocio express market</t>
  </si>
  <si>
    <t>2025-11-21 21:16</t>
  </si>
  <si>
    <t>REL77793</t>
  </si>
  <si>
    <t>258015992</t>
  </si>
  <si>
    <t>NOMBRE RETIRA: ERIBERTO HIDALGO H RUT RETIRA: 9160938-K</t>
  </si>
  <si>
    <t>María Leontina Pérez Brossard</t>
  </si>
  <si>
    <t>Barros Arana 832, Depto 413</t>
  </si>
  <si>
    <t>REL77179</t>
  </si>
  <si>
    <t>256710862</t>
  </si>
  <si>
    <t>NOMBRE RETIRA: JESSICA NUNEZ -- RUT RETIRA: 65072227-2</t>
  </si>
  <si>
    <t>Jessica Nunez</t>
  </si>
  <si>
    <t>Av Guillermo Ulriksen 1781, Depto. 2422. Brisas de San Joaquín</t>
  </si>
  <si>
    <t>2025-11-05 21:15</t>
  </si>
  <si>
    <t>REL77795</t>
  </si>
  <si>
    <t>258015983</t>
  </si>
  <si>
    <t>NOMBRE RETIRA: JOSELIN PALMA . RUT RETIRA: 18811490-3</t>
  </si>
  <si>
    <t>Joselin Palma</t>
  </si>
  <si>
    <t>Pasaje 25 #870 candelaria</t>
  </si>
  <si>
    <t>REL77741</t>
  </si>
  <si>
    <t>258016241</t>
  </si>
  <si>
    <t>NOMBRE RETIRA: JORGE RECABARREN A RUT RETIRA: 20137133-3</t>
  </si>
  <si>
    <t>Gisselle Rojas Altamirano</t>
  </si>
  <si>
    <t>Jorge Kenrick 800, Departamento 1904</t>
  </si>
  <si>
    <t>REL77762</t>
  </si>
  <si>
    <t>258016138</t>
  </si>
  <si>
    <t>NOMBRE RETIRA: CARNOS SANCHEZ . RUT RETIRA: 10711103-4</t>
  </si>
  <si>
    <t>Nicolás Pereira Miranda</t>
  </si>
  <si>
    <t>La Vega 597, Arrayan 408</t>
  </si>
  <si>
    <t>REL77766</t>
  </si>
  <si>
    <t>258016094</t>
  </si>
  <si>
    <t>NOMBRE RETIRA: IGNICION BELEN . RUT RETIRA: 10750885-6</t>
  </si>
  <si>
    <t>Ignición Belen Mellado Sanhueza</t>
  </si>
  <si>
    <t>Edificio Rengo 1281, 303</t>
  </si>
  <si>
    <t>REL77763</t>
  </si>
  <si>
    <t>258016132</t>
  </si>
  <si>
    <t>NOMBRE RETIRA: MAXIMO GUTIERREZ . RUT RETIRA: 17625970-1</t>
  </si>
  <si>
    <t>Valentina Paz Arcos García</t>
  </si>
  <si>
    <t>Ernesto Molina 1439, San Joaquín casa</t>
  </si>
  <si>
    <t>REL77676</t>
  </si>
  <si>
    <t>257766737</t>
  </si>
  <si>
    <t>NOMBRE RETIRA: VICTOR ZURICUETA . RUT RETIRA: 12345678-5</t>
  </si>
  <si>
    <t>Victor zubicueta Zubicueta</t>
  </si>
  <si>
    <t>Pasaje Tres 3877, Villa don Arturo</t>
  </si>
  <si>
    <t>2025-11-20 21:17</t>
  </si>
  <si>
    <t>REL77816</t>
  </si>
  <si>
    <t>258015829</t>
  </si>
  <si>
    <t>NOMBRE RETIRA: MARCELA PONTIO .. RUT RETIRA: 11115120-2</t>
  </si>
  <si>
    <t>marcela pontigo alfaro</t>
  </si>
  <si>
    <t>Piroscafos 1174</t>
  </si>
  <si>
    <t>REL77723</t>
  </si>
  <si>
    <t>258016323</t>
  </si>
  <si>
    <t>NOMBRE RETIRA: PEDRO MORALES . RUT RETIRA: 16293667-0</t>
  </si>
  <si>
    <t>Pedro Morales Mesías</t>
  </si>
  <si>
    <t>Pasaje Santa Julia pasaje 233, 19</t>
  </si>
  <si>
    <t>REL77756</t>
  </si>
  <si>
    <t>258016172</t>
  </si>
  <si>
    <t>NOMBRE RETIRA: CLAUDIA SANHUEZA HERNANDEZ RUT RETIRA: 15585444-8</t>
  </si>
  <si>
    <t>Claudia Sanhueza Hernandez</t>
  </si>
  <si>
    <t>Los Perales Poniente 0448, Villa Las Pircas</t>
  </si>
  <si>
    <t>REL77781</t>
  </si>
  <si>
    <t>258016074</t>
  </si>
  <si>
    <t>NOMBRE RETIRA: JAIME GALLEGUILLOS . . RUT RETIRA: 5809578-8</t>
  </si>
  <si>
    <t>Constanza Loch</t>
  </si>
  <si>
    <t>Calle Paraiso 178, Villa Cataluña</t>
  </si>
  <si>
    <t>REL77782</t>
  </si>
  <si>
    <t>258016058</t>
  </si>
  <si>
    <t>NOMBRE RETIRA: ELIZABETH PILAR . RUT RETIRA: 21937281-7</t>
  </si>
  <si>
    <t>Elizabeth Pilar Sepulveda Erices</t>
  </si>
  <si>
    <t>Pasaje La Cebada 0358</t>
  </si>
  <si>
    <t>REL77797</t>
  </si>
  <si>
    <t>258015963</t>
  </si>
  <si>
    <t>NOMBRE RETIRA: STEFI CUWVAS N RUT RETIRA: 10721237-K</t>
  </si>
  <si>
    <t>REL77806</t>
  </si>
  <si>
    <t>258015919</t>
  </si>
  <si>
    <t>NOMBRE RETIRA: FCO VARGAS . RUT RETIRA: 15051124-0</t>
  </si>
  <si>
    <t>Alejandra Moreno</t>
  </si>
  <si>
    <t>Pasaje Abraham Rojas González 1773, Casa</t>
  </si>
  <si>
    <t>REL77812</t>
  </si>
  <si>
    <t>258015901</t>
  </si>
  <si>
    <t>NOMBRE RETIRA: STEFANI TORO . RUT RETIRA: 19944807-2</t>
  </si>
  <si>
    <t>Omar Navea Navea</t>
  </si>
  <si>
    <t>Carmenere 1360, la viña el portal</t>
  </si>
  <si>
    <t>REL77751</t>
  </si>
  <si>
    <t>258016214</t>
  </si>
  <si>
    <t>NOMBRE RETIRA: RODRIGO CACERES . RUT RETIRA: 20921182-3</t>
  </si>
  <si>
    <t>Carla Muñoz Gutiérrez</t>
  </si>
  <si>
    <t>El Roble 650, Local 1 galeria Toha</t>
  </si>
  <si>
    <t>REL77721</t>
  </si>
  <si>
    <t>258016313</t>
  </si>
  <si>
    <t>NOMBRE RETIRA: KARLA PARRA -- RUT RETIRA: 15673573-6</t>
  </si>
  <si>
    <t>Karla Parra Jiménez</t>
  </si>
  <si>
    <t>San joaquin 2010, 301 D condominio terrazas de san joaquin</t>
  </si>
  <si>
    <t>REL77783</t>
  </si>
  <si>
    <t>258016030</t>
  </si>
  <si>
    <t>NOMBRE RETIRA: LUIS ALCANTARA A RUT RETIRA: 8291246-0</t>
  </si>
  <si>
    <t>Luis Alcántara Ortega</t>
  </si>
  <si>
    <t>Vil Don Rodrigo, Calle El Coigue 0456, Casa esquina</t>
  </si>
  <si>
    <t>REL77813</t>
  </si>
  <si>
    <t>258015856</t>
  </si>
  <si>
    <t>NOMBRE RETIRA: LUIS SILVA . RUT RETIRA: 10404363-1</t>
  </si>
  <si>
    <t>Verónica Rosenberg</t>
  </si>
  <si>
    <t>Av. Francia 1741, Departamento 411. www.rinconaleman.cl</t>
  </si>
  <si>
    <t>REL77819</t>
  </si>
  <si>
    <t>258015838</t>
  </si>
  <si>
    <t>NOMBRE RETIRA: NATALIA CORNEJO CORNEJO RUT RETIRA: 17470836-3</t>
  </si>
  <si>
    <t>Natalia Cornejo</t>
  </si>
  <si>
    <t>Bello Horizonte 605, edificio rucaray</t>
  </si>
  <si>
    <t>REL77746</t>
  </si>
  <si>
    <t>258016233</t>
  </si>
  <si>
    <t>NOMBRE RETIRA: ELIANA FERNANDEZ . RUT RETIRA: 20658147-6</t>
  </si>
  <si>
    <t>Eliana Fernández</t>
  </si>
  <si>
    <t>RodrÍguez 53, -</t>
  </si>
  <si>
    <t>REL77785</t>
  </si>
  <si>
    <t>258016024</t>
  </si>
  <si>
    <t>NOMBRE RETIRA: CECULIA VEGA 0 RUT RETIRA: 15944689-1</t>
  </si>
  <si>
    <t>Cecilia Vega</t>
  </si>
  <si>
    <t>Pedro Esteban 128 villa san pedro, Casa esquina, color crema</t>
  </si>
  <si>
    <t>REL77735</t>
  </si>
  <si>
    <t>258016291</t>
  </si>
  <si>
    <t>NOMBRE RETIRA: COBSTANZA CEA . RUT RETIRA: 9688148-7</t>
  </si>
  <si>
    <t>Constanza Cea</t>
  </si>
  <si>
    <t>Pasaje Cauquenes 2975, 2975</t>
  </si>
  <si>
    <t>REL77759</t>
  </si>
  <si>
    <t>258016116</t>
  </si>
  <si>
    <t>NOMBRE RETIRA: PEDRO CONSRRJE N RUT RETIRA: 7568792-3</t>
  </si>
  <si>
    <t>Camila Herrera Rojas</t>
  </si>
  <si>
    <t>El Rincón 2100, Parcela 151. Fundo el Rincón</t>
  </si>
  <si>
    <t>REL77791</t>
  </si>
  <si>
    <t>258016001</t>
  </si>
  <si>
    <t>NOMBRE RETIRA: SEBASTIAN VERDUGO . RUT RETIRA: 8941260-9</t>
  </si>
  <si>
    <t>Sebastián Verdugo</t>
  </si>
  <si>
    <t>Avenida La Herradura 1834, El Polo A, Machalí,, Polo A</t>
  </si>
  <si>
    <t>REL77717</t>
  </si>
  <si>
    <t>258016366</t>
  </si>
  <si>
    <t>NOMBRE RETIRA: RAUL YANEZ . RUT RETIRA: 9345768-4</t>
  </si>
  <si>
    <t>Lorena Garcia araya</t>
  </si>
  <si>
    <t>Avenida El Rincón 940, 25</t>
  </si>
  <si>
    <t>REL77815</t>
  </si>
  <si>
    <t>258015865</t>
  </si>
  <si>
    <t>NOMBRE RETIRA: CRISTISN CHAVEZ JU RUT RETIRA: 14325292-2</t>
  </si>
  <si>
    <t>Cristhian Chavez</t>
  </si>
  <si>
    <t>Membrillar 884, Esquina Camilo Enriquez Sherwin Williams</t>
  </si>
  <si>
    <t>REL77814</t>
  </si>
  <si>
    <t>258015860</t>
  </si>
  <si>
    <t>NOMBRE RETIRA: VICTOE OPAZO . RUT RETIRA: 7707454-6</t>
  </si>
  <si>
    <t>Victor Opazo Gajardo</t>
  </si>
  <si>
    <t>Calle 4 1/2 Oriente 0327 con 21 sur, 0327, Aurora de Chile</t>
  </si>
  <si>
    <t>REL710657</t>
  </si>
  <si>
    <t>712998362580</t>
  </si>
  <si>
    <t>Yosana Osorio</t>
  </si>
  <si>
    <t>Calle alemania, Casa 3339 PANADERIA PANLITOS</t>
  </si>
  <si>
    <t>2025-12-29 20:14</t>
  </si>
  <si>
    <t>REL710540</t>
  </si>
  <si>
    <t>712996628525</t>
  </si>
  <si>
    <t>Nombre: cristofer - Rut: 166261252</t>
  </si>
  <si>
    <t>Leonardo Muñoz</t>
  </si>
  <si>
    <t>Federico Redlich, Corresponde a la Subcomisaria de carabineros los Muermos</t>
  </si>
  <si>
    <t>2025-12-23 18:14</t>
  </si>
  <si>
    <t>REL710511</t>
  </si>
  <si>
    <t>712996628713</t>
  </si>
  <si>
    <t>Nombre: Camilo Salazar - Rut: 183883992</t>
  </si>
  <si>
    <t>Malleco 9062</t>
  </si>
  <si>
    <t>2025-12-23 11:13</t>
  </si>
  <si>
    <t>REL710238</t>
  </si>
  <si>
    <t>712995279894</t>
  </si>
  <si>
    <t>Nombre: jorge mondaca - Rut: 191416244</t>
  </si>
  <si>
    <t>Jorge Mondaca</t>
  </si>
  <si>
    <t>Libertad 1050, centro kay kamai, Trabajo</t>
  </si>
  <si>
    <t>2025-12-19 19:50</t>
  </si>
  <si>
    <t>REL710276</t>
  </si>
  <si>
    <t>712995279780</t>
  </si>
  <si>
    <t>Nombre: Juan Carlos Harris - Rut: 50790746</t>
  </si>
  <si>
    <t>Yobaira Taborga</t>
  </si>
  <si>
    <t>Av Fertilizantes 500, Depto 3223, Depto 3223</t>
  </si>
  <si>
    <t>REL710322</t>
  </si>
  <si>
    <t>712995279625</t>
  </si>
  <si>
    <t>Nombre: lucas soto - Rut: 213071866</t>
  </si>
  <si>
    <t>Maite Antü Perez Soto</t>
  </si>
  <si>
    <t>Egon gebauer 300, Casa</t>
  </si>
  <si>
    <t>REL710255</t>
  </si>
  <si>
    <t>712995279846</t>
  </si>
  <si>
    <t>Nombre: neibe onate - Rut: 82067191</t>
  </si>
  <si>
    <t>Ronald Escalona oñate</t>
  </si>
  <si>
    <t>Ranguel 538, Villa el aguila</t>
  </si>
  <si>
    <t>2025-12-19 19:51</t>
  </si>
  <si>
    <t>REL710357</t>
  </si>
  <si>
    <t>712995279496</t>
  </si>
  <si>
    <t>Nombre: camila silva - Rut: 199079700</t>
  </si>
  <si>
    <t>Franco Silva</t>
  </si>
  <si>
    <t>Pasaje Catorce 2679, Hualpén, Casa porton negro</t>
  </si>
  <si>
    <t>2025-12-21 20:53</t>
  </si>
  <si>
    <t>REL79982</t>
  </si>
  <si>
    <t>712992325301</t>
  </si>
  <si>
    <t>Nombre: Ernesto Guerra - Rut: 132726604</t>
  </si>
  <si>
    <t>Ingrid González Navarrete</t>
  </si>
  <si>
    <t>Pasaje Montaña Mágica, 1997</t>
  </si>
  <si>
    <t>REL710130</t>
  </si>
  <si>
    <t>712993582442</t>
  </si>
  <si>
    <t>Nombre: German vera - Rut: 112315519</t>
  </si>
  <si>
    <t>MANUEL CARRASCO</t>
  </si>
  <si>
    <t>AV VICUÑA MACKENNA 1405, FRENTE A SODIMAC CONSTRUCTORA SAN JOSE CHILE</t>
  </si>
  <si>
    <t>REL710116</t>
  </si>
  <si>
    <t>712993582840</t>
  </si>
  <si>
    <t>Nombre: Yesica Gonzales - Rut: 142740486</t>
  </si>
  <si>
    <t>Adriel Hernandez hernandez</t>
  </si>
  <si>
    <t>San martín 493, Casa</t>
  </si>
  <si>
    <t>REL79951</t>
  </si>
  <si>
    <t>712992326443</t>
  </si>
  <si>
    <t>Nombre: ISMAEL PEREIRA - Rut: 16927680</t>
  </si>
  <si>
    <t>Eliseo Arredondo Olivares</t>
  </si>
  <si>
    <t>Calle Santa Rosa / Tranquilla / Salamanca, Casa 29</t>
  </si>
  <si>
    <t>REL79277</t>
  </si>
  <si>
    <t>712988169795</t>
  </si>
  <si>
    <t>Nombre: Ximena San Roman - Rut: 105763085</t>
  </si>
  <si>
    <t>GUILLERMO PULGAR NAVARRO</t>
  </si>
  <si>
    <t>Ángel Gaete 365</t>
  </si>
  <si>
    <t>REL79988</t>
  </si>
  <si>
    <t>712992325393</t>
  </si>
  <si>
    <t>Nombre: Marcela polanco - Rut: 174015481</t>
  </si>
  <si>
    <t>David Molina Carvajal</t>
  </si>
  <si>
    <t>Nicanor Parra 267, Casa porton negro</t>
  </si>
  <si>
    <t>REL79897</t>
  </si>
  <si>
    <t>712992327574</t>
  </si>
  <si>
    <t>Nombre: franco frias - Rut: 235617463</t>
  </si>
  <si>
    <t>Diego Frias</t>
  </si>
  <si>
    <t>Pasaje José Arturo Pacheco 156, Casa</t>
  </si>
  <si>
    <t>REL79892</t>
  </si>
  <si>
    <t>712992327666</t>
  </si>
  <si>
    <t>Nombre: paula villarroel - Rut: 199079700</t>
  </si>
  <si>
    <t>Bastian Pedraza</t>
  </si>
  <si>
    <t>Calle la roda 170, Depto 504</t>
  </si>
  <si>
    <t>REL79910</t>
  </si>
  <si>
    <t>712992327331</t>
  </si>
  <si>
    <t>Nombre: francisco rodriguez - Rut: 199079700</t>
  </si>
  <si>
    <t>Francisco Rodriguez morales</t>
  </si>
  <si>
    <t>Pasaje Pangal 9238, Casa</t>
  </si>
  <si>
    <t>REL79900</t>
  </si>
  <si>
    <t>712992327563</t>
  </si>
  <si>
    <t>Nombre: claudio gonzalez - Rut: 14011699</t>
  </si>
  <si>
    <t>Claudio Gonzalez lopez</t>
  </si>
  <si>
    <t>Camino la leonera 83, Parcela 5</t>
  </si>
  <si>
    <t>REL79927</t>
  </si>
  <si>
    <t>712992326815</t>
  </si>
  <si>
    <t>Nombre: violeta flores - Rut: 9538109</t>
  </si>
  <si>
    <t>Brenda tamara Tejeda Flores</t>
  </si>
  <si>
    <t>Los Queltehues 136, 136</t>
  </si>
  <si>
    <t>REL79754</t>
  </si>
  <si>
    <t>712991422791</t>
  </si>
  <si>
    <t>Nombre: fco cuevas - Rut: 84283762</t>
  </si>
  <si>
    <t>Marco Rios garrido</t>
  </si>
  <si>
    <t>Calafquén 958, Casa reja verde</t>
  </si>
  <si>
    <t>REL79866</t>
  </si>
  <si>
    <t>712991411436</t>
  </si>
  <si>
    <t>Nombre: monica pinochet - Rut: 0</t>
  </si>
  <si>
    <t>Monica Pinochet Vivanco</t>
  </si>
  <si>
    <t>El naranjo 27, Santo Domingo de Lonquen, casa</t>
  </si>
  <si>
    <t>REL79799</t>
  </si>
  <si>
    <t>712991418016</t>
  </si>
  <si>
    <t>Nombre: carminia torres - Rut: 13356621</t>
  </si>
  <si>
    <t>Carminia Torres</t>
  </si>
  <si>
    <t>Calle L. Cruz MartÍnez 041</t>
  </si>
  <si>
    <t>REL79729</t>
  </si>
  <si>
    <t>712991427853</t>
  </si>
  <si>
    <t>Nombre: GLORIA LEVICAN - Rut: 13002747</t>
  </si>
  <si>
    <t>GLORIA LEVICAN</t>
  </si>
  <si>
    <t>OQUELDAN RURAL SN</t>
  </si>
  <si>
    <t>REL79306</t>
  </si>
  <si>
    <t>712988168605</t>
  </si>
  <si>
    <t>Nombre: cristibal palma - Rut: 187899370</t>
  </si>
  <si>
    <t>Cristóbal Palma Vasquez</t>
  </si>
  <si>
    <t>Cruce quellon viejo s/n camino punta de lapas, S/n</t>
  </si>
  <si>
    <t>REL79743</t>
  </si>
  <si>
    <t>712991426836</t>
  </si>
  <si>
    <t>Nombre: edith morales - Rut: 117602699</t>
  </si>
  <si>
    <t>Mario Cornejo</t>
  </si>
  <si>
    <t>Pasaje Tanumé 1620, Villa Agustín Ross</t>
  </si>
  <si>
    <t>REL79386</t>
  </si>
  <si>
    <t>712988164372</t>
  </si>
  <si>
    <t>Nombre: Felipe leon - Rut: 17402978</t>
  </si>
  <si>
    <t>FELIPE ANDRÉS LEÓN PARODI</t>
  </si>
  <si>
    <t>Camino a Curanipe 10380</t>
  </si>
  <si>
    <t>REL79877</t>
  </si>
  <si>
    <t>712991411241</t>
  </si>
  <si>
    <t>Nombre: reimindo carter - Rut: 131461860</t>
  </si>
  <si>
    <t>Cesar Medina</t>
  </si>
  <si>
    <t>Lago calafquen #211, Casa</t>
  </si>
  <si>
    <t>REL79762</t>
  </si>
  <si>
    <t>712991420562</t>
  </si>
  <si>
    <t>Nombre: cecilia valenzuela - Rut: 117606929</t>
  </si>
  <si>
    <t>alejandro rencoret</t>
  </si>
  <si>
    <t>el elqui 126, nancagua, oficina</t>
  </si>
  <si>
    <t>REL79769</t>
  </si>
  <si>
    <t>712991419954</t>
  </si>
  <si>
    <t>Nombre: Michel Sanchez - Rut: 196094687</t>
  </si>
  <si>
    <t>Marco Espinoza Nuñez</t>
  </si>
  <si>
    <t>Pasaje la media luna 0911, villa chacra San Pedro, melipilla, Pasaje la media luna 0911 chacra San Pedro, melipilla</t>
  </si>
  <si>
    <t>REL79733</t>
  </si>
  <si>
    <t>712991427643</t>
  </si>
  <si>
    <t>Nombre: humbert - Rut: 82257640</t>
  </si>
  <si>
    <t>Rodrigo Barrios</t>
  </si>
  <si>
    <t>Francisco antonio encina 8861 villa maiten hualpen</t>
  </si>
  <si>
    <t>REL79786</t>
  </si>
  <si>
    <t>712991419593</t>
  </si>
  <si>
    <t>Nombre: cristian contreras - Rut: 184844273</t>
  </si>
  <si>
    <t>Cristian Contreras</t>
  </si>
  <si>
    <t>Estanislao Oyarzu 350, Direccion CESFAM Canela</t>
  </si>
  <si>
    <t>REL79233</t>
  </si>
  <si>
    <t>712988171033</t>
  </si>
  <si>
    <t>Nombre: evelyn rubilar - Rut: 129801271</t>
  </si>
  <si>
    <t>Evelyn Rubilar Saez</t>
  </si>
  <si>
    <t>Independencia 737, Huepil</t>
  </si>
  <si>
    <t>REL79237</t>
  </si>
  <si>
    <t>712988170845</t>
  </si>
  <si>
    <t>Nombre: cecilia galvez - Rut: 0</t>
  </si>
  <si>
    <t>Javiera Gálvez</t>
  </si>
  <si>
    <t>Nueva 87</t>
  </si>
  <si>
    <t>REL79521</t>
  </si>
  <si>
    <t>712990313033</t>
  </si>
  <si>
    <t>Nombre: ines - Rut: 180310444</t>
  </si>
  <si>
    <t>Andres Leiva</t>
  </si>
  <si>
    <t>Trebulco 2609, 2609</t>
  </si>
  <si>
    <t>REL79618</t>
  </si>
  <si>
    <t>712990312053</t>
  </si>
  <si>
    <t>Nombre: dalilaalfaro - Rut: 105310900</t>
  </si>
  <si>
    <t>Joselyn Olivares Alfaro</t>
  </si>
  <si>
    <t>Bruno larrain 132, Casa</t>
  </si>
  <si>
    <t>REL79396</t>
  </si>
  <si>
    <t>712988163845</t>
  </si>
  <si>
    <t>Nombre: Felipe Ignacio Contreras Villanueva - Rut: 19513312</t>
  </si>
  <si>
    <t>Felipe Ignacio Contreras Villanueva</t>
  </si>
  <si>
    <t>Doctor Ahues 305, Hospital de Quellon</t>
  </si>
  <si>
    <t>REL79609</t>
  </si>
  <si>
    <t>712990312160</t>
  </si>
  <si>
    <t>Nombre: jovani chabez - Rut: 165079361</t>
  </si>
  <si>
    <t>Centenario 218, casa verde, Poblacion el mirador</t>
  </si>
  <si>
    <t>REL79398</t>
  </si>
  <si>
    <t>712988163705</t>
  </si>
  <si>
    <t>Nombre: Manuel Ojeda - Rut: 155160233</t>
  </si>
  <si>
    <t>Manuel Ojeda</t>
  </si>
  <si>
    <t>Angel Gaete 603, Almacen Moral</t>
  </si>
  <si>
    <t>REL79665</t>
  </si>
  <si>
    <t>712990311622</t>
  </si>
  <si>
    <t>Nombre: nely angel - Rut: 120391402</t>
  </si>
  <si>
    <t>Alicia Meneses Angel</t>
  </si>
  <si>
    <t>Lago villarrica 157 monte patria, Reja roja kiosco</t>
  </si>
  <si>
    <t>REL79373</t>
  </si>
  <si>
    <t>712988165352</t>
  </si>
  <si>
    <t>Nombre: jose arias - Rut: 203109474</t>
  </si>
  <si>
    <t>Jose Miranda Arias</t>
  </si>
  <si>
    <t>Callejón Maulen, Sitio 67, Mandinga, Casa 67</t>
  </si>
  <si>
    <t>REL79658</t>
  </si>
  <si>
    <t>712990311681</t>
  </si>
  <si>
    <t>Nombre: isabel castro - Rut: 7777002</t>
  </si>
  <si>
    <t>Melissa Muñoz Sotomayor</t>
  </si>
  <si>
    <t>Guacolda, 1108</t>
  </si>
  <si>
    <t>REL79640</t>
  </si>
  <si>
    <t>712990311740</t>
  </si>
  <si>
    <t>Nombre: maeibel riquelme - Rut: 151539181</t>
  </si>
  <si>
    <t>Julián Ferrer</t>
  </si>
  <si>
    <t>Loteo San Manuel 75, Parcela 75</t>
  </si>
  <si>
    <t>REL79267</t>
  </si>
  <si>
    <t>712988170204</t>
  </si>
  <si>
    <t>Nombre: Claudia Acevedo - Rut: 190452778</t>
  </si>
  <si>
    <t>Travesía 858</t>
  </si>
  <si>
    <t>REL79650</t>
  </si>
  <si>
    <t>712990311670</t>
  </si>
  <si>
    <t>Nombre: norma Arevalo - Rut: 89938163</t>
  </si>
  <si>
    <t>Eliecer Orias</t>
  </si>
  <si>
    <t>Bernardo O’higgins, periquillo, comuna Hualqui, Numero 60</t>
  </si>
  <si>
    <t>REL79548</t>
  </si>
  <si>
    <t>712990312790</t>
  </si>
  <si>
    <t>Nombre: marjorue zurita - Rut: 95105181</t>
  </si>
  <si>
    <t>Patricio Bustamante</t>
  </si>
  <si>
    <t>Gabriel silva 776</t>
  </si>
  <si>
    <t>REL79611</t>
  </si>
  <si>
    <t>712990312123</t>
  </si>
  <si>
    <t>Nombre: Priscilla Villa - Rut: 14219491</t>
  </si>
  <si>
    <t>Priscilla Villa</t>
  </si>
  <si>
    <t>Artemio gutierrez 264, Casa</t>
  </si>
  <si>
    <t>REL79317</t>
  </si>
  <si>
    <t>712988168351</t>
  </si>
  <si>
    <t>Nombre: Cecilia Ramirez - Rut: 116102676</t>
  </si>
  <si>
    <t>Simon Carrasco</t>
  </si>
  <si>
    <t>Av. O'Higgins 0599, casa</t>
  </si>
  <si>
    <t>REL79563</t>
  </si>
  <si>
    <t>712990312580</t>
  </si>
  <si>
    <t>Nombre: leandro contreras - Rut: 0</t>
  </si>
  <si>
    <t>Leandro Contreras</t>
  </si>
  <si>
    <t>Blanco encalada 251, Oficina 9 ( cooperativa capual )</t>
  </si>
  <si>
    <t>REL79419</t>
  </si>
  <si>
    <t>712988814322</t>
  </si>
  <si>
    <t>Nombre: Elizabeth Jara - Rut: 734372161</t>
  </si>
  <si>
    <t>Alejandra Rodriguez rojas</t>
  </si>
  <si>
    <t>San antonio 48, Hotel Max&amp;Mar</t>
  </si>
  <si>
    <t>REL79499</t>
  </si>
  <si>
    <t>712988811161</t>
  </si>
  <si>
    <t>Nombre: DIEGO ALBERTO BASCUNAN IBANEZ - Rut: 16872534</t>
  </si>
  <si>
    <t>DIEGO ALBERTO BASCUNAN IBANEZ</t>
  </si>
  <si>
    <t>La bastilla 126, Minimarket la bastilla</t>
  </si>
  <si>
    <t>REL79490</t>
  </si>
  <si>
    <t>712988810984</t>
  </si>
  <si>
    <t>Nombre: gaston gonzales - Rut: 190813169</t>
  </si>
  <si>
    <t>Valeria Agurto</t>
  </si>
  <si>
    <t>El Olmo 419, Casa</t>
  </si>
  <si>
    <t>REL79470</t>
  </si>
  <si>
    <t>712988811964</t>
  </si>
  <si>
    <t>Nombre: Juana sanch z - Rut: 98427392</t>
  </si>
  <si>
    <t>Yerko Ramos</t>
  </si>
  <si>
    <t>La estancilla 1085C</t>
  </si>
  <si>
    <t>REL78779</t>
  </si>
  <si>
    <t>712986523410</t>
  </si>
  <si>
    <t>Nombre: Jessica zapata - Rut: 181486074</t>
  </si>
  <si>
    <t>Jessica Zapata Rojas</t>
  </si>
  <si>
    <t>Washington 768</t>
  </si>
  <si>
    <t>2025-12-09 03:04</t>
  </si>
  <si>
    <t>REL79189</t>
  </si>
  <si>
    <t>712986505195</t>
  </si>
  <si>
    <t>Nombre: lidia zuniga - Rut: 102555716</t>
  </si>
  <si>
    <t>Alamiro Robles</t>
  </si>
  <si>
    <t>Bernardo O'Higgins 509, Botilleris los robles</t>
  </si>
  <si>
    <t>REL78940</t>
  </si>
  <si>
    <t>712986508500</t>
  </si>
  <si>
    <t>Nombre: Carla Coo - Rut: 17965763</t>
  </si>
  <si>
    <t>Carla Coo</t>
  </si>
  <si>
    <t>Camilo Henríquez 063, Tambo Centro</t>
  </si>
  <si>
    <t>REL78954</t>
  </si>
  <si>
    <t>712986508360</t>
  </si>
  <si>
    <t>Nombre: carmen nemu - Rut: 173610939</t>
  </si>
  <si>
    <t>Estefania Soto</t>
  </si>
  <si>
    <t>Balmaceda 710, Casa</t>
  </si>
  <si>
    <t>REL79201</t>
  </si>
  <si>
    <t>712986505114</t>
  </si>
  <si>
    <t>Nombre: runin - Rut: 109663859</t>
  </si>
  <si>
    <t>Alejandra Pérez</t>
  </si>
  <si>
    <t>Teniente merino 415</t>
  </si>
  <si>
    <t>REL79225</t>
  </si>
  <si>
    <t>712986504856</t>
  </si>
  <si>
    <t>Nombre: David Munoz corvalan - Rut: 19472820</t>
  </si>
  <si>
    <t>David Muñoz corvalan</t>
  </si>
  <si>
    <t>Ruta 240 km 5 camino aysen coyhaique, supermercado quinto sabor</t>
  </si>
  <si>
    <t>REL79138</t>
  </si>
  <si>
    <t>712986505571</t>
  </si>
  <si>
    <t>Nombre: maximiliano milla - Rut: 220025675</t>
  </si>
  <si>
    <t>Rodrigo Milla</t>
  </si>
  <si>
    <t>San Bernardo 658, Población vista hermosa</t>
  </si>
  <si>
    <t>REL79019</t>
  </si>
  <si>
    <t>712986507800</t>
  </si>
  <si>
    <t>Nombre: ricardo - Rut: 143906248</t>
  </si>
  <si>
    <t>Ricardo Wachtendorff Solar</t>
  </si>
  <si>
    <t>Londres 2425</t>
  </si>
  <si>
    <t>REL79158</t>
  </si>
  <si>
    <t>712986505420</t>
  </si>
  <si>
    <t>Nombre: ximena laferte - Rut: 183878964</t>
  </si>
  <si>
    <t>Felipe Guzmán Aranda</t>
  </si>
  <si>
    <t>Marco Polo 8939, Parque Industrial</t>
  </si>
  <si>
    <t>REL79001</t>
  </si>
  <si>
    <t>712986507914</t>
  </si>
  <si>
    <t>Nombre: gloria andrade - Rut: 821554233</t>
  </si>
  <si>
    <t>Denisse Gómez</t>
  </si>
  <si>
    <t>Caupolican 393, Ferreteria La Nueva</t>
  </si>
  <si>
    <t>REL78743</t>
  </si>
  <si>
    <t>712984408452</t>
  </si>
  <si>
    <t>Nombre: juan maturana - Rut: 197517832</t>
  </si>
  <si>
    <t>Juan Maturana</t>
  </si>
  <si>
    <t>Avenida Cachagua 280, Casa frente local 7 olas</t>
  </si>
  <si>
    <t>REL78554</t>
  </si>
  <si>
    <t>712983999394</t>
  </si>
  <si>
    <t>Nombre: Juan Cuevas - Rut: 103554411</t>
  </si>
  <si>
    <t>Heleny Barkos</t>
  </si>
  <si>
    <t>Los Ulmos 2903</t>
  </si>
  <si>
    <t>REL78757</t>
  </si>
  <si>
    <t>712984408264</t>
  </si>
  <si>
    <t>Nombre: luzmila acuna - Rut: 76925585</t>
  </si>
  <si>
    <t>Luzmila Acuña Sepulveda</t>
  </si>
  <si>
    <t>Ojos del Salado 0163, Casa</t>
  </si>
  <si>
    <t>REL78665</t>
  </si>
  <si>
    <t>712983994575</t>
  </si>
  <si>
    <t>Nombre: marcos aguilar - Rut: 20654351</t>
  </si>
  <si>
    <t>Marcos Aguilar</t>
  </si>
  <si>
    <t>Ramon Freire con O'Higgins 0 , Recinto Nordic Patagonia, villa Cerro Castillo</t>
  </si>
  <si>
    <t>REL78560</t>
  </si>
  <si>
    <t>712983998996</t>
  </si>
  <si>
    <t>Nombre: Miguel borquez - Rut: 7646796</t>
  </si>
  <si>
    <t>Sebastian Borquez</t>
  </si>
  <si>
    <t>Vapor Tenglo 459, Casa</t>
  </si>
  <si>
    <t>REL78729</t>
  </si>
  <si>
    <t>712984408872</t>
  </si>
  <si>
    <t>Nombre: vargas - Rut: 172549527</t>
  </si>
  <si>
    <t>Tania Ponce</t>
  </si>
  <si>
    <t>Teniente Merino 340, C</t>
  </si>
  <si>
    <t>REL78693</t>
  </si>
  <si>
    <t>712984409362</t>
  </si>
  <si>
    <t>Nombre: paz Contreras - Rut: 157375113</t>
  </si>
  <si>
    <t>Vanessa Salinas</t>
  </si>
  <si>
    <t>Plaza General Bonilla #24</t>
  </si>
  <si>
    <t>REL78607</t>
  </si>
  <si>
    <t>712983996675</t>
  </si>
  <si>
    <t>Nombre: jaqueline oviedo - Rut: 103720494</t>
  </si>
  <si>
    <t>vicente Riquez Oviedo</t>
  </si>
  <si>
    <t>Los Cipreses 16, villa el alamo</t>
  </si>
  <si>
    <t>REL78573</t>
  </si>
  <si>
    <t>712983998801</t>
  </si>
  <si>
    <t>Nombre: Paulo barria - Rut: 143978419</t>
  </si>
  <si>
    <t>Natacha Cárdenas Cárdenas</t>
  </si>
  <si>
    <t>Salomón Negrin 1010, Casa de la Inclusión, cerca iglesia luterana</t>
  </si>
  <si>
    <t>REL78891</t>
  </si>
  <si>
    <t>712984407671</t>
  </si>
  <si>
    <t>Nombre: erika reyes - Rut: 99983779</t>
  </si>
  <si>
    <t>Fernanda Reyes</t>
  </si>
  <si>
    <t>Liguria 1044</t>
  </si>
  <si>
    <t>REL78536</t>
  </si>
  <si>
    <t>712983999851</t>
  </si>
  <si>
    <t>Nombre: sebastian manrriquez - Rut: 209411393</t>
  </si>
  <si>
    <t>Juan Pablo Carrasco Neira</t>
  </si>
  <si>
    <t>Chaiten 8315, Dpto 42</t>
  </si>
  <si>
    <t>REL78695</t>
  </si>
  <si>
    <t>712984409373</t>
  </si>
  <si>
    <t>Nombre: Maria canales - Rut: 97999716</t>
  </si>
  <si>
    <t>Katherine Rebolledo Stuardo</t>
  </si>
  <si>
    <t>Los Angeles 87</t>
  </si>
  <si>
    <t>REL78868</t>
  </si>
  <si>
    <t>712984407774</t>
  </si>
  <si>
    <t>Nombre: camila gonzalez - Rut: 198732729</t>
  </si>
  <si>
    <t>Camila Figueroa González</t>
  </si>
  <si>
    <t>San Martín 933</t>
  </si>
  <si>
    <t>REL78863</t>
  </si>
  <si>
    <t>712984407844</t>
  </si>
  <si>
    <t>Nombre: brenda tejeda - Rut: 186174348</t>
  </si>
  <si>
    <t>Los Queltehues 136</t>
  </si>
  <si>
    <t>REL78555</t>
  </si>
  <si>
    <t>712983999081</t>
  </si>
  <si>
    <t>Nombre: Natacha arellano - Rut: 205756264</t>
  </si>
  <si>
    <t>Isabel Arellano</t>
  </si>
  <si>
    <t>Pisagua 25, Local Comercial Club Pharaon</t>
  </si>
  <si>
    <t>REL78596</t>
  </si>
  <si>
    <t>712983997585</t>
  </si>
  <si>
    <t>Nombre: Jose Velazquez - Rut: 71433331</t>
  </si>
  <si>
    <t>Valentina Velásquez calisto</t>
  </si>
  <si>
    <t>Juan Williams 738, villa guarello</t>
  </si>
  <si>
    <t>REL78817</t>
  </si>
  <si>
    <t>712983042984</t>
  </si>
  <si>
    <t>Nombre: Maria Burgos - Rut: 158752573</t>
  </si>
  <si>
    <t>Patricio Poblete Henríquez</t>
  </si>
  <si>
    <t>Manuel Jesús Ortiz 599, Municipalidad</t>
  </si>
  <si>
    <t>REL78437</t>
  </si>
  <si>
    <t>712983045515</t>
  </si>
  <si>
    <t>Nombre: rodrigo hernandez - Rut: 104103294</t>
  </si>
  <si>
    <t>RODRIGO HERNANDEZ</t>
  </si>
  <si>
    <t>AVENIDA LAS TORRES 134, Villa Los Canelos</t>
  </si>
  <si>
    <t>REL78382</t>
  </si>
  <si>
    <t>712983047431</t>
  </si>
  <si>
    <t>Nombre: Carolina Santana - Rut: 159216381</t>
  </si>
  <si>
    <t>Carolina Santana M.</t>
  </si>
  <si>
    <t>Sargento Aldea 8, Restaurante delicias caseras 2.0</t>
  </si>
  <si>
    <t>REL78850</t>
  </si>
  <si>
    <t>712983041761</t>
  </si>
  <si>
    <t>Nombre: lisset moreno - Rut: 137757869</t>
  </si>
  <si>
    <t>Lisette Moreno</t>
  </si>
  <si>
    <t>Ines de suarez 222 villa parque colonial, Casa</t>
  </si>
  <si>
    <t>REL78414</t>
  </si>
  <si>
    <t>712983046123</t>
  </si>
  <si>
    <t>Nombre: Claudia hHernandez - Rut: 199424076</t>
  </si>
  <si>
    <t>Fabiola Henríquez Gallardo</t>
  </si>
  <si>
    <t>Luis Espinoza 164, Casa</t>
  </si>
  <si>
    <t>REL78131</t>
  </si>
  <si>
    <t>712980249052</t>
  </si>
  <si>
    <t>Sofia Jorquera Arcuch</t>
  </si>
  <si>
    <t>Volcan villa rica 0549 villa cordillera, Casa</t>
  </si>
  <si>
    <t>REL78159</t>
  </si>
  <si>
    <t>712980247862</t>
  </si>
  <si>
    <t>Nombre: carlos lepun - Rut: 102125835</t>
  </si>
  <si>
    <t>Camila Millán</t>
  </si>
  <si>
    <t>Independencia 342, Casa interior</t>
  </si>
  <si>
    <t>REL78290</t>
  </si>
  <si>
    <t>712980262606</t>
  </si>
  <si>
    <t>Nombre: Jorge Duguet - Rut: 115409468</t>
  </si>
  <si>
    <t>Jorge Duguet Hernández</t>
  </si>
  <si>
    <t>Los Gorriones 1501, Casa</t>
  </si>
  <si>
    <t>REL78271</t>
  </si>
  <si>
    <t>712980263660</t>
  </si>
  <si>
    <t>Nombre: maryorio - Rut: 196744215</t>
  </si>
  <si>
    <t>MARYORI DAYANA VELÁSQUEZ ANGEL</t>
  </si>
  <si>
    <t>Reinhard westermeier #300, Trabajo</t>
  </si>
  <si>
    <t>REL78225</t>
  </si>
  <si>
    <t>712980244944</t>
  </si>
  <si>
    <t>Nombre: carla jara - Rut: 177080446</t>
  </si>
  <si>
    <t>Paico alto sitio 6</t>
  </si>
  <si>
    <t>REL78220</t>
  </si>
  <si>
    <t>712980245191</t>
  </si>
  <si>
    <t>Panamericana norte km 260 Huentelauquen sur cuarta region, Supermercado millahue</t>
  </si>
  <si>
    <t>REL78018</t>
  </si>
  <si>
    <t>712980235310</t>
  </si>
  <si>
    <t>Nombre: susana huenchual - Rut: 110255217</t>
  </si>
  <si>
    <t>Nayarett Andrea Painemilla Huenchual</t>
  </si>
  <si>
    <t>Arturo Yupangui Campos #155, Villa Carlos Droguett, Talagante</t>
  </si>
  <si>
    <t>REL78078</t>
  </si>
  <si>
    <t>712980233125</t>
  </si>
  <si>
    <t>Nombre: Miguel penailillo - Rut: 140563161</t>
  </si>
  <si>
    <t>Elisa Espinosa</t>
  </si>
  <si>
    <t>Abdon Fuentealba 997, Escuela San Ambrosio de Chanco</t>
  </si>
  <si>
    <t>REL710086</t>
  </si>
  <si>
    <t>9424753520</t>
  </si>
  <si>
    <t>Marisol recibido</t>
  </si>
  <si>
    <t>edison Reyes</t>
  </si>
  <si>
    <t>Casa, Pedro Vargas B. 689</t>
  </si>
  <si>
    <t>REL79854</t>
  </si>
  <si>
    <t>9424330311</t>
  </si>
  <si>
    <t>Gerardo Bustamante</t>
  </si>
  <si>
    <t>Julio Vrancken #1722</t>
  </si>
  <si>
    <t>2025-12-20 11:04</t>
  </si>
  <si>
    <t>REL710187</t>
  </si>
  <si>
    <t>9424639346</t>
  </si>
  <si>
    <t>Javiera Sánchez Parra</t>
  </si>
  <si>
    <t>Manuel baquedano 216, lautaro., Departamento, 208 torre D</t>
  </si>
  <si>
    <t>REL710163</t>
  </si>
  <si>
    <t>9424324265</t>
  </si>
  <si>
    <t>victoria ok</t>
  </si>
  <si>
    <t>Jose miguel Silva</t>
  </si>
  <si>
    <t>Nelson stock ocaranza 104</t>
  </si>
  <si>
    <t>REL710103</t>
  </si>
  <si>
    <t>9424585660</t>
  </si>
  <si>
    <t>javiera del campo titular pide tirar al patio</t>
  </si>
  <si>
    <t>Calle Maroto 425, Casa 2</t>
  </si>
  <si>
    <t>REL710164</t>
  </si>
  <si>
    <t>9424878186</t>
  </si>
  <si>
    <t>Constanza araos entregado</t>
  </si>
  <si>
    <t>Constanza Araos valenzuela</t>
  </si>
  <si>
    <t>Jose joaquin perez 290</t>
  </si>
  <si>
    <t>REL710141</t>
  </si>
  <si>
    <t>9424407230</t>
  </si>
  <si>
    <t>8872895-5 Ivan cantillana recibe titular</t>
  </si>
  <si>
    <t>REL710214</t>
  </si>
  <si>
    <t>9424638591</t>
  </si>
  <si>
    <t>Fabiola Armijo</t>
  </si>
  <si>
    <t>Reichea 604, Villa Nevada</t>
  </si>
  <si>
    <t>REL710218</t>
  </si>
  <si>
    <t>9424586754</t>
  </si>
  <si>
    <t>Felipe Palma Olivares</t>
  </si>
  <si>
    <t>Balmaceda 218</t>
  </si>
  <si>
    <t>REL710212</t>
  </si>
  <si>
    <t>9424569921</t>
  </si>
  <si>
    <t>Fernando Hernández</t>
  </si>
  <si>
    <t>Lius hinojosa pascua 1600, 25 77</t>
  </si>
  <si>
    <t>REL710092</t>
  </si>
  <si>
    <t>9424698290</t>
  </si>
  <si>
    <t>Camila Alarcon Aburto</t>
  </si>
  <si>
    <t>Carretera H-30 Almendro Coltauco 00, Casa</t>
  </si>
  <si>
    <t>REL79570</t>
  </si>
  <si>
    <t>9419679242</t>
  </si>
  <si>
    <t>17991328-3 Fernando Cliente</t>
  </si>
  <si>
    <t>fernando pabla pabla</t>
  </si>
  <si>
    <t>Padre jose gregorio mesa 2717, Casa</t>
  </si>
  <si>
    <t>REL79789</t>
  </si>
  <si>
    <t>9418322712</t>
  </si>
  <si>
    <t>Fredy Oviedo recibe cliente pero evita fotos</t>
  </si>
  <si>
    <t>Freddy Oviedo Rivera</t>
  </si>
  <si>
    <t>Avenida La Montaña Sur N° 4149, Casa 64 Etapa 1</t>
  </si>
  <si>
    <t>REL79679</t>
  </si>
  <si>
    <t>9418291142</t>
  </si>
  <si>
    <t>Claudio Sepulveda Serrano</t>
  </si>
  <si>
    <t>Larrain 1555, Casa</t>
  </si>
  <si>
    <t>REL710047</t>
  </si>
  <si>
    <t>9423357112</t>
  </si>
  <si>
    <t>Roberto Caverlotti</t>
  </si>
  <si>
    <t>Valle de caldera 704, Casa</t>
  </si>
  <si>
    <t>REL710045</t>
  </si>
  <si>
    <t>9422879266</t>
  </si>
  <si>
    <t>Diego rubio titualr</t>
  </si>
  <si>
    <t>Diego Rubio</t>
  </si>
  <si>
    <t>Villa Alhue, Pasaje Nuevo Amanecer S/n Casique Con 5 De Abril</t>
  </si>
  <si>
    <t>REL710039</t>
  </si>
  <si>
    <t>9423023713</t>
  </si>
  <si>
    <t>Diego Venegas</t>
  </si>
  <si>
    <t>La montaña norte 3650, 186 Faisanes</t>
  </si>
  <si>
    <t>REL79725</t>
  </si>
  <si>
    <t>9418298256</t>
  </si>
  <si>
    <t>Camila Fernanda MONTECINOS LETELIER</t>
  </si>
  <si>
    <t>Montt 670</t>
  </si>
  <si>
    <t>REL79999</t>
  </si>
  <si>
    <t>9422828822</t>
  </si>
  <si>
    <t>17743072-2 sadi Hernandez recibe titular</t>
  </si>
  <si>
    <t>Sadi Hernández aguila</t>
  </si>
  <si>
    <t>Calle el lucero 429</t>
  </si>
  <si>
    <t>REL710005</t>
  </si>
  <si>
    <t>9423237331</t>
  </si>
  <si>
    <t>gabriel riquelme ok</t>
  </si>
  <si>
    <t>Gabriel Riquelme Gonzalez</t>
  </si>
  <si>
    <t>Valle del choapa 698, Casa</t>
  </si>
  <si>
    <t>REL79740</t>
  </si>
  <si>
    <t>9420447374</t>
  </si>
  <si>
    <t>José hipólito salas 115</t>
  </si>
  <si>
    <t>REL79747</t>
  </si>
  <si>
    <t>9418343395</t>
  </si>
  <si>
    <t>Diego Muñoz valencia</t>
  </si>
  <si>
    <t>Nustra senora de monserrat 43B batuco, Lampa region metropolitana</t>
  </si>
  <si>
    <t>REL79554</t>
  </si>
  <si>
    <t>9417851520</t>
  </si>
  <si>
    <t>zain Sepulveda recibe cliente</t>
  </si>
  <si>
    <t>zain sepulveda</t>
  </si>
  <si>
    <t>isidoro dubornais  (cesfam), 240</t>
  </si>
  <si>
    <t>REL79703</t>
  </si>
  <si>
    <t>9417552443</t>
  </si>
  <si>
    <t>Cristobal Pérez luco</t>
  </si>
  <si>
    <t>Avenida costa de montemar 186, 303</t>
  </si>
  <si>
    <t>REL77719</t>
  </si>
  <si>
    <t>9406323242</t>
  </si>
  <si>
    <t>Ximena Humbser</t>
  </si>
  <si>
    <t>Condominio Golf Los Lirios. C5, Requinoa</t>
  </si>
  <si>
    <t>REL79692</t>
  </si>
  <si>
    <t>9418175653</t>
  </si>
  <si>
    <t>Luisa Uribe</t>
  </si>
  <si>
    <t>Hermanos carrera 157 linderos buin</t>
  </si>
  <si>
    <t>REL79989</t>
  </si>
  <si>
    <t>9420375506</t>
  </si>
  <si>
    <t>Catalina Romo Martinez</t>
  </si>
  <si>
    <t>Lorenzo Camus 10, Casa 10</t>
  </si>
  <si>
    <t>REL79978</t>
  </si>
  <si>
    <t>9422819851</t>
  </si>
  <si>
    <t>Eugenio Paredes</t>
  </si>
  <si>
    <t>Victor Troncoso Muñoz 1157, casa 105</t>
  </si>
  <si>
    <t>REL79968</t>
  </si>
  <si>
    <t>9422936795</t>
  </si>
  <si>
    <t>Andrés Hidalgo Gatica</t>
  </si>
  <si>
    <t>Rosales 1600, peñaflor, Condominio ecorosales casa j</t>
  </si>
  <si>
    <t>REL79985</t>
  </si>
  <si>
    <t>9423347065</t>
  </si>
  <si>
    <t>Felipe Avello</t>
  </si>
  <si>
    <t>Domingo Caneleo Trincado 913, Buin, Villa Los Ciruelos, Cerca Del Hiper Lider</t>
  </si>
  <si>
    <t>REL79655</t>
  </si>
  <si>
    <t>9419545866</t>
  </si>
  <si>
    <t>may pavez ok</t>
  </si>
  <si>
    <t>Sally Garate Pavez</t>
  </si>
  <si>
    <t>Pje. Cerro El Plomo 1573</t>
  </si>
  <si>
    <t>REL79675</t>
  </si>
  <si>
    <t>9419470955</t>
  </si>
  <si>
    <t>Milthon dias ok</t>
  </si>
  <si>
    <t>Milthon Díaz Gutiérrez</t>
  </si>
  <si>
    <t>Elvira Leal 431, Nueva Tolten</t>
  </si>
  <si>
    <t>REL79608</t>
  </si>
  <si>
    <t>9417821652</t>
  </si>
  <si>
    <t>Patricio Reyes titular</t>
  </si>
  <si>
    <t>Patricio Reyes Morales</t>
  </si>
  <si>
    <t>Calle Cortes, Casa 715</t>
  </si>
  <si>
    <t>REL79942</t>
  </si>
  <si>
    <t>9422936316</t>
  </si>
  <si>
    <t>Carlos Vidal vega</t>
  </si>
  <si>
    <t>Barros luco 120</t>
  </si>
  <si>
    <t>REL79792</t>
  </si>
  <si>
    <t>9417580292</t>
  </si>
  <si>
    <t>12146076-9 sandra torres recibe cliente</t>
  </si>
  <si>
    <t>Sandra Torres Seguel</t>
  </si>
  <si>
    <t>Calle Uno 1016, Villa El Carmen</t>
  </si>
  <si>
    <t>REL79801</t>
  </si>
  <si>
    <t>9417701775</t>
  </si>
  <si>
    <t>Carla Ortiz ok</t>
  </si>
  <si>
    <t>Diego Alarcon</t>
  </si>
  <si>
    <t>santa barbara 390, casa</t>
  </si>
  <si>
    <t>REL79957</t>
  </si>
  <si>
    <t>9420119494</t>
  </si>
  <si>
    <t>Ignacio Peñaloza Aguilar</t>
  </si>
  <si>
    <t>Jose escriva de balaguer 770, Foresta de montemar Dept 203</t>
  </si>
  <si>
    <t>2025-12-16 20:15</t>
  </si>
  <si>
    <t>REL79990</t>
  </si>
  <si>
    <t>9423311170</t>
  </si>
  <si>
    <t>Matías Stanley</t>
  </si>
  <si>
    <t>Las Pimpinelas 1120, 501</t>
  </si>
  <si>
    <t>REL79797</t>
  </si>
  <si>
    <t>9418211526</t>
  </si>
  <si>
    <t>Alexis Cabello isla</t>
  </si>
  <si>
    <t>Ex Fundo las Gaviotas, Condominio Lomas del Mauco sn, casa 66 Quintero, 66</t>
  </si>
  <si>
    <t>REL79803</t>
  </si>
  <si>
    <t>9420483494</t>
  </si>
  <si>
    <t>Fanny toro 947295729 Vecina</t>
  </si>
  <si>
    <t>Dusty Moran</t>
  </si>
  <si>
    <t>montañas de angostura 13, parcela 13, lote 16</t>
  </si>
  <si>
    <t>REL79811</t>
  </si>
  <si>
    <t>9418335113</t>
  </si>
  <si>
    <t>Admitido en Sucursal/Agencia</t>
  </si>
  <si>
    <t>P.PATIOLA App</t>
  </si>
  <si>
    <t>Javier Campos</t>
  </si>
  <si>
    <t>Geronimo de alderete 1591 paine</t>
  </si>
  <si>
    <t>REL79536</t>
  </si>
  <si>
    <t>9419440951</t>
  </si>
  <si>
    <t>18692453-3 Jonatan Hormazabal ol</t>
  </si>
  <si>
    <t>Marco Valenzuela bustamante</t>
  </si>
  <si>
    <t>Balmaceda 2039, Local</t>
  </si>
  <si>
    <t>REL79718</t>
  </si>
  <si>
    <t>9417846211</t>
  </si>
  <si>
    <t>Antonio Aguilera</t>
  </si>
  <si>
    <t>Calle Los Huemules 172</t>
  </si>
  <si>
    <t>REL79929</t>
  </si>
  <si>
    <t>9423213251</t>
  </si>
  <si>
    <t>jaime castillo godoy</t>
  </si>
  <si>
    <t>manuel montt 860, petorca, Hospital de Petorca</t>
  </si>
  <si>
    <t>REL79549</t>
  </si>
  <si>
    <t>9420284753</t>
  </si>
  <si>
    <t>Carla Medina Aliaga</t>
  </si>
  <si>
    <t>Autopista los Libertadores km 42, Casas de Chacabuco</t>
  </si>
  <si>
    <t>REL79865</t>
  </si>
  <si>
    <t>9418353501</t>
  </si>
  <si>
    <t>Sofia pastrian entregado conforme</t>
  </si>
  <si>
    <t>Fidel maría palleres 957</t>
  </si>
  <si>
    <t>REL79867</t>
  </si>
  <si>
    <t>9417447616</t>
  </si>
  <si>
    <t>22986654-0 daniela recibido</t>
  </si>
  <si>
    <t>Alfonso Meneses</t>
  </si>
  <si>
    <t>Las Quinchas 2735, Casa</t>
  </si>
  <si>
    <t>REL79788</t>
  </si>
  <si>
    <t>9420448181</t>
  </si>
  <si>
    <t>Carolina Cortinez</t>
  </si>
  <si>
    <t>Av la siembra 4831, Casa 205, condominio las tranqueras</t>
  </si>
  <si>
    <t>REL79533</t>
  </si>
  <si>
    <t>9419441205</t>
  </si>
  <si>
    <t>BXG:PYDY75</t>
  </si>
  <si>
    <t>Nancy Cañas</t>
  </si>
  <si>
    <t>Francisco Hidalgo 201, Casa K</t>
  </si>
  <si>
    <t>REL79689</t>
  </si>
  <si>
    <t>9417716346</t>
  </si>
  <si>
    <t>César Muñoz Suárez</t>
  </si>
  <si>
    <t>Camino a Termas N°4 Gultro, Frente a Tenencia de Carabineros Gultro</t>
  </si>
  <si>
    <t>REL79512</t>
  </si>
  <si>
    <t>9419337992</t>
  </si>
  <si>
    <t>Nicol Santibanez ok</t>
  </si>
  <si>
    <t>Sergio Michea Rojas</t>
  </si>
  <si>
    <t>Avenida la Siembra 4217, casa 22</t>
  </si>
  <si>
    <t>REL79663</t>
  </si>
  <si>
    <t>9417851461</t>
  </si>
  <si>
    <t>Marjori cataldo recibe</t>
  </si>
  <si>
    <t>andrea osorio fernandez</t>
  </si>
  <si>
    <t>ignacio domeyko 857, colegio edupac</t>
  </si>
  <si>
    <t>REL79882</t>
  </si>
  <si>
    <t>9418079646</t>
  </si>
  <si>
    <t>francisco loyola titualr</t>
  </si>
  <si>
    <t>Francisco Loyola</t>
  </si>
  <si>
    <t>Presidente Balmaceda 20, Casa</t>
  </si>
  <si>
    <t>REL79273</t>
  </si>
  <si>
    <t>9418956175</t>
  </si>
  <si>
    <t>Carlos Jeria</t>
  </si>
  <si>
    <t>Cardenal del pueblo 486, Casa</t>
  </si>
  <si>
    <t>REL79288</t>
  </si>
  <si>
    <t>9419071524</t>
  </si>
  <si>
    <t>Millaray Zúñiga Vilaró</t>
  </si>
  <si>
    <t>Pje. 11 1247, Calle la Manana</t>
  </si>
  <si>
    <t>REL79191</t>
  </si>
  <si>
    <t>9413207602</t>
  </si>
  <si>
    <t>Luis Astorga Castillo</t>
  </si>
  <si>
    <t>Callejón El Manzanito, Parcela 22 Sitio A4 Camino a laguna de Acúleo</t>
  </si>
  <si>
    <t>REL79465</t>
  </si>
  <si>
    <t>9418812502</t>
  </si>
  <si>
    <t>sofía salas escobar</t>
  </si>
  <si>
    <t>jardines del estero, calle las orquídeas punto bluexpress almacén Estefanía #120, 120</t>
  </si>
  <si>
    <t>REL79255</t>
  </si>
  <si>
    <t>9418520635</t>
  </si>
  <si>
    <t>Esteban Villegas Berríos</t>
  </si>
  <si>
    <t>Francisco Ibarra 68 , villa maría Requinoa</t>
  </si>
  <si>
    <t>REL78982</t>
  </si>
  <si>
    <t>9413473064</t>
  </si>
  <si>
    <t>Rocio Droguett Norambuena</t>
  </si>
  <si>
    <t>Abate Molina 16c, Casa Blanca portón café, costado cancha de tenis hacia adentro</t>
  </si>
  <si>
    <t>REL79249</t>
  </si>
  <si>
    <t>9419311344</t>
  </si>
  <si>
    <t>Jorge Quintanilla</t>
  </si>
  <si>
    <t>Av. 18 de Septiembre 327, casa</t>
  </si>
  <si>
    <t>REL79086</t>
  </si>
  <si>
    <t>9413373896</t>
  </si>
  <si>
    <t>Macarena Orroño</t>
  </si>
  <si>
    <t>Av. Gral. Baquedano 780, 780</t>
  </si>
  <si>
    <t>REL79084</t>
  </si>
  <si>
    <t>9413251433</t>
  </si>
  <si>
    <t>Francisco Diaz Mejias</t>
  </si>
  <si>
    <t>Pasaje El Arrayán SN Villa Prat</t>
  </si>
  <si>
    <t>REL79340</t>
  </si>
  <si>
    <t>9412649304</t>
  </si>
  <si>
    <t>Erick Zapata</t>
  </si>
  <si>
    <t>Calle el Guayacán 442, Artificio</t>
  </si>
  <si>
    <t>REL79369</t>
  </si>
  <si>
    <t>9418669750</t>
  </si>
  <si>
    <t>Teresa Fuentes</t>
  </si>
  <si>
    <t>Avenida Balmaceda 2250, Pasaje Jadue casa 4</t>
  </si>
  <si>
    <t>REL79451</t>
  </si>
  <si>
    <t>9418971601</t>
  </si>
  <si>
    <t>CLAUDIA ANDREA INOSTROZA MORENO</t>
  </si>
  <si>
    <t>AVENIDA ARGENTINA,BATUCO, 1065</t>
  </si>
  <si>
    <t>REL79177</t>
  </si>
  <si>
    <t>9413308785</t>
  </si>
  <si>
    <t>Ernesto Chamorro</t>
  </si>
  <si>
    <t>Javiera Carrera 16</t>
  </si>
  <si>
    <t>REL79347</t>
  </si>
  <si>
    <t>9411995633</t>
  </si>
  <si>
    <t>Valentin Nicolas Fernandez Astudillo</t>
  </si>
  <si>
    <t>Carrera 492, Casa</t>
  </si>
  <si>
    <t>REL79173</t>
  </si>
  <si>
    <t>9413105844</t>
  </si>
  <si>
    <t>Carlos Sanson Abugoch</t>
  </si>
  <si>
    <t>Las Acacias 248, Paradero 5 Calera de Tango</t>
  </si>
  <si>
    <t>REL79376</t>
  </si>
  <si>
    <t>9412026142</t>
  </si>
  <si>
    <t>BXG:RJPX98</t>
  </si>
  <si>
    <t>Isabel riquelme km 10,5 condominio fundo alhue, Parcela 16-2</t>
  </si>
  <si>
    <t>REL79133</t>
  </si>
  <si>
    <t>9413432556</t>
  </si>
  <si>
    <t>Leopoldo Iglesias</t>
  </si>
  <si>
    <t>José Antonio Salinas 134</t>
  </si>
  <si>
    <t>REL79198</t>
  </si>
  <si>
    <t>9413404781</t>
  </si>
  <si>
    <t>Luis Hinojosa Pascua 1600, 25 77</t>
  </si>
  <si>
    <t>REL79301</t>
  </si>
  <si>
    <t>9418640066</t>
  </si>
  <si>
    <t>Alexandra Zamora Sessarego</t>
  </si>
  <si>
    <t>Jaime Guzmán 317, Casa</t>
  </si>
  <si>
    <t>REL79280</t>
  </si>
  <si>
    <t>9419118413</t>
  </si>
  <si>
    <t>Felipe Dal Pozzo</t>
  </si>
  <si>
    <t>Coronel Cruz 1271</t>
  </si>
  <si>
    <t>REL79326</t>
  </si>
  <si>
    <t>9418938060</t>
  </si>
  <si>
    <t>Edward Dominguez salazar</t>
  </si>
  <si>
    <t>Camino Las Flores 998</t>
  </si>
  <si>
    <t>REL79444</t>
  </si>
  <si>
    <t>9418544940</t>
  </si>
  <si>
    <t>Brayan Lavandero torres</t>
  </si>
  <si>
    <t>Los troncos pc 7, Esquina los algarrobos</t>
  </si>
  <si>
    <t>REL79230</t>
  </si>
  <si>
    <t>9419317585</t>
  </si>
  <si>
    <t>Jose Galaz</t>
  </si>
  <si>
    <t>Club Unión Estrella 312, Casa</t>
  </si>
  <si>
    <t>REL79240</t>
  </si>
  <si>
    <t>9418932305</t>
  </si>
  <si>
    <t>Pablo Guerrero</t>
  </si>
  <si>
    <t>Dos Ote. 884, ACTUAL Calle Monte Patria 884. Villa Gabriela mistral</t>
  </si>
  <si>
    <t>REL79312</t>
  </si>
  <si>
    <t>9412317703</t>
  </si>
  <si>
    <t>Oscar Trunce</t>
  </si>
  <si>
    <t>Avenida German Sandoval Miranda 981, Casa 8</t>
  </si>
  <si>
    <t>REL79355</t>
  </si>
  <si>
    <t>9418957726</t>
  </si>
  <si>
    <t>Rodrigo Aravena</t>
  </si>
  <si>
    <t>Los Pelicanos 1139, Casa, sector Loncura</t>
  </si>
  <si>
    <t>REL79228</t>
  </si>
  <si>
    <t>9413348965</t>
  </si>
  <si>
    <t>Nicolas Espinoza Quinteros</t>
  </si>
  <si>
    <t>Ruta j-60, cooperativa el corazón km 33.700, rauco</t>
  </si>
  <si>
    <t>REL79070</t>
  </si>
  <si>
    <t>9411829641</t>
  </si>
  <si>
    <t>Thomas Labbe</t>
  </si>
  <si>
    <t>Luis cruz martinez 1563, Local 12 verdulería</t>
  </si>
  <si>
    <t>REL79197</t>
  </si>
  <si>
    <t>9412886195</t>
  </si>
  <si>
    <t>Sebastian Toledo</t>
  </si>
  <si>
    <t>Provincia de Concepción 753</t>
  </si>
  <si>
    <t>REL78989</t>
  </si>
  <si>
    <t>9412857381</t>
  </si>
  <si>
    <t>Cristian Rodriguez riveros</t>
  </si>
  <si>
    <t>Santa sara 6, Condominio valle ecuestre parcela 18b</t>
  </si>
  <si>
    <t>REL79000</t>
  </si>
  <si>
    <t>9413178865</t>
  </si>
  <si>
    <t>Javier Alejandro Escárate Lazo</t>
  </si>
  <si>
    <t>Villa Altos de San Pedro, pasaje uno 1577, Casa 1577</t>
  </si>
  <si>
    <t>REL79350</t>
  </si>
  <si>
    <t>9418877860</t>
  </si>
  <si>
    <t>Cristian Avila</t>
  </si>
  <si>
    <t>Coronel Cruz 1077</t>
  </si>
  <si>
    <t>REL79195</t>
  </si>
  <si>
    <t>9412912224</t>
  </si>
  <si>
    <t>Pablo Meza</t>
  </si>
  <si>
    <t>Sanatorio Maitenes parcela 17</t>
  </si>
  <si>
    <t>REL78937</t>
  </si>
  <si>
    <t>9413148953</t>
  </si>
  <si>
    <t>Loreto Quintrequeo Lincon</t>
  </si>
  <si>
    <t>Alcalde Ramón Jorquera 808, Casa esquina</t>
  </si>
  <si>
    <t>REL78595</t>
  </si>
  <si>
    <t>9414694332</t>
  </si>
  <si>
    <t>maria recibe titular no aporta foto</t>
  </si>
  <si>
    <t>Maria Ivonne Loyola meza</t>
  </si>
  <si>
    <t>Buin 222</t>
  </si>
  <si>
    <t>REL78766</t>
  </si>
  <si>
    <t>9414739950</t>
  </si>
  <si>
    <t>Manuel Vergara conserje</t>
  </si>
  <si>
    <t>Paola Narbona Narbona Campos</t>
  </si>
  <si>
    <t>Santa Margarita 643, Depto 101 B</t>
  </si>
  <si>
    <t>REL78767</t>
  </si>
  <si>
    <t>9415427416</t>
  </si>
  <si>
    <t>marcela entrega exitosa</t>
  </si>
  <si>
    <t>Rayén Rodríguez Amaya</t>
  </si>
  <si>
    <t>Av. Constitución 111 OFICINA SECPLAN</t>
  </si>
  <si>
    <t>REL78641</t>
  </si>
  <si>
    <t>9414955933</t>
  </si>
  <si>
    <t>Enrique ok</t>
  </si>
  <si>
    <t>Manuel Silva</t>
  </si>
  <si>
    <t>Liquidambar 757, 1402</t>
  </si>
  <si>
    <t>REL78759</t>
  </si>
  <si>
    <t>9415507113</t>
  </si>
  <si>
    <t>manuel torres familiar</t>
  </si>
  <si>
    <t>Marcela Carvallo</t>
  </si>
  <si>
    <t>Las palmeras 107, Villa los aromos</t>
  </si>
  <si>
    <t>REL77852</t>
  </si>
  <si>
    <t>9392155290</t>
  </si>
  <si>
    <t>José Miguel Vásquez Muñoz</t>
  </si>
  <si>
    <t>Independencia 0801, 0801</t>
  </si>
  <si>
    <t>REL77850</t>
  </si>
  <si>
    <t>9392471631</t>
  </si>
  <si>
    <t>Pía Olguín Clavería</t>
  </si>
  <si>
    <t>E683 7200, condominio cumbres de auco, CASA 8</t>
  </si>
  <si>
    <t>REL78569</t>
  </si>
  <si>
    <t>9415248835</t>
  </si>
  <si>
    <t>Katherine r Katherine</t>
  </si>
  <si>
    <t>katherine polanco</t>
  </si>
  <si>
    <t>Avenida el Sauce 40E, Verdulería la junta, Hacienda el Sauce</t>
  </si>
  <si>
    <t>REL78919</t>
  </si>
  <si>
    <t>9415381500</t>
  </si>
  <si>
    <t>Emilio Henriquez</t>
  </si>
  <si>
    <t>Rosita Baez 72, 72</t>
  </si>
  <si>
    <t>REL78579</t>
  </si>
  <si>
    <t>9414853976</t>
  </si>
  <si>
    <t>Maria cecilia maturana cliente</t>
  </si>
  <si>
    <t>Maria cecilia Maturana quintanilla</t>
  </si>
  <si>
    <t>General José San Martin 168c</t>
  </si>
  <si>
    <t>REL78537</t>
  </si>
  <si>
    <t>9414719300</t>
  </si>
  <si>
    <t>veronica contreras no permite foto entrega ok</t>
  </si>
  <si>
    <t>ale silva</t>
  </si>
  <si>
    <t>Valle Del Huasco Norte 564, casa</t>
  </si>
  <si>
    <t>REL78661</t>
  </si>
  <si>
    <t>9414940286</t>
  </si>
  <si>
    <t>alejandro quiroz oyanedel</t>
  </si>
  <si>
    <t>San Vicente 361</t>
  </si>
  <si>
    <t>REL78624</t>
  </si>
  <si>
    <t>9414781762</t>
  </si>
  <si>
    <t>patente: JPWD44 | id del viaje: 137039</t>
  </si>
  <si>
    <t>Constanza Simon</t>
  </si>
  <si>
    <t>Av Santa Teresa de los Andes 1359 , Dpto. 11  Torre 10A</t>
  </si>
  <si>
    <t>REL78503</t>
  </si>
  <si>
    <t>9415370996</t>
  </si>
  <si>
    <t>Ignacio Jara</t>
  </si>
  <si>
    <t>Sergio Badilla Arenas 1536, Casa esquina</t>
  </si>
  <si>
    <t>REL78879</t>
  </si>
  <si>
    <t>9415022035</t>
  </si>
  <si>
    <t>Jeremy villas pareja</t>
  </si>
  <si>
    <t>Paloma Crespillo Parraguirre</t>
  </si>
  <si>
    <t>Parroco Augusto Larrain 1663, Casa reja blanca</t>
  </si>
  <si>
    <t>REL78731</t>
  </si>
  <si>
    <t>9415179620</t>
  </si>
  <si>
    <t>silvana Fernandini</t>
  </si>
  <si>
    <t>Arenales 131,  EdifÍcio Portal Montemar, Departamento 1004</t>
  </si>
  <si>
    <t>REL78706</t>
  </si>
  <si>
    <t>9415500080</t>
  </si>
  <si>
    <t>jose recibe conforme</t>
  </si>
  <si>
    <t>José Cruz</t>
  </si>
  <si>
    <t>Lorenzo Camus 10, 10</t>
  </si>
  <si>
    <t>REL78865</t>
  </si>
  <si>
    <t>9415536550</t>
  </si>
  <si>
    <t>18942111-7 Ivan lagos ok revisado</t>
  </si>
  <si>
    <t>El sendero poniente 2564, Casa 2</t>
  </si>
  <si>
    <t>REL78633</t>
  </si>
  <si>
    <t>9415424196</t>
  </si>
  <si>
    <t>Jorge recibe cliente</t>
  </si>
  <si>
    <t>Jorge Beltran</t>
  </si>
  <si>
    <t>Avenida la montaña norte 3650, Casa 34G</t>
  </si>
  <si>
    <t>REL78649</t>
  </si>
  <si>
    <t>9415148993</t>
  </si>
  <si>
    <t>Juan porteria</t>
  </si>
  <si>
    <t>E683 7200, Condominio Cumbres de Auco, CASA 8</t>
  </si>
  <si>
    <t>REL77897</t>
  </si>
  <si>
    <t>9409990645</t>
  </si>
  <si>
    <t>Francisco Barrera</t>
  </si>
  <si>
    <t>Camino ritoque 34, Casa</t>
  </si>
  <si>
    <t>REL78545</t>
  </si>
  <si>
    <t>9414749422</t>
  </si>
  <si>
    <t>Ebbe Arlette Loyola Benavides</t>
  </si>
  <si>
    <t>Pasaje La Trilla 2720, 2720. Nueva trapiche</t>
  </si>
  <si>
    <t>REL78663</t>
  </si>
  <si>
    <t>9414900213</t>
  </si>
  <si>
    <t>Javiera Monsalve</t>
  </si>
  <si>
    <t>Av. La Hacienda 2722, Casa</t>
  </si>
  <si>
    <t>REL78526</t>
  </si>
  <si>
    <t>9415017452</t>
  </si>
  <si>
    <t>nicolas ok</t>
  </si>
  <si>
    <t>Nicolás Cortés</t>
  </si>
  <si>
    <t>Av. Bosques de Montemar 1723, 1723</t>
  </si>
  <si>
    <t>REL78933</t>
  </si>
  <si>
    <t>9415515992</t>
  </si>
  <si>
    <t>Los Juncos 118</t>
  </si>
  <si>
    <t>REL78819</t>
  </si>
  <si>
    <t>9416424964</t>
  </si>
  <si>
    <t>carolina aracena titular</t>
  </si>
  <si>
    <t>Carolina Aracena</t>
  </si>
  <si>
    <t>Carrera 575, Casa</t>
  </si>
  <si>
    <t>REL78845</t>
  </si>
  <si>
    <t>9416362793</t>
  </si>
  <si>
    <t>Santiago - BUIN (SCL)</t>
  </si>
  <si>
    <t>Alejandra Benavides</t>
  </si>
  <si>
    <t>Camilo Berrios Quintanilla 142, 47</t>
  </si>
  <si>
    <t>REL78858</t>
  </si>
  <si>
    <t>9416106910</t>
  </si>
  <si>
    <t>guillermo recibe conforme</t>
  </si>
  <si>
    <t>Patricia Valdivia</t>
  </si>
  <si>
    <t>Camino macul, 11</t>
  </si>
  <si>
    <t>REL78434</t>
  </si>
  <si>
    <t>9416338783</t>
  </si>
  <si>
    <t>Cristian Donoso Perez</t>
  </si>
  <si>
    <t>La Foresta 521</t>
  </si>
  <si>
    <t>REL78436</t>
  </si>
  <si>
    <t>9415773824</t>
  </si>
  <si>
    <t>Byron Jalil Pacheco</t>
  </si>
  <si>
    <t>El Progreso 33 concón, #33</t>
  </si>
  <si>
    <t>REL78443</t>
  </si>
  <si>
    <t>9415802782</t>
  </si>
  <si>
    <t>Beatriz Melendez</t>
  </si>
  <si>
    <t>Pje 7 Don Ignacio, 146</t>
  </si>
  <si>
    <t>REL78449</t>
  </si>
  <si>
    <t>9416257071</t>
  </si>
  <si>
    <t>Carolina Hinostroza</t>
  </si>
  <si>
    <t>Rio maule 3018, Casa 38</t>
  </si>
  <si>
    <t>REL78459</t>
  </si>
  <si>
    <t>9415599406</t>
  </si>
  <si>
    <t>Calle Montemar 11, 304</t>
  </si>
  <si>
    <t>REL78804</t>
  </si>
  <si>
    <t>9416341362</t>
  </si>
  <si>
    <t>Maryorie Garay</t>
  </si>
  <si>
    <t>Jose joaquin perez 558, Casa</t>
  </si>
  <si>
    <t>REL78806</t>
  </si>
  <si>
    <t>9415946702</t>
  </si>
  <si>
    <t>BXG:KSPS26</t>
  </si>
  <si>
    <t>Alfonso Valenzuela</t>
  </si>
  <si>
    <t>El arado 01478, Casa</t>
  </si>
  <si>
    <t>REL78805</t>
  </si>
  <si>
    <t>9415845250</t>
  </si>
  <si>
    <t>paula ok</t>
  </si>
  <si>
    <t>Paula Jimenez</t>
  </si>
  <si>
    <t>Camino las flores 1008, 141</t>
  </si>
  <si>
    <t>REL78810</t>
  </si>
  <si>
    <t>9416436691</t>
  </si>
  <si>
    <t>constanza cliente recibe conforme</t>
  </si>
  <si>
    <t>Constanza González Loyola</t>
  </si>
  <si>
    <t>Presidente José Tomás Ovalle 682</t>
  </si>
  <si>
    <t>REL78183</t>
  </si>
  <si>
    <t>9416810804</t>
  </si>
  <si>
    <t>Macarena Peña caroca</t>
  </si>
  <si>
    <t>Los Robles 1531, Casa Villa Don Martín</t>
  </si>
  <si>
    <t>REL78008</t>
  </si>
  <si>
    <t>9417374971</t>
  </si>
  <si>
    <t>10050299-2 pilar Azocar familiar</t>
  </si>
  <si>
    <t>María José Martinez</t>
  </si>
  <si>
    <t>pasaje julia del carmen inostroza 2292</t>
  </si>
  <si>
    <t>REL78315</t>
  </si>
  <si>
    <t>9417019220</t>
  </si>
  <si>
    <t>Matias Gonzalez lopez</t>
  </si>
  <si>
    <t>Pajaritos 2605, Parcela 31</t>
  </si>
  <si>
    <t>REL78010</t>
  </si>
  <si>
    <t>9416536835</t>
  </si>
  <si>
    <t>13131302-0 gloria. otarola recibe cliente</t>
  </si>
  <si>
    <t>Valentina Otarola</t>
  </si>
  <si>
    <t>Calle San Pedro, casa s/n</t>
  </si>
  <si>
    <t>REL78200</t>
  </si>
  <si>
    <t>9416910775</t>
  </si>
  <si>
    <t>Lomas de mirasol 1 pasaje 3 3449</t>
  </si>
  <si>
    <t>REL78239</t>
  </si>
  <si>
    <t>9417018671</t>
  </si>
  <si>
    <t>Romina vega</t>
  </si>
  <si>
    <t>Nicanor Parra 262, Casa</t>
  </si>
  <si>
    <t>REL78174</t>
  </si>
  <si>
    <t>9416685751</t>
  </si>
  <si>
    <t>Angela Leyton</t>
  </si>
  <si>
    <t>Calle Madrid 656, Peñaflor</t>
  </si>
  <si>
    <t>REL78108</t>
  </si>
  <si>
    <t>9417258874</t>
  </si>
  <si>
    <t>Fernanda Aros</t>
  </si>
  <si>
    <t>José María Escrivá de Balaguer 786, Dpto 205</t>
  </si>
  <si>
    <t>REL78125</t>
  </si>
  <si>
    <t>9416639632</t>
  </si>
  <si>
    <t>Paula Briceño</t>
  </si>
  <si>
    <t>Aires de illapel parcela 59</t>
  </si>
  <si>
    <t>REL78055</t>
  </si>
  <si>
    <t>9417225182</t>
  </si>
  <si>
    <t>Fredy conserjeria</t>
  </si>
  <si>
    <t>Renata Valentina Poblete Barrales</t>
  </si>
  <si>
    <t>Los Abedules 2025, casa 35</t>
  </si>
  <si>
    <t>REL78026</t>
  </si>
  <si>
    <t>9417379086</t>
  </si>
  <si>
    <t>14056157-6 teresa fuentes recibidos</t>
  </si>
  <si>
    <t>AVENIDA BALMACEDA 2250, PASAJE JADUE CASA 4</t>
  </si>
  <si>
    <t>REL78105</t>
  </si>
  <si>
    <t>9416895003</t>
  </si>
  <si>
    <t>Gabriel Krause</t>
  </si>
  <si>
    <t>Av Portales 827, Casa</t>
  </si>
  <si>
    <t>REL78357</t>
  </si>
  <si>
    <t>9416566670</t>
  </si>
  <si>
    <t>Fabiola Navarrete</t>
  </si>
  <si>
    <t>Tricolor de Paine 173</t>
  </si>
  <si>
    <t>REL78355</t>
  </si>
  <si>
    <t>9416522360</t>
  </si>
  <si>
    <t>Francisco Orellana Mena</t>
  </si>
  <si>
    <t>Cerro El Castillo # 112, Casa 112, Casa 112, Casa 112</t>
  </si>
  <si>
    <t>REL78360</t>
  </si>
  <si>
    <t>9416796395</t>
  </si>
  <si>
    <t>Veronica Palma</t>
  </si>
  <si>
    <t>Las Violetas 179,, 179</t>
  </si>
  <si>
    <t>REL78343</t>
  </si>
  <si>
    <t>9417321480</t>
  </si>
  <si>
    <t>Francisco Castillo Silva</t>
  </si>
  <si>
    <t>José Yáñez pasaje 1, Casa 330</t>
  </si>
  <si>
    <t>REL77790</t>
  </si>
  <si>
    <t>9405787753</t>
  </si>
  <si>
    <t>Cristina Olguin Ceron</t>
  </si>
  <si>
    <t>Jose miguel carrera 537, Casa (entrada por calle arturo prat)</t>
  </si>
  <si>
    <t>REL77711</t>
  </si>
  <si>
    <t>9405751401</t>
  </si>
  <si>
    <t>Andres Muñoz</t>
  </si>
  <si>
    <t>PINARES DE MONTEMAR 462, casa 21</t>
  </si>
  <si>
    <t>REL77767</t>
  </si>
  <si>
    <t>9406330216</t>
  </si>
  <si>
    <t>Pasaje san expedito 1568, Ex pasaje 1, Entrada por san Gerónimo. Villa san Enrique</t>
  </si>
  <si>
    <t>REL77761</t>
  </si>
  <si>
    <t>9405939701</t>
  </si>
  <si>
    <t>Fabiola Marchant</t>
  </si>
  <si>
    <t>Ayuntamiento 32,  Pelequén</t>
  </si>
  <si>
    <t>REL77768</t>
  </si>
  <si>
    <t>9406026265</t>
  </si>
  <si>
    <t>Loreto Vallejos Davila</t>
  </si>
  <si>
    <t>Angel Cruchaga 22</t>
  </si>
  <si>
    <t>REL77820</t>
  </si>
  <si>
    <t>9405751703</t>
  </si>
  <si>
    <t>Fabián Quevedo</t>
  </si>
  <si>
    <t>Los Robles 1587,.villa don Martin, Villa don Martin</t>
  </si>
  <si>
    <t>REL77864</t>
  </si>
  <si>
    <t>9392136703</t>
  </si>
  <si>
    <t>10382807-4 maria munoz recibe familiar</t>
  </si>
  <si>
    <t>María jose Marchant muñoz</t>
  </si>
  <si>
    <t>Los Manzanos 1150, Población Gacitúa</t>
  </si>
  <si>
    <t>gmp1457</t>
  </si>
  <si>
    <t>260643171</t>
  </si>
  <si>
    <t>Stocka - Logística Ecommerce</t>
  </si>
  <si>
    <t>NOMBRE RETIRA: LORETO DIMAMARCA B RUT RETIRA: 20050890-4</t>
  </si>
  <si>
    <t>Mariela Orellana</t>
  </si>
  <si>
    <t>Av. Calera de Tango S/N Lote 1C, paradero 10 de Calera de Tango Casa B</t>
  </si>
  <si>
    <t>OPARD1435</t>
  </si>
  <si>
    <t>260630673</t>
  </si>
  <si>
    <t>NOMBRE RETIRA: FELIPE FUENTEALBA 0 RUT RETIRA: 16895442-5</t>
  </si>
  <si>
    <t>Felipe Fuentealba Bugueño</t>
  </si>
  <si>
    <t>Los Aragoneses 1815, casa verde 1815</t>
  </si>
  <si>
    <t>GMP1450</t>
  </si>
  <si>
    <t>260323394</t>
  </si>
  <si>
    <t>NOMBRE RETIRA: EDNA ARMIJO . RUT RETIRA: 12030931-5</t>
  </si>
  <si>
    <t>Edna Armijo</t>
  </si>
  <si>
    <t>San Ignacio 80</t>
  </si>
  <si>
    <t>2025-12-19 14:14</t>
  </si>
  <si>
    <t>MSE3123</t>
  </si>
  <si>
    <t>260199052</t>
  </si>
  <si>
    <t>NOMBRE RETIRA: CAROLINA CORREA BARRENA RUT RETIRA: 18104685-6</t>
  </si>
  <si>
    <t>LEANDRO MAURO PARRA ALBARRAN</t>
  </si>
  <si>
    <t>Mejillones # 240</t>
  </si>
  <si>
    <t>SER3009</t>
  </si>
  <si>
    <t>260014586</t>
  </si>
  <si>
    <t>NOMBRE RETIRA: JONATHAN GONZALES Y RUT RETIRA: 19539057-6</t>
  </si>
  <si>
    <t>hortencia mas</t>
  </si>
  <si>
    <t>MANUEL PLAZA 2995 DEPTO 1503</t>
  </si>
  <si>
    <t>OPARD1411</t>
  </si>
  <si>
    <t>259437740</t>
  </si>
  <si>
    <t>NOMBRE RETIRA: JAVIERA MATURANA F RUT RETIRA: 12345678-5</t>
  </si>
  <si>
    <t>Abel Armand 2443</t>
  </si>
  <si>
    <t>2025-12-09 22:49</t>
  </si>
  <si>
    <t>OPARD1414</t>
  </si>
  <si>
    <t>259437671</t>
  </si>
  <si>
    <t>NOMBRE RETIRA: JOCELYN ILLANES . RUT RETIRA: 16948991-2</t>
  </si>
  <si>
    <t>María de los angeles Durban camilo</t>
  </si>
  <si>
    <t>Puerta de asturia 2156</t>
  </si>
  <si>
    <t>MSE3094</t>
  </si>
  <si>
    <t>259437817</t>
  </si>
  <si>
    <t>NOMBRE RETIRA: CAROLINA IBANEZ N RUT RETIRA: 9836741-1</t>
  </si>
  <si>
    <t>Miguel Fuentes</t>
  </si>
  <si>
    <t>Calle Viena 050 A</t>
  </si>
  <si>
    <t>MMED893</t>
  </si>
  <si>
    <t>258923390</t>
  </si>
  <si>
    <t>NOMBRE RETIRA: JONATHAN VALENZUELA 0 RUT RETIRA: 16726655-K</t>
  </si>
  <si>
    <t>31 y 1/2 oriente, 2780, 54a</t>
  </si>
  <si>
    <t>2025-12-03 12:23</t>
  </si>
  <si>
    <t>GMP#1425</t>
  </si>
  <si>
    <t>258797253</t>
  </si>
  <si>
    <t>NOMBRE RETIRA: FANIA ARIAS N RUT RETIRA: 17141086-K</t>
  </si>
  <si>
    <t>Esther Parodi Munoz</t>
  </si>
  <si>
    <t>Prat 827  Oficina 402</t>
  </si>
  <si>
    <t>GMP#1423</t>
  </si>
  <si>
    <t>258797258</t>
  </si>
  <si>
    <t>NOMBRE RETIRA: GLORIA CAMPOS . RUT RETIRA: 8679374-1</t>
  </si>
  <si>
    <t>Gloria Campos</t>
  </si>
  <si>
    <t>Calle Arturo Prat 558</t>
  </si>
  <si>
    <t>MMEDD887</t>
  </si>
  <si>
    <t>257773958</t>
  </si>
  <si>
    <t>NOMBRE RETIRA: CLAUDIA POVEDA . RUT RETIRA: 12431683-9</t>
  </si>
  <si>
    <t>María Luisa Gomez Lira</t>
  </si>
  <si>
    <t>21 de mayo , 555, PISO 3</t>
  </si>
  <si>
    <t>MMEDD891</t>
  </si>
  <si>
    <t>258311927</t>
  </si>
  <si>
    <t>NOMBRE RETIRA: GONZALO DELRIO . RUT RETIRA: 18050803-1</t>
  </si>
  <si>
    <t>Gonzalo Del rio</t>
  </si>
  <si>
    <t>Bosque templado 1760</t>
  </si>
  <si>
    <t>LAQ10544</t>
  </si>
  <si>
    <t>258312076</t>
  </si>
  <si>
    <t>NOMBRE RETIRA: HENRY CUETI X RUT RETIRA: 56031570-8</t>
  </si>
  <si>
    <t>Felipe Olavarria</t>
  </si>
  <si>
    <t>Calle 1 Poniente 685 Dpto 110</t>
  </si>
  <si>
    <t>MMEDD884</t>
  </si>
  <si>
    <t>258180348</t>
  </si>
  <si>
    <t>NOMBRE RETIRA: PAULO MIRANDA . RUT RETIRA: 9283989-3</t>
  </si>
  <si>
    <t>Paulo Miranda Gutierrez</t>
  </si>
  <si>
    <t>Las violetas 1687. 316B</t>
  </si>
  <si>
    <t>2025-11-27 11:26</t>
  </si>
  <si>
    <t>LAQU10527</t>
  </si>
  <si>
    <t>258011608</t>
  </si>
  <si>
    <t>NOMBRE RETIRA: MARCELA IBANES X RUT RETIRA: 53313138-7</t>
  </si>
  <si>
    <t>Carlos Acosta</t>
  </si>
  <si>
    <t>Viana 157, 1406</t>
  </si>
  <si>
    <t>2025-11-25 11:11</t>
  </si>
  <si>
    <t>LAQ10513</t>
  </si>
  <si>
    <t>258011805</t>
  </si>
  <si>
    <t>NOMBRE RETIRA: MARIA RAMIREZ . RUT RETIRA: 21629210-3</t>
  </si>
  <si>
    <t>Jorge Ross 975, Condominio Viña Oriente 2, Torre 1 Depto 77</t>
  </si>
  <si>
    <t>MSE3090</t>
  </si>
  <si>
    <t>9415693755</t>
  </si>
  <si>
    <t>Muve Center Spa</t>
  </si>
  <si>
    <t>Juan Paredes Pasmiño 920</t>
  </si>
  <si>
    <t>STG1020</t>
  </si>
  <si>
    <t>260108003</t>
  </si>
  <si>
    <t>STREETGYM</t>
  </si>
  <si>
    <t>NOMBRE RETIRA: JOMAR DIAZ . RUT RETIRA: 25953799-1</t>
  </si>
  <si>
    <t>Jomar Díaz</t>
  </si>
  <si>
    <t>San Francisco 923, Casa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</si>
</sst>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[$$-340A]\ * #,##0_-;\-[$$-340A]\ * #,##0_-;_-[$$-340A]\ * &quot;-&quot;_-;_-@_-"/>
    <numFmt numFmtId="165" formatCode="_-&quot;$&quot;\ * #,##0_-;\-&quot;$&quot;\ * #,##0_-;_-&quot;$&quot;\ * &quot;-&quot;??_-;_-@_-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2" tint="-0.249977111117893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sz val="12"/>
      <color theme="0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9" fillId="0" borderId="0" applyNumberFormat="0" applyFill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6" applyNumberFormat="0" applyAlignment="0" applyProtection="0"/>
    <xf numFmtId="0" fontId="17" fillId="7" borderId="7" applyNumberFormat="0" applyAlignment="0" applyProtection="0"/>
    <xf numFmtId="0" fontId="18" fillId="7" borderId="6" applyNumberFormat="0" applyAlignment="0" applyProtection="0"/>
    <xf numFmtId="0" fontId="19" fillId="0" borderId="8" applyNumberFormat="0" applyFill="0" applyAlignment="0" applyProtection="0"/>
    <xf numFmtId="0" fontId="20" fillId="8" borderId="9" applyNumberFormat="0" applyAlignment="0" applyProtection="0"/>
    <xf numFmtId="0" fontId="21" fillId="0" borderId="0" applyNumberFormat="0" applyFill="0" applyBorder="0" applyAlignment="0" applyProtection="0"/>
    <xf numFmtId="0" fontId="8" fillId="9" borderId="10" applyNumberFormat="0" applyFont="0" applyAlignment="0" applyProtection="0"/>
    <xf numFmtId="0" fontId="22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23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23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23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23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23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23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44" fontId="8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0" fontId="2" fillId="0" borderId="1" xfId="0" applyFont="1" applyBorder="1"/>
    <xf numFmtId="0" fontId="4" fillId="0" borderId="1" xfId="0" applyFont="1" applyBorder="1"/>
    <xf numFmtId="17" fontId="1" fillId="0" borderId="0" xfId="0" quotePrefix="1" applyNumberFormat="1" applyFont="1"/>
    <xf numFmtId="0" fontId="0" fillId="0" borderId="0" xfId="0" applyAlignment="1">
      <alignment horizontal="right"/>
    </xf>
    <xf numFmtId="0" fontId="2" fillId="2" borderId="1" xfId="0" applyFont="1" applyFill="1" applyBorder="1"/>
    <xf numFmtId="0" fontId="5" fillId="0" borderId="1" xfId="0" applyFont="1" applyBorder="1"/>
    <xf numFmtId="0" fontId="6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2" xfId="0" applyFont="1" applyFill="1" applyBorder="1"/>
    <xf numFmtId="164" fontId="7" fillId="0" borderId="12" xfId="0" applyNumberFormat="1" applyFont="1" applyBorder="1"/>
    <xf numFmtId="164" fontId="2" fillId="0" borderId="12" xfId="0" applyNumberFormat="1" applyFont="1" applyBorder="1"/>
    <xf numFmtId="164" fontId="4" fillId="0" borderId="12" xfId="0" applyNumberFormat="1" applyFont="1" applyBorder="1"/>
    <xf numFmtId="0" fontId="0" fillId="0" borderId="0" xfId="0" applyAlignment="1">
      <alignment horizontal="center"/>
    </xf>
    <xf numFmtId="165" fontId="6" fillId="0" borderId="2" xfId="42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3" xfId="0" applyFont="1" applyBorder="1"/>
    <xf numFmtId="165" fontId="6" fillId="0" borderId="14" xfId="42" applyNumberFormat="1" applyFont="1" applyBorder="1" applyAlignment="1">
      <alignment horizontal="center"/>
    </xf>
    <xf numFmtId="164" fontId="7" fillId="0" borderId="15" xfId="0" applyNumberFormat="1" applyFont="1" applyBorder="1"/>
    <xf numFmtId="0" fontId="0" fillId="0" borderId="12" xfId="0" applyBorder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" xfId="42" builtinId="4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204742</xdr:rowOff>
    </xdr:from>
    <xdr:to>
      <xdr:col>1</xdr:col>
      <xdr:colOff>1082840</xdr:colOff>
      <xdr:row>4</xdr:row>
      <xdr:rowOff>110830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C82C0A2-732D-41A9-BF37-1EA65E4AB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8621"/>
          <a:ext cx="1842686" cy="5559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E20"/>
  <sheetViews>
    <sheetView showGridLines="0" zoomScale="90" zoomScaleNormal="90" workbookViewId="0">
      <selection activeCell="E15" sqref="E15"/>
    </sheetView>
  </sheetViews>
  <sheetFormatPr baseColWidth="10" defaultRowHeight="14.4" x14ac:dyDescent="0.3"/>
  <cols>
    <col min="2" max="2" width="16.6640625" customWidth="1"/>
    <col min="3" max="3" width="18.6640625" customWidth="1"/>
    <col min="4" max="4" width="44.109375" style="14" bestFit="1" customWidth="1"/>
    <col min="5" max="5" width="16.44140625" customWidth="1"/>
  </cols>
  <sheetData>
    <row r="2" spans="3:5" ht="21" x14ac:dyDescent="0.4">
      <c r="C2" s="1" t="s">
        <v>4</v>
      </c>
      <c r="D2" t="str">
        <f>IF(Detalle!F2="",Detalle!E2,Detalle!F2)</f>
        <v>Stocka</v>
      </c>
      <c r="E2" s="4">
        <v>46032</v>
      </c>
    </row>
    <row r="3" spans="3:5" x14ac:dyDescent="0.3">
      <c r="C3" s="5" t="s">
        <v>5</v>
      </c>
    </row>
    <row r="4" spans="3:5" ht="15.6" x14ac:dyDescent="0.3">
      <c r="C4" s="6" t="s">
        <v>2</v>
      </c>
      <c r="D4" s="9" t="s">
        <v>3</v>
      </c>
      <c r="E4" s="10"/>
    </row>
    <row r="5" spans="3:5" ht="15.6" x14ac:dyDescent="0.3">
      <c r="C5" s="7" t="s">
        <v>30</v>
      </c>
      <c r="D5" s="8">
        <f>COUNTIF(Detalle!I:I,"connect")</f>
        <v>0</v>
      </c>
      <c r="E5" s="11">
        <f>SUMIF(Detalle!I:I,"connect",Detalle!V:V)</f>
        <v>0</v>
      </c>
    </row>
    <row r="6" spans="3:5" ht="15.6" x14ac:dyDescent="0.3">
      <c r="C6" s="7" t="s">
        <v>31</v>
      </c>
      <c r="D6" s="8">
        <f>COUNTIF(Detalle!I:I,"distribucion")</f>
        <v>3490</v>
      </c>
      <c r="E6" s="11">
        <f>SUMIF(Detalle!I:I,"distribucion",Detalle!V:V)</f>
        <v>17714838.619999982</v>
      </c>
    </row>
    <row r="7" spans="3:5" ht="15.6" x14ac:dyDescent="0.3">
      <c r="C7" s="7" t="s">
        <v>32</v>
      </c>
      <c r="D7" s="8">
        <f>COUNTIF(Detalle!I:I,"pasarela-pro")</f>
        <v>0</v>
      </c>
      <c r="E7" s="11">
        <f>SUMIF(Detalle!I:I,"pasarela-pro",Detalle!V:V)</f>
        <v>0</v>
      </c>
    </row>
    <row r="8" spans="3:5" ht="15.6" x14ac:dyDescent="0.3">
      <c r="C8" s="7" t="s">
        <v>33</v>
      </c>
      <c r="D8" s="8">
        <f>COUNTIF(Detalle!I:I,"enviatrack")</f>
        <v>0</v>
      </c>
      <c r="E8" s="11">
        <f>SUMIF(Detalle!I:I,"enviatrack",Detalle!V:V)</f>
        <v>0</v>
      </c>
    </row>
    <row r="9" spans="3:5" ht="15.6" x14ac:dyDescent="0.3">
      <c r="C9" s="7" t="s">
        <v>23</v>
      </c>
      <c r="D9" s="8">
        <f>COUNTIF(Detalle!I:I,"Retiros S/C")</f>
        <v>0</v>
      </c>
      <c r="E9" s="11">
        <f>SUMIF(Detalle!I:I,"Retiros S/C",Detalle!V:V)</f>
        <v>0</v>
      </c>
    </row>
    <row r="10" spans="3:5" ht="15.6" x14ac:dyDescent="0.3">
      <c r="C10" s="7" t="s">
        <v>24</v>
      </c>
      <c r="D10" s="8">
        <f>COUNTIF(Detalle!I:I,"porPagar")</f>
        <v>0</v>
      </c>
      <c r="E10" s="11">
        <f>SUMIF(Detalle!I:I,"porPagar",Detalle!V:V)</f>
        <v>0</v>
      </c>
    </row>
    <row r="11" spans="3:5" ht="15.6" x14ac:dyDescent="0.3">
      <c r="C11" s="7" t="s">
        <v>25</v>
      </c>
      <c r="D11" s="8">
        <f>COUNTIF(Detalle!I:I,"marketcenter")</f>
        <v>0</v>
      </c>
      <c r="E11" s="11">
        <f>SUMIF(Detalle!I:I,"marketcenter",Detalle!V:V)</f>
        <v>0</v>
      </c>
    </row>
    <row r="12" spans="3:5" ht="15.6" x14ac:dyDescent="0.3">
      <c r="C12" s="7" t="s">
        <v>37</v>
      </c>
      <c r="D12" s="8">
        <f>COUNTIF(Detalle!I:I,"flex")</f>
        <v>0</v>
      </c>
      <c r="E12" s="11">
        <f>SUMIF(Detalle!I:I,"flex",Detalle!V:V)</f>
        <v>0</v>
      </c>
    </row>
    <row r="13" spans="3:5" ht="15.6" x14ac:dyDescent="0.3">
      <c r="C13" s="7" t="s">
        <v>26</v>
      </c>
      <c r="D13" s="8">
        <f>COUNTIF(Detalle!I:I,"mensajeria")</f>
        <v>0</v>
      </c>
      <c r="E13" s="11">
        <f>SUMIF(Detalle!I:I,"mensajeria",Detalle!V:V)</f>
        <v>0</v>
      </c>
    </row>
    <row r="14" spans="3:5" ht="15.6" x14ac:dyDescent="0.3">
      <c r="C14" s="7"/>
      <c r="D14" s="8"/>
      <c r="E14" s="20"/>
    </row>
    <row r="15" spans="3:5" ht="15.6" x14ac:dyDescent="0.3">
      <c r="C15" s="17" t="s">
        <v>6</v>
      </c>
      <c r="D15" s="18"/>
      <c r="E15" s="19"/>
    </row>
    <row r="16" spans="3:5" ht="15.6" x14ac:dyDescent="0.3">
      <c r="C16" s="2" t="s">
        <v>7</v>
      </c>
      <c r="D16" s="15"/>
      <c r="E16" s="11">
        <v>0</v>
      </c>
    </row>
    <row r="17" spans="3:5" ht="15.6" x14ac:dyDescent="0.3">
      <c r="C17" s="2" t="s">
        <v>8</v>
      </c>
      <c r="D17" s="16"/>
      <c r="E17" s="12">
        <f>SUM(E5:E16)</f>
        <v>17714838.619999982</v>
      </c>
    </row>
    <row r="18" spans="3:5" ht="17.25" customHeight="1" x14ac:dyDescent="0.3">
      <c r="C18" s="2"/>
      <c r="D18" s="16"/>
      <c r="E18" s="12"/>
    </row>
    <row r="19" spans="3:5" ht="15.6" x14ac:dyDescent="0.3">
      <c r="C19" s="2" t="s">
        <v>0</v>
      </c>
      <c r="D19" s="16"/>
      <c r="E19" s="12">
        <f>E17*0.19</f>
        <v>3365819.3377999966</v>
      </c>
    </row>
    <row r="20" spans="3:5" ht="15.6" x14ac:dyDescent="0.3">
      <c r="C20" s="3" t="s">
        <v>1</v>
      </c>
      <c r="D20" s="16"/>
      <c r="E20" s="13">
        <f>+E17+E19</f>
        <v>21080657.957799979</v>
      </c>
    </row>
  </sheetData>
  <conditionalFormatting sqref="D2">
    <cfRule type="duplicateValues" dxfId="0" priority="1"/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491"/>
  <sheetViews>
    <sheetView tabSelected="1" zoomScale="90" zoomScaleNormal="90" workbookViewId="0">
      <selection activeCell="F2" sqref="F2"/>
    </sheetView>
  </sheetViews>
  <sheetFormatPr baseColWidth="10" defaultColWidth="12.109375" defaultRowHeight="14.4" x14ac:dyDescent="0.3"/>
  <cols>
    <col min="2" max="2" width="11.109375" bestFit="1" customWidth="1"/>
    <col min="4" max="4" width="16.109375" bestFit="1" customWidth="1"/>
  </cols>
  <sheetData>
    <row r="1" spans="1:22" x14ac:dyDescent="0.3">
      <c r="A1" t="s">
        <v>27</v>
      </c>
      <c r="B1" t="s">
        <v>22</v>
      </c>
      <c r="C1" t="s">
        <v>9</v>
      </c>
      <c r="D1" t="s">
        <v>10</v>
      </c>
      <c r="E1" t="s">
        <v>20</v>
      </c>
      <c r="F1" t="s">
        <v>38</v>
      </c>
      <c r="G1" t="s">
        <v>11</v>
      </c>
      <c r="H1" t="s">
        <v>12</v>
      </c>
      <c r="I1" t="s">
        <v>35</v>
      </c>
      <c r="J1" t="s">
        <v>39</v>
      </c>
      <c r="K1" t="s">
        <v>19</v>
      </c>
      <c r="L1" t="s">
        <v>13</v>
      </c>
      <c r="M1" t="s">
        <v>14</v>
      </c>
      <c r="N1" t="s">
        <v>21</v>
      </c>
      <c r="O1" t="s">
        <v>15</v>
      </c>
      <c r="P1" t="s">
        <v>16</v>
      </c>
      <c r="Q1" t="s">
        <v>17</v>
      </c>
      <c r="R1" t="s">
        <v>18</v>
      </c>
      <c r="S1" t="s">
        <v>36</v>
      </c>
      <c r="T1" t="s">
        <v>28</v>
      </c>
      <c r="U1" t="s">
        <v>40</v>
      </c>
      <c r="V1" t="s">
        <v>29</v>
      </c>
    </row>
    <row r="2" spans="1:22" x14ac:dyDescent="0.3">
      <c r="A2">
        <v>79452</v>
      </c>
      <c r="B2">
        <v>137467397</v>
      </c>
      <c r="C2" t="s">
        <v>841</v>
      </c>
      <c r="D2" t="s">
        <v>842</v>
      </c>
      <c r="E2" t="s">
        <v>843</v>
      </c>
      <c r="F2" t="s">
        <v>844</v>
      </c>
      <c r="G2" t="s">
        <v>164</v>
      </c>
      <c r="H2" t="s">
        <v>165</v>
      </c>
      <c r="I2" t="s">
        <v>34</v>
      </c>
      <c r="J2" t="s">
        <v>166</v>
      </c>
      <c r="K2" t="s">
        <v>41</v>
      </c>
      <c r="L2" t="s">
        <v>845</v>
      </c>
      <c r="M2" t="s">
        <v>846</v>
      </c>
      <c r="N2" t="s">
        <v>847</v>
      </c>
      <c r="O2" t="s">
        <v>100</v>
      </c>
      <c r="P2" t="s">
        <v>848</v>
      </c>
      <c r="Q2" t="s">
        <v>60</v>
      </c>
      <c r="R2" t="s">
        <v>849</v>
      </c>
      <c r="S2">
        <v>1.28</v>
      </c>
      <c r="T2">
        <v>4346</v>
      </c>
      <c r="U2">
        <v>0</v>
      </c>
      <c r="V2">
        <v>4346</v>
      </c>
    </row>
    <row r="3" spans="1:22" x14ac:dyDescent="0.3">
      <c r="A3">
        <v>79452</v>
      </c>
      <c r="B3">
        <v>137389639</v>
      </c>
      <c r="C3" t="s">
        <v>850</v>
      </c>
      <c r="D3" t="s">
        <v>851</v>
      </c>
      <c r="E3" t="s">
        <v>843</v>
      </c>
      <c r="F3" t="s">
        <v>844</v>
      </c>
      <c r="G3" t="s">
        <v>164</v>
      </c>
      <c r="H3" t="s">
        <v>165</v>
      </c>
      <c r="I3" t="s">
        <v>34</v>
      </c>
      <c r="J3" t="s">
        <v>166</v>
      </c>
      <c r="K3" t="s">
        <v>41</v>
      </c>
      <c r="L3" t="s">
        <v>852</v>
      </c>
      <c r="M3" t="s">
        <v>853</v>
      </c>
      <c r="N3" t="s">
        <v>847</v>
      </c>
      <c r="O3" t="s">
        <v>100</v>
      </c>
      <c r="P3" t="s">
        <v>854</v>
      </c>
      <c r="Q3" t="s">
        <v>71</v>
      </c>
      <c r="R3" t="s">
        <v>855</v>
      </c>
      <c r="S3">
        <v>0.94</v>
      </c>
      <c r="T3">
        <v>3501</v>
      </c>
      <c r="U3">
        <v>0</v>
      </c>
      <c r="V3">
        <v>3501</v>
      </c>
    </row>
    <row r="4" spans="1:22" x14ac:dyDescent="0.3">
      <c r="A4">
        <v>79452</v>
      </c>
      <c r="B4">
        <v>137408568</v>
      </c>
      <c r="C4" t="s">
        <v>856</v>
      </c>
      <c r="D4" t="s">
        <v>857</v>
      </c>
      <c r="E4" t="s">
        <v>843</v>
      </c>
      <c r="F4" t="s">
        <v>844</v>
      </c>
      <c r="G4" t="s">
        <v>164</v>
      </c>
      <c r="H4" t="s">
        <v>165</v>
      </c>
      <c r="I4" t="s">
        <v>34</v>
      </c>
      <c r="J4" t="s">
        <v>166</v>
      </c>
      <c r="K4" t="s">
        <v>41</v>
      </c>
      <c r="L4" t="s">
        <v>858</v>
      </c>
      <c r="M4" t="s">
        <v>859</v>
      </c>
      <c r="N4" t="s">
        <v>847</v>
      </c>
      <c r="O4" t="s">
        <v>100</v>
      </c>
      <c r="P4" t="s">
        <v>860</v>
      </c>
      <c r="Q4" t="s">
        <v>60</v>
      </c>
      <c r="R4" t="s">
        <v>443</v>
      </c>
      <c r="S4">
        <v>1</v>
      </c>
      <c r="T4">
        <v>4346</v>
      </c>
      <c r="U4">
        <v>0</v>
      </c>
      <c r="V4">
        <v>4346</v>
      </c>
    </row>
    <row r="5" spans="1:22" x14ac:dyDescent="0.3">
      <c r="A5">
        <v>79452</v>
      </c>
      <c r="B5">
        <v>137497838</v>
      </c>
      <c r="C5" t="s">
        <v>861</v>
      </c>
      <c r="D5" t="s">
        <v>862</v>
      </c>
      <c r="E5" t="s">
        <v>843</v>
      </c>
      <c r="F5" t="s">
        <v>844</v>
      </c>
      <c r="G5" t="s">
        <v>164</v>
      </c>
      <c r="H5" t="s">
        <v>165</v>
      </c>
      <c r="I5" t="s">
        <v>34</v>
      </c>
      <c r="J5" t="s">
        <v>166</v>
      </c>
      <c r="K5" t="s">
        <v>41</v>
      </c>
      <c r="L5" t="s">
        <v>863</v>
      </c>
      <c r="M5" t="s">
        <v>864</v>
      </c>
      <c r="N5" t="s">
        <v>847</v>
      </c>
      <c r="O5" t="s">
        <v>100</v>
      </c>
      <c r="P5" t="s">
        <v>865</v>
      </c>
      <c r="Q5" t="s">
        <v>64</v>
      </c>
      <c r="R5" t="s">
        <v>866</v>
      </c>
      <c r="S5">
        <v>1.35</v>
      </c>
      <c r="T5">
        <v>4067</v>
      </c>
      <c r="U5">
        <v>0</v>
      </c>
      <c r="V5">
        <v>4067</v>
      </c>
    </row>
    <row r="6" spans="1:22" x14ac:dyDescent="0.3">
      <c r="A6">
        <v>79452</v>
      </c>
      <c r="B6">
        <v>137358381</v>
      </c>
      <c r="C6" t="s">
        <v>867</v>
      </c>
      <c r="D6" t="s">
        <v>868</v>
      </c>
      <c r="E6" t="s">
        <v>843</v>
      </c>
      <c r="F6" t="s">
        <v>844</v>
      </c>
      <c r="G6" t="s">
        <v>164</v>
      </c>
      <c r="H6" t="s">
        <v>165</v>
      </c>
      <c r="I6" t="s">
        <v>34</v>
      </c>
      <c r="J6" t="s">
        <v>166</v>
      </c>
      <c r="K6" t="s">
        <v>41</v>
      </c>
      <c r="L6" t="s">
        <v>869</v>
      </c>
      <c r="M6" t="s">
        <v>870</v>
      </c>
      <c r="N6" t="s">
        <v>847</v>
      </c>
      <c r="O6" t="s">
        <v>100</v>
      </c>
      <c r="P6" t="s">
        <v>871</v>
      </c>
      <c r="Q6" t="s">
        <v>190</v>
      </c>
      <c r="R6" t="s">
        <v>872</v>
      </c>
      <c r="S6">
        <v>1</v>
      </c>
      <c r="T6">
        <v>3366</v>
      </c>
      <c r="U6">
        <v>0</v>
      </c>
      <c r="V6">
        <v>3366</v>
      </c>
    </row>
    <row r="7" spans="1:22" x14ac:dyDescent="0.3">
      <c r="A7">
        <v>79452</v>
      </c>
      <c r="B7">
        <v>137535536</v>
      </c>
      <c r="C7" t="s">
        <v>873</v>
      </c>
      <c r="D7" t="s">
        <v>874</v>
      </c>
      <c r="E7" t="s">
        <v>843</v>
      </c>
      <c r="F7" t="s">
        <v>844</v>
      </c>
      <c r="G7" t="s">
        <v>164</v>
      </c>
      <c r="H7" t="s">
        <v>165</v>
      </c>
      <c r="I7" t="s">
        <v>34</v>
      </c>
      <c r="J7" t="s">
        <v>166</v>
      </c>
      <c r="K7" t="s">
        <v>41</v>
      </c>
      <c r="L7" t="s">
        <v>875</v>
      </c>
      <c r="M7" t="s">
        <v>876</v>
      </c>
      <c r="N7" t="s">
        <v>847</v>
      </c>
      <c r="O7" t="s">
        <v>100</v>
      </c>
      <c r="P7" t="s">
        <v>877</v>
      </c>
      <c r="Q7" t="s">
        <v>69</v>
      </c>
      <c r="R7" t="s">
        <v>878</v>
      </c>
      <c r="S7">
        <v>0.99</v>
      </c>
      <c r="T7">
        <v>3753</v>
      </c>
      <c r="U7">
        <v>0</v>
      </c>
      <c r="V7">
        <v>3753</v>
      </c>
    </row>
    <row r="8" spans="1:22" x14ac:dyDescent="0.3">
      <c r="A8">
        <v>79452</v>
      </c>
      <c r="B8">
        <v>137389650</v>
      </c>
      <c r="C8" t="s">
        <v>879</v>
      </c>
      <c r="D8" t="s">
        <v>880</v>
      </c>
      <c r="E8" t="s">
        <v>843</v>
      </c>
      <c r="F8" t="s">
        <v>844</v>
      </c>
      <c r="G8" t="s">
        <v>164</v>
      </c>
      <c r="H8" t="s">
        <v>165</v>
      </c>
      <c r="I8" t="s">
        <v>34</v>
      </c>
      <c r="J8" t="s">
        <v>166</v>
      </c>
      <c r="K8" t="s">
        <v>41</v>
      </c>
      <c r="L8" t="s">
        <v>881</v>
      </c>
      <c r="M8" t="s">
        <v>882</v>
      </c>
      <c r="N8" t="s">
        <v>847</v>
      </c>
      <c r="O8" t="s">
        <v>100</v>
      </c>
      <c r="P8" t="s">
        <v>883</v>
      </c>
      <c r="Q8" t="s">
        <v>54</v>
      </c>
      <c r="R8" t="s">
        <v>884</v>
      </c>
      <c r="S8">
        <v>1.06</v>
      </c>
      <c r="T8">
        <v>5759</v>
      </c>
      <c r="U8">
        <v>0</v>
      </c>
      <c r="V8">
        <v>5759</v>
      </c>
    </row>
    <row r="9" spans="1:22" x14ac:dyDescent="0.3">
      <c r="A9">
        <v>79452</v>
      </c>
      <c r="B9">
        <v>137467374</v>
      </c>
      <c r="C9" t="s">
        <v>885</v>
      </c>
      <c r="D9" t="s">
        <v>886</v>
      </c>
      <c r="E9" t="s">
        <v>843</v>
      </c>
      <c r="F9" t="s">
        <v>844</v>
      </c>
      <c r="G9" t="s">
        <v>164</v>
      </c>
      <c r="H9" t="s">
        <v>165</v>
      </c>
      <c r="I9" t="s">
        <v>34</v>
      </c>
      <c r="J9" t="s">
        <v>166</v>
      </c>
      <c r="K9" t="s">
        <v>41</v>
      </c>
      <c r="L9" t="s">
        <v>887</v>
      </c>
      <c r="M9" t="s">
        <v>888</v>
      </c>
      <c r="N9" t="s">
        <v>847</v>
      </c>
      <c r="O9" t="s">
        <v>100</v>
      </c>
      <c r="P9" t="s">
        <v>889</v>
      </c>
      <c r="Q9" t="s">
        <v>69</v>
      </c>
      <c r="R9" t="s">
        <v>849</v>
      </c>
      <c r="S9">
        <v>1.26</v>
      </c>
      <c r="T9">
        <v>3753</v>
      </c>
      <c r="U9">
        <v>0</v>
      </c>
      <c r="V9">
        <v>3753</v>
      </c>
    </row>
    <row r="10" spans="1:22" x14ac:dyDescent="0.3">
      <c r="A10">
        <v>79452</v>
      </c>
      <c r="B10">
        <v>137389704</v>
      </c>
      <c r="C10" t="s">
        <v>890</v>
      </c>
      <c r="D10" t="s">
        <v>891</v>
      </c>
      <c r="E10" t="s">
        <v>843</v>
      </c>
      <c r="F10" t="s">
        <v>844</v>
      </c>
      <c r="G10" t="s">
        <v>164</v>
      </c>
      <c r="H10" t="s">
        <v>165</v>
      </c>
      <c r="I10" t="s">
        <v>34</v>
      </c>
      <c r="J10" t="s">
        <v>166</v>
      </c>
      <c r="K10" t="s">
        <v>41</v>
      </c>
      <c r="L10" t="s">
        <v>892</v>
      </c>
      <c r="M10" t="s">
        <v>893</v>
      </c>
      <c r="N10" t="s">
        <v>847</v>
      </c>
      <c r="O10" t="s">
        <v>100</v>
      </c>
      <c r="P10" t="s">
        <v>894</v>
      </c>
      <c r="Q10" t="s">
        <v>229</v>
      </c>
      <c r="R10" t="s">
        <v>884</v>
      </c>
      <c r="S10">
        <v>1.02</v>
      </c>
      <c r="T10">
        <v>4067</v>
      </c>
      <c r="U10">
        <v>0</v>
      </c>
      <c r="V10">
        <v>4067</v>
      </c>
    </row>
    <row r="11" spans="1:22" x14ac:dyDescent="0.3">
      <c r="A11">
        <v>79452</v>
      </c>
      <c r="B11">
        <v>137289762</v>
      </c>
      <c r="C11" t="s">
        <v>895</v>
      </c>
      <c r="D11" t="s">
        <v>896</v>
      </c>
      <c r="E11" t="s">
        <v>843</v>
      </c>
      <c r="F11" t="s">
        <v>844</v>
      </c>
      <c r="G11" t="s">
        <v>164</v>
      </c>
      <c r="H11" t="s">
        <v>165</v>
      </c>
      <c r="I11" t="s">
        <v>34</v>
      </c>
      <c r="J11" t="s">
        <v>166</v>
      </c>
      <c r="K11" t="s">
        <v>41</v>
      </c>
      <c r="L11" t="s">
        <v>897</v>
      </c>
      <c r="M11" t="s">
        <v>898</v>
      </c>
      <c r="N11" t="s">
        <v>847</v>
      </c>
      <c r="O11" t="s">
        <v>100</v>
      </c>
      <c r="P11" t="s">
        <v>899</v>
      </c>
      <c r="Q11" t="s">
        <v>58</v>
      </c>
      <c r="R11" t="s">
        <v>900</v>
      </c>
      <c r="S11">
        <v>2.0499999999999998</v>
      </c>
      <c r="T11">
        <v>5759</v>
      </c>
      <c r="U11">
        <v>0</v>
      </c>
      <c r="V11">
        <v>5759</v>
      </c>
    </row>
    <row r="12" spans="1:22" x14ac:dyDescent="0.3">
      <c r="A12">
        <v>79452</v>
      </c>
      <c r="B12">
        <v>137535533</v>
      </c>
      <c r="C12" t="s">
        <v>901</v>
      </c>
      <c r="D12" t="s">
        <v>902</v>
      </c>
      <c r="E12" t="s">
        <v>843</v>
      </c>
      <c r="F12" t="s">
        <v>844</v>
      </c>
      <c r="G12" t="s">
        <v>164</v>
      </c>
      <c r="H12" t="s">
        <v>165</v>
      </c>
      <c r="I12" t="s">
        <v>34</v>
      </c>
      <c r="J12" t="s">
        <v>166</v>
      </c>
      <c r="K12" t="s">
        <v>41</v>
      </c>
      <c r="L12" t="s">
        <v>903</v>
      </c>
      <c r="M12" t="s">
        <v>904</v>
      </c>
      <c r="N12" t="s">
        <v>847</v>
      </c>
      <c r="O12" t="s">
        <v>100</v>
      </c>
      <c r="P12" t="s">
        <v>905</v>
      </c>
      <c r="Q12" t="s">
        <v>60</v>
      </c>
      <c r="R12" t="s">
        <v>878</v>
      </c>
      <c r="S12">
        <v>0.89</v>
      </c>
      <c r="T12">
        <v>4346</v>
      </c>
      <c r="U12">
        <v>0</v>
      </c>
      <c r="V12">
        <v>4346</v>
      </c>
    </row>
    <row r="13" spans="1:22" x14ac:dyDescent="0.3">
      <c r="A13">
        <v>79452</v>
      </c>
      <c r="B13">
        <v>137467559</v>
      </c>
      <c r="C13" t="s">
        <v>906</v>
      </c>
      <c r="D13" t="s">
        <v>907</v>
      </c>
      <c r="E13" t="s">
        <v>843</v>
      </c>
      <c r="F13" t="s">
        <v>844</v>
      </c>
      <c r="G13" t="s">
        <v>164</v>
      </c>
      <c r="H13" t="s">
        <v>165</v>
      </c>
      <c r="I13" t="s">
        <v>34</v>
      </c>
      <c r="J13" t="s">
        <v>166</v>
      </c>
      <c r="K13" t="s">
        <v>41</v>
      </c>
      <c r="L13" t="s">
        <v>908</v>
      </c>
      <c r="M13" t="s">
        <v>909</v>
      </c>
      <c r="N13" t="s">
        <v>847</v>
      </c>
      <c r="O13" t="s">
        <v>100</v>
      </c>
      <c r="P13" t="s">
        <v>910</v>
      </c>
      <c r="Q13" t="s">
        <v>94</v>
      </c>
      <c r="R13" t="s">
        <v>515</v>
      </c>
      <c r="S13">
        <v>1.77</v>
      </c>
      <c r="T13">
        <v>3366</v>
      </c>
      <c r="U13">
        <v>0</v>
      </c>
      <c r="V13">
        <v>3366</v>
      </c>
    </row>
    <row r="14" spans="1:22" x14ac:dyDescent="0.3">
      <c r="A14">
        <v>79452</v>
      </c>
      <c r="B14">
        <v>137358418</v>
      </c>
      <c r="C14" t="s">
        <v>911</v>
      </c>
      <c r="D14" t="s">
        <v>912</v>
      </c>
      <c r="E14" t="s">
        <v>843</v>
      </c>
      <c r="F14" t="s">
        <v>844</v>
      </c>
      <c r="G14" t="s">
        <v>164</v>
      </c>
      <c r="H14" t="s">
        <v>165</v>
      </c>
      <c r="I14" t="s">
        <v>34</v>
      </c>
      <c r="J14" t="s">
        <v>166</v>
      </c>
      <c r="K14" t="s">
        <v>41</v>
      </c>
      <c r="L14" t="s">
        <v>913</v>
      </c>
      <c r="M14" t="s">
        <v>914</v>
      </c>
      <c r="N14" t="s">
        <v>847</v>
      </c>
      <c r="O14" t="s">
        <v>100</v>
      </c>
      <c r="P14" t="s">
        <v>915</v>
      </c>
      <c r="Q14" t="s">
        <v>59</v>
      </c>
      <c r="R14" t="s">
        <v>872</v>
      </c>
      <c r="S14">
        <v>0.78</v>
      </c>
      <c r="T14">
        <v>4067</v>
      </c>
      <c r="U14">
        <v>0</v>
      </c>
      <c r="V14">
        <v>4067</v>
      </c>
    </row>
    <row r="15" spans="1:22" x14ac:dyDescent="0.3">
      <c r="A15">
        <v>79452</v>
      </c>
      <c r="B15">
        <v>137497916</v>
      </c>
      <c r="C15" t="s">
        <v>916</v>
      </c>
      <c r="D15" t="s">
        <v>917</v>
      </c>
      <c r="E15" t="s">
        <v>843</v>
      </c>
      <c r="F15" t="s">
        <v>844</v>
      </c>
      <c r="G15" t="s">
        <v>164</v>
      </c>
      <c r="H15" t="s">
        <v>165</v>
      </c>
      <c r="I15" t="s">
        <v>34</v>
      </c>
      <c r="J15" t="s">
        <v>166</v>
      </c>
      <c r="K15" t="s">
        <v>41</v>
      </c>
      <c r="L15" t="s">
        <v>918</v>
      </c>
      <c r="M15" t="s">
        <v>919</v>
      </c>
      <c r="N15" t="s">
        <v>847</v>
      </c>
      <c r="O15" t="s">
        <v>100</v>
      </c>
      <c r="P15" t="s">
        <v>920</v>
      </c>
      <c r="Q15" t="s">
        <v>60</v>
      </c>
      <c r="R15" t="s">
        <v>921</v>
      </c>
      <c r="S15">
        <v>1.21</v>
      </c>
      <c r="T15">
        <v>4346</v>
      </c>
      <c r="U15">
        <v>0</v>
      </c>
      <c r="V15">
        <v>4346</v>
      </c>
    </row>
    <row r="16" spans="1:22" x14ac:dyDescent="0.3">
      <c r="A16">
        <v>79452</v>
      </c>
      <c r="B16">
        <v>137535500</v>
      </c>
      <c r="C16" t="s">
        <v>922</v>
      </c>
      <c r="D16" t="s">
        <v>923</v>
      </c>
      <c r="E16" t="s">
        <v>843</v>
      </c>
      <c r="F16" t="s">
        <v>844</v>
      </c>
      <c r="G16" t="s">
        <v>164</v>
      </c>
      <c r="H16" t="s">
        <v>165</v>
      </c>
      <c r="I16" t="s">
        <v>34</v>
      </c>
      <c r="J16" t="s">
        <v>166</v>
      </c>
      <c r="K16" t="s">
        <v>41</v>
      </c>
      <c r="L16" t="s">
        <v>924</v>
      </c>
      <c r="M16" t="s">
        <v>925</v>
      </c>
      <c r="N16" t="s">
        <v>847</v>
      </c>
      <c r="O16" t="s">
        <v>100</v>
      </c>
      <c r="P16" t="s">
        <v>926</v>
      </c>
      <c r="Q16" t="s">
        <v>64</v>
      </c>
      <c r="R16" t="s">
        <v>927</v>
      </c>
      <c r="S16">
        <v>1.01</v>
      </c>
      <c r="T16">
        <v>4067</v>
      </c>
      <c r="U16">
        <v>0</v>
      </c>
      <c r="V16">
        <v>4067</v>
      </c>
    </row>
    <row r="17" spans="1:22" x14ac:dyDescent="0.3">
      <c r="A17">
        <v>79452</v>
      </c>
      <c r="B17">
        <v>137467580</v>
      </c>
      <c r="C17" t="s">
        <v>928</v>
      </c>
      <c r="D17" t="s">
        <v>929</v>
      </c>
      <c r="E17" t="s">
        <v>843</v>
      </c>
      <c r="F17" t="s">
        <v>844</v>
      </c>
      <c r="G17" t="s">
        <v>164</v>
      </c>
      <c r="H17" t="s">
        <v>165</v>
      </c>
      <c r="I17" t="s">
        <v>34</v>
      </c>
      <c r="J17" t="s">
        <v>166</v>
      </c>
      <c r="K17" t="s">
        <v>44</v>
      </c>
      <c r="L17" t="s">
        <v>188</v>
      </c>
      <c r="M17" t="s">
        <v>930</v>
      </c>
      <c r="N17" t="s">
        <v>847</v>
      </c>
      <c r="O17" t="s">
        <v>100</v>
      </c>
      <c r="P17" t="s">
        <v>931</v>
      </c>
      <c r="Q17" t="s">
        <v>90</v>
      </c>
      <c r="R17" t="s">
        <v>515</v>
      </c>
      <c r="S17">
        <v>1.05</v>
      </c>
      <c r="T17">
        <v>3870</v>
      </c>
      <c r="U17">
        <v>0</v>
      </c>
      <c r="V17">
        <v>3870</v>
      </c>
    </row>
    <row r="18" spans="1:22" x14ac:dyDescent="0.3">
      <c r="A18">
        <v>79452</v>
      </c>
      <c r="B18">
        <v>137408500</v>
      </c>
      <c r="C18" t="s">
        <v>932</v>
      </c>
      <c r="D18" t="s">
        <v>933</v>
      </c>
      <c r="E18" t="s">
        <v>843</v>
      </c>
      <c r="F18" t="s">
        <v>844</v>
      </c>
      <c r="G18" t="s">
        <v>164</v>
      </c>
      <c r="H18" t="s">
        <v>165</v>
      </c>
      <c r="I18" t="s">
        <v>34</v>
      </c>
      <c r="J18" t="s">
        <v>166</v>
      </c>
      <c r="K18" t="s">
        <v>41</v>
      </c>
      <c r="L18" t="s">
        <v>934</v>
      </c>
      <c r="M18" t="s">
        <v>935</v>
      </c>
      <c r="N18" t="s">
        <v>847</v>
      </c>
      <c r="O18" t="s">
        <v>100</v>
      </c>
      <c r="P18" t="s">
        <v>936</v>
      </c>
      <c r="Q18" t="s">
        <v>49</v>
      </c>
      <c r="R18" t="s">
        <v>654</v>
      </c>
      <c r="S18">
        <v>0.84</v>
      </c>
      <c r="T18">
        <v>3784</v>
      </c>
      <c r="U18">
        <v>0</v>
      </c>
      <c r="V18">
        <v>3784</v>
      </c>
    </row>
    <row r="19" spans="1:22" x14ac:dyDescent="0.3">
      <c r="A19">
        <v>79452</v>
      </c>
      <c r="B19">
        <v>137358337</v>
      </c>
      <c r="C19" t="s">
        <v>937</v>
      </c>
      <c r="D19" t="s">
        <v>938</v>
      </c>
      <c r="E19" t="s">
        <v>843</v>
      </c>
      <c r="F19" t="s">
        <v>844</v>
      </c>
      <c r="G19" t="s">
        <v>164</v>
      </c>
      <c r="H19" t="s">
        <v>165</v>
      </c>
      <c r="I19" t="s">
        <v>34</v>
      </c>
      <c r="J19" t="s">
        <v>166</v>
      </c>
      <c r="K19" t="s">
        <v>41</v>
      </c>
      <c r="L19" t="s">
        <v>939</v>
      </c>
      <c r="M19" t="s">
        <v>940</v>
      </c>
      <c r="N19" t="s">
        <v>847</v>
      </c>
      <c r="O19" t="s">
        <v>100</v>
      </c>
      <c r="P19" t="s">
        <v>941</v>
      </c>
      <c r="Q19" t="s">
        <v>57</v>
      </c>
      <c r="R19" t="s">
        <v>321</v>
      </c>
      <c r="S19">
        <v>2.85</v>
      </c>
      <c r="T19">
        <v>5476</v>
      </c>
      <c r="U19">
        <v>0</v>
      </c>
      <c r="V19">
        <v>5476</v>
      </c>
    </row>
    <row r="20" spans="1:22" x14ac:dyDescent="0.3">
      <c r="A20">
        <v>79452</v>
      </c>
      <c r="B20">
        <v>137467364</v>
      </c>
      <c r="C20" t="s">
        <v>942</v>
      </c>
      <c r="D20" t="s">
        <v>943</v>
      </c>
      <c r="E20" t="s">
        <v>843</v>
      </c>
      <c r="F20" t="s">
        <v>844</v>
      </c>
      <c r="G20" t="s">
        <v>164</v>
      </c>
      <c r="H20" t="s">
        <v>165</v>
      </c>
      <c r="I20" t="s">
        <v>34</v>
      </c>
      <c r="J20" t="s">
        <v>166</v>
      </c>
      <c r="K20" t="s">
        <v>44</v>
      </c>
      <c r="L20" t="s">
        <v>188</v>
      </c>
      <c r="M20" t="s">
        <v>944</v>
      </c>
      <c r="N20" t="s">
        <v>847</v>
      </c>
      <c r="O20" t="s">
        <v>100</v>
      </c>
      <c r="P20" t="s">
        <v>945</v>
      </c>
      <c r="Q20" t="s">
        <v>92</v>
      </c>
      <c r="R20" t="s">
        <v>849</v>
      </c>
      <c r="S20">
        <v>0.95</v>
      </c>
      <c r="T20">
        <v>3366</v>
      </c>
      <c r="U20">
        <v>0</v>
      </c>
      <c r="V20">
        <v>3366</v>
      </c>
    </row>
    <row r="21" spans="1:22" x14ac:dyDescent="0.3">
      <c r="A21">
        <v>79452</v>
      </c>
      <c r="B21">
        <v>137467324</v>
      </c>
      <c r="C21" t="s">
        <v>946</v>
      </c>
      <c r="D21" t="s">
        <v>947</v>
      </c>
      <c r="E21" t="s">
        <v>843</v>
      </c>
      <c r="F21" t="s">
        <v>844</v>
      </c>
      <c r="G21" t="s">
        <v>164</v>
      </c>
      <c r="H21" t="s">
        <v>165</v>
      </c>
      <c r="I21" t="s">
        <v>34</v>
      </c>
      <c r="J21" t="s">
        <v>166</v>
      </c>
      <c r="K21" t="s">
        <v>41</v>
      </c>
      <c r="L21" t="s">
        <v>948</v>
      </c>
      <c r="M21" t="s">
        <v>949</v>
      </c>
      <c r="N21" t="s">
        <v>847</v>
      </c>
      <c r="O21" t="s">
        <v>100</v>
      </c>
      <c r="P21" t="s">
        <v>950</v>
      </c>
      <c r="Q21" t="s">
        <v>72</v>
      </c>
      <c r="R21" t="s">
        <v>849</v>
      </c>
      <c r="S21">
        <v>1.38</v>
      </c>
      <c r="T21">
        <v>3784</v>
      </c>
      <c r="U21">
        <v>0</v>
      </c>
      <c r="V21">
        <v>3784</v>
      </c>
    </row>
    <row r="22" spans="1:22" x14ac:dyDescent="0.3">
      <c r="A22">
        <v>79452</v>
      </c>
      <c r="B22">
        <v>137497823</v>
      </c>
      <c r="C22" t="s">
        <v>951</v>
      </c>
      <c r="D22" t="s">
        <v>952</v>
      </c>
      <c r="E22" t="s">
        <v>843</v>
      </c>
      <c r="F22" t="s">
        <v>844</v>
      </c>
      <c r="G22" t="s">
        <v>164</v>
      </c>
      <c r="H22" t="s">
        <v>165</v>
      </c>
      <c r="I22" t="s">
        <v>34</v>
      </c>
      <c r="J22" t="s">
        <v>166</v>
      </c>
      <c r="K22" t="s">
        <v>41</v>
      </c>
      <c r="L22" t="s">
        <v>953</v>
      </c>
      <c r="M22" t="s">
        <v>954</v>
      </c>
      <c r="N22" t="s">
        <v>847</v>
      </c>
      <c r="O22" t="s">
        <v>100</v>
      </c>
      <c r="P22" t="s">
        <v>955</v>
      </c>
      <c r="Q22" t="s">
        <v>94</v>
      </c>
      <c r="R22" t="s">
        <v>866</v>
      </c>
      <c r="S22">
        <v>1.19</v>
      </c>
      <c r="T22">
        <v>3366</v>
      </c>
      <c r="U22">
        <v>0</v>
      </c>
      <c r="V22">
        <v>3366</v>
      </c>
    </row>
    <row r="23" spans="1:22" x14ac:dyDescent="0.3">
      <c r="A23">
        <v>79452</v>
      </c>
      <c r="B23">
        <v>137467575</v>
      </c>
      <c r="C23" t="s">
        <v>956</v>
      </c>
      <c r="D23" t="s">
        <v>957</v>
      </c>
      <c r="E23" t="s">
        <v>843</v>
      </c>
      <c r="F23" t="s">
        <v>844</v>
      </c>
      <c r="G23" t="s">
        <v>164</v>
      </c>
      <c r="H23" t="s">
        <v>165</v>
      </c>
      <c r="I23" t="s">
        <v>34</v>
      </c>
      <c r="J23" t="s">
        <v>166</v>
      </c>
      <c r="K23" t="s">
        <v>41</v>
      </c>
      <c r="L23" t="s">
        <v>958</v>
      </c>
      <c r="M23" t="s">
        <v>959</v>
      </c>
      <c r="N23" t="s">
        <v>847</v>
      </c>
      <c r="O23" t="s">
        <v>100</v>
      </c>
      <c r="P23" t="s">
        <v>960</v>
      </c>
      <c r="Q23" t="s">
        <v>84</v>
      </c>
      <c r="R23" t="s">
        <v>515</v>
      </c>
      <c r="S23">
        <v>0.96</v>
      </c>
      <c r="T23">
        <v>3366</v>
      </c>
      <c r="U23">
        <v>0</v>
      </c>
      <c r="V23">
        <v>3366</v>
      </c>
    </row>
    <row r="24" spans="1:22" x14ac:dyDescent="0.3">
      <c r="A24">
        <v>79452</v>
      </c>
      <c r="B24">
        <v>137168452</v>
      </c>
      <c r="C24" t="s">
        <v>961</v>
      </c>
      <c r="D24" t="s">
        <v>962</v>
      </c>
      <c r="E24" t="s">
        <v>843</v>
      </c>
      <c r="F24" t="s">
        <v>844</v>
      </c>
      <c r="G24" t="s">
        <v>164</v>
      </c>
      <c r="H24" t="s">
        <v>165</v>
      </c>
      <c r="I24" t="s">
        <v>34</v>
      </c>
      <c r="J24" t="s">
        <v>166</v>
      </c>
      <c r="K24" t="s">
        <v>41</v>
      </c>
      <c r="L24" t="s">
        <v>963</v>
      </c>
      <c r="M24" t="s">
        <v>964</v>
      </c>
      <c r="N24" t="s">
        <v>847</v>
      </c>
      <c r="O24" t="s">
        <v>100</v>
      </c>
      <c r="P24" t="s">
        <v>965</v>
      </c>
      <c r="Q24" t="s">
        <v>65</v>
      </c>
      <c r="R24" t="s">
        <v>966</v>
      </c>
      <c r="S24">
        <v>1</v>
      </c>
      <c r="T24">
        <v>4067</v>
      </c>
      <c r="U24">
        <v>0</v>
      </c>
      <c r="V24">
        <v>4067</v>
      </c>
    </row>
    <row r="25" spans="1:22" x14ac:dyDescent="0.3">
      <c r="A25">
        <v>79452</v>
      </c>
      <c r="B25">
        <v>137408499</v>
      </c>
      <c r="C25" t="s">
        <v>967</v>
      </c>
      <c r="D25" t="s">
        <v>968</v>
      </c>
      <c r="E25" t="s">
        <v>843</v>
      </c>
      <c r="F25" t="s">
        <v>844</v>
      </c>
      <c r="G25" t="s">
        <v>164</v>
      </c>
      <c r="H25" t="s">
        <v>165</v>
      </c>
      <c r="I25" t="s">
        <v>34</v>
      </c>
      <c r="J25" t="s">
        <v>166</v>
      </c>
      <c r="K25" t="s">
        <v>41</v>
      </c>
      <c r="L25" t="s">
        <v>969</v>
      </c>
      <c r="M25" t="s">
        <v>970</v>
      </c>
      <c r="N25" t="s">
        <v>847</v>
      </c>
      <c r="O25" t="s">
        <v>100</v>
      </c>
      <c r="P25" t="s">
        <v>971</v>
      </c>
      <c r="Q25" t="s">
        <v>68</v>
      </c>
      <c r="R25" t="s">
        <v>654</v>
      </c>
      <c r="S25">
        <v>0.86</v>
      </c>
      <c r="T25">
        <v>3753</v>
      </c>
      <c r="U25">
        <v>0</v>
      </c>
      <c r="V25">
        <v>3753</v>
      </c>
    </row>
    <row r="26" spans="1:22" x14ac:dyDescent="0.3">
      <c r="A26">
        <v>79452</v>
      </c>
      <c r="B26">
        <v>137328356</v>
      </c>
      <c r="C26" t="s">
        <v>972</v>
      </c>
      <c r="D26" t="s">
        <v>973</v>
      </c>
      <c r="E26" t="s">
        <v>843</v>
      </c>
      <c r="F26" t="s">
        <v>844</v>
      </c>
      <c r="G26" t="s">
        <v>164</v>
      </c>
      <c r="H26" t="s">
        <v>165</v>
      </c>
      <c r="I26" t="s">
        <v>34</v>
      </c>
      <c r="J26" t="s">
        <v>166</v>
      </c>
      <c r="K26" t="s">
        <v>41</v>
      </c>
      <c r="L26" t="s">
        <v>974</v>
      </c>
      <c r="M26" t="s">
        <v>975</v>
      </c>
      <c r="N26" t="s">
        <v>847</v>
      </c>
      <c r="O26" t="s">
        <v>100</v>
      </c>
      <c r="P26" t="s">
        <v>976</v>
      </c>
      <c r="Q26" t="s">
        <v>49</v>
      </c>
      <c r="R26" t="s">
        <v>781</v>
      </c>
      <c r="S26">
        <v>0.68</v>
      </c>
      <c r="T26">
        <v>3784</v>
      </c>
      <c r="U26">
        <v>0</v>
      </c>
      <c r="V26">
        <v>3784</v>
      </c>
    </row>
    <row r="27" spans="1:22" x14ac:dyDescent="0.3">
      <c r="A27">
        <v>79452</v>
      </c>
      <c r="B27">
        <v>137358336</v>
      </c>
      <c r="C27" t="s">
        <v>977</v>
      </c>
      <c r="D27" t="s">
        <v>978</v>
      </c>
      <c r="E27" t="s">
        <v>843</v>
      </c>
      <c r="F27" t="s">
        <v>844</v>
      </c>
      <c r="G27" t="s">
        <v>164</v>
      </c>
      <c r="H27" t="s">
        <v>165</v>
      </c>
      <c r="I27" t="s">
        <v>34</v>
      </c>
      <c r="J27" t="s">
        <v>166</v>
      </c>
      <c r="K27" t="s">
        <v>44</v>
      </c>
      <c r="L27" t="s">
        <v>188</v>
      </c>
      <c r="M27" t="s">
        <v>979</v>
      </c>
      <c r="N27" t="s">
        <v>847</v>
      </c>
      <c r="O27" t="s">
        <v>100</v>
      </c>
      <c r="P27" t="s">
        <v>980</v>
      </c>
      <c r="Q27" t="s">
        <v>54</v>
      </c>
      <c r="R27" t="s">
        <v>321</v>
      </c>
      <c r="S27">
        <v>2.11</v>
      </c>
      <c r="T27">
        <v>5759</v>
      </c>
      <c r="U27">
        <v>0</v>
      </c>
      <c r="V27">
        <v>5759</v>
      </c>
    </row>
    <row r="28" spans="1:22" x14ac:dyDescent="0.3">
      <c r="A28">
        <v>79452</v>
      </c>
      <c r="B28">
        <v>137512700</v>
      </c>
      <c r="C28" t="s">
        <v>981</v>
      </c>
      <c r="D28" t="s">
        <v>982</v>
      </c>
      <c r="E28" t="s">
        <v>843</v>
      </c>
      <c r="F28" t="s">
        <v>844</v>
      </c>
      <c r="G28" t="s">
        <v>164</v>
      </c>
      <c r="H28" t="s">
        <v>165</v>
      </c>
      <c r="I28" t="s">
        <v>34</v>
      </c>
      <c r="J28" t="s">
        <v>166</v>
      </c>
      <c r="K28" t="s">
        <v>41</v>
      </c>
      <c r="L28" t="s">
        <v>983</v>
      </c>
      <c r="M28" t="s">
        <v>984</v>
      </c>
      <c r="N28" t="s">
        <v>847</v>
      </c>
      <c r="O28" t="s">
        <v>100</v>
      </c>
      <c r="P28" t="s">
        <v>985</v>
      </c>
      <c r="Q28" t="s">
        <v>64</v>
      </c>
      <c r="R28" t="s">
        <v>441</v>
      </c>
      <c r="S28">
        <v>0.95</v>
      </c>
      <c r="T28">
        <v>4067</v>
      </c>
      <c r="U28">
        <v>0</v>
      </c>
      <c r="V28">
        <v>4067</v>
      </c>
    </row>
    <row r="29" spans="1:22" x14ac:dyDescent="0.3">
      <c r="A29">
        <v>79452</v>
      </c>
      <c r="B29">
        <v>137289703</v>
      </c>
      <c r="C29" t="s">
        <v>986</v>
      </c>
      <c r="D29" t="s">
        <v>987</v>
      </c>
      <c r="E29" t="s">
        <v>843</v>
      </c>
      <c r="F29" t="s">
        <v>844</v>
      </c>
      <c r="G29" t="s">
        <v>164</v>
      </c>
      <c r="H29" t="s">
        <v>165</v>
      </c>
      <c r="I29" t="s">
        <v>34</v>
      </c>
      <c r="J29" t="s">
        <v>166</v>
      </c>
      <c r="K29" t="s">
        <v>41</v>
      </c>
      <c r="L29" t="s">
        <v>988</v>
      </c>
      <c r="M29" t="s">
        <v>989</v>
      </c>
      <c r="N29" t="s">
        <v>847</v>
      </c>
      <c r="O29" t="s">
        <v>100</v>
      </c>
      <c r="P29" t="s">
        <v>990</v>
      </c>
      <c r="Q29" t="s">
        <v>78</v>
      </c>
      <c r="R29" t="s">
        <v>900</v>
      </c>
      <c r="S29">
        <v>1.74</v>
      </c>
      <c r="T29">
        <v>3784</v>
      </c>
      <c r="U29">
        <v>0</v>
      </c>
      <c r="V29">
        <v>3784</v>
      </c>
    </row>
    <row r="30" spans="1:22" x14ac:dyDescent="0.3">
      <c r="A30">
        <v>79452</v>
      </c>
      <c r="B30">
        <v>137328381</v>
      </c>
      <c r="C30" t="s">
        <v>991</v>
      </c>
      <c r="D30" t="s">
        <v>992</v>
      </c>
      <c r="E30" t="s">
        <v>843</v>
      </c>
      <c r="F30" t="s">
        <v>844</v>
      </c>
      <c r="G30" t="s">
        <v>164</v>
      </c>
      <c r="H30" t="s">
        <v>165</v>
      </c>
      <c r="I30" t="s">
        <v>34</v>
      </c>
      <c r="J30" t="s">
        <v>166</v>
      </c>
      <c r="K30" t="s">
        <v>41</v>
      </c>
      <c r="L30" t="s">
        <v>993</v>
      </c>
      <c r="M30" t="s">
        <v>994</v>
      </c>
      <c r="N30" t="s">
        <v>847</v>
      </c>
      <c r="O30" t="s">
        <v>100</v>
      </c>
      <c r="P30" t="s">
        <v>995</v>
      </c>
      <c r="Q30" t="s">
        <v>200</v>
      </c>
      <c r="R30" t="s">
        <v>781</v>
      </c>
      <c r="S30">
        <v>1.07</v>
      </c>
      <c r="T30">
        <v>3753</v>
      </c>
      <c r="U30">
        <v>0</v>
      </c>
      <c r="V30">
        <v>3753</v>
      </c>
    </row>
    <row r="31" spans="1:22" x14ac:dyDescent="0.3">
      <c r="A31">
        <v>79452</v>
      </c>
      <c r="B31">
        <v>137408528</v>
      </c>
      <c r="C31" t="s">
        <v>996</v>
      </c>
      <c r="D31" t="s">
        <v>997</v>
      </c>
      <c r="E31" t="s">
        <v>843</v>
      </c>
      <c r="F31" t="s">
        <v>844</v>
      </c>
      <c r="G31" t="s">
        <v>164</v>
      </c>
      <c r="H31" t="s">
        <v>165</v>
      </c>
      <c r="I31" t="s">
        <v>34</v>
      </c>
      <c r="J31" t="s">
        <v>166</v>
      </c>
      <c r="K31" t="s">
        <v>41</v>
      </c>
      <c r="L31" t="s">
        <v>998</v>
      </c>
      <c r="M31" t="s">
        <v>999</v>
      </c>
      <c r="N31" t="s">
        <v>847</v>
      </c>
      <c r="O31" t="s">
        <v>100</v>
      </c>
      <c r="P31" t="s">
        <v>1000</v>
      </c>
      <c r="Q31" t="s">
        <v>84</v>
      </c>
      <c r="R31" t="s">
        <v>443</v>
      </c>
      <c r="S31">
        <v>1.1499999999999999</v>
      </c>
      <c r="T31">
        <v>3366</v>
      </c>
      <c r="U31">
        <v>0</v>
      </c>
      <c r="V31">
        <v>3366</v>
      </c>
    </row>
    <row r="32" spans="1:22" x14ac:dyDescent="0.3">
      <c r="A32">
        <v>79452</v>
      </c>
      <c r="B32">
        <v>137467629</v>
      </c>
      <c r="C32" t="s">
        <v>1001</v>
      </c>
      <c r="D32" t="s">
        <v>1002</v>
      </c>
      <c r="E32" t="s">
        <v>843</v>
      </c>
      <c r="F32" t="s">
        <v>844</v>
      </c>
      <c r="G32" t="s">
        <v>164</v>
      </c>
      <c r="H32" t="s">
        <v>165</v>
      </c>
      <c r="I32" t="s">
        <v>34</v>
      </c>
      <c r="J32" t="s">
        <v>166</v>
      </c>
      <c r="K32" t="s">
        <v>41</v>
      </c>
      <c r="L32" t="s">
        <v>1003</v>
      </c>
      <c r="M32" t="s">
        <v>1004</v>
      </c>
      <c r="N32" t="s">
        <v>847</v>
      </c>
      <c r="O32" t="s">
        <v>100</v>
      </c>
      <c r="P32" t="s">
        <v>1005</v>
      </c>
      <c r="Q32" t="s">
        <v>68</v>
      </c>
      <c r="R32" t="s">
        <v>515</v>
      </c>
      <c r="S32">
        <v>1.21</v>
      </c>
      <c r="T32">
        <v>3753</v>
      </c>
      <c r="U32">
        <v>0</v>
      </c>
      <c r="V32">
        <v>3753</v>
      </c>
    </row>
    <row r="33" spans="1:22" x14ac:dyDescent="0.3">
      <c r="A33">
        <v>79452</v>
      </c>
      <c r="B33">
        <v>137389632</v>
      </c>
      <c r="C33" t="s">
        <v>1006</v>
      </c>
      <c r="D33" t="s">
        <v>1007</v>
      </c>
      <c r="E33" t="s">
        <v>843</v>
      </c>
      <c r="F33" t="s">
        <v>844</v>
      </c>
      <c r="G33" t="s">
        <v>164</v>
      </c>
      <c r="H33" t="s">
        <v>165</v>
      </c>
      <c r="I33" t="s">
        <v>34</v>
      </c>
      <c r="J33" t="s">
        <v>166</v>
      </c>
      <c r="K33" t="s">
        <v>41</v>
      </c>
      <c r="L33" t="s">
        <v>1008</v>
      </c>
      <c r="M33" t="s">
        <v>1009</v>
      </c>
      <c r="N33" t="s">
        <v>847</v>
      </c>
      <c r="O33" t="s">
        <v>100</v>
      </c>
      <c r="P33" t="s">
        <v>1010</v>
      </c>
      <c r="Q33" t="s">
        <v>59</v>
      </c>
      <c r="R33" t="s">
        <v>855</v>
      </c>
      <c r="S33">
        <v>1.07</v>
      </c>
      <c r="T33">
        <v>4067</v>
      </c>
      <c r="U33">
        <v>0</v>
      </c>
      <c r="V33">
        <v>4067</v>
      </c>
    </row>
    <row r="34" spans="1:22" x14ac:dyDescent="0.3">
      <c r="A34">
        <v>79452</v>
      </c>
      <c r="B34">
        <v>137535493</v>
      </c>
      <c r="C34" t="s">
        <v>1011</v>
      </c>
      <c r="D34" t="s">
        <v>1012</v>
      </c>
      <c r="E34" t="s">
        <v>843</v>
      </c>
      <c r="F34" t="s">
        <v>844</v>
      </c>
      <c r="G34" t="s">
        <v>164</v>
      </c>
      <c r="H34" t="s">
        <v>165</v>
      </c>
      <c r="I34" t="s">
        <v>34</v>
      </c>
      <c r="J34" t="s">
        <v>166</v>
      </c>
      <c r="K34" t="s">
        <v>44</v>
      </c>
      <c r="L34" t="s">
        <v>188</v>
      </c>
      <c r="M34" t="s">
        <v>1013</v>
      </c>
      <c r="N34" t="s">
        <v>847</v>
      </c>
      <c r="O34" t="s">
        <v>100</v>
      </c>
      <c r="P34" t="s">
        <v>1014</v>
      </c>
      <c r="Q34" t="s">
        <v>92</v>
      </c>
      <c r="R34" t="s">
        <v>927</v>
      </c>
      <c r="S34">
        <v>0.94</v>
      </c>
      <c r="T34">
        <v>3366</v>
      </c>
      <c r="U34">
        <v>0</v>
      </c>
      <c r="V34">
        <v>3366</v>
      </c>
    </row>
    <row r="35" spans="1:22" x14ac:dyDescent="0.3">
      <c r="A35">
        <v>79452</v>
      </c>
      <c r="B35">
        <v>137408553</v>
      </c>
      <c r="C35" t="s">
        <v>1015</v>
      </c>
      <c r="D35" t="s">
        <v>1016</v>
      </c>
      <c r="E35" t="s">
        <v>843</v>
      </c>
      <c r="F35" t="s">
        <v>844</v>
      </c>
      <c r="G35" t="s">
        <v>164</v>
      </c>
      <c r="H35" t="s">
        <v>165</v>
      </c>
      <c r="I35" t="s">
        <v>34</v>
      </c>
      <c r="J35" t="s">
        <v>166</v>
      </c>
      <c r="K35" t="s">
        <v>41</v>
      </c>
      <c r="L35" t="s">
        <v>1017</v>
      </c>
      <c r="M35" t="s">
        <v>1018</v>
      </c>
      <c r="N35" t="s">
        <v>847</v>
      </c>
      <c r="O35" t="s">
        <v>100</v>
      </c>
      <c r="P35" t="s">
        <v>1019</v>
      </c>
      <c r="Q35" t="s">
        <v>190</v>
      </c>
      <c r="R35" t="s">
        <v>443</v>
      </c>
      <c r="S35">
        <v>1.1100000000000001</v>
      </c>
      <c r="T35">
        <v>3366</v>
      </c>
      <c r="U35">
        <v>0</v>
      </c>
      <c r="V35">
        <v>3366</v>
      </c>
    </row>
    <row r="36" spans="1:22" x14ac:dyDescent="0.3">
      <c r="A36">
        <v>79452</v>
      </c>
      <c r="B36">
        <v>137467518</v>
      </c>
      <c r="C36" t="s">
        <v>1020</v>
      </c>
      <c r="D36" t="s">
        <v>1021</v>
      </c>
      <c r="E36" t="s">
        <v>843</v>
      </c>
      <c r="F36" t="s">
        <v>844</v>
      </c>
      <c r="G36" t="s">
        <v>164</v>
      </c>
      <c r="H36" t="s">
        <v>165</v>
      </c>
      <c r="I36" t="s">
        <v>34</v>
      </c>
      <c r="J36" t="s">
        <v>166</v>
      </c>
      <c r="K36" t="s">
        <v>41</v>
      </c>
      <c r="L36" t="s">
        <v>1022</v>
      </c>
      <c r="M36" t="s">
        <v>1023</v>
      </c>
      <c r="N36" t="s">
        <v>847</v>
      </c>
      <c r="O36" t="s">
        <v>100</v>
      </c>
      <c r="P36" t="s">
        <v>1024</v>
      </c>
      <c r="Q36" t="s">
        <v>71</v>
      </c>
      <c r="R36" t="s">
        <v>1025</v>
      </c>
      <c r="S36">
        <v>1.3</v>
      </c>
      <c r="T36">
        <v>3501</v>
      </c>
      <c r="U36">
        <v>0</v>
      </c>
      <c r="V36">
        <v>3501</v>
      </c>
    </row>
    <row r="37" spans="1:22" x14ac:dyDescent="0.3">
      <c r="A37">
        <v>79452</v>
      </c>
      <c r="B37">
        <v>137408569</v>
      </c>
      <c r="C37" t="s">
        <v>1026</v>
      </c>
      <c r="D37" t="s">
        <v>1027</v>
      </c>
      <c r="E37" t="s">
        <v>843</v>
      </c>
      <c r="F37" t="s">
        <v>844</v>
      </c>
      <c r="G37" t="s">
        <v>164</v>
      </c>
      <c r="H37" t="s">
        <v>165</v>
      </c>
      <c r="I37" t="s">
        <v>34</v>
      </c>
      <c r="J37" t="s">
        <v>166</v>
      </c>
      <c r="K37" t="s">
        <v>44</v>
      </c>
      <c r="L37" t="s">
        <v>188</v>
      </c>
      <c r="M37" t="s">
        <v>1028</v>
      </c>
      <c r="N37" t="s">
        <v>847</v>
      </c>
      <c r="O37" t="s">
        <v>100</v>
      </c>
      <c r="P37" t="s">
        <v>1029</v>
      </c>
      <c r="Q37" t="s">
        <v>72</v>
      </c>
      <c r="R37" t="s">
        <v>443</v>
      </c>
      <c r="S37">
        <v>1.1399999999999999</v>
      </c>
      <c r="T37">
        <v>3784</v>
      </c>
      <c r="U37">
        <v>0</v>
      </c>
      <c r="V37">
        <v>3784</v>
      </c>
    </row>
    <row r="38" spans="1:22" x14ac:dyDescent="0.3">
      <c r="A38">
        <v>79452</v>
      </c>
      <c r="B38">
        <v>137535524</v>
      </c>
      <c r="C38" t="s">
        <v>1030</v>
      </c>
      <c r="D38" t="s">
        <v>1031</v>
      </c>
      <c r="E38" t="s">
        <v>843</v>
      </c>
      <c r="F38" t="s">
        <v>844</v>
      </c>
      <c r="G38" t="s">
        <v>164</v>
      </c>
      <c r="H38" t="s">
        <v>165</v>
      </c>
      <c r="I38" t="s">
        <v>34</v>
      </c>
      <c r="J38" t="s">
        <v>166</v>
      </c>
      <c r="K38" t="s">
        <v>41</v>
      </c>
      <c r="L38" t="s">
        <v>1032</v>
      </c>
      <c r="M38" t="s">
        <v>1033</v>
      </c>
      <c r="N38" t="s">
        <v>847</v>
      </c>
      <c r="O38" t="s">
        <v>100</v>
      </c>
      <c r="P38" t="s">
        <v>1034</v>
      </c>
      <c r="Q38" t="s">
        <v>69</v>
      </c>
      <c r="R38" t="s">
        <v>878</v>
      </c>
      <c r="S38">
        <v>1.25</v>
      </c>
      <c r="T38">
        <v>3753</v>
      </c>
      <c r="U38">
        <v>0</v>
      </c>
      <c r="V38">
        <v>3753</v>
      </c>
    </row>
    <row r="39" spans="1:22" x14ac:dyDescent="0.3">
      <c r="A39">
        <v>79452</v>
      </c>
      <c r="B39">
        <v>137408494</v>
      </c>
      <c r="C39" t="s">
        <v>1035</v>
      </c>
      <c r="D39" t="s">
        <v>1036</v>
      </c>
      <c r="E39" t="s">
        <v>843</v>
      </c>
      <c r="F39" t="s">
        <v>844</v>
      </c>
      <c r="G39" t="s">
        <v>164</v>
      </c>
      <c r="H39" t="s">
        <v>165</v>
      </c>
      <c r="I39" t="s">
        <v>34</v>
      </c>
      <c r="J39" t="s">
        <v>166</v>
      </c>
      <c r="K39" t="s">
        <v>41</v>
      </c>
      <c r="L39" t="s">
        <v>1037</v>
      </c>
      <c r="M39" t="s">
        <v>1038</v>
      </c>
      <c r="N39" t="s">
        <v>847</v>
      </c>
      <c r="O39" t="s">
        <v>100</v>
      </c>
      <c r="P39" t="s">
        <v>1039</v>
      </c>
      <c r="Q39" t="s">
        <v>43</v>
      </c>
      <c r="R39" t="s">
        <v>654</v>
      </c>
      <c r="S39">
        <v>3.02</v>
      </c>
      <c r="T39">
        <v>4322</v>
      </c>
      <c r="U39">
        <v>0</v>
      </c>
      <c r="V39">
        <v>4322</v>
      </c>
    </row>
    <row r="40" spans="1:22" x14ac:dyDescent="0.3">
      <c r="A40">
        <v>79452</v>
      </c>
      <c r="B40">
        <v>137358390</v>
      </c>
      <c r="C40" t="s">
        <v>1040</v>
      </c>
      <c r="D40" t="s">
        <v>1041</v>
      </c>
      <c r="E40" t="s">
        <v>843</v>
      </c>
      <c r="F40" t="s">
        <v>844</v>
      </c>
      <c r="G40" t="s">
        <v>164</v>
      </c>
      <c r="H40" t="s">
        <v>165</v>
      </c>
      <c r="I40" t="s">
        <v>34</v>
      </c>
      <c r="J40" t="s">
        <v>166</v>
      </c>
      <c r="K40" t="s">
        <v>41</v>
      </c>
      <c r="L40" t="s">
        <v>1042</v>
      </c>
      <c r="M40" t="s">
        <v>419</v>
      </c>
      <c r="N40" t="s">
        <v>847</v>
      </c>
      <c r="O40" t="s">
        <v>100</v>
      </c>
      <c r="P40" t="s">
        <v>1043</v>
      </c>
      <c r="Q40" t="s">
        <v>57</v>
      </c>
      <c r="R40" t="s">
        <v>872</v>
      </c>
      <c r="S40">
        <v>1.08</v>
      </c>
      <c r="T40">
        <v>5476</v>
      </c>
      <c r="U40">
        <v>0</v>
      </c>
      <c r="V40">
        <v>5476</v>
      </c>
    </row>
    <row r="41" spans="1:22" x14ac:dyDescent="0.3">
      <c r="A41">
        <v>79452</v>
      </c>
      <c r="B41">
        <v>137512676</v>
      </c>
      <c r="C41" t="s">
        <v>1044</v>
      </c>
      <c r="D41" t="s">
        <v>1045</v>
      </c>
      <c r="E41" t="s">
        <v>843</v>
      </c>
      <c r="F41" t="s">
        <v>844</v>
      </c>
      <c r="G41" t="s">
        <v>164</v>
      </c>
      <c r="H41" t="s">
        <v>165</v>
      </c>
      <c r="I41" t="s">
        <v>34</v>
      </c>
      <c r="J41" t="s">
        <v>166</v>
      </c>
      <c r="K41" t="s">
        <v>41</v>
      </c>
      <c r="L41" t="s">
        <v>1046</v>
      </c>
      <c r="M41" t="s">
        <v>1047</v>
      </c>
      <c r="N41" t="s">
        <v>847</v>
      </c>
      <c r="O41" t="s">
        <v>100</v>
      </c>
      <c r="P41" t="s">
        <v>1048</v>
      </c>
      <c r="Q41" t="s">
        <v>190</v>
      </c>
      <c r="R41" t="s">
        <v>1049</v>
      </c>
      <c r="S41">
        <v>1.54</v>
      </c>
      <c r="T41">
        <v>3366</v>
      </c>
      <c r="U41">
        <v>0</v>
      </c>
      <c r="V41">
        <v>3366</v>
      </c>
    </row>
    <row r="42" spans="1:22" x14ac:dyDescent="0.3">
      <c r="A42">
        <v>79452</v>
      </c>
      <c r="B42">
        <v>137497875</v>
      </c>
      <c r="C42" t="s">
        <v>1050</v>
      </c>
      <c r="D42" t="s">
        <v>1051</v>
      </c>
      <c r="E42" t="s">
        <v>843</v>
      </c>
      <c r="F42" t="s">
        <v>844</v>
      </c>
      <c r="G42" t="s">
        <v>164</v>
      </c>
      <c r="H42" t="s">
        <v>165</v>
      </c>
      <c r="I42" t="s">
        <v>34</v>
      </c>
      <c r="J42" t="s">
        <v>166</v>
      </c>
      <c r="K42" t="s">
        <v>41</v>
      </c>
      <c r="L42" t="s">
        <v>1052</v>
      </c>
      <c r="M42" t="s">
        <v>1053</v>
      </c>
      <c r="N42" t="s">
        <v>847</v>
      </c>
      <c r="O42" t="s">
        <v>100</v>
      </c>
      <c r="P42" t="s">
        <v>1054</v>
      </c>
      <c r="Q42" t="s">
        <v>50</v>
      </c>
      <c r="R42" t="s">
        <v>866</v>
      </c>
      <c r="S42">
        <v>1.34</v>
      </c>
      <c r="T42">
        <v>3784</v>
      </c>
      <c r="U42">
        <v>0</v>
      </c>
      <c r="V42">
        <v>3784</v>
      </c>
    </row>
    <row r="43" spans="1:22" x14ac:dyDescent="0.3">
      <c r="A43">
        <v>79452</v>
      </c>
      <c r="B43">
        <v>137328384</v>
      </c>
      <c r="C43" t="s">
        <v>1055</v>
      </c>
      <c r="D43" t="s">
        <v>1056</v>
      </c>
      <c r="E43" t="s">
        <v>843</v>
      </c>
      <c r="F43" t="s">
        <v>844</v>
      </c>
      <c r="G43" t="s">
        <v>164</v>
      </c>
      <c r="H43" t="s">
        <v>165</v>
      </c>
      <c r="I43" t="s">
        <v>34</v>
      </c>
      <c r="J43" t="s">
        <v>166</v>
      </c>
      <c r="K43" t="s">
        <v>41</v>
      </c>
      <c r="L43" t="s">
        <v>1057</v>
      </c>
      <c r="M43" t="s">
        <v>1058</v>
      </c>
      <c r="N43" t="s">
        <v>847</v>
      </c>
      <c r="O43" t="s">
        <v>100</v>
      </c>
      <c r="P43" t="s">
        <v>1059</v>
      </c>
      <c r="Q43" t="s">
        <v>200</v>
      </c>
      <c r="R43" t="s">
        <v>781</v>
      </c>
      <c r="S43">
        <v>1.3</v>
      </c>
      <c r="T43">
        <v>3753</v>
      </c>
      <c r="U43">
        <v>0</v>
      </c>
      <c r="V43">
        <v>3753</v>
      </c>
    </row>
    <row r="44" spans="1:22" x14ac:dyDescent="0.3">
      <c r="A44">
        <v>79452</v>
      </c>
      <c r="B44">
        <v>137467338</v>
      </c>
      <c r="C44" t="s">
        <v>1060</v>
      </c>
      <c r="D44" t="s">
        <v>1061</v>
      </c>
      <c r="E44" t="s">
        <v>843</v>
      </c>
      <c r="F44" t="s">
        <v>844</v>
      </c>
      <c r="G44" t="s">
        <v>164</v>
      </c>
      <c r="H44" t="s">
        <v>165</v>
      </c>
      <c r="I44" t="s">
        <v>34</v>
      </c>
      <c r="J44" t="s">
        <v>166</v>
      </c>
      <c r="K44" t="s">
        <v>41</v>
      </c>
      <c r="L44" t="s">
        <v>1062</v>
      </c>
      <c r="M44" t="s">
        <v>1063</v>
      </c>
      <c r="N44" t="s">
        <v>847</v>
      </c>
      <c r="O44" t="s">
        <v>100</v>
      </c>
      <c r="P44" t="s">
        <v>1064</v>
      </c>
      <c r="Q44" t="s">
        <v>76</v>
      </c>
      <c r="R44" t="s">
        <v>849</v>
      </c>
      <c r="S44">
        <v>0.85</v>
      </c>
      <c r="T44">
        <v>3753</v>
      </c>
      <c r="U44">
        <v>0</v>
      </c>
      <c r="V44">
        <v>3753</v>
      </c>
    </row>
    <row r="45" spans="1:22" x14ac:dyDescent="0.3">
      <c r="A45">
        <v>79452</v>
      </c>
      <c r="B45">
        <v>137467427</v>
      </c>
      <c r="C45" t="s">
        <v>1065</v>
      </c>
      <c r="D45" t="s">
        <v>1066</v>
      </c>
      <c r="E45" t="s">
        <v>843</v>
      </c>
      <c r="F45" t="s">
        <v>844</v>
      </c>
      <c r="G45" t="s">
        <v>164</v>
      </c>
      <c r="H45" t="s">
        <v>165</v>
      </c>
      <c r="I45" t="s">
        <v>34</v>
      </c>
      <c r="J45" t="s">
        <v>166</v>
      </c>
      <c r="K45" t="s">
        <v>41</v>
      </c>
      <c r="L45" t="s">
        <v>1067</v>
      </c>
      <c r="M45" t="s">
        <v>1068</v>
      </c>
      <c r="N45" t="s">
        <v>847</v>
      </c>
      <c r="O45" t="s">
        <v>100</v>
      </c>
      <c r="P45" t="s">
        <v>1069</v>
      </c>
      <c r="Q45" t="s">
        <v>200</v>
      </c>
      <c r="R45" t="s">
        <v>1025</v>
      </c>
      <c r="S45">
        <v>1.6</v>
      </c>
      <c r="T45">
        <v>3753</v>
      </c>
      <c r="U45">
        <v>0</v>
      </c>
      <c r="V45">
        <v>3753</v>
      </c>
    </row>
    <row r="46" spans="1:22" x14ac:dyDescent="0.3">
      <c r="A46">
        <v>79452</v>
      </c>
      <c r="B46">
        <v>137328367</v>
      </c>
      <c r="C46" t="s">
        <v>1070</v>
      </c>
      <c r="D46" t="s">
        <v>1071</v>
      </c>
      <c r="E46" t="s">
        <v>843</v>
      </c>
      <c r="F46" t="s">
        <v>844</v>
      </c>
      <c r="G46" t="s">
        <v>164</v>
      </c>
      <c r="H46" t="s">
        <v>165</v>
      </c>
      <c r="I46" t="s">
        <v>34</v>
      </c>
      <c r="J46" t="s">
        <v>166</v>
      </c>
      <c r="K46" t="s">
        <v>41</v>
      </c>
      <c r="L46" t="s">
        <v>1072</v>
      </c>
      <c r="M46" t="s">
        <v>1073</v>
      </c>
      <c r="N46" t="s">
        <v>847</v>
      </c>
      <c r="O46" t="s">
        <v>100</v>
      </c>
      <c r="P46" t="s">
        <v>1074</v>
      </c>
      <c r="Q46" t="s">
        <v>211</v>
      </c>
      <c r="R46" t="s">
        <v>781</v>
      </c>
      <c r="S46">
        <v>1.35</v>
      </c>
      <c r="T46">
        <v>4067</v>
      </c>
      <c r="U46">
        <v>0</v>
      </c>
      <c r="V46">
        <v>4067</v>
      </c>
    </row>
    <row r="47" spans="1:22" x14ac:dyDescent="0.3">
      <c r="A47">
        <v>79452</v>
      </c>
      <c r="B47">
        <v>137497881</v>
      </c>
      <c r="C47" t="s">
        <v>1075</v>
      </c>
      <c r="D47" t="s">
        <v>1076</v>
      </c>
      <c r="E47" t="s">
        <v>843</v>
      </c>
      <c r="F47" t="s">
        <v>844</v>
      </c>
      <c r="G47" t="s">
        <v>164</v>
      </c>
      <c r="H47" t="s">
        <v>165</v>
      </c>
      <c r="I47" t="s">
        <v>34</v>
      </c>
      <c r="J47" t="s">
        <v>166</v>
      </c>
      <c r="K47" t="s">
        <v>41</v>
      </c>
      <c r="L47" t="s">
        <v>1077</v>
      </c>
      <c r="M47" t="s">
        <v>1078</v>
      </c>
      <c r="N47" t="s">
        <v>847</v>
      </c>
      <c r="O47" t="s">
        <v>100</v>
      </c>
      <c r="P47" t="s">
        <v>1079</v>
      </c>
      <c r="Q47" t="s">
        <v>190</v>
      </c>
      <c r="R47" t="s">
        <v>921</v>
      </c>
      <c r="S47">
        <v>0.9</v>
      </c>
      <c r="T47">
        <v>3366</v>
      </c>
      <c r="U47">
        <v>0</v>
      </c>
      <c r="V47">
        <v>3366</v>
      </c>
    </row>
    <row r="48" spans="1:22" x14ac:dyDescent="0.3">
      <c r="A48">
        <v>79452</v>
      </c>
      <c r="B48">
        <v>137467337</v>
      </c>
      <c r="C48" t="s">
        <v>1080</v>
      </c>
      <c r="D48" t="s">
        <v>1081</v>
      </c>
      <c r="E48" t="s">
        <v>843</v>
      </c>
      <c r="F48" t="s">
        <v>844</v>
      </c>
      <c r="G48" t="s">
        <v>164</v>
      </c>
      <c r="H48" t="s">
        <v>165</v>
      </c>
      <c r="I48" t="s">
        <v>34</v>
      </c>
      <c r="J48" t="s">
        <v>166</v>
      </c>
      <c r="K48" t="s">
        <v>41</v>
      </c>
      <c r="L48" t="s">
        <v>1082</v>
      </c>
      <c r="M48" t="s">
        <v>1083</v>
      </c>
      <c r="N48" t="s">
        <v>847</v>
      </c>
      <c r="O48" t="s">
        <v>100</v>
      </c>
      <c r="P48" t="s">
        <v>1084</v>
      </c>
      <c r="Q48" t="s">
        <v>94</v>
      </c>
      <c r="R48" t="s">
        <v>849</v>
      </c>
      <c r="S48">
        <v>1.19</v>
      </c>
      <c r="T48">
        <v>3366</v>
      </c>
      <c r="U48">
        <v>0</v>
      </c>
      <c r="V48">
        <v>3366</v>
      </c>
    </row>
    <row r="49" spans="1:22" x14ac:dyDescent="0.3">
      <c r="A49">
        <v>79452</v>
      </c>
      <c r="B49">
        <v>137389670</v>
      </c>
      <c r="C49" t="s">
        <v>1085</v>
      </c>
      <c r="D49" t="s">
        <v>1086</v>
      </c>
      <c r="E49" t="s">
        <v>843</v>
      </c>
      <c r="F49" t="s">
        <v>844</v>
      </c>
      <c r="G49" t="s">
        <v>164</v>
      </c>
      <c r="H49" t="s">
        <v>165</v>
      </c>
      <c r="I49" t="s">
        <v>34</v>
      </c>
      <c r="J49" t="s">
        <v>166</v>
      </c>
      <c r="K49" t="s">
        <v>41</v>
      </c>
      <c r="L49" t="s">
        <v>1087</v>
      </c>
      <c r="M49" t="s">
        <v>1088</v>
      </c>
      <c r="N49" t="s">
        <v>847</v>
      </c>
      <c r="O49" t="s">
        <v>100</v>
      </c>
      <c r="P49" t="s">
        <v>1089</v>
      </c>
      <c r="Q49" t="s">
        <v>59</v>
      </c>
      <c r="R49" t="s">
        <v>884</v>
      </c>
      <c r="S49">
        <v>0.93</v>
      </c>
      <c r="T49">
        <v>4067</v>
      </c>
      <c r="U49">
        <v>0</v>
      </c>
      <c r="V49">
        <v>4067</v>
      </c>
    </row>
    <row r="50" spans="1:22" x14ac:dyDescent="0.3">
      <c r="A50">
        <v>79452</v>
      </c>
      <c r="B50">
        <v>137389676</v>
      </c>
      <c r="C50" t="s">
        <v>1090</v>
      </c>
      <c r="D50" t="s">
        <v>1091</v>
      </c>
      <c r="E50" t="s">
        <v>843</v>
      </c>
      <c r="F50" t="s">
        <v>844</v>
      </c>
      <c r="G50" t="s">
        <v>164</v>
      </c>
      <c r="H50" t="s">
        <v>165</v>
      </c>
      <c r="I50" t="s">
        <v>34</v>
      </c>
      <c r="J50" t="s">
        <v>166</v>
      </c>
      <c r="K50" t="s">
        <v>41</v>
      </c>
      <c r="L50" t="s">
        <v>1092</v>
      </c>
      <c r="M50" t="s">
        <v>1093</v>
      </c>
      <c r="N50" t="s">
        <v>847</v>
      </c>
      <c r="O50" t="s">
        <v>100</v>
      </c>
      <c r="P50" t="s">
        <v>1094</v>
      </c>
      <c r="Q50" t="s">
        <v>307</v>
      </c>
      <c r="R50" t="s">
        <v>884</v>
      </c>
      <c r="S50">
        <v>1.33</v>
      </c>
      <c r="T50">
        <v>3753</v>
      </c>
      <c r="U50">
        <v>0</v>
      </c>
      <c r="V50">
        <v>3753</v>
      </c>
    </row>
    <row r="51" spans="1:22" x14ac:dyDescent="0.3">
      <c r="A51">
        <v>79452</v>
      </c>
      <c r="B51">
        <v>137328347</v>
      </c>
      <c r="C51" t="s">
        <v>1095</v>
      </c>
      <c r="D51" t="s">
        <v>1096</v>
      </c>
      <c r="E51" t="s">
        <v>843</v>
      </c>
      <c r="F51" t="s">
        <v>844</v>
      </c>
      <c r="G51" t="s">
        <v>164</v>
      </c>
      <c r="H51" t="s">
        <v>165</v>
      </c>
      <c r="I51" t="s">
        <v>34</v>
      </c>
      <c r="J51" t="s">
        <v>166</v>
      </c>
      <c r="K51" t="s">
        <v>41</v>
      </c>
      <c r="L51" t="s">
        <v>1097</v>
      </c>
      <c r="M51" t="s">
        <v>1098</v>
      </c>
      <c r="N51" t="s">
        <v>847</v>
      </c>
      <c r="O51" t="s">
        <v>100</v>
      </c>
      <c r="P51" t="s">
        <v>1099</v>
      </c>
      <c r="Q51" t="s">
        <v>109</v>
      </c>
      <c r="R51" t="s">
        <v>781</v>
      </c>
      <c r="S51">
        <v>1.1599999999999999</v>
      </c>
      <c r="T51">
        <v>4346</v>
      </c>
      <c r="U51">
        <v>0</v>
      </c>
      <c r="V51">
        <v>4346</v>
      </c>
    </row>
    <row r="52" spans="1:22" x14ac:dyDescent="0.3">
      <c r="A52">
        <v>79452</v>
      </c>
      <c r="B52">
        <v>137289728</v>
      </c>
      <c r="C52" t="s">
        <v>1100</v>
      </c>
      <c r="D52" t="s">
        <v>1101</v>
      </c>
      <c r="E52" t="s">
        <v>843</v>
      </c>
      <c r="F52" t="s">
        <v>844</v>
      </c>
      <c r="G52" t="s">
        <v>164</v>
      </c>
      <c r="H52" t="s">
        <v>165</v>
      </c>
      <c r="I52" t="s">
        <v>34</v>
      </c>
      <c r="J52" t="s">
        <v>166</v>
      </c>
      <c r="K52" t="s">
        <v>41</v>
      </c>
      <c r="L52" t="s">
        <v>1102</v>
      </c>
      <c r="M52" t="s">
        <v>1103</v>
      </c>
      <c r="N52" t="s">
        <v>847</v>
      </c>
      <c r="O52" t="s">
        <v>100</v>
      </c>
      <c r="P52" t="s">
        <v>1104</v>
      </c>
      <c r="Q52" t="s">
        <v>190</v>
      </c>
      <c r="R52" t="s">
        <v>900</v>
      </c>
      <c r="S52">
        <v>0.7</v>
      </c>
      <c r="T52">
        <v>3366</v>
      </c>
      <c r="U52">
        <v>0</v>
      </c>
      <c r="V52">
        <v>3366</v>
      </c>
    </row>
    <row r="53" spans="1:22" x14ac:dyDescent="0.3">
      <c r="A53">
        <v>79452</v>
      </c>
      <c r="B53">
        <v>137389692</v>
      </c>
      <c r="C53" t="s">
        <v>1105</v>
      </c>
      <c r="D53" t="s">
        <v>1106</v>
      </c>
      <c r="E53" t="s">
        <v>843</v>
      </c>
      <c r="F53" t="s">
        <v>844</v>
      </c>
      <c r="G53" t="s">
        <v>164</v>
      </c>
      <c r="H53" t="s">
        <v>165</v>
      </c>
      <c r="I53" t="s">
        <v>34</v>
      </c>
      <c r="J53" t="s">
        <v>166</v>
      </c>
      <c r="K53" t="s">
        <v>41</v>
      </c>
      <c r="L53" t="s">
        <v>1107</v>
      </c>
      <c r="M53" t="s">
        <v>1108</v>
      </c>
      <c r="N53" t="s">
        <v>847</v>
      </c>
      <c r="O53" t="s">
        <v>100</v>
      </c>
      <c r="P53" t="s">
        <v>1109</v>
      </c>
      <c r="Q53" t="s">
        <v>61</v>
      </c>
      <c r="R53" t="s">
        <v>884</v>
      </c>
      <c r="S53">
        <v>0.82</v>
      </c>
      <c r="T53">
        <v>4067</v>
      </c>
      <c r="U53">
        <v>0</v>
      </c>
      <c r="V53">
        <v>4067</v>
      </c>
    </row>
    <row r="54" spans="1:22" x14ac:dyDescent="0.3">
      <c r="A54">
        <v>79452</v>
      </c>
      <c r="B54">
        <v>137358349</v>
      </c>
      <c r="C54" t="s">
        <v>1110</v>
      </c>
      <c r="D54" t="s">
        <v>1111</v>
      </c>
      <c r="E54" t="s">
        <v>843</v>
      </c>
      <c r="F54" t="s">
        <v>844</v>
      </c>
      <c r="G54" t="s">
        <v>164</v>
      </c>
      <c r="H54" t="s">
        <v>165</v>
      </c>
      <c r="I54" t="s">
        <v>34</v>
      </c>
      <c r="J54" t="s">
        <v>166</v>
      </c>
      <c r="K54" t="s">
        <v>41</v>
      </c>
      <c r="L54" t="s">
        <v>1112</v>
      </c>
      <c r="M54" t="s">
        <v>1113</v>
      </c>
      <c r="N54" t="s">
        <v>847</v>
      </c>
      <c r="O54" t="s">
        <v>100</v>
      </c>
      <c r="P54" t="s">
        <v>1114</v>
      </c>
      <c r="Q54" t="s">
        <v>67</v>
      </c>
      <c r="R54" t="s">
        <v>321</v>
      </c>
      <c r="S54">
        <v>1.19</v>
      </c>
      <c r="T54">
        <v>3784</v>
      </c>
      <c r="U54">
        <v>0</v>
      </c>
      <c r="V54">
        <v>3784</v>
      </c>
    </row>
    <row r="55" spans="1:22" x14ac:dyDescent="0.3">
      <c r="A55">
        <v>79452</v>
      </c>
      <c r="B55">
        <v>137389649</v>
      </c>
      <c r="C55" t="s">
        <v>1115</v>
      </c>
      <c r="D55" t="s">
        <v>1116</v>
      </c>
      <c r="E55" t="s">
        <v>843</v>
      </c>
      <c r="F55" t="s">
        <v>844</v>
      </c>
      <c r="G55" t="s">
        <v>164</v>
      </c>
      <c r="H55" t="s">
        <v>165</v>
      </c>
      <c r="I55" t="s">
        <v>34</v>
      </c>
      <c r="J55" t="s">
        <v>166</v>
      </c>
      <c r="K55" t="s">
        <v>44</v>
      </c>
      <c r="L55" t="s">
        <v>188</v>
      </c>
      <c r="M55" t="s">
        <v>1117</v>
      </c>
      <c r="N55" t="s">
        <v>847</v>
      </c>
      <c r="O55" t="s">
        <v>100</v>
      </c>
      <c r="P55" t="s">
        <v>1118</v>
      </c>
      <c r="Q55" t="s">
        <v>92</v>
      </c>
      <c r="R55" t="s">
        <v>884</v>
      </c>
      <c r="S55">
        <v>0.71</v>
      </c>
      <c r="T55">
        <v>3366</v>
      </c>
      <c r="U55">
        <v>0</v>
      </c>
      <c r="V55">
        <v>3366</v>
      </c>
    </row>
    <row r="56" spans="1:22" x14ac:dyDescent="0.3">
      <c r="A56">
        <v>79452</v>
      </c>
      <c r="B56">
        <v>137252138</v>
      </c>
      <c r="C56" t="s">
        <v>1119</v>
      </c>
      <c r="D56" t="s">
        <v>1120</v>
      </c>
      <c r="E56" t="s">
        <v>843</v>
      </c>
      <c r="F56" t="s">
        <v>844</v>
      </c>
      <c r="G56" t="s">
        <v>164</v>
      </c>
      <c r="H56" t="s">
        <v>165</v>
      </c>
      <c r="I56" t="s">
        <v>34</v>
      </c>
      <c r="J56" t="s">
        <v>166</v>
      </c>
      <c r="K56" t="s">
        <v>41</v>
      </c>
      <c r="L56" t="s">
        <v>1121</v>
      </c>
      <c r="M56" t="s">
        <v>1122</v>
      </c>
      <c r="N56" t="s">
        <v>847</v>
      </c>
      <c r="O56" t="s">
        <v>100</v>
      </c>
      <c r="P56" t="s">
        <v>1123</v>
      </c>
      <c r="Q56" t="s">
        <v>55</v>
      </c>
      <c r="R56" t="s">
        <v>1124</v>
      </c>
      <c r="S56">
        <v>1</v>
      </c>
      <c r="T56">
        <v>5198</v>
      </c>
      <c r="U56">
        <v>0</v>
      </c>
      <c r="V56">
        <v>5198</v>
      </c>
    </row>
    <row r="57" spans="1:22" x14ac:dyDescent="0.3">
      <c r="A57">
        <v>79452</v>
      </c>
      <c r="B57">
        <v>136327485</v>
      </c>
      <c r="C57" t="s">
        <v>1125</v>
      </c>
      <c r="D57" t="s">
        <v>1126</v>
      </c>
      <c r="E57" t="s">
        <v>843</v>
      </c>
      <c r="F57" t="s">
        <v>844</v>
      </c>
      <c r="G57" t="s">
        <v>164</v>
      </c>
      <c r="H57" t="s">
        <v>165</v>
      </c>
      <c r="I57" t="s">
        <v>34</v>
      </c>
      <c r="J57" t="s">
        <v>166</v>
      </c>
      <c r="K57" t="s">
        <v>41</v>
      </c>
      <c r="L57" t="s">
        <v>1127</v>
      </c>
      <c r="M57" t="s">
        <v>1128</v>
      </c>
      <c r="N57" t="s">
        <v>847</v>
      </c>
      <c r="O57" t="s">
        <v>100</v>
      </c>
      <c r="P57" t="s">
        <v>1129</v>
      </c>
      <c r="Q57" t="s">
        <v>264</v>
      </c>
      <c r="R57" t="s">
        <v>1130</v>
      </c>
      <c r="S57">
        <v>1</v>
      </c>
      <c r="T57">
        <v>5759</v>
      </c>
      <c r="U57">
        <v>0</v>
      </c>
      <c r="V57">
        <v>5759</v>
      </c>
    </row>
    <row r="58" spans="1:22" x14ac:dyDescent="0.3">
      <c r="A58">
        <v>79452</v>
      </c>
      <c r="B58">
        <v>137289746</v>
      </c>
      <c r="C58" t="s">
        <v>1131</v>
      </c>
      <c r="D58" t="s">
        <v>1132</v>
      </c>
      <c r="E58" t="s">
        <v>843</v>
      </c>
      <c r="F58" t="s">
        <v>844</v>
      </c>
      <c r="G58" t="s">
        <v>164</v>
      </c>
      <c r="H58" t="s">
        <v>165</v>
      </c>
      <c r="I58" t="s">
        <v>34</v>
      </c>
      <c r="J58" t="s">
        <v>166</v>
      </c>
      <c r="K58" t="s">
        <v>41</v>
      </c>
      <c r="L58" t="s">
        <v>1133</v>
      </c>
      <c r="M58" t="s">
        <v>1134</v>
      </c>
      <c r="N58" t="s">
        <v>847</v>
      </c>
      <c r="O58" t="s">
        <v>100</v>
      </c>
      <c r="P58" t="s">
        <v>1135</v>
      </c>
      <c r="Q58" t="s">
        <v>60</v>
      </c>
      <c r="R58" t="s">
        <v>900</v>
      </c>
      <c r="S58">
        <v>1.18</v>
      </c>
      <c r="T58">
        <v>4346</v>
      </c>
      <c r="U58">
        <v>0</v>
      </c>
      <c r="V58">
        <v>4346</v>
      </c>
    </row>
    <row r="59" spans="1:22" x14ac:dyDescent="0.3">
      <c r="A59">
        <v>79452</v>
      </c>
      <c r="B59">
        <v>136997011</v>
      </c>
      <c r="C59" t="s">
        <v>1136</v>
      </c>
      <c r="D59" t="s">
        <v>1137</v>
      </c>
      <c r="E59" t="s">
        <v>843</v>
      </c>
      <c r="F59" t="s">
        <v>844</v>
      </c>
      <c r="G59" t="s">
        <v>164</v>
      </c>
      <c r="H59" t="s">
        <v>165</v>
      </c>
      <c r="I59" t="s">
        <v>34</v>
      </c>
      <c r="J59" t="s">
        <v>166</v>
      </c>
      <c r="K59" t="s">
        <v>41</v>
      </c>
      <c r="L59" t="s">
        <v>1138</v>
      </c>
      <c r="M59" t="s">
        <v>1139</v>
      </c>
      <c r="N59" t="s">
        <v>847</v>
      </c>
      <c r="O59" t="s">
        <v>100</v>
      </c>
      <c r="P59" t="s">
        <v>1140</v>
      </c>
      <c r="Q59" t="s">
        <v>52</v>
      </c>
      <c r="R59" t="s">
        <v>1141</v>
      </c>
      <c r="S59">
        <v>0.55000000000000004</v>
      </c>
      <c r="T59">
        <v>5759</v>
      </c>
      <c r="U59">
        <v>0</v>
      </c>
      <c r="V59">
        <v>5759</v>
      </c>
    </row>
    <row r="60" spans="1:22" x14ac:dyDescent="0.3">
      <c r="A60">
        <v>79452</v>
      </c>
      <c r="B60">
        <v>137358391</v>
      </c>
      <c r="C60" t="s">
        <v>1142</v>
      </c>
      <c r="D60" t="s">
        <v>1143</v>
      </c>
      <c r="E60" t="s">
        <v>843</v>
      </c>
      <c r="F60" t="s">
        <v>844</v>
      </c>
      <c r="G60" t="s">
        <v>164</v>
      </c>
      <c r="H60" t="s">
        <v>165</v>
      </c>
      <c r="I60" t="s">
        <v>34</v>
      </c>
      <c r="J60" t="s">
        <v>166</v>
      </c>
      <c r="K60" t="s">
        <v>41</v>
      </c>
      <c r="L60" t="s">
        <v>1144</v>
      </c>
      <c r="M60" t="s">
        <v>225</v>
      </c>
      <c r="N60" t="s">
        <v>847</v>
      </c>
      <c r="O60" t="s">
        <v>100</v>
      </c>
      <c r="P60" t="s">
        <v>1145</v>
      </c>
      <c r="Q60" t="s">
        <v>60</v>
      </c>
      <c r="R60" t="s">
        <v>872</v>
      </c>
      <c r="S60">
        <v>1.19</v>
      </c>
      <c r="T60">
        <v>4346</v>
      </c>
      <c r="U60">
        <v>0</v>
      </c>
      <c r="V60">
        <v>4346</v>
      </c>
    </row>
    <row r="61" spans="1:22" x14ac:dyDescent="0.3">
      <c r="A61">
        <v>79452</v>
      </c>
      <c r="B61">
        <v>137328341</v>
      </c>
      <c r="C61" t="s">
        <v>1146</v>
      </c>
      <c r="D61" t="s">
        <v>1147</v>
      </c>
      <c r="E61" t="s">
        <v>843</v>
      </c>
      <c r="F61" t="s">
        <v>844</v>
      </c>
      <c r="G61" t="s">
        <v>164</v>
      </c>
      <c r="H61" t="s">
        <v>165</v>
      </c>
      <c r="I61" t="s">
        <v>34</v>
      </c>
      <c r="J61" t="s">
        <v>166</v>
      </c>
      <c r="K61" t="s">
        <v>41</v>
      </c>
      <c r="L61" t="s">
        <v>1148</v>
      </c>
      <c r="M61" t="s">
        <v>1149</v>
      </c>
      <c r="N61" t="s">
        <v>847</v>
      </c>
      <c r="O61" t="s">
        <v>100</v>
      </c>
      <c r="P61" t="s">
        <v>1150</v>
      </c>
      <c r="Q61" t="s">
        <v>96</v>
      </c>
      <c r="R61" t="s">
        <v>781</v>
      </c>
      <c r="S61">
        <v>1.37</v>
      </c>
      <c r="T61">
        <v>3870</v>
      </c>
      <c r="U61">
        <v>0</v>
      </c>
      <c r="V61">
        <v>3870</v>
      </c>
    </row>
    <row r="62" spans="1:22" x14ac:dyDescent="0.3">
      <c r="A62">
        <v>79452</v>
      </c>
      <c r="B62">
        <v>137358447</v>
      </c>
      <c r="C62" t="s">
        <v>1151</v>
      </c>
      <c r="D62" t="s">
        <v>1152</v>
      </c>
      <c r="E62" t="s">
        <v>843</v>
      </c>
      <c r="F62" t="s">
        <v>844</v>
      </c>
      <c r="G62" t="s">
        <v>164</v>
      </c>
      <c r="H62" t="s">
        <v>165</v>
      </c>
      <c r="I62" t="s">
        <v>34</v>
      </c>
      <c r="J62" t="s">
        <v>166</v>
      </c>
      <c r="K62" t="s">
        <v>41</v>
      </c>
      <c r="L62" t="s">
        <v>1153</v>
      </c>
      <c r="M62" t="s">
        <v>1154</v>
      </c>
      <c r="N62" t="s">
        <v>847</v>
      </c>
      <c r="O62" t="s">
        <v>100</v>
      </c>
      <c r="P62" t="s">
        <v>1155</v>
      </c>
      <c r="Q62" t="s">
        <v>84</v>
      </c>
      <c r="R62" t="s">
        <v>872</v>
      </c>
      <c r="S62">
        <v>1.39</v>
      </c>
      <c r="T62">
        <v>3366</v>
      </c>
      <c r="U62">
        <v>0</v>
      </c>
      <c r="V62">
        <v>3366</v>
      </c>
    </row>
    <row r="63" spans="1:22" x14ac:dyDescent="0.3">
      <c r="A63">
        <v>79452</v>
      </c>
      <c r="B63">
        <v>137289679</v>
      </c>
      <c r="C63" t="s">
        <v>1156</v>
      </c>
      <c r="D63" t="s">
        <v>1157</v>
      </c>
      <c r="E63" t="s">
        <v>843</v>
      </c>
      <c r="F63" t="s">
        <v>844</v>
      </c>
      <c r="G63" t="s">
        <v>164</v>
      </c>
      <c r="H63" t="s">
        <v>165</v>
      </c>
      <c r="I63" t="s">
        <v>34</v>
      </c>
      <c r="J63" t="s">
        <v>166</v>
      </c>
      <c r="K63" t="s">
        <v>41</v>
      </c>
      <c r="L63" t="s">
        <v>1158</v>
      </c>
      <c r="M63" t="s">
        <v>1159</v>
      </c>
      <c r="N63" t="s">
        <v>847</v>
      </c>
      <c r="O63" t="s">
        <v>100</v>
      </c>
      <c r="P63" t="s">
        <v>1160</v>
      </c>
      <c r="Q63" t="s">
        <v>63</v>
      </c>
      <c r="R63" t="s">
        <v>1161</v>
      </c>
      <c r="S63">
        <v>1.23</v>
      </c>
      <c r="T63">
        <v>4067</v>
      </c>
      <c r="U63">
        <v>0</v>
      </c>
      <c r="V63">
        <v>4067</v>
      </c>
    </row>
    <row r="64" spans="1:22" x14ac:dyDescent="0.3">
      <c r="A64">
        <v>79452</v>
      </c>
      <c r="B64">
        <v>137358415</v>
      </c>
      <c r="C64" t="s">
        <v>1162</v>
      </c>
      <c r="D64" t="s">
        <v>1163</v>
      </c>
      <c r="E64" t="s">
        <v>843</v>
      </c>
      <c r="F64" t="s">
        <v>844</v>
      </c>
      <c r="G64" t="s">
        <v>164</v>
      </c>
      <c r="H64" t="s">
        <v>165</v>
      </c>
      <c r="I64" t="s">
        <v>34</v>
      </c>
      <c r="J64" t="s">
        <v>166</v>
      </c>
      <c r="K64" t="s">
        <v>41</v>
      </c>
      <c r="L64" t="s">
        <v>1164</v>
      </c>
      <c r="M64" t="s">
        <v>1165</v>
      </c>
      <c r="N64" t="s">
        <v>847</v>
      </c>
      <c r="O64" t="s">
        <v>100</v>
      </c>
      <c r="P64" t="s">
        <v>1166</v>
      </c>
      <c r="Q64" t="s">
        <v>64</v>
      </c>
      <c r="R64" t="s">
        <v>872</v>
      </c>
      <c r="S64">
        <v>0.98</v>
      </c>
      <c r="T64">
        <v>4067</v>
      </c>
      <c r="U64">
        <v>0</v>
      </c>
      <c r="V64">
        <v>4067</v>
      </c>
    </row>
    <row r="65" spans="1:22" x14ac:dyDescent="0.3">
      <c r="A65">
        <v>79452</v>
      </c>
      <c r="B65">
        <v>137389638</v>
      </c>
      <c r="C65" t="s">
        <v>1167</v>
      </c>
      <c r="D65" t="s">
        <v>1168</v>
      </c>
      <c r="E65" t="s">
        <v>843</v>
      </c>
      <c r="F65" t="s">
        <v>844</v>
      </c>
      <c r="G65" t="s">
        <v>164</v>
      </c>
      <c r="H65" t="s">
        <v>165</v>
      </c>
      <c r="I65" t="s">
        <v>34</v>
      </c>
      <c r="J65" t="s">
        <v>166</v>
      </c>
      <c r="K65" t="s">
        <v>44</v>
      </c>
      <c r="L65" t="s">
        <v>188</v>
      </c>
      <c r="M65" t="s">
        <v>1169</v>
      </c>
      <c r="N65" t="s">
        <v>847</v>
      </c>
      <c r="O65" t="s">
        <v>100</v>
      </c>
      <c r="P65" t="s">
        <v>1170</v>
      </c>
      <c r="Q65" t="s">
        <v>72</v>
      </c>
      <c r="R65" t="s">
        <v>855</v>
      </c>
      <c r="S65">
        <v>0.71</v>
      </c>
      <c r="T65">
        <v>3784</v>
      </c>
      <c r="U65">
        <v>0</v>
      </c>
      <c r="V65">
        <v>3784</v>
      </c>
    </row>
    <row r="66" spans="1:22" x14ac:dyDescent="0.3">
      <c r="A66">
        <v>79452</v>
      </c>
      <c r="B66">
        <v>137389627</v>
      </c>
      <c r="C66" t="s">
        <v>1171</v>
      </c>
      <c r="D66" t="s">
        <v>1172</v>
      </c>
      <c r="E66" t="s">
        <v>843</v>
      </c>
      <c r="F66" t="s">
        <v>844</v>
      </c>
      <c r="G66" t="s">
        <v>164</v>
      </c>
      <c r="H66" t="s">
        <v>165</v>
      </c>
      <c r="I66" t="s">
        <v>34</v>
      </c>
      <c r="J66" t="s">
        <v>166</v>
      </c>
      <c r="K66" t="s">
        <v>46</v>
      </c>
      <c r="L66" t="s">
        <v>281</v>
      </c>
      <c r="M66" t="s">
        <v>1173</v>
      </c>
      <c r="N66" t="s">
        <v>847</v>
      </c>
      <c r="O66" t="s">
        <v>100</v>
      </c>
      <c r="P66" t="s">
        <v>1174</v>
      </c>
      <c r="Q66" t="s">
        <v>50</v>
      </c>
      <c r="R66" t="s">
        <v>855</v>
      </c>
      <c r="S66">
        <v>1.41</v>
      </c>
      <c r="T66">
        <v>3784</v>
      </c>
      <c r="U66">
        <v>0</v>
      </c>
      <c r="V66">
        <v>3784</v>
      </c>
    </row>
    <row r="67" spans="1:22" x14ac:dyDescent="0.3">
      <c r="A67">
        <v>79452</v>
      </c>
      <c r="B67">
        <v>137252166</v>
      </c>
      <c r="C67" t="s">
        <v>1175</v>
      </c>
      <c r="D67" t="s">
        <v>1176</v>
      </c>
      <c r="E67" t="s">
        <v>843</v>
      </c>
      <c r="F67" t="s">
        <v>844</v>
      </c>
      <c r="G67" t="s">
        <v>164</v>
      </c>
      <c r="H67" t="s">
        <v>165</v>
      </c>
      <c r="I67" t="s">
        <v>34</v>
      </c>
      <c r="J67" t="s">
        <v>166</v>
      </c>
      <c r="K67" t="s">
        <v>41</v>
      </c>
      <c r="L67" t="s">
        <v>1177</v>
      </c>
      <c r="M67" t="s">
        <v>1178</v>
      </c>
      <c r="N67" t="s">
        <v>847</v>
      </c>
      <c r="O67" t="s">
        <v>100</v>
      </c>
      <c r="P67" t="s">
        <v>1179</v>
      </c>
      <c r="Q67" t="s">
        <v>57</v>
      </c>
      <c r="R67" t="s">
        <v>1124</v>
      </c>
      <c r="S67">
        <v>1</v>
      </c>
      <c r="T67">
        <v>5476</v>
      </c>
      <c r="U67">
        <v>0</v>
      </c>
      <c r="V67">
        <v>5476</v>
      </c>
    </row>
    <row r="68" spans="1:22" x14ac:dyDescent="0.3">
      <c r="A68">
        <v>79452</v>
      </c>
      <c r="B68">
        <v>137389663</v>
      </c>
      <c r="C68" t="s">
        <v>1180</v>
      </c>
      <c r="D68" t="s">
        <v>1181</v>
      </c>
      <c r="E68" t="s">
        <v>843</v>
      </c>
      <c r="F68" t="s">
        <v>844</v>
      </c>
      <c r="G68" t="s">
        <v>164</v>
      </c>
      <c r="H68" t="s">
        <v>165</v>
      </c>
      <c r="I68" t="s">
        <v>34</v>
      </c>
      <c r="J68" t="s">
        <v>166</v>
      </c>
      <c r="K68" t="s">
        <v>41</v>
      </c>
      <c r="L68" t="s">
        <v>1182</v>
      </c>
      <c r="M68" t="s">
        <v>1183</v>
      </c>
      <c r="N68" t="s">
        <v>847</v>
      </c>
      <c r="O68" t="s">
        <v>100</v>
      </c>
      <c r="P68" t="s">
        <v>1184</v>
      </c>
      <c r="Q68" t="s">
        <v>49</v>
      </c>
      <c r="R68" t="s">
        <v>884</v>
      </c>
      <c r="S68">
        <v>0.87</v>
      </c>
      <c r="T68">
        <v>3784</v>
      </c>
      <c r="U68">
        <v>0</v>
      </c>
      <c r="V68">
        <v>3784</v>
      </c>
    </row>
    <row r="69" spans="1:22" x14ac:dyDescent="0.3">
      <c r="A69">
        <v>79452</v>
      </c>
      <c r="B69">
        <v>137389651</v>
      </c>
      <c r="C69" t="s">
        <v>1185</v>
      </c>
      <c r="D69" t="s">
        <v>1186</v>
      </c>
      <c r="E69" t="s">
        <v>843</v>
      </c>
      <c r="F69" t="s">
        <v>844</v>
      </c>
      <c r="G69" t="s">
        <v>164</v>
      </c>
      <c r="H69" t="s">
        <v>165</v>
      </c>
      <c r="I69" t="s">
        <v>34</v>
      </c>
      <c r="J69" t="s">
        <v>166</v>
      </c>
      <c r="K69" t="s">
        <v>41</v>
      </c>
      <c r="L69" t="s">
        <v>1187</v>
      </c>
      <c r="M69" t="s">
        <v>1188</v>
      </c>
      <c r="N69" t="s">
        <v>847</v>
      </c>
      <c r="O69" t="s">
        <v>100</v>
      </c>
      <c r="P69" t="s">
        <v>1189</v>
      </c>
      <c r="Q69" t="s">
        <v>206</v>
      </c>
      <c r="R69" t="s">
        <v>884</v>
      </c>
      <c r="S69">
        <v>2.0499999999999998</v>
      </c>
      <c r="T69">
        <v>3753</v>
      </c>
      <c r="U69">
        <v>0</v>
      </c>
      <c r="V69">
        <v>3753</v>
      </c>
    </row>
    <row r="70" spans="1:22" x14ac:dyDescent="0.3">
      <c r="A70">
        <v>79452</v>
      </c>
      <c r="B70">
        <v>137328344</v>
      </c>
      <c r="C70" t="s">
        <v>1190</v>
      </c>
      <c r="D70" t="s">
        <v>1191</v>
      </c>
      <c r="E70" t="s">
        <v>843</v>
      </c>
      <c r="F70" t="s">
        <v>844</v>
      </c>
      <c r="G70" t="s">
        <v>164</v>
      </c>
      <c r="H70" t="s">
        <v>165</v>
      </c>
      <c r="I70" t="s">
        <v>34</v>
      </c>
      <c r="J70" t="s">
        <v>166</v>
      </c>
      <c r="K70" t="s">
        <v>41</v>
      </c>
      <c r="L70" t="s">
        <v>1192</v>
      </c>
      <c r="M70" t="s">
        <v>1193</v>
      </c>
      <c r="N70" t="s">
        <v>847</v>
      </c>
      <c r="O70" t="s">
        <v>100</v>
      </c>
      <c r="P70" t="s">
        <v>1194</v>
      </c>
      <c r="Q70" t="s">
        <v>70</v>
      </c>
      <c r="R70" t="s">
        <v>781</v>
      </c>
      <c r="S70">
        <v>1.1499999999999999</v>
      </c>
      <c r="T70">
        <v>3501</v>
      </c>
      <c r="U70">
        <v>0</v>
      </c>
      <c r="V70">
        <v>3501</v>
      </c>
    </row>
    <row r="71" spans="1:22" x14ac:dyDescent="0.3">
      <c r="A71">
        <v>79452</v>
      </c>
      <c r="B71">
        <v>137389682</v>
      </c>
      <c r="C71" t="s">
        <v>1195</v>
      </c>
      <c r="D71" t="s">
        <v>1196</v>
      </c>
      <c r="E71" t="s">
        <v>843</v>
      </c>
      <c r="F71" t="s">
        <v>844</v>
      </c>
      <c r="G71" t="s">
        <v>164</v>
      </c>
      <c r="H71" t="s">
        <v>165</v>
      </c>
      <c r="I71" t="s">
        <v>34</v>
      </c>
      <c r="J71" t="s">
        <v>166</v>
      </c>
      <c r="K71" t="s">
        <v>46</v>
      </c>
      <c r="L71" t="s">
        <v>281</v>
      </c>
      <c r="M71" t="s">
        <v>1197</v>
      </c>
      <c r="N71" t="s">
        <v>847</v>
      </c>
      <c r="O71" t="s">
        <v>100</v>
      </c>
      <c r="P71" t="s">
        <v>1198</v>
      </c>
      <c r="Q71" t="s">
        <v>83</v>
      </c>
      <c r="R71" t="s">
        <v>884</v>
      </c>
      <c r="S71">
        <v>2.02</v>
      </c>
      <c r="T71">
        <v>3366</v>
      </c>
      <c r="U71">
        <v>0</v>
      </c>
      <c r="V71">
        <v>3366</v>
      </c>
    </row>
    <row r="72" spans="1:22" x14ac:dyDescent="0.3">
      <c r="A72">
        <v>79452</v>
      </c>
      <c r="B72">
        <v>137389631</v>
      </c>
      <c r="C72" t="s">
        <v>1199</v>
      </c>
      <c r="D72" t="s">
        <v>1200</v>
      </c>
      <c r="E72" t="s">
        <v>843</v>
      </c>
      <c r="F72" t="s">
        <v>844</v>
      </c>
      <c r="G72" t="s">
        <v>164</v>
      </c>
      <c r="H72" t="s">
        <v>165</v>
      </c>
      <c r="I72" t="s">
        <v>34</v>
      </c>
      <c r="J72" t="s">
        <v>166</v>
      </c>
      <c r="K72" t="s">
        <v>41</v>
      </c>
      <c r="L72" t="s">
        <v>1201</v>
      </c>
      <c r="M72" t="s">
        <v>1202</v>
      </c>
      <c r="N72" t="s">
        <v>847</v>
      </c>
      <c r="O72" t="s">
        <v>100</v>
      </c>
      <c r="P72" t="s">
        <v>1203</v>
      </c>
      <c r="Q72" t="s">
        <v>83</v>
      </c>
      <c r="R72" t="s">
        <v>855</v>
      </c>
      <c r="S72">
        <v>1.27</v>
      </c>
      <c r="T72">
        <v>3366</v>
      </c>
      <c r="U72">
        <v>0</v>
      </c>
      <c r="V72">
        <v>3366</v>
      </c>
    </row>
    <row r="73" spans="1:22" x14ac:dyDescent="0.3">
      <c r="A73">
        <v>79452</v>
      </c>
      <c r="B73">
        <v>137358400</v>
      </c>
      <c r="C73" t="s">
        <v>1204</v>
      </c>
      <c r="D73" t="s">
        <v>1205</v>
      </c>
      <c r="E73" t="s">
        <v>843</v>
      </c>
      <c r="F73" t="s">
        <v>844</v>
      </c>
      <c r="G73" t="s">
        <v>164</v>
      </c>
      <c r="H73" t="s">
        <v>165</v>
      </c>
      <c r="I73" t="s">
        <v>34</v>
      </c>
      <c r="J73" t="s">
        <v>166</v>
      </c>
      <c r="K73" t="s">
        <v>41</v>
      </c>
      <c r="L73" t="s">
        <v>1206</v>
      </c>
      <c r="M73" t="s">
        <v>1207</v>
      </c>
      <c r="N73" t="s">
        <v>847</v>
      </c>
      <c r="O73" t="s">
        <v>100</v>
      </c>
      <c r="P73" t="s">
        <v>1208</v>
      </c>
      <c r="Q73" t="s">
        <v>196</v>
      </c>
      <c r="R73" t="s">
        <v>872</v>
      </c>
      <c r="S73">
        <v>1.1299999999999999</v>
      </c>
      <c r="T73">
        <v>4067</v>
      </c>
      <c r="U73">
        <v>0</v>
      </c>
      <c r="V73">
        <v>4067</v>
      </c>
    </row>
    <row r="74" spans="1:22" x14ac:dyDescent="0.3">
      <c r="A74">
        <v>79452</v>
      </c>
      <c r="B74">
        <v>137389664</v>
      </c>
      <c r="C74" t="s">
        <v>1209</v>
      </c>
      <c r="D74" t="s">
        <v>1210</v>
      </c>
      <c r="E74" t="s">
        <v>843</v>
      </c>
      <c r="F74" t="s">
        <v>844</v>
      </c>
      <c r="G74" t="s">
        <v>164</v>
      </c>
      <c r="H74" t="s">
        <v>165</v>
      </c>
      <c r="I74" t="s">
        <v>34</v>
      </c>
      <c r="J74" t="s">
        <v>166</v>
      </c>
      <c r="K74" t="s">
        <v>41</v>
      </c>
      <c r="L74" t="s">
        <v>1211</v>
      </c>
      <c r="M74" t="s">
        <v>1212</v>
      </c>
      <c r="N74" t="s">
        <v>847</v>
      </c>
      <c r="O74" t="s">
        <v>100</v>
      </c>
      <c r="P74" t="s">
        <v>1213</v>
      </c>
      <c r="Q74" t="s">
        <v>72</v>
      </c>
      <c r="R74" t="s">
        <v>884</v>
      </c>
      <c r="S74">
        <v>0.69</v>
      </c>
      <c r="T74">
        <v>3784</v>
      </c>
      <c r="U74">
        <v>0</v>
      </c>
      <c r="V74">
        <v>3784</v>
      </c>
    </row>
    <row r="75" spans="1:22" x14ac:dyDescent="0.3">
      <c r="A75">
        <v>79452</v>
      </c>
      <c r="B75">
        <v>137328311</v>
      </c>
      <c r="C75" t="s">
        <v>1214</v>
      </c>
      <c r="D75" t="s">
        <v>1215</v>
      </c>
      <c r="E75" t="s">
        <v>843</v>
      </c>
      <c r="F75" t="s">
        <v>844</v>
      </c>
      <c r="G75" t="s">
        <v>164</v>
      </c>
      <c r="H75" t="s">
        <v>165</v>
      </c>
      <c r="I75" t="s">
        <v>34</v>
      </c>
      <c r="J75" t="s">
        <v>166</v>
      </c>
      <c r="K75" t="s">
        <v>41</v>
      </c>
      <c r="L75" t="s">
        <v>1216</v>
      </c>
      <c r="M75" t="s">
        <v>1217</v>
      </c>
      <c r="N75" t="s">
        <v>847</v>
      </c>
      <c r="O75" t="s">
        <v>100</v>
      </c>
      <c r="P75" t="s">
        <v>1218</v>
      </c>
      <c r="Q75" t="s">
        <v>63</v>
      </c>
      <c r="R75" t="s">
        <v>781</v>
      </c>
      <c r="S75">
        <v>1.4</v>
      </c>
      <c r="T75">
        <v>4067</v>
      </c>
      <c r="U75">
        <v>0</v>
      </c>
      <c r="V75">
        <v>4067</v>
      </c>
    </row>
    <row r="76" spans="1:22" x14ac:dyDescent="0.3">
      <c r="A76">
        <v>79452</v>
      </c>
      <c r="B76">
        <v>136756160</v>
      </c>
      <c r="C76" t="s">
        <v>1219</v>
      </c>
      <c r="D76" t="s">
        <v>1220</v>
      </c>
      <c r="E76" t="s">
        <v>843</v>
      </c>
      <c r="F76" t="s">
        <v>844</v>
      </c>
      <c r="G76" t="s">
        <v>164</v>
      </c>
      <c r="H76" t="s">
        <v>165</v>
      </c>
      <c r="I76" t="s">
        <v>34</v>
      </c>
      <c r="J76" t="s">
        <v>166</v>
      </c>
      <c r="K76" t="s">
        <v>41</v>
      </c>
      <c r="L76" t="s">
        <v>1221</v>
      </c>
      <c r="M76" t="s">
        <v>1222</v>
      </c>
      <c r="N76" t="s">
        <v>847</v>
      </c>
      <c r="O76" t="s">
        <v>100</v>
      </c>
      <c r="P76" t="s">
        <v>1223</v>
      </c>
      <c r="Q76" t="s">
        <v>246</v>
      </c>
      <c r="R76" t="s">
        <v>782</v>
      </c>
      <c r="S76">
        <v>1.1499999999999999</v>
      </c>
      <c r="T76">
        <v>5759</v>
      </c>
      <c r="U76">
        <v>0</v>
      </c>
      <c r="V76">
        <v>5759</v>
      </c>
    </row>
    <row r="77" spans="1:22" x14ac:dyDescent="0.3">
      <c r="A77">
        <v>79452</v>
      </c>
      <c r="B77">
        <v>137358448</v>
      </c>
      <c r="C77" t="s">
        <v>1224</v>
      </c>
      <c r="D77" t="s">
        <v>1225</v>
      </c>
      <c r="E77" t="s">
        <v>843</v>
      </c>
      <c r="F77" t="s">
        <v>844</v>
      </c>
      <c r="G77" t="s">
        <v>164</v>
      </c>
      <c r="H77" t="s">
        <v>165</v>
      </c>
      <c r="I77" t="s">
        <v>34</v>
      </c>
      <c r="J77" t="s">
        <v>166</v>
      </c>
      <c r="K77" t="s">
        <v>41</v>
      </c>
      <c r="L77" t="s">
        <v>1226</v>
      </c>
      <c r="M77" t="s">
        <v>1227</v>
      </c>
      <c r="N77" t="s">
        <v>847</v>
      </c>
      <c r="O77" t="s">
        <v>100</v>
      </c>
      <c r="P77" t="s">
        <v>1228</v>
      </c>
      <c r="Q77" t="s">
        <v>190</v>
      </c>
      <c r="R77" t="s">
        <v>872</v>
      </c>
      <c r="S77">
        <v>1.1399999999999999</v>
      </c>
      <c r="T77">
        <v>3366</v>
      </c>
      <c r="U77">
        <v>0</v>
      </c>
      <c r="V77">
        <v>3366</v>
      </c>
    </row>
    <row r="78" spans="1:22" x14ac:dyDescent="0.3">
      <c r="A78">
        <v>79452</v>
      </c>
      <c r="B78">
        <v>137389628</v>
      </c>
      <c r="C78" t="s">
        <v>1229</v>
      </c>
      <c r="D78" t="s">
        <v>1230</v>
      </c>
      <c r="E78" t="s">
        <v>843</v>
      </c>
      <c r="F78" t="s">
        <v>844</v>
      </c>
      <c r="G78" t="s">
        <v>164</v>
      </c>
      <c r="H78" t="s">
        <v>165</v>
      </c>
      <c r="I78" t="s">
        <v>34</v>
      </c>
      <c r="J78" t="s">
        <v>166</v>
      </c>
      <c r="K78" t="s">
        <v>41</v>
      </c>
      <c r="L78" t="s">
        <v>1231</v>
      </c>
      <c r="M78" t="s">
        <v>1232</v>
      </c>
      <c r="N78" t="s">
        <v>847</v>
      </c>
      <c r="O78" t="s">
        <v>100</v>
      </c>
      <c r="P78" t="s">
        <v>1233</v>
      </c>
      <c r="Q78" t="s">
        <v>68</v>
      </c>
      <c r="R78" t="s">
        <v>855</v>
      </c>
      <c r="S78">
        <v>0.83</v>
      </c>
      <c r="T78">
        <v>3753</v>
      </c>
      <c r="U78">
        <v>0</v>
      </c>
      <c r="V78">
        <v>3753</v>
      </c>
    </row>
    <row r="79" spans="1:22" x14ac:dyDescent="0.3">
      <c r="A79">
        <v>79452</v>
      </c>
      <c r="B79">
        <v>137389637</v>
      </c>
      <c r="C79" t="s">
        <v>1234</v>
      </c>
      <c r="D79" t="s">
        <v>1235</v>
      </c>
      <c r="E79" t="s">
        <v>843</v>
      </c>
      <c r="F79" t="s">
        <v>844</v>
      </c>
      <c r="G79" t="s">
        <v>164</v>
      </c>
      <c r="H79" t="s">
        <v>165</v>
      </c>
      <c r="I79" t="s">
        <v>34</v>
      </c>
      <c r="J79" t="s">
        <v>166</v>
      </c>
      <c r="K79" t="s">
        <v>41</v>
      </c>
      <c r="L79" t="s">
        <v>1236</v>
      </c>
      <c r="M79" t="s">
        <v>1237</v>
      </c>
      <c r="N79" t="s">
        <v>847</v>
      </c>
      <c r="O79" t="s">
        <v>100</v>
      </c>
      <c r="P79" t="s">
        <v>1238</v>
      </c>
      <c r="Q79" t="s">
        <v>85</v>
      </c>
      <c r="R79" t="s">
        <v>855</v>
      </c>
      <c r="S79">
        <v>1.1499999999999999</v>
      </c>
      <c r="T79">
        <v>3366</v>
      </c>
      <c r="U79">
        <v>0</v>
      </c>
      <c r="V79">
        <v>3366</v>
      </c>
    </row>
    <row r="80" spans="1:22" x14ac:dyDescent="0.3">
      <c r="A80">
        <v>79452</v>
      </c>
      <c r="B80">
        <v>137358422</v>
      </c>
      <c r="C80" t="s">
        <v>1239</v>
      </c>
      <c r="D80" t="s">
        <v>1240</v>
      </c>
      <c r="E80" t="s">
        <v>843</v>
      </c>
      <c r="F80" t="s">
        <v>844</v>
      </c>
      <c r="G80" t="s">
        <v>164</v>
      </c>
      <c r="H80" t="s">
        <v>165</v>
      </c>
      <c r="I80" t="s">
        <v>34</v>
      </c>
      <c r="J80" t="s">
        <v>166</v>
      </c>
      <c r="K80" t="s">
        <v>44</v>
      </c>
      <c r="L80" t="s">
        <v>188</v>
      </c>
      <c r="M80" t="s">
        <v>1241</v>
      </c>
      <c r="N80" t="s">
        <v>847</v>
      </c>
      <c r="O80" t="s">
        <v>100</v>
      </c>
      <c r="P80" t="s">
        <v>1242</v>
      </c>
      <c r="Q80" t="s">
        <v>92</v>
      </c>
      <c r="R80" t="s">
        <v>872</v>
      </c>
      <c r="S80">
        <v>1.21</v>
      </c>
      <c r="T80">
        <v>3366</v>
      </c>
      <c r="U80">
        <v>0</v>
      </c>
      <c r="V80">
        <v>3366</v>
      </c>
    </row>
    <row r="81" spans="1:22" x14ac:dyDescent="0.3">
      <c r="A81">
        <v>79452</v>
      </c>
      <c r="B81">
        <v>137289739</v>
      </c>
      <c r="C81" t="s">
        <v>1243</v>
      </c>
      <c r="D81" t="s">
        <v>1244</v>
      </c>
      <c r="E81" t="s">
        <v>843</v>
      </c>
      <c r="F81" t="s">
        <v>844</v>
      </c>
      <c r="G81" t="s">
        <v>164</v>
      </c>
      <c r="H81" t="s">
        <v>165</v>
      </c>
      <c r="I81" t="s">
        <v>34</v>
      </c>
      <c r="J81" t="s">
        <v>166</v>
      </c>
      <c r="K81" t="s">
        <v>41</v>
      </c>
      <c r="L81" t="s">
        <v>375</v>
      </c>
      <c r="M81" t="s">
        <v>638</v>
      </c>
      <c r="N81" t="s">
        <v>847</v>
      </c>
      <c r="O81" t="s">
        <v>100</v>
      </c>
      <c r="P81" t="s">
        <v>1245</v>
      </c>
      <c r="Q81" t="s">
        <v>58</v>
      </c>
      <c r="R81" t="s">
        <v>900</v>
      </c>
      <c r="S81">
        <v>0.98</v>
      </c>
      <c r="T81">
        <v>5759</v>
      </c>
      <c r="U81">
        <v>0</v>
      </c>
      <c r="V81">
        <v>5759</v>
      </c>
    </row>
    <row r="82" spans="1:22" x14ac:dyDescent="0.3">
      <c r="A82">
        <v>79452</v>
      </c>
      <c r="B82">
        <v>137168489</v>
      </c>
      <c r="C82" t="s">
        <v>1246</v>
      </c>
      <c r="D82" t="s">
        <v>1247</v>
      </c>
      <c r="E82" t="s">
        <v>843</v>
      </c>
      <c r="F82" t="s">
        <v>844</v>
      </c>
      <c r="G82" t="s">
        <v>164</v>
      </c>
      <c r="H82" t="s">
        <v>165</v>
      </c>
      <c r="I82" t="s">
        <v>34</v>
      </c>
      <c r="J82" t="s">
        <v>166</v>
      </c>
      <c r="K82" t="s">
        <v>41</v>
      </c>
      <c r="L82" t="s">
        <v>1248</v>
      </c>
      <c r="M82" t="s">
        <v>1249</v>
      </c>
      <c r="N82" t="s">
        <v>847</v>
      </c>
      <c r="O82" t="s">
        <v>100</v>
      </c>
      <c r="P82" t="s">
        <v>1250</v>
      </c>
      <c r="Q82" t="s">
        <v>118</v>
      </c>
      <c r="R82" t="s">
        <v>966</v>
      </c>
      <c r="S82">
        <v>1</v>
      </c>
      <c r="T82">
        <v>4346</v>
      </c>
      <c r="U82">
        <v>0</v>
      </c>
      <c r="V82">
        <v>4346</v>
      </c>
    </row>
    <row r="83" spans="1:22" x14ac:dyDescent="0.3">
      <c r="A83">
        <v>79452</v>
      </c>
      <c r="B83">
        <v>136634991</v>
      </c>
      <c r="C83" t="s">
        <v>1251</v>
      </c>
      <c r="D83" t="s">
        <v>1252</v>
      </c>
      <c r="E83" t="s">
        <v>843</v>
      </c>
      <c r="F83" t="s">
        <v>844</v>
      </c>
      <c r="G83" t="s">
        <v>164</v>
      </c>
      <c r="H83" t="s">
        <v>165</v>
      </c>
      <c r="I83" t="s">
        <v>34</v>
      </c>
      <c r="J83" t="s">
        <v>166</v>
      </c>
      <c r="K83" t="s">
        <v>41</v>
      </c>
      <c r="L83" t="s">
        <v>1253</v>
      </c>
      <c r="M83" t="s">
        <v>236</v>
      </c>
      <c r="N83" t="s">
        <v>847</v>
      </c>
      <c r="O83" t="s">
        <v>100</v>
      </c>
      <c r="P83" t="s">
        <v>1254</v>
      </c>
      <c r="Q83" t="s">
        <v>52</v>
      </c>
      <c r="R83" t="s">
        <v>475</v>
      </c>
      <c r="S83">
        <v>2.0099999999999998</v>
      </c>
      <c r="T83">
        <v>5759</v>
      </c>
      <c r="U83">
        <v>0</v>
      </c>
      <c r="V83">
        <v>5759</v>
      </c>
    </row>
    <row r="84" spans="1:22" x14ac:dyDescent="0.3">
      <c r="A84">
        <v>79452</v>
      </c>
      <c r="B84">
        <v>137289677</v>
      </c>
      <c r="C84" t="s">
        <v>1255</v>
      </c>
      <c r="D84" t="s">
        <v>1256</v>
      </c>
      <c r="E84" t="s">
        <v>843</v>
      </c>
      <c r="F84" t="s">
        <v>844</v>
      </c>
      <c r="G84" t="s">
        <v>164</v>
      </c>
      <c r="H84" t="s">
        <v>165</v>
      </c>
      <c r="I84" t="s">
        <v>34</v>
      </c>
      <c r="J84" t="s">
        <v>166</v>
      </c>
      <c r="K84" t="s">
        <v>41</v>
      </c>
      <c r="L84" t="s">
        <v>438</v>
      </c>
      <c r="M84" t="s">
        <v>1257</v>
      </c>
      <c r="N84" t="s">
        <v>847</v>
      </c>
      <c r="O84" t="s">
        <v>100</v>
      </c>
      <c r="P84" t="s">
        <v>1258</v>
      </c>
      <c r="Q84" t="s">
        <v>69</v>
      </c>
      <c r="R84" t="s">
        <v>1161</v>
      </c>
      <c r="S84">
        <v>0.74</v>
      </c>
      <c r="T84">
        <v>3753</v>
      </c>
      <c r="U84">
        <v>0</v>
      </c>
      <c r="V84">
        <v>3753</v>
      </c>
    </row>
    <row r="85" spans="1:22" x14ac:dyDescent="0.3">
      <c r="A85">
        <v>79452</v>
      </c>
      <c r="B85">
        <v>136997092</v>
      </c>
      <c r="C85" t="s">
        <v>1259</v>
      </c>
      <c r="D85" t="s">
        <v>1260</v>
      </c>
      <c r="E85" t="s">
        <v>843</v>
      </c>
      <c r="F85" t="s">
        <v>844</v>
      </c>
      <c r="G85" t="s">
        <v>164</v>
      </c>
      <c r="H85" t="s">
        <v>165</v>
      </c>
      <c r="I85" t="s">
        <v>34</v>
      </c>
      <c r="J85" t="s">
        <v>166</v>
      </c>
      <c r="K85" t="s">
        <v>41</v>
      </c>
      <c r="L85" t="s">
        <v>1261</v>
      </c>
      <c r="M85" t="s">
        <v>1262</v>
      </c>
      <c r="N85" t="s">
        <v>847</v>
      </c>
      <c r="O85" t="s">
        <v>100</v>
      </c>
      <c r="P85" t="s">
        <v>1263</v>
      </c>
      <c r="Q85" t="s">
        <v>58</v>
      </c>
      <c r="R85" t="s">
        <v>1141</v>
      </c>
      <c r="S85">
        <v>0.66</v>
      </c>
      <c r="T85">
        <v>5759</v>
      </c>
      <c r="U85">
        <v>0</v>
      </c>
      <c r="V85">
        <v>5759</v>
      </c>
    </row>
    <row r="86" spans="1:22" x14ac:dyDescent="0.3">
      <c r="A86">
        <v>79452</v>
      </c>
      <c r="B86">
        <v>137289686</v>
      </c>
      <c r="C86" t="s">
        <v>1264</v>
      </c>
      <c r="D86" t="s">
        <v>1265</v>
      </c>
      <c r="E86" t="s">
        <v>843</v>
      </c>
      <c r="F86" t="s">
        <v>844</v>
      </c>
      <c r="G86" t="s">
        <v>164</v>
      </c>
      <c r="H86" t="s">
        <v>165</v>
      </c>
      <c r="I86" t="s">
        <v>34</v>
      </c>
      <c r="J86" t="s">
        <v>166</v>
      </c>
      <c r="K86" t="s">
        <v>41</v>
      </c>
      <c r="L86" t="s">
        <v>1266</v>
      </c>
      <c r="M86" t="s">
        <v>1267</v>
      </c>
      <c r="N86" t="s">
        <v>847</v>
      </c>
      <c r="O86" t="s">
        <v>100</v>
      </c>
      <c r="P86" t="s">
        <v>1268</v>
      </c>
      <c r="Q86" t="s">
        <v>71</v>
      </c>
      <c r="R86" t="s">
        <v>1161</v>
      </c>
      <c r="S86">
        <v>1.44</v>
      </c>
      <c r="T86">
        <v>3501</v>
      </c>
      <c r="U86">
        <v>0</v>
      </c>
      <c r="V86">
        <v>3501</v>
      </c>
    </row>
    <row r="87" spans="1:22" x14ac:dyDescent="0.3">
      <c r="A87">
        <v>79452</v>
      </c>
      <c r="B87">
        <v>137252129</v>
      </c>
      <c r="C87" t="s">
        <v>1269</v>
      </c>
      <c r="D87" t="s">
        <v>1270</v>
      </c>
      <c r="E87" t="s">
        <v>843</v>
      </c>
      <c r="F87" t="s">
        <v>844</v>
      </c>
      <c r="G87" t="s">
        <v>164</v>
      </c>
      <c r="H87" t="s">
        <v>165</v>
      </c>
      <c r="I87" t="s">
        <v>34</v>
      </c>
      <c r="J87" t="s">
        <v>166</v>
      </c>
      <c r="K87" t="s">
        <v>41</v>
      </c>
      <c r="L87" t="s">
        <v>1271</v>
      </c>
      <c r="M87" t="s">
        <v>1272</v>
      </c>
      <c r="N87" t="s">
        <v>847</v>
      </c>
      <c r="O87" t="s">
        <v>100</v>
      </c>
      <c r="P87" t="s">
        <v>1273</v>
      </c>
      <c r="Q87" t="s">
        <v>80</v>
      </c>
      <c r="R87" t="s">
        <v>1124</v>
      </c>
      <c r="S87">
        <v>1.02</v>
      </c>
      <c r="T87">
        <v>3753</v>
      </c>
      <c r="U87">
        <v>0</v>
      </c>
      <c r="V87">
        <v>3753</v>
      </c>
    </row>
    <row r="88" spans="1:22" x14ac:dyDescent="0.3">
      <c r="A88">
        <v>79452</v>
      </c>
      <c r="B88">
        <v>137203679</v>
      </c>
      <c r="C88" t="s">
        <v>1274</v>
      </c>
      <c r="D88" t="s">
        <v>1275</v>
      </c>
      <c r="E88" t="s">
        <v>843</v>
      </c>
      <c r="F88" t="s">
        <v>844</v>
      </c>
      <c r="G88" t="s">
        <v>164</v>
      </c>
      <c r="H88" t="s">
        <v>165</v>
      </c>
      <c r="I88" t="s">
        <v>34</v>
      </c>
      <c r="J88" t="s">
        <v>166</v>
      </c>
      <c r="K88" t="s">
        <v>41</v>
      </c>
      <c r="L88" t="s">
        <v>543</v>
      </c>
      <c r="M88" t="s">
        <v>1276</v>
      </c>
      <c r="N88" t="s">
        <v>847</v>
      </c>
      <c r="O88" t="s">
        <v>100</v>
      </c>
      <c r="P88" t="s">
        <v>1277</v>
      </c>
      <c r="Q88" t="s">
        <v>57</v>
      </c>
      <c r="R88" t="s">
        <v>449</v>
      </c>
      <c r="S88">
        <v>2.2999999999999998</v>
      </c>
      <c r="T88">
        <v>5476</v>
      </c>
      <c r="U88">
        <v>0</v>
      </c>
      <c r="V88">
        <v>5476</v>
      </c>
    </row>
    <row r="89" spans="1:22" x14ac:dyDescent="0.3">
      <c r="A89">
        <v>79452</v>
      </c>
      <c r="B89">
        <v>137289725</v>
      </c>
      <c r="C89" t="s">
        <v>1278</v>
      </c>
      <c r="D89" t="s">
        <v>1279</v>
      </c>
      <c r="E89" t="s">
        <v>843</v>
      </c>
      <c r="F89" t="s">
        <v>844</v>
      </c>
      <c r="G89" t="s">
        <v>164</v>
      </c>
      <c r="H89" t="s">
        <v>165</v>
      </c>
      <c r="I89" t="s">
        <v>34</v>
      </c>
      <c r="J89" t="s">
        <v>166</v>
      </c>
      <c r="K89" t="s">
        <v>41</v>
      </c>
      <c r="L89" t="s">
        <v>1280</v>
      </c>
      <c r="M89" t="s">
        <v>1281</v>
      </c>
      <c r="N89" t="s">
        <v>847</v>
      </c>
      <c r="O89" t="s">
        <v>100</v>
      </c>
      <c r="P89" t="s">
        <v>1282</v>
      </c>
      <c r="Q89" t="s">
        <v>71</v>
      </c>
      <c r="R89" t="s">
        <v>900</v>
      </c>
      <c r="S89">
        <v>1.08</v>
      </c>
      <c r="T89">
        <v>3501</v>
      </c>
      <c r="U89">
        <v>0</v>
      </c>
      <c r="V89">
        <v>3501</v>
      </c>
    </row>
    <row r="90" spans="1:22" x14ac:dyDescent="0.3">
      <c r="A90">
        <v>79452</v>
      </c>
      <c r="B90">
        <v>137168443</v>
      </c>
      <c r="C90" t="s">
        <v>1283</v>
      </c>
      <c r="D90" t="s">
        <v>1284</v>
      </c>
      <c r="E90" t="s">
        <v>843</v>
      </c>
      <c r="F90" t="s">
        <v>844</v>
      </c>
      <c r="G90" t="s">
        <v>164</v>
      </c>
      <c r="H90" t="s">
        <v>165</v>
      </c>
      <c r="I90" t="s">
        <v>34</v>
      </c>
      <c r="J90" t="s">
        <v>166</v>
      </c>
      <c r="K90" t="s">
        <v>41</v>
      </c>
      <c r="L90" t="s">
        <v>1285</v>
      </c>
      <c r="M90" t="s">
        <v>1286</v>
      </c>
      <c r="N90" t="s">
        <v>847</v>
      </c>
      <c r="O90" t="s">
        <v>100</v>
      </c>
      <c r="P90" t="s">
        <v>1287</v>
      </c>
      <c r="Q90" t="s">
        <v>65</v>
      </c>
      <c r="R90" t="s">
        <v>966</v>
      </c>
      <c r="S90">
        <v>1</v>
      </c>
      <c r="T90">
        <v>4067</v>
      </c>
      <c r="U90">
        <v>0</v>
      </c>
      <c r="V90">
        <v>4067</v>
      </c>
    </row>
    <row r="91" spans="1:22" x14ac:dyDescent="0.3">
      <c r="A91">
        <v>79452</v>
      </c>
      <c r="B91">
        <v>137328336</v>
      </c>
      <c r="C91" t="s">
        <v>1288</v>
      </c>
      <c r="D91" t="s">
        <v>1289</v>
      </c>
      <c r="E91" t="s">
        <v>843</v>
      </c>
      <c r="F91" t="s">
        <v>844</v>
      </c>
      <c r="G91" t="s">
        <v>164</v>
      </c>
      <c r="H91" t="s">
        <v>165</v>
      </c>
      <c r="I91" t="s">
        <v>34</v>
      </c>
      <c r="J91" t="s">
        <v>166</v>
      </c>
      <c r="K91" t="s">
        <v>41</v>
      </c>
      <c r="L91" t="s">
        <v>1290</v>
      </c>
      <c r="M91" t="s">
        <v>1291</v>
      </c>
      <c r="N91" t="s">
        <v>847</v>
      </c>
      <c r="O91" t="s">
        <v>100</v>
      </c>
      <c r="P91" t="s">
        <v>1292</v>
      </c>
      <c r="Q91" t="s">
        <v>57</v>
      </c>
      <c r="R91" t="s">
        <v>781</v>
      </c>
      <c r="S91">
        <v>1.1200000000000001</v>
      </c>
      <c r="T91">
        <v>5476</v>
      </c>
      <c r="U91">
        <v>0</v>
      </c>
      <c r="V91">
        <v>5476</v>
      </c>
    </row>
    <row r="92" spans="1:22" x14ac:dyDescent="0.3">
      <c r="A92">
        <v>79452</v>
      </c>
      <c r="B92">
        <v>137328295</v>
      </c>
      <c r="C92" t="s">
        <v>1293</v>
      </c>
      <c r="D92" t="s">
        <v>1294</v>
      </c>
      <c r="E92" t="s">
        <v>843</v>
      </c>
      <c r="F92" t="s">
        <v>844</v>
      </c>
      <c r="G92" t="s">
        <v>164</v>
      </c>
      <c r="H92" t="s">
        <v>165</v>
      </c>
      <c r="I92" t="s">
        <v>34</v>
      </c>
      <c r="J92" t="s">
        <v>166</v>
      </c>
      <c r="K92" t="s">
        <v>41</v>
      </c>
      <c r="L92" t="s">
        <v>1295</v>
      </c>
      <c r="M92" t="s">
        <v>1296</v>
      </c>
      <c r="N92" t="s">
        <v>847</v>
      </c>
      <c r="O92" t="s">
        <v>100</v>
      </c>
      <c r="P92" t="s">
        <v>1297</v>
      </c>
      <c r="Q92" t="s">
        <v>54</v>
      </c>
      <c r="R92" t="s">
        <v>781</v>
      </c>
      <c r="S92">
        <v>1.1599999999999999</v>
      </c>
      <c r="T92">
        <v>5759</v>
      </c>
      <c r="U92">
        <v>0</v>
      </c>
      <c r="V92">
        <v>5759</v>
      </c>
    </row>
    <row r="93" spans="1:22" x14ac:dyDescent="0.3">
      <c r="A93">
        <v>79452</v>
      </c>
      <c r="B93">
        <v>137289735</v>
      </c>
      <c r="C93" t="s">
        <v>1298</v>
      </c>
      <c r="D93" t="s">
        <v>1299</v>
      </c>
      <c r="E93" t="s">
        <v>843</v>
      </c>
      <c r="F93" t="s">
        <v>844</v>
      </c>
      <c r="G93" t="s">
        <v>164</v>
      </c>
      <c r="H93" t="s">
        <v>165</v>
      </c>
      <c r="I93" t="s">
        <v>34</v>
      </c>
      <c r="J93" t="s">
        <v>166</v>
      </c>
      <c r="K93" t="s">
        <v>41</v>
      </c>
      <c r="L93" t="s">
        <v>1300</v>
      </c>
      <c r="M93" t="s">
        <v>1301</v>
      </c>
      <c r="N93" t="s">
        <v>847</v>
      </c>
      <c r="O93" t="s">
        <v>100</v>
      </c>
      <c r="P93" t="s">
        <v>1302</v>
      </c>
      <c r="Q93" t="s">
        <v>137</v>
      </c>
      <c r="R93" t="s">
        <v>900</v>
      </c>
      <c r="S93">
        <v>1.32</v>
      </c>
      <c r="T93">
        <v>4693</v>
      </c>
      <c r="U93">
        <v>0</v>
      </c>
      <c r="V93">
        <v>4693</v>
      </c>
    </row>
    <row r="94" spans="1:22" x14ac:dyDescent="0.3">
      <c r="A94">
        <v>79452</v>
      </c>
      <c r="B94">
        <v>137252144</v>
      </c>
      <c r="C94" t="s">
        <v>1303</v>
      </c>
      <c r="D94" t="s">
        <v>1304</v>
      </c>
      <c r="E94" t="s">
        <v>843</v>
      </c>
      <c r="F94" t="s">
        <v>844</v>
      </c>
      <c r="G94" t="s">
        <v>164</v>
      </c>
      <c r="H94" t="s">
        <v>165</v>
      </c>
      <c r="I94" t="s">
        <v>34</v>
      </c>
      <c r="J94" t="s">
        <v>166</v>
      </c>
      <c r="K94" t="s">
        <v>41</v>
      </c>
      <c r="L94" t="s">
        <v>1305</v>
      </c>
      <c r="M94" t="s">
        <v>1306</v>
      </c>
      <c r="N94" t="s">
        <v>847</v>
      </c>
      <c r="O94" t="s">
        <v>100</v>
      </c>
      <c r="P94" t="s">
        <v>1307</v>
      </c>
      <c r="Q94" t="s">
        <v>65</v>
      </c>
      <c r="R94" t="s">
        <v>1124</v>
      </c>
      <c r="S94">
        <v>1.08</v>
      </c>
      <c r="T94">
        <v>4067</v>
      </c>
      <c r="U94">
        <v>0</v>
      </c>
      <c r="V94">
        <v>4067</v>
      </c>
    </row>
    <row r="95" spans="1:22" x14ac:dyDescent="0.3">
      <c r="A95">
        <v>79452</v>
      </c>
      <c r="B95">
        <v>137289716</v>
      </c>
      <c r="C95" t="s">
        <v>1308</v>
      </c>
      <c r="D95" t="s">
        <v>1309</v>
      </c>
      <c r="E95" t="s">
        <v>843</v>
      </c>
      <c r="F95" t="s">
        <v>844</v>
      </c>
      <c r="G95" t="s">
        <v>164</v>
      </c>
      <c r="H95" t="s">
        <v>165</v>
      </c>
      <c r="I95" t="s">
        <v>34</v>
      </c>
      <c r="J95" t="s">
        <v>166</v>
      </c>
      <c r="K95" t="s">
        <v>41</v>
      </c>
      <c r="L95" t="s">
        <v>1310</v>
      </c>
      <c r="M95" t="s">
        <v>1311</v>
      </c>
      <c r="N95" t="s">
        <v>847</v>
      </c>
      <c r="O95" t="s">
        <v>100</v>
      </c>
      <c r="P95" t="s">
        <v>1312</v>
      </c>
      <c r="Q95" t="s">
        <v>93</v>
      </c>
      <c r="R95" t="s">
        <v>900</v>
      </c>
      <c r="S95">
        <v>1.36</v>
      </c>
      <c r="T95">
        <v>3366</v>
      </c>
      <c r="U95">
        <v>0</v>
      </c>
      <c r="V95">
        <v>3366</v>
      </c>
    </row>
    <row r="96" spans="1:22" x14ac:dyDescent="0.3">
      <c r="A96">
        <v>79452</v>
      </c>
      <c r="B96">
        <v>137289792</v>
      </c>
      <c r="C96" t="s">
        <v>1313</v>
      </c>
      <c r="D96" t="s">
        <v>1314</v>
      </c>
      <c r="E96" t="s">
        <v>843</v>
      </c>
      <c r="F96" t="s">
        <v>844</v>
      </c>
      <c r="G96" t="s">
        <v>164</v>
      </c>
      <c r="H96" t="s">
        <v>165</v>
      </c>
      <c r="I96" t="s">
        <v>34</v>
      </c>
      <c r="J96" t="s">
        <v>166</v>
      </c>
      <c r="K96" t="s">
        <v>41</v>
      </c>
      <c r="L96" t="s">
        <v>1315</v>
      </c>
      <c r="M96" t="s">
        <v>1316</v>
      </c>
      <c r="N96" t="s">
        <v>847</v>
      </c>
      <c r="O96" t="s">
        <v>100</v>
      </c>
      <c r="P96" t="s">
        <v>1317</v>
      </c>
      <c r="Q96" t="s">
        <v>71</v>
      </c>
      <c r="R96" t="s">
        <v>900</v>
      </c>
      <c r="S96">
        <v>1.0900000000000001</v>
      </c>
      <c r="T96">
        <v>3501</v>
      </c>
      <c r="U96">
        <v>0</v>
      </c>
      <c r="V96">
        <v>3501</v>
      </c>
    </row>
    <row r="97" spans="1:22" x14ac:dyDescent="0.3">
      <c r="A97">
        <v>79452</v>
      </c>
      <c r="B97">
        <v>137203691</v>
      </c>
      <c r="C97" t="s">
        <v>1318</v>
      </c>
      <c r="D97" t="s">
        <v>1319</v>
      </c>
      <c r="E97" t="s">
        <v>843</v>
      </c>
      <c r="F97" t="s">
        <v>844</v>
      </c>
      <c r="G97" t="s">
        <v>164</v>
      </c>
      <c r="H97" t="s">
        <v>165</v>
      </c>
      <c r="I97" t="s">
        <v>34</v>
      </c>
      <c r="J97" t="s">
        <v>166</v>
      </c>
      <c r="K97" t="s">
        <v>41</v>
      </c>
      <c r="L97" t="s">
        <v>1320</v>
      </c>
      <c r="M97" t="s">
        <v>1321</v>
      </c>
      <c r="N97" t="s">
        <v>847</v>
      </c>
      <c r="O97" t="s">
        <v>100</v>
      </c>
      <c r="P97" t="s">
        <v>1322</v>
      </c>
      <c r="Q97" t="s">
        <v>361</v>
      </c>
      <c r="R97" t="s">
        <v>547</v>
      </c>
      <c r="S97">
        <v>2.11</v>
      </c>
      <c r="T97">
        <v>4730</v>
      </c>
      <c r="U97">
        <v>0</v>
      </c>
      <c r="V97">
        <v>4730</v>
      </c>
    </row>
    <row r="98" spans="1:22" x14ac:dyDescent="0.3">
      <c r="A98">
        <v>79452</v>
      </c>
      <c r="B98">
        <v>137121391</v>
      </c>
      <c r="C98" t="s">
        <v>1323</v>
      </c>
      <c r="D98" t="s">
        <v>1324</v>
      </c>
      <c r="E98" t="s">
        <v>843</v>
      </c>
      <c r="F98" t="s">
        <v>844</v>
      </c>
      <c r="G98" t="s">
        <v>164</v>
      </c>
      <c r="H98" t="s">
        <v>165</v>
      </c>
      <c r="I98" t="s">
        <v>34</v>
      </c>
      <c r="J98" t="s">
        <v>166</v>
      </c>
      <c r="K98" t="s">
        <v>41</v>
      </c>
      <c r="L98" t="s">
        <v>1325</v>
      </c>
      <c r="M98" t="s">
        <v>1326</v>
      </c>
      <c r="N98" t="s">
        <v>847</v>
      </c>
      <c r="O98" t="s">
        <v>100</v>
      </c>
      <c r="P98" t="s">
        <v>1327</v>
      </c>
      <c r="Q98" t="s">
        <v>55</v>
      </c>
      <c r="R98" t="s">
        <v>420</v>
      </c>
      <c r="S98">
        <v>1</v>
      </c>
      <c r="T98">
        <v>5198</v>
      </c>
      <c r="U98">
        <v>0</v>
      </c>
      <c r="V98">
        <v>5198</v>
      </c>
    </row>
    <row r="99" spans="1:22" x14ac:dyDescent="0.3">
      <c r="A99">
        <v>79452</v>
      </c>
      <c r="B99">
        <v>136635032</v>
      </c>
      <c r="C99" t="s">
        <v>1328</v>
      </c>
      <c r="D99" t="s">
        <v>1329</v>
      </c>
      <c r="E99" t="s">
        <v>843</v>
      </c>
      <c r="F99" t="s">
        <v>844</v>
      </c>
      <c r="G99" t="s">
        <v>164</v>
      </c>
      <c r="H99" t="s">
        <v>165</v>
      </c>
      <c r="I99" t="s">
        <v>34</v>
      </c>
      <c r="J99" t="s">
        <v>166</v>
      </c>
      <c r="K99" t="s">
        <v>41</v>
      </c>
      <c r="L99" t="s">
        <v>1330</v>
      </c>
      <c r="M99" t="s">
        <v>1331</v>
      </c>
      <c r="N99" t="s">
        <v>847</v>
      </c>
      <c r="O99" t="s">
        <v>100</v>
      </c>
      <c r="P99" t="s">
        <v>1332</v>
      </c>
      <c r="Q99" t="s">
        <v>52</v>
      </c>
      <c r="R99" t="s">
        <v>475</v>
      </c>
      <c r="S99">
        <v>2.2599999999999998</v>
      </c>
      <c r="T99">
        <v>5759</v>
      </c>
      <c r="U99">
        <v>0</v>
      </c>
      <c r="V99">
        <v>5759</v>
      </c>
    </row>
    <row r="100" spans="1:22" x14ac:dyDescent="0.3">
      <c r="A100">
        <v>79452</v>
      </c>
      <c r="B100">
        <v>136723337</v>
      </c>
      <c r="C100" t="s">
        <v>1333</v>
      </c>
      <c r="D100" t="s">
        <v>1334</v>
      </c>
      <c r="E100" t="s">
        <v>843</v>
      </c>
      <c r="F100" t="s">
        <v>844</v>
      </c>
      <c r="G100" t="s">
        <v>164</v>
      </c>
      <c r="H100" t="s">
        <v>165</v>
      </c>
      <c r="I100" t="s">
        <v>34</v>
      </c>
      <c r="J100" t="s">
        <v>166</v>
      </c>
      <c r="K100" t="s">
        <v>41</v>
      </c>
      <c r="L100" t="s">
        <v>1335</v>
      </c>
      <c r="M100" t="s">
        <v>1336</v>
      </c>
      <c r="N100" t="s">
        <v>847</v>
      </c>
      <c r="O100" t="s">
        <v>100</v>
      </c>
      <c r="P100" t="s">
        <v>1337</v>
      </c>
      <c r="Q100" t="s">
        <v>57</v>
      </c>
      <c r="R100" t="s">
        <v>1338</v>
      </c>
      <c r="S100">
        <v>1.2</v>
      </c>
      <c r="T100">
        <v>5476</v>
      </c>
      <c r="U100">
        <v>0</v>
      </c>
      <c r="V100">
        <v>5476</v>
      </c>
    </row>
    <row r="101" spans="1:22" x14ac:dyDescent="0.3">
      <c r="A101">
        <v>79452</v>
      </c>
      <c r="B101">
        <v>137084177</v>
      </c>
      <c r="C101" t="s">
        <v>1339</v>
      </c>
      <c r="D101" t="s">
        <v>1340</v>
      </c>
      <c r="E101" t="s">
        <v>843</v>
      </c>
      <c r="F101" t="s">
        <v>844</v>
      </c>
      <c r="G101" t="s">
        <v>164</v>
      </c>
      <c r="H101" t="s">
        <v>165</v>
      </c>
      <c r="I101" t="s">
        <v>34</v>
      </c>
      <c r="J101" t="s">
        <v>166</v>
      </c>
      <c r="K101" t="s">
        <v>41</v>
      </c>
      <c r="L101" t="s">
        <v>1341</v>
      </c>
      <c r="M101" t="s">
        <v>1342</v>
      </c>
      <c r="N101" t="s">
        <v>847</v>
      </c>
      <c r="O101" t="s">
        <v>100</v>
      </c>
      <c r="P101" t="s">
        <v>1343</v>
      </c>
      <c r="Q101" t="s">
        <v>58</v>
      </c>
      <c r="R101" t="s">
        <v>460</v>
      </c>
      <c r="S101">
        <v>0.88</v>
      </c>
      <c r="T101">
        <v>5759</v>
      </c>
      <c r="U101">
        <v>0</v>
      </c>
      <c r="V101">
        <v>5759</v>
      </c>
    </row>
    <row r="102" spans="1:22" x14ac:dyDescent="0.3">
      <c r="A102">
        <v>79452</v>
      </c>
      <c r="B102">
        <v>137168473</v>
      </c>
      <c r="C102" t="s">
        <v>1344</v>
      </c>
      <c r="D102" t="s">
        <v>1345</v>
      </c>
      <c r="E102" t="s">
        <v>843</v>
      </c>
      <c r="F102" t="s">
        <v>844</v>
      </c>
      <c r="G102" t="s">
        <v>164</v>
      </c>
      <c r="H102" t="s">
        <v>165</v>
      </c>
      <c r="I102" t="s">
        <v>34</v>
      </c>
      <c r="J102" t="s">
        <v>166</v>
      </c>
      <c r="K102" t="s">
        <v>41</v>
      </c>
      <c r="L102" t="s">
        <v>1346</v>
      </c>
      <c r="M102" t="s">
        <v>1347</v>
      </c>
      <c r="N102" t="s">
        <v>847</v>
      </c>
      <c r="O102" t="s">
        <v>100</v>
      </c>
      <c r="P102" t="s">
        <v>1348</v>
      </c>
      <c r="Q102" t="s">
        <v>58</v>
      </c>
      <c r="R102" t="s">
        <v>966</v>
      </c>
      <c r="S102">
        <v>1</v>
      </c>
      <c r="T102">
        <v>5759</v>
      </c>
      <c r="U102">
        <v>0</v>
      </c>
      <c r="V102">
        <v>5759</v>
      </c>
    </row>
    <row r="103" spans="1:22" x14ac:dyDescent="0.3">
      <c r="A103">
        <v>79452</v>
      </c>
      <c r="B103">
        <v>136634973</v>
      </c>
      <c r="C103" t="s">
        <v>1349</v>
      </c>
      <c r="D103" t="s">
        <v>1350</v>
      </c>
      <c r="E103" t="s">
        <v>843</v>
      </c>
      <c r="F103" t="s">
        <v>844</v>
      </c>
      <c r="G103" t="s">
        <v>164</v>
      </c>
      <c r="H103" t="s">
        <v>165</v>
      </c>
      <c r="I103" t="s">
        <v>34</v>
      </c>
      <c r="J103" t="s">
        <v>166</v>
      </c>
      <c r="K103" t="s">
        <v>41</v>
      </c>
      <c r="L103" t="s">
        <v>1351</v>
      </c>
      <c r="M103" t="s">
        <v>1352</v>
      </c>
      <c r="N103" t="s">
        <v>847</v>
      </c>
      <c r="O103" t="s">
        <v>100</v>
      </c>
      <c r="P103" t="s">
        <v>1353</v>
      </c>
      <c r="Q103" t="s">
        <v>52</v>
      </c>
      <c r="R103" t="s">
        <v>475</v>
      </c>
      <c r="S103">
        <v>0.82</v>
      </c>
      <c r="T103">
        <v>5759</v>
      </c>
      <c r="U103">
        <v>0</v>
      </c>
      <c r="V103">
        <v>5759</v>
      </c>
    </row>
    <row r="104" spans="1:22" x14ac:dyDescent="0.3">
      <c r="A104">
        <v>79452</v>
      </c>
      <c r="B104">
        <v>137203589</v>
      </c>
      <c r="C104" t="s">
        <v>1354</v>
      </c>
      <c r="D104" t="s">
        <v>1355</v>
      </c>
      <c r="E104" t="s">
        <v>843</v>
      </c>
      <c r="F104" t="s">
        <v>844</v>
      </c>
      <c r="G104" t="s">
        <v>164</v>
      </c>
      <c r="H104" t="s">
        <v>165</v>
      </c>
      <c r="I104" t="s">
        <v>34</v>
      </c>
      <c r="J104" t="s">
        <v>166</v>
      </c>
      <c r="K104" t="s">
        <v>41</v>
      </c>
      <c r="L104" t="s">
        <v>1356</v>
      </c>
      <c r="M104" t="s">
        <v>1357</v>
      </c>
      <c r="N104" t="s">
        <v>847</v>
      </c>
      <c r="O104" t="s">
        <v>100</v>
      </c>
      <c r="P104" t="s">
        <v>1358</v>
      </c>
      <c r="Q104" t="s">
        <v>59</v>
      </c>
      <c r="R104" t="s">
        <v>449</v>
      </c>
      <c r="S104">
        <v>1.1200000000000001</v>
      </c>
      <c r="T104">
        <v>4067</v>
      </c>
      <c r="U104">
        <v>0</v>
      </c>
      <c r="V104">
        <v>4067</v>
      </c>
    </row>
    <row r="105" spans="1:22" x14ac:dyDescent="0.3">
      <c r="A105">
        <v>79452</v>
      </c>
      <c r="B105">
        <v>137252190</v>
      </c>
      <c r="C105" t="s">
        <v>1359</v>
      </c>
      <c r="D105" t="s">
        <v>1360</v>
      </c>
      <c r="E105" t="s">
        <v>843</v>
      </c>
      <c r="F105" t="s">
        <v>844</v>
      </c>
      <c r="G105" t="s">
        <v>164</v>
      </c>
      <c r="H105" t="s">
        <v>165</v>
      </c>
      <c r="I105" t="s">
        <v>34</v>
      </c>
      <c r="J105" t="s">
        <v>166</v>
      </c>
      <c r="K105" t="s">
        <v>41</v>
      </c>
      <c r="L105" t="s">
        <v>1361</v>
      </c>
      <c r="M105" t="s">
        <v>1362</v>
      </c>
      <c r="N105" t="s">
        <v>847</v>
      </c>
      <c r="O105" t="s">
        <v>100</v>
      </c>
      <c r="P105" t="s">
        <v>1363</v>
      </c>
      <c r="Q105" t="s">
        <v>49</v>
      </c>
      <c r="R105" t="s">
        <v>1124</v>
      </c>
      <c r="S105">
        <v>1</v>
      </c>
      <c r="T105">
        <v>3784</v>
      </c>
      <c r="U105">
        <v>0</v>
      </c>
      <c r="V105">
        <v>3784</v>
      </c>
    </row>
    <row r="106" spans="1:22" x14ac:dyDescent="0.3">
      <c r="A106">
        <v>79452</v>
      </c>
      <c r="B106">
        <v>137084225</v>
      </c>
      <c r="C106" t="s">
        <v>1364</v>
      </c>
      <c r="D106" t="s">
        <v>1365</v>
      </c>
      <c r="E106" t="s">
        <v>843</v>
      </c>
      <c r="F106" t="s">
        <v>844</v>
      </c>
      <c r="G106" t="s">
        <v>164</v>
      </c>
      <c r="H106" t="s">
        <v>165</v>
      </c>
      <c r="I106" t="s">
        <v>34</v>
      </c>
      <c r="J106" t="s">
        <v>166</v>
      </c>
      <c r="K106" t="s">
        <v>41</v>
      </c>
      <c r="L106" t="s">
        <v>1366</v>
      </c>
      <c r="M106" t="s">
        <v>1367</v>
      </c>
      <c r="N106" t="s">
        <v>847</v>
      </c>
      <c r="O106" t="s">
        <v>100</v>
      </c>
      <c r="P106" t="s">
        <v>1368</v>
      </c>
      <c r="Q106" t="s">
        <v>76</v>
      </c>
      <c r="R106" t="s">
        <v>460</v>
      </c>
      <c r="S106">
        <v>1</v>
      </c>
      <c r="T106">
        <v>3753</v>
      </c>
      <c r="U106">
        <v>0</v>
      </c>
      <c r="V106">
        <v>3753</v>
      </c>
    </row>
    <row r="107" spans="1:22" x14ac:dyDescent="0.3">
      <c r="A107">
        <v>79452</v>
      </c>
      <c r="B107">
        <v>137328332</v>
      </c>
      <c r="C107" t="s">
        <v>1369</v>
      </c>
      <c r="D107" t="s">
        <v>1370</v>
      </c>
      <c r="E107" t="s">
        <v>843</v>
      </c>
      <c r="F107" t="s">
        <v>844</v>
      </c>
      <c r="G107" t="s">
        <v>164</v>
      </c>
      <c r="H107" t="s">
        <v>165</v>
      </c>
      <c r="I107" t="s">
        <v>34</v>
      </c>
      <c r="J107" t="s">
        <v>166</v>
      </c>
      <c r="K107" t="s">
        <v>41</v>
      </c>
      <c r="L107" t="s">
        <v>1371</v>
      </c>
      <c r="M107" t="s">
        <v>1372</v>
      </c>
      <c r="N107" t="s">
        <v>847</v>
      </c>
      <c r="O107" t="s">
        <v>100</v>
      </c>
      <c r="P107" t="s">
        <v>1373</v>
      </c>
      <c r="Q107" t="s">
        <v>59</v>
      </c>
      <c r="R107" t="s">
        <v>781</v>
      </c>
      <c r="S107">
        <v>1.44</v>
      </c>
      <c r="T107">
        <v>4067</v>
      </c>
      <c r="U107">
        <v>0</v>
      </c>
      <c r="V107">
        <v>4067</v>
      </c>
    </row>
    <row r="108" spans="1:22" x14ac:dyDescent="0.3">
      <c r="A108">
        <v>79452</v>
      </c>
      <c r="B108">
        <v>137289758</v>
      </c>
      <c r="C108" t="s">
        <v>1374</v>
      </c>
      <c r="D108" t="s">
        <v>1375</v>
      </c>
      <c r="E108" t="s">
        <v>843</v>
      </c>
      <c r="F108" t="s">
        <v>844</v>
      </c>
      <c r="G108" t="s">
        <v>164</v>
      </c>
      <c r="H108" t="s">
        <v>165</v>
      </c>
      <c r="I108" t="s">
        <v>34</v>
      </c>
      <c r="J108" t="s">
        <v>166</v>
      </c>
      <c r="K108" t="s">
        <v>41</v>
      </c>
      <c r="L108" t="s">
        <v>1376</v>
      </c>
      <c r="M108" t="s">
        <v>1377</v>
      </c>
      <c r="N108" t="s">
        <v>847</v>
      </c>
      <c r="O108" t="s">
        <v>100</v>
      </c>
      <c r="P108" t="s">
        <v>1378</v>
      </c>
      <c r="Q108" t="s">
        <v>72</v>
      </c>
      <c r="R108" t="s">
        <v>900</v>
      </c>
      <c r="S108">
        <v>0.79</v>
      </c>
      <c r="T108">
        <v>3784</v>
      </c>
      <c r="U108">
        <v>0</v>
      </c>
      <c r="V108">
        <v>3784</v>
      </c>
    </row>
    <row r="109" spans="1:22" x14ac:dyDescent="0.3">
      <c r="A109">
        <v>79452</v>
      </c>
      <c r="B109">
        <v>137203623</v>
      </c>
      <c r="C109" t="s">
        <v>1379</v>
      </c>
      <c r="D109" t="s">
        <v>1380</v>
      </c>
      <c r="E109" t="s">
        <v>843</v>
      </c>
      <c r="F109" t="s">
        <v>844</v>
      </c>
      <c r="G109" t="s">
        <v>164</v>
      </c>
      <c r="H109" t="s">
        <v>165</v>
      </c>
      <c r="I109" t="s">
        <v>34</v>
      </c>
      <c r="J109" t="s">
        <v>166</v>
      </c>
      <c r="K109" t="s">
        <v>41</v>
      </c>
      <c r="L109" t="s">
        <v>1381</v>
      </c>
      <c r="M109" t="s">
        <v>1382</v>
      </c>
      <c r="N109" t="s">
        <v>847</v>
      </c>
      <c r="O109" t="s">
        <v>100</v>
      </c>
      <c r="P109" t="s">
        <v>1383</v>
      </c>
      <c r="Q109" t="s">
        <v>54</v>
      </c>
      <c r="R109" t="s">
        <v>449</v>
      </c>
      <c r="S109">
        <v>1.35</v>
      </c>
      <c r="T109">
        <v>5759</v>
      </c>
      <c r="U109">
        <v>0</v>
      </c>
      <c r="V109">
        <v>5759</v>
      </c>
    </row>
    <row r="110" spans="1:22" x14ac:dyDescent="0.3">
      <c r="A110">
        <v>79452</v>
      </c>
      <c r="B110">
        <v>137121378</v>
      </c>
      <c r="C110" t="s">
        <v>1384</v>
      </c>
      <c r="D110" t="s">
        <v>1385</v>
      </c>
      <c r="E110" t="s">
        <v>843</v>
      </c>
      <c r="F110" t="s">
        <v>844</v>
      </c>
      <c r="G110" t="s">
        <v>164</v>
      </c>
      <c r="H110" t="s">
        <v>165</v>
      </c>
      <c r="I110" t="s">
        <v>34</v>
      </c>
      <c r="J110" t="s">
        <v>166</v>
      </c>
      <c r="K110" t="s">
        <v>41</v>
      </c>
      <c r="L110" t="s">
        <v>1386</v>
      </c>
      <c r="M110" t="s">
        <v>1387</v>
      </c>
      <c r="N110" t="s">
        <v>847</v>
      </c>
      <c r="O110" t="s">
        <v>100</v>
      </c>
      <c r="P110" t="s">
        <v>1388</v>
      </c>
      <c r="Q110" t="s">
        <v>55</v>
      </c>
      <c r="R110" t="s">
        <v>420</v>
      </c>
      <c r="S110">
        <v>1.83</v>
      </c>
      <c r="T110">
        <v>5198</v>
      </c>
      <c r="U110">
        <v>0</v>
      </c>
      <c r="V110">
        <v>5198</v>
      </c>
    </row>
    <row r="111" spans="1:22" x14ac:dyDescent="0.3">
      <c r="A111">
        <v>79452</v>
      </c>
      <c r="B111">
        <v>137289704</v>
      </c>
      <c r="C111" t="s">
        <v>1389</v>
      </c>
      <c r="D111" t="s">
        <v>1390</v>
      </c>
      <c r="E111" t="s">
        <v>843</v>
      </c>
      <c r="F111" t="s">
        <v>844</v>
      </c>
      <c r="G111" t="s">
        <v>164</v>
      </c>
      <c r="H111" t="s">
        <v>165</v>
      </c>
      <c r="I111" t="s">
        <v>34</v>
      </c>
      <c r="J111" t="s">
        <v>166</v>
      </c>
      <c r="K111" t="s">
        <v>41</v>
      </c>
      <c r="L111" t="s">
        <v>1391</v>
      </c>
      <c r="M111" t="s">
        <v>1392</v>
      </c>
      <c r="N111" t="s">
        <v>847</v>
      </c>
      <c r="O111" t="s">
        <v>100</v>
      </c>
      <c r="P111" t="s">
        <v>1393</v>
      </c>
      <c r="Q111" t="s">
        <v>63</v>
      </c>
      <c r="R111" t="s">
        <v>900</v>
      </c>
      <c r="S111">
        <v>0.85</v>
      </c>
      <c r="T111">
        <v>4067</v>
      </c>
      <c r="U111">
        <v>0</v>
      </c>
      <c r="V111">
        <v>4067</v>
      </c>
    </row>
    <row r="112" spans="1:22" x14ac:dyDescent="0.3">
      <c r="A112">
        <v>79452</v>
      </c>
      <c r="B112">
        <v>137289680</v>
      </c>
      <c r="C112" t="s">
        <v>1394</v>
      </c>
      <c r="D112" t="s">
        <v>1395</v>
      </c>
      <c r="E112" t="s">
        <v>843</v>
      </c>
      <c r="F112" t="s">
        <v>844</v>
      </c>
      <c r="G112" t="s">
        <v>164</v>
      </c>
      <c r="H112" t="s">
        <v>165</v>
      </c>
      <c r="I112" t="s">
        <v>34</v>
      </c>
      <c r="J112" t="s">
        <v>166</v>
      </c>
      <c r="K112" t="s">
        <v>41</v>
      </c>
      <c r="L112" t="s">
        <v>1396</v>
      </c>
      <c r="M112" t="s">
        <v>1397</v>
      </c>
      <c r="N112" t="s">
        <v>847</v>
      </c>
      <c r="O112" t="s">
        <v>100</v>
      </c>
      <c r="P112" t="s">
        <v>1398</v>
      </c>
      <c r="Q112" t="s">
        <v>117</v>
      </c>
      <c r="R112" t="s">
        <v>1161</v>
      </c>
      <c r="S112">
        <v>1.35</v>
      </c>
      <c r="T112">
        <v>4067</v>
      </c>
      <c r="U112">
        <v>0</v>
      </c>
      <c r="V112">
        <v>4067</v>
      </c>
    </row>
    <row r="113" spans="1:22" x14ac:dyDescent="0.3">
      <c r="A113">
        <v>79452</v>
      </c>
      <c r="B113">
        <v>137289779</v>
      </c>
      <c r="C113" t="s">
        <v>1399</v>
      </c>
      <c r="D113" t="s">
        <v>1400</v>
      </c>
      <c r="E113" t="s">
        <v>843</v>
      </c>
      <c r="F113" t="s">
        <v>844</v>
      </c>
      <c r="G113" t="s">
        <v>164</v>
      </c>
      <c r="H113" t="s">
        <v>165</v>
      </c>
      <c r="I113" t="s">
        <v>34</v>
      </c>
      <c r="J113" t="s">
        <v>166</v>
      </c>
      <c r="K113" t="s">
        <v>41</v>
      </c>
      <c r="L113" t="s">
        <v>1401</v>
      </c>
      <c r="M113" t="s">
        <v>1117</v>
      </c>
      <c r="N113" t="s">
        <v>847</v>
      </c>
      <c r="O113" t="s">
        <v>100</v>
      </c>
      <c r="P113" t="s">
        <v>1118</v>
      </c>
      <c r="Q113" t="s">
        <v>92</v>
      </c>
      <c r="R113" t="s">
        <v>900</v>
      </c>
      <c r="S113">
        <v>1</v>
      </c>
      <c r="T113">
        <v>3366</v>
      </c>
      <c r="U113">
        <v>0</v>
      </c>
      <c r="V113">
        <v>3366</v>
      </c>
    </row>
    <row r="114" spans="1:22" x14ac:dyDescent="0.3">
      <c r="A114">
        <v>79452</v>
      </c>
      <c r="B114">
        <v>137032337</v>
      </c>
      <c r="C114" t="s">
        <v>1402</v>
      </c>
      <c r="D114" t="s">
        <v>1403</v>
      </c>
      <c r="E114" t="s">
        <v>843</v>
      </c>
      <c r="F114" t="s">
        <v>844</v>
      </c>
      <c r="G114" t="s">
        <v>164</v>
      </c>
      <c r="H114" t="s">
        <v>165</v>
      </c>
      <c r="I114" t="s">
        <v>34</v>
      </c>
      <c r="J114" t="s">
        <v>166</v>
      </c>
      <c r="K114" t="s">
        <v>41</v>
      </c>
      <c r="L114" t="s">
        <v>1404</v>
      </c>
      <c r="M114" t="s">
        <v>1405</v>
      </c>
      <c r="N114" t="s">
        <v>847</v>
      </c>
      <c r="O114" t="s">
        <v>100</v>
      </c>
      <c r="P114" t="s">
        <v>1406</v>
      </c>
      <c r="Q114" t="s">
        <v>84</v>
      </c>
      <c r="R114" t="s">
        <v>324</v>
      </c>
      <c r="S114">
        <v>1</v>
      </c>
      <c r="T114">
        <v>3366</v>
      </c>
      <c r="U114">
        <v>0</v>
      </c>
      <c r="V114">
        <v>3366</v>
      </c>
    </row>
    <row r="115" spans="1:22" x14ac:dyDescent="0.3">
      <c r="A115">
        <v>79452</v>
      </c>
      <c r="B115">
        <v>137289738</v>
      </c>
      <c r="C115" t="s">
        <v>1407</v>
      </c>
      <c r="D115" t="s">
        <v>1408</v>
      </c>
      <c r="E115" t="s">
        <v>843</v>
      </c>
      <c r="F115" t="s">
        <v>844</v>
      </c>
      <c r="G115" t="s">
        <v>164</v>
      </c>
      <c r="H115" t="s">
        <v>165</v>
      </c>
      <c r="I115" t="s">
        <v>34</v>
      </c>
      <c r="J115" t="s">
        <v>166</v>
      </c>
      <c r="K115" t="s">
        <v>41</v>
      </c>
      <c r="L115" t="s">
        <v>1409</v>
      </c>
      <c r="M115" t="s">
        <v>1410</v>
      </c>
      <c r="N115" t="s">
        <v>847</v>
      </c>
      <c r="O115" t="s">
        <v>100</v>
      </c>
      <c r="P115" t="s">
        <v>1411</v>
      </c>
      <c r="Q115" t="s">
        <v>49</v>
      </c>
      <c r="R115" t="s">
        <v>900</v>
      </c>
      <c r="S115">
        <v>1.27</v>
      </c>
      <c r="T115">
        <v>3784</v>
      </c>
      <c r="U115">
        <v>0</v>
      </c>
      <c r="V115">
        <v>3784</v>
      </c>
    </row>
    <row r="116" spans="1:22" x14ac:dyDescent="0.3">
      <c r="A116">
        <v>79452</v>
      </c>
      <c r="B116">
        <v>137121439</v>
      </c>
      <c r="C116" t="s">
        <v>1412</v>
      </c>
      <c r="D116" t="s">
        <v>1413</v>
      </c>
      <c r="E116" t="s">
        <v>843</v>
      </c>
      <c r="F116" t="s">
        <v>844</v>
      </c>
      <c r="G116" t="s">
        <v>164</v>
      </c>
      <c r="H116" t="s">
        <v>165</v>
      </c>
      <c r="I116" t="s">
        <v>34</v>
      </c>
      <c r="J116" t="s">
        <v>166</v>
      </c>
      <c r="K116" t="s">
        <v>41</v>
      </c>
      <c r="L116" t="s">
        <v>1414</v>
      </c>
      <c r="M116" t="s">
        <v>1415</v>
      </c>
      <c r="N116" t="s">
        <v>847</v>
      </c>
      <c r="O116" t="s">
        <v>100</v>
      </c>
      <c r="P116" t="s">
        <v>1416</v>
      </c>
      <c r="Q116" t="s">
        <v>55</v>
      </c>
      <c r="R116" t="s">
        <v>420</v>
      </c>
      <c r="S116">
        <v>1</v>
      </c>
      <c r="T116">
        <v>5198</v>
      </c>
      <c r="U116">
        <v>0</v>
      </c>
      <c r="V116">
        <v>5198</v>
      </c>
    </row>
    <row r="117" spans="1:22" x14ac:dyDescent="0.3">
      <c r="A117">
        <v>79452</v>
      </c>
      <c r="B117">
        <v>137289761</v>
      </c>
      <c r="C117" t="s">
        <v>1417</v>
      </c>
      <c r="D117" t="s">
        <v>1418</v>
      </c>
      <c r="E117" t="s">
        <v>843</v>
      </c>
      <c r="F117" t="s">
        <v>844</v>
      </c>
      <c r="G117" t="s">
        <v>164</v>
      </c>
      <c r="H117" t="s">
        <v>165</v>
      </c>
      <c r="I117" t="s">
        <v>34</v>
      </c>
      <c r="J117" t="s">
        <v>166</v>
      </c>
      <c r="K117" t="s">
        <v>41</v>
      </c>
      <c r="L117" t="s">
        <v>1419</v>
      </c>
      <c r="M117" t="s">
        <v>429</v>
      </c>
      <c r="N117" t="s">
        <v>847</v>
      </c>
      <c r="O117" t="s">
        <v>100</v>
      </c>
      <c r="P117" t="s">
        <v>1420</v>
      </c>
      <c r="Q117" t="s">
        <v>190</v>
      </c>
      <c r="R117" t="s">
        <v>900</v>
      </c>
      <c r="S117">
        <v>0.86</v>
      </c>
      <c r="T117">
        <v>3366</v>
      </c>
      <c r="U117">
        <v>0</v>
      </c>
      <c r="V117">
        <v>3366</v>
      </c>
    </row>
    <row r="118" spans="1:22" x14ac:dyDescent="0.3">
      <c r="A118">
        <v>79452</v>
      </c>
      <c r="B118">
        <v>137203670</v>
      </c>
      <c r="C118" t="s">
        <v>1421</v>
      </c>
      <c r="D118" t="s">
        <v>1422</v>
      </c>
      <c r="E118" t="s">
        <v>843</v>
      </c>
      <c r="F118" t="s">
        <v>844</v>
      </c>
      <c r="G118" t="s">
        <v>164</v>
      </c>
      <c r="H118" t="s">
        <v>165</v>
      </c>
      <c r="I118" t="s">
        <v>34</v>
      </c>
      <c r="J118" t="s">
        <v>166</v>
      </c>
      <c r="K118" t="s">
        <v>41</v>
      </c>
      <c r="L118" t="s">
        <v>1423</v>
      </c>
      <c r="M118" t="s">
        <v>1424</v>
      </c>
      <c r="N118" t="s">
        <v>847</v>
      </c>
      <c r="O118" t="s">
        <v>100</v>
      </c>
      <c r="P118" t="s">
        <v>1425</v>
      </c>
      <c r="Q118" t="s">
        <v>54</v>
      </c>
      <c r="R118" t="s">
        <v>449</v>
      </c>
      <c r="S118">
        <v>1.21</v>
      </c>
      <c r="T118">
        <v>5759</v>
      </c>
      <c r="U118">
        <v>0</v>
      </c>
      <c r="V118">
        <v>5759</v>
      </c>
    </row>
    <row r="119" spans="1:22" x14ac:dyDescent="0.3">
      <c r="A119">
        <v>79452</v>
      </c>
      <c r="B119">
        <v>137168485</v>
      </c>
      <c r="C119" t="s">
        <v>1426</v>
      </c>
      <c r="D119" t="s">
        <v>1427</v>
      </c>
      <c r="E119" t="s">
        <v>843</v>
      </c>
      <c r="F119" t="s">
        <v>844</v>
      </c>
      <c r="G119" t="s">
        <v>164</v>
      </c>
      <c r="H119" t="s">
        <v>165</v>
      </c>
      <c r="I119" t="s">
        <v>34</v>
      </c>
      <c r="J119" t="s">
        <v>166</v>
      </c>
      <c r="K119" t="s">
        <v>41</v>
      </c>
      <c r="L119" t="s">
        <v>1428</v>
      </c>
      <c r="M119" t="s">
        <v>1429</v>
      </c>
      <c r="N119" t="s">
        <v>847</v>
      </c>
      <c r="O119" t="s">
        <v>100</v>
      </c>
      <c r="P119" t="s">
        <v>1430</v>
      </c>
      <c r="Q119" t="s">
        <v>55</v>
      </c>
      <c r="R119" t="s">
        <v>966</v>
      </c>
      <c r="S119">
        <v>1</v>
      </c>
      <c r="T119">
        <v>5198</v>
      </c>
      <c r="U119">
        <v>0</v>
      </c>
      <c r="V119">
        <v>5198</v>
      </c>
    </row>
    <row r="120" spans="1:22" x14ac:dyDescent="0.3">
      <c r="A120">
        <v>79452</v>
      </c>
      <c r="B120">
        <v>137289816</v>
      </c>
      <c r="C120" t="s">
        <v>1431</v>
      </c>
      <c r="D120" t="s">
        <v>1432</v>
      </c>
      <c r="E120" t="s">
        <v>843</v>
      </c>
      <c r="F120" t="s">
        <v>844</v>
      </c>
      <c r="G120" t="s">
        <v>164</v>
      </c>
      <c r="H120" t="s">
        <v>165</v>
      </c>
      <c r="I120" t="s">
        <v>34</v>
      </c>
      <c r="J120" t="s">
        <v>166</v>
      </c>
      <c r="K120" t="s">
        <v>41</v>
      </c>
      <c r="L120" t="s">
        <v>1433</v>
      </c>
      <c r="M120" t="s">
        <v>1434</v>
      </c>
      <c r="N120" t="s">
        <v>847</v>
      </c>
      <c r="O120" t="s">
        <v>100</v>
      </c>
      <c r="P120" t="s">
        <v>1435</v>
      </c>
      <c r="Q120" t="s">
        <v>84</v>
      </c>
      <c r="R120" t="s">
        <v>900</v>
      </c>
      <c r="S120">
        <v>1.36</v>
      </c>
      <c r="T120">
        <v>3366</v>
      </c>
      <c r="U120">
        <v>0</v>
      </c>
      <c r="V120">
        <v>3366</v>
      </c>
    </row>
    <row r="121" spans="1:22" x14ac:dyDescent="0.3">
      <c r="A121">
        <v>79452</v>
      </c>
      <c r="B121">
        <v>137328279</v>
      </c>
      <c r="C121" t="s">
        <v>1436</v>
      </c>
      <c r="D121" t="s">
        <v>1437</v>
      </c>
      <c r="E121" t="s">
        <v>843</v>
      </c>
      <c r="F121" t="s">
        <v>844</v>
      </c>
      <c r="G121" t="s">
        <v>164</v>
      </c>
      <c r="H121" t="s">
        <v>165</v>
      </c>
      <c r="I121" t="s">
        <v>34</v>
      </c>
      <c r="J121" t="s">
        <v>166</v>
      </c>
      <c r="K121" t="s">
        <v>41</v>
      </c>
      <c r="L121" t="s">
        <v>1438</v>
      </c>
      <c r="M121" t="s">
        <v>1439</v>
      </c>
      <c r="N121" t="s">
        <v>847</v>
      </c>
      <c r="O121" t="s">
        <v>100</v>
      </c>
      <c r="P121" t="s">
        <v>1440</v>
      </c>
      <c r="Q121" t="s">
        <v>190</v>
      </c>
      <c r="R121" t="s">
        <v>781</v>
      </c>
      <c r="S121">
        <v>1.23</v>
      </c>
      <c r="T121">
        <v>3366</v>
      </c>
      <c r="U121">
        <v>0</v>
      </c>
      <c r="V121">
        <v>3366</v>
      </c>
    </row>
    <row r="122" spans="1:22" x14ac:dyDescent="0.3">
      <c r="A122">
        <v>79452</v>
      </c>
      <c r="B122">
        <v>137289700</v>
      </c>
      <c r="C122" t="s">
        <v>1441</v>
      </c>
      <c r="D122" t="s">
        <v>1442</v>
      </c>
      <c r="E122" t="s">
        <v>843</v>
      </c>
      <c r="F122" t="s">
        <v>844</v>
      </c>
      <c r="G122" t="s">
        <v>164</v>
      </c>
      <c r="H122" t="s">
        <v>165</v>
      </c>
      <c r="I122" t="s">
        <v>34</v>
      </c>
      <c r="J122" t="s">
        <v>166</v>
      </c>
      <c r="K122" t="s">
        <v>41</v>
      </c>
      <c r="L122" t="s">
        <v>1443</v>
      </c>
      <c r="M122" t="s">
        <v>1444</v>
      </c>
      <c r="N122" t="s">
        <v>847</v>
      </c>
      <c r="O122" t="s">
        <v>100</v>
      </c>
      <c r="P122" t="s">
        <v>1445</v>
      </c>
      <c r="Q122" t="s">
        <v>69</v>
      </c>
      <c r="R122" t="s">
        <v>900</v>
      </c>
      <c r="S122">
        <v>1.1299999999999999</v>
      </c>
      <c r="T122">
        <v>3753</v>
      </c>
      <c r="U122">
        <v>0</v>
      </c>
      <c r="V122">
        <v>3753</v>
      </c>
    </row>
    <row r="123" spans="1:22" x14ac:dyDescent="0.3">
      <c r="A123">
        <v>79452</v>
      </c>
      <c r="B123">
        <v>137289753</v>
      </c>
      <c r="C123" t="s">
        <v>1446</v>
      </c>
      <c r="D123" t="s">
        <v>1447</v>
      </c>
      <c r="E123" t="s">
        <v>843</v>
      </c>
      <c r="F123" t="s">
        <v>844</v>
      </c>
      <c r="G123" t="s">
        <v>164</v>
      </c>
      <c r="H123" t="s">
        <v>165</v>
      </c>
      <c r="I123" t="s">
        <v>34</v>
      </c>
      <c r="J123" t="s">
        <v>166</v>
      </c>
      <c r="K123" t="s">
        <v>41</v>
      </c>
      <c r="L123" t="s">
        <v>1448</v>
      </c>
      <c r="M123" t="s">
        <v>1449</v>
      </c>
      <c r="N123" t="s">
        <v>847</v>
      </c>
      <c r="O123" t="s">
        <v>100</v>
      </c>
      <c r="P123" t="s">
        <v>1450</v>
      </c>
      <c r="Q123" t="s">
        <v>72</v>
      </c>
      <c r="R123" t="s">
        <v>900</v>
      </c>
      <c r="S123">
        <v>0.96</v>
      </c>
      <c r="T123">
        <v>3784</v>
      </c>
      <c r="U123">
        <v>0</v>
      </c>
      <c r="V123">
        <v>3784</v>
      </c>
    </row>
    <row r="124" spans="1:22" x14ac:dyDescent="0.3">
      <c r="A124">
        <v>79452</v>
      </c>
      <c r="B124">
        <v>137032325</v>
      </c>
      <c r="C124" t="s">
        <v>1451</v>
      </c>
      <c r="D124" t="s">
        <v>1452</v>
      </c>
      <c r="E124" t="s">
        <v>843</v>
      </c>
      <c r="F124" t="s">
        <v>844</v>
      </c>
      <c r="G124" t="s">
        <v>164</v>
      </c>
      <c r="H124" t="s">
        <v>165</v>
      </c>
      <c r="I124" t="s">
        <v>34</v>
      </c>
      <c r="J124" t="s">
        <v>166</v>
      </c>
      <c r="K124" t="s">
        <v>41</v>
      </c>
      <c r="L124" t="s">
        <v>1453</v>
      </c>
      <c r="M124" t="s">
        <v>1454</v>
      </c>
      <c r="N124" t="s">
        <v>847</v>
      </c>
      <c r="O124" t="s">
        <v>100</v>
      </c>
      <c r="P124" t="s">
        <v>1455</v>
      </c>
      <c r="Q124" t="s">
        <v>121</v>
      </c>
      <c r="R124" t="s">
        <v>324</v>
      </c>
      <c r="S124">
        <v>1.1499999999999999</v>
      </c>
      <c r="T124">
        <v>4173</v>
      </c>
      <c r="U124">
        <v>0</v>
      </c>
      <c r="V124">
        <v>4173</v>
      </c>
    </row>
    <row r="125" spans="1:22" x14ac:dyDescent="0.3">
      <c r="A125">
        <v>79452</v>
      </c>
      <c r="B125">
        <v>137289797</v>
      </c>
      <c r="C125" t="s">
        <v>1456</v>
      </c>
      <c r="D125" t="s">
        <v>1457</v>
      </c>
      <c r="E125" t="s">
        <v>843</v>
      </c>
      <c r="F125" t="s">
        <v>844</v>
      </c>
      <c r="G125" t="s">
        <v>164</v>
      </c>
      <c r="H125" t="s">
        <v>165</v>
      </c>
      <c r="I125" t="s">
        <v>34</v>
      </c>
      <c r="J125" t="s">
        <v>166</v>
      </c>
      <c r="K125" t="s">
        <v>41</v>
      </c>
      <c r="L125" t="s">
        <v>1458</v>
      </c>
      <c r="M125" t="s">
        <v>1459</v>
      </c>
      <c r="N125" t="s">
        <v>847</v>
      </c>
      <c r="O125" t="s">
        <v>100</v>
      </c>
      <c r="P125" t="s">
        <v>1460</v>
      </c>
      <c r="Q125" t="s">
        <v>85</v>
      </c>
      <c r="R125" t="s">
        <v>900</v>
      </c>
      <c r="S125">
        <v>0.99</v>
      </c>
      <c r="T125">
        <v>3366</v>
      </c>
      <c r="U125">
        <v>0</v>
      </c>
      <c r="V125">
        <v>3366</v>
      </c>
    </row>
    <row r="126" spans="1:22" x14ac:dyDescent="0.3">
      <c r="A126">
        <v>79452</v>
      </c>
      <c r="B126">
        <v>137252111</v>
      </c>
      <c r="C126" t="s">
        <v>1461</v>
      </c>
      <c r="D126" t="s">
        <v>1462</v>
      </c>
      <c r="E126" t="s">
        <v>843</v>
      </c>
      <c r="F126" t="s">
        <v>844</v>
      </c>
      <c r="G126" t="s">
        <v>164</v>
      </c>
      <c r="H126" t="s">
        <v>165</v>
      </c>
      <c r="I126" t="s">
        <v>34</v>
      </c>
      <c r="J126" t="s">
        <v>166</v>
      </c>
      <c r="K126" t="s">
        <v>41</v>
      </c>
      <c r="L126" t="s">
        <v>1463</v>
      </c>
      <c r="M126" t="s">
        <v>1464</v>
      </c>
      <c r="N126" t="s">
        <v>847</v>
      </c>
      <c r="O126" t="s">
        <v>100</v>
      </c>
      <c r="P126" t="s">
        <v>1465</v>
      </c>
      <c r="Q126" t="s">
        <v>67</v>
      </c>
      <c r="R126" t="s">
        <v>1124</v>
      </c>
      <c r="S126">
        <v>1.39</v>
      </c>
      <c r="T126">
        <v>3784</v>
      </c>
      <c r="U126">
        <v>0</v>
      </c>
      <c r="V126">
        <v>3784</v>
      </c>
    </row>
    <row r="127" spans="1:22" x14ac:dyDescent="0.3">
      <c r="A127">
        <v>79452</v>
      </c>
      <c r="B127">
        <v>137289743</v>
      </c>
      <c r="C127" t="s">
        <v>1466</v>
      </c>
      <c r="D127" t="s">
        <v>1467</v>
      </c>
      <c r="E127" t="s">
        <v>843</v>
      </c>
      <c r="F127" t="s">
        <v>844</v>
      </c>
      <c r="G127" t="s">
        <v>164</v>
      </c>
      <c r="H127" t="s">
        <v>165</v>
      </c>
      <c r="I127" t="s">
        <v>34</v>
      </c>
      <c r="J127" t="s">
        <v>166</v>
      </c>
      <c r="K127" t="s">
        <v>41</v>
      </c>
      <c r="L127" t="s">
        <v>1468</v>
      </c>
      <c r="M127" t="s">
        <v>1469</v>
      </c>
      <c r="N127" t="s">
        <v>847</v>
      </c>
      <c r="O127" t="s">
        <v>100</v>
      </c>
      <c r="P127" t="s">
        <v>1470</v>
      </c>
      <c r="Q127" t="s">
        <v>50</v>
      </c>
      <c r="R127" t="s">
        <v>900</v>
      </c>
      <c r="S127">
        <v>1.94</v>
      </c>
      <c r="T127">
        <v>3784</v>
      </c>
      <c r="U127">
        <v>0</v>
      </c>
      <c r="V127">
        <v>3784</v>
      </c>
    </row>
    <row r="128" spans="1:22" x14ac:dyDescent="0.3">
      <c r="A128">
        <v>79452</v>
      </c>
      <c r="B128">
        <v>137328330</v>
      </c>
      <c r="C128" t="s">
        <v>1471</v>
      </c>
      <c r="D128" t="s">
        <v>1472</v>
      </c>
      <c r="E128" t="s">
        <v>843</v>
      </c>
      <c r="F128" t="s">
        <v>844</v>
      </c>
      <c r="G128" t="s">
        <v>164</v>
      </c>
      <c r="H128" t="s">
        <v>165</v>
      </c>
      <c r="I128" t="s">
        <v>34</v>
      </c>
      <c r="J128" t="s">
        <v>166</v>
      </c>
      <c r="K128" t="s">
        <v>41</v>
      </c>
      <c r="L128" t="s">
        <v>1473</v>
      </c>
      <c r="M128" t="s">
        <v>1474</v>
      </c>
      <c r="N128" t="s">
        <v>847</v>
      </c>
      <c r="O128" t="s">
        <v>100</v>
      </c>
      <c r="P128" t="s">
        <v>1475</v>
      </c>
      <c r="Q128" t="s">
        <v>78</v>
      </c>
      <c r="R128" t="s">
        <v>781</v>
      </c>
      <c r="S128">
        <v>1.24</v>
      </c>
      <c r="T128">
        <v>3784</v>
      </c>
      <c r="U128">
        <v>0</v>
      </c>
      <c r="V128">
        <v>3784</v>
      </c>
    </row>
    <row r="129" spans="1:22" x14ac:dyDescent="0.3">
      <c r="A129">
        <v>79452</v>
      </c>
      <c r="B129">
        <v>137168435</v>
      </c>
      <c r="C129" t="s">
        <v>1476</v>
      </c>
      <c r="D129" t="s">
        <v>1477</v>
      </c>
      <c r="E129" t="s">
        <v>843</v>
      </c>
      <c r="F129" t="s">
        <v>844</v>
      </c>
      <c r="G129" t="s">
        <v>164</v>
      </c>
      <c r="H129" t="s">
        <v>165</v>
      </c>
      <c r="I129" t="s">
        <v>34</v>
      </c>
      <c r="J129" t="s">
        <v>166</v>
      </c>
      <c r="K129" t="s">
        <v>41</v>
      </c>
      <c r="L129" t="s">
        <v>1478</v>
      </c>
      <c r="M129" t="s">
        <v>1479</v>
      </c>
      <c r="N129" t="s">
        <v>847</v>
      </c>
      <c r="O129" t="s">
        <v>100</v>
      </c>
      <c r="P129" t="s">
        <v>1480</v>
      </c>
      <c r="Q129" t="s">
        <v>54</v>
      </c>
      <c r="R129" t="s">
        <v>966</v>
      </c>
      <c r="S129">
        <v>1.08</v>
      </c>
      <c r="T129">
        <v>5759</v>
      </c>
      <c r="U129">
        <v>0</v>
      </c>
      <c r="V129">
        <v>5759</v>
      </c>
    </row>
    <row r="130" spans="1:22" x14ac:dyDescent="0.3">
      <c r="A130">
        <v>79452</v>
      </c>
      <c r="B130">
        <v>137168434</v>
      </c>
      <c r="C130" t="s">
        <v>1481</v>
      </c>
      <c r="D130" t="s">
        <v>1482</v>
      </c>
      <c r="E130" t="s">
        <v>843</v>
      </c>
      <c r="F130" t="s">
        <v>844</v>
      </c>
      <c r="G130" t="s">
        <v>164</v>
      </c>
      <c r="H130" t="s">
        <v>165</v>
      </c>
      <c r="I130" t="s">
        <v>34</v>
      </c>
      <c r="J130" t="s">
        <v>166</v>
      </c>
      <c r="K130" t="s">
        <v>41</v>
      </c>
      <c r="L130" t="s">
        <v>1483</v>
      </c>
      <c r="M130" t="s">
        <v>1484</v>
      </c>
      <c r="N130" t="s">
        <v>847</v>
      </c>
      <c r="O130" t="s">
        <v>100</v>
      </c>
      <c r="P130" t="s">
        <v>1485</v>
      </c>
      <c r="Q130" t="s">
        <v>55</v>
      </c>
      <c r="R130" t="s">
        <v>966</v>
      </c>
      <c r="S130">
        <v>1</v>
      </c>
      <c r="T130">
        <v>5198</v>
      </c>
      <c r="U130">
        <v>0</v>
      </c>
      <c r="V130">
        <v>5198</v>
      </c>
    </row>
    <row r="131" spans="1:22" x14ac:dyDescent="0.3">
      <c r="A131">
        <v>79452</v>
      </c>
      <c r="B131">
        <v>137289669</v>
      </c>
      <c r="C131" t="s">
        <v>1486</v>
      </c>
      <c r="D131" t="s">
        <v>1487</v>
      </c>
      <c r="E131" t="s">
        <v>843</v>
      </c>
      <c r="F131" t="s">
        <v>844</v>
      </c>
      <c r="G131" t="s">
        <v>164</v>
      </c>
      <c r="H131" t="s">
        <v>165</v>
      </c>
      <c r="I131" t="s">
        <v>34</v>
      </c>
      <c r="J131" t="s">
        <v>166</v>
      </c>
      <c r="K131" t="s">
        <v>41</v>
      </c>
      <c r="L131" t="s">
        <v>1488</v>
      </c>
      <c r="M131" t="s">
        <v>1489</v>
      </c>
      <c r="N131" t="s">
        <v>847</v>
      </c>
      <c r="O131" t="s">
        <v>100</v>
      </c>
      <c r="P131" t="s">
        <v>1490</v>
      </c>
      <c r="Q131" t="s">
        <v>92</v>
      </c>
      <c r="R131" t="s">
        <v>1161</v>
      </c>
      <c r="S131">
        <v>1.22</v>
      </c>
      <c r="T131">
        <v>3366</v>
      </c>
      <c r="U131">
        <v>0</v>
      </c>
      <c r="V131">
        <v>3366</v>
      </c>
    </row>
    <row r="132" spans="1:22" x14ac:dyDescent="0.3">
      <c r="A132">
        <v>79452</v>
      </c>
      <c r="B132">
        <v>137289674</v>
      </c>
      <c r="C132" t="s">
        <v>1491</v>
      </c>
      <c r="D132" t="s">
        <v>1492</v>
      </c>
      <c r="E132" t="s">
        <v>843</v>
      </c>
      <c r="F132" t="s">
        <v>844</v>
      </c>
      <c r="G132" t="s">
        <v>164</v>
      </c>
      <c r="H132" t="s">
        <v>165</v>
      </c>
      <c r="I132" t="s">
        <v>34</v>
      </c>
      <c r="J132" t="s">
        <v>166</v>
      </c>
      <c r="K132" t="s">
        <v>41</v>
      </c>
      <c r="L132" t="s">
        <v>1493</v>
      </c>
      <c r="M132" t="s">
        <v>1494</v>
      </c>
      <c r="N132" t="s">
        <v>847</v>
      </c>
      <c r="O132" t="s">
        <v>100</v>
      </c>
      <c r="P132" t="s">
        <v>1495</v>
      </c>
      <c r="Q132" t="s">
        <v>76</v>
      </c>
      <c r="R132" t="s">
        <v>1161</v>
      </c>
      <c r="S132">
        <v>1.25</v>
      </c>
      <c r="T132">
        <v>3753</v>
      </c>
      <c r="U132">
        <v>0</v>
      </c>
      <c r="V132">
        <v>3753</v>
      </c>
    </row>
    <row r="133" spans="1:22" x14ac:dyDescent="0.3">
      <c r="A133">
        <v>79452</v>
      </c>
      <c r="B133">
        <v>137203621</v>
      </c>
      <c r="C133" t="s">
        <v>1496</v>
      </c>
      <c r="D133" t="s">
        <v>1497</v>
      </c>
      <c r="E133" t="s">
        <v>843</v>
      </c>
      <c r="F133" t="s">
        <v>844</v>
      </c>
      <c r="G133" t="s">
        <v>164</v>
      </c>
      <c r="H133" t="s">
        <v>165</v>
      </c>
      <c r="I133" t="s">
        <v>34</v>
      </c>
      <c r="J133" t="s">
        <v>166</v>
      </c>
      <c r="K133" t="s">
        <v>41</v>
      </c>
      <c r="L133" t="s">
        <v>1498</v>
      </c>
      <c r="M133" t="s">
        <v>1499</v>
      </c>
      <c r="N133" t="s">
        <v>847</v>
      </c>
      <c r="O133" t="s">
        <v>100</v>
      </c>
      <c r="P133" t="s">
        <v>1500</v>
      </c>
      <c r="Q133" t="s">
        <v>89</v>
      </c>
      <c r="R133" t="s">
        <v>449</v>
      </c>
      <c r="S133">
        <v>1</v>
      </c>
      <c r="T133">
        <v>3366</v>
      </c>
      <c r="U133">
        <v>0</v>
      </c>
      <c r="V133">
        <v>3366</v>
      </c>
    </row>
    <row r="134" spans="1:22" x14ac:dyDescent="0.3">
      <c r="A134">
        <v>79452</v>
      </c>
      <c r="B134">
        <v>137289695</v>
      </c>
      <c r="C134" t="s">
        <v>1501</v>
      </c>
      <c r="D134" t="s">
        <v>1502</v>
      </c>
      <c r="E134" t="s">
        <v>843</v>
      </c>
      <c r="F134" t="s">
        <v>844</v>
      </c>
      <c r="G134" t="s">
        <v>164</v>
      </c>
      <c r="H134" t="s">
        <v>165</v>
      </c>
      <c r="I134" t="s">
        <v>34</v>
      </c>
      <c r="J134" t="s">
        <v>166</v>
      </c>
      <c r="K134" t="s">
        <v>41</v>
      </c>
      <c r="L134" t="s">
        <v>1503</v>
      </c>
      <c r="M134" t="s">
        <v>1504</v>
      </c>
      <c r="N134" t="s">
        <v>847</v>
      </c>
      <c r="O134" t="s">
        <v>100</v>
      </c>
      <c r="P134" t="s">
        <v>1505</v>
      </c>
      <c r="Q134" t="s">
        <v>69</v>
      </c>
      <c r="R134" t="s">
        <v>1161</v>
      </c>
      <c r="S134">
        <v>1.97</v>
      </c>
      <c r="T134">
        <v>3753</v>
      </c>
      <c r="U134">
        <v>0</v>
      </c>
      <c r="V134">
        <v>3753</v>
      </c>
    </row>
    <row r="135" spans="1:22" x14ac:dyDescent="0.3">
      <c r="A135">
        <v>79452</v>
      </c>
      <c r="B135">
        <v>137289798</v>
      </c>
      <c r="C135" t="s">
        <v>1506</v>
      </c>
      <c r="D135" t="s">
        <v>1507</v>
      </c>
      <c r="E135" t="s">
        <v>843</v>
      </c>
      <c r="F135" t="s">
        <v>844</v>
      </c>
      <c r="G135" t="s">
        <v>164</v>
      </c>
      <c r="H135" t="s">
        <v>165</v>
      </c>
      <c r="I135" t="s">
        <v>34</v>
      </c>
      <c r="J135" t="s">
        <v>166</v>
      </c>
      <c r="K135" t="s">
        <v>41</v>
      </c>
      <c r="L135" t="s">
        <v>1508</v>
      </c>
      <c r="M135" t="s">
        <v>1509</v>
      </c>
      <c r="N135" t="s">
        <v>847</v>
      </c>
      <c r="O135" t="s">
        <v>100</v>
      </c>
      <c r="P135" t="s">
        <v>1510</v>
      </c>
      <c r="Q135" t="s">
        <v>50</v>
      </c>
      <c r="R135" t="s">
        <v>900</v>
      </c>
      <c r="S135">
        <v>1.46</v>
      </c>
      <c r="T135">
        <v>3784</v>
      </c>
      <c r="U135">
        <v>0</v>
      </c>
      <c r="V135">
        <v>3784</v>
      </c>
    </row>
    <row r="136" spans="1:22" x14ac:dyDescent="0.3">
      <c r="A136">
        <v>79452</v>
      </c>
      <c r="B136">
        <v>137328339</v>
      </c>
      <c r="C136" t="s">
        <v>1511</v>
      </c>
      <c r="D136" t="s">
        <v>1512</v>
      </c>
      <c r="E136" t="s">
        <v>843</v>
      </c>
      <c r="F136" t="s">
        <v>844</v>
      </c>
      <c r="G136" t="s">
        <v>164</v>
      </c>
      <c r="H136" t="s">
        <v>165</v>
      </c>
      <c r="I136" t="s">
        <v>34</v>
      </c>
      <c r="J136" t="s">
        <v>166</v>
      </c>
      <c r="K136" t="s">
        <v>41</v>
      </c>
      <c r="L136" t="s">
        <v>1513</v>
      </c>
      <c r="M136" t="s">
        <v>1514</v>
      </c>
      <c r="N136" t="s">
        <v>847</v>
      </c>
      <c r="O136" t="s">
        <v>100</v>
      </c>
      <c r="P136" t="s">
        <v>1515</v>
      </c>
      <c r="Q136" t="s">
        <v>76</v>
      </c>
      <c r="R136" t="s">
        <v>781</v>
      </c>
      <c r="S136">
        <v>1.0900000000000001</v>
      </c>
      <c r="T136">
        <v>3753</v>
      </c>
      <c r="U136">
        <v>0</v>
      </c>
      <c r="V136">
        <v>3753</v>
      </c>
    </row>
    <row r="137" spans="1:22" x14ac:dyDescent="0.3">
      <c r="A137">
        <v>79452</v>
      </c>
      <c r="B137">
        <v>137328322</v>
      </c>
      <c r="C137" t="s">
        <v>1516</v>
      </c>
      <c r="D137" t="s">
        <v>1517</v>
      </c>
      <c r="E137" t="s">
        <v>843</v>
      </c>
      <c r="F137" t="s">
        <v>844</v>
      </c>
      <c r="G137" t="s">
        <v>164</v>
      </c>
      <c r="H137" t="s">
        <v>165</v>
      </c>
      <c r="I137" t="s">
        <v>34</v>
      </c>
      <c r="J137" t="s">
        <v>166</v>
      </c>
      <c r="K137" t="s">
        <v>41</v>
      </c>
      <c r="L137" t="s">
        <v>1518</v>
      </c>
      <c r="M137" t="s">
        <v>1519</v>
      </c>
      <c r="N137" t="s">
        <v>847</v>
      </c>
      <c r="O137" t="s">
        <v>100</v>
      </c>
      <c r="P137" t="s">
        <v>1520</v>
      </c>
      <c r="Q137" t="s">
        <v>83</v>
      </c>
      <c r="R137" t="s">
        <v>781</v>
      </c>
      <c r="S137">
        <v>0.81</v>
      </c>
      <c r="T137">
        <v>3366</v>
      </c>
      <c r="U137">
        <v>0</v>
      </c>
      <c r="V137">
        <v>3366</v>
      </c>
    </row>
    <row r="138" spans="1:22" x14ac:dyDescent="0.3">
      <c r="A138">
        <v>79452</v>
      </c>
      <c r="B138">
        <v>137289726</v>
      </c>
      <c r="C138" t="s">
        <v>1521</v>
      </c>
      <c r="D138" t="s">
        <v>1522</v>
      </c>
      <c r="E138" t="s">
        <v>843</v>
      </c>
      <c r="F138" t="s">
        <v>844</v>
      </c>
      <c r="G138" t="s">
        <v>164</v>
      </c>
      <c r="H138" t="s">
        <v>165</v>
      </c>
      <c r="I138" t="s">
        <v>34</v>
      </c>
      <c r="J138" t="s">
        <v>166</v>
      </c>
      <c r="K138" t="s">
        <v>41</v>
      </c>
      <c r="L138" t="s">
        <v>1523</v>
      </c>
      <c r="M138" t="s">
        <v>1524</v>
      </c>
      <c r="N138" t="s">
        <v>847</v>
      </c>
      <c r="O138" t="s">
        <v>100</v>
      </c>
      <c r="P138" t="s">
        <v>1525</v>
      </c>
      <c r="Q138" t="s">
        <v>76</v>
      </c>
      <c r="R138" t="s">
        <v>900</v>
      </c>
      <c r="S138">
        <v>2.72</v>
      </c>
      <c r="T138">
        <v>3753</v>
      </c>
      <c r="U138">
        <v>0</v>
      </c>
      <c r="V138">
        <v>3753</v>
      </c>
    </row>
    <row r="139" spans="1:22" x14ac:dyDescent="0.3">
      <c r="A139">
        <v>79452</v>
      </c>
      <c r="B139">
        <v>137289806</v>
      </c>
      <c r="C139" t="s">
        <v>1526</v>
      </c>
      <c r="D139" t="s">
        <v>1527</v>
      </c>
      <c r="E139" t="s">
        <v>843</v>
      </c>
      <c r="F139" t="s">
        <v>844</v>
      </c>
      <c r="G139" t="s">
        <v>164</v>
      </c>
      <c r="H139" t="s">
        <v>165</v>
      </c>
      <c r="I139" t="s">
        <v>34</v>
      </c>
      <c r="J139" t="s">
        <v>166</v>
      </c>
      <c r="K139" t="s">
        <v>41</v>
      </c>
      <c r="L139" t="s">
        <v>1528</v>
      </c>
      <c r="M139" t="s">
        <v>1529</v>
      </c>
      <c r="N139" t="s">
        <v>847</v>
      </c>
      <c r="O139" t="s">
        <v>100</v>
      </c>
      <c r="P139" t="s">
        <v>1530</v>
      </c>
      <c r="Q139" t="s">
        <v>83</v>
      </c>
      <c r="R139" t="s">
        <v>900</v>
      </c>
      <c r="S139">
        <v>1.36</v>
      </c>
      <c r="T139">
        <v>3366</v>
      </c>
      <c r="U139">
        <v>0</v>
      </c>
      <c r="V139">
        <v>3366</v>
      </c>
    </row>
    <row r="140" spans="1:22" x14ac:dyDescent="0.3">
      <c r="A140">
        <v>79452</v>
      </c>
      <c r="B140">
        <v>137289805</v>
      </c>
      <c r="C140" t="s">
        <v>1531</v>
      </c>
      <c r="D140" t="s">
        <v>1532</v>
      </c>
      <c r="E140" t="s">
        <v>843</v>
      </c>
      <c r="F140" t="s">
        <v>844</v>
      </c>
      <c r="G140" t="s">
        <v>164</v>
      </c>
      <c r="H140" t="s">
        <v>165</v>
      </c>
      <c r="I140" t="s">
        <v>34</v>
      </c>
      <c r="J140" t="s">
        <v>166</v>
      </c>
      <c r="K140" t="s">
        <v>41</v>
      </c>
      <c r="L140" t="s">
        <v>1533</v>
      </c>
      <c r="M140" t="s">
        <v>534</v>
      </c>
      <c r="N140" t="s">
        <v>847</v>
      </c>
      <c r="O140" t="s">
        <v>100</v>
      </c>
      <c r="P140" t="s">
        <v>1534</v>
      </c>
      <c r="Q140" t="s">
        <v>92</v>
      </c>
      <c r="R140" t="s">
        <v>900</v>
      </c>
      <c r="S140">
        <v>1.08</v>
      </c>
      <c r="T140">
        <v>3366</v>
      </c>
      <c r="U140">
        <v>0</v>
      </c>
      <c r="V140">
        <v>3366</v>
      </c>
    </row>
    <row r="141" spans="1:22" x14ac:dyDescent="0.3">
      <c r="A141">
        <v>79452</v>
      </c>
      <c r="B141">
        <v>137203646</v>
      </c>
      <c r="C141" t="s">
        <v>1535</v>
      </c>
      <c r="D141" t="s">
        <v>1536</v>
      </c>
      <c r="E141" t="s">
        <v>843</v>
      </c>
      <c r="F141" t="s">
        <v>844</v>
      </c>
      <c r="G141" t="s">
        <v>164</v>
      </c>
      <c r="H141" t="s">
        <v>165</v>
      </c>
      <c r="I141" t="s">
        <v>34</v>
      </c>
      <c r="J141" t="s">
        <v>166</v>
      </c>
      <c r="K141" t="s">
        <v>41</v>
      </c>
      <c r="L141" t="s">
        <v>1537</v>
      </c>
      <c r="M141" t="s">
        <v>1538</v>
      </c>
      <c r="N141" t="s">
        <v>847</v>
      </c>
      <c r="O141" t="s">
        <v>100</v>
      </c>
      <c r="P141" t="s">
        <v>1539</v>
      </c>
      <c r="Q141" t="s">
        <v>55</v>
      </c>
      <c r="R141" t="s">
        <v>449</v>
      </c>
      <c r="S141">
        <v>1.32</v>
      </c>
      <c r="T141">
        <v>5198</v>
      </c>
      <c r="U141">
        <v>0</v>
      </c>
      <c r="V141">
        <v>5198</v>
      </c>
    </row>
    <row r="142" spans="1:22" x14ac:dyDescent="0.3">
      <c r="A142">
        <v>79452</v>
      </c>
      <c r="B142">
        <v>137328312</v>
      </c>
      <c r="C142" t="s">
        <v>1540</v>
      </c>
      <c r="D142" t="s">
        <v>1541</v>
      </c>
      <c r="E142" t="s">
        <v>843</v>
      </c>
      <c r="F142" t="s">
        <v>844</v>
      </c>
      <c r="G142" t="s">
        <v>164</v>
      </c>
      <c r="H142" t="s">
        <v>165</v>
      </c>
      <c r="I142" t="s">
        <v>34</v>
      </c>
      <c r="J142" t="s">
        <v>166</v>
      </c>
      <c r="K142" t="s">
        <v>41</v>
      </c>
      <c r="L142" t="s">
        <v>1542</v>
      </c>
      <c r="M142" t="s">
        <v>1543</v>
      </c>
      <c r="N142" t="s">
        <v>847</v>
      </c>
      <c r="O142" t="s">
        <v>100</v>
      </c>
      <c r="P142" t="s">
        <v>1544</v>
      </c>
      <c r="Q142" t="s">
        <v>168</v>
      </c>
      <c r="R142" t="s">
        <v>781</v>
      </c>
      <c r="S142">
        <v>1.96</v>
      </c>
      <c r="T142">
        <v>3366</v>
      </c>
      <c r="U142">
        <v>0</v>
      </c>
      <c r="V142">
        <v>3366</v>
      </c>
    </row>
    <row r="143" spans="1:22" x14ac:dyDescent="0.3">
      <c r="A143">
        <v>79452</v>
      </c>
      <c r="B143">
        <v>136997141</v>
      </c>
      <c r="C143" t="s">
        <v>1545</v>
      </c>
      <c r="D143" t="s">
        <v>1546</v>
      </c>
      <c r="E143" t="s">
        <v>843</v>
      </c>
      <c r="F143" t="s">
        <v>844</v>
      </c>
      <c r="G143" t="s">
        <v>164</v>
      </c>
      <c r="H143" t="s">
        <v>165</v>
      </c>
      <c r="I143" t="s">
        <v>34</v>
      </c>
      <c r="J143" t="s">
        <v>166</v>
      </c>
      <c r="K143" t="s">
        <v>41</v>
      </c>
      <c r="L143" t="s">
        <v>1547</v>
      </c>
      <c r="M143" t="s">
        <v>1548</v>
      </c>
      <c r="N143" t="s">
        <v>847</v>
      </c>
      <c r="O143" t="s">
        <v>100</v>
      </c>
      <c r="P143" t="s">
        <v>1549</v>
      </c>
      <c r="Q143" t="s">
        <v>57</v>
      </c>
      <c r="R143" t="s">
        <v>1550</v>
      </c>
      <c r="S143">
        <v>1.0900000000000001</v>
      </c>
      <c r="T143">
        <v>5476</v>
      </c>
      <c r="U143">
        <v>0</v>
      </c>
      <c r="V143">
        <v>5476</v>
      </c>
    </row>
    <row r="144" spans="1:22" x14ac:dyDescent="0.3">
      <c r="A144">
        <v>79452</v>
      </c>
      <c r="B144">
        <v>137289754</v>
      </c>
      <c r="C144" t="s">
        <v>1551</v>
      </c>
      <c r="D144" t="s">
        <v>1552</v>
      </c>
      <c r="E144" t="s">
        <v>843</v>
      </c>
      <c r="F144" t="s">
        <v>844</v>
      </c>
      <c r="G144" t="s">
        <v>164</v>
      </c>
      <c r="H144" t="s">
        <v>165</v>
      </c>
      <c r="I144" t="s">
        <v>34</v>
      </c>
      <c r="J144" t="s">
        <v>166</v>
      </c>
      <c r="K144" t="s">
        <v>41</v>
      </c>
      <c r="L144" t="s">
        <v>1553</v>
      </c>
      <c r="M144" t="s">
        <v>1554</v>
      </c>
      <c r="N144" t="s">
        <v>847</v>
      </c>
      <c r="O144" t="s">
        <v>100</v>
      </c>
      <c r="P144" t="s">
        <v>1555</v>
      </c>
      <c r="Q144" t="s">
        <v>93</v>
      </c>
      <c r="R144" t="s">
        <v>900</v>
      </c>
      <c r="S144">
        <v>1</v>
      </c>
      <c r="T144">
        <v>3366</v>
      </c>
      <c r="U144">
        <v>0</v>
      </c>
      <c r="V144">
        <v>3366</v>
      </c>
    </row>
    <row r="145" spans="1:22" x14ac:dyDescent="0.3">
      <c r="A145">
        <v>79452</v>
      </c>
      <c r="B145">
        <v>137252181</v>
      </c>
      <c r="C145" t="s">
        <v>1556</v>
      </c>
      <c r="D145" t="s">
        <v>1557</v>
      </c>
      <c r="E145" t="s">
        <v>843</v>
      </c>
      <c r="F145" t="s">
        <v>844</v>
      </c>
      <c r="G145" t="s">
        <v>164</v>
      </c>
      <c r="H145" t="s">
        <v>165</v>
      </c>
      <c r="I145" t="s">
        <v>34</v>
      </c>
      <c r="J145" t="s">
        <v>166</v>
      </c>
      <c r="K145" t="s">
        <v>41</v>
      </c>
      <c r="L145" t="s">
        <v>1558</v>
      </c>
      <c r="M145" t="s">
        <v>1559</v>
      </c>
      <c r="N145" t="s">
        <v>847</v>
      </c>
      <c r="O145" t="s">
        <v>100</v>
      </c>
      <c r="P145" t="s">
        <v>1560</v>
      </c>
      <c r="Q145" t="s">
        <v>67</v>
      </c>
      <c r="R145" t="s">
        <v>1124</v>
      </c>
      <c r="S145">
        <v>0.79</v>
      </c>
      <c r="T145">
        <v>3784</v>
      </c>
      <c r="U145">
        <v>0</v>
      </c>
      <c r="V145">
        <v>3784</v>
      </c>
    </row>
    <row r="146" spans="1:22" x14ac:dyDescent="0.3">
      <c r="A146">
        <v>79452</v>
      </c>
      <c r="B146">
        <v>137203713</v>
      </c>
      <c r="C146" t="s">
        <v>1561</v>
      </c>
      <c r="D146" t="s">
        <v>1562</v>
      </c>
      <c r="E146" t="s">
        <v>843</v>
      </c>
      <c r="F146" t="s">
        <v>844</v>
      </c>
      <c r="G146" t="s">
        <v>164</v>
      </c>
      <c r="H146" t="s">
        <v>165</v>
      </c>
      <c r="I146" t="s">
        <v>34</v>
      </c>
      <c r="J146" t="s">
        <v>166</v>
      </c>
      <c r="K146" t="s">
        <v>41</v>
      </c>
      <c r="L146" t="s">
        <v>1563</v>
      </c>
      <c r="M146" t="s">
        <v>1564</v>
      </c>
      <c r="N146" t="s">
        <v>847</v>
      </c>
      <c r="O146" t="s">
        <v>100</v>
      </c>
      <c r="P146" t="s">
        <v>1565</v>
      </c>
      <c r="Q146" t="s">
        <v>89</v>
      </c>
      <c r="R146" t="s">
        <v>547</v>
      </c>
      <c r="S146">
        <v>1.71</v>
      </c>
      <c r="T146">
        <v>3366</v>
      </c>
      <c r="U146">
        <v>0</v>
      </c>
      <c r="V146">
        <v>3366</v>
      </c>
    </row>
    <row r="147" spans="1:22" x14ac:dyDescent="0.3">
      <c r="A147">
        <v>79452</v>
      </c>
      <c r="B147">
        <v>137289763</v>
      </c>
      <c r="C147" t="s">
        <v>1566</v>
      </c>
      <c r="D147" t="s">
        <v>1567</v>
      </c>
      <c r="E147" t="s">
        <v>843</v>
      </c>
      <c r="F147" t="s">
        <v>844</v>
      </c>
      <c r="G147" t="s">
        <v>164</v>
      </c>
      <c r="H147" t="s">
        <v>165</v>
      </c>
      <c r="I147" t="s">
        <v>34</v>
      </c>
      <c r="J147" t="s">
        <v>166</v>
      </c>
      <c r="K147" t="s">
        <v>41</v>
      </c>
      <c r="L147" t="s">
        <v>1568</v>
      </c>
      <c r="M147" t="s">
        <v>1569</v>
      </c>
      <c r="N147" t="s">
        <v>847</v>
      </c>
      <c r="O147" t="s">
        <v>100</v>
      </c>
      <c r="P147" t="s">
        <v>1570</v>
      </c>
      <c r="Q147" t="s">
        <v>43</v>
      </c>
      <c r="R147" t="s">
        <v>900</v>
      </c>
      <c r="S147">
        <v>0.78</v>
      </c>
      <c r="T147">
        <v>3753</v>
      </c>
      <c r="U147">
        <v>0</v>
      </c>
      <c r="V147">
        <v>3753</v>
      </c>
    </row>
    <row r="148" spans="1:22" x14ac:dyDescent="0.3">
      <c r="A148">
        <v>79452</v>
      </c>
      <c r="B148">
        <v>137168440</v>
      </c>
      <c r="C148" t="s">
        <v>1571</v>
      </c>
      <c r="D148" t="s">
        <v>1572</v>
      </c>
      <c r="E148" t="s">
        <v>843</v>
      </c>
      <c r="F148" t="s">
        <v>844</v>
      </c>
      <c r="G148" t="s">
        <v>164</v>
      </c>
      <c r="H148" t="s">
        <v>165</v>
      </c>
      <c r="I148" t="s">
        <v>34</v>
      </c>
      <c r="J148" t="s">
        <v>166</v>
      </c>
      <c r="K148" t="s">
        <v>41</v>
      </c>
      <c r="L148" t="s">
        <v>1573</v>
      </c>
      <c r="M148" t="s">
        <v>1574</v>
      </c>
      <c r="N148" t="s">
        <v>847</v>
      </c>
      <c r="O148" t="s">
        <v>100</v>
      </c>
      <c r="P148" t="s">
        <v>1575</v>
      </c>
      <c r="Q148" t="s">
        <v>72</v>
      </c>
      <c r="R148" t="s">
        <v>966</v>
      </c>
      <c r="S148">
        <v>1</v>
      </c>
      <c r="T148">
        <v>3784</v>
      </c>
      <c r="U148">
        <v>0</v>
      </c>
      <c r="V148">
        <v>3784</v>
      </c>
    </row>
    <row r="149" spans="1:22" x14ac:dyDescent="0.3">
      <c r="A149">
        <v>79452</v>
      </c>
      <c r="B149">
        <v>137252158</v>
      </c>
      <c r="C149" t="s">
        <v>1576</v>
      </c>
      <c r="D149" t="s">
        <v>1577</v>
      </c>
      <c r="E149" t="s">
        <v>843</v>
      </c>
      <c r="F149" t="s">
        <v>844</v>
      </c>
      <c r="G149" t="s">
        <v>164</v>
      </c>
      <c r="H149" t="s">
        <v>165</v>
      </c>
      <c r="I149" t="s">
        <v>34</v>
      </c>
      <c r="J149" t="s">
        <v>166</v>
      </c>
      <c r="K149" t="s">
        <v>41</v>
      </c>
      <c r="L149" t="s">
        <v>1082</v>
      </c>
      <c r="M149" t="s">
        <v>1083</v>
      </c>
      <c r="N149" t="s">
        <v>847</v>
      </c>
      <c r="O149" t="s">
        <v>100</v>
      </c>
      <c r="P149" t="s">
        <v>1084</v>
      </c>
      <c r="Q149" t="s">
        <v>94</v>
      </c>
      <c r="R149" t="s">
        <v>1124</v>
      </c>
      <c r="S149">
        <v>0.89</v>
      </c>
      <c r="T149">
        <v>3366</v>
      </c>
      <c r="U149">
        <v>0</v>
      </c>
      <c r="V149">
        <v>3366</v>
      </c>
    </row>
    <row r="150" spans="1:22" x14ac:dyDescent="0.3">
      <c r="A150">
        <v>79452</v>
      </c>
      <c r="B150">
        <v>137252117</v>
      </c>
      <c r="C150" t="s">
        <v>1578</v>
      </c>
      <c r="D150" t="s">
        <v>1579</v>
      </c>
      <c r="E150" t="s">
        <v>843</v>
      </c>
      <c r="F150" t="s">
        <v>844</v>
      </c>
      <c r="G150" t="s">
        <v>164</v>
      </c>
      <c r="H150" t="s">
        <v>165</v>
      </c>
      <c r="I150" t="s">
        <v>34</v>
      </c>
      <c r="J150" t="s">
        <v>166</v>
      </c>
      <c r="K150" t="s">
        <v>41</v>
      </c>
      <c r="L150" t="s">
        <v>1580</v>
      </c>
      <c r="M150" t="s">
        <v>1581</v>
      </c>
      <c r="N150" t="s">
        <v>847</v>
      </c>
      <c r="O150" t="s">
        <v>100</v>
      </c>
      <c r="P150" t="s">
        <v>1582</v>
      </c>
      <c r="Q150" t="s">
        <v>72</v>
      </c>
      <c r="R150" t="s">
        <v>1124</v>
      </c>
      <c r="S150">
        <v>1.43</v>
      </c>
      <c r="T150">
        <v>3784</v>
      </c>
      <c r="U150">
        <v>0</v>
      </c>
      <c r="V150">
        <v>3784</v>
      </c>
    </row>
    <row r="151" spans="1:22" x14ac:dyDescent="0.3">
      <c r="A151">
        <v>79452</v>
      </c>
      <c r="B151">
        <v>137203704</v>
      </c>
      <c r="C151" t="s">
        <v>1583</v>
      </c>
      <c r="D151" t="s">
        <v>1584</v>
      </c>
      <c r="E151" t="s">
        <v>843</v>
      </c>
      <c r="F151" t="s">
        <v>844</v>
      </c>
      <c r="G151" t="s">
        <v>164</v>
      </c>
      <c r="H151" t="s">
        <v>165</v>
      </c>
      <c r="I151" t="s">
        <v>34</v>
      </c>
      <c r="J151" t="s">
        <v>166</v>
      </c>
      <c r="K151" t="s">
        <v>41</v>
      </c>
      <c r="L151" t="s">
        <v>1585</v>
      </c>
      <c r="M151" t="s">
        <v>1586</v>
      </c>
      <c r="N151" t="s">
        <v>847</v>
      </c>
      <c r="O151" t="s">
        <v>100</v>
      </c>
      <c r="P151" t="s">
        <v>1587</v>
      </c>
      <c r="Q151" t="s">
        <v>63</v>
      </c>
      <c r="R151" t="s">
        <v>547</v>
      </c>
      <c r="S151">
        <v>1.1599999999999999</v>
      </c>
      <c r="T151">
        <v>4067</v>
      </c>
      <c r="U151">
        <v>0</v>
      </c>
      <c r="V151">
        <v>4067</v>
      </c>
    </row>
    <row r="152" spans="1:22" x14ac:dyDescent="0.3">
      <c r="A152">
        <v>79452</v>
      </c>
      <c r="B152">
        <v>137203689</v>
      </c>
      <c r="C152" t="s">
        <v>1588</v>
      </c>
      <c r="D152" t="s">
        <v>1589</v>
      </c>
      <c r="E152" t="s">
        <v>843</v>
      </c>
      <c r="F152" t="s">
        <v>844</v>
      </c>
      <c r="G152" t="s">
        <v>164</v>
      </c>
      <c r="H152" t="s">
        <v>165</v>
      </c>
      <c r="I152" t="s">
        <v>34</v>
      </c>
      <c r="J152" t="s">
        <v>166</v>
      </c>
      <c r="K152" t="s">
        <v>41</v>
      </c>
      <c r="L152" t="s">
        <v>1590</v>
      </c>
      <c r="M152" t="s">
        <v>1591</v>
      </c>
      <c r="N152" t="s">
        <v>847</v>
      </c>
      <c r="O152" t="s">
        <v>100</v>
      </c>
      <c r="P152" t="s">
        <v>1592</v>
      </c>
      <c r="Q152" t="s">
        <v>69</v>
      </c>
      <c r="R152" t="s">
        <v>547</v>
      </c>
      <c r="S152">
        <v>1.4</v>
      </c>
      <c r="T152">
        <v>3753</v>
      </c>
      <c r="U152">
        <v>0</v>
      </c>
      <c r="V152">
        <v>3753</v>
      </c>
    </row>
    <row r="153" spans="1:22" x14ac:dyDescent="0.3">
      <c r="A153">
        <v>79452</v>
      </c>
      <c r="B153">
        <v>137203673</v>
      </c>
      <c r="C153" t="s">
        <v>1593</v>
      </c>
      <c r="D153" t="s">
        <v>1594</v>
      </c>
      <c r="E153" t="s">
        <v>843</v>
      </c>
      <c r="F153" t="s">
        <v>844</v>
      </c>
      <c r="G153" t="s">
        <v>164</v>
      </c>
      <c r="H153" t="s">
        <v>165</v>
      </c>
      <c r="I153" t="s">
        <v>34</v>
      </c>
      <c r="J153" t="s">
        <v>166</v>
      </c>
      <c r="K153" t="s">
        <v>41</v>
      </c>
      <c r="L153" t="s">
        <v>1595</v>
      </c>
      <c r="M153" t="s">
        <v>959</v>
      </c>
      <c r="N153" t="s">
        <v>847</v>
      </c>
      <c r="O153" t="s">
        <v>100</v>
      </c>
      <c r="P153" t="s">
        <v>960</v>
      </c>
      <c r="Q153" t="s">
        <v>84</v>
      </c>
      <c r="R153" t="s">
        <v>449</v>
      </c>
      <c r="S153">
        <v>1</v>
      </c>
      <c r="T153">
        <v>3366</v>
      </c>
      <c r="U153">
        <v>0</v>
      </c>
      <c r="V153">
        <v>3366</v>
      </c>
    </row>
    <row r="154" spans="1:22" x14ac:dyDescent="0.3">
      <c r="A154">
        <v>79452</v>
      </c>
      <c r="B154">
        <v>137252145</v>
      </c>
      <c r="C154" t="s">
        <v>1596</v>
      </c>
      <c r="D154" t="s">
        <v>1597</v>
      </c>
      <c r="E154" t="s">
        <v>843</v>
      </c>
      <c r="F154" t="s">
        <v>844</v>
      </c>
      <c r="G154" t="s">
        <v>164</v>
      </c>
      <c r="H154" t="s">
        <v>165</v>
      </c>
      <c r="I154" t="s">
        <v>34</v>
      </c>
      <c r="J154" t="s">
        <v>166</v>
      </c>
      <c r="K154" t="s">
        <v>41</v>
      </c>
      <c r="L154" t="s">
        <v>1598</v>
      </c>
      <c r="M154" t="s">
        <v>1599</v>
      </c>
      <c r="N154" t="s">
        <v>847</v>
      </c>
      <c r="O154" t="s">
        <v>100</v>
      </c>
      <c r="P154" t="s">
        <v>1600</v>
      </c>
      <c r="Q154" t="s">
        <v>69</v>
      </c>
      <c r="R154" t="s">
        <v>1124</v>
      </c>
      <c r="S154">
        <v>1.1299999999999999</v>
      </c>
      <c r="T154">
        <v>3753</v>
      </c>
      <c r="U154">
        <v>0</v>
      </c>
      <c r="V154">
        <v>3753</v>
      </c>
    </row>
    <row r="155" spans="1:22" x14ac:dyDescent="0.3">
      <c r="A155">
        <v>79452</v>
      </c>
      <c r="B155">
        <v>136559282</v>
      </c>
      <c r="C155" t="s">
        <v>1601</v>
      </c>
      <c r="D155" t="s">
        <v>1602</v>
      </c>
      <c r="E155" t="s">
        <v>843</v>
      </c>
      <c r="F155" t="s">
        <v>844</v>
      </c>
      <c r="G155" t="s">
        <v>164</v>
      </c>
      <c r="H155" t="s">
        <v>165</v>
      </c>
      <c r="I155" t="s">
        <v>34</v>
      </c>
      <c r="J155" t="s">
        <v>166</v>
      </c>
      <c r="K155" t="s">
        <v>41</v>
      </c>
      <c r="L155" t="s">
        <v>1603</v>
      </c>
      <c r="M155" t="s">
        <v>1604</v>
      </c>
      <c r="N155" t="s">
        <v>847</v>
      </c>
      <c r="O155" t="s">
        <v>100</v>
      </c>
      <c r="P155" t="s">
        <v>1605</v>
      </c>
      <c r="Q155" t="s">
        <v>246</v>
      </c>
      <c r="R155" t="s">
        <v>1606</v>
      </c>
      <c r="S155">
        <v>0.83</v>
      </c>
      <c r="T155">
        <v>5759</v>
      </c>
      <c r="U155">
        <v>0</v>
      </c>
      <c r="V155">
        <v>5759</v>
      </c>
    </row>
    <row r="156" spans="1:22" x14ac:dyDescent="0.3">
      <c r="A156">
        <v>79452</v>
      </c>
      <c r="B156">
        <v>137252164</v>
      </c>
      <c r="C156" t="s">
        <v>1607</v>
      </c>
      <c r="D156" t="s">
        <v>1608</v>
      </c>
      <c r="E156" t="s">
        <v>843</v>
      </c>
      <c r="F156" t="s">
        <v>844</v>
      </c>
      <c r="G156" t="s">
        <v>164</v>
      </c>
      <c r="H156" t="s">
        <v>165</v>
      </c>
      <c r="I156" t="s">
        <v>34</v>
      </c>
      <c r="J156" t="s">
        <v>166</v>
      </c>
      <c r="K156" t="s">
        <v>41</v>
      </c>
      <c r="L156" t="s">
        <v>1609</v>
      </c>
      <c r="M156" t="s">
        <v>1610</v>
      </c>
      <c r="N156" t="s">
        <v>847</v>
      </c>
      <c r="O156" t="s">
        <v>100</v>
      </c>
      <c r="P156" t="s">
        <v>1611</v>
      </c>
      <c r="Q156" t="s">
        <v>83</v>
      </c>
      <c r="R156" t="s">
        <v>1124</v>
      </c>
      <c r="S156">
        <v>1</v>
      </c>
      <c r="T156">
        <v>3366</v>
      </c>
      <c r="U156">
        <v>0</v>
      </c>
      <c r="V156">
        <v>3366</v>
      </c>
    </row>
    <row r="157" spans="1:22" x14ac:dyDescent="0.3">
      <c r="A157">
        <v>79452</v>
      </c>
      <c r="B157">
        <v>137203639</v>
      </c>
      <c r="C157" t="s">
        <v>1612</v>
      </c>
      <c r="D157" t="s">
        <v>1613</v>
      </c>
      <c r="E157" t="s">
        <v>843</v>
      </c>
      <c r="F157" t="s">
        <v>844</v>
      </c>
      <c r="G157" t="s">
        <v>164</v>
      </c>
      <c r="H157" t="s">
        <v>165</v>
      </c>
      <c r="I157" t="s">
        <v>34</v>
      </c>
      <c r="J157" t="s">
        <v>166</v>
      </c>
      <c r="K157" t="s">
        <v>41</v>
      </c>
      <c r="L157" t="s">
        <v>1614</v>
      </c>
      <c r="M157" t="s">
        <v>1615</v>
      </c>
      <c r="N157" t="s">
        <v>847</v>
      </c>
      <c r="O157" t="s">
        <v>100</v>
      </c>
      <c r="P157" t="s">
        <v>1616</v>
      </c>
      <c r="Q157" t="s">
        <v>91</v>
      </c>
      <c r="R157" t="s">
        <v>449</v>
      </c>
      <c r="S157">
        <v>1.28</v>
      </c>
      <c r="T157">
        <v>3870</v>
      </c>
      <c r="U157">
        <v>0</v>
      </c>
      <c r="V157">
        <v>3870</v>
      </c>
    </row>
    <row r="158" spans="1:22" x14ac:dyDescent="0.3">
      <c r="A158">
        <v>79452</v>
      </c>
      <c r="B158">
        <v>137121397</v>
      </c>
      <c r="C158" t="s">
        <v>1617</v>
      </c>
      <c r="D158" t="s">
        <v>1618</v>
      </c>
      <c r="E158" t="s">
        <v>843</v>
      </c>
      <c r="F158" t="s">
        <v>844</v>
      </c>
      <c r="G158" t="s">
        <v>164</v>
      </c>
      <c r="H158" t="s">
        <v>165</v>
      </c>
      <c r="I158" t="s">
        <v>34</v>
      </c>
      <c r="J158" t="s">
        <v>166</v>
      </c>
      <c r="K158" t="s">
        <v>41</v>
      </c>
      <c r="L158" t="s">
        <v>1619</v>
      </c>
      <c r="M158" t="s">
        <v>1620</v>
      </c>
      <c r="N158" t="s">
        <v>847</v>
      </c>
      <c r="O158" t="s">
        <v>100</v>
      </c>
      <c r="P158" t="s">
        <v>1621</v>
      </c>
      <c r="Q158" t="s">
        <v>57</v>
      </c>
      <c r="R158" t="s">
        <v>420</v>
      </c>
      <c r="S158">
        <v>1</v>
      </c>
      <c r="T158">
        <v>5476</v>
      </c>
      <c r="U158">
        <v>0</v>
      </c>
      <c r="V158">
        <v>5476</v>
      </c>
    </row>
    <row r="159" spans="1:22" x14ac:dyDescent="0.3">
      <c r="A159">
        <v>79452</v>
      </c>
      <c r="B159">
        <v>137168496</v>
      </c>
      <c r="C159" t="s">
        <v>1622</v>
      </c>
      <c r="D159" t="s">
        <v>1623</v>
      </c>
      <c r="E159" t="s">
        <v>843</v>
      </c>
      <c r="F159" t="s">
        <v>844</v>
      </c>
      <c r="G159" t="s">
        <v>164</v>
      </c>
      <c r="H159" t="s">
        <v>165</v>
      </c>
      <c r="I159" t="s">
        <v>34</v>
      </c>
      <c r="J159" t="s">
        <v>166</v>
      </c>
      <c r="K159" t="s">
        <v>41</v>
      </c>
      <c r="L159" t="s">
        <v>1624</v>
      </c>
      <c r="M159" t="s">
        <v>1625</v>
      </c>
      <c r="N159" t="s">
        <v>847</v>
      </c>
      <c r="O159" t="s">
        <v>100</v>
      </c>
      <c r="P159" t="s">
        <v>1626</v>
      </c>
      <c r="Q159" t="s">
        <v>59</v>
      </c>
      <c r="R159" t="s">
        <v>966</v>
      </c>
      <c r="S159">
        <v>1</v>
      </c>
      <c r="T159">
        <v>4067</v>
      </c>
      <c r="U159">
        <v>0</v>
      </c>
      <c r="V159">
        <v>4067</v>
      </c>
    </row>
    <row r="160" spans="1:22" x14ac:dyDescent="0.3">
      <c r="A160">
        <v>79452</v>
      </c>
      <c r="B160">
        <v>137121426</v>
      </c>
      <c r="C160" t="s">
        <v>1627</v>
      </c>
      <c r="D160" t="s">
        <v>1628</v>
      </c>
      <c r="E160" t="s">
        <v>843</v>
      </c>
      <c r="F160" t="s">
        <v>844</v>
      </c>
      <c r="G160" t="s">
        <v>164</v>
      </c>
      <c r="H160" t="s">
        <v>165</v>
      </c>
      <c r="I160" t="s">
        <v>34</v>
      </c>
      <c r="J160" t="s">
        <v>166</v>
      </c>
      <c r="K160" t="s">
        <v>41</v>
      </c>
      <c r="L160" t="s">
        <v>1629</v>
      </c>
      <c r="M160" t="s">
        <v>1630</v>
      </c>
      <c r="N160" t="s">
        <v>847</v>
      </c>
      <c r="O160" t="s">
        <v>100</v>
      </c>
      <c r="P160" t="s">
        <v>1631</v>
      </c>
      <c r="Q160" t="s">
        <v>59</v>
      </c>
      <c r="R160" t="s">
        <v>420</v>
      </c>
      <c r="S160">
        <v>1</v>
      </c>
      <c r="T160">
        <v>4067</v>
      </c>
      <c r="U160">
        <v>0</v>
      </c>
      <c r="V160">
        <v>4067</v>
      </c>
    </row>
    <row r="161" spans="1:22" x14ac:dyDescent="0.3">
      <c r="A161">
        <v>79452</v>
      </c>
      <c r="B161">
        <v>137203649</v>
      </c>
      <c r="C161" t="s">
        <v>1632</v>
      </c>
      <c r="D161" t="s">
        <v>1633</v>
      </c>
      <c r="E161" t="s">
        <v>843</v>
      </c>
      <c r="F161" t="s">
        <v>844</v>
      </c>
      <c r="G161" t="s">
        <v>164</v>
      </c>
      <c r="H161" t="s">
        <v>165</v>
      </c>
      <c r="I161" t="s">
        <v>34</v>
      </c>
      <c r="J161" t="s">
        <v>166</v>
      </c>
      <c r="K161" t="s">
        <v>41</v>
      </c>
      <c r="L161" t="s">
        <v>1634</v>
      </c>
      <c r="M161" t="s">
        <v>1635</v>
      </c>
      <c r="N161" t="s">
        <v>847</v>
      </c>
      <c r="O161" t="s">
        <v>100</v>
      </c>
      <c r="P161" t="s">
        <v>1636</v>
      </c>
      <c r="Q161" t="s">
        <v>68</v>
      </c>
      <c r="R161" t="s">
        <v>449</v>
      </c>
      <c r="S161">
        <v>0.93</v>
      </c>
      <c r="T161">
        <v>3753</v>
      </c>
      <c r="U161">
        <v>0</v>
      </c>
      <c r="V161">
        <v>3753</v>
      </c>
    </row>
    <row r="162" spans="1:22" x14ac:dyDescent="0.3">
      <c r="A162">
        <v>79452</v>
      </c>
      <c r="B162">
        <v>137203650</v>
      </c>
      <c r="C162" t="s">
        <v>1637</v>
      </c>
      <c r="D162" t="s">
        <v>1638</v>
      </c>
      <c r="E162" t="s">
        <v>843</v>
      </c>
      <c r="F162" t="s">
        <v>844</v>
      </c>
      <c r="G162" t="s">
        <v>164</v>
      </c>
      <c r="H162" t="s">
        <v>165</v>
      </c>
      <c r="I162" t="s">
        <v>34</v>
      </c>
      <c r="J162" t="s">
        <v>166</v>
      </c>
      <c r="K162" t="s">
        <v>41</v>
      </c>
      <c r="L162" t="s">
        <v>1639</v>
      </c>
      <c r="M162" t="s">
        <v>1640</v>
      </c>
      <c r="N162" t="s">
        <v>847</v>
      </c>
      <c r="O162" t="s">
        <v>100</v>
      </c>
      <c r="P162" t="s">
        <v>1641</v>
      </c>
      <c r="Q162" t="s">
        <v>190</v>
      </c>
      <c r="R162" t="s">
        <v>449</v>
      </c>
      <c r="S162">
        <v>1.1499999999999999</v>
      </c>
      <c r="T162">
        <v>3366</v>
      </c>
      <c r="U162">
        <v>0</v>
      </c>
      <c r="V162">
        <v>3366</v>
      </c>
    </row>
    <row r="163" spans="1:22" x14ac:dyDescent="0.3">
      <c r="A163">
        <v>79452</v>
      </c>
      <c r="B163">
        <v>136997216</v>
      </c>
      <c r="C163" t="s">
        <v>1642</v>
      </c>
      <c r="D163" t="s">
        <v>1643</v>
      </c>
      <c r="E163" t="s">
        <v>843</v>
      </c>
      <c r="F163" t="s">
        <v>844</v>
      </c>
      <c r="G163" t="s">
        <v>164</v>
      </c>
      <c r="H163" t="s">
        <v>165</v>
      </c>
      <c r="I163" t="s">
        <v>34</v>
      </c>
      <c r="J163" t="s">
        <v>166</v>
      </c>
      <c r="K163" t="s">
        <v>41</v>
      </c>
      <c r="L163" t="s">
        <v>1644</v>
      </c>
      <c r="M163" t="s">
        <v>1645</v>
      </c>
      <c r="N163" t="s">
        <v>847</v>
      </c>
      <c r="O163" t="s">
        <v>100</v>
      </c>
      <c r="P163" t="s">
        <v>1646</v>
      </c>
      <c r="Q163" t="s">
        <v>74</v>
      </c>
      <c r="R163" t="s">
        <v>1550</v>
      </c>
      <c r="S163">
        <v>0.92</v>
      </c>
      <c r="T163">
        <v>3753</v>
      </c>
      <c r="U163">
        <v>0</v>
      </c>
      <c r="V163">
        <v>3753</v>
      </c>
    </row>
    <row r="164" spans="1:22" x14ac:dyDescent="0.3">
      <c r="A164">
        <v>79452</v>
      </c>
      <c r="B164">
        <v>137084186</v>
      </c>
      <c r="C164" t="s">
        <v>1647</v>
      </c>
      <c r="D164" t="s">
        <v>1648</v>
      </c>
      <c r="E164" t="s">
        <v>843</v>
      </c>
      <c r="F164" t="s">
        <v>844</v>
      </c>
      <c r="G164" t="s">
        <v>164</v>
      </c>
      <c r="H164" t="s">
        <v>165</v>
      </c>
      <c r="I164" t="s">
        <v>34</v>
      </c>
      <c r="J164" t="s">
        <v>166</v>
      </c>
      <c r="K164" t="s">
        <v>41</v>
      </c>
      <c r="L164" t="s">
        <v>1649</v>
      </c>
      <c r="M164" t="s">
        <v>1650</v>
      </c>
      <c r="N164" t="s">
        <v>847</v>
      </c>
      <c r="O164" t="s">
        <v>100</v>
      </c>
      <c r="P164" t="s">
        <v>1651</v>
      </c>
      <c r="Q164" t="s">
        <v>58</v>
      </c>
      <c r="R164" t="s">
        <v>460</v>
      </c>
      <c r="S164">
        <v>0.78</v>
      </c>
      <c r="T164">
        <v>5759</v>
      </c>
      <c r="U164">
        <v>0</v>
      </c>
      <c r="V164">
        <v>5759</v>
      </c>
    </row>
    <row r="165" spans="1:22" x14ac:dyDescent="0.3">
      <c r="A165">
        <v>79452</v>
      </c>
      <c r="B165">
        <v>137252161</v>
      </c>
      <c r="C165" t="s">
        <v>1652</v>
      </c>
      <c r="D165" t="s">
        <v>1653</v>
      </c>
      <c r="E165" t="s">
        <v>843</v>
      </c>
      <c r="F165" t="s">
        <v>844</v>
      </c>
      <c r="G165" t="s">
        <v>164</v>
      </c>
      <c r="H165" t="s">
        <v>165</v>
      </c>
      <c r="I165" t="s">
        <v>34</v>
      </c>
      <c r="J165" t="s">
        <v>166</v>
      </c>
      <c r="K165" t="s">
        <v>41</v>
      </c>
      <c r="L165" t="s">
        <v>1654</v>
      </c>
      <c r="M165" t="s">
        <v>1655</v>
      </c>
      <c r="N165" t="s">
        <v>847</v>
      </c>
      <c r="O165" t="s">
        <v>100</v>
      </c>
      <c r="P165" t="s">
        <v>1656</v>
      </c>
      <c r="Q165" t="s">
        <v>92</v>
      </c>
      <c r="R165" t="s">
        <v>1124</v>
      </c>
      <c r="S165">
        <v>2.04</v>
      </c>
      <c r="T165">
        <v>3366</v>
      </c>
      <c r="U165">
        <v>0</v>
      </c>
      <c r="V165">
        <v>3366</v>
      </c>
    </row>
    <row r="166" spans="1:22" x14ac:dyDescent="0.3">
      <c r="A166">
        <v>79452</v>
      </c>
      <c r="B166">
        <v>137084156</v>
      </c>
      <c r="C166" t="s">
        <v>1657</v>
      </c>
      <c r="D166" t="s">
        <v>1658</v>
      </c>
      <c r="E166" t="s">
        <v>843</v>
      </c>
      <c r="F166" t="s">
        <v>844</v>
      </c>
      <c r="G166" t="s">
        <v>164</v>
      </c>
      <c r="H166" t="s">
        <v>165</v>
      </c>
      <c r="I166" t="s">
        <v>34</v>
      </c>
      <c r="J166" t="s">
        <v>166</v>
      </c>
      <c r="K166" t="s">
        <v>41</v>
      </c>
      <c r="L166" t="s">
        <v>1659</v>
      </c>
      <c r="M166" t="s">
        <v>1660</v>
      </c>
      <c r="N166" t="s">
        <v>847</v>
      </c>
      <c r="O166" t="s">
        <v>100</v>
      </c>
      <c r="P166" t="s">
        <v>1661</v>
      </c>
      <c r="Q166" t="s">
        <v>55</v>
      </c>
      <c r="R166" t="s">
        <v>460</v>
      </c>
      <c r="S166">
        <v>0.97</v>
      </c>
      <c r="T166">
        <v>5198</v>
      </c>
      <c r="U166">
        <v>0</v>
      </c>
      <c r="V166">
        <v>5198</v>
      </c>
    </row>
    <row r="167" spans="1:22" x14ac:dyDescent="0.3">
      <c r="A167">
        <v>79452</v>
      </c>
      <c r="B167">
        <v>137168491</v>
      </c>
      <c r="C167" t="s">
        <v>1662</v>
      </c>
      <c r="D167" t="s">
        <v>1663</v>
      </c>
      <c r="E167" t="s">
        <v>843</v>
      </c>
      <c r="F167" t="s">
        <v>844</v>
      </c>
      <c r="G167" t="s">
        <v>164</v>
      </c>
      <c r="H167" t="s">
        <v>165</v>
      </c>
      <c r="I167" t="s">
        <v>34</v>
      </c>
      <c r="J167" t="s">
        <v>166</v>
      </c>
      <c r="K167" t="s">
        <v>41</v>
      </c>
      <c r="L167" t="s">
        <v>1664</v>
      </c>
      <c r="M167" t="s">
        <v>1665</v>
      </c>
      <c r="N167" t="s">
        <v>847</v>
      </c>
      <c r="O167" t="s">
        <v>100</v>
      </c>
      <c r="P167" t="s">
        <v>1666</v>
      </c>
      <c r="Q167" t="s">
        <v>234</v>
      </c>
      <c r="R167" t="s">
        <v>966</v>
      </c>
      <c r="S167">
        <v>1.18</v>
      </c>
      <c r="T167">
        <v>3366</v>
      </c>
      <c r="U167">
        <v>0</v>
      </c>
      <c r="V167">
        <v>3366</v>
      </c>
    </row>
    <row r="168" spans="1:22" x14ac:dyDescent="0.3">
      <c r="A168">
        <v>79452</v>
      </c>
      <c r="B168">
        <v>137203666</v>
      </c>
      <c r="C168" t="s">
        <v>1667</v>
      </c>
      <c r="D168" t="s">
        <v>1668</v>
      </c>
      <c r="E168" t="s">
        <v>843</v>
      </c>
      <c r="F168" t="s">
        <v>844</v>
      </c>
      <c r="G168" t="s">
        <v>164</v>
      </c>
      <c r="H168" t="s">
        <v>165</v>
      </c>
      <c r="I168" t="s">
        <v>34</v>
      </c>
      <c r="J168" t="s">
        <v>166</v>
      </c>
      <c r="K168" t="s">
        <v>41</v>
      </c>
      <c r="L168" t="s">
        <v>1669</v>
      </c>
      <c r="M168" t="s">
        <v>1670</v>
      </c>
      <c r="N168" t="s">
        <v>847</v>
      </c>
      <c r="O168" t="s">
        <v>100</v>
      </c>
      <c r="P168" t="s">
        <v>1671</v>
      </c>
      <c r="Q168" t="s">
        <v>90</v>
      </c>
      <c r="R168" t="s">
        <v>449</v>
      </c>
      <c r="S168">
        <v>0.88</v>
      </c>
      <c r="T168">
        <v>3870</v>
      </c>
      <c r="U168">
        <v>0</v>
      </c>
      <c r="V168">
        <v>3870</v>
      </c>
    </row>
    <row r="169" spans="1:22" x14ac:dyDescent="0.3">
      <c r="A169">
        <v>79452</v>
      </c>
      <c r="B169">
        <v>137168507</v>
      </c>
      <c r="C169" t="s">
        <v>1672</v>
      </c>
      <c r="D169" t="s">
        <v>1673</v>
      </c>
      <c r="E169" t="s">
        <v>843</v>
      </c>
      <c r="F169" t="s">
        <v>844</v>
      </c>
      <c r="G169" t="s">
        <v>164</v>
      </c>
      <c r="H169" t="s">
        <v>165</v>
      </c>
      <c r="I169" t="s">
        <v>34</v>
      </c>
      <c r="J169" t="s">
        <v>166</v>
      </c>
      <c r="K169" t="s">
        <v>41</v>
      </c>
      <c r="L169" t="s">
        <v>1674</v>
      </c>
      <c r="M169" t="s">
        <v>1675</v>
      </c>
      <c r="N169" t="s">
        <v>847</v>
      </c>
      <c r="O169" t="s">
        <v>100</v>
      </c>
      <c r="P169" t="s">
        <v>1676</v>
      </c>
      <c r="Q169" t="s">
        <v>60</v>
      </c>
      <c r="R169" t="s">
        <v>966</v>
      </c>
      <c r="S169">
        <v>1</v>
      </c>
      <c r="T169">
        <v>4346</v>
      </c>
      <c r="U169">
        <v>0</v>
      </c>
      <c r="V169">
        <v>4346</v>
      </c>
    </row>
    <row r="170" spans="1:22" x14ac:dyDescent="0.3">
      <c r="A170">
        <v>79452</v>
      </c>
      <c r="B170">
        <v>136997047</v>
      </c>
      <c r="C170" t="s">
        <v>1677</v>
      </c>
      <c r="D170" t="s">
        <v>1678</v>
      </c>
      <c r="E170" t="s">
        <v>843</v>
      </c>
      <c r="F170" t="s">
        <v>844</v>
      </c>
      <c r="G170" t="s">
        <v>164</v>
      </c>
      <c r="H170" t="s">
        <v>165</v>
      </c>
      <c r="I170" t="s">
        <v>34</v>
      </c>
      <c r="J170" t="s">
        <v>166</v>
      </c>
      <c r="K170" t="s">
        <v>41</v>
      </c>
      <c r="L170" t="s">
        <v>1679</v>
      </c>
      <c r="M170" t="s">
        <v>1680</v>
      </c>
      <c r="N170" t="s">
        <v>847</v>
      </c>
      <c r="O170" t="s">
        <v>100</v>
      </c>
      <c r="P170" t="s">
        <v>1681</v>
      </c>
      <c r="Q170" t="s">
        <v>58</v>
      </c>
      <c r="R170" t="s">
        <v>1141</v>
      </c>
      <c r="S170">
        <v>1.01</v>
      </c>
      <c r="T170">
        <v>5759</v>
      </c>
      <c r="U170">
        <v>0</v>
      </c>
      <c r="V170">
        <v>5759</v>
      </c>
    </row>
    <row r="171" spans="1:22" x14ac:dyDescent="0.3">
      <c r="A171">
        <v>79452</v>
      </c>
      <c r="B171">
        <v>137121353</v>
      </c>
      <c r="C171" t="s">
        <v>1682</v>
      </c>
      <c r="D171" t="s">
        <v>1683</v>
      </c>
      <c r="E171" t="s">
        <v>843</v>
      </c>
      <c r="F171" t="s">
        <v>844</v>
      </c>
      <c r="G171" t="s">
        <v>164</v>
      </c>
      <c r="H171" t="s">
        <v>165</v>
      </c>
      <c r="I171" t="s">
        <v>34</v>
      </c>
      <c r="J171" t="s">
        <v>166</v>
      </c>
      <c r="K171" t="s">
        <v>41</v>
      </c>
      <c r="L171" t="s">
        <v>1684</v>
      </c>
      <c r="M171" t="s">
        <v>1685</v>
      </c>
      <c r="N171" t="s">
        <v>847</v>
      </c>
      <c r="O171" t="s">
        <v>100</v>
      </c>
      <c r="P171" t="s">
        <v>1686</v>
      </c>
      <c r="Q171" t="s">
        <v>60</v>
      </c>
      <c r="R171" t="s">
        <v>420</v>
      </c>
      <c r="S171">
        <v>1</v>
      </c>
      <c r="T171">
        <v>4346</v>
      </c>
      <c r="U171">
        <v>0</v>
      </c>
      <c r="V171">
        <v>4346</v>
      </c>
    </row>
    <row r="172" spans="1:22" x14ac:dyDescent="0.3">
      <c r="A172">
        <v>79452</v>
      </c>
      <c r="B172">
        <v>137252172</v>
      </c>
      <c r="C172" t="s">
        <v>1687</v>
      </c>
      <c r="D172" t="s">
        <v>1688</v>
      </c>
      <c r="E172" t="s">
        <v>843</v>
      </c>
      <c r="F172" t="s">
        <v>844</v>
      </c>
      <c r="G172" t="s">
        <v>164</v>
      </c>
      <c r="H172" t="s">
        <v>165</v>
      </c>
      <c r="I172" t="s">
        <v>34</v>
      </c>
      <c r="J172" t="s">
        <v>166</v>
      </c>
      <c r="K172" t="s">
        <v>41</v>
      </c>
      <c r="L172" t="s">
        <v>1689</v>
      </c>
      <c r="M172" t="s">
        <v>1690</v>
      </c>
      <c r="N172" t="s">
        <v>847</v>
      </c>
      <c r="O172" t="s">
        <v>100</v>
      </c>
      <c r="P172" t="s">
        <v>1691</v>
      </c>
      <c r="Q172" t="s">
        <v>85</v>
      </c>
      <c r="R172" t="s">
        <v>1124</v>
      </c>
      <c r="S172">
        <v>0.9</v>
      </c>
      <c r="T172">
        <v>3366</v>
      </c>
      <c r="U172">
        <v>0</v>
      </c>
      <c r="V172">
        <v>3366</v>
      </c>
    </row>
    <row r="173" spans="1:22" x14ac:dyDescent="0.3">
      <c r="A173">
        <v>79452</v>
      </c>
      <c r="B173">
        <v>137252141</v>
      </c>
      <c r="C173" t="s">
        <v>1692</v>
      </c>
      <c r="D173" t="s">
        <v>1693</v>
      </c>
      <c r="E173" t="s">
        <v>843</v>
      </c>
      <c r="F173" t="s">
        <v>844</v>
      </c>
      <c r="G173" t="s">
        <v>164</v>
      </c>
      <c r="H173" t="s">
        <v>165</v>
      </c>
      <c r="I173" t="s">
        <v>34</v>
      </c>
      <c r="J173" t="s">
        <v>166</v>
      </c>
      <c r="K173" t="s">
        <v>41</v>
      </c>
      <c r="L173" t="s">
        <v>1694</v>
      </c>
      <c r="M173" t="s">
        <v>232</v>
      </c>
      <c r="N173" t="s">
        <v>847</v>
      </c>
      <c r="O173" t="s">
        <v>100</v>
      </c>
      <c r="P173" t="s">
        <v>1695</v>
      </c>
      <c r="Q173" t="s">
        <v>71</v>
      </c>
      <c r="R173" t="s">
        <v>1124</v>
      </c>
      <c r="S173">
        <v>0.85</v>
      </c>
      <c r="T173">
        <v>3501</v>
      </c>
      <c r="U173">
        <v>0</v>
      </c>
      <c r="V173">
        <v>3501</v>
      </c>
    </row>
    <row r="174" spans="1:22" x14ac:dyDescent="0.3">
      <c r="A174">
        <v>79452</v>
      </c>
      <c r="B174">
        <v>137203602</v>
      </c>
      <c r="C174" t="s">
        <v>1696</v>
      </c>
      <c r="D174" t="s">
        <v>1697</v>
      </c>
      <c r="E174" t="s">
        <v>843</v>
      </c>
      <c r="F174" t="s">
        <v>844</v>
      </c>
      <c r="G174" t="s">
        <v>164</v>
      </c>
      <c r="H174" t="s">
        <v>165</v>
      </c>
      <c r="I174" t="s">
        <v>34</v>
      </c>
      <c r="J174" t="s">
        <v>166</v>
      </c>
      <c r="K174" t="s">
        <v>41</v>
      </c>
      <c r="L174" t="s">
        <v>1698</v>
      </c>
      <c r="M174" t="s">
        <v>1699</v>
      </c>
      <c r="N174" t="s">
        <v>847</v>
      </c>
      <c r="O174" t="s">
        <v>100</v>
      </c>
      <c r="P174" t="s">
        <v>1700</v>
      </c>
      <c r="Q174" t="s">
        <v>582</v>
      </c>
      <c r="R174" t="s">
        <v>449</v>
      </c>
      <c r="S174">
        <v>0.92</v>
      </c>
      <c r="T174">
        <v>4503</v>
      </c>
      <c r="U174">
        <v>0</v>
      </c>
      <c r="V174">
        <v>4503</v>
      </c>
    </row>
    <row r="175" spans="1:22" x14ac:dyDescent="0.3">
      <c r="A175">
        <v>79452</v>
      </c>
      <c r="B175">
        <v>137252148</v>
      </c>
      <c r="C175" t="s">
        <v>1701</v>
      </c>
      <c r="D175" t="s">
        <v>1702</v>
      </c>
      <c r="E175" t="s">
        <v>843</v>
      </c>
      <c r="F175" t="s">
        <v>844</v>
      </c>
      <c r="G175" t="s">
        <v>164</v>
      </c>
      <c r="H175" t="s">
        <v>165</v>
      </c>
      <c r="I175" t="s">
        <v>34</v>
      </c>
      <c r="J175" t="s">
        <v>166</v>
      </c>
      <c r="K175" t="s">
        <v>41</v>
      </c>
      <c r="L175" t="s">
        <v>1703</v>
      </c>
      <c r="M175" t="s">
        <v>1704</v>
      </c>
      <c r="N175" t="s">
        <v>847</v>
      </c>
      <c r="O175" t="s">
        <v>100</v>
      </c>
      <c r="P175" t="s">
        <v>1705</v>
      </c>
      <c r="Q175" t="s">
        <v>63</v>
      </c>
      <c r="R175" t="s">
        <v>1124</v>
      </c>
      <c r="S175">
        <v>0.84</v>
      </c>
      <c r="T175">
        <v>4067</v>
      </c>
      <c r="U175">
        <v>0</v>
      </c>
      <c r="V175">
        <v>4067</v>
      </c>
    </row>
    <row r="176" spans="1:22" x14ac:dyDescent="0.3">
      <c r="A176">
        <v>79452</v>
      </c>
      <c r="B176">
        <v>137032320</v>
      </c>
      <c r="C176" t="s">
        <v>1706</v>
      </c>
      <c r="D176" t="s">
        <v>1707</v>
      </c>
      <c r="E176" t="s">
        <v>843</v>
      </c>
      <c r="F176" t="s">
        <v>844</v>
      </c>
      <c r="G176" t="s">
        <v>164</v>
      </c>
      <c r="H176" t="s">
        <v>165</v>
      </c>
      <c r="I176" t="s">
        <v>34</v>
      </c>
      <c r="J176" t="s">
        <v>166</v>
      </c>
      <c r="K176" t="s">
        <v>41</v>
      </c>
      <c r="L176" t="s">
        <v>1708</v>
      </c>
      <c r="M176" t="s">
        <v>1709</v>
      </c>
      <c r="N176" t="s">
        <v>847</v>
      </c>
      <c r="O176" t="s">
        <v>100</v>
      </c>
      <c r="P176" t="s">
        <v>1710</v>
      </c>
      <c r="Q176" t="s">
        <v>224</v>
      </c>
      <c r="R176" t="s">
        <v>324</v>
      </c>
      <c r="S176">
        <v>1</v>
      </c>
      <c r="T176">
        <v>4067</v>
      </c>
      <c r="U176">
        <v>0</v>
      </c>
      <c r="V176">
        <v>4067</v>
      </c>
    </row>
    <row r="177" spans="1:22" x14ac:dyDescent="0.3">
      <c r="A177">
        <v>79452</v>
      </c>
      <c r="B177">
        <v>137252139</v>
      </c>
      <c r="C177" t="s">
        <v>1711</v>
      </c>
      <c r="D177" t="s">
        <v>1712</v>
      </c>
      <c r="E177" t="s">
        <v>843</v>
      </c>
      <c r="F177" t="s">
        <v>844</v>
      </c>
      <c r="G177" t="s">
        <v>164</v>
      </c>
      <c r="H177" t="s">
        <v>165</v>
      </c>
      <c r="I177" t="s">
        <v>34</v>
      </c>
      <c r="J177" t="s">
        <v>166</v>
      </c>
      <c r="K177" t="s">
        <v>41</v>
      </c>
      <c r="L177" t="s">
        <v>1713</v>
      </c>
      <c r="M177" t="s">
        <v>1714</v>
      </c>
      <c r="N177" t="s">
        <v>847</v>
      </c>
      <c r="O177" t="s">
        <v>100</v>
      </c>
      <c r="P177" t="s">
        <v>1715</v>
      </c>
      <c r="Q177" t="s">
        <v>94</v>
      </c>
      <c r="R177" t="s">
        <v>1124</v>
      </c>
      <c r="S177">
        <v>0.8</v>
      </c>
      <c r="T177">
        <v>3366</v>
      </c>
      <c r="U177">
        <v>0</v>
      </c>
      <c r="V177">
        <v>3366</v>
      </c>
    </row>
    <row r="178" spans="1:22" x14ac:dyDescent="0.3">
      <c r="A178">
        <v>79452</v>
      </c>
      <c r="B178">
        <v>137084242</v>
      </c>
      <c r="C178" t="s">
        <v>1716</v>
      </c>
      <c r="D178" t="s">
        <v>1717</v>
      </c>
      <c r="E178" t="s">
        <v>843</v>
      </c>
      <c r="F178" t="s">
        <v>844</v>
      </c>
      <c r="G178" t="s">
        <v>164</v>
      </c>
      <c r="H178" t="s">
        <v>165</v>
      </c>
      <c r="I178" t="s">
        <v>34</v>
      </c>
      <c r="J178" t="s">
        <v>166</v>
      </c>
      <c r="K178" t="s">
        <v>41</v>
      </c>
      <c r="L178" t="s">
        <v>1718</v>
      </c>
      <c r="M178" t="s">
        <v>1719</v>
      </c>
      <c r="N178" t="s">
        <v>847</v>
      </c>
      <c r="O178" t="s">
        <v>100</v>
      </c>
      <c r="P178" t="s">
        <v>1720</v>
      </c>
      <c r="Q178" t="s">
        <v>55</v>
      </c>
      <c r="R178" t="s">
        <v>460</v>
      </c>
      <c r="S178">
        <v>0.73</v>
      </c>
      <c r="T178">
        <v>5198</v>
      </c>
      <c r="U178">
        <v>0</v>
      </c>
      <c r="V178">
        <v>5198</v>
      </c>
    </row>
    <row r="179" spans="1:22" x14ac:dyDescent="0.3">
      <c r="A179">
        <v>79452</v>
      </c>
      <c r="B179">
        <v>137203583</v>
      </c>
      <c r="C179" t="s">
        <v>1721</v>
      </c>
      <c r="D179" t="s">
        <v>1722</v>
      </c>
      <c r="E179" t="s">
        <v>843</v>
      </c>
      <c r="F179" t="s">
        <v>844</v>
      </c>
      <c r="G179" t="s">
        <v>164</v>
      </c>
      <c r="H179" t="s">
        <v>165</v>
      </c>
      <c r="I179" t="s">
        <v>34</v>
      </c>
      <c r="J179" t="s">
        <v>166</v>
      </c>
      <c r="K179" t="s">
        <v>41</v>
      </c>
      <c r="L179" t="s">
        <v>1723</v>
      </c>
      <c r="M179" t="s">
        <v>1724</v>
      </c>
      <c r="N179" t="s">
        <v>847</v>
      </c>
      <c r="O179" t="s">
        <v>100</v>
      </c>
      <c r="P179" t="s">
        <v>1725</v>
      </c>
      <c r="Q179" t="s">
        <v>69</v>
      </c>
      <c r="R179" t="s">
        <v>449</v>
      </c>
      <c r="S179">
        <v>0.74</v>
      </c>
      <c r="T179">
        <v>3753</v>
      </c>
      <c r="U179">
        <v>0</v>
      </c>
      <c r="V179">
        <v>3753</v>
      </c>
    </row>
    <row r="180" spans="1:22" x14ac:dyDescent="0.3">
      <c r="A180">
        <v>79452</v>
      </c>
      <c r="B180">
        <v>137168505</v>
      </c>
      <c r="C180" t="s">
        <v>1726</v>
      </c>
      <c r="D180" t="s">
        <v>1727</v>
      </c>
      <c r="E180" t="s">
        <v>843</v>
      </c>
      <c r="F180" t="s">
        <v>844</v>
      </c>
      <c r="G180" t="s">
        <v>164</v>
      </c>
      <c r="H180" t="s">
        <v>165</v>
      </c>
      <c r="I180" t="s">
        <v>34</v>
      </c>
      <c r="J180" t="s">
        <v>166</v>
      </c>
      <c r="K180" t="s">
        <v>41</v>
      </c>
      <c r="L180" t="s">
        <v>1728</v>
      </c>
      <c r="M180" t="s">
        <v>1729</v>
      </c>
      <c r="N180" t="s">
        <v>847</v>
      </c>
      <c r="O180" t="s">
        <v>100</v>
      </c>
      <c r="P180" t="s">
        <v>1730</v>
      </c>
      <c r="Q180" t="s">
        <v>93</v>
      </c>
      <c r="R180" t="s">
        <v>966</v>
      </c>
      <c r="S180">
        <v>1</v>
      </c>
      <c r="T180">
        <v>3366</v>
      </c>
      <c r="U180">
        <v>0</v>
      </c>
      <c r="V180">
        <v>3366</v>
      </c>
    </row>
    <row r="181" spans="1:22" x14ac:dyDescent="0.3">
      <c r="A181">
        <v>79452</v>
      </c>
      <c r="B181">
        <v>136997212</v>
      </c>
      <c r="C181" t="s">
        <v>1731</v>
      </c>
      <c r="D181" t="s">
        <v>1732</v>
      </c>
      <c r="E181" t="s">
        <v>843</v>
      </c>
      <c r="F181" t="s">
        <v>844</v>
      </c>
      <c r="G181" t="s">
        <v>164</v>
      </c>
      <c r="H181" t="s">
        <v>165</v>
      </c>
      <c r="I181" t="s">
        <v>34</v>
      </c>
      <c r="J181" t="s">
        <v>166</v>
      </c>
      <c r="K181" t="s">
        <v>41</v>
      </c>
      <c r="L181" t="s">
        <v>1733</v>
      </c>
      <c r="M181" t="s">
        <v>1734</v>
      </c>
      <c r="N181" t="s">
        <v>847</v>
      </c>
      <c r="O181" t="s">
        <v>100</v>
      </c>
      <c r="P181" t="s">
        <v>1735</v>
      </c>
      <c r="Q181" t="s">
        <v>55</v>
      </c>
      <c r="R181" t="s">
        <v>1550</v>
      </c>
      <c r="S181">
        <v>0.99</v>
      </c>
      <c r="T181">
        <v>5198</v>
      </c>
      <c r="U181">
        <v>0</v>
      </c>
      <c r="V181">
        <v>5198</v>
      </c>
    </row>
    <row r="182" spans="1:22" x14ac:dyDescent="0.3">
      <c r="A182">
        <v>79452</v>
      </c>
      <c r="B182">
        <v>137032348</v>
      </c>
      <c r="C182" t="s">
        <v>1736</v>
      </c>
      <c r="D182" t="s">
        <v>1737</v>
      </c>
      <c r="E182" t="s">
        <v>843</v>
      </c>
      <c r="F182" t="s">
        <v>844</v>
      </c>
      <c r="G182" t="s">
        <v>164</v>
      </c>
      <c r="H182" t="s">
        <v>165</v>
      </c>
      <c r="I182" t="s">
        <v>34</v>
      </c>
      <c r="J182" t="s">
        <v>166</v>
      </c>
      <c r="K182" t="s">
        <v>41</v>
      </c>
      <c r="L182" t="s">
        <v>1738</v>
      </c>
      <c r="M182" t="s">
        <v>1739</v>
      </c>
      <c r="N182" t="s">
        <v>847</v>
      </c>
      <c r="O182" t="s">
        <v>100</v>
      </c>
      <c r="P182" t="s">
        <v>1740</v>
      </c>
      <c r="Q182" t="s">
        <v>55</v>
      </c>
      <c r="R182" t="s">
        <v>324</v>
      </c>
      <c r="S182">
        <v>0.79</v>
      </c>
      <c r="T182">
        <v>5198</v>
      </c>
      <c r="U182">
        <v>0</v>
      </c>
      <c r="V182">
        <v>5198</v>
      </c>
    </row>
    <row r="183" spans="1:22" x14ac:dyDescent="0.3">
      <c r="A183">
        <v>79452</v>
      </c>
      <c r="B183">
        <v>136920661</v>
      </c>
      <c r="C183" t="s">
        <v>1741</v>
      </c>
      <c r="D183" t="s">
        <v>1742</v>
      </c>
      <c r="E183" t="s">
        <v>843</v>
      </c>
      <c r="F183" t="s">
        <v>844</v>
      </c>
      <c r="G183" t="s">
        <v>164</v>
      </c>
      <c r="H183" t="s">
        <v>165</v>
      </c>
      <c r="I183" t="s">
        <v>34</v>
      </c>
      <c r="J183" t="s">
        <v>166</v>
      </c>
      <c r="K183" t="s">
        <v>41</v>
      </c>
      <c r="L183" t="s">
        <v>1743</v>
      </c>
      <c r="M183" t="s">
        <v>1744</v>
      </c>
      <c r="N183" t="s">
        <v>847</v>
      </c>
      <c r="O183" t="s">
        <v>100</v>
      </c>
      <c r="P183" t="s">
        <v>1745</v>
      </c>
      <c r="Q183" t="s">
        <v>54</v>
      </c>
      <c r="R183" t="s">
        <v>1746</v>
      </c>
      <c r="S183">
        <v>1.25</v>
      </c>
      <c r="T183">
        <v>5759</v>
      </c>
      <c r="U183">
        <v>0</v>
      </c>
      <c r="V183">
        <v>5759</v>
      </c>
    </row>
    <row r="184" spans="1:22" x14ac:dyDescent="0.3">
      <c r="A184">
        <v>79452</v>
      </c>
      <c r="B184">
        <v>136920668</v>
      </c>
      <c r="C184" t="s">
        <v>1747</v>
      </c>
      <c r="D184" t="s">
        <v>1748</v>
      </c>
      <c r="E184" t="s">
        <v>843</v>
      </c>
      <c r="F184" t="s">
        <v>844</v>
      </c>
      <c r="G184" t="s">
        <v>164</v>
      </c>
      <c r="H184" t="s">
        <v>165</v>
      </c>
      <c r="I184" t="s">
        <v>34</v>
      </c>
      <c r="J184" t="s">
        <v>166</v>
      </c>
      <c r="K184" t="s">
        <v>41</v>
      </c>
      <c r="L184" t="s">
        <v>1749</v>
      </c>
      <c r="M184" t="s">
        <v>1750</v>
      </c>
      <c r="N184" t="s">
        <v>847</v>
      </c>
      <c r="O184" t="s">
        <v>100</v>
      </c>
      <c r="P184" t="s">
        <v>1751</v>
      </c>
      <c r="Q184" t="s">
        <v>58</v>
      </c>
      <c r="R184" t="s">
        <v>1746</v>
      </c>
      <c r="S184">
        <v>1.51</v>
      </c>
      <c r="T184">
        <v>5759</v>
      </c>
      <c r="U184">
        <v>0</v>
      </c>
      <c r="V184">
        <v>5759</v>
      </c>
    </row>
    <row r="185" spans="1:22" x14ac:dyDescent="0.3">
      <c r="A185">
        <v>79452</v>
      </c>
      <c r="B185">
        <v>137121416</v>
      </c>
      <c r="C185" t="s">
        <v>1752</v>
      </c>
      <c r="D185" t="s">
        <v>1753</v>
      </c>
      <c r="E185" t="s">
        <v>843</v>
      </c>
      <c r="F185" t="s">
        <v>844</v>
      </c>
      <c r="G185" t="s">
        <v>164</v>
      </c>
      <c r="H185" t="s">
        <v>165</v>
      </c>
      <c r="I185" t="s">
        <v>34</v>
      </c>
      <c r="J185" t="s">
        <v>166</v>
      </c>
      <c r="K185" t="s">
        <v>41</v>
      </c>
      <c r="L185" t="s">
        <v>1754</v>
      </c>
      <c r="M185" t="s">
        <v>1755</v>
      </c>
      <c r="N185" t="s">
        <v>847</v>
      </c>
      <c r="O185" t="s">
        <v>100</v>
      </c>
      <c r="P185" t="s">
        <v>1756</v>
      </c>
      <c r="Q185" t="s">
        <v>92</v>
      </c>
      <c r="R185" t="s">
        <v>420</v>
      </c>
      <c r="S185">
        <v>1</v>
      </c>
      <c r="T185">
        <v>3366</v>
      </c>
      <c r="U185">
        <v>0</v>
      </c>
      <c r="V185">
        <v>3366</v>
      </c>
    </row>
    <row r="186" spans="1:22" x14ac:dyDescent="0.3">
      <c r="A186">
        <v>79452</v>
      </c>
      <c r="B186">
        <v>137168476</v>
      </c>
      <c r="C186" t="s">
        <v>1757</v>
      </c>
      <c r="D186" t="s">
        <v>1758</v>
      </c>
      <c r="E186" t="s">
        <v>843</v>
      </c>
      <c r="F186" t="s">
        <v>844</v>
      </c>
      <c r="G186" t="s">
        <v>164</v>
      </c>
      <c r="H186" t="s">
        <v>165</v>
      </c>
      <c r="I186" t="s">
        <v>34</v>
      </c>
      <c r="J186" t="s">
        <v>166</v>
      </c>
      <c r="K186" t="s">
        <v>41</v>
      </c>
      <c r="L186" t="s">
        <v>1759</v>
      </c>
      <c r="M186" t="s">
        <v>1760</v>
      </c>
      <c r="N186" t="s">
        <v>847</v>
      </c>
      <c r="O186" t="s">
        <v>100</v>
      </c>
      <c r="P186" t="s">
        <v>1761</v>
      </c>
      <c r="Q186" t="s">
        <v>60</v>
      </c>
      <c r="R186" t="s">
        <v>966</v>
      </c>
      <c r="S186">
        <v>1</v>
      </c>
      <c r="T186">
        <v>4346</v>
      </c>
      <c r="U186">
        <v>0</v>
      </c>
      <c r="V186">
        <v>4346</v>
      </c>
    </row>
    <row r="187" spans="1:22" x14ac:dyDescent="0.3">
      <c r="A187">
        <v>79452</v>
      </c>
      <c r="B187">
        <v>137168494</v>
      </c>
      <c r="C187" t="s">
        <v>1762</v>
      </c>
      <c r="D187" t="s">
        <v>1763</v>
      </c>
      <c r="E187" t="s">
        <v>843</v>
      </c>
      <c r="F187" t="s">
        <v>844</v>
      </c>
      <c r="G187" t="s">
        <v>164</v>
      </c>
      <c r="H187" t="s">
        <v>165</v>
      </c>
      <c r="I187" t="s">
        <v>34</v>
      </c>
      <c r="J187" t="s">
        <v>166</v>
      </c>
      <c r="K187" t="s">
        <v>41</v>
      </c>
      <c r="L187" t="s">
        <v>1764</v>
      </c>
      <c r="M187" t="s">
        <v>1765</v>
      </c>
      <c r="N187" t="s">
        <v>847</v>
      </c>
      <c r="O187" t="s">
        <v>100</v>
      </c>
      <c r="P187" t="s">
        <v>1766</v>
      </c>
      <c r="Q187" t="s">
        <v>91</v>
      </c>
      <c r="R187" t="s">
        <v>966</v>
      </c>
      <c r="S187">
        <v>1</v>
      </c>
      <c r="T187">
        <v>3870</v>
      </c>
      <c r="U187">
        <v>0</v>
      </c>
      <c r="V187">
        <v>3870</v>
      </c>
    </row>
    <row r="188" spans="1:22" x14ac:dyDescent="0.3">
      <c r="A188">
        <v>79452</v>
      </c>
      <c r="B188">
        <v>137121372</v>
      </c>
      <c r="C188" t="s">
        <v>1767</v>
      </c>
      <c r="D188" t="s">
        <v>1768</v>
      </c>
      <c r="E188" t="s">
        <v>843</v>
      </c>
      <c r="F188" t="s">
        <v>844</v>
      </c>
      <c r="G188" t="s">
        <v>164</v>
      </c>
      <c r="H188" t="s">
        <v>165</v>
      </c>
      <c r="I188" t="s">
        <v>34</v>
      </c>
      <c r="J188" t="s">
        <v>166</v>
      </c>
      <c r="K188" t="s">
        <v>41</v>
      </c>
      <c r="L188" t="s">
        <v>1769</v>
      </c>
      <c r="M188" t="s">
        <v>1770</v>
      </c>
      <c r="N188" t="s">
        <v>847</v>
      </c>
      <c r="O188" t="s">
        <v>100</v>
      </c>
      <c r="P188" t="s">
        <v>1771</v>
      </c>
      <c r="Q188" t="s">
        <v>83</v>
      </c>
      <c r="R188" t="s">
        <v>420</v>
      </c>
      <c r="S188">
        <v>1</v>
      </c>
      <c r="T188">
        <v>3366</v>
      </c>
      <c r="U188">
        <v>0</v>
      </c>
      <c r="V188">
        <v>3366</v>
      </c>
    </row>
    <row r="189" spans="1:22" x14ac:dyDescent="0.3">
      <c r="A189">
        <v>79452</v>
      </c>
      <c r="B189">
        <v>137032316</v>
      </c>
      <c r="C189" t="s">
        <v>1772</v>
      </c>
      <c r="D189" t="s">
        <v>1773</v>
      </c>
      <c r="E189" t="s">
        <v>843</v>
      </c>
      <c r="F189" t="s">
        <v>844</v>
      </c>
      <c r="G189" t="s">
        <v>164</v>
      </c>
      <c r="H189" t="s">
        <v>165</v>
      </c>
      <c r="I189" t="s">
        <v>34</v>
      </c>
      <c r="J189" t="s">
        <v>166</v>
      </c>
      <c r="K189" t="s">
        <v>41</v>
      </c>
      <c r="L189" t="s">
        <v>1774</v>
      </c>
      <c r="M189" t="s">
        <v>1775</v>
      </c>
      <c r="N189" t="s">
        <v>847</v>
      </c>
      <c r="O189" t="s">
        <v>100</v>
      </c>
      <c r="P189" t="s">
        <v>1776</v>
      </c>
      <c r="Q189" t="s">
        <v>63</v>
      </c>
      <c r="R189" t="s">
        <v>324</v>
      </c>
      <c r="S189">
        <v>1</v>
      </c>
      <c r="T189">
        <v>4067</v>
      </c>
      <c r="U189">
        <v>0</v>
      </c>
      <c r="V189">
        <v>4067</v>
      </c>
    </row>
    <row r="190" spans="1:22" x14ac:dyDescent="0.3">
      <c r="A190">
        <v>79452</v>
      </c>
      <c r="B190">
        <v>137032345</v>
      </c>
      <c r="C190" t="s">
        <v>1777</v>
      </c>
      <c r="D190" t="s">
        <v>1778</v>
      </c>
      <c r="E190" t="s">
        <v>843</v>
      </c>
      <c r="F190" t="s">
        <v>844</v>
      </c>
      <c r="G190" t="s">
        <v>164</v>
      </c>
      <c r="H190" t="s">
        <v>165</v>
      </c>
      <c r="I190" t="s">
        <v>34</v>
      </c>
      <c r="J190" t="s">
        <v>166</v>
      </c>
      <c r="K190" t="s">
        <v>41</v>
      </c>
      <c r="L190" t="s">
        <v>1779</v>
      </c>
      <c r="M190" t="s">
        <v>1780</v>
      </c>
      <c r="N190" t="s">
        <v>847</v>
      </c>
      <c r="O190" t="s">
        <v>100</v>
      </c>
      <c r="P190" t="s">
        <v>1781</v>
      </c>
      <c r="Q190" t="s">
        <v>54</v>
      </c>
      <c r="R190" t="s">
        <v>324</v>
      </c>
      <c r="S190">
        <v>0.6</v>
      </c>
      <c r="T190">
        <v>5759</v>
      </c>
      <c r="U190">
        <v>0</v>
      </c>
      <c r="V190">
        <v>5759</v>
      </c>
    </row>
    <row r="191" spans="1:22" x14ac:dyDescent="0.3">
      <c r="A191">
        <v>79452</v>
      </c>
      <c r="B191">
        <v>137168508</v>
      </c>
      <c r="C191" t="s">
        <v>1782</v>
      </c>
      <c r="D191" t="s">
        <v>1783</v>
      </c>
      <c r="E191" t="s">
        <v>843</v>
      </c>
      <c r="F191" t="s">
        <v>844</v>
      </c>
      <c r="G191" t="s">
        <v>164</v>
      </c>
      <c r="H191" t="s">
        <v>165</v>
      </c>
      <c r="I191" t="s">
        <v>34</v>
      </c>
      <c r="J191" t="s">
        <v>166</v>
      </c>
      <c r="K191" t="s">
        <v>41</v>
      </c>
      <c r="L191" t="s">
        <v>1784</v>
      </c>
      <c r="M191" t="s">
        <v>1785</v>
      </c>
      <c r="N191" t="s">
        <v>847</v>
      </c>
      <c r="O191" t="s">
        <v>100</v>
      </c>
      <c r="P191" t="s">
        <v>1786</v>
      </c>
      <c r="Q191" t="s">
        <v>49</v>
      </c>
      <c r="R191" t="s">
        <v>966</v>
      </c>
      <c r="S191">
        <v>1</v>
      </c>
      <c r="T191">
        <v>3784</v>
      </c>
      <c r="U191">
        <v>0</v>
      </c>
      <c r="V191">
        <v>3784</v>
      </c>
    </row>
    <row r="192" spans="1:22" x14ac:dyDescent="0.3">
      <c r="A192">
        <v>79452</v>
      </c>
      <c r="B192">
        <v>136920677</v>
      </c>
      <c r="C192" t="s">
        <v>1787</v>
      </c>
      <c r="D192" t="s">
        <v>1788</v>
      </c>
      <c r="E192" t="s">
        <v>843</v>
      </c>
      <c r="F192" t="s">
        <v>844</v>
      </c>
      <c r="G192" t="s">
        <v>164</v>
      </c>
      <c r="H192" t="s">
        <v>165</v>
      </c>
      <c r="I192" t="s">
        <v>34</v>
      </c>
      <c r="J192" t="s">
        <v>166</v>
      </c>
      <c r="K192" t="s">
        <v>41</v>
      </c>
      <c r="L192" t="s">
        <v>1789</v>
      </c>
      <c r="M192" t="s">
        <v>1790</v>
      </c>
      <c r="N192" t="s">
        <v>847</v>
      </c>
      <c r="O192" t="s">
        <v>100</v>
      </c>
      <c r="P192" t="s">
        <v>1791</v>
      </c>
      <c r="Q192" t="s">
        <v>83</v>
      </c>
      <c r="R192" t="s">
        <v>1746</v>
      </c>
      <c r="S192">
        <v>1.1499999999999999</v>
      </c>
      <c r="T192">
        <v>3366</v>
      </c>
      <c r="U192">
        <v>0</v>
      </c>
      <c r="V192">
        <v>3366</v>
      </c>
    </row>
    <row r="193" spans="1:22" x14ac:dyDescent="0.3">
      <c r="A193">
        <v>79452</v>
      </c>
      <c r="B193">
        <v>137168501</v>
      </c>
      <c r="C193" t="s">
        <v>1792</v>
      </c>
      <c r="D193" t="s">
        <v>1793</v>
      </c>
      <c r="E193" t="s">
        <v>843</v>
      </c>
      <c r="F193" t="s">
        <v>844</v>
      </c>
      <c r="G193" t="s">
        <v>164</v>
      </c>
      <c r="H193" t="s">
        <v>165</v>
      </c>
      <c r="I193" t="s">
        <v>34</v>
      </c>
      <c r="J193" t="s">
        <v>166</v>
      </c>
      <c r="K193" t="s">
        <v>41</v>
      </c>
      <c r="L193" t="s">
        <v>1794</v>
      </c>
      <c r="M193" t="s">
        <v>1795</v>
      </c>
      <c r="N193" t="s">
        <v>847</v>
      </c>
      <c r="O193" t="s">
        <v>100</v>
      </c>
      <c r="P193" t="s">
        <v>1796</v>
      </c>
      <c r="Q193" t="s">
        <v>94</v>
      </c>
      <c r="R193" t="s">
        <v>966</v>
      </c>
      <c r="S193">
        <v>1</v>
      </c>
      <c r="T193">
        <v>3366</v>
      </c>
      <c r="U193">
        <v>0</v>
      </c>
      <c r="V193">
        <v>3366</v>
      </c>
    </row>
    <row r="194" spans="1:22" x14ac:dyDescent="0.3">
      <c r="A194">
        <v>79452</v>
      </c>
      <c r="B194">
        <v>137084170</v>
      </c>
      <c r="C194" t="s">
        <v>1797</v>
      </c>
      <c r="D194" t="s">
        <v>1798</v>
      </c>
      <c r="E194" t="s">
        <v>843</v>
      </c>
      <c r="F194" t="s">
        <v>844</v>
      </c>
      <c r="G194" t="s">
        <v>164</v>
      </c>
      <c r="H194" t="s">
        <v>165</v>
      </c>
      <c r="I194" t="s">
        <v>34</v>
      </c>
      <c r="J194" t="s">
        <v>166</v>
      </c>
      <c r="K194" t="s">
        <v>41</v>
      </c>
      <c r="L194" t="s">
        <v>1799</v>
      </c>
      <c r="M194" t="s">
        <v>1800</v>
      </c>
      <c r="N194" t="s">
        <v>847</v>
      </c>
      <c r="O194" t="s">
        <v>100</v>
      </c>
      <c r="P194" t="s">
        <v>1801</v>
      </c>
      <c r="Q194" t="s">
        <v>55</v>
      </c>
      <c r="R194" t="s">
        <v>460</v>
      </c>
      <c r="S194">
        <v>1.1399999999999999</v>
      </c>
      <c r="T194">
        <v>5198</v>
      </c>
      <c r="U194">
        <v>0</v>
      </c>
      <c r="V194">
        <v>5198</v>
      </c>
    </row>
    <row r="195" spans="1:22" x14ac:dyDescent="0.3">
      <c r="A195">
        <v>79452</v>
      </c>
      <c r="B195">
        <v>137168484</v>
      </c>
      <c r="C195" t="s">
        <v>1802</v>
      </c>
      <c r="D195" t="s">
        <v>1803</v>
      </c>
      <c r="E195" t="s">
        <v>843</v>
      </c>
      <c r="F195" t="s">
        <v>844</v>
      </c>
      <c r="G195" t="s">
        <v>164</v>
      </c>
      <c r="H195" t="s">
        <v>165</v>
      </c>
      <c r="I195" t="s">
        <v>34</v>
      </c>
      <c r="J195" t="s">
        <v>166</v>
      </c>
      <c r="K195" t="s">
        <v>41</v>
      </c>
      <c r="L195" t="s">
        <v>1804</v>
      </c>
      <c r="M195" t="s">
        <v>1805</v>
      </c>
      <c r="N195" t="s">
        <v>847</v>
      </c>
      <c r="O195" t="s">
        <v>100</v>
      </c>
      <c r="P195" t="s">
        <v>1806</v>
      </c>
      <c r="Q195" t="s">
        <v>43</v>
      </c>
      <c r="R195" t="s">
        <v>966</v>
      </c>
      <c r="S195">
        <v>1</v>
      </c>
      <c r="T195">
        <v>3753</v>
      </c>
      <c r="U195">
        <v>0</v>
      </c>
      <c r="V195">
        <v>3753</v>
      </c>
    </row>
    <row r="196" spans="1:22" x14ac:dyDescent="0.3">
      <c r="A196">
        <v>79452</v>
      </c>
      <c r="B196">
        <v>137121370</v>
      </c>
      <c r="C196" t="s">
        <v>1807</v>
      </c>
      <c r="D196" t="s">
        <v>1808</v>
      </c>
      <c r="E196" t="s">
        <v>843</v>
      </c>
      <c r="F196" t="s">
        <v>844</v>
      </c>
      <c r="G196" t="s">
        <v>164</v>
      </c>
      <c r="H196" t="s">
        <v>165</v>
      </c>
      <c r="I196" t="s">
        <v>34</v>
      </c>
      <c r="J196" t="s">
        <v>166</v>
      </c>
      <c r="K196" t="s">
        <v>41</v>
      </c>
      <c r="L196" t="s">
        <v>1809</v>
      </c>
      <c r="M196" t="s">
        <v>1810</v>
      </c>
      <c r="N196" t="s">
        <v>847</v>
      </c>
      <c r="O196" t="s">
        <v>100</v>
      </c>
      <c r="P196" t="s">
        <v>1811</v>
      </c>
      <c r="Q196" t="s">
        <v>190</v>
      </c>
      <c r="R196" t="s">
        <v>420</v>
      </c>
      <c r="S196">
        <v>1</v>
      </c>
      <c r="T196">
        <v>3366</v>
      </c>
      <c r="U196">
        <v>0</v>
      </c>
      <c r="V196">
        <v>3366</v>
      </c>
    </row>
    <row r="197" spans="1:22" x14ac:dyDescent="0.3">
      <c r="A197">
        <v>79452</v>
      </c>
      <c r="B197">
        <v>137121403</v>
      </c>
      <c r="C197" t="s">
        <v>1812</v>
      </c>
      <c r="D197" t="s">
        <v>1813</v>
      </c>
      <c r="E197" t="s">
        <v>843</v>
      </c>
      <c r="F197" t="s">
        <v>844</v>
      </c>
      <c r="G197" t="s">
        <v>164</v>
      </c>
      <c r="H197" t="s">
        <v>165</v>
      </c>
      <c r="I197" t="s">
        <v>34</v>
      </c>
      <c r="J197" t="s">
        <v>166</v>
      </c>
      <c r="K197" t="s">
        <v>41</v>
      </c>
      <c r="L197" t="s">
        <v>1814</v>
      </c>
      <c r="M197" t="s">
        <v>1815</v>
      </c>
      <c r="N197" t="s">
        <v>847</v>
      </c>
      <c r="O197" t="s">
        <v>100</v>
      </c>
      <c r="P197" t="s">
        <v>1816</v>
      </c>
      <c r="Q197" t="s">
        <v>63</v>
      </c>
      <c r="R197" t="s">
        <v>420</v>
      </c>
      <c r="S197">
        <v>1</v>
      </c>
      <c r="T197">
        <v>4067</v>
      </c>
      <c r="U197">
        <v>0</v>
      </c>
      <c r="V197">
        <v>4067</v>
      </c>
    </row>
    <row r="198" spans="1:22" x14ac:dyDescent="0.3">
      <c r="A198">
        <v>79452</v>
      </c>
      <c r="B198">
        <v>136635016</v>
      </c>
      <c r="C198" t="s">
        <v>1817</v>
      </c>
      <c r="D198" t="s">
        <v>1818</v>
      </c>
      <c r="E198" t="s">
        <v>843</v>
      </c>
      <c r="F198" t="s">
        <v>844</v>
      </c>
      <c r="G198" t="s">
        <v>164</v>
      </c>
      <c r="H198" t="s">
        <v>165</v>
      </c>
      <c r="I198" t="s">
        <v>34</v>
      </c>
      <c r="J198" t="s">
        <v>166</v>
      </c>
      <c r="K198" t="s">
        <v>41</v>
      </c>
      <c r="L198" t="s">
        <v>1819</v>
      </c>
      <c r="M198" t="s">
        <v>1820</v>
      </c>
      <c r="N198" t="s">
        <v>847</v>
      </c>
      <c r="O198" t="s">
        <v>100</v>
      </c>
      <c r="P198" t="s">
        <v>1821</v>
      </c>
      <c r="Q198" t="s">
        <v>246</v>
      </c>
      <c r="R198" t="s">
        <v>475</v>
      </c>
      <c r="S198">
        <v>1.39</v>
      </c>
      <c r="T198">
        <v>5759</v>
      </c>
      <c r="U198">
        <v>0</v>
      </c>
      <c r="V198">
        <v>5759</v>
      </c>
    </row>
    <row r="199" spans="1:22" x14ac:dyDescent="0.3">
      <c r="A199">
        <v>79452</v>
      </c>
      <c r="B199">
        <v>137121443</v>
      </c>
      <c r="C199" t="s">
        <v>1822</v>
      </c>
      <c r="D199" t="s">
        <v>1823</v>
      </c>
      <c r="E199" t="s">
        <v>843</v>
      </c>
      <c r="F199" t="s">
        <v>844</v>
      </c>
      <c r="G199" t="s">
        <v>164</v>
      </c>
      <c r="H199" t="s">
        <v>165</v>
      </c>
      <c r="I199" t="s">
        <v>34</v>
      </c>
      <c r="J199" t="s">
        <v>166</v>
      </c>
      <c r="K199" t="s">
        <v>41</v>
      </c>
      <c r="L199" t="s">
        <v>1824</v>
      </c>
      <c r="M199" t="s">
        <v>1825</v>
      </c>
      <c r="N199" t="s">
        <v>847</v>
      </c>
      <c r="O199" t="s">
        <v>100</v>
      </c>
      <c r="P199" t="s">
        <v>1826</v>
      </c>
      <c r="Q199" t="s">
        <v>63</v>
      </c>
      <c r="R199" t="s">
        <v>420</v>
      </c>
      <c r="S199">
        <v>1</v>
      </c>
      <c r="T199">
        <v>4067</v>
      </c>
      <c r="U199">
        <v>0</v>
      </c>
      <c r="V199">
        <v>4067</v>
      </c>
    </row>
    <row r="200" spans="1:22" x14ac:dyDescent="0.3">
      <c r="A200">
        <v>79452</v>
      </c>
      <c r="B200">
        <v>137121366</v>
      </c>
      <c r="C200" t="s">
        <v>1827</v>
      </c>
      <c r="D200" t="s">
        <v>1828</v>
      </c>
      <c r="E200" t="s">
        <v>843</v>
      </c>
      <c r="F200" t="s">
        <v>844</v>
      </c>
      <c r="G200" t="s">
        <v>164</v>
      </c>
      <c r="H200" t="s">
        <v>165</v>
      </c>
      <c r="I200" t="s">
        <v>34</v>
      </c>
      <c r="J200" t="s">
        <v>166</v>
      </c>
      <c r="K200" t="s">
        <v>41</v>
      </c>
      <c r="L200" t="s">
        <v>1829</v>
      </c>
      <c r="M200" t="s">
        <v>1830</v>
      </c>
      <c r="N200" t="s">
        <v>847</v>
      </c>
      <c r="O200" t="s">
        <v>100</v>
      </c>
      <c r="P200" t="s">
        <v>1831</v>
      </c>
      <c r="Q200" t="s">
        <v>69</v>
      </c>
      <c r="R200" t="s">
        <v>420</v>
      </c>
      <c r="S200">
        <v>1</v>
      </c>
      <c r="T200">
        <v>3753</v>
      </c>
      <c r="U200">
        <v>0</v>
      </c>
      <c r="V200">
        <v>3753</v>
      </c>
    </row>
    <row r="201" spans="1:22" x14ac:dyDescent="0.3">
      <c r="A201">
        <v>79452</v>
      </c>
      <c r="B201">
        <v>137168516</v>
      </c>
      <c r="C201" t="s">
        <v>1832</v>
      </c>
      <c r="D201" t="s">
        <v>1833</v>
      </c>
      <c r="E201" t="s">
        <v>843</v>
      </c>
      <c r="F201" t="s">
        <v>844</v>
      </c>
      <c r="G201" t="s">
        <v>164</v>
      </c>
      <c r="H201" t="s">
        <v>165</v>
      </c>
      <c r="I201" t="s">
        <v>34</v>
      </c>
      <c r="J201" t="s">
        <v>166</v>
      </c>
      <c r="K201" t="s">
        <v>41</v>
      </c>
      <c r="L201" t="s">
        <v>1834</v>
      </c>
      <c r="M201" t="s">
        <v>1835</v>
      </c>
      <c r="N201" t="s">
        <v>847</v>
      </c>
      <c r="O201" t="s">
        <v>100</v>
      </c>
      <c r="P201" t="s">
        <v>1836</v>
      </c>
      <c r="Q201" t="s">
        <v>84</v>
      </c>
      <c r="R201" t="s">
        <v>966</v>
      </c>
      <c r="S201">
        <v>1</v>
      </c>
      <c r="T201">
        <v>3366</v>
      </c>
      <c r="U201">
        <v>0</v>
      </c>
      <c r="V201">
        <v>3366</v>
      </c>
    </row>
    <row r="202" spans="1:22" x14ac:dyDescent="0.3">
      <c r="A202">
        <v>79452</v>
      </c>
      <c r="B202">
        <v>137121364</v>
      </c>
      <c r="C202" t="s">
        <v>1837</v>
      </c>
      <c r="D202" t="s">
        <v>1838</v>
      </c>
      <c r="E202" t="s">
        <v>843</v>
      </c>
      <c r="F202" t="s">
        <v>844</v>
      </c>
      <c r="G202" t="s">
        <v>164</v>
      </c>
      <c r="H202" t="s">
        <v>165</v>
      </c>
      <c r="I202" t="s">
        <v>34</v>
      </c>
      <c r="J202" t="s">
        <v>166</v>
      </c>
      <c r="K202" t="s">
        <v>41</v>
      </c>
      <c r="L202" t="s">
        <v>1839</v>
      </c>
      <c r="M202" t="s">
        <v>1840</v>
      </c>
      <c r="N202" t="s">
        <v>847</v>
      </c>
      <c r="O202" t="s">
        <v>100</v>
      </c>
      <c r="P202" t="s">
        <v>1841</v>
      </c>
      <c r="Q202" t="s">
        <v>69</v>
      </c>
      <c r="R202" t="s">
        <v>420</v>
      </c>
      <c r="S202">
        <v>1</v>
      </c>
      <c r="T202">
        <v>3753</v>
      </c>
      <c r="U202">
        <v>0</v>
      </c>
      <c r="V202">
        <v>3753</v>
      </c>
    </row>
    <row r="203" spans="1:22" x14ac:dyDescent="0.3">
      <c r="A203">
        <v>79452</v>
      </c>
      <c r="B203">
        <v>136997039</v>
      </c>
      <c r="C203" t="s">
        <v>1842</v>
      </c>
      <c r="D203" t="s">
        <v>1843</v>
      </c>
      <c r="E203" t="s">
        <v>843</v>
      </c>
      <c r="F203" t="s">
        <v>844</v>
      </c>
      <c r="G203" t="s">
        <v>164</v>
      </c>
      <c r="H203" t="s">
        <v>165</v>
      </c>
      <c r="I203" t="s">
        <v>34</v>
      </c>
      <c r="J203" t="s">
        <v>166</v>
      </c>
      <c r="K203" t="s">
        <v>41</v>
      </c>
      <c r="L203" t="s">
        <v>1844</v>
      </c>
      <c r="M203" t="s">
        <v>1845</v>
      </c>
      <c r="N203" t="s">
        <v>847</v>
      </c>
      <c r="O203" t="s">
        <v>100</v>
      </c>
      <c r="P203" t="s">
        <v>1846</v>
      </c>
      <c r="Q203" t="s">
        <v>206</v>
      </c>
      <c r="R203" t="s">
        <v>1141</v>
      </c>
      <c r="S203">
        <v>0.95</v>
      </c>
      <c r="T203">
        <v>3753</v>
      </c>
      <c r="U203">
        <v>0</v>
      </c>
      <c r="V203">
        <v>3753</v>
      </c>
    </row>
    <row r="204" spans="1:22" x14ac:dyDescent="0.3">
      <c r="A204">
        <v>79452</v>
      </c>
      <c r="B204">
        <v>137168481</v>
      </c>
      <c r="C204" t="s">
        <v>1847</v>
      </c>
      <c r="D204" t="s">
        <v>1848</v>
      </c>
      <c r="E204" t="s">
        <v>843</v>
      </c>
      <c r="F204" t="s">
        <v>844</v>
      </c>
      <c r="G204" t="s">
        <v>164</v>
      </c>
      <c r="H204" t="s">
        <v>165</v>
      </c>
      <c r="I204" t="s">
        <v>34</v>
      </c>
      <c r="J204" t="s">
        <v>166</v>
      </c>
      <c r="K204" t="s">
        <v>41</v>
      </c>
      <c r="L204" t="s">
        <v>1849</v>
      </c>
      <c r="M204" t="s">
        <v>1850</v>
      </c>
      <c r="N204" t="s">
        <v>847</v>
      </c>
      <c r="O204" t="s">
        <v>100</v>
      </c>
      <c r="P204" t="s">
        <v>1851</v>
      </c>
      <c r="Q204" t="s">
        <v>68</v>
      </c>
      <c r="R204" t="s">
        <v>966</v>
      </c>
      <c r="S204">
        <v>1</v>
      </c>
      <c r="T204">
        <v>3753</v>
      </c>
      <c r="U204">
        <v>0</v>
      </c>
      <c r="V204">
        <v>3753</v>
      </c>
    </row>
    <row r="205" spans="1:22" x14ac:dyDescent="0.3">
      <c r="A205">
        <v>79452</v>
      </c>
      <c r="B205">
        <v>136939533</v>
      </c>
      <c r="C205" t="s">
        <v>1852</v>
      </c>
      <c r="D205" t="s">
        <v>1853</v>
      </c>
      <c r="E205" t="s">
        <v>843</v>
      </c>
      <c r="F205" t="s">
        <v>844</v>
      </c>
      <c r="G205" t="s">
        <v>164</v>
      </c>
      <c r="H205" t="s">
        <v>165</v>
      </c>
      <c r="I205" t="s">
        <v>34</v>
      </c>
      <c r="J205" t="s">
        <v>166</v>
      </c>
      <c r="K205" t="s">
        <v>41</v>
      </c>
      <c r="L205" t="s">
        <v>1854</v>
      </c>
      <c r="M205" t="s">
        <v>1855</v>
      </c>
      <c r="N205" t="s">
        <v>847</v>
      </c>
      <c r="O205" t="s">
        <v>100</v>
      </c>
      <c r="P205" t="s">
        <v>1856</v>
      </c>
      <c r="Q205" t="s">
        <v>58</v>
      </c>
      <c r="R205" t="s">
        <v>1857</v>
      </c>
      <c r="S205">
        <v>0.97</v>
      </c>
      <c r="T205">
        <v>5759</v>
      </c>
      <c r="U205">
        <v>0</v>
      </c>
      <c r="V205">
        <v>5759</v>
      </c>
    </row>
    <row r="206" spans="1:22" x14ac:dyDescent="0.3">
      <c r="A206">
        <v>79452</v>
      </c>
      <c r="B206">
        <v>137168464</v>
      </c>
      <c r="C206" t="s">
        <v>1858</v>
      </c>
      <c r="D206" t="s">
        <v>1859</v>
      </c>
      <c r="E206" t="s">
        <v>843</v>
      </c>
      <c r="F206" t="s">
        <v>844</v>
      </c>
      <c r="G206" t="s">
        <v>164</v>
      </c>
      <c r="H206" t="s">
        <v>165</v>
      </c>
      <c r="I206" t="s">
        <v>34</v>
      </c>
      <c r="J206" t="s">
        <v>166</v>
      </c>
      <c r="K206" t="s">
        <v>41</v>
      </c>
      <c r="L206" t="s">
        <v>1860</v>
      </c>
      <c r="M206" t="s">
        <v>1861</v>
      </c>
      <c r="N206" t="s">
        <v>847</v>
      </c>
      <c r="O206" t="s">
        <v>100</v>
      </c>
      <c r="P206" t="s">
        <v>1862</v>
      </c>
      <c r="Q206" t="s">
        <v>92</v>
      </c>
      <c r="R206" t="s">
        <v>966</v>
      </c>
      <c r="S206">
        <v>1</v>
      </c>
      <c r="T206">
        <v>3366</v>
      </c>
      <c r="U206">
        <v>0</v>
      </c>
      <c r="V206">
        <v>3366</v>
      </c>
    </row>
    <row r="207" spans="1:22" x14ac:dyDescent="0.3">
      <c r="A207">
        <v>79452</v>
      </c>
      <c r="B207">
        <v>136920642</v>
      </c>
      <c r="C207" t="s">
        <v>1863</v>
      </c>
      <c r="D207" t="s">
        <v>1864</v>
      </c>
      <c r="E207" t="s">
        <v>843</v>
      </c>
      <c r="F207" t="s">
        <v>844</v>
      </c>
      <c r="G207" t="s">
        <v>164</v>
      </c>
      <c r="H207" t="s">
        <v>165</v>
      </c>
      <c r="I207" t="s">
        <v>34</v>
      </c>
      <c r="J207" t="s">
        <v>166</v>
      </c>
      <c r="K207" t="s">
        <v>41</v>
      </c>
      <c r="L207" t="s">
        <v>1865</v>
      </c>
      <c r="M207" t="s">
        <v>1342</v>
      </c>
      <c r="N207" t="s">
        <v>847</v>
      </c>
      <c r="O207" t="s">
        <v>100</v>
      </c>
      <c r="P207" t="s">
        <v>1343</v>
      </c>
      <c r="Q207" t="s">
        <v>58</v>
      </c>
      <c r="R207" t="s">
        <v>1746</v>
      </c>
      <c r="S207">
        <v>1.97</v>
      </c>
      <c r="T207">
        <v>5759</v>
      </c>
      <c r="U207">
        <v>0</v>
      </c>
      <c r="V207">
        <v>5759</v>
      </c>
    </row>
    <row r="208" spans="1:22" x14ac:dyDescent="0.3">
      <c r="A208">
        <v>79452</v>
      </c>
      <c r="B208">
        <v>136920652</v>
      </c>
      <c r="C208" t="s">
        <v>1866</v>
      </c>
      <c r="D208" t="s">
        <v>1867</v>
      </c>
      <c r="E208" t="s">
        <v>843</v>
      </c>
      <c r="F208" t="s">
        <v>844</v>
      </c>
      <c r="G208" t="s">
        <v>164</v>
      </c>
      <c r="H208" t="s">
        <v>165</v>
      </c>
      <c r="I208" t="s">
        <v>34</v>
      </c>
      <c r="J208" t="s">
        <v>166</v>
      </c>
      <c r="K208" t="s">
        <v>41</v>
      </c>
      <c r="L208" t="s">
        <v>1868</v>
      </c>
      <c r="M208" t="s">
        <v>1869</v>
      </c>
      <c r="N208" t="s">
        <v>847</v>
      </c>
      <c r="O208" t="s">
        <v>100</v>
      </c>
      <c r="P208" t="s">
        <v>1870</v>
      </c>
      <c r="Q208" t="s">
        <v>72</v>
      </c>
      <c r="R208" t="s">
        <v>1746</v>
      </c>
      <c r="S208">
        <v>1.22</v>
      </c>
      <c r="T208">
        <v>3784</v>
      </c>
      <c r="U208">
        <v>0</v>
      </c>
      <c r="V208">
        <v>3784</v>
      </c>
    </row>
    <row r="209" spans="1:22" x14ac:dyDescent="0.3">
      <c r="A209">
        <v>79452</v>
      </c>
      <c r="B209">
        <v>137032301</v>
      </c>
      <c r="C209" t="s">
        <v>1871</v>
      </c>
      <c r="D209" t="s">
        <v>1872</v>
      </c>
      <c r="E209" t="s">
        <v>843</v>
      </c>
      <c r="F209" t="s">
        <v>844</v>
      </c>
      <c r="G209" t="s">
        <v>164</v>
      </c>
      <c r="H209" t="s">
        <v>165</v>
      </c>
      <c r="I209" t="s">
        <v>34</v>
      </c>
      <c r="J209" t="s">
        <v>166</v>
      </c>
      <c r="K209" t="s">
        <v>41</v>
      </c>
      <c r="L209" t="s">
        <v>1873</v>
      </c>
      <c r="M209" t="s">
        <v>1874</v>
      </c>
      <c r="N209" t="s">
        <v>847</v>
      </c>
      <c r="O209" t="s">
        <v>100</v>
      </c>
      <c r="P209" t="s">
        <v>1875</v>
      </c>
      <c r="Q209" t="s">
        <v>63</v>
      </c>
      <c r="R209" t="s">
        <v>324</v>
      </c>
      <c r="S209">
        <v>1.35</v>
      </c>
      <c r="T209">
        <v>4067</v>
      </c>
      <c r="U209">
        <v>0</v>
      </c>
      <c r="V209">
        <v>4067</v>
      </c>
    </row>
    <row r="210" spans="1:22" x14ac:dyDescent="0.3">
      <c r="A210">
        <v>79452</v>
      </c>
      <c r="B210">
        <v>137168428</v>
      </c>
      <c r="C210" t="s">
        <v>1876</v>
      </c>
      <c r="D210" t="s">
        <v>1877</v>
      </c>
      <c r="E210" t="s">
        <v>843</v>
      </c>
      <c r="F210" t="s">
        <v>844</v>
      </c>
      <c r="G210" t="s">
        <v>164</v>
      </c>
      <c r="H210" t="s">
        <v>165</v>
      </c>
      <c r="I210" t="s">
        <v>34</v>
      </c>
      <c r="J210" t="s">
        <v>166</v>
      </c>
      <c r="K210" t="s">
        <v>41</v>
      </c>
      <c r="L210" t="s">
        <v>1878</v>
      </c>
      <c r="M210" t="s">
        <v>1879</v>
      </c>
      <c r="N210" t="s">
        <v>847</v>
      </c>
      <c r="O210" t="s">
        <v>100</v>
      </c>
      <c r="P210" t="s">
        <v>1880</v>
      </c>
      <c r="Q210" t="s">
        <v>69</v>
      </c>
      <c r="R210" t="s">
        <v>966</v>
      </c>
      <c r="S210">
        <v>1</v>
      </c>
      <c r="T210">
        <v>3753</v>
      </c>
      <c r="U210">
        <v>0</v>
      </c>
      <c r="V210">
        <v>3753</v>
      </c>
    </row>
    <row r="211" spans="1:22" x14ac:dyDescent="0.3">
      <c r="A211">
        <v>79452</v>
      </c>
      <c r="B211">
        <v>136997206</v>
      </c>
      <c r="C211" t="s">
        <v>1881</v>
      </c>
      <c r="D211" t="s">
        <v>1882</v>
      </c>
      <c r="E211" t="s">
        <v>843</v>
      </c>
      <c r="F211" t="s">
        <v>844</v>
      </c>
      <c r="G211" t="s">
        <v>164</v>
      </c>
      <c r="H211" t="s">
        <v>165</v>
      </c>
      <c r="I211" t="s">
        <v>34</v>
      </c>
      <c r="J211" t="s">
        <v>166</v>
      </c>
      <c r="K211" t="s">
        <v>41</v>
      </c>
      <c r="L211" t="s">
        <v>1883</v>
      </c>
      <c r="M211" t="s">
        <v>1884</v>
      </c>
      <c r="N211" t="s">
        <v>847</v>
      </c>
      <c r="O211" t="s">
        <v>100</v>
      </c>
      <c r="P211" t="s">
        <v>1885</v>
      </c>
      <c r="Q211" t="s">
        <v>61</v>
      </c>
      <c r="R211" t="s">
        <v>1550</v>
      </c>
      <c r="S211">
        <v>1.0900000000000001</v>
      </c>
      <c r="T211">
        <v>4067</v>
      </c>
      <c r="U211">
        <v>0</v>
      </c>
      <c r="V211">
        <v>4067</v>
      </c>
    </row>
    <row r="212" spans="1:22" x14ac:dyDescent="0.3">
      <c r="A212">
        <v>79452</v>
      </c>
      <c r="B212">
        <v>136825376</v>
      </c>
      <c r="C212" t="s">
        <v>1886</v>
      </c>
      <c r="D212" t="s">
        <v>1887</v>
      </c>
      <c r="E212" t="s">
        <v>843</v>
      </c>
      <c r="F212" t="s">
        <v>844</v>
      </c>
      <c r="G212" t="s">
        <v>164</v>
      </c>
      <c r="H212" t="s">
        <v>165</v>
      </c>
      <c r="I212" t="s">
        <v>34</v>
      </c>
      <c r="J212" t="s">
        <v>166</v>
      </c>
      <c r="K212" t="s">
        <v>41</v>
      </c>
      <c r="L212" t="s">
        <v>1888</v>
      </c>
      <c r="M212" t="s">
        <v>1889</v>
      </c>
      <c r="N212" t="s">
        <v>847</v>
      </c>
      <c r="O212" t="s">
        <v>100</v>
      </c>
      <c r="P212" t="s">
        <v>1890</v>
      </c>
      <c r="Q212" t="s">
        <v>89</v>
      </c>
      <c r="R212" t="s">
        <v>155</v>
      </c>
      <c r="S212">
        <v>0.95</v>
      </c>
      <c r="T212">
        <v>3366</v>
      </c>
      <c r="U212">
        <v>0</v>
      </c>
      <c r="V212">
        <v>3366</v>
      </c>
    </row>
    <row r="213" spans="1:22" x14ac:dyDescent="0.3">
      <c r="A213">
        <v>79452</v>
      </c>
      <c r="B213">
        <v>137084165</v>
      </c>
      <c r="C213" t="s">
        <v>1891</v>
      </c>
      <c r="D213" t="s">
        <v>1892</v>
      </c>
      <c r="E213" t="s">
        <v>843</v>
      </c>
      <c r="F213" t="s">
        <v>844</v>
      </c>
      <c r="G213" t="s">
        <v>164</v>
      </c>
      <c r="H213" t="s">
        <v>165</v>
      </c>
      <c r="I213" t="s">
        <v>34</v>
      </c>
      <c r="J213" t="s">
        <v>166</v>
      </c>
      <c r="K213" t="s">
        <v>41</v>
      </c>
      <c r="L213" t="s">
        <v>1893</v>
      </c>
      <c r="M213" t="s">
        <v>1894</v>
      </c>
      <c r="N213" t="s">
        <v>847</v>
      </c>
      <c r="O213" t="s">
        <v>100</v>
      </c>
      <c r="P213" t="s">
        <v>1895</v>
      </c>
      <c r="Q213" t="s">
        <v>55</v>
      </c>
      <c r="R213" t="s">
        <v>460</v>
      </c>
      <c r="S213">
        <v>0.71</v>
      </c>
      <c r="T213">
        <v>5198</v>
      </c>
      <c r="U213">
        <v>0</v>
      </c>
      <c r="V213">
        <v>5198</v>
      </c>
    </row>
    <row r="214" spans="1:22" x14ac:dyDescent="0.3">
      <c r="A214">
        <v>79452</v>
      </c>
      <c r="B214">
        <v>137168436</v>
      </c>
      <c r="C214" t="s">
        <v>1896</v>
      </c>
      <c r="D214" t="s">
        <v>1897</v>
      </c>
      <c r="E214" t="s">
        <v>843</v>
      </c>
      <c r="F214" t="s">
        <v>844</v>
      </c>
      <c r="G214" t="s">
        <v>164</v>
      </c>
      <c r="H214" t="s">
        <v>165</v>
      </c>
      <c r="I214" t="s">
        <v>34</v>
      </c>
      <c r="J214" t="s">
        <v>166</v>
      </c>
      <c r="K214" t="s">
        <v>41</v>
      </c>
      <c r="L214" t="s">
        <v>1898</v>
      </c>
      <c r="M214" t="s">
        <v>1899</v>
      </c>
      <c r="N214" t="s">
        <v>847</v>
      </c>
      <c r="O214" t="s">
        <v>100</v>
      </c>
      <c r="P214" t="s">
        <v>1900</v>
      </c>
      <c r="Q214" t="s">
        <v>84</v>
      </c>
      <c r="R214" t="s">
        <v>966</v>
      </c>
      <c r="S214">
        <v>1</v>
      </c>
      <c r="T214">
        <v>3366</v>
      </c>
      <c r="U214">
        <v>0</v>
      </c>
      <c r="V214">
        <v>3366</v>
      </c>
    </row>
    <row r="215" spans="1:22" x14ac:dyDescent="0.3">
      <c r="A215">
        <v>79452</v>
      </c>
      <c r="B215">
        <v>136997134</v>
      </c>
      <c r="C215" t="s">
        <v>1901</v>
      </c>
      <c r="D215" t="s">
        <v>1902</v>
      </c>
      <c r="E215" t="s">
        <v>843</v>
      </c>
      <c r="F215" t="s">
        <v>844</v>
      </c>
      <c r="G215" t="s">
        <v>164</v>
      </c>
      <c r="H215" t="s">
        <v>165</v>
      </c>
      <c r="I215" t="s">
        <v>34</v>
      </c>
      <c r="J215" t="s">
        <v>166</v>
      </c>
      <c r="K215" t="s">
        <v>41</v>
      </c>
      <c r="L215" t="s">
        <v>1903</v>
      </c>
      <c r="M215" t="s">
        <v>1904</v>
      </c>
      <c r="N215" t="s">
        <v>847</v>
      </c>
      <c r="O215" t="s">
        <v>100</v>
      </c>
      <c r="P215" t="s">
        <v>1905</v>
      </c>
      <c r="Q215" t="s">
        <v>212</v>
      </c>
      <c r="R215" t="s">
        <v>1550</v>
      </c>
      <c r="S215">
        <v>1.24</v>
      </c>
      <c r="T215">
        <v>3784</v>
      </c>
      <c r="U215">
        <v>0</v>
      </c>
      <c r="V215">
        <v>3784</v>
      </c>
    </row>
    <row r="216" spans="1:22" x14ac:dyDescent="0.3">
      <c r="A216">
        <v>79452</v>
      </c>
      <c r="B216">
        <v>137032321</v>
      </c>
      <c r="C216" t="s">
        <v>1906</v>
      </c>
      <c r="D216" t="s">
        <v>1907</v>
      </c>
      <c r="E216" t="s">
        <v>843</v>
      </c>
      <c r="F216" t="s">
        <v>844</v>
      </c>
      <c r="G216" t="s">
        <v>164</v>
      </c>
      <c r="H216" t="s">
        <v>165</v>
      </c>
      <c r="I216" t="s">
        <v>34</v>
      </c>
      <c r="J216" t="s">
        <v>166</v>
      </c>
      <c r="K216" t="s">
        <v>41</v>
      </c>
      <c r="L216" t="s">
        <v>1908</v>
      </c>
      <c r="M216" t="s">
        <v>1909</v>
      </c>
      <c r="N216" t="s">
        <v>847</v>
      </c>
      <c r="O216" t="s">
        <v>100</v>
      </c>
      <c r="P216" t="s">
        <v>1910</v>
      </c>
      <c r="Q216" t="s">
        <v>55</v>
      </c>
      <c r="R216" t="s">
        <v>324</v>
      </c>
      <c r="S216">
        <v>1</v>
      </c>
      <c r="T216">
        <v>5198</v>
      </c>
      <c r="U216">
        <v>0</v>
      </c>
      <c r="V216">
        <v>5198</v>
      </c>
    </row>
    <row r="217" spans="1:22" x14ac:dyDescent="0.3">
      <c r="A217">
        <v>79452</v>
      </c>
      <c r="B217">
        <v>137121413</v>
      </c>
      <c r="C217" t="s">
        <v>1911</v>
      </c>
      <c r="D217" t="s">
        <v>1912</v>
      </c>
      <c r="E217" t="s">
        <v>843</v>
      </c>
      <c r="F217" t="s">
        <v>844</v>
      </c>
      <c r="G217" t="s">
        <v>164</v>
      </c>
      <c r="H217" t="s">
        <v>165</v>
      </c>
      <c r="I217" t="s">
        <v>34</v>
      </c>
      <c r="J217" t="s">
        <v>166</v>
      </c>
      <c r="K217" t="s">
        <v>41</v>
      </c>
      <c r="L217" t="s">
        <v>1913</v>
      </c>
      <c r="M217" t="s">
        <v>1914</v>
      </c>
      <c r="N217" t="s">
        <v>847</v>
      </c>
      <c r="O217" t="s">
        <v>100</v>
      </c>
      <c r="P217" t="s">
        <v>1915</v>
      </c>
      <c r="Q217" t="s">
        <v>63</v>
      </c>
      <c r="R217" t="s">
        <v>420</v>
      </c>
      <c r="S217">
        <v>1</v>
      </c>
      <c r="T217">
        <v>4067</v>
      </c>
      <c r="U217">
        <v>0</v>
      </c>
      <c r="V217">
        <v>4067</v>
      </c>
    </row>
    <row r="218" spans="1:22" x14ac:dyDescent="0.3">
      <c r="A218">
        <v>79452</v>
      </c>
      <c r="B218">
        <v>137168437</v>
      </c>
      <c r="C218" t="s">
        <v>1916</v>
      </c>
      <c r="D218" t="s">
        <v>1917</v>
      </c>
      <c r="E218" t="s">
        <v>843</v>
      </c>
      <c r="F218" t="s">
        <v>844</v>
      </c>
      <c r="G218" t="s">
        <v>164</v>
      </c>
      <c r="H218" t="s">
        <v>165</v>
      </c>
      <c r="I218" t="s">
        <v>34</v>
      </c>
      <c r="J218" t="s">
        <v>166</v>
      </c>
      <c r="K218" t="s">
        <v>41</v>
      </c>
      <c r="L218" t="s">
        <v>1918</v>
      </c>
      <c r="M218" t="s">
        <v>1919</v>
      </c>
      <c r="N218" t="s">
        <v>847</v>
      </c>
      <c r="O218" t="s">
        <v>100</v>
      </c>
      <c r="P218" t="s">
        <v>1920</v>
      </c>
      <c r="Q218" t="s">
        <v>64</v>
      </c>
      <c r="R218" t="s">
        <v>966</v>
      </c>
      <c r="S218">
        <v>1</v>
      </c>
      <c r="T218">
        <v>4067</v>
      </c>
      <c r="U218">
        <v>0</v>
      </c>
      <c r="V218">
        <v>4067</v>
      </c>
    </row>
    <row r="219" spans="1:22" x14ac:dyDescent="0.3">
      <c r="A219">
        <v>79452</v>
      </c>
      <c r="B219">
        <v>137168502</v>
      </c>
      <c r="C219" t="s">
        <v>1921</v>
      </c>
      <c r="D219" t="s">
        <v>1922</v>
      </c>
      <c r="E219" t="s">
        <v>843</v>
      </c>
      <c r="F219" t="s">
        <v>844</v>
      </c>
      <c r="G219" t="s">
        <v>164</v>
      </c>
      <c r="H219" t="s">
        <v>165</v>
      </c>
      <c r="I219" t="s">
        <v>34</v>
      </c>
      <c r="J219" t="s">
        <v>166</v>
      </c>
      <c r="K219" t="s">
        <v>41</v>
      </c>
      <c r="L219" t="s">
        <v>1923</v>
      </c>
      <c r="M219" t="s">
        <v>1924</v>
      </c>
      <c r="N219" t="s">
        <v>847</v>
      </c>
      <c r="O219" t="s">
        <v>100</v>
      </c>
      <c r="P219" t="s">
        <v>1925</v>
      </c>
      <c r="Q219" t="s">
        <v>72</v>
      </c>
      <c r="R219" t="s">
        <v>966</v>
      </c>
      <c r="S219">
        <v>1</v>
      </c>
      <c r="T219">
        <v>3784</v>
      </c>
      <c r="U219">
        <v>0</v>
      </c>
      <c r="V219">
        <v>3784</v>
      </c>
    </row>
    <row r="220" spans="1:22" x14ac:dyDescent="0.3">
      <c r="A220">
        <v>79452</v>
      </c>
      <c r="B220">
        <v>137168487</v>
      </c>
      <c r="C220" t="s">
        <v>1926</v>
      </c>
      <c r="D220" t="s">
        <v>1927</v>
      </c>
      <c r="E220" t="s">
        <v>843</v>
      </c>
      <c r="F220" t="s">
        <v>844</v>
      </c>
      <c r="G220" t="s">
        <v>164</v>
      </c>
      <c r="H220" t="s">
        <v>165</v>
      </c>
      <c r="I220" t="s">
        <v>34</v>
      </c>
      <c r="J220" t="s">
        <v>166</v>
      </c>
      <c r="K220" t="s">
        <v>41</v>
      </c>
      <c r="L220" t="s">
        <v>1928</v>
      </c>
      <c r="M220" t="s">
        <v>664</v>
      </c>
      <c r="N220" t="s">
        <v>847</v>
      </c>
      <c r="O220" t="s">
        <v>100</v>
      </c>
      <c r="P220" t="s">
        <v>1929</v>
      </c>
      <c r="Q220" t="s">
        <v>91</v>
      </c>
      <c r="R220" t="s">
        <v>966</v>
      </c>
      <c r="S220">
        <v>1</v>
      </c>
      <c r="T220">
        <v>3870</v>
      </c>
      <c r="U220">
        <v>0</v>
      </c>
      <c r="V220">
        <v>3870</v>
      </c>
    </row>
    <row r="221" spans="1:22" x14ac:dyDescent="0.3">
      <c r="A221">
        <v>79452</v>
      </c>
      <c r="B221">
        <v>137121355</v>
      </c>
      <c r="C221" t="s">
        <v>1930</v>
      </c>
      <c r="D221" t="s">
        <v>1931</v>
      </c>
      <c r="E221" t="s">
        <v>843</v>
      </c>
      <c r="F221" t="s">
        <v>844</v>
      </c>
      <c r="G221" t="s">
        <v>164</v>
      </c>
      <c r="H221" t="s">
        <v>165</v>
      </c>
      <c r="I221" t="s">
        <v>34</v>
      </c>
      <c r="J221" t="s">
        <v>166</v>
      </c>
      <c r="K221" t="s">
        <v>41</v>
      </c>
      <c r="L221" t="s">
        <v>1932</v>
      </c>
      <c r="M221" t="s">
        <v>1933</v>
      </c>
      <c r="N221" t="s">
        <v>847</v>
      </c>
      <c r="O221" t="s">
        <v>100</v>
      </c>
      <c r="P221" t="s">
        <v>1934</v>
      </c>
      <c r="Q221" t="s">
        <v>92</v>
      </c>
      <c r="R221" t="s">
        <v>420</v>
      </c>
      <c r="S221">
        <v>1</v>
      </c>
      <c r="T221">
        <v>3366</v>
      </c>
      <c r="U221">
        <v>0</v>
      </c>
      <c r="V221">
        <v>3366</v>
      </c>
    </row>
    <row r="222" spans="1:22" x14ac:dyDescent="0.3">
      <c r="A222">
        <v>79452</v>
      </c>
      <c r="B222">
        <v>137084162</v>
      </c>
      <c r="C222" t="s">
        <v>1935</v>
      </c>
      <c r="D222" t="s">
        <v>1936</v>
      </c>
      <c r="E222" t="s">
        <v>843</v>
      </c>
      <c r="F222" t="s">
        <v>844</v>
      </c>
      <c r="G222" t="s">
        <v>164</v>
      </c>
      <c r="H222" t="s">
        <v>165</v>
      </c>
      <c r="I222" t="s">
        <v>34</v>
      </c>
      <c r="J222" t="s">
        <v>166</v>
      </c>
      <c r="K222" t="s">
        <v>41</v>
      </c>
      <c r="L222" t="s">
        <v>1937</v>
      </c>
      <c r="M222" t="s">
        <v>1938</v>
      </c>
      <c r="N222" t="s">
        <v>847</v>
      </c>
      <c r="O222" t="s">
        <v>100</v>
      </c>
      <c r="P222" t="s">
        <v>653</v>
      </c>
      <c r="Q222" t="s">
        <v>110</v>
      </c>
      <c r="R222" t="s">
        <v>460</v>
      </c>
      <c r="S222">
        <v>0.64</v>
      </c>
      <c r="T222">
        <v>7506</v>
      </c>
      <c r="U222">
        <v>0</v>
      </c>
      <c r="V222">
        <v>7506</v>
      </c>
    </row>
    <row r="223" spans="1:22" x14ac:dyDescent="0.3">
      <c r="A223">
        <v>79452</v>
      </c>
      <c r="B223">
        <v>136939486</v>
      </c>
      <c r="C223" t="s">
        <v>1939</v>
      </c>
      <c r="D223" t="s">
        <v>1940</v>
      </c>
      <c r="E223" t="s">
        <v>843</v>
      </c>
      <c r="F223" t="s">
        <v>844</v>
      </c>
      <c r="G223" t="s">
        <v>164</v>
      </c>
      <c r="H223" t="s">
        <v>165</v>
      </c>
      <c r="I223" t="s">
        <v>34</v>
      </c>
      <c r="J223" t="s">
        <v>166</v>
      </c>
      <c r="K223" t="s">
        <v>41</v>
      </c>
      <c r="L223" t="s">
        <v>1941</v>
      </c>
      <c r="M223" t="s">
        <v>1942</v>
      </c>
      <c r="N223" t="s">
        <v>847</v>
      </c>
      <c r="O223" t="s">
        <v>100</v>
      </c>
      <c r="P223" t="s">
        <v>1943</v>
      </c>
      <c r="Q223" t="s">
        <v>229</v>
      </c>
      <c r="R223" t="s">
        <v>1857</v>
      </c>
      <c r="S223">
        <v>2.4900000000000002</v>
      </c>
      <c r="T223">
        <v>4067</v>
      </c>
      <c r="U223">
        <v>0</v>
      </c>
      <c r="V223">
        <v>4067</v>
      </c>
    </row>
    <row r="224" spans="1:22" x14ac:dyDescent="0.3">
      <c r="A224">
        <v>79452</v>
      </c>
      <c r="B224">
        <v>137121341</v>
      </c>
      <c r="C224" t="s">
        <v>1944</v>
      </c>
      <c r="D224" t="s">
        <v>1945</v>
      </c>
      <c r="E224" t="s">
        <v>843</v>
      </c>
      <c r="F224" t="s">
        <v>844</v>
      </c>
      <c r="G224" t="s">
        <v>164</v>
      </c>
      <c r="H224" t="s">
        <v>165</v>
      </c>
      <c r="I224" t="s">
        <v>34</v>
      </c>
      <c r="J224" t="s">
        <v>166</v>
      </c>
      <c r="K224" t="s">
        <v>41</v>
      </c>
      <c r="L224" t="s">
        <v>1946</v>
      </c>
      <c r="M224" t="s">
        <v>1947</v>
      </c>
      <c r="N224" t="s">
        <v>847</v>
      </c>
      <c r="O224" t="s">
        <v>100</v>
      </c>
      <c r="P224" t="s">
        <v>1948</v>
      </c>
      <c r="Q224" t="s">
        <v>69</v>
      </c>
      <c r="R224" t="s">
        <v>420</v>
      </c>
      <c r="S224">
        <v>1</v>
      </c>
      <c r="T224">
        <v>3753</v>
      </c>
      <c r="U224">
        <v>0</v>
      </c>
      <c r="V224">
        <v>3753</v>
      </c>
    </row>
    <row r="225" spans="1:22" x14ac:dyDescent="0.3">
      <c r="A225">
        <v>79452</v>
      </c>
      <c r="B225">
        <v>137032328</v>
      </c>
      <c r="C225" t="s">
        <v>1949</v>
      </c>
      <c r="D225" t="s">
        <v>1950</v>
      </c>
      <c r="E225" t="s">
        <v>843</v>
      </c>
      <c r="F225" t="s">
        <v>844</v>
      </c>
      <c r="G225" t="s">
        <v>164</v>
      </c>
      <c r="H225" t="s">
        <v>165</v>
      </c>
      <c r="I225" t="s">
        <v>34</v>
      </c>
      <c r="J225" t="s">
        <v>166</v>
      </c>
      <c r="K225" t="s">
        <v>41</v>
      </c>
      <c r="L225" t="s">
        <v>1951</v>
      </c>
      <c r="M225" t="s">
        <v>1952</v>
      </c>
      <c r="N225" t="s">
        <v>847</v>
      </c>
      <c r="O225" t="s">
        <v>100</v>
      </c>
      <c r="P225" t="s">
        <v>1953</v>
      </c>
      <c r="Q225" t="s">
        <v>54</v>
      </c>
      <c r="R225" t="s">
        <v>324</v>
      </c>
      <c r="S225">
        <v>1.34</v>
      </c>
      <c r="T225">
        <v>5759</v>
      </c>
      <c r="U225">
        <v>0</v>
      </c>
      <c r="V225">
        <v>5759</v>
      </c>
    </row>
    <row r="226" spans="1:22" x14ac:dyDescent="0.3">
      <c r="A226">
        <v>79452</v>
      </c>
      <c r="B226">
        <v>137032323</v>
      </c>
      <c r="C226" t="s">
        <v>1954</v>
      </c>
      <c r="D226" t="s">
        <v>1955</v>
      </c>
      <c r="E226" t="s">
        <v>843</v>
      </c>
      <c r="F226" t="s">
        <v>844</v>
      </c>
      <c r="G226" t="s">
        <v>164</v>
      </c>
      <c r="H226" t="s">
        <v>165</v>
      </c>
      <c r="I226" t="s">
        <v>34</v>
      </c>
      <c r="J226" t="s">
        <v>166</v>
      </c>
      <c r="K226" t="s">
        <v>41</v>
      </c>
      <c r="L226" t="s">
        <v>1956</v>
      </c>
      <c r="M226" t="s">
        <v>1957</v>
      </c>
      <c r="N226" t="s">
        <v>847</v>
      </c>
      <c r="O226" t="s">
        <v>100</v>
      </c>
      <c r="P226" t="s">
        <v>1958</v>
      </c>
      <c r="Q226" t="s">
        <v>61</v>
      </c>
      <c r="R226" t="s">
        <v>324</v>
      </c>
      <c r="S226">
        <v>0.65</v>
      </c>
      <c r="T226">
        <v>4067</v>
      </c>
      <c r="U226">
        <v>0</v>
      </c>
      <c r="V226">
        <v>4067</v>
      </c>
    </row>
    <row r="227" spans="1:22" x14ac:dyDescent="0.3">
      <c r="A227">
        <v>79452</v>
      </c>
      <c r="B227">
        <v>136920683</v>
      </c>
      <c r="C227" t="s">
        <v>1959</v>
      </c>
      <c r="D227" t="s">
        <v>1960</v>
      </c>
      <c r="E227" t="s">
        <v>843</v>
      </c>
      <c r="F227" t="s">
        <v>844</v>
      </c>
      <c r="G227" t="s">
        <v>164</v>
      </c>
      <c r="H227" t="s">
        <v>165</v>
      </c>
      <c r="I227" t="s">
        <v>34</v>
      </c>
      <c r="J227" t="s">
        <v>166</v>
      </c>
      <c r="K227" t="s">
        <v>41</v>
      </c>
      <c r="L227" t="s">
        <v>1961</v>
      </c>
      <c r="M227" t="s">
        <v>1962</v>
      </c>
      <c r="N227" t="s">
        <v>847</v>
      </c>
      <c r="O227" t="s">
        <v>100</v>
      </c>
      <c r="P227" t="s">
        <v>1963</v>
      </c>
      <c r="Q227" t="s">
        <v>55</v>
      </c>
      <c r="R227" t="s">
        <v>1746</v>
      </c>
      <c r="S227">
        <v>1.26</v>
      </c>
      <c r="T227">
        <v>5198</v>
      </c>
      <c r="U227">
        <v>0</v>
      </c>
      <c r="V227">
        <v>5198</v>
      </c>
    </row>
    <row r="228" spans="1:22" x14ac:dyDescent="0.3">
      <c r="A228">
        <v>79452</v>
      </c>
      <c r="B228">
        <v>137032336</v>
      </c>
      <c r="C228" t="s">
        <v>1964</v>
      </c>
      <c r="D228" t="s">
        <v>1965</v>
      </c>
      <c r="E228" t="s">
        <v>843</v>
      </c>
      <c r="F228" t="s">
        <v>844</v>
      </c>
      <c r="G228" t="s">
        <v>164</v>
      </c>
      <c r="H228" t="s">
        <v>165</v>
      </c>
      <c r="I228" t="s">
        <v>34</v>
      </c>
      <c r="J228" t="s">
        <v>166</v>
      </c>
      <c r="K228" t="s">
        <v>41</v>
      </c>
      <c r="L228" t="s">
        <v>1966</v>
      </c>
      <c r="M228" t="s">
        <v>594</v>
      </c>
      <c r="N228" t="s">
        <v>847</v>
      </c>
      <c r="O228" t="s">
        <v>100</v>
      </c>
      <c r="P228" t="s">
        <v>1967</v>
      </c>
      <c r="Q228" t="s">
        <v>59</v>
      </c>
      <c r="R228" t="s">
        <v>324</v>
      </c>
      <c r="S228">
        <v>1.35</v>
      </c>
      <c r="T228">
        <v>4067</v>
      </c>
      <c r="U228">
        <v>0</v>
      </c>
      <c r="V228">
        <v>4067</v>
      </c>
    </row>
    <row r="229" spans="1:22" x14ac:dyDescent="0.3">
      <c r="A229">
        <v>79452</v>
      </c>
      <c r="B229">
        <v>137084207</v>
      </c>
      <c r="C229" t="s">
        <v>1968</v>
      </c>
      <c r="D229" t="s">
        <v>1969</v>
      </c>
      <c r="E229" t="s">
        <v>843</v>
      </c>
      <c r="F229" t="s">
        <v>844</v>
      </c>
      <c r="G229" t="s">
        <v>164</v>
      </c>
      <c r="H229" t="s">
        <v>165</v>
      </c>
      <c r="I229" t="s">
        <v>34</v>
      </c>
      <c r="J229" t="s">
        <v>166</v>
      </c>
      <c r="K229" t="s">
        <v>41</v>
      </c>
      <c r="L229" t="s">
        <v>1970</v>
      </c>
      <c r="M229" t="s">
        <v>526</v>
      </c>
      <c r="N229" t="s">
        <v>847</v>
      </c>
      <c r="O229" t="s">
        <v>100</v>
      </c>
      <c r="P229" t="s">
        <v>1971</v>
      </c>
      <c r="Q229" t="s">
        <v>55</v>
      </c>
      <c r="R229" t="s">
        <v>460</v>
      </c>
      <c r="S229">
        <v>1.1200000000000001</v>
      </c>
      <c r="T229">
        <v>5198</v>
      </c>
      <c r="U229">
        <v>0</v>
      </c>
      <c r="V229">
        <v>5198</v>
      </c>
    </row>
    <row r="230" spans="1:22" x14ac:dyDescent="0.3">
      <c r="A230">
        <v>79452</v>
      </c>
      <c r="B230">
        <v>136920641</v>
      </c>
      <c r="C230" t="s">
        <v>1972</v>
      </c>
      <c r="D230" t="s">
        <v>1973</v>
      </c>
      <c r="E230" t="s">
        <v>843</v>
      </c>
      <c r="F230" t="s">
        <v>844</v>
      </c>
      <c r="G230" t="s">
        <v>164</v>
      </c>
      <c r="H230" t="s">
        <v>165</v>
      </c>
      <c r="I230" t="s">
        <v>34</v>
      </c>
      <c r="J230" t="s">
        <v>166</v>
      </c>
      <c r="K230" t="s">
        <v>41</v>
      </c>
      <c r="L230" t="s">
        <v>1974</v>
      </c>
      <c r="M230" t="s">
        <v>1975</v>
      </c>
      <c r="N230" t="s">
        <v>847</v>
      </c>
      <c r="O230" t="s">
        <v>100</v>
      </c>
      <c r="P230" t="s">
        <v>1976</v>
      </c>
      <c r="Q230" t="s">
        <v>93</v>
      </c>
      <c r="R230" t="s">
        <v>1746</v>
      </c>
      <c r="S230">
        <v>0.84</v>
      </c>
      <c r="T230">
        <v>3366</v>
      </c>
      <c r="U230">
        <v>0</v>
      </c>
      <c r="V230">
        <v>3366</v>
      </c>
    </row>
    <row r="231" spans="1:22" x14ac:dyDescent="0.3">
      <c r="A231">
        <v>79452</v>
      </c>
      <c r="B231">
        <v>136997128</v>
      </c>
      <c r="C231" t="s">
        <v>1977</v>
      </c>
      <c r="D231" t="s">
        <v>1978</v>
      </c>
      <c r="E231" t="s">
        <v>843</v>
      </c>
      <c r="F231" t="s">
        <v>844</v>
      </c>
      <c r="G231" t="s">
        <v>164</v>
      </c>
      <c r="H231" t="s">
        <v>165</v>
      </c>
      <c r="I231" t="s">
        <v>34</v>
      </c>
      <c r="J231" t="s">
        <v>166</v>
      </c>
      <c r="K231" t="s">
        <v>41</v>
      </c>
      <c r="L231" t="s">
        <v>1979</v>
      </c>
      <c r="M231" t="s">
        <v>1980</v>
      </c>
      <c r="N231" t="s">
        <v>847</v>
      </c>
      <c r="O231" t="s">
        <v>100</v>
      </c>
      <c r="P231" t="s">
        <v>1981</v>
      </c>
      <c r="Q231" t="s">
        <v>71</v>
      </c>
      <c r="R231" t="s">
        <v>1550</v>
      </c>
      <c r="S231">
        <v>0.94</v>
      </c>
      <c r="T231">
        <v>3501</v>
      </c>
      <c r="U231">
        <v>0</v>
      </c>
      <c r="V231">
        <v>3501</v>
      </c>
    </row>
    <row r="232" spans="1:22" x14ac:dyDescent="0.3">
      <c r="A232">
        <v>79452</v>
      </c>
      <c r="B232">
        <v>136997230</v>
      </c>
      <c r="C232" t="s">
        <v>1982</v>
      </c>
      <c r="D232" t="s">
        <v>1983</v>
      </c>
      <c r="E232" t="s">
        <v>843</v>
      </c>
      <c r="F232" t="s">
        <v>844</v>
      </c>
      <c r="G232" t="s">
        <v>164</v>
      </c>
      <c r="H232" t="s">
        <v>165</v>
      </c>
      <c r="I232" t="s">
        <v>34</v>
      </c>
      <c r="J232" t="s">
        <v>166</v>
      </c>
      <c r="K232" t="s">
        <v>41</v>
      </c>
      <c r="L232" t="s">
        <v>1984</v>
      </c>
      <c r="M232" t="s">
        <v>1985</v>
      </c>
      <c r="N232" t="s">
        <v>847</v>
      </c>
      <c r="O232" t="s">
        <v>100</v>
      </c>
      <c r="P232" t="s">
        <v>1986</v>
      </c>
      <c r="Q232" t="s">
        <v>64</v>
      </c>
      <c r="R232" t="s">
        <v>1987</v>
      </c>
      <c r="S232">
        <v>0.79</v>
      </c>
      <c r="T232">
        <v>4067</v>
      </c>
      <c r="U232">
        <v>0</v>
      </c>
      <c r="V232">
        <v>4067</v>
      </c>
    </row>
    <row r="233" spans="1:22" x14ac:dyDescent="0.3">
      <c r="A233">
        <v>79452</v>
      </c>
      <c r="B233">
        <v>136920701</v>
      </c>
      <c r="C233" t="s">
        <v>1988</v>
      </c>
      <c r="D233" t="s">
        <v>1989</v>
      </c>
      <c r="E233" t="s">
        <v>843</v>
      </c>
      <c r="F233" t="s">
        <v>844</v>
      </c>
      <c r="G233" t="s">
        <v>164</v>
      </c>
      <c r="H233" t="s">
        <v>165</v>
      </c>
      <c r="I233" t="s">
        <v>34</v>
      </c>
      <c r="J233" t="s">
        <v>166</v>
      </c>
      <c r="K233" t="s">
        <v>41</v>
      </c>
      <c r="L233" t="s">
        <v>1990</v>
      </c>
      <c r="M233" t="s">
        <v>1991</v>
      </c>
      <c r="N233" t="s">
        <v>847</v>
      </c>
      <c r="O233" t="s">
        <v>100</v>
      </c>
      <c r="P233" t="s">
        <v>1992</v>
      </c>
      <c r="Q233" t="s">
        <v>57</v>
      </c>
      <c r="R233" t="s">
        <v>1993</v>
      </c>
      <c r="S233">
        <v>1.17</v>
      </c>
      <c r="T233">
        <v>5476</v>
      </c>
      <c r="U233">
        <v>0</v>
      </c>
      <c r="V233">
        <v>5476</v>
      </c>
    </row>
    <row r="234" spans="1:22" x14ac:dyDescent="0.3">
      <c r="A234">
        <v>79452</v>
      </c>
      <c r="B234">
        <v>136196544</v>
      </c>
      <c r="C234" t="s">
        <v>1994</v>
      </c>
      <c r="D234" t="s">
        <v>1995</v>
      </c>
      <c r="E234" t="s">
        <v>843</v>
      </c>
      <c r="F234" t="s">
        <v>844</v>
      </c>
      <c r="G234" t="s">
        <v>164</v>
      </c>
      <c r="H234" t="s">
        <v>165</v>
      </c>
      <c r="I234" t="s">
        <v>34</v>
      </c>
      <c r="J234" t="s">
        <v>166</v>
      </c>
      <c r="K234" t="s">
        <v>41</v>
      </c>
      <c r="L234" t="s">
        <v>1996</v>
      </c>
      <c r="M234" t="s">
        <v>1997</v>
      </c>
      <c r="N234" t="s">
        <v>847</v>
      </c>
      <c r="O234" t="s">
        <v>100</v>
      </c>
      <c r="P234" t="s">
        <v>1998</v>
      </c>
      <c r="Q234" t="s">
        <v>52</v>
      </c>
      <c r="R234" t="s">
        <v>1999</v>
      </c>
      <c r="S234">
        <v>1.42</v>
      </c>
      <c r="T234">
        <v>5759</v>
      </c>
      <c r="U234">
        <v>0</v>
      </c>
      <c r="V234">
        <v>5759</v>
      </c>
    </row>
    <row r="235" spans="1:22" x14ac:dyDescent="0.3">
      <c r="A235">
        <v>79452</v>
      </c>
      <c r="B235">
        <v>136997166</v>
      </c>
      <c r="C235" t="s">
        <v>2000</v>
      </c>
      <c r="D235" t="s">
        <v>2001</v>
      </c>
      <c r="E235" t="s">
        <v>843</v>
      </c>
      <c r="F235" t="s">
        <v>844</v>
      </c>
      <c r="G235" t="s">
        <v>164</v>
      </c>
      <c r="H235" t="s">
        <v>165</v>
      </c>
      <c r="I235" t="s">
        <v>34</v>
      </c>
      <c r="J235" t="s">
        <v>166</v>
      </c>
      <c r="K235" t="s">
        <v>41</v>
      </c>
      <c r="L235" t="s">
        <v>2002</v>
      </c>
      <c r="M235" t="s">
        <v>2003</v>
      </c>
      <c r="N235" t="s">
        <v>847</v>
      </c>
      <c r="O235" t="s">
        <v>100</v>
      </c>
      <c r="P235" t="s">
        <v>2004</v>
      </c>
      <c r="Q235" t="s">
        <v>55</v>
      </c>
      <c r="R235" t="s">
        <v>1550</v>
      </c>
      <c r="S235">
        <v>0.86</v>
      </c>
      <c r="T235">
        <v>5198</v>
      </c>
      <c r="U235">
        <v>0</v>
      </c>
      <c r="V235">
        <v>5198</v>
      </c>
    </row>
    <row r="236" spans="1:22" x14ac:dyDescent="0.3">
      <c r="A236">
        <v>79452</v>
      </c>
      <c r="B236">
        <v>137084214</v>
      </c>
      <c r="C236" t="s">
        <v>2005</v>
      </c>
      <c r="D236" t="s">
        <v>2006</v>
      </c>
      <c r="E236" t="s">
        <v>843</v>
      </c>
      <c r="F236" t="s">
        <v>844</v>
      </c>
      <c r="G236" t="s">
        <v>164</v>
      </c>
      <c r="H236" t="s">
        <v>165</v>
      </c>
      <c r="I236" t="s">
        <v>34</v>
      </c>
      <c r="J236" t="s">
        <v>166</v>
      </c>
      <c r="K236" t="s">
        <v>41</v>
      </c>
      <c r="L236" t="s">
        <v>2007</v>
      </c>
      <c r="M236" t="s">
        <v>2008</v>
      </c>
      <c r="N236" t="s">
        <v>847</v>
      </c>
      <c r="O236" t="s">
        <v>100</v>
      </c>
      <c r="P236" t="s">
        <v>2009</v>
      </c>
      <c r="Q236" t="s">
        <v>84</v>
      </c>
      <c r="R236" t="s">
        <v>460</v>
      </c>
      <c r="S236">
        <v>1.0900000000000001</v>
      </c>
      <c r="T236">
        <v>3366</v>
      </c>
      <c r="U236">
        <v>0</v>
      </c>
      <c r="V236">
        <v>3366</v>
      </c>
    </row>
    <row r="237" spans="1:22" x14ac:dyDescent="0.3">
      <c r="A237">
        <v>79452</v>
      </c>
      <c r="B237">
        <v>136997181</v>
      </c>
      <c r="C237" t="s">
        <v>2010</v>
      </c>
      <c r="D237" t="s">
        <v>2011</v>
      </c>
      <c r="E237" t="s">
        <v>843</v>
      </c>
      <c r="F237" t="s">
        <v>844</v>
      </c>
      <c r="G237" t="s">
        <v>164</v>
      </c>
      <c r="H237" t="s">
        <v>165</v>
      </c>
      <c r="I237" t="s">
        <v>34</v>
      </c>
      <c r="J237" t="s">
        <v>166</v>
      </c>
      <c r="K237" t="s">
        <v>41</v>
      </c>
      <c r="L237" t="s">
        <v>2012</v>
      </c>
      <c r="M237" t="s">
        <v>2013</v>
      </c>
      <c r="N237" t="s">
        <v>847</v>
      </c>
      <c r="O237" t="s">
        <v>100</v>
      </c>
      <c r="P237" t="s">
        <v>2014</v>
      </c>
      <c r="Q237" t="s">
        <v>54</v>
      </c>
      <c r="R237" t="s">
        <v>1550</v>
      </c>
      <c r="S237">
        <v>0.82</v>
      </c>
      <c r="T237">
        <v>5759</v>
      </c>
      <c r="U237">
        <v>0</v>
      </c>
      <c r="V237">
        <v>5759</v>
      </c>
    </row>
    <row r="238" spans="1:22" x14ac:dyDescent="0.3">
      <c r="A238">
        <v>79452</v>
      </c>
      <c r="B238">
        <v>136997211</v>
      </c>
      <c r="C238" t="s">
        <v>2015</v>
      </c>
      <c r="D238" t="s">
        <v>2016</v>
      </c>
      <c r="E238" t="s">
        <v>843</v>
      </c>
      <c r="F238" t="s">
        <v>844</v>
      </c>
      <c r="G238" t="s">
        <v>164</v>
      </c>
      <c r="H238" t="s">
        <v>165</v>
      </c>
      <c r="I238" t="s">
        <v>34</v>
      </c>
      <c r="J238" t="s">
        <v>166</v>
      </c>
      <c r="K238" t="s">
        <v>41</v>
      </c>
      <c r="L238" t="s">
        <v>2017</v>
      </c>
      <c r="M238" t="s">
        <v>2018</v>
      </c>
      <c r="N238" t="s">
        <v>847</v>
      </c>
      <c r="O238" t="s">
        <v>100</v>
      </c>
      <c r="P238" t="s">
        <v>2019</v>
      </c>
      <c r="Q238" t="s">
        <v>43</v>
      </c>
      <c r="R238" t="s">
        <v>1550</v>
      </c>
      <c r="S238">
        <v>0.68</v>
      </c>
      <c r="T238">
        <v>3753</v>
      </c>
      <c r="U238">
        <v>0</v>
      </c>
      <c r="V238">
        <v>3753</v>
      </c>
    </row>
    <row r="239" spans="1:22" x14ac:dyDescent="0.3">
      <c r="A239">
        <v>79452</v>
      </c>
      <c r="B239">
        <v>136997236</v>
      </c>
      <c r="C239" t="s">
        <v>2020</v>
      </c>
      <c r="D239" t="s">
        <v>2021</v>
      </c>
      <c r="E239" t="s">
        <v>843</v>
      </c>
      <c r="F239" t="s">
        <v>844</v>
      </c>
      <c r="G239" t="s">
        <v>164</v>
      </c>
      <c r="H239" t="s">
        <v>165</v>
      </c>
      <c r="I239" t="s">
        <v>34</v>
      </c>
      <c r="J239" t="s">
        <v>166</v>
      </c>
      <c r="K239" t="s">
        <v>41</v>
      </c>
      <c r="L239" t="s">
        <v>2022</v>
      </c>
      <c r="M239" t="s">
        <v>2023</v>
      </c>
      <c r="N239" t="s">
        <v>847</v>
      </c>
      <c r="O239" t="s">
        <v>100</v>
      </c>
      <c r="P239" t="s">
        <v>2024</v>
      </c>
      <c r="Q239" t="s">
        <v>49</v>
      </c>
      <c r="R239" t="s">
        <v>1987</v>
      </c>
      <c r="S239">
        <v>0.66</v>
      </c>
      <c r="T239">
        <v>3784</v>
      </c>
      <c r="U239">
        <v>0</v>
      </c>
      <c r="V239">
        <v>3784</v>
      </c>
    </row>
    <row r="240" spans="1:22" x14ac:dyDescent="0.3">
      <c r="A240">
        <v>79452</v>
      </c>
      <c r="B240">
        <v>136997198</v>
      </c>
      <c r="C240" t="s">
        <v>2025</v>
      </c>
      <c r="D240" t="s">
        <v>2026</v>
      </c>
      <c r="E240" t="s">
        <v>843</v>
      </c>
      <c r="F240" t="s">
        <v>844</v>
      </c>
      <c r="G240" t="s">
        <v>164</v>
      </c>
      <c r="H240" t="s">
        <v>165</v>
      </c>
      <c r="I240" t="s">
        <v>34</v>
      </c>
      <c r="J240" t="s">
        <v>166</v>
      </c>
      <c r="K240" t="s">
        <v>41</v>
      </c>
      <c r="L240" t="s">
        <v>2027</v>
      </c>
      <c r="M240" t="s">
        <v>2028</v>
      </c>
      <c r="N240" t="s">
        <v>847</v>
      </c>
      <c r="O240" t="s">
        <v>100</v>
      </c>
      <c r="P240" t="s">
        <v>2029</v>
      </c>
      <c r="Q240" t="s">
        <v>63</v>
      </c>
      <c r="R240" t="s">
        <v>1550</v>
      </c>
      <c r="S240">
        <v>1.62</v>
      </c>
      <c r="T240">
        <v>4067</v>
      </c>
      <c r="U240">
        <v>0</v>
      </c>
      <c r="V240">
        <v>4067</v>
      </c>
    </row>
    <row r="241" spans="1:22" x14ac:dyDescent="0.3">
      <c r="A241">
        <v>79452</v>
      </c>
      <c r="B241">
        <v>136997200</v>
      </c>
      <c r="C241" t="s">
        <v>2030</v>
      </c>
      <c r="D241" t="s">
        <v>2031</v>
      </c>
      <c r="E241" t="s">
        <v>843</v>
      </c>
      <c r="F241" t="s">
        <v>844</v>
      </c>
      <c r="G241" t="s">
        <v>164</v>
      </c>
      <c r="H241" t="s">
        <v>165</v>
      </c>
      <c r="I241" t="s">
        <v>34</v>
      </c>
      <c r="J241" t="s">
        <v>166</v>
      </c>
      <c r="K241" t="s">
        <v>41</v>
      </c>
      <c r="L241" t="s">
        <v>2032</v>
      </c>
      <c r="M241" t="s">
        <v>2033</v>
      </c>
      <c r="N241" t="s">
        <v>847</v>
      </c>
      <c r="O241" t="s">
        <v>100</v>
      </c>
      <c r="P241" t="s">
        <v>2034</v>
      </c>
      <c r="Q241" t="s">
        <v>83</v>
      </c>
      <c r="R241" t="s">
        <v>1550</v>
      </c>
      <c r="S241">
        <v>0.88</v>
      </c>
      <c r="T241">
        <v>3366</v>
      </c>
      <c r="U241">
        <v>0</v>
      </c>
      <c r="V241">
        <v>3366</v>
      </c>
    </row>
    <row r="242" spans="1:22" x14ac:dyDescent="0.3">
      <c r="A242">
        <v>79452</v>
      </c>
      <c r="B242">
        <v>136997064</v>
      </c>
      <c r="C242" t="s">
        <v>2035</v>
      </c>
      <c r="D242" t="s">
        <v>2036</v>
      </c>
      <c r="E242" t="s">
        <v>843</v>
      </c>
      <c r="F242" t="s">
        <v>844</v>
      </c>
      <c r="G242" t="s">
        <v>164</v>
      </c>
      <c r="H242" t="s">
        <v>165</v>
      </c>
      <c r="I242" t="s">
        <v>34</v>
      </c>
      <c r="J242" t="s">
        <v>166</v>
      </c>
      <c r="K242" t="s">
        <v>41</v>
      </c>
      <c r="L242" t="s">
        <v>2037</v>
      </c>
      <c r="M242" t="s">
        <v>2038</v>
      </c>
      <c r="N242" t="s">
        <v>847</v>
      </c>
      <c r="O242" t="s">
        <v>100</v>
      </c>
      <c r="P242" t="s">
        <v>2039</v>
      </c>
      <c r="Q242" t="s">
        <v>64</v>
      </c>
      <c r="R242" t="s">
        <v>1141</v>
      </c>
      <c r="S242">
        <v>0.78</v>
      </c>
      <c r="T242">
        <v>4067</v>
      </c>
      <c r="U242">
        <v>0</v>
      </c>
      <c r="V242">
        <v>4067</v>
      </c>
    </row>
    <row r="243" spans="1:22" x14ac:dyDescent="0.3">
      <c r="A243">
        <v>79452</v>
      </c>
      <c r="B243">
        <v>136997194</v>
      </c>
      <c r="C243" t="s">
        <v>2040</v>
      </c>
      <c r="D243" t="s">
        <v>2041</v>
      </c>
      <c r="E243" t="s">
        <v>843</v>
      </c>
      <c r="F243" t="s">
        <v>844</v>
      </c>
      <c r="G243" t="s">
        <v>164</v>
      </c>
      <c r="H243" t="s">
        <v>165</v>
      </c>
      <c r="I243" t="s">
        <v>34</v>
      </c>
      <c r="J243" t="s">
        <v>166</v>
      </c>
      <c r="K243" t="s">
        <v>41</v>
      </c>
      <c r="L243" t="s">
        <v>2042</v>
      </c>
      <c r="M243" t="s">
        <v>2043</v>
      </c>
      <c r="N243" t="s">
        <v>847</v>
      </c>
      <c r="O243" t="s">
        <v>100</v>
      </c>
      <c r="P243" t="s">
        <v>2044</v>
      </c>
      <c r="Q243" t="s">
        <v>190</v>
      </c>
      <c r="R243" t="s">
        <v>1550</v>
      </c>
      <c r="S243">
        <v>1.08</v>
      </c>
      <c r="T243">
        <v>3366</v>
      </c>
      <c r="U243">
        <v>0</v>
      </c>
      <c r="V243">
        <v>3366</v>
      </c>
    </row>
    <row r="244" spans="1:22" x14ac:dyDescent="0.3">
      <c r="A244">
        <v>79452</v>
      </c>
      <c r="B244">
        <v>137084167</v>
      </c>
      <c r="C244" t="s">
        <v>2045</v>
      </c>
      <c r="D244" t="s">
        <v>2046</v>
      </c>
      <c r="E244" t="s">
        <v>843</v>
      </c>
      <c r="F244" t="s">
        <v>844</v>
      </c>
      <c r="G244" t="s">
        <v>164</v>
      </c>
      <c r="H244" t="s">
        <v>165</v>
      </c>
      <c r="I244" t="s">
        <v>34</v>
      </c>
      <c r="J244" t="s">
        <v>166</v>
      </c>
      <c r="K244" t="s">
        <v>41</v>
      </c>
      <c r="L244" t="s">
        <v>2047</v>
      </c>
      <c r="M244" t="s">
        <v>2048</v>
      </c>
      <c r="N244" t="s">
        <v>847</v>
      </c>
      <c r="O244" t="s">
        <v>100</v>
      </c>
      <c r="P244" t="s">
        <v>2049</v>
      </c>
      <c r="Q244" t="s">
        <v>97</v>
      </c>
      <c r="R244" t="s">
        <v>460</v>
      </c>
      <c r="S244">
        <v>0.75</v>
      </c>
      <c r="T244">
        <v>3366</v>
      </c>
      <c r="U244">
        <v>0</v>
      </c>
      <c r="V244">
        <v>3366</v>
      </c>
    </row>
    <row r="245" spans="1:22" x14ac:dyDescent="0.3">
      <c r="A245">
        <v>79452</v>
      </c>
      <c r="B245">
        <v>136997221</v>
      </c>
      <c r="C245" t="s">
        <v>2050</v>
      </c>
      <c r="D245" t="s">
        <v>2051</v>
      </c>
      <c r="E245" t="s">
        <v>843</v>
      </c>
      <c r="F245" t="s">
        <v>844</v>
      </c>
      <c r="G245" t="s">
        <v>164</v>
      </c>
      <c r="H245" t="s">
        <v>165</v>
      </c>
      <c r="I245" t="s">
        <v>34</v>
      </c>
      <c r="J245" t="s">
        <v>166</v>
      </c>
      <c r="K245" t="s">
        <v>41</v>
      </c>
      <c r="L245" t="s">
        <v>2052</v>
      </c>
      <c r="M245" t="s">
        <v>2053</v>
      </c>
      <c r="N245" t="s">
        <v>847</v>
      </c>
      <c r="O245" t="s">
        <v>100</v>
      </c>
      <c r="P245" t="s">
        <v>2054</v>
      </c>
      <c r="Q245" t="s">
        <v>71</v>
      </c>
      <c r="R245" t="s">
        <v>1550</v>
      </c>
      <c r="S245">
        <v>0.86</v>
      </c>
      <c r="T245">
        <v>3501</v>
      </c>
      <c r="U245">
        <v>0</v>
      </c>
      <c r="V245">
        <v>3501</v>
      </c>
    </row>
    <row r="246" spans="1:22" x14ac:dyDescent="0.3">
      <c r="A246">
        <v>79452</v>
      </c>
      <c r="B246">
        <v>137032331</v>
      </c>
      <c r="C246" t="s">
        <v>2055</v>
      </c>
      <c r="D246" t="s">
        <v>2056</v>
      </c>
      <c r="E246" t="s">
        <v>843</v>
      </c>
      <c r="F246" t="s">
        <v>844</v>
      </c>
      <c r="G246" t="s">
        <v>164</v>
      </c>
      <c r="H246" t="s">
        <v>165</v>
      </c>
      <c r="I246" t="s">
        <v>34</v>
      </c>
      <c r="J246" t="s">
        <v>166</v>
      </c>
      <c r="K246" t="s">
        <v>41</v>
      </c>
      <c r="L246" t="s">
        <v>2057</v>
      </c>
      <c r="M246" t="s">
        <v>516</v>
      </c>
      <c r="N246" t="s">
        <v>847</v>
      </c>
      <c r="O246" t="s">
        <v>100</v>
      </c>
      <c r="P246" t="s">
        <v>2058</v>
      </c>
      <c r="Q246" t="s">
        <v>68</v>
      </c>
      <c r="R246" t="s">
        <v>324</v>
      </c>
      <c r="S246">
        <v>0.73</v>
      </c>
      <c r="T246">
        <v>3753</v>
      </c>
      <c r="U246">
        <v>0</v>
      </c>
      <c r="V246">
        <v>3753</v>
      </c>
    </row>
    <row r="247" spans="1:22" x14ac:dyDescent="0.3">
      <c r="A247">
        <v>79452</v>
      </c>
      <c r="B247">
        <v>136997031</v>
      </c>
      <c r="C247" t="s">
        <v>2059</v>
      </c>
      <c r="D247" t="s">
        <v>2060</v>
      </c>
      <c r="E247" t="s">
        <v>843</v>
      </c>
      <c r="F247" t="s">
        <v>844</v>
      </c>
      <c r="G247" t="s">
        <v>164</v>
      </c>
      <c r="H247" t="s">
        <v>165</v>
      </c>
      <c r="I247" t="s">
        <v>34</v>
      </c>
      <c r="J247" t="s">
        <v>166</v>
      </c>
      <c r="K247" t="s">
        <v>41</v>
      </c>
      <c r="L247" t="s">
        <v>2061</v>
      </c>
      <c r="M247" t="s">
        <v>2062</v>
      </c>
      <c r="N247" t="s">
        <v>847</v>
      </c>
      <c r="O247" t="s">
        <v>100</v>
      </c>
      <c r="P247" t="s">
        <v>2063</v>
      </c>
      <c r="Q247" t="s">
        <v>93</v>
      </c>
      <c r="R247" t="s">
        <v>1141</v>
      </c>
      <c r="S247">
        <v>0.99</v>
      </c>
      <c r="T247">
        <v>3366</v>
      </c>
      <c r="U247">
        <v>0</v>
      </c>
      <c r="V247">
        <v>3366</v>
      </c>
    </row>
    <row r="248" spans="1:22" x14ac:dyDescent="0.3">
      <c r="A248">
        <v>79452</v>
      </c>
      <c r="B248">
        <v>136920675</v>
      </c>
      <c r="C248" t="s">
        <v>2064</v>
      </c>
      <c r="D248" t="s">
        <v>2065</v>
      </c>
      <c r="E248" t="s">
        <v>843</v>
      </c>
      <c r="F248" t="s">
        <v>844</v>
      </c>
      <c r="G248" t="s">
        <v>164</v>
      </c>
      <c r="H248" t="s">
        <v>165</v>
      </c>
      <c r="I248" t="s">
        <v>34</v>
      </c>
      <c r="J248" t="s">
        <v>166</v>
      </c>
      <c r="K248" t="s">
        <v>41</v>
      </c>
      <c r="L248" t="s">
        <v>2066</v>
      </c>
      <c r="M248" t="s">
        <v>2067</v>
      </c>
      <c r="N248" t="s">
        <v>847</v>
      </c>
      <c r="O248" t="s">
        <v>100</v>
      </c>
      <c r="P248" t="s">
        <v>2068</v>
      </c>
      <c r="Q248" t="s">
        <v>63</v>
      </c>
      <c r="R248" t="s">
        <v>1746</v>
      </c>
      <c r="S248">
        <v>0.91</v>
      </c>
      <c r="T248">
        <v>4067</v>
      </c>
      <c r="U248">
        <v>0</v>
      </c>
      <c r="V248">
        <v>4067</v>
      </c>
    </row>
    <row r="249" spans="1:22" x14ac:dyDescent="0.3">
      <c r="A249">
        <v>79452</v>
      </c>
      <c r="B249">
        <v>137084224</v>
      </c>
      <c r="C249" t="s">
        <v>2069</v>
      </c>
      <c r="D249" t="s">
        <v>2070</v>
      </c>
      <c r="E249" t="s">
        <v>843</v>
      </c>
      <c r="F249" t="s">
        <v>844</v>
      </c>
      <c r="G249" t="s">
        <v>164</v>
      </c>
      <c r="H249" t="s">
        <v>165</v>
      </c>
      <c r="I249" t="s">
        <v>34</v>
      </c>
      <c r="J249" t="s">
        <v>166</v>
      </c>
      <c r="K249" t="s">
        <v>41</v>
      </c>
      <c r="L249" t="s">
        <v>2071</v>
      </c>
      <c r="M249" t="s">
        <v>2072</v>
      </c>
      <c r="N249" t="s">
        <v>847</v>
      </c>
      <c r="O249" t="s">
        <v>100</v>
      </c>
      <c r="P249" t="s">
        <v>2073</v>
      </c>
      <c r="Q249" t="s">
        <v>84</v>
      </c>
      <c r="R249" t="s">
        <v>460</v>
      </c>
      <c r="S249">
        <v>1.27</v>
      </c>
      <c r="T249">
        <v>3366</v>
      </c>
      <c r="U249">
        <v>0</v>
      </c>
      <c r="V249">
        <v>3366</v>
      </c>
    </row>
    <row r="250" spans="1:22" x14ac:dyDescent="0.3">
      <c r="A250">
        <v>79452</v>
      </c>
      <c r="B250">
        <v>137084171</v>
      </c>
      <c r="C250" t="s">
        <v>2074</v>
      </c>
      <c r="D250" t="s">
        <v>2075</v>
      </c>
      <c r="E250" t="s">
        <v>843</v>
      </c>
      <c r="F250" t="s">
        <v>844</v>
      </c>
      <c r="G250" t="s">
        <v>164</v>
      </c>
      <c r="H250" t="s">
        <v>165</v>
      </c>
      <c r="I250" t="s">
        <v>34</v>
      </c>
      <c r="J250" t="s">
        <v>166</v>
      </c>
      <c r="K250" t="s">
        <v>44</v>
      </c>
      <c r="L250" t="s">
        <v>188</v>
      </c>
      <c r="M250" t="s">
        <v>2076</v>
      </c>
      <c r="N250" t="s">
        <v>847</v>
      </c>
      <c r="O250" t="s">
        <v>100</v>
      </c>
      <c r="P250" t="s">
        <v>2077</v>
      </c>
      <c r="Q250" t="s">
        <v>71</v>
      </c>
      <c r="R250" t="s">
        <v>460</v>
      </c>
      <c r="S250">
        <v>0.72</v>
      </c>
      <c r="T250">
        <v>3501</v>
      </c>
      <c r="U250">
        <v>0</v>
      </c>
      <c r="V250">
        <v>3501</v>
      </c>
    </row>
    <row r="251" spans="1:22" x14ac:dyDescent="0.3">
      <c r="A251">
        <v>79452</v>
      </c>
      <c r="B251">
        <v>136997119</v>
      </c>
      <c r="C251" t="s">
        <v>2078</v>
      </c>
      <c r="D251" t="s">
        <v>2079</v>
      </c>
      <c r="E251" t="s">
        <v>843</v>
      </c>
      <c r="F251" t="s">
        <v>844</v>
      </c>
      <c r="G251" t="s">
        <v>164</v>
      </c>
      <c r="H251" t="s">
        <v>165</v>
      </c>
      <c r="I251" t="s">
        <v>34</v>
      </c>
      <c r="J251" t="s">
        <v>166</v>
      </c>
      <c r="K251" t="s">
        <v>41</v>
      </c>
      <c r="L251" t="s">
        <v>2080</v>
      </c>
      <c r="M251" t="s">
        <v>2081</v>
      </c>
      <c r="N251" t="s">
        <v>847</v>
      </c>
      <c r="O251" t="s">
        <v>100</v>
      </c>
      <c r="P251" t="s">
        <v>2082</v>
      </c>
      <c r="Q251" t="s">
        <v>109</v>
      </c>
      <c r="R251" t="s">
        <v>1550</v>
      </c>
      <c r="S251">
        <v>1.34</v>
      </c>
      <c r="T251">
        <v>4346</v>
      </c>
      <c r="U251">
        <v>0</v>
      </c>
      <c r="V251">
        <v>4346</v>
      </c>
    </row>
    <row r="252" spans="1:22" x14ac:dyDescent="0.3">
      <c r="A252">
        <v>79452</v>
      </c>
      <c r="B252">
        <v>136939477</v>
      </c>
      <c r="C252" t="s">
        <v>2083</v>
      </c>
      <c r="D252" t="s">
        <v>2084</v>
      </c>
      <c r="E252" t="s">
        <v>843</v>
      </c>
      <c r="F252" t="s">
        <v>844</v>
      </c>
      <c r="G252" t="s">
        <v>164</v>
      </c>
      <c r="H252" t="s">
        <v>165</v>
      </c>
      <c r="I252" t="s">
        <v>34</v>
      </c>
      <c r="J252" t="s">
        <v>166</v>
      </c>
      <c r="K252" t="s">
        <v>41</v>
      </c>
      <c r="L252" t="s">
        <v>2085</v>
      </c>
      <c r="M252" t="s">
        <v>2086</v>
      </c>
      <c r="N252" t="s">
        <v>847</v>
      </c>
      <c r="O252" t="s">
        <v>100</v>
      </c>
      <c r="P252" t="s">
        <v>2087</v>
      </c>
      <c r="Q252" t="s">
        <v>63</v>
      </c>
      <c r="R252" t="s">
        <v>1857</v>
      </c>
      <c r="S252">
        <v>0.91</v>
      </c>
      <c r="T252">
        <v>4067</v>
      </c>
      <c r="U252">
        <v>0</v>
      </c>
      <c r="V252">
        <v>4067</v>
      </c>
    </row>
    <row r="253" spans="1:22" x14ac:dyDescent="0.3">
      <c r="A253">
        <v>79452</v>
      </c>
      <c r="B253">
        <v>136939511</v>
      </c>
      <c r="C253" t="s">
        <v>2088</v>
      </c>
      <c r="D253" t="s">
        <v>2089</v>
      </c>
      <c r="E253" t="s">
        <v>843</v>
      </c>
      <c r="F253" t="s">
        <v>844</v>
      </c>
      <c r="G253" t="s">
        <v>164</v>
      </c>
      <c r="H253" t="s">
        <v>165</v>
      </c>
      <c r="I253" t="s">
        <v>34</v>
      </c>
      <c r="J253" t="s">
        <v>166</v>
      </c>
      <c r="K253" t="s">
        <v>41</v>
      </c>
      <c r="L253" t="s">
        <v>2090</v>
      </c>
      <c r="M253" t="s">
        <v>2091</v>
      </c>
      <c r="N253" t="s">
        <v>847</v>
      </c>
      <c r="O253" t="s">
        <v>100</v>
      </c>
      <c r="P253" t="s">
        <v>2092</v>
      </c>
      <c r="Q253" t="s">
        <v>83</v>
      </c>
      <c r="R253" t="s">
        <v>1857</v>
      </c>
      <c r="S253">
        <v>0.84</v>
      </c>
      <c r="T253">
        <v>3366</v>
      </c>
      <c r="U253">
        <v>0</v>
      </c>
      <c r="V253">
        <v>3366</v>
      </c>
    </row>
    <row r="254" spans="1:22" x14ac:dyDescent="0.3">
      <c r="A254">
        <v>79452</v>
      </c>
      <c r="B254">
        <v>137032394</v>
      </c>
      <c r="C254" t="s">
        <v>2093</v>
      </c>
      <c r="D254" t="s">
        <v>2094</v>
      </c>
      <c r="E254" t="s">
        <v>843</v>
      </c>
      <c r="F254" t="s">
        <v>844</v>
      </c>
      <c r="G254" t="s">
        <v>164</v>
      </c>
      <c r="H254" t="s">
        <v>165</v>
      </c>
      <c r="I254" t="s">
        <v>34</v>
      </c>
      <c r="J254" t="s">
        <v>166</v>
      </c>
      <c r="K254" t="s">
        <v>41</v>
      </c>
      <c r="L254" t="s">
        <v>2095</v>
      </c>
      <c r="M254" t="s">
        <v>2096</v>
      </c>
      <c r="N254" t="s">
        <v>847</v>
      </c>
      <c r="O254" t="s">
        <v>100</v>
      </c>
      <c r="P254" t="s">
        <v>2097</v>
      </c>
      <c r="Q254" t="s">
        <v>137</v>
      </c>
      <c r="R254" t="s">
        <v>125</v>
      </c>
      <c r="S254">
        <v>1.78</v>
      </c>
      <c r="T254">
        <v>4693</v>
      </c>
      <c r="U254">
        <v>0</v>
      </c>
      <c r="V254">
        <v>4693</v>
      </c>
    </row>
    <row r="255" spans="1:22" x14ac:dyDescent="0.3">
      <c r="A255">
        <v>79452</v>
      </c>
      <c r="B255">
        <v>136920702</v>
      </c>
      <c r="C255" t="s">
        <v>2098</v>
      </c>
      <c r="D255" t="s">
        <v>2099</v>
      </c>
      <c r="E255" t="s">
        <v>843</v>
      </c>
      <c r="F255" t="s">
        <v>844</v>
      </c>
      <c r="G255" t="s">
        <v>164</v>
      </c>
      <c r="H255" t="s">
        <v>165</v>
      </c>
      <c r="I255" t="s">
        <v>34</v>
      </c>
      <c r="J255" t="s">
        <v>166</v>
      </c>
      <c r="K255" t="s">
        <v>41</v>
      </c>
      <c r="L255" t="s">
        <v>2100</v>
      </c>
      <c r="M255" t="s">
        <v>2101</v>
      </c>
      <c r="N255" t="s">
        <v>847</v>
      </c>
      <c r="O255" t="s">
        <v>100</v>
      </c>
      <c r="P255" t="s">
        <v>2102</v>
      </c>
      <c r="Q255" t="s">
        <v>98</v>
      </c>
      <c r="R255" t="s">
        <v>1993</v>
      </c>
      <c r="S255">
        <v>1.05</v>
      </c>
      <c r="T255">
        <v>3366</v>
      </c>
      <c r="U255">
        <v>0</v>
      </c>
      <c r="V255">
        <v>3366</v>
      </c>
    </row>
    <row r="256" spans="1:22" x14ac:dyDescent="0.3">
      <c r="A256">
        <v>79452</v>
      </c>
      <c r="B256">
        <v>137084204</v>
      </c>
      <c r="C256" t="s">
        <v>2103</v>
      </c>
      <c r="D256" t="s">
        <v>2104</v>
      </c>
      <c r="E256" t="s">
        <v>843</v>
      </c>
      <c r="F256" t="s">
        <v>844</v>
      </c>
      <c r="G256" t="s">
        <v>164</v>
      </c>
      <c r="H256" t="s">
        <v>165</v>
      </c>
      <c r="I256" t="s">
        <v>34</v>
      </c>
      <c r="J256" t="s">
        <v>166</v>
      </c>
      <c r="K256" t="s">
        <v>44</v>
      </c>
      <c r="L256" t="s">
        <v>188</v>
      </c>
      <c r="M256" t="s">
        <v>367</v>
      </c>
      <c r="N256" t="s">
        <v>847</v>
      </c>
      <c r="O256" t="s">
        <v>100</v>
      </c>
      <c r="P256" t="s">
        <v>2105</v>
      </c>
      <c r="Q256" t="s">
        <v>72</v>
      </c>
      <c r="R256" t="s">
        <v>460</v>
      </c>
      <c r="S256">
        <v>0.76</v>
      </c>
      <c r="T256">
        <v>3784</v>
      </c>
      <c r="U256">
        <v>0</v>
      </c>
      <c r="V256">
        <v>3784</v>
      </c>
    </row>
    <row r="257" spans="1:22" x14ac:dyDescent="0.3">
      <c r="A257">
        <v>79452</v>
      </c>
      <c r="B257">
        <v>136997229</v>
      </c>
      <c r="C257" t="s">
        <v>2106</v>
      </c>
      <c r="D257" t="s">
        <v>2107</v>
      </c>
      <c r="E257" t="s">
        <v>843</v>
      </c>
      <c r="F257" t="s">
        <v>844</v>
      </c>
      <c r="G257" t="s">
        <v>164</v>
      </c>
      <c r="H257" t="s">
        <v>165</v>
      </c>
      <c r="I257" t="s">
        <v>34</v>
      </c>
      <c r="J257" t="s">
        <v>166</v>
      </c>
      <c r="K257" t="s">
        <v>41</v>
      </c>
      <c r="L257" t="s">
        <v>2108</v>
      </c>
      <c r="M257" t="s">
        <v>2109</v>
      </c>
      <c r="N257" t="s">
        <v>847</v>
      </c>
      <c r="O257" t="s">
        <v>100</v>
      </c>
      <c r="P257" t="s">
        <v>2110</v>
      </c>
      <c r="Q257" t="s">
        <v>69</v>
      </c>
      <c r="R257" t="s">
        <v>1987</v>
      </c>
      <c r="S257">
        <v>0.64</v>
      </c>
      <c r="T257">
        <v>3753</v>
      </c>
      <c r="U257">
        <v>0</v>
      </c>
      <c r="V257">
        <v>3753</v>
      </c>
    </row>
    <row r="258" spans="1:22" x14ac:dyDescent="0.3">
      <c r="A258">
        <v>79452</v>
      </c>
      <c r="B258">
        <v>136939480</v>
      </c>
      <c r="C258" t="s">
        <v>2111</v>
      </c>
      <c r="D258" t="s">
        <v>2112</v>
      </c>
      <c r="E258" t="s">
        <v>843</v>
      </c>
      <c r="F258" t="s">
        <v>844</v>
      </c>
      <c r="G258" t="s">
        <v>164</v>
      </c>
      <c r="H258" t="s">
        <v>165</v>
      </c>
      <c r="I258" t="s">
        <v>34</v>
      </c>
      <c r="J258" t="s">
        <v>166</v>
      </c>
      <c r="K258" t="s">
        <v>41</v>
      </c>
      <c r="L258" t="s">
        <v>2113</v>
      </c>
      <c r="M258" t="s">
        <v>2114</v>
      </c>
      <c r="N258" t="s">
        <v>847</v>
      </c>
      <c r="O258" t="s">
        <v>100</v>
      </c>
      <c r="P258" t="s">
        <v>2115</v>
      </c>
      <c r="Q258" t="s">
        <v>57</v>
      </c>
      <c r="R258" t="s">
        <v>1857</v>
      </c>
      <c r="S258">
        <v>1.1100000000000001</v>
      </c>
      <c r="T258">
        <v>5476</v>
      </c>
      <c r="U258">
        <v>0</v>
      </c>
      <c r="V258">
        <v>5476</v>
      </c>
    </row>
    <row r="259" spans="1:22" x14ac:dyDescent="0.3">
      <c r="A259">
        <v>79452</v>
      </c>
      <c r="B259">
        <v>137084187</v>
      </c>
      <c r="C259" t="s">
        <v>2116</v>
      </c>
      <c r="D259" t="s">
        <v>2117</v>
      </c>
      <c r="E259" t="s">
        <v>843</v>
      </c>
      <c r="F259" t="s">
        <v>844</v>
      </c>
      <c r="G259" t="s">
        <v>164</v>
      </c>
      <c r="H259" t="s">
        <v>165</v>
      </c>
      <c r="I259" t="s">
        <v>34</v>
      </c>
      <c r="J259" t="s">
        <v>166</v>
      </c>
      <c r="K259" t="s">
        <v>41</v>
      </c>
      <c r="L259" t="s">
        <v>606</v>
      </c>
      <c r="M259" t="s">
        <v>2118</v>
      </c>
      <c r="N259" t="s">
        <v>847</v>
      </c>
      <c r="O259" t="s">
        <v>100</v>
      </c>
      <c r="P259" t="s">
        <v>2119</v>
      </c>
      <c r="Q259" t="s">
        <v>84</v>
      </c>
      <c r="R259" t="s">
        <v>460</v>
      </c>
      <c r="S259">
        <v>0.84</v>
      </c>
      <c r="T259">
        <v>3366</v>
      </c>
      <c r="U259">
        <v>0</v>
      </c>
      <c r="V259">
        <v>3366</v>
      </c>
    </row>
    <row r="260" spans="1:22" x14ac:dyDescent="0.3">
      <c r="A260">
        <v>79452</v>
      </c>
      <c r="B260">
        <v>136997215</v>
      </c>
      <c r="C260" t="s">
        <v>2120</v>
      </c>
      <c r="D260" t="s">
        <v>2121</v>
      </c>
      <c r="E260" t="s">
        <v>843</v>
      </c>
      <c r="F260" t="s">
        <v>844</v>
      </c>
      <c r="G260" t="s">
        <v>164</v>
      </c>
      <c r="H260" t="s">
        <v>165</v>
      </c>
      <c r="I260" t="s">
        <v>34</v>
      </c>
      <c r="J260" t="s">
        <v>166</v>
      </c>
      <c r="K260" t="s">
        <v>41</v>
      </c>
      <c r="L260" t="s">
        <v>2122</v>
      </c>
      <c r="M260" t="s">
        <v>2123</v>
      </c>
      <c r="N260" t="s">
        <v>847</v>
      </c>
      <c r="O260" t="s">
        <v>100</v>
      </c>
      <c r="P260" t="s">
        <v>2124</v>
      </c>
      <c r="Q260" t="s">
        <v>68</v>
      </c>
      <c r="R260" t="s">
        <v>1550</v>
      </c>
      <c r="S260">
        <v>0.54</v>
      </c>
      <c r="T260">
        <v>3753</v>
      </c>
      <c r="U260">
        <v>0</v>
      </c>
      <c r="V260">
        <v>3753</v>
      </c>
    </row>
    <row r="261" spans="1:22" x14ac:dyDescent="0.3">
      <c r="A261">
        <v>79452</v>
      </c>
      <c r="B261">
        <v>137032355</v>
      </c>
      <c r="C261" t="s">
        <v>2125</v>
      </c>
      <c r="D261" t="s">
        <v>2126</v>
      </c>
      <c r="E261" t="s">
        <v>843</v>
      </c>
      <c r="F261" t="s">
        <v>844</v>
      </c>
      <c r="G261" t="s">
        <v>164</v>
      </c>
      <c r="H261" t="s">
        <v>165</v>
      </c>
      <c r="I261" t="s">
        <v>34</v>
      </c>
      <c r="J261" t="s">
        <v>166</v>
      </c>
      <c r="K261" t="s">
        <v>41</v>
      </c>
      <c r="L261" t="s">
        <v>2127</v>
      </c>
      <c r="M261" t="s">
        <v>2128</v>
      </c>
      <c r="N261" t="s">
        <v>847</v>
      </c>
      <c r="O261" t="s">
        <v>100</v>
      </c>
      <c r="P261" t="s">
        <v>2129</v>
      </c>
      <c r="Q261" t="s">
        <v>187</v>
      </c>
      <c r="R261" t="s">
        <v>324</v>
      </c>
      <c r="S261">
        <v>0.9</v>
      </c>
      <c r="T261">
        <v>3784</v>
      </c>
      <c r="U261">
        <v>0</v>
      </c>
      <c r="V261">
        <v>3784</v>
      </c>
    </row>
    <row r="262" spans="1:22" x14ac:dyDescent="0.3">
      <c r="A262">
        <v>79452</v>
      </c>
      <c r="B262">
        <v>137032314</v>
      </c>
      <c r="C262" t="s">
        <v>2130</v>
      </c>
      <c r="D262" t="s">
        <v>2131</v>
      </c>
      <c r="E262" t="s">
        <v>843</v>
      </c>
      <c r="F262" t="s">
        <v>844</v>
      </c>
      <c r="G262" t="s">
        <v>164</v>
      </c>
      <c r="H262" t="s">
        <v>165</v>
      </c>
      <c r="I262" t="s">
        <v>34</v>
      </c>
      <c r="J262" t="s">
        <v>166</v>
      </c>
      <c r="K262" t="s">
        <v>41</v>
      </c>
      <c r="L262" t="s">
        <v>2132</v>
      </c>
      <c r="M262" t="s">
        <v>2133</v>
      </c>
      <c r="N262" t="s">
        <v>847</v>
      </c>
      <c r="O262" t="s">
        <v>100</v>
      </c>
      <c r="P262" t="s">
        <v>2134</v>
      </c>
      <c r="Q262" t="s">
        <v>72</v>
      </c>
      <c r="R262" t="s">
        <v>324</v>
      </c>
      <c r="S262">
        <v>1.2</v>
      </c>
      <c r="T262">
        <v>3784</v>
      </c>
      <c r="U262">
        <v>0</v>
      </c>
      <c r="V262">
        <v>3784</v>
      </c>
    </row>
    <row r="263" spans="1:22" x14ac:dyDescent="0.3">
      <c r="A263">
        <v>79452</v>
      </c>
      <c r="B263">
        <v>136756179</v>
      </c>
      <c r="C263" t="s">
        <v>2135</v>
      </c>
      <c r="D263" t="s">
        <v>2136</v>
      </c>
      <c r="E263" t="s">
        <v>843</v>
      </c>
      <c r="F263" t="s">
        <v>844</v>
      </c>
      <c r="G263" t="s">
        <v>164</v>
      </c>
      <c r="H263" t="s">
        <v>165</v>
      </c>
      <c r="I263" t="s">
        <v>34</v>
      </c>
      <c r="J263" t="s">
        <v>166</v>
      </c>
      <c r="K263" t="s">
        <v>41</v>
      </c>
      <c r="L263" t="s">
        <v>2137</v>
      </c>
      <c r="M263" t="s">
        <v>2138</v>
      </c>
      <c r="N263" t="s">
        <v>847</v>
      </c>
      <c r="O263" t="s">
        <v>100</v>
      </c>
      <c r="P263" t="s">
        <v>2139</v>
      </c>
      <c r="Q263" t="s">
        <v>55</v>
      </c>
      <c r="R263" t="s">
        <v>782</v>
      </c>
      <c r="S263">
        <v>0.95</v>
      </c>
      <c r="T263">
        <v>5198</v>
      </c>
      <c r="U263">
        <v>0</v>
      </c>
      <c r="V263">
        <v>5198</v>
      </c>
    </row>
    <row r="264" spans="1:22" x14ac:dyDescent="0.3">
      <c r="A264">
        <v>79452</v>
      </c>
      <c r="B264">
        <v>137032317</v>
      </c>
      <c r="C264" t="s">
        <v>2140</v>
      </c>
      <c r="D264" t="s">
        <v>2141</v>
      </c>
      <c r="E264" t="s">
        <v>843</v>
      </c>
      <c r="F264" t="s">
        <v>844</v>
      </c>
      <c r="G264" t="s">
        <v>164</v>
      </c>
      <c r="H264" t="s">
        <v>165</v>
      </c>
      <c r="I264" t="s">
        <v>34</v>
      </c>
      <c r="J264" t="s">
        <v>166</v>
      </c>
      <c r="K264" t="s">
        <v>41</v>
      </c>
      <c r="L264" t="s">
        <v>2142</v>
      </c>
      <c r="M264" t="s">
        <v>2143</v>
      </c>
      <c r="N264" t="s">
        <v>847</v>
      </c>
      <c r="O264" t="s">
        <v>100</v>
      </c>
      <c r="P264" t="s">
        <v>2144</v>
      </c>
      <c r="Q264" t="s">
        <v>69</v>
      </c>
      <c r="R264" t="s">
        <v>324</v>
      </c>
      <c r="S264">
        <v>0.87</v>
      </c>
      <c r="T264">
        <v>3753</v>
      </c>
      <c r="U264">
        <v>0</v>
      </c>
      <c r="V264">
        <v>3753</v>
      </c>
    </row>
    <row r="265" spans="1:22" x14ac:dyDescent="0.3">
      <c r="A265">
        <v>79452</v>
      </c>
      <c r="B265">
        <v>136920684</v>
      </c>
      <c r="C265" t="s">
        <v>2145</v>
      </c>
      <c r="D265" t="s">
        <v>2146</v>
      </c>
      <c r="E265" t="s">
        <v>843</v>
      </c>
      <c r="F265" t="s">
        <v>844</v>
      </c>
      <c r="G265" t="s">
        <v>164</v>
      </c>
      <c r="H265" t="s">
        <v>165</v>
      </c>
      <c r="I265" t="s">
        <v>34</v>
      </c>
      <c r="J265" t="s">
        <v>166</v>
      </c>
      <c r="K265" t="s">
        <v>41</v>
      </c>
      <c r="L265" t="s">
        <v>2147</v>
      </c>
      <c r="M265" t="s">
        <v>2148</v>
      </c>
      <c r="N265" t="s">
        <v>847</v>
      </c>
      <c r="O265" t="s">
        <v>100</v>
      </c>
      <c r="P265" t="s">
        <v>2149</v>
      </c>
      <c r="Q265" t="s">
        <v>55</v>
      </c>
      <c r="R265" t="s">
        <v>1746</v>
      </c>
      <c r="S265">
        <v>1.1000000000000001</v>
      </c>
      <c r="T265">
        <v>5198</v>
      </c>
      <c r="U265">
        <v>0</v>
      </c>
      <c r="V265">
        <v>5198</v>
      </c>
    </row>
    <row r="266" spans="1:22" x14ac:dyDescent="0.3">
      <c r="A266">
        <v>79452</v>
      </c>
      <c r="B266">
        <v>136997228</v>
      </c>
      <c r="C266" t="s">
        <v>2150</v>
      </c>
      <c r="D266" t="s">
        <v>2151</v>
      </c>
      <c r="E266" t="s">
        <v>843</v>
      </c>
      <c r="F266" t="s">
        <v>844</v>
      </c>
      <c r="G266" t="s">
        <v>164</v>
      </c>
      <c r="H266" t="s">
        <v>165</v>
      </c>
      <c r="I266" t="s">
        <v>34</v>
      </c>
      <c r="J266" t="s">
        <v>166</v>
      </c>
      <c r="K266" t="s">
        <v>41</v>
      </c>
      <c r="L266" t="s">
        <v>2152</v>
      </c>
      <c r="M266" t="s">
        <v>2153</v>
      </c>
      <c r="N266" t="s">
        <v>847</v>
      </c>
      <c r="O266" t="s">
        <v>100</v>
      </c>
      <c r="P266" t="s">
        <v>2154</v>
      </c>
      <c r="Q266" t="s">
        <v>190</v>
      </c>
      <c r="R266" t="s">
        <v>1987</v>
      </c>
      <c r="S266">
        <v>1.22</v>
      </c>
      <c r="T266">
        <v>3366</v>
      </c>
      <c r="U266">
        <v>0</v>
      </c>
      <c r="V266">
        <v>3366</v>
      </c>
    </row>
    <row r="267" spans="1:22" x14ac:dyDescent="0.3">
      <c r="A267">
        <v>79452</v>
      </c>
      <c r="B267">
        <v>136920647</v>
      </c>
      <c r="C267" t="s">
        <v>2155</v>
      </c>
      <c r="D267" t="s">
        <v>2156</v>
      </c>
      <c r="E267" t="s">
        <v>843</v>
      </c>
      <c r="F267" t="s">
        <v>844</v>
      </c>
      <c r="G267" t="s">
        <v>164</v>
      </c>
      <c r="H267" t="s">
        <v>165</v>
      </c>
      <c r="I267" t="s">
        <v>34</v>
      </c>
      <c r="J267" t="s">
        <v>166</v>
      </c>
      <c r="K267" t="s">
        <v>41</v>
      </c>
      <c r="L267" t="s">
        <v>2157</v>
      </c>
      <c r="M267" t="s">
        <v>2158</v>
      </c>
      <c r="N267" t="s">
        <v>847</v>
      </c>
      <c r="O267" t="s">
        <v>100</v>
      </c>
      <c r="P267" t="s">
        <v>2159</v>
      </c>
      <c r="Q267" t="s">
        <v>55</v>
      </c>
      <c r="R267" t="s">
        <v>1746</v>
      </c>
      <c r="S267">
        <v>1.45</v>
      </c>
      <c r="T267">
        <v>5198</v>
      </c>
      <c r="U267">
        <v>0</v>
      </c>
      <c r="V267">
        <v>5198</v>
      </c>
    </row>
    <row r="268" spans="1:22" x14ac:dyDescent="0.3">
      <c r="A268">
        <v>79452</v>
      </c>
      <c r="B268">
        <v>137032347</v>
      </c>
      <c r="C268" t="s">
        <v>2160</v>
      </c>
      <c r="D268" t="s">
        <v>2161</v>
      </c>
      <c r="E268" t="s">
        <v>843</v>
      </c>
      <c r="F268" t="s">
        <v>844</v>
      </c>
      <c r="G268" t="s">
        <v>164</v>
      </c>
      <c r="H268" t="s">
        <v>165</v>
      </c>
      <c r="I268" t="s">
        <v>34</v>
      </c>
      <c r="J268" t="s">
        <v>166</v>
      </c>
      <c r="K268" t="s">
        <v>41</v>
      </c>
      <c r="L268" t="s">
        <v>2162</v>
      </c>
      <c r="M268" t="s">
        <v>2163</v>
      </c>
      <c r="N268" t="s">
        <v>847</v>
      </c>
      <c r="O268" t="s">
        <v>100</v>
      </c>
      <c r="P268" t="s">
        <v>2164</v>
      </c>
      <c r="Q268" t="s">
        <v>190</v>
      </c>
      <c r="R268" t="s">
        <v>324</v>
      </c>
      <c r="S268">
        <v>1.08</v>
      </c>
      <c r="T268">
        <v>3366</v>
      </c>
      <c r="U268">
        <v>0</v>
      </c>
      <c r="V268">
        <v>3366</v>
      </c>
    </row>
    <row r="269" spans="1:22" x14ac:dyDescent="0.3">
      <c r="A269">
        <v>79452</v>
      </c>
      <c r="B269">
        <v>136939458</v>
      </c>
      <c r="C269" t="s">
        <v>2165</v>
      </c>
      <c r="D269" t="s">
        <v>2166</v>
      </c>
      <c r="E269" t="s">
        <v>843</v>
      </c>
      <c r="F269" t="s">
        <v>844</v>
      </c>
      <c r="G269" t="s">
        <v>164</v>
      </c>
      <c r="H269" t="s">
        <v>165</v>
      </c>
      <c r="I269" t="s">
        <v>34</v>
      </c>
      <c r="J269" t="s">
        <v>166</v>
      </c>
      <c r="K269" t="s">
        <v>41</v>
      </c>
      <c r="L269" t="s">
        <v>2167</v>
      </c>
      <c r="M269" t="s">
        <v>940</v>
      </c>
      <c r="N269" t="s">
        <v>847</v>
      </c>
      <c r="O269" t="s">
        <v>100</v>
      </c>
      <c r="P269" t="s">
        <v>941</v>
      </c>
      <c r="Q269" t="s">
        <v>57</v>
      </c>
      <c r="R269" t="s">
        <v>1857</v>
      </c>
      <c r="S269">
        <v>1.37</v>
      </c>
      <c r="T269">
        <v>5476</v>
      </c>
      <c r="U269">
        <v>0</v>
      </c>
      <c r="V269">
        <v>5476</v>
      </c>
    </row>
    <row r="270" spans="1:22" x14ac:dyDescent="0.3">
      <c r="A270">
        <v>79452</v>
      </c>
      <c r="B270">
        <v>136997110</v>
      </c>
      <c r="C270" t="s">
        <v>2168</v>
      </c>
      <c r="D270" t="s">
        <v>2169</v>
      </c>
      <c r="E270" t="s">
        <v>843</v>
      </c>
      <c r="F270" t="s">
        <v>844</v>
      </c>
      <c r="G270" t="s">
        <v>164</v>
      </c>
      <c r="H270" t="s">
        <v>165</v>
      </c>
      <c r="I270" t="s">
        <v>34</v>
      </c>
      <c r="J270" t="s">
        <v>166</v>
      </c>
      <c r="K270" t="s">
        <v>41</v>
      </c>
      <c r="L270" t="s">
        <v>2170</v>
      </c>
      <c r="M270" t="s">
        <v>2171</v>
      </c>
      <c r="N270" t="s">
        <v>847</v>
      </c>
      <c r="O270" t="s">
        <v>100</v>
      </c>
      <c r="P270" t="s">
        <v>2172</v>
      </c>
      <c r="Q270" t="s">
        <v>55</v>
      </c>
      <c r="R270" t="s">
        <v>1550</v>
      </c>
      <c r="S270">
        <v>0.81</v>
      </c>
      <c r="T270">
        <v>5198</v>
      </c>
      <c r="U270">
        <v>0</v>
      </c>
      <c r="V270">
        <v>5198</v>
      </c>
    </row>
    <row r="271" spans="1:22" x14ac:dyDescent="0.3">
      <c r="A271">
        <v>79452</v>
      </c>
      <c r="B271">
        <v>136920682</v>
      </c>
      <c r="C271" t="s">
        <v>2173</v>
      </c>
      <c r="D271" t="s">
        <v>2174</v>
      </c>
      <c r="E271" t="s">
        <v>843</v>
      </c>
      <c r="F271" t="s">
        <v>844</v>
      </c>
      <c r="G271" t="s">
        <v>164</v>
      </c>
      <c r="H271" t="s">
        <v>165</v>
      </c>
      <c r="I271" t="s">
        <v>34</v>
      </c>
      <c r="J271" t="s">
        <v>166</v>
      </c>
      <c r="K271" t="s">
        <v>41</v>
      </c>
      <c r="L271" t="s">
        <v>2175</v>
      </c>
      <c r="M271" t="s">
        <v>2176</v>
      </c>
      <c r="N271" t="s">
        <v>847</v>
      </c>
      <c r="O271" t="s">
        <v>100</v>
      </c>
      <c r="P271" t="s">
        <v>2177</v>
      </c>
      <c r="Q271" t="s">
        <v>55</v>
      </c>
      <c r="R271" t="s">
        <v>1746</v>
      </c>
      <c r="S271">
        <v>0.83</v>
      </c>
      <c r="T271">
        <v>5198</v>
      </c>
      <c r="U271">
        <v>0</v>
      </c>
      <c r="V271">
        <v>5198</v>
      </c>
    </row>
    <row r="272" spans="1:22" x14ac:dyDescent="0.3">
      <c r="A272">
        <v>79452</v>
      </c>
      <c r="B272">
        <v>136997053</v>
      </c>
      <c r="C272" t="s">
        <v>2178</v>
      </c>
      <c r="D272" t="s">
        <v>2179</v>
      </c>
      <c r="E272" t="s">
        <v>843</v>
      </c>
      <c r="F272" t="s">
        <v>844</v>
      </c>
      <c r="G272" t="s">
        <v>164</v>
      </c>
      <c r="H272" t="s">
        <v>165</v>
      </c>
      <c r="I272" t="s">
        <v>34</v>
      </c>
      <c r="J272" t="s">
        <v>166</v>
      </c>
      <c r="K272" t="s">
        <v>41</v>
      </c>
      <c r="L272" t="s">
        <v>2180</v>
      </c>
      <c r="M272" t="s">
        <v>2181</v>
      </c>
      <c r="N272" t="s">
        <v>847</v>
      </c>
      <c r="O272" t="s">
        <v>100</v>
      </c>
      <c r="P272" t="s">
        <v>2182</v>
      </c>
      <c r="Q272" t="s">
        <v>55</v>
      </c>
      <c r="R272" t="s">
        <v>1141</v>
      </c>
      <c r="S272">
        <v>1.1200000000000001</v>
      </c>
      <c r="T272">
        <v>5198</v>
      </c>
      <c r="U272">
        <v>0</v>
      </c>
      <c r="V272">
        <v>5198</v>
      </c>
    </row>
    <row r="273" spans="1:22" x14ac:dyDescent="0.3">
      <c r="A273">
        <v>79452</v>
      </c>
      <c r="B273">
        <v>136920664</v>
      </c>
      <c r="C273" t="s">
        <v>2183</v>
      </c>
      <c r="D273" t="s">
        <v>2184</v>
      </c>
      <c r="E273" t="s">
        <v>843</v>
      </c>
      <c r="F273" t="s">
        <v>844</v>
      </c>
      <c r="G273" t="s">
        <v>164</v>
      </c>
      <c r="H273" t="s">
        <v>165</v>
      </c>
      <c r="I273" t="s">
        <v>34</v>
      </c>
      <c r="J273" t="s">
        <v>166</v>
      </c>
      <c r="K273" t="s">
        <v>41</v>
      </c>
      <c r="L273" t="s">
        <v>2185</v>
      </c>
      <c r="M273" t="s">
        <v>2186</v>
      </c>
      <c r="N273" t="s">
        <v>847</v>
      </c>
      <c r="O273" t="s">
        <v>100</v>
      </c>
      <c r="P273" t="s">
        <v>2187</v>
      </c>
      <c r="Q273" t="s">
        <v>90</v>
      </c>
      <c r="R273" t="s">
        <v>1746</v>
      </c>
      <c r="S273">
        <v>2.29</v>
      </c>
      <c r="T273">
        <v>3870</v>
      </c>
      <c r="U273">
        <v>0</v>
      </c>
      <c r="V273">
        <v>3870</v>
      </c>
    </row>
    <row r="274" spans="1:22" x14ac:dyDescent="0.3">
      <c r="A274">
        <v>79452</v>
      </c>
      <c r="B274">
        <v>136997086</v>
      </c>
      <c r="C274" t="s">
        <v>2188</v>
      </c>
      <c r="D274" t="s">
        <v>2189</v>
      </c>
      <c r="E274" t="s">
        <v>843</v>
      </c>
      <c r="F274" t="s">
        <v>844</v>
      </c>
      <c r="G274" t="s">
        <v>164</v>
      </c>
      <c r="H274" t="s">
        <v>165</v>
      </c>
      <c r="I274" t="s">
        <v>34</v>
      </c>
      <c r="J274" t="s">
        <v>166</v>
      </c>
      <c r="K274" t="s">
        <v>41</v>
      </c>
      <c r="L274" t="s">
        <v>2190</v>
      </c>
      <c r="M274" t="s">
        <v>2191</v>
      </c>
      <c r="N274" t="s">
        <v>847</v>
      </c>
      <c r="O274" t="s">
        <v>100</v>
      </c>
      <c r="P274" t="s">
        <v>2192</v>
      </c>
      <c r="Q274" t="s">
        <v>97</v>
      </c>
      <c r="R274" t="s">
        <v>1141</v>
      </c>
      <c r="S274">
        <v>0.61</v>
      </c>
      <c r="T274">
        <v>3366</v>
      </c>
      <c r="U274">
        <v>0</v>
      </c>
      <c r="V274">
        <v>3366</v>
      </c>
    </row>
    <row r="275" spans="1:22" x14ac:dyDescent="0.3">
      <c r="A275">
        <v>79452</v>
      </c>
      <c r="B275">
        <v>136997185</v>
      </c>
      <c r="C275" t="s">
        <v>2193</v>
      </c>
      <c r="D275" t="s">
        <v>2194</v>
      </c>
      <c r="E275" t="s">
        <v>843</v>
      </c>
      <c r="F275" t="s">
        <v>844</v>
      </c>
      <c r="G275" t="s">
        <v>164</v>
      </c>
      <c r="H275" t="s">
        <v>165</v>
      </c>
      <c r="I275" t="s">
        <v>34</v>
      </c>
      <c r="J275" t="s">
        <v>166</v>
      </c>
      <c r="K275" t="s">
        <v>44</v>
      </c>
      <c r="L275" t="s">
        <v>188</v>
      </c>
      <c r="M275" t="s">
        <v>2195</v>
      </c>
      <c r="N275" t="s">
        <v>847</v>
      </c>
      <c r="O275" t="s">
        <v>100</v>
      </c>
      <c r="P275" t="s">
        <v>2196</v>
      </c>
      <c r="Q275" t="s">
        <v>57</v>
      </c>
      <c r="R275" t="s">
        <v>1550</v>
      </c>
      <c r="S275">
        <v>1.64</v>
      </c>
      <c r="T275">
        <v>5476</v>
      </c>
      <c r="U275">
        <v>0</v>
      </c>
      <c r="V275">
        <v>5476</v>
      </c>
    </row>
    <row r="276" spans="1:22" x14ac:dyDescent="0.3">
      <c r="A276">
        <v>79452</v>
      </c>
      <c r="B276">
        <v>136635002</v>
      </c>
      <c r="C276" t="s">
        <v>2197</v>
      </c>
      <c r="D276" t="s">
        <v>2198</v>
      </c>
      <c r="E276" t="s">
        <v>843</v>
      </c>
      <c r="F276" t="s">
        <v>844</v>
      </c>
      <c r="G276" t="s">
        <v>164</v>
      </c>
      <c r="H276" t="s">
        <v>165</v>
      </c>
      <c r="I276" t="s">
        <v>34</v>
      </c>
      <c r="J276" t="s">
        <v>166</v>
      </c>
      <c r="K276" t="s">
        <v>41</v>
      </c>
      <c r="L276" t="s">
        <v>2199</v>
      </c>
      <c r="M276" t="s">
        <v>2200</v>
      </c>
      <c r="N276" t="s">
        <v>847</v>
      </c>
      <c r="O276" t="s">
        <v>100</v>
      </c>
      <c r="P276" t="s">
        <v>2201</v>
      </c>
      <c r="Q276" t="s">
        <v>211</v>
      </c>
      <c r="R276" t="s">
        <v>475</v>
      </c>
      <c r="S276">
        <v>2.15</v>
      </c>
      <c r="T276">
        <v>4067</v>
      </c>
      <c r="U276">
        <v>0</v>
      </c>
      <c r="V276">
        <v>4067</v>
      </c>
    </row>
    <row r="277" spans="1:22" x14ac:dyDescent="0.3">
      <c r="A277">
        <v>79452</v>
      </c>
      <c r="B277">
        <v>136792523</v>
      </c>
      <c r="C277" t="s">
        <v>2202</v>
      </c>
      <c r="D277" t="s">
        <v>2203</v>
      </c>
      <c r="E277" t="s">
        <v>843</v>
      </c>
      <c r="F277" t="s">
        <v>844</v>
      </c>
      <c r="G277" t="s">
        <v>164</v>
      </c>
      <c r="H277" t="s">
        <v>165</v>
      </c>
      <c r="I277" t="s">
        <v>34</v>
      </c>
      <c r="J277" t="s">
        <v>166</v>
      </c>
      <c r="K277" t="s">
        <v>41</v>
      </c>
      <c r="L277" t="s">
        <v>2204</v>
      </c>
      <c r="M277" t="s">
        <v>2205</v>
      </c>
      <c r="N277" t="s">
        <v>847</v>
      </c>
      <c r="O277" t="s">
        <v>100</v>
      </c>
      <c r="P277" t="s">
        <v>2206</v>
      </c>
      <c r="Q277" t="s">
        <v>224</v>
      </c>
      <c r="R277" t="s">
        <v>2207</v>
      </c>
      <c r="S277">
        <v>1.94</v>
      </c>
      <c r="T277">
        <v>4067</v>
      </c>
      <c r="U277">
        <v>0</v>
      </c>
      <c r="V277">
        <v>4067</v>
      </c>
    </row>
    <row r="278" spans="1:22" x14ac:dyDescent="0.3">
      <c r="A278">
        <v>79452</v>
      </c>
      <c r="B278">
        <v>136920696</v>
      </c>
      <c r="C278" t="s">
        <v>2208</v>
      </c>
      <c r="D278" t="s">
        <v>2209</v>
      </c>
      <c r="E278" t="s">
        <v>843</v>
      </c>
      <c r="F278" t="s">
        <v>844</v>
      </c>
      <c r="G278" t="s">
        <v>164</v>
      </c>
      <c r="H278" t="s">
        <v>165</v>
      </c>
      <c r="I278" t="s">
        <v>34</v>
      </c>
      <c r="J278" t="s">
        <v>166</v>
      </c>
      <c r="K278" t="s">
        <v>41</v>
      </c>
      <c r="L278" t="s">
        <v>2210</v>
      </c>
      <c r="M278" t="s">
        <v>2211</v>
      </c>
      <c r="N278" t="s">
        <v>847</v>
      </c>
      <c r="O278" t="s">
        <v>100</v>
      </c>
      <c r="P278" t="s">
        <v>2212</v>
      </c>
      <c r="Q278" t="s">
        <v>60</v>
      </c>
      <c r="R278" t="s">
        <v>1993</v>
      </c>
      <c r="S278">
        <v>2.08</v>
      </c>
      <c r="T278">
        <v>4346</v>
      </c>
      <c r="U278">
        <v>0</v>
      </c>
      <c r="V278">
        <v>4346</v>
      </c>
    </row>
    <row r="279" spans="1:22" x14ac:dyDescent="0.3">
      <c r="A279">
        <v>79452</v>
      </c>
      <c r="B279">
        <v>136939483</v>
      </c>
      <c r="C279" t="s">
        <v>2213</v>
      </c>
      <c r="D279" t="s">
        <v>2214</v>
      </c>
      <c r="E279" t="s">
        <v>843</v>
      </c>
      <c r="F279" t="s">
        <v>844</v>
      </c>
      <c r="G279" t="s">
        <v>164</v>
      </c>
      <c r="H279" t="s">
        <v>165</v>
      </c>
      <c r="I279" t="s">
        <v>34</v>
      </c>
      <c r="J279" t="s">
        <v>166</v>
      </c>
      <c r="K279" t="s">
        <v>41</v>
      </c>
      <c r="L279" t="s">
        <v>2215</v>
      </c>
      <c r="M279" t="s">
        <v>2216</v>
      </c>
      <c r="N279" t="s">
        <v>847</v>
      </c>
      <c r="O279" t="s">
        <v>100</v>
      </c>
      <c r="P279" t="s">
        <v>2217</v>
      </c>
      <c r="Q279" t="s">
        <v>84</v>
      </c>
      <c r="R279" t="s">
        <v>1857</v>
      </c>
      <c r="S279">
        <v>0.9</v>
      </c>
      <c r="T279">
        <v>3366</v>
      </c>
      <c r="U279">
        <v>0</v>
      </c>
      <c r="V279">
        <v>3366</v>
      </c>
    </row>
    <row r="280" spans="1:22" x14ac:dyDescent="0.3">
      <c r="A280">
        <v>79452</v>
      </c>
      <c r="B280">
        <v>136997170</v>
      </c>
      <c r="C280" t="s">
        <v>2218</v>
      </c>
      <c r="D280" t="s">
        <v>2219</v>
      </c>
      <c r="E280" t="s">
        <v>843</v>
      </c>
      <c r="F280" t="s">
        <v>844</v>
      </c>
      <c r="G280" t="s">
        <v>164</v>
      </c>
      <c r="H280" t="s">
        <v>165</v>
      </c>
      <c r="I280" t="s">
        <v>34</v>
      </c>
      <c r="J280" t="s">
        <v>166</v>
      </c>
      <c r="K280" t="s">
        <v>41</v>
      </c>
      <c r="L280" t="s">
        <v>2220</v>
      </c>
      <c r="M280" t="s">
        <v>2221</v>
      </c>
      <c r="N280" t="s">
        <v>847</v>
      </c>
      <c r="O280" t="s">
        <v>100</v>
      </c>
      <c r="P280" t="s">
        <v>2222</v>
      </c>
      <c r="Q280" t="s">
        <v>72</v>
      </c>
      <c r="R280" t="s">
        <v>1550</v>
      </c>
      <c r="S280">
        <v>1.1299999999999999</v>
      </c>
      <c r="T280">
        <v>3784</v>
      </c>
      <c r="U280">
        <v>0</v>
      </c>
      <c r="V280">
        <v>3784</v>
      </c>
    </row>
    <row r="281" spans="1:22" x14ac:dyDescent="0.3">
      <c r="A281">
        <v>79452</v>
      </c>
      <c r="B281">
        <v>136997071</v>
      </c>
      <c r="C281" t="s">
        <v>2223</v>
      </c>
      <c r="D281" t="s">
        <v>2224</v>
      </c>
      <c r="E281" t="s">
        <v>843</v>
      </c>
      <c r="F281" t="s">
        <v>844</v>
      </c>
      <c r="G281" t="s">
        <v>164</v>
      </c>
      <c r="H281" t="s">
        <v>165</v>
      </c>
      <c r="I281" t="s">
        <v>34</v>
      </c>
      <c r="J281" t="s">
        <v>166</v>
      </c>
      <c r="K281" t="s">
        <v>41</v>
      </c>
      <c r="L281" t="s">
        <v>2225</v>
      </c>
      <c r="M281" t="s">
        <v>569</v>
      </c>
      <c r="N281" t="s">
        <v>847</v>
      </c>
      <c r="O281" t="s">
        <v>100</v>
      </c>
      <c r="P281" t="s">
        <v>2226</v>
      </c>
      <c r="Q281" t="s">
        <v>74</v>
      </c>
      <c r="R281" t="s">
        <v>1141</v>
      </c>
      <c r="S281">
        <v>1.22</v>
      </c>
      <c r="T281">
        <v>3753</v>
      </c>
      <c r="U281">
        <v>0</v>
      </c>
      <c r="V281">
        <v>3753</v>
      </c>
    </row>
    <row r="282" spans="1:22" x14ac:dyDescent="0.3">
      <c r="A282">
        <v>79452</v>
      </c>
      <c r="B282">
        <v>136997126</v>
      </c>
      <c r="C282" t="s">
        <v>2227</v>
      </c>
      <c r="D282" t="s">
        <v>2228</v>
      </c>
      <c r="E282" t="s">
        <v>843</v>
      </c>
      <c r="F282" t="s">
        <v>844</v>
      </c>
      <c r="G282" t="s">
        <v>164</v>
      </c>
      <c r="H282" t="s">
        <v>165</v>
      </c>
      <c r="I282" t="s">
        <v>34</v>
      </c>
      <c r="J282" t="s">
        <v>166</v>
      </c>
      <c r="K282" t="s">
        <v>41</v>
      </c>
      <c r="L282" t="s">
        <v>2229</v>
      </c>
      <c r="M282" t="s">
        <v>2230</v>
      </c>
      <c r="N282" t="s">
        <v>847</v>
      </c>
      <c r="O282" t="s">
        <v>100</v>
      </c>
      <c r="P282" t="s">
        <v>2231</v>
      </c>
      <c r="Q282" t="s">
        <v>60</v>
      </c>
      <c r="R282" t="s">
        <v>1550</v>
      </c>
      <c r="S282">
        <v>0.95</v>
      </c>
      <c r="T282">
        <v>4346</v>
      </c>
      <c r="U282">
        <v>0</v>
      </c>
      <c r="V282">
        <v>4346</v>
      </c>
    </row>
    <row r="283" spans="1:22" x14ac:dyDescent="0.3">
      <c r="A283">
        <v>79452</v>
      </c>
      <c r="B283">
        <v>136997101</v>
      </c>
      <c r="C283" t="s">
        <v>2232</v>
      </c>
      <c r="D283" t="s">
        <v>2233</v>
      </c>
      <c r="E283" t="s">
        <v>843</v>
      </c>
      <c r="F283" t="s">
        <v>844</v>
      </c>
      <c r="G283" t="s">
        <v>164</v>
      </c>
      <c r="H283" t="s">
        <v>165</v>
      </c>
      <c r="I283" t="s">
        <v>34</v>
      </c>
      <c r="J283" t="s">
        <v>166</v>
      </c>
      <c r="K283" t="s">
        <v>41</v>
      </c>
      <c r="L283" t="s">
        <v>2234</v>
      </c>
      <c r="M283" t="s">
        <v>2235</v>
      </c>
      <c r="N283" t="s">
        <v>847</v>
      </c>
      <c r="O283" t="s">
        <v>100</v>
      </c>
      <c r="P283" t="s">
        <v>2236</v>
      </c>
      <c r="Q283" t="s">
        <v>60</v>
      </c>
      <c r="R283" t="s">
        <v>1550</v>
      </c>
      <c r="S283">
        <v>1.02</v>
      </c>
      <c r="T283">
        <v>4346</v>
      </c>
      <c r="U283">
        <v>0</v>
      </c>
      <c r="V283">
        <v>4346</v>
      </c>
    </row>
    <row r="284" spans="1:22" x14ac:dyDescent="0.3">
      <c r="A284">
        <v>79452</v>
      </c>
      <c r="B284">
        <v>136997088</v>
      </c>
      <c r="C284" t="s">
        <v>2237</v>
      </c>
      <c r="D284" t="s">
        <v>2238</v>
      </c>
      <c r="E284" t="s">
        <v>843</v>
      </c>
      <c r="F284" t="s">
        <v>844</v>
      </c>
      <c r="G284" t="s">
        <v>164</v>
      </c>
      <c r="H284" t="s">
        <v>165</v>
      </c>
      <c r="I284" t="s">
        <v>34</v>
      </c>
      <c r="J284" t="s">
        <v>166</v>
      </c>
      <c r="K284" t="s">
        <v>41</v>
      </c>
      <c r="L284" t="s">
        <v>2239</v>
      </c>
      <c r="M284" t="s">
        <v>2240</v>
      </c>
      <c r="N284" t="s">
        <v>847</v>
      </c>
      <c r="O284" t="s">
        <v>100</v>
      </c>
      <c r="P284" t="s">
        <v>2241</v>
      </c>
      <c r="Q284" t="s">
        <v>69</v>
      </c>
      <c r="R284" t="s">
        <v>1141</v>
      </c>
      <c r="S284">
        <v>1.63</v>
      </c>
      <c r="T284">
        <v>3753</v>
      </c>
      <c r="U284">
        <v>0</v>
      </c>
      <c r="V284">
        <v>3753</v>
      </c>
    </row>
    <row r="285" spans="1:22" x14ac:dyDescent="0.3">
      <c r="A285">
        <v>79452</v>
      </c>
      <c r="B285">
        <v>136920659</v>
      </c>
      <c r="C285" t="s">
        <v>2242</v>
      </c>
      <c r="D285" t="s">
        <v>2243</v>
      </c>
      <c r="E285" t="s">
        <v>843</v>
      </c>
      <c r="F285" t="s">
        <v>844</v>
      </c>
      <c r="G285" t="s">
        <v>164</v>
      </c>
      <c r="H285" t="s">
        <v>165</v>
      </c>
      <c r="I285" t="s">
        <v>34</v>
      </c>
      <c r="J285" t="s">
        <v>166</v>
      </c>
      <c r="K285" t="s">
        <v>41</v>
      </c>
      <c r="L285" t="s">
        <v>2244</v>
      </c>
      <c r="M285" t="s">
        <v>2245</v>
      </c>
      <c r="N285" t="s">
        <v>847</v>
      </c>
      <c r="O285" t="s">
        <v>100</v>
      </c>
      <c r="P285" t="s">
        <v>2246</v>
      </c>
      <c r="Q285" t="s">
        <v>97</v>
      </c>
      <c r="R285" t="s">
        <v>1746</v>
      </c>
      <c r="S285">
        <v>2.92</v>
      </c>
      <c r="T285">
        <v>3366</v>
      </c>
      <c r="U285">
        <v>0</v>
      </c>
      <c r="V285">
        <v>3366</v>
      </c>
    </row>
    <row r="286" spans="1:22" x14ac:dyDescent="0.3">
      <c r="A286">
        <v>79452</v>
      </c>
      <c r="B286">
        <v>136997016</v>
      </c>
      <c r="C286" t="s">
        <v>2247</v>
      </c>
      <c r="D286" t="s">
        <v>2248</v>
      </c>
      <c r="E286" t="s">
        <v>843</v>
      </c>
      <c r="F286" t="s">
        <v>844</v>
      </c>
      <c r="G286" t="s">
        <v>164</v>
      </c>
      <c r="H286" t="s">
        <v>165</v>
      </c>
      <c r="I286" t="s">
        <v>34</v>
      </c>
      <c r="J286" t="s">
        <v>166</v>
      </c>
      <c r="K286" t="s">
        <v>41</v>
      </c>
      <c r="L286" t="s">
        <v>2249</v>
      </c>
      <c r="M286" t="s">
        <v>2250</v>
      </c>
      <c r="N286" t="s">
        <v>847</v>
      </c>
      <c r="O286" t="s">
        <v>100</v>
      </c>
      <c r="P286" t="s">
        <v>2251</v>
      </c>
      <c r="Q286" t="s">
        <v>69</v>
      </c>
      <c r="R286" t="s">
        <v>1141</v>
      </c>
      <c r="S286">
        <v>0.66</v>
      </c>
      <c r="T286">
        <v>3753</v>
      </c>
      <c r="U286">
        <v>0</v>
      </c>
      <c r="V286">
        <v>3753</v>
      </c>
    </row>
    <row r="287" spans="1:22" x14ac:dyDescent="0.3">
      <c r="A287">
        <v>79452</v>
      </c>
      <c r="B287">
        <v>136680916</v>
      </c>
      <c r="C287" t="s">
        <v>2252</v>
      </c>
      <c r="D287" t="s">
        <v>2253</v>
      </c>
      <c r="E287" t="s">
        <v>843</v>
      </c>
      <c r="F287" t="s">
        <v>844</v>
      </c>
      <c r="G287" t="s">
        <v>164</v>
      </c>
      <c r="H287" t="s">
        <v>165</v>
      </c>
      <c r="I287" t="s">
        <v>34</v>
      </c>
      <c r="J287" t="s">
        <v>166</v>
      </c>
      <c r="K287" t="s">
        <v>41</v>
      </c>
      <c r="L287" t="s">
        <v>2254</v>
      </c>
      <c r="M287" t="s">
        <v>700</v>
      </c>
      <c r="N287" t="s">
        <v>847</v>
      </c>
      <c r="O287" t="s">
        <v>100</v>
      </c>
      <c r="P287" t="s">
        <v>2255</v>
      </c>
      <c r="Q287" t="s">
        <v>211</v>
      </c>
      <c r="R287" t="s">
        <v>365</v>
      </c>
      <c r="S287">
        <v>1.1599999999999999</v>
      </c>
      <c r="T287">
        <v>4067</v>
      </c>
      <c r="U287">
        <v>0</v>
      </c>
      <c r="V287">
        <v>4067</v>
      </c>
    </row>
    <row r="288" spans="1:22" x14ac:dyDescent="0.3">
      <c r="A288">
        <v>79452</v>
      </c>
      <c r="B288">
        <v>136997195</v>
      </c>
      <c r="C288" t="s">
        <v>2256</v>
      </c>
      <c r="D288" t="s">
        <v>2257</v>
      </c>
      <c r="E288" t="s">
        <v>843</v>
      </c>
      <c r="F288" t="s">
        <v>844</v>
      </c>
      <c r="G288" t="s">
        <v>164</v>
      </c>
      <c r="H288" t="s">
        <v>165</v>
      </c>
      <c r="I288" t="s">
        <v>34</v>
      </c>
      <c r="J288" t="s">
        <v>166</v>
      </c>
      <c r="K288" t="s">
        <v>41</v>
      </c>
      <c r="L288" t="s">
        <v>2258</v>
      </c>
      <c r="M288" t="s">
        <v>2259</v>
      </c>
      <c r="N288" t="s">
        <v>847</v>
      </c>
      <c r="O288" t="s">
        <v>100</v>
      </c>
      <c r="P288" t="s">
        <v>2260</v>
      </c>
      <c r="Q288" t="s">
        <v>84</v>
      </c>
      <c r="R288" t="s">
        <v>1550</v>
      </c>
      <c r="S288">
        <v>1.0900000000000001</v>
      </c>
      <c r="T288">
        <v>3366</v>
      </c>
      <c r="U288">
        <v>0</v>
      </c>
      <c r="V288">
        <v>3366</v>
      </c>
    </row>
    <row r="289" spans="1:22" x14ac:dyDescent="0.3">
      <c r="A289">
        <v>79452</v>
      </c>
      <c r="B289">
        <v>136997067</v>
      </c>
      <c r="C289" t="s">
        <v>2261</v>
      </c>
      <c r="D289" t="s">
        <v>2262</v>
      </c>
      <c r="E289" t="s">
        <v>843</v>
      </c>
      <c r="F289" t="s">
        <v>844</v>
      </c>
      <c r="G289" t="s">
        <v>164</v>
      </c>
      <c r="H289" t="s">
        <v>165</v>
      </c>
      <c r="I289" t="s">
        <v>34</v>
      </c>
      <c r="J289" t="s">
        <v>166</v>
      </c>
      <c r="K289" t="s">
        <v>41</v>
      </c>
      <c r="L289" t="s">
        <v>2263</v>
      </c>
      <c r="M289" t="s">
        <v>2264</v>
      </c>
      <c r="N289" t="s">
        <v>847</v>
      </c>
      <c r="O289" t="s">
        <v>100</v>
      </c>
      <c r="P289" t="s">
        <v>2265</v>
      </c>
      <c r="Q289" t="s">
        <v>60</v>
      </c>
      <c r="R289" t="s">
        <v>1141</v>
      </c>
      <c r="S289">
        <v>0.65</v>
      </c>
      <c r="T289">
        <v>4346</v>
      </c>
      <c r="U289">
        <v>0</v>
      </c>
      <c r="V289">
        <v>4346</v>
      </c>
    </row>
    <row r="290" spans="1:22" x14ac:dyDescent="0.3">
      <c r="A290">
        <v>79452</v>
      </c>
      <c r="B290">
        <v>136920695</v>
      </c>
      <c r="C290" t="s">
        <v>2266</v>
      </c>
      <c r="D290" t="s">
        <v>2267</v>
      </c>
      <c r="E290" t="s">
        <v>843</v>
      </c>
      <c r="F290" t="s">
        <v>844</v>
      </c>
      <c r="G290" t="s">
        <v>164</v>
      </c>
      <c r="H290" t="s">
        <v>165</v>
      </c>
      <c r="I290" t="s">
        <v>34</v>
      </c>
      <c r="J290" t="s">
        <v>166</v>
      </c>
      <c r="K290" t="s">
        <v>41</v>
      </c>
      <c r="L290" t="s">
        <v>2268</v>
      </c>
      <c r="M290" t="s">
        <v>2269</v>
      </c>
      <c r="N290" t="s">
        <v>847</v>
      </c>
      <c r="O290" t="s">
        <v>100</v>
      </c>
      <c r="P290" t="s">
        <v>2270</v>
      </c>
      <c r="Q290" t="s">
        <v>83</v>
      </c>
      <c r="R290" t="s">
        <v>1993</v>
      </c>
      <c r="S290">
        <v>1.32</v>
      </c>
      <c r="T290">
        <v>3366</v>
      </c>
      <c r="U290">
        <v>0</v>
      </c>
      <c r="V290">
        <v>3366</v>
      </c>
    </row>
    <row r="291" spans="1:22" x14ac:dyDescent="0.3">
      <c r="A291">
        <v>79452</v>
      </c>
      <c r="B291">
        <v>136997174</v>
      </c>
      <c r="C291" t="s">
        <v>2271</v>
      </c>
      <c r="D291" t="s">
        <v>2272</v>
      </c>
      <c r="E291" t="s">
        <v>843</v>
      </c>
      <c r="F291" t="s">
        <v>844</v>
      </c>
      <c r="G291" t="s">
        <v>164</v>
      </c>
      <c r="H291" t="s">
        <v>165</v>
      </c>
      <c r="I291" t="s">
        <v>34</v>
      </c>
      <c r="J291" t="s">
        <v>166</v>
      </c>
      <c r="K291" t="s">
        <v>41</v>
      </c>
      <c r="L291" t="s">
        <v>2273</v>
      </c>
      <c r="M291" t="s">
        <v>2274</v>
      </c>
      <c r="N291" t="s">
        <v>847</v>
      </c>
      <c r="O291" t="s">
        <v>100</v>
      </c>
      <c r="P291" t="s">
        <v>2275</v>
      </c>
      <c r="Q291" t="s">
        <v>92</v>
      </c>
      <c r="R291" t="s">
        <v>1550</v>
      </c>
      <c r="S291">
        <v>1.8</v>
      </c>
      <c r="T291">
        <v>3366</v>
      </c>
      <c r="U291">
        <v>0</v>
      </c>
      <c r="V291">
        <v>3366</v>
      </c>
    </row>
    <row r="292" spans="1:22" x14ac:dyDescent="0.3">
      <c r="A292">
        <v>79452</v>
      </c>
      <c r="B292">
        <v>136997056</v>
      </c>
      <c r="C292" t="s">
        <v>2276</v>
      </c>
      <c r="D292" t="s">
        <v>2277</v>
      </c>
      <c r="E292" t="s">
        <v>843</v>
      </c>
      <c r="F292" t="s">
        <v>844</v>
      </c>
      <c r="G292" t="s">
        <v>164</v>
      </c>
      <c r="H292" t="s">
        <v>165</v>
      </c>
      <c r="I292" t="s">
        <v>34</v>
      </c>
      <c r="J292" t="s">
        <v>166</v>
      </c>
      <c r="K292" t="s">
        <v>44</v>
      </c>
      <c r="L292" t="s">
        <v>188</v>
      </c>
      <c r="M292" t="s">
        <v>2278</v>
      </c>
      <c r="N292" t="s">
        <v>847</v>
      </c>
      <c r="O292" t="s">
        <v>100</v>
      </c>
      <c r="P292" t="s">
        <v>2279</v>
      </c>
      <c r="Q292" t="s">
        <v>69</v>
      </c>
      <c r="R292" t="s">
        <v>1141</v>
      </c>
      <c r="S292">
        <v>1.1299999999999999</v>
      </c>
      <c r="T292">
        <v>3753</v>
      </c>
      <c r="U292">
        <v>0</v>
      </c>
      <c r="V292">
        <v>3753</v>
      </c>
    </row>
    <row r="293" spans="1:22" x14ac:dyDescent="0.3">
      <c r="A293">
        <v>79452</v>
      </c>
      <c r="B293">
        <v>136939465</v>
      </c>
      <c r="C293" t="s">
        <v>2280</v>
      </c>
      <c r="D293" t="s">
        <v>2281</v>
      </c>
      <c r="E293" t="s">
        <v>843</v>
      </c>
      <c r="F293" t="s">
        <v>844</v>
      </c>
      <c r="G293" t="s">
        <v>164</v>
      </c>
      <c r="H293" t="s">
        <v>165</v>
      </c>
      <c r="I293" t="s">
        <v>34</v>
      </c>
      <c r="J293" t="s">
        <v>166</v>
      </c>
      <c r="K293" t="s">
        <v>41</v>
      </c>
      <c r="L293" t="s">
        <v>2282</v>
      </c>
      <c r="M293" t="s">
        <v>2283</v>
      </c>
      <c r="N293" t="s">
        <v>847</v>
      </c>
      <c r="O293" t="s">
        <v>100</v>
      </c>
      <c r="P293" t="s">
        <v>2284</v>
      </c>
      <c r="Q293" t="s">
        <v>70</v>
      </c>
      <c r="R293" t="s">
        <v>1857</v>
      </c>
      <c r="S293">
        <v>2.08</v>
      </c>
      <c r="T293">
        <v>3501</v>
      </c>
      <c r="U293">
        <v>0</v>
      </c>
      <c r="V293">
        <v>3501</v>
      </c>
    </row>
    <row r="294" spans="1:22" x14ac:dyDescent="0.3">
      <c r="A294">
        <v>79452</v>
      </c>
      <c r="B294">
        <v>136939507</v>
      </c>
      <c r="C294" t="s">
        <v>2285</v>
      </c>
      <c r="D294" t="s">
        <v>2286</v>
      </c>
      <c r="E294" t="s">
        <v>843</v>
      </c>
      <c r="F294" t="s">
        <v>844</v>
      </c>
      <c r="G294" t="s">
        <v>164</v>
      </c>
      <c r="H294" t="s">
        <v>165</v>
      </c>
      <c r="I294" t="s">
        <v>34</v>
      </c>
      <c r="J294" t="s">
        <v>166</v>
      </c>
      <c r="K294" t="s">
        <v>41</v>
      </c>
      <c r="L294" t="s">
        <v>2287</v>
      </c>
      <c r="M294" t="s">
        <v>563</v>
      </c>
      <c r="N294" t="s">
        <v>847</v>
      </c>
      <c r="O294" t="s">
        <v>100</v>
      </c>
      <c r="P294" t="s">
        <v>2288</v>
      </c>
      <c r="Q294" t="s">
        <v>72</v>
      </c>
      <c r="R294" t="s">
        <v>1857</v>
      </c>
      <c r="S294">
        <v>1.24</v>
      </c>
      <c r="T294">
        <v>3784</v>
      </c>
      <c r="U294">
        <v>0</v>
      </c>
      <c r="V294">
        <v>3784</v>
      </c>
    </row>
    <row r="295" spans="1:22" x14ac:dyDescent="0.3">
      <c r="A295">
        <v>79452</v>
      </c>
      <c r="B295">
        <v>136888358</v>
      </c>
      <c r="C295" t="s">
        <v>2289</v>
      </c>
      <c r="D295" t="s">
        <v>2290</v>
      </c>
      <c r="E295" t="s">
        <v>843</v>
      </c>
      <c r="F295" t="s">
        <v>844</v>
      </c>
      <c r="G295" t="s">
        <v>164</v>
      </c>
      <c r="H295" t="s">
        <v>165</v>
      </c>
      <c r="I295" t="s">
        <v>34</v>
      </c>
      <c r="J295" t="s">
        <v>166</v>
      </c>
      <c r="K295" t="s">
        <v>41</v>
      </c>
      <c r="L295" t="s">
        <v>2291</v>
      </c>
      <c r="M295" t="s">
        <v>2292</v>
      </c>
      <c r="N295" t="s">
        <v>847</v>
      </c>
      <c r="O295" t="s">
        <v>100</v>
      </c>
      <c r="P295" t="s">
        <v>2293</v>
      </c>
      <c r="Q295" t="s">
        <v>65</v>
      </c>
      <c r="R295" t="s">
        <v>418</v>
      </c>
      <c r="S295">
        <v>1</v>
      </c>
      <c r="T295">
        <v>4067</v>
      </c>
      <c r="U295">
        <v>0</v>
      </c>
      <c r="V295">
        <v>4067</v>
      </c>
    </row>
    <row r="296" spans="1:22" x14ac:dyDescent="0.3">
      <c r="A296">
        <v>79452</v>
      </c>
      <c r="B296">
        <v>136997028</v>
      </c>
      <c r="C296" t="s">
        <v>2294</v>
      </c>
      <c r="D296" t="s">
        <v>2295</v>
      </c>
      <c r="E296" t="s">
        <v>843</v>
      </c>
      <c r="F296" t="s">
        <v>844</v>
      </c>
      <c r="G296" t="s">
        <v>164</v>
      </c>
      <c r="H296" t="s">
        <v>165</v>
      </c>
      <c r="I296" t="s">
        <v>34</v>
      </c>
      <c r="J296" t="s">
        <v>166</v>
      </c>
      <c r="K296" t="s">
        <v>41</v>
      </c>
      <c r="L296" t="s">
        <v>2296</v>
      </c>
      <c r="M296" t="s">
        <v>2297</v>
      </c>
      <c r="N296" t="s">
        <v>847</v>
      </c>
      <c r="O296" t="s">
        <v>100</v>
      </c>
      <c r="P296" t="s">
        <v>2298</v>
      </c>
      <c r="Q296" t="s">
        <v>71</v>
      </c>
      <c r="R296" t="s">
        <v>1141</v>
      </c>
      <c r="S296">
        <v>0.83</v>
      </c>
      <c r="T296">
        <v>3501</v>
      </c>
      <c r="U296">
        <v>0</v>
      </c>
      <c r="V296">
        <v>3501</v>
      </c>
    </row>
    <row r="297" spans="1:22" x14ac:dyDescent="0.3">
      <c r="A297">
        <v>79452</v>
      </c>
      <c r="B297">
        <v>136939488</v>
      </c>
      <c r="C297" t="s">
        <v>2299</v>
      </c>
      <c r="D297" t="s">
        <v>2300</v>
      </c>
      <c r="E297" t="s">
        <v>843</v>
      </c>
      <c r="F297" t="s">
        <v>844</v>
      </c>
      <c r="G297" t="s">
        <v>164</v>
      </c>
      <c r="H297" t="s">
        <v>165</v>
      </c>
      <c r="I297" t="s">
        <v>34</v>
      </c>
      <c r="J297" t="s">
        <v>166</v>
      </c>
      <c r="K297" t="s">
        <v>41</v>
      </c>
      <c r="L297" t="s">
        <v>2301</v>
      </c>
      <c r="M297" t="s">
        <v>2302</v>
      </c>
      <c r="N297" t="s">
        <v>847</v>
      </c>
      <c r="O297" t="s">
        <v>100</v>
      </c>
      <c r="P297" t="s">
        <v>2303</v>
      </c>
      <c r="Q297" t="s">
        <v>83</v>
      </c>
      <c r="R297" t="s">
        <v>1857</v>
      </c>
      <c r="S297">
        <v>1.34</v>
      </c>
      <c r="T297">
        <v>3366</v>
      </c>
      <c r="U297">
        <v>0</v>
      </c>
      <c r="V297">
        <v>3366</v>
      </c>
    </row>
    <row r="298" spans="1:22" x14ac:dyDescent="0.3">
      <c r="A298">
        <v>79452</v>
      </c>
      <c r="B298">
        <v>136939518</v>
      </c>
      <c r="C298" t="s">
        <v>2304</v>
      </c>
      <c r="D298" t="s">
        <v>2305</v>
      </c>
      <c r="E298" t="s">
        <v>843</v>
      </c>
      <c r="F298" t="s">
        <v>844</v>
      </c>
      <c r="G298" t="s">
        <v>164</v>
      </c>
      <c r="H298" t="s">
        <v>165</v>
      </c>
      <c r="I298" t="s">
        <v>34</v>
      </c>
      <c r="J298" t="s">
        <v>166</v>
      </c>
      <c r="K298" t="s">
        <v>41</v>
      </c>
      <c r="L298" t="s">
        <v>2306</v>
      </c>
      <c r="M298" t="s">
        <v>2307</v>
      </c>
      <c r="N298" t="s">
        <v>847</v>
      </c>
      <c r="O298" t="s">
        <v>100</v>
      </c>
      <c r="P298" t="s">
        <v>2308</v>
      </c>
      <c r="Q298" t="s">
        <v>49</v>
      </c>
      <c r="R298" t="s">
        <v>1857</v>
      </c>
      <c r="S298">
        <v>0.89</v>
      </c>
      <c r="T298">
        <v>3784</v>
      </c>
      <c r="U298">
        <v>0</v>
      </c>
      <c r="V298">
        <v>3784</v>
      </c>
    </row>
    <row r="299" spans="1:22" x14ac:dyDescent="0.3">
      <c r="A299">
        <v>79452</v>
      </c>
      <c r="B299">
        <v>136997136</v>
      </c>
      <c r="C299" t="s">
        <v>2309</v>
      </c>
      <c r="D299" t="s">
        <v>2310</v>
      </c>
      <c r="E299" t="s">
        <v>843</v>
      </c>
      <c r="F299" t="s">
        <v>844</v>
      </c>
      <c r="G299" t="s">
        <v>164</v>
      </c>
      <c r="H299" t="s">
        <v>165</v>
      </c>
      <c r="I299" t="s">
        <v>34</v>
      </c>
      <c r="J299" t="s">
        <v>166</v>
      </c>
      <c r="K299" t="s">
        <v>41</v>
      </c>
      <c r="L299" t="s">
        <v>2311</v>
      </c>
      <c r="M299" t="s">
        <v>2312</v>
      </c>
      <c r="N299" t="s">
        <v>847</v>
      </c>
      <c r="O299" t="s">
        <v>100</v>
      </c>
      <c r="P299" t="s">
        <v>2313</v>
      </c>
      <c r="Q299" t="s">
        <v>64</v>
      </c>
      <c r="R299" t="s">
        <v>1550</v>
      </c>
      <c r="S299">
        <v>1.07</v>
      </c>
      <c r="T299">
        <v>4067</v>
      </c>
      <c r="U299">
        <v>0</v>
      </c>
      <c r="V299">
        <v>4067</v>
      </c>
    </row>
    <row r="300" spans="1:22" x14ac:dyDescent="0.3">
      <c r="A300">
        <v>79452</v>
      </c>
      <c r="B300">
        <v>136997069</v>
      </c>
      <c r="C300" t="s">
        <v>2314</v>
      </c>
      <c r="D300" t="s">
        <v>2315</v>
      </c>
      <c r="E300" t="s">
        <v>843</v>
      </c>
      <c r="F300" t="s">
        <v>844</v>
      </c>
      <c r="G300" t="s">
        <v>164</v>
      </c>
      <c r="H300" t="s">
        <v>165</v>
      </c>
      <c r="I300" t="s">
        <v>34</v>
      </c>
      <c r="J300" t="s">
        <v>166</v>
      </c>
      <c r="K300" t="s">
        <v>41</v>
      </c>
      <c r="L300" t="s">
        <v>2316</v>
      </c>
      <c r="M300" t="s">
        <v>2317</v>
      </c>
      <c r="N300" t="s">
        <v>847</v>
      </c>
      <c r="O300" t="s">
        <v>100</v>
      </c>
      <c r="P300" t="s">
        <v>2318</v>
      </c>
      <c r="Q300" t="s">
        <v>70</v>
      </c>
      <c r="R300" t="s">
        <v>1141</v>
      </c>
      <c r="S300">
        <v>0.84</v>
      </c>
      <c r="T300">
        <v>3501</v>
      </c>
      <c r="U300">
        <v>0</v>
      </c>
      <c r="V300">
        <v>3501</v>
      </c>
    </row>
    <row r="301" spans="1:22" x14ac:dyDescent="0.3">
      <c r="A301">
        <v>79452</v>
      </c>
      <c r="B301">
        <v>136997158</v>
      </c>
      <c r="C301" t="s">
        <v>2319</v>
      </c>
      <c r="D301" t="s">
        <v>2320</v>
      </c>
      <c r="E301" t="s">
        <v>843</v>
      </c>
      <c r="F301" t="s">
        <v>844</v>
      </c>
      <c r="G301" t="s">
        <v>164</v>
      </c>
      <c r="H301" t="s">
        <v>165</v>
      </c>
      <c r="I301" t="s">
        <v>34</v>
      </c>
      <c r="J301" t="s">
        <v>166</v>
      </c>
      <c r="K301" t="s">
        <v>41</v>
      </c>
      <c r="L301" t="s">
        <v>2321</v>
      </c>
      <c r="M301" t="s">
        <v>2322</v>
      </c>
      <c r="N301" t="s">
        <v>847</v>
      </c>
      <c r="O301" t="s">
        <v>100</v>
      </c>
      <c r="P301" t="s">
        <v>2323</v>
      </c>
      <c r="Q301" t="s">
        <v>42</v>
      </c>
      <c r="R301" t="s">
        <v>1550</v>
      </c>
      <c r="S301">
        <v>0.9</v>
      </c>
      <c r="T301">
        <v>4038</v>
      </c>
      <c r="U301">
        <v>0</v>
      </c>
      <c r="V301">
        <v>4038</v>
      </c>
    </row>
    <row r="302" spans="1:22" x14ac:dyDescent="0.3">
      <c r="A302">
        <v>79452</v>
      </c>
      <c r="B302">
        <v>136939487</v>
      </c>
      <c r="C302" t="s">
        <v>2324</v>
      </c>
      <c r="D302" t="s">
        <v>2325</v>
      </c>
      <c r="E302" t="s">
        <v>843</v>
      </c>
      <c r="F302" t="s">
        <v>844</v>
      </c>
      <c r="G302" t="s">
        <v>164</v>
      </c>
      <c r="H302" t="s">
        <v>165</v>
      </c>
      <c r="I302" t="s">
        <v>34</v>
      </c>
      <c r="J302" t="s">
        <v>166</v>
      </c>
      <c r="K302" t="s">
        <v>41</v>
      </c>
      <c r="L302" t="s">
        <v>2326</v>
      </c>
      <c r="M302" t="s">
        <v>440</v>
      </c>
      <c r="N302" t="s">
        <v>847</v>
      </c>
      <c r="O302" t="s">
        <v>100</v>
      </c>
      <c r="P302" t="s">
        <v>2327</v>
      </c>
      <c r="Q302" t="s">
        <v>87</v>
      </c>
      <c r="R302" t="s">
        <v>1857</v>
      </c>
      <c r="S302">
        <v>1.25</v>
      </c>
      <c r="T302">
        <v>3366</v>
      </c>
      <c r="U302">
        <v>0</v>
      </c>
      <c r="V302">
        <v>3366</v>
      </c>
    </row>
    <row r="303" spans="1:22" x14ac:dyDescent="0.3">
      <c r="A303">
        <v>79452</v>
      </c>
      <c r="B303">
        <v>136997066</v>
      </c>
      <c r="C303" t="s">
        <v>2328</v>
      </c>
      <c r="D303" t="s">
        <v>2329</v>
      </c>
      <c r="E303" t="s">
        <v>843</v>
      </c>
      <c r="F303" t="s">
        <v>844</v>
      </c>
      <c r="G303" t="s">
        <v>164</v>
      </c>
      <c r="H303" t="s">
        <v>165</v>
      </c>
      <c r="I303" t="s">
        <v>34</v>
      </c>
      <c r="J303" t="s">
        <v>166</v>
      </c>
      <c r="K303" t="s">
        <v>41</v>
      </c>
      <c r="L303" t="s">
        <v>2330</v>
      </c>
      <c r="M303" t="s">
        <v>2331</v>
      </c>
      <c r="N303" t="s">
        <v>847</v>
      </c>
      <c r="O303" t="s">
        <v>100</v>
      </c>
      <c r="P303" t="s">
        <v>2332</v>
      </c>
      <c r="Q303" t="s">
        <v>71</v>
      </c>
      <c r="R303" t="s">
        <v>1141</v>
      </c>
      <c r="S303">
        <v>0.72</v>
      </c>
      <c r="T303">
        <v>3501</v>
      </c>
      <c r="U303">
        <v>0</v>
      </c>
      <c r="V303">
        <v>3501</v>
      </c>
    </row>
    <row r="304" spans="1:22" x14ac:dyDescent="0.3">
      <c r="A304">
        <v>79452</v>
      </c>
      <c r="B304">
        <v>136888347</v>
      </c>
      <c r="C304" t="s">
        <v>2333</v>
      </c>
      <c r="D304" t="s">
        <v>2334</v>
      </c>
      <c r="E304" t="s">
        <v>843</v>
      </c>
      <c r="F304" t="s">
        <v>844</v>
      </c>
      <c r="G304" t="s">
        <v>164</v>
      </c>
      <c r="H304" t="s">
        <v>165</v>
      </c>
      <c r="I304" t="s">
        <v>34</v>
      </c>
      <c r="J304" t="s">
        <v>166</v>
      </c>
      <c r="K304" t="s">
        <v>41</v>
      </c>
      <c r="L304" t="s">
        <v>2335</v>
      </c>
      <c r="M304" t="s">
        <v>2336</v>
      </c>
      <c r="N304" t="s">
        <v>847</v>
      </c>
      <c r="O304" t="s">
        <v>100</v>
      </c>
      <c r="P304" t="s">
        <v>2337</v>
      </c>
      <c r="Q304" t="s">
        <v>57</v>
      </c>
      <c r="R304" t="s">
        <v>418</v>
      </c>
      <c r="S304">
        <v>1</v>
      </c>
      <c r="T304">
        <v>5476</v>
      </c>
      <c r="U304">
        <v>0</v>
      </c>
      <c r="V304">
        <v>5476</v>
      </c>
    </row>
    <row r="305" spans="1:22" x14ac:dyDescent="0.3">
      <c r="A305">
        <v>79452</v>
      </c>
      <c r="B305">
        <v>136920692</v>
      </c>
      <c r="C305" t="s">
        <v>2338</v>
      </c>
      <c r="D305" t="s">
        <v>2339</v>
      </c>
      <c r="E305" t="s">
        <v>843</v>
      </c>
      <c r="F305" t="s">
        <v>844</v>
      </c>
      <c r="G305" t="s">
        <v>164</v>
      </c>
      <c r="H305" t="s">
        <v>165</v>
      </c>
      <c r="I305" t="s">
        <v>34</v>
      </c>
      <c r="J305" t="s">
        <v>166</v>
      </c>
      <c r="K305" t="s">
        <v>41</v>
      </c>
      <c r="L305" t="s">
        <v>2340</v>
      </c>
      <c r="M305" t="s">
        <v>2341</v>
      </c>
      <c r="N305" t="s">
        <v>847</v>
      </c>
      <c r="O305" t="s">
        <v>100</v>
      </c>
      <c r="P305" t="s">
        <v>2342</v>
      </c>
      <c r="Q305" t="s">
        <v>69</v>
      </c>
      <c r="R305" t="s">
        <v>1993</v>
      </c>
      <c r="S305">
        <v>1.45</v>
      </c>
      <c r="T305">
        <v>3753</v>
      </c>
      <c r="U305">
        <v>0</v>
      </c>
      <c r="V305">
        <v>3753</v>
      </c>
    </row>
    <row r="306" spans="1:22" x14ac:dyDescent="0.3">
      <c r="A306">
        <v>79452</v>
      </c>
      <c r="B306">
        <v>136939456</v>
      </c>
      <c r="C306" t="s">
        <v>2343</v>
      </c>
      <c r="D306" t="s">
        <v>2344</v>
      </c>
      <c r="E306" t="s">
        <v>843</v>
      </c>
      <c r="F306" t="s">
        <v>844</v>
      </c>
      <c r="G306" t="s">
        <v>164</v>
      </c>
      <c r="H306" t="s">
        <v>165</v>
      </c>
      <c r="I306" t="s">
        <v>34</v>
      </c>
      <c r="J306" t="s">
        <v>166</v>
      </c>
      <c r="K306" t="s">
        <v>41</v>
      </c>
      <c r="L306" t="s">
        <v>2345</v>
      </c>
      <c r="M306" t="s">
        <v>2346</v>
      </c>
      <c r="N306" t="s">
        <v>847</v>
      </c>
      <c r="O306" t="s">
        <v>100</v>
      </c>
      <c r="P306" t="s">
        <v>2347</v>
      </c>
      <c r="Q306" t="s">
        <v>94</v>
      </c>
      <c r="R306" t="s">
        <v>1857</v>
      </c>
      <c r="S306">
        <v>1.57</v>
      </c>
      <c r="T306">
        <v>3366</v>
      </c>
      <c r="U306">
        <v>0</v>
      </c>
      <c r="V306">
        <v>3366</v>
      </c>
    </row>
    <row r="307" spans="1:22" x14ac:dyDescent="0.3">
      <c r="A307">
        <v>79452</v>
      </c>
      <c r="B307">
        <v>136997167</v>
      </c>
      <c r="C307" t="s">
        <v>2348</v>
      </c>
      <c r="D307" t="s">
        <v>2349</v>
      </c>
      <c r="E307" t="s">
        <v>843</v>
      </c>
      <c r="F307" t="s">
        <v>844</v>
      </c>
      <c r="G307" t="s">
        <v>164</v>
      </c>
      <c r="H307" t="s">
        <v>165</v>
      </c>
      <c r="I307" t="s">
        <v>34</v>
      </c>
      <c r="J307" t="s">
        <v>166</v>
      </c>
      <c r="K307" t="s">
        <v>41</v>
      </c>
      <c r="L307" t="s">
        <v>2350</v>
      </c>
      <c r="M307" t="s">
        <v>2351</v>
      </c>
      <c r="N307" t="s">
        <v>847</v>
      </c>
      <c r="O307" t="s">
        <v>100</v>
      </c>
      <c r="P307" t="s">
        <v>2352</v>
      </c>
      <c r="Q307" t="s">
        <v>97</v>
      </c>
      <c r="R307" t="s">
        <v>1550</v>
      </c>
      <c r="S307">
        <v>1.27</v>
      </c>
      <c r="T307">
        <v>3366</v>
      </c>
      <c r="U307">
        <v>0</v>
      </c>
      <c r="V307">
        <v>3366</v>
      </c>
    </row>
    <row r="308" spans="1:22" x14ac:dyDescent="0.3">
      <c r="A308">
        <v>79452</v>
      </c>
      <c r="B308">
        <v>136939460</v>
      </c>
      <c r="C308" t="s">
        <v>2353</v>
      </c>
      <c r="D308" t="s">
        <v>2354</v>
      </c>
      <c r="E308" t="s">
        <v>843</v>
      </c>
      <c r="F308" t="s">
        <v>844</v>
      </c>
      <c r="G308" t="s">
        <v>164</v>
      </c>
      <c r="H308" t="s">
        <v>165</v>
      </c>
      <c r="I308" t="s">
        <v>34</v>
      </c>
      <c r="J308" t="s">
        <v>166</v>
      </c>
      <c r="K308" t="s">
        <v>41</v>
      </c>
      <c r="L308" t="s">
        <v>2355</v>
      </c>
      <c r="M308" t="s">
        <v>1227</v>
      </c>
      <c r="N308" t="s">
        <v>847</v>
      </c>
      <c r="O308" t="s">
        <v>100</v>
      </c>
      <c r="P308" t="s">
        <v>1228</v>
      </c>
      <c r="Q308" t="s">
        <v>190</v>
      </c>
      <c r="R308" t="s">
        <v>1857</v>
      </c>
      <c r="S308">
        <v>0.97</v>
      </c>
      <c r="T308">
        <v>3366</v>
      </c>
      <c r="U308">
        <v>0</v>
      </c>
      <c r="V308">
        <v>3366</v>
      </c>
    </row>
    <row r="309" spans="1:22" x14ac:dyDescent="0.3">
      <c r="A309">
        <v>79452</v>
      </c>
      <c r="B309">
        <v>136997084</v>
      </c>
      <c r="C309" t="s">
        <v>2356</v>
      </c>
      <c r="D309" t="s">
        <v>2357</v>
      </c>
      <c r="E309" t="s">
        <v>843</v>
      </c>
      <c r="F309" t="s">
        <v>844</v>
      </c>
      <c r="G309" t="s">
        <v>164</v>
      </c>
      <c r="H309" t="s">
        <v>165</v>
      </c>
      <c r="I309" t="s">
        <v>34</v>
      </c>
      <c r="J309" t="s">
        <v>166</v>
      </c>
      <c r="K309" t="s">
        <v>41</v>
      </c>
      <c r="L309" t="s">
        <v>2358</v>
      </c>
      <c r="M309" t="s">
        <v>2359</v>
      </c>
      <c r="N309" t="s">
        <v>847</v>
      </c>
      <c r="O309" t="s">
        <v>100</v>
      </c>
      <c r="P309" t="s">
        <v>2360</v>
      </c>
      <c r="Q309" t="s">
        <v>68</v>
      </c>
      <c r="R309" t="s">
        <v>1141</v>
      </c>
      <c r="S309">
        <v>1.17</v>
      </c>
      <c r="T309">
        <v>3753</v>
      </c>
      <c r="U309">
        <v>0</v>
      </c>
      <c r="V309">
        <v>3753</v>
      </c>
    </row>
    <row r="310" spans="1:22" x14ac:dyDescent="0.3">
      <c r="A310">
        <v>79452</v>
      </c>
      <c r="B310">
        <v>136997104</v>
      </c>
      <c r="C310" t="s">
        <v>2361</v>
      </c>
      <c r="D310" t="s">
        <v>2362</v>
      </c>
      <c r="E310" t="s">
        <v>843</v>
      </c>
      <c r="F310" t="s">
        <v>844</v>
      </c>
      <c r="G310" t="s">
        <v>164</v>
      </c>
      <c r="H310" t="s">
        <v>165</v>
      </c>
      <c r="I310" t="s">
        <v>34</v>
      </c>
      <c r="J310" t="s">
        <v>166</v>
      </c>
      <c r="K310" t="s">
        <v>41</v>
      </c>
      <c r="L310" t="s">
        <v>2363</v>
      </c>
      <c r="M310" t="s">
        <v>2364</v>
      </c>
      <c r="N310" t="s">
        <v>847</v>
      </c>
      <c r="O310" t="s">
        <v>100</v>
      </c>
      <c r="P310" t="s">
        <v>2365</v>
      </c>
      <c r="Q310" t="s">
        <v>68</v>
      </c>
      <c r="R310" t="s">
        <v>1550</v>
      </c>
      <c r="S310">
        <v>1.1000000000000001</v>
      </c>
      <c r="T310">
        <v>3753</v>
      </c>
      <c r="U310">
        <v>0</v>
      </c>
      <c r="V310">
        <v>3753</v>
      </c>
    </row>
    <row r="311" spans="1:22" x14ac:dyDescent="0.3">
      <c r="A311">
        <v>79452</v>
      </c>
      <c r="B311">
        <v>136939500</v>
      </c>
      <c r="C311" t="s">
        <v>2366</v>
      </c>
      <c r="D311" t="s">
        <v>2367</v>
      </c>
      <c r="E311" t="s">
        <v>843</v>
      </c>
      <c r="F311" t="s">
        <v>844</v>
      </c>
      <c r="G311" t="s">
        <v>164</v>
      </c>
      <c r="H311" t="s">
        <v>165</v>
      </c>
      <c r="I311" t="s">
        <v>34</v>
      </c>
      <c r="J311" t="s">
        <v>166</v>
      </c>
      <c r="K311" t="s">
        <v>41</v>
      </c>
      <c r="L311" t="s">
        <v>2368</v>
      </c>
      <c r="M311" t="s">
        <v>376</v>
      </c>
      <c r="N311" t="s">
        <v>847</v>
      </c>
      <c r="O311" t="s">
        <v>100</v>
      </c>
      <c r="P311" t="s">
        <v>2369</v>
      </c>
      <c r="Q311" t="s">
        <v>50</v>
      </c>
      <c r="R311" t="s">
        <v>1857</v>
      </c>
      <c r="S311">
        <v>1.2</v>
      </c>
      <c r="T311">
        <v>3784</v>
      </c>
      <c r="U311">
        <v>0</v>
      </c>
      <c r="V311">
        <v>3784</v>
      </c>
    </row>
    <row r="312" spans="1:22" x14ac:dyDescent="0.3">
      <c r="A312">
        <v>79452</v>
      </c>
      <c r="B312">
        <v>136997033</v>
      </c>
      <c r="C312" t="s">
        <v>2370</v>
      </c>
      <c r="D312" t="s">
        <v>2371</v>
      </c>
      <c r="E312" t="s">
        <v>843</v>
      </c>
      <c r="F312" t="s">
        <v>844</v>
      </c>
      <c r="G312" t="s">
        <v>164</v>
      </c>
      <c r="H312" t="s">
        <v>165</v>
      </c>
      <c r="I312" t="s">
        <v>34</v>
      </c>
      <c r="J312" t="s">
        <v>166</v>
      </c>
      <c r="K312" t="s">
        <v>41</v>
      </c>
      <c r="L312" t="s">
        <v>2372</v>
      </c>
      <c r="M312" t="s">
        <v>2373</v>
      </c>
      <c r="N312" t="s">
        <v>847</v>
      </c>
      <c r="O312" t="s">
        <v>100</v>
      </c>
      <c r="P312" t="s">
        <v>2374</v>
      </c>
      <c r="Q312" t="s">
        <v>64</v>
      </c>
      <c r="R312" t="s">
        <v>1141</v>
      </c>
      <c r="S312">
        <v>0.96</v>
      </c>
      <c r="T312">
        <v>4067</v>
      </c>
      <c r="U312">
        <v>0</v>
      </c>
      <c r="V312">
        <v>4067</v>
      </c>
    </row>
    <row r="313" spans="1:22" x14ac:dyDescent="0.3">
      <c r="A313">
        <v>79452</v>
      </c>
      <c r="B313">
        <v>136997094</v>
      </c>
      <c r="C313" t="s">
        <v>2375</v>
      </c>
      <c r="D313" t="s">
        <v>2376</v>
      </c>
      <c r="E313" t="s">
        <v>843</v>
      </c>
      <c r="F313" t="s">
        <v>844</v>
      </c>
      <c r="G313" t="s">
        <v>164</v>
      </c>
      <c r="H313" t="s">
        <v>165</v>
      </c>
      <c r="I313" t="s">
        <v>34</v>
      </c>
      <c r="J313" t="s">
        <v>166</v>
      </c>
      <c r="K313" t="s">
        <v>41</v>
      </c>
      <c r="L313" t="s">
        <v>2377</v>
      </c>
      <c r="M313" t="s">
        <v>2378</v>
      </c>
      <c r="N313" t="s">
        <v>847</v>
      </c>
      <c r="O313" t="s">
        <v>100</v>
      </c>
      <c r="P313" t="s">
        <v>2379</v>
      </c>
      <c r="Q313" t="s">
        <v>72</v>
      </c>
      <c r="R313" t="s">
        <v>1141</v>
      </c>
      <c r="S313">
        <v>2.76</v>
      </c>
      <c r="T313">
        <v>3784</v>
      </c>
      <c r="U313">
        <v>0</v>
      </c>
      <c r="V313">
        <v>3784</v>
      </c>
    </row>
    <row r="314" spans="1:22" x14ac:dyDescent="0.3">
      <c r="A314">
        <v>79452</v>
      </c>
      <c r="B314">
        <v>136920700</v>
      </c>
      <c r="C314" t="s">
        <v>2380</v>
      </c>
      <c r="D314" t="s">
        <v>2381</v>
      </c>
      <c r="E314" t="s">
        <v>843</v>
      </c>
      <c r="F314" t="s">
        <v>844</v>
      </c>
      <c r="G314" t="s">
        <v>164</v>
      </c>
      <c r="H314" t="s">
        <v>165</v>
      </c>
      <c r="I314" t="s">
        <v>34</v>
      </c>
      <c r="J314" t="s">
        <v>166</v>
      </c>
      <c r="K314" t="s">
        <v>41</v>
      </c>
      <c r="L314" t="s">
        <v>2382</v>
      </c>
      <c r="M314" t="s">
        <v>2383</v>
      </c>
      <c r="N314" t="s">
        <v>847</v>
      </c>
      <c r="O314" t="s">
        <v>100</v>
      </c>
      <c r="P314" t="s">
        <v>2384</v>
      </c>
      <c r="Q314" t="s">
        <v>71</v>
      </c>
      <c r="R314" t="s">
        <v>1993</v>
      </c>
      <c r="S314">
        <v>1.03</v>
      </c>
      <c r="T314">
        <v>3501</v>
      </c>
      <c r="U314">
        <v>0</v>
      </c>
      <c r="V314">
        <v>3501</v>
      </c>
    </row>
    <row r="315" spans="1:22" x14ac:dyDescent="0.3">
      <c r="A315">
        <v>79452</v>
      </c>
      <c r="B315">
        <v>136920663</v>
      </c>
      <c r="C315" t="s">
        <v>2385</v>
      </c>
      <c r="D315" t="s">
        <v>2386</v>
      </c>
      <c r="E315" t="s">
        <v>843</v>
      </c>
      <c r="F315" t="s">
        <v>844</v>
      </c>
      <c r="G315" t="s">
        <v>164</v>
      </c>
      <c r="H315" t="s">
        <v>165</v>
      </c>
      <c r="I315" t="s">
        <v>34</v>
      </c>
      <c r="J315" t="s">
        <v>166</v>
      </c>
      <c r="K315" t="s">
        <v>41</v>
      </c>
      <c r="L315" t="s">
        <v>2387</v>
      </c>
      <c r="M315" t="s">
        <v>2388</v>
      </c>
      <c r="N315" t="s">
        <v>847</v>
      </c>
      <c r="O315" t="s">
        <v>100</v>
      </c>
      <c r="P315" t="s">
        <v>2389</v>
      </c>
      <c r="Q315" t="s">
        <v>91</v>
      </c>
      <c r="R315" t="s">
        <v>1746</v>
      </c>
      <c r="S315">
        <v>1.4</v>
      </c>
      <c r="T315">
        <v>3870</v>
      </c>
      <c r="U315">
        <v>0</v>
      </c>
      <c r="V315">
        <v>3870</v>
      </c>
    </row>
    <row r="316" spans="1:22" x14ac:dyDescent="0.3">
      <c r="A316">
        <v>79452</v>
      </c>
      <c r="B316">
        <v>136939481</v>
      </c>
      <c r="C316" t="s">
        <v>2390</v>
      </c>
      <c r="D316" t="s">
        <v>2391</v>
      </c>
      <c r="E316" t="s">
        <v>843</v>
      </c>
      <c r="F316" t="s">
        <v>844</v>
      </c>
      <c r="G316" t="s">
        <v>164</v>
      </c>
      <c r="H316" t="s">
        <v>165</v>
      </c>
      <c r="I316" t="s">
        <v>34</v>
      </c>
      <c r="J316" t="s">
        <v>166</v>
      </c>
      <c r="K316" t="s">
        <v>41</v>
      </c>
      <c r="L316" t="s">
        <v>2392</v>
      </c>
      <c r="M316" t="s">
        <v>2393</v>
      </c>
      <c r="N316" t="s">
        <v>847</v>
      </c>
      <c r="O316" t="s">
        <v>100</v>
      </c>
      <c r="P316" t="s">
        <v>2394</v>
      </c>
      <c r="Q316" t="s">
        <v>78</v>
      </c>
      <c r="R316" t="s">
        <v>1857</v>
      </c>
      <c r="S316">
        <v>1.07</v>
      </c>
      <c r="T316">
        <v>3784</v>
      </c>
      <c r="U316">
        <v>0</v>
      </c>
      <c r="V316">
        <v>3784</v>
      </c>
    </row>
    <row r="317" spans="1:22" x14ac:dyDescent="0.3">
      <c r="A317">
        <v>79452</v>
      </c>
      <c r="B317">
        <v>136920685</v>
      </c>
      <c r="C317" t="s">
        <v>2395</v>
      </c>
      <c r="D317" t="s">
        <v>2396</v>
      </c>
      <c r="E317" t="s">
        <v>843</v>
      </c>
      <c r="F317" t="s">
        <v>844</v>
      </c>
      <c r="G317" t="s">
        <v>164</v>
      </c>
      <c r="H317" t="s">
        <v>165</v>
      </c>
      <c r="I317" t="s">
        <v>34</v>
      </c>
      <c r="J317" t="s">
        <v>166</v>
      </c>
      <c r="K317" t="s">
        <v>41</v>
      </c>
      <c r="L317" t="s">
        <v>2397</v>
      </c>
      <c r="M317" t="s">
        <v>2398</v>
      </c>
      <c r="N317" t="s">
        <v>847</v>
      </c>
      <c r="O317" t="s">
        <v>100</v>
      </c>
      <c r="P317" t="s">
        <v>2399</v>
      </c>
      <c r="Q317" t="s">
        <v>234</v>
      </c>
      <c r="R317" t="s">
        <v>1746</v>
      </c>
      <c r="S317">
        <v>1.02</v>
      </c>
      <c r="T317">
        <v>3366</v>
      </c>
      <c r="U317">
        <v>0</v>
      </c>
      <c r="V317">
        <v>3366</v>
      </c>
    </row>
    <row r="318" spans="1:22" x14ac:dyDescent="0.3">
      <c r="A318">
        <v>79452</v>
      </c>
      <c r="B318">
        <v>136997081</v>
      </c>
      <c r="C318" t="s">
        <v>2400</v>
      </c>
      <c r="D318" t="s">
        <v>2401</v>
      </c>
      <c r="E318" t="s">
        <v>843</v>
      </c>
      <c r="F318" t="s">
        <v>844</v>
      </c>
      <c r="G318" t="s">
        <v>164</v>
      </c>
      <c r="H318" t="s">
        <v>165</v>
      </c>
      <c r="I318" t="s">
        <v>34</v>
      </c>
      <c r="J318" t="s">
        <v>166</v>
      </c>
      <c r="K318" t="s">
        <v>41</v>
      </c>
      <c r="L318" t="s">
        <v>2402</v>
      </c>
      <c r="M318" t="s">
        <v>2403</v>
      </c>
      <c r="N318" t="s">
        <v>847</v>
      </c>
      <c r="O318" t="s">
        <v>100</v>
      </c>
      <c r="P318" t="s">
        <v>2404</v>
      </c>
      <c r="Q318" t="s">
        <v>71</v>
      </c>
      <c r="R318" t="s">
        <v>1141</v>
      </c>
      <c r="S318">
        <v>2.0499999999999998</v>
      </c>
      <c r="T318">
        <v>3501</v>
      </c>
      <c r="U318">
        <v>0</v>
      </c>
      <c r="V318">
        <v>3501</v>
      </c>
    </row>
    <row r="319" spans="1:22" x14ac:dyDescent="0.3">
      <c r="A319">
        <v>79452</v>
      </c>
      <c r="B319">
        <v>136939516</v>
      </c>
      <c r="C319" t="s">
        <v>2405</v>
      </c>
      <c r="D319" t="s">
        <v>2406</v>
      </c>
      <c r="E319" t="s">
        <v>843</v>
      </c>
      <c r="F319" t="s">
        <v>844</v>
      </c>
      <c r="G319" t="s">
        <v>164</v>
      </c>
      <c r="H319" t="s">
        <v>165</v>
      </c>
      <c r="I319" t="s">
        <v>34</v>
      </c>
      <c r="J319" t="s">
        <v>166</v>
      </c>
      <c r="K319" t="s">
        <v>41</v>
      </c>
      <c r="L319" t="s">
        <v>2407</v>
      </c>
      <c r="M319" t="s">
        <v>2408</v>
      </c>
      <c r="N319" t="s">
        <v>847</v>
      </c>
      <c r="O319" t="s">
        <v>100</v>
      </c>
      <c r="P319" t="s">
        <v>2409</v>
      </c>
      <c r="Q319" t="s">
        <v>69</v>
      </c>
      <c r="R319" t="s">
        <v>1857</v>
      </c>
      <c r="S319">
        <v>2.75</v>
      </c>
      <c r="T319">
        <v>3753</v>
      </c>
      <c r="U319">
        <v>0</v>
      </c>
      <c r="V319">
        <v>3753</v>
      </c>
    </row>
    <row r="320" spans="1:22" x14ac:dyDescent="0.3">
      <c r="A320">
        <v>79452</v>
      </c>
      <c r="B320">
        <v>136997190</v>
      </c>
      <c r="C320" t="s">
        <v>2410</v>
      </c>
      <c r="D320" t="s">
        <v>2411</v>
      </c>
      <c r="E320" t="s">
        <v>843</v>
      </c>
      <c r="F320" t="s">
        <v>844</v>
      </c>
      <c r="G320" t="s">
        <v>164</v>
      </c>
      <c r="H320" t="s">
        <v>165</v>
      </c>
      <c r="I320" t="s">
        <v>34</v>
      </c>
      <c r="J320" t="s">
        <v>166</v>
      </c>
      <c r="K320" t="s">
        <v>41</v>
      </c>
      <c r="L320" t="s">
        <v>2412</v>
      </c>
      <c r="M320" t="s">
        <v>2413</v>
      </c>
      <c r="N320" t="s">
        <v>847</v>
      </c>
      <c r="O320" t="s">
        <v>100</v>
      </c>
      <c r="P320" t="s">
        <v>2414</v>
      </c>
      <c r="Q320" t="s">
        <v>90</v>
      </c>
      <c r="R320" t="s">
        <v>1550</v>
      </c>
      <c r="S320">
        <v>1.32</v>
      </c>
      <c r="T320">
        <v>3870</v>
      </c>
      <c r="U320">
        <v>0</v>
      </c>
      <c r="V320">
        <v>3870</v>
      </c>
    </row>
    <row r="321" spans="1:22" x14ac:dyDescent="0.3">
      <c r="A321">
        <v>79452</v>
      </c>
      <c r="B321">
        <v>136939467</v>
      </c>
      <c r="C321" t="s">
        <v>2415</v>
      </c>
      <c r="D321" t="s">
        <v>2416</v>
      </c>
      <c r="E321" t="s">
        <v>843</v>
      </c>
      <c r="F321" t="s">
        <v>844</v>
      </c>
      <c r="G321" t="s">
        <v>164</v>
      </c>
      <c r="H321" t="s">
        <v>165</v>
      </c>
      <c r="I321" t="s">
        <v>34</v>
      </c>
      <c r="J321" t="s">
        <v>166</v>
      </c>
      <c r="K321" t="s">
        <v>41</v>
      </c>
      <c r="L321" t="s">
        <v>2417</v>
      </c>
      <c r="M321" t="s">
        <v>2418</v>
      </c>
      <c r="N321" t="s">
        <v>847</v>
      </c>
      <c r="O321" t="s">
        <v>100</v>
      </c>
      <c r="P321" t="s">
        <v>2419</v>
      </c>
      <c r="Q321" t="s">
        <v>49</v>
      </c>
      <c r="R321" t="s">
        <v>1857</v>
      </c>
      <c r="S321">
        <v>0.98</v>
      </c>
      <c r="T321">
        <v>3784</v>
      </c>
      <c r="U321">
        <v>0</v>
      </c>
      <c r="V321">
        <v>3784</v>
      </c>
    </row>
    <row r="322" spans="1:22" x14ac:dyDescent="0.3">
      <c r="A322">
        <v>79452</v>
      </c>
      <c r="B322">
        <v>136997038</v>
      </c>
      <c r="C322" t="s">
        <v>2420</v>
      </c>
      <c r="D322" t="s">
        <v>2421</v>
      </c>
      <c r="E322" t="s">
        <v>843</v>
      </c>
      <c r="F322" t="s">
        <v>844</v>
      </c>
      <c r="G322" t="s">
        <v>164</v>
      </c>
      <c r="H322" t="s">
        <v>165</v>
      </c>
      <c r="I322" t="s">
        <v>34</v>
      </c>
      <c r="J322" t="s">
        <v>166</v>
      </c>
      <c r="K322" t="s">
        <v>41</v>
      </c>
      <c r="L322" t="s">
        <v>2422</v>
      </c>
      <c r="M322" t="s">
        <v>2423</v>
      </c>
      <c r="N322" t="s">
        <v>847</v>
      </c>
      <c r="O322" t="s">
        <v>100</v>
      </c>
      <c r="P322" t="s">
        <v>2424</v>
      </c>
      <c r="Q322" t="s">
        <v>68</v>
      </c>
      <c r="R322" t="s">
        <v>1141</v>
      </c>
      <c r="S322">
        <v>0.65</v>
      </c>
      <c r="T322">
        <v>3753</v>
      </c>
      <c r="U322">
        <v>0</v>
      </c>
      <c r="V322">
        <v>3753</v>
      </c>
    </row>
    <row r="323" spans="1:22" x14ac:dyDescent="0.3">
      <c r="A323">
        <v>79452</v>
      </c>
      <c r="B323">
        <v>136939532</v>
      </c>
      <c r="C323" t="s">
        <v>2425</v>
      </c>
      <c r="D323" t="s">
        <v>2426</v>
      </c>
      <c r="E323" t="s">
        <v>843</v>
      </c>
      <c r="F323" t="s">
        <v>844</v>
      </c>
      <c r="G323" t="s">
        <v>164</v>
      </c>
      <c r="H323" t="s">
        <v>165</v>
      </c>
      <c r="I323" t="s">
        <v>34</v>
      </c>
      <c r="J323" t="s">
        <v>166</v>
      </c>
      <c r="K323" t="s">
        <v>41</v>
      </c>
      <c r="L323" t="s">
        <v>2427</v>
      </c>
      <c r="M323" t="s">
        <v>2428</v>
      </c>
      <c r="N323" t="s">
        <v>847</v>
      </c>
      <c r="O323" t="s">
        <v>100</v>
      </c>
      <c r="P323" t="s">
        <v>2429</v>
      </c>
      <c r="Q323" t="s">
        <v>50</v>
      </c>
      <c r="R323" t="s">
        <v>1857</v>
      </c>
      <c r="S323">
        <v>1.1000000000000001</v>
      </c>
      <c r="T323">
        <v>3784</v>
      </c>
      <c r="U323">
        <v>0</v>
      </c>
      <c r="V323">
        <v>3784</v>
      </c>
    </row>
    <row r="324" spans="1:22" x14ac:dyDescent="0.3">
      <c r="A324">
        <v>79452</v>
      </c>
      <c r="B324">
        <v>136997075</v>
      </c>
      <c r="C324" t="s">
        <v>2430</v>
      </c>
      <c r="D324" t="s">
        <v>2431</v>
      </c>
      <c r="E324" t="s">
        <v>843</v>
      </c>
      <c r="F324" t="s">
        <v>844</v>
      </c>
      <c r="G324" t="s">
        <v>164</v>
      </c>
      <c r="H324" t="s">
        <v>165</v>
      </c>
      <c r="I324" t="s">
        <v>34</v>
      </c>
      <c r="J324" t="s">
        <v>166</v>
      </c>
      <c r="K324" t="s">
        <v>41</v>
      </c>
      <c r="L324" t="s">
        <v>2432</v>
      </c>
      <c r="M324" t="s">
        <v>2433</v>
      </c>
      <c r="N324" t="s">
        <v>847</v>
      </c>
      <c r="O324" t="s">
        <v>100</v>
      </c>
      <c r="P324" t="s">
        <v>2434</v>
      </c>
      <c r="Q324" t="s">
        <v>71</v>
      </c>
      <c r="R324" t="s">
        <v>1141</v>
      </c>
      <c r="S324">
        <v>0.72</v>
      </c>
      <c r="T324">
        <v>3501</v>
      </c>
      <c r="U324">
        <v>0</v>
      </c>
      <c r="V324">
        <v>3501</v>
      </c>
    </row>
    <row r="325" spans="1:22" x14ac:dyDescent="0.3">
      <c r="A325">
        <v>79452</v>
      </c>
      <c r="B325">
        <v>136939503</v>
      </c>
      <c r="C325" t="s">
        <v>2435</v>
      </c>
      <c r="D325" t="s">
        <v>2436</v>
      </c>
      <c r="E325" t="s">
        <v>843</v>
      </c>
      <c r="F325" t="s">
        <v>844</v>
      </c>
      <c r="G325" t="s">
        <v>164</v>
      </c>
      <c r="H325" t="s">
        <v>165</v>
      </c>
      <c r="I325" t="s">
        <v>34</v>
      </c>
      <c r="J325" t="s">
        <v>166</v>
      </c>
      <c r="K325" t="s">
        <v>41</v>
      </c>
      <c r="L325" t="s">
        <v>2437</v>
      </c>
      <c r="M325" t="s">
        <v>2438</v>
      </c>
      <c r="N325" t="s">
        <v>847</v>
      </c>
      <c r="O325" t="s">
        <v>100</v>
      </c>
      <c r="P325" t="s">
        <v>2439</v>
      </c>
      <c r="Q325" t="s">
        <v>71</v>
      </c>
      <c r="R325" t="s">
        <v>1857</v>
      </c>
      <c r="S325">
        <v>1.18</v>
      </c>
      <c r="T325">
        <v>3501</v>
      </c>
      <c r="U325">
        <v>0</v>
      </c>
      <c r="V325">
        <v>3501</v>
      </c>
    </row>
    <row r="326" spans="1:22" x14ac:dyDescent="0.3">
      <c r="A326">
        <v>79452</v>
      </c>
      <c r="B326">
        <v>136920698</v>
      </c>
      <c r="C326" t="s">
        <v>2440</v>
      </c>
      <c r="D326" t="s">
        <v>2441</v>
      </c>
      <c r="E326" t="s">
        <v>843</v>
      </c>
      <c r="F326" t="s">
        <v>844</v>
      </c>
      <c r="G326" t="s">
        <v>164</v>
      </c>
      <c r="H326" t="s">
        <v>165</v>
      </c>
      <c r="I326" t="s">
        <v>34</v>
      </c>
      <c r="J326" t="s">
        <v>166</v>
      </c>
      <c r="K326" t="s">
        <v>41</v>
      </c>
      <c r="L326" t="s">
        <v>2442</v>
      </c>
      <c r="M326" t="s">
        <v>808</v>
      </c>
      <c r="N326" t="s">
        <v>847</v>
      </c>
      <c r="O326" t="s">
        <v>100</v>
      </c>
      <c r="P326" t="s">
        <v>2443</v>
      </c>
      <c r="Q326" t="s">
        <v>71</v>
      </c>
      <c r="R326" t="s">
        <v>1993</v>
      </c>
      <c r="S326">
        <v>1.1299999999999999</v>
      </c>
      <c r="T326">
        <v>3501</v>
      </c>
      <c r="U326">
        <v>0</v>
      </c>
      <c r="V326">
        <v>3501</v>
      </c>
    </row>
    <row r="327" spans="1:22" x14ac:dyDescent="0.3">
      <c r="A327">
        <v>79452</v>
      </c>
      <c r="B327">
        <v>136997183</v>
      </c>
      <c r="C327" t="s">
        <v>2444</v>
      </c>
      <c r="D327" t="s">
        <v>2445</v>
      </c>
      <c r="E327" t="s">
        <v>843</v>
      </c>
      <c r="F327" t="s">
        <v>844</v>
      </c>
      <c r="G327" t="s">
        <v>164</v>
      </c>
      <c r="H327" t="s">
        <v>165</v>
      </c>
      <c r="I327" t="s">
        <v>34</v>
      </c>
      <c r="J327" t="s">
        <v>166</v>
      </c>
      <c r="K327" t="s">
        <v>41</v>
      </c>
      <c r="L327" t="s">
        <v>2446</v>
      </c>
      <c r="M327" t="s">
        <v>2447</v>
      </c>
      <c r="N327" t="s">
        <v>847</v>
      </c>
      <c r="O327" t="s">
        <v>100</v>
      </c>
      <c r="P327" t="s">
        <v>2448</v>
      </c>
      <c r="Q327" t="s">
        <v>141</v>
      </c>
      <c r="R327" t="s">
        <v>1550</v>
      </c>
      <c r="S327">
        <v>0.77</v>
      </c>
      <c r="T327">
        <v>3366</v>
      </c>
      <c r="U327">
        <v>0</v>
      </c>
      <c r="V327">
        <v>3366</v>
      </c>
    </row>
    <row r="328" spans="1:22" x14ac:dyDescent="0.3">
      <c r="A328">
        <v>79452</v>
      </c>
      <c r="B328">
        <v>136825415</v>
      </c>
      <c r="C328" t="s">
        <v>2449</v>
      </c>
      <c r="D328" t="s">
        <v>2450</v>
      </c>
      <c r="E328" t="s">
        <v>843</v>
      </c>
      <c r="F328" t="s">
        <v>844</v>
      </c>
      <c r="G328" t="s">
        <v>164</v>
      </c>
      <c r="H328" t="s">
        <v>165</v>
      </c>
      <c r="I328" t="s">
        <v>34</v>
      </c>
      <c r="J328" t="s">
        <v>166</v>
      </c>
      <c r="K328" t="s">
        <v>41</v>
      </c>
      <c r="L328" t="s">
        <v>2451</v>
      </c>
      <c r="M328" t="s">
        <v>2452</v>
      </c>
      <c r="N328" t="s">
        <v>847</v>
      </c>
      <c r="O328" t="s">
        <v>100</v>
      </c>
      <c r="P328" t="s">
        <v>2453</v>
      </c>
      <c r="Q328" t="s">
        <v>55</v>
      </c>
      <c r="R328" t="s">
        <v>310</v>
      </c>
      <c r="S328">
        <v>1</v>
      </c>
      <c r="T328">
        <v>5198</v>
      </c>
      <c r="U328">
        <v>0</v>
      </c>
      <c r="V328">
        <v>5198</v>
      </c>
    </row>
    <row r="329" spans="1:22" x14ac:dyDescent="0.3">
      <c r="A329">
        <v>79452</v>
      </c>
      <c r="B329">
        <v>136792528</v>
      </c>
      <c r="C329" t="s">
        <v>2454</v>
      </c>
      <c r="D329" t="s">
        <v>2455</v>
      </c>
      <c r="E329" t="s">
        <v>843</v>
      </c>
      <c r="F329" t="s">
        <v>844</v>
      </c>
      <c r="G329" t="s">
        <v>164</v>
      </c>
      <c r="H329" t="s">
        <v>165</v>
      </c>
      <c r="I329" t="s">
        <v>34</v>
      </c>
      <c r="J329" t="s">
        <v>166</v>
      </c>
      <c r="K329" t="s">
        <v>41</v>
      </c>
      <c r="L329" t="s">
        <v>2456</v>
      </c>
      <c r="M329" t="s">
        <v>2457</v>
      </c>
      <c r="N329" t="s">
        <v>847</v>
      </c>
      <c r="O329" t="s">
        <v>100</v>
      </c>
      <c r="P329" t="s">
        <v>2458</v>
      </c>
      <c r="Q329" t="s">
        <v>54</v>
      </c>
      <c r="R329" t="s">
        <v>2207</v>
      </c>
      <c r="S329">
        <v>1.24</v>
      </c>
      <c r="T329">
        <v>5759</v>
      </c>
      <c r="U329">
        <v>0</v>
      </c>
      <c r="V329">
        <v>5759</v>
      </c>
    </row>
    <row r="330" spans="1:22" x14ac:dyDescent="0.3">
      <c r="A330">
        <v>79452</v>
      </c>
      <c r="B330">
        <v>136792473</v>
      </c>
      <c r="C330" t="s">
        <v>2459</v>
      </c>
      <c r="D330" t="s">
        <v>2460</v>
      </c>
      <c r="E330" t="s">
        <v>843</v>
      </c>
      <c r="F330" t="s">
        <v>844</v>
      </c>
      <c r="G330" t="s">
        <v>164</v>
      </c>
      <c r="H330" t="s">
        <v>165</v>
      </c>
      <c r="I330" t="s">
        <v>34</v>
      </c>
      <c r="J330" t="s">
        <v>166</v>
      </c>
      <c r="K330" t="s">
        <v>41</v>
      </c>
      <c r="L330" t="s">
        <v>2461</v>
      </c>
      <c r="M330" t="s">
        <v>2462</v>
      </c>
      <c r="N330" t="s">
        <v>847</v>
      </c>
      <c r="O330" t="s">
        <v>100</v>
      </c>
      <c r="P330" t="s">
        <v>2463</v>
      </c>
      <c r="Q330" t="s">
        <v>57</v>
      </c>
      <c r="R330" t="s">
        <v>2464</v>
      </c>
      <c r="S330">
        <v>0.74</v>
      </c>
      <c r="T330">
        <v>5476</v>
      </c>
      <c r="U330">
        <v>0</v>
      </c>
      <c r="V330">
        <v>5476</v>
      </c>
    </row>
    <row r="331" spans="1:22" x14ac:dyDescent="0.3">
      <c r="A331">
        <v>79452</v>
      </c>
      <c r="B331">
        <v>136756199</v>
      </c>
      <c r="C331" t="s">
        <v>2465</v>
      </c>
      <c r="D331" t="s">
        <v>2466</v>
      </c>
      <c r="E331" t="s">
        <v>843</v>
      </c>
      <c r="F331" t="s">
        <v>844</v>
      </c>
      <c r="G331" t="s">
        <v>164</v>
      </c>
      <c r="H331" t="s">
        <v>165</v>
      </c>
      <c r="I331" t="s">
        <v>34</v>
      </c>
      <c r="J331" t="s">
        <v>166</v>
      </c>
      <c r="K331" t="s">
        <v>41</v>
      </c>
      <c r="L331" t="s">
        <v>2467</v>
      </c>
      <c r="M331" t="s">
        <v>2468</v>
      </c>
      <c r="N331" t="s">
        <v>847</v>
      </c>
      <c r="O331" t="s">
        <v>100</v>
      </c>
      <c r="P331" t="s">
        <v>2469</v>
      </c>
      <c r="Q331" t="s">
        <v>121</v>
      </c>
      <c r="R331" t="s">
        <v>782</v>
      </c>
      <c r="S331">
        <v>0.97</v>
      </c>
      <c r="T331">
        <v>4173</v>
      </c>
      <c r="U331">
        <v>0</v>
      </c>
      <c r="V331">
        <v>4173</v>
      </c>
    </row>
    <row r="332" spans="1:22" x14ac:dyDescent="0.3">
      <c r="A332">
        <v>79452</v>
      </c>
      <c r="B332">
        <v>136792517</v>
      </c>
      <c r="C332" t="s">
        <v>2470</v>
      </c>
      <c r="D332" t="s">
        <v>2471</v>
      </c>
      <c r="E332" t="s">
        <v>843</v>
      </c>
      <c r="F332" t="s">
        <v>844</v>
      </c>
      <c r="G332" t="s">
        <v>164</v>
      </c>
      <c r="H332" t="s">
        <v>165</v>
      </c>
      <c r="I332" t="s">
        <v>34</v>
      </c>
      <c r="J332" t="s">
        <v>166</v>
      </c>
      <c r="K332" t="s">
        <v>41</v>
      </c>
      <c r="L332" t="s">
        <v>2472</v>
      </c>
      <c r="M332" t="s">
        <v>2473</v>
      </c>
      <c r="N332" t="s">
        <v>847</v>
      </c>
      <c r="O332" t="s">
        <v>100</v>
      </c>
      <c r="P332" t="s">
        <v>2474</v>
      </c>
      <c r="Q332" t="s">
        <v>84</v>
      </c>
      <c r="R332" t="s">
        <v>2207</v>
      </c>
      <c r="S332">
        <v>1.01</v>
      </c>
      <c r="T332">
        <v>3366</v>
      </c>
      <c r="U332">
        <v>0</v>
      </c>
      <c r="V332">
        <v>3366</v>
      </c>
    </row>
    <row r="333" spans="1:22" x14ac:dyDescent="0.3">
      <c r="A333">
        <v>79452</v>
      </c>
      <c r="B333">
        <v>136635066</v>
      </c>
      <c r="C333" t="s">
        <v>2475</v>
      </c>
      <c r="D333" t="s">
        <v>2476</v>
      </c>
      <c r="E333" t="s">
        <v>843</v>
      </c>
      <c r="F333" t="s">
        <v>844</v>
      </c>
      <c r="G333" t="s">
        <v>164</v>
      </c>
      <c r="H333" t="s">
        <v>165</v>
      </c>
      <c r="I333" t="s">
        <v>34</v>
      </c>
      <c r="J333" t="s">
        <v>166</v>
      </c>
      <c r="K333" t="s">
        <v>41</v>
      </c>
      <c r="L333" t="s">
        <v>2477</v>
      </c>
      <c r="M333" t="s">
        <v>2478</v>
      </c>
      <c r="N333" t="s">
        <v>847</v>
      </c>
      <c r="O333" t="s">
        <v>100</v>
      </c>
      <c r="P333" t="s">
        <v>2479</v>
      </c>
      <c r="Q333" t="s">
        <v>55</v>
      </c>
      <c r="R333" t="s">
        <v>2480</v>
      </c>
      <c r="S333">
        <v>2.44</v>
      </c>
      <c r="T333">
        <v>5198</v>
      </c>
      <c r="U333">
        <v>0</v>
      </c>
      <c r="V333">
        <v>5198</v>
      </c>
    </row>
    <row r="334" spans="1:22" x14ac:dyDescent="0.3">
      <c r="A334">
        <v>79452</v>
      </c>
      <c r="B334">
        <v>136859647</v>
      </c>
      <c r="C334" t="s">
        <v>2481</v>
      </c>
      <c r="D334" t="s">
        <v>2482</v>
      </c>
      <c r="E334" t="s">
        <v>843</v>
      </c>
      <c r="F334" t="s">
        <v>844</v>
      </c>
      <c r="G334" t="s">
        <v>164</v>
      </c>
      <c r="H334" t="s">
        <v>165</v>
      </c>
      <c r="I334" t="s">
        <v>34</v>
      </c>
      <c r="J334" t="s">
        <v>166</v>
      </c>
      <c r="K334" t="s">
        <v>41</v>
      </c>
      <c r="L334" t="s">
        <v>2483</v>
      </c>
      <c r="M334" t="s">
        <v>2484</v>
      </c>
      <c r="N334" t="s">
        <v>847</v>
      </c>
      <c r="O334" t="s">
        <v>100</v>
      </c>
      <c r="P334" t="s">
        <v>2485</v>
      </c>
      <c r="Q334" t="s">
        <v>72</v>
      </c>
      <c r="R334" t="s">
        <v>328</v>
      </c>
      <c r="S334">
        <v>1.21</v>
      </c>
      <c r="T334">
        <v>3784</v>
      </c>
      <c r="U334">
        <v>0</v>
      </c>
      <c r="V334">
        <v>3784</v>
      </c>
    </row>
    <row r="335" spans="1:22" x14ac:dyDescent="0.3">
      <c r="A335">
        <v>79452</v>
      </c>
      <c r="B335">
        <v>136859675</v>
      </c>
      <c r="C335" t="s">
        <v>2486</v>
      </c>
      <c r="D335" t="s">
        <v>2487</v>
      </c>
      <c r="E335" t="s">
        <v>843</v>
      </c>
      <c r="F335" t="s">
        <v>844</v>
      </c>
      <c r="G335" t="s">
        <v>164</v>
      </c>
      <c r="H335" t="s">
        <v>165</v>
      </c>
      <c r="I335" t="s">
        <v>34</v>
      </c>
      <c r="J335" t="s">
        <v>166</v>
      </c>
      <c r="K335" t="s">
        <v>41</v>
      </c>
      <c r="L335" t="s">
        <v>2488</v>
      </c>
      <c r="M335" t="s">
        <v>2489</v>
      </c>
      <c r="N335" t="s">
        <v>847</v>
      </c>
      <c r="O335" t="s">
        <v>100</v>
      </c>
      <c r="P335" t="s">
        <v>2490</v>
      </c>
      <c r="Q335" t="s">
        <v>190</v>
      </c>
      <c r="R335" t="s">
        <v>328</v>
      </c>
      <c r="S335">
        <v>1.56</v>
      </c>
      <c r="T335">
        <v>3366</v>
      </c>
      <c r="U335">
        <v>0</v>
      </c>
      <c r="V335">
        <v>3366</v>
      </c>
    </row>
    <row r="336" spans="1:22" x14ac:dyDescent="0.3">
      <c r="A336">
        <v>79452</v>
      </c>
      <c r="B336">
        <v>136756180</v>
      </c>
      <c r="C336" t="s">
        <v>2491</v>
      </c>
      <c r="D336" t="s">
        <v>2492</v>
      </c>
      <c r="E336" t="s">
        <v>843</v>
      </c>
      <c r="F336" t="s">
        <v>844</v>
      </c>
      <c r="G336" t="s">
        <v>164</v>
      </c>
      <c r="H336" t="s">
        <v>165</v>
      </c>
      <c r="I336" t="s">
        <v>34</v>
      </c>
      <c r="J336" t="s">
        <v>166</v>
      </c>
      <c r="K336" t="s">
        <v>41</v>
      </c>
      <c r="L336" t="s">
        <v>2493</v>
      </c>
      <c r="M336" t="s">
        <v>2494</v>
      </c>
      <c r="N336" t="s">
        <v>847</v>
      </c>
      <c r="O336" t="s">
        <v>100</v>
      </c>
      <c r="P336" t="s">
        <v>2495</v>
      </c>
      <c r="Q336" t="s">
        <v>58</v>
      </c>
      <c r="R336" t="s">
        <v>782</v>
      </c>
      <c r="S336">
        <v>0.82</v>
      </c>
      <c r="T336">
        <v>5759</v>
      </c>
      <c r="U336">
        <v>0</v>
      </c>
      <c r="V336">
        <v>5759</v>
      </c>
    </row>
    <row r="337" spans="1:22" x14ac:dyDescent="0.3">
      <c r="A337">
        <v>79452</v>
      </c>
      <c r="B337">
        <v>136680926</v>
      </c>
      <c r="C337" t="s">
        <v>2496</v>
      </c>
      <c r="D337" t="s">
        <v>2497</v>
      </c>
      <c r="E337" t="s">
        <v>843</v>
      </c>
      <c r="F337" t="s">
        <v>844</v>
      </c>
      <c r="G337" t="s">
        <v>164</v>
      </c>
      <c r="H337" t="s">
        <v>165</v>
      </c>
      <c r="I337" t="s">
        <v>34</v>
      </c>
      <c r="J337" t="s">
        <v>166</v>
      </c>
      <c r="K337" t="s">
        <v>41</v>
      </c>
      <c r="L337" t="s">
        <v>2498</v>
      </c>
      <c r="M337" t="s">
        <v>2499</v>
      </c>
      <c r="N337" t="s">
        <v>847</v>
      </c>
      <c r="O337" t="s">
        <v>100</v>
      </c>
      <c r="P337" t="s">
        <v>2500</v>
      </c>
      <c r="Q337" t="s">
        <v>55</v>
      </c>
      <c r="R337" t="s">
        <v>365</v>
      </c>
      <c r="S337">
        <v>0.78</v>
      </c>
      <c r="T337">
        <v>5198</v>
      </c>
      <c r="U337">
        <v>0</v>
      </c>
      <c r="V337">
        <v>5198</v>
      </c>
    </row>
    <row r="338" spans="1:22" x14ac:dyDescent="0.3">
      <c r="A338">
        <v>79452</v>
      </c>
      <c r="B338">
        <v>136888391</v>
      </c>
      <c r="C338" t="s">
        <v>2501</v>
      </c>
      <c r="D338" t="s">
        <v>2502</v>
      </c>
      <c r="E338" t="s">
        <v>843</v>
      </c>
      <c r="F338" t="s">
        <v>844</v>
      </c>
      <c r="G338" t="s">
        <v>164</v>
      </c>
      <c r="H338" t="s">
        <v>165</v>
      </c>
      <c r="I338" t="s">
        <v>34</v>
      </c>
      <c r="J338" t="s">
        <v>166</v>
      </c>
      <c r="K338" t="s">
        <v>41</v>
      </c>
      <c r="L338" t="s">
        <v>2503</v>
      </c>
      <c r="M338" t="s">
        <v>2504</v>
      </c>
      <c r="N338" t="s">
        <v>847</v>
      </c>
      <c r="O338" t="s">
        <v>100</v>
      </c>
      <c r="P338" t="s">
        <v>2505</v>
      </c>
      <c r="Q338" t="s">
        <v>66</v>
      </c>
      <c r="R338" t="s">
        <v>418</v>
      </c>
      <c r="S338">
        <v>1.1599999999999999</v>
      </c>
      <c r="T338">
        <v>4067</v>
      </c>
      <c r="U338">
        <v>0</v>
      </c>
      <c r="V338">
        <v>4067</v>
      </c>
    </row>
    <row r="339" spans="1:22" x14ac:dyDescent="0.3">
      <c r="A339">
        <v>79452</v>
      </c>
      <c r="B339">
        <v>136859679</v>
      </c>
      <c r="C339" t="s">
        <v>2506</v>
      </c>
      <c r="D339" t="s">
        <v>2507</v>
      </c>
      <c r="E339" t="s">
        <v>843</v>
      </c>
      <c r="F339" t="s">
        <v>844</v>
      </c>
      <c r="G339" t="s">
        <v>164</v>
      </c>
      <c r="H339" t="s">
        <v>165</v>
      </c>
      <c r="I339" t="s">
        <v>34</v>
      </c>
      <c r="J339" t="s">
        <v>166</v>
      </c>
      <c r="K339" t="s">
        <v>41</v>
      </c>
      <c r="L339" t="s">
        <v>2508</v>
      </c>
      <c r="M339" t="s">
        <v>2509</v>
      </c>
      <c r="N339" t="s">
        <v>847</v>
      </c>
      <c r="O339" t="s">
        <v>100</v>
      </c>
      <c r="P339" t="s">
        <v>2510</v>
      </c>
      <c r="Q339" t="s">
        <v>220</v>
      </c>
      <c r="R339" t="s">
        <v>328</v>
      </c>
      <c r="S339">
        <v>1.81</v>
      </c>
      <c r="T339">
        <v>4067</v>
      </c>
      <c r="U339">
        <v>0</v>
      </c>
      <c r="V339">
        <v>4067</v>
      </c>
    </row>
    <row r="340" spans="1:22" x14ac:dyDescent="0.3">
      <c r="A340">
        <v>79452</v>
      </c>
      <c r="B340">
        <v>136825428</v>
      </c>
      <c r="C340" t="s">
        <v>2511</v>
      </c>
      <c r="D340" t="s">
        <v>2512</v>
      </c>
      <c r="E340" t="s">
        <v>843</v>
      </c>
      <c r="F340" t="s">
        <v>844</v>
      </c>
      <c r="G340" t="s">
        <v>164</v>
      </c>
      <c r="H340" t="s">
        <v>165</v>
      </c>
      <c r="I340" t="s">
        <v>34</v>
      </c>
      <c r="J340" t="s">
        <v>166</v>
      </c>
      <c r="K340" t="s">
        <v>41</v>
      </c>
      <c r="L340" t="s">
        <v>2513</v>
      </c>
      <c r="M340" t="s">
        <v>2514</v>
      </c>
      <c r="N340" t="s">
        <v>847</v>
      </c>
      <c r="O340" t="s">
        <v>100</v>
      </c>
      <c r="P340" t="s">
        <v>2515</v>
      </c>
      <c r="Q340" t="s">
        <v>94</v>
      </c>
      <c r="R340" t="s">
        <v>310</v>
      </c>
      <c r="S340">
        <v>1</v>
      </c>
      <c r="T340">
        <v>3366</v>
      </c>
      <c r="U340">
        <v>0</v>
      </c>
      <c r="V340">
        <v>3366</v>
      </c>
    </row>
    <row r="341" spans="1:22" x14ac:dyDescent="0.3">
      <c r="A341">
        <v>79452</v>
      </c>
      <c r="B341">
        <v>136859642</v>
      </c>
      <c r="C341" t="s">
        <v>2516</v>
      </c>
      <c r="D341" t="s">
        <v>2517</v>
      </c>
      <c r="E341" t="s">
        <v>843</v>
      </c>
      <c r="F341" t="s">
        <v>844</v>
      </c>
      <c r="G341" t="s">
        <v>164</v>
      </c>
      <c r="H341" t="s">
        <v>165</v>
      </c>
      <c r="I341" t="s">
        <v>34</v>
      </c>
      <c r="J341" t="s">
        <v>166</v>
      </c>
      <c r="K341" t="s">
        <v>41</v>
      </c>
      <c r="L341" t="s">
        <v>2518</v>
      </c>
      <c r="M341" t="s">
        <v>2519</v>
      </c>
      <c r="N341" t="s">
        <v>847</v>
      </c>
      <c r="O341" t="s">
        <v>100</v>
      </c>
      <c r="P341" t="s">
        <v>2520</v>
      </c>
      <c r="Q341" t="s">
        <v>69</v>
      </c>
      <c r="R341" t="s">
        <v>328</v>
      </c>
      <c r="S341">
        <v>1.55</v>
      </c>
      <c r="T341">
        <v>3753</v>
      </c>
      <c r="U341">
        <v>0</v>
      </c>
      <c r="V341">
        <v>3753</v>
      </c>
    </row>
    <row r="342" spans="1:22" x14ac:dyDescent="0.3">
      <c r="A342">
        <v>79452</v>
      </c>
      <c r="B342">
        <v>136888373</v>
      </c>
      <c r="C342" t="s">
        <v>2521</v>
      </c>
      <c r="D342" t="s">
        <v>2522</v>
      </c>
      <c r="E342" t="s">
        <v>843</v>
      </c>
      <c r="F342" t="s">
        <v>844</v>
      </c>
      <c r="G342" t="s">
        <v>164</v>
      </c>
      <c r="H342" t="s">
        <v>165</v>
      </c>
      <c r="I342" t="s">
        <v>34</v>
      </c>
      <c r="J342" t="s">
        <v>166</v>
      </c>
      <c r="K342" t="s">
        <v>41</v>
      </c>
      <c r="L342" t="s">
        <v>2523</v>
      </c>
      <c r="M342" t="s">
        <v>2524</v>
      </c>
      <c r="N342" t="s">
        <v>847</v>
      </c>
      <c r="O342" t="s">
        <v>100</v>
      </c>
      <c r="P342" t="s">
        <v>2525</v>
      </c>
      <c r="Q342" t="s">
        <v>607</v>
      </c>
      <c r="R342" t="s">
        <v>418</v>
      </c>
      <c r="S342">
        <v>1.22</v>
      </c>
      <c r="T342">
        <v>3501</v>
      </c>
      <c r="U342">
        <v>0</v>
      </c>
      <c r="V342">
        <v>3501</v>
      </c>
    </row>
    <row r="343" spans="1:22" x14ac:dyDescent="0.3">
      <c r="A343">
        <v>79452</v>
      </c>
      <c r="B343">
        <v>136859622</v>
      </c>
      <c r="C343" t="s">
        <v>2526</v>
      </c>
      <c r="D343" t="s">
        <v>2527</v>
      </c>
      <c r="E343" t="s">
        <v>843</v>
      </c>
      <c r="F343" t="s">
        <v>844</v>
      </c>
      <c r="G343" t="s">
        <v>164</v>
      </c>
      <c r="H343" t="s">
        <v>165</v>
      </c>
      <c r="I343" t="s">
        <v>34</v>
      </c>
      <c r="J343" t="s">
        <v>166</v>
      </c>
      <c r="K343" t="s">
        <v>41</v>
      </c>
      <c r="L343" t="s">
        <v>2528</v>
      </c>
      <c r="M343" t="s">
        <v>2529</v>
      </c>
      <c r="N343" t="s">
        <v>847</v>
      </c>
      <c r="O343" t="s">
        <v>100</v>
      </c>
      <c r="P343" t="s">
        <v>2530</v>
      </c>
      <c r="Q343" t="s">
        <v>72</v>
      </c>
      <c r="R343" t="s">
        <v>328</v>
      </c>
      <c r="S343">
        <v>2.4300000000000002</v>
      </c>
      <c r="T343">
        <v>3784</v>
      </c>
      <c r="U343">
        <v>0</v>
      </c>
      <c r="V343">
        <v>3784</v>
      </c>
    </row>
    <row r="344" spans="1:22" x14ac:dyDescent="0.3">
      <c r="A344">
        <v>79452</v>
      </c>
      <c r="B344">
        <v>136680873</v>
      </c>
      <c r="C344" t="s">
        <v>2531</v>
      </c>
      <c r="D344" t="s">
        <v>2532</v>
      </c>
      <c r="E344" t="s">
        <v>843</v>
      </c>
      <c r="F344" t="s">
        <v>844</v>
      </c>
      <c r="G344" t="s">
        <v>164</v>
      </c>
      <c r="H344" t="s">
        <v>165</v>
      </c>
      <c r="I344" t="s">
        <v>34</v>
      </c>
      <c r="J344" t="s">
        <v>166</v>
      </c>
      <c r="K344" t="s">
        <v>41</v>
      </c>
      <c r="L344" t="s">
        <v>2533</v>
      </c>
      <c r="M344" t="s">
        <v>2534</v>
      </c>
      <c r="N344" t="s">
        <v>847</v>
      </c>
      <c r="O344" t="s">
        <v>100</v>
      </c>
      <c r="P344" t="s">
        <v>2535</v>
      </c>
      <c r="Q344" t="s">
        <v>63</v>
      </c>
      <c r="R344" t="s">
        <v>365</v>
      </c>
      <c r="S344">
        <v>0.82</v>
      </c>
      <c r="T344">
        <v>4067</v>
      </c>
      <c r="U344">
        <v>0</v>
      </c>
      <c r="V344">
        <v>4067</v>
      </c>
    </row>
    <row r="345" spans="1:22" x14ac:dyDescent="0.3">
      <c r="A345">
        <v>79452</v>
      </c>
      <c r="B345">
        <v>136888402</v>
      </c>
      <c r="C345" t="s">
        <v>2536</v>
      </c>
      <c r="D345" t="s">
        <v>2537</v>
      </c>
      <c r="E345" t="s">
        <v>843</v>
      </c>
      <c r="F345" t="s">
        <v>844</v>
      </c>
      <c r="G345" t="s">
        <v>164</v>
      </c>
      <c r="H345" t="s">
        <v>165</v>
      </c>
      <c r="I345" t="s">
        <v>34</v>
      </c>
      <c r="J345" t="s">
        <v>166</v>
      </c>
      <c r="K345" t="s">
        <v>41</v>
      </c>
      <c r="L345" t="s">
        <v>2538</v>
      </c>
      <c r="M345" t="s">
        <v>2539</v>
      </c>
      <c r="N345" t="s">
        <v>847</v>
      </c>
      <c r="O345" t="s">
        <v>100</v>
      </c>
      <c r="P345" t="s">
        <v>2540</v>
      </c>
      <c r="Q345" t="s">
        <v>93</v>
      </c>
      <c r="R345" t="s">
        <v>418</v>
      </c>
      <c r="S345">
        <v>2.2200000000000002</v>
      </c>
      <c r="T345">
        <v>3366</v>
      </c>
      <c r="U345">
        <v>0</v>
      </c>
      <c r="V345">
        <v>3366</v>
      </c>
    </row>
    <row r="346" spans="1:22" x14ac:dyDescent="0.3">
      <c r="A346">
        <v>79452</v>
      </c>
      <c r="B346">
        <v>136825404</v>
      </c>
      <c r="C346" t="s">
        <v>2541</v>
      </c>
      <c r="D346" t="s">
        <v>2542</v>
      </c>
      <c r="E346" t="s">
        <v>843</v>
      </c>
      <c r="F346" t="s">
        <v>844</v>
      </c>
      <c r="G346" t="s">
        <v>164</v>
      </c>
      <c r="H346" t="s">
        <v>165</v>
      </c>
      <c r="I346" t="s">
        <v>34</v>
      </c>
      <c r="J346" t="s">
        <v>166</v>
      </c>
      <c r="K346" t="s">
        <v>41</v>
      </c>
      <c r="L346" t="s">
        <v>2543</v>
      </c>
      <c r="M346" t="s">
        <v>2544</v>
      </c>
      <c r="N346" t="s">
        <v>847</v>
      </c>
      <c r="O346" t="s">
        <v>100</v>
      </c>
      <c r="P346" t="s">
        <v>2545</v>
      </c>
      <c r="Q346" t="s">
        <v>63</v>
      </c>
      <c r="R346" t="s">
        <v>310</v>
      </c>
      <c r="S346">
        <v>0.9</v>
      </c>
      <c r="T346">
        <v>4067</v>
      </c>
      <c r="U346">
        <v>0</v>
      </c>
      <c r="V346">
        <v>4067</v>
      </c>
    </row>
    <row r="347" spans="1:22" x14ac:dyDescent="0.3">
      <c r="A347">
        <v>79452</v>
      </c>
      <c r="B347">
        <v>136888408</v>
      </c>
      <c r="C347" t="s">
        <v>2546</v>
      </c>
      <c r="D347" t="s">
        <v>2547</v>
      </c>
      <c r="E347" t="s">
        <v>843</v>
      </c>
      <c r="F347" t="s">
        <v>844</v>
      </c>
      <c r="G347" t="s">
        <v>164</v>
      </c>
      <c r="H347" t="s">
        <v>165</v>
      </c>
      <c r="I347" t="s">
        <v>34</v>
      </c>
      <c r="J347" t="s">
        <v>166</v>
      </c>
      <c r="K347" t="s">
        <v>41</v>
      </c>
      <c r="L347" t="s">
        <v>2548</v>
      </c>
      <c r="M347" t="s">
        <v>2549</v>
      </c>
      <c r="N347" t="s">
        <v>847</v>
      </c>
      <c r="O347" t="s">
        <v>100</v>
      </c>
      <c r="P347" t="s">
        <v>2550</v>
      </c>
      <c r="Q347" t="s">
        <v>72</v>
      </c>
      <c r="R347" t="s">
        <v>418</v>
      </c>
      <c r="S347">
        <v>1.28</v>
      </c>
      <c r="T347">
        <v>3784</v>
      </c>
      <c r="U347">
        <v>0</v>
      </c>
      <c r="V347">
        <v>3784</v>
      </c>
    </row>
    <row r="348" spans="1:22" x14ac:dyDescent="0.3">
      <c r="A348">
        <v>79452</v>
      </c>
      <c r="B348">
        <v>136888385</v>
      </c>
      <c r="C348" t="s">
        <v>2551</v>
      </c>
      <c r="D348" t="s">
        <v>2552</v>
      </c>
      <c r="E348" t="s">
        <v>843</v>
      </c>
      <c r="F348" t="s">
        <v>844</v>
      </c>
      <c r="G348" t="s">
        <v>164</v>
      </c>
      <c r="H348" t="s">
        <v>165</v>
      </c>
      <c r="I348" t="s">
        <v>34</v>
      </c>
      <c r="J348" t="s">
        <v>166</v>
      </c>
      <c r="K348" t="s">
        <v>41</v>
      </c>
      <c r="L348" t="s">
        <v>2553</v>
      </c>
      <c r="M348" t="s">
        <v>370</v>
      </c>
      <c r="N348" t="s">
        <v>847</v>
      </c>
      <c r="O348" t="s">
        <v>100</v>
      </c>
      <c r="P348" t="s">
        <v>2554</v>
      </c>
      <c r="Q348" t="s">
        <v>92</v>
      </c>
      <c r="R348" t="s">
        <v>418</v>
      </c>
      <c r="S348">
        <v>1.02</v>
      </c>
      <c r="T348">
        <v>3366</v>
      </c>
      <c r="U348">
        <v>0</v>
      </c>
      <c r="V348">
        <v>3366</v>
      </c>
    </row>
    <row r="349" spans="1:22" x14ac:dyDescent="0.3">
      <c r="A349">
        <v>79452</v>
      </c>
      <c r="B349">
        <v>136859662</v>
      </c>
      <c r="C349" t="s">
        <v>2555</v>
      </c>
      <c r="D349" t="s">
        <v>2556</v>
      </c>
      <c r="E349" t="s">
        <v>843</v>
      </c>
      <c r="F349" t="s">
        <v>844</v>
      </c>
      <c r="G349" t="s">
        <v>164</v>
      </c>
      <c r="H349" t="s">
        <v>165</v>
      </c>
      <c r="I349" t="s">
        <v>34</v>
      </c>
      <c r="J349" t="s">
        <v>166</v>
      </c>
      <c r="K349" t="s">
        <v>41</v>
      </c>
      <c r="L349" t="s">
        <v>2557</v>
      </c>
      <c r="M349" t="s">
        <v>2558</v>
      </c>
      <c r="N349" t="s">
        <v>847</v>
      </c>
      <c r="O349" t="s">
        <v>100</v>
      </c>
      <c r="P349" t="s">
        <v>2559</v>
      </c>
      <c r="Q349" t="s">
        <v>50</v>
      </c>
      <c r="R349" t="s">
        <v>328</v>
      </c>
      <c r="S349">
        <v>1.22</v>
      </c>
      <c r="T349">
        <v>3784</v>
      </c>
      <c r="U349">
        <v>0</v>
      </c>
      <c r="V349">
        <v>3784</v>
      </c>
    </row>
    <row r="350" spans="1:22" x14ac:dyDescent="0.3">
      <c r="A350">
        <v>79452</v>
      </c>
      <c r="B350">
        <v>136888392</v>
      </c>
      <c r="C350" t="s">
        <v>2560</v>
      </c>
      <c r="D350" t="s">
        <v>2561</v>
      </c>
      <c r="E350" t="s">
        <v>843</v>
      </c>
      <c r="F350" t="s">
        <v>844</v>
      </c>
      <c r="G350" t="s">
        <v>164</v>
      </c>
      <c r="H350" t="s">
        <v>165</v>
      </c>
      <c r="I350" t="s">
        <v>34</v>
      </c>
      <c r="J350" t="s">
        <v>166</v>
      </c>
      <c r="K350" t="s">
        <v>41</v>
      </c>
      <c r="L350" t="s">
        <v>2562</v>
      </c>
      <c r="M350" t="s">
        <v>2563</v>
      </c>
      <c r="N350" t="s">
        <v>847</v>
      </c>
      <c r="O350" t="s">
        <v>100</v>
      </c>
      <c r="P350" t="s">
        <v>2564</v>
      </c>
      <c r="Q350" t="s">
        <v>60</v>
      </c>
      <c r="R350" t="s">
        <v>418</v>
      </c>
      <c r="S350">
        <v>0.82</v>
      </c>
      <c r="T350">
        <v>4346</v>
      </c>
      <c r="U350">
        <v>0</v>
      </c>
      <c r="V350">
        <v>4346</v>
      </c>
    </row>
    <row r="351" spans="1:22" x14ac:dyDescent="0.3">
      <c r="A351">
        <v>79452</v>
      </c>
      <c r="B351">
        <v>136888362</v>
      </c>
      <c r="C351" t="s">
        <v>2565</v>
      </c>
      <c r="D351" t="s">
        <v>2566</v>
      </c>
      <c r="E351" t="s">
        <v>843</v>
      </c>
      <c r="F351" t="s">
        <v>844</v>
      </c>
      <c r="G351" t="s">
        <v>164</v>
      </c>
      <c r="H351" t="s">
        <v>165</v>
      </c>
      <c r="I351" t="s">
        <v>34</v>
      </c>
      <c r="J351" t="s">
        <v>166</v>
      </c>
      <c r="K351" t="s">
        <v>41</v>
      </c>
      <c r="L351" t="s">
        <v>2567</v>
      </c>
      <c r="M351" t="s">
        <v>2568</v>
      </c>
      <c r="N351" t="s">
        <v>847</v>
      </c>
      <c r="O351" t="s">
        <v>100</v>
      </c>
      <c r="P351" t="s">
        <v>2569</v>
      </c>
      <c r="Q351" t="s">
        <v>60</v>
      </c>
      <c r="R351" t="s">
        <v>418</v>
      </c>
      <c r="S351">
        <v>3.87</v>
      </c>
      <c r="T351">
        <v>5376</v>
      </c>
      <c r="U351">
        <v>0</v>
      </c>
      <c r="V351">
        <v>5376</v>
      </c>
    </row>
    <row r="352" spans="1:22" x14ac:dyDescent="0.3">
      <c r="A352">
        <v>79452</v>
      </c>
      <c r="B352">
        <v>136859653</v>
      </c>
      <c r="C352" t="s">
        <v>2570</v>
      </c>
      <c r="D352" t="s">
        <v>2571</v>
      </c>
      <c r="E352" t="s">
        <v>843</v>
      </c>
      <c r="F352" t="s">
        <v>844</v>
      </c>
      <c r="G352" t="s">
        <v>164</v>
      </c>
      <c r="H352" t="s">
        <v>165</v>
      </c>
      <c r="I352" t="s">
        <v>34</v>
      </c>
      <c r="J352" t="s">
        <v>166</v>
      </c>
      <c r="K352" t="s">
        <v>41</v>
      </c>
      <c r="L352" t="s">
        <v>2572</v>
      </c>
      <c r="M352" t="s">
        <v>2573</v>
      </c>
      <c r="N352" t="s">
        <v>847</v>
      </c>
      <c r="O352" t="s">
        <v>100</v>
      </c>
      <c r="P352" t="s">
        <v>2574</v>
      </c>
      <c r="Q352" t="s">
        <v>90</v>
      </c>
      <c r="R352" t="s">
        <v>328</v>
      </c>
      <c r="S352">
        <v>1.24</v>
      </c>
      <c r="T352">
        <v>3870</v>
      </c>
      <c r="U352">
        <v>0</v>
      </c>
      <c r="V352">
        <v>3870</v>
      </c>
    </row>
    <row r="353" spans="1:22" x14ac:dyDescent="0.3">
      <c r="A353">
        <v>79452</v>
      </c>
      <c r="B353">
        <v>136888395</v>
      </c>
      <c r="C353" t="s">
        <v>2575</v>
      </c>
      <c r="D353" t="s">
        <v>2576</v>
      </c>
      <c r="E353" t="s">
        <v>843</v>
      </c>
      <c r="F353" t="s">
        <v>844</v>
      </c>
      <c r="G353" t="s">
        <v>164</v>
      </c>
      <c r="H353" t="s">
        <v>165</v>
      </c>
      <c r="I353" t="s">
        <v>34</v>
      </c>
      <c r="J353" t="s">
        <v>166</v>
      </c>
      <c r="K353" t="s">
        <v>41</v>
      </c>
      <c r="L353" t="s">
        <v>2577</v>
      </c>
      <c r="M353" t="s">
        <v>541</v>
      </c>
      <c r="N353" t="s">
        <v>847</v>
      </c>
      <c r="O353" t="s">
        <v>100</v>
      </c>
      <c r="P353" t="s">
        <v>2578</v>
      </c>
      <c r="Q353" t="s">
        <v>72</v>
      </c>
      <c r="R353" t="s">
        <v>418</v>
      </c>
      <c r="S353">
        <v>1</v>
      </c>
      <c r="T353">
        <v>3784</v>
      </c>
      <c r="U353">
        <v>0</v>
      </c>
      <c r="V353">
        <v>3784</v>
      </c>
    </row>
    <row r="354" spans="1:22" x14ac:dyDescent="0.3">
      <c r="A354">
        <v>79452</v>
      </c>
      <c r="B354">
        <v>136859625</v>
      </c>
      <c r="C354" t="s">
        <v>2579</v>
      </c>
      <c r="D354" t="s">
        <v>2580</v>
      </c>
      <c r="E354" t="s">
        <v>843</v>
      </c>
      <c r="F354" t="s">
        <v>844</v>
      </c>
      <c r="G354" t="s">
        <v>164</v>
      </c>
      <c r="H354" t="s">
        <v>165</v>
      </c>
      <c r="I354" t="s">
        <v>34</v>
      </c>
      <c r="J354" t="s">
        <v>166</v>
      </c>
      <c r="K354" t="s">
        <v>41</v>
      </c>
      <c r="L354" t="s">
        <v>2581</v>
      </c>
      <c r="M354" t="s">
        <v>2582</v>
      </c>
      <c r="N354" t="s">
        <v>847</v>
      </c>
      <c r="O354" t="s">
        <v>100</v>
      </c>
      <c r="P354" t="s">
        <v>2583</v>
      </c>
      <c r="Q354" t="s">
        <v>72</v>
      </c>
      <c r="R354" t="s">
        <v>328</v>
      </c>
      <c r="S354">
        <v>0.91</v>
      </c>
      <c r="T354">
        <v>3784</v>
      </c>
      <c r="U354">
        <v>0</v>
      </c>
      <c r="V354">
        <v>3784</v>
      </c>
    </row>
    <row r="355" spans="1:22" x14ac:dyDescent="0.3">
      <c r="A355">
        <v>79452</v>
      </c>
      <c r="B355">
        <v>136859633</v>
      </c>
      <c r="C355" t="s">
        <v>2584</v>
      </c>
      <c r="D355" t="s">
        <v>2585</v>
      </c>
      <c r="E355" t="s">
        <v>843</v>
      </c>
      <c r="F355" t="s">
        <v>844</v>
      </c>
      <c r="G355" t="s">
        <v>164</v>
      </c>
      <c r="H355" t="s">
        <v>165</v>
      </c>
      <c r="I355" t="s">
        <v>34</v>
      </c>
      <c r="J355" t="s">
        <v>166</v>
      </c>
      <c r="K355" t="s">
        <v>41</v>
      </c>
      <c r="L355" t="s">
        <v>2586</v>
      </c>
      <c r="M355" t="s">
        <v>2587</v>
      </c>
      <c r="N355" t="s">
        <v>847</v>
      </c>
      <c r="O355" t="s">
        <v>100</v>
      </c>
      <c r="P355" t="s">
        <v>2588</v>
      </c>
      <c r="Q355" t="s">
        <v>72</v>
      </c>
      <c r="R355" t="s">
        <v>328</v>
      </c>
      <c r="S355">
        <v>1</v>
      </c>
      <c r="T355">
        <v>3784</v>
      </c>
      <c r="U355">
        <v>0</v>
      </c>
      <c r="V355">
        <v>3784</v>
      </c>
    </row>
    <row r="356" spans="1:22" x14ac:dyDescent="0.3">
      <c r="A356">
        <v>79452</v>
      </c>
      <c r="B356">
        <v>136888390</v>
      </c>
      <c r="C356" t="s">
        <v>2589</v>
      </c>
      <c r="D356" t="s">
        <v>2590</v>
      </c>
      <c r="E356" t="s">
        <v>843</v>
      </c>
      <c r="F356" t="s">
        <v>844</v>
      </c>
      <c r="G356" t="s">
        <v>164</v>
      </c>
      <c r="H356" t="s">
        <v>165</v>
      </c>
      <c r="I356" t="s">
        <v>34</v>
      </c>
      <c r="J356" t="s">
        <v>166</v>
      </c>
      <c r="K356" t="s">
        <v>41</v>
      </c>
      <c r="L356" t="s">
        <v>2591</v>
      </c>
      <c r="M356" t="s">
        <v>2592</v>
      </c>
      <c r="N356" t="s">
        <v>847</v>
      </c>
      <c r="O356" t="s">
        <v>100</v>
      </c>
      <c r="P356" t="s">
        <v>2593</v>
      </c>
      <c r="Q356" t="s">
        <v>59</v>
      </c>
      <c r="R356" t="s">
        <v>418</v>
      </c>
      <c r="S356">
        <v>1.37</v>
      </c>
      <c r="T356">
        <v>4067</v>
      </c>
      <c r="U356">
        <v>0</v>
      </c>
      <c r="V356">
        <v>4067</v>
      </c>
    </row>
    <row r="357" spans="1:22" x14ac:dyDescent="0.3">
      <c r="A357">
        <v>79452</v>
      </c>
      <c r="B357">
        <v>136825437</v>
      </c>
      <c r="C357" t="s">
        <v>2594</v>
      </c>
      <c r="D357" t="s">
        <v>2595</v>
      </c>
      <c r="E357" t="s">
        <v>843</v>
      </c>
      <c r="F357" t="s">
        <v>844</v>
      </c>
      <c r="G357" t="s">
        <v>164</v>
      </c>
      <c r="H357" t="s">
        <v>165</v>
      </c>
      <c r="I357" t="s">
        <v>34</v>
      </c>
      <c r="J357" t="s">
        <v>166</v>
      </c>
      <c r="K357" t="s">
        <v>41</v>
      </c>
      <c r="L357" t="s">
        <v>2596</v>
      </c>
      <c r="M357" t="s">
        <v>2597</v>
      </c>
      <c r="N357" t="s">
        <v>847</v>
      </c>
      <c r="O357" t="s">
        <v>100</v>
      </c>
      <c r="P357" t="s">
        <v>2598</v>
      </c>
      <c r="Q357" t="s">
        <v>57</v>
      </c>
      <c r="R357" t="s">
        <v>310</v>
      </c>
      <c r="S357">
        <v>1.03</v>
      </c>
      <c r="T357">
        <v>5476</v>
      </c>
      <c r="U357">
        <v>0</v>
      </c>
      <c r="V357">
        <v>5476</v>
      </c>
    </row>
    <row r="358" spans="1:22" x14ac:dyDescent="0.3">
      <c r="A358">
        <v>79452</v>
      </c>
      <c r="B358">
        <v>136792539</v>
      </c>
      <c r="C358" t="s">
        <v>2599</v>
      </c>
      <c r="D358" t="s">
        <v>2600</v>
      </c>
      <c r="E358" t="s">
        <v>843</v>
      </c>
      <c r="F358" t="s">
        <v>844</v>
      </c>
      <c r="G358" t="s">
        <v>164</v>
      </c>
      <c r="H358" t="s">
        <v>165</v>
      </c>
      <c r="I358" t="s">
        <v>34</v>
      </c>
      <c r="J358" t="s">
        <v>166</v>
      </c>
      <c r="K358" t="s">
        <v>41</v>
      </c>
      <c r="L358" t="s">
        <v>2601</v>
      </c>
      <c r="M358" t="s">
        <v>2602</v>
      </c>
      <c r="N358" t="s">
        <v>847</v>
      </c>
      <c r="O358" t="s">
        <v>100</v>
      </c>
      <c r="P358" t="s">
        <v>2603</v>
      </c>
      <c r="Q358" t="s">
        <v>54</v>
      </c>
      <c r="R358" t="s">
        <v>2207</v>
      </c>
      <c r="S358">
        <v>0.8</v>
      </c>
      <c r="T358">
        <v>5759</v>
      </c>
      <c r="U358">
        <v>0</v>
      </c>
      <c r="V358">
        <v>5759</v>
      </c>
    </row>
    <row r="359" spans="1:22" x14ac:dyDescent="0.3">
      <c r="A359">
        <v>79452</v>
      </c>
      <c r="B359">
        <v>136792505</v>
      </c>
      <c r="C359" t="s">
        <v>2604</v>
      </c>
      <c r="D359" t="s">
        <v>2605</v>
      </c>
      <c r="E359" t="s">
        <v>843</v>
      </c>
      <c r="F359" t="s">
        <v>844</v>
      </c>
      <c r="G359" t="s">
        <v>164</v>
      </c>
      <c r="H359" t="s">
        <v>165</v>
      </c>
      <c r="I359" t="s">
        <v>34</v>
      </c>
      <c r="J359" t="s">
        <v>166</v>
      </c>
      <c r="K359" t="s">
        <v>41</v>
      </c>
      <c r="L359" t="s">
        <v>2606</v>
      </c>
      <c r="M359" t="s">
        <v>2607</v>
      </c>
      <c r="N359" t="s">
        <v>847</v>
      </c>
      <c r="O359" t="s">
        <v>100</v>
      </c>
      <c r="P359" t="s">
        <v>2608</v>
      </c>
      <c r="Q359" t="s">
        <v>97</v>
      </c>
      <c r="R359" t="s">
        <v>2207</v>
      </c>
      <c r="S359">
        <v>2</v>
      </c>
      <c r="T359">
        <v>3366</v>
      </c>
      <c r="U359">
        <v>0</v>
      </c>
      <c r="V359">
        <v>3366</v>
      </c>
    </row>
    <row r="360" spans="1:22" x14ac:dyDescent="0.3">
      <c r="A360">
        <v>79452</v>
      </c>
      <c r="B360">
        <v>136825361</v>
      </c>
      <c r="C360" t="s">
        <v>2609</v>
      </c>
      <c r="D360" t="s">
        <v>2610</v>
      </c>
      <c r="E360" t="s">
        <v>843</v>
      </c>
      <c r="F360" t="s">
        <v>844</v>
      </c>
      <c r="G360" t="s">
        <v>164</v>
      </c>
      <c r="H360" t="s">
        <v>165</v>
      </c>
      <c r="I360" t="s">
        <v>34</v>
      </c>
      <c r="J360" t="s">
        <v>166</v>
      </c>
      <c r="K360" t="s">
        <v>41</v>
      </c>
      <c r="L360" t="s">
        <v>2611</v>
      </c>
      <c r="M360" t="s">
        <v>2612</v>
      </c>
      <c r="N360" t="s">
        <v>847</v>
      </c>
      <c r="O360" t="s">
        <v>100</v>
      </c>
      <c r="P360" t="s">
        <v>2613</v>
      </c>
      <c r="Q360" t="s">
        <v>69</v>
      </c>
      <c r="R360" t="s">
        <v>155</v>
      </c>
      <c r="S360">
        <v>0.72</v>
      </c>
      <c r="T360">
        <v>3753</v>
      </c>
      <c r="U360">
        <v>0</v>
      </c>
      <c r="V360">
        <v>3753</v>
      </c>
    </row>
    <row r="361" spans="1:22" x14ac:dyDescent="0.3">
      <c r="A361">
        <v>79452</v>
      </c>
      <c r="B361">
        <v>136792477</v>
      </c>
      <c r="C361" t="s">
        <v>2614</v>
      </c>
      <c r="D361" t="s">
        <v>2615</v>
      </c>
      <c r="E361" t="s">
        <v>843</v>
      </c>
      <c r="F361" t="s">
        <v>844</v>
      </c>
      <c r="G361" t="s">
        <v>164</v>
      </c>
      <c r="H361" t="s">
        <v>165</v>
      </c>
      <c r="I361" t="s">
        <v>34</v>
      </c>
      <c r="J361" t="s">
        <v>166</v>
      </c>
      <c r="K361" t="s">
        <v>41</v>
      </c>
      <c r="L361" t="s">
        <v>2616</v>
      </c>
      <c r="M361" t="s">
        <v>2617</v>
      </c>
      <c r="N361" t="s">
        <v>847</v>
      </c>
      <c r="O361" t="s">
        <v>100</v>
      </c>
      <c r="P361" t="s">
        <v>2618</v>
      </c>
      <c r="Q361" t="s">
        <v>59</v>
      </c>
      <c r="R361" t="s">
        <v>2464</v>
      </c>
      <c r="S361">
        <v>1</v>
      </c>
      <c r="T361">
        <v>4067</v>
      </c>
      <c r="U361">
        <v>0</v>
      </c>
      <c r="V361">
        <v>4067</v>
      </c>
    </row>
    <row r="362" spans="1:22" x14ac:dyDescent="0.3">
      <c r="A362">
        <v>79452</v>
      </c>
      <c r="B362">
        <v>136680898</v>
      </c>
      <c r="C362" t="s">
        <v>2619</v>
      </c>
      <c r="D362" t="s">
        <v>2620</v>
      </c>
      <c r="E362" t="s">
        <v>843</v>
      </c>
      <c r="F362" t="s">
        <v>844</v>
      </c>
      <c r="G362" t="s">
        <v>164</v>
      </c>
      <c r="H362" t="s">
        <v>165</v>
      </c>
      <c r="I362" t="s">
        <v>34</v>
      </c>
      <c r="J362" t="s">
        <v>166</v>
      </c>
      <c r="K362" t="s">
        <v>41</v>
      </c>
      <c r="L362" t="s">
        <v>2621</v>
      </c>
      <c r="M362" t="s">
        <v>2622</v>
      </c>
      <c r="N362" t="s">
        <v>847</v>
      </c>
      <c r="O362" t="s">
        <v>100</v>
      </c>
      <c r="P362" t="s">
        <v>2623</v>
      </c>
      <c r="Q362" t="s">
        <v>581</v>
      </c>
      <c r="R362" t="s">
        <v>365</v>
      </c>
      <c r="S362">
        <v>1</v>
      </c>
      <c r="T362">
        <v>4616</v>
      </c>
      <c r="U362">
        <v>0</v>
      </c>
      <c r="V362">
        <v>4616</v>
      </c>
    </row>
    <row r="363" spans="1:22" x14ac:dyDescent="0.3">
      <c r="A363">
        <v>79452</v>
      </c>
      <c r="B363">
        <v>136888401</v>
      </c>
      <c r="C363" t="s">
        <v>2624</v>
      </c>
      <c r="D363" t="s">
        <v>2625</v>
      </c>
      <c r="E363" t="s">
        <v>843</v>
      </c>
      <c r="F363" t="s">
        <v>844</v>
      </c>
      <c r="G363" t="s">
        <v>164</v>
      </c>
      <c r="H363" t="s">
        <v>165</v>
      </c>
      <c r="I363" t="s">
        <v>34</v>
      </c>
      <c r="J363" t="s">
        <v>166</v>
      </c>
      <c r="K363" t="s">
        <v>41</v>
      </c>
      <c r="L363" t="s">
        <v>2316</v>
      </c>
      <c r="M363" t="s">
        <v>2317</v>
      </c>
      <c r="N363" t="s">
        <v>847</v>
      </c>
      <c r="O363" t="s">
        <v>100</v>
      </c>
      <c r="P363" t="s">
        <v>2318</v>
      </c>
      <c r="Q363" t="s">
        <v>70</v>
      </c>
      <c r="R363" t="s">
        <v>418</v>
      </c>
      <c r="S363">
        <v>1.24</v>
      </c>
      <c r="T363">
        <v>3501</v>
      </c>
      <c r="U363">
        <v>0</v>
      </c>
      <c r="V363">
        <v>3501</v>
      </c>
    </row>
    <row r="364" spans="1:22" x14ac:dyDescent="0.3">
      <c r="A364">
        <v>79452</v>
      </c>
      <c r="B364">
        <v>136825392</v>
      </c>
      <c r="C364" t="s">
        <v>2626</v>
      </c>
      <c r="D364" t="s">
        <v>2627</v>
      </c>
      <c r="E364" t="s">
        <v>843</v>
      </c>
      <c r="F364" t="s">
        <v>844</v>
      </c>
      <c r="G364" t="s">
        <v>164</v>
      </c>
      <c r="H364" t="s">
        <v>165</v>
      </c>
      <c r="I364" t="s">
        <v>34</v>
      </c>
      <c r="J364" t="s">
        <v>166</v>
      </c>
      <c r="K364" t="s">
        <v>41</v>
      </c>
      <c r="L364" t="s">
        <v>192</v>
      </c>
      <c r="M364" t="s">
        <v>2628</v>
      </c>
      <c r="N364" t="s">
        <v>847</v>
      </c>
      <c r="O364" t="s">
        <v>100</v>
      </c>
      <c r="P364" t="s">
        <v>2629</v>
      </c>
      <c r="Q364" t="s">
        <v>93</v>
      </c>
      <c r="R364" t="s">
        <v>155</v>
      </c>
      <c r="S364">
        <v>2.09</v>
      </c>
      <c r="T364">
        <v>3366</v>
      </c>
      <c r="U364">
        <v>0</v>
      </c>
      <c r="V364">
        <v>3366</v>
      </c>
    </row>
    <row r="365" spans="1:22" x14ac:dyDescent="0.3">
      <c r="A365">
        <v>79452</v>
      </c>
      <c r="B365">
        <v>136825390</v>
      </c>
      <c r="C365" t="s">
        <v>2630</v>
      </c>
      <c r="D365" t="s">
        <v>2631</v>
      </c>
      <c r="E365" t="s">
        <v>843</v>
      </c>
      <c r="F365" t="s">
        <v>844</v>
      </c>
      <c r="G365" t="s">
        <v>164</v>
      </c>
      <c r="H365" t="s">
        <v>165</v>
      </c>
      <c r="I365" t="s">
        <v>34</v>
      </c>
      <c r="J365" t="s">
        <v>166</v>
      </c>
      <c r="K365" t="s">
        <v>41</v>
      </c>
      <c r="L365" t="s">
        <v>2632</v>
      </c>
      <c r="M365" t="s">
        <v>2633</v>
      </c>
      <c r="N365" t="s">
        <v>847</v>
      </c>
      <c r="O365" t="s">
        <v>100</v>
      </c>
      <c r="P365" t="s">
        <v>2634</v>
      </c>
      <c r="Q365" t="s">
        <v>83</v>
      </c>
      <c r="R365" t="s">
        <v>155</v>
      </c>
      <c r="S365">
        <v>2.04</v>
      </c>
      <c r="T365">
        <v>3366</v>
      </c>
      <c r="U365">
        <v>0</v>
      </c>
      <c r="V365">
        <v>3366</v>
      </c>
    </row>
    <row r="366" spans="1:22" x14ac:dyDescent="0.3">
      <c r="A366">
        <v>79452</v>
      </c>
      <c r="B366">
        <v>136859635</v>
      </c>
      <c r="C366" t="s">
        <v>2635</v>
      </c>
      <c r="D366" t="s">
        <v>2636</v>
      </c>
      <c r="E366" t="s">
        <v>843</v>
      </c>
      <c r="F366" t="s">
        <v>844</v>
      </c>
      <c r="G366" t="s">
        <v>164</v>
      </c>
      <c r="H366" t="s">
        <v>165</v>
      </c>
      <c r="I366" t="s">
        <v>34</v>
      </c>
      <c r="J366" t="s">
        <v>166</v>
      </c>
      <c r="K366" t="s">
        <v>41</v>
      </c>
      <c r="L366" t="s">
        <v>2637</v>
      </c>
      <c r="M366" t="s">
        <v>2638</v>
      </c>
      <c r="N366" t="s">
        <v>847</v>
      </c>
      <c r="O366" t="s">
        <v>100</v>
      </c>
      <c r="P366" t="s">
        <v>2639</v>
      </c>
      <c r="Q366" t="s">
        <v>78</v>
      </c>
      <c r="R366" t="s">
        <v>328</v>
      </c>
      <c r="S366">
        <v>1.43</v>
      </c>
      <c r="T366">
        <v>3784</v>
      </c>
      <c r="U366">
        <v>0</v>
      </c>
      <c r="V366">
        <v>3784</v>
      </c>
    </row>
    <row r="367" spans="1:22" x14ac:dyDescent="0.3">
      <c r="A367">
        <v>79452</v>
      </c>
      <c r="B367">
        <v>136680865</v>
      </c>
      <c r="C367" t="s">
        <v>2640</v>
      </c>
      <c r="D367" t="s">
        <v>2641</v>
      </c>
      <c r="E367" t="s">
        <v>843</v>
      </c>
      <c r="F367" t="s">
        <v>844</v>
      </c>
      <c r="G367" t="s">
        <v>164</v>
      </c>
      <c r="H367" t="s">
        <v>165</v>
      </c>
      <c r="I367" t="s">
        <v>34</v>
      </c>
      <c r="J367" t="s">
        <v>166</v>
      </c>
      <c r="K367" t="s">
        <v>41</v>
      </c>
      <c r="L367" t="s">
        <v>2642</v>
      </c>
      <c r="M367" t="s">
        <v>2643</v>
      </c>
      <c r="N367" t="s">
        <v>847</v>
      </c>
      <c r="O367" t="s">
        <v>100</v>
      </c>
      <c r="P367" t="s">
        <v>2644</v>
      </c>
      <c r="Q367" t="s">
        <v>67</v>
      </c>
      <c r="R367" t="s">
        <v>365</v>
      </c>
      <c r="S367">
        <v>0.99</v>
      </c>
      <c r="T367">
        <v>3784</v>
      </c>
      <c r="U367">
        <v>0</v>
      </c>
      <c r="V367">
        <v>3784</v>
      </c>
    </row>
    <row r="368" spans="1:22" x14ac:dyDescent="0.3">
      <c r="A368">
        <v>79452</v>
      </c>
      <c r="B368">
        <v>136859673</v>
      </c>
      <c r="C368" t="s">
        <v>2645</v>
      </c>
      <c r="D368" t="s">
        <v>2646</v>
      </c>
      <c r="E368" t="s">
        <v>843</v>
      </c>
      <c r="F368" t="s">
        <v>844</v>
      </c>
      <c r="G368" t="s">
        <v>164</v>
      </c>
      <c r="H368" t="s">
        <v>165</v>
      </c>
      <c r="I368" t="s">
        <v>34</v>
      </c>
      <c r="J368" t="s">
        <v>166</v>
      </c>
      <c r="K368" t="s">
        <v>41</v>
      </c>
      <c r="L368" t="s">
        <v>2647</v>
      </c>
      <c r="M368" t="s">
        <v>2648</v>
      </c>
      <c r="N368" t="s">
        <v>847</v>
      </c>
      <c r="O368" t="s">
        <v>100</v>
      </c>
      <c r="P368" t="s">
        <v>2649</v>
      </c>
      <c r="Q368" t="s">
        <v>97</v>
      </c>
      <c r="R368" t="s">
        <v>328</v>
      </c>
      <c r="S368">
        <v>1</v>
      </c>
      <c r="T368">
        <v>3366</v>
      </c>
      <c r="U368">
        <v>0</v>
      </c>
      <c r="V368">
        <v>3366</v>
      </c>
    </row>
    <row r="369" spans="1:22" x14ac:dyDescent="0.3">
      <c r="A369">
        <v>79452</v>
      </c>
      <c r="B369">
        <v>136888413</v>
      </c>
      <c r="C369" t="s">
        <v>2650</v>
      </c>
      <c r="D369" t="s">
        <v>2651</v>
      </c>
      <c r="E369" t="s">
        <v>843</v>
      </c>
      <c r="F369" t="s">
        <v>844</v>
      </c>
      <c r="G369" t="s">
        <v>164</v>
      </c>
      <c r="H369" t="s">
        <v>165</v>
      </c>
      <c r="I369" t="s">
        <v>34</v>
      </c>
      <c r="J369" t="s">
        <v>166</v>
      </c>
      <c r="K369" t="s">
        <v>41</v>
      </c>
      <c r="L369" t="s">
        <v>2652</v>
      </c>
      <c r="M369" t="s">
        <v>2653</v>
      </c>
      <c r="N369" t="s">
        <v>847</v>
      </c>
      <c r="O369" t="s">
        <v>100</v>
      </c>
      <c r="P369" t="s">
        <v>2654</v>
      </c>
      <c r="Q369" t="s">
        <v>50</v>
      </c>
      <c r="R369" t="s">
        <v>418</v>
      </c>
      <c r="S369">
        <v>1.22</v>
      </c>
      <c r="T369">
        <v>3784</v>
      </c>
      <c r="U369">
        <v>0</v>
      </c>
      <c r="V369">
        <v>3784</v>
      </c>
    </row>
    <row r="370" spans="1:22" x14ac:dyDescent="0.3">
      <c r="A370">
        <v>79452</v>
      </c>
      <c r="B370">
        <v>136825396</v>
      </c>
      <c r="C370" t="s">
        <v>2655</v>
      </c>
      <c r="D370" t="s">
        <v>2656</v>
      </c>
      <c r="E370" t="s">
        <v>843</v>
      </c>
      <c r="F370" t="s">
        <v>844</v>
      </c>
      <c r="G370" t="s">
        <v>164</v>
      </c>
      <c r="H370" t="s">
        <v>165</v>
      </c>
      <c r="I370" t="s">
        <v>34</v>
      </c>
      <c r="J370" t="s">
        <v>166</v>
      </c>
      <c r="K370" t="s">
        <v>41</v>
      </c>
      <c r="L370" t="s">
        <v>2657</v>
      </c>
      <c r="M370" t="s">
        <v>2658</v>
      </c>
      <c r="N370" t="s">
        <v>847</v>
      </c>
      <c r="O370" t="s">
        <v>100</v>
      </c>
      <c r="P370" t="s">
        <v>2659</v>
      </c>
      <c r="Q370" t="s">
        <v>71</v>
      </c>
      <c r="R370" t="s">
        <v>155</v>
      </c>
      <c r="S370">
        <v>1.18</v>
      </c>
      <c r="T370">
        <v>3501</v>
      </c>
      <c r="U370">
        <v>0</v>
      </c>
      <c r="V370">
        <v>3501</v>
      </c>
    </row>
    <row r="371" spans="1:22" x14ac:dyDescent="0.3">
      <c r="A371">
        <v>79452</v>
      </c>
      <c r="B371">
        <v>136825357</v>
      </c>
      <c r="C371" t="s">
        <v>2660</v>
      </c>
      <c r="D371" t="s">
        <v>2661</v>
      </c>
      <c r="E371" t="s">
        <v>843</v>
      </c>
      <c r="F371" t="s">
        <v>844</v>
      </c>
      <c r="G371" t="s">
        <v>164</v>
      </c>
      <c r="H371" t="s">
        <v>165</v>
      </c>
      <c r="I371" t="s">
        <v>34</v>
      </c>
      <c r="J371" t="s">
        <v>166</v>
      </c>
      <c r="K371" t="s">
        <v>41</v>
      </c>
      <c r="L371" t="s">
        <v>2662</v>
      </c>
      <c r="M371" t="s">
        <v>2663</v>
      </c>
      <c r="N371" t="s">
        <v>847</v>
      </c>
      <c r="O371" t="s">
        <v>100</v>
      </c>
      <c r="P371" t="s">
        <v>2664</v>
      </c>
      <c r="Q371" t="s">
        <v>229</v>
      </c>
      <c r="R371" t="s">
        <v>155</v>
      </c>
      <c r="S371">
        <v>1.27</v>
      </c>
      <c r="T371">
        <v>4067</v>
      </c>
      <c r="U371">
        <v>0</v>
      </c>
      <c r="V371">
        <v>4067</v>
      </c>
    </row>
    <row r="372" spans="1:22" x14ac:dyDescent="0.3">
      <c r="A372">
        <v>79452</v>
      </c>
      <c r="B372">
        <v>136792530</v>
      </c>
      <c r="C372" t="s">
        <v>2665</v>
      </c>
      <c r="D372" t="s">
        <v>2666</v>
      </c>
      <c r="E372" t="s">
        <v>843</v>
      </c>
      <c r="F372" t="s">
        <v>844</v>
      </c>
      <c r="G372" t="s">
        <v>164</v>
      </c>
      <c r="H372" t="s">
        <v>165</v>
      </c>
      <c r="I372" t="s">
        <v>34</v>
      </c>
      <c r="J372" t="s">
        <v>166</v>
      </c>
      <c r="K372" t="s">
        <v>41</v>
      </c>
      <c r="L372" t="s">
        <v>2667</v>
      </c>
      <c r="M372" t="s">
        <v>464</v>
      </c>
      <c r="N372" t="s">
        <v>847</v>
      </c>
      <c r="O372" t="s">
        <v>100</v>
      </c>
      <c r="P372" t="s">
        <v>2668</v>
      </c>
      <c r="Q372" t="s">
        <v>59</v>
      </c>
      <c r="R372" t="s">
        <v>2207</v>
      </c>
      <c r="S372">
        <v>1.22</v>
      </c>
      <c r="T372">
        <v>4067</v>
      </c>
      <c r="U372">
        <v>0</v>
      </c>
      <c r="V372">
        <v>4067</v>
      </c>
    </row>
    <row r="373" spans="1:22" x14ac:dyDescent="0.3">
      <c r="A373">
        <v>79452</v>
      </c>
      <c r="B373">
        <v>136756228</v>
      </c>
      <c r="C373" t="s">
        <v>2669</v>
      </c>
      <c r="D373" t="s">
        <v>2670</v>
      </c>
      <c r="E373" t="s">
        <v>843</v>
      </c>
      <c r="F373" t="s">
        <v>844</v>
      </c>
      <c r="G373" t="s">
        <v>164</v>
      </c>
      <c r="H373" t="s">
        <v>165</v>
      </c>
      <c r="I373" t="s">
        <v>34</v>
      </c>
      <c r="J373" t="s">
        <v>166</v>
      </c>
      <c r="K373" t="s">
        <v>41</v>
      </c>
      <c r="L373" t="s">
        <v>2671</v>
      </c>
      <c r="M373" t="s">
        <v>2672</v>
      </c>
      <c r="N373" t="s">
        <v>847</v>
      </c>
      <c r="O373" t="s">
        <v>100</v>
      </c>
      <c r="P373" t="s">
        <v>2673</v>
      </c>
      <c r="Q373" t="s">
        <v>211</v>
      </c>
      <c r="R373" t="s">
        <v>782</v>
      </c>
      <c r="S373">
        <v>0.78</v>
      </c>
      <c r="T373">
        <v>4067</v>
      </c>
      <c r="U373">
        <v>0</v>
      </c>
      <c r="V373">
        <v>4067</v>
      </c>
    </row>
    <row r="374" spans="1:22" x14ac:dyDescent="0.3">
      <c r="A374">
        <v>79452</v>
      </c>
      <c r="B374">
        <v>136680885</v>
      </c>
      <c r="C374" t="s">
        <v>2674</v>
      </c>
      <c r="D374" t="s">
        <v>2675</v>
      </c>
      <c r="E374" t="s">
        <v>843</v>
      </c>
      <c r="F374" t="s">
        <v>844</v>
      </c>
      <c r="G374" t="s">
        <v>164</v>
      </c>
      <c r="H374" t="s">
        <v>165</v>
      </c>
      <c r="I374" t="s">
        <v>34</v>
      </c>
      <c r="J374" t="s">
        <v>166</v>
      </c>
      <c r="K374" t="s">
        <v>41</v>
      </c>
      <c r="L374" t="s">
        <v>2676</v>
      </c>
      <c r="M374" t="s">
        <v>2677</v>
      </c>
      <c r="N374" t="s">
        <v>847</v>
      </c>
      <c r="O374" t="s">
        <v>100</v>
      </c>
      <c r="P374" t="s">
        <v>2678</v>
      </c>
      <c r="Q374" t="s">
        <v>72</v>
      </c>
      <c r="R374" t="s">
        <v>365</v>
      </c>
      <c r="S374">
        <v>1.02</v>
      </c>
      <c r="T374">
        <v>3784</v>
      </c>
      <c r="U374">
        <v>0</v>
      </c>
      <c r="V374">
        <v>3784</v>
      </c>
    </row>
    <row r="375" spans="1:22" x14ac:dyDescent="0.3">
      <c r="A375">
        <v>79452</v>
      </c>
      <c r="B375">
        <v>136792474</v>
      </c>
      <c r="C375" t="s">
        <v>2679</v>
      </c>
      <c r="D375" t="s">
        <v>2680</v>
      </c>
      <c r="E375" t="s">
        <v>843</v>
      </c>
      <c r="F375" t="s">
        <v>844</v>
      </c>
      <c r="G375" t="s">
        <v>164</v>
      </c>
      <c r="H375" t="s">
        <v>165</v>
      </c>
      <c r="I375" t="s">
        <v>34</v>
      </c>
      <c r="J375" t="s">
        <v>166</v>
      </c>
      <c r="K375" t="s">
        <v>41</v>
      </c>
      <c r="L375" t="s">
        <v>408</v>
      </c>
      <c r="M375" t="s">
        <v>2681</v>
      </c>
      <c r="N375" t="s">
        <v>847</v>
      </c>
      <c r="O375" t="s">
        <v>100</v>
      </c>
      <c r="P375" t="s">
        <v>2682</v>
      </c>
      <c r="Q375" t="s">
        <v>78</v>
      </c>
      <c r="R375" t="s">
        <v>2464</v>
      </c>
      <c r="S375">
        <v>0.9</v>
      </c>
      <c r="T375">
        <v>3784</v>
      </c>
      <c r="U375">
        <v>0</v>
      </c>
      <c r="V375">
        <v>3784</v>
      </c>
    </row>
    <row r="376" spans="1:22" x14ac:dyDescent="0.3">
      <c r="A376">
        <v>79452</v>
      </c>
      <c r="B376">
        <v>136541745</v>
      </c>
      <c r="C376" t="s">
        <v>2683</v>
      </c>
      <c r="D376" t="s">
        <v>2684</v>
      </c>
      <c r="E376" t="s">
        <v>843</v>
      </c>
      <c r="F376" t="s">
        <v>844</v>
      </c>
      <c r="G376" t="s">
        <v>164</v>
      </c>
      <c r="H376" t="s">
        <v>165</v>
      </c>
      <c r="I376" t="s">
        <v>34</v>
      </c>
      <c r="J376" t="s">
        <v>166</v>
      </c>
      <c r="K376" t="s">
        <v>41</v>
      </c>
      <c r="L376" t="s">
        <v>2685</v>
      </c>
      <c r="M376" t="s">
        <v>2686</v>
      </c>
      <c r="N376" t="s">
        <v>847</v>
      </c>
      <c r="O376" t="s">
        <v>100</v>
      </c>
      <c r="P376" t="s">
        <v>2687</v>
      </c>
      <c r="Q376" t="s">
        <v>58</v>
      </c>
      <c r="R376" t="s">
        <v>2688</v>
      </c>
      <c r="S376">
        <v>1</v>
      </c>
      <c r="T376">
        <v>5759</v>
      </c>
      <c r="U376">
        <v>0</v>
      </c>
      <c r="V376">
        <v>5759</v>
      </c>
    </row>
    <row r="377" spans="1:22" x14ac:dyDescent="0.3">
      <c r="A377">
        <v>79452</v>
      </c>
      <c r="B377">
        <v>136792526</v>
      </c>
      <c r="C377" t="s">
        <v>2689</v>
      </c>
      <c r="D377" t="s">
        <v>2690</v>
      </c>
      <c r="E377" t="s">
        <v>843</v>
      </c>
      <c r="F377" t="s">
        <v>844</v>
      </c>
      <c r="G377" t="s">
        <v>164</v>
      </c>
      <c r="H377" t="s">
        <v>165</v>
      </c>
      <c r="I377" t="s">
        <v>34</v>
      </c>
      <c r="J377" t="s">
        <v>166</v>
      </c>
      <c r="K377" t="s">
        <v>41</v>
      </c>
      <c r="L377" t="s">
        <v>2691</v>
      </c>
      <c r="M377" t="s">
        <v>2692</v>
      </c>
      <c r="N377" t="s">
        <v>847</v>
      </c>
      <c r="O377" t="s">
        <v>100</v>
      </c>
      <c r="P377" t="s">
        <v>2693</v>
      </c>
      <c r="Q377" t="s">
        <v>64</v>
      </c>
      <c r="R377" t="s">
        <v>2207</v>
      </c>
      <c r="S377">
        <v>0.8</v>
      </c>
      <c r="T377">
        <v>4067</v>
      </c>
      <c r="U377">
        <v>0</v>
      </c>
      <c r="V377">
        <v>4067</v>
      </c>
    </row>
    <row r="378" spans="1:22" x14ac:dyDescent="0.3">
      <c r="A378">
        <v>79452</v>
      </c>
      <c r="B378">
        <v>136825422</v>
      </c>
      <c r="C378" t="s">
        <v>2694</v>
      </c>
      <c r="D378" t="s">
        <v>2695</v>
      </c>
      <c r="E378" t="s">
        <v>843</v>
      </c>
      <c r="F378" t="s">
        <v>844</v>
      </c>
      <c r="G378" t="s">
        <v>164</v>
      </c>
      <c r="H378" t="s">
        <v>165</v>
      </c>
      <c r="I378" t="s">
        <v>34</v>
      </c>
      <c r="J378" t="s">
        <v>166</v>
      </c>
      <c r="K378" t="s">
        <v>41</v>
      </c>
      <c r="L378" t="s">
        <v>2696</v>
      </c>
      <c r="M378" t="s">
        <v>578</v>
      </c>
      <c r="N378" t="s">
        <v>847</v>
      </c>
      <c r="O378" t="s">
        <v>100</v>
      </c>
      <c r="P378" t="s">
        <v>2697</v>
      </c>
      <c r="Q378" t="s">
        <v>64</v>
      </c>
      <c r="R378" t="s">
        <v>310</v>
      </c>
      <c r="S378">
        <v>1.17</v>
      </c>
      <c r="T378">
        <v>4067</v>
      </c>
      <c r="U378">
        <v>0</v>
      </c>
      <c r="V378">
        <v>4067</v>
      </c>
    </row>
    <row r="379" spans="1:22" x14ac:dyDescent="0.3">
      <c r="A379">
        <v>79452</v>
      </c>
      <c r="B379">
        <v>136756173</v>
      </c>
      <c r="C379" t="s">
        <v>2698</v>
      </c>
      <c r="D379" t="s">
        <v>2699</v>
      </c>
      <c r="E379" t="s">
        <v>843</v>
      </c>
      <c r="F379" t="s">
        <v>844</v>
      </c>
      <c r="G379" t="s">
        <v>164</v>
      </c>
      <c r="H379" t="s">
        <v>165</v>
      </c>
      <c r="I379" t="s">
        <v>34</v>
      </c>
      <c r="J379" t="s">
        <v>166</v>
      </c>
      <c r="K379" t="s">
        <v>41</v>
      </c>
      <c r="L379" t="s">
        <v>2700</v>
      </c>
      <c r="M379" t="s">
        <v>2701</v>
      </c>
      <c r="N379" t="s">
        <v>847</v>
      </c>
      <c r="O379" t="s">
        <v>100</v>
      </c>
      <c r="P379" t="s">
        <v>2702</v>
      </c>
      <c r="Q379" t="s">
        <v>55</v>
      </c>
      <c r="R379" t="s">
        <v>782</v>
      </c>
      <c r="S379">
        <v>0.78</v>
      </c>
      <c r="T379">
        <v>5198</v>
      </c>
      <c r="U379">
        <v>0</v>
      </c>
      <c r="V379">
        <v>5198</v>
      </c>
    </row>
    <row r="380" spans="1:22" x14ac:dyDescent="0.3">
      <c r="A380">
        <v>79452</v>
      </c>
      <c r="B380">
        <v>136792521</v>
      </c>
      <c r="C380" t="s">
        <v>2703</v>
      </c>
      <c r="D380" t="s">
        <v>2704</v>
      </c>
      <c r="E380" t="s">
        <v>843</v>
      </c>
      <c r="F380" t="s">
        <v>844</v>
      </c>
      <c r="G380" t="s">
        <v>164</v>
      </c>
      <c r="H380" t="s">
        <v>165</v>
      </c>
      <c r="I380" t="s">
        <v>34</v>
      </c>
      <c r="J380" t="s">
        <v>166</v>
      </c>
      <c r="K380" t="s">
        <v>41</v>
      </c>
      <c r="L380" t="s">
        <v>2705</v>
      </c>
      <c r="M380" t="s">
        <v>2706</v>
      </c>
      <c r="N380" t="s">
        <v>847</v>
      </c>
      <c r="O380" t="s">
        <v>100</v>
      </c>
      <c r="P380" t="s">
        <v>1435</v>
      </c>
      <c r="Q380" t="s">
        <v>84</v>
      </c>
      <c r="R380" t="s">
        <v>2207</v>
      </c>
      <c r="S380">
        <v>1.24</v>
      </c>
      <c r="T380">
        <v>3366</v>
      </c>
      <c r="U380">
        <v>0</v>
      </c>
      <c r="V380">
        <v>3366</v>
      </c>
    </row>
    <row r="381" spans="1:22" x14ac:dyDescent="0.3">
      <c r="A381">
        <v>79452</v>
      </c>
      <c r="B381">
        <v>136634969</v>
      </c>
      <c r="C381" t="s">
        <v>2707</v>
      </c>
      <c r="D381" t="s">
        <v>2708</v>
      </c>
      <c r="E381" t="s">
        <v>843</v>
      </c>
      <c r="F381" t="s">
        <v>844</v>
      </c>
      <c r="G381" t="s">
        <v>164</v>
      </c>
      <c r="H381" t="s">
        <v>165</v>
      </c>
      <c r="I381" t="s">
        <v>34</v>
      </c>
      <c r="J381" t="s">
        <v>166</v>
      </c>
      <c r="K381" t="s">
        <v>41</v>
      </c>
      <c r="L381" t="s">
        <v>2709</v>
      </c>
      <c r="M381" t="s">
        <v>2710</v>
      </c>
      <c r="N381" t="s">
        <v>847</v>
      </c>
      <c r="O381" t="s">
        <v>100</v>
      </c>
      <c r="P381" t="s">
        <v>2711</v>
      </c>
      <c r="Q381" t="s">
        <v>55</v>
      </c>
      <c r="R381" t="s">
        <v>475</v>
      </c>
      <c r="S381">
        <v>1.29</v>
      </c>
      <c r="T381">
        <v>5198</v>
      </c>
      <c r="U381">
        <v>0</v>
      </c>
      <c r="V381">
        <v>5198</v>
      </c>
    </row>
    <row r="382" spans="1:22" x14ac:dyDescent="0.3">
      <c r="A382">
        <v>79452</v>
      </c>
      <c r="B382">
        <v>136792486</v>
      </c>
      <c r="C382" t="s">
        <v>2712</v>
      </c>
      <c r="D382" t="s">
        <v>2713</v>
      </c>
      <c r="E382" t="s">
        <v>843</v>
      </c>
      <c r="F382" t="s">
        <v>844</v>
      </c>
      <c r="G382" t="s">
        <v>164</v>
      </c>
      <c r="H382" t="s">
        <v>165</v>
      </c>
      <c r="I382" t="s">
        <v>34</v>
      </c>
      <c r="J382" t="s">
        <v>166</v>
      </c>
      <c r="K382" t="s">
        <v>41</v>
      </c>
      <c r="L382" t="s">
        <v>2714</v>
      </c>
      <c r="M382" t="s">
        <v>2715</v>
      </c>
      <c r="N382" t="s">
        <v>847</v>
      </c>
      <c r="O382" t="s">
        <v>100</v>
      </c>
      <c r="P382" t="s">
        <v>2716</v>
      </c>
      <c r="Q382" t="s">
        <v>84</v>
      </c>
      <c r="R382" t="s">
        <v>2207</v>
      </c>
      <c r="S382">
        <v>1.27</v>
      </c>
      <c r="T382">
        <v>3366</v>
      </c>
      <c r="U382">
        <v>0</v>
      </c>
      <c r="V382">
        <v>3366</v>
      </c>
    </row>
    <row r="383" spans="1:22" x14ac:dyDescent="0.3">
      <c r="A383">
        <v>79452</v>
      </c>
      <c r="B383">
        <v>136635046</v>
      </c>
      <c r="C383" t="s">
        <v>2717</v>
      </c>
      <c r="D383" t="s">
        <v>2718</v>
      </c>
      <c r="E383" t="s">
        <v>843</v>
      </c>
      <c r="F383" t="s">
        <v>844</v>
      </c>
      <c r="G383" t="s">
        <v>164</v>
      </c>
      <c r="H383" t="s">
        <v>165</v>
      </c>
      <c r="I383" t="s">
        <v>34</v>
      </c>
      <c r="J383" t="s">
        <v>166</v>
      </c>
      <c r="K383" t="s">
        <v>41</v>
      </c>
      <c r="L383" t="s">
        <v>2719</v>
      </c>
      <c r="M383" t="s">
        <v>2720</v>
      </c>
      <c r="N383" t="s">
        <v>847</v>
      </c>
      <c r="O383" t="s">
        <v>100</v>
      </c>
      <c r="P383" t="s">
        <v>2721</v>
      </c>
      <c r="Q383" t="s">
        <v>84</v>
      </c>
      <c r="R383" t="s">
        <v>475</v>
      </c>
      <c r="S383">
        <v>1</v>
      </c>
      <c r="T383">
        <v>3366</v>
      </c>
      <c r="U383">
        <v>0</v>
      </c>
      <c r="V383">
        <v>3366</v>
      </c>
    </row>
    <row r="384" spans="1:22" x14ac:dyDescent="0.3">
      <c r="A384">
        <v>79452</v>
      </c>
      <c r="B384">
        <v>136792541</v>
      </c>
      <c r="C384" t="s">
        <v>2722</v>
      </c>
      <c r="D384" t="s">
        <v>2723</v>
      </c>
      <c r="E384" t="s">
        <v>843</v>
      </c>
      <c r="F384" t="s">
        <v>844</v>
      </c>
      <c r="G384" t="s">
        <v>164</v>
      </c>
      <c r="H384" t="s">
        <v>165</v>
      </c>
      <c r="I384" t="s">
        <v>34</v>
      </c>
      <c r="J384" t="s">
        <v>166</v>
      </c>
      <c r="K384" t="s">
        <v>41</v>
      </c>
      <c r="L384" t="s">
        <v>2724</v>
      </c>
      <c r="M384" t="s">
        <v>2725</v>
      </c>
      <c r="N384" t="s">
        <v>847</v>
      </c>
      <c r="O384" t="s">
        <v>100</v>
      </c>
      <c r="P384" t="s">
        <v>2726</v>
      </c>
      <c r="Q384" t="s">
        <v>72</v>
      </c>
      <c r="R384" t="s">
        <v>2207</v>
      </c>
      <c r="S384">
        <v>1.63</v>
      </c>
      <c r="T384">
        <v>3784</v>
      </c>
      <c r="U384">
        <v>0</v>
      </c>
      <c r="V384">
        <v>3784</v>
      </c>
    </row>
    <row r="385" spans="1:22" x14ac:dyDescent="0.3">
      <c r="A385">
        <v>79452</v>
      </c>
      <c r="B385">
        <v>136825386</v>
      </c>
      <c r="C385" t="s">
        <v>2727</v>
      </c>
      <c r="D385" t="s">
        <v>2728</v>
      </c>
      <c r="E385" t="s">
        <v>843</v>
      </c>
      <c r="F385" t="s">
        <v>844</v>
      </c>
      <c r="G385" t="s">
        <v>164</v>
      </c>
      <c r="H385" t="s">
        <v>165</v>
      </c>
      <c r="I385" t="s">
        <v>34</v>
      </c>
      <c r="J385" t="s">
        <v>166</v>
      </c>
      <c r="K385" t="s">
        <v>41</v>
      </c>
      <c r="L385" t="s">
        <v>2729</v>
      </c>
      <c r="M385" t="s">
        <v>2730</v>
      </c>
      <c r="N385" t="s">
        <v>847</v>
      </c>
      <c r="O385" t="s">
        <v>100</v>
      </c>
      <c r="P385" t="s">
        <v>2731</v>
      </c>
      <c r="Q385" t="s">
        <v>84</v>
      </c>
      <c r="R385" t="s">
        <v>155</v>
      </c>
      <c r="S385">
        <v>1.3</v>
      </c>
      <c r="T385">
        <v>3366</v>
      </c>
      <c r="U385">
        <v>0</v>
      </c>
      <c r="V385">
        <v>3366</v>
      </c>
    </row>
    <row r="386" spans="1:22" x14ac:dyDescent="0.3">
      <c r="A386">
        <v>79452</v>
      </c>
      <c r="B386">
        <v>136723336</v>
      </c>
      <c r="C386" t="s">
        <v>2732</v>
      </c>
      <c r="D386" t="s">
        <v>2733</v>
      </c>
      <c r="E386" t="s">
        <v>843</v>
      </c>
      <c r="F386" t="s">
        <v>844</v>
      </c>
      <c r="G386" t="s">
        <v>164</v>
      </c>
      <c r="H386" t="s">
        <v>165</v>
      </c>
      <c r="I386" t="s">
        <v>34</v>
      </c>
      <c r="J386" t="s">
        <v>166</v>
      </c>
      <c r="K386" t="s">
        <v>41</v>
      </c>
      <c r="L386" t="s">
        <v>2734</v>
      </c>
      <c r="M386" t="s">
        <v>2735</v>
      </c>
      <c r="N386" t="s">
        <v>847</v>
      </c>
      <c r="O386" t="s">
        <v>100</v>
      </c>
      <c r="P386" t="s">
        <v>2736</v>
      </c>
      <c r="Q386" t="s">
        <v>63</v>
      </c>
      <c r="R386" t="s">
        <v>1338</v>
      </c>
      <c r="S386">
        <v>1</v>
      </c>
      <c r="T386">
        <v>4067</v>
      </c>
      <c r="U386">
        <v>0</v>
      </c>
      <c r="V386">
        <v>4067</v>
      </c>
    </row>
    <row r="387" spans="1:22" x14ac:dyDescent="0.3">
      <c r="A387">
        <v>79452</v>
      </c>
      <c r="B387">
        <v>136825360</v>
      </c>
      <c r="C387" t="s">
        <v>2737</v>
      </c>
      <c r="D387" t="s">
        <v>2738</v>
      </c>
      <c r="E387" t="s">
        <v>843</v>
      </c>
      <c r="F387" t="s">
        <v>844</v>
      </c>
      <c r="G387" t="s">
        <v>164</v>
      </c>
      <c r="H387" t="s">
        <v>165</v>
      </c>
      <c r="I387" t="s">
        <v>34</v>
      </c>
      <c r="J387" t="s">
        <v>166</v>
      </c>
      <c r="K387" t="s">
        <v>41</v>
      </c>
      <c r="L387" t="s">
        <v>2739</v>
      </c>
      <c r="M387" t="s">
        <v>2740</v>
      </c>
      <c r="N387" t="s">
        <v>847</v>
      </c>
      <c r="O387" t="s">
        <v>100</v>
      </c>
      <c r="P387" t="s">
        <v>2741</v>
      </c>
      <c r="Q387" t="s">
        <v>69</v>
      </c>
      <c r="R387" t="s">
        <v>155</v>
      </c>
      <c r="S387">
        <v>0.69</v>
      </c>
      <c r="T387">
        <v>3753</v>
      </c>
      <c r="U387">
        <v>0</v>
      </c>
      <c r="V387">
        <v>3753</v>
      </c>
    </row>
    <row r="388" spans="1:22" x14ac:dyDescent="0.3">
      <c r="A388">
        <v>79452</v>
      </c>
      <c r="B388">
        <v>136756166</v>
      </c>
      <c r="C388" t="s">
        <v>2742</v>
      </c>
      <c r="D388" t="s">
        <v>2743</v>
      </c>
      <c r="E388" t="s">
        <v>843</v>
      </c>
      <c r="F388" t="s">
        <v>844</v>
      </c>
      <c r="G388" t="s">
        <v>164</v>
      </c>
      <c r="H388" t="s">
        <v>165</v>
      </c>
      <c r="I388" t="s">
        <v>34</v>
      </c>
      <c r="J388" t="s">
        <v>166</v>
      </c>
      <c r="K388" t="s">
        <v>41</v>
      </c>
      <c r="L388" t="s">
        <v>2744</v>
      </c>
      <c r="M388" t="s">
        <v>2745</v>
      </c>
      <c r="N388" t="s">
        <v>847</v>
      </c>
      <c r="O388" t="s">
        <v>100</v>
      </c>
      <c r="P388" t="s">
        <v>2746</v>
      </c>
      <c r="Q388" t="s">
        <v>59</v>
      </c>
      <c r="R388" t="s">
        <v>782</v>
      </c>
      <c r="S388">
        <v>1.1599999999999999</v>
      </c>
      <c r="T388">
        <v>4067</v>
      </c>
      <c r="U388">
        <v>0</v>
      </c>
      <c r="V388">
        <v>4067</v>
      </c>
    </row>
    <row r="389" spans="1:22" x14ac:dyDescent="0.3">
      <c r="A389">
        <v>79452</v>
      </c>
      <c r="B389">
        <v>136635075</v>
      </c>
      <c r="C389" t="s">
        <v>2747</v>
      </c>
      <c r="D389" t="s">
        <v>2748</v>
      </c>
      <c r="E389" t="s">
        <v>843</v>
      </c>
      <c r="F389" t="s">
        <v>844</v>
      </c>
      <c r="G389" t="s">
        <v>164</v>
      </c>
      <c r="H389" t="s">
        <v>165</v>
      </c>
      <c r="I389" t="s">
        <v>34</v>
      </c>
      <c r="J389" t="s">
        <v>166</v>
      </c>
      <c r="K389" t="s">
        <v>41</v>
      </c>
      <c r="L389" t="s">
        <v>2749</v>
      </c>
      <c r="M389" t="s">
        <v>2750</v>
      </c>
      <c r="N389" t="s">
        <v>847</v>
      </c>
      <c r="O389" t="s">
        <v>100</v>
      </c>
      <c r="P389" t="s">
        <v>2751</v>
      </c>
      <c r="Q389" t="s">
        <v>55</v>
      </c>
      <c r="R389" t="s">
        <v>2480</v>
      </c>
      <c r="S389">
        <v>1.6</v>
      </c>
      <c r="T389">
        <v>5198</v>
      </c>
      <c r="U389">
        <v>0</v>
      </c>
      <c r="V389">
        <v>5198</v>
      </c>
    </row>
    <row r="390" spans="1:22" x14ac:dyDescent="0.3">
      <c r="A390">
        <v>79452</v>
      </c>
      <c r="B390">
        <v>136756216</v>
      </c>
      <c r="C390" t="s">
        <v>2752</v>
      </c>
      <c r="D390" t="s">
        <v>2753</v>
      </c>
      <c r="E390" t="s">
        <v>843</v>
      </c>
      <c r="F390" t="s">
        <v>844</v>
      </c>
      <c r="G390" t="s">
        <v>164</v>
      </c>
      <c r="H390" t="s">
        <v>165</v>
      </c>
      <c r="I390" t="s">
        <v>34</v>
      </c>
      <c r="J390" t="s">
        <v>166</v>
      </c>
      <c r="K390" t="s">
        <v>41</v>
      </c>
      <c r="L390" t="s">
        <v>2754</v>
      </c>
      <c r="M390" t="s">
        <v>2755</v>
      </c>
      <c r="N390" t="s">
        <v>847</v>
      </c>
      <c r="O390" t="s">
        <v>100</v>
      </c>
      <c r="P390" t="s">
        <v>2756</v>
      </c>
      <c r="Q390" t="s">
        <v>169</v>
      </c>
      <c r="R390" t="s">
        <v>782</v>
      </c>
      <c r="S390">
        <v>1.18</v>
      </c>
      <c r="T390">
        <v>4346</v>
      </c>
      <c r="U390">
        <v>0</v>
      </c>
      <c r="V390">
        <v>4346</v>
      </c>
    </row>
    <row r="391" spans="1:22" x14ac:dyDescent="0.3">
      <c r="A391">
        <v>79452</v>
      </c>
      <c r="B391">
        <v>136723341</v>
      </c>
      <c r="C391" t="s">
        <v>2757</v>
      </c>
      <c r="D391" t="s">
        <v>2758</v>
      </c>
      <c r="E391" t="s">
        <v>843</v>
      </c>
      <c r="F391" t="s">
        <v>844</v>
      </c>
      <c r="G391" t="s">
        <v>164</v>
      </c>
      <c r="H391" t="s">
        <v>165</v>
      </c>
      <c r="I391" t="s">
        <v>34</v>
      </c>
      <c r="J391" t="s">
        <v>166</v>
      </c>
      <c r="K391" t="s">
        <v>41</v>
      </c>
      <c r="L391" t="s">
        <v>2759</v>
      </c>
      <c r="M391" t="s">
        <v>2760</v>
      </c>
      <c r="N391" t="s">
        <v>847</v>
      </c>
      <c r="O391" t="s">
        <v>100</v>
      </c>
      <c r="P391" t="s">
        <v>2761</v>
      </c>
      <c r="Q391" t="s">
        <v>54</v>
      </c>
      <c r="R391" t="s">
        <v>1338</v>
      </c>
      <c r="S391">
        <v>3.28</v>
      </c>
      <c r="T391">
        <v>8008</v>
      </c>
      <c r="U391">
        <v>0</v>
      </c>
      <c r="V391">
        <v>8008</v>
      </c>
    </row>
    <row r="392" spans="1:22" x14ac:dyDescent="0.3">
      <c r="A392">
        <v>79452</v>
      </c>
      <c r="B392">
        <v>136541770</v>
      </c>
      <c r="C392" t="s">
        <v>2762</v>
      </c>
      <c r="D392" t="s">
        <v>2763</v>
      </c>
      <c r="E392" t="s">
        <v>843</v>
      </c>
      <c r="F392" t="s">
        <v>844</v>
      </c>
      <c r="G392" t="s">
        <v>164</v>
      </c>
      <c r="H392" t="s">
        <v>165</v>
      </c>
      <c r="I392" t="s">
        <v>34</v>
      </c>
      <c r="J392" t="s">
        <v>166</v>
      </c>
      <c r="K392" t="s">
        <v>41</v>
      </c>
      <c r="L392" t="s">
        <v>2764</v>
      </c>
      <c r="M392" t="s">
        <v>2765</v>
      </c>
      <c r="N392" t="s">
        <v>847</v>
      </c>
      <c r="O392" t="s">
        <v>100</v>
      </c>
      <c r="P392" t="s">
        <v>2766</v>
      </c>
      <c r="Q392" t="s">
        <v>55</v>
      </c>
      <c r="R392" t="s">
        <v>2767</v>
      </c>
      <c r="S392">
        <v>1</v>
      </c>
      <c r="T392">
        <v>5198</v>
      </c>
      <c r="U392">
        <v>0</v>
      </c>
      <c r="V392">
        <v>5198</v>
      </c>
    </row>
    <row r="393" spans="1:22" x14ac:dyDescent="0.3">
      <c r="A393">
        <v>79452</v>
      </c>
      <c r="B393">
        <v>136825380</v>
      </c>
      <c r="C393" t="s">
        <v>2768</v>
      </c>
      <c r="D393" t="s">
        <v>2769</v>
      </c>
      <c r="E393" t="s">
        <v>843</v>
      </c>
      <c r="F393" t="s">
        <v>844</v>
      </c>
      <c r="G393" t="s">
        <v>164</v>
      </c>
      <c r="H393" t="s">
        <v>165</v>
      </c>
      <c r="I393" t="s">
        <v>34</v>
      </c>
      <c r="J393" t="s">
        <v>166</v>
      </c>
      <c r="K393" t="s">
        <v>41</v>
      </c>
      <c r="L393" t="s">
        <v>2770</v>
      </c>
      <c r="M393" t="s">
        <v>2771</v>
      </c>
      <c r="N393" t="s">
        <v>847</v>
      </c>
      <c r="O393" t="s">
        <v>100</v>
      </c>
      <c r="P393" t="s">
        <v>2772</v>
      </c>
      <c r="Q393" t="s">
        <v>219</v>
      </c>
      <c r="R393" t="s">
        <v>155</v>
      </c>
      <c r="S393">
        <v>0.95</v>
      </c>
      <c r="T393">
        <v>3784</v>
      </c>
      <c r="U393">
        <v>0</v>
      </c>
      <c r="V393">
        <v>3784</v>
      </c>
    </row>
    <row r="394" spans="1:22" x14ac:dyDescent="0.3">
      <c r="A394">
        <v>79452</v>
      </c>
      <c r="B394">
        <v>136756201</v>
      </c>
      <c r="C394" t="s">
        <v>2773</v>
      </c>
      <c r="D394" t="s">
        <v>2774</v>
      </c>
      <c r="E394" t="s">
        <v>843</v>
      </c>
      <c r="F394" t="s">
        <v>844</v>
      </c>
      <c r="G394" t="s">
        <v>164</v>
      </c>
      <c r="H394" t="s">
        <v>165</v>
      </c>
      <c r="I394" t="s">
        <v>34</v>
      </c>
      <c r="J394" t="s">
        <v>166</v>
      </c>
      <c r="K394" t="s">
        <v>41</v>
      </c>
      <c r="L394" t="s">
        <v>2775</v>
      </c>
      <c r="M394" t="s">
        <v>2776</v>
      </c>
      <c r="N394" t="s">
        <v>847</v>
      </c>
      <c r="O394" t="s">
        <v>100</v>
      </c>
      <c r="P394" t="s">
        <v>2777</v>
      </c>
      <c r="Q394" t="s">
        <v>89</v>
      </c>
      <c r="R394" t="s">
        <v>782</v>
      </c>
      <c r="S394">
        <v>0.63</v>
      </c>
      <c r="T394">
        <v>3366</v>
      </c>
      <c r="U394">
        <v>0</v>
      </c>
      <c r="V394">
        <v>3366</v>
      </c>
    </row>
    <row r="395" spans="1:22" x14ac:dyDescent="0.3">
      <c r="A395">
        <v>79452</v>
      </c>
      <c r="B395">
        <v>136792511</v>
      </c>
      <c r="C395" t="s">
        <v>2778</v>
      </c>
      <c r="D395" t="s">
        <v>2779</v>
      </c>
      <c r="E395" t="s">
        <v>843</v>
      </c>
      <c r="F395" t="s">
        <v>844</v>
      </c>
      <c r="G395" t="s">
        <v>164</v>
      </c>
      <c r="H395" t="s">
        <v>165</v>
      </c>
      <c r="I395" t="s">
        <v>34</v>
      </c>
      <c r="J395" t="s">
        <v>166</v>
      </c>
      <c r="K395" t="s">
        <v>41</v>
      </c>
      <c r="L395" t="s">
        <v>2780</v>
      </c>
      <c r="M395" t="s">
        <v>2781</v>
      </c>
      <c r="N395" t="s">
        <v>847</v>
      </c>
      <c r="O395" t="s">
        <v>100</v>
      </c>
      <c r="P395" t="s">
        <v>2782</v>
      </c>
      <c r="Q395" t="s">
        <v>63</v>
      </c>
      <c r="R395" t="s">
        <v>2207</v>
      </c>
      <c r="S395">
        <v>1</v>
      </c>
      <c r="T395">
        <v>4067</v>
      </c>
      <c r="U395">
        <v>0</v>
      </c>
      <c r="V395">
        <v>4067</v>
      </c>
    </row>
    <row r="396" spans="1:22" x14ac:dyDescent="0.3">
      <c r="A396">
        <v>79452</v>
      </c>
      <c r="B396">
        <v>136680911</v>
      </c>
      <c r="C396" t="s">
        <v>2783</v>
      </c>
      <c r="D396" t="s">
        <v>2784</v>
      </c>
      <c r="E396" t="s">
        <v>843</v>
      </c>
      <c r="F396" t="s">
        <v>844</v>
      </c>
      <c r="G396" t="s">
        <v>164</v>
      </c>
      <c r="H396" t="s">
        <v>165</v>
      </c>
      <c r="I396" t="s">
        <v>34</v>
      </c>
      <c r="J396" t="s">
        <v>166</v>
      </c>
      <c r="K396" t="s">
        <v>41</v>
      </c>
      <c r="L396" t="s">
        <v>2785</v>
      </c>
      <c r="M396" t="s">
        <v>1985</v>
      </c>
      <c r="N396" t="s">
        <v>847</v>
      </c>
      <c r="O396" t="s">
        <v>100</v>
      </c>
      <c r="P396" t="s">
        <v>1986</v>
      </c>
      <c r="Q396" t="s">
        <v>64</v>
      </c>
      <c r="R396" t="s">
        <v>365</v>
      </c>
      <c r="S396">
        <v>0.57999999999999996</v>
      </c>
      <c r="T396">
        <v>4067</v>
      </c>
      <c r="U396">
        <v>0</v>
      </c>
      <c r="V396">
        <v>4067</v>
      </c>
    </row>
    <row r="397" spans="1:22" x14ac:dyDescent="0.3">
      <c r="A397">
        <v>79452</v>
      </c>
      <c r="B397">
        <v>136680856</v>
      </c>
      <c r="C397" t="s">
        <v>2786</v>
      </c>
      <c r="D397" t="s">
        <v>2787</v>
      </c>
      <c r="E397" t="s">
        <v>843</v>
      </c>
      <c r="F397" t="s">
        <v>844</v>
      </c>
      <c r="G397" t="s">
        <v>164</v>
      </c>
      <c r="H397" t="s">
        <v>165</v>
      </c>
      <c r="I397" t="s">
        <v>34</v>
      </c>
      <c r="J397" t="s">
        <v>166</v>
      </c>
      <c r="K397" t="s">
        <v>41</v>
      </c>
      <c r="L397" t="s">
        <v>2788</v>
      </c>
      <c r="M397" t="s">
        <v>2789</v>
      </c>
      <c r="N397" t="s">
        <v>847</v>
      </c>
      <c r="O397" t="s">
        <v>100</v>
      </c>
      <c r="P397" t="s">
        <v>2790</v>
      </c>
      <c r="Q397" t="s">
        <v>71</v>
      </c>
      <c r="R397" t="s">
        <v>365</v>
      </c>
      <c r="S397">
        <v>1.54</v>
      </c>
      <c r="T397">
        <v>3501</v>
      </c>
      <c r="U397">
        <v>0</v>
      </c>
      <c r="V397">
        <v>3501</v>
      </c>
    </row>
    <row r="398" spans="1:22" x14ac:dyDescent="0.3">
      <c r="A398">
        <v>79452</v>
      </c>
      <c r="B398">
        <v>136635041</v>
      </c>
      <c r="C398" t="s">
        <v>2791</v>
      </c>
      <c r="D398" t="s">
        <v>2792</v>
      </c>
      <c r="E398" t="s">
        <v>843</v>
      </c>
      <c r="F398" t="s">
        <v>844</v>
      </c>
      <c r="G398" t="s">
        <v>164</v>
      </c>
      <c r="H398" t="s">
        <v>165</v>
      </c>
      <c r="I398" t="s">
        <v>34</v>
      </c>
      <c r="J398" t="s">
        <v>166</v>
      </c>
      <c r="K398" t="s">
        <v>41</v>
      </c>
      <c r="L398" t="s">
        <v>2793</v>
      </c>
      <c r="M398" t="s">
        <v>2794</v>
      </c>
      <c r="N398" t="s">
        <v>847</v>
      </c>
      <c r="O398" t="s">
        <v>100</v>
      </c>
      <c r="P398" t="s">
        <v>2795</v>
      </c>
      <c r="Q398" t="s">
        <v>210</v>
      </c>
      <c r="R398" t="s">
        <v>475</v>
      </c>
      <c r="S398">
        <v>0.85</v>
      </c>
      <c r="T398">
        <v>4346</v>
      </c>
      <c r="U398">
        <v>0</v>
      </c>
      <c r="V398">
        <v>4346</v>
      </c>
    </row>
    <row r="399" spans="1:22" x14ac:dyDescent="0.3">
      <c r="A399">
        <v>79452</v>
      </c>
      <c r="B399">
        <v>136680867</v>
      </c>
      <c r="C399" t="s">
        <v>2796</v>
      </c>
      <c r="D399" t="s">
        <v>2797</v>
      </c>
      <c r="E399" t="s">
        <v>843</v>
      </c>
      <c r="F399" t="s">
        <v>844</v>
      </c>
      <c r="G399" t="s">
        <v>164</v>
      </c>
      <c r="H399" t="s">
        <v>165</v>
      </c>
      <c r="I399" t="s">
        <v>34</v>
      </c>
      <c r="J399" t="s">
        <v>166</v>
      </c>
      <c r="K399" t="s">
        <v>41</v>
      </c>
      <c r="L399" t="s">
        <v>2798</v>
      </c>
      <c r="M399" t="s">
        <v>2799</v>
      </c>
      <c r="N399" t="s">
        <v>847</v>
      </c>
      <c r="O399" t="s">
        <v>100</v>
      </c>
      <c r="P399" t="s">
        <v>2800</v>
      </c>
      <c r="Q399" t="s">
        <v>78</v>
      </c>
      <c r="R399" t="s">
        <v>365</v>
      </c>
      <c r="S399">
        <v>1.29</v>
      </c>
      <c r="T399">
        <v>3784</v>
      </c>
      <c r="U399">
        <v>0</v>
      </c>
      <c r="V399">
        <v>3784</v>
      </c>
    </row>
    <row r="400" spans="1:22" x14ac:dyDescent="0.3">
      <c r="A400">
        <v>79452</v>
      </c>
      <c r="B400">
        <v>136680894</v>
      </c>
      <c r="C400" t="s">
        <v>2801</v>
      </c>
      <c r="D400" t="s">
        <v>2802</v>
      </c>
      <c r="E400" t="s">
        <v>843</v>
      </c>
      <c r="F400" t="s">
        <v>844</v>
      </c>
      <c r="G400" t="s">
        <v>164</v>
      </c>
      <c r="H400" t="s">
        <v>165</v>
      </c>
      <c r="I400" t="s">
        <v>34</v>
      </c>
      <c r="J400" t="s">
        <v>166</v>
      </c>
      <c r="K400" t="s">
        <v>41</v>
      </c>
      <c r="L400" t="s">
        <v>2803</v>
      </c>
      <c r="M400" t="s">
        <v>2804</v>
      </c>
      <c r="N400" t="s">
        <v>847</v>
      </c>
      <c r="O400" t="s">
        <v>100</v>
      </c>
      <c r="P400" t="s">
        <v>2805</v>
      </c>
      <c r="Q400" t="s">
        <v>83</v>
      </c>
      <c r="R400" t="s">
        <v>365</v>
      </c>
      <c r="S400">
        <v>1.32</v>
      </c>
      <c r="T400">
        <v>3366</v>
      </c>
      <c r="U400">
        <v>0</v>
      </c>
      <c r="V400">
        <v>3366</v>
      </c>
    </row>
    <row r="401" spans="1:22" x14ac:dyDescent="0.3">
      <c r="A401">
        <v>79452</v>
      </c>
      <c r="B401">
        <v>136792497</v>
      </c>
      <c r="C401" t="s">
        <v>2806</v>
      </c>
      <c r="D401" t="s">
        <v>2807</v>
      </c>
      <c r="E401" t="s">
        <v>843</v>
      </c>
      <c r="F401" t="s">
        <v>844</v>
      </c>
      <c r="G401" t="s">
        <v>164</v>
      </c>
      <c r="H401" t="s">
        <v>165</v>
      </c>
      <c r="I401" t="s">
        <v>34</v>
      </c>
      <c r="J401" t="s">
        <v>166</v>
      </c>
      <c r="K401" t="s">
        <v>41</v>
      </c>
      <c r="L401" t="s">
        <v>2808</v>
      </c>
      <c r="M401" t="s">
        <v>2809</v>
      </c>
      <c r="N401" t="s">
        <v>847</v>
      </c>
      <c r="O401" t="s">
        <v>100</v>
      </c>
      <c r="P401" t="s">
        <v>2810</v>
      </c>
      <c r="Q401" t="s">
        <v>69</v>
      </c>
      <c r="R401" t="s">
        <v>2207</v>
      </c>
      <c r="S401">
        <v>0.69</v>
      </c>
      <c r="T401">
        <v>3753</v>
      </c>
      <c r="U401">
        <v>0</v>
      </c>
      <c r="V401">
        <v>3753</v>
      </c>
    </row>
    <row r="402" spans="1:22" x14ac:dyDescent="0.3">
      <c r="A402">
        <v>79452</v>
      </c>
      <c r="B402">
        <v>136680917</v>
      </c>
      <c r="C402" t="s">
        <v>2811</v>
      </c>
      <c r="D402" t="s">
        <v>2812</v>
      </c>
      <c r="E402" t="s">
        <v>843</v>
      </c>
      <c r="F402" t="s">
        <v>844</v>
      </c>
      <c r="G402" t="s">
        <v>164</v>
      </c>
      <c r="H402" t="s">
        <v>165</v>
      </c>
      <c r="I402" t="s">
        <v>34</v>
      </c>
      <c r="J402" t="s">
        <v>166</v>
      </c>
      <c r="K402" t="s">
        <v>41</v>
      </c>
      <c r="L402" t="s">
        <v>2813</v>
      </c>
      <c r="M402" t="s">
        <v>2814</v>
      </c>
      <c r="N402" t="s">
        <v>847</v>
      </c>
      <c r="O402" t="s">
        <v>100</v>
      </c>
      <c r="P402" t="s">
        <v>2815</v>
      </c>
      <c r="Q402" t="s">
        <v>72</v>
      </c>
      <c r="R402" t="s">
        <v>365</v>
      </c>
      <c r="S402">
        <v>1.54</v>
      </c>
      <c r="T402">
        <v>3784</v>
      </c>
      <c r="U402">
        <v>0</v>
      </c>
      <c r="V402">
        <v>3784</v>
      </c>
    </row>
    <row r="403" spans="1:22" x14ac:dyDescent="0.3">
      <c r="A403">
        <v>79452</v>
      </c>
      <c r="B403">
        <v>136723323</v>
      </c>
      <c r="C403" t="s">
        <v>2816</v>
      </c>
      <c r="D403" t="s">
        <v>2817</v>
      </c>
      <c r="E403" t="s">
        <v>843</v>
      </c>
      <c r="F403" t="s">
        <v>844</v>
      </c>
      <c r="G403" t="s">
        <v>164</v>
      </c>
      <c r="H403" t="s">
        <v>165</v>
      </c>
      <c r="I403" t="s">
        <v>34</v>
      </c>
      <c r="J403" t="s">
        <v>166</v>
      </c>
      <c r="K403" t="s">
        <v>41</v>
      </c>
      <c r="L403" t="s">
        <v>2818</v>
      </c>
      <c r="M403" t="s">
        <v>2819</v>
      </c>
      <c r="N403" t="s">
        <v>847</v>
      </c>
      <c r="O403" t="s">
        <v>100</v>
      </c>
      <c r="P403" t="s">
        <v>2820</v>
      </c>
      <c r="Q403" t="s">
        <v>69</v>
      </c>
      <c r="R403" t="s">
        <v>1338</v>
      </c>
      <c r="S403">
        <v>0.67</v>
      </c>
      <c r="T403">
        <v>3753</v>
      </c>
      <c r="U403">
        <v>0</v>
      </c>
      <c r="V403">
        <v>3753</v>
      </c>
    </row>
    <row r="404" spans="1:22" x14ac:dyDescent="0.3">
      <c r="A404">
        <v>79452</v>
      </c>
      <c r="B404">
        <v>136680833</v>
      </c>
      <c r="C404" t="s">
        <v>2821</v>
      </c>
      <c r="D404" t="s">
        <v>2822</v>
      </c>
      <c r="E404" t="s">
        <v>843</v>
      </c>
      <c r="F404" t="s">
        <v>844</v>
      </c>
      <c r="G404" t="s">
        <v>164</v>
      </c>
      <c r="H404" t="s">
        <v>165</v>
      </c>
      <c r="I404" t="s">
        <v>34</v>
      </c>
      <c r="J404" t="s">
        <v>166</v>
      </c>
      <c r="K404" t="s">
        <v>41</v>
      </c>
      <c r="L404" t="s">
        <v>2823</v>
      </c>
      <c r="M404" t="s">
        <v>2824</v>
      </c>
      <c r="N404" t="s">
        <v>847</v>
      </c>
      <c r="O404" t="s">
        <v>100</v>
      </c>
      <c r="P404" t="s">
        <v>2825</v>
      </c>
      <c r="Q404" t="s">
        <v>50</v>
      </c>
      <c r="R404" t="s">
        <v>365</v>
      </c>
      <c r="S404">
        <v>0.72</v>
      </c>
      <c r="T404">
        <v>3784</v>
      </c>
      <c r="U404">
        <v>0</v>
      </c>
      <c r="V404">
        <v>3784</v>
      </c>
    </row>
    <row r="405" spans="1:22" x14ac:dyDescent="0.3">
      <c r="A405">
        <v>79452</v>
      </c>
      <c r="B405">
        <v>136680882</v>
      </c>
      <c r="C405" t="s">
        <v>2826</v>
      </c>
      <c r="D405" t="s">
        <v>2827</v>
      </c>
      <c r="E405" t="s">
        <v>843</v>
      </c>
      <c r="F405" t="s">
        <v>844</v>
      </c>
      <c r="G405" t="s">
        <v>164</v>
      </c>
      <c r="H405" t="s">
        <v>165</v>
      </c>
      <c r="I405" t="s">
        <v>34</v>
      </c>
      <c r="J405" t="s">
        <v>166</v>
      </c>
      <c r="K405" t="s">
        <v>41</v>
      </c>
      <c r="L405" t="s">
        <v>2828</v>
      </c>
      <c r="M405" t="s">
        <v>1924</v>
      </c>
      <c r="N405" t="s">
        <v>847</v>
      </c>
      <c r="O405" t="s">
        <v>100</v>
      </c>
      <c r="P405" t="s">
        <v>1925</v>
      </c>
      <c r="Q405" t="s">
        <v>72</v>
      </c>
      <c r="R405" t="s">
        <v>365</v>
      </c>
      <c r="S405">
        <v>1.1200000000000001</v>
      </c>
      <c r="T405">
        <v>3784</v>
      </c>
      <c r="U405">
        <v>0</v>
      </c>
      <c r="V405">
        <v>3784</v>
      </c>
    </row>
    <row r="406" spans="1:22" x14ac:dyDescent="0.3">
      <c r="A406">
        <v>79452</v>
      </c>
      <c r="B406">
        <v>136541763</v>
      </c>
      <c r="C406" t="s">
        <v>2829</v>
      </c>
      <c r="D406" t="s">
        <v>2830</v>
      </c>
      <c r="E406" t="s">
        <v>843</v>
      </c>
      <c r="F406" t="s">
        <v>844</v>
      </c>
      <c r="G406" t="s">
        <v>164</v>
      </c>
      <c r="H406" t="s">
        <v>165</v>
      </c>
      <c r="I406" t="s">
        <v>34</v>
      </c>
      <c r="J406" t="s">
        <v>166</v>
      </c>
      <c r="K406" t="s">
        <v>41</v>
      </c>
      <c r="L406" t="s">
        <v>2831</v>
      </c>
      <c r="M406" t="s">
        <v>2832</v>
      </c>
      <c r="N406" t="s">
        <v>847</v>
      </c>
      <c r="O406" t="s">
        <v>100</v>
      </c>
      <c r="P406" t="s">
        <v>2833</v>
      </c>
      <c r="Q406" t="s">
        <v>57</v>
      </c>
      <c r="R406" t="s">
        <v>2688</v>
      </c>
      <c r="S406">
        <v>2.2000000000000002</v>
      </c>
      <c r="T406">
        <v>5476</v>
      </c>
      <c r="U406">
        <v>0</v>
      </c>
      <c r="V406">
        <v>5476</v>
      </c>
    </row>
    <row r="407" spans="1:22" x14ac:dyDescent="0.3">
      <c r="A407">
        <v>79452</v>
      </c>
      <c r="B407">
        <v>136792536</v>
      </c>
      <c r="C407" t="s">
        <v>2834</v>
      </c>
      <c r="D407" t="s">
        <v>2835</v>
      </c>
      <c r="E407" t="s">
        <v>843</v>
      </c>
      <c r="F407" t="s">
        <v>844</v>
      </c>
      <c r="G407" t="s">
        <v>164</v>
      </c>
      <c r="H407" t="s">
        <v>165</v>
      </c>
      <c r="I407" t="s">
        <v>34</v>
      </c>
      <c r="J407" t="s">
        <v>166</v>
      </c>
      <c r="K407" t="s">
        <v>41</v>
      </c>
      <c r="L407" t="s">
        <v>2836</v>
      </c>
      <c r="M407" t="s">
        <v>2837</v>
      </c>
      <c r="N407" t="s">
        <v>847</v>
      </c>
      <c r="O407" t="s">
        <v>100</v>
      </c>
      <c r="P407" t="s">
        <v>2838</v>
      </c>
      <c r="Q407" t="s">
        <v>84</v>
      </c>
      <c r="R407" t="s">
        <v>2207</v>
      </c>
      <c r="S407">
        <v>1.07</v>
      </c>
      <c r="T407">
        <v>3366</v>
      </c>
      <c r="U407">
        <v>0</v>
      </c>
      <c r="V407">
        <v>3366</v>
      </c>
    </row>
    <row r="408" spans="1:22" x14ac:dyDescent="0.3">
      <c r="A408">
        <v>79452</v>
      </c>
      <c r="B408">
        <v>136825378</v>
      </c>
      <c r="C408" t="s">
        <v>2839</v>
      </c>
      <c r="D408" t="s">
        <v>2840</v>
      </c>
      <c r="E408" t="s">
        <v>843</v>
      </c>
      <c r="F408" t="s">
        <v>844</v>
      </c>
      <c r="G408" t="s">
        <v>164</v>
      </c>
      <c r="H408" t="s">
        <v>165</v>
      </c>
      <c r="I408" t="s">
        <v>34</v>
      </c>
      <c r="J408" t="s">
        <v>166</v>
      </c>
      <c r="K408" t="s">
        <v>41</v>
      </c>
      <c r="L408" t="s">
        <v>2841</v>
      </c>
      <c r="M408" t="s">
        <v>2842</v>
      </c>
      <c r="N408" t="s">
        <v>847</v>
      </c>
      <c r="O408" t="s">
        <v>100</v>
      </c>
      <c r="P408" t="s">
        <v>2843</v>
      </c>
      <c r="Q408" t="s">
        <v>50</v>
      </c>
      <c r="R408" t="s">
        <v>155</v>
      </c>
      <c r="S408">
        <v>1.24</v>
      </c>
      <c r="T408">
        <v>3784</v>
      </c>
      <c r="U408">
        <v>0</v>
      </c>
      <c r="V408">
        <v>3784</v>
      </c>
    </row>
    <row r="409" spans="1:22" x14ac:dyDescent="0.3">
      <c r="A409">
        <v>79452</v>
      </c>
      <c r="B409">
        <v>136680924</v>
      </c>
      <c r="C409" t="s">
        <v>2844</v>
      </c>
      <c r="D409" t="s">
        <v>2845</v>
      </c>
      <c r="E409" t="s">
        <v>843</v>
      </c>
      <c r="F409" t="s">
        <v>844</v>
      </c>
      <c r="G409" t="s">
        <v>164</v>
      </c>
      <c r="H409" t="s">
        <v>165</v>
      </c>
      <c r="I409" t="s">
        <v>34</v>
      </c>
      <c r="J409" t="s">
        <v>166</v>
      </c>
      <c r="K409" t="s">
        <v>41</v>
      </c>
      <c r="L409" t="s">
        <v>2846</v>
      </c>
      <c r="M409" t="s">
        <v>2847</v>
      </c>
      <c r="N409" t="s">
        <v>847</v>
      </c>
      <c r="O409" t="s">
        <v>100</v>
      </c>
      <c r="P409" t="s">
        <v>2848</v>
      </c>
      <c r="Q409" t="s">
        <v>190</v>
      </c>
      <c r="R409" t="s">
        <v>365</v>
      </c>
      <c r="S409">
        <v>1.41</v>
      </c>
      <c r="T409">
        <v>3366</v>
      </c>
      <c r="U409">
        <v>0</v>
      </c>
      <c r="V409">
        <v>3366</v>
      </c>
    </row>
    <row r="410" spans="1:22" x14ac:dyDescent="0.3">
      <c r="A410">
        <v>79452</v>
      </c>
      <c r="B410">
        <v>136680912</v>
      </c>
      <c r="C410" t="s">
        <v>2849</v>
      </c>
      <c r="D410" t="s">
        <v>2850</v>
      </c>
      <c r="E410" t="s">
        <v>843</v>
      </c>
      <c r="F410" t="s">
        <v>844</v>
      </c>
      <c r="G410" t="s">
        <v>164</v>
      </c>
      <c r="H410" t="s">
        <v>165</v>
      </c>
      <c r="I410" t="s">
        <v>34</v>
      </c>
      <c r="J410" t="s">
        <v>166</v>
      </c>
      <c r="K410" t="s">
        <v>41</v>
      </c>
      <c r="L410" t="s">
        <v>2851</v>
      </c>
      <c r="M410" t="s">
        <v>2852</v>
      </c>
      <c r="N410" t="s">
        <v>847</v>
      </c>
      <c r="O410" t="s">
        <v>100</v>
      </c>
      <c r="P410" t="s">
        <v>2853</v>
      </c>
      <c r="Q410" t="s">
        <v>84</v>
      </c>
      <c r="R410" t="s">
        <v>365</v>
      </c>
      <c r="S410">
        <v>6.29</v>
      </c>
      <c r="T410">
        <v>5198</v>
      </c>
      <c r="U410">
        <v>0</v>
      </c>
      <c r="V410">
        <v>5198</v>
      </c>
    </row>
    <row r="411" spans="1:22" x14ac:dyDescent="0.3">
      <c r="A411">
        <v>79452</v>
      </c>
      <c r="B411">
        <v>136634999</v>
      </c>
      <c r="C411" t="s">
        <v>2854</v>
      </c>
      <c r="D411" t="s">
        <v>2855</v>
      </c>
      <c r="E411" t="s">
        <v>843</v>
      </c>
      <c r="F411" t="s">
        <v>844</v>
      </c>
      <c r="G411" t="s">
        <v>164</v>
      </c>
      <c r="H411" t="s">
        <v>165</v>
      </c>
      <c r="I411" t="s">
        <v>34</v>
      </c>
      <c r="J411" t="s">
        <v>166</v>
      </c>
      <c r="K411" t="s">
        <v>41</v>
      </c>
      <c r="L411" t="s">
        <v>2856</v>
      </c>
      <c r="M411" t="s">
        <v>2857</v>
      </c>
      <c r="N411" t="s">
        <v>847</v>
      </c>
      <c r="O411" t="s">
        <v>100</v>
      </c>
      <c r="P411" t="s">
        <v>2858</v>
      </c>
      <c r="Q411" t="s">
        <v>90</v>
      </c>
      <c r="R411" t="s">
        <v>475</v>
      </c>
      <c r="S411">
        <v>1</v>
      </c>
      <c r="T411">
        <v>3870</v>
      </c>
      <c r="U411">
        <v>0</v>
      </c>
      <c r="V411">
        <v>3870</v>
      </c>
    </row>
    <row r="412" spans="1:22" x14ac:dyDescent="0.3">
      <c r="A412">
        <v>79452</v>
      </c>
      <c r="B412">
        <v>136541779</v>
      </c>
      <c r="C412" t="s">
        <v>2859</v>
      </c>
      <c r="D412" t="s">
        <v>2860</v>
      </c>
      <c r="E412" t="s">
        <v>843</v>
      </c>
      <c r="F412" t="s">
        <v>844</v>
      </c>
      <c r="G412" t="s">
        <v>164</v>
      </c>
      <c r="H412" t="s">
        <v>165</v>
      </c>
      <c r="I412" t="s">
        <v>34</v>
      </c>
      <c r="J412" t="s">
        <v>166</v>
      </c>
      <c r="K412" t="s">
        <v>41</v>
      </c>
      <c r="L412" t="s">
        <v>2861</v>
      </c>
      <c r="M412" t="s">
        <v>2862</v>
      </c>
      <c r="N412" t="s">
        <v>847</v>
      </c>
      <c r="O412" t="s">
        <v>100</v>
      </c>
      <c r="P412" t="s">
        <v>2863</v>
      </c>
      <c r="Q412" t="s">
        <v>741</v>
      </c>
      <c r="R412" t="s">
        <v>2767</v>
      </c>
      <c r="S412">
        <v>1.74</v>
      </c>
      <c r="T412">
        <v>4067</v>
      </c>
      <c r="U412">
        <v>0</v>
      </c>
      <c r="V412">
        <v>4067</v>
      </c>
    </row>
    <row r="413" spans="1:22" x14ac:dyDescent="0.3">
      <c r="A413">
        <v>79452</v>
      </c>
      <c r="B413">
        <v>136635106</v>
      </c>
      <c r="C413" t="s">
        <v>2864</v>
      </c>
      <c r="D413" t="s">
        <v>2865</v>
      </c>
      <c r="E413" t="s">
        <v>843</v>
      </c>
      <c r="F413" t="s">
        <v>844</v>
      </c>
      <c r="G413" t="s">
        <v>164</v>
      </c>
      <c r="H413" t="s">
        <v>165</v>
      </c>
      <c r="I413" t="s">
        <v>34</v>
      </c>
      <c r="J413" t="s">
        <v>166</v>
      </c>
      <c r="K413" t="s">
        <v>41</v>
      </c>
      <c r="L413" t="s">
        <v>2866</v>
      </c>
      <c r="M413" t="s">
        <v>2867</v>
      </c>
      <c r="N413" t="s">
        <v>847</v>
      </c>
      <c r="O413" t="s">
        <v>100</v>
      </c>
      <c r="P413" t="s">
        <v>2868</v>
      </c>
      <c r="Q413" t="s">
        <v>84</v>
      </c>
      <c r="R413" t="s">
        <v>2480</v>
      </c>
      <c r="S413">
        <v>1</v>
      </c>
      <c r="T413">
        <v>3366</v>
      </c>
      <c r="U413">
        <v>0</v>
      </c>
      <c r="V413">
        <v>3366</v>
      </c>
    </row>
    <row r="414" spans="1:22" x14ac:dyDescent="0.3">
      <c r="A414">
        <v>79452</v>
      </c>
      <c r="B414">
        <v>136634990</v>
      </c>
      <c r="C414" t="s">
        <v>2869</v>
      </c>
      <c r="D414" t="s">
        <v>2870</v>
      </c>
      <c r="E414" t="s">
        <v>843</v>
      </c>
      <c r="F414" t="s">
        <v>844</v>
      </c>
      <c r="G414" t="s">
        <v>164</v>
      </c>
      <c r="H414" t="s">
        <v>165</v>
      </c>
      <c r="I414" t="s">
        <v>34</v>
      </c>
      <c r="J414" t="s">
        <v>166</v>
      </c>
      <c r="K414" t="s">
        <v>41</v>
      </c>
      <c r="L414" t="s">
        <v>2871</v>
      </c>
      <c r="M414" t="s">
        <v>1690</v>
      </c>
      <c r="N414" t="s">
        <v>847</v>
      </c>
      <c r="O414" t="s">
        <v>100</v>
      </c>
      <c r="P414" t="s">
        <v>2872</v>
      </c>
      <c r="Q414" t="s">
        <v>85</v>
      </c>
      <c r="R414" t="s">
        <v>475</v>
      </c>
      <c r="S414">
        <v>1.04</v>
      </c>
      <c r="T414">
        <v>3366</v>
      </c>
      <c r="U414">
        <v>0</v>
      </c>
      <c r="V414">
        <v>3366</v>
      </c>
    </row>
    <row r="415" spans="1:22" x14ac:dyDescent="0.3">
      <c r="A415">
        <v>79452</v>
      </c>
      <c r="B415">
        <v>136635033</v>
      </c>
      <c r="C415" t="s">
        <v>2873</v>
      </c>
      <c r="D415" t="s">
        <v>2874</v>
      </c>
      <c r="E415" t="s">
        <v>843</v>
      </c>
      <c r="F415" t="s">
        <v>844</v>
      </c>
      <c r="G415" t="s">
        <v>164</v>
      </c>
      <c r="H415" t="s">
        <v>165</v>
      </c>
      <c r="I415" t="s">
        <v>34</v>
      </c>
      <c r="J415" t="s">
        <v>166</v>
      </c>
      <c r="K415" t="s">
        <v>41</v>
      </c>
      <c r="L415" t="s">
        <v>2875</v>
      </c>
      <c r="M415" t="s">
        <v>2876</v>
      </c>
      <c r="N415" t="s">
        <v>847</v>
      </c>
      <c r="O415" t="s">
        <v>100</v>
      </c>
      <c r="P415" t="s">
        <v>2877</v>
      </c>
      <c r="Q415" t="s">
        <v>209</v>
      </c>
      <c r="R415" t="s">
        <v>475</v>
      </c>
      <c r="S415">
        <v>1.1499999999999999</v>
      </c>
      <c r="T415">
        <v>5759</v>
      </c>
      <c r="U415">
        <v>0</v>
      </c>
      <c r="V415">
        <v>5759</v>
      </c>
    </row>
    <row r="416" spans="1:22" x14ac:dyDescent="0.3">
      <c r="A416">
        <v>79452</v>
      </c>
      <c r="B416">
        <v>136723372</v>
      </c>
      <c r="C416" t="s">
        <v>2878</v>
      </c>
      <c r="D416" t="s">
        <v>2879</v>
      </c>
      <c r="E416" t="s">
        <v>843</v>
      </c>
      <c r="F416" t="s">
        <v>844</v>
      </c>
      <c r="G416" t="s">
        <v>164</v>
      </c>
      <c r="H416" t="s">
        <v>165</v>
      </c>
      <c r="I416" t="s">
        <v>34</v>
      </c>
      <c r="J416" t="s">
        <v>166</v>
      </c>
      <c r="K416" t="s">
        <v>41</v>
      </c>
      <c r="L416" t="s">
        <v>2880</v>
      </c>
      <c r="M416" t="s">
        <v>2881</v>
      </c>
      <c r="N416" t="s">
        <v>847</v>
      </c>
      <c r="O416" t="s">
        <v>100</v>
      </c>
      <c r="P416" t="s">
        <v>2882</v>
      </c>
      <c r="Q416" t="s">
        <v>90</v>
      </c>
      <c r="R416" t="s">
        <v>1338</v>
      </c>
      <c r="S416">
        <v>2.4900000000000002</v>
      </c>
      <c r="T416">
        <v>3870</v>
      </c>
      <c r="U416">
        <v>0</v>
      </c>
      <c r="V416">
        <v>3870</v>
      </c>
    </row>
    <row r="417" spans="1:22" x14ac:dyDescent="0.3">
      <c r="A417">
        <v>79452</v>
      </c>
      <c r="B417">
        <v>136634958</v>
      </c>
      <c r="C417" t="s">
        <v>2883</v>
      </c>
      <c r="D417" t="s">
        <v>2884</v>
      </c>
      <c r="E417" t="s">
        <v>843</v>
      </c>
      <c r="F417" t="s">
        <v>844</v>
      </c>
      <c r="G417" t="s">
        <v>164</v>
      </c>
      <c r="H417" t="s">
        <v>165</v>
      </c>
      <c r="I417" t="s">
        <v>34</v>
      </c>
      <c r="J417" t="s">
        <v>166</v>
      </c>
      <c r="K417" t="s">
        <v>41</v>
      </c>
      <c r="L417" t="s">
        <v>2885</v>
      </c>
      <c r="M417" t="s">
        <v>2886</v>
      </c>
      <c r="N417" t="s">
        <v>847</v>
      </c>
      <c r="O417" t="s">
        <v>100</v>
      </c>
      <c r="P417" t="s">
        <v>2887</v>
      </c>
      <c r="Q417" t="s">
        <v>55</v>
      </c>
      <c r="R417" t="s">
        <v>475</v>
      </c>
      <c r="S417">
        <v>2.12</v>
      </c>
      <c r="T417">
        <v>5198</v>
      </c>
      <c r="U417">
        <v>0</v>
      </c>
      <c r="V417">
        <v>5198</v>
      </c>
    </row>
    <row r="418" spans="1:22" x14ac:dyDescent="0.3">
      <c r="A418">
        <v>79452</v>
      </c>
      <c r="B418">
        <v>136825340</v>
      </c>
      <c r="C418" t="s">
        <v>2888</v>
      </c>
      <c r="D418" t="s">
        <v>2889</v>
      </c>
      <c r="E418" t="s">
        <v>843</v>
      </c>
      <c r="F418" t="s">
        <v>844</v>
      </c>
      <c r="G418" t="s">
        <v>164</v>
      </c>
      <c r="H418" t="s">
        <v>165</v>
      </c>
      <c r="I418" t="s">
        <v>34</v>
      </c>
      <c r="J418" t="s">
        <v>166</v>
      </c>
      <c r="K418" t="s">
        <v>41</v>
      </c>
      <c r="L418" t="s">
        <v>2890</v>
      </c>
      <c r="M418" t="s">
        <v>685</v>
      </c>
      <c r="N418" t="s">
        <v>847</v>
      </c>
      <c r="O418" t="s">
        <v>100</v>
      </c>
      <c r="P418" t="s">
        <v>2891</v>
      </c>
      <c r="Q418" t="s">
        <v>141</v>
      </c>
      <c r="R418" t="s">
        <v>155</v>
      </c>
      <c r="S418">
        <v>0.62</v>
      </c>
      <c r="T418">
        <v>3366</v>
      </c>
      <c r="U418">
        <v>0</v>
      </c>
      <c r="V418">
        <v>3366</v>
      </c>
    </row>
    <row r="419" spans="1:22" x14ac:dyDescent="0.3">
      <c r="A419">
        <v>79452</v>
      </c>
      <c r="B419">
        <v>136825352</v>
      </c>
      <c r="C419" t="s">
        <v>2892</v>
      </c>
      <c r="D419" t="s">
        <v>2893</v>
      </c>
      <c r="E419" t="s">
        <v>843</v>
      </c>
      <c r="F419" t="s">
        <v>844</v>
      </c>
      <c r="G419" t="s">
        <v>164</v>
      </c>
      <c r="H419" t="s">
        <v>165</v>
      </c>
      <c r="I419" t="s">
        <v>34</v>
      </c>
      <c r="J419" t="s">
        <v>166</v>
      </c>
      <c r="K419" t="s">
        <v>41</v>
      </c>
      <c r="L419" t="s">
        <v>2894</v>
      </c>
      <c r="M419" t="s">
        <v>2895</v>
      </c>
      <c r="N419" t="s">
        <v>847</v>
      </c>
      <c r="O419" t="s">
        <v>100</v>
      </c>
      <c r="P419" t="s">
        <v>2896</v>
      </c>
      <c r="Q419" t="s">
        <v>71</v>
      </c>
      <c r="R419" t="s">
        <v>155</v>
      </c>
      <c r="S419">
        <v>1.01</v>
      </c>
      <c r="T419">
        <v>3501</v>
      </c>
      <c r="U419">
        <v>0</v>
      </c>
      <c r="V419">
        <v>3501</v>
      </c>
    </row>
    <row r="420" spans="1:22" x14ac:dyDescent="0.3">
      <c r="A420">
        <v>79452</v>
      </c>
      <c r="B420">
        <v>136792540</v>
      </c>
      <c r="C420" t="s">
        <v>2897</v>
      </c>
      <c r="D420" t="s">
        <v>2898</v>
      </c>
      <c r="E420" t="s">
        <v>843</v>
      </c>
      <c r="F420" t="s">
        <v>844</v>
      </c>
      <c r="G420" t="s">
        <v>164</v>
      </c>
      <c r="H420" t="s">
        <v>165</v>
      </c>
      <c r="I420" t="s">
        <v>34</v>
      </c>
      <c r="J420" t="s">
        <v>166</v>
      </c>
      <c r="K420" t="s">
        <v>41</v>
      </c>
      <c r="L420" t="s">
        <v>2899</v>
      </c>
      <c r="M420" t="s">
        <v>2900</v>
      </c>
      <c r="N420" t="s">
        <v>847</v>
      </c>
      <c r="O420" t="s">
        <v>100</v>
      </c>
      <c r="P420" t="s">
        <v>2901</v>
      </c>
      <c r="Q420" t="s">
        <v>71</v>
      </c>
      <c r="R420" t="s">
        <v>2207</v>
      </c>
      <c r="S420">
        <v>0.71</v>
      </c>
      <c r="T420">
        <v>3501</v>
      </c>
      <c r="U420">
        <v>0</v>
      </c>
      <c r="V420">
        <v>3501</v>
      </c>
    </row>
    <row r="421" spans="1:22" x14ac:dyDescent="0.3">
      <c r="A421">
        <v>79452</v>
      </c>
      <c r="B421">
        <v>136541746</v>
      </c>
      <c r="C421" t="s">
        <v>2902</v>
      </c>
      <c r="D421" t="s">
        <v>2903</v>
      </c>
      <c r="E421" t="s">
        <v>843</v>
      </c>
      <c r="F421" t="s">
        <v>844</v>
      </c>
      <c r="G421" t="s">
        <v>164</v>
      </c>
      <c r="H421" t="s">
        <v>165</v>
      </c>
      <c r="I421" t="s">
        <v>34</v>
      </c>
      <c r="J421" t="s">
        <v>166</v>
      </c>
      <c r="K421" t="s">
        <v>41</v>
      </c>
      <c r="L421" t="s">
        <v>2904</v>
      </c>
      <c r="M421" t="s">
        <v>2905</v>
      </c>
      <c r="N421" t="s">
        <v>847</v>
      </c>
      <c r="O421" t="s">
        <v>100</v>
      </c>
      <c r="P421" t="s">
        <v>2906</v>
      </c>
      <c r="Q421" t="s">
        <v>55</v>
      </c>
      <c r="R421" t="s">
        <v>2688</v>
      </c>
      <c r="S421">
        <v>1.55</v>
      </c>
      <c r="T421">
        <v>5198</v>
      </c>
      <c r="U421">
        <v>0</v>
      </c>
      <c r="V421">
        <v>5198</v>
      </c>
    </row>
    <row r="422" spans="1:22" x14ac:dyDescent="0.3">
      <c r="A422">
        <v>79452</v>
      </c>
      <c r="B422">
        <v>135902707</v>
      </c>
      <c r="C422" t="s">
        <v>2907</v>
      </c>
      <c r="D422" t="s">
        <v>2908</v>
      </c>
      <c r="E422" t="s">
        <v>843</v>
      </c>
      <c r="F422" t="s">
        <v>844</v>
      </c>
      <c r="G422" t="s">
        <v>164</v>
      </c>
      <c r="H422" t="s">
        <v>165</v>
      </c>
      <c r="I422" t="s">
        <v>34</v>
      </c>
      <c r="J422" t="s">
        <v>166</v>
      </c>
      <c r="K422" t="s">
        <v>41</v>
      </c>
      <c r="L422" t="s">
        <v>2909</v>
      </c>
      <c r="M422" t="s">
        <v>2910</v>
      </c>
      <c r="N422" t="s">
        <v>847</v>
      </c>
      <c r="O422" t="s">
        <v>100</v>
      </c>
      <c r="P422" t="s">
        <v>2911</v>
      </c>
      <c r="Q422" t="s">
        <v>246</v>
      </c>
      <c r="R422" t="s">
        <v>291</v>
      </c>
      <c r="S422">
        <v>1.23</v>
      </c>
      <c r="T422">
        <v>5759</v>
      </c>
      <c r="U422">
        <v>0</v>
      </c>
      <c r="V422">
        <v>5759</v>
      </c>
    </row>
    <row r="423" spans="1:22" x14ac:dyDescent="0.3">
      <c r="A423">
        <v>79452</v>
      </c>
      <c r="B423">
        <v>136635011</v>
      </c>
      <c r="C423" t="s">
        <v>2912</v>
      </c>
      <c r="D423" t="s">
        <v>2913</v>
      </c>
      <c r="E423" t="s">
        <v>843</v>
      </c>
      <c r="F423" t="s">
        <v>844</v>
      </c>
      <c r="G423" t="s">
        <v>164</v>
      </c>
      <c r="H423" t="s">
        <v>165</v>
      </c>
      <c r="I423" t="s">
        <v>34</v>
      </c>
      <c r="J423" t="s">
        <v>166</v>
      </c>
      <c r="K423" t="s">
        <v>41</v>
      </c>
      <c r="L423" t="s">
        <v>2914</v>
      </c>
      <c r="M423" t="s">
        <v>2915</v>
      </c>
      <c r="N423" t="s">
        <v>847</v>
      </c>
      <c r="O423" t="s">
        <v>100</v>
      </c>
      <c r="P423" t="s">
        <v>2916</v>
      </c>
      <c r="Q423" t="s">
        <v>109</v>
      </c>
      <c r="R423" t="s">
        <v>475</v>
      </c>
      <c r="S423">
        <v>1.35</v>
      </c>
      <c r="T423">
        <v>4346</v>
      </c>
      <c r="U423">
        <v>0</v>
      </c>
      <c r="V423">
        <v>4346</v>
      </c>
    </row>
    <row r="424" spans="1:22" x14ac:dyDescent="0.3">
      <c r="A424">
        <v>79452</v>
      </c>
      <c r="B424">
        <v>136756188</v>
      </c>
      <c r="C424" t="s">
        <v>2917</v>
      </c>
      <c r="D424" t="s">
        <v>2918</v>
      </c>
      <c r="E424" t="s">
        <v>843</v>
      </c>
      <c r="F424" t="s">
        <v>844</v>
      </c>
      <c r="G424" t="s">
        <v>164</v>
      </c>
      <c r="H424" t="s">
        <v>165</v>
      </c>
      <c r="I424" t="s">
        <v>34</v>
      </c>
      <c r="J424" t="s">
        <v>166</v>
      </c>
      <c r="K424" t="s">
        <v>41</v>
      </c>
      <c r="L424" t="s">
        <v>2919</v>
      </c>
      <c r="M424" t="s">
        <v>2920</v>
      </c>
      <c r="N424" t="s">
        <v>847</v>
      </c>
      <c r="O424" t="s">
        <v>100</v>
      </c>
      <c r="P424" t="s">
        <v>2921</v>
      </c>
      <c r="Q424" t="s">
        <v>55</v>
      </c>
      <c r="R424" t="s">
        <v>782</v>
      </c>
      <c r="S424">
        <v>0.92</v>
      </c>
      <c r="T424">
        <v>5198</v>
      </c>
      <c r="U424">
        <v>0</v>
      </c>
      <c r="V424">
        <v>5198</v>
      </c>
    </row>
    <row r="425" spans="1:22" x14ac:dyDescent="0.3">
      <c r="A425">
        <v>79452</v>
      </c>
      <c r="B425">
        <v>136680832</v>
      </c>
      <c r="C425" t="s">
        <v>2922</v>
      </c>
      <c r="D425" t="s">
        <v>2923</v>
      </c>
      <c r="E425" t="s">
        <v>843</v>
      </c>
      <c r="F425" t="s">
        <v>844</v>
      </c>
      <c r="G425" t="s">
        <v>164</v>
      </c>
      <c r="H425" t="s">
        <v>165</v>
      </c>
      <c r="I425" t="s">
        <v>34</v>
      </c>
      <c r="J425" t="s">
        <v>166</v>
      </c>
      <c r="K425" t="s">
        <v>41</v>
      </c>
      <c r="L425" t="s">
        <v>2924</v>
      </c>
      <c r="M425" t="s">
        <v>2925</v>
      </c>
      <c r="N425" t="s">
        <v>847</v>
      </c>
      <c r="O425" t="s">
        <v>100</v>
      </c>
      <c r="P425" t="s">
        <v>2926</v>
      </c>
      <c r="Q425" t="s">
        <v>71</v>
      </c>
      <c r="R425" t="s">
        <v>365</v>
      </c>
      <c r="S425">
        <v>1</v>
      </c>
      <c r="T425">
        <v>3501</v>
      </c>
      <c r="U425">
        <v>0</v>
      </c>
      <c r="V425">
        <v>3501</v>
      </c>
    </row>
    <row r="426" spans="1:22" x14ac:dyDescent="0.3">
      <c r="A426">
        <v>79452</v>
      </c>
      <c r="B426">
        <v>136635079</v>
      </c>
      <c r="C426" t="s">
        <v>2927</v>
      </c>
      <c r="D426" t="s">
        <v>2928</v>
      </c>
      <c r="E426" t="s">
        <v>843</v>
      </c>
      <c r="F426" t="s">
        <v>844</v>
      </c>
      <c r="G426" t="s">
        <v>164</v>
      </c>
      <c r="H426" t="s">
        <v>165</v>
      </c>
      <c r="I426" t="s">
        <v>34</v>
      </c>
      <c r="J426" t="s">
        <v>166</v>
      </c>
      <c r="K426" t="s">
        <v>41</v>
      </c>
      <c r="L426" t="s">
        <v>2929</v>
      </c>
      <c r="M426" t="s">
        <v>2930</v>
      </c>
      <c r="N426" t="s">
        <v>847</v>
      </c>
      <c r="O426" t="s">
        <v>100</v>
      </c>
      <c r="P426" t="s">
        <v>2931</v>
      </c>
      <c r="Q426" t="s">
        <v>55</v>
      </c>
      <c r="R426" t="s">
        <v>2480</v>
      </c>
      <c r="S426">
        <v>1.94</v>
      </c>
      <c r="T426">
        <v>5198</v>
      </c>
      <c r="U426">
        <v>0</v>
      </c>
      <c r="V426">
        <v>5198</v>
      </c>
    </row>
    <row r="427" spans="1:22" x14ac:dyDescent="0.3">
      <c r="A427">
        <v>79452</v>
      </c>
      <c r="B427">
        <v>136635065</v>
      </c>
      <c r="C427" t="s">
        <v>2932</v>
      </c>
      <c r="D427" t="s">
        <v>2933</v>
      </c>
      <c r="E427" t="s">
        <v>843</v>
      </c>
      <c r="F427" t="s">
        <v>844</v>
      </c>
      <c r="G427" t="s">
        <v>164</v>
      </c>
      <c r="H427" t="s">
        <v>165</v>
      </c>
      <c r="I427" t="s">
        <v>34</v>
      </c>
      <c r="J427" t="s">
        <v>166</v>
      </c>
      <c r="K427" t="s">
        <v>41</v>
      </c>
      <c r="L427" t="s">
        <v>2934</v>
      </c>
      <c r="M427" t="s">
        <v>2935</v>
      </c>
      <c r="N427" t="s">
        <v>847</v>
      </c>
      <c r="O427" t="s">
        <v>100</v>
      </c>
      <c r="P427" t="s">
        <v>2936</v>
      </c>
      <c r="Q427" t="s">
        <v>59</v>
      </c>
      <c r="R427" t="s">
        <v>475</v>
      </c>
      <c r="S427">
        <v>1.88</v>
      </c>
      <c r="T427">
        <v>4067</v>
      </c>
      <c r="U427">
        <v>0</v>
      </c>
      <c r="V427">
        <v>4067</v>
      </c>
    </row>
    <row r="428" spans="1:22" x14ac:dyDescent="0.3">
      <c r="A428">
        <v>79452</v>
      </c>
      <c r="B428">
        <v>136635051</v>
      </c>
      <c r="C428" t="s">
        <v>2937</v>
      </c>
      <c r="D428" t="s">
        <v>2938</v>
      </c>
      <c r="E428" t="s">
        <v>843</v>
      </c>
      <c r="F428" t="s">
        <v>844</v>
      </c>
      <c r="G428" t="s">
        <v>164</v>
      </c>
      <c r="H428" t="s">
        <v>165</v>
      </c>
      <c r="I428" t="s">
        <v>34</v>
      </c>
      <c r="J428" t="s">
        <v>166</v>
      </c>
      <c r="K428" t="s">
        <v>41</v>
      </c>
      <c r="L428" t="s">
        <v>2939</v>
      </c>
      <c r="M428" t="s">
        <v>2940</v>
      </c>
      <c r="N428" t="s">
        <v>847</v>
      </c>
      <c r="O428" t="s">
        <v>100</v>
      </c>
      <c r="P428" t="s">
        <v>2941</v>
      </c>
      <c r="Q428" t="s">
        <v>60</v>
      </c>
      <c r="R428" t="s">
        <v>475</v>
      </c>
      <c r="S428">
        <v>1.34</v>
      </c>
      <c r="T428">
        <v>4346</v>
      </c>
      <c r="U428">
        <v>0</v>
      </c>
      <c r="V428">
        <v>4346</v>
      </c>
    </row>
    <row r="429" spans="1:22" x14ac:dyDescent="0.3">
      <c r="A429">
        <v>79452</v>
      </c>
      <c r="B429">
        <v>136635013</v>
      </c>
      <c r="C429" t="s">
        <v>2942</v>
      </c>
      <c r="D429" t="s">
        <v>2943</v>
      </c>
      <c r="E429" t="s">
        <v>843</v>
      </c>
      <c r="F429" t="s">
        <v>844</v>
      </c>
      <c r="G429" t="s">
        <v>164</v>
      </c>
      <c r="H429" t="s">
        <v>165</v>
      </c>
      <c r="I429" t="s">
        <v>34</v>
      </c>
      <c r="J429" t="s">
        <v>166</v>
      </c>
      <c r="K429" t="s">
        <v>41</v>
      </c>
      <c r="L429" t="s">
        <v>2944</v>
      </c>
      <c r="M429" t="s">
        <v>2945</v>
      </c>
      <c r="N429" t="s">
        <v>847</v>
      </c>
      <c r="O429" t="s">
        <v>100</v>
      </c>
      <c r="P429" t="s">
        <v>2946</v>
      </c>
      <c r="Q429" t="s">
        <v>59</v>
      </c>
      <c r="R429" t="s">
        <v>475</v>
      </c>
      <c r="S429">
        <v>1.02</v>
      </c>
      <c r="T429">
        <v>4067</v>
      </c>
      <c r="U429">
        <v>0</v>
      </c>
      <c r="V429">
        <v>4067</v>
      </c>
    </row>
    <row r="430" spans="1:22" x14ac:dyDescent="0.3">
      <c r="A430">
        <v>79452</v>
      </c>
      <c r="B430">
        <v>136635095</v>
      </c>
      <c r="C430" t="s">
        <v>2947</v>
      </c>
      <c r="D430" t="s">
        <v>2948</v>
      </c>
      <c r="E430" t="s">
        <v>843</v>
      </c>
      <c r="F430" t="s">
        <v>844</v>
      </c>
      <c r="G430" t="s">
        <v>164</v>
      </c>
      <c r="H430" t="s">
        <v>165</v>
      </c>
      <c r="I430" t="s">
        <v>34</v>
      </c>
      <c r="J430" t="s">
        <v>166</v>
      </c>
      <c r="K430" t="s">
        <v>41</v>
      </c>
      <c r="L430" t="s">
        <v>2949</v>
      </c>
      <c r="M430" t="s">
        <v>2950</v>
      </c>
      <c r="N430" t="s">
        <v>847</v>
      </c>
      <c r="O430" t="s">
        <v>100</v>
      </c>
      <c r="P430" t="s">
        <v>2951</v>
      </c>
      <c r="Q430" t="s">
        <v>43</v>
      </c>
      <c r="R430" t="s">
        <v>2480</v>
      </c>
      <c r="S430">
        <v>1.1200000000000001</v>
      </c>
      <c r="T430">
        <v>3753</v>
      </c>
      <c r="U430">
        <v>0</v>
      </c>
      <c r="V430">
        <v>3753</v>
      </c>
    </row>
    <row r="431" spans="1:22" x14ac:dyDescent="0.3">
      <c r="A431">
        <v>79452</v>
      </c>
      <c r="B431">
        <v>136635094</v>
      </c>
      <c r="C431" t="s">
        <v>2952</v>
      </c>
      <c r="D431" t="s">
        <v>2953</v>
      </c>
      <c r="E431" t="s">
        <v>843</v>
      </c>
      <c r="F431" t="s">
        <v>844</v>
      </c>
      <c r="G431" t="s">
        <v>164</v>
      </c>
      <c r="H431" t="s">
        <v>165</v>
      </c>
      <c r="I431" t="s">
        <v>34</v>
      </c>
      <c r="J431" t="s">
        <v>166</v>
      </c>
      <c r="K431" t="s">
        <v>41</v>
      </c>
      <c r="L431" t="s">
        <v>2954</v>
      </c>
      <c r="M431" t="s">
        <v>2955</v>
      </c>
      <c r="N431" t="s">
        <v>847</v>
      </c>
      <c r="O431" t="s">
        <v>100</v>
      </c>
      <c r="P431" t="s">
        <v>2956</v>
      </c>
      <c r="Q431" t="s">
        <v>43</v>
      </c>
      <c r="R431" t="s">
        <v>2480</v>
      </c>
      <c r="S431">
        <v>1.53</v>
      </c>
      <c r="T431">
        <v>3753</v>
      </c>
      <c r="U431">
        <v>0</v>
      </c>
      <c r="V431">
        <v>3753</v>
      </c>
    </row>
    <row r="432" spans="1:22" x14ac:dyDescent="0.3">
      <c r="A432">
        <v>79452</v>
      </c>
      <c r="B432">
        <v>136635089</v>
      </c>
      <c r="C432" t="s">
        <v>2957</v>
      </c>
      <c r="D432" t="s">
        <v>2958</v>
      </c>
      <c r="E432" t="s">
        <v>843</v>
      </c>
      <c r="F432" t="s">
        <v>844</v>
      </c>
      <c r="G432" t="s">
        <v>164</v>
      </c>
      <c r="H432" t="s">
        <v>165</v>
      </c>
      <c r="I432" t="s">
        <v>34</v>
      </c>
      <c r="J432" t="s">
        <v>166</v>
      </c>
      <c r="K432" t="s">
        <v>41</v>
      </c>
      <c r="L432" t="s">
        <v>2959</v>
      </c>
      <c r="M432" t="s">
        <v>2960</v>
      </c>
      <c r="N432" t="s">
        <v>847</v>
      </c>
      <c r="O432" t="s">
        <v>100</v>
      </c>
      <c r="P432" t="s">
        <v>2961</v>
      </c>
      <c r="Q432" t="s">
        <v>83</v>
      </c>
      <c r="R432" t="s">
        <v>2480</v>
      </c>
      <c r="S432">
        <v>1.75</v>
      </c>
      <c r="T432">
        <v>3366</v>
      </c>
      <c r="U432">
        <v>0</v>
      </c>
      <c r="V432">
        <v>3366</v>
      </c>
    </row>
    <row r="433" spans="1:22" x14ac:dyDescent="0.3">
      <c r="A433">
        <v>79452</v>
      </c>
      <c r="B433">
        <v>136635022</v>
      </c>
      <c r="C433" t="s">
        <v>2962</v>
      </c>
      <c r="D433" t="s">
        <v>2963</v>
      </c>
      <c r="E433" t="s">
        <v>843</v>
      </c>
      <c r="F433" t="s">
        <v>844</v>
      </c>
      <c r="G433" t="s">
        <v>164</v>
      </c>
      <c r="H433" t="s">
        <v>165</v>
      </c>
      <c r="I433" t="s">
        <v>34</v>
      </c>
      <c r="J433" t="s">
        <v>166</v>
      </c>
      <c r="K433" t="s">
        <v>41</v>
      </c>
      <c r="L433" t="s">
        <v>2964</v>
      </c>
      <c r="M433" t="s">
        <v>2965</v>
      </c>
      <c r="N433" t="s">
        <v>847</v>
      </c>
      <c r="O433" t="s">
        <v>100</v>
      </c>
      <c r="P433" t="s">
        <v>2966</v>
      </c>
      <c r="Q433" t="s">
        <v>84</v>
      </c>
      <c r="R433" t="s">
        <v>475</v>
      </c>
      <c r="S433">
        <v>0.7</v>
      </c>
      <c r="T433">
        <v>3366</v>
      </c>
      <c r="U433">
        <v>0</v>
      </c>
      <c r="V433">
        <v>3366</v>
      </c>
    </row>
    <row r="434" spans="1:22" x14ac:dyDescent="0.3">
      <c r="A434">
        <v>79452</v>
      </c>
      <c r="B434">
        <v>136756177</v>
      </c>
      <c r="C434" t="s">
        <v>2967</v>
      </c>
      <c r="D434" t="s">
        <v>2968</v>
      </c>
      <c r="E434" t="s">
        <v>843</v>
      </c>
      <c r="F434" t="s">
        <v>844</v>
      </c>
      <c r="G434" t="s">
        <v>164</v>
      </c>
      <c r="H434" t="s">
        <v>165</v>
      </c>
      <c r="I434" t="s">
        <v>34</v>
      </c>
      <c r="J434" t="s">
        <v>166</v>
      </c>
      <c r="K434" t="s">
        <v>41</v>
      </c>
      <c r="L434" t="s">
        <v>2969</v>
      </c>
      <c r="M434" t="s">
        <v>2970</v>
      </c>
      <c r="N434" t="s">
        <v>847</v>
      </c>
      <c r="O434" t="s">
        <v>100</v>
      </c>
      <c r="P434" t="s">
        <v>2971</v>
      </c>
      <c r="Q434" t="s">
        <v>61</v>
      </c>
      <c r="R434" t="s">
        <v>782</v>
      </c>
      <c r="S434">
        <v>0.87</v>
      </c>
      <c r="T434">
        <v>4067</v>
      </c>
      <c r="U434">
        <v>0</v>
      </c>
      <c r="V434">
        <v>4067</v>
      </c>
    </row>
    <row r="435" spans="1:22" x14ac:dyDescent="0.3">
      <c r="A435">
        <v>79452</v>
      </c>
      <c r="B435">
        <v>136635005</v>
      </c>
      <c r="C435" t="s">
        <v>2972</v>
      </c>
      <c r="D435" t="s">
        <v>2973</v>
      </c>
      <c r="E435" t="s">
        <v>843</v>
      </c>
      <c r="F435" t="s">
        <v>844</v>
      </c>
      <c r="G435" t="s">
        <v>164</v>
      </c>
      <c r="H435" t="s">
        <v>165</v>
      </c>
      <c r="I435" t="s">
        <v>34</v>
      </c>
      <c r="J435" t="s">
        <v>166</v>
      </c>
      <c r="K435" t="s">
        <v>41</v>
      </c>
      <c r="L435" t="s">
        <v>2974</v>
      </c>
      <c r="M435" t="s">
        <v>406</v>
      </c>
      <c r="N435" t="s">
        <v>847</v>
      </c>
      <c r="O435" t="s">
        <v>100</v>
      </c>
      <c r="P435" t="s">
        <v>2975</v>
      </c>
      <c r="Q435" t="s">
        <v>60</v>
      </c>
      <c r="R435" t="s">
        <v>475</v>
      </c>
      <c r="S435">
        <v>2.68</v>
      </c>
      <c r="T435">
        <v>4346</v>
      </c>
      <c r="U435">
        <v>0</v>
      </c>
      <c r="V435">
        <v>4346</v>
      </c>
    </row>
    <row r="436" spans="1:22" x14ac:dyDescent="0.3">
      <c r="A436">
        <v>79452</v>
      </c>
      <c r="B436">
        <v>136635100</v>
      </c>
      <c r="C436" t="s">
        <v>2976</v>
      </c>
      <c r="D436" t="s">
        <v>2977</v>
      </c>
      <c r="E436" t="s">
        <v>843</v>
      </c>
      <c r="F436" t="s">
        <v>844</v>
      </c>
      <c r="G436" t="s">
        <v>164</v>
      </c>
      <c r="H436" t="s">
        <v>165</v>
      </c>
      <c r="I436" t="s">
        <v>34</v>
      </c>
      <c r="J436" t="s">
        <v>166</v>
      </c>
      <c r="K436" t="s">
        <v>41</v>
      </c>
      <c r="L436" t="s">
        <v>2978</v>
      </c>
      <c r="M436" t="s">
        <v>2979</v>
      </c>
      <c r="N436" t="s">
        <v>847</v>
      </c>
      <c r="O436" t="s">
        <v>100</v>
      </c>
      <c r="P436" t="s">
        <v>2980</v>
      </c>
      <c r="Q436" t="s">
        <v>190</v>
      </c>
      <c r="R436" t="s">
        <v>2480</v>
      </c>
      <c r="S436">
        <v>3.82</v>
      </c>
      <c r="T436">
        <v>3797</v>
      </c>
      <c r="U436">
        <v>0</v>
      </c>
      <c r="V436">
        <v>3797</v>
      </c>
    </row>
    <row r="437" spans="1:22" x14ac:dyDescent="0.3">
      <c r="A437">
        <v>79452</v>
      </c>
      <c r="B437">
        <v>136635019</v>
      </c>
      <c r="C437" t="s">
        <v>2981</v>
      </c>
      <c r="D437" t="s">
        <v>2982</v>
      </c>
      <c r="E437" t="s">
        <v>843</v>
      </c>
      <c r="F437" t="s">
        <v>844</v>
      </c>
      <c r="G437" t="s">
        <v>164</v>
      </c>
      <c r="H437" t="s">
        <v>165</v>
      </c>
      <c r="I437" t="s">
        <v>34</v>
      </c>
      <c r="J437" t="s">
        <v>166</v>
      </c>
      <c r="K437" t="s">
        <v>41</v>
      </c>
      <c r="L437" t="s">
        <v>2983</v>
      </c>
      <c r="M437" t="s">
        <v>2984</v>
      </c>
      <c r="N437" t="s">
        <v>847</v>
      </c>
      <c r="O437" t="s">
        <v>100</v>
      </c>
      <c r="P437" t="s">
        <v>2985</v>
      </c>
      <c r="Q437" t="s">
        <v>60</v>
      </c>
      <c r="R437" t="s">
        <v>475</v>
      </c>
      <c r="S437">
        <v>0.86</v>
      </c>
      <c r="T437">
        <v>4346</v>
      </c>
      <c r="U437">
        <v>0</v>
      </c>
      <c r="V437">
        <v>4346</v>
      </c>
    </row>
    <row r="438" spans="1:22" x14ac:dyDescent="0.3">
      <c r="A438">
        <v>79452</v>
      </c>
      <c r="B438">
        <v>136635098</v>
      </c>
      <c r="C438" t="s">
        <v>2986</v>
      </c>
      <c r="D438" t="s">
        <v>2987</v>
      </c>
      <c r="E438" t="s">
        <v>843</v>
      </c>
      <c r="F438" t="s">
        <v>844</v>
      </c>
      <c r="G438" t="s">
        <v>164</v>
      </c>
      <c r="H438" t="s">
        <v>165</v>
      </c>
      <c r="I438" t="s">
        <v>34</v>
      </c>
      <c r="J438" t="s">
        <v>166</v>
      </c>
      <c r="K438" t="s">
        <v>41</v>
      </c>
      <c r="L438" t="s">
        <v>2988</v>
      </c>
      <c r="M438" t="s">
        <v>2989</v>
      </c>
      <c r="N438" t="s">
        <v>847</v>
      </c>
      <c r="O438" t="s">
        <v>100</v>
      </c>
      <c r="P438" t="s">
        <v>2990</v>
      </c>
      <c r="Q438" t="s">
        <v>64</v>
      </c>
      <c r="R438" t="s">
        <v>2480</v>
      </c>
      <c r="S438">
        <v>1.69</v>
      </c>
      <c r="T438">
        <v>4067</v>
      </c>
      <c r="U438">
        <v>0</v>
      </c>
      <c r="V438">
        <v>4067</v>
      </c>
    </row>
    <row r="439" spans="1:22" x14ac:dyDescent="0.3">
      <c r="A439">
        <v>79452</v>
      </c>
      <c r="B439">
        <v>136635025</v>
      </c>
      <c r="C439" t="s">
        <v>2991</v>
      </c>
      <c r="D439" t="s">
        <v>2992</v>
      </c>
      <c r="E439" t="s">
        <v>843</v>
      </c>
      <c r="F439" t="s">
        <v>844</v>
      </c>
      <c r="G439" t="s">
        <v>164</v>
      </c>
      <c r="H439" t="s">
        <v>165</v>
      </c>
      <c r="I439" t="s">
        <v>34</v>
      </c>
      <c r="J439" t="s">
        <v>166</v>
      </c>
      <c r="K439" t="s">
        <v>41</v>
      </c>
      <c r="L439" t="s">
        <v>2993</v>
      </c>
      <c r="M439" t="s">
        <v>2994</v>
      </c>
      <c r="N439" t="s">
        <v>847</v>
      </c>
      <c r="O439" t="s">
        <v>100</v>
      </c>
      <c r="P439" t="s">
        <v>2995</v>
      </c>
      <c r="Q439" t="s">
        <v>63</v>
      </c>
      <c r="R439" t="s">
        <v>475</v>
      </c>
      <c r="S439">
        <v>1.44</v>
      </c>
      <c r="T439">
        <v>4067</v>
      </c>
      <c r="U439">
        <v>0</v>
      </c>
      <c r="V439">
        <v>4067</v>
      </c>
    </row>
    <row r="440" spans="1:22" x14ac:dyDescent="0.3">
      <c r="A440">
        <v>79452</v>
      </c>
      <c r="B440">
        <v>136635083</v>
      </c>
      <c r="C440" t="s">
        <v>2996</v>
      </c>
      <c r="D440" t="s">
        <v>2997</v>
      </c>
      <c r="E440" t="s">
        <v>843</v>
      </c>
      <c r="F440" t="s">
        <v>844</v>
      </c>
      <c r="G440" t="s">
        <v>164</v>
      </c>
      <c r="H440" t="s">
        <v>165</v>
      </c>
      <c r="I440" t="s">
        <v>34</v>
      </c>
      <c r="J440" t="s">
        <v>166</v>
      </c>
      <c r="K440" t="s">
        <v>41</v>
      </c>
      <c r="L440" t="s">
        <v>2998</v>
      </c>
      <c r="M440" t="s">
        <v>2999</v>
      </c>
      <c r="N440" t="s">
        <v>847</v>
      </c>
      <c r="O440" t="s">
        <v>100</v>
      </c>
      <c r="P440" t="s">
        <v>3000</v>
      </c>
      <c r="Q440" t="s">
        <v>60</v>
      </c>
      <c r="R440" t="s">
        <v>2480</v>
      </c>
      <c r="S440">
        <v>2.84</v>
      </c>
      <c r="T440">
        <v>4346</v>
      </c>
      <c r="U440">
        <v>0</v>
      </c>
      <c r="V440">
        <v>4346</v>
      </c>
    </row>
    <row r="441" spans="1:22" x14ac:dyDescent="0.3">
      <c r="A441">
        <v>79452</v>
      </c>
      <c r="B441">
        <v>136635055</v>
      </c>
      <c r="C441" t="s">
        <v>3001</v>
      </c>
      <c r="D441" t="s">
        <v>3002</v>
      </c>
      <c r="E441" t="s">
        <v>843</v>
      </c>
      <c r="F441" t="s">
        <v>844</v>
      </c>
      <c r="G441" t="s">
        <v>164</v>
      </c>
      <c r="H441" t="s">
        <v>165</v>
      </c>
      <c r="I441" t="s">
        <v>34</v>
      </c>
      <c r="J441" t="s">
        <v>166</v>
      </c>
      <c r="K441" t="s">
        <v>41</v>
      </c>
      <c r="L441" t="s">
        <v>3003</v>
      </c>
      <c r="M441" t="s">
        <v>3004</v>
      </c>
      <c r="N441" t="s">
        <v>847</v>
      </c>
      <c r="O441" t="s">
        <v>100</v>
      </c>
      <c r="P441" t="s">
        <v>3005</v>
      </c>
      <c r="Q441" t="s">
        <v>84</v>
      </c>
      <c r="R441" t="s">
        <v>475</v>
      </c>
      <c r="S441">
        <v>1.44</v>
      </c>
      <c r="T441">
        <v>3366</v>
      </c>
      <c r="U441">
        <v>0</v>
      </c>
      <c r="V441">
        <v>3366</v>
      </c>
    </row>
    <row r="442" spans="1:22" x14ac:dyDescent="0.3">
      <c r="A442">
        <v>79452</v>
      </c>
      <c r="B442">
        <v>136756195</v>
      </c>
      <c r="C442" t="s">
        <v>3006</v>
      </c>
      <c r="D442" t="s">
        <v>3007</v>
      </c>
      <c r="E442" t="s">
        <v>843</v>
      </c>
      <c r="F442" t="s">
        <v>844</v>
      </c>
      <c r="G442" t="s">
        <v>164</v>
      </c>
      <c r="H442" t="s">
        <v>165</v>
      </c>
      <c r="I442" t="s">
        <v>34</v>
      </c>
      <c r="J442" t="s">
        <v>166</v>
      </c>
      <c r="K442" t="s">
        <v>41</v>
      </c>
      <c r="L442" t="s">
        <v>3008</v>
      </c>
      <c r="M442" t="s">
        <v>1459</v>
      </c>
      <c r="N442" t="s">
        <v>847</v>
      </c>
      <c r="O442" t="s">
        <v>100</v>
      </c>
      <c r="P442" t="s">
        <v>1460</v>
      </c>
      <c r="Q442" t="s">
        <v>85</v>
      </c>
      <c r="R442" t="s">
        <v>782</v>
      </c>
      <c r="S442">
        <v>1</v>
      </c>
      <c r="T442">
        <v>3366</v>
      </c>
      <c r="U442">
        <v>0</v>
      </c>
      <c r="V442">
        <v>3366</v>
      </c>
    </row>
    <row r="443" spans="1:22" x14ac:dyDescent="0.3">
      <c r="A443">
        <v>79452</v>
      </c>
      <c r="B443">
        <v>136723373</v>
      </c>
      <c r="C443" t="s">
        <v>3009</v>
      </c>
      <c r="D443" t="s">
        <v>3010</v>
      </c>
      <c r="E443" t="s">
        <v>843</v>
      </c>
      <c r="F443" t="s">
        <v>844</v>
      </c>
      <c r="G443" t="s">
        <v>164</v>
      </c>
      <c r="H443" t="s">
        <v>165</v>
      </c>
      <c r="I443" t="s">
        <v>34</v>
      </c>
      <c r="J443" t="s">
        <v>166</v>
      </c>
      <c r="K443" t="s">
        <v>41</v>
      </c>
      <c r="L443" t="s">
        <v>3011</v>
      </c>
      <c r="M443" t="s">
        <v>3012</v>
      </c>
      <c r="N443" t="s">
        <v>847</v>
      </c>
      <c r="O443" t="s">
        <v>100</v>
      </c>
      <c r="P443" t="s">
        <v>3013</v>
      </c>
      <c r="Q443" t="s">
        <v>87</v>
      </c>
      <c r="R443" t="s">
        <v>1338</v>
      </c>
      <c r="S443">
        <v>1.18</v>
      </c>
      <c r="T443">
        <v>3366</v>
      </c>
      <c r="U443">
        <v>0</v>
      </c>
      <c r="V443">
        <v>3366</v>
      </c>
    </row>
    <row r="444" spans="1:22" x14ac:dyDescent="0.3">
      <c r="A444">
        <v>79452</v>
      </c>
      <c r="B444">
        <v>136756233</v>
      </c>
      <c r="C444" t="s">
        <v>3014</v>
      </c>
      <c r="D444" t="s">
        <v>3015</v>
      </c>
      <c r="E444" t="s">
        <v>843</v>
      </c>
      <c r="F444" t="s">
        <v>844</v>
      </c>
      <c r="G444" t="s">
        <v>164</v>
      </c>
      <c r="H444" t="s">
        <v>165</v>
      </c>
      <c r="I444" t="s">
        <v>34</v>
      </c>
      <c r="J444" t="s">
        <v>166</v>
      </c>
      <c r="K444" t="s">
        <v>41</v>
      </c>
      <c r="L444" t="s">
        <v>3016</v>
      </c>
      <c r="M444" t="s">
        <v>3017</v>
      </c>
      <c r="N444" t="s">
        <v>847</v>
      </c>
      <c r="O444" t="s">
        <v>100</v>
      </c>
      <c r="P444" t="s">
        <v>3018</v>
      </c>
      <c r="Q444" t="s">
        <v>92</v>
      </c>
      <c r="R444" t="s">
        <v>782</v>
      </c>
      <c r="S444">
        <v>1.01</v>
      </c>
      <c r="T444">
        <v>3366</v>
      </c>
      <c r="U444">
        <v>0</v>
      </c>
      <c r="V444">
        <v>3366</v>
      </c>
    </row>
    <row r="445" spans="1:22" x14ac:dyDescent="0.3">
      <c r="A445">
        <v>79452</v>
      </c>
      <c r="B445">
        <v>136483040</v>
      </c>
      <c r="C445" t="s">
        <v>3019</v>
      </c>
      <c r="D445" t="s">
        <v>3020</v>
      </c>
      <c r="E445" t="s">
        <v>843</v>
      </c>
      <c r="F445" t="s">
        <v>844</v>
      </c>
      <c r="G445" t="s">
        <v>164</v>
      </c>
      <c r="H445" t="s">
        <v>165</v>
      </c>
      <c r="I445" t="s">
        <v>34</v>
      </c>
      <c r="J445" t="s">
        <v>166</v>
      </c>
      <c r="K445" t="s">
        <v>41</v>
      </c>
      <c r="L445" t="s">
        <v>3021</v>
      </c>
      <c r="M445" t="s">
        <v>3022</v>
      </c>
      <c r="N445" t="s">
        <v>847</v>
      </c>
      <c r="O445" t="s">
        <v>100</v>
      </c>
      <c r="P445" t="s">
        <v>3023</v>
      </c>
      <c r="Q445" t="s">
        <v>55</v>
      </c>
      <c r="R445" t="s">
        <v>590</v>
      </c>
      <c r="S445">
        <v>2.3199999999999998</v>
      </c>
      <c r="T445">
        <v>5198</v>
      </c>
      <c r="U445">
        <v>0</v>
      </c>
      <c r="V445">
        <v>5198</v>
      </c>
    </row>
    <row r="446" spans="1:22" x14ac:dyDescent="0.3">
      <c r="A446">
        <v>79452</v>
      </c>
      <c r="B446">
        <v>136635086</v>
      </c>
      <c r="C446" t="s">
        <v>3024</v>
      </c>
      <c r="D446" t="s">
        <v>3025</v>
      </c>
      <c r="E446" t="s">
        <v>843</v>
      </c>
      <c r="F446" t="s">
        <v>844</v>
      </c>
      <c r="G446" t="s">
        <v>164</v>
      </c>
      <c r="H446" t="s">
        <v>165</v>
      </c>
      <c r="I446" t="s">
        <v>34</v>
      </c>
      <c r="J446" t="s">
        <v>166</v>
      </c>
      <c r="K446" t="s">
        <v>41</v>
      </c>
      <c r="L446" t="s">
        <v>3026</v>
      </c>
      <c r="M446" t="s">
        <v>3027</v>
      </c>
      <c r="N446" t="s">
        <v>847</v>
      </c>
      <c r="O446" t="s">
        <v>100</v>
      </c>
      <c r="P446" t="s">
        <v>3028</v>
      </c>
      <c r="Q446" t="s">
        <v>70</v>
      </c>
      <c r="R446" t="s">
        <v>2480</v>
      </c>
      <c r="S446">
        <v>1.1100000000000001</v>
      </c>
      <c r="T446">
        <v>3501</v>
      </c>
      <c r="U446">
        <v>0</v>
      </c>
      <c r="V446">
        <v>3501</v>
      </c>
    </row>
    <row r="447" spans="1:22" x14ac:dyDescent="0.3">
      <c r="A447">
        <v>79452</v>
      </c>
      <c r="B447">
        <v>135792401</v>
      </c>
      <c r="C447" t="s">
        <v>3029</v>
      </c>
      <c r="D447" t="s">
        <v>3030</v>
      </c>
      <c r="E447" t="s">
        <v>843</v>
      </c>
      <c r="F447" t="s">
        <v>844</v>
      </c>
      <c r="G447" t="s">
        <v>164</v>
      </c>
      <c r="H447" t="s">
        <v>165</v>
      </c>
      <c r="I447" t="s">
        <v>34</v>
      </c>
      <c r="J447" t="s">
        <v>166</v>
      </c>
      <c r="K447" t="s">
        <v>41</v>
      </c>
      <c r="L447" t="s">
        <v>3031</v>
      </c>
      <c r="M447" t="s">
        <v>3032</v>
      </c>
      <c r="N447" t="s">
        <v>847</v>
      </c>
      <c r="O447" t="s">
        <v>100</v>
      </c>
      <c r="P447" t="s">
        <v>3033</v>
      </c>
      <c r="Q447" t="s">
        <v>246</v>
      </c>
      <c r="R447" t="s">
        <v>694</v>
      </c>
      <c r="S447">
        <v>1</v>
      </c>
      <c r="T447">
        <v>5759</v>
      </c>
      <c r="U447">
        <v>0</v>
      </c>
      <c r="V447">
        <v>5759</v>
      </c>
    </row>
    <row r="448" spans="1:22" x14ac:dyDescent="0.3">
      <c r="A448">
        <v>79452</v>
      </c>
      <c r="B448">
        <v>136635064</v>
      </c>
      <c r="C448" t="s">
        <v>3034</v>
      </c>
      <c r="D448" t="s">
        <v>3035</v>
      </c>
      <c r="E448" t="s">
        <v>843</v>
      </c>
      <c r="F448" t="s">
        <v>844</v>
      </c>
      <c r="G448" t="s">
        <v>164</v>
      </c>
      <c r="H448" t="s">
        <v>165</v>
      </c>
      <c r="I448" t="s">
        <v>34</v>
      </c>
      <c r="J448" t="s">
        <v>166</v>
      </c>
      <c r="K448" t="s">
        <v>41</v>
      </c>
      <c r="L448" t="s">
        <v>3036</v>
      </c>
      <c r="M448" t="s">
        <v>3037</v>
      </c>
      <c r="N448" t="s">
        <v>847</v>
      </c>
      <c r="O448" t="s">
        <v>100</v>
      </c>
      <c r="P448" t="s">
        <v>3038</v>
      </c>
      <c r="Q448" t="s">
        <v>61</v>
      </c>
      <c r="R448" t="s">
        <v>475</v>
      </c>
      <c r="S448">
        <v>1.22</v>
      </c>
      <c r="T448">
        <v>4067</v>
      </c>
      <c r="U448">
        <v>0</v>
      </c>
      <c r="V448">
        <v>4067</v>
      </c>
    </row>
    <row r="449" spans="1:22" x14ac:dyDescent="0.3">
      <c r="A449">
        <v>79452</v>
      </c>
      <c r="B449">
        <v>136559308</v>
      </c>
      <c r="C449" t="s">
        <v>3039</v>
      </c>
      <c r="D449" t="s">
        <v>3040</v>
      </c>
      <c r="E449" t="s">
        <v>843</v>
      </c>
      <c r="F449" t="s">
        <v>844</v>
      </c>
      <c r="G449" t="s">
        <v>164</v>
      </c>
      <c r="H449" t="s">
        <v>165</v>
      </c>
      <c r="I449" t="s">
        <v>34</v>
      </c>
      <c r="J449" t="s">
        <v>166</v>
      </c>
      <c r="K449" t="s">
        <v>41</v>
      </c>
      <c r="L449" t="s">
        <v>3041</v>
      </c>
      <c r="M449" t="s">
        <v>3042</v>
      </c>
      <c r="N449" t="s">
        <v>847</v>
      </c>
      <c r="O449" t="s">
        <v>100</v>
      </c>
      <c r="P449" t="s">
        <v>3043</v>
      </c>
      <c r="Q449" t="s">
        <v>59</v>
      </c>
      <c r="R449" t="s">
        <v>1606</v>
      </c>
      <c r="S449">
        <v>1.21</v>
      </c>
      <c r="T449">
        <v>4067</v>
      </c>
      <c r="U449">
        <v>0</v>
      </c>
      <c r="V449">
        <v>4067</v>
      </c>
    </row>
    <row r="450" spans="1:22" x14ac:dyDescent="0.3">
      <c r="A450">
        <v>79452</v>
      </c>
      <c r="B450">
        <v>136559290</v>
      </c>
      <c r="C450" t="s">
        <v>3044</v>
      </c>
      <c r="D450" t="s">
        <v>3045</v>
      </c>
      <c r="E450" t="s">
        <v>843</v>
      </c>
      <c r="F450" t="s">
        <v>844</v>
      </c>
      <c r="G450" t="s">
        <v>164</v>
      </c>
      <c r="H450" t="s">
        <v>165</v>
      </c>
      <c r="I450" t="s">
        <v>34</v>
      </c>
      <c r="J450" t="s">
        <v>166</v>
      </c>
      <c r="K450" t="s">
        <v>41</v>
      </c>
      <c r="L450" t="s">
        <v>3046</v>
      </c>
      <c r="M450" t="s">
        <v>3047</v>
      </c>
      <c r="N450" t="s">
        <v>847</v>
      </c>
      <c r="O450" t="s">
        <v>100</v>
      </c>
      <c r="P450" t="s">
        <v>3048</v>
      </c>
      <c r="Q450" t="s">
        <v>68</v>
      </c>
      <c r="R450" t="s">
        <v>1606</v>
      </c>
      <c r="S450">
        <v>1.0900000000000001</v>
      </c>
      <c r="T450">
        <v>3753</v>
      </c>
      <c r="U450">
        <v>0</v>
      </c>
      <c r="V450">
        <v>3753</v>
      </c>
    </row>
    <row r="451" spans="1:22" x14ac:dyDescent="0.3">
      <c r="A451">
        <v>79452</v>
      </c>
      <c r="B451">
        <v>136635074</v>
      </c>
      <c r="C451" t="s">
        <v>3049</v>
      </c>
      <c r="D451" t="s">
        <v>3050</v>
      </c>
      <c r="E451" t="s">
        <v>843</v>
      </c>
      <c r="F451" t="s">
        <v>844</v>
      </c>
      <c r="G451" t="s">
        <v>164</v>
      </c>
      <c r="H451" t="s">
        <v>165</v>
      </c>
      <c r="I451" t="s">
        <v>34</v>
      </c>
      <c r="J451" t="s">
        <v>166</v>
      </c>
      <c r="K451" t="s">
        <v>41</v>
      </c>
      <c r="L451" t="s">
        <v>3051</v>
      </c>
      <c r="M451" t="s">
        <v>3052</v>
      </c>
      <c r="N451" t="s">
        <v>847</v>
      </c>
      <c r="O451" t="s">
        <v>100</v>
      </c>
      <c r="P451" t="s">
        <v>3053</v>
      </c>
      <c r="Q451" t="s">
        <v>117</v>
      </c>
      <c r="R451" t="s">
        <v>2480</v>
      </c>
      <c r="S451">
        <v>1.74</v>
      </c>
      <c r="T451">
        <v>4067</v>
      </c>
      <c r="U451">
        <v>0</v>
      </c>
      <c r="V451">
        <v>4067</v>
      </c>
    </row>
    <row r="452" spans="1:22" x14ac:dyDescent="0.3">
      <c r="A452">
        <v>79452</v>
      </c>
      <c r="B452">
        <v>136635058</v>
      </c>
      <c r="C452" t="s">
        <v>3054</v>
      </c>
      <c r="D452" t="s">
        <v>3055</v>
      </c>
      <c r="E452" t="s">
        <v>843</v>
      </c>
      <c r="F452" t="s">
        <v>844</v>
      </c>
      <c r="G452" t="s">
        <v>164</v>
      </c>
      <c r="H452" t="s">
        <v>165</v>
      </c>
      <c r="I452" t="s">
        <v>34</v>
      </c>
      <c r="J452" t="s">
        <v>166</v>
      </c>
      <c r="K452" t="s">
        <v>41</v>
      </c>
      <c r="L452" t="s">
        <v>3056</v>
      </c>
      <c r="M452" t="s">
        <v>3057</v>
      </c>
      <c r="N452" t="s">
        <v>847</v>
      </c>
      <c r="O452" t="s">
        <v>100</v>
      </c>
      <c r="P452" t="s">
        <v>3058</v>
      </c>
      <c r="Q452" t="s">
        <v>94</v>
      </c>
      <c r="R452" t="s">
        <v>475</v>
      </c>
      <c r="S452">
        <v>1.1299999999999999</v>
      </c>
      <c r="T452">
        <v>3366</v>
      </c>
      <c r="U452">
        <v>0</v>
      </c>
      <c r="V452">
        <v>3366</v>
      </c>
    </row>
    <row r="453" spans="1:22" x14ac:dyDescent="0.3">
      <c r="A453">
        <v>79452</v>
      </c>
      <c r="B453">
        <v>136680878</v>
      </c>
      <c r="C453" t="s">
        <v>3059</v>
      </c>
      <c r="D453" t="s">
        <v>3060</v>
      </c>
      <c r="E453" t="s">
        <v>843</v>
      </c>
      <c r="F453" t="s">
        <v>844</v>
      </c>
      <c r="G453" t="s">
        <v>164</v>
      </c>
      <c r="H453" t="s">
        <v>165</v>
      </c>
      <c r="I453" t="s">
        <v>34</v>
      </c>
      <c r="J453" t="s">
        <v>166</v>
      </c>
      <c r="K453" t="s">
        <v>41</v>
      </c>
      <c r="L453" t="s">
        <v>3061</v>
      </c>
      <c r="M453" t="s">
        <v>3062</v>
      </c>
      <c r="N453" t="s">
        <v>847</v>
      </c>
      <c r="O453" t="s">
        <v>100</v>
      </c>
      <c r="P453" t="s">
        <v>3063</v>
      </c>
      <c r="Q453" t="s">
        <v>50</v>
      </c>
      <c r="R453" t="s">
        <v>365</v>
      </c>
      <c r="S453">
        <v>1.27</v>
      </c>
      <c r="T453">
        <v>3784</v>
      </c>
      <c r="U453">
        <v>0</v>
      </c>
      <c r="V453">
        <v>3784</v>
      </c>
    </row>
    <row r="454" spans="1:22" x14ac:dyDescent="0.3">
      <c r="A454">
        <v>79452</v>
      </c>
      <c r="B454">
        <v>136541767</v>
      </c>
      <c r="C454" t="s">
        <v>3064</v>
      </c>
      <c r="D454" t="s">
        <v>3065</v>
      </c>
      <c r="E454" t="s">
        <v>843</v>
      </c>
      <c r="F454" t="s">
        <v>844</v>
      </c>
      <c r="G454" t="s">
        <v>164</v>
      </c>
      <c r="H454" t="s">
        <v>165</v>
      </c>
      <c r="I454" t="s">
        <v>34</v>
      </c>
      <c r="J454" t="s">
        <v>166</v>
      </c>
      <c r="K454" t="s">
        <v>41</v>
      </c>
      <c r="L454" t="s">
        <v>3066</v>
      </c>
      <c r="M454" t="s">
        <v>3067</v>
      </c>
      <c r="N454" t="s">
        <v>847</v>
      </c>
      <c r="O454" t="s">
        <v>100</v>
      </c>
      <c r="P454" t="s">
        <v>3068</v>
      </c>
      <c r="Q454" t="s">
        <v>109</v>
      </c>
      <c r="R454" t="s">
        <v>2767</v>
      </c>
      <c r="S454">
        <v>1</v>
      </c>
      <c r="T454">
        <v>4346</v>
      </c>
      <c r="U454">
        <v>0</v>
      </c>
      <c r="V454">
        <v>4346</v>
      </c>
    </row>
    <row r="455" spans="1:22" x14ac:dyDescent="0.3">
      <c r="A455">
        <v>79452</v>
      </c>
      <c r="B455">
        <v>136723383</v>
      </c>
      <c r="C455" t="s">
        <v>3069</v>
      </c>
      <c r="D455" t="s">
        <v>3070</v>
      </c>
      <c r="E455" t="s">
        <v>843</v>
      </c>
      <c r="F455" t="s">
        <v>844</v>
      </c>
      <c r="G455" t="s">
        <v>164</v>
      </c>
      <c r="H455" t="s">
        <v>165</v>
      </c>
      <c r="I455" t="s">
        <v>34</v>
      </c>
      <c r="J455" t="s">
        <v>166</v>
      </c>
      <c r="K455" t="s">
        <v>41</v>
      </c>
      <c r="L455" t="s">
        <v>3071</v>
      </c>
      <c r="M455" t="s">
        <v>3072</v>
      </c>
      <c r="N455" t="s">
        <v>847</v>
      </c>
      <c r="O455" t="s">
        <v>100</v>
      </c>
      <c r="P455" t="s">
        <v>3073</v>
      </c>
      <c r="Q455" t="s">
        <v>49</v>
      </c>
      <c r="R455" t="s">
        <v>1338</v>
      </c>
      <c r="S455">
        <v>0.76</v>
      </c>
      <c r="T455">
        <v>3784</v>
      </c>
      <c r="U455">
        <v>0</v>
      </c>
      <c r="V455">
        <v>3784</v>
      </c>
    </row>
    <row r="456" spans="1:22" x14ac:dyDescent="0.3">
      <c r="A456">
        <v>79452</v>
      </c>
      <c r="B456">
        <v>135845059</v>
      </c>
      <c r="C456" t="s">
        <v>3074</v>
      </c>
      <c r="D456" t="s">
        <v>3075</v>
      </c>
      <c r="E456" t="s">
        <v>843</v>
      </c>
      <c r="F456" t="s">
        <v>844</v>
      </c>
      <c r="G456" t="s">
        <v>164</v>
      </c>
      <c r="H456" t="s">
        <v>165</v>
      </c>
      <c r="I456" t="s">
        <v>34</v>
      </c>
      <c r="J456" t="s">
        <v>166</v>
      </c>
      <c r="K456" t="s">
        <v>280</v>
      </c>
      <c r="L456" t="s">
        <v>281</v>
      </c>
      <c r="M456" t="s">
        <v>3076</v>
      </c>
      <c r="N456" t="s">
        <v>847</v>
      </c>
      <c r="O456" t="s">
        <v>100</v>
      </c>
      <c r="P456" t="s">
        <v>3077</v>
      </c>
      <c r="Q456" t="s">
        <v>68</v>
      </c>
      <c r="R456" t="s">
        <v>503</v>
      </c>
      <c r="S456">
        <v>1.39</v>
      </c>
      <c r="T456">
        <v>3753</v>
      </c>
      <c r="U456">
        <v>0</v>
      </c>
      <c r="V456">
        <v>3753</v>
      </c>
    </row>
    <row r="457" spans="1:22" x14ac:dyDescent="0.3">
      <c r="A457">
        <v>79452</v>
      </c>
      <c r="B457">
        <v>136756205</v>
      </c>
      <c r="C457" t="s">
        <v>3078</v>
      </c>
      <c r="D457" t="s">
        <v>3079</v>
      </c>
      <c r="E457" t="s">
        <v>843</v>
      </c>
      <c r="F457" t="s">
        <v>844</v>
      </c>
      <c r="G457" t="s">
        <v>164</v>
      </c>
      <c r="H457" t="s">
        <v>165</v>
      </c>
      <c r="I457" t="s">
        <v>34</v>
      </c>
      <c r="J457" t="s">
        <v>166</v>
      </c>
      <c r="K457" t="s">
        <v>41</v>
      </c>
      <c r="L457" t="s">
        <v>3080</v>
      </c>
      <c r="M457" t="s">
        <v>3081</v>
      </c>
      <c r="N457" t="s">
        <v>847</v>
      </c>
      <c r="O457" t="s">
        <v>100</v>
      </c>
      <c r="P457" t="s">
        <v>3082</v>
      </c>
      <c r="Q457" t="s">
        <v>50</v>
      </c>
      <c r="R457" t="s">
        <v>782</v>
      </c>
      <c r="S457">
        <v>0.49</v>
      </c>
      <c r="T457">
        <v>3680</v>
      </c>
      <c r="U457">
        <v>0</v>
      </c>
      <c r="V457">
        <v>3680</v>
      </c>
    </row>
    <row r="458" spans="1:22" x14ac:dyDescent="0.3">
      <c r="A458">
        <v>79452</v>
      </c>
      <c r="B458">
        <v>136635034</v>
      </c>
      <c r="C458" t="s">
        <v>3083</v>
      </c>
      <c r="D458" t="s">
        <v>3084</v>
      </c>
      <c r="E458" t="s">
        <v>843</v>
      </c>
      <c r="F458" t="s">
        <v>844</v>
      </c>
      <c r="G458" t="s">
        <v>164</v>
      </c>
      <c r="H458" t="s">
        <v>165</v>
      </c>
      <c r="I458" t="s">
        <v>34</v>
      </c>
      <c r="J458" t="s">
        <v>166</v>
      </c>
      <c r="K458" t="s">
        <v>41</v>
      </c>
      <c r="L458" t="s">
        <v>3085</v>
      </c>
      <c r="M458" t="s">
        <v>3086</v>
      </c>
      <c r="N458" t="s">
        <v>847</v>
      </c>
      <c r="O458" t="s">
        <v>100</v>
      </c>
      <c r="P458" t="s">
        <v>3087</v>
      </c>
      <c r="Q458" t="s">
        <v>63</v>
      </c>
      <c r="R458" t="s">
        <v>475</v>
      </c>
      <c r="S458">
        <v>1.1000000000000001</v>
      </c>
      <c r="T458">
        <v>4067</v>
      </c>
      <c r="U458">
        <v>0</v>
      </c>
      <c r="V458">
        <v>4067</v>
      </c>
    </row>
    <row r="459" spans="1:22" x14ac:dyDescent="0.3">
      <c r="A459">
        <v>79452</v>
      </c>
      <c r="B459">
        <v>136756225</v>
      </c>
      <c r="C459" t="s">
        <v>3088</v>
      </c>
      <c r="D459" t="s">
        <v>3089</v>
      </c>
      <c r="E459" t="s">
        <v>843</v>
      </c>
      <c r="F459" t="s">
        <v>844</v>
      </c>
      <c r="G459" t="s">
        <v>164</v>
      </c>
      <c r="H459" t="s">
        <v>165</v>
      </c>
      <c r="I459" t="s">
        <v>34</v>
      </c>
      <c r="J459" t="s">
        <v>166</v>
      </c>
      <c r="K459" t="s">
        <v>41</v>
      </c>
      <c r="L459" t="s">
        <v>3090</v>
      </c>
      <c r="M459" t="s">
        <v>3091</v>
      </c>
      <c r="N459" t="s">
        <v>847</v>
      </c>
      <c r="O459" t="s">
        <v>100</v>
      </c>
      <c r="P459" t="s">
        <v>3092</v>
      </c>
      <c r="Q459" t="s">
        <v>74</v>
      </c>
      <c r="R459" t="s">
        <v>782</v>
      </c>
      <c r="S459">
        <v>2.29</v>
      </c>
      <c r="T459">
        <v>3753</v>
      </c>
      <c r="U459">
        <v>0</v>
      </c>
      <c r="V459">
        <v>3753</v>
      </c>
    </row>
    <row r="460" spans="1:22" x14ac:dyDescent="0.3">
      <c r="A460">
        <v>79452</v>
      </c>
      <c r="B460">
        <v>136723377</v>
      </c>
      <c r="C460" t="s">
        <v>3093</v>
      </c>
      <c r="D460" t="s">
        <v>3094</v>
      </c>
      <c r="E460" t="s">
        <v>843</v>
      </c>
      <c r="F460" t="s">
        <v>844</v>
      </c>
      <c r="G460" t="s">
        <v>164</v>
      </c>
      <c r="H460" t="s">
        <v>165</v>
      </c>
      <c r="I460" t="s">
        <v>34</v>
      </c>
      <c r="J460" t="s">
        <v>166</v>
      </c>
      <c r="K460" t="s">
        <v>41</v>
      </c>
      <c r="L460" t="s">
        <v>3095</v>
      </c>
      <c r="M460" t="s">
        <v>3096</v>
      </c>
      <c r="N460" t="s">
        <v>847</v>
      </c>
      <c r="O460" t="s">
        <v>100</v>
      </c>
      <c r="P460" t="s">
        <v>3097</v>
      </c>
      <c r="Q460" t="s">
        <v>49</v>
      </c>
      <c r="R460" t="s">
        <v>1338</v>
      </c>
      <c r="S460">
        <v>0.86</v>
      </c>
      <c r="T460">
        <v>3784</v>
      </c>
      <c r="U460">
        <v>0</v>
      </c>
      <c r="V460">
        <v>3784</v>
      </c>
    </row>
    <row r="461" spans="1:22" x14ac:dyDescent="0.3">
      <c r="A461">
        <v>79452</v>
      </c>
      <c r="B461">
        <v>136634982</v>
      </c>
      <c r="C461" t="s">
        <v>3098</v>
      </c>
      <c r="D461" t="s">
        <v>3099</v>
      </c>
      <c r="E461" t="s">
        <v>843</v>
      </c>
      <c r="F461" t="s">
        <v>844</v>
      </c>
      <c r="G461" t="s">
        <v>164</v>
      </c>
      <c r="H461" t="s">
        <v>165</v>
      </c>
      <c r="I461" t="s">
        <v>34</v>
      </c>
      <c r="J461" t="s">
        <v>166</v>
      </c>
      <c r="K461" t="s">
        <v>41</v>
      </c>
      <c r="L461" t="s">
        <v>3100</v>
      </c>
      <c r="M461" t="s">
        <v>3101</v>
      </c>
      <c r="N461" t="s">
        <v>847</v>
      </c>
      <c r="O461" t="s">
        <v>100</v>
      </c>
      <c r="P461" t="s">
        <v>3102</v>
      </c>
      <c r="Q461" t="s">
        <v>54</v>
      </c>
      <c r="R461" t="s">
        <v>475</v>
      </c>
      <c r="S461">
        <v>1.1200000000000001</v>
      </c>
      <c r="T461">
        <v>5759</v>
      </c>
      <c r="U461">
        <v>0</v>
      </c>
      <c r="V461">
        <v>5759</v>
      </c>
    </row>
    <row r="462" spans="1:22" x14ac:dyDescent="0.3">
      <c r="A462">
        <v>79452</v>
      </c>
      <c r="B462">
        <v>136723363</v>
      </c>
      <c r="C462" t="s">
        <v>3103</v>
      </c>
      <c r="D462" t="s">
        <v>3104</v>
      </c>
      <c r="E462" t="s">
        <v>843</v>
      </c>
      <c r="F462" t="s">
        <v>844</v>
      </c>
      <c r="G462" t="s">
        <v>164</v>
      </c>
      <c r="H462" t="s">
        <v>165</v>
      </c>
      <c r="I462" t="s">
        <v>34</v>
      </c>
      <c r="J462" t="s">
        <v>166</v>
      </c>
      <c r="K462" t="s">
        <v>41</v>
      </c>
      <c r="L462" t="s">
        <v>3105</v>
      </c>
      <c r="M462" t="s">
        <v>1904</v>
      </c>
      <c r="N462" t="s">
        <v>847</v>
      </c>
      <c r="O462" t="s">
        <v>100</v>
      </c>
      <c r="P462" t="s">
        <v>1905</v>
      </c>
      <c r="Q462" t="s">
        <v>212</v>
      </c>
      <c r="R462" t="s">
        <v>1338</v>
      </c>
      <c r="S462">
        <v>0.85</v>
      </c>
      <c r="T462">
        <v>3784</v>
      </c>
      <c r="U462">
        <v>0</v>
      </c>
      <c r="V462">
        <v>3784</v>
      </c>
    </row>
    <row r="463" spans="1:22" x14ac:dyDescent="0.3">
      <c r="A463">
        <v>79452</v>
      </c>
      <c r="B463">
        <v>136756207</v>
      </c>
      <c r="C463" t="s">
        <v>3106</v>
      </c>
      <c r="D463" t="s">
        <v>3107</v>
      </c>
      <c r="E463" t="s">
        <v>843</v>
      </c>
      <c r="F463" t="s">
        <v>844</v>
      </c>
      <c r="G463" t="s">
        <v>164</v>
      </c>
      <c r="H463" t="s">
        <v>165</v>
      </c>
      <c r="I463" t="s">
        <v>34</v>
      </c>
      <c r="J463" t="s">
        <v>166</v>
      </c>
      <c r="K463" t="s">
        <v>41</v>
      </c>
      <c r="L463" t="s">
        <v>3108</v>
      </c>
      <c r="M463" t="s">
        <v>3109</v>
      </c>
      <c r="N463" t="s">
        <v>847</v>
      </c>
      <c r="O463" t="s">
        <v>100</v>
      </c>
      <c r="P463" t="s">
        <v>3110</v>
      </c>
      <c r="Q463" t="s">
        <v>76</v>
      </c>
      <c r="R463" t="s">
        <v>782</v>
      </c>
      <c r="S463">
        <v>1.04</v>
      </c>
      <c r="T463">
        <v>3753</v>
      </c>
      <c r="U463">
        <v>0</v>
      </c>
      <c r="V463">
        <v>3753</v>
      </c>
    </row>
    <row r="464" spans="1:22" x14ac:dyDescent="0.3">
      <c r="A464">
        <v>79452</v>
      </c>
      <c r="B464">
        <v>136635097</v>
      </c>
      <c r="C464" t="s">
        <v>3111</v>
      </c>
      <c r="D464" t="s">
        <v>3112</v>
      </c>
      <c r="E464" t="s">
        <v>843</v>
      </c>
      <c r="F464" t="s">
        <v>844</v>
      </c>
      <c r="G464" t="s">
        <v>164</v>
      </c>
      <c r="H464" t="s">
        <v>165</v>
      </c>
      <c r="I464" t="s">
        <v>34</v>
      </c>
      <c r="J464" t="s">
        <v>166</v>
      </c>
      <c r="K464" t="s">
        <v>41</v>
      </c>
      <c r="L464" t="s">
        <v>3113</v>
      </c>
      <c r="M464" t="s">
        <v>3114</v>
      </c>
      <c r="N464" t="s">
        <v>847</v>
      </c>
      <c r="O464" t="s">
        <v>100</v>
      </c>
      <c r="P464" t="s">
        <v>3115</v>
      </c>
      <c r="Q464" t="s">
        <v>84</v>
      </c>
      <c r="R464" t="s">
        <v>2480</v>
      </c>
      <c r="S464">
        <v>1.75</v>
      </c>
      <c r="T464">
        <v>3366</v>
      </c>
      <c r="U464">
        <v>0</v>
      </c>
      <c r="V464">
        <v>3366</v>
      </c>
    </row>
    <row r="465" spans="1:22" x14ac:dyDescent="0.3">
      <c r="A465">
        <v>79452</v>
      </c>
      <c r="B465">
        <v>136634941</v>
      </c>
      <c r="C465" t="s">
        <v>3116</v>
      </c>
      <c r="D465" t="s">
        <v>3117</v>
      </c>
      <c r="E465" t="s">
        <v>843</v>
      </c>
      <c r="F465" t="s">
        <v>844</v>
      </c>
      <c r="G465" t="s">
        <v>164</v>
      </c>
      <c r="H465" t="s">
        <v>165</v>
      </c>
      <c r="I465" t="s">
        <v>34</v>
      </c>
      <c r="J465" t="s">
        <v>166</v>
      </c>
      <c r="K465" t="s">
        <v>41</v>
      </c>
      <c r="L465" t="s">
        <v>3118</v>
      </c>
      <c r="M465" t="s">
        <v>3119</v>
      </c>
      <c r="N465" t="s">
        <v>847</v>
      </c>
      <c r="O465" t="s">
        <v>100</v>
      </c>
      <c r="P465" t="s">
        <v>3120</v>
      </c>
      <c r="Q465" t="s">
        <v>55</v>
      </c>
      <c r="R465" t="s">
        <v>475</v>
      </c>
      <c r="S465">
        <v>1</v>
      </c>
      <c r="T465">
        <v>5198</v>
      </c>
      <c r="U465">
        <v>0</v>
      </c>
      <c r="V465">
        <v>5198</v>
      </c>
    </row>
    <row r="466" spans="1:22" x14ac:dyDescent="0.3">
      <c r="A466">
        <v>79452</v>
      </c>
      <c r="B466">
        <v>136634934</v>
      </c>
      <c r="C466" t="s">
        <v>3121</v>
      </c>
      <c r="D466" t="s">
        <v>3122</v>
      </c>
      <c r="E466" t="s">
        <v>843</v>
      </c>
      <c r="F466" t="s">
        <v>844</v>
      </c>
      <c r="G466" t="s">
        <v>164</v>
      </c>
      <c r="H466" t="s">
        <v>165</v>
      </c>
      <c r="I466" t="s">
        <v>34</v>
      </c>
      <c r="J466" t="s">
        <v>166</v>
      </c>
      <c r="K466" t="s">
        <v>41</v>
      </c>
      <c r="L466" t="s">
        <v>3123</v>
      </c>
      <c r="M466" t="s">
        <v>3124</v>
      </c>
      <c r="N466" t="s">
        <v>847</v>
      </c>
      <c r="O466" t="s">
        <v>100</v>
      </c>
      <c r="P466" t="s">
        <v>3125</v>
      </c>
      <c r="Q466" t="s">
        <v>109</v>
      </c>
      <c r="R466" t="s">
        <v>475</v>
      </c>
      <c r="S466">
        <v>1.1299999999999999</v>
      </c>
      <c r="T466">
        <v>4346</v>
      </c>
      <c r="U466">
        <v>0</v>
      </c>
      <c r="V466">
        <v>4346</v>
      </c>
    </row>
    <row r="467" spans="1:22" x14ac:dyDescent="0.3">
      <c r="A467">
        <v>79452</v>
      </c>
      <c r="B467">
        <v>136723364</v>
      </c>
      <c r="C467" t="s">
        <v>3126</v>
      </c>
      <c r="D467" t="s">
        <v>3127</v>
      </c>
      <c r="E467" t="s">
        <v>843</v>
      </c>
      <c r="F467" t="s">
        <v>844</v>
      </c>
      <c r="G467" t="s">
        <v>164</v>
      </c>
      <c r="H467" t="s">
        <v>165</v>
      </c>
      <c r="I467" t="s">
        <v>34</v>
      </c>
      <c r="J467" t="s">
        <v>166</v>
      </c>
      <c r="K467" t="s">
        <v>41</v>
      </c>
      <c r="L467" t="s">
        <v>3128</v>
      </c>
      <c r="M467" t="s">
        <v>3129</v>
      </c>
      <c r="N467" t="s">
        <v>847</v>
      </c>
      <c r="O467" t="s">
        <v>100</v>
      </c>
      <c r="P467" t="s">
        <v>3130</v>
      </c>
      <c r="Q467" t="s">
        <v>92</v>
      </c>
      <c r="R467" t="s">
        <v>1338</v>
      </c>
      <c r="S467">
        <v>1.23</v>
      </c>
      <c r="T467">
        <v>3366</v>
      </c>
      <c r="U467">
        <v>0</v>
      </c>
      <c r="V467">
        <v>3366</v>
      </c>
    </row>
    <row r="468" spans="1:22" x14ac:dyDescent="0.3">
      <c r="A468">
        <v>79452</v>
      </c>
      <c r="B468">
        <v>136723342</v>
      </c>
      <c r="C468" t="s">
        <v>3131</v>
      </c>
      <c r="D468" t="s">
        <v>3132</v>
      </c>
      <c r="E468" t="s">
        <v>843</v>
      </c>
      <c r="F468" t="s">
        <v>844</v>
      </c>
      <c r="G468" t="s">
        <v>164</v>
      </c>
      <c r="H468" t="s">
        <v>165</v>
      </c>
      <c r="I468" t="s">
        <v>34</v>
      </c>
      <c r="J468" t="s">
        <v>166</v>
      </c>
      <c r="K468" t="s">
        <v>41</v>
      </c>
      <c r="L468" t="s">
        <v>3133</v>
      </c>
      <c r="M468" t="s">
        <v>3134</v>
      </c>
      <c r="N468" t="s">
        <v>847</v>
      </c>
      <c r="O468" t="s">
        <v>100</v>
      </c>
      <c r="P468" t="s">
        <v>3135</v>
      </c>
      <c r="Q468" t="s">
        <v>90</v>
      </c>
      <c r="R468" t="s">
        <v>1338</v>
      </c>
      <c r="S468">
        <v>0.65</v>
      </c>
      <c r="T468">
        <v>3870</v>
      </c>
      <c r="U468">
        <v>0</v>
      </c>
      <c r="V468">
        <v>3870</v>
      </c>
    </row>
    <row r="469" spans="1:22" x14ac:dyDescent="0.3">
      <c r="A469">
        <v>79452</v>
      </c>
      <c r="B469">
        <v>135745431</v>
      </c>
      <c r="C469" t="s">
        <v>3136</v>
      </c>
      <c r="D469" t="s">
        <v>3137</v>
      </c>
      <c r="E469" t="s">
        <v>843</v>
      </c>
      <c r="F469" t="s">
        <v>844</v>
      </c>
      <c r="G469" t="s">
        <v>164</v>
      </c>
      <c r="H469" t="s">
        <v>165</v>
      </c>
      <c r="I469" t="s">
        <v>34</v>
      </c>
      <c r="J469" t="s">
        <v>166</v>
      </c>
      <c r="K469" t="s">
        <v>41</v>
      </c>
      <c r="L469" t="s">
        <v>3138</v>
      </c>
      <c r="M469" t="s">
        <v>3139</v>
      </c>
      <c r="N469" t="s">
        <v>847</v>
      </c>
      <c r="O469" t="s">
        <v>100</v>
      </c>
      <c r="P469" t="s">
        <v>3140</v>
      </c>
      <c r="Q469" t="s">
        <v>52</v>
      </c>
      <c r="R469" t="s">
        <v>738</v>
      </c>
      <c r="S469">
        <v>2.89</v>
      </c>
      <c r="T469">
        <v>5759</v>
      </c>
      <c r="U469">
        <v>0</v>
      </c>
      <c r="V469">
        <v>5759</v>
      </c>
    </row>
    <row r="470" spans="1:22" x14ac:dyDescent="0.3">
      <c r="A470">
        <v>79452</v>
      </c>
      <c r="B470">
        <v>136756181</v>
      </c>
      <c r="C470" t="s">
        <v>3141</v>
      </c>
      <c r="D470" t="s">
        <v>3142</v>
      </c>
      <c r="E470" t="s">
        <v>843</v>
      </c>
      <c r="F470" t="s">
        <v>844</v>
      </c>
      <c r="G470" t="s">
        <v>164</v>
      </c>
      <c r="H470" t="s">
        <v>165</v>
      </c>
      <c r="I470" t="s">
        <v>34</v>
      </c>
      <c r="J470" t="s">
        <v>166</v>
      </c>
      <c r="K470" t="s">
        <v>41</v>
      </c>
      <c r="L470" t="s">
        <v>3143</v>
      </c>
      <c r="M470" t="s">
        <v>388</v>
      </c>
      <c r="N470" t="s">
        <v>847</v>
      </c>
      <c r="O470" t="s">
        <v>100</v>
      </c>
      <c r="P470" t="s">
        <v>3144</v>
      </c>
      <c r="Q470" t="s">
        <v>43</v>
      </c>
      <c r="R470" t="s">
        <v>782</v>
      </c>
      <c r="S470">
        <v>1.01</v>
      </c>
      <c r="T470">
        <v>3753</v>
      </c>
      <c r="U470">
        <v>0</v>
      </c>
      <c r="V470">
        <v>3753</v>
      </c>
    </row>
    <row r="471" spans="1:22" x14ac:dyDescent="0.3">
      <c r="A471">
        <v>79452</v>
      </c>
      <c r="B471">
        <v>135524092</v>
      </c>
      <c r="C471" t="s">
        <v>3145</v>
      </c>
      <c r="D471" t="s">
        <v>3146</v>
      </c>
      <c r="E471" t="s">
        <v>843</v>
      </c>
      <c r="F471" t="s">
        <v>844</v>
      </c>
      <c r="G471" t="s">
        <v>172</v>
      </c>
      <c r="H471" t="s">
        <v>173</v>
      </c>
      <c r="I471" t="s">
        <v>34</v>
      </c>
      <c r="J471" t="s">
        <v>272</v>
      </c>
      <c r="K471" t="s">
        <v>41</v>
      </c>
      <c r="L471" t="s">
        <v>174</v>
      </c>
      <c r="M471" t="s">
        <v>3147</v>
      </c>
      <c r="N471" t="s">
        <v>847</v>
      </c>
      <c r="O471" t="s">
        <v>100</v>
      </c>
      <c r="P471" t="s">
        <v>3148</v>
      </c>
      <c r="Q471" t="s">
        <v>258</v>
      </c>
      <c r="R471" t="s">
        <v>730</v>
      </c>
      <c r="S471">
        <v>0.68</v>
      </c>
      <c r="T471">
        <v>6064</v>
      </c>
      <c r="U471">
        <v>0</v>
      </c>
      <c r="V471">
        <v>6064</v>
      </c>
    </row>
    <row r="472" spans="1:22" x14ac:dyDescent="0.3">
      <c r="A472">
        <v>79452</v>
      </c>
      <c r="B472">
        <v>136756175</v>
      </c>
      <c r="C472" t="s">
        <v>3149</v>
      </c>
      <c r="D472" t="s">
        <v>3150</v>
      </c>
      <c r="E472" t="s">
        <v>843</v>
      </c>
      <c r="F472" t="s">
        <v>844</v>
      </c>
      <c r="G472" t="s">
        <v>164</v>
      </c>
      <c r="H472" t="s">
        <v>165</v>
      </c>
      <c r="I472" t="s">
        <v>34</v>
      </c>
      <c r="J472" t="s">
        <v>166</v>
      </c>
      <c r="K472" t="s">
        <v>41</v>
      </c>
      <c r="L472" t="s">
        <v>3151</v>
      </c>
      <c r="M472" t="s">
        <v>3152</v>
      </c>
      <c r="N472" t="s">
        <v>847</v>
      </c>
      <c r="O472" t="s">
        <v>100</v>
      </c>
      <c r="P472" t="s">
        <v>3153</v>
      </c>
      <c r="Q472" t="s">
        <v>68</v>
      </c>
      <c r="R472" t="s">
        <v>782</v>
      </c>
      <c r="S472">
        <v>0.99</v>
      </c>
      <c r="T472">
        <v>3753</v>
      </c>
      <c r="U472">
        <v>0</v>
      </c>
      <c r="V472">
        <v>3753</v>
      </c>
    </row>
    <row r="473" spans="1:22" x14ac:dyDescent="0.3">
      <c r="A473">
        <v>79452</v>
      </c>
      <c r="B473">
        <v>136756212</v>
      </c>
      <c r="C473" t="s">
        <v>3154</v>
      </c>
      <c r="D473" t="s">
        <v>3155</v>
      </c>
      <c r="E473" t="s">
        <v>843</v>
      </c>
      <c r="F473" t="s">
        <v>844</v>
      </c>
      <c r="G473" t="s">
        <v>164</v>
      </c>
      <c r="H473" t="s">
        <v>165</v>
      </c>
      <c r="I473" t="s">
        <v>34</v>
      </c>
      <c r="J473" t="s">
        <v>166</v>
      </c>
      <c r="K473" t="s">
        <v>41</v>
      </c>
      <c r="L473" t="s">
        <v>3156</v>
      </c>
      <c r="M473" t="s">
        <v>3157</v>
      </c>
      <c r="N473" t="s">
        <v>847</v>
      </c>
      <c r="O473" t="s">
        <v>100</v>
      </c>
      <c r="P473" t="s">
        <v>3158</v>
      </c>
      <c r="Q473" t="s">
        <v>49</v>
      </c>
      <c r="R473" t="s">
        <v>782</v>
      </c>
      <c r="S473">
        <v>0.7</v>
      </c>
      <c r="T473">
        <v>3784</v>
      </c>
      <c r="U473">
        <v>0</v>
      </c>
      <c r="V473">
        <v>3784</v>
      </c>
    </row>
    <row r="474" spans="1:22" x14ac:dyDescent="0.3">
      <c r="A474">
        <v>79452</v>
      </c>
      <c r="B474">
        <v>136541753</v>
      </c>
      <c r="C474" t="s">
        <v>3159</v>
      </c>
      <c r="D474" t="s">
        <v>3160</v>
      </c>
      <c r="E474" t="s">
        <v>843</v>
      </c>
      <c r="F474" t="s">
        <v>844</v>
      </c>
      <c r="G474" t="s">
        <v>164</v>
      </c>
      <c r="H474" t="s">
        <v>165</v>
      </c>
      <c r="I474" t="s">
        <v>34</v>
      </c>
      <c r="J474" t="s">
        <v>166</v>
      </c>
      <c r="K474" t="s">
        <v>41</v>
      </c>
      <c r="L474" t="s">
        <v>3161</v>
      </c>
      <c r="M474" t="s">
        <v>3162</v>
      </c>
      <c r="N474" t="s">
        <v>847</v>
      </c>
      <c r="O474" t="s">
        <v>100</v>
      </c>
      <c r="P474" t="s">
        <v>3163</v>
      </c>
      <c r="Q474" t="s">
        <v>57</v>
      </c>
      <c r="R474" t="s">
        <v>2688</v>
      </c>
      <c r="S474">
        <v>1.54</v>
      </c>
      <c r="T474">
        <v>5476</v>
      </c>
      <c r="U474">
        <v>0</v>
      </c>
      <c r="V474">
        <v>5476</v>
      </c>
    </row>
    <row r="475" spans="1:22" x14ac:dyDescent="0.3">
      <c r="A475">
        <v>79452</v>
      </c>
      <c r="B475">
        <v>136634956</v>
      </c>
      <c r="C475" t="s">
        <v>3164</v>
      </c>
      <c r="D475" t="s">
        <v>3165</v>
      </c>
      <c r="E475" t="s">
        <v>843</v>
      </c>
      <c r="F475" t="s">
        <v>844</v>
      </c>
      <c r="G475" t="s">
        <v>164</v>
      </c>
      <c r="H475" t="s">
        <v>165</v>
      </c>
      <c r="I475" t="s">
        <v>34</v>
      </c>
      <c r="J475" t="s">
        <v>166</v>
      </c>
      <c r="K475" t="s">
        <v>41</v>
      </c>
      <c r="L475" t="s">
        <v>3166</v>
      </c>
      <c r="M475" t="s">
        <v>3167</v>
      </c>
      <c r="N475" t="s">
        <v>847</v>
      </c>
      <c r="O475" t="s">
        <v>100</v>
      </c>
      <c r="P475" t="s">
        <v>3168</v>
      </c>
      <c r="Q475" t="s">
        <v>55</v>
      </c>
      <c r="R475" t="s">
        <v>475</v>
      </c>
      <c r="S475">
        <v>0.97</v>
      </c>
      <c r="T475">
        <v>5198</v>
      </c>
      <c r="U475">
        <v>0</v>
      </c>
      <c r="V475">
        <v>5198</v>
      </c>
    </row>
    <row r="476" spans="1:22" x14ac:dyDescent="0.3">
      <c r="A476">
        <v>79452</v>
      </c>
      <c r="B476">
        <v>136559288</v>
      </c>
      <c r="C476" t="s">
        <v>3169</v>
      </c>
      <c r="D476" t="s">
        <v>3170</v>
      </c>
      <c r="E476" t="s">
        <v>843</v>
      </c>
      <c r="F476" t="s">
        <v>844</v>
      </c>
      <c r="G476" t="s">
        <v>164</v>
      </c>
      <c r="H476" t="s">
        <v>165</v>
      </c>
      <c r="I476" t="s">
        <v>34</v>
      </c>
      <c r="J476" t="s">
        <v>166</v>
      </c>
      <c r="K476" t="s">
        <v>44</v>
      </c>
      <c r="L476" t="s">
        <v>188</v>
      </c>
      <c r="M476" t="s">
        <v>3171</v>
      </c>
      <c r="N476" t="s">
        <v>847</v>
      </c>
      <c r="O476" t="s">
        <v>100</v>
      </c>
      <c r="P476" t="s">
        <v>363</v>
      </c>
      <c r="Q476" t="s">
        <v>72</v>
      </c>
      <c r="R476" t="s">
        <v>1606</v>
      </c>
      <c r="S476">
        <v>1.66</v>
      </c>
      <c r="T476">
        <v>3784</v>
      </c>
      <c r="U476">
        <v>0</v>
      </c>
      <c r="V476">
        <v>3784</v>
      </c>
    </row>
    <row r="477" spans="1:22" x14ac:dyDescent="0.3">
      <c r="A477">
        <v>79452</v>
      </c>
      <c r="B477">
        <v>136270118</v>
      </c>
      <c r="C477" t="s">
        <v>3172</v>
      </c>
      <c r="D477" t="s">
        <v>3173</v>
      </c>
      <c r="E477" t="s">
        <v>843</v>
      </c>
      <c r="F477" t="s">
        <v>844</v>
      </c>
      <c r="G477" t="s">
        <v>164</v>
      </c>
      <c r="H477" t="s">
        <v>165</v>
      </c>
      <c r="I477" t="s">
        <v>34</v>
      </c>
      <c r="J477" t="s">
        <v>166</v>
      </c>
      <c r="K477" t="s">
        <v>41</v>
      </c>
      <c r="L477" t="s">
        <v>3174</v>
      </c>
      <c r="M477" t="s">
        <v>3175</v>
      </c>
      <c r="N477" t="s">
        <v>847</v>
      </c>
      <c r="O477" t="s">
        <v>100</v>
      </c>
      <c r="P477" t="s">
        <v>3176</v>
      </c>
      <c r="Q477" t="s">
        <v>58</v>
      </c>
      <c r="R477" t="s">
        <v>759</v>
      </c>
      <c r="S477">
        <v>1.59</v>
      </c>
      <c r="T477">
        <v>5759</v>
      </c>
      <c r="U477">
        <v>0</v>
      </c>
      <c r="V477">
        <v>5759</v>
      </c>
    </row>
    <row r="478" spans="1:22" x14ac:dyDescent="0.3">
      <c r="A478">
        <v>79452</v>
      </c>
      <c r="B478">
        <v>136634984</v>
      </c>
      <c r="C478" t="s">
        <v>3177</v>
      </c>
      <c r="D478" t="s">
        <v>3178</v>
      </c>
      <c r="E478" t="s">
        <v>843</v>
      </c>
      <c r="F478" t="s">
        <v>844</v>
      </c>
      <c r="G478" t="s">
        <v>164</v>
      </c>
      <c r="H478" t="s">
        <v>165</v>
      </c>
      <c r="I478" t="s">
        <v>34</v>
      </c>
      <c r="J478" t="s">
        <v>166</v>
      </c>
      <c r="K478" t="s">
        <v>41</v>
      </c>
      <c r="L478" t="s">
        <v>3179</v>
      </c>
      <c r="M478" t="s">
        <v>3180</v>
      </c>
      <c r="N478" t="s">
        <v>847</v>
      </c>
      <c r="O478" t="s">
        <v>100</v>
      </c>
      <c r="P478" t="s">
        <v>3181</v>
      </c>
      <c r="Q478" t="s">
        <v>63</v>
      </c>
      <c r="R478" t="s">
        <v>475</v>
      </c>
      <c r="S478">
        <v>0.9</v>
      </c>
      <c r="T478">
        <v>4067</v>
      </c>
      <c r="U478">
        <v>0</v>
      </c>
      <c r="V478">
        <v>4067</v>
      </c>
    </row>
    <row r="479" spans="1:22" x14ac:dyDescent="0.3">
      <c r="A479">
        <v>79452</v>
      </c>
      <c r="B479">
        <v>135421223</v>
      </c>
      <c r="C479" t="s">
        <v>3182</v>
      </c>
      <c r="D479" t="s">
        <v>3183</v>
      </c>
      <c r="E479" t="s">
        <v>843</v>
      </c>
      <c r="F479" t="s">
        <v>844</v>
      </c>
      <c r="G479" t="s">
        <v>164</v>
      </c>
      <c r="H479" t="s">
        <v>165</v>
      </c>
      <c r="I479" t="s">
        <v>34</v>
      </c>
      <c r="J479" t="s">
        <v>166</v>
      </c>
      <c r="K479" t="s">
        <v>41</v>
      </c>
      <c r="L479" t="s">
        <v>3184</v>
      </c>
      <c r="M479" t="s">
        <v>3185</v>
      </c>
      <c r="N479" t="s">
        <v>847</v>
      </c>
      <c r="O479" t="s">
        <v>100</v>
      </c>
      <c r="P479" t="s">
        <v>3186</v>
      </c>
      <c r="Q479" t="s">
        <v>264</v>
      </c>
      <c r="R479" t="s">
        <v>3187</v>
      </c>
      <c r="S479">
        <v>1</v>
      </c>
      <c r="T479">
        <v>5759</v>
      </c>
      <c r="U479">
        <v>0</v>
      </c>
      <c r="V479">
        <v>5759</v>
      </c>
    </row>
    <row r="480" spans="1:22" x14ac:dyDescent="0.3">
      <c r="A480">
        <v>79452</v>
      </c>
      <c r="B480">
        <v>136634962</v>
      </c>
      <c r="C480" t="s">
        <v>3188</v>
      </c>
      <c r="D480" t="s">
        <v>3189</v>
      </c>
      <c r="E480" t="s">
        <v>843</v>
      </c>
      <c r="F480" t="s">
        <v>844</v>
      </c>
      <c r="G480" t="s">
        <v>164</v>
      </c>
      <c r="H480" t="s">
        <v>165</v>
      </c>
      <c r="I480" t="s">
        <v>34</v>
      </c>
      <c r="J480" t="s">
        <v>166</v>
      </c>
      <c r="K480" t="s">
        <v>41</v>
      </c>
      <c r="L480" t="s">
        <v>3190</v>
      </c>
      <c r="M480" t="s">
        <v>3191</v>
      </c>
      <c r="N480" t="s">
        <v>847</v>
      </c>
      <c r="O480" t="s">
        <v>100</v>
      </c>
      <c r="P480" t="s">
        <v>3192</v>
      </c>
      <c r="Q480" t="s">
        <v>190</v>
      </c>
      <c r="R480" t="s">
        <v>475</v>
      </c>
      <c r="S480">
        <v>1.61</v>
      </c>
      <c r="T480">
        <v>3366</v>
      </c>
      <c r="U480">
        <v>0</v>
      </c>
      <c r="V480">
        <v>3366</v>
      </c>
    </row>
    <row r="481" spans="1:22" x14ac:dyDescent="0.3">
      <c r="A481">
        <v>79452</v>
      </c>
      <c r="B481">
        <v>136634997</v>
      </c>
      <c r="C481" t="s">
        <v>3193</v>
      </c>
      <c r="D481" t="s">
        <v>3194</v>
      </c>
      <c r="E481" t="s">
        <v>843</v>
      </c>
      <c r="F481" t="s">
        <v>844</v>
      </c>
      <c r="G481" t="s">
        <v>164</v>
      </c>
      <c r="H481" t="s">
        <v>165</v>
      </c>
      <c r="I481" t="s">
        <v>34</v>
      </c>
      <c r="J481" t="s">
        <v>166</v>
      </c>
      <c r="K481" t="s">
        <v>41</v>
      </c>
      <c r="L481" t="s">
        <v>3195</v>
      </c>
      <c r="M481" t="s">
        <v>1640</v>
      </c>
      <c r="N481" t="s">
        <v>847</v>
      </c>
      <c r="O481" t="s">
        <v>100</v>
      </c>
      <c r="P481" t="s">
        <v>1641</v>
      </c>
      <c r="Q481" t="s">
        <v>190</v>
      </c>
      <c r="R481" t="s">
        <v>475</v>
      </c>
      <c r="S481">
        <v>1.31</v>
      </c>
      <c r="T481">
        <v>3366</v>
      </c>
      <c r="U481">
        <v>0</v>
      </c>
      <c r="V481">
        <v>3366</v>
      </c>
    </row>
    <row r="482" spans="1:22" x14ac:dyDescent="0.3">
      <c r="A482">
        <v>79452</v>
      </c>
      <c r="B482">
        <v>136634944</v>
      </c>
      <c r="C482" t="s">
        <v>3196</v>
      </c>
      <c r="D482" t="s">
        <v>3197</v>
      </c>
      <c r="E482" t="s">
        <v>843</v>
      </c>
      <c r="F482" t="s">
        <v>844</v>
      </c>
      <c r="G482" t="s">
        <v>164</v>
      </c>
      <c r="H482" t="s">
        <v>165</v>
      </c>
      <c r="I482" t="s">
        <v>34</v>
      </c>
      <c r="J482" t="s">
        <v>166</v>
      </c>
      <c r="K482" t="s">
        <v>41</v>
      </c>
      <c r="L482" t="s">
        <v>3198</v>
      </c>
      <c r="M482" t="s">
        <v>3199</v>
      </c>
      <c r="N482" t="s">
        <v>847</v>
      </c>
      <c r="O482" t="s">
        <v>100</v>
      </c>
      <c r="P482" t="s">
        <v>3200</v>
      </c>
      <c r="Q482" t="s">
        <v>84</v>
      </c>
      <c r="R482" t="s">
        <v>475</v>
      </c>
      <c r="S482">
        <v>0.87</v>
      </c>
      <c r="T482">
        <v>3366</v>
      </c>
      <c r="U482">
        <v>0</v>
      </c>
      <c r="V482">
        <v>3366</v>
      </c>
    </row>
    <row r="483" spans="1:22" x14ac:dyDescent="0.3">
      <c r="A483">
        <v>79452</v>
      </c>
      <c r="B483">
        <v>136634975</v>
      </c>
      <c r="C483" t="s">
        <v>3201</v>
      </c>
      <c r="D483" t="s">
        <v>3202</v>
      </c>
      <c r="E483" t="s">
        <v>843</v>
      </c>
      <c r="F483" t="s">
        <v>844</v>
      </c>
      <c r="G483" t="s">
        <v>164</v>
      </c>
      <c r="H483" t="s">
        <v>165</v>
      </c>
      <c r="I483" t="s">
        <v>34</v>
      </c>
      <c r="J483" t="s">
        <v>166</v>
      </c>
      <c r="K483" t="s">
        <v>41</v>
      </c>
      <c r="L483" t="s">
        <v>3203</v>
      </c>
      <c r="M483" t="s">
        <v>1765</v>
      </c>
      <c r="N483" t="s">
        <v>847</v>
      </c>
      <c r="O483" t="s">
        <v>100</v>
      </c>
      <c r="P483" t="s">
        <v>3204</v>
      </c>
      <c r="Q483" t="s">
        <v>91</v>
      </c>
      <c r="R483" t="s">
        <v>475</v>
      </c>
      <c r="S483">
        <v>1.49</v>
      </c>
      <c r="T483">
        <v>3870</v>
      </c>
      <c r="U483">
        <v>0</v>
      </c>
      <c r="V483">
        <v>3870</v>
      </c>
    </row>
    <row r="484" spans="1:22" x14ac:dyDescent="0.3">
      <c r="A484">
        <v>79452</v>
      </c>
      <c r="B484">
        <v>136559285</v>
      </c>
      <c r="C484" t="s">
        <v>3205</v>
      </c>
      <c r="D484" t="s">
        <v>3206</v>
      </c>
      <c r="E484" t="s">
        <v>843</v>
      </c>
      <c r="F484" t="s">
        <v>844</v>
      </c>
      <c r="G484" t="s">
        <v>164</v>
      </c>
      <c r="H484" t="s">
        <v>165</v>
      </c>
      <c r="I484" t="s">
        <v>34</v>
      </c>
      <c r="J484" t="s">
        <v>166</v>
      </c>
      <c r="K484" t="s">
        <v>41</v>
      </c>
      <c r="L484" t="s">
        <v>3207</v>
      </c>
      <c r="M484" t="s">
        <v>3208</v>
      </c>
      <c r="N484" t="s">
        <v>847</v>
      </c>
      <c r="O484" t="s">
        <v>100</v>
      </c>
      <c r="P484" t="s">
        <v>3209</v>
      </c>
      <c r="Q484" t="s">
        <v>71</v>
      </c>
      <c r="R484" t="s">
        <v>1606</v>
      </c>
      <c r="S484">
        <v>1</v>
      </c>
      <c r="T484">
        <v>3501</v>
      </c>
      <c r="U484">
        <v>0</v>
      </c>
      <c r="V484">
        <v>3501</v>
      </c>
    </row>
    <row r="485" spans="1:22" x14ac:dyDescent="0.3">
      <c r="A485">
        <v>79452</v>
      </c>
      <c r="B485">
        <v>136634981</v>
      </c>
      <c r="C485" t="s">
        <v>3210</v>
      </c>
      <c r="D485" t="s">
        <v>3211</v>
      </c>
      <c r="E485" t="s">
        <v>843</v>
      </c>
      <c r="F485" t="s">
        <v>844</v>
      </c>
      <c r="G485" t="s">
        <v>164</v>
      </c>
      <c r="H485" t="s">
        <v>165</v>
      </c>
      <c r="I485" t="s">
        <v>34</v>
      </c>
      <c r="J485" t="s">
        <v>166</v>
      </c>
      <c r="K485" t="s">
        <v>41</v>
      </c>
      <c r="L485" t="s">
        <v>3212</v>
      </c>
      <c r="M485" t="s">
        <v>3213</v>
      </c>
      <c r="N485" t="s">
        <v>847</v>
      </c>
      <c r="O485" t="s">
        <v>100</v>
      </c>
      <c r="P485" t="s">
        <v>3214</v>
      </c>
      <c r="Q485" t="s">
        <v>109</v>
      </c>
      <c r="R485" t="s">
        <v>475</v>
      </c>
      <c r="S485">
        <v>0.87</v>
      </c>
      <c r="T485">
        <v>4346</v>
      </c>
      <c r="U485">
        <v>0</v>
      </c>
      <c r="V485">
        <v>4346</v>
      </c>
    </row>
    <row r="486" spans="1:22" x14ac:dyDescent="0.3">
      <c r="A486">
        <v>79452</v>
      </c>
      <c r="B486">
        <v>136634953</v>
      </c>
      <c r="C486" t="s">
        <v>3215</v>
      </c>
      <c r="D486" t="s">
        <v>3216</v>
      </c>
      <c r="E486" t="s">
        <v>843</v>
      </c>
      <c r="F486" t="s">
        <v>844</v>
      </c>
      <c r="G486" t="s">
        <v>164</v>
      </c>
      <c r="H486" t="s">
        <v>165</v>
      </c>
      <c r="I486" t="s">
        <v>34</v>
      </c>
      <c r="J486" t="s">
        <v>166</v>
      </c>
      <c r="K486" t="s">
        <v>41</v>
      </c>
      <c r="L486" t="s">
        <v>3217</v>
      </c>
      <c r="M486" t="s">
        <v>3218</v>
      </c>
      <c r="N486" t="s">
        <v>847</v>
      </c>
      <c r="O486" t="s">
        <v>100</v>
      </c>
      <c r="P486" t="s">
        <v>3219</v>
      </c>
      <c r="Q486" t="s">
        <v>59</v>
      </c>
      <c r="R486" t="s">
        <v>475</v>
      </c>
      <c r="S486">
        <v>1.45</v>
      </c>
      <c r="T486">
        <v>4067</v>
      </c>
      <c r="U486">
        <v>0</v>
      </c>
      <c r="V486">
        <v>4067</v>
      </c>
    </row>
    <row r="487" spans="1:22" x14ac:dyDescent="0.3">
      <c r="A487">
        <v>79452</v>
      </c>
      <c r="B487">
        <v>136103850</v>
      </c>
      <c r="C487" t="s">
        <v>3220</v>
      </c>
      <c r="D487" t="s">
        <v>3221</v>
      </c>
      <c r="E487" t="s">
        <v>843</v>
      </c>
      <c r="F487" t="s">
        <v>844</v>
      </c>
      <c r="G487" t="s">
        <v>164</v>
      </c>
      <c r="H487" t="s">
        <v>165</v>
      </c>
      <c r="I487" t="s">
        <v>34</v>
      </c>
      <c r="J487" t="s">
        <v>166</v>
      </c>
      <c r="K487" t="s">
        <v>41</v>
      </c>
      <c r="L487" t="s">
        <v>3222</v>
      </c>
      <c r="M487" t="s">
        <v>3223</v>
      </c>
      <c r="N487" t="s">
        <v>847</v>
      </c>
      <c r="O487" t="s">
        <v>100</v>
      </c>
      <c r="P487" t="s">
        <v>3224</v>
      </c>
      <c r="Q487" t="s">
        <v>224</v>
      </c>
      <c r="R487" t="s">
        <v>803</v>
      </c>
      <c r="S487">
        <v>1</v>
      </c>
      <c r="T487">
        <v>4067</v>
      </c>
      <c r="U487">
        <v>0</v>
      </c>
      <c r="V487">
        <v>4067</v>
      </c>
    </row>
    <row r="488" spans="1:22" x14ac:dyDescent="0.3">
      <c r="A488">
        <v>79452</v>
      </c>
      <c r="B488">
        <v>136483001</v>
      </c>
      <c r="C488" t="s">
        <v>3225</v>
      </c>
      <c r="D488" t="s">
        <v>3226</v>
      </c>
      <c r="E488" t="s">
        <v>843</v>
      </c>
      <c r="F488" t="s">
        <v>844</v>
      </c>
      <c r="G488" t="s">
        <v>164</v>
      </c>
      <c r="H488" t="s">
        <v>165</v>
      </c>
      <c r="I488" t="s">
        <v>34</v>
      </c>
      <c r="J488" t="s">
        <v>166</v>
      </c>
      <c r="K488" t="s">
        <v>41</v>
      </c>
      <c r="L488" t="s">
        <v>3227</v>
      </c>
      <c r="M488" t="s">
        <v>3228</v>
      </c>
      <c r="N488" t="s">
        <v>847</v>
      </c>
      <c r="O488" t="s">
        <v>100</v>
      </c>
      <c r="P488" t="s">
        <v>3229</v>
      </c>
      <c r="Q488" t="s">
        <v>83</v>
      </c>
      <c r="R488" t="s">
        <v>3230</v>
      </c>
      <c r="S488">
        <v>1.1100000000000001</v>
      </c>
      <c r="T488">
        <v>3366</v>
      </c>
      <c r="U488">
        <v>0</v>
      </c>
      <c r="V488">
        <v>3366</v>
      </c>
    </row>
    <row r="489" spans="1:22" x14ac:dyDescent="0.3">
      <c r="A489">
        <v>79452</v>
      </c>
      <c r="B489">
        <v>136508252</v>
      </c>
      <c r="C489" t="s">
        <v>3231</v>
      </c>
      <c r="D489" t="s">
        <v>3232</v>
      </c>
      <c r="E489" t="s">
        <v>843</v>
      </c>
      <c r="F489" t="s">
        <v>844</v>
      </c>
      <c r="G489" t="s">
        <v>164</v>
      </c>
      <c r="H489" t="s">
        <v>165</v>
      </c>
      <c r="I489" t="s">
        <v>34</v>
      </c>
      <c r="J489" t="s">
        <v>166</v>
      </c>
      <c r="K489" t="s">
        <v>41</v>
      </c>
      <c r="L489" t="s">
        <v>3233</v>
      </c>
      <c r="M489" t="s">
        <v>3234</v>
      </c>
      <c r="N489" t="s">
        <v>847</v>
      </c>
      <c r="O489" t="s">
        <v>100</v>
      </c>
      <c r="P489" t="s">
        <v>3235</v>
      </c>
      <c r="Q489" t="s">
        <v>61</v>
      </c>
      <c r="R489" t="s">
        <v>3236</v>
      </c>
      <c r="S489">
        <v>1.55</v>
      </c>
      <c r="T489">
        <v>4067</v>
      </c>
      <c r="U489">
        <v>0</v>
      </c>
      <c r="V489">
        <v>4067</v>
      </c>
    </row>
    <row r="490" spans="1:22" x14ac:dyDescent="0.3">
      <c r="A490">
        <v>79452</v>
      </c>
      <c r="B490">
        <v>136104015</v>
      </c>
      <c r="C490" t="s">
        <v>3237</v>
      </c>
      <c r="D490" t="s">
        <v>3238</v>
      </c>
      <c r="E490" t="s">
        <v>843</v>
      </c>
      <c r="F490" t="s">
        <v>844</v>
      </c>
      <c r="G490" t="s">
        <v>164</v>
      </c>
      <c r="H490" t="s">
        <v>165</v>
      </c>
      <c r="I490" t="s">
        <v>34</v>
      </c>
      <c r="J490" t="s">
        <v>166</v>
      </c>
      <c r="K490" t="s">
        <v>41</v>
      </c>
      <c r="L490" t="s">
        <v>3239</v>
      </c>
      <c r="M490" t="s">
        <v>3240</v>
      </c>
      <c r="N490" t="s">
        <v>847</v>
      </c>
      <c r="O490" t="s">
        <v>100</v>
      </c>
      <c r="P490" t="s">
        <v>3241</v>
      </c>
      <c r="Q490" t="s">
        <v>55</v>
      </c>
      <c r="R490" t="s">
        <v>803</v>
      </c>
      <c r="S490">
        <v>1</v>
      </c>
      <c r="T490">
        <v>5198</v>
      </c>
      <c r="U490">
        <v>0</v>
      </c>
      <c r="V490">
        <v>5198</v>
      </c>
    </row>
    <row r="491" spans="1:22" x14ac:dyDescent="0.3">
      <c r="A491">
        <v>79452</v>
      </c>
      <c r="B491">
        <v>136634972</v>
      </c>
      <c r="C491" t="s">
        <v>3242</v>
      </c>
      <c r="D491" t="s">
        <v>3243</v>
      </c>
      <c r="E491" t="s">
        <v>843</v>
      </c>
      <c r="F491" t="s">
        <v>844</v>
      </c>
      <c r="G491" t="s">
        <v>164</v>
      </c>
      <c r="H491" t="s">
        <v>165</v>
      </c>
      <c r="I491" t="s">
        <v>34</v>
      </c>
      <c r="J491" t="s">
        <v>166</v>
      </c>
      <c r="K491" t="s">
        <v>41</v>
      </c>
      <c r="L491" t="s">
        <v>3244</v>
      </c>
      <c r="M491" t="s">
        <v>3245</v>
      </c>
      <c r="N491" t="s">
        <v>847</v>
      </c>
      <c r="O491" t="s">
        <v>100</v>
      </c>
      <c r="P491" t="s">
        <v>3246</v>
      </c>
      <c r="Q491" t="s">
        <v>59</v>
      </c>
      <c r="R491" t="s">
        <v>475</v>
      </c>
      <c r="S491">
        <v>1.0900000000000001</v>
      </c>
      <c r="T491">
        <v>4067</v>
      </c>
      <c r="U491">
        <v>0</v>
      </c>
      <c r="V491">
        <v>4067</v>
      </c>
    </row>
    <row r="492" spans="1:22" x14ac:dyDescent="0.3">
      <c r="A492">
        <v>79452</v>
      </c>
      <c r="B492">
        <v>136104123</v>
      </c>
      <c r="C492" t="s">
        <v>3247</v>
      </c>
      <c r="D492" t="s">
        <v>3248</v>
      </c>
      <c r="E492" t="s">
        <v>843</v>
      </c>
      <c r="F492" t="s">
        <v>844</v>
      </c>
      <c r="G492" t="s">
        <v>164</v>
      </c>
      <c r="H492" t="s">
        <v>165</v>
      </c>
      <c r="I492" t="s">
        <v>34</v>
      </c>
      <c r="J492" t="s">
        <v>166</v>
      </c>
      <c r="K492" t="s">
        <v>41</v>
      </c>
      <c r="L492" t="s">
        <v>3249</v>
      </c>
      <c r="M492" t="s">
        <v>3250</v>
      </c>
      <c r="N492" t="s">
        <v>847</v>
      </c>
      <c r="O492" t="s">
        <v>100</v>
      </c>
      <c r="P492" t="s">
        <v>3251</v>
      </c>
      <c r="Q492" t="s">
        <v>239</v>
      </c>
      <c r="R492" t="s">
        <v>803</v>
      </c>
      <c r="S492">
        <v>1.84</v>
      </c>
      <c r="T492">
        <v>5476</v>
      </c>
      <c r="U492">
        <v>0</v>
      </c>
      <c r="V492">
        <v>5476</v>
      </c>
    </row>
    <row r="493" spans="1:22" x14ac:dyDescent="0.3">
      <c r="A493">
        <v>79452</v>
      </c>
      <c r="B493">
        <v>136541766</v>
      </c>
      <c r="C493" t="s">
        <v>3252</v>
      </c>
      <c r="D493" t="s">
        <v>3253</v>
      </c>
      <c r="E493" t="s">
        <v>843</v>
      </c>
      <c r="F493" t="s">
        <v>844</v>
      </c>
      <c r="G493" t="s">
        <v>164</v>
      </c>
      <c r="H493" t="s">
        <v>165</v>
      </c>
      <c r="I493" t="s">
        <v>34</v>
      </c>
      <c r="J493" t="s">
        <v>166</v>
      </c>
      <c r="K493" t="s">
        <v>44</v>
      </c>
      <c r="L493" t="s">
        <v>188</v>
      </c>
      <c r="M493" t="s">
        <v>3254</v>
      </c>
      <c r="N493" t="s">
        <v>847</v>
      </c>
      <c r="O493" t="s">
        <v>100</v>
      </c>
      <c r="P493" t="s">
        <v>3255</v>
      </c>
      <c r="Q493" t="s">
        <v>69</v>
      </c>
      <c r="R493" t="s">
        <v>2767</v>
      </c>
      <c r="S493">
        <v>0.82</v>
      </c>
      <c r="T493">
        <v>3753</v>
      </c>
      <c r="U493">
        <v>0</v>
      </c>
      <c r="V493">
        <v>3753</v>
      </c>
    </row>
    <row r="494" spans="1:22" x14ac:dyDescent="0.3">
      <c r="A494">
        <v>79452</v>
      </c>
      <c r="B494">
        <v>136634932</v>
      </c>
      <c r="C494" t="s">
        <v>3256</v>
      </c>
      <c r="D494" t="s">
        <v>3257</v>
      </c>
      <c r="E494" t="s">
        <v>843</v>
      </c>
      <c r="F494" t="s">
        <v>844</v>
      </c>
      <c r="G494" t="s">
        <v>164</v>
      </c>
      <c r="H494" t="s">
        <v>165</v>
      </c>
      <c r="I494" t="s">
        <v>34</v>
      </c>
      <c r="J494" t="s">
        <v>166</v>
      </c>
      <c r="K494" t="s">
        <v>41</v>
      </c>
      <c r="L494" t="s">
        <v>3258</v>
      </c>
      <c r="M494" t="s">
        <v>787</v>
      </c>
      <c r="N494" t="s">
        <v>847</v>
      </c>
      <c r="O494" t="s">
        <v>100</v>
      </c>
      <c r="P494" t="s">
        <v>3259</v>
      </c>
      <c r="Q494" t="s">
        <v>43</v>
      </c>
      <c r="R494" t="s">
        <v>792</v>
      </c>
      <c r="S494">
        <v>1.62</v>
      </c>
      <c r="T494">
        <v>3753</v>
      </c>
      <c r="U494">
        <v>0</v>
      </c>
      <c r="V494">
        <v>3753</v>
      </c>
    </row>
    <row r="495" spans="1:22" x14ac:dyDescent="0.3">
      <c r="A495">
        <v>79452</v>
      </c>
      <c r="B495">
        <v>136634967</v>
      </c>
      <c r="C495" t="s">
        <v>3260</v>
      </c>
      <c r="D495" t="s">
        <v>3261</v>
      </c>
      <c r="E495" t="s">
        <v>843</v>
      </c>
      <c r="F495" t="s">
        <v>844</v>
      </c>
      <c r="G495" t="s">
        <v>164</v>
      </c>
      <c r="H495" t="s">
        <v>165</v>
      </c>
      <c r="I495" t="s">
        <v>34</v>
      </c>
      <c r="J495" t="s">
        <v>166</v>
      </c>
      <c r="K495" t="s">
        <v>41</v>
      </c>
      <c r="L495" t="s">
        <v>3262</v>
      </c>
      <c r="M495" t="s">
        <v>3263</v>
      </c>
      <c r="N495" t="s">
        <v>847</v>
      </c>
      <c r="O495" t="s">
        <v>100</v>
      </c>
      <c r="P495" t="s">
        <v>3264</v>
      </c>
      <c r="Q495" t="s">
        <v>69</v>
      </c>
      <c r="R495" t="s">
        <v>475</v>
      </c>
      <c r="S495">
        <v>1.31</v>
      </c>
      <c r="T495">
        <v>3753</v>
      </c>
      <c r="U495">
        <v>0</v>
      </c>
      <c r="V495">
        <v>3753</v>
      </c>
    </row>
    <row r="496" spans="1:22" x14ac:dyDescent="0.3">
      <c r="A496">
        <v>79452</v>
      </c>
      <c r="B496">
        <v>136559273</v>
      </c>
      <c r="C496" t="s">
        <v>3265</v>
      </c>
      <c r="D496" t="s">
        <v>3266</v>
      </c>
      <c r="E496" t="s">
        <v>843</v>
      </c>
      <c r="F496" t="s">
        <v>844</v>
      </c>
      <c r="G496" t="s">
        <v>164</v>
      </c>
      <c r="H496" t="s">
        <v>165</v>
      </c>
      <c r="I496" t="s">
        <v>34</v>
      </c>
      <c r="J496" t="s">
        <v>166</v>
      </c>
      <c r="K496" t="s">
        <v>41</v>
      </c>
      <c r="L496" t="s">
        <v>3267</v>
      </c>
      <c r="M496" t="s">
        <v>3268</v>
      </c>
      <c r="N496" t="s">
        <v>847</v>
      </c>
      <c r="O496" t="s">
        <v>100</v>
      </c>
      <c r="P496" t="s">
        <v>3269</v>
      </c>
      <c r="Q496" t="s">
        <v>74</v>
      </c>
      <c r="R496" t="s">
        <v>1606</v>
      </c>
      <c r="S496">
        <v>1</v>
      </c>
      <c r="T496">
        <v>3753</v>
      </c>
      <c r="U496">
        <v>0</v>
      </c>
      <c r="V496">
        <v>3753</v>
      </c>
    </row>
    <row r="497" spans="1:22" x14ac:dyDescent="0.3">
      <c r="A497">
        <v>79452</v>
      </c>
      <c r="B497">
        <v>135792393</v>
      </c>
      <c r="C497" t="s">
        <v>3270</v>
      </c>
      <c r="D497" t="s">
        <v>3271</v>
      </c>
      <c r="E497" t="s">
        <v>843</v>
      </c>
      <c r="F497" t="s">
        <v>844</v>
      </c>
      <c r="G497" t="s">
        <v>164</v>
      </c>
      <c r="H497" t="s">
        <v>165</v>
      </c>
      <c r="I497" t="s">
        <v>34</v>
      </c>
      <c r="J497" t="s">
        <v>166</v>
      </c>
      <c r="K497" t="s">
        <v>41</v>
      </c>
      <c r="L497" t="s">
        <v>3272</v>
      </c>
      <c r="M497" t="s">
        <v>3273</v>
      </c>
      <c r="N497" t="s">
        <v>847</v>
      </c>
      <c r="O497" t="s">
        <v>100</v>
      </c>
      <c r="P497" t="s">
        <v>3274</v>
      </c>
      <c r="Q497" t="s">
        <v>246</v>
      </c>
      <c r="R497" t="s">
        <v>694</v>
      </c>
      <c r="S497">
        <v>3.06</v>
      </c>
      <c r="T497">
        <v>8008</v>
      </c>
      <c r="U497">
        <v>0</v>
      </c>
      <c r="V497">
        <v>8008</v>
      </c>
    </row>
    <row r="498" spans="1:22" x14ac:dyDescent="0.3">
      <c r="A498">
        <v>79452</v>
      </c>
      <c r="B498">
        <v>136559300</v>
      </c>
      <c r="C498" t="s">
        <v>3275</v>
      </c>
      <c r="D498" t="s">
        <v>3276</v>
      </c>
      <c r="E498" t="s">
        <v>843</v>
      </c>
      <c r="F498" t="s">
        <v>844</v>
      </c>
      <c r="G498" t="s">
        <v>164</v>
      </c>
      <c r="H498" t="s">
        <v>165</v>
      </c>
      <c r="I498" t="s">
        <v>34</v>
      </c>
      <c r="J498" t="s">
        <v>166</v>
      </c>
      <c r="K498" t="s">
        <v>41</v>
      </c>
      <c r="L498" t="s">
        <v>3277</v>
      </c>
      <c r="M498" t="s">
        <v>3278</v>
      </c>
      <c r="N498" t="s">
        <v>847</v>
      </c>
      <c r="O498" t="s">
        <v>100</v>
      </c>
      <c r="P498" t="s">
        <v>3279</v>
      </c>
      <c r="Q498" t="s">
        <v>63</v>
      </c>
      <c r="R498" t="s">
        <v>1606</v>
      </c>
      <c r="S498">
        <v>1.4</v>
      </c>
      <c r="T498">
        <v>4067</v>
      </c>
      <c r="U498">
        <v>0</v>
      </c>
      <c r="V498">
        <v>4067</v>
      </c>
    </row>
    <row r="499" spans="1:22" x14ac:dyDescent="0.3">
      <c r="A499">
        <v>79452</v>
      </c>
      <c r="B499">
        <v>136483000</v>
      </c>
      <c r="C499" t="s">
        <v>3280</v>
      </c>
      <c r="D499" t="s">
        <v>3281</v>
      </c>
      <c r="E499" t="s">
        <v>843</v>
      </c>
      <c r="F499" t="s">
        <v>844</v>
      </c>
      <c r="G499" t="s">
        <v>164</v>
      </c>
      <c r="H499" t="s">
        <v>165</v>
      </c>
      <c r="I499" t="s">
        <v>34</v>
      </c>
      <c r="J499" t="s">
        <v>166</v>
      </c>
      <c r="K499" t="s">
        <v>41</v>
      </c>
      <c r="L499" t="s">
        <v>3282</v>
      </c>
      <c r="M499" t="s">
        <v>3283</v>
      </c>
      <c r="N499" t="s">
        <v>847</v>
      </c>
      <c r="O499" t="s">
        <v>100</v>
      </c>
      <c r="P499" t="s">
        <v>3284</v>
      </c>
      <c r="Q499" t="s">
        <v>57</v>
      </c>
      <c r="R499" t="s">
        <v>3230</v>
      </c>
      <c r="S499">
        <v>5.0999999999999996</v>
      </c>
      <c r="T499">
        <v>7749</v>
      </c>
      <c r="U499">
        <v>0</v>
      </c>
      <c r="V499">
        <v>7749</v>
      </c>
    </row>
    <row r="500" spans="1:22" x14ac:dyDescent="0.3">
      <c r="A500">
        <v>79452</v>
      </c>
      <c r="B500">
        <v>135980675</v>
      </c>
      <c r="C500" t="s">
        <v>3285</v>
      </c>
      <c r="D500" t="s">
        <v>3286</v>
      </c>
      <c r="E500" t="s">
        <v>843</v>
      </c>
      <c r="F500" t="s">
        <v>844</v>
      </c>
      <c r="G500" t="s">
        <v>164</v>
      </c>
      <c r="H500" t="s">
        <v>165</v>
      </c>
      <c r="I500" t="s">
        <v>34</v>
      </c>
      <c r="J500" t="s">
        <v>166</v>
      </c>
      <c r="K500" t="s">
        <v>41</v>
      </c>
      <c r="L500" t="s">
        <v>3287</v>
      </c>
      <c r="M500" t="s">
        <v>3288</v>
      </c>
      <c r="N500" t="s">
        <v>847</v>
      </c>
      <c r="O500" t="s">
        <v>100</v>
      </c>
      <c r="P500" t="s">
        <v>3289</v>
      </c>
      <c r="Q500" t="s">
        <v>55</v>
      </c>
      <c r="R500" t="s">
        <v>3290</v>
      </c>
      <c r="S500">
        <v>2.46</v>
      </c>
      <c r="T500">
        <v>5198</v>
      </c>
      <c r="U500">
        <v>0</v>
      </c>
      <c r="V500">
        <v>5198</v>
      </c>
    </row>
    <row r="501" spans="1:22" x14ac:dyDescent="0.3">
      <c r="A501">
        <v>79452</v>
      </c>
      <c r="B501">
        <v>136559311</v>
      </c>
      <c r="C501" t="s">
        <v>3291</v>
      </c>
      <c r="D501" t="s">
        <v>3292</v>
      </c>
      <c r="E501" t="s">
        <v>843</v>
      </c>
      <c r="F501" t="s">
        <v>844</v>
      </c>
      <c r="G501" t="s">
        <v>164</v>
      </c>
      <c r="H501" t="s">
        <v>165</v>
      </c>
      <c r="I501" t="s">
        <v>34</v>
      </c>
      <c r="J501" t="s">
        <v>166</v>
      </c>
      <c r="K501" t="s">
        <v>41</v>
      </c>
      <c r="L501" t="s">
        <v>3293</v>
      </c>
      <c r="M501" t="s">
        <v>1509</v>
      </c>
      <c r="N501" t="s">
        <v>847</v>
      </c>
      <c r="O501" t="s">
        <v>100</v>
      </c>
      <c r="P501" t="s">
        <v>1510</v>
      </c>
      <c r="Q501" t="s">
        <v>50</v>
      </c>
      <c r="R501" t="s">
        <v>1606</v>
      </c>
      <c r="S501">
        <v>1.8</v>
      </c>
      <c r="T501">
        <v>3784</v>
      </c>
      <c r="U501">
        <v>0</v>
      </c>
      <c r="V501">
        <v>3784</v>
      </c>
    </row>
    <row r="502" spans="1:22" x14ac:dyDescent="0.3">
      <c r="A502">
        <v>79452</v>
      </c>
      <c r="B502">
        <v>136541771</v>
      </c>
      <c r="C502" t="s">
        <v>3294</v>
      </c>
      <c r="D502" t="s">
        <v>3295</v>
      </c>
      <c r="E502" t="s">
        <v>843</v>
      </c>
      <c r="F502" t="s">
        <v>844</v>
      </c>
      <c r="G502" t="s">
        <v>164</v>
      </c>
      <c r="H502" t="s">
        <v>165</v>
      </c>
      <c r="I502" t="s">
        <v>34</v>
      </c>
      <c r="J502" t="s">
        <v>166</v>
      </c>
      <c r="K502" t="s">
        <v>41</v>
      </c>
      <c r="L502" t="s">
        <v>3296</v>
      </c>
      <c r="M502" t="s">
        <v>3297</v>
      </c>
      <c r="N502" t="s">
        <v>847</v>
      </c>
      <c r="O502" t="s">
        <v>100</v>
      </c>
      <c r="P502" t="s">
        <v>3298</v>
      </c>
      <c r="Q502" t="s">
        <v>63</v>
      </c>
      <c r="R502" t="s">
        <v>2767</v>
      </c>
      <c r="S502">
        <v>1.88</v>
      </c>
      <c r="T502">
        <v>4067</v>
      </c>
      <c r="U502">
        <v>0</v>
      </c>
      <c r="V502">
        <v>4067</v>
      </c>
    </row>
    <row r="503" spans="1:22" x14ac:dyDescent="0.3">
      <c r="A503">
        <v>79452</v>
      </c>
      <c r="B503">
        <v>136634986</v>
      </c>
      <c r="C503" t="s">
        <v>3299</v>
      </c>
      <c r="D503" t="s">
        <v>3300</v>
      </c>
      <c r="E503" t="s">
        <v>843</v>
      </c>
      <c r="F503" t="s">
        <v>844</v>
      </c>
      <c r="G503" t="s">
        <v>164</v>
      </c>
      <c r="H503" t="s">
        <v>165</v>
      </c>
      <c r="I503" t="s">
        <v>34</v>
      </c>
      <c r="J503" t="s">
        <v>166</v>
      </c>
      <c r="K503" t="s">
        <v>41</v>
      </c>
      <c r="L503" t="s">
        <v>3301</v>
      </c>
      <c r="M503" t="s">
        <v>3302</v>
      </c>
      <c r="N503" t="s">
        <v>847</v>
      </c>
      <c r="O503" t="s">
        <v>100</v>
      </c>
      <c r="P503" t="s">
        <v>3303</v>
      </c>
      <c r="Q503" t="s">
        <v>63</v>
      </c>
      <c r="R503" t="s">
        <v>475</v>
      </c>
      <c r="S503">
        <v>1</v>
      </c>
      <c r="T503">
        <v>4067</v>
      </c>
      <c r="U503">
        <v>0</v>
      </c>
      <c r="V503">
        <v>4067</v>
      </c>
    </row>
    <row r="504" spans="1:22" x14ac:dyDescent="0.3">
      <c r="A504">
        <v>79452</v>
      </c>
      <c r="B504">
        <v>136483028</v>
      </c>
      <c r="C504" t="s">
        <v>3304</v>
      </c>
      <c r="D504" t="s">
        <v>3305</v>
      </c>
      <c r="E504" t="s">
        <v>843</v>
      </c>
      <c r="F504" t="s">
        <v>844</v>
      </c>
      <c r="G504" t="s">
        <v>164</v>
      </c>
      <c r="H504" t="s">
        <v>165</v>
      </c>
      <c r="I504" t="s">
        <v>34</v>
      </c>
      <c r="J504" t="s">
        <v>166</v>
      </c>
      <c r="K504" t="s">
        <v>41</v>
      </c>
      <c r="L504" t="s">
        <v>3306</v>
      </c>
      <c r="M504" t="s">
        <v>3307</v>
      </c>
      <c r="N504" t="s">
        <v>847</v>
      </c>
      <c r="O504" t="s">
        <v>100</v>
      </c>
      <c r="P504" t="s">
        <v>3308</v>
      </c>
      <c r="Q504" t="s">
        <v>55</v>
      </c>
      <c r="R504" t="s">
        <v>3230</v>
      </c>
      <c r="S504">
        <v>1.38</v>
      </c>
      <c r="T504">
        <v>5198</v>
      </c>
      <c r="U504">
        <v>0</v>
      </c>
      <c r="V504">
        <v>5198</v>
      </c>
    </row>
    <row r="505" spans="1:22" x14ac:dyDescent="0.3">
      <c r="A505">
        <v>79452</v>
      </c>
      <c r="B505">
        <v>136025897</v>
      </c>
      <c r="C505" t="s">
        <v>3309</v>
      </c>
      <c r="D505" t="s">
        <v>3310</v>
      </c>
      <c r="E505" t="s">
        <v>843</v>
      </c>
      <c r="F505" t="s">
        <v>844</v>
      </c>
      <c r="G505" t="s">
        <v>164</v>
      </c>
      <c r="H505" t="s">
        <v>165</v>
      </c>
      <c r="I505" t="s">
        <v>34</v>
      </c>
      <c r="J505" t="s">
        <v>166</v>
      </c>
      <c r="K505" t="s">
        <v>41</v>
      </c>
      <c r="L505" t="s">
        <v>3306</v>
      </c>
      <c r="M505" t="s">
        <v>3311</v>
      </c>
      <c r="N505" t="s">
        <v>847</v>
      </c>
      <c r="O505" t="s">
        <v>100</v>
      </c>
      <c r="P505" t="s">
        <v>3312</v>
      </c>
      <c r="Q505" t="s">
        <v>55</v>
      </c>
      <c r="R505" t="s">
        <v>403</v>
      </c>
      <c r="S505">
        <v>0.94</v>
      </c>
      <c r="T505">
        <v>5198</v>
      </c>
      <c r="U505">
        <v>0</v>
      </c>
      <c r="V505">
        <v>5198</v>
      </c>
    </row>
    <row r="506" spans="1:22" x14ac:dyDescent="0.3">
      <c r="A506">
        <v>79452</v>
      </c>
      <c r="B506">
        <v>136634968</v>
      </c>
      <c r="C506" t="s">
        <v>3313</v>
      </c>
      <c r="D506" t="s">
        <v>3314</v>
      </c>
      <c r="E506" t="s">
        <v>843</v>
      </c>
      <c r="F506" t="s">
        <v>844</v>
      </c>
      <c r="G506" t="s">
        <v>164</v>
      </c>
      <c r="H506" t="s">
        <v>165</v>
      </c>
      <c r="I506" t="s">
        <v>34</v>
      </c>
      <c r="J506" t="s">
        <v>166</v>
      </c>
      <c r="K506" t="s">
        <v>41</v>
      </c>
      <c r="L506" t="s">
        <v>3315</v>
      </c>
      <c r="M506" t="s">
        <v>406</v>
      </c>
      <c r="N506" t="s">
        <v>847</v>
      </c>
      <c r="O506" t="s">
        <v>100</v>
      </c>
      <c r="P506" t="s">
        <v>3316</v>
      </c>
      <c r="Q506" t="s">
        <v>60</v>
      </c>
      <c r="R506" t="s">
        <v>475</v>
      </c>
      <c r="S506">
        <v>2.4900000000000002</v>
      </c>
      <c r="T506">
        <v>4346</v>
      </c>
      <c r="U506">
        <v>0</v>
      </c>
      <c r="V506">
        <v>4346</v>
      </c>
    </row>
    <row r="507" spans="1:22" x14ac:dyDescent="0.3">
      <c r="A507">
        <v>79452</v>
      </c>
      <c r="B507">
        <v>136508272</v>
      </c>
      <c r="C507" t="s">
        <v>3317</v>
      </c>
      <c r="D507" t="s">
        <v>3318</v>
      </c>
      <c r="E507" t="s">
        <v>843</v>
      </c>
      <c r="F507" t="s">
        <v>844</v>
      </c>
      <c r="G507" t="s">
        <v>164</v>
      </c>
      <c r="H507" t="s">
        <v>165</v>
      </c>
      <c r="I507" t="s">
        <v>34</v>
      </c>
      <c r="J507" t="s">
        <v>166</v>
      </c>
      <c r="K507" t="s">
        <v>41</v>
      </c>
      <c r="L507" t="s">
        <v>3319</v>
      </c>
      <c r="M507" t="s">
        <v>3320</v>
      </c>
      <c r="N507" t="s">
        <v>847</v>
      </c>
      <c r="O507" t="s">
        <v>100</v>
      </c>
      <c r="P507" t="s">
        <v>3321</v>
      </c>
      <c r="Q507" t="s">
        <v>77</v>
      </c>
      <c r="R507" t="s">
        <v>3236</v>
      </c>
      <c r="S507">
        <v>1</v>
      </c>
      <c r="T507">
        <v>7506</v>
      </c>
      <c r="U507">
        <v>0</v>
      </c>
      <c r="V507">
        <v>7506</v>
      </c>
    </row>
    <row r="508" spans="1:22" x14ac:dyDescent="0.3">
      <c r="A508">
        <v>79452</v>
      </c>
      <c r="B508">
        <v>136541764</v>
      </c>
      <c r="C508" t="s">
        <v>3322</v>
      </c>
      <c r="D508" t="s">
        <v>3323</v>
      </c>
      <c r="E508" t="s">
        <v>843</v>
      </c>
      <c r="F508" t="s">
        <v>844</v>
      </c>
      <c r="G508" t="s">
        <v>164</v>
      </c>
      <c r="H508" t="s">
        <v>165</v>
      </c>
      <c r="I508" t="s">
        <v>34</v>
      </c>
      <c r="J508" t="s">
        <v>166</v>
      </c>
      <c r="K508" t="s">
        <v>41</v>
      </c>
      <c r="L508" t="s">
        <v>3324</v>
      </c>
      <c r="M508" t="s">
        <v>3325</v>
      </c>
      <c r="N508" t="s">
        <v>847</v>
      </c>
      <c r="O508" t="s">
        <v>100</v>
      </c>
      <c r="P508" t="s">
        <v>3326</v>
      </c>
      <c r="Q508" t="s">
        <v>98</v>
      </c>
      <c r="R508" t="s">
        <v>2767</v>
      </c>
      <c r="S508">
        <v>0.67</v>
      </c>
      <c r="T508">
        <v>3366</v>
      </c>
      <c r="U508">
        <v>0</v>
      </c>
      <c r="V508">
        <v>3366</v>
      </c>
    </row>
    <row r="509" spans="1:22" x14ac:dyDescent="0.3">
      <c r="A509">
        <v>79452</v>
      </c>
      <c r="B509">
        <v>136541751</v>
      </c>
      <c r="C509" t="s">
        <v>3327</v>
      </c>
      <c r="D509" t="s">
        <v>3328</v>
      </c>
      <c r="E509" t="s">
        <v>843</v>
      </c>
      <c r="F509" t="s">
        <v>844</v>
      </c>
      <c r="G509" t="s">
        <v>164</v>
      </c>
      <c r="H509" t="s">
        <v>165</v>
      </c>
      <c r="I509" t="s">
        <v>34</v>
      </c>
      <c r="J509" t="s">
        <v>166</v>
      </c>
      <c r="K509" t="s">
        <v>41</v>
      </c>
      <c r="L509" t="s">
        <v>3329</v>
      </c>
      <c r="M509" t="s">
        <v>3330</v>
      </c>
      <c r="N509" t="s">
        <v>847</v>
      </c>
      <c r="O509" t="s">
        <v>100</v>
      </c>
      <c r="P509" t="s">
        <v>3331</v>
      </c>
      <c r="Q509" t="s">
        <v>94</v>
      </c>
      <c r="R509" t="s">
        <v>2688</v>
      </c>
      <c r="S509">
        <v>1.35</v>
      </c>
      <c r="T509">
        <v>3366</v>
      </c>
      <c r="U509">
        <v>0</v>
      </c>
      <c r="V509">
        <v>3366</v>
      </c>
    </row>
    <row r="510" spans="1:22" x14ac:dyDescent="0.3">
      <c r="A510">
        <v>79452</v>
      </c>
      <c r="B510">
        <v>136363697</v>
      </c>
      <c r="C510" t="s">
        <v>3332</v>
      </c>
      <c r="D510" t="s">
        <v>3333</v>
      </c>
      <c r="E510" t="s">
        <v>843</v>
      </c>
      <c r="F510" t="s">
        <v>844</v>
      </c>
      <c r="G510" t="s">
        <v>164</v>
      </c>
      <c r="H510" t="s">
        <v>165</v>
      </c>
      <c r="I510" t="s">
        <v>34</v>
      </c>
      <c r="J510" t="s">
        <v>166</v>
      </c>
      <c r="K510" t="s">
        <v>41</v>
      </c>
      <c r="L510" t="s">
        <v>3334</v>
      </c>
      <c r="M510" t="s">
        <v>3335</v>
      </c>
      <c r="N510" t="s">
        <v>847</v>
      </c>
      <c r="O510" t="s">
        <v>100</v>
      </c>
      <c r="P510" t="s">
        <v>3336</v>
      </c>
      <c r="Q510" t="s">
        <v>54</v>
      </c>
      <c r="R510" t="s">
        <v>3337</v>
      </c>
      <c r="S510">
        <v>1.39</v>
      </c>
      <c r="T510">
        <v>5759</v>
      </c>
      <c r="U510">
        <v>0</v>
      </c>
      <c r="V510">
        <v>5759</v>
      </c>
    </row>
    <row r="511" spans="1:22" x14ac:dyDescent="0.3">
      <c r="A511">
        <v>79452</v>
      </c>
      <c r="B511">
        <v>136483048</v>
      </c>
      <c r="C511" t="s">
        <v>3338</v>
      </c>
      <c r="D511" t="s">
        <v>3339</v>
      </c>
      <c r="E511" t="s">
        <v>843</v>
      </c>
      <c r="F511" t="s">
        <v>844</v>
      </c>
      <c r="G511" t="s">
        <v>164</v>
      </c>
      <c r="H511" t="s">
        <v>165</v>
      </c>
      <c r="I511" t="s">
        <v>34</v>
      </c>
      <c r="J511" t="s">
        <v>166</v>
      </c>
      <c r="K511" t="s">
        <v>41</v>
      </c>
      <c r="L511" t="s">
        <v>3340</v>
      </c>
      <c r="M511" t="s">
        <v>3341</v>
      </c>
      <c r="N511" t="s">
        <v>847</v>
      </c>
      <c r="O511" t="s">
        <v>100</v>
      </c>
      <c r="P511" t="s">
        <v>3342</v>
      </c>
      <c r="Q511" t="s">
        <v>63</v>
      </c>
      <c r="R511" t="s">
        <v>590</v>
      </c>
      <c r="S511">
        <v>0.86</v>
      </c>
      <c r="T511">
        <v>4067</v>
      </c>
      <c r="U511">
        <v>0</v>
      </c>
      <c r="V511">
        <v>4067</v>
      </c>
    </row>
    <row r="512" spans="1:22" x14ac:dyDescent="0.3">
      <c r="A512">
        <v>79452</v>
      </c>
      <c r="B512">
        <v>136104133</v>
      </c>
      <c r="C512" t="s">
        <v>3343</v>
      </c>
      <c r="D512" t="s">
        <v>3344</v>
      </c>
      <c r="E512" t="s">
        <v>843</v>
      </c>
      <c r="F512" t="s">
        <v>844</v>
      </c>
      <c r="G512" t="s">
        <v>164</v>
      </c>
      <c r="H512" t="s">
        <v>165</v>
      </c>
      <c r="I512" t="s">
        <v>34</v>
      </c>
      <c r="J512" t="s">
        <v>166</v>
      </c>
      <c r="K512" t="s">
        <v>41</v>
      </c>
      <c r="L512" t="s">
        <v>3345</v>
      </c>
      <c r="M512" t="s">
        <v>3346</v>
      </c>
      <c r="N512" t="s">
        <v>847</v>
      </c>
      <c r="O512" t="s">
        <v>100</v>
      </c>
      <c r="P512" t="s">
        <v>3347</v>
      </c>
      <c r="Q512" t="s">
        <v>121</v>
      </c>
      <c r="R512" t="s">
        <v>803</v>
      </c>
      <c r="S512">
        <v>1.95</v>
      </c>
      <c r="T512">
        <v>4173</v>
      </c>
      <c r="U512">
        <v>0</v>
      </c>
      <c r="V512">
        <v>4173</v>
      </c>
    </row>
    <row r="513" spans="1:22" x14ac:dyDescent="0.3">
      <c r="A513">
        <v>79452</v>
      </c>
      <c r="B513">
        <v>136104073</v>
      </c>
      <c r="C513" t="s">
        <v>3348</v>
      </c>
      <c r="D513" t="s">
        <v>3349</v>
      </c>
      <c r="E513" t="s">
        <v>843</v>
      </c>
      <c r="F513" t="s">
        <v>844</v>
      </c>
      <c r="G513" t="s">
        <v>164</v>
      </c>
      <c r="H513" t="s">
        <v>165</v>
      </c>
      <c r="I513" t="s">
        <v>34</v>
      </c>
      <c r="J513" t="s">
        <v>166</v>
      </c>
      <c r="K513" t="s">
        <v>41</v>
      </c>
      <c r="L513" t="s">
        <v>3350</v>
      </c>
      <c r="M513" t="s">
        <v>3351</v>
      </c>
      <c r="N513" t="s">
        <v>847</v>
      </c>
      <c r="O513" t="s">
        <v>100</v>
      </c>
      <c r="P513" t="s">
        <v>3352</v>
      </c>
      <c r="Q513" t="s">
        <v>54</v>
      </c>
      <c r="R513" t="s">
        <v>803</v>
      </c>
      <c r="S513">
        <v>2.25</v>
      </c>
      <c r="T513">
        <v>5759</v>
      </c>
      <c r="U513">
        <v>0</v>
      </c>
      <c r="V513">
        <v>5759</v>
      </c>
    </row>
    <row r="514" spans="1:22" x14ac:dyDescent="0.3">
      <c r="A514">
        <v>79452</v>
      </c>
      <c r="B514">
        <v>135573803</v>
      </c>
      <c r="C514" t="s">
        <v>3353</v>
      </c>
      <c r="D514" t="s">
        <v>3354</v>
      </c>
      <c r="E514" t="s">
        <v>843</v>
      </c>
      <c r="F514" t="s">
        <v>844</v>
      </c>
      <c r="G514" t="s">
        <v>164</v>
      </c>
      <c r="H514" t="s">
        <v>165</v>
      </c>
      <c r="I514" t="s">
        <v>34</v>
      </c>
      <c r="J514" t="s">
        <v>166</v>
      </c>
      <c r="K514" t="s">
        <v>41</v>
      </c>
      <c r="L514" t="s">
        <v>3355</v>
      </c>
      <c r="M514" t="s">
        <v>3356</v>
      </c>
      <c r="N514" t="s">
        <v>847</v>
      </c>
      <c r="O514" t="s">
        <v>100</v>
      </c>
      <c r="P514" t="s">
        <v>3357</v>
      </c>
      <c r="Q514" t="s">
        <v>264</v>
      </c>
      <c r="R514" t="s">
        <v>3358</v>
      </c>
      <c r="S514">
        <v>1</v>
      </c>
      <c r="T514">
        <v>5759</v>
      </c>
      <c r="U514">
        <v>0</v>
      </c>
      <c r="V514">
        <v>5759</v>
      </c>
    </row>
    <row r="515" spans="1:22" x14ac:dyDescent="0.3">
      <c r="A515">
        <v>79452</v>
      </c>
      <c r="B515">
        <v>136508229</v>
      </c>
      <c r="C515" t="s">
        <v>3359</v>
      </c>
      <c r="D515" t="s">
        <v>3360</v>
      </c>
      <c r="E515" t="s">
        <v>843</v>
      </c>
      <c r="F515" t="s">
        <v>844</v>
      </c>
      <c r="G515" t="s">
        <v>164</v>
      </c>
      <c r="H515" t="s">
        <v>165</v>
      </c>
      <c r="I515" t="s">
        <v>34</v>
      </c>
      <c r="J515" t="s">
        <v>166</v>
      </c>
      <c r="K515" t="s">
        <v>41</v>
      </c>
      <c r="L515" t="s">
        <v>3361</v>
      </c>
      <c r="M515" t="s">
        <v>3362</v>
      </c>
      <c r="N515" t="s">
        <v>847</v>
      </c>
      <c r="O515" t="s">
        <v>100</v>
      </c>
      <c r="P515" t="s">
        <v>3363</v>
      </c>
      <c r="Q515" t="s">
        <v>83</v>
      </c>
      <c r="R515" t="s">
        <v>3236</v>
      </c>
      <c r="S515">
        <v>1.39</v>
      </c>
      <c r="T515">
        <v>3366</v>
      </c>
      <c r="U515">
        <v>0</v>
      </c>
      <c r="V515">
        <v>3366</v>
      </c>
    </row>
    <row r="516" spans="1:22" x14ac:dyDescent="0.3">
      <c r="A516">
        <v>79452</v>
      </c>
      <c r="B516">
        <v>136270126</v>
      </c>
      <c r="C516" t="s">
        <v>3364</v>
      </c>
      <c r="D516" t="s">
        <v>3365</v>
      </c>
      <c r="E516" t="s">
        <v>843</v>
      </c>
      <c r="F516" t="s">
        <v>844</v>
      </c>
      <c r="G516" t="s">
        <v>164</v>
      </c>
      <c r="H516" t="s">
        <v>165</v>
      </c>
      <c r="I516" t="s">
        <v>34</v>
      </c>
      <c r="J516" t="s">
        <v>166</v>
      </c>
      <c r="K516" t="s">
        <v>41</v>
      </c>
      <c r="L516" t="s">
        <v>3366</v>
      </c>
      <c r="M516" t="s">
        <v>208</v>
      </c>
      <c r="N516" t="s">
        <v>847</v>
      </c>
      <c r="O516" t="s">
        <v>100</v>
      </c>
      <c r="P516" t="s">
        <v>3367</v>
      </c>
      <c r="Q516" t="s">
        <v>55</v>
      </c>
      <c r="R516" t="s">
        <v>759</v>
      </c>
      <c r="S516">
        <v>2.34</v>
      </c>
      <c r="T516">
        <v>5198</v>
      </c>
      <c r="U516">
        <v>0</v>
      </c>
      <c r="V516">
        <v>5198</v>
      </c>
    </row>
    <row r="517" spans="1:22" x14ac:dyDescent="0.3">
      <c r="A517">
        <v>79452</v>
      </c>
      <c r="B517">
        <v>135605895</v>
      </c>
      <c r="C517" t="s">
        <v>3368</v>
      </c>
      <c r="D517" t="s">
        <v>3369</v>
      </c>
      <c r="E517" t="s">
        <v>843</v>
      </c>
      <c r="F517" t="s">
        <v>844</v>
      </c>
      <c r="G517" t="s">
        <v>164</v>
      </c>
      <c r="H517" t="s">
        <v>165</v>
      </c>
      <c r="I517" t="s">
        <v>34</v>
      </c>
      <c r="J517" t="s">
        <v>166</v>
      </c>
      <c r="K517" t="s">
        <v>41</v>
      </c>
      <c r="L517" t="s">
        <v>3370</v>
      </c>
      <c r="M517" t="s">
        <v>3371</v>
      </c>
      <c r="N517" t="s">
        <v>847</v>
      </c>
      <c r="O517" t="s">
        <v>100</v>
      </c>
      <c r="P517" t="s">
        <v>3372</v>
      </c>
      <c r="Q517" t="s">
        <v>246</v>
      </c>
      <c r="R517" t="s">
        <v>3373</v>
      </c>
      <c r="S517">
        <v>1</v>
      </c>
      <c r="T517">
        <v>5759</v>
      </c>
      <c r="U517">
        <v>0</v>
      </c>
      <c r="V517">
        <v>5759</v>
      </c>
    </row>
    <row r="518" spans="1:22" x14ac:dyDescent="0.3">
      <c r="A518">
        <v>79452</v>
      </c>
      <c r="B518">
        <v>136363594</v>
      </c>
      <c r="C518" t="s">
        <v>3374</v>
      </c>
      <c r="D518" t="s">
        <v>3375</v>
      </c>
      <c r="E518" t="s">
        <v>843</v>
      </c>
      <c r="F518" t="s">
        <v>844</v>
      </c>
      <c r="G518" t="s">
        <v>164</v>
      </c>
      <c r="H518" t="s">
        <v>165</v>
      </c>
      <c r="I518" t="s">
        <v>34</v>
      </c>
      <c r="J518" t="s">
        <v>166</v>
      </c>
      <c r="K518" t="s">
        <v>41</v>
      </c>
      <c r="L518" t="s">
        <v>3376</v>
      </c>
      <c r="M518" t="s">
        <v>3377</v>
      </c>
      <c r="N518" t="s">
        <v>847</v>
      </c>
      <c r="O518" t="s">
        <v>100</v>
      </c>
      <c r="P518" t="s">
        <v>3378</v>
      </c>
      <c r="Q518" t="s">
        <v>55</v>
      </c>
      <c r="R518" t="s">
        <v>3337</v>
      </c>
      <c r="S518">
        <v>2.14</v>
      </c>
      <c r="T518">
        <v>5198</v>
      </c>
      <c r="U518">
        <v>0</v>
      </c>
      <c r="V518">
        <v>5198</v>
      </c>
    </row>
    <row r="519" spans="1:22" x14ac:dyDescent="0.3">
      <c r="A519">
        <v>79452</v>
      </c>
      <c r="B519">
        <v>136483036</v>
      </c>
      <c r="C519" t="s">
        <v>3379</v>
      </c>
      <c r="D519" t="s">
        <v>3380</v>
      </c>
      <c r="E519" t="s">
        <v>843</v>
      </c>
      <c r="F519" t="s">
        <v>844</v>
      </c>
      <c r="G519" t="s">
        <v>164</v>
      </c>
      <c r="H519" t="s">
        <v>165</v>
      </c>
      <c r="I519" t="s">
        <v>34</v>
      </c>
      <c r="J519" t="s">
        <v>166</v>
      </c>
      <c r="K519" t="s">
        <v>41</v>
      </c>
      <c r="L519" t="s">
        <v>3381</v>
      </c>
      <c r="M519" t="s">
        <v>3382</v>
      </c>
      <c r="N519" t="s">
        <v>847</v>
      </c>
      <c r="O519" t="s">
        <v>100</v>
      </c>
      <c r="P519" t="s">
        <v>3383</v>
      </c>
      <c r="Q519" t="s">
        <v>83</v>
      </c>
      <c r="R519" t="s">
        <v>590</v>
      </c>
      <c r="S519">
        <v>1</v>
      </c>
      <c r="T519">
        <v>3366</v>
      </c>
      <c r="U519">
        <v>0</v>
      </c>
      <c r="V519">
        <v>3366</v>
      </c>
    </row>
    <row r="520" spans="1:22" x14ac:dyDescent="0.3">
      <c r="A520">
        <v>79452</v>
      </c>
      <c r="B520">
        <v>136196438</v>
      </c>
      <c r="C520" t="s">
        <v>3384</v>
      </c>
      <c r="D520" t="s">
        <v>3385</v>
      </c>
      <c r="E520" t="s">
        <v>843</v>
      </c>
      <c r="F520" t="s">
        <v>844</v>
      </c>
      <c r="G520" t="s">
        <v>164</v>
      </c>
      <c r="H520" t="s">
        <v>165</v>
      </c>
      <c r="I520" t="s">
        <v>34</v>
      </c>
      <c r="J520" t="s">
        <v>166</v>
      </c>
      <c r="K520" t="s">
        <v>41</v>
      </c>
      <c r="L520" t="s">
        <v>3386</v>
      </c>
      <c r="M520" t="s">
        <v>3387</v>
      </c>
      <c r="N520" t="s">
        <v>847</v>
      </c>
      <c r="O520" t="s">
        <v>100</v>
      </c>
      <c r="P520" t="s">
        <v>3388</v>
      </c>
      <c r="Q520" t="s">
        <v>63</v>
      </c>
      <c r="R520" t="s">
        <v>716</v>
      </c>
      <c r="S520">
        <v>2.5299999999999998</v>
      </c>
      <c r="T520">
        <v>4067</v>
      </c>
      <c r="U520">
        <v>0</v>
      </c>
      <c r="V520">
        <v>4067</v>
      </c>
    </row>
    <row r="521" spans="1:22" x14ac:dyDescent="0.3">
      <c r="A521">
        <v>79452</v>
      </c>
      <c r="B521">
        <v>136508275</v>
      </c>
      <c r="C521" t="s">
        <v>3389</v>
      </c>
      <c r="D521" t="s">
        <v>3390</v>
      </c>
      <c r="E521" t="s">
        <v>843</v>
      </c>
      <c r="F521" t="s">
        <v>844</v>
      </c>
      <c r="G521" t="s">
        <v>164</v>
      </c>
      <c r="H521" t="s">
        <v>165</v>
      </c>
      <c r="I521" t="s">
        <v>34</v>
      </c>
      <c r="J521" t="s">
        <v>166</v>
      </c>
      <c r="K521" t="s">
        <v>41</v>
      </c>
      <c r="L521" t="s">
        <v>3391</v>
      </c>
      <c r="M521" t="s">
        <v>3392</v>
      </c>
      <c r="N521" t="s">
        <v>847</v>
      </c>
      <c r="O521" t="s">
        <v>100</v>
      </c>
      <c r="P521" t="s">
        <v>3393</v>
      </c>
      <c r="Q521" t="s">
        <v>50</v>
      </c>
      <c r="R521" t="s">
        <v>3236</v>
      </c>
      <c r="S521">
        <v>1</v>
      </c>
      <c r="T521">
        <v>3784</v>
      </c>
      <c r="U521">
        <v>0</v>
      </c>
      <c r="V521">
        <v>3784</v>
      </c>
    </row>
    <row r="522" spans="1:22" x14ac:dyDescent="0.3">
      <c r="A522">
        <v>79452</v>
      </c>
      <c r="B522">
        <v>136327431</v>
      </c>
      <c r="C522" t="s">
        <v>3394</v>
      </c>
      <c r="D522" t="s">
        <v>3395</v>
      </c>
      <c r="E522" t="s">
        <v>843</v>
      </c>
      <c r="F522" t="s">
        <v>844</v>
      </c>
      <c r="G522" t="s">
        <v>164</v>
      </c>
      <c r="H522" t="s">
        <v>165</v>
      </c>
      <c r="I522" t="s">
        <v>34</v>
      </c>
      <c r="J522" t="s">
        <v>166</v>
      </c>
      <c r="K522" t="s">
        <v>41</v>
      </c>
      <c r="L522" t="s">
        <v>3396</v>
      </c>
      <c r="M522" t="s">
        <v>3397</v>
      </c>
      <c r="N522" t="s">
        <v>847</v>
      </c>
      <c r="O522" t="s">
        <v>100</v>
      </c>
      <c r="P522" t="s">
        <v>3398</v>
      </c>
      <c r="Q522" t="s">
        <v>84</v>
      </c>
      <c r="R522" t="s">
        <v>1130</v>
      </c>
      <c r="S522">
        <v>1</v>
      </c>
      <c r="T522">
        <v>3366</v>
      </c>
      <c r="U522">
        <v>0</v>
      </c>
      <c r="V522">
        <v>3366</v>
      </c>
    </row>
    <row r="523" spans="1:22" x14ac:dyDescent="0.3">
      <c r="A523">
        <v>79452</v>
      </c>
      <c r="B523">
        <v>136327445</v>
      </c>
      <c r="C523" t="s">
        <v>3399</v>
      </c>
      <c r="D523" t="s">
        <v>3400</v>
      </c>
      <c r="E523" t="s">
        <v>843</v>
      </c>
      <c r="F523" t="s">
        <v>844</v>
      </c>
      <c r="G523" t="s">
        <v>164</v>
      </c>
      <c r="H523" t="s">
        <v>165</v>
      </c>
      <c r="I523" t="s">
        <v>34</v>
      </c>
      <c r="J523" t="s">
        <v>166</v>
      </c>
      <c r="K523" t="s">
        <v>41</v>
      </c>
      <c r="L523" t="s">
        <v>3401</v>
      </c>
      <c r="M523" t="s">
        <v>3402</v>
      </c>
      <c r="N523" t="s">
        <v>847</v>
      </c>
      <c r="O523" t="s">
        <v>100</v>
      </c>
      <c r="P523" t="s">
        <v>3403</v>
      </c>
      <c r="Q523" t="s">
        <v>72</v>
      </c>
      <c r="R523" t="s">
        <v>1130</v>
      </c>
      <c r="S523">
        <v>2.13</v>
      </c>
      <c r="T523">
        <v>3784</v>
      </c>
      <c r="U523">
        <v>0</v>
      </c>
      <c r="V523">
        <v>3784</v>
      </c>
    </row>
    <row r="524" spans="1:22" x14ac:dyDescent="0.3">
      <c r="A524">
        <v>79452</v>
      </c>
      <c r="B524">
        <v>136103823</v>
      </c>
      <c r="C524" t="s">
        <v>3404</v>
      </c>
      <c r="D524" t="s">
        <v>3405</v>
      </c>
      <c r="E524" t="s">
        <v>843</v>
      </c>
      <c r="F524" t="s">
        <v>844</v>
      </c>
      <c r="G524" t="s">
        <v>164</v>
      </c>
      <c r="H524" t="s">
        <v>165</v>
      </c>
      <c r="I524" t="s">
        <v>34</v>
      </c>
      <c r="J524" t="s">
        <v>166</v>
      </c>
      <c r="K524" t="s">
        <v>41</v>
      </c>
      <c r="L524" t="s">
        <v>3406</v>
      </c>
      <c r="M524" t="s">
        <v>3407</v>
      </c>
      <c r="N524" t="s">
        <v>847</v>
      </c>
      <c r="O524" t="s">
        <v>100</v>
      </c>
      <c r="P524" t="s">
        <v>3408</v>
      </c>
      <c r="Q524" t="s">
        <v>55</v>
      </c>
      <c r="R524" t="s">
        <v>599</v>
      </c>
      <c r="S524">
        <v>0.98</v>
      </c>
      <c r="T524">
        <v>5198</v>
      </c>
      <c r="U524">
        <v>0</v>
      </c>
      <c r="V524">
        <v>5198</v>
      </c>
    </row>
    <row r="525" spans="1:22" x14ac:dyDescent="0.3">
      <c r="A525">
        <v>79452</v>
      </c>
      <c r="B525">
        <v>136269942</v>
      </c>
      <c r="C525" t="s">
        <v>3409</v>
      </c>
      <c r="D525" t="s">
        <v>3410</v>
      </c>
      <c r="E525" t="s">
        <v>843</v>
      </c>
      <c r="F525" t="s">
        <v>844</v>
      </c>
      <c r="G525" t="s">
        <v>164</v>
      </c>
      <c r="H525" t="s">
        <v>165</v>
      </c>
      <c r="I525" t="s">
        <v>34</v>
      </c>
      <c r="J525" t="s">
        <v>166</v>
      </c>
      <c r="K525" t="s">
        <v>41</v>
      </c>
      <c r="L525" t="s">
        <v>3411</v>
      </c>
      <c r="M525" t="s">
        <v>3412</v>
      </c>
      <c r="N525" t="s">
        <v>847</v>
      </c>
      <c r="O525" t="s">
        <v>100</v>
      </c>
      <c r="P525" t="s">
        <v>3413</v>
      </c>
      <c r="Q525" t="s">
        <v>83</v>
      </c>
      <c r="R525" t="s">
        <v>794</v>
      </c>
      <c r="S525">
        <v>1</v>
      </c>
      <c r="T525">
        <v>3366</v>
      </c>
      <c r="U525">
        <v>0</v>
      </c>
      <c r="V525">
        <v>3366</v>
      </c>
    </row>
    <row r="526" spans="1:22" x14ac:dyDescent="0.3">
      <c r="A526">
        <v>79452</v>
      </c>
      <c r="B526">
        <v>136196402</v>
      </c>
      <c r="C526" t="s">
        <v>3414</v>
      </c>
      <c r="D526" t="s">
        <v>3415</v>
      </c>
      <c r="E526" t="s">
        <v>843</v>
      </c>
      <c r="F526" t="s">
        <v>844</v>
      </c>
      <c r="G526" t="s">
        <v>164</v>
      </c>
      <c r="H526" t="s">
        <v>165</v>
      </c>
      <c r="I526" t="s">
        <v>34</v>
      </c>
      <c r="J526" t="s">
        <v>166</v>
      </c>
      <c r="K526" t="s">
        <v>44</v>
      </c>
      <c r="L526" t="s">
        <v>188</v>
      </c>
      <c r="M526" t="s">
        <v>3416</v>
      </c>
      <c r="N526" t="s">
        <v>847</v>
      </c>
      <c r="O526" t="s">
        <v>100</v>
      </c>
      <c r="P526" t="s">
        <v>3417</v>
      </c>
      <c r="Q526" t="s">
        <v>58</v>
      </c>
      <c r="R526" t="s">
        <v>716</v>
      </c>
      <c r="S526">
        <v>2.08</v>
      </c>
      <c r="T526">
        <v>5759</v>
      </c>
      <c r="U526">
        <v>0</v>
      </c>
      <c r="V526">
        <v>5759</v>
      </c>
    </row>
    <row r="527" spans="1:22" x14ac:dyDescent="0.3">
      <c r="A527">
        <v>79452</v>
      </c>
      <c r="B527">
        <v>136269924</v>
      </c>
      <c r="C527" t="s">
        <v>3418</v>
      </c>
      <c r="D527" t="s">
        <v>3419</v>
      </c>
      <c r="E527" t="s">
        <v>843</v>
      </c>
      <c r="F527" t="s">
        <v>844</v>
      </c>
      <c r="G527" t="s">
        <v>164</v>
      </c>
      <c r="H527" t="s">
        <v>165</v>
      </c>
      <c r="I527" t="s">
        <v>34</v>
      </c>
      <c r="J527" t="s">
        <v>166</v>
      </c>
      <c r="K527" t="s">
        <v>41</v>
      </c>
      <c r="L527" t="s">
        <v>3420</v>
      </c>
      <c r="M527" t="s">
        <v>3421</v>
      </c>
      <c r="N527" t="s">
        <v>847</v>
      </c>
      <c r="O527" t="s">
        <v>100</v>
      </c>
      <c r="P527" t="s">
        <v>3422</v>
      </c>
      <c r="Q527" t="s">
        <v>229</v>
      </c>
      <c r="R527" t="s">
        <v>794</v>
      </c>
      <c r="S527">
        <v>1</v>
      </c>
      <c r="T527">
        <v>4067</v>
      </c>
      <c r="U527">
        <v>0</v>
      </c>
      <c r="V527">
        <v>4067</v>
      </c>
    </row>
    <row r="528" spans="1:22" x14ac:dyDescent="0.3">
      <c r="A528">
        <v>79452</v>
      </c>
      <c r="B528">
        <v>136327539</v>
      </c>
      <c r="C528" t="s">
        <v>3423</v>
      </c>
      <c r="D528" t="s">
        <v>3424</v>
      </c>
      <c r="E528" t="s">
        <v>843</v>
      </c>
      <c r="F528" t="s">
        <v>844</v>
      </c>
      <c r="G528" t="s">
        <v>164</v>
      </c>
      <c r="H528" t="s">
        <v>165</v>
      </c>
      <c r="I528" t="s">
        <v>34</v>
      </c>
      <c r="J528" t="s">
        <v>166</v>
      </c>
      <c r="K528" t="s">
        <v>41</v>
      </c>
      <c r="L528" t="s">
        <v>3425</v>
      </c>
      <c r="M528" t="s">
        <v>3426</v>
      </c>
      <c r="N528" t="s">
        <v>847</v>
      </c>
      <c r="O528" t="s">
        <v>100</v>
      </c>
      <c r="P528" t="s">
        <v>3427</v>
      </c>
      <c r="Q528" t="s">
        <v>70</v>
      </c>
      <c r="R528" t="s">
        <v>708</v>
      </c>
      <c r="S528">
        <v>1</v>
      </c>
      <c r="T528">
        <v>3501</v>
      </c>
      <c r="U528">
        <v>0</v>
      </c>
      <c r="V528">
        <v>3501</v>
      </c>
    </row>
    <row r="529" spans="1:22" x14ac:dyDescent="0.3">
      <c r="A529">
        <v>79452</v>
      </c>
      <c r="B529">
        <v>136270120</v>
      </c>
      <c r="C529" t="s">
        <v>3428</v>
      </c>
      <c r="D529" t="s">
        <v>3429</v>
      </c>
      <c r="E529" t="s">
        <v>843</v>
      </c>
      <c r="F529" t="s">
        <v>844</v>
      </c>
      <c r="G529" t="s">
        <v>164</v>
      </c>
      <c r="H529" t="s">
        <v>165</v>
      </c>
      <c r="I529" t="s">
        <v>34</v>
      </c>
      <c r="J529" t="s">
        <v>166</v>
      </c>
      <c r="K529" t="s">
        <v>41</v>
      </c>
      <c r="L529" t="s">
        <v>3430</v>
      </c>
      <c r="M529" t="s">
        <v>560</v>
      </c>
      <c r="N529" t="s">
        <v>847</v>
      </c>
      <c r="O529" t="s">
        <v>100</v>
      </c>
      <c r="P529" t="s">
        <v>3431</v>
      </c>
      <c r="Q529" t="s">
        <v>64</v>
      </c>
      <c r="R529" t="s">
        <v>759</v>
      </c>
      <c r="S529">
        <v>1</v>
      </c>
      <c r="T529">
        <v>4067</v>
      </c>
      <c r="U529">
        <v>0</v>
      </c>
      <c r="V529">
        <v>4067</v>
      </c>
    </row>
    <row r="530" spans="1:22" x14ac:dyDescent="0.3">
      <c r="A530">
        <v>79452</v>
      </c>
      <c r="B530">
        <v>136327489</v>
      </c>
      <c r="C530" t="s">
        <v>3432</v>
      </c>
      <c r="D530" t="s">
        <v>3433</v>
      </c>
      <c r="E530" t="s">
        <v>843</v>
      </c>
      <c r="F530" t="s">
        <v>844</v>
      </c>
      <c r="G530" t="s">
        <v>164</v>
      </c>
      <c r="H530" t="s">
        <v>165</v>
      </c>
      <c r="I530" t="s">
        <v>34</v>
      </c>
      <c r="J530" t="s">
        <v>166</v>
      </c>
      <c r="K530" t="s">
        <v>41</v>
      </c>
      <c r="L530" t="s">
        <v>3434</v>
      </c>
      <c r="M530" t="s">
        <v>3435</v>
      </c>
      <c r="N530" t="s">
        <v>847</v>
      </c>
      <c r="O530" t="s">
        <v>100</v>
      </c>
      <c r="P530" t="s">
        <v>3436</v>
      </c>
      <c r="Q530" t="s">
        <v>84</v>
      </c>
      <c r="R530" t="s">
        <v>1130</v>
      </c>
      <c r="S530">
        <v>1.42</v>
      </c>
      <c r="T530">
        <v>3366</v>
      </c>
      <c r="U530">
        <v>0</v>
      </c>
      <c r="V530">
        <v>3366</v>
      </c>
    </row>
    <row r="531" spans="1:22" x14ac:dyDescent="0.3">
      <c r="A531">
        <v>79452</v>
      </c>
      <c r="B531">
        <v>136483015</v>
      </c>
      <c r="C531" t="s">
        <v>3437</v>
      </c>
      <c r="D531" t="s">
        <v>3438</v>
      </c>
      <c r="E531" t="s">
        <v>843</v>
      </c>
      <c r="F531" t="s">
        <v>844</v>
      </c>
      <c r="G531" t="s">
        <v>164</v>
      </c>
      <c r="H531" t="s">
        <v>165</v>
      </c>
      <c r="I531" t="s">
        <v>34</v>
      </c>
      <c r="J531" t="s">
        <v>166</v>
      </c>
      <c r="K531" t="s">
        <v>41</v>
      </c>
      <c r="L531" t="s">
        <v>3439</v>
      </c>
      <c r="M531" t="s">
        <v>3440</v>
      </c>
      <c r="N531" t="s">
        <v>847</v>
      </c>
      <c r="O531" t="s">
        <v>100</v>
      </c>
      <c r="P531" t="s">
        <v>3441</v>
      </c>
      <c r="Q531" t="s">
        <v>94</v>
      </c>
      <c r="R531" t="s">
        <v>3230</v>
      </c>
      <c r="S531">
        <v>0.39</v>
      </c>
      <c r="T531">
        <v>3299</v>
      </c>
      <c r="U531">
        <v>0</v>
      </c>
      <c r="V531">
        <v>3299</v>
      </c>
    </row>
    <row r="532" spans="1:22" x14ac:dyDescent="0.3">
      <c r="A532">
        <v>79452</v>
      </c>
      <c r="B532">
        <v>136483018</v>
      </c>
      <c r="C532" t="s">
        <v>3442</v>
      </c>
      <c r="D532" t="s">
        <v>3443</v>
      </c>
      <c r="E532" t="s">
        <v>843</v>
      </c>
      <c r="F532" t="s">
        <v>844</v>
      </c>
      <c r="G532" t="s">
        <v>164</v>
      </c>
      <c r="H532" t="s">
        <v>165</v>
      </c>
      <c r="I532" t="s">
        <v>34</v>
      </c>
      <c r="J532" t="s">
        <v>166</v>
      </c>
      <c r="K532" t="s">
        <v>41</v>
      </c>
      <c r="L532" t="s">
        <v>3444</v>
      </c>
      <c r="M532" t="s">
        <v>3445</v>
      </c>
      <c r="N532" t="s">
        <v>847</v>
      </c>
      <c r="O532" t="s">
        <v>100</v>
      </c>
      <c r="P532" t="s">
        <v>3446</v>
      </c>
      <c r="Q532" t="s">
        <v>57</v>
      </c>
      <c r="R532" t="s">
        <v>3230</v>
      </c>
      <c r="S532">
        <v>4.25</v>
      </c>
      <c r="T532">
        <v>7749</v>
      </c>
      <c r="U532">
        <v>0</v>
      </c>
      <c r="V532">
        <v>7749</v>
      </c>
    </row>
    <row r="533" spans="1:22" x14ac:dyDescent="0.3">
      <c r="A533">
        <v>79452</v>
      </c>
      <c r="B533">
        <v>136196550</v>
      </c>
      <c r="C533" t="s">
        <v>3447</v>
      </c>
      <c r="D533" t="s">
        <v>3448</v>
      </c>
      <c r="E533" t="s">
        <v>843</v>
      </c>
      <c r="F533" t="s">
        <v>844</v>
      </c>
      <c r="G533" t="s">
        <v>164</v>
      </c>
      <c r="H533" t="s">
        <v>165</v>
      </c>
      <c r="I533" t="s">
        <v>34</v>
      </c>
      <c r="J533" t="s">
        <v>166</v>
      </c>
      <c r="K533" t="s">
        <v>41</v>
      </c>
      <c r="L533" t="s">
        <v>3449</v>
      </c>
      <c r="M533" t="s">
        <v>3450</v>
      </c>
      <c r="N533" t="s">
        <v>847</v>
      </c>
      <c r="O533" t="s">
        <v>100</v>
      </c>
      <c r="P533" t="s">
        <v>3451</v>
      </c>
      <c r="Q533" t="s">
        <v>63</v>
      </c>
      <c r="R533" t="s">
        <v>1999</v>
      </c>
      <c r="S533">
        <v>1.04</v>
      </c>
      <c r="T533">
        <v>4067</v>
      </c>
      <c r="U533">
        <v>0</v>
      </c>
      <c r="V533">
        <v>4067</v>
      </c>
    </row>
    <row r="534" spans="1:22" x14ac:dyDescent="0.3">
      <c r="A534">
        <v>79452</v>
      </c>
      <c r="B534">
        <v>136327453</v>
      </c>
      <c r="C534" t="s">
        <v>3452</v>
      </c>
      <c r="D534" t="s">
        <v>3453</v>
      </c>
      <c r="E534" t="s">
        <v>843</v>
      </c>
      <c r="F534" t="s">
        <v>844</v>
      </c>
      <c r="G534" t="s">
        <v>164</v>
      </c>
      <c r="H534" t="s">
        <v>165</v>
      </c>
      <c r="I534" t="s">
        <v>34</v>
      </c>
      <c r="J534" t="s">
        <v>166</v>
      </c>
      <c r="K534" t="s">
        <v>41</v>
      </c>
      <c r="L534" t="s">
        <v>3454</v>
      </c>
      <c r="M534" t="s">
        <v>3455</v>
      </c>
      <c r="N534" t="s">
        <v>847</v>
      </c>
      <c r="O534" t="s">
        <v>100</v>
      </c>
      <c r="P534" t="s">
        <v>3456</v>
      </c>
      <c r="Q534" t="s">
        <v>70</v>
      </c>
      <c r="R534" t="s">
        <v>1130</v>
      </c>
      <c r="S534">
        <v>2.02</v>
      </c>
      <c r="T534">
        <v>3501</v>
      </c>
      <c r="U534">
        <v>0</v>
      </c>
      <c r="V534">
        <v>3501</v>
      </c>
    </row>
    <row r="535" spans="1:22" x14ac:dyDescent="0.3">
      <c r="A535">
        <v>79452</v>
      </c>
      <c r="B535">
        <v>136270012</v>
      </c>
      <c r="C535" t="s">
        <v>3457</v>
      </c>
      <c r="D535" t="s">
        <v>3458</v>
      </c>
      <c r="E535" t="s">
        <v>843</v>
      </c>
      <c r="F535" t="s">
        <v>844</v>
      </c>
      <c r="G535" t="s">
        <v>164</v>
      </c>
      <c r="H535" t="s">
        <v>165</v>
      </c>
      <c r="I535" t="s">
        <v>34</v>
      </c>
      <c r="J535" t="s">
        <v>166</v>
      </c>
      <c r="K535" t="s">
        <v>41</v>
      </c>
      <c r="L535" t="s">
        <v>3459</v>
      </c>
      <c r="M535" t="s">
        <v>3460</v>
      </c>
      <c r="N535" t="s">
        <v>847</v>
      </c>
      <c r="O535" t="s">
        <v>100</v>
      </c>
      <c r="P535" t="s">
        <v>3461</v>
      </c>
      <c r="Q535" t="s">
        <v>55</v>
      </c>
      <c r="R535" t="s">
        <v>759</v>
      </c>
      <c r="S535">
        <v>2.86</v>
      </c>
      <c r="T535">
        <v>5198</v>
      </c>
      <c r="U535">
        <v>0</v>
      </c>
      <c r="V535">
        <v>5198</v>
      </c>
    </row>
    <row r="536" spans="1:22" x14ac:dyDescent="0.3">
      <c r="A536">
        <v>79452</v>
      </c>
      <c r="B536">
        <v>136196404</v>
      </c>
      <c r="C536" t="s">
        <v>3462</v>
      </c>
      <c r="D536" t="s">
        <v>3463</v>
      </c>
      <c r="E536" t="s">
        <v>843</v>
      </c>
      <c r="F536" t="s">
        <v>844</v>
      </c>
      <c r="G536" t="s">
        <v>164</v>
      </c>
      <c r="H536" t="s">
        <v>165</v>
      </c>
      <c r="I536" t="s">
        <v>34</v>
      </c>
      <c r="J536" t="s">
        <v>166</v>
      </c>
      <c r="K536" t="s">
        <v>41</v>
      </c>
      <c r="L536" t="s">
        <v>3464</v>
      </c>
      <c r="M536" t="s">
        <v>3465</v>
      </c>
      <c r="N536" t="s">
        <v>847</v>
      </c>
      <c r="O536" t="s">
        <v>100</v>
      </c>
      <c r="P536" t="s">
        <v>3466</v>
      </c>
      <c r="Q536" t="s">
        <v>55</v>
      </c>
      <c r="R536" t="s">
        <v>716</v>
      </c>
      <c r="S536">
        <v>1</v>
      </c>
      <c r="T536">
        <v>5198</v>
      </c>
      <c r="U536">
        <v>0</v>
      </c>
      <c r="V536">
        <v>5198</v>
      </c>
    </row>
    <row r="537" spans="1:22" x14ac:dyDescent="0.3">
      <c r="A537">
        <v>79452</v>
      </c>
      <c r="B537">
        <v>136508235</v>
      </c>
      <c r="C537" t="s">
        <v>3467</v>
      </c>
      <c r="D537" t="s">
        <v>3468</v>
      </c>
      <c r="E537" t="s">
        <v>843</v>
      </c>
      <c r="F537" t="s">
        <v>844</v>
      </c>
      <c r="G537" t="s">
        <v>164</v>
      </c>
      <c r="H537" t="s">
        <v>165</v>
      </c>
      <c r="I537" t="s">
        <v>34</v>
      </c>
      <c r="J537" t="s">
        <v>166</v>
      </c>
      <c r="K537" t="s">
        <v>41</v>
      </c>
      <c r="L537" t="s">
        <v>3469</v>
      </c>
      <c r="M537" t="s">
        <v>3470</v>
      </c>
      <c r="N537" t="s">
        <v>847</v>
      </c>
      <c r="O537" t="s">
        <v>100</v>
      </c>
      <c r="P537" t="s">
        <v>3471</v>
      </c>
      <c r="Q537" t="s">
        <v>72</v>
      </c>
      <c r="R537" t="s">
        <v>3236</v>
      </c>
      <c r="S537">
        <v>1.59</v>
      </c>
      <c r="T537">
        <v>3784</v>
      </c>
      <c r="U537">
        <v>0</v>
      </c>
      <c r="V537">
        <v>3784</v>
      </c>
    </row>
    <row r="538" spans="1:22" x14ac:dyDescent="0.3">
      <c r="A538">
        <v>79452</v>
      </c>
      <c r="B538">
        <v>135980550</v>
      </c>
      <c r="C538" t="s">
        <v>3472</v>
      </c>
      <c r="D538" t="s">
        <v>3473</v>
      </c>
      <c r="E538" t="s">
        <v>843</v>
      </c>
      <c r="F538" t="s">
        <v>844</v>
      </c>
      <c r="G538" t="s">
        <v>164</v>
      </c>
      <c r="H538" t="s">
        <v>165</v>
      </c>
      <c r="I538" t="s">
        <v>34</v>
      </c>
      <c r="J538" t="s">
        <v>166</v>
      </c>
      <c r="K538" t="s">
        <v>41</v>
      </c>
      <c r="L538" t="s">
        <v>3474</v>
      </c>
      <c r="M538" t="s">
        <v>3475</v>
      </c>
      <c r="N538" t="s">
        <v>847</v>
      </c>
      <c r="O538" t="s">
        <v>100</v>
      </c>
      <c r="P538" t="s">
        <v>3476</v>
      </c>
      <c r="Q538" t="s">
        <v>58</v>
      </c>
      <c r="R538" t="s">
        <v>398</v>
      </c>
      <c r="S538">
        <v>2.4900000000000002</v>
      </c>
      <c r="T538">
        <v>5759</v>
      </c>
      <c r="U538">
        <v>0</v>
      </c>
      <c r="V538">
        <v>5759</v>
      </c>
    </row>
    <row r="539" spans="1:22" x14ac:dyDescent="0.3">
      <c r="A539">
        <v>79452</v>
      </c>
      <c r="B539">
        <v>135706501</v>
      </c>
      <c r="C539" t="s">
        <v>3477</v>
      </c>
      <c r="D539" t="s">
        <v>3478</v>
      </c>
      <c r="E539" t="s">
        <v>843</v>
      </c>
      <c r="F539" t="s">
        <v>844</v>
      </c>
      <c r="G539" t="s">
        <v>164</v>
      </c>
      <c r="H539" t="s">
        <v>165</v>
      </c>
      <c r="I539" t="s">
        <v>34</v>
      </c>
      <c r="J539" t="s">
        <v>166</v>
      </c>
      <c r="K539" t="s">
        <v>41</v>
      </c>
      <c r="L539" t="s">
        <v>3479</v>
      </c>
      <c r="M539" t="s">
        <v>3480</v>
      </c>
      <c r="N539" t="s">
        <v>847</v>
      </c>
      <c r="O539" t="s">
        <v>100</v>
      </c>
      <c r="P539" t="s">
        <v>3481</v>
      </c>
      <c r="Q539" t="s">
        <v>58</v>
      </c>
      <c r="R539" t="s">
        <v>3482</v>
      </c>
      <c r="S539">
        <v>1</v>
      </c>
      <c r="T539">
        <v>5759</v>
      </c>
      <c r="U539">
        <v>0</v>
      </c>
      <c r="V539">
        <v>5759</v>
      </c>
    </row>
    <row r="540" spans="1:22" x14ac:dyDescent="0.3">
      <c r="A540">
        <v>79452</v>
      </c>
      <c r="B540">
        <v>136269961</v>
      </c>
      <c r="C540" t="s">
        <v>3483</v>
      </c>
      <c r="D540" t="s">
        <v>3484</v>
      </c>
      <c r="E540" t="s">
        <v>843</v>
      </c>
      <c r="F540" t="s">
        <v>844</v>
      </c>
      <c r="G540" t="s">
        <v>164</v>
      </c>
      <c r="H540" t="s">
        <v>165</v>
      </c>
      <c r="I540" t="s">
        <v>34</v>
      </c>
      <c r="J540" t="s">
        <v>166</v>
      </c>
      <c r="K540" t="s">
        <v>41</v>
      </c>
      <c r="L540" t="s">
        <v>3485</v>
      </c>
      <c r="M540" t="s">
        <v>940</v>
      </c>
      <c r="N540" t="s">
        <v>847</v>
      </c>
      <c r="O540" t="s">
        <v>100</v>
      </c>
      <c r="P540" t="s">
        <v>3486</v>
      </c>
      <c r="Q540" t="s">
        <v>57</v>
      </c>
      <c r="R540" t="s">
        <v>794</v>
      </c>
      <c r="S540">
        <v>1.1000000000000001</v>
      </c>
      <c r="T540">
        <v>5476</v>
      </c>
      <c r="U540">
        <v>0</v>
      </c>
      <c r="V540">
        <v>5476</v>
      </c>
    </row>
    <row r="541" spans="1:22" x14ac:dyDescent="0.3">
      <c r="A541">
        <v>79452</v>
      </c>
      <c r="B541">
        <v>136508281</v>
      </c>
      <c r="C541" t="s">
        <v>3487</v>
      </c>
      <c r="D541" t="s">
        <v>3488</v>
      </c>
      <c r="E541" t="s">
        <v>843</v>
      </c>
      <c r="F541" t="s">
        <v>844</v>
      </c>
      <c r="G541" t="s">
        <v>164</v>
      </c>
      <c r="H541" t="s">
        <v>165</v>
      </c>
      <c r="I541" t="s">
        <v>34</v>
      </c>
      <c r="J541" t="s">
        <v>166</v>
      </c>
      <c r="K541" t="s">
        <v>44</v>
      </c>
      <c r="L541" t="s">
        <v>188</v>
      </c>
      <c r="M541" t="s">
        <v>3489</v>
      </c>
      <c r="N541" t="s">
        <v>847</v>
      </c>
      <c r="O541" t="s">
        <v>100</v>
      </c>
      <c r="P541" t="s">
        <v>3490</v>
      </c>
      <c r="Q541" t="s">
        <v>59</v>
      </c>
      <c r="R541" t="s">
        <v>3236</v>
      </c>
      <c r="S541">
        <v>1.89</v>
      </c>
      <c r="T541">
        <v>4067</v>
      </c>
      <c r="U541">
        <v>0</v>
      </c>
      <c r="V541">
        <v>4067</v>
      </c>
    </row>
    <row r="542" spans="1:22" x14ac:dyDescent="0.3">
      <c r="A542">
        <v>79452</v>
      </c>
      <c r="B542">
        <v>136411983</v>
      </c>
      <c r="C542" t="s">
        <v>3491</v>
      </c>
      <c r="D542" t="s">
        <v>3492</v>
      </c>
      <c r="E542" t="s">
        <v>843</v>
      </c>
      <c r="F542" t="s">
        <v>844</v>
      </c>
      <c r="G542" t="s">
        <v>164</v>
      </c>
      <c r="H542" t="s">
        <v>165</v>
      </c>
      <c r="I542" t="s">
        <v>34</v>
      </c>
      <c r="J542" t="s">
        <v>166</v>
      </c>
      <c r="K542" t="s">
        <v>41</v>
      </c>
      <c r="L542" t="s">
        <v>3493</v>
      </c>
      <c r="M542" t="s">
        <v>3494</v>
      </c>
      <c r="N542" t="s">
        <v>847</v>
      </c>
      <c r="O542" t="s">
        <v>100</v>
      </c>
      <c r="P542" t="s">
        <v>3495</v>
      </c>
      <c r="Q542" t="s">
        <v>90</v>
      </c>
      <c r="R542" t="s">
        <v>641</v>
      </c>
      <c r="S542">
        <v>1</v>
      </c>
      <c r="T542">
        <v>3870</v>
      </c>
      <c r="U542">
        <v>0</v>
      </c>
      <c r="V542">
        <v>3870</v>
      </c>
    </row>
    <row r="543" spans="1:22" x14ac:dyDescent="0.3">
      <c r="A543">
        <v>79452</v>
      </c>
      <c r="B543">
        <v>136025839</v>
      </c>
      <c r="C543" t="s">
        <v>3496</v>
      </c>
      <c r="D543" t="s">
        <v>3497</v>
      </c>
      <c r="E543" t="s">
        <v>843</v>
      </c>
      <c r="F543" t="s">
        <v>844</v>
      </c>
      <c r="G543" t="s">
        <v>164</v>
      </c>
      <c r="H543" t="s">
        <v>165</v>
      </c>
      <c r="I543" t="s">
        <v>34</v>
      </c>
      <c r="J543" t="s">
        <v>166</v>
      </c>
      <c r="K543" t="s">
        <v>41</v>
      </c>
      <c r="L543" t="s">
        <v>3498</v>
      </c>
      <c r="M543" t="s">
        <v>3499</v>
      </c>
      <c r="N543" t="s">
        <v>847</v>
      </c>
      <c r="O543" t="s">
        <v>100</v>
      </c>
      <c r="P543" t="s">
        <v>3500</v>
      </c>
      <c r="Q543" t="s">
        <v>57</v>
      </c>
      <c r="R543" t="s">
        <v>403</v>
      </c>
      <c r="S543">
        <v>1</v>
      </c>
      <c r="T543">
        <v>5476</v>
      </c>
      <c r="U543">
        <v>0</v>
      </c>
      <c r="V543">
        <v>5476</v>
      </c>
    </row>
    <row r="544" spans="1:22" x14ac:dyDescent="0.3">
      <c r="A544">
        <v>79452</v>
      </c>
      <c r="B544">
        <v>136327465</v>
      </c>
      <c r="C544" t="s">
        <v>3501</v>
      </c>
      <c r="D544" t="s">
        <v>3502</v>
      </c>
      <c r="E544" t="s">
        <v>843</v>
      </c>
      <c r="F544" t="s">
        <v>844</v>
      </c>
      <c r="G544" t="s">
        <v>164</v>
      </c>
      <c r="H544" t="s">
        <v>165</v>
      </c>
      <c r="I544" t="s">
        <v>34</v>
      </c>
      <c r="J544" t="s">
        <v>166</v>
      </c>
      <c r="K544" t="s">
        <v>41</v>
      </c>
      <c r="L544" t="s">
        <v>3503</v>
      </c>
      <c r="M544" t="s">
        <v>3504</v>
      </c>
      <c r="N544" t="s">
        <v>847</v>
      </c>
      <c r="O544" t="s">
        <v>100</v>
      </c>
      <c r="P544" t="s">
        <v>3505</v>
      </c>
      <c r="Q544" t="s">
        <v>55</v>
      </c>
      <c r="R544" t="s">
        <v>1130</v>
      </c>
      <c r="S544">
        <v>1</v>
      </c>
      <c r="T544">
        <v>5198</v>
      </c>
      <c r="U544">
        <v>0</v>
      </c>
      <c r="V544">
        <v>5198</v>
      </c>
    </row>
    <row r="545" spans="1:22" x14ac:dyDescent="0.3">
      <c r="A545">
        <v>79452</v>
      </c>
      <c r="B545">
        <v>136104058</v>
      </c>
      <c r="C545" t="s">
        <v>3506</v>
      </c>
      <c r="D545" t="s">
        <v>3507</v>
      </c>
      <c r="E545" t="s">
        <v>843</v>
      </c>
      <c r="F545" t="s">
        <v>844</v>
      </c>
      <c r="G545" t="s">
        <v>164</v>
      </c>
      <c r="H545" t="s">
        <v>165</v>
      </c>
      <c r="I545" t="s">
        <v>34</v>
      </c>
      <c r="J545" t="s">
        <v>166</v>
      </c>
      <c r="K545" t="s">
        <v>41</v>
      </c>
      <c r="L545" t="s">
        <v>3508</v>
      </c>
      <c r="M545" t="s">
        <v>3509</v>
      </c>
      <c r="N545" t="s">
        <v>847</v>
      </c>
      <c r="O545" t="s">
        <v>100</v>
      </c>
      <c r="P545" t="s">
        <v>3510</v>
      </c>
      <c r="Q545" t="s">
        <v>58</v>
      </c>
      <c r="R545" t="s">
        <v>803</v>
      </c>
      <c r="S545">
        <v>1</v>
      </c>
      <c r="T545">
        <v>5759</v>
      </c>
      <c r="U545">
        <v>0</v>
      </c>
      <c r="V545">
        <v>5759</v>
      </c>
    </row>
    <row r="546" spans="1:22" x14ac:dyDescent="0.3">
      <c r="A546">
        <v>79452</v>
      </c>
      <c r="B546">
        <v>136508228</v>
      </c>
      <c r="C546" t="s">
        <v>3511</v>
      </c>
      <c r="D546" t="s">
        <v>3512</v>
      </c>
      <c r="E546" t="s">
        <v>843</v>
      </c>
      <c r="F546" t="s">
        <v>844</v>
      </c>
      <c r="G546" t="s">
        <v>164</v>
      </c>
      <c r="H546" t="s">
        <v>165</v>
      </c>
      <c r="I546" t="s">
        <v>34</v>
      </c>
      <c r="J546" t="s">
        <v>166</v>
      </c>
      <c r="K546" t="s">
        <v>41</v>
      </c>
      <c r="L546" t="s">
        <v>3513</v>
      </c>
      <c r="M546" t="s">
        <v>3514</v>
      </c>
      <c r="N546" t="s">
        <v>847</v>
      </c>
      <c r="O546" t="s">
        <v>100</v>
      </c>
      <c r="P546" t="s">
        <v>3515</v>
      </c>
      <c r="Q546" t="s">
        <v>49</v>
      </c>
      <c r="R546" t="s">
        <v>3236</v>
      </c>
      <c r="S546">
        <v>2.89</v>
      </c>
      <c r="T546">
        <v>3784</v>
      </c>
      <c r="U546">
        <v>0</v>
      </c>
      <c r="V546">
        <v>3784</v>
      </c>
    </row>
    <row r="547" spans="1:22" x14ac:dyDescent="0.3">
      <c r="A547">
        <v>79452</v>
      </c>
      <c r="B547">
        <v>136327435</v>
      </c>
      <c r="C547" t="s">
        <v>3516</v>
      </c>
      <c r="D547" t="s">
        <v>3517</v>
      </c>
      <c r="E547" t="s">
        <v>843</v>
      </c>
      <c r="F547" t="s">
        <v>844</v>
      </c>
      <c r="G547" t="s">
        <v>164</v>
      </c>
      <c r="H547" t="s">
        <v>165</v>
      </c>
      <c r="I547" t="s">
        <v>34</v>
      </c>
      <c r="J547" t="s">
        <v>166</v>
      </c>
      <c r="K547" t="s">
        <v>41</v>
      </c>
      <c r="L547" t="s">
        <v>3518</v>
      </c>
      <c r="M547" t="s">
        <v>3519</v>
      </c>
      <c r="N547" t="s">
        <v>847</v>
      </c>
      <c r="O547" t="s">
        <v>100</v>
      </c>
      <c r="P547" t="s">
        <v>3520</v>
      </c>
      <c r="Q547" t="s">
        <v>354</v>
      </c>
      <c r="R547" t="s">
        <v>1130</v>
      </c>
      <c r="S547">
        <v>1.54</v>
      </c>
      <c r="T547">
        <v>4067</v>
      </c>
      <c r="U547">
        <v>0</v>
      </c>
      <c r="V547">
        <v>4067</v>
      </c>
    </row>
    <row r="548" spans="1:22" x14ac:dyDescent="0.3">
      <c r="A548">
        <v>79452</v>
      </c>
      <c r="B548">
        <v>136508260</v>
      </c>
      <c r="C548" t="s">
        <v>3521</v>
      </c>
      <c r="D548" t="s">
        <v>3522</v>
      </c>
      <c r="E548" t="s">
        <v>843</v>
      </c>
      <c r="F548" t="s">
        <v>844</v>
      </c>
      <c r="G548" t="s">
        <v>164</v>
      </c>
      <c r="H548" t="s">
        <v>165</v>
      </c>
      <c r="I548" t="s">
        <v>34</v>
      </c>
      <c r="J548" t="s">
        <v>166</v>
      </c>
      <c r="K548" t="s">
        <v>41</v>
      </c>
      <c r="L548" t="s">
        <v>3523</v>
      </c>
      <c r="M548" t="s">
        <v>3524</v>
      </c>
      <c r="N548" t="s">
        <v>847</v>
      </c>
      <c r="O548" t="s">
        <v>100</v>
      </c>
      <c r="P548" t="s">
        <v>3525</v>
      </c>
      <c r="Q548" t="s">
        <v>354</v>
      </c>
      <c r="R548" t="s">
        <v>3236</v>
      </c>
      <c r="S548">
        <v>0.93</v>
      </c>
      <c r="T548">
        <v>4067</v>
      </c>
      <c r="U548">
        <v>0</v>
      </c>
      <c r="V548">
        <v>4067</v>
      </c>
    </row>
    <row r="549" spans="1:22" x14ac:dyDescent="0.3">
      <c r="A549">
        <v>79452</v>
      </c>
      <c r="B549">
        <v>136196455</v>
      </c>
      <c r="C549" t="s">
        <v>3526</v>
      </c>
      <c r="D549" t="s">
        <v>3527</v>
      </c>
      <c r="E549" t="s">
        <v>843</v>
      </c>
      <c r="F549" t="s">
        <v>844</v>
      </c>
      <c r="G549" t="s">
        <v>164</v>
      </c>
      <c r="H549" t="s">
        <v>165</v>
      </c>
      <c r="I549" t="s">
        <v>34</v>
      </c>
      <c r="J549" t="s">
        <v>166</v>
      </c>
      <c r="K549" t="s">
        <v>41</v>
      </c>
      <c r="L549" t="s">
        <v>3528</v>
      </c>
      <c r="M549" t="s">
        <v>2114</v>
      </c>
      <c r="N549" t="s">
        <v>847</v>
      </c>
      <c r="O549" t="s">
        <v>100</v>
      </c>
      <c r="P549" t="s">
        <v>3529</v>
      </c>
      <c r="Q549" t="s">
        <v>57</v>
      </c>
      <c r="R549" t="s">
        <v>1999</v>
      </c>
      <c r="S549">
        <v>1</v>
      </c>
      <c r="T549">
        <v>5476</v>
      </c>
      <c r="U549">
        <v>0</v>
      </c>
      <c r="V549">
        <v>5476</v>
      </c>
    </row>
    <row r="550" spans="1:22" x14ac:dyDescent="0.3">
      <c r="A550">
        <v>79452</v>
      </c>
      <c r="B550">
        <v>136196482</v>
      </c>
      <c r="C550" t="s">
        <v>3530</v>
      </c>
      <c r="D550" t="s">
        <v>3531</v>
      </c>
      <c r="E550" t="s">
        <v>843</v>
      </c>
      <c r="F550" t="s">
        <v>844</v>
      </c>
      <c r="G550" t="s">
        <v>164</v>
      </c>
      <c r="H550" t="s">
        <v>165</v>
      </c>
      <c r="I550" t="s">
        <v>34</v>
      </c>
      <c r="J550" t="s">
        <v>166</v>
      </c>
      <c r="K550" t="s">
        <v>41</v>
      </c>
      <c r="L550" t="s">
        <v>3532</v>
      </c>
      <c r="M550" t="s">
        <v>3533</v>
      </c>
      <c r="N550" t="s">
        <v>847</v>
      </c>
      <c r="O550" t="s">
        <v>100</v>
      </c>
      <c r="P550" t="s">
        <v>3534</v>
      </c>
      <c r="Q550" t="s">
        <v>70</v>
      </c>
      <c r="R550" t="s">
        <v>1999</v>
      </c>
      <c r="S550">
        <v>2.46</v>
      </c>
      <c r="T550">
        <v>3501</v>
      </c>
      <c r="U550">
        <v>0</v>
      </c>
      <c r="V550">
        <v>3501</v>
      </c>
    </row>
    <row r="551" spans="1:22" x14ac:dyDescent="0.3">
      <c r="A551">
        <v>79452</v>
      </c>
      <c r="B551">
        <v>136104016</v>
      </c>
      <c r="C551" t="s">
        <v>3535</v>
      </c>
      <c r="D551" t="s">
        <v>3536</v>
      </c>
      <c r="E551" t="s">
        <v>843</v>
      </c>
      <c r="F551" t="s">
        <v>844</v>
      </c>
      <c r="G551" t="s">
        <v>164</v>
      </c>
      <c r="H551" t="s">
        <v>165</v>
      </c>
      <c r="I551" t="s">
        <v>34</v>
      </c>
      <c r="J551" t="s">
        <v>166</v>
      </c>
      <c r="K551" t="s">
        <v>41</v>
      </c>
      <c r="L551" t="s">
        <v>3537</v>
      </c>
      <c r="M551" t="s">
        <v>3538</v>
      </c>
      <c r="N551" t="s">
        <v>847</v>
      </c>
      <c r="O551" t="s">
        <v>100</v>
      </c>
      <c r="P551" t="s">
        <v>3539</v>
      </c>
      <c r="Q551" t="s">
        <v>57</v>
      </c>
      <c r="R551" t="s">
        <v>803</v>
      </c>
      <c r="S551">
        <v>2.67</v>
      </c>
      <c r="T551">
        <v>5476</v>
      </c>
      <c r="U551">
        <v>0</v>
      </c>
      <c r="V551">
        <v>5476</v>
      </c>
    </row>
    <row r="552" spans="1:22" x14ac:dyDescent="0.3">
      <c r="A552">
        <v>79452</v>
      </c>
      <c r="B552">
        <v>136412004</v>
      </c>
      <c r="C552" t="s">
        <v>3540</v>
      </c>
      <c r="D552" t="s">
        <v>3541</v>
      </c>
      <c r="E552" t="s">
        <v>843</v>
      </c>
      <c r="F552" t="s">
        <v>844</v>
      </c>
      <c r="G552" t="s">
        <v>164</v>
      </c>
      <c r="H552" t="s">
        <v>165</v>
      </c>
      <c r="I552" t="s">
        <v>34</v>
      </c>
      <c r="J552" t="s">
        <v>166</v>
      </c>
      <c r="K552" t="s">
        <v>41</v>
      </c>
      <c r="L552" t="s">
        <v>3542</v>
      </c>
      <c r="M552" t="s">
        <v>3543</v>
      </c>
      <c r="N552" t="s">
        <v>847</v>
      </c>
      <c r="O552" t="s">
        <v>100</v>
      </c>
      <c r="P552" t="s">
        <v>3544</v>
      </c>
      <c r="Q552" t="s">
        <v>63</v>
      </c>
      <c r="R552" t="s">
        <v>3545</v>
      </c>
      <c r="S552">
        <v>1</v>
      </c>
      <c r="T552">
        <v>4067</v>
      </c>
      <c r="U552">
        <v>0</v>
      </c>
      <c r="V552">
        <v>4067</v>
      </c>
    </row>
    <row r="553" spans="1:22" x14ac:dyDescent="0.3">
      <c r="A553">
        <v>79452</v>
      </c>
      <c r="B553">
        <v>136196580</v>
      </c>
      <c r="C553" t="s">
        <v>3546</v>
      </c>
      <c r="D553" t="s">
        <v>3547</v>
      </c>
      <c r="E553" t="s">
        <v>843</v>
      </c>
      <c r="F553" t="s">
        <v>844</v>
      </c>
      <c r="G553" t="s">
        <v>164</v>
      </c>
      <c r="H553" t="s">
        <v>165</v>
      </c>
      <c r="I553" t="s">
        <v>34</v>
      </c>
      <c r="J553" t="s">
        <v>166</v>
      </c>
      <c r="K553" t="s">
        <v>41</v>
      </c>
      <c r="L553" t="s">
        <v>3548</v>
      </c>
      <c r="M553" t="s">
        <v>3549</v>
      </c>
      <c r="N553" t="s">
        <v>847</v>
      </c>
      <c r="O553" t="s">
        <v>100</v>
      </c>
      <c r="P553" t="s">
        <v>3550</v>
      </c>
      <c r="Q553" t="s">
        <v>55</v>
      </c>
      <c r="R553" t="s">
        <v>1999</v>
      </c>
      <c r="S553">
        <v>1</v>
      </c>
      <c r="T553">
        <v>5198</v>
      </c>
      <c r="U553">
        <v>0</v>
      </c>
      <c r="V553">
        <v>5198</v>
      </c>
    </row>
    <row r="554" spans="1:22" x14ac:dyDescent="0.3">
      <c r="A554">
        <v>79452</v>
      </c>
      <c r="B554">
        <v>136104055</v>
      </c>
      <c r="C554" t="s">
        <v>3551</v>
      </c>
      <c r="D554" t="s">
        <v>3552</v>
      </c>
      <c r="E554" t="s">
        <v>843</v>
      </c>
      <c r="F554" t="s">
        <v>844</v>
      </c>
      <c r="G554" t="s">
        <v>164</v>
      </c>
      <c r="H554" t="s">
        <v>165</v>
      </c>
      <c r="I554" t="s">
        <v>34</v>
      </c>
      <c r="J554" t="s">
        <v>166</v>
      </c>
      <c r="K554" t="s">
        <v>41</v>
      </c>
      <c r="L554" t="s">
        <v>3553</v>
      </c>
      <c r="M554" t="s">
        <v>3554</v>
      </c>
      <c r="N554" t="s">
        <v>847</v>
      </c>
      <c r="O554" t="s">
        <v>100</v>
      </c>
      <c r="P554" t="s">
        <v>3555</v>
      </c>
      <c r="Q554" t="s">
        <v>92</v>
      </c>
      <c r="R554" t="s">
        <v>803</v>
      </c>
      <c r="S554">
        <v>0.96</v>
      </c>
      <c r="T554">
        <v>3366</v>
      </c>
      <c r="U554">
        <v>0</v>
      </c>
      <c r="V554">
        <v>3366</v>
      </c>
    </row>
    <row r="555" spans="1:22" x14ac:dyDescent="0.3">
      <c r="A555">
        <v>79452</v>
      </c>
      <c r="B555">
        <v>136411976</v>
      </c>
      <c r="C555" t="s">
        <v>3556</v>
      </c>
      <c r="D555" t="s">
        <v>3557</v>
      </c>
      <c r="E555" t="s">
        <v>843</v>
      </c>
      <c r="F555" t="s">
        <v>844</v>
      </c>
      <c r="G555" t="s">
        <v>164</v>
      </c>
      <c r="H555" t="s">
        <v>165</v>
      </c>
      <c r="I555" t="s">
        <v>34</v>
      </c>
      <c r="J555" t="s">
        <v>166</v>
      </c>
      <c r="K555" t="s">
        <v>41</v>
      </c>
      <c r="L555" t="s">
        <v>3558</v>
      </c>
      <c r="M555" t="s">
        <v>3559</v>
      </c>
      <c r="N555" t="s">
        <v>847</v>
      </c>
      <c r="O555" t="s">
        <v>100</v>
      </c>
      <c r="P555" t="s">
        <v>3560</v>
      </c>
      <c r="Q555" t="s">
        <v>63</v>
      </c>
      <c r="R555" t="s">
        <v>641</v>
      </c>
      <c r="S555">
        <v>1.4</v>
      </c>
      <c r="T555">
        <v>4067</v>
      </c>
      <c r="U555">
        <v>0</v>
      </c>
      <c r="V555">
        <v>4067</v>
      </c>
    </row>
    <row r="556" spans="1:22" x14ac:dyDescent="0.3">
      <c r="A556">
        <v>79452</v>
      </c>
      <c r="B556">
        <v>136483010</v>
      </c>
      <c r="C556" t="s">
        <v>3561</v>
      </c>
      <c r="D556" t="s">
        <v>3562</v>
      </c>
      <c r="E556" t="s">
        <v>843</v>
      </c>
      <c r="F556" t="s">
        <v>844</v>
      </c>
      <c r="G556" t="s">
        <v>164</v>
      </c>
      <c r="H556" t="s">
        <v>165</v>
      </c>
      <c r="I556" t="s">
        <v>34</v>
      </c>
      <c r="J556" t="s">
        <v>166</v>
      </c>
      <c r="K556" t="s">
        <v>41</v>
      </c>
      <c r="L556" t="s">
        <v>3563</v>
      </c>
      <c r="M556" t="s">
        <v>3564</v>
      </c>
      <c r="N556" t="s">
        <v>847</v>
      </c>
      <c r="O556" t="s">
        <v>100</v>
      </c>
      <c r="P556" t="s">
        <v>3565</v>
      </c>
      <c r="Q556" t="s">
        <v>68</v>
      </c>
      <c r="R556" t="s">
        <v>3230</v>
      </c>
      <c r="S556">
        <v>1</v>
      </c>
      <c r="T556">
        <v>3753</v>
      </c>
      <c r="U556">
        <v>0</v>
      </c>
      <c r="V556">
        <v>3753</v>
      </c>
    </row>
    <row r="557" spans="1:22" x14ac:dyDescent="0.3">
      <c r="A557">
        <v>79452</v>
      </c>
      <c r="B557">
        <v>136269931</v>
      </c>
      <c r="C557" t="s">
        <v>3566</v>
      </c>
      <c r="D557" t="s">
        <v>3567</v>
      </c>
      <c r="E557" t="s">
        <v>843</v>
      </c>
      <c r="F557" t="s">
        <v>844</v>
      </c>
      <c r="G557" t="s">
        <v>164</v>
      </c>
      <c r="H557" t="s">
        <v>165</v>
      </c>
      <c r="I557" t="s">
        <v>34</v>
      </c>
      <c r="J557" t="s">
        <v>166</v>
      </c>
      <c r="K557" t="s">
        <v>41</v>
      </c>
      <c r="L557" t="s">
        <v>3568</v>
      </c>
      <c r="M557" t="s">
        <v>3569</v>
      </c>
      <c r="N557" t="s">
        <v>847</v>
      </c>
      <c r="O557" t="s">
        <v>100</v>
      </c>
      <c r="P557" t="s">
        <v>3570</v>
      </c>
      <c r="Q557" t="s">
        <v>70</v>
      </c>
      <c r="R557" t="s">
        <v>794</v>
      </c>
      <c r="S557">
        <v>1</v>
      </c>
      <c r="T557">
        <v>3501</v>
      </c>
      <c r="U557">
        <v>0</v>
      </c>
      <c r="V557">
        <v>3501</v>
      </c>
    </row>
    <row r="558" spans="1:22" x14ac:dyDescent="0.3">
      <c r="A558">
        <v>79452</v>
      </c>
      <c r="B558">
        <v>136025831</v>
      </c>
      <c r="C558" t="s">
        <v>3571</v>
      </c>
      <c r="D558" t="s">
        <v>3572</v>
      </c>
      <c r="E558" t="s">
        <v>843</v>
      </c>
      <c r="F558" t="s">
        <v>844</v>
      </c>
      <c r="G558" t="s">
        <v>164</v>
      </c>
      <c r="H558" t="s">
        <v>165</v>
      </c>
      <c r="I558" t="s">
        <v>34</v>
      </c>
      <c r="J558" t="s">
        <v>166</v>
      </c>
      <c r="K558" t="s">
        <v>44</v>
      </c>
      <c r="L558" t="s">
        <v>188</v>
      </c>
      <c r="M558" t="s">
        <v>3573</v>
      </c>
      <c r="N558" t="s">
        <v>847</v>
      </c>
      <c r="O558" t="s">
        <v>100</v>
      </c>
      <c r="P558" t="s">
        <v>3574</v>
      </c>
      <c r="Q558" t="s">
        <v>71</v>
      </c>
      <c r="R558" t="s">
        <v>403</v>
      </c>
      <c r="S558">
        <v>1</v>
      </c>
      <c r="T558">
        <v>3501</v>
      </c>
      <c r="U558">
        <v>0</v>
      </c>
      <c r="V558">
        <v>3501</v>
      </c>
    </row>
    <row r="559" spans="1:22" x14ac:dyDescent="0.3">
      <c r="A559">
        <v>79452</v>
      </c>
      <c r="B559">
        <v>136269963</v>
      </c>
      <c r="C559" t="s">
        <v>3575</v>
      </c>
      <c r="D559" t="s">
        <v>3576</v>
      </c>
      <c r="E559" t="s">
        <v>843</v>
      </c>
      <c r="F559" t="s">
        <v>844</v>
      </c>
      <c r="G559" t="s">
        <v>164</v>
      </c>
      <c r="H559" t="s">
        <v>165</v>
      </c>
      <c r="I559" t="s">
        <v>34</v>
      </c>
      <c r="J559" t="s">
        <v>166</v>
      </c>
      <c r="K559" t="s">
        <v>41</v>
      </c>
      <c r="L559" t="s">
        <v>3577</v>
      </c>
      <c r="M559" t="s">
        <v>3578</v>
      </c>
      <c r="N559" t="s">
        <v>847</v>
      </c>
      <c r="O559" t="s">
        <v>100</v>
      </c>
      <c r="P559" t="s">
        <v>3579</v>
      </c>
      <c r="Q559" t="s">
        <v>54</v>
      </c>
      <c r="R559" t="s">
        <v>794</v>
      </c>
      <c r="S559">
        <v>1</v>
      </c>
      <c r="T559">
        <v>5759</v>
      </c>
      <c r="U559">
        <v>0</v>
      </c>
      <c r="V559">
        <v>5759</v>
      </c>
    </row>
    <row r="560" spans="1:22" x14ac:dyDescent="0.3">
      <c r="A560">
        <v>79452</v>
      </c>
      <c r="B560">
        <v>136196450</v>
      </c>
      <c r="C560" t="s">
        <v>3580</v>
      </c>
      <c r="D560" t="s">
        <v>3581</v>
      </c>
      <c r="E560" t="s">
        <v>843</v>
      </c>
      <c r="F560" t="s">
        <v>844</v>
      </c>
      <c r="G560" t="s">
        <v>164</v>
      </c>
      <c r="H560" t="s">
        <v>165</v>
      </c>
      <c r="I560" t="s">
        <v>34</v>
      </c>
      <c r="J560" t="s">
        <v>166</v>
      </c>
      <c r="K560" t="s">
        <v>41</v>
      </c>
      <c r="L560" t="s">
        <v>3582</v>
      </c>
      <c r="M560" t="s">
        <v>3583</v>
      </c>
      <c r="N560" t="s">
        <v>847</v>
      </c>
      <c r="O560" t="s">
        <v>100</v>
      </c>
      <c r="P560" t="s">
        <v>3584</v>
      </c>
      <c r="Q560" t="s">
        <v>90</v>
      </c>
      <c r="R560" t="s">
        <v>1999</v>
      </c>
      <c r="S560">
        <v>1.98</v>
      </c>
      <c r="T560">
        <v>3870</v>
      </c>
      <c r="U560">
        <v>0</v>
      </c>
      <c r="V560">
        <v>3870</v>
      </c>
    </row>
    <row r="561" spans="1:22" x14ac:dyDescent="0.3">
      <c r="A561">
        <v>79452</v>
      </c>
      <c r="B561">
        <v>135980635</v>
      </c>
      <c r="C561" t="s">
        <v>3585</v>
      </c>
      <c r="D561" t="s">
        <v>3586</v>
      </c>
      <c r="E561" t="s">
        <v>843</v>
      </c>
      <c r="F561" t="s">
        <v>844</v>
      </c>
      <c r="G561" t="s">
        <v>164</v>
      </c>
      <c r="H561" t="s">
        <v>165</v>
      </c>
      <c r="I561" t="s">
        <v>34</v>
      </c>
      <c r="J561" t="s">
        <v>166</v>
      </c>
      <c r="K561" t="s">
        <v>44</v>
      </c>
      <c r="L561" t="s">
        <v>188</v>
      </c>
      <c r="M561" t="s">
        <v>3587</v>
      </c>
      <c r="N561" t="s">
        <v>847</v>
      </c>
      <c r="O561" t="s">
        <v>100</v>
      </c>
      <c r="P561" t="s">
        <v>3588</v>
      </c>
      <c r="Q561" t="s">
        <v>57</v>
      </c>
      <c r="R561" t="s">
        <v>398</v>
      </c>
      <c r="S561">
        <v>1.29</v>
      </c>
      <c r="T561">
        <v>5476</v>
      </c>
      <c r="U561">
        <v>0</v>
      </c>
      <c r="V561">
        <v>5476</v>
      </c>
    </row>
    <row r="562" spans="1:22" x14ac:dyDescent="0.3">
      <c r="A562">
        <v>79452</v>
      </c>
      <c r="B562">
        <v>136363667</v>
      </c>
      <c r="C562" t="s">
        <v>3589</v>
      </c>
      <c r="D562" t="s">
        <v>3590</v>
      </c>
      <c r="E562" t="s">
        <v>843</v>
      </c>
      <c r="F562" t="s">
        <v>844</v>
      </c>
      <c r="G562" t="s">
        <v>164</v>
      </c>
      <c r="H562" t="s">
        <v>165</v>
      </c>
      <c r="I562" t="s">
        <v>34</v>
      </c>
      <c r="J562" t="s">
        <v>166</v>
      </c>
      <c r="K562" t="s">
        <v>41</v>
      </c>
      <c r="L562" t="s">
        <v>3591</v>
      </c>
      <c r="M562" t="s">
        <v>591</v>
      </c>
      <c r="N562" t="s">
        <v>847</v>
      </c>
      <c r="O562" t="s">
        <v>100</v>
      </c>
      <c r="P562" t="s">
        <v>3592</v>
      </c>
      <c r="Q562" t="s">
        <v>72</v>
      </c>
      <c r="R562" t="s">
        <v>3337</v>
      </c>
      <c r="S562">
        <v>1</v>
      </c>
      <c r="T562">
        <v>3784</v>
      </c>
      <c r="U562">
        <v>0</v>
      </c>
      <c r="V562">
        <v>3784</v>
      </c>
    </row>
    <row r="563" spans="1:22" x14ac:dyDescent="0.3">
      <c r="A563">
        <v>79452</v>
      </c>
      <c r="B563">
        <v>136440000</v>
      </c>
      <c r="C563" t="s">
        <v>3593</v>
      </c>
      <c r="D563" t="s">
        <v>3594</v>
      </c>
      <c r="E563" t="s">
        <v>843</v>
      </c>
      <c r="F563" t="s">
        <v>844</v>
      </c>
      <c r="G563" t="s">
        <v>164</v>
      </c>
      <c r="H563" t="s">
        <v>165</v>
      </c>
      <c r="I563" t="s">
        <v>34</v>
      </c>
      <c r="J563" t="s">
        <v>166</v>
      </c>
      <c r="K563" t="s">
        <v>41</v>
      </c>
      <c r="L563" t="s">
        <v>374</v>
      </c>
      <c r="M563" t="s">
        <v>3595</v>
      </c>
      <c r="N563" t="s">
        <v>847</v>
      </c>
      <c r="O563" t="s">
        <v>100</v>
      </c>
      <c r="P563" t="s">
        <v>3596</v>
      </c>
      <c r="Q563" t="s">
        <v>54</v>
      </c>
      <c r="R563" t="s">
        <v>3597</v>
      </c>
      <c r="S563">
        <v>1.48</v>
      </c>
      <c r="T563">
        <v>5759</v>
      </c>
      <c r="U563">
        <v>0</v>
      </c>
      <c r="V563">
        <v>5759</v>
      </c>
    </row>
    <row r="564" spans="1:22" x14ac:dyDescent="0.3">
      <c r="A564">
        <v>79452</v>
      </c>
      <c r="B564">
        <v>136327454</v>
      </c>
      <c r="C564" t="s">
        <v>3598</v>
      </c>
      <c r="D564" t="s">
        <v>3599</v>
      </c>
      <c r="E564" t="s">
        <v>843</v>
      </c>
      <c r="F564" t="s">
        <v>844</v>
      </c>
      <c r="G564" t="s">
        <v>164</v>
      </c>
      <c r="H564" t="s">
        <v>165</v>
      </c>
      <c r="I564" t="s">
        <v>34</v>
      </c>
      <c r="J564" t="s">
        <v>166</v>
      </c>
      <c r="K564" t="s">
        <v>41</v>
      </c>
      <c r="L564" t="s">
        <v>3600</v>
      </c>
      <c r="M564" t="s">
        <v>3601</v>
      </c>
      <c r="N564" t="s">
        <v>847</v>
      </c>
      <c r="O564" t="s">
        <v>100</v>
      </c>
      <c r="P564" t="s">
        <v>3602</v>
      </c>
      <c r="Q564" t="s">
        <v>84</v>
      </c>
      <c r="R564" t="s">
        <v>1130</v>
      </c>
      <c r="S564">
        <v>1</v>
      </c>
      <c r="T564">
        <v>3366</v>
      </c>
      <c r="U564">
        <v>0</v>
      </c>
      <c r="V564">
        <v>3366</v>
      </c>
    </row>
    <row r="565" spans="1:22" x14ac:dyDescent="0.3">
      <c r="A565">
        <v>79452</v>
      </c>
      <c r="B565">
        <v>136327472</v>
      </c>
      <c r="C565" t="s">
        <v>3603</v>
      </c>
      <c r="D565" t="s">
        <v>3604</v>
      </c>
      <c r="E565" t="s">
        <v>843</v>
      </c>
      <c r="F565" t="s">
        <v>844</v>
      </c>
      <c r="G565" t="s">
        <v>164</v>
      </c>
      <c r="H565" t="s">
        <v>165</v>
      </c>
      <c r="I565" t="s">
        <v>34</v>
      </c>
      <c r="J565" t="s">
        <v>166</v>
      </c>
      <c r="K565" t="s">
        <v>41</v>
      </c>
      <c r="L565" t="s">
        <v>3605</v>
      </c>
      <c r="M565" t="s">
        <v>3606</v>
      </c>
      <c r="N565" t="s">
        <v>847</v>
      </c>
      <c r="O565" t="s">
        <v>100</v>
      </c>
      <c r="P565" t="s">
        <v>3607</v>
      </c>
      <c r="Q565" t="s">
        <v>84</v>
      </c>
      <c r="R565" t="s">
        <v>1130</v>
      </c>
      <c r="S565">
        <v>1</v>
      </c>
      <c r="T565">
        <v>3366</v>
      </c>
      <c r="U565">
        <v>0</v>
      </c>
      <c r="V565">
        <v>3366</v>
      </c>
    </row>
    <row r="566" spans="1:22" x14ac:dyDescent="0.3">
      <c r="A566">
        <v>79452</v>
      </c>
      <c r="B566">
        <v>136196538</v>
      </c>
      <c r="C566" t="s">
        <v>3608</v>
      </c>
      <c r="D566" t="s">
        <v>3609</v>
      </c>
      <c r="E566" t="s">
        <v>843</v>
      </c>
      <c r="F566" t="s">
        <v>844</v>
      </c>
      <c r="G566" t="s">
        <v>164</v>
      </c>
      <c r="H566" t="s">
        <v>165</v>
      </c>
      <c r="I566" t="s">
        <v>34</v>
      </c>
      <c r="J566" t="s">
        <v>166</v>
      </c>
      <c r="K566" t="s">
        <v>41</v>
      </c>
      <c r="L566" t="s">
        <v>3610</v>
      </c>
      <c r="M566" t="s">
        <v>3611</v>
      </c>
      <c r="N566" t="s">
        <v>847</v>
      </c>
      <c r="O566" t="s">
        <v>100</v>
      </c>
      <c r="P566" t="s">
        <v>3612</v>
      </c>
      <c r="Q566" t="s">
        <v>54</v>
      </c>
      <c r="R566" t="s">
        <v>1999</v>
      </c>
      <c r="S566">
        <v>1</v>
      </c>
      <c r="T566">
        <v>5759</v>
      </c>
      <c r="U566">
        <v>0</v>
      </c>
      <c r="V566">
        <v>5759</v>
      </c>
    </row>
    <row r="567" spans="1:22" x14ac:dyDescent="0.3">
      <c r="A567">
        <v>79452</v>
      </c>
      <c r="B567">
        <v>136269994</v>
      </c>
      <c r="C567" t="s">
        <v>3613</v>
      </c>
      <c r="D567" t="s">
        <v>3614</v>
      </c>
      <c r="E567" t="s">
        <v>843</v>
      </c>
      <c r="F567" t="s">
        <v>844</v>
      </c>
      <c r="G567" t="s">
        <v>164</v>
      </c>
      <c r="H567" t="s">
        <v>165</v>
      </c>
      <c r="I567" t="s">
        <v>34</v>
      </c>
      <c r="J567" t="s">
        <v>166</v>
      </c>
      <c r="K567" t="s">
        <v>41</v>
      </c>
      <c r="L567" t="s">
        <v>3610</v>
      </c>
      <c r="M567" t="s">
        <v>3611</v>
      </c>
      <c r="N567" t="s">
        <v>847</v>
      </c>
      <c r="O567" t="s">
        <v>100</v>
      </c>
      <c r="P567" t="s">
        <v>3612</v>
      </c>
      <c r="Q567" t="s">
        <v>54</v>
      </c>
      <c r="R567" t="s">
        <v>759</v>
      </c>
      <c r="S567">
        <v>2.3199999999999998</v>
      </c>
      <c r="T567">
        <v>5759</v>
      </c>
      <c r="U567">
        <v>0</v>
      </c>
      <c r="V567">
        <v>5759</v>
      </c>
    </row>
    <row r="568" spans="1:22" x14ac:dyDescent="0.3">
      <c r="A568">
        <v>79452</v>
      </c>
      <c r="B568">
        <v>136327509</v>
      </c>
      <c r="C568" t="s">
        <v>3615</v>
      </c>
      <c r="D568" t="s">
        <v>3616</v>
      </c>
      <c r="E568" t="s">
        <v>843</v>
      </c>
      <c r="F568" t="s">
        <v>844</v>
      </c>
      <c r="G568" t="s">
        <v>164</v>
      </c>
      <c r="H568" t="s">
        <v>165</v>
      </c>
      <c r="I568" t="s">
        <v>34</v>
      </c>
      <c r="J568" t="s">
        <v>166</v>
      </c>
      <c r="K568" t="s">
        <v>41</v>
      </c>
      <c r="L568" t="s">
        <v>3617</v>
      </c>
      <c r="M568" t="s">
        <v>3618</v>
      </c>
      <c r="N568" t="s">
        <v>847</v>
      </c>
      <c r="O568" t="s">
        <v>100</v>
      </c>
      <c r="P568" t="s">
        <v>3619</v>
      </c>
      <c r="Q568" t="s">
        <v>43</v>
      </c>
      <c r="R568" t="s">
        <v>708</v>
      </c>
      <c r="S568">
        <v>1</v>
      </c>
      <c r="T568">
        <v>3753</v>
      </c>
      <c r="U568">
        <v>0</v>
      </c>
      <c r="V568">
        <v>3753</v>
      </c>
    </row>
    <row r="569" spans="1:22" x14ac:dyDescent="0.3">
      <c r="A569">
        <v>79452</v>
      </c>
      <c r="B569">
        <v>135980539</v>
      </c>
      <c r="C569" t="s">
        <v>3620</v>
      </c>
      <c r="D569" t="s">
        <v>3621</v>
      </c>
      <c r="E569" t="s">
        <v>843</v>
      </c>
      <c r="F569" t="s">
        <v>844</v>
      </c>
      <c r="G569" t="s">
        <v>164</v>
      </c>
      <c r="H569" t="s">
        <v>165</v>
      </c>
      <c r="I569" t="s">
        <v>34</v>
      </c>
      <c r="J569" t="s">
        <v>166</v>
      </c>
      <c r="K569" t="s">
        <v>41</v>
      </c>
      <c r="L569" t="s">
        <v>3622</v>
      </c>
      <c r="M569" t="s">
        <v>3623</v>
      </c>
      <c r="N569" t="s">
        <v>847</v>
      </c>
      <c r="O569" t="s">
        <v>100</v>
      </c>
      <c r="P569" t="s">
        <v>3624</v>
      </c>
      <c r="Q569" t="s">
        <v>55</v>
      </c>
      <c r="R569" t="s">
        <v>398</v>
      </c>
      <c r="S569">
        <v>1.85</v>
      </c>
      <c r="T569">
        <v>5198</v>
      </c>
      <c r="U569">
        <v>0</v>
      </c>
      <c r="V569">
        <v>5198</v>
      </c>
    </row>
    <row r="570" spans="1:22" x14ac:dyDescent="0.3">
      <c r="A570">
        <v>79452</v>
      </c>
      <c r="B570">
        <v>136411996</v>
      </c>
      <c r="C570" t="s">
        <v>3625</v>
      </c>
      <c r="D570" t="s">
        <v>3626</v>
      </c>
      <c r="E570" t="s">
        <v>843</v>
      </c>
      <c r="F570" t="s">
        <v>844</v>
      </c>
      <c r="G570" t="s">
        <v>164</v>
      </c>
      <c r="H570" t="s">
        <v>165</v>
      </c>
      <c r="I570" t="s">
        <v>34</v>
      </c>
      <c r="J570" t="s">
        <v>166</v>
      </c>
      <c r="K570" t="s">
        <v>41</v>
      </c>
      <c r="L570" t="s">
        <v>3627</v>
      </c>
      <c r="M570" t="s">
        <v>3628</v>
      </c>
      <c r="N570" t="s">
        <v>847</v>
      </c>
      <c r="O570" t="s">
        <v>100</v>
      </c>
      <c r="P570" t="s">
        <v>3629</v>
      </c>
      <c r="Q570" t="s">
        <v>76</v>
      </c>
      <c r="R570" t="s">
        <v>641</v>
      </c>
      <c r="S570">
        <v>1</v>
      </c>
      <c r="T570">
        <v>3753</v>
      </c>
      <c r="U570">
        <v>0</v>
      </c>
      <c r="V570">
        <v>3753</v>
      </c>
    </row>
    <row r="571" spans="1:22" x14ac:dyDescent="0.3">
      <c r="A571">
        <v>79452</v>
      </c>
      <c r="B571">
        <v>136363595</v>
      </c>
      <c r="C571" t="s">
        <v>3630</v>
      </c>
      <c r="D571" t="s">
        <v>3631</v>
      </c>
      <c r="E571" t="s">
        <v>843</v>
      </c>
      <c r="F571" t="s">
        <v>844</v>
      </c>
      <c r="G571" t="s">
        <v>164</v>
      </c>
      <c r="H571" t="s">
        <v>165</v>
      </c>
      <c r="I571" t="s">
        <v>34</v>
      </c>
      <c r="J571" t="s">
        <v>166</v>
      </c>
      <c r="K571" t="s">
        <v>41</v>
      </c>
      <c r="L571" t="s">
        <v>3632</v>
      </c>
      <c r="M571" t="s">
        <v>712</v>
      </c>
      <c r="N571" t="s">
        <v>847</v>
      </c>
      <c r="O571" t="s">
        <v>100</v>
      </c>
      <c r="P571" t="s">
        <v>3633</v>
      </c>
      <c r="Q571" t="s">
        <v>210</v>
      </c>
      <c r="R571" t="s">
        <v>3337</v>
      </c>
      <c r="S571">
        <v>1</v>
      </c>
      <c r="T571">
        <v>4346</v>
      </c>
      <c r="U571">
        <v>0</v>
      </c>
      <c r="V571">
        <v>4346</v>
      </c>
    </row>
    <row r="572" spans="1:22" x14ac:dyDescent="0.3">
      <c r="A572">
        <v>79452</v>
      </c>
      <c r="B572">
        <v>136270001</v>
      </c>
      <c r="C572" t="s">
        <v>3634</v>
      </c>
      <c r="D572" t="s">
        <v>3635</v>
      </c>
      <c r="E572" t="s">
        <v>843</v>
      </c>
      <c r="F572" t="s">
        <v>844</v>
      </c>
      <c r="G572" t="s">
        <v>164</v>
      </c>
      <c r="H572" t="s">
        <v>165</v>
      </c>
      <c r="I572" t="s">
        <v>34</v>
      </c>
      <c r="J572" t="s">
        <v>166</v>
      </c>
      <c r="K572" t="s">
        <v>41</v>
      </c>
      <c r="L572" t="s">
        <v>3636</v>
      </c>
      <c r="M572" t="s">
        <v>3637</v>
      </c>
      <c r="N572" t="s">
        <v>847</v>
      </c>
      <c r="O572" t="s">
        <v>100</v>
      </c>
      <c r="P572" t="s">
        <v>3638</v>
      </c>
      <c r="Q572" t="s">
        <v>92</v>
      </c>
      <c r="R572" t="s">
        <v>759</v>
      </c>
      <c r="S572">
        <v>1</v>
      </c>
      <c r="T572">
        <v>3366</v>
      </c>
      <c r="U572">
        <v>0</v>
      </c>
      <c r="V572">
        <v>3366</v>
      </c>
    </row>
    <row r="573" spans="1:22" x14ac:dyDescent="0.3">
      <c r="A573">
        <v>79452</v>
      </c>
      <c r="B573">
        <v>135980488</v>
      </c>
      <c r="C573" t="s">
        <v>3639</v>
      </c>
      <c r="D573" t="s">
        <v>3640</v>
      </c>
      <c r="E573" t="s">
        <v>843</v>
      </c>
      <c r="F573" t="s">
        <v>844</v>
      </c>
      <c r="G573" t="s">
        <v>164</v>
      </c>
      <c r="H573" t="s">
        <v>165</v>
      </c>
      <c r="I573" t="s">
        <v>34</v>
      </c>
      <c r="J573" t="s">
        <v>166</v>
      </c>
      <c r="K573" t="s">
        <v>41</v>
      </c>
      <c r="L573" t="s">
        <v>3641</v>
      </c>
      <c r="M573" t="s">
        <v>3642</v>
      </c>
      <c r="N573" t="s">
        <v>847</v>
      </c>
      <c r="O573" t="s">
        <v>100</v>
      </c>
      <c r="P573" t="s">
        <v>3643</v>
      </c>
      <c r="Q573" t="s">
        <v>55</v>
      </c>
      <c r="R573" t="s">
        <v>398</v>
      </c>
      <c r="S573">
        <v>1.25</v>
      </c>
      <c r="T573">
        <v>5198</v>
      </c>
      <c r="U573">
        <v>0</v>
      </c>
      <c r="V573">
        <v>5198</v>
      </c>
    </row>
    <row r="574" spans="1:22" x14ac:dyDescent="0.3">
      <c r="A574">
        <v>79452</v>
      </c>
      <c r="B574">
        <v>136103792</v>
      </c>
      <c r="C574" t="s">
        <v>3644</v>
      </c>
      <c r="D574" t="s">
        <v>3645</v>
      </c>
      <c r="E574" t="s">
        <v>843</v>
      </c>
      <c r="F574" t="s">
        <v>844</v>
      </c>
      <c r="G574" t="s">
        <v>164</v>
      </c>
      <c r="H574" t="s">
        <v>165</v>
      </c>
      <c r="I574" t="s">
        <v>34</v>
      </c>
      <c r="J574" t="s">
        <v>166</v>
      </c>
      <c r="K574" t="s">
        <v>41</v>
      </c>
      <c r="L574" t="s">
        <v>3646</v>
      </c>
      <c r="M574" t="s">
        <v>3647</v>
      </c>
      <c r="N574" t="s">
        <v>847</v>
      </c>
      <c r="O574" t="s">
        <v>100</v>
      </c>
      <c r="P574" t="s">
        <v>3648</v>
      </c>
      <c r="Q574" t="s">
        <v>76</v>
      </c>
      <c r="R574" t="s">
        <v>599</v>
      </c>
      <c r="S574">
        <v>2.0499999999999998</v>
      </c>
      <c r="T574">
        <v>3753</v>
      </c>
      <c r="U574">
        <v>0</v>
      </c>
      <c r="V574">
        <v>3753</v>
      </c>
    </row>
    <row r="575" spans="1:22" x14ac:dyDescent="0.3">
      <c r="A575">
        <v>79452</v>
      </c>
      <c r="B575">
        <v>135980347</v>
      </c>
      <c r="C575" t="s">
        <v>3649</v>
      </c>
      <c r="D575" t="s">
        <v>3650</v>
      </c>
      <c r="E575" t="s">
        <v>843</v>
      </c>
      <c r="F575" t="s">
        <v>844</v>
      </c>
      <c r="G575" t="s">
        <v>164</v>
      </c>
      <c r="H575" t="s">
        <v>165</v>
      </c>
      <c r="I575" t="s">
        <v>34</v>
      </c>
      <c r="J575" t="s">
        <v>166</v>
      </c>
      <c r="K575" t="s">
        <v>41</v>
      </c>
      <c r="L575" t="s">
        <v>3651</v>
      </c>
      <c r="M575" t="s">
        <v>3652</v>
      </c>
      <c r="N575" t="s">
        <v>847</v>
      </c>
      <c r="O575" t="s">
        <v>100</v>
      </c>
      <c r="P575" t="s">
        <v>3653</v>
      </c>
      <c r="Q575" t="s">
        <v>58</v>
      </c>
      <c r="R575" t="s">
        <v>288</v>
      </c>
      <c r="S575">
        <v>1.45</v>
      </c>
      <c r="T575">
        <v>5759</v>
      </c>
      <c r="U575">
        <v>0</v>
      </c>
      <c r="V575">
        <v>5759</v>
      </c>
    </row>
    <row r="576" spans="1:22" x14ac:dyDescent="0.3">
      <c r="A576">
        <v>79452</v>
      </c>
      <c r="B576">
        <v>136327491</v>
      </c>
      <c r="C576" t="s">
        <v>3654</v>
      </c>
      <c r="D576" t="s">
        <v>3655</v>
      </c>
      <c r="E576" t="s">
        <v>843</v>
      </c>
      <c r="F576" t="s">
        <v>844</v>
      </c>
      <c r="G576" t="s">
        <v>164</v>
      </c>
      <c r="H576" t="s">
        <v>165</v>
      </c>
      <c r="I576" t="s">
        <v>34</v>
      </c>
      <c r="J576" t="s">
        <v>166</v>
      </c>
      <c r="K576" t="s">
        <v>41</v>
      </c>
      <c r="L576" t="s">
        <v>3656</v>
      </c>
      <c r="M576" t="s">
        <v>3657</v>
      </c>
      <c r="N576" t="s">
        <v>847</v>
      </c>
      <c r="O576" t="s">
        <v>100</v>
      </c>
      <c r="P576" t="s">
        <v>3658</v>
      </c>
      <c r="Q576" t="s">
        <v>84</v>
      </c>
      <c r="R576" t="s">
        <v>1130</v>
      </c>
      <c r="S576">
        <v>1</v>
      </c>
      <c r="T576">
        <v>3366</v>
      </c>
      <c r="U576">
        <v>0</v>
      </c>
      <c r="V576">
        <v>3366</v>
      </c>
    </row>
    <row r="577" spans="1:22" x14ac:dyDescent="0.3">
      <c r="A577">
        <v>79452</v>
      </c>
      <c r="B577">
        <v>136411981</v>
      </c>
      <c r="C577" t="s">
        <v>3659</v>
      </c>
      <c r="D577" t="s">
        <v>3660</v>
      </c>
      <c r="E577" t="s">
        <v>843</v>
      </c>
      <c r="F577" t="s">
        <v>844</v>
      </c>
      <c r="G577" t="s">
        <v>164</v>
      </c>
      <c r="H577" t="s">
        <v>165</v>
      </c>
      <c r="I577" t="s">
        <v>34</v>
      </c>
      <c r="J577" t="s">
        <v>166</v>
      </c>
      <c r="K577" t="s">
        <v>41</v>
      </c>
      <c r="L577" t="s">
        <v>3661</v>
      </c>
      <c r="M577" t="s">
        <v>3662</v>
      </c>
      <c r="N577" t="s">
        <v>847</v>
      </c>
      <c r="O577" t="s">
        <v>100</v>
      </c>
      <c r="P577" t="s">
        <v>3663</v>
      </c>
      <c r="Q577" t="s">
        <v>92</v>
      </c>
      <c r="R577" t="s">
        <v>641</v>
      </c>
      <c r="S577">
        <v>1.64</v>
      </c>
      <c r="T577">
        <v>3366</v>
      </c>
      <c r="U577">
        <v>0</v>
      </c>
      <c r="V577">
        <v>3366</v>
      </c>
    </row>
    <row r="578" spans="1:22" x14ac:dyDescent="0.3">
      <c r="A578">
        <v>79452</v>
      </c>
      <c r="B578">
        <v>136440019</v>
      </c>
      <c r="C578" t="s">
        <v>3664</v>
      </c>
      <c r="D578" t="s">
        <v>3665</v>
      </c>
      <c r="E578" t="s">
        <v>843</v>
      </c>
      <c r="F578" t="s">
        <v>844</v>
      </c>
      <c r="G578" t="s">
        <v>164</v>
      </c>
      <c r="H578" t="s">
        <v>165</v>
      </c>
      <c r="I578" t="s">
        <v>34</v>
      </c>
      <c r="J578" t="s">
        <v>166</v>
      </c>
      <c r="K578" t="s">
        <v>41</v>
      </c>
      <c r="L578" t="s">
        <v>371</v>
      </c>
      <c r="M578" t="s">
        <v>3666</v>
      </c>
      <c r="N578" t="s">
        <v>847</v>
      </c>
      <c r="O578" t="s">
        <v>100</v>
      </c>
      <c r="P578" t="s">
        <v>3667</v>
      </c>
      <c r="Q578" t="s">
        <v>69</v>
      </c>
      <c r="R578" t="s">
        <v>3597</v>
      </c>
      <c r="S578">
        <v>1</v>
      </c>
      <c r="T578">
        <v>3753</v>
      </c>
      <c r="U578">
        <v>0</v>
      </c>
      <c r="V578">
        <v>3753</v>
      </c>
    </row>
    <row r="579" spans="1:22" x14ac:dyDescent="0.3">
      <c r="A579">
        <v>79452</v>
      </c>
      <c r="B579">
        <v>136196625</v>
      </c>
      <c r="C579" t="s">
        <v>3668</v>
      </c>
      <c r="D579" t="s">
        <v>3669</v>
      </c>
      <c r="E579" t="s">
        <v>843</v>
      </c>
      <c r="F579" t="s">
        <v>844</v>
      </c>
      <c r="G579" t="s">
        <v>164</v>
      </c>
      <c r="H579" t="s">
        <v>165</v>
      </c>
      <c r="I579" t="s">
        <v>34</v>
      </c>
      <c r="J579" t="s">
        <v>166</v>
      </c>
      <c r="K579" t="s">
        <v>41</v>
      </c>
      <c r="L579" t="s">
        <v>3670</v>
      </c>
      <c r="M579" t="s">
        <v>383</v>
      </c>
      <c r="N579" t="s">
        <v>847</v>
      </c>
      <c r="O579" t="s">
        <v>100</v>
      </c>
      <c r="P579" t="s">
        <v>3671</v>
      </c>
      <c r="Q579" t="s">
        <v>55</v>
      </c>
      <c r="R579" t="s">
        <v>287</v>
      </c>
      <c r="S579">
        <v>2.5</v>
      </c>
      <c r="T579">
        <v>5198</v>
      </c>
      <c r="U579">
        <v>0</v>
      </c>
      <c r="V579">
        <v>5198</v>
      </c>
    </row>
    <row r="580" spans="1:22" x14ac:dyDescent="0.3">
      <c r="A580">
        <v>79452</v>
      </c>
      <c r="B580">
        <v>136411984</v>
      </c>
      <c r="C580" t="s">
        <v>3672</v>
      </c>
      <c r="D580" t="s">
        <v>3673</v>
      </c>
      <c r="E580" t="s">
        <v>843</v>
      </c>
      <c r="F580" t="s">
        <v>844</v>
      </c>
      <c r="G580" t="s">
        <v>164</v>
      </c>
      <c r="H580" t="s">
        <v>165</v>
      </c>
      <c r="I580" t="s">
        <v>34</v>
      </c>
      <c r="J580" t="s">
        <v>166</v>
      </c>
      <c r="K580" t="s">
        <v>41</v>
      </c>
      <c r="L580" t="s">
        <v>3674</v>
      </c>
      <c r="M580" t="s">
        <v>3675</v>
      </c>
      <c r="N580" t="s">
        <v>847</v>
      </c>
      <c r="O580" t="s">
        <v>100</v>
      </c>
      <c r="P580" t="s">
        <v>3676</v>
      </c>
      <c r="Q580" t="s">
        <v>49</v>
      </c>
      <c r="R580" t="s">
        <v>641</v>
      </c>
      <c r="S580">
        <v>2</v>
      </c>
      <c r="T580">
        <v>3784</v>
      </c>
      <c r="U580">
        <v>0</v>
      </c>
      <c r="V580">
        <v>3784</v>
      </c>
    </row>
    <row r="581" spans="1:22" x14ac:dyDescent="0.3">
      <c r="A581">
        <v>79452</v>
      </c>
      <c r="B581">
        <v>136196601</v>
      </c>
      <c r="C581" t="s">
        <v>3677</v>
      </c>
      <c r="D581" t="s">
        <v>3678</v>
      </c>
      <c r="E581" t="s">
        <v>843</v>
      </c>
      <c r="F581" t="s">
        <v>844</v>
      </c>
      <c r="G581" t="s">
        <v>164</v>
      </c>
      <c r="H581" t="s">
        <v>165</v>
      </c>
      <c r="I581" t="s">
        <v>34</v>
      </c>
      <c r="J581" t="s">
        <v>166</v>
      </c>
      <c r="K581" t="s">
        <v>41</v>
      </c>
      <c r="L581" t="s">
        <v>3679</v>
      </c>
      <c r="M581" t="s">
        <v>3680</v>
      </c>
      <c r="N581" t="s">
        <v>847</v>
      </c>
      <c r="O581" t="s">
        <v>100</v>
      </c>
      <c r="P581" t="s">
        <v>3681</v>
      </c>
      <c r="Q581" t="s">
        <v>83</v>
      </c>
      <c r="R581" t="s">
        <v>1999</v>
      </c>
      <c r="S581">
        <v>1</v>
      </c>
      <c r="T581">
        <v>3366</v>
      </c>
      <c r="U581">
        <v>0</v>
      </c>
      <c r="V581">
        <v>3366</v>
      </c>
    </row>
    <row r="582" spans="1:22" x14ac:dyDescent="0.3">
      <c r="A582">
        <v>79452</v>
      </c>
      <c r="B582">
        <v>136196528</v>
      </c>
      <c r="C582" t="s">
        <v>3682</v>
      </c>
      <c r="D582" t="s">
        <v>3683</v>
      </c>
      <c r="E582" t="s">
        <v>843</v>
      </c>
      <c r="F582" t="s">
        <v>844</v>
      </c>
      <c r="G582" t="s">
        <v>164</v>
      </c>
      <c r="H582" t="s">
        <v>165</v>
      </c>
      <c r="I582" t="s">
        <v>34</v>
      </c>
      <c r="J582" t="s">
        <v>166</v>
      </c>
      <c r="K582" t="s">
        <v>41</v>
      </c>
      <c r="L582" t="s">
        <v>3684</v>
      </c>
      <c r="M582" t="s">
        <v>3685</v>
      </c>
      <c r="N582" t="s">
        <v>847</v>
      </c>
      <c r="O582" t="s">
        <v>100</v>
      </c>
      <c r="P582" t="s">
        <v>3686</v>
      </c>
      <c r="Q582" t="s">
        <v>72</v>
      </c>
      <c r="R582" t="s">
        <v>1999</v>
      </c>
      <c r="S582">
        <v>1</v>
      </c>
      <c r="T582">
        <v>3784</v>
      </c>
      <c r="U582">
        <v>0</v>
      </c>
      <c r="V582">
        <v>3784</v>
      </c>
    </row>
    <row r="583" spans="1:22" x14ac:dyDescent="0.3">
      <c r="A583">
        <v>79452</v>
      </c>
      <c r="B583">
        <v>136508223</v>
      </c>
      <c r="C583" t="s">
        <v>3687</v>
      </c>
      <c r="D583" t="s">
        <v>3688</v>
      </c>
      <c r="E583" t="s">
        <v>843</v>
      </c>
      <c r="F583" t="s">
        <v>844</v>
      </c>
      <c r="G583" t="s">
        <v>164</v>
      </c>
      <c r="H583" t="s">
        <v>165</v>
      </c>
      <c r="I583" t="s">
        <v>34</v>
      </c>
      <c r="J583" t="s">
        <v>166</v>
      </c>
      <c r="K583" t="s">
        <v>41</v>
      </c>
      <c r="L583" t="s">
        <v>3689</v>
      </c>
      <c r="M583" t="s">
        <v>406</v>
      </c>
      <c r="N583" t="s">
        <v>847</v>
      </c>
      <c r="O583" t="s">
        <v>100</v>
      </c>
      <c r="P583" t="s">
        <v>3690</v>
      </c>
      <c r="Q583" t="s">
        <v>60</v>
      </c>
      <c r="R583" t="s">
        <v>3236</v>
      </c>
      <c r="S583">
        <v>1</v>
      </c>
      <c r="T583">
        <v>4346</v>
      </c>
      <c r="U583">
        <v>0</v>
      </c>
      <c r="V583">
        <v>4346</v>
      </c>
    </row>
    <row r="584" spans="1:22" x14ac:dyDescent="0.3">
      <c r="A584">
        <v>79452</v>
      </c>
      <c r="B584">
        <v>136270065</v>
      </c>
      <c r="C584" t="s">
        <v>3691</v>
      </c>
      <c r="D584" t="s">
        <v>3692</v>
      </c>
      <c r="E584" t="s">
        <v>843</v>
      </c>
      <c r="F584" t="s">
        <v>844</v>
      </c>
      <c r="G584" t="s">
        <v>164</v>
      </c>
      <c r="H584" t="s">
        <v>165</v>
      </c>
      <c r="I584" t="s">
        <v>34</v>
      </c>
      <c r="J584" t="s">
        <v>166</v>
      </c>
      <c r="K584" t="s">
        <v>41</v>
      </c>
      <c r="L584" t="s">
        <v>3693</v>
      </c>
      <c r="M584" t="s">
        <v>3694</v>
      </c>
      <c r="N584" t="s">
        <v>847</v>
      </c>
      <c r="O584" t="s">
        <v>100</v>
      </c>
      <c r="P584" t="s">
        <v>3695</v>
      </c>
      <c r="Q584" t="s">
        <v>70</v>
      </c>
      <c r="R584" t="s">
        <v>759</v>
      </c>
      <c r="S584">
        <v>1</v>
      </c>
      <c r="T584">
        <v>3501</v>
      </c>
      <c r="U584">
        <v>0</v>
      </c>
      <c r="V584">
        <v>3501</v>
      </c>
    </row>
    <row r="585" spans="1:22" x14ac:dyDescent="0.3">
      <c r="A585">
        <v>79452</v>
      </c>
      <c r="B585">
        <v>136270006</v>
      </c>
      <c r="C585" t="s">
        <v>3696</v>
      </c>
      <c r="D585" t="s">
        <v>3697</v>
      </c>
      <c r="E585" t="s">
        <v>843</v>
      </c>
      <c r="F585" t="s">
        <v>844</v>
      </c>
      <c r="G585" t="s">
        <v>164</v>
      </c>
      <c r="H585" t="s">
        <v>165</v>
      </c>
      <c r="I585" t="s">
        <v>34</v>
      </c>
      <c r="J585" t="s">
        <v>166</v>
      </c>
      <c r="K585" t="s">
        <v>41</v>
      </c>
      <c r="L585" t="s">
        <v>3698</v>
      </c>
      <c r="M585" t="s">
        <v>3699</v>
      </c>
      <c r="N585" t="s">
        <v>847</v>
      </c>
      <c r="O585" t="s">
        <v>100</v>
      </c>
      <c r="P585" t="s">
        <v>3700</v>
      </c>
      <c r="Q585" t="s">
        <v>74</v>
      </c>
      <c r="R585" t="s">
        <v>759</v>
      </c>
      <c r="S585">
        <v>1.0900000000000001</v>
      </c>
      <c r="T585">
        <v>3753</v>
      </c>
      <c r="U585">
        <v>0</v>
      </c>
      <c r="V585">
        <v>3753</v>
      </c>
    </row>
    <row r="586" spans="1:22" x14ac:dyDescent="0.3">
      <c r="A586">
        <v>79452</v>
      </c>
      <c r="B586">
        <v>136327497</v>
      </c>
      <c r="C586" t="s">
        <v>3701</v>
      </c>
      <c r="D586" t="s">
        <v>3702</v>
      </c>
      <c r="E586" t="s">
        <v>843</v>
      </c>
      <c r="F586" t="s">
        <v>844</v>
      </c>
      <c r="G586" t="s">
        <v>164</v>
      </c>
      <c r="H586" t="s">
        <v>165</v>
      </c>
      <c r="I586" t="s">
        <v>34</v>
      </c>
      <c r="J586" t="s">
        <v>166</v>
      </c>
      <c r="K586" t="s">
        <v>41</v>
      </c>
      <c r="L586" t="s">
        <v>3703</v>
      </c>
      <c r="M586" t="s">
        <v>3704</v>
      </c>
      <c r="N586" t="s">
        <v>847</v>
      </c>
      <c r="O586" t="s">
        <v>100</v>
      </c>
      <c r="P586" t="s">
        <v>3705</v>
      </c>
      <c r="Q586" t="s">
        <v>43</v>
      </c>
      <c r="R586" t="s">
        <v>1130</v>
      </c>
      <c r="S586">
        <v>1</v>
      </c>
      <c r="T586">
        <v>3753</v>
      </c>
      <c r="U586">
        <v>0</v>
      </c>
      <c r="V586">
        <v>3753</v>
      </c>
    </row>
    <row r="587" spans="1:22" x14ac:dyDescent="0.3">
      <c r="A587">
        <v>79452</v>
      </c>
      <c r="B587">
        <v>136483017</v>
      </c>
      <c r="C587" t="s">
        <v>3706</v>
      </c>
      <c r="D587" t="s">
        <v>3707</v>
      </c>
      <c r="E587" t="s">
        <v>843</v>
      </c>
      <c r="F587" t="s">
        <v>844</v>
      </c>
      <c r="G587" t="s">
        <v>164</v>
      </c>
      <c r="H587" t="s">
        <v>165</v>
      </c>
      <c r="I587" t="s">
        <v>34</v>
      </c>
      <c r="J587" t="s">
        <v>166</v>
      </c>
      <c r="K587" t="s">
        <v>41</v>
      </c>
      <c r="L587" t="s">
        <v>3708</v>
      </c>
      <c r="M587" t="s">
        <v>3709</v>
      </c>
      <c r="N587" t="s">
        <v>847</v>
      </c>
      <c r="O587" t="s">
        <v>100</v>
      </c>
      <c r="P587" t="s">
        <v>3710</v>
      </c>
      <c r="Q587" t="s">
        <v>69</v>
      </c>
      <c r="R587" t="s">
        <v>3230</v>
      </c>
      <c r="S587">
        <v>1</v>
      </c>
      <c r="T587">
        <v>3753</v>
      </c>
      <c r="U587">
        <v>0</v>
      </c>
      <c r="V587">
        <v>3753</v>
      </c>
    </row>
    <row r="588" spans="1:22" x14ac:dyDescent="0.3">
      <c r="A588">
        <v>79452</v>
      </c>
      <c r="B588">
        <v>136411990</v>
      </c>
      <c r="C588" t="s">
        <v>3711</v>
      </c>
      <c r="D588" t="s">
        <v>3712</v>
      </c>
      <c r="E588" t="s">
        <v>843</v>
      </c>
      <c r="F588" t="s">
        <v>844</v>
      </c>
      <c r="G588" t="s">
        <v>164</v>
      </c>
      <c r="H588" t="s">
        <v>165</v>
      </c>
      <c r="I588" t="s">
        <v>34</v>
      </c>
      <c r="J588" t="s">
        <v>166</v>
      </c>
      <c r="K588" t="s">
        <v>41</v>
      </c>
      <c r="L588" t="s">
        <v>3713</v>
      </c>
      <c r="M588" t="s">
        <v>3714</v>
      </c>
      <c r="N588" t="s">
        <v>847</v>
      </c>
      <c r="O588" t="s">
        <v>100</v>
      </c>
      <c r="P588" t="s">
        <v>3715</v>
      </c>
      <c r="Q588" t="s">
        <v>71</v>
      </c>
      <c r="R588" t="s">
        <v>641</v>
      </c>
      <c r="S588">
        <v>1</v>
      </c>
      <c r="T588">
        <v>3501</v>
      </c>
      <c r="U588">
        <v>0</v>
      </c>
      <c r="V588">
        <v>3501</v>
      </c>
    </row>
    <row r="589" spans="1:22" x14ac:dyDescent="0.3">
      <c r="A589">
        <v>79452</v>
      </c>
      <c r="B589">
        <v>136327466</v>
      </c>
      <c r="C589" t="s">
        <v>3716</v>
      </c>
      <c r="D589" t="s">
        <v>3717</v>
      </c>
      <c r="E589" t="s">
        <v>843</v>
      </c>
      <c r="F589" t="s">
        <v>844</v>
      </c>
      <c r="G589" t="s">
        <v>164</v>
      </c>
      <c r="H589" t="s">
        <v>165</v>
      </c>
      <c r="I589" t="s">
        <v>34</v>
      </c>
      <c r="J589" t="s">
        <v>166</v>
      </c>
      <c r="K589" t="s">
        <v>41</v>
      </c>
      <c r="L589" t="s">
        <v>3718</v>
      </c>
      <c r="M589" t="s">
        <v>3719</v>
      </c>
      <c r="N589" t="s">
        <v>847</v>
      </c>
      <c r="O589" t="s">
        <v>100</v>
      </c>
      <c r="P589" t="s">
        <v>3720</v>
      </c>
      <c r="Q589" t="s">
        <v>67</v>
      </c>
      <c r="R589" t="s">
        <v>1130</v>
      </c>
      <c r="S589">
        <v>1</v>
      </c>
      <c r="T589">
        <v>3784</v>
      </c>
      <c r="U589">
        <v>0</v>
      </c>
      <c r="V589">
        <v>3784</v>
      </c>
    </row>
    <row r="590" spans="1:22" x14ac:dyDescent="0.3">
      <c r="A590">
        <v>79452</v>
      </c>
      <c r="B590">
        <v>135980519</v>
      </c>
      <c r="C590" t="s">
        <v>3721</v>
      </c>
      <c r="D590" t="s">
        <v>3722</v>
      </c>
      <c r="E590" t="s">
        <v>843</v>
      </c>
      <c r="F590" t="s">
        <v>844</v>
      </c>
      <c r="G590" t="s">
        <v>164</v>
      </c>
      <c r="H590" t="s">
        <v>165</v>
      </c>
      <c r="I590" t="s">
        <v>34</v>
      </c>
      <c r="J590" t="s">
        <v>166</v>
      </c>
      <c r="K590" t="s">
        <v>41</v>
      </c>
      <c r="L590" t="s">
        <v>3723</v>
      </c>
      <c r="M590" t="s">
        <v>3724</v>
      </c>
      <c r="N590" t="s">
        <v>847</v>
      </c>
      <c r="O590" t="s">
        <v>100</v>
      </c>
      <c r="P590" t="s">
        <v>3725</v>
      </c>
      <c r="Q590" t="s">
        <v>58</v>
      </c>
      <c r="R590" t="s">
        <v>398</v>
      </c>
      <c r="S590">
        <v>2.25</v>
      </c>
      <c r="T590">
        <v>5759</v>
      </c>
      <c r="U590">
        <v>0</v>
      </c>
      <c r="V590">
        <v>5759</v>
      </c>
    </row>
    <row r="591" spans="1:22" x14ac:dyDescent="0.3">
      <c r="A591">
        <v>79452</v>
      </c>
      <c r="B591">
        <v>136327459</v>
      </c>
      <c r="C591" t="s">
        <v>3726</v>
      </c>
      <c r="D591" t="s">
        <v>3727</v>
      </c>
      <c r="E591" t="s">
        <v>843</v>
      </c>
      <c r="F591" t="s">
        <v>844</v>
      </c>
      <c r="G591" t="s">
        <v>164</v>
      </c>
      <c r="H591" t="s">
        <v>165</v>
      </c>
      <c r="I591" t="s">
        <v>34</v>
      </c>
      <c r="J591" t="s">
        <v>166</v>
      </c>
      <c r="K591" t="s">
        <v>41</v>
      </c>
      <c r="L591" t="s">
        <v>3728</v>
      </c>
      <c r="M591" t="s">
        <v>3729</v>
      </c>
      <c r="N591" t="s">
        <v>847</v>
      </c>
      <c r="O591" t="s">
        <v>100</v>
      </c>
      <c r="P591" t="s">
        <v>3730</v>
      </c>
      <c r="Q591" t="s">
        <v>43</v>
      </c>
      <c r="R591" t="s">
        <v>1130</v>
      </c>
      <c r="S591">
        <v>4.7</v>
      </c>
      <c r="T591">
        <v>4322</v>
      </c>
      <c r="U591">
        <v>0</v>
      </c>
      <c r="V591">
        <v>4322</v>
      </c>
    </row>
    <row r="592" spans="1:22" x14ac:dyDescent="0.3">
      <c r="A592">
        <v>79452</v>
      </c>
      <c r="B592">
        <v>136103873</v>
      </c>
      <c r="C592" t="s">
        <v>3731</v>
      </c>
      <c r="D592" t="s">
        <v>3732</v>
      </c>
      <c r="E592" t="s">
        <v>843</v>
      </c>
      <c r="F592" t="s">
        <v>844</v>
      </c>
      <c r="G592" t="s">
        <v>164</v>
      </c>
      <c r="H592" t="s">
        <v>165</v>
      </c>
      <c r="I592" t="s">
        <v>34</v>
      </c>
      <c r="J592" t="s">
        <v>166</v>
      </c>
      <c r="K592" t="s">
        <v>41</v>
      </c>
      <c r="L592" t="s">
        <v>3733</v>
      </c>
      <c r="M592" t="s">
        <v>3734</v>
      </c>
      <c r="N592" t="s">
        <v>847</v>
      </c>
      <c r="O592" t="s">
        <v>100</v>
      </c>
      <c r="P592" t="s">
        <v>3735</v>
      </c>
      <c r="Q592" t="s">
        <v>89</v>
      </c>
      <c r="R592" t="s">
        <v>803</v>
      </c>
      <c r="S592">
        <v>1.93</v>
      </c>
      <c r="T592">
        <v>3366</v>
      </c>
      <c r="U592">
        <v>0</v>
      </c>
      <c r="V592">
        <v>3366</v>
      </c>
    </row>
    <row r="593" spans="1:22" x14ac:dyDescent="0.3">
      <c r="A593">
        <v>79452</v>
      </c>
      <c r="B593">
        <v>136327446</v>
      </c>
      <c r="C593" t="s">
        <v>3736</v>
      </c>
      <c r="D593" t="s">
        <v>3737</v>
      </c>
      <c r="E593" t="s">
        <v>843</v>
      </c>
      <c r="F593" t="s">
        <v>844</v>
      </c>
      <c r="G593" t="s">
        <v>164</v>
      </c>
      <c r="H593" t="s">
        <v>165</v>
      </c>
      <c r="I593" t="s">
        <v>34</v>
      </c>
      <c r="J593" t="s">
        <v>166</v>
      </c>
      <c r="K593" t="s">
        <v>41</v>
      </c>
      <c r="L593" t="s">
        <v>3738</v>
      </c>
      <c r="M593" t="s">
        <v>3739</v>
      </c>
      <c r="N593" t="s">
        <v>847</v>
      </c>
      <c r="O593" t="s">
        <v>100</v>
      </c>
      <c r="P593" t="s">
        <v>3740</v>
      </c>
      <c r="Q593" t="s">
        <v>54</v>
      </c>
      <c r="R593" t="s">
        <v>1130</v>
      </c>
      <c r="S593">
        <v>1.1100000000000001</v>
      </c>
      <c r="T593">
        <v>5759</v>
      </c>
      <c r="U593">
        <v>0</v>
      </c>
      <c r="V593">
        <v>5759</v>
      </c>
    </row>
    <row r="594" spans="1:22" x14ac:dyDescent="0.3">
      <c r="A594">
        <v>79452</v>
      </c>
      <c r="B594">
        <v>136483007</v>
      </c>
      <c r="C594" t="s">
        <v>3741</v>
      </c>
      <c r="D594" t="s">
        <v>3742</v>
      </c>
      <c r="E594" t="s">
        <v>843</v>
      </c>
      <c r="F594" t="s">
        <v>844</v>
      </c>
      <c r="G594" t="s">
        <v>164</v>
      </c>
      <c r="H594" t="s">
        <v>165</v>
      </c>
      <c r="I594" t="s">
        <v>34</v>
      </c>
      <c r="J594" t="s">
        <v>166</v>
      </c>
      <c r="K594" t="s">
        <v>41</v>
      </c>
      <c r="L594" t="s">
        <v>3743</v>
      </c>
      <c r="M594" t="s">
        <v>3744</v>
      </c>
      <c r="N594" t="s">
        <v>847</v>
      </c>
      <c r="O594" t="s">
        <v>100</v>
      </c>
      <c r="P594" t="s">
        <v>3745</v>
      </c>
      <c r="Q594" t="s">
        <v>92</v>
      </c>
      <c r="R594" t="s">
        <v>3230</v>
      </c>
      <c r="S594">
        <v>1</v>
      </c>
      <c r="T594">
        <v>3366</v>
      </c>
      <c r="U594">
        <v>0</v>
      </c>
      <c r="V594">
        <v>3366</v>
      </c>
    </row>
    <row r="595" spans="1:22" x14ac:dyDescent="0.3">
      <c r="A595">
        <v>79452</v>
      </c>
      <c r="B595">
        <v>136025936</v>
      </c>
      <c r="C595" t="s">
        <v>3746</v>
      </c>
      <c r="D595" t="s">
        <v>3747</v>
      </c>
      <c r="E595" t="s">
        <v>843</v>
      </c>
      <c r="F595" t="s">
        <v>844</v>
      </c>
      <c r="G595" t="s">
        <v>164</v>
      </c>
      <c r="H595" t="s">
        <v>165</v>
      </c>
      <c r="I595" t="s">
        <v>34</v>
      </c>
      <c r="J595" t="s">
        <v>166</v>
      </c>
      <c r="K595" t="s">
        <v>41</v>
      </c>
      <c r="L595" t="s">
        <v>3748</v>
      </c>
      <c r="M595" t="s">
        <v>3749</v>
      </c>
      <c r="N595" t="s">
        <v>847</v>
      </c>
      <c r="O595" t="s">
        <v>100</v>
      </c>
      <c r="P595" t="s">
        <v>3750</v>
      </c>
      <c r="Q595" t="s">
        <v>72</v>
      </c>
      <c r="R595" t="s">
        <v>403</v>
      </c>
      <c r="S595">
        <v>1</v>
      </c>
      <c r="T595">
        <v>3784</v>
      </c>
      <c r="U595">
        <v>0</v>
      </c>
      <c r="V595">
        <v>3784</v>
      </c>
    </row>
    <row r="596" spans="1:22" x14ac:dyDescent="0.3">
      <c r="A596">
        <v>79452</v>
      </c>
      <c r="B596">
        <v>135980531</v>
      </c>
      <c r="C596" t="s">
        <v>3751</v>
      </c>
      <c r="D596" t="s">
        <v>3752</v>
      </c>
      <c r="E596" t="s">
        <v>843</v>
      </c>
      <c r="F596" t="s">
        <v>844</v>
      </c>
      <c r="G596" t="s">
        <v>164</v>
      </c>
      <c r="H596" t="s">
        <v>165</v>
      </c>
      <c r="I596" t="s">
        <v>34</v>
      </c>
      <c r="J596" t="s">
        <v>166</v>
      </c>
      <c r="K596" t="s">
        <v>41</v>
      </c>
      <c r="L596" t="s">
        <v>3753</v>
      </c>
      <c r="M596" t="s">
        <v>3754</v>
      </c>
      <c r="N596" t="s">
        <v>847</v>
      </c>
      <c r="O596" t="s">
        <v>100</v>
      </c>
      <c r="P596" t="s">
        <v>3755</v>
      </c>
      <c r="Q596" t="s">
        <v>57</v>
      </c>
      <c r="R596" t="s">
        <v>398</v>
      </c>
      <c r="S596">
        <v>2.6</v>
      </c>
      <c r="T596">
        <v>5476</v>
      </c>
      <c r="U596">
        <v>0</v>
      </c>
      <c r="V596">
        <v>5476</v>
      </c>
    </row>
    <row r="597" spans="1:22" x14ac:dyDescent="0.3">
      <c r="A597">
        <v>79452</v>
      </c>
      <c r="B597">
        <v>136196553</v>
      </c>
      <c r="C597" t="s">
        <v>3756</v>
      </c>
      <c r="D597" t="s">
        <v>3757</v>
      </c>
      <c r="E597" t="s">
        <v>843</v>
      </c>
      <c r="F597" t="s">
        <v>844</v>
      </c>
      <c r="G597" t="s">
        <v>164</v>
      </c>
      <c r="H597" t="s">
        <v>165</v>
      </c>
      <c r="I597" t="s">
        <v>34</v>
      </c>
      <c r="J597" t="s">
        <v>166</v>
      </c>
      <c r="K597" t="s">
        <v>41</v>
      </c>
      <c r="L597" t="s">
        <v>3758</v>
      </c>
      <c r="M597" t="s">
        <v>3759</v>
      </c>
      <c r="N597" t="s">
        <v>847</v>
      </c>
      <c r="O597" t="s">
        <v>100</v>
      </c>
      <c r="P597" t="s">
        <v>3760</v>
      </c>
      <c r="Q597" t="s">
        <v>89</v>
      </c>
      <c r="R597" t="s">
        <v>1999</v>
      </c>
      <c r="S597">
        <v>1</v>
      </c>
      <c r="T597">
        <v>3366</v>
      </c>
      <c r="U597">
        <v>0</v>
      </c>
      <c r="V597">
        <v>3366</v>
      </c>
    </row>
    <row r="598" spans="1:22" x14ac:dyDescent="0.3">
      <c r="A598">
        <v>79452</v>
      </c>
      <c r="B598">
        <v>136270026</v>
      </c>
      <c r="C598" t="s">
        <v>3761</v>
      </c>
      <c r="D598" t="s">
        <v>3762</v>
      </c>
      <c r="E598" t="s">
        <v>843</v>
      </c>
      <c r="F598" t="s">
        <v>844</v>
      </c>
      <c r="G598" t="s">
        <v>164</v>
      </c>
      <c r="H598" t="s">
        <v>165</v>
      </c>
      <c r="I598" t="s">
        <v>34</v>
      </c>
      <c r="J598" t="s">
        <v>166</v>
      </c>
      <c r="K598" t="s">
        <v>41</v>
      </c>
      <c r="L598" t="s">
        <v>3763</v>
      </c>
      <c r="M598" t="s">
        <v>3764</v>
      </c>
      <c r="N598" t="s">
        <v>847</v>
      </c>
      <c r="O598" t="s">
        <v>100</v>
      </c>
      <c r="P598" t="s">
        <v>3765</v>
      </c>
      <c r="Q598" t="s">
        <v>59</v>
      </c>
      <c r="R598" t="s">
        <v>759</v>
      </c>
      <c r="S598">
        <v>1</v>
      </c>
      <c r="T598">
        <v>4067</v>
      </c>
      <c r="U598">
        <v>0</v>
      </c>
      <c r="V598">
        <v>4067</v>
      </c>
    </row>
    <row r="599" spans="1:22" x14ac:dyDescent="0.3">
      <c r="A599">
        <v>79452</v>
      </c>
      <c r="B599">
        <v>136196558</v>
      </c>
      <c r="C599" t="s">
        <v>3766</v>
      </c>
      <c r="D599" t="s">
        <v>3767</v>
      </c>
      <c r="E599" t="s">
        <v>843</v>
      </c>
      <c r="F599" t="s">
        <v>844</v>
      </c>
      <c r="G599" t="s">
        <v>164</v>
      </c>
      <c r="H599" t="s">
        <v>165</v>
      </c>
      <c r="I599" t="s">
        <v>34</v>
      </c>
      <c r="J599" t="s">
        <v>166</v>
      </c>
      <c r="K599" t="s">
        <v>41</v>
      </c>
      <c r="L599" t="s">
        <v>3768</v>
      </c>
      <c r="M599" t="s">
        <v>3769</v>
      </c>
      <c r="N599" t="s">
        <v>847</v>
      </c>
      <c r="O599" t="s">
        <v>100</v>
      </c>
      <c r="P599" t="s">
        <v>3770</v>
      </c>
      <c r="Q599" t="s">
        <v>74</v>
      </c>
      <c r="R599" t="s">
        <v>1999</v>
      </c>
      <c r="S599">
        <v>0.89</v>
      </c>
      <c r="T599">
        <v>3753</v>
      </c>
      <c r="U599">
        <v>0</v>
      </c>
      <c r="V599">
        <v>3753</v>
      </c>
    </row>
    <row r="600" spans="1:22" x14ac:dyDescent="0.3">
      <c r="A600">
        <v>79452</v>
      </c>
      <c r="B600">
        <v>136270013</v>
      </c>
      <c r="C600" t="s">
        <v>3771</v>
      </c>
      <c r="D600" t="s">
        <v>3772</v>
      </c>
      <c r="E600" t="s">
        <v>843</v>
      </c>
      <c r="F600" t="s">
        <v>844</v>
      </c>
      <c r="G600" t="s">
        <v>164</v>
      </c>
      <c r="H600" t="s">
        <v>165</v>
      </c>
      <c r="I600" t="s">
        <v>34</v>
      </c>
      <c r="J600" t="s">
        <v>166</v>
      </c>
      <c r="K600" t="s">
        <v>41</v>
      </c>
      <c r="L600" t="s">
        <v>3773</v>
      </c>
      <c r="M600" t="s">
        <v>3774</v>
      </c>
      <c r="N600" t="s">
        <v>847</v>
      </c>
      <c r="O600" t="s">
        <v>100</v>
      </c>
      <c r="P600" t="s">
        <v>3775</v>
      </c>
      <c r="Q600" t="s">
        <v>110</v>
      </c>
      <c r="R600" t="s">
        <v>759</v>
      </c>
      <c r="S600">
        <v>1.38</v>
      </c>
      <c r="T600">
        <v>7506</v>
      </c>
      <c r="U600">
        <v>0</v>
      </c>
      <c r="V600">
        <v>7506</v>
      </c>
    </row>
    <row r="601" spans="1:22" x14ac:dyDescent="0.3">
      <c r="A601">
        <v>79452</v>
      </c>
      <c r="B601">
        <v>136103939</v>
      </c>
      <c r="C601" t="s">
        <v>3776</v>
      </c>
      <c r="D601" t="s">
        <v>3777</v>
      </c>
      <c r="E601" t="s">
        <v>843</v>
      </c>
      <c r="F601" t="s">
        <v>844</v>
      </c>
      <c r="G601" t="s">
        <v>164</v>
      </c>
      <c r="H601" t="s">
        <v>165</v>
      </c>
      <c r="I601" t="s">
        <v>34</v>
      </c>
      <c r="J601" t="s">
        <v>166</v>
      </c>
      <c r="K601" t="s">
        <v>41</v>
      </c>
      <c r="L601" t="s">
        <v>3778</v>
      </c>
      <c r="M601" t="s">
        <v>3779</v>
      </c>
      <c r="N601" t="s">
        <v>847</v>
      </c>
      <c r="O601" t="s">
        <v>100</v>
      </c>
      <c r="P601" t="s">
        <v>3780</v>
      </c>
      <c r="Q601" t="s">
        <v>69</v>
      </c>
      <c r="R601" t="s">
        <v>803</v>
      </c>
      <c r="S601">
        <v>1.55</v>
      </c>
      <c r="T601">
        <v>3753</v>
      </c>
      <c r="U601">
        <v>0</v>
      </c>
      <c r="V601">
        <v>3753</v>
      </c>
    </row>
    <row r="602" spans="1:22" x14ac:dyDescent="0.3">
      <c r="A602">
        <v>79452</v>
      </c>
      <c r="B602">
        <v>136327483</v>
      </c>
      <c r="C602" t="s">
        <v>3781</v>
      </c>
      <c r="D602" t="s">
        <v>3782</v>
      </c>
      <c r="E602" t="s">
        <v>843</v>
      </c>
      <c r="F602" t="s">
        <v>844</v>
      </c>
      <c r="G602" t="s">
        <v>164</v>
      </c>
      <c r="H602" t="s">
        <v>165</v>
      </c>
      <c r="I602" t="s">
        <v>34</v>
      </c>
      <c r="J602" t="s">
        <v>166</v>
      </c>
      <c r="K602" t="s">
        <v>41</v>
      </c>
      <c r="L602" t="s">
        <v>3783</v>
      </c>
      <c r="M602" t="s">
        <v>3784</v>
      </c>
      <c r="N602" t="s">
        <v>847</v>
      </c>
      <c r="O602" t="s">
        <v>100</v>
      </c>
      <c r="P602" t="s">
        <v>3785</v>
      </c>
      <c r="Q602" t="s">
        <v>79</v>
      </c>
      <c r="R602" t="s">
        <v>1130</v>
      </c>
      <c r="S602">
        <v>2.79</v>
      </c>
      <c r="T602">
        <v>4730</v>
      </c>
      <c r="U602">
        <v>0</v>
      </c>
      <c r="V602">
        <v>4730</v>
      </c>
    </row>
    <row r="603" spans="1:22" x14ac:dyDescent="0.3">
      <c r="A603">
        <v>79452</v>
      </c>
      <c r="B603">
        <v>136327499</v>
      </c>
      <c r="C603" t="s">
        <v>3786</v>
      </c>
      <c r="D603" t="s">
        <v>3787</v>
      </c>
      <c r="E603" t="s">
        <v>843</v>
      </c>
      <c r="F603" t="s">
        <v>844</v>
      </c>
      <c r="G603" t="s">
        <v>164</v>
      </c>
      <c r="H603" t="s">
        <v>165</v>
      </c>
      <c r="I603" t="s">
        <v>34</v>
      </c>
      <c r="J603" t="s">
        <v>166</v>
      </c>
      <c r="K603" t="s">
        <v>41</v>
      </c>
      <c r="L603" t="s">
        <v>3788</v>
      </c>
      <c r="M603" t="s">
        <v>3789</v>
      </c>
      <c r="N603" t="s">
        <v>847</v>
      </c>
      <c r="O603" t="s">
        <v>100</v>
      </c>
      <c r="P603" t="s">
        <v>3790</v>
      </c>
      <c r="Q603" t="s">
        <v>43</v>
      </c>
      <c r="R603" t="s">
        <v>1130</v>
      </c>
      <c r="S603">
        <v>1.61</v>
      </c>
      <c r="T603">
        <v>3753</v>
      </c>
      <c r="U603">
        <v>0</v>
      </c>
      <c r="V603">
        <v>3753</v>
      </c>
    </row>
    <row r="604" spans="1:22" x14ac:dyDescent="0.3">
      <c r="A604">
        <v>79452</v>
      </c>
      <c r="B604">
        <v>136103945</v>
      </c>
      <c r="C604" t="s">
        <v>3791</v>
      </c>
      <c r="D604" t="s">
        <v>3792</v>
      </c>
      <c r="E604" t="s">
        <v>843</v>
      </c>
      <c r="F604" t="s">
        <v>844</v>
      </c>
      <c r="G604" t="s">
        <v>164</v>
      </c>
      <c r="H604" t="s">
        <v>165</v>
      </c>
      <c r="I604" t="s">
        <v>34</v>
      </c>
      <c r="J604" t="s">
        <v>166</v>
      </c>
      <c r="K604" t="s">
        <v>41</v>
      </c>
      <c r="L604" t="s">
        <v>3793</v>
      </c>
      <c r="M604" t="s">
        <v>3794</v>
      </c>
      <c r="N604" t="s">
        <v>847</v>
      </c>
      <c r="O604" t="s">
        <v>100</v>
      </c>
      <c r="P604" t="s">
        <v>3795</v>
      </c>
      <c r="Q604" t="s">
        <v>54</v>
      </c>
      <c r="R604" t="s">
        <v>803</v>
      </c>
      <c r="S604">
        <v>1</v>
      </c>
      <c r="T604">
        <v>5759</v>
      </c>
      <c r="U604">
        <v>0</v>
      </c>
      <c r="V604">
        <v>5759</v>
      </c>
    </row>
    <row r="605" spans="1:22" x14ac:dyDescent="0.3">
      <c r="A605">
        <v>79452</v>
      </c>
      <c r="B605">
        <v>136440022</v>
      </c>
      <c r="C605" t="s">
        <v>3796</v>
      </c>
      <c r="D605" t="s">
        <v>3797</v>
      </c>
      <c r="E605" t="s">
        <v>843</v>
      </c>
      <c r="F605" t="s">
        <v>844</v>
      </c>
      <c r="G605" t="s">
        <v>164</v>
      </c>
      <c r="H605" t="s">
        <v>165</v>
      </c>
      <c r="I605" t="s">
        <v>34</v>
      </c>
      <c r="J605" t="s">
        <v>166</v>
      </c>
      <c r="K605" t="s">
        <v>41</v>
      </c>
      <c r="L605" t="s">
        <v>3798</v>
      </c>
      <c r="M605" t="s">
        <v>3799</v>
      </c>
      <c r="N605" t="s">
        <v>847</v>
      </c>
      <c r="O605" t="s">
        <v>100</v>
      </c>
      <c r="P605" t="s">
        <v>3800</v>
      </c>
      <c r="Q605" t="s">
        <v>54</v>
      </c>
      <c r="R605" t="s">
        <v>3597</v>
      </c>
      <c r="S605">
        <v>1.2</v>
      </c>
      <c r="T605">
        <v>5759</v>
      </c>
      <c r="U605">
        <v>0</v>
      </c>
      <c r="V605">
        <v>5759</v>
      </c>
    </row>
    <row r="606" spans="1:22" x14ac:dyDescent="0.3">
      <c r="A606">
        <v>79452</v>
      </c>
      <c r="B606">
        <v>136270010</v>
      </c>
      <c r="C606" t="s">
        <v>3801</v>
      </c>
      <c r="D606" t="s">
        <v>3802</v>
      </c>
      <c r="E606" t="s">
        <v>843</v>
      </c>
      <c r="F606" t="s">
        <v>844</v>
      </c>
      <c r="G606" t="s">
        <v>164</v>
      </c>
      <c r="H606" t="s">
        <v>165</v>
      </c>
      <c r="I606" t="s">
        <v>34</v>
      </c>
      <c r="J606" t="s">
        <v>166</v>
      </c>
      <c r="K606" t="s">
        <v>41</v>
      </c>
      <c r="L606" t="s">
        <v>3803</v>
      </c>
      <c r="M606" t="s">
        <v>3804</v>
      </c>
      <c r="N606" t="s">
        <v>847</v>
      </c>
      <c r="O606" t="s">
        <v>100</v>
      </c>
      <c r="P606" t="s">
        <v>3805</v>
      </c>
      <c r="Q606" t="s">
        <v>206</v>
      </c>
      <c r="R606" t="s">
        <v>759</v>
      </c>
      <c r="S606">
        <v>1</v>
      </c>
      <c r="T606">
        <v>3753</v>
      </c>
      <c r="U606">
        <v>0</v>
      </c>
      <c r="V606">
        <v>3753</v>
      </c>
    </row>
    <row r="607" spans="1:22" x14ac:dyDescent="0.3">
      <c r="A607">
        <v>79452</v>
      </c>
      <c r="B607">
        <v>136196599</v>
      </c>
      <c r="C607" t="s">
        <v>3806</v>
      </c>
      <c r="D607" t="s">
        <v>3807</v>
      </c>
      <c r="E607" t="s">
        <v>843</v>
      </c>
      <c r="F607" t="s">
        <v>844</v>
      </c>
      <c r="G607" t="s">
        <v>164</v>
      </c>
      <c r="H607" t="s">
        <v>165</v>
      </c>
      <c r="I607" t="s">
        <v>34</v>
      </c>
      <c r="J607" t="s">
        <v>166</v>
      </c>
      <c r="K607" t="s">
        <v>41</v>
      </c>
      <c r="L607" t="s">
        <v>3808</v>
      </c>
      <c r="M607" t="s">
        <v>3809</v>
      </c>
      <c r="N607" t="s">
        <v>847</v>
      </c>
      <c r="O607" t="s">
        <v>100</v>
      </c>
      <c r="P607" t="s">
        <v>3810</v>
      </c>
      <c r="Q607" t="s">
        <v>54</v>
      </c>
      <c r="R607" t="s">
        <v>1999</v>
      </c>
      <c r="S607">
        <v>1</v>
      </c>
      <c r="T607">
        <v>5759</v>
      </c>
      <c r="U607">
        <v>0</v>
      </c>
      <c r="V607">
        <v>5759</v>
      </c>
    </row>
    <row r="608" spans="1:22" x14ac:dyDescent="0.3">
      <c r="A608">
        <v>79452</v>
      </c>
      <c r="B608">
        <v>136412006</v>
      </c>
      <c r="C608" t="s">
        <v>3811</v>
      </c>
      <c r="D608" t="s">
        <v>3812</v>
      </c>
      <c r="E608" t="s">
        <v>843</v>
      </c>
      <c r="F608" t="s">
        <v>844</v>
      </c>
      <c r="G608" t="s">
        <v>164</v>
      </c>
      <c r="H608" t="s">
        <v>165</v>
      </c>
      <c r="I608" t="s">
        <v>34</v>
      </c>
      <c r="J608" t="s">
        <v>166</v>
      </c>
      <c r="K608" t="s">
        <v>41</v>
      </c>
      <c r="L608" t="s">
        <v>3813</v>
      </c>
      <c r="M608" t="s">
        <v>819</v>
      </c>
      <c r="N608" t="s">
        <v>847</v>
      </c>
      <c r="O608" t="s">
        <v>100</v>
      </c>
      <c r="P608" t="s">
        <v>3814</v>
      </c>
      <c r="Q608" t="s">
        <v>226</v>
      </c>
      <c r="R608" t="s">
        <v>3545</v>
      </c>
      <c r="S608">
        <v>1</v>
      </c>
      <c r="T608">
        <v>3753</v>
      </c>
      <c r="U608">
        <v>0</v>
      </c>
      <c r="V608">
        <v>3753</v>
      </c>
    </row>
    <row r="609" spans="1:22" x14ac:dyDescent="0.3">
      <c r="A609">
        <v>79452</v>
      </c>
      <c r="B609">
        <v>136483032</v>
      </c>
      <c r="C609" t="s">
        <v>3815</v>
      </c>
      <c r="D609" t="s">
        <v>3816</v>
      </c>
      <c r="E609" t="s">
        <v>843</v>
      </c>
      <c r="F609" t="s">
        <v>844</v>
      </c>
      <c r="G609" t="s">
        <v>164</v>
      </c>
      <c r="H609" t="s">
        <v>165</v>
      </c>
      <c r="I609" t="s">
        <v>34</v>
      </c>
      <c r="J609" t="s">
        <v>166</v>
      </c>
      <c r="K609" t="s">
        <v>41</v>
      </c>
      <c r="L609" t="s">
        <v>3817</v>
      </c>
      <c r="M609" t="s">
        <v>3818</v>
      </c>
      <c r="N609" t="s">
        <v>847</v>
      </c>
      <c r="O609" t="s">
        <v>100</v>
      </c>
      <c r="P609" t="s">
        <v>3819</v>
      </c>
      <c r="Q609" t="s">
        <v>87</v>
      </c>
      <c r="R609" t="s">
        <v>590</v>
      </c>
      <c r="S609">
        <v>1</v>
      </c>
      <c r="T609">
        <v>3366</v>
      </c>
      <c r="U609">
        <v>0</v>
      </c>
      <c r="V609">
        <v>3366</v>
      </c>
    </row>
    <row r="610" spans="1:22" x14ac:dyDescent="0.3">
      <c r="A610">
        <v>79452</v>
      </c>
      <c r="B610">
        <v>136103895</v>
      </c>
      <c r="C610" t="s">
        <v>3820</v>
      </c>
      <c r="D610" t="s">
        <v>3821</v>
      </c>
      <c r="E610" t="s">
        <v>843</v>
      </c>
      <c r="F610" t="s">
        <v>844</v>
      </c>
      <c r="G610" t="s">
        <v>164</v>
      </c>
      <c r="H610" t="s">
        <v>165</v>
      </c>
      <c r="I610" t="s">
        <v>34</v>
      </c>
      <c r="J610" t="s">
        <v>166</v>
      </c>
      <c r="K610" t="s">
        <v>41</v>
      </c>
      <c r="L610" t="s">
        <v>3822</v>
      </c>
      <c r="M610" t="s">
        <v>3823</v>
      </c>
      <c r="N610" t="s">
        <v>847</v>
      </c>
      <c r="O610" t="s">
        <v>100</v>
      </c>
      <c r="P610" t="s">
        <v>3824</v>
      </c>
      <c r="Q610" t="s">
        <v>59</v>
      </c>
      <c r="R610" t="s">
        <v>803</v>
      </c>
      <c r="S610">
        <v>1</v>
      </c>
      <c r="T610">
        <v>4067</v>
      </c>
      <c r="U610">
        <v>0</v>
      </c>
      <c r="V610">
        <v>4067</v>
      </c>
    </row>
    <row r="611" spans="1:22" x14ac:dyDescent="0.3">
      <c r="A611">
        <v>79452</v>
      </c>
      <c r="B611">
        <v>136363693</v>
      </c>
      <c r="C611" t="s">
        <v>3825</v>
      </c>
      <c r="D611" t="s">
        <v>3826</v>
      </c>
      <c r="E611" t="s">
        <v>843</v>
      </c>
      <c r="F611" t="s">
        <v>844</v>
      </c>
      <c r="G611" t="s">
        <v>164</v>
      </c>
      <c r="H611" t="s">
        <v>165</v>
      </c>
      <c r="I611" t="s">
        <v>34</v>
      </c>
      <c r="J611" t="s">
        <v>166</v>
      </c>
      <c r="K611" t="s">
        <v>41</v>
      </c>
      <c r="L611" t="s">
        <v>3827</v>
      </c>
      <c r="M611" t="s">
        <v>3828</v>
      </c>
      <c r="N611" t="s">
        <v>847</v>
      </c>
      <c r="O611" t="s">
        <v>100</v>
      </c>
      <c r="P611" t="s">
        <v>3829</v>
      </c>
      <c r="Q611" t="s">
        <v>55</v>
      </c>
      <c r="R611" t="s">
        <v>3337</v>
      </c>
      <c r="S611">
        <v>2.08</v>
      </c>
      <c r="T611">
        <v>5198</v>
      </c>
      <c r="U611">
        <v>0</v>
      </c>
      <c r="V611">
        <v>5198</v>
      </c>
    </row>
    <row r="612" spans="1:22" x14ac:dyDescent="0.3">
      <c r="A612">
        <v>79452</v>
      </c>
      <c r="B612">
        <v>136508202</v>
      </c>
      <c r="C612" t="s">
        <v>3830</v>
      </c>
      <c r="D612" t="s">
        <v>3831</v>
      </c>
      <c r="E612" t="s">
        <v>843</v>
      </c>
      <c r="F612" t="s">
        <v>844</v>
      </c>
      <c r="G612" t="s">
        <v>164</v>
      </c>
      <c r="H612" t="s">
        <v>165</v>
      </c>
      <c r="I612" t="s">
        <v>34</v>
      </c>
      <c r="J612" t="s">
        <v>166</v>
      </c>
      <c r="K612" t="s">
        <v>41</v>
      </c>
      <c r="L612" t="s">
        <v>3832</v>
      </c>
      <c r="M612" t="s">
        <v>685</v>
      </c>
      <c r="N612" t="s">
        <v>847</v>
      </c>
      <c r="O612" t="s">
        <v>100</v>
      </c>
      <c r="P612" t="s">
        <v>2891</v>
      </c>
      <c r="Q612" t="s">
        <v>141</v>
      </c>
      <c r="R612" t="s">
        <v>3236</v>
      </c>
      <c r="S612">
        <v>1</v>
      </c>
      <c r="T612">
        <v>3366</v>
      </c>
      <c r="U612">
        <v>0</v>
      </c>
      <c r="V612">
        <v>3366</v>
      </c>
    </row>
    <row r="613" spans="1:22" x14ac:dyDescent="0.3">
      <c r="A613">
        <v>79452</v>
      </c>
      <c r="B613">
        <v>136363605</v>
      </c>
      <c r="C613" t="s">
        <v>3833</v>
      </c>
      <c r="D613" t="s">
        <v>3834</v>
      </c>
      <c r="E613" t="s">
        <v>843</v>
      </c>
      <c r="F613" t="s">
        <v>844</v>
      </c>
      <c r="G613" t="s">
        <v>164</v>
      </c>
      <c r="H613" t="s">
        <v>165</v>
      </c>
      <c r="I613" t="s">
        <v>34</v>
      </c>
      <c r="J613" t="s">
        <v>166</v>
      </c>
      <c r="K613" t="s">
        <v>41</v>
      </c>
      <c r="L613" t="s">
        <v>3835</v>
      </c>
      <c r="M613" t="s">
        <v>3836</v>
      </c>
      <c r="N613" t="s">
        <v>847</v>
      </c>
      <c r="O613" t="s">
        <v>100</v>
      </c>
      <c r="P613" t="s">
        <v>3837</v>
      </c>
      <c r="Q613" t="s">
        <v>224</v>
      </c>
      <c r="R613" t="s">
        <v>3337</v>
      </c>
      <c r="S613">
        <v>1</v>
      </c>
      <c r="T613">
        <v>4067</v>
      </c>
      <c r="U613">
        <v>0</v>
      </c>
      <c r="V613">
        <v>4067</v>
      </c>
    </row>
    <row r="614" spans="1:22" x14ac:dyDescent="0.3">
      <c r="A614">
        <v>79452</v>
      </c>
      <c r="B614">
        <v>136270075</v>
      </c>
      <c r="C614" t="s">
        <v>3838</v>
      </c>
      <c r="D614" t="s">
        <v>3839</v>
      </c>
      <c r="E614" t="s">
        <v>843</v>
      </c>
      <c r="F614" t="s">
        <v>844</v>
      </c>
      <c r="G614" t="s">
        <v>164</v>
      </c>
      <c r="H614" t="s">
        <v>165</v>
      </c>
      <c r="I614" t="s">
        <v>34</v>
      </c>
      <c r="J614" t="s">
        <v>166</v>
      </c>
      <c r="K614" t="s">
        <v>41</v>
      </c>
      <c r="L614" t="s">
        <v>3840</v>
      </c>
      <c r="M614" t="s">
        <v>3841</v>
      </c>
      <c r="N614" t="s">
        <v>847</v>
      </c>
      <c r="O614" t="s">
        <v>100</v>
      </c>
      <c r="P614" t="s">
        <v>3842</v>
      </c>
      <c r="Q614" t="s">
        <v>49</v>
      </c>
      <c r="R614" t="s">
        <v>759</v>
      </c>
      <c r="S614">
        <v>1</v>
      </c>
      <c r="T614">
        <v>3784</v>
      </c>
      <c r="U614">
        <v>0</v>
      </c>
      <c r="V614">
        <v>3784</v>
      </c>
    </row>
    <row r="615" spans="1:22" x14ac:dyDescent="0.3">
      <c r="A615">
        <v>79452</v>
      </c>
      <c r="B615">
        <v>136327482</v>
      </c>
      <c r="C615" t="s">
        <v>3843</v>
      </c>
      <c r="D615" t="s">
        <v>3844</v>
      </c>
      <c r="E615" t="s">
        <v>843</v>
      </c>
      <c r="F615" t="s">
        <v>844</v>
      </c>
      <c r="G615" t="s">
        <v>164</v>
      </c>
      <c r="H615" t="s">
        <v>165</v>
      </c>
      <c r="I615" t="s">
        <v>34</v>
      </c>
      <c r="J615" t="s">
        <v>166</v>
      </c>
      <c r="K615" t="s">
        <v>41</v>
      </c>
      <c r="L615" t="s">
        <v>3845</v>
      </c>
      <c r="M615" t="s">
        <v>3846</v>
      </c>
      <c r="N615" t="s">
        <v>847</v>
      </c>
      <c r="O615" t="s">
        <v>100</v>
      </c>
      <c r="P615" t="s">
        <v>3847</v>
      </c>
      <c r="Q615" t="s">
        <v>652</v>
      </c>
      <c r="R615" t="s">
        <v>1130</v>
      </c>
      <c r="S615">
        <v>1</v>
      </c>
      <c r="T615">
        <v>3753</v>
      </c>
      <c r="U615">
        <v>0</v>
      </c>
      <c r="V615">
        <v>3753</v>
      </c>
    </row>
    <row r="616" spans="1:22" x14ac:dyDescent="0.3">
      <c r="A616">
        <v>79452</v>
      </c>
      <c r="B616">
        <v>136363656</v>
      </c>
      <c r="C616" t="s">
        <v>3848</v>
      </c>
      <c r="D616" t="s">
        <v>3849</v>
      </c>
      <c r="E616" t="s">
        <v>843</v>
      </c>
      <c r="F616" t="s">
        <v>844</v>
      </c>
      <c r="G616" t="s">
        <v>164</v>
      </c>
      <c r="H616" t="s">
        <v>165</v>
      </c>
      <c r="I616" t="s">
        <v>34</v>
      </c>
      <c r="J616" t="s">
        <v>166</v>
      </c>
      <c r="K616" t="s">
        <v>41</v>
      </c>
      <c r="L616" t="s">
        <v>3850</v>
      </c>
      <c r="M616" t="s">
        <v>3851</v>
      </c>
      <c r="N616" t="s">
        <v>847</v>
      </c>
      <c r="O616" t="s">
        <v>100</v>
      </c>
      <c r="P616" t="s">
        <v>3852</v>
      </c>
      <c r="Q616" t="s">
        <v>214</v>
      </c>
      <c r="R616" t="s">
        <v>3337</v>
      </c>
      <c r="S616">
        <v>2.1800000000000002</v>
      </c>
      <c r="T616">
        <v>3366</v>
      </c>
      <c r="U616">
        <v>0</v>
      </c>
      <c r="V616">
        <v>3366</v>
      </c>
    </row>
    <row r="617" spans="1:22" x14ac:dyDescent="0.3">
      <c r="A617">
        <v>79452</v>
      </c>
      <c r="B617">
        <v>136269926</v>
      </c>
      <c r="C617" t="s">
        <v>3853</v>
      </c>
      <c r="D617" t="s">
        <v>3854</v>
      </c>
      <c r="E617" t="s">
        <v>843</v>
      </c>
      <c r="F617" t="s">
        <v>844</v>
      </c>
      <c r="G617" t="s">
        <v>164</v>
      </c>
      <c r="H617" t="s">
        <v>165</v>
      </c>
      <c r="I617" t="s">
        <v>34</v>
      </c>
      <c r="J617" t="s">
        <v>166</v>
      </c>
      <c r="K617" t="s">
        <v>41</v>
      </c>
      <c r="L617" t="s">
        <v>3855</v>
      </c>
      <c r="M617" t="s">
        <v>3856</v>
      </c>
      <c r="N617" t="s">
        <v>847</v>
      </c>
      <c r="O617" t="s">
        <v>100</v>
      </c>
      <c r="P617" t="s">
        <v>3857</v>
      </c>
      <c r="Q617" t="s">
        <v>63</v>
      </c>
      <c r="R617" t="s">
        <v>794</v>
      </c>
      <c r="S617">
        <v>1.37</v>
      </c>
      <c r="T617">
        <v>4067</v>
      </c>
      <c r="U617">
        <v>0</v>
      </c>
      <c r="V617">
        <v>4067</v>
      </c>
    </row>
    <row r="618" spans="1:22" x14ac:dyDescent="0.3">
      <c r="A618">
        <v>79452</v>
      </c>
      <c r="B618">
        <v>136327521</v>
      </c>
      <c r="C618" t="s">
        <v>3858</v>
      </c>
      <c r="D618" t="s">
        <v>3859</v>
      </c>
      <c r="E618" t="s">
        <v>843</v>
      </c>
      <c r="F618" t="s">
        <v>844</v>
      </c>
      <c r="G618" t="s">
        <v>164</v>
      </c>
      <c r="H618" t="s">
        <v>165</v>
      </c>
      <c r="I618" t="s">
        <v>34</v>
      </c>
      <c r="J618" t="s">
        <v>166</v>
      </c>
      <c r="K618" t="s">
        <v>41</v>
      </c>
      <c r="L618" t="s">
        <v>3860</v>
      </c>
      <c r="M618" t="s">
        <v>3062</v>
      </c>
      <c r="N618" t="s">
        <v>847</v>
      </c>
      <c r="O618" t="s">
        <v>100</v>
      </c>
      <c r="P618" t="s">
        <v>3861</v>
      </c>
      <c r="Q618" t="s">
        <v>50</v>
      </c>
      <c r="R618" t="s">
        <v>708</v>
      </c>
      <c r="S618">
        <v>1</v>
      </c>
      <c r="T618">
        <v>3784</v>
      </c>
      <c r="U618">
        <v>0</v>
      </c>
      <c r="V618">
        <v>3784</v>
      </c>
    </row>
    <row r="619" spans="1:22" x14ac:dyDescent="0.3">
      <c r="A619">
        <v>79452</v>
      </c>
      <c r="B619">
        <v>136196502</v>
      </c>
      <c r="C619" t="s">
        <v>3862</v>
      </c>
      <c r="D619" t="s">
        <v>3863</v>
      </c>
      <c r="E619" t="s">
        <v>843</v>
      </c>
      <c r="F619" t="s">
        <v>844</v>
      </c>
      <c r="G619" t="s">
        <v>164</v>
      </c>
      <c r="H619" t="s">
        <v>165</v>
      </c>
      <c r="I619" t="s">
        <v>34</v>
      </c>
      <c r="J619" t="s">
        <v>166</v>
      </c>
      <c r="K619" t="s">
        <v>41</v>
      </c>
      <c r="L619" t="s">
        <v>3864</v>
      </c>
      <c r="M619" t="s">
        <v>3865</v>
      </c>
      <c r="N619" t="s">
        <v>847</v>
      </c>
      <c r="O619" t="s">
        <v>100</v>
      </c>
      <c r="P619" t="s">
        <v>3866</v>
      </c>
      <c r="Q619" t="s">
        <v>577</v>
      </c>
      <c r="R619" t="s">
        <v>1999</v>
      </c>
      <c r="S619">
        <v>1.03</v>
      </c>
      <c r="T619">
        <v>3784</v>
      </c>
      <c r="U619">
        <v>0</v>
      </c>
      <c r="V619">
        <v>3784</v>
      </c>
    </row>
    <row r="620" spans="1:22" x14ac:dyDescent="0.3">
      <c r="A620">
        <v>79452</v>
      </c>
      <c r="B620">
        <v>136196575</v>
      </c>
      <c r="C620" t="s">
        <v>3867</v>
      </c>
      <c r="D620" t="s">
        <v>3868</v>
      </c>
      <c r="E620" t="s">
        <v>843</v>
      </c>
      <c r="F620" t="s">
        <v>844</v>
      </c>
      <c r="G620" t="s">
        <v>164</v>
      </c>
      <c r="H620" t="s">
        <v>165</v>
      </c>
      <c r="I620" t="s">
        <v>34</v>
      </c>
      <c r="J620" t="s">
        <v>166</v>
      </c>
      <c r="K620" t="s">
        <v>41</v>
      </c>
      <c r="L620" t="s">
        <v>3869</v>
      </c>
      <c r="M620" t="s">
        <v>3870</v>
      </c>
      <c r="N620" t="s">
        <v>847</v>
      </c>
      <c r="O620" t="s">
        <v>100</v>
      </c>
      <c r="P620" t="s">
        <v>3871</v>
      </c>
      <c r="Q620" t="s">
        <v>60</v>
      </c>
      <c r="R620" t="s">
        <v>1999</v>
      </c>
      <c r="S620">
        <v>1</v>
      </c>
      <c r="T620">
        <v>4346</v>
      </c>
      <c r="U620">
        <v>0</v>
      </c>
      <c r="V620">
        <v>4346</v>
      </c>
    </row>
    <row r="621" spans="1:22" x14ac:dyDescent="0.3">
      <c r="A621">
        <v>79452</v>
      </c>
      <c r="B621">
        <v>135844931</v>
      </c>
      <c r="C621" t="s">
        <v>3872</v>
      </c>
      <c r="D621" t="s">
        <v>3873</v>
      </c>
      <c r="E621" t="s">
        <v>843</v>
      </c>
      <c r="F621" t="s">
        <v>844</v>
      </c>
      <c r="G621" t="s">
        <v>164</v>
      </c>
      <c r="H621" t="s">
        <v>165</v>
      </c>
      <c r="I621" t="s">
        <v>34</v>
      </c>
      <c r="J621" t="s">
        <v>166</v>
      </c>
      <c r="K621" t="s">
        <v>41</v>
      </c>
      <c r="L621" t="s">
        <v>3874</v>
      </c>
      <c r="M621" t="s">
        <v>3875</v>
      </c>
      <c r="N621" t="s">
        <v>847</v>
      </c>
      <c r="O621" t="s">
        <v>100</v>
      </c>
      <c r="P621" t="s">
        <v>3876</v>
      </c>
      <c r="Q621" t="s">
        <v>69</v>
      </c>
      <c r="R621" t="s">
        <v>3877</v>
      </c>
      <c r="S621">
        <v>1.0900000000000001</v>
      </c>
      <c r="T621">
        <v>3753</v>
      </c>
      <c r="U621">
        <v>0</v>
      </c>
      <c r="V621">
        <v>3753</v>
      </c>
    </row>
    <row r="622" spans="1:22" x14ac:dyDescent="0.3">
      <c r="A622">
        <v>79452</v>
      </c>
      <c r="B622">
        <v>136104042</v>
      </c>
      <c r="C622" t="s">
        <v>3878</v>
      </c>
      <c r="D622" t="s">
        <v>3879</v>
      </c>
      <c r="E622" t="s">
        <v>843</v>
      </c>
      <c r="F622" t="s">
        <v>844</v>
      </c>
      <c r="G622" t="s">
        <v>164</v>
      </c>
      <c r="H622" t="s">
        <v>165</v>
      </c>
      <c r="I622" t="s">
        <v>34</v>
      </c>
      <c r="J622" t="s">
        <v>166</v>
      </c>
      <c r="K622" t="s">
        <v>41</v>
      </c>
      <c r="L622" t="s">
        <v>408</v>
      </c>
      <c r="M622" t="s">
        <v>3880</v>
      </c>
      <c r="N622" t="s">
        <v>847</v>
      </c>
      <c r="O622" t="s">
        <v>100</v>
      </c>
      <c r="P622" t="s">
        <v>3881</v>
      </c>
      <c r="Q622" t="s">
        <v>69</v>
      </c>
      <c r="R622" t="s">
        <v>803</v>
      </c>
      <c r="S622">
        <v>1.5</v>
      </c>
      <c r="T622">
        <v>3753</v>
      </c>
      <c r="U622">
        <v>0</v>
      </c>
      <c r="V622">
        <v>3753</v>
      </c>
    </row>
    <row r="623" spans="1:22" x14ac:dyDescent="0.3">
      <c r="A623">
        <v>79452</v>
      </c>
      <c r="B623">
        <v>136363591</v>
      </c>
      <c r="C623" t="s">
        <v>3882</v>
      </c>
      <c r="D623" t="s">
        <v>3883</v>
      </c>
      <c r="E623" t="s">
        <v>843</v>
      </c>
      <c r="F623" t="s">
        <v>844</v>
      </c>
      <c r="G623" t="s">
        <v>164</v>
      </c>
      <c r="H623" t="s">
        <v>165</v>
      </c>
      <c r="I623" t="s">
        <v>34</v>
      </c>
      <c r="J623" t="s">
        <v>166</v>
      </c>
      <c r="K623" t="s">
        <v>41</v>
      </c>
      <c r="L623" t="s">
        <v>3884</v>
      </c>
      <c r="M623" t="s">
        <v>3885</v>
      </c>
      <c r="N623" t="s">
        <v>847</v>
      </c>
      <c r="O623" t="s">
        <v>100</v>
      </c>
      <c r="P623" t="s">
        <v>3886</v>
      </c>
      <c r="Q623" t="s">
        <v>190</v>
      </c>
      <c r="R623" t="s">
        <v>3337</v>
      </c>
      <c r="S623">
        <v>2.17</v>
      </c>
      <c r="T623">
        <v>3366</v>
      </c>
      <c r="U623">
        <v>0</v>
      </c>
      <c r="V623">
        <v>3366</v>
      </c>
    </row>
    <row r="624" spans="1:22" x14ac:dyDescent="0.3">
      <c r="A624">
        <v>79452</v>
      </c>
      <c r="B624">
        <v>136196555</v>
      </c>
      <c r="C624" t="s">
        <v>3887</v>
      </c>
      <c r="D624" t="s">
        <v>3888</v>
      </c>
      <c r="E624" t="s">
        <v>843</v>
      </c>
      <c r="F624" t="s">
        <v>844</v>
      </c>
      <c r="G624" t="s">
        <v>164</v>
      </c>
      <c r="H624" t="s">
        <v>165</v>
      </c>
      <c r="I624" t="s">
        <v>34</v>
      </c>
      <c r="J624" t="s">
        <v>166</v>
      </c>
      <c r="K624" t="s">
        <v>41</v>
      </c>
      <c r="L624" t="s">
        <v>3889</v>
      </c>
      <c r="M624" t="s">
        <v>3890</v>
      </c>
      <c r="N624" t="s">
        <v>847</v>
      </c>
      <c r="O624" t="s">
        <v>100</v>
      </c>
      <c r="P624" t="s">
        <v>3891</v>
      </c>
      <c r="Q624" t="s">
        <v>84</v>
      </c>
      <c r="R624" t="s">
        <v>1999</v>
      </c>
      <c r="S624">
        <v>0.94</v>
      </c>
      <c r="T624">
        <v>3366</v>
      </c>
      <c r="U624">
        <v>0</v>
      </c>
      <c r="V624">
        <v>3366</v>
      </c>
    </row>
    <row r="625" spans="1:22" x14ac:dyDescent="0.3">
      <c r="A625">
        <v>79452</v>
      </c>
      <c r="B625">
        <v>136103923</v>
      </c>
      <c r="C625" t="s">
        <v>3892</v>
      </c>
      <c r="D625" t="s">
        <v>3893</v>
      </c>
      <c r="E625" t="s">
        <v>843</v>
      </c>
      <c r="F625" t="s">
        <v>844</v>
      </c>
      <c r="G625" t="s">
        <v>164</v>
      </c>
      <c r="H625" t="s">
        <v>165</v>
      </c>
      <c r="I625" t="s">
        <v>34</v>
      </c>
      <c r="J625" t="s">
        <v>166</v>
      </c>
      <c r="K625" t="s">
        <v>41</v>
      </c>
      <c r="L625" t="s">
        <v>3894</v>
      </c>
      <c r="M625" t="s">
        <v>3895</v>
      </c>
      <c r="N625" t="s">
        <v>847</v>
      </c>
      <c r="O625" t="s">
        <v>100</v>
      </c>
      <c r="P625" t="s">
        <v>3896</v>
      </c>
      <c r="Q625" t="s">
        <v>83</v>
      </c>
      <c r="R625" t="s">
        <v>803</v>
      </c>
      <c r="S625">
        <v>1.46</v>
      </c>
      <c r="T625">
        <v>3366</v>
      </c>
      <c r="U625">
        <v>0</v>
      </c>
      <c r="V625">
        <v>3366</v>
      </c>
    </row>
    <row r="626" spans="1:22" x14ac:dyDescent="0.3">
      <c r="A626">
        <v>79452</v>
      </c>
      <c r="B626">
        <v>136270076</v>
      </c>
      <c r="C626" t="s">
        <v>3897</v>
      </c>
      <c r="D626" t="s">
        <v>3898</v>
      </c>
      <c r="E626" t="s">
        <v>843</v>
      </c>
      <c r="F626" t="s">
        <v>844</v>
      </c>
      <c r="G626" t="s">
        <v>164</v>
      </c>
      <c r="H626" t="s">
        <v>165</v>
      </c>
      <c r="I626" t="s">
        <v>34</v>
      </c>
      <c r="J626" t="s">
        <v>166</v>
      </c>
      <c r="K626" t="s">
        <v>41</v>
      </c>
      <c r="L626" t="s">
        <v>3899</v>
      </c>
      <c r="M626" t="s">
        <v>3900</v>
      </c>
      <c r="N626" t="s">
        <v>847</v>
      </c>
      <c r="O626" t="s">
        <v>100</v>
      </c>
      <c r="P626" t="s">
        <v>3901</v>
      </c>
      <c r="Q626" t="s">
        <v>92</v>
      </c>
      <c r="R626" t="s">
        <v>759</v>
      </c>
      <c r="S626">
        <v>1.77</v>
      </c>
      <c r="T626">
        <v>3366</v>
      </c>
      <c r="U626">
        <v>0</v>
      </c>
      <c r="V626">
        <v>3366</v>
      </c>
    </row>
    <row r="627" spans="1:22" x14ac:dyDescent="0.3">
      <c r="A627">
        <v>79452</v>
      </c>
      <c r="B627">
        <v>136196497</v>
      </c>
      <c r="C627" t="s">
        <v>3902</v>
      </c>
      <c r="D627" t="s">
        <v>3903</v>
      </c>
      <c r="E627" t="s">
        <v>843</v>
      </c>
      <c r="F627" t="s">
        <v>844</v>
      </c>
      <c r="G627" t="s">
        <v>164</v>
      </c>
      <c r="H627" t="s">
        <v>165</v>
      </c>
      <c r="I627" t="s">
        <v>34</v>
      </c>
      <c r="J627" t="s">
        <v>166</v>
      </c>
      <c r="K627" t="s">
        <v>41</v>
      </c>
      <c r="L627" t="s">
        <v>3904</v>
      </c>
      <c r="M627" t="s">
        <v>3905</v>
      </c>
      <c r="N627" t="s">
        <v>847</v>
      </c>
      <c r="O627" t="s">
        <v>100</v>
      </c>
      <c r="P627" t="s">
        <v>3906</v>
      </c>
      <c r="Q627" t="s">
        <v>94</v>
      </c>
      <c r="R627" t="s">
        <v>1999</v>
      </c>
      <c r="S627">
        <v>2.21</v>
      </c>
      <c r="T627">
        <v>3366</v>
      </c>
      <c r="U627">
        <v>0</v>
      </c>
      <c r="V627">
        <v>3366</v>
      </c>
    </row>
    <row r="628" spans="1:22" x14ac:dyDescent="0.3">
      <c r="A628">
        <v>79452</v>
      </c>
      <c r="B628">
        <v>136269950</v>
      </c>
      <c r="C628" t="s">
        <v>3907</v>
      </c>
      <c r="D628" t="s">
        <v>3908</v>
      </c>
      <c r="E628" t="s">
        <v>843</v>
      </c>
      <c r="F628" t="s">
        <v>844</v>
      </c>
      <c r="G628" t="s">
        <v>164</v>
      </c>
      <c r="H628" t="s">
        <v>165</v>
      </c>
      <c r="I628" t="s">
        <v>34</v>
      </c>
      <c r="J628" t="s">
        <v>166</v>
      </c>
      <c r="K628" t="s">
        <v>41</v>
      </c>
      <c r="L628" t="s">
        <v>3909</v>
      </c>
      <c r="M628" t="s">
        <v>3910</v>
      </c>
      <c r="N628" t="s">
        <v>847</v>
      </c>
      <c r="O628" t="s">
        <v>100</v>
      </c>
      <c r="P628" t="s">
        <v>3911</v>
      </c>
      <c r="Q628" t="s">
        <v>72</v>
      </c>
      <c r="R628" t="s">
        <v>794</v>
      </c>
      <c r="S628">
        <v>1</v>
      </c>
      <c r="T628">
        <v>3784</v>
      </c>
      <c r="U628">
        <v>0</v>
      </c>
      <c r="V628">
        <v>3784</v>
      </c>
    </row>
    <row r="629" spans="1:22" x14ac:dyDescent="0.3">
      <c r="A629">
        <v>79452</v>
      </c>
      <c r="B629">
        <v>136270079</v>
      </c>
      <c r="C629" t="s">
        <v>3912</v>
      </c>
      <c r="D629" t="s">
        <v>3913</v>
      </c>
      <c r="E629" t="s">
        <v>843</v>
      </c>
      <c r="F629" t="s">
        <v>844</v>
      </c>
      <c r="G629" t="s">
        <v>164</v>
      </c>
      <c r="H629" t="s">
        <v>165</v>
      </c>
      <c r="I629" t="s">
        <v>34</v>
      </c>
      <c r="J629" t="s">
        <v>166</v>
      </c>
      <c r="K629" t="s">
        <v>41</v>
      </c>
      <c r="L629" t="s">
        <v>3914</v>
      </c>
      <c r="M629" t="s">
        <v>3915</v>
      </c>
      <c r="N629" t="s">
        <v>847</v>
      </c>
      <c r="O629" t="s">
        <v>100</v>
      </c>
      <c r="P629" t="s">
        <v>3916</v>
      </c>
      <c r="Q629" t="s">
        <v>64</v>
      </c>
      <c r="R629" t="s">
        <v>759</v>
      </c>
      <c r="S629">
        <v>1</v>
      </c>
      <c r="T629">
        <v>4067</v>
      </c>
      <c r="U629">
        <v>0</v>
      </c>
      <c r="V629">
        <v>4067</v>
      </c>
    </row>
    <row r="630" spans="1:22" x14ac:dyDescent="0.3">
      <c r="A630">
        <v>79452</v>
      </c>
      <c r="B630">
        <v>135792478</v>
      </c>
      <c r="C630" t="s">
        <v>3917</v>
      </c>
      <c r="D630" t="s">
        <v>3918</v>
      </c>
      <c r="E630" t="s">
        <v>843</v>
      </c>
      <c r="F630" t="s">
        <v>844</v>
      </c>
      <c r="G630" t="s">
        <v>164</v>
      </c>
      <c r="H630" t="s">
        <v>165</v>
      </c>
      <c r="I630" t="s">
        <v>34</v>
      </c>
      <c r="J630" t="s">
        <v>166</v>
      </c>
      <c r="K630" t="s">
        <v>44</v>
      </c>
      <c r="L630" t="s">
        <v>188</v>
      </c>
      <c r="M630" t="s">
        <v>548</v>
      </c>
      <c r="N630" t="s">
        <v>847</v>
      </c>
      <c r="O630" t="s">
        <v>100</v>
      </c>
      <c r="P630" t="s">
        <v>3919</v>
      </c>
      <c r="Q630" t="s">
        <v>54</v>
      </c>
      <c r="R630" t="s">
        <v>694</v>
      </c>
      <c r="S630">
        <v>2.21</v>
      </c>
      <c r="T630">
        <v>5759</v>
      </c>
      <c r="U630">
        <v>0</v>
      </c>
      <c r="V630">
        <v>5759</v>
      </c>
    </row>
    <row r="631" spans="1:22" x14ac:dyDescent="0.3">
      <c r="A631">
        <v>79452</v>
      </c>
      <c r="B631">
        <v>136196546</v>
      </c>
      <c r="C631" t="s">
        <v>3920</v>
      </c>
      <c r="D631" t="s">
        <v>3921</v>
      </c>
      <c r="E631" t="s">
        <v>843</v>
      </c>
      <c r="F631" t="s">
        <v>844</v>
      </c>
      <c r="G631" t="s">
        <v>164</v>
      </c>
      <c r="H631" t="s">
        <v>165</v>
      </c>
      <c r="I631" t="s">
        <v>34</v>
      </c>
      <c r="J631" t="s">
        <v>166</v>
      </c>
      <c r="K631" t="s">
        <v>41</v>
      </c>
      <c r="L631" t="s">
        <v>3922</v>
      </c>
      <c r="M631" t="s">
        <v>3923</v>
      </c>
      <c r="N631" t="s">
        <v>847</v>
      </c>
      <c r="O631" t="s">
        <v>100</v>
      </c>
      <c r="P631" t="s">
        <v>3924</v>
      </c>
      <c r="Q631" t="s">
        <v>84</v>
      </c>
      <c r="R631" t="s">
        <v>1999</v>
      </c>
      <c r="S631">
        <v>0.82</v>
      </c>
      <c r="T631">
        <v>3366</v>
      </c>
      <c r="U631">
        <v>0</v>
      </c>
      <c r="V631">
        <v>3366</v>
      </c>
    </row>
    <row r="632" spans="1:22" x14ac:dyDescent="0.3">
      <c r="A632">
        <v>79452</v>
      </c>
      <c r="B632">
        <v>136439996</v>
      </c>
      <c r="C632" t="s">
        <v>3925</v>
      </c>
      <c r="D632" t="s">
        <v>3926</v>
      </c>
      <c r="E632" t="s">
        <v>843</v>
      </c>
      <c r="F632" t="s">
        <v>844</v>
      </c>
      <c r="G632" t="s">
        <v>164</v>
      </c>
      <c r="H632" t="s">
        <v>165</v>
      </c>
      <c r="I632" t="s">
        <v>34</v>
      </c>
      <c r="J632" t="s">
        <v>166</v>
      </c>
      <c r="K632" t="s">
        <v>41</v>
      </c>
      <c r="L632" t="s">
        <v>3927</v>
      </c>
      <c r="M632" t="s">
        <v>3928</v>
      </c>
      <c r="N632" t="s">
        <v>847</v>
      </c>
      <c r="O632" t="s">
        <v>100</v>
      </c>
      <c r="P632" t="s">
        <v>3929</v>
      </c>
      <c r="Q632" t="s">
        <v>64</v>
      </c>
      <c r="R632" t="s">
        <v>3597</v>
      </c>
      <c r="S632">
        <v>1.26</v>
      </c>
      <c r="T632">
        <v>4067</v>
      </c>
      <c r="U632">
        <v>0</v>
      </c>
      <c r="V632">
        <v>4067</v>
      </c>
    </row>
    <row r="633" spans="1:22" x14ac:dyDescent="0.3">
      <c r="A633">
        <v>79452</v>
      </c>
      <c r="B633">
        <v>136103874</v>
      </c>
      <c r="C633" t="s">
        <v>3930</v>
      </c>
      <c r="D633" t="s">
        <v>3931</v>
      </c>
      <c r="E633" t="s">
        <v>843</v>
      </c>
      <c r="F633" t="s">
        <v>844</v>
      </c>
      <c r="G633" t="s">
        <v>164</v>
      </c>
      <c r="H633" t="s">
        <v>165</v>
      </c>
      <c r="I633" t="s">
        <v>34</v>
      </c>
      <c r="J633" t="s">
        <v>166</v>
      </c>
      <c r="K633" t="s">
        <v>41</v>
      </c>
      <c r="L633" t="s">
        <v>3932</v>
      </c>
      <c r="M633" t="s">
        <v>3933</v>
      </c>
      <c r="N633" t="s">
        <v>847</v>
      </c>
      <c r="O633" t="s">
        <v>100</v>
      </c>
      <c r="P633" t="s">
        <v>3934</v>
      </c>
      <c r="Q633" t="s">
        <v>84</v>
      </c>
      <c r="R633" t="s">
        <v>803</v>
      </c>
      <c r="S633">
        <v>1.46</v>
      </c>
      <c r="T633">
        <v>3366</v>
      </c>
      <c r="U633">
        <v>0</v>
      </c>
      <c r="V633">
        <v>3366</v>
      </c>
    </row>
    <row r="634" spans="1:22" x14ac:dyDescent="0.3">
      <c r="A634">
        <v>79452</v>
      </c>
      <c r="B634">
        <v>136104115</v>
      </c>
      <c r="C634" t="s">
        <v>3935</v>
      </c>
      <c r="D634" t="s">
        <v>3936</v>
      </c>
      <c r="E634" t="s">
        <v>843</v>
      </c>
      <c r="F634" t="s">
        <v>844</v>
      </c>
      <c r="G634" t="s">
        <v>164</v>
      </c>
      <c r="H634" t="s">
        <v>165</v>
      </c>
      <c r="I634" t="s">
        <v>34</v>
      </c>
      <c r="J634" t="s">
        <v>166</v>
      </c>
      <c r="K634" t="s">
        <v>41</v>
      </c>
      <c r="L634" t="s">
        <v>3937</v>
      </c>
      <c r="M634" t="s">
        <v>3938</v>
      </c>
      <c r="N634" t="s">
        <v>847</v>
      </c>
      <c r="O634" t="s">
        <v>100</v>
      </c>
      <c r="P634" t="s">
        <v>3939</v>
      </c>
      <c r="Q634" t="s">
        <v>84</v>
      </c>
      <c r="R634" t="s">
        <v>803</v>
      </c>
      <c r="S634">
        <v>1</v>
      </c>
      <c r="T634">
        <v>3366</v>
      </c>
      <c r="U634">
        <v>0</v>
      </c>
      <c r="V634">
        <v>3366</v>
      </c>
    </row>
    <row r="635" spans="1:22" x14ac:dyDescent="0.3">
      <c r="A635">
        <v>79452</v>
      </c>
      <c r="B635">
        <v>136196614</v>
      </c>
      <c r="C635" t="s">
        <v>3940</v>
      </c>
      <c r="D635" t="s">
        <v>3941</v>
      </c>
      <c r="E635" t="s">
        <v>843</v>
      </c>
      <c r="F635" t="s">
        <v>844</v>
      </c>
      <c r="G635" t="s">
        <v>164</v>
      </c>
      <c r="H635" t="s">
        <v>165</v>
      </c>
      <c r="I635" t="s">
        <v>34</v>
      </c>
      <c r="J635" t="s">
        <v>166</v>
      </c>
      <c r="K635" t="s">
        <v>41</v>
      </c>
      <c r="L635" t="s">
        <v>3942</v>
      </c>
      <c r="M635" t="s">
        <v>3943</v>
      </c>
      <c r="N635" t="s">
        <v>847</v>
      </c>
      <c r="O635" t="s">
        <v>100</v>
      </c>
      <c r="P635" t="s">
        <v>3944</v>
      </c>
      <c r="Q635" t="s">
        <v>64</v>
      </c>
      <c r="R635" t="s">
        <v>1999</v>
      </c>
      <c r="S635">
        <v>0.99</v>
      </c>
      <c r="T635">
        <v>4067</v>
      </c>
      <c r="U635">
        <v>0</v>
      </c>
      <c r="V635">
        <v>4067</v>
      </c>
    </row>
    <row r="636" spans="1:22" x14ac:dyDescent="0.3">
      <c r="A636">
        <v>79452</v>
      </c>
      <c r="B636">
        <v>136196515</v>
      </c>
      <c r="C636" t="s">
        <v>3945</v>
      </c>
      <c r="D636" t="s">
        <v>3946</v>
      </c>
      <c r="E636" t="s">
        <v>843</v>
      </c>
      <c r="F636" t="s">
        <v>844</v>
      </c>
      <c r="G636" t="s">
        <v>164</v>
      </c>
      <c r="H636" t="s">
        <v>165</v>
      </c>
      <c r="I636" t="s">
        <v>34</v>
      </c>
      <c r="J636" t="s">
        <v>166</v>
      </c>
      <c r="K636" t="s">
        <v>41</v>
      </c>
      <c r="L636" t="s">
        <v>3947</v>
      </c>
      <c r="M636" t="s">
        <v>3948</v>
      </c>
      <c r="N636" t="s">
        <v>847</v>
      </c>
      <c r="O636" t="s">
        <v>100</v>
      </c>
      <c r="P636" t="s">
        <v>3949</v>
      </c>
      <c r="Q636" t="s">
        <v>84</v>
      </c>
      <c r="R636" t="s">
        <v>1999</v>
      </c>
      <c r="S636">
        <v>1.62</v>
      </c>
      <c r="T636">
        <v>3366</v>
      </c>
      <c r="U636">
        <v>0</v>
      </c>
      <c r="V636">
        <v>3366</v>
      </c>
    </row>
    <row r="637" spans="1:22" x14ac:dyDescent="0.3">
      <c r="A637">
        <v>79452</v>
      </c>
      <c r="B637">
        <v>136025901</v>
      </c>
      <c r="C637" t="s">
        <v>3950</v>
      </c>
      <c r="D637" t="s">
        <v>3951</v>
      </c>
      <c r="E637" t="s">
        <v>843</v>
      </c>
      <c r="F637" t="s">
        <v>844</v>
      </c>
      <c r="G637" t="s">
        <v>164</v>
      </c>
      <c r="H637" t="s">
        <v>165</v>
      </c>
      <c r="I637" t="s">
        <v>34</v>
      </c>
      <c r="J637" t="s">
        <v>166</v>
      </c>
      <c r="K637" t="s">
        <v>41</v>
      </c>
      <c r="L637" t="s">
        <v>3952</v>
      </c>
      <c r="M637" t="s">
        <v>3953</v>
      </c>
      <c r="N637" t="s">
        <v>847</v>
      </c>
      <c r="O637" t="s">
        <v>100</v>
      </c>
      <c r="P637" t="s">
        <v>3954</v>
      </c>
      <c r="Q637" t="s">
        <v>70</v>
      </c>
      <c r="R637" t="s">
        <v>403</v>
      </c>
      <c r="S637">
        <v>1.5</v>
      </c>
      <c r="T637">
        <v>3501</v>
      </c>
      <c r="U637">
        <v>0</v>
      </c>
      <c r="V637">
        <v>3501</v>
      </c>
    </row>
    <row r="638" spans="1:22" x14ac:dyDescent="0.3">
      <c r="A638">
        <v>79452</v>
      </c>
      <c r="B638">
        <v>136327470</v>
      </c>
      <c r="C638" t="s">
        <v>3955</v>
      </c>
      <c r="D638" t="s">
        <v>3956</v>
      </c>
      <c r="E638" t="s">
        <v>843</v>
      </c>
      <c r="F638" t="s">
        <v>844</v>
      </c>
      <c r="G638" t="s">
        <v>164</v>
      </c>
      <c r="H638" t="s">
        <v>165</v>
      </c>
      <c r="I638" t="s">
        <v>34</v>
      </c>
      <c r="J638" t="s">
        <v>166</v>
      </c>
      <c r="K638" t="s">
        <v>41</v>
      </c>
      <c r="L638" t="s">
        <v>3957</v>
      </c>
      <c r="M638" t="s">
        <v>3958</v>
      </c>
      <c r="N638" t="s">
        <v>847</v>
      </c>
      <c r="O638" t="s">
        <v>100</v>
      </c>
      <c r="P638" t="s">
        <v>3959</v>
      </c>
      <c r="Q638" t="s">
        <v>60</v>
      </c>
      <c r="R638" t="s">
        <v>1130</v>
      </c>
      <c r="S638">
        <v>1</v>
      </c>
      <c r="T638">
        <v>4346</v>
      </c>
      <c r="U638">
        <v>0</v>
      </c>
      <c r="V638">
        <v>4346</v>
      </c>
    </row>
    <row r="639" spans="1:22" x14ac:dyDescent="0.3">
      <c r="A639">
        <v>79452</v>
      </c>
      <c r="B639">
        <v>136104034</v>
      </c>
      <c r="C639" t="s">
        <v>3960</v>
      </c>
      <c r="D639" t="s">
        <v>3961</v>
      </c>
      <c r="E639" t="s">
        <v>843</v>
      </c>
      <c r="F639" t="s">
        <v>844</v>
      </c>
      <c r="G639" t="s">
        <v>164</v>
      </c>
      <c r="H639" t="s">
        <v>165</v>
      </c>
      <c r="I639" t="s">
        <v>34</v>
      </c>
      <c r="J639" t="s">
        <v>166</v>
      </c>
      <c r="K639" t="s">
        <v>41</v>
      </c>
      <c r="L639" t="s">
        <v>3962</v>
      </c>
      <c r="M639" t="s">
        <v>3963</v>
      </c>
      <c r="N639" t="s">
        <v>847</v>
      </c>
      <c r="O639" t="s">
        <v>100</v>
      </c>
      <c r="P639" t="s">
        <v>3964</v>
      </c>
      <c r="Q639" t="s">
        <v>49</v>
      </c>
      <c r="R639" t="s">
        <v>803</v>
      </c>
      <c r="S639">
        <v>2.81</v>
      </c>
      <c r="T639">
        <v>3784</v>
      </c>
      <c r="U639">
        <v>0</v>
      </c>
      <c r="V639">
        <v>3784</v>
      </c>
    </row>
    <row r="640" spans="1:22" x14ac:dyDescent="0.3">
      <c r="A640">
        <v>79452</v>
      </c>
      <c r="B640">
        <v>135980354</v>
      </c>
      <c r="C640" t="s">
        <v>3965</v>
      </c>
      <c r="D640" t="s">
        <v>3966</v>
      </c>
      <c r="E640" t="s">
        <v>843</v>
      </c>
      <c r="F640" t="s">
        <v>844</v>
      </c>
      <c r="G640" t="s">
        <v>164</v>
      </c>
      <c r="H640" t="s">
        <v>165</v>
      </c>
      <c r="I640" t="s">
        <v>34</v>
      </c>
      <c r="J640" t="s">
        <v>166</v>
      </c>
      <c r="K640" t="s">
        <v>41</v>
      </c>
      <c r="L640" t="s">
        <v>3967</v>
      </c>
      <c r="M640" t="s">
        <v>3968</v>
      </c>
      <c r="N640" t="s">
        <v>847</v>
      </c>
      <c r="O640" t="s">
        <v>100</v>
      </c>
      <c r="P640" t="s">
        <v>3969</v>
      </c>
      <c r="Q640" t="s">
        <v>63</v>
      </c>
      <c r="R640" t="s">
        <v>288</v>
      </c>
      <c r="S640">
        <v>1</v>
      </c>
      <c r="T640">
        <v>4067</v>
      </c>
      <c r="U640">
        <v>0</v>
      </c>
      <c r="V640">
        <v>4067</v>
      </c>
    </row>
    <row r="641" spans="1:22" x14ac:dyDescent="0.3">
      <c r="A641">
        <v>79452</v>
      </c>
      <c r="B641">
        <v>136363651</v>
      </c>
      <c r="C641" t="s">
        <v>3970</v>
      </c>
      <c r="D641" t="s">
        <v>3971</v>
      </c>
      <c r="E641" t="s">
        <v>843</v>
      </c>
      <c r="F641" t="s">
        <v>844</v>
      </c>
      <c r="G641" t="s">
        <v>164</v>
      </c>
      <c r="H641" t="s">
        <v>165</v>
      </c>
      <c r="I641" t="s">
        <v>34</v>
      </c>
      <c r="J641" t="s">
        <v>166</v>
      </c>
      <c r="K641" t="s">
        <v>41</v>
      </c>
      <c r="L641" t="s">
        <v>3972</v>
      </c>
      <c r="M641" t="s">
        <v>3973</v>
      </c>
      <c r="N641" t="s">
        <v>847</v>
      </c>
      <c r="O641" t="s">
        <v>100</v>
      </c>
      <c r="P641" t="s">
        <v>3974</v>
      </c>
      <c r="Q641" t="s">
        <v>84</v>
      </c>
      <c r="R641" t="s">
        <v>3337</v>
      </c>
      <c r="S641">
        <v>0.99</v>
      </c>
      <c r="T641">
        <v>3366</v>
      </c>
      <c r="U641">
        <v>0</v>
      </c>
      <c r="V641">
        <v>3366</v>
      </c>
    </row>
    <row r="642" spans="1:22" x14ac:dyDescent="0.3">
      <c r="A642">
        <v>79452</v>
      </c>
      <c r="B642">
        <v>135980511</v>
      </c>
      <c r="C642" t="s">
        <v>3975</v>
      </c>
      <c r="D642" t="s">
        <v>3976</v>
      </c>
      <c r="E642" t="s">
        <v>843</v>
      </c>
      <c r="F642" t="s">
        <v>844</v>
      </c>
      <c r="G642" t="s">
        <v>164</v>
      </c>
      <c r="H642" t="s">
        <v>165</v>
      </c>
      <c r="I642" t="s">
        <v>34</v>
      </c>
      <c r="J642" t="s">
        <v>166</v>
      </c>
      <c r="K642" t="s">
        <v>41</v>
      </c>
      <c r="L642" t="s">
        <v>3977</v>
      </c>
      <c r="M642" t="s">
        <v>3978</v>
      </c>
      <c r="N642" t="s">
        <v>847</v>
      </c>
      <c r="O642" t="s">
        <v>100</v>
      </c>
      <c r="P642" t="s">
        <v>3979</v>
      </c>
      <c r="Q642" t="s">
        <v>121</v>
      </c>
      <c r="R642" t="s">
        <v>398</v>
      </c>
      <c r="S642">
        <v>2.04</v>
      </c>
      <c r="T642">
        <v>4173</v>
      </c>
      <c r="U642">
        <v>0</v>
      </c>
      <c r="V642">
        <v>4173</v>
      </c>
    </row>
    <row r="643" spans="1:22" x14ac:dyDescent="0.3">
      <c r="A643">
        <v>79452</v>
      </c>
      <c r="B643">
        <v>136196499</v>
      </c>
      <c r="C643" t="s">
        <v>3980</v>
      </c>
      <c r="D643" t="s">
        <v>3981</v>
      </c>
      <c r="E643" t="s">
        <v>843</v>
      </c>
      <c r="F643" t="s">
        <v>844</v>
      </c>
      <c r="G643" t="s">
        <v>164</v>
      </c>
      <c r="H643" t="s">
        <v>165</v>
      </c>
      <c r="I643" t="s">
        <v>34</v>
      </c>
      <c r="J643" t="s">
        <v>166</v>
      </c>
      <c r="K643" t="s">
        <v>41</v>
      </c>
      <c r="L643" t="s">
        <v>3982</v>
      </c>
      <c r="M643" t="s">
        <v>3983</v>
      </c>
      <c r="N643" t="s">
        <v>847</v>
      </c>
      <c r="O643" t="s">
        <v>100</v>
      </c>
      <c r="P643" t="s">
        <v>3984</v>
      </c>
      <c r="Q643" t="s">
        <v>60</v>
      </c>
      <c r="R643" t="s">
        <v>1999</v>
      </c>
      <c r="S643">
        <v>2.27</v>
      </c>
      <c r="T643">
        <v>4346</v>
      </c>
      <c r="U643">
        <v>0</v>
      </c>
      <c r="V643">
        <v>4346</v>
      </c>
    </row>
    <row r="644" spans="1:22" x14ac:dyDescent="0.3">
      <c r="A644">
        <v>79452</v>
      </c>
      <c r="B644">
        <v>136327462</v>
      </c>
      <c r="C644" t="s">
        <v>3985</v>
      </c>
      <c r="D644" t="s">
        <v>3986</v>
      </c>
      <c r="E644" t="s">
        <v>843</v>
      </c>
      <c r="F644" t="s">
        <v>844</v>
      </c>
      <c r="G644" t="s">
        <v>164</v>
      </c>
      <c r="H644" t="s">
        <v>165</v>
      </c>
      <c r="I644" t="s">
        <v>34</v>
      </c>
      <c r="J644" t="s">
        <v>166</v>
      </c>
      <c r="K644" t="s">
        <v>41</v>
      </c>
      <c r="L644" t="s">
        <v>3987</v>
      </c>
      <c r="M644" t="s">
        <v>3988</v>
      </c>
      <c r="N644" t="s">
        <v>847</v>
      </c>
      <c r="O644" t="s">
        <v>100</v>
      </c>
      <c r="P644" t="s">
        <v>3989</v>
      </c>
      <c r="Q644" t="s">
        <v>59</v>
      </c>
      <c r="R644" t="s">
        <v>1130</v>
      </c>
      <c r="S644">
        <v>1.57</v>
      </c>
      <c r="T644">
        <v>4067</v>
      </c>
      <c r="U644">
        <v>0</v>
      </c>
      <c r="V644">
        <v>4067</v>
      </c>
    </row>
    <row r="645" spans="1:22" x14ac:dyDescent="0.3">
      <c r="A645">
        <v>79452</v>
      </c>
      <c r="B645">
        <v>136103979</v>
      </c>
      <c r="C645" t="s">
        <v>3990</v>
      </c>
      <c r="D645" t="s">
        <v>3991</v>
      </c>
      <c r="E645" t="s">
        <v>843</v>
      </c>
      <c r="F645" t="s">
        <v>844</v>
      </c>
      <c r="G645" t="s">
        <v>164</v>
      </c>
      <c r="H645" t="s">
        <v>165</v>
      </c>
      <c r="I645" t="s">
        <v>34</v>
      </c>
      <c r="J645" t="s">
        <v>166</v>
      </c>
      <c r="K645" t="s">
        <v>41</v>
      </c>
      <c r="L645" t="s">
        <v>3992</v>
      </c>
      <c r="M645" t="s">
        <v>3993</v>
      </c>
      <c r="N645" t="s">
        <v>847</v>
      </c>
      <c r="O645" t="s">
        <v>100</v>
      </c>
      <c r="P645" t="s">
        <v>3994</v>
      </c>
      <c r="Q645" t="s">
        <v>69</v>
      </c>
      <c r="R645" t="s">
        <v>803</v>
      </c>
      <c r="S645">
        <v>2.2400000000000002</v>
      </c>
      <c r="T645">
        <v>3753</v>
      </c>
      <c r="U645">
        <v>0</v>
      </c>
      <c r="V645">
        <v>3753</v>
      </c>
    </row>
    <row r="646" spans="1:22" x14ac:dyDescent="0.3">
      <c r="A646">
        <v>79452</v>
      </c>
      <c r="B646">
        <v>135980520</v>
      </c>
      <c r="C646" t="s">
        <v>3995</v>
      </c>
      <c r="D646" t="s">
        <v>3996</v>
      </c>
      <c r="E646" t="s">
        <v>843</v>
      </c>
      <c r="F646" t="s">
        <v>844</v>
      </c>
      <c r="G646" t="s">
        <v>164</v>
      </c>
      <c r="H646" t="s">
        <v>165</v>
      </c>
      <c r="I646" t="s">
        <v>34</v>
      </c>
      <c r="J646" t="s">
        <v>166</v>
      </c>
      <c r="K646" t="s">
        <v>41</v>
      </c>
      <c r="L646" t="s">
        <v>3997</v>
      </c>
      <c r="M646" t="s">
        <v>3998</v>
      </c>
      <c r="N646" t="s">
        <v>847</v>
      </c>
      <c r="O646" t="s">
        <v>100</v>
      </c>
      <c r="P646" t="s">
        <v>3999</v>
      </c>
      <c r="Q646" t="s">
        <v>109</v>
      </c>
      <c r="R646" t="s">
        <v>398</v>
      </c>
      <c r="S646">
        <v>2.68</v>
      </c>
      <c r="T646">
        <v>4346</v>
      </c>
      <c r="U646">
        <v>0</v>
      </c>
      <c r="V646">
        <v>4346</v>
      </c>
    </row>
    <row r="647" spans="1:22" x14ac:dyDescent="0.3">
      <c r="A647">
        <v>79452</v>
      </c>
      <c r="B647">
        <v>136270037</v>
      </c>
      <c r="C647" t="s">
        <v>4000</v>
      </c>
      <c r="D647" t="s">
        <v>4001</v>
      </c>
      <c r="E647" t="s">
        <v>843</v>
      </c>
      <c r="F647" t="s">
        <v>844</v>
      </c>
      <c r="G647" t="s">
        <v>164</v>
      </c>
      <c r="H647" t="s">
        <v>165</v>
      </c>
      <c r="I647" t="s">
        <v>34</v>
      </c>
      <c r="J647" t="s">
        <v>166</v>
      </c>
      <c r="K647" t="s">
        <v>41</v>
      </c>
      <c r="L647" t="s">
        <v>4002</v>
      </c>
      <c r="M647" t="s">
        <v>4003</v>
      </c>
      <c r="N647" t="s">
        <v>847</v>
      </c>
      <c r="O647" t="s">
        <v>100</v>
      </c>
      <c r="P647" t="s">
        <v>4004</v>
      </c>
      <c r="Q647" t="s">
        <v>64</v>
      </c>
      <c r="R647" t="s">
        <v>759</v>
      </c>
      <c r="S647">
        <v>1.1200000000000001</v>
      </c>
      <c r="T647">
        <v>4067</v>
      </c>
      <c r="U647">
        <v>0</v>
      </c>
      <c r="V647">
        <v>4067</v>
      </c>
    </row>
    <row r="648" spans="1:22" x14ac:dyDescent="0.3">
      <c r="A648">
        <v>79452</v>
      </c>
      <c r="B648">
        <v>135980528</v>
      </c>
      <c r="C648" t="s">
        <v>4005</v>
      </c>
      <c r="D648" t="s">
        <v>4006</v>
      </c>
      <c r="E648" t="s">
        <v>843</v>
      </c>
      <c r="F648" t="s">
        <v>844</v>
      </c>
      <c r="G648" t="s">
        <v>164</v>
      </c>
      <c r="H648" t="s">
        <v>165</v>
      </c>
      <c r="I648" t="s">
        <v>34</v>
      </c>
      <c r="J648" t="s">
        <v>166</v>
      </c>
      <c r="K648" t="s">
        <v>41</v>
      </c>
      <c r="L648" t="s">
        <v>624</v>
      </c>
      <c r="M648" t="s">
        <v>625</v>
      </c>
      <c r="N648" t="s">
        <v>847</v>
      </c>
      <c r="O648" t="s">
        <v>100</v>
      </c>
      <c r="P648" t="s">
        <v>4007</v>
      </c>
      <c r="Q648" t="s">
        <v>94</v>
      </c>
      <c r="R648" t="s">
        <v>398</v>
      </c>
      <c r="S648">
        <v>2.46</v>
      </c>
      <c r="T648">
        <v>3366</v>
      </c>
      <c r="U648">
        <v>0</v>
      </c>
      <c r="V648">
        <v>3366</v>
      </c>
    </row>
    <row r="649" spans="1:22" x14ac:dyDescent="0.3">
      <c r="A649">
        <v>79452</v>
      </c>
      <c r="B649">
        <v>136363659</v>
      </c>
      <c r="C649" t="s">
        <v>4008</v>
      </c>
      <c r="D649" t="s">
        <v>4009</v>
      </c>
      <c r="E649" t="s">
        <v>843</v>
      </c>
      <c r="F649" t="s">
        <v>844</v>
      </c>
      <c r="G649" t="s">
        <v>164</v>
      </c>
      <c r="H649" t="s">
        <v>165</v>
      </c>
      <c r="I649" t="s">
        <v>34</v>
      </c>
      <c r="J649" t="s">
        <v>166</v>
      </c>
      <c r="K649" t="s">
        <v>41</v>
      </c>
      <c r="L649" t="s">
        <v>4010</v>
      </c>
      <c r="M649" t="s">
        <v>4011</v>
      </c>
      <c r="N649" t="s">
        <v>847</v>
      </c>
      <c r="O649" t="s">
        <v>100</v>
      </c>
      <c r="P649" t="s">
        <v>4012</v>
      </c>
      <c r="Q649" t="s">
        <v>85</v>
      </c>
      <c r="R649" t="s">
        <v>3337</v>
      </c>
      <c r="S649">
        <v>2.21</v>
      </c>
      <c r="T649">
        <v>3366</v>
      </c>
      <c r="U649">
        <v>0</v>
      </c>
      <c r="V649">
        <v>3366</v>
      </c>
    </row>
    <row r="650" spans="1:22" x14ac:dyDescent="0.3">
      <c r="A650">
        <v>79452</v>
      </c>
      <c r="B650">
        <v>136269946</v>
      </c>
      <c r="C650" t="s">
        <v>4013</v>
      </c>
      <c r="D650" t="s">
        <v>4014</v>
      </c>
      <c r="E650" t="s">
        <v>843</v>
      </c>
      <c r="F650" t="s">
        <v>844</v>
      </c>
      <c r="G650" t="s">
        <v>164</v>
      </c>
      <c r="H650" t="s">
        <v>165</v>
      </c>
      <c r="I650" t="s">
        <v>34</v>
      </c>
      <c r="J650" t="s">
        <v>166</v>
      </c>
      <c r="K650" t="s">
        <v>41</v>
      </c>
      <c r="L650" t="s">
        <v>4015</v>
      </c>
      <c r="M650" t="s">
        <v>4016</v>
      </c>
      <c r="N650" t="s">
        <v>847</v>
      </c>
      <c r="O650" t="s">
        <v>100</v>
      </c>
      <c r="P650" t="s">
        <v>4017</v>
      </c>
      <c r="Q650" t="s">
        <v>84</v>
      </c>
      <c r="R650" t="s">
        <v>794</v>
      </c>
      <c r="S650">
        <v>1</v>
      </c>
      <c r="T650">
        <v>3366</v>
      </c>
      <c r="U650">
        <v>0</v>
      </c>
      <c r="V650">
        <v>3366</v>
      </c>
    </row>
    <row r="651" spans="1:22" x14ac:dyDescent="0.3">
      <c r="A651">
        <v>79452</v>
      </c>
      <c r="B651">
        <v>136025906</v>
      </c>
      <c r="C651" t="s">
        <v>4018</v>
      </c>
      <c r="D651" t="s">
        <v>4019</v>
      </c>
      <c r="E651" t="s">
        <v>843</v>
      </c>
      <c r="F651" t="s">
        <v>844</v>
      </c>
      <c r="G651" t="s">
        <v>164</v>
      </c>
      <c r="H651" t="s">
        <v>165</v>
      </c>
      <c r="I651" t="s">
        <v>34</v>
      </c>
      <c r="J651" t="s">
        <v>166</v>
      </c>
      <c r="K651" t="s">
        <v>41</v>
      </c>
      <c r="L651" t="s">
        <v>4020</v>
      </c>
      <c r="M651" t="s">
        <v>4021</v>
      </c>
      <c r="N651" t="s">
        <v>847</v>
      </c>
      <c r="O651" t="s">
        <v>100</v>
      </c>
      <c r="P651" t="s">
        <v>4022</v>
      </c>
      <c r="Q651" t="s">
        <v>66</v>
      </c>
      <c r="R651" t="s">
        <v>403</v>
      </c>
      <c r="S651">
        <v>1.46</v>
      </c>
      <c r="T651">
        <v>4067</v>
      </c>
      <c r="U651">
        <v>0</v>
      </c>
      <c r="V651">
        <v>4067</v>
      </c>
    </row>
    <row r="652" spans="1:22" x14ac:dyDescent="0.3">
      <c r="A652">
        <v>79452</v>
      </c>
      <c r="B652">
        <v>136440023</v>
      </c>
      <c r="C652" t="s">
        <v>4023</v>
      </c>
      <c r="D652" t="s">
        <v>4024</v>
      </c>
      <c r="E652" t="s">
        <v>843</v>
      </c>
      <c r="F652" t="s">
        <v>844</v>
      </c>
      <c r="G652" t="s">
        <v>164</v>
      </c>
      <c r="H652" t="s">
        <v>165</v>
      </c>
      <c r="I652" t="s">
        <v>34</v>
      </c>
      <c r="J652" t="s">
        <v>166</v>
      </c>
      <c r="K652" t="s">
        <v>41</v>
      </c>
      <c r="L652" t="s">
        <v>4025</v>
      </c>
      <c r="M652" t="s">
        <v>4026</v>
      </c>
      <c r="N652" t="s">
        <v>847</v>
      </c>
      <c r="O652" t="s">
        <v>100</v>
      </c>
      <c r="P652" t="s">
        <v>4027</v>
      </c>
      <c r="Q652" t="s">
        <v>61</v>
      </c>
      <c r="R652" t="s">
        <v>3597</v>
      </c>
      <c r="S652">
        <v>1.45</v>
      </c>
      <c r="T652">
        <v>4067</v>
      </c>
      <c r="U652">
        <v>0</v>
      </c>
      <c r="V652">
        <v>4067</v>
      </c>
    </row>
    <row r="653" spans="1:22" x14ac:dyDescent="0.3">
      <c r="A653">
        <v>79452</v>
      </c>
      <c r="B653">
        <v>135980630</v>
      </c>
      <c r="C653" t="s">
        <v>4028</v>
      </c>
      <c r="D653" t="s">
        <v>4029</v>
      </c>
      <c r="E653" t="s">
        <v>843</v>
      </c>
      <c r="F653" t="s">
        <v>844</v>
      </c>
      <c r="G653" t="s">
        <v>164</v>
      </c>
      <c r="H653" t="s">
        <v>165</v>
      </c>
      <c r="I653" t="s">
        <v>34</v>
      </c>
      <c r="J653" t="s">
        <v>166</v>
      </c>
      <c r="K653" t="s">
        <v>41</v>
      </c>
      <c r="L653" t="s">
        <v>4030</v>
      </c>
      <c r="M653" t="s">
        <v>4031</v>
      </c>
      <c r="N653" t="s">
        <v>847</v>
      </c>
      <c r="O653" t="s">
        <v>100</v>
      </c>
      <c r="P653" t="s">
        <v>4032</v>
      </c>
      <c r="Q653" t="s">
        <v>70</v>
      </c>
      <c r="R653" t="s">
        <v>398</v>
      </c>
      <c r="S653">
        <v>2.8</v>
      </c>
      <c r="T653">
        <v>3501</v>
      </c>
      <c r="U653">
        <v>0</v>
      </c>
      <c r="V653">
        <v>3501</v>
      </c>
    </row>
    <row r="654" spans="1:22" x14ac:dyDescent="0.3">
      <c r="A654">
        <v>79452</v>
      </c>
      <c r="B654">
        <v>136269954</v>
      </c>
      <c r="C654" t="s">
        <v>4033</v>
      </c>
      <c r="D654" t="s">
        <v>4034</v>
      </c>
      <c r="E654" t="s">
        <v>843</v>
      </c>
      <c r="F654" t="s">
        <v>844</v>
      </c>
      <c r="G654" t="s">
        <v>164</v>
      </c>
      <c r="H654" t="s">
        <v>165</v>
      </c>
      <c r="I654" t="s">
        <v>34</v>
      </c>
      <c r="J654" t="s">
        <v>166</v>
      </c>
      <c r="K654" t="s">
        <v>41</v>
      </c>
      <c r="L654" t="s">
        <v>4035</v>
      </c>
      <c r="M654" t="s">
        <v>4036</v>
      </c>
      <c r="N654" t="s">
        <v>847</v>
      </c>
      <c r="O654" t="s">
        <v>100</v>
      </c>
      <c r="P654" t="s">
        <v>4037</v>
      </c>
      <c r="Q654" t="s">
        <v>84</v>
      </c>
      <c r="R654" t="s">
        <v>794</v>
      </c>
      <c r="S654">
        <v>1.75</v>
      </c>
      <c r="T654">
        <v>3366</v>
      </c>
      <c r="U654">
        <v>0</v>
      </c>
      <c r="V654">
        <v>3366</v>
      </c>
    </row>
    <row r="655" spans="1:22" x14ac:dyDescent="0.3">
      <c r="A655">
        <v>79452</v>
      </c>
      <c r="B655">
        <v>136104114</v>
      </c>
      <c r="C655" t="s">
        <v>4038</v>
      </c>
      <c r="D655" t="s">
        <v>4039</v>
      </c>
      <c r="E655" t="s">
        <v>843</v>
      </c>
      <c r="F655" t="s">
        <v>844</v>
      </c>
      <c r="G655" t="s">
        <v>164</v>
      </c>
      <c r="H655" t="s">
        <v>165</v>
      </c>
      <c r="I655" t="s">
        <v>34</v>
      </c>
      <c r="J655" t="s">
        <v>166</v>
      </c>
      <c r="K655" t="s">
        <v>41</v>
      </c>
      <c r="L655" t="s">
        <v>4040</v>
      </c>
      <c r="M655" t="s">
        <v>4041</v>
      </c>
      <c r="N655" t="s">
        <v>847</v>
      </c>
      <c r="O655" t="s">
        <v>100</v>
      </c>
      <c r="P655" t="s">
        <v>4042</v>
      </c>
      <c r="Q655" t="s">
        <v>96</v>
      </c>
      <c r="R655" t="s">
        <v>803</v>
      </c>
      <c r="S655">
        <v>1</v>
      </c>
      <c r="T655">
        <v>3870</v>
      </c>
      <c r="U655">
        <v>0</v>
      </c>
      <c r="V655">
        <v>3870</v>
      </c>
    </row>
    <row r="656" spans="1:22" x14ac:dyDescent="0.3">
      <c r="A656">
        <v>79452</v>
      </c>
      <c r="B656">
        <v>136363592</v>
      </c>
      <c r="C656" t="s">
        <v>4043</v>
      </c>
      <c r="D656" t="s">
        <v>4044</v>
      </c>
      <c r="E656" t="s">
        <v>843</v>
      </c>
      <c r="F656" t="s">
        <v>844</v>
      </c>
      <c r="G656" t="s">
        <v>164</v>
      </c>
      <c r="H656" t="s">
        <v>165</v>
      </c>
      <c r="I656" t="s">
        <v>34</v>
      </c>
      <c r="J656" t="s">
        <v>166</v>
      </c>
      <c r="K656" t="s">
        <v>41</v>
      </c>
      <c r="L656" t="s">
        <v>4045</v>
      </c>
      <c r="M656" t="s">
        <v>4046</v>
      </c>
      <c r="N656" t="s">
        <v>847</v>
      </c>
      <c r="O656" t="s">
        <v>100</v>
      </c>
      <c r="P656" t="s">
        <v>4047</v>
      </c>
      <c r="Q656" t="s">
        <v>59</v>
      </c>
      <c r="R656" t="s">
        <v>3337</v>
      </c>
      <c r="S656">
        <v>2.39</v>
      </c>
      <c r="T656">
        <v>4067</v>
      </c>
      <c r="U656">
        <v>0</v>
      </c>
      <c r="V656">
        <v>4067</v>
      </c>
    </row>
    <row r="657" spans="1:22" x14ac:dyDescent="0.3">
      <c r="A657">
        <v>79452</v>
      </c>
      <c r="B657">
        <v>136269999</v>
      </c>
      <c r="C657" t="s">
        <v>4048</v>
      </c>
      <c r="D657" t="s">
        <v>4049</v>
      </c>
      <c r="E657" t="s">
        <v>843</v>
      </c>
      <c r="F657" t="s">
        <v>844</v>
      </c>
      <c r="G657" t="s">
        <v>164</v>
      </c>
      <c r="H657" t="s">
        <v>165</v>
      </c>
      <c r="I657" t="s">
        <v>34</v>
      </c>
      <c r="J657" t="s">
        <v>166</v>
      </c>
      <c r="K657" t="s">
        <v>41</v>
      </c>
      <c r="L657" t="s">
        <v>4050</v>
      </c>
      <c r="M657" t="s">
        <v>4051</v>
      </c>
      <c r="N657" t="s">
        <v>847</v>
      </c>
      <c r="O657" t="s">
        <v>100</v>
      </c>
      <c r="P657" t="s">
        <v>4052</v>
      </c>
      <c r="Q657" t="s">
        <v>84</v>
      </c>
      <c r="R657" t="s">
        <v>759</v>
      </c>
      <c r="S657">
        <v>1.28</v>
      </c>
      <c r="T657">
        <v>3366</v>
      </c>
      <c r="U657">
        <v>0</v>
      </c>
      <c r="V657">
        <v>3366</v>
      </c>
    </row>
    <row r="658" spans="1:22" x14ac:dyDescent="0.3">
      <c r="A658">
        <v>79452</v>
      </c>
      <c r="B658">
        <v>136025955</v>
      </c>
      <c r="C658" t="s">
        <v>4053</v>
      </c>
      <c r="D658" t="s">
        <v>4054</v>
      </c>
      <c r="E658" t="s">
        <v>843</v>
      </c>
      <c r="F658" t="s">
        <v>844</v>
      </c>
      <c r="G658" t="s">
        <v>164</v>
      </c>
      <c r="H658" t="s">
        <v>165</v>
      </c>
      <c r="I658" t="s">
        <v>34</v>
      </c>
      <c r="J658" t="s">
        <v>166</v>
      </c>
      <c r="K658" t="s">
        <v>41</v>
      </c>
      <c r="L658" t="s">
        <v>4055</v>
      </c>
      <c r="M658" t="s">
        <v>4056</v>
      </c>
      <c r="N658" t="s">
        <v>847</v>
      </c>
      <c r="O658" t="s">
        <v>100</v>
      </c>
      <c r="P658" t="s">
        <v>4057</v>
      </c>
      <c r="Q658" t="s">
        <v>83</v>
      </c>
      <c r="R658" t="s">
        <v>403</v>
      </c>
      <c r="S658">
        <v>0.81</v>
      </c>
      <c r="T658">
        <v>3366</v>
      </c>
      <c r="U658">
        <v>0</v>
      </c>
      <c r="V658">
        <v>3366</v>
      </c>
    </row>
    <row r="659" spans="1:22" x14ac:dyDescent="0.3">
      <c r="A659">
        <v>79452</v>
      </c>
      <c r="B659">
        <v>136270061</v>
      </c>
      <c r="C659" t="s">
        <v>4058</v>
      </c>
      <c r="D659" t="s">
        <v>4059</v>
      </c>
      <c r="E659" t="s">
        <v>843</v>
      </c>
      <c r="F659" t="s">
        <v>844</v>
      </c>
      <c r="G659" t="s">
        <v>164</v>
      </c>
      <c r="H659" t="s">
        <v>165</v>
      </c>
      <c r="I659" t="s">
        <v>34</v>
      </c>
      <c r="J659" t="s">
        <v>166</v>
      </c>
      <c r="K659" t="s">
        <v>41</v>
      </c>
      <c r="L659" t="s">
        <v>4060</v>
      </c>
      <c r="M659" t="s">
        <v>4061</v>
      </c>
      <c r="N659" t="s">
        <v>847</v>
      </c>
      <c r="O659" t="s">
        <v>100</v>
      </c>
      <c r="P659" t="s">
        <v>4062</v>
      </c>
      <c r="Q659" t="s">
        <v>84</v>
      </c>
      <c r="R659" t="s">
        <v>759</v>
      </c>
      <c r="S659">
        <v>0.98</v>
      </c>
      <c r="T659">
        <v>3366</v>
      </c>
      <c r="U659">
        <v>0</v>
      </c>
      <c r="V659">
        <v>3366</v>
      </c>
    </row>
    <row r="660" spans="1:22" x14ac:dyDescent="0.3">
      <c r="A660">
        <v>79452</v>
      </c>
      <c r="B660">
        <v>136103840</v>
      </c>
      <c r="C660" t="s">
        <v>4063</v>
      </c>
      <c r="D660" t="s">
        <v>4064</v>
      </c>
      <c r="E660" t="s">
        <v>843</v>
      </c>
      <c r="F660" t="s">
        <v>844</v>
      </c>
      <c r="G660" t="s">
        <v>164</v>
      </c>
      <c r="H660" t="s">
        <v>165</v>
      </c>
      <c r="I660" t="s">
        <v>34</v>
      </c>
      <c r="J660" t="s">
        <v>166</v>
      </c>
      <c r="K660" t="s">
        <v>41</v>
      </c>
      <c r="L660" t="s">
        <v>4065</v>
      </c>
      <c r="M660" t="s">
        <v>597</v>
      </c>
      <c r="N660" t="s">
        <v>847</v>
      </c>
      <c r="O660" t="s">
        <v>100</v>
      </c>
      <c r="P660" t="s">
        <v>598</v>
      </c>
      <c r="Q660" t="s">
        <v>202</v>
      </c>
      <c r="R660" t="s">
        <v>599</v>
      </c>
      <c r="S660">
        <v>1.48</v>
      </c>
      <c r="T660">
        <v>3784</v>
      </c>
      <c r="U660">
        <v>0</v>
      </c>
      <c r="V660">
        <v>3784</v>
      </c>
    </row>
    <row r="661" spans="1:22" x14ac:dyDescent="0.3">
      <c r="A661">
        <v>79452</v>
      </c>
      <c r="B661">
        <v>135980632</v>
      </c>
      <c r="C661" t="s">
        <v>4066</v>
      </c>
      <c r="D661" t="s">
        <v>4067</v>
      </c>
      <c r="E661" t="s">
        <v>843</v>
      </c>
      <c r="F661" t="s">
        <v>844</v>
      </c>
      <c r="G661" t="s">
        <v>164</v>
      </c>
      <c r="H661" t="s">
        <v>165</v>
      </c>
      <c r="I661" t="s">
        <v>34</v>
      </c>
      <c r="J661" t="s">
        <v>166</v>
      </c>
      <c r="K661" t="s">
        <v>41</v>
      </c>
      <c r="L661" t="s">
        <v>4068</v>
      </c>
      <c r="M661" t="s">
        <v>558</v>
      </c>
      <c r="N661" t="s">
        <v>847</v>
      </c>
      <c r="O661" t="s">
        <v>100</v>
      </c>
      <c r="P661" t="s">
        <v>4069</v>
      </c>
      <c r="Q661" t="s">
        <v>43</v>
      </c>
      <c r="R661" t="s">
        <v>398</v>
      </c>
      <c r="S661">
        <v>2.71</v>
      </c>
      <c r="T661">
        <v>3753</v>
      </c>
      <c r="U661">
        <v>0</v>
      </c>
      <c r="V661">
        <v>3753</v>
      </c>
    </row>
    <row r="662" spans="1:22" x14ac:dyDescent="0.3">
      <c r="A662">
        <v>79452</v>
      </c>
      <c r="B662">
        <v>136025814</v>
      </c>
      <c r="C662" t="s">
        <v>4070</v>
      </c>
      <c r="D662" t="s">
        <v>4071</v>
      </c>
      <c r="E662" t="s">
        <v>843</v>
      </c>
      <c r="F662" t="s">
        <v>844</v>
      </c>
      <c r="G662" t="s">
        <v>164</v>
      </c>
      <c r="H662" t="s">
        <v>165</v>
      </c>
      <c r="I662" t="s">
        <v>34</v>
      </c>
      <c r="J662" t="s">
        <v>166</v>
      </c>
      <c r="K662" t="s">
        <v>41</v>
      </c>
      <c r="L662" t="s">
        <v>4072</v>
      </c>
      <c r="M662" t="s">
        <v>4073</v>
      </c>
      <c r="N662" t="s">
        <v>847</v>
      </c>
      <c r="O662" t="s">
        <v>100</v>
      </c>
      <c r="P662" t="s">
        <v>1104</v>
      </c>
      <c r="Q662" t="s">
        <v>190</v>
      </c>
      <c r="R662" t="s">
        <v>342</v>
      </c>
      <c r="S662">
        <v>1</v>
      </c>
      <c r="T662">
        <v>3366</v>
      </c>
      <c r="U662">
        <v>0</v>
      </c>
      <c r="V662">
        <v>3366</v>
      </c>
    </row>
    <row r="663" spans="1:22" x14ac:dyDescent="0.3">
      <c r="A663">
        <v>79452</v>
      </c>
      <c r="B663">
        <v>136103865</v>
      </c>
      <c r="C663" t="s">
        <v>4074</v>
      </c>
      <c r="D663" t="s">
        <v>4075</v>
      </c>
      <c r="E663" t="s">
        <v>843</v>
      </c>
      <c r="F663" t="s">
        <v>844</v>
      </c>
      <c r="G663" t="s">
        <v>164</v>
      </c>
      <c r="H663" t="s">
        <v>165</v>
      </c>
      <c r="I663" t="s">
        <v>34</v>
      </c>
      <c r="J663" t="s">
        <v>166</v>
      </c>
      <c r="K663" t="s">
        <v>41</v>
      </c>
      <c r="L663" t="s">
        <v>4076</v>
      </c>
      <c r="M663" t="s">
        <v>4077</v>
      </c>
      <c r="N663" t="s">
        <v>847</v>
      </c>
      <c r="O663" t="s">
        <v>100</v>
      </c>
      <c r="P663" t="s">
        <v>4078</v>
      </c>
      <c r="Q663" t="s">
        <v>71</v>
      </c>
      <c r="R663" t="s">
        <v>803</v>
      </c>
      <c r="S663">
        <v>1.42</v>
      </c>
      <c r="T663">
        <v>3501</v>
      </c>
      <c r="U663">
        <v>0</v>
      </c>
      <c r="V663">
        <v>3501</v>
      </c>
    </row>
    <row r="664" spans="1:22" x14ac:dyDescent="0.3">
      <c r="A664">
        <v>79452</v>
      </c>
      <c r="B664">
        <v>136269947</v>
      </c>
      <c r="C664" t="s">
        <v>4079</v>
      </c>
      <c r="D664" t="s">
        <v>4080</v>
      </c>
      <c r="E664" t="s">
        <v>843</v>
      </c>
      <c r="F664" t="s">
        <v>844</v>
      </c>
      <c r="G664" t="s">
        <v>164</v>
      </c>
      <c r="H664" t="s">
        <v>165</v>
      </c>
      <c r="I664" t="s">
        <v>34</v>
      </c>
      <c r="J664" t="s">
        <v>166</v>
      </c>
      <c r="K664" t="s">
        <v>41</v>
      </c>
      <c r="L664" t="s">
        <v>4081</v>
      </c>
      <c r="M664" t="s">
        <v>4082</v>
      </c>
      <c r="N664" t="s">
        <v>847</v>
      </c>
      <c r="O664" t="s">
        <v>100</v>
      </c>
      <c r="P664" t="s">
        <v>4083</v>
      </c>
      <c r="Q664" t="s">
        <v>63</v>
      </c>
      <c r="R664" t="s">
        <v>794</v>
      </c>
      <c r="S664">
        <v>1</v>
      </c>
      <c r="T664">
        <v>4067</v>
      </c>
      <c r="U664">
        <v>0</v>
      </c>
      <c r="V664">
        <v>4067</v>
      </c>
    </row>
    <row r="665" spans="1:22" x14ac:dyDescent="0.3">
      <c r="A665">
        <v>79452</v>
      </c>
      <c r="B665">
        <v>136103950</v>
      </c>
      <c r="C665" t="s">
        <v>4084</v>
      </c>
      <c r="D665" t="s">
        <v>4085</v>
      </c>
      <c r="E665" t="s">
        <v>843</v>
      </c>
      <c r="F665" t="s">
        <v>844</v>
      </c>
      <c r="G665" t="s">
        <v>164</v>
      </c>
      <c r="H665" t="s">
        <v>165</v>
      </c>
      <c r="I665" t="s">
        <v>34</v>
      </c>
      <c r="J665" t="s">
        <v>166</v>
      </c>
      <c r="K665" t="s">
        <v>41</v>
      </c>
      <c r="L665" t="s">
        <v>4086</v>
      </c>
      <c r="M665" t="s">
        <v>4087</v>
      </c>
      <c r="N665" t="s">
        <v>847</v>
      </c>
      <c r="O665" t="s">
        <v>100</v>
      </c>
      <c r="P665" t="s">
        <v>4088</v>
      </c>
      <c r="Q665" t="s">
        <v>190</v>
      </c>
      <c r="R665" t="s">
        <v>803</v>
      </c>
      <c r="S665">
        <v>2.4900000000000002</v>
      </c>
      <c r="T665">
        <v>3366</v>
      </c>
      <c r="U665">
        <v>0</v>
      </c>
      <c r="V665">
        <v>3366</v>
      </c>
    </row>
    <row r="666" spans="1:22" x14ac:dyDescent="0.3">
      <c r="A666">
        <v>79452</v>
      </c>
      <c r="B666">
        <v>136439972</v>
      </c>
      <c r="C666" t="s">
        <v>4089</v>
      </c>
      <c r="D666" t="s">
        <v>4090</v>
      </c>
      <c r="E666" t="s">
        <v>843</v>
      </c>
      <c r="F666" t="s">
        <v>844</v>
      </c>
      <c r="G666" t="s">
        <v>164</v>
      </c>
      <c r="H666" t="s">
        <v>165</v>
      </c>
      <c r="I666" t="s">
        <v>34</v>
      </c>
      <c r="J666" t="s">
        <v>166</v>
      </c>
      <c r="K666" t="s">
        <v>41</v>
      </c>
      <c r="L666" t="s">
        <v>4091</v>
      </c>
      <c r="M666" t="s">
        <v>4092</v>
      </c>
      <c r="N666" t="s">
        <v>847</v>
      </c>
      <c r="O666" t="s">
        <v>100</v>
      </c>
      <c r="P666" t="s">
        <v>4093</v>
      </c>
      <c r="Q666" t="s">
        <v>83</v>
      </c>
      <c r="R666" t="s">
        <v>4094</v>
      </c>
      <c r="S666">
        <v>1.77</v>
      </c>
      <c r="T666">
        <v>3366</v>
      </c>
      <c r="U666">
        <v>0</v>
      </c>
      <c r="V666">
        <v>3366</v>
      </c>
    </row>
    <row r="667" spans="1:22" x14ac:dyDescent="0.3">
      <c r="A667">
        <v>79452</v>
      </c>
      <c r="B667">
        <v>136269937</v>
      </c>
      <c r="C667" t="s">
        <v>4095</v>
      </c>
      <c r="D667" t="s">
        <v>4096</v>
      </c>
      <c r="E667" t="s">
        <v>843</v>
      </c>
      <c r="F667" t="s">
        <v>844</v>
      </c>
      <c r="G667" t="s">
        <v>164</v>
      </c>
      <c r="H667" t="s">
        <v>165</v>
      </c>
      <c r="I667" t="s">
        <v>34</v>
      </c>
      <c r="J667" t="s">
        <v>166</v>
      </c>
      <c r="K667" t="s">
        <v>41</v>
      </c>
      <c r="L667" t="s">
        <v>4097</v>
      </c>
      <c r="M667" t="s">
        <v>4098</v>
      </c>
      <c r="N667" t="s">
        <v>847</v>
      </c>
      <c r="O667" t="s">
        <v>100</v>
      </c>
      <c r="P667" t="s">
        <v>4099</v>
      </c>
      <c r="Q667" t="s">
        <v>202</v>
      </c>
      <c r="R667" t="s">
        <v>794</v>
      </c>
      <c r="S667">
        <v>1</v>
      </c>
      <c r="T667">
        <v>3784</v>
      </c>
      <c r="U667">
        <v>0</v>
      </c>
      <c r="V667">
        <v>3784</v>
      </c>
    </row>
    <row r="668" spans="1:22" x14ac:dyDescent="0.3">
      <c r="A668">
        <v>79452</v>
      </c>
      <c r="B668">
        <v>136270117</v>
      </c>
      <c r="C668" t="s">
        <v>4100</v>
      </c>
      <c r="D668" t="s">
        <v>4101</v>
      </c>
      <c r="E668" t="s">
        <v>843</v>
      </c>
      <c r="F668" t="s">
        <v>844</v>
      </c>
      <c r="G668" t="s">
        <v>164</v>
      </c>
      <c r="H668" t="s">
        <v>165</v>
      </c>
      <c r="I668" t="s">
        <v>34</v>
      </c>
      <c r="J668" t="s">
        <v>166</v>
      </c>
      <c r="K668" t="s">
        <v>41</v>
      </c>
      <c r="L668" t="s">
        <v>4102</v>
      </c>
      <c r="M668" t="s">
        <v>4103</v>
      </c>
      <c r="N668" t="s">
        <v>847</v>
      </c>
      <c r="O668" t="s">
        <v>100</v>
      </c>
      <c r="P668" t="s">
        <v>4104</v>
      </c>
      <c r="Q668" t="s">
        <v>71</v>
      </c>
      <c r="R668" t="s">
        <v>759</v>
      </c>
      <c r="S668">
        <v>1.45</v>
      </c>
      <c r="T668">
        <v>3501</v>
      </c>
      <c r="U668">
        <v>0</v>
      </c>
      <c r="V668">
        <v>3501</v>
      </c>
    </row>
    <row r="669" spans="1:22" x14ac:dyDescent="0.3">
      <c r="A669">
        <v>79452</v>
      </c>
      <c r="B669">
        <v>136327473</v>
      </c>
      <c r="C669" t="s">
        <v>4105</v>
      </c>
      <c r="D669" t="s">
        <v>4106</v>
      </c>
      <c r="E669" t="s">
        <v>843</v>
      </c>
      <c r="F669" t="s">
        <v>844</v>
      </c>
      <c r="G669" t="s">
        <v>164</v>
      </c>
      <c r="H669" t="s">
        <v>165</v>
      </c>
      <c r="I669" t="s">
        <v>34</v>
      </c>
      <c r="J669" t="s">
        <v>166</v>
      </c>
      <c r="K669" t="s">
        <v>41</v>
      </c>
      <c r="L669" t="s">
        <v>4107</v>
      </c>
      <c r="M669" t="s">
        <v>2804</v>
      </c>
      <c r="N669" t="s">
        <v>847</v>
      </c>
      <c r="O669" t="s">
        <v>100</v>
      </c>
      <c r="P669" t="s">
        <v>2805</v>
      </c>
      <c r="Q669" t="s">
        <v>83</v>
      </c>
      <c r="R669" t="s">
        <v>1130</v>
      </c>
      <c r="S669">
        <v>2.13</v>
      </c>
      <c r="T669">
        <v>3366</v>
      </c>
      <c r="U669">
        <v>0</v>
      </c>
      <c r="V669">
        <v>3366</v>
      </c>
    </row>
    <row r="670" spans="1:22" x14ac:dyDescent="0.3">
      <c r="A670">
        <v>79452</v>
      </c>
      <c r="B670">
        <v>135980542</v>
      </c>
      <c r="C670" t="s">
        <v>4108</v>
      </c>
      <c r="D670" t="s">
        <v>4109</v>
      </c>
      <c r="E670" t="s">
        <v>843</v>
      </c>
      <c r="F670" t="s">
        <v>844</v>
      </c>
      <c r="G670" t="s">
        <v>164</v>
      </c>
      <c r="H670" t="s">
        <v>165</v>
      </c>
      <c r="I670" t="s">
        <v>34</v>
      </c>
      <c r="J670" t="s">
        <v>166</v>
      </c>
      <c r="K670" t="s">
        <v>41</v>
      </c>
      <c r="L670" t="s">
        <v>4110</v>
      </c>
      <c r="M670" t="s">
        <v>4111</v>
      </c>
      <c r="N670" t="s">
        <v>847</v>
      </c>
      <c r="O670" t="s">
        <v>100</v>
      </c>
      <c r="P670" t="s">
        <v>4112</v>
      </c>
      <c r="Q670" t="s">
        <v>54</v>
      </c>
      <c r="R670" t="s">
        <v>398</v>
      </c>
      <c r="S670">
        <v>3.1</v>
      </c>
      <c r="T670">
        <v>8008</v>
      </c>
      <c r="U670">
        <v>0</v>
      </c>
      <c r="V670">
        <v>8008</v>
      </c>
    </row>
    <row r="671" spans="1:22" x14ac:dyDescent="0.3">
      <c r="A671">
        <v>79452</v>
      </c>
      <c r="B671">
        <v>135745448</v>
      </c>
      <c r="C671" t="s">
        <v>4113</v>
      </c>
      <c r="D671" t="s">
        <v>4114</v>
      </c>
      <c r="E671" t="s">
        <v>843</v>
      </c>
      <c r="F671" t="s">
        <v>844</v>
      </c>
      <c r="G671" t="s">
        <v>164</v>
      </c>
      <c r="H671" t="s">
        <v>165</v>
      </c>
      <c r="I671" t="s">
        <v>34</v>
      </c>
      <c r="J671" t="s">
        <v>166</v>
      </c>
      <c r="K671" t="s">
        <v>41</v>
      </c>
      <c r="L671" t="s">
        <v>4115</v>
      </c>
      <c r="M671" t="s">
        <v>4116</v>
      </c>
      <c r="N671" t="s">
        <v>847</v>
      </c>
      <c r="O671" t="s">
        <v>100</v>
      </c>
      <c r="P671" t="s">
        <v>4117</v>
      </c>
      <c r="Q671" t="s">
        <v>63</v>
      </c>
      <c r="R671" t="s">
        <v>738</v>
      </c>
      <c r="S671">
        <v>1.38</v>
      </c>
      <c r="T671">
        <v>4067</v>
      </c>
      <c r="U671">
        <v>0</v>
      </c>
      <c r="V671">
        <v>4067</v>
      </c>
    </row>
    <row r="672" spans="1:22" x14ac:dyDescent="0.3">
      <c r="A672">
        <v>79452</v>
      </c>
      <c r="B672">
        <v>136363673</v>
      </c>
      <c r="C672" t="s">
        <v>4118</v>
      </c>
      <c r="D672" t="s">
        <v>4119</v>
      </c>
      <c r="E672" t="s">
        <v>843</v>
      </c>
      <c r="F672" t="s">
        <v>844</v>
      </c>
      <c r="G672" t="s">
        <v>164</v>
      </c>
      <c r="H672" t="s">
        <v>165</v>
      </c>
      <c r="I672" t="s">
        <v>34</v>
      </c>
      <c r="J672" t="s">
        <v>166</v>
      </c>
      <c r="K672" t="s">
        <v>41</v>
      </c>
      <c r="L672" t="s">
        <v>4120</v>
      </c>
      <c r="M672" t="s">
        <v>4121</v>
      </c>
      <c r="N672" t="s">
        <v>847</v>
      </c>
      <c r="O672" t="s">
        <v>100</v>
      </c>
      <c r="P672" t="s">
        <v>4122</v>
      </c>
      <c r="Q672" t="s">
        <v>49</v>
      </c>
      <c r="R672" t="s">
        <v>3337</v>
      </c>
      <c r="S672">
        <v>2.2599999999999998</v>
      </c>
      <c r="T672">
        <v>3784</v>
      </c>
      <c r="U672">
        <v>0</v>
      </c>
      <c r="V672">
        <v>3784</v>
      </c>
    </row>
    <row r="673" spans="1:22" x14ac:dyDescent="0.3">
      <c r="A673">
        <v>79452</v>
      </c>
      <c r="B673">
        <v>135980670</v>
      </c>
      <c r="C673" t="s">
        <v>4123</v>
      </c>
      <c r="D673" t="s">
        <v>4124</v>
      </c>
      <c r="E673" t="s">
        <v>843</v>
      </c>
      <c r="F673" t="s">
        <v>844</v>
      </c>
      <c r="G673" t="s">
        <v>164</v>
      </c>
      <c r="H673" t="s">
        <v>165</v>
      </c>
      <c r="I673" t="s">
        <v>34</v>
      </c>
      <c r="J673" t="s">
        <v>166</v>
      </c>
      <c r="K673" t="s">
        <v>41</v>
      </c>
      <c r="L673" t="s">
        <v>4125</v>
      </c>
      <c r="M673" t="s">
        <v>4126</v>
      </c>
      <c r="N673" t="s">
        <v>847</v>
      </c>
      <c r="O673" t="s">
        <v>100</v>
      </c>
      <c r="P673" t="s">
        <v>4127</v>
      </c>
      <c r="Q673" t="s">
        <v>55</v>
      </c>
      <c r="R673" t="s">
        <v>3290</v>
      </c>
      <c r="S673">
        <v>0.84</v>
      </c>
      <c r="T673">
        <v>5198</v>
      </c>
      <c r="U673">
        <v>0</v>
      </c>
      <c r="V673">
        <v>5198</v>
      </c>
    </row>
    <row r="674" spans="1:22" x14ac:dyDescent="0.3">
      <c r="A674">
        <v>79452</v>
      </c>
      <c r="B674">
        <v>136025738</v>
      </c>
      <c r="C674" t="s">
        <v>4128</v>
      </c>
      <c r="D674" t="s">
        <v>4129</v>
      </c>
      <c r="E674" t="s">
        <v>843</v>
      </c>
      <c r="F674" t="s">
        <v>844</v>
      </c>
      <c r="G674" t="s">
        <v>164</v>
      </c>
      <c r="H674" t="s">
        <v>165</v>
      </c>
      <c r="I674" t="s">
        <v>34</v>
      </c>
      <c r="J674" t="s">
        <v>166</v>
      </c>
      <c r="K674" t="s">
        <v>41</v>
      </c>
      <c r="L674" t="s">
        <v>4130</v>
      </c>
      <c r="M674" t="s">
        <v>4131</v>
      </c>
      <c r="N674" t="s">
        <v>847</v>
      </c>
      <c r="O674" t="s">
        <v>100</v>
      </c>
      <c r="P674" t="s">
        <v>4132</v>
      </c>
      <c r="Q674" t="s">
        <v>67</v>
      </c>
      <c r="R674" t="s">
        <v>342</v>
      </c>
      <c r="S674">
        <v>2.5099999999999998</v>
      </c>
      <c r="T674">
        <v>3784</v>
      </c>
      <c r="U674">
        <v>0</v>
      </c>
      <c r="V674">
        <v>3784</v>
      </c>
    </row>
    <row r="675" spans="1:22" x14ac:dyDescent="0.3">
      <c r="A675">
        <v>79452</v>
      </c>
      <c r="B675">
        <v>136270004</v>
      </c>
      <c r="C675" t="s">
        <v>4133</v>
      </c>
      <c r="D675" t="s">
        <v>4134</v>
      </c>
      <c r="E675" t="s">
        <v>843</v>
      </c>
      <c r="F675" t="s">
        <v>844</v>
      </c>
      <c r="G675" t="s">
        <v>164</v>
      </c>
      <c r="H675" t="s">
        <v>165</v>
      </c>
      <c r="I675" t="s">
        <v>34</v>
      </c>
      <c r="J675" t="s">
        <v>166</v>
      </c>
      <c r="K675" t="s">
        <v>41</v>
      </c>
      <c r="L675" t="s">
        <v>4135</v>
      </c>
      <c r="M675" t="s">
        <v>4136</v>
      </c>
      <c r="N675" t="s">
        <v>847</v>
      </c>
      <c r="O675" t="s">
        <v>100</v>
      </c>
      <c r="P675" t="s">
        <v>4137</v>
      </c>
      <c r="Q675" t="s">
        <v>43</v>
      </c>
      <c r="R675" t="s">
        <v>759</v>
      </c>
      <c r="S675">
        <v>1</v>
      </c>
      <c r="T675">
        <v>3753</v>
      </c>
      <c r="U675">
        <v>0</v>
      </c>
      <c r="V675">
        <v>3753</v>
      </c>
    </row>
    <row r="676" spans="1:22" x14ac:dyDescent="0.3">
      <c r="A676">
        <v>79452</v>
      </c>
      <c r="B676">
        <v>136363561</v>
      </c>
      <c r="C676" t="s">
        <v>4138</v>
      </c>
      <c r="D676" t="s">
        <v>4139</v>
      </c>
      <c r="E676" t="s">
        <v>843</v>
      </c>
      <c r="F676" t="s">
        <v>844</v>
      </c>
      <c r="G676" t="s">
        <v>164</v>
      </c>
      <c r="H676" t="s">
        <v>165</v>
      </c>
      <c r="I676" t="s">
        <v>34</v>
      </c>
      <c r="J676" t="s">
        <v>166</v>
      </c>
      <c r="K676" t="s">
        <v>41</v>
      </c>
      <c r="L676" t="s">
        <v>4140</v>
      </c>
      <c r="M676" t="s">
        <v>4141</v>
      </c>
      <c r="N676" t="s">
        <v>847</v>
      </c>
      <c r="O676" t="s">
        <v>100</v>
      </c>
      <c r="P676" t="s">
        <v>4142</v>
      </c>
      <c r="Q676" t="s">
        <v>83</v>
      </c>
      <c r="R676" t="s">
        <v>4143</v>
      </c>
      <c r="S676">
        <v>1.67</v>
      </c>
      <c r="T676">
        <v>3366</v>
      </c>
      <c r="U676">
        <v>0</v>
      </c>
      <c r="V676">
        <v>3366</v>
      </c>
    </row>
    <row r="677" spans="1:22" x14ac:dyDescent="0.3">
      <c r="A677">
        <v>79452</v>
      </c>
      <c r="B677">
        <v>135980496</v>
      </c>
      <c r="C677" t="s">
        <v>4144</v>
      </c>
      <c r="D677" t="s">
        <v>4145</v>
      </c>
      <c r="E677" t="s">
        <v>843</v>
      </c>
      <c r="F677" t="s">
        <v>844</v>
      </c>
      <c r="G677" t="s">
        <v>164</v>
      </c>
      <c r="H677" t="s">
        <v>165</v>
      </c>
      <c r="I677" t="s">
        <v>34</v>
      </c>
      <c r="J677" t="s">
        <v>166</v>
      </c>
      <c r="K677" t="s">
        <v>41</v>
      </c>
      <c r="L677" t="s">
        <v>4146</v>
      </c>
      <c r="M677" t="s">
        <v>4147</v>
      </c>
      <c r="N677" t="s">
        <v>847</v>
      </c>
      <c r="O677" t="s">
        <v>100</v>
      </c>
      <c r="P677" t="s">
        <v>4148</v>
      </c>
      <c r="Q677" t="s">
        <v>66</v>
      </c>
      <c r="R677" t="s">
        <v>398</v>
      </c>
      <c r="S677">
        <v>2.2799999999999998</v>
      </c>
      <c r="T677">
        <v>4067</v>
      </c>
      <c r="U677">
        <v>0</v>
      </c>
      <c r="V677">
        <v>4067</v>
      </c>
    </row>
    <row r="678" spans="1:22" x14ac:dyDescent="0.3">
      <c r="A678">
        <v>79452</v>
      </c>
      <c r="B678">
        <v>136270083</v>
      </c>
      <c r="C678" t="s">
        <v>4149</v>
      </c>
      <c r="D678" t="s">
        <v>4150</v>
      </c>
      <c r="E678" t="s">
        <v>843</v>
      </c>
      <c r="F678" t="s">
        <v>844</v>
      </c>
      <c r="G678" t="s">
        <v>164</v>
      </c>
      <c r="H678" t="s">
        <v>165</v>
      </c>
      <c r="I678" t="s">
        <v>34</v>
      </c>
      <c r="J678" t="s">
        <v>166</v>
      </c>
      <c r="K678" t="s">
        <v>41</v>
      </c>
      <c r="L678" t="s">
        <v>4151</v>
      </c>
      <c r="M678" t="s">
        <v>4152</v>
      </c>
      <c r="N678" t="s">
        <v>847</v>
      </c>
      <c r="O678" t="s">
        <v>100</v>
      </c>
      <c r="P678" t="s">
        <v>4153</v>
      </c>
      <c r="Q678" t="s">
        <v>61</v>
      </c>
      <c r="R678" t="s">
        <v>759</v>
      </c>
      <c r="S678">
        <v>1.36</v>
      </c>
      <c r="T678">
        <v>4067</v>
      </c>
      <c r="U678">
        <v>0</v>
      </c>
      <c r="V678">
        <v>4067</v>
      </c>
    </row>
    <row r="679" spans="1:22" x14ac:dyDescent="0.3">
      <c r="A679">
        <v>79452</v>
      </c>
      <c r="B679">
        <v>136270057</v>
      </c>
      <c r="C679" t="s">
        <v>4154</v>
      </c>
      <c r="D679" t="s">
        <v>4155</v>
      </c>
      <c r="E679" t="s">
        <v>843</v>
      </c>
      <c r="F679" t="s">
        <v>844</v>
      </c>
      <c r="G679" t="s">
        <v>164</v>
      </c>
      <c r="H679" t="s">
        <v>165</v>
      </c>
      <c r="I679" t="s">
        <v>34</v>
      </c>
      <c r="J679" t="s">
        <v>166</v>
      </c>
      <c r="K679" t="s">
        <v>41</v>
      </c>
      <c r="L679" t="s">
        <v>4156</v>
      </c>
      <c r="M679" t="s">
        <v>4157</v>
      </c>
      <c r="N679" t="s">
        <v>847</v>
      </c>
      <c r="O679" t="s">
        <v>100</v>
      </c>
      <c r="P679" t="s">
        <v>4158</v>
      </c>
      <c r="Q679" t="s">
        <v>61</v>
      </c>
      <c r="R679" t="s">
        <v>759</v>
      </c>
      <c r="S679">
        <v>1.18</v>
      </c>
      <c r="T679">
        <v>4067</v>
      </c>
      <c r="U679">
        <v>0</v>
      </c>
      <c r="V679">
        <v>4067</v>
      </c>
    </row>
    <row r="680" spans="1:22" x14ac:dyDescent="0.3">
      <c r="A680">
        <v>79452</v>
      </c>
      <c r="B680">
        <v>136269959</v>
      </c>
      <c r="C680" t="s">
        <v>4159</v>
      </c>
      <c r="D680" t="s">
        <v>4160</v>
      </c>
      <c r="E680" t="s">
        <v>843</v>
      </c>
      <c r="F680" t="s">
        <v>844</v>
      </c>
      <c r="G680" t="s">
        <v>164</v>
      </c>
      <c r="H680" t="s">
        <v>165</v>
      </c>
      <c r="I680" t="s">
        <v>34</v>
      </c>
      <c r="J680" t="s">
        <v>166</v>
      </c>
      <c r="K680" t="s">
        <v>41</v>
      </c>
      <c r="L680" t="s">
        <v>4161</v>
      </c>
      <c r="M680" t="s">
        <v>4162</v>
      </c>
      <c r="N680" t="s">
        <v>847</v>
      </c>
      <c r="O680" t="s">
        <v>100</v>
      </c>
      <c r="P680" t="s">
        <v>4163</v>
      </c>
      <c r="Q680" t="s">
        <v>68</v>
      </c>
      <c r="R680" t="s">
        <v>794</v>
      </c>
      <c r="S680">
        <v>1</v>
      </c>
      <c r="T680">
        <v>3753</v>
      </c>
      <c r="U680">
        <v>0</v>
      </c>
      <c r="V680">
        <v>3753</v>
      </c>
    </row>
    <row r="681" spans="1:22" x14ac:dyDescent="0.3">
      <c r="A681">
        <v>79452</v>
      </c>
      <c r="B681">
        <v>136196444</v>
      </c>
      <c r="C681" t="s">
        <v>4164</v>
      </c>
      <c r="D681" t="s">
        <v>4165</v>
      </c>
      <c r="E681" t="s">
        <v>843</v>
      </c>
      <c r="F681" t="s">
        <v>844</v>
      </c>
      <c r="G681" t="s">
        <v>164</v>
      </c>
      <c r="H681" t="s">
        <v>165</v>
      </c>
      <c r="I681" t="s">
        <v>34</v>
      </c>
      <c r="J681" t="s">
        <v>166</v>
      </c>
      <c r="K681" t="s">
        <v>41</v>
      </c>
      <c r="L681" t="s">
        <v>4166</v>
      </c>
      <c r="M681" t="s">
        <v>4167</v>
      </c>
      <c r="N681" t="s">
        <v>847</v>
      </c>
      <c r="O681" t="s">
        <v>100</v>
      </c>
      <c r="P681" t="s">
        <v>4168</v>
      </c>
      <c r="Q681" t="s">
        <v>84</v>
      </c>
      <c r="R681" t="s">
        <v>716</v>
      </c>
      <c r="S681">
        <v>1</v>
      </c>
      <c r="T681">
        <v>3366</v>
      </c>
      <c r="U681">
        <v>0</v>
      </c>
      <c r="V681">
        <v>3366</v>
      </c>
    </row>
    <row r="682" spans="1:22" x14ac:dyDescent="0.3">
      <c r="A682">
        <v>79452</v>
      </c>
      <c r="B682">
        <v>136363585</v>
      </c>
      <c r="C682" t="s">
        <v>4169</v>
      </c>
      <c r="D682" t="s">
        <v>4170</v>
      </c>
      <c r="E682" t="s">
        <v>843</v>
      </c>
      <c r="F682" t="s">
        <v>844</v>
      </c>
      <c r="G682" t="s">
        <v>164</v>
      </c>
      <c r="H682" t="s">
        <v>165</v>
      </c>
      <c r="I682" t="s">
        <v>34</v>
      </c>
      <c r="J682" t="s">
        <v>166</v>
      </c>
      <c r="K682" t="s">
        <v>41</v>
      </c>
      <c r="L682" t="s">
        <v>4171</v>
      </c>
      <c r="M682" t="s">
        <v>4172</v>
      </c>
      <c r="N682" t="s">
        <v>847</v>
      </c>
      <c r="O682" t="s">
        <v>100</v>
      </c>
      <c r="P682" t="s">
        <v>4173</v>
      </c>
      <c r="Q682" t="s">
        <v>212</v>
      </c>
      <c r="R682" t="s">
        <v>4143</v>
      </c>
      <c r="S682">
        <v>2.2200000000000002</v>
      </c>
      <c r="T682">
        <v>3784</v>
      </c>
      <c r="U682">
        <v>0</v>
      </c>
      <c r="V682">
        <v>3784</v>
      </c>
    </row>
    <row r="683" spans="1:22" x14ac:dyDescent="0.3">
      <c r="A683">
        <v>79452</v>
      </c>
      <c r="B683">
        <v>136025870</v>
      </c>
      <c r="C683" t="s">
        <v>4174</v>
      </c>
      <c r="D683" t="s">
        <v>4175</v>
      </c>
      <c r="E683" t="s">
        <v>843</v>
      </c>
      <c r="F683" t="s">
        <v>844</v>
      </c>
      <c r="G683" t="s">
        <v>164</v>
      </c>
      <c r="H683" t="s">
        <v>165</v>
      </c>
      <c r="I683" t="s">
        <v>34</v>
      </c>
      <c r="J683" t="s">
        <v>166</v>
      </c>
      <c r="K683" t="s">
        <v>41</v>
      </c>
      <c r="L683" t="s">
        <v>4176</v>
      </c>
      <c r="M683" t="s">
        <v>4177</v>
      </c>
      <c r="N683" t="s">
        <v>847</v>
      </c>
      <c r="O683" t="s">
        <v>100</v>
      </c>
      <c r="P683" t="s">
        <v>4178</v>
      </c>
      <c r="Q683" t="s">
        <v>94</v>
      </c>
      <c r="R683" t="s">
        <v>403</v>
      </c>
      <c r="S683">
        <v>2.11</v>
      </c>
      <c r="T683">
        <v>3366</v>
      </c>
      <c r="U683">
        <v>0</v>
      </c>
      <c r="V683">
        <v>3366</v>
      </c>
    </row>
    <row r="684" spans="1:22" x14ac:dyDescent="0.3">
      <c r="A684">
        <v>79452</v>
      </c>
      <c r="B684">
        <v>136025772</v>
      </c>
      <c r="C684" t="s">
        <v>4179</v>
      </c>
      <c r="D684" t="s">
        <v>4180</v>
      </c>
      <c r="E684" t="s">
        <v>843</v>
      </c>
      <c r="F684" t="s">
        <v>844</v>
      </c>
      <c r="G684" t="s">
        <v>164</v>
      </c>
      <c r="H684" t="s">
        <v>165</v>
      </c>
      <c r="I684" t="s">
        <v>34</v>
      </c>
      <c r="J684" t="s">
        <v>166</v>
      </c>
      <c r="K684" t="s">
        <v>41</v>
      </c>
      <c r="L684" t="s">
        <v>4181</v>
      </c>
      <c r="M684" t="s">
        <v>1591</v>
      </c>
      <c r="N684" t="s">
        <v>847</v>
      </c>
      <c r="O684" t="s">
        <v>100</v>
      </c>
      <c r="P684" t="s">
        <v>1592</v>
      </c>
      <c r="Q684" t="s">
        <v>69</v>
      </c>
      <c r="R684" t="s">
        <v>342</v>
      </c>
      <c r="S684">
        <v>1</v>
      </c>
      <c r="T684">
        <v>3753</v>
      </c>
      <c r="U684">
        <v>0</v>
      </c>
      <c r="V684">
        <v>3753</v>
      </c>
    </row>
    <row r="685" spans="1:22" x14ac:dyDescent="0.3">
      <c r="A685">
        <v>79452</v>
      </c>
      <c r="B685">
        <v>136196638</v>
      </c>
      <c r="C685" t="s">
        <v>4182</v>
      </c>
      <c r="D685" t="s">
        <v>4183</v>
      </c>
      <c r="E685" t="s">
        <v>843</v>
      </c>
      <c r="F685" t="s">
        <v>844</v>
      </c>
      <c r="G685" t="s">
        <v>164</v>
      </c>
      <c r="H685" t="s">
        <v>165</v>
      </c>
      <c r="I685" t="s">
        <v>34</v>
      </c>
      <c r="J685" t="s">
        <v>166</v>
      </c>
      <c r="K685" t="s">
        <v>41</v>
      </c>
      <c r="L685" t="s">
        <v>4184</v>
      </c>
      <c r="M685" t="s">
        <v>4185</v>
      </c>
      <c r="N685" t="s">
        <v>847</v>
      </c>
      <c r="O685" t="s">
        <v>100</v>
      </c>
      <c r="P685" t="s">
        <v>4186</v>
      </c>
      <c r="Q685" t="s">
        <v>240</v>
      </c>
      <c r="R685" t="s">
        <v>287</v>
      </c>
      <c r="S685">
        <v>2.23</v>
      </c>
      <c r="T685">
        <v>5256</v>
      </c>
      <c r="U685">
        <v>0</v>
      </c>
      <c r="V685">
        <v>5256</v>
      </c>
    </row>
    <row r="686" spans="1:22" x14ac:dyDescent="0.3">
      <c r="A686">
        <v>79452</v>
      </c>
      <c r="B686">
        <v>136104045</v>
      </c>
      <c r="C686" t="s">
        <v>4187</v>
      </c>
      <c r="D686" t="s">
        <v>4188</v>
      </c>
      <c r="E686" t="s">
        <v>843</v>
      </c>
      <c r="F686" t="s">
        <v>844</v>
      </c>
      <c r="G686" t="s">
        <v>164</v>
      </c>
      <c r="H686" t="s">
        <v>165</v>
      </c>
      <c r="I686" t="s">
        <v>34</v>
      </c>
      <c r="J686" t="s">
        <v>166</v>
      </c>
      <c r="K686" t="s">
        <v>41</v>
      </c>
      <c r="L686" t="s">
        <v>4189</v>
      </c>
      <c r="M686" t="s">
        <v>4190</v>
      </c>
      <c r="N686" t="s">
        <v>847</v>
      </c>
      <c r="O686" t="s">
        <v>100</v>
      </c>
      <c r="P686" t="s">
        <v>4191</v>
      </c>
      <c r="Q686" t="s">
        <v>84</v>
      </c>
      <c r="R686" t="s">
        <v>803</v>
      </c>
      <c r="S686">
        <v>1.22</v>
      </c>
      <c r="T686">
        <v>3366</v>
      </c>
      <c r="U686">
        <v>0</v>
      </c>
      <c r="V686">
        <v>3366</v>
      </c>
    </row>
    <row r="687" spans="1:22" x14ac:dyDescent="0.3">
      <c r="A687">
        <v>79452</v>
      </c>
      <c r="B687">
        <v>136025890</v>
      </c>
      <c r="C687" t="s">
        <v>4192</v>
      </c>
      <c r="D687" t="s">
        <v>4193</v>
      </c>
      <c r="E687" t="s">
        <v>843</v>
      </c>
      <c r="F687" t="s">
        <v>844</v>
      </c>
      <c r="G687" t="s">
        <v>164</v>
      </c>
      <c r="H687" t="s">
        <v>165</v>
      </c>
      <c r="I687" t="s">
        <v>34</v>
      </c>
      <c r="J687" t="s">
        <v>166</v>
      </c>
      <c r="K687" t="s">
        <v>41</v>
      </c>
      <c r="L687" t="s">
        <v>4194</v>
      </c>
      <c r="M687" t="s">
        <v>4195</v>
      </c>
      <c r="N687" t="s">
        <v>847</v>
      </c>
      <c r="O687" t="s">
        <v>100</v>
      </c>
      <c r="P687" t="s">
        <v>4196</v>
      </c>
      <c r="Q687" t="s">
        <v>49</v>
      </c>
      <c r="R687" t="s">
        <v>403</v>
      </c>
      <c r="S687">
        <v>1.05</v>
      </c>
      <c r="T687">
        <v>3784</v>
      </c>
      <c r="U687">
        <v>0</v>
      </c>
      <c r="V687">
        <v>3784</v>
      </c>
    </row>
    <row r="688" spans="1:22" x14ac:dyDescent="0.3">
      <c r="A688">
        <v>79452</v>
      </c>
      <c r="B688">
        <v>136439983</v>
      </c>
      <c r="C688" t="s">
        <v>4197</v>
      </c>
      <c r="D688" t="s">
        <v>4198</v>
      </c>
      <c r="E688" t="s">
        <v>843</v>
      </c>
      <c r="F688" t="s">
        <v>844</v>
      </c>
      <c r="G688" t="s">
        <v>164</v>
      </c>
      <c r="H688" t="s">
        <v>165</v>
      </c>
      <c r="I688" t="s">
        <v>34</v>
      </c>
      <c r="J688" t="s">
        <v>166</v>
      </c>
      <c r="K688" t="s">
        <v>41</v>
      </c>
      <c r="L688" t="s">
        <v>4199</v>
      </c>
      <c r="M688" t="s">
        <v>4200</v>
      </c>
      <c r="N688" t="s">
        <v>847</v>
      </c>
      <c r="O688" t="s">
        <v>100</v>
      </c>
      <c r="P688" t="s">
        <v>4201</v>
      </c>
      <c r="Q688" t="s">
        <v>59</v>
      </c>
      <c r="R688" t="s">
        <v>4094</v>
      </c>
      <c r="S688">
        <v>1.5</v>
      </c>
      <c r="T688">
        <v>4067</v>
      </c>
      <c r="U688">
        <v>0</v>
      </c>
      <c r="V688">
        <v>4067</v>
      </c>
    </row>
    <row r="689" spans="1:22" x14ac:dyDescent="0.3">
      <c r="A689">
        <v>79452</v>
      </c>
      <c r="B689">
        <v>136025764</v>
      </c>
      <c r="C689" t="s">
        <v>4202</v>
      </c>
      <c r="D689" t="s">
        <v>4203</v>
      </c>
      <c r="E689" t="s">
        <v>843</v>
      </c>
      <c r="F689" t="s">
        <v>844</v>
      </c>
      <c r="G689" t="s">
        <v>164</v>
      </c>
      <c r="H689" t="s">
        <v>165</v>
      </c>
      <c r="I689" t="s">
        <v>34</v>
      </c>
      <c r="J689" t="s">
        <v>166</v>
      </c>
      <c r="K689" t="s">
        <v>41</v>
      </c>
      <c r="L689" t="s">
        <v>4204</v>
      </c>
      <c r="M689" t="s">
        <v>4205</v>
      </c>
      <c r="N689" t="s">
        <v>847</v>
      </c>
      <c r="O689" t="s">
        <v>100</v>
      </c>
      <c r="P689" t="s">
        <v>4206</v>
      </c>
      <c r="Q689" t="s">
        <v>43</v>
      </c>
      <c r="R689" t="s">
        <v>342</v>
      </c>
      <c r="S689">
        <v>0.8</v>
      </c>
      <c r="T689">
        <v>3753</v>
      </c>
      <c r="U689">
        <v>0</v>
      </c>
      <c r="V689">
        <v>3753</v>
      </c>
    </row>
    <row r="690" spans="1:22" x14ac:dyDescent="0.3">
      <c r="A690">
        <v>79452</v>
      </c>
      <c r="B690">
        <v>136196411</v>
      </c>
      <c r="C690" t="s">
        <v>4207</v>
      </c>
      <c r="D690" t="s">
        <v>4208</v>
      </c>
      <c r="E690" t="s">
        <v>843</v>
      </c>
      <c r="F690" t="s">
        <v>844</v>
      </c>
      <c r="G690" t="s">
        <v>164</v>
      </c>
      <c r="H690" t="s">
        <v>165</v>
      </c>
      <c r="I690" t="s">
        <v>34</v>
      </c>
      <c r="J690" t="s">
        <v>166</v>
      </c>
      <c r="K690" t="s">
        <v>41</v>
      </c>
      <c r="L690" t="s">
        <v>4209</v>
      </c>
      <c r="M690" t="s">
        <v>2558</v>
      </c>
      <c r="N690" t="s">
        <v>847</v>
      </c>
      <c r="O690" t="s">
        <v>100</v>
      </c>
      <c r="P690" t="s">
        <v>4210</v>
      </c>
      <c r="Q690" t="s">
        <v>50</v>
      </c>
      <c r="R690" t="s">
        <v>716</v>
      </c>
      <c r="S690">
        <v>1.25</v>
      </c>
      <c r="T690">
        <v>3784</v>
      </c>
      <c r="U690">
        <v>0</v>
      </c>
      <c r="V690">
        <v>3784</v>
      </c>
    </row>
    <row r="691" spans="1:22" x14ac:dyDescent="0.3">
      <c r="A691">
        <v>79452</v>
      </c>
      <c r="B691">
        <v>136025799</v>
      </c>
      <c r="C691" t="s">
        <v>4211</v>
      </c>
      <c r="D691" t="s">
        <v>4212</v>
      </c>
      <c r="E691" t="s">
        <v>843</v>
      </c>
      <c r="F691" t="s">
        <v>844</v>
      </c>
      <c r="G691" t="s">
        <v>164</v>
      </c>
      <c r="H691" t="s">
        <v>165</v>
      </c>
      <c r="I691" t="s">
        <v>34</v>
      </c>
      <c r="J691" t="s">
        <v>166</v>
      </c>
      <c r="K691" t="s">
        <v>41</v>
      </c>
      <c r="L691" t="s">
        <v>4213</v>
      </c>
      <c r="M691" t="s">
        <v>4214</v>
      </c>
      <c r="N691" t="s">
        <v>847</v>
      </c>
      <c r="O691" t="s">
        <v>100</v>
      </c>
      <c r="P691" t="s">
        <v>4215</v>
      </c>
      <c r="Q691" t="s">
        <v>69</v>
      </c>
      <c r="R691" t="s">
        <v>342</v>
      </c>
      <c r="S691">
        <v>1.99</v>
      </c>
      <c r="T691">
        <v>3753</v>
      </c>
      <c r="U691">
        <v>0</v>
      </c>
      <c r="V691">
        <v>3753</v>
      </c>
    </row>
    <row r="692" spans="1:22" x14ac:dyDescent="0.3">
      <c r="A692">
        <v>79452</v>
      </c>
      <c r="B692">
        <v>136196393</v>
      </c>
      <c r="C692" t="s">
        <v>4216</v>
      </c>
      <c r="D692" t="s">
        <v>4217</v>
      </c>
      <c r="E692" t="s">
        <v>843</v>
      </c>
      <c r="F692" t="s">
        <v>844</v>
      </c>
      <c r="G692" t="s">
        <v>164</v>
      </c>
      <c r="H692" t="s">
        <v>165</v>
      </c>
      <c r="I692" t="s">
        <v>34</v>
      </c>
      <c r="J692" t="s">
        <v>166</v>
      </c>
      <c r="K692" t="s">
        <v>41</v>
      </c>
      <c r="L692" t="s">
        <v>4218</v>
      </c>
      <c r="M692" t="s">
        <v>4219</v>
      </c>
      <c r="N692" t="s">
        <v>847</v>
      </c>
      <c r="O692" t="s">
        <v>100</v>
      </c>
      <c r="P692" t="s">
        <v>4220</v>
      </c>
      <c r="Q692" t="s">
        <v>69</v>
      </c>
      <c r="R692" t="s">
        <v>716</v>
      </c>
      <c r="S692">
        <v>1.59</v>
      </c>
      <c r="T692">
        <v>3753</v>
      </c>
      <c r="U692">
        <v>0</v>
      </c>
      <c r="V692">
        <v>3753</v>
      </c>
    </row>
    <row r="693" spans="1:22" x14ac:dyDescent="0.3">
      <c r="A693">
        <v>79452</v>
      </c>
      <c r="B693">
        <v>136025771</v>
      </c>
      <c r="C693" t="s">
        <v>4221</v>
      </c>
      <c r="D693" t="s">
        <v>4222</v>
      </c>
      <c r="E693" t="s">
        <v>843</v>
      </c>
      <c r="F693" t="s">
        <v>844</v>
      </c>
      <c r="G693" t="s">
        <v>164</v>
      </c>
      <c r="H693" t="s">
        <v>165</v>
      </c>
      <c r="I693" t="s">
        <v>34</v>
      </c>
      <c r="J693" t="s">
        <v>166</v>
      </c>
      <c r="K693" t="s">
        <v>41</v>
      </c>
      <c r="L693" t="s">
        <v>4223</v>
      </c>
      <c r="M693" t="s">
        <v>4224</v>
      </c>
      <c r="N693" t="s">
        <v>847</v>
      </c>
      <c r="O693" t="s">
        <v>100</v>
      </c>
      <c r="P693" t="s">
        <v>4225</v>
      </c>
      <c r="Q693" t="s">
        <v>72</v>
      </c>
      <c r="R693" t="s">
        <v>342</v>
      </c>
      <c r="S693">
        <v>1.52</v>
      </c>
      <c r="T693">
        <v>3784</v>
      </c>
      <c r="U693">
        <v>0</v>
      </c>
      <c r="V693">
        <v>3784</v>
      </c>
    </row>
    <row r="694" spans="1:22" x14ac:dyDescent="0.3">
      <c r="A694">
        <v>79452</v>
      </c>
      <c r="B694">
        <v>136104124</v>
      </c>
      <c r="C694" t="s">
        <v>4226</v>
      </c>
      <c r="D694" t="s">
        <v>4227</v>
      </c>
      <c r="E694" t="s">
        <v>843</v>
      </c>
      <c r="F694" t="s">
        <v>844</v>
      </c>
      <c r="G694" t="s">
        <v>164</v>
      </c>
      <c r="H694" t="s">
        <v>165</v>
      </c>
      <c r="I694" t="s">
        <v>34</v>
      </c>
      <c r="J694" t="s">
        <v>166</v>
      </c>
      <c r="K694" t="s">
        <v>41</v>
      </c>
      <c r="L694" t="s">
        <v>4228</v>
      </c>
      <c r="M694" t="s">
        <v>4229</v>
      </c>
      <c r="N694" t="s">
        <v>847</v>
      </c>
      <c r="O694" t="s">
        <v>100</v>
      </c>
      <c r="P694" t="s">
        <v>4230</v>
      </c>
      <c r="Q694" t="s">
        <v>83</v>
      </c>
      <c r="R694" t="s">
        <v>803</v>
      </c>
      <c r="S694">
        <v>0.83</v>
      </c>
      <c r="T694">
        <v>3366</v>
      </c>
      <c r="U694">
        <v>0</v>
      </c>
      <c r="V694">
        <v>3366</v>
      </c>
    </row>
    <row r="695" spans="1:22" x14ac:dyDescent="0.3">
      <c r="A695">
        <v>79452</v>
      </c>
      <c r="B695">
        <v>136104029</v>
      </c>
      <c r="C695" t="s">
        <v>4231</v>
      </c>
      <c r="D695" t="s">
        <v>4232</v>
      </c>
      <c r="E695" t="s">
        <v>843</v>
      </c>
      <c r="F695" t="s">
        <v>844</v>
      </c>
      <c r="G695" t="s">
        <v>164</v>
      </c>
      <c r="H695" t="s">
        <v>165</v>
      </c>
      <c r="I695" t="s">
        <v>34</v>
      </c>
      <c r="J695" t="s">
        <v>166</v>
      </c>
      <c r="K695" t="s">
        <v>41</v>
      </c>
      <c r="L695" t="s">
        <v>4233</v>
      </c>
      <c r="M695" t="s">
        <v>4234</v>
      </c>
      <c r="N695" t="s">
        <v>847</v>
      </c>
      <c r="O695" t="s">
        <v>100</v>
      </c>
      <c r="P695" t="s">
        <v>4235</v>
      </c>
      <c r="Q695" t="s">
        <v>49</v>
      </c>
      <c r="R695" t="s">
        <v>803</v>
      </c>
      <c r="S695">
        <v>2.0499999999999998</v>
      </c>
      <c r="T695">
        <v>3784</v>
      </c>
      <c r="U695">
        <v>0</v>
      </c>
      <c r="V695">
        <v>3784</v>
      </c>
    </row>
    <row r="696" spans="1:22" x14ac:dyDescent="0.3">
      <c r="A696">
        <v>79452</v>
      </c>
      <c r="B696">
        <v>136104057</v>
      </c>
      <c r="C696" t="s">
        <v>4236</v>
      </c>
      <c r="D696" t="s">
        <v>4237</v>
      </c>
      <c r="E696" t="s">
        <v>843</v>
      </c>
      <c r="F696" t="s">
        <v>844</v>
      </c>
      <c r="G696" t="s">
        <v>164</v>
      </c>
      <c r="H696" t="s">
        <v>165</v>
      </c>
      <c r="I696" t="s">
        <v>34</v>
      </c>
      <c r="J696" t="s">
        <v>166</v>
      </c>
      <c r="K696" t="s">
        <v>41</v>
      </c>
      <c r="L696" t="s">
        <v>4238</v>
      </c>
      <c r="M696" t="s">
        <v>4239</v>
      </c>
      <c r="N696" t="s">
        <v>847</v>
      </c>
      <c r="O696" t="s">
        <v>100</v>
      </c>
      <c r="P696" t="s">
        <v>4240</v>
      </c>
      <c r="Q696" t="s">
        <v>85</v>
      </c>
      <c r="R696" t="s">
        <v>803</v>
      </c>
      <c r="S696">
        <v>2.0099999999999998</v>
      </c>
      <c r="T696">
        <v>3366</v>
      </c>
      <c r="U696">
        <v>0</v>
      </c>
      <c r="V696">
        <v>3366</v>
      </c>
    </row>
    <row r="697" spans="1:22" x14ac:dyDescent="0.3">
      <c r="A697">
        <v>79452</v>
      </c>
      <c r="B697">
        <v>136363611</v>
      </c>
      <c r="C697" t="s">
        <v>4241</v>
      </c>
      <c r="D697" t="s">
        <v>4242</v>
      </c>
      <c r="E697" t="s">
        <v>843</v>
      </c>
      <c r="F697" t="s">
        <v>844</v>
      </c>
      <c r="G697" t="s">
        <v>164</v>
      </c>
      <c r="H697" t="s">
        <v>165</v>
      </c>
      <c r="I697" t="s">
        <v>34</v>
      </c>
      <c r="J697" t="s">
        <v>166</v>
      </c>
      <c r="K697" t="s">
        <v>41</v>
      </c>
      <c r="L697" t="s">
        <v>4243</v>
      </c>
      <c r="M697" t="s">
        <v>4244</v>
      </c>
      <c r="N697" t="s">
        <v>847</v>
      </c>
      <c r="O697" t="s">
        <v>100</v>
      </c>
      <c r="P697" t="s">
        <v>4245</v>
      </c>
      <c r="Q697" t="s">
        <v>94</v>
      </c>
      <c r="R697" t="s">
        <v>3337</v>
      </c>
      <c r="S697">
        <v>1</v>
      </c>
      <c r="T697">
        <v>3366</v>
      </c>
      <c r="U697">
        <v>0</v>
      </c>
      <c r="V697">
        <v>3366</v>
      </c>
    </row>
    <row r="698" spans="1:22" x14ac:dyDescent="0.3">
      <c r="A698">
        <v>79452</v>
      </c>
      <c r="B698">
        <v>136103922</v>
      </c>
      <c r="C698" t="s">
        <v>4246</v>
      </c>
      <c r="D698" t="s">
        <v>4247</v>
      </c>
      <c r="E698" t="s">
        <v>843</v>
      </c>
      <c r="F698" t="s">
        <v>844</v>
      </c>
      <c r="G698" t="s">
        <v>164</v>
      </c>
      <c r="H698" t="s">
        <v>165</v>
      </c>
      <c r="I698" t="s">
        <v>34</v>
      </c>
      <c r="J698" t="s">
        <v>166</v>
      </c>
      <c r="K698" t="s">
        <v>41</v>
      </c>
      <c r="L698" t="s">
        <v>4248</v>
      </c>
      <c r="M698" t="s">
        <v>4249</v>
      </c>
      <c r="N698" t="s">
        <v>847</v>
      </c>
      <c r="O698" t="s">
        <v>100</v>
      </c>
      <c r="P698" t="s">
        <v>4250</v>
      </c>
      <c r="Q698" t="s">
        <v>187</v>
      </c>
      <c r="R698" t="s">
        <v>803</v>
      </c>
      <c r="S698">
        <v>1</v>
      </c>
      <c r="T698">
        <v>3784</v>
      </c>
      <c r="U698">
        <v>0</v>
      </c>
      <c r="V698">
        <v>3784</v>
      </c>
    </row>
    <row r="699" spans="1:22" x14ac:dyDescent="0.3">
      <c r="A699">
        <v>79452</v>
      </c>
      <c r="B699">
        <v>135144947</v>
      </c>
      <c r="C699" t="s">
        <v>4251</v>
      </c>
      <c r="D699" t="s">
        <v>4252</v>
      </c>
      <c r="E699" t="s">
        <v>843</v>
      </c>
      <c r="F699" t="s">
        <v>844</v>
      </c>
      <c r="G699" t="s">
        <v>164</v>
      </c>
      <c r="H699" t="s">
        <v>165</v>
      </c>
      <c r="I699" t="s">
        <v>34</v>
      </c>
      <c r="J699" t="s">
        <v>166</v>
      </c>
      <c r="K699" t="s">
        <v>41</v>
      </c>
      <c r="L699" t="s">
        <v>4253</v>
      </c>
      <c r="M699" t="s">
        <v>4254</v>
      </c>
      <c r="N699" t="s">
        <v>847</v>
      </c>
      <c r="O699" t="s">
        <v>100</v>
      </c>
      <c r="P699" t="s">
        <v>4255</v>
      </c>
      <c r="Q699" t="s">
        <v>93</v>
      </c>
      <c r="R699" t="s">
        <v>4256</v>
      </c>
      <c r="S699">
        <v>1</v>
      </c>
      <c r="T699">
        <v>3366</v>
      </c>
      <c r="U699">
        <v>0</v>
      </c>
      <c r="V699">
        <v>3366</v>
      </c>
    </row>
    <row r="700" spans="1:22" x14ac:dyDescent="0.3">
      <c r="A700">
        <v>79452</v>
      </c>
      <c r="B700">
        <v>135980612</v>
      </c>
      <c r="C700" t="s">
        <v>4257</v>
      </c>
      <c r="D700" t="s">
        <v>4258</v>
      </c>
      <c r="E700" t="s">
        <v>843</v>
      </c>
      <c r="F700" t="s">
        <v>844</v>
      </c>
      <c r="G700" t="s">
        <v>164</v>
      </c>
      <c r="H700" t="s">
        <v>165</v>
      </c>
      <c r="I700" t="s">
        <v>34</v>
      </c>
      <c r="J700" t="s">
        <v>166</v>
      </c>
      <c r="K700" t="s">
        <v>41</v>
      </c>
      <c r="L700" t="s">
        <v>4259</v>
      </c>
      <c r="M700" t="s">
        <v>4260</v>
      </c>
      <c r="N700" t="s">
        <v>847</v>
      </c>
      <c r="O700" t="s">
        <v>100</v>
      </c>
      <c r="P700" t="s">
        <v>4261</v>
      </c>
      <c r="Q700" t="s">
        <v>69</v>
      </c>
      <c r="R700" t="s">
        <v>398</v>
      </c>
      <c r="S700">
        <v>2.38</v>
      </c>
      <c r="T700">
        <v>3753</v>
      </c>
      <c r="U700">
        <v>0</v>
      </c>
      <c r="V700">
        <v>3753</v>
      </c>
    </row>
    <row r="701" spans="1:22" x14ac:dyDescent="0.3">
      <c r="A701">
        <v>79452</v>
      </c>
      <c r="B701">
        <v>136025886</v>
      </c>
      <c r="C701" t="s">
        <v>4262</v>
      </c>
      <c r="D701" t="s">
        <v>4263</v>
      </c>
      <c r="E701" t="s">
        <v>843</v>
      </c>
      <c r="F701" t="s">
        <v>844</v>
      </c>
      <c r="G701" t="s">
        <v>164</v>
      </c>
      <c r="H701" t="s">
        <v>165</v>
      </c>
      <c r="I701" t="s">
        <v>34</v>
      </c>
      <c r="J701" t="s">
        <v>166</v>
      </c>
      <c r="K701" t="s">
        <v>41</v>
      </c>
      <c r="L701" t="s">
        <v>4264</v>
      </c>
      <c r="M701" t="s">
        <v>4265</v>
      </c>
      <c r="N701" t="s">
        <v>847</v>
      </c>
      <c r="O701" t="s">
        <v>100</v>
      </c>
      <c r="P701" t="s">
        <v>4266</v>
      </c>
      <c r="Q701" t="s">
        <v>63</v>
      </c>
      <c r="R701" t="s">
        <v>403</v>
      </c>
      <c r="S701">
        <v>1</v>
      </c>
      <c r="T701">
        <v>4067</v>
      </c>
      <c r="U701">
        <v>0</v>
      </c>
      <c r="V701">
        <v>4067</v>
      </c>
    </row>
    <row r="702" spans="1:22" x14ac:dyDescent="0.3">
      <c r="A702">
        <v>79452</v>
      </c>
      <c r="B702">
        <v>135902772</v>
      </c>
      <c r="C702" t="s">
        <v>4267</v>
      </c>
      <c r="D702" t="s">
        <v>4268</v>
      </c>
      <c r="E702" t="s">
        <v>843</v>
      </c>
      <c r="F702" t="s">
        <v>844</v>
      </c>
      <c r="G702" t="s">
        <v>164</v>
      </c>
      <c r="H702" t="s">
        <v>165</v>
      </c>
      <c r="I702" t="s">
        <v>34</v>
      </c>
      <c r="J702" t="s">
        <v>166</v>
      </c>
      <c r="K702" t="s">
        <v>41</v>
      </c>
      <c r="L702" t="s">
        <v>4269</v>
      </c>
      <c r="M702" t="s">
        <v>303</v>
      </c>
      <c r="N702" t="s">
        <v>847</v>
      </c>
      <c r="O702" t="s">
        <v>100</v>
      </c>
      <c r="P702" t="s">
        <v>304</v>
      </c>
      <c r="Q702" t="s">
        <v>55</v>
      </c>
      <c r="R702" t="s">
        <v>763</v>
      </c>
      <c r="S702">
        <v>2.42</v>
      </c>
      <c r="T702">
        <v>5198</v>
      </c>
      <c r="U702">
        <v>0</v>
      </c>
      <c r="V702">
        <v>5198</v>
      </c>
    </row>
    <row r="703" spans="1:22" x14ac:dyDescent="0.3">
      <c r="A703">
        <v>79452</v>
      </c>
      <c r="B703">
        <v>136025942</v>
      </c>
      <c r="C703" t="s">
        <v>4270</v>
      </c>
      <c r="D703" t="s">
        <v>4271</v>
      </c>
      <c r="E703" t="s">
        <v>843</v>
      </c>
      <c r="F703" t="s">
        <v>844</v>
      </c>
      <c r="G703" t="s">
        <v>164</v>
      </c>
      <c r="H703" t="s">
        <v>165</v>
      </c>
      <c r="I703" t="s">
        <v>34</v>
      </c>
      <c r="J703" t="s">
        <v>166</v>
      </c>
      <c r="K703" t="s">
        <v>41</v>
      </c>
      <c r="L703" t="s">
        <v>4272</v>
      </c>
      <c r="M703" t="s">
        <v>4273</v>
      </c>
      <c r="N703" t="s">
        <v>847</v>
      </c>
      <c r="O703" t="s">
        <v>100</v>
      </c>
      <c r="P703" t="s">
        <v>4274</v>
      </c>
      <c r="Q703" t="s">
        <v>69</v>
      </c>
      <c r="R703" t="s">
        <v>403</v>
      </c>
      <c r="S703">
        <v>1</v>
      </c>
      <c r="T703">
        <v>3753</v>
      </c>
      <c r="U703">
        <v>0</v>
      </c>
      <c r="V703">
        <v>3753</v>
      </c>
    </row>
    <row r="704" spans="1:22" x14ac:dyDescent="0.3">
      <c r="A704">
        <v>79452</v>
      </c>
      <c r="B704">
        <v>136104013</v>
      </c>
      <c r="C704" t="s">
        <v>4275</v>
      </c>
      <c r="D704" t="s">
        <v>4276</v>
      </c>
      <c r="E704" t="s">
        <v>843</v>
      </c>
      <c r="F704" t="s">
        <v>844</v>
      </c>
      <c r="G704" t="s">
        <v>164</v>
      </c>
      <c r="H704" t="s">
        <v>165</v>
      </c>
      <c r="I704" t="s">
        <v>34</v>
      </c>
      <c r="J704" t="s">
        <v>166</v>
      </c>
      <c r="K704" t="s">
        <v>41</v>
      </c>
      <c r="L704" t="s">
        <v>4277</v>
      </c>
      <c r="M704" t="s">
        <v>4278</v>
      </c>
      <c r="N704" t="s">
        <v>847</v>
      </c>
      <c r="O704" t="s">
        <v>100</v>
      </c>
      <c r="P704" t="s">
        <v>4279</v>
      </c>
      <c r="Q704" t="s">
        <v>79</v>
      </c>
      <c r="R704" t="s">
        <v>803</v>
      </c>
      <c r="S704">
        <v>2.13</v>
      </c>
      <c r="T704">
        <v>4730</v>
      </c>
      <c r="U704">
        <v>0</v>
      </c>
      <c r="V704">
        <v>4730</v>
      </c>
    </row>
    <row r="705" spans="1:22" x14ac:dyDescent="0.3">
      <c r="A705">
        <v>79452</v>
      </c>
      <c r="B705">
        <v>136196563</v>
      </c>
      <c r="C705" t="s">
        <v>4280</v>
      </c>
      <c r="D705" t="s">
        <v>4281</v>
      </c>
      <c r="E705" t="s">
        <v>843</v>
      </c>
      <c r="F705" t="s">
        <v>844</v>
      </c>
      <c r="G705" t="s">
        <v>164</v>
      </c>
      <c r="H705" t="s">
        <v>165</v>
      </c>
      <c r="I705" t="s">
        <v>34</v>
      </c>
      <c r="J705" t="s">
        <v>166</v>
      </c>
      <c r="K705" t="s">
        <v>41</v>
      </c>
      <c r="L705" t="s">
        <v>4282</v>
      </c>
      <c r="M705" t="s">
        <v>4283</v>
      </c>
      <c r="N705" t="s">
        <v>847</v>
      </c>
      <c r="O705" t="s">
        <v>100</v>
      </c>
      <c r="P705" t="s">
        <v>4284</v>
      </c>
      <c r="Q705" t="s">
        <v>69</v>
      </c>
      <c r="R705" t="s">
        <v>1999</v>
      </c>
      <c r="S705">
        <v>1</v>
      </c>
      <c r="T705">
        <v>3753</v>
      </c>
      <c r="U705">
        <v>0</v>
      </c>
      <c r="V705">
        <v>3753</v>
      </c>
    </row>
    <row r="706" spans="1:22" x14ac:dyDescent="0.3">
      <c r="A706">
        <v>79452</v>
      </c>
      <c r="B706">
        <v>136104008</v>
      </c>
      <c r="C706" t="s">
        <v>4285</v>
      </c>
      <c r="D706" t="s">
        <v>4286</v>
      </c>
      <c r="E706" t="s">
        <v>843</v>
      </c>
      <c r="F706" t="s">
        <v>844</v>
      </c>
      <c r="G706" t="s">
        <v>164</v>
      </c>
      <c r="H706" t="s">
        <v>165</v>
      </c>
      <c r="I706" t="s">
        <v>34</v>
      </c>
      <c r="J706" t="s">
        <v>166</v>
      </c>
      <c r="K706" t="s">
        <v>41</v>
      </c>
      <c r="L706" t="s">
        <v>4287</v>
      </c>
      <c r="M706" t="s">
        <v>2408</v>
      </c>
      <c r="N706" t="s">
        <v>847</v>
      </c>
      <c r="O706" t="s">
        <v>100</v>
      </c>
      <c r="P706" t="s">
        <v>2409</v>
      </c>
      <c r="Q706" t="s">
        <v>69</v>
      </c>
      <c r="R706" t="s">
        <v>803</v>
      </c>
      <c r="S706">
        <v>1</v>
      </c>
      <c r="T706">
        <v>3753</v>
      </c>
      <c r="U706">
        <v>0</v>
      </c>
      <c r="V706">
        <v>3753</v>
      </c>
    </row>
    <row r="707" spans="1:22" x14ac:dyDescent="0.3">
      <c r="A707">
        <v>79452</v>
      </c>
      <c r="B707">
        <v>136196616</v>
      </c>
      <c r="C707" t="s">
        <v>4288</v>
      </c>
      <c r="D707" t="s">
        <v>4289</v>
      </c>
      <c r="E707" t="s">
        <v>843</v>
      </c>
      <c r="F707" t="s">
        <v>844</v>
      </c>
      <c r="G707" t="s">
        <v>164</v>
      </c>
      <c r="H707" t="s">
        <v>165</v>
      </c>
      <c r="I707" t="s">
        <v>34</v>
      </c>
      <c r="J707" t="s">
        <v>166</v>
      </c>
      <c r="K707" t="s">
        <v>41</v>
      </c>
      <c r="L707" t="s">
        <v>4290</v>
      </c>
      <c r="M707" t="s">
        <v>4291</v>
      </c>
      <c r="N707" t="s">
        <v>847</v>
      </c>
      <c r="O707" t="s">
        <v>100</v>
      </c>
      <c r="P707" t="s">
        <v>4292</v>
      </c>
      <c r="Q707" t="s">
        <v>72</v>
      </c>
      <c r="R707" t="s">
        <v>1999</v>
      </c>
      <c r="S707">
        <v>2.46</v>
      </c>
      <c r="T707">
        <v>3784</v>
      </c>
      <c r="U707">
        <v>0</v>
      </c>
      <c r="V707">
        <v>3784</v>
      </c>
    </row>
    <row r="708" spans="1:22" x14ac:dyDescent="0.3">
      <c r="A708">
        <v>79452</v>
      </c>
      <c r="B708">
        <v>136196540</v>
      </c>
      <c r="C708" t="s">
        <v>4293</v>
      </c>
      <c r="D708" t="s">
        <v>4294</v>
      </c>
      <c r="E708" t="s">
        <v>843</v>
      </c>
      <c r="F708" t="s">
        <v>844</v>
      </c>
      <c r="G708" t="s">
        <v>164</v>
      </c>
      <c r="H708" t="s">
        <v>165</v>
      </c>
      <c r="I708" t="s">
        <v>34</v>
      </c>
      <c r="J708" t="s">
        <v>166</v>
      </c>
      <c r="K708" t="s">
        <v>41</v>
      </c>
      <c r="L708" t="s">
        <v>4295</v>
      </c>
      <c r="M708" t="s">
        <v>4296</v>
      </c>
      <c r="N708" t="s">
        <v>847</v>
      </c>
      <c r="O708" t="s">
        <v>100</v>
      </c>
      <c r="P708" t="s">
        <v>4297</v>
      </c>
      <c r="Q708" t="s">
        <v>49</v>
      </c>
      <c r="R708" t="s">
        <v>1999</v>
      </c>
      <c r="S708">
        <v>1.45</v>
      </c>
      <c r="T708">
        <v>3784</v>
      </c>
      <c r="U708">
        <v>0</v>
      </c>
      <c r="V708">
        <v>3784</v>
      </c>
    </row>
    <row r="709" spans="1:22" x14ac:dyDescent="0.3">
      <c r="A709">
        <v>79452</v>
      </c>
      <c r="B709">
        <v>136196549</v>
      </c>
      <c r="C709" t="s">
        <v>4298</v>
      </c>
      <c r="D709" t="s">
        <v>4299</v>
      </c>
      <c r="E709" t="s">
        <v>843</v>
      </c>
      <c r="F709" t="s">
        <v>844</v>
      </c>
      <c r="G709" t="s">
        <v>164</v>
      </c>
      <c r="H709" t="s">
        <v>165</v>
      </c>
      <c r="I709" t="s">
        <v>34</v>
      </c>
      <c r="J709" t="s">
        <v>166</v>
      </c>
      <c r="K709" t="s">
        <v>41</v>
      </c>
      <c r="L709" t="s">
        <v>4300</v>
      </c>
      <c r="M709" t="s">
        <v>4301</v>
      </c>
      <c r="N709" t="s">
        <v>847</v>
      </c>
      <c r="O709" t="s">
        <v>100</v>
      </c>
      <c r="P709" t="s">
        <v>4302</v>
      </c>
      <c r="Q709" t="s">
        <v>50</v>
      </c>
      <c r="R709" t="s">
        <v>1999</v>
      </c>
      <c r="S709">
        <v>1.91</v>
      </c>
      <c r="T709">
        <v>3784</v>
      </c>
      <c r="U709">
        <v>0</v>
      </c>
      <c r="V709">
        <v>3784</v>
      </c>
    </row>
    <row r="710" spans="1:22" x14ac:dyDescent="0.3">
      <c r="A710">
        <v>79452</v>
      </c>
      <c r="B710">
        <v>135902735</v>
      </c>
      <c r="C710" t="s">
        <v>4303</v>
      </c>
      <c r="D710" t="s">
        <v>4304</v>
      </c>
      <c r="E710" t="s">
        <v>843</v>
      </c>
      <c r="F710" t="s">
        <v>844</v>
      </c>
      <c r="G710" t="s">
        <v>164</v>
      </c>
      <c r="H710" t="s">
        <v>165</v>
      </c>
      <c r="I710" t="s">
        <v>34</v>
      </c>
      <c r="J710" t="s">
        <v>166</v>
      </c>
      <c r="K710" t="s">
        <v>41</v>
      </c>
      <c r="L710" t="s">
        <v>4305</v>
      </c>
      <c r="M710" t="s">
        <v>4306</v>
      </c>
      <c r="N710" t="s">
        <v>847</v>
      </c>
      <c r="O710" t="s">
        <v>100</v>
      </c>
      <c r="P710" t="s">
        <v>4307</v>
      </c>
      <c r="Q710" t="s">
        <v>307</v>
      </c>
      <c r="R710" t="s">
        <v>291</v>
      </c>
      <c r="S710">
        <v>1.04</v>
      </c>
      <c r="T710">
        <v>3753</v>
      </c>
      <c r="U710">
        <v>0</v>
      </c>
      <c r="V710">
        <v>3753</v>
      </c>
    </row>
    <row r="711" spans="1:22" x14ac:dyDescent="0.3">
      <c r="A711">
        <v>79452</v>
      </c>
      <c r="B711">
        <v>136196621</v>
      </c>
      <c r="C711" t="s">
        <v>4308</v>
      </c>
      <c r="D711" t="s">
        <v>4309</v>
      </c>
      <c r="E711" t="s">
        <v>843</v>
      </c>
      <c r="F711" t="s">
        <v>844</v>
      </c>
      <c r="G711" t="s">
        <v>164</v>
      </c>
      <c r="H711" t="s">
        <v>165</v>
      </c>
      <c r="I711" t="s">
        <v>34</v>
      </c>
      <c r="J711" t="s">
        <v>166</v>
      </c>
      <c r="K711" t="s">
        <v>41</v>
      </c>
      <c r="L711" t="s">
        <v>217</v>
      </c>
      <c r="M711" t="s">
        <v>4310</v>
      </c>
      <c r="N711" t="s">
        <v>847</v>
      </c>
      <c r="O711" t="s">
        <v>100</v>
      </c>
      <c r="P711" t="s">
        <v>4311</v>
      </c>
      <c r="Q711" t="s">
        <v>93</v>
      </c>
      <c r="R711" t="s">
        <v>287</v>
      </c>
      <c r="S711">
        <v>1.87</v>
      </c>
      <c r="T711">
        <v>3366</v>
      </c>
      <c r="U711">
        <v>0</v>
      </c>
      <c r="V711">
        <v>3366</v>
      </c>
    </row>
    <row r="712" spans="1:22" x14ac:dyDescent="0.3">
      <c r="A712">
        <v>79452</v>
      </c>
      <c r="B712">
        <v>136363599</v>
      </c>
      <c r="C712" t="s">
        <v>4312</v>
      </c>
      <c r="D712" t="s">
        <v>4313</v>
      </c>
      <c r="E712" t="s">
        <v>843</v>
      </c>
      <c r="F712" t="s">
        <v>844</v>
      </c>
      <c r="G712" t="s">
        <v>164</v>
      </c>
      <c r="H712" t="s">
        <v>165</v>
      </c>
      <c r="I712" t="s">
        <v>34</v>
      </c>
      <c r="J712" t="s">
        <v>166</v>
      </c>
      <c r="K712" t="s">
        <v>41</v>
      </c>
      <c r="L712" t="s">
        <v>4314</v>
      </c>
      <c r="M712" t="s">
        <v>4315</v>
      </c>
      <c r="N712" t="s">
        <v>847</v>
      </c>
      <c r="O712" t="s">
        <v>100</v>
      </c>
      <c r="P712" t="s">
        <v>4316</v>
      </c>
      <c r="Q712" t="s">
        <v>49</v>
      </c>
      <c r="R712" t="s">
        <v>3337</v>
      </c>
      <c r="S712">
        <v>2.2599999999999998</v>
      </c>
      <c r="T712">
        <v>3784</v>
      </c>
      <c r="U712">
        <v>0</v>
      </c>
      <c r="V712">
        <v>3784</v>
      </c>
    </row>
    <row r="713" spans="1:22" x14ac:dyDescent="0.3">
      <c r="A713">
        <v>79452</v>
      </c>
      <c r="B713">
        <v>136025827</v>
      </c>
      <c r="C713" t="s">
        <v>4317</v>
      </c>
      <c r="D713" t="s">
        <v>4318</v>
      </c>
      <c r="E713" t="s">
        <v>843</v>
      </c>
      <c r="F713" t="s">
        <v>844</v>
      </c>
      <c r="G713" t="s">
        <v>164</v>
      </c>
      <c r="H713" t="s">
        <v>165</v>
      </c>
      <c r="I713" t="s">
        <v>34</v>
      </c>
      <c r="J713" t="s">
        <v>166</v>
      </c>
      <c r="K713" t="s">
        <v>41</v>
      </c>
      <c r="L713" t="s">
        <v>4319</v>
      </c>
      <c r="M713" t="s">
        <v>4320</v>
      </c>
      <c r="N713" t="s">
        <v>847</v>
      </c>
      <c r="O713" t="s">
        <v>100</v>
      </c>
      <c r="P713" t="s">
        <v>4321</v>
      </c>
      <c r="Q713" t="s">
        <v>97</v>
      </c>
      <c r="R713" t="s">
        <v>403</v>
      </c>
      <c r="S713">
        <v>2.37</v>
      </c>
      <c r="T713">
        <v>3366</v>
      </c>
      <c r="U713">
        <v>0</v>
      </c>
      <c r="V713">
        <v>3366</v>
      </c>
    </row>
    <row r="714" spans="1:22" x14ac:dyDescent="0.3">
      <c r="A714">
        <v>79452</v>
      </c>
      <c r="B714">
        <v>135980661</v>
      </c>
      <c r="C714" t="s">
        <v>4322</v>
      </c>
      <c r="D714" t="s">
        <v>4323</v>
      </c>
      <c r="E714" t="s">
        <v>843</v>
      </c>
      <c r="F714" t="s">
        <v>844</v>
      </c>
      <c r="G714" t="s">
        <v>164</v>
      </c>
      <c r="H714" t="s">
        <v>165</v>
      </c>
      <c r="I714" t="s">
        <v>34</v>
      </c>
      <c r="J714" t="s">
        <v>166</v>
      </c>
      <c r="K714" t="s">
        <v>41</v>
      </c>
      <c r="L714" t="s">
        <v>4324</v>
      </c>
      <c r="M714" t="s">
        <v>4325</v>
      </c>
      <c r="N714" t="s">
        <v>847</v>
      </c>
      <c r="O714" t="s">
        <v>100</v>
      </c>
      <c r="P714" t="s">
        <v>4326</v>
      </c>
      <c r="Q714" t="s">
        <v>94</v>
      </c>
      <c r="R714" t="s">
        <v>3290</v>
      </c>
      <c r="S714">
        <v>2.5299999999999998</v>
      </c>
      <c r="T714">
        <v>3366</v>
      </c>
      <c r="U714">
        <v>0</v>
      </c>
      <c r="V714">
        <v>3366</v>
      </c>
    </row>
    <row r="715" spans="1:22" x14ac:dyDescent="0.3">
      <c r="A715">
        <v>79452</v>
      </c>
      <c r="B715">
        <v>135980501</v>
      </c>
      <c r="C715" t="s">
        <v>4327</v>
      </c>
      <c r="D715" t="s">
        <v>4328</v>
      </c>
      <c r="E715" t="s">
        <v>843</v>
      </c>
      <c r="F715" t="s">
        <v>844</v>
      </c>
      <c r="G715" t="s">
        <v>164</v>
      </c>
      <c r="H715" t="s">
        <v>165</v>
      </c>
      <c r="I715" t="s">
        <v>34</v>
      </c>
      <c r="J715" t="s">
        <v>166</v>
      </c>
      <c r="K715" t="s">
        <v>41</v>
      </c>
      <c r="L715" t="s">
        <v>4329</v>
      </c>
      <c r="M715" t="s">
        <v>4330</v>
      </c>
      <c r="N715" t="s">
        <v>847</v>
      </c>
      <c r="O715" t="s">
        <v>100</v>
      </c>
      <c r="P715" t="s">
        <v>4331</v>
      </c>
      <c r="Q715" t="s">
        <v>211</v>
      </c>
      <c r="R715" t="s">
        <v>398</v>
      </c>
      <c r="S715">
        <v>1.04</v>
      </c>
      <c r="T715">
        <v>4067</v>
      </c>
      <c r="U715">
        <v>0</v>
      </c>
      <c r="V715">
        <v>4067</v>
      </c>
    </row>
    <row r="716" spans="1:22" x14ac:dyDescent="0.3">
      <c r="A716">
        <v>79452</v>
      </c>
      <c r="B716">
        <v>135980436</v>
      </c>
      <c r="C716" t="s">
        <v>4332</v>
      </c>
      <c r="D716" t="s">
        <v>4333</v>
      </c>
      <c r="E716" t="s">
        <v>843</v>
      </c>
      <c r="F716" t="s">
        <v>844</v>
      </c>
      <c r="G716" t="s">
        <v>164</v>
      </c>
      <c r="H716" t="s">
        <v>165</v>
      </c>
      <c r="I716" t="s">
        <v>34</v>
      </c>
      <c r="J716" t="s">
        <v>166</v>
      </c>
      <c r="K716" t="s">
        <v>41</v>
      </c>
      <c r="L716" t="s">
        <v>4334</v>
      </c>
      <c r="M716" t="s">
        <v>4335</v>
      </c>
      <c r="N716" t="s">
        <v>847</v>
      </c>
      <c r="O716" t="s">
        <v>100</v>
      </c>
      <c r="P716" t="s">
        <v>4336</v>
      </c>
      <c r="Q716" t="s">
        <v>54</v>
      </c>
      <c r="R716" t="s">
        <v>288</v>
      </c>
      <c r="S716">
        <v>2.0099999999999998</v>
      </c>
      <c r="T716">
        <v>5759</v>
      </c>
      <c r="U716">
        <v>0</v>
      </c>
      <c r="V716">
        <v>5759</v>
      </c>
    </row>
    <row r="717" spans="1:22" x14ac:dyDescent="0.3">
      <c r="A717">
        <v>79452</v>
      </c>
      <c r="B717">
        <v>135980471</v>
      </c>
      <c r="C717" t="s">
        <v>4337</v>
      </c>
      <c r="D717" t="s">
        <v>4338</v>
      </c>
      <c r="E717" t="s">
        <v>843</v>
      </c>
      <c r="F717" t="s">
        <v>844</v>
      </c>
      <c r="G717" t="s">
        <v>164</v>
      </c>
      <c r="H717" t="s">
        <v>165</v>
      </c>
      <c r="I717" t="s">
        <v>34</v>
      </c>
      <c r="J717" t="s">
        <v>166</v>
      </c>
      <c r="K717" t="s">
        <v>41</v>
      </c>
      <c r="L717" t="s">
        <v>4339</v>
      </c>
      <c r="M717" t="s">
        <v>4340</v>
      </c>
      <c r="N717" t="s">
        <v>847</v>
      </c>
      <c r="O717" t="s">
        <v>100</v>
      </c>
      <c r="P717" t="s">
        <v>4341</v>
      </c>
      <c r="Q717" t="s">
        <v>84</v>
      </c>
      <c r="R717" t="s">
        <v>398</v>
      </c>
      <c r="S717">
        <v>0.95</v>
      </c>
      <c r="T717">
        <v>3366</v>
      </c>
      <c r="U717">
        <v>0</v>
      </c>
      <c r="V717">
        <v>3366</v>
      </c>
    </row>
    <row r="718" spans="1:22" x14ac:dyDescent="0.3">
      <c r="A718">
        <v>79452</v>
      </c>
      <c r="B718">
        <v>135980516</v>
      </c>
      <c r="C718" t="s">
        <v>4342</v>
      </c>
      <c r="D718" t="s">
        <v>4343</v>
      </c>
      <c r="E718" t="s">
        <v>843</v>
      </c>
      <c r="F718" t="s">
        <v>844</v>
      </c>
      <c r="G718" t="s">
        <v>164</v>
      </c>
      <c r="H718" t="s">
        <v>165</v>
      </c>
      <c r="I718" t="s">
        <v>34</v>
      </c>
      <c r="J718" t="s">
        <v>166</v>
      </c>
      <c r="K718" t="s">
        <v>41</v>
      </c>
      <c r="L718" t="s">
        <v>4344</v>
      </c>
      <c r="M718" t="s">
        <v>4345</v>
      </c>
      <c r="N718" t="s">
        <v>847</v>
      </c>
      <c r="O718" t="s">
        <v>100</v>
      </c>
      <c r="P718" t="s">
        <v>4346</v>
      </c>
      <c r="Q718" t="s">
        <v>84</v>
      </c>
      <c r="R718" t="s">
        <v>398</v>
      </c>
      <c r="S718">
        <v>2.33</v>
      </c>
      <c r="T718">
        <v>3366</v>
      </c>
      <c r="U718">
        <v>0</v>
      </c>
      <c r="V718">
        <v>3366</v>
      </c>
    </row>
    <row r="719" spans="1:22" x14ac:dyDescent="0.3">
      <c r="A719">
        <v>79452</v>
      </c>
      <c r="B719">
        <v>135902736</v>
      </c>
      <c r="C719" t="s">
        <v>4347</v>
      </c>
      <c r="D719" t="s">
        <v>4348</v>
      </c>
      <c r="E719" t="s">
        <v>843</v>
      </c>
      <c r="F719" t="s">
        <v>844</v>
      </c>
      <c r="G719" t="s">
        <v>164</v>
      </c>
      <c r="H719" t="s">
        <v>165</v>
      </c>
      <c r="I719" t="s">
        <v>34</v>
      </c>
      <c r="J719" t="s">
        <v>166</v>
      </c>
      <c r="K719" t="s">
        <v>41</v>
      </c>
      <c r="L719" t="s">
        <v>4349</v>
      </c>
      <c r="M719" t="s">
        <v>4350</v>
      </c>
      <c r="N719" t="s">
        <v>847</v>
      </c>
      <c r="O719" t="s">
        <v>100</v>
      </c>
      <c r="P719" t="s">
        <v>4351</v>
      </c>
      <c r="Q719" t="s">
        <v>59</v>
      </c>
      <c r="R719" t="s">
        <v>291</v>
      </c>
      <c r="S719">
        <v>0.72</v>
      </c>
      <c r="T719">
        <v>4067</v>
      </c>
      <c r="U719">
        <v>0</v>
      </c>
      <c r="V719">
        <v>4067</v>
      </c>
    </row>
    <row r="720" spans="1:22" x14ac:dyDescent="0.3">
      <c r="A720">
        <v>79452</v>
      </c>
      <c r="B720">
        <v>135902803</v>
      </c>
      <c r="C720" t="s">
        <v>4352</v>
      </c>
      <c r="D720" t="s">
        <v>4353</v>
      </c>
      <c r="E720" t="s">
        <v>843</v>
      </c>
      <c r="F720" t="s">
        <v>844</v>
      </c>
      <c r="G720" t="s">
        <v>164</v>
      </c>
      <c r="H720" t="s">
        <v>165</v>
      </c>
      <c r="I720" t="s">
        <v>34</v>
      </c>
      <c r="J720" t="s">
        <v>166</v>
      </c>
      <c r="K720" t="s">
        <v>41</v>
      </c>
      <c r="L720" t="s">
        <v>632</v>
      </c>
      <c r="M720" t="s">
        <v>633</v>
      </c>
      <c r="N720" t="s">
        <v>847</v>
      </c>
      <c r="O720" t="s">
        <v>100</v>
      </c>
      <c r="P720" t="s">
        <v>4354</v>
      </c>
      <c r="Q720" t="s">
        <v>54</v>
      </c>
      <c r="R720" t="s">
        <v>763</v>
      </c>
      <c r="S720">
        <v>1</v>
      </c>
      <c r="T720">
        <v>5759</v>
      </c>
      <c r="U720">
        <v>0</v>
      </c>
      <c r="V720">
        <v>5759</v>
      </c>
    </row>
    <row r="721" spans="1:22" x14ac:dyDescent="0.3">
      <c r="A721">
        <v>79452</v>
      </c>
      <c r="B721">
        <v>135980448</v>
      </c>
      <c r="C721" t="s">
        <v>4355</v>
      </c>
      <c r="D721" t="s">
        <v>4356</v>
      </c>
      <c r="E721" t="s">
        <v>843</v>
      </c>
      <c r="F721" t="s">
        <v>844</v>
      </c>
      <c r="G721" t="s">
        <v>164</v>
      </c>
      <c r="H721" t="s">
        <v>165</v>
      </c>
      <c r="I721" t="s">
        <v>34</v>
      </c>
      <c r="J721" t="s">
        <v>166</v>
      </c>
      <c r="K721" t="s">
        <v>41</v>
      </c>
      <c r="L721" t="s">
        <v>2567</v>
      </c>
      <c r="M721" t="s">
        <v>4357</v>
      </c>
      <c r="N721" t="s">
        <v>847</v>
      </c>
      <c r="O721" t="s">
        <v>100</v>
      </c>
      <c r="P721" t="s">
        <v>4358</v>
      </c>
      <c r="Q721" t="s">
        <v>60</v>
      </c>
      <c r="R721" t="s">
        <v>398</v>
      </c>
      <c r="S721">
        <v>2.46</v>
      </c>
      <c r="T721">
        <v>4346</v>
      </c>
      <c r="U721">
        <v>0</v>
      </c>
      <c r="V721">
        <v>4346</v>
      </c>
    </row>
    <row r="722" spans="1:22" x14ac:dyDescent="0.3">
      <c r="A722">
        <v>79452</v>
      </c>
      <c r="B722">
        <v>135980389</v>
      </c>
      <c r="C722" t="s">
        <v>4359</v>
      </c>
      <c r="D722" t="s">
        <v>4360</v>
      </c>
      <c r="E722" t="s">
        <v>843</v>
      </c>
      <c r="F722" t="s">
        <v>844</v>
      </c>
      <c r="G722" t="s">
        <v>164</v>
      </c>
      <c r="H722" t="s">
        <v>165</v>
      </c>
      <c r="I722" t="s">
        <v>34</v>
      </c>
      <c r="J722" t="s">
        <v>166</v>
      </c>
      <c r="K722" t="s">
        <v>41</v>
      </c>
      <c r="L722" t="s">
        <v>4361</v>
      </c>
      <c r="M722" t="s">
        <v>4362</v>
      </c>
      <c r="N722" t="s">
        <v>847</v>
      </c>
      <c r="O722" t="s">
        <v>100</v>
      </c>
      <c r="P722" t="s">
        <v>4363</v>
      </c>
      <c r="Q722" t="s">
        <v>55</v>
      </c>
      <c r="R722" t="s">
        <v>288</v>
      </c>
      <c r="S722">
        <v>5.55</v>
      </c>
      <c r="T722">
        <v>7484</v>
      </c>
      <c r="U722">
        <v>0</v>
      </c>
      <c r="V722">
        <v>7484</v>
      </c>
    </row>
    <row r="723" spans="1:22" x14ac:dyDescent="0.3">
      <c r="A723">
        <v>79452</v>
      </c>
      <c r="B723">
        <v>135980474</v>
      </c>
      <c r="C723" t="s">
        <v>4364</v>
      </c>
      <c r="D723" t="s">
        <v>4365</v>
      </c>
      <c r="E723" t="s">
        <v>843</v>
      </c>
      <c r="F723" t="s">
        <v>844</v>
      </c>
      <c r="G723" t="s">
        <v>164</v>
      </c>
      <c r="H723" t="s">
        <v>165</v>
      </c>
      <c r="I723" t="s">
        <v>34</v>
      </c>
      <c r="J723" t="s">
        <v>166</v>
      </c>
      <c r="K723" t="s">
        <v>41</v>
      </c>
      <c r="L723" t="s">
        <v>4366</v>
      </c>
      <c r="M723" t="s">
        <v>366</v>
      </c>
      <c r="N723" t="s">
        <v>847</v>
      </c>
      <c r="O723" t="s">
        <v>100</v>
      </c>
      <c r="P723" t="s">
        <v>4367</v>
      </c>
      <c r="Q723" t="s">
        <v>89</v>
      </c>
      <c r="R723" t="s">
        <v>398</v>
      </c>
      <c r="S723">
        <v>2.46</v>
      </c>
      <c r="T723">
        <v>3366</v>
      </c>
      <c r="U723">
        <v>0</v>
      </c>
      <c r="V723">
        <v>3366</v>
      </c>
    </row>
    <row r="724" spans="1:22" x14ac:dyDescent="0.3">
      <c r="A724">
        <v>79452</v>
      </c>
      <c r="B724">
        <v>135844933</v>
      </c>
      <c r="C724" t="s">
        <v>4368</v>
      </c>
      <c r="D724" t="s">
        <v>4369</v>
      </c>
      <c r="E724" t="s">
        <v>843</v>
      </c>
      <c r="F724" t="s">
        <v>844</v>
      </c>
      <c r="G724" t="s">
        <v>164</v>
      </c>
      <c r="H724" t="s">
        <v>165</v>
      </c>
      <c r="I724" t="s">
        <v>34</v>
      </c>
      <c r="J724" t="s">
        <v>166</v>
      </c>
      <c r="K724" t="s">
        <v>41</v>
      </c>
      <c r="L724" t="s">
        <v>4370</v>
      </c>
      <c r="M724" t="s">
        <v>4371</v>
      </c>
      <c r="N724" t="s">
        <v>847</v>
      </c>
      <c r="O724" t="s">
        <v>100</v>
      </c>
      <c r="P724" t="s">
        <v>4372</v>
      </c>
      <c r="Q724" t="s">
        <v>55</v>
      </c>
      <c r="R724" t="s">
        <v>3877</v>
      </c>
      <c r="S724">
        <v>1.18</v>
      </c>
      <c r="T724">
        <v>5198</v>
      </c>
      <c r="U724">
        <v>0</v>
      </c>
      <c r="V724">
        <v>5198</v>
      </c>
    </row>
    <row r="725" spans="1:22" x14ac:dyDescent="0.3">
      <c r="A725">
        <v>79452</v>
      </c>
      <c r="B725">
        <v>135980432</v>
      </c>
      <c r="C725" t="s">
        <v>4373</v>
      </c>
      <c r="D725" t="s">
        <v>4374</v>
      </c>
      <c r="E725" t="s">
        <v>843</v>
      </c>
      <c r="F725" t="s">
        <v>844</v>
      </c>
      <c r="G725" t="s">
        <v>164</v>
      </c>
      <c r="H725" t="s">
        <v>165</v>
      </c>
      <c r="I725" t="s">
        <v>34</v>
      </c>
      <c r="J725" t="s">
        <v>166</v>
      </c>
      <c r="K725" t="s">
        <v>41</v>
      </c>
      <c r="L725" t="s">
        <v>4375</v>
      </c>
      <c r="M725" t="s">
        <v>4376</v>
      </c>
      <c r="N725" t="s">
        <v>847</v>
      </c>
      <c r="O725" t="s">
        <v>100</v>
      </c>
      <c r="P725" t="s">
        <v>4377</v>
      </c>
      <c r="Q725" t="s">
        <v>63</v>
      </c>
      <c r="R725" t="s">
        <v>288</v>
      </c>
      <c r="S725">
        <v>1.94</v>
      </c>
      <c r="T725">
        <v>4067</v>
      </c>
      <c r="U725">
        <v>0</v>
      </c>
      <c r="V725">
        <v>4067</v>
      </c>
    </row>
    <row r="726" spans="1:22" x14ac:dyDescent="0.3">
      <c r="A726">
        <v>79452</v>
      </c>
      <c r="B726">
        <v>135902788</v>
      </c>
      <c r="C726" t="s">
        <v>4378</v>
      </c>
      <c r="D726" t="s">
        <v>4379</v>
      </c>
      <c r="E726" t="s">
        <v>843</v>
      </c>
      <c r="F726" t="s">
        <v>844</v>
      </c>
      <c r="G726" t="s">
        <v>164</v>
      </c>
      <c r="H726" t="s">
        <v>165</v>
      </c>
      <c r="I726" t="s">
        <v>34</v>
      </c>
      <c r="J726" t="s">
        <v>166</v>
      </c>
      <c r="K726" t="s">
        <v>41</v>
      </c>
      <c r="L726" t="s">
        <v>4380</v>
      </c>
      <c r="M726" t="s">
        <v>4381</v>
      </c>
      <c r="N726" t="s">
        <v>847</v>
      </c>
      <c r="O726" t="s">
        <v>100</v>
      </c>
      <c r="P726" t="s">
        <v>4382</v>
      </c>
      <c r="Q726" t="s">
        <v>92</v>
      </c>
      <c r="R726" t="s">
        <v>763</v>
      </c>
      <c r="S726">
        <v>1</v>
      </c>
      <c r="T726">
        <v>3366</v>
      </c>
      <c r="U726">
        <v>0</v>
      </c>
      <c r="V726">
        <v>3366</v>
      </c>
    </row>
    <row r="727" spans="1:22" x14ac:dyDescent="0.3">
      <c r="A727">
        <v>79452</v>
      </c>
      <c r="B727">
        <v>135980634</v>
      </c>
      <c r="C727" t="s">
        <v>4383</v>
      </c>
      <c r="D727" t="s">
        <v>4384</v>
      </c>
      <c r="E727" t="s">
        <v>843</v>
      </c>
      <c r="F727" t="s">
        <v>844</v>
      </c>
      <c r="G727" t="s">
        <v>164</v>
      </c>
      <c r="H727" t="s">
        <v>165</v>
      </c>
      <c r="I727" t="s">
        <v>34</v>
      </c>
      <c r="J727" t="s">
        <v>166</v>
      </c>
      <c r="K727" t="s">
        <v>41</v>
      </c>
      <c r="L727" t="s">
        <v>4385</v>
      </c>
      <c r="M727" t="s">
        <v>4386</v>
      </c>
      <c r="N727" t="s">
        <v>847</v>
      </c>
      <c r="O727" t="s">
        <v>100</v>
      </c>
      <c r="P727" t="s">
        <v>4387</v>
      </c>
      <c r="Q727" t="s">
        <v>68</v>
      </c>
      <c r="R727" t="s">
        <v>398</v>
      </c>
      <c r="S727">
        <v>2.96</v>
      </c>
      <c r="T727">
        <v>3753</v>
      </c>
      <c r="U727">
        <v>0</v>
      </c>
      <c r="V727">
        <v>3753</v>
      </c>
    </row>
    <row r="728" spans="1:22" x14ac:dyDescent="0.3">
      <c r="A728">
        <v>79452</v>
      </c>
      <c r="B728">
        <v>136363700</v>
      </c>
      <c r="C728" t="s">
        <v>4388</v>
      </c>
      <c r="D728" t="s">
        <v>4389</v>
      </c>
      <c r="E728" t="s">
        <v>843</v>
      </c>
      <c r="F728" t="s">
        <v>844</v>
      </c>
      <c r="G728" t="s">
        <v>164</v>
      </c>
      <c r="H728" t="s">
        <v>165</v>
      </c>
      <c r="I728" t="s">
        <v>34</v>
      </c>
      <c r="J728" t="s">
        <v>166</v>
      </c>
      <c r="K728" t="s">
        <v>41</v>
      </c>
      <c r="L728" t="s">
        <v>4390</v>
      </c>
      <c r="M728" t="s">
        <v>4391</v>
      </c>
      <c r="N728" t="s">
        <v>847</v>
      </c>
      <c r="O728" t="s">
        <v>100</v>
      </c>
      <c r="P728" t="s">
        <v>4392</v>
      </c>
      <c r="Q728" t="s">
        <v>84</v>
      </c>
      <c r="R728" t="s">
        <v>3337</v>
      </c>
      <c r="S728">
        <v>1.23</v>
      </c>
      <c r="T728">
        <v>3366</v>
      </c>
      <c r="U728">
        <v>0</v>
      </c>
      <c r="V728">
        <v>3366</v>
      </c>
    </row>
    <row r="729" spans="1:22" x14ac:dyDescent="0.3">
      <c r="A729">
        <v>79452</v>
      </c>
      <c r="B729">
        <v>135902807</v>
      </c>
      <c r="C729" t="s">
        <v>4393</v>
      </c>
      <c r="D729" t="s">
        <v>4394</v>
      </c>
      <c r="E729" t="s">
        <v>843</v>
      </c>
      <c r="F729" t="s">
        <v>844</v>
      </c>
      <c r="G729" t="s">
        <v>164</v>
      </c>
      <c r="H729" t="s">
        <v>165</v>
      </c>
      <c r="I729" t="s">
        <v>34</v>
      </c>
      <c r="J729" t="s">
        <v>166</v>
      </c>
      <c r="K729" t="s">
        <v>41</v>
      </c>
      <c r="L729" t="s">
        <v>4395</v>
      </c>
      <c r="M729" t="s">
        <v>4396</v>
      </c>
      <c r="N729" t="s">
        <v>847</v>
      </c>
      <c r="O729" t="s">
        <v>100</v>
      </c>
      <c r="P729" t="s">
        <v>4397</v>
      </c>
      <c r="Q729" t="s">
        <v>224</v>
      </c>
      <c r="R729" t="s">
        <v>763</v>
      </c>
      <c r="S729">
        <v>0.88</v>
      </c>
      <c r="T729">
        <v>4067</v>
      </c>
      <c r="U729">
        <v>0</v>
      </c>
      <c r="V729">
        <v>4067</v>
      </c>
    </row>
    <row r="730" spans="1:22" x14ac:dyDescent="0.3">
      <c r="A730">
        <v>79452</v>
      </c>
      <c r="B730">
        <v>135844924</v>
      </c>
      <c r="C730" t="s">
        <v>4398</v>
      </c>
      <c r="D730" t="s">
        <v>4399</v>
      </c>
      <c r="E730" t="s">
        <v>843</v>
      </c>
      <c r="F730" t="s">
        <v>844</v>
      </c>
      <c r="G730" t="s">
        <v>164</v>
      </c>
      <c r="H730" t="s">
        <v>165</v>
      </c>
      <c r="I730" t="s">
        <v>34</v>
      </c>
      <c r="J730" t="s">
        <v>166</v>
      </c>
      <c r="K730" t="s">
        <v>41</v>
      </c>
      <c r="L730" t="s">
        <v>4400</v>
      </c>
      <c r="M730" t="s">
        <v>4401</v>
      </c>
      <c r="N730" t="s">
        <v>847</v>
      </c>
      <c r="O730" t="s">
        <v>100</v>
      </c>
      <c r="P730" t="s">
        <v>4402</v>
      </c>
      <c r="Q730" t="s">
        <v>59</v>
      </c>
      <c r="R730" t="s">
        <v>3877</v>
      </c>
      <c r="S730">
        <v>2.63</v>
      </c>
      <c r="T730">
        <v>4067</v>
      </c>
      <c r="U730">
        <v>0</v>
      </c>
      <c r="V730">
        <v>4067</v>
      </c>
    </row>
    <row r="731" spans="1:22" x14ac:dyDescent="0.3">
      <c r="A731">
        <v>79452</v>
      </c>
      <c r="B731">
        <v>135980491</v>
      </c>
      <c r="C731" t="s">
        <v>4403</v>
      </c>
      <c r="D731" t="s">
        <v>4404</v>
      </c>
      <c r="E731" t="s">
        <v>843</v>
      </c>
      <c r="F731" t="s">
        <v>844</v>
      </c>
      <c r="G731" t="s">
        <v>164</v>
      </c>
      <c r="H731" t="s">
        <v>165</v>
      </c>
      <c r="I731" t="s">
        <v>34</v>
      </c>
      <c r="J731" t="s">
        <v>166</v>
      </c>
      <c r="K731" t="s">
        <v>41</v>
      </c>
      <c r="L731" t="s">
        <v>4405</v>
      </c>
      <c r="M731" t="s">
        <v>4406</v>
      </c>
      <c r="N731" t="s">
        <v>847</v>
      </c>
      <c r="O731" t="s">
        <v>100</v>
      </c>
      <c r="P731" t="s">
        <v>4407</v>
      </c>
      <c r="Q731" t="s">
        <v>60</v>
      </c>
      <c r="R731" t="s">
        <v>398</v>
      </c>
      <c r="S731">
        <v>1.59</v>
      </c>
      <c r="T731">
        <v>4346</v>
      </c>
      <c r="U731">
        <v>0</v>
      </c>
      <c r="V731">
        <v>4346</v>
      </c>
    </row>
    <row r="732" spans="1:22" x14ac:dyDescent="0.3">
      <c r="A732">
        <v>79452</v>
      </c>
      <c r="B732">
        <v>135980337</v>
      </c>
      <c r="C732" t="s">
        <v>4408</v>
      </c>
      <c r="D732" t="s">
        <v>4409</v>
      </c>
      <c r="E732" t="s">
        <v>843</v>
      </c>
      <c r="F732" t="s">
        <v>844</v>
      </c>
      <c r="G732" t="s">
        <v>164</v>
      </c>
      <c r="H732" t="s">
        <v>165</v>
      </c>
      <c r="I732" t="s">
        <v>34</v>
      </c>
      <c r="J732" t="s">
        <v>166</v>
      </c>
      <c r="K732" t="s">
        <v>41</v>
      </c>
      <c r="L732" t="s">
        <v>4410</v>
      </c>
      <c r="M732" t="s">
        <v>4411</v>
      </c>
      <c r="N732" t="s">
        <v>847</v>
      </c>
      <c r="O732" t="s">
        <v>100</v>
      </c>
      <c r="P732" t="s">
        <v>4412</v>
      </c>
      <c r="Q732" t="s">
        <v>72</v>
      </c>
      <c r="R732" t="s">
        <v>288</v>
      </c>
      <c r="S732">
        <v>1.1299999999999999</v>
      </c>
      <c r="T732">
        <v>3784</v>
      </c>
      <c r="U732">
        <v>0</v>
      </c>
      <c r="V732">
        <v>3784</v>
      </c>
    </row>
    <row r="733" spans="1:22" x14ac:dyDescent="0.3">
      <c r="A733">
        <v>79452</v>
      </c>
      <c r="B733">
        <v>136104142</v>
      </c>
      <c r="C733" t="s">
        <v>4413</v>
      </c>
      <c r="D733" t="s">
        <v>4414</v>
      </c>
      <c r="E733" t="s">
        <v>843</v>
      </c>
      <c r="F733" t="s">
        <v>844</v>
      </c>
      <c r="G733" t="s">
        <v>164</v>
      </c>
      <c r="H733" t="s">
        <v>165</v>
      </c>
      <c r="I733" t="s">
        <v>34</v>
      </c>
      <c r="J733" t="s">
        <v>166</v>
      </c>
      <c r="K733" t="s">
        <v>41</v>
      </c>
      <c r="L733" t="s">
        <v>4415</v>
      </c>
      <c r="M733" t="s">
        <v>4416</v>
      </c>
      <c r="N733" t="s">
        <v>847</v>
      </c>
      <c r="O733" t="s">
        <v>100</v>
      </c>
      <c r="P733" t="s">
        <v>4417</v>
      </c>
      <c r="Q733" t="s">
        <v>69</v>
      </c>
      <c r="R733" t="s">
        <v>803</v>
      </c>
      <c r="S733">
        <v>2.29</v>
      </c>
      <c r="T733">
        <v>3753</v>
      </c>
      <c r="U733">
        <v>0</v>
      </c>
      <c r="V733">
        <v>3753</v>
      </c>
    </row>
    <row r="734" spans="1:22" x14ac:dyDescent="0.3">
      <c r="A734">
        <v>79452</v>
      </c>
      <c r="B734">
        <v>135998702</v>
      </c>
      <c r="C734" t="s">
        <v>4418</v>
      </c>
      <c r="D734" t="s">
        <v>4419</v>
      </c>
      <c r="E734" t="s">
        <v>843</v>
      </c>
      <c r="F734" t="s">
        <v>844</v>
      </c>
      <c r="G734" t="s">
        <v>164</v>
      </c>
      <c r="H734" t="s">
        <v>165</v>
      </c>
      <c r="I734" t="s">
        <v>34</v>
      </c>
      <c r="J734" t="s">
        <v>166</v>
      </c>
      <c r="K734" t="s">
        <v>41</v>
      </c>
      <c r="L734" t="s">
        <v>4420</v>
      </c>
      <c r="M734" t="s">
        <v>4421</v>
      </c>
      <c r="N734" t="s">
        <v>847</v>
      </c>
      <c r="O734" t="s">
        <v>100</v>
      </c>
      <c r="P734" t="s">
        <v>4422</v>
      </c>
      <c r="Q734" t="s">
        <v>58</v>
      </c>
      <c r="R734" t="s">
        <v>644</v>
      </c>
      <c r="S734">
        <v>1.46</v>
      </c>
      <c r="T734">
        <v>5759</v>
      </c>
      <c r="U734">
        <v>0</v>
      </c>
      <c r="V734">
        <v>5759</v>
      </c>
    </row>
    <row r="735" spans="1:22" x14ac:dyDescent="0.3">
      <c r="A735">
        <v>79452</v>
      </c>
      <c r="B735">
        <v>136363685</v>
      </c>
      <c r="C735" t="s">
        <v>4423</v>
      </c>
      <c r="D735" t="s">
        <v>4424</v>
      </c>
      <c r="E735" t="s">
        <v>843</v>
      </c>
      <c r="F735" t="s">
        <v>844</v>
      </c>
      <c r="G735" t="s">
        <v>164</v>
      </c>
      <c r="H735" t="s">
        <v>165</v>
      </c>
      <c r="I735" t="s">
        <v>34</v>
      </c>
      <c r="J735" t="s">
        <v>166</v>
      </c>
      <c r="K735" t="s">
        <v>41</v>
      </c>
      <c r="L735" t="s">
        <v>4425</v>
      </c>
      <c r="M735" t="s">
        <v>3714</v>
      </c>
      <c r="N735" t="s">
        <v>847</v>
      </c>
      <c r="O735" t="s">
        <v>100</v>
      </c>
      <c r="P735" t="s">
        <v>3715</v>
      </c>
      <c r="Q735" t="s">
        <v>71</v>
      </c>
      <c r="R735" t="s">
        <v>3337</v>
      </c>
      <c r="S735">
        <v>3.79</v>
      </c>
      <c r="T735">
        <v>4322</v>
      </c>
      <c r="U735">
        <v>0</v>
      </c>
      <c r="V735">
        <v>4322</v>
      </c>
    </row>
    <row r="736" spans="1:22" x14ac:dyDescent="0.3">
      <c r="A736">
        <v>79452</v>
      </c>
      <c r="B736">
        <v>135902763</v>
      </c>
      <c r="C736" t="s">
        <v>4426</v>
      </c>
      <c r="D736" t="s">
        <v>4427</v>
      </c>
      <c r="E736" t="s">
        <v>843</v>
      </c>
      <c r="F736" t="s">
        <v>844</v>
      </c>
      <c r="G736" t="s">
        <v>164</v>
      </c>
      <c r="H736" t="s">
        <v>165</v>
      </c>
      <c r="I736" t="s">
        <v>34</v>
      </c>
      <c r="J736" t="s">
        <v>166</v>
      </c>
      <c r="K736" t="s">
        <v>41</v>
      </c>
      <c r="L736" t="s">
        <v>4428</v>
      </c>
      <c r="M736" t="s">
        <v>4429</v>
      </c>
      <c r="N736" t="s">
        <v>847</v>
      </c>
      <c r="O736" t="s">
        <v>100</v>
      </c>
      <c r="P736" t="s">
        <v>4430</v>
      </c>
      <c r="Q736" t="s">
        <v>43</v>
      </c>
      <c r="R736" t="s">
        <v>763</v>
      </c>
      <c r="S736">
        <v>2.68</v>
      </c>
      <c r="T736">
        <v>3753</v>
      </c>
      <c r="U736">
        <v>0</v>
      </c>
      <c r="V736">
        <v>3753</v>
      </c>
    </row>
    <row r="737" spans="1:22" x14ac:dyDescent="0.3">
      <c r="A737">
        <v>79452</v>
      </c>
      <c r="B737">
        <v>135980626</v>
      </c>
      <c r="C737" t="s">
        <v>4431</v>
      </c>
      <c r="D737" t="s">
        <v>4432</v>
      </c>
      <c r="E737" t="s">
        <v>843</v>
      </c>
      <c r="F737" t="s">
        <v>844</v>
      </c>
      <c r="G737" t="s">
        <v>164</v>
      </c>
      <c r="H737" t="s">
        <v>165</v>
      </c>
      <c r="I737" t="s">
        <v>34</v>
      </c>
      <c r="J737" t="s">
        <v>166</v>
      </c>
      <c r="K737" t="s">
        <v>41</v>
      </c>
      <c r="L737" t="s">
        <v>4433</v>
      </c>
      <c r="M737" t="s">
        <v>4434</v>
      </c>
      <c r="N737" t="s">
        <v>847</v>
      </c>
      <c r="O737" t="s">
        <v>100</v>
      </c>
      <c r="P737" t="s">
        <v>4435</v>
      </c>
      <c r="Q737" t="s">
        <v>84</v>
      </c>
      <c r="R737" t="s">
        <v>398</v>
      </c>
      <c r="S737">
        <v>2.96</v>
      </c>
      <c r="T737">
        <v>3366</v>
      </c>
      <c r="U737">
        <v>0</v>
      </c>
      <c r="V737">
        <v>3366</v>
      </c>
    </row>
    <row r="738" spans="1:22" x14ac:dyDescent="0.3">
      <c r="A738">
        <v>79452</v>
      </c>
      <c r="B738">
        <v>135902724</v>
      </c>
      <c r="C738" t="s">
        <v>4436</v>
      </c>
      <c r="D738" t="s">
        <v>4437</v>
      </c>
      <c r="E738" t="s">
        <v>843</v>
      </c>
      <c r="F738" t="s">
        <v>844</v>
      </c>
      <c r="G738" t="s">
        <v>164</v>
      </c>
      <c r="H738" t="s">
        <v>165</v>
      </c>
      <c r="I738" t="s">
        <v>34</v>
      </c>
      <c r="J738" t="s">
        <v>166</v>
      </c>
      <c r="K738" t="s">
        <v>41</v>
      </c>
      <c r="L738" t="s">
        <v>4438</v>
      </c>
      <c r="M738" t="s">
        <v>4439</v>
      </c>
      <c r="N738" t="s">
        <v>847</v>
      </c>
      <c r="O738" t="s">
        <v>100</v>
      </c>
      <c r="P738" t="s">
        <v>4440</v>
      </c>
      <c r="Q738" t="s">
        <v>92</v>
      </c>
      <c r="R738" t="s">
        <v>291</v>
      </c>
      <c r="S738">
        <v>1</v>
      </c>
      <c r="T738">
        <v>3366</v>
      </c>
      <c r="U738">
        <v>0</v>
      </c>
      <c r="V738">
        <v>3366</v>
      </c>
    </row>
    <row r="739" spans="1:22" x14ac:dyDescent="0.3">
      <c r="A739">
        <v>79452</v>
      </c>
      <c r="B739">
        <v>135902754</v>
      </c>
      <c r="C739" t="s">
        <v>4441</v>
      </c>
      <c r="D739" t="s">
        <v>4442</v>
      </c>
      <c r="E739" t="s">
        <v>843</v>
      </c>
      <c r="F739" t="s">
        <v>844</v>
      </c>
      <c r="G739" t="s">
        <v>164</v>
      </c>
      <c r="H739" t="s">
        <v>165</v>
      </c>
      <c r="I739" t="s">
        <v>34</v>
      </c>
      <c r="J739" t="s">
        <v>166</v>
      </c>
      <c r="K739" t="s">
        <v>41</v>
      </c>
      <c r="L739" t="s">
        <v>4443</v>
      </c>
      <c r="M739" t="s">
        <v>4444</v>
      </c>
      <c r="N739" t="s">
        <v>847</v>
      </c>
      <c r="O739" t="s">
        <v>100</v>
      </c>
      <c r="P739" t="s">
        <v>4445</v>
      </c>
      <c r="Q739" t="s">
        <v>57</v>
      </c>
      <c r="R739" t="s">
        <v>763</v>
      </c>
      <c r="S739">
        <v>0.64</v>
      </c>
      <c r="T739">
        <v>5476</v>
      </c>
      <c r="U739">
        <v>0</v>
      </c>
      <c r="V739">
        <v>5476</v>
      </c>
    </row>
    <row r="740" spans="1:22" x14ac:dyDescent="0.3">
      <c r="A740">
        <v>79452</v>
      </c>
      <c r="B740">
        <v>135902726</v>
      </c>
      <c r="C740" t="s">
        <v>4446</v>
      </c>
      <c r="D740" t="s">
        <v>4447</v>
      </c>
      <c r="E740" t="s">
        <v>843</v>
      </c>
      <c r="F740" t="s">
        <v>844</v>
      </c>
      <c r="G740" t="s">
        <v>164</v>
      </c>
      <c r="H740" t="s">
        <v>165</v>
      </c>
      <c r="I740" t="s">
        <v>34</v>
      </c>
      <c r="J740" t="s">
        <v>166</v>
      </c>
      <c r="K740" t="s">
        <v>41</v>
      </c>
      <c r="L740" t="s">
        <v>4448</v>
      </c>
      <c r="M740" t="s">
        <v>4449</v>
      </c>
      <c r="N740" t="s">
        <v>847</v>
      </c>
      <c r="O740" t="s">
        <v>100</v>
      </c>
      <c r="P740" t="s">
        <v>4450</v>
      </c>
      <c r="Q740" t="s">
        <v>55</v>
      </c>
      <c r="R740" t="s">
        <v>291</v>
      </c>
      <c r="S740">
        <v>1.87</v>
      </c>
      <c r="T740">
        <v>5198</v>
      </c>
      <c r="U740">
        <v>0</v>
      </c>
      <c r="V740">
        <v>5198</v>
      </c>
    </row>
    <row r="741" spans="1:22" x14ac:dyDescent="0.3">
      <c r="A741">
        <v>79452</v>
      </c>
      <c r="B741">
        <v>135980495</v>
      </c>
      <c r="C741" t="s">
        <v>4451</v>
      </c>
      <c r="D741" t="s">
        <v>4452</v>
      </c>
      <c r="E741" t="s">
        <v>843</v>
      </c>
      <c r="F741" t="s">
        <v>844</v>
      </c>
      <c r="G741" t="s">
        <v>164</v>
      </c>
      <c r="H741" t="s">
        <v>165</v>
      </c>
      <c r="I741" t="s">
        <v>34</v>
      </c>
      <c r="J741" t="s">
        <v>166</v>
      </c>
      <c r="K741" t="s">
        <v>41</v>
      </c>
      <c r="L741" t="s">
        <v>4453</v>
      </c>
      <c r="M741" t="s">
        <v>4454</v>
      </c>
      <c r="N741" t="s">
        <v>847</v>
      </c>
      <c r="O741" t="s">
        <v>100</v>
      </c>
      <c r="P741" t="s">
        <v>4455</v>
      </c>
      <c r="Q741" t="s">
        <v>61</v>
      </c>
      <c r="R741" t="s">
        <v>398</v>
      </c>
      <c r="S741">
        <v>2.64</v>
      </c>
      <c r="T741">
        <v>4067</v>
      </c>
      <c r="U741">
        <v>0</v>
      </c>
      <c r="V741">
        <v>4067</v>
      </c>
    </row>
    <row r="742" spans="1:22" x14ac:dyDescent="0.3">
      <c r="A742">
        <v>79452</v>
      </c>
      <c r="B742">
        <v>135745504</v>
      </c>
      <c r="C742" t="s">
        <v>4456</v>
      </c>
      <c r="D742" t="s">
        <v>4457</v>
      </c>
      <c r="E742" t="s">
        <v>843</v>
      </c>
      <c r="F742" t="s">
        <v>844</v>
      </c>
      <c r="G742" t="s">
        <v>164</v>
      </c>
      <c r="H742" t="s">
        <v>165</v>
      </c>
      <c r="I742" t="s">
        <v>34</v>
      </c>
      <c r="J742" t="s">
        <v>166</v>
      </c>
      <c r="K742" t="s">
        <v>41</v>
      </c>
      <c r="L742" t="s">
        <v>4458</v>
      </c>
      <c r="M742" t="s">
        <v>4459</v>
      </c>
      <c r="N742" t="s">
        <v>847</v>
      </c>
      <c r="O742" t="s">
        <v>100</v>
      </c>
      <c r="P742" t="s">
        <v>4460</v>
      </c>
      <c r="Q742" t="s">
        <v>65</v>
      </c>
      <c r="R742" t="s">
        <v>738</v>
      </c>
      <c r="S742">
        <v>1</v>
      </c>
      <c r="T742">
        <v>4067</v>
      </c>
      <c r="U742">
        <v>0</v>
      </c>
      <c r="V742">
        <v>4067</v>
      </c>
    </row>
    <row r="743" spans="1:22" x14ac:dyDescent="0.3">
      <c r="A743">
        <v>79452</v>
      </c>
      <c r="B743">
        <v>135980473</v>
      </c>
      <c r="C743" t="s">
        <v>4461</v>
      </c>
      <c r="D743" t="s">
        <v>4462</v>
      </c>
      <c r="E743" t="s">
        <v>843</v>
      </c>
      <c r="F743" t="s">
        <v>844</v>
      </c>
      <c r="G743" t="s">
        <v>164</v>
      </c>
      <c r="H743" t="s">
        <v>165</v>
      </c>
      <c r="I743" t="s">
        <v>34</v>
      </c>
      <c r="J743" t="s">
        <v>166</v>
      </c>
      <c r="K743" t="s">
        <v>41</v>
      </c>
      <c r="L743" t="s">
        <v>4463</v>
      </c>
      <c r="M743" t="s">
        <v>4464</v>
      </c>
      <c r="N743" t="s">
        <v>847</v>
      </c>
      <c r="O743" t="s">
        <v>100</v>
      </c>
      <c r="P743" t="s">
        <v>4465</v>
      </c>
      <c r="Q743" t="s">
        <v>69</v>
      </c>
      <c r="R743" t="s">
        <v>398</v>
      </c>
      <c r="S743">
        <v>2.25</v>
      </c>
      <c r="T743">
        <v>3753</v>
      </c>
      <c r="U743">
        <v>0</v>
      </c>
      <c r="V743">
        <v>3753</v>
      </c>
    </row>
    <row r="744" spans="1:22" x14ac:dyDescent="0.3">
      <c r="A744">
        <v>79452</v>
      </c>
      <c r="B744">
        <v>135980335</v>
      </c>
      <c r="C744" t="s">
        <v>4466</v>
      </c>
      <c r="D744" t="s">
        <v>4467</v>
      </c>
      <c r="E744" t="s">
        <v>843</v>
      </c>
      <c r="F744" t="s">
        <v>844</v>
      </c>
      <c r="G744" t="s">
        <v>164</v>
      </c>
      <c r="H744" t="s">
        <v>165</v>
      </c>
      <c r="I744" t="s">
        <v>34</v>
      </c>
      <c r="J744" t="s">
        <v>166</v>
      </c>
      <c r="K744" t="s">
        <v>41</v>
      </c>
      <c r="L744" t="s">
        <v>4468</v>
      </c>
      <c r="M744" t="s">
        <v>4469</v>
      </c>
      <c r="N744" t="s">
        <v>847</v>
      </c>
      <c r="O744" t="s">
        <v>100</v>
      </c>
      <c r="P744" t="s">
        <v>4470</v>
      </c>
      <c r="Q744" t="s">
        <v>68</v>
      </c>
      <c r="R744" t="s">
        <v>288</v>
      </c>
      <c r="S744">
        <v>2.46</v>
      </c>
      <c r="T744">
        <v>3753</v>
      </c>
      <c r="U744">
        <v>0</v>
      </c>
      <c r="V744">
        <v>3753</v>
      </c>
    </row>
    <row r="745" spans="1:22" x14ac:dyDescent="0.3">
      <c r="A745">
        <v>79452</v>
      </c>
      <c r="B745">
        <v>135980364</v>
      </c>
      <c r="C745" t="s">
        <v>4471</v>
      </c>
      <c r="D745" t="s">
        <v>4472</v>
      </c>
      <c r="E745" t="s">
        <v>843</v>
      </c>
      <c r="F745" t="s">
        <v>844</v>
      </c>
      <c r="G745" t="s">
        <v>164</v>
      </c>
      <c r="H745" t="s">
        <v>165</v>
      </c>
      <c r="I745" t="s">
        <v>34</v>
      </c>
      <c r="J745" t="s">
        <v>166</v>
      </c>
      <c r="K745" t="s">
        <v>41</v>
      </c>
      <c r="L745" t="s">
        <v>4473</v>
      </c>
      <c r="M745" t="s">
        <v>4474</v>
      </c>
      <c r="N745" t="s">
        <v>847</v>
      </c>
      <c r="O745" t="s">
        <v>100</v>
      </c>
      <c r="P745" t="s">
        <v>4475</v>
      </c>
      <c r="Q745" t="s">
        <v>55</v>
      </c>
      <c r="R745" t="s">
        <v>288</v>
      </c>
      <c r="S745">
        <v>1.62</v>
      </c>
      <c r="T745">
        <v>5198</v>
      </c>
      <c r="U745">
        <v>0</v>
      </c>
      <c r="V745">
        <v>5198</v>
      </c>
    </row>
    <row r="746" spans="1:22" x14ac:dyDescent="0.3">
      <c r="A746">
        <v>79452</v>
      </c>
      <c r="B746">
        <v>135980537</v>
      </c>
      <c r="C746" t="s">
        <v>4476</v>
      </c>
      <c r="D746" t="s">
        <v>4477</v>
      </c>
      <c r="E746" t="s">
        <v>843</v>
      </c>
      <c r="F746" t="s">
        <v>844</v>
      </c>
      <c r="G746" t="s">
        <v>164</v>
      </c>
      <c r="H746" t="s">
        <v>165</v>
      </c>
      <c r="I746" t="s">
        <v>34</v>
      </c>
      <c r="J746" t="s">
        <v>166</v>
      </c>
      <c r="K746" t="s">
        <v>41</v>
      </c>
      <c r="L746" t="s">
        <v>4478</v>
      </c>
      <c r="M746" t="s">
        <v>4479</v>
      </c>
      <c r="N746" t="s">
        <v>847</v>
      </c>
      <c r="O746" t="s">
        <v>100</v>
      </c>
      <c r="P746" t="s">
        <v>4480</v>
      </c>
      <c r="Q746" t="s">
        <v>59</v>
      </c>
      <c r="R746" t="s">
        <v>398</v>
      </c>
      <c r="S746">
        <v>2.52</v>
      </c>
      <c r="T746">
        <v>4067</v>
      </c>
      <c r="U746">
        <v>0</v>
      </c>
      <c r="V746">
        <v>4067</v>
      </c>
    </row>
    <row r="747" spans="1:22" x14ac:dyDescent="0.3">
      <c r="A747">
        <v>79452</v>
      </c>
      <c r="B747">
        <v>135980468</v>
      </c>
      <c r="C747" t="s">
        <v>4481</v>
      </c>
      <c r="D747" t="s">
        <v>4482</v>
      </c>
      <c r="E747" t="s">
        <v>843</v>
      </c>
      <c r="F747" t="s">
        <v>844</v>
      </c>
      <c r="G747" t="s">
        <v>164</v>
      </c>
      <c r="H747" t="s">
        <v>165</v>
      </c>
      <c r="I747" t="s">
        <v>34</v>
      </c>
      <c r="J747" t="s">
        <v>166</v>
      </c>
      <c r="K747" t="s">
        <v>41</v>
      </c>
      <c r="L747" t="s">
        <v>4483</v>
      </c>
      <c r="M747" t="s">
        <v>4484</v>
      </c>
      <c r="N747" t="s">
        <v>847</v>
      </c>
      <c r="O747" t="s">
        <v>100</v>
      </c>
      <c r="P747" t="s">
        <v>4485</v>
      </c>
      <c r="Q747" t="s">
        <v>84</v>
      </c>
      <c r="R747" t="s">
        <v>398</v>
      </c>
      <c r="S747">
        <v>2.2200000000000002</v>
      </c>
      <c r="T747">
        <v>3366</v>
      </c>
      <c r="U747">
        <v>0</v>
      </c>
      <c r="V747">
        <v>3366</v>
      </c>
    </row>
    <row r="748" spans="1:22" x14ac:dyDescent="0.3">
      <c r="A748">
        <v>79452</v>
      </c>
      <c r="B748">
        <v>135845042</v>
      </c>
      <c r="C748" t="s">
        <v>4486</v>
      </c>
      <c r="D748" t="s">
        <v>4487</v>
      </c>
      <c r="E748" t="s">
        <v>843</v>
      </c>
      <c r="F748" t="s">
        <v>844</v>
      </c>
      <c r="G748" t="s">
        <v>164</v>
      </c>
      <c r="H748" t="s">
        <v>165</v>
      </c>
      <c r="I748" t="s">
        <v>34</v>
      </c>
      <c r="J748" t="s">
        <v>166</v>
      </c>
      <c r="K748" t="s">
        <v>41</v>
      </c>
      <c r="L748" t="s">
        <v>4488</v>
      </c>
      <c r="M748" t="s">
        <v>4489</v>
      </c>
      <c r="N748" t="s">
        <v>847</v>
      </c>
      <c r="O748" t="s">
        <v>100</v>
      </c>
      <c r="P748" t="s">
        <v>4490</v>
      </c>
      <c r="Q748" t="s">
        <v>227</v>
      </c>
      <c r="R748" t="s">
        <v>503</v>
      </c>
      <c r="S748">
        <v>1.62</v>
      </c>
      <c r="T748">
        <v>4067</v>
      </c>
      <c r="U748">
        <v>0</v>
      </c>
      <c r="V748">
        <v>4067</v>
      </c>
    </row>
    <row r="749" spans="1:22" x14ac:dyDescent="0.3">
      <c r="A749">
        <v>79452</v>
      </c>
      <c r="B749">
        <v>135554234</v>
      </c>
      <c r="C749" t="s">
        <v>4491</v>
      </c>
      <c r="D749" t="s">
        <v>4492</v>
      </c>
      <c r="E749" t="s">
        <v>843</v>
      </c>
      <c r="F749" t="s">
        <v>844</v>
      </c>
      <c r="G749" t="s">
        <v>172</v>
      </c>
      <c r="H749" t="s">
        <v>173</v>
      </c>
      <c r="I749" t="s">
        <v>34</v>
      </c>
      <c r="J749" t="s">
        <v>272</v>
      </c>
      <c r="K749" t="s">
        <v>41</v>
      </c>
      <c r="L749" t="s">
        <v>4493</v>
      </c>
      <c r="M749" t="s">
        <v>4494</v>
      </c>
      <c r="N749" t="s">
        <v>847</v>
      </c>
      <c r="O749" t="s">
        <v>100</v>
      </c>
      <c r="P749" t="s">
        <v>4495</v>
      </c>
      <c r="Q749" t="s">
        <v>86</v>
      </c>
      <c r="R749" t="s">
        <v>4496</v>
      </c>
      <c r="S749">
        <v>0.97</v>
      </c>
      <c r="T749">
        <v>5992</v>
      </c>
      <c r="U749">
        <v>0</v>
      </c>
      <c r="V749">
        <v>5992</v>
      </c>
    </row>
    <row r="750" spans="1:22" x14ac:dyDescent="0.3">
      <c r="A750">
        <v>79452</v>
      </c>
      <c r="B750">
        <v>135980585</v>
      </c>
      <c r="C750" t="s">
        <v>4497</v>
      </c>
      <c r="D750" t="s">
        <v>4498</v>
      </c>
      <c r="E750" t="s">
        <v>843</v>
      </c>
      <c r="F750" t="s">
        <v>844</v>
      </c>
      <c r="G750" t="s">
        <v>164</v>
      </c>
      <c r="H750" t="s">
        <v>165</v>
      </c>
      <c r="I750" t="s">
        <v>34</v>
      </c>
      <c r="J750" t="s">
        <v>166</v>
      </c>
      <c r="K750" t="s">
        <v>41</v>
      </c>
      <c r="L750" t="s">
        <v>4499</v>
      </c>
      <c r="M750" t="s">
        <v>4500</v>
      </c>
      <c r="N750" t="s">
        <v>847</v>
      </c>
      <c r="O750" t="s">
        <v>100</v>
      </c>
      <c r="P750" t="s">
        <v>4501</v>
      </c>
      <c r="Q750" t="s">
        <v>57</v>
      </c>
      <c r="R750" t="s">
        <v>398</v>
      </c>
      <c r="S750">
        <v>1.84</v>
      </c>
      <c r="T750">
        <v>5476</v>
      </c>
      <c r="U750">
        <v>0</v>
      </c>
      <c r="V750">
        <v>5476</v>
      </c>
    </row>
    <row r="751" spans="1:22" x14ac:dyDescent="0.3">
      <c r="A751">
        <v>79452</v>
      </c>
      <c r="B751">
        <v>136363684</v>
      </c>
      <c r="C751" t="s">
        <v>4502</v>
      </c>
      <c r="D751" t="s">
        <v>4503</v>
      </c>
      <c r="E751" t="s">
        <v>843</v>
      </c>
      <c r="F751" t="s">
        <v>844</v>
      </c>
      <c r="G751" t="s">
        <v>164</v>
      </c>
      <c r="H751" t="s">
        <v>165</v>
      </c>
      <c r="I751" t="s">
        <v>34</v>
      </c>
      <c r="J751" t="s">
        <v>166</v>
      </c>
      <c r="K751" t="s">
        <v>41</v>
      </c>
      <c r="L751" t="s">
        <v>4504</v>
      </c>
      <c r="M751" t="s">
        <v>2867</v>
      </c>
      <c r="N751" t="s">
        <v>847</v>
      </c>
      <c r="O751" t="s">
        <v>100</v>
      </c>
      <c r="P751" t="s">
        <v>2868</v>
      </c>
      <c r="Q751" t="s">
        <v>84</v>
      </c>
      <c r="R751" t="s">
        <v>3337</v>
      </c>
      <c r="S751">
        <v>1.27</v>
      </c>
      <c r="T751">
        <v>3366</v>
      </c>
      <c r="U751">
        <v>0</v>
      </c>
      <c r="V751">
        <v>3366</v>
      </c>
    </row>
    <row r="752" spans="1:22" x14ac:dyDescent="0.3">
      <c r="A752">
        <v>79452</v>
      </c>
      <c r="B752">
        <v>135845004</v>
      </c>
      <c r="C752" t="s">
        <v>4505</v>
      </c>
      <c r="D752" t="s">
        <v>4506</v>
      </c>
      <c r="E752" t="s">
        <v>843</v>
      </c>
      <c r="F752" t="s">
        <v>844</v>
      </c>
      <c r="G752" t="s">
        <v>164</v>
      </c>
      <c r="H752" t="s">
        <v>165</v>
      </c>
      <c r="I752" t="s">
        <v>34</v>
      </c>
      <c r="J752" t="s">
        <v>166</v>
      </c>
      <c r="K752" t="s">
        <v>41</v>
      </c>
      <c r="L752" t="s">
        <v>4507</v>
      </c>
      <c r="M752" t="s">
        <v>4508</v>
      </c>
      <c r="N752" t="s">
        <v>847</v>
      </c>
      <c r="O752" t="s">
        <v>100</v>
      </c>
      <c r="P752" t="s">
        <v>4509</v>
      </c>
      <c r="Q752" t="s">
        <v>90</v>
      </c>
      <c r="R752" t="s">
        <v>3877</v>
      </c>
      <c r="S752">
        <v>1.53</v>
      </c>
      <c r="T752">
        <v>3870</v>
      </c>
      <c r="U752">
        <v>0</v>
      </c>
      <c r="V752">
        <v>3870</v>
      </c>
    </row>
    <row r="753" spans="1:22" x14ac:dyDescent="0.3">
      <c r="A753">
        <v>79452</v>
      </c>
      <c r="B753">
        <v>135902637</v>
      </c>
      <c r="C753" t="s">
        <v>4510</v>
      </c>
      <c r="D753" t="s">
        <v>4511</v>
      </c>
      <c r="E753" t="s">
        <v>843</v>
      </c>
      <c r="F753" t="s">
        <v>844</v>
      </c>
      <c r="G753" t="s">
        <v>164</v>
      </c>
      <c r="H753" t="s">
        <v>165</v>
      </c>
      <c r="I753" t="s">
        <v>34</v>
      </c>
      <c r="J753" t="s">
        <v>166</v>
      </c>
      <c r="K753" t="s">
        <v>41</v>
      </c>
      <c r="L753" t="s">
        <v>1300</v>
      </c>
      <c r="M753" t="s">
        <v>1301</v>
      </c>
      <c r="N753" t="s">
        <v>847</v>
      </c>
      <c r="O753" t="s">
        <v>100</v>
      </c>
      <c r="P753" t="s">
        <v>4512</v>
      </c>
      <c r="Q753" t="s">
        <v>137</v>
      </c>
      <c r="R753" t="s">
        <v>291</v>
      </c>
      <c r="S753">
        <v>1.41</v>
      </c>
      <c r="T753">
        <v>4693</v>
      </c>
      <c r="U753">
        <v>0</v>
      </c>
      <c r="V753">
        <v>4693</v>
      </c>
    </row>
    <row r="754" spans="1:22" x14ac:dyDescent="0.3">
      <c r="A754">
        <v>79452</v>
      </c>
      <c r="B754">
        <v>136196437</v>
      </c>
      <c r="C754" t="s">
        <v>4513</v>
      </c>
      <c r="D754" t="s">
        <v>4514</v>
      </c>
      <c r="E754" t="s">
        <v>843</v>
      </c>
      <c r="F754" t="s">
        <v>844</v>
      </c>
      <c r="G754" t="s">
        <v>164</v>
      </c>
      <c r="H754" t="s">
        <v>165</v>
      </c>
      <c r="I754" t="s">
        <v>34</v>
      </c>
      <c r="J754" t="s">
        <v>166</v>
      </c>
      <c r="K754" t="s">
        <v>41</v>
      </c>
      <c r="L754" t="s">
        <v>4515</v>
      </c>
      <c r="M754" t="s">
        <v>4516</v>
      </c>
      <c r="N754" t="s">
        <v>847</v>
      </c>
      <c r="O754" t="s">
        <v>100</v>
      </c>
      <c r="P754" t="s">
        <v>4517</v>
      </c>
      <c r="Q754" t="s">
        <v>69</v>
      </c>
      <c r="R754" t="s">
        <v>716</v>
      </c>
      <c r="S754">
        <v>1.0900000000000001</v>
      </c>
      <c r="T754">
        <v>3753</v>
      </c>
      <c r="U754">
        <v>0</v>
      </c>
      <c r="V754">
        <v>3753</v>
      </c>
    </row>
    <row r="755" spans="1:22" x14ac:dyDescent="0.3">
      <c r="A755">
        <v>79452</v>
      </c>
      <c r="B755">
        <v>136025762</v>
      </c>
      <c r="C755" t="s">
        <v>4518</v>
      </c>
      <c r="D755" t="s">
        <v>4519</v>
      </c>
      <c r="E755" t="s">
        <v>843</v>
      </c>
      <c r="F755" t="s">
        <v>844</v>
      </c>
      <c r="G755" t="s">
        <v>164</v>
      </c>
      <c r="H755" t="s">
        <v>165</v>
      </c>
      <c r="I755" t="s">
        <v>34</v>
      </c>
      <c r="J755" t="s">
        <v>166</v>
      </c>
      <c r="K755" t="s">
        <v>41</v>
      </c>
      <c r="L755" t="s">
        <v>4520</v>
      </c>
      <c r="M755" t="s">
        <v>4521</v>
      </c>
      <c r="N755" t="s">
        <v>847</v>
      </c>
      <c r="O755" t="s">
        <v>100</v>
      </c>
      <c r="P755" t="s">
        <v>4522</v>
      </c>
      <c r="Q755" t="s">
        <v>50</v>
      </c>
      <c r="R755" t="s">
        <v>342</v>
      </c>
      <c r="S755">
        <v>1.1000000000000001</v>
      </c>
      <c r="T755">
        <v>3784</v>
      </c>
      <c r="U755">
        <v>0</v>
      </c>
      <c r="V755">
        <v>3784</v>
      </c>
    </row>
    <row r="756" spans="1:22" x14ac:dyDescent="0.3">
      <c r="A756">
        <v>79452</v>
      </c>
      <c r="B756">
        <v>136363678</v>
      </c>
      <c r="C756" t="s">
        <v>4523</v>
      </c>
      <c r="D756" t="s">
        <v>4524</v>
      </c>
      <c r="E756" t="s">
        <v>843</v>
      </c>
      <c r="F756" t="s">
        <v>844</v>
      </c>
      <c r="G756" t="s">
        <v>164</v>
      </c>
      <c r="H756" t="s">
        <v>165</v>
      </c>
      <c r="I756" t="s">
        <v>34</v>
      </c>
      <c r="J756" t="s">
        <v>166</v>
      </c>
      <c r="K756" t="s">
        <v>41</v>
      </c>
      <c r="L756" t="s">
        <v>4525</v>
      </c>
      <c r="M756" t="s">
        <v>4526</v>
      </c>
      <c r="N756" t="s">
        <v>847</v>
      </c>
      <c r="O756" t="s">
        <v>100</v>
      </c>
      <c r="P756" t="s">
        <v>4527</v>
      </c>
      <c r="Q756" t="s">
        <v>87</v>
      </c>
      <c r="R756" t="s">
        <v>3337</v>
      </c>
      <c r="S756">
        <v>0.93</v>
      </c>
      <c r="T756">
        <v>3366</v>
      </c>
      <c r="U756">
        <v>0</v>
      </c>
      <c r="V756">
        <v>3366</v>
      </c>
    </row>
    <row r="757" spans="1:22" x14ac:dyDescent="0.3">
      <c r="A757">
        <v>79452</v>
      </c>
      <c r="B757">
        <v>136104136</v>
      </c>
      <c r="C757" t="s">
        <v>4528</v>
      </c>
      <c r="D757" t="s">
        <v>4529</v>
      </c>
      <c r="E757" t="s">
        <v>843</v>
      </c>
      <c r="F757" t="s">
        <v>844</v>
      </c>
      <c r="G757" t="s">
        <v>164</v>
      </c>
      <c r="H757" t="s">
        <v>165</v>
      </c>
      <c r="I757" t="s">
        <v>34</v>
      </c>
      <c r="J757" t="s">
        <v>166</v>
      </c>
      <c r="K757" t="s">
        <v>41</v>
      </c>
      <c r="L757" t="s">
        <v>4530</v>
      </c>
      <c r="M757" t="s">
        <v>1367</v>
      </c>
      <c r="N757" t="s">
        <v>847</v>
      </c>
      <c r="O757" t="s">
        <v>100</v>
      </c>
      <c r="P757" t="s">
        <v>1368</v>
      </c>
      <c r="Q757" t="s">
        <v>76</v>
      </c>
      <c r="R757" t="s">
        <v>803</v>
      </c>
      <c r="S757">
        <v>1.52</v>
      </c>
      <c r="T757">
        <v>3753</v>
      </c>
      <c r="U757">
        <v>0</v>
      </c>
      <c r="V757">
        <v>3753</v>
      </c>
    </row>
    <row r="758" spans="1:22" x14ac:dyDescent="0.3">
      <c r="A758">
        <v>79452</v>
      </c>
      <c r="B758">
        <v>135980554</v>
      </c>
      <c r="C758" t="s">
        <v>4531</v>
      </c>
      <c r="D758" t="s">
        <v>4532</v>
      </c>
      <c r="E758" t="s">
        <v>843</v>
      </c>
      <c r="F758" t="s">
        <v>844</v>
      </c>
      <c r="G758" t="s">
        <v>164</v>
      </c>
      <c r="H758" t="s">
        <v>165</v>
      </c>
      <c r="I758" t="s">
        <v>34</v>
      </c>
      <c r="J758" t="s">
        <v>166</v>
      </c>
      <c r="K758" t="s">
        <v>41</v>
      </c>
      <c r="L758" t="s">
        <v>4533</v>
      </c>
      <c r="M758" t="s">
        <v>4534</v>
      </c>
      <c r="N758" t="s">
        <v>847</v>
      </c>
      <c r="O758" t="s">
        <v>100</v>
      </c>
      <c r="P758" t="s">
        <v>4535</v>
      </c>
      <c r="Q758" t="s">
        <v>59</v>
      </c>
      <c r="R758" t="s">
        <v>398</v>
      </c>
      <c r="S758">
        <v>1</v>
      </c>
      <c r="T758">
        <v>4067</v>
      </c>
      <c r="U758">
        <v>0</v>
      </c>
      <c r="V758">
        <v>4067</v>
      </c>
    </row>
    <row r="759" spans="1:22" x14ac:dyDescent="0.3">
      <c r="A759">
        <v>79452</v>
      </c>
      <c r="B759">
        <v>135902800</v>
      </c>
      <c r="C759" t="s">
        <v>4536</v>
      </c>
      <c r="D759" t="s">
        <v>4537</v>
      </c>
      <c r="E759" t="s">
        <v>843</v>
      </c>
      <c r="F759" t="s">
        <v>844</v>
      </c>
      <c r="G759" t="s">
        <v>164</v>
      </c>
      <c r="H759" t="s">
        <v>165</v>
      </c>
      <c r="I759" t="s">
        <v>34</v>
      </c>
      <c r="J759" t="s">
        <v>166</v>
      </c>
      <c r="K759" t="s">
        <v>41</v>
      </c>
      <c r="L759" t="s">
        <v>4538</v>
      </c>
      <c r="M759" t="s">
        <v>4539</v>
      </c>
      <c r="N759" t="s">
        <v>847</v>
      </c>
      <c r="O759" t="s">
        <v>100</v>
      </c>
      <c r="P759" t="s">
        <v>4540</v>
      </c>
      <c r="Q759" t="s">
        <v>55</v>
      </c>
      <c r="R759" t="s">
        <v>763</v>
      </c>
      <c r="S759">
        <v>0.54</v>
      </c>
      <c r="T759">
        <v>5198</v>
      </c>
      <c r="U759">
        <v>0</v>
      </c>
      <c r="V759">
        <v>5198</v>
      </c>
    </row>
    <row r="760" spans="1:22" x14ac:dyDescent="0.3">
      <c r="A760">
        <v>79452</v>
      </c>
      <c r="B760">
        <v>136363716</v>
      </c>
      <c r="C760" t="s">
        <v>4541</v>
      </c>
      <c r="D760" t="s">
        <v>4542</v>
      </c>
      <c r="E760" t="s">
        <v>843</v>
      </c>
      <c r="F760" t="s">
        <v>844</v>
      </c>
      <c r="G760" t="s">
        <v>164</v>
      </c>
      <c r="H760" t="s">
        <v>165</v>
      </c>
      <c r="I760" t="s">
        <v>34</v>
      </c>
      <c r="J760" t="s">
        <v>166</v>
      </c>
      <c r="K760" t="s">
        <v>41</v>
      </c>
      <c r="L760" t="s">
        <v>4543</v>
      </c>
      <c r="M760" t="s">
        <v>4544</v>
      </c>
      <c r="N760" t="s">
        <v>847</v>
      </c>
      <c r="O760" t="s">
        <v>100</v>
      </c>
      <c r="P760" t="s">
        <v>4545</v>
      </c>
      <c r="Q760" t="s">
        <v>110</v>
      </c>
      <c r="R760" t="s">
        <v>3337</v>
      </c>
      <c r="S760">
        <v>2.5</v>
      </c>
      <c r="T760">
        <v>7506</v>
      </c>
      <c r="U760">
        <v>0</v>
      </c>
      <c r="V760">
        <v>7506</v>
      </c>
    </row>
    <row r="761" spans="1:22" x14ac:dyDescent="0.3">
      <c r="A761">
        <v>79452</v>
      </c>
      <c r="B761">
        <v>135902663</v>
      </c>
      <c r="C761" t="s">
        <v>4546</v>
      </c>
      <c r="D761" t="s">
        <v>4547</v>
      </c>
      <c r="E761" t="s">
        <v>843</v>
      </c>
      <c r="F761" t="s">
        <v>844</v>
      </c>
      <c r="G761" t="s">
        <v>164</v>
      </c>
      <c r="H761" t="s">
        <v>165</v>
      </c>
      <c r="I761" t="s">
        <v>34</v>
      </c>
      <c r="J761" t="s">
        <v>166</v>
      </c>
      <c r="K761" t="s">
        <v>41</v>
      </c>
      <c r="L761" t="s">
        <v>4548</v>
      </c>
      <c r="M761" t="s">
        <v>4549</v>
      </c>
      <c r="N761" t="s">
        <v>847</v>
      </c>
      <c r="O761" t="s">
        <v>100</v>
      </c>
      <c r="P761" t="s">
        <v>4550</v>
      </c>
      <c r="Q761" t="s">
        <v>224</v>
      </c>
      <c r="R761" t="s">
        <v>291</v>
      </c>
      <c r="S761">
        <v>0.97</v>
      </c>
      <c r="T761">
        <v>4067</v>
      </c>
      <c r="U761">
        <v>0</v>
      </c>
      <c r="V761">
        <v>4067</v>
      </c>
    </row>
    <row r="762" spans="1:22" x14ac:dyDescent="0.3">
      <c r="A762">
        <v>79452</v>
      </c>
      <c r="B762">
        <v>136363713</v>
      </c>
      <c r="C762" t="s">
        <v>4551</v>
      </c>
      <c r="D762" t="s">
        <v>4552</v>
      </c>
      <c r="E762" t="s">
        <v>843</v>
      </c>
      <c r="F762" t="s">
        <v>844</v>
      </c>
      <c r="G762" t="s">
        <v>164</v>
      </c>
      <c r="H762" t="s">
        <v>165</v>
      </c>
      <c r="I762" t="s">
        <v>34</v>
      </c>
      <c r="J762" t="s">
        <v>166</v>
      </c>
      <c r="K762" t="s">
        <v>41</v>
      </c>
      <c r="L762" t="s">
        <v>4553</v>
      </c>
      <c r="M762" t="s">
        <v>4554</v>
      </c>
      <c r="N762" t="s">
        <v>847</v>
      </c>
      <c r="O762" t="s">
        <v>100</v>
      </c>
      <c r="P762" t="s">
        <v>4555</v>
      </c>
      <c r="Q762" t="s">
        <v>557</v>
      </c>
      <c r="R762" t="s">
        <v>3337</v>
      </c>
      <c r="S762">
        <v>1.73</v>
      </c>
      <c r="T762">
        <v>4352</v>
      </c>
      <c r="U762">
        <v>0</v>
      </c>
      <c r="V762">
        <v>4352</v>
      </c>
    </row>
    <row r="763" spans="1:22" x14ac:dyDescent="0.3">
      <c r="A763">
        <v>79452</v>
      </c>
      <c r="B763">
        <v>136025751</v>
      </c>
      <c r="C763" t="s">
        <v>4556</v>
      </c>
      <c r="D763" t="s">
        <v>4557</v>
      </c>
      <c r="E763" t="s">
        <v>843</v>
      </c>
      <c r="F763" t="s">
        <v>844</v>
      </c>
      <c r="G763" t="s">
        <v>164</v>
      </c>
      <c r="H763" t="s">
        <v>165</v>
      </c>
      <c r="I763" t="s">
        <v>34</v>
      </c>
      <c r="J763" t="s">
        <v>166</v>
      </c>
      <c r="K763" t="s">
        <v>41</v>
      </c>
      <c r="L763" t="s">
        <v>4558</v>
      </c>
      <c r="M763" t="s">
        <v>4559</v>
      </c>
      <c r="N763" t="s">
        <v>847</v>
      </c>
      <c r="O763" t="s">
        <v>100</v>
      </c>
      <c r="P763" t="s">
        <v>4560</v>
      </c>
      <c r="Q763" t="s">
        <v>69</v>
      </c>
      <c r="R763" t="s">
        <v>342</v>
      </c>
      <c r="S763">
        <v>2.79</v>
      </c>
      <c r="T763">
        <v>3753</v>
      </c>
      <c r="U763">
        <v>0</v>
      </c>
      <c r="V763">
        <v>3753</v>
      </c>
    </row>
    <row r="764" spans="1:22" x14ac:dyDescent="0.3">
      <c r="A764">
        <v>79452</v>
      </c>
      <c r="B764">
        <v>135980648</v>
      </c>
      <c r="C764" t="s">
        <v>4561</v>
      </c>
      <c r="D764" t="s">
        <v>4562</v>
      </c>
      <c r="E764" t="s">
        <v>843</v>
      </c>
      <c r="F764" t="s">
        <v>844</v>
      </c>
      <c r="G764" t="s">
        <v>164</v>
      </c>
      <c r="H764" t="s">
        <v>165</v>
      </c>
      <c r="I764" t="s">
        <v>34</v>
      </c>
      <c r="J764" t="s">
        <v>166</v>
      </c>
      <c r="K764" t="s">
        <v>41</v>
      </c>
      <c r="L764" t="s">
        <v>4563</v>
      </c>
      <c r="M764" t="s">
        <v>4564</v>
      </c>
      <c r="N764" t="s">
        <v>847</v>
      </c>
      <c r="O764" t="s">
        <v>100</v>
      </c>
      <c r="P764" t="s">
        <v>4565</v>
      </c>
      <c r="Q764" t="s">
        <v>76</v>
      </c>
      <c r="R764" t="s">
        <v>3290</v>
      </c>
      <c r="S764">
        <v>2.04</v>
      </c>
      <c r="T764">
        <v>3753</v>
      </c>
      <c r="U764">
        <v>0</v>
      </c>
      <c r="V764">
        <v>3753</v>
      </c>
    </row>
    <row r="765" spans="1:22" x14ac:dyDescent="0.3">
      <c r="A765">
        <v>79452</v>
      </c>
      <c r="B765">
        <v>135844965</v>
      </c>
      <c r="C765" t="s">
        <v>4566</v>
      </c>
      <c r="D765" t="s">
        <v>4567</v>
      </c>
      <c r="E765" t="s">
        <v>843</v>
      </c>
      <c r="F765" t="s">
        <v>844</v>
      </c>
      <c r="G765" t="s">
        <v>164</v>
      </c>
      <c r="H765" t="s">
        <v>165</v>
      </c>
      <c r="I765" t="s">
        <v>34</v>
      </c>
      <c r="J765" t="s">
        <v>166</v>
      </c>
      <c r="K765" t="s">
        <v>41</v>
      </c>
      <c r="L765" t="s">
        <v>4568</v>
      </c>
      <c r="M765" t="s">
        <v>4569</v>
      </c>
      <c r="N765" t="s">
        <v>847</v>
      </c>
      <c r="O765" t="s">
        <v>100</v>
      </c>
      <c r="P765" t="s">
        <v>4570</v>
      </c>
      <c r="Q765" t="s">
        <v>69</v>
      </c>
      <c r="R765" t="s">
        <v>3877</v>
      </c>
      <c r="S765">
        <v>2.25</v>
      </c>
      <c r="T765">
        <v>3753</v>
      </c>
      <c r="U765">
        <v>0</v>
      </c>
      <c r="V765">
        <v>3753</v>
      </c>
    </row>
    <row r="766" spans="1:22" x14ac:dyDescent="0.3">
      <c r="A766">
        <v>79452</v>
      </c>
      <c r="B766">
        <v>135792511</v>
      </c>
      <c r="C766" t="s">
        <v>4571</v>
      </c>
      <c r="D766" t="s">
        <v>4572</v>
      </c>
      <c r="E766" t="s">
        <v>843</v>
      </c>
      <c r="F766" t="s">
        <v>844</v>
      </c>
      <c r="G766" t="s">
        <v>164</v>
      </c>
      <c r="H766" t="s">
        <v>165</v>
      </c>
      <c r="I766" t="s">
        <v>34</v>
      </c>
      <c r="J766" t="s">
        <v>166</v>
      </c>
      <c r="K766" t="s">
        <v>41</v>
      </c>
      <c r="L766" t="s">
        <v>3808</v>
      </c>
      <c r="M766" t="s">
        <v>4573</v>
      </c>
      <c r="N766" t="s">
        <v>847</v>
      </c>
      <c r="O766" t="s">
        <v>100</v>
      </c>
      <c r="P766" t="s">
        <v>4574</v>
      </c>
      <c r="Q766" t="s">
        <v>54</v>
      </c>
      <c r="R766" t="s">
        <v>694</v>
      </c>
      <c r="S766">
        <v>1</v>
      </c>
      <c r="T766">
        <v>5759</v>
      </c>
      <c r="U766">
        <v>0</v>
      </c>
      <c r="V766">
        <v>5759</v>
      </c>
    </row>
    <row r="767" spans="1:22" x14ac:dyDescent="0.3">
      <c r="A767">
        <v>79452</v>
      </c>
      <c r="B767">
        <v>135845048</v>
      </c>
      <c r="C767" t="s">
        <v>4575</v>
      </c>
      <c r="D767" t="s">
        <v>4576</v>
      </c>
      <c r="E767" t="s">
        <v>843</v>
      </c>
      <c r="F767" t="s">
        <v>844</v>
      </c>
      <c r="G767" t="s">
        <v>164</v>
      </c>
      <c r="H767" t="s">
        <v>165</v>
      </c>
      <c r="I767" t="s">
        <v>34</v>
      </c>
      <c r="J767" t="s">
        <v>166</v>
      </c>
      <c r="K767" t="s">
        <v>41</v>
      </c>
      <c r="L767" t="s">
        <v>4577</v>
      </c>
      <c r="M767" t="s">
        <v>4578</v>
      </c>
      <c r="N767" t="s">
        <v>847</v>
      </c>
      <c r="O767" t="s">
        <v>100</v>
      </c>
      <c r="P767" t="s">
        <v>4579</v>
      </c>
      <c r="Q767" t="s">
        <v>67</v>
      </c>
      <c r="R767" t="s">
        <v>503</v>
      </c>
      <c r="S767">
        <v>1.56</v>
      </c>
      <c r="T767">
        <v>3784</v>
      </c>
      <c r="U767">
        <v>0</v>
      </c>
      <c r="V767">
        <v>3784</v>
      </c>
    </row>
    <row r="768" spans="1:22" x14ac:dyDescent="0.3">
      <c r="A768">
        <v>79452</v>
      </c>
      <c r="B768">
        <v>135980598</v>
      </c>
      <c r="C768" t="s">
        <v>4580</v>
      </c>
      <c r="D768" t="s">
        <v>4581</v>
      </c>
      <c r="E768" t="s">
        <v>843</v>
      </c>
      <c r="F768" t="s">
        <v>844</v>
      </c>
      <c r="G768" t="s">
        <v>164</v>
      </c>
      <c r="H768" t="s">
        <v>165</v>
      </c>
      <c r="I768" t="s">
        <v>34</v>
      </c>
      <c r="J768" t="s">
        <v>166</v>
      </c>
      <c r="K768" t="s">
        <v>41</v>
      </c>
      <c r="L768" t="s">
        <v>4582</v>
      </c>
      <c r="M768" t="s">
        <v>4583</v>
      </c>
      <c r="N768" t="s">
        <v>847</v>
      </c>
      <c r="O768" t="s">
        <v>100</v>
      </c>
      <c r="P768" t="s">
        <v>4584</v>
      </c>
      <c r="Q768" t="s">
        <v>63</v>
      </c>
      <c r="R768" t="s">
        <v>398</v>
      </c>
      <c r="S768">
        <v>1.19</v>
      </c>
      <c r="T768">
        <v>4067</v>
      </c>
      <c r="U768">
        <v>0</v>
      </c>
      <c r="V768">
        <v>4067</v>
      </c>
    </row>
    <row r="769" spans="1:22" x14ac:dyDescent="0.3">
      <c r="A769">
        <v>79452</v>
      </c>
      <c r="B769">
        <v>135792510</v>
      </c>
      <c r="C769" t="s">
        <v>4585</v>
      </c>
      <c r="D769" t="s">
        <v>4586</v>
      </c>
      <c r="E769" t="s">
        <v>843</v>
      </c>
      <c r="F769" t="s">
        <v>844</v>
      </c>
      <c r="G769" t="s">
        <v>164</v>
      </c>
      <c r="H769" t="s">
        <v>165</v>
      </c>
      <c r="I769" t="s">
        <v>34</v>
      </c>
      <c r="J769" t="s">
        <v>166</v>
      </c>
      <c r="K769" t="s">
        <v>41</v>
      </c>
      <c r="L769" t="s">
        <v>4587</v>
      </c>
      <c r="M769" t="s">
        <v>4588</v>
      </c>
      <c r="N769" t="s">
        <v>847</v>
      </c>
      <c r="O769" t="s">
        <v>100</v>
      </c>
      <c r="P769" t="s">
        <v>4589</v>
      </c>
      <c r="Q769" t="s">
        <v>68</v>
      </c>
      <c r="R769" t="s">
        <v>694</v>
      </c>
      <c r="S769">
        <v>4.28</v>
      </c>
      <c r="T769">
        <v>4456</v>
      </c>
      <c r="U769">
        <v>0</v>
      </c>
      <c r="V769">
        <v>4456</v>
      </c>
    </row>
    <row r="770" spans="1:22" x14ac:dyDescent="0.3">
      <c r="A770">
        <v>79452</v>
      </c>
      <c r="B770">
        <v>135980401</v>
      </c>
      <c r="C770" t="s">
        <v>4590</v>
      </c>
      <c r="D770" t="s">
        <v>4591</v>
      </c>
      <c r="E770" t="s">
        <v>843</v>
      </c>
      <c r="F770" t="s">
        <v>844</v>
      </c>
      <c r="G770" t="s">
        <v>164</v>
      </c>
      <c r="H770" t="s">
        <v>165</v>
      </c>
      <c r="I770" t="s">
        <v>34</v>
      </c>
      <c r="J770" t="s">
        <v>166</v>
      </c>
      <c r="K770" t="s">
        <v>41</v>
      </c>
      <c r="L770" t="s">
        <v>4592</v>
      </c>
      <c r="M770" t="s">
        <v>4593</v>
      </c>
      <c r="N770" t="s">
        <v>847</v>
      </c>
      <c r="O770" t="s">
        <v>100</v>
      </c>
      <c r="P770" t="s">
        <v>4594</v>
      </c>
      <c r="Q770" t="s">
        <v>49</v>
      </c>
      <c r="R770" t="s">
        <v>288</v>
      </c>
      <c r="S770">
        <v>1.73</v>
      </c>
      <c r="T770">
        <v>3784</v>
      </c>
      <c r="U770">
        <v>0</v>
      </c>
      <c r="V770">
        <v>3784</v>
      </c>
    </row>
    <row r="771" spans="1:22" x14ac:dyDescent="0.3">
      <c r="A771">
        <v>79452</v>
      </c>
      <c r="B771">
        <v>135902793</v>
      </c>
      <c r="C771" t="s">
        <v>4595</v>
      </c>
      <c r="D771" t="s">
        <v>4596</v>
      </c>
      <c r="E771" t="s">
        <v>843</v>
      </c>
      <c r="F771" t="s">
        <v>844</v>
      </c>
      <c r="G771" t="s">
        <v>164</v>
      </c>
      <c r="H771" t="s">
        <v>165</v>
      </c>
      <c r="I771" t="s">
        <v>34</v>
      </c>
      <c r="J771" t="s">
        <v>166</v>
      </c>
      <c r="K771" t="s">
        <v>41</v>
      </c>
      <c r="L771" t="s">
        <v>4597</v>
      </c>
      <c r="M771" t="s">
        <v>4598</v>
      </c>
      <c r="N771" t="s">
        <v>847</v>
      </c>
      <c r="O771" t="s">
        <v>100</v>
      </c>
      <c r="P771" t="s">
        <v>4599</v>
      </c>
      <c r="Q771" t="s">
        <v>64</v>
      </c>
      <c r="R771" t="s">
        <v>763</v>
      </c>
      <c r="S771">
        <v>1.26</v>
      </c>
      <c r="T771">
        <v>4067</v>
      </c>
      <c r="U771">
        <v>0</v>
      </c>
      <c r="V771">
        <v>4067</v>
      </c>
    </row>
    <row r="772" spans="1:22" x14ac:dyDescent="0.3">
      <c r="A772">
        <v>79452</v>
      </c>
      <c r="B772">
        <v>135792455</v>
      </c>
      <c r="C772" t="s">
        <v>4600</v>
      </c>
      <c r="D772" t="s">
        <v>4601</v>
      </c>
      <c r="E772" t="s">
        <v>843</v>
      </c>
      <c r="F772" t="s">
        <v>844</v>
      </c>
      <c r="G772" t="s">
        <v>164</v>
      </c>
      <c r="H772" t="s">
        <v>165</v>
      </c>
      <c r="I772" t="s">
        <v>34</v>
      </c>
      <c r="J772" t="s">
        <v>166</v>
      </c>
      <c r="K772" t="s">
        <v>41</v>
      </c>
      <c r="L772" t="s">
        <v>4602</v>
      </c>
      <c r="M772" t="s">
        <v>4603</v>
      </c>
      <c r="N772" t="s">
        <v>847</v>
      </c>
      <c r="O772" t="s">
        <v>100</v>
      </c>
      <c r="P772" t="s">
        <v>4604</v>
      </c>
      <c r="Q772" t="s">
        <v>64</v>
      </c>
      <c r="R772" t="s">
        <v>694</v>
      </c>
      <c r="S772">
        <v>1</v>
      </c>
      <c r="T772">
        <v>4067</v>
      </c>
      <c r="U772">
        <v>0</v>
      </c>
      <c r="V772">
        <v>4067</v>
      </c>
    </row>
    <row r="773" spans="1:22" x14ac:dyDescent="0.3">
      <c r="A773">
        <v>79452</v>
      </c>
      <c r="B773">
        <v>135844940</v>
      </c>
      <c r="C773" t="s">
        <v>4605</v>
      </c>
      <c r="D773" t="s">
        <v>4606</v>
      </c>
      <c r="E773" t="s">
        <v>843</v>
      </c>
      <c r="F773" t="s">
        <v>844</v>
      </c>
      <c r="G773" t="s">
        <v>164</v>
      </c>
      <c r="H773" t="s">
        <v>165</v>
      </c>
      <c r="I773" t="s">
        <v>34</v>
      </c>
      <c r="J773" t="s">
        <v>166</v>
      </c>
      <c r="K773" t="s">
        <v>41</v>
      </c>
      <c r="L773" t="s">
        <v>217</v>
      </c>
      <c r="M773" t="s">
        <v>2628</v>
      </c>
      <c r="N773" t="s">
        <v>847</v>
      </c>
      <c r="O773" t="s">
        <v>100</v>
      </c>
      <c r="P773" t="s">
        <v>4607</v>
      </c>
      <c r="Q773" t="s">
        <v>93</v>
      </c>
      <c r="R773" t="s">
        <v>3877</v>
      </c>
      <c r="S773">
        <v>2.29</v>
      </c>
      <c r="T773">
        <v>3366</v>
      </c>
      <c r="U773">
        <v>0</v>
      </c>
      <c r="V773">
        <v>3366</v>
      </c>
    </row>
    <row r="774" spans="1:22" x14ac:dyDescent="0.3">
      <c r="A774">
        <v>79452</v>
      </c>
      <c r="B774">
        <v>135844950</v>
      </c>
      <c r="C774" t="s">
        <v>4608</v>
      </c>
      <c r="D774" t="s">
        <v>4609</v>
      </c>
      <c r="E774" t="s">
        <v>843</v>
      </c>
      <c r="F774" t="s">
        <v>844</v>
      </c>
      <c r="G774" t="s">
        <v>164</v>
      </c>
      <c r="H774" t="s">
        <v>165</v>
      </c>
      <c r="I774" t="s">
        <v>34</v>
      </c>
      <c r="J774" t="s">
        <v>166</v>
      </c>
      <c r="K774" t="s">
        <v>41</v>
      </c>
      <c r="L774" t="s">
        <v>4610</v>
      </c>
      <c r="M774" t="s">
        <v>4611</v>
      </c>
      <c r="N774" t="s">
        <v>847</v>
      </c>
      <c r="O774" t="s">
        <v>100</v>
      </c>
      <c r="P774" t="s">
        <v>4612</v>
      </c>
      <c r="Q774" t="s">
        <v>354</v>
      </c>
      <c r="R774" t="s">
        <v>3877</v>
      </c>
      <c r="S774">
        <v>2.17</v>
      </c>
      <c r="T774">
        <v>4067</v>
      </c>
      <c r="U774">
        <v>0</v>
      </c>
      <c r="V774">
        <v>4067</v>
      </c>
    </row>
    <row r="775" spans="1:22" x14ac:dyDescent="0.3">
      <c r="A775">
        <v>79452</v>
      </c>
      <c r="B775">
        <v>135980368</v>
      </c>
      <c r="C775" t="s">
        <v>4613</v>
      </c>
      <c r="D775" t="s">
        <v>4614</v>
      </c>
      <c r="E775" t="s">
        <v>843</v>
      </c>
      <c r="F775" t="s">
        <v>844</v>
      </c>
      <c r="G775" t="s">
        <v>164</v>
      </c>
      <c r="H775" t="s">
        <v>165</v>
      </c>
      <c r="I775" t="s">
        <v>34</v>
      </c>
      <c r="J775" t="s">
        <v>166</v>
      </c>
      <c r="K775" t="s">
        <v>41</v>
      </c>
      <c r="L775" t="s">
        <v>4615</v>
      </c>
      <c r="M775" t="s">
        <v>4616</v>
      </c>
      <c r="N775" t="s">
        <v>847</v>
      </c>
      <c r="O775" t="s">
        <v>100</v>
      </c>
      <c r="P775" t="s">
        <v>4617</v>
      </c>
      <c r="Q775" t="s">
        <v>59</v>
      </c>
      <c r="R775" t="s">
        <v>288</v>
      </c>
      <c r="S775">
        <v>1.33</v>
      </c>
      <c r="T775">
        <v>4067</v>
      </c>
      <c r="U775">
        <v>0</v>
      </c>
      <c r="V775">
        <v>4067</v>
      </c>
    </row>
    <row r="776" spans="1:22" x14ac:dyDescent="0.3">
      <c r="A776">
        <v>79452</v>
      </c>
      <c r="B776">
        <v>135902712</v>
      </c>
      <c r="C776" t="s">
        <v>4618</v>
      </c>
      <c r="D776" t="s">
        <v>4619</v>
      </c>
      <c r="E776" t="s">
        <v>843</v>
      </c>
      <c r="F776" t="s">
        <v>844</v>
      </c>
      <c r="G776" t="s">
        <v>164</v>
      </c>
      <c r="H776" t="s">
        <v>165</v>
      </c>
      <c r="I776" t="s">
        <v>34</v>
      </c>
      <c r="J776" t="s">
        <v>166</v>
      </c>
      <c r="K776" t="s">
        <v>41</v>
      </c>
      <c r="L776" t="s">
        <v>4620</v>
      </c>
      <c r="M776" t="s">
        <v>2633</v>
      </c>
      <c r="N776" t="s">
        <v>847</v>
      </c>
      <c r="O776" t="s">
        <v>100</v>
      </c>
      <c r="P776" t="s">
        <v>2634</v>
      </c>
      <c r="Q776" t="s">
        <v>83</v>
      </c>
      <c r="R776" t="s">
        <v>291</v>
      </c>
      <c r="S776">
        <v>1</v>
      </c>
      <c r="T776">
        <v>3366</v>
      </c>
      <c r="U776">
        <v>0</v>
      </c>
      <c r="V776">
        <v>3366</v>
      </c>
    </row>
    <row r="777" spans="1:22" x14ac:dyDescent="0.3">
      <c r="A777">
        <v>79452</v>
      </c>
      <c r="B777">
        <v>135902612</v>
      </c>
      <c r="C777" t="s">
        <v>4621</v>
      </c>
      <c r="D777" t="s">
        <v>4622</v>
      </c>
      <c r="E777" t="s">
        <v>843</v>
      </c>
      <c r="F777" t="s">
        <v>844</v>
      </c>
      <c r="G777" t="s">
        <v>164</v>
      </c>
      <c r="H777" t="s">
        <v>165</v>
      </c>
      <c r="I777" t="s">
        <v>34</v>
      </c>
      <c r="J777" t="s">
        <v>166</v>
      </c>
      <c r="K777" t="s">
        <v>41</v>
      </c>
      <c r="L777" t="s">
        <v>4623</v>
      </c>
      <c r="M777" t="s">
        <v>4624</v>
      </c>
      <c r="N777" t="s">
        <v>847</v>
      </c>
      <c r="O777" t="s">
        <v>100</v>
      </c>
      <c r="P777" t="s">
        <v>4625</v>
      </c>
      <c r="Q777" t="s">
        <v>54</v>
      </c>
      <c r="R777" t="s">
        <v>291</v>
      </c>
      <c r="S777">
        <v>0.57999999999999996</v>
      </c>
      <c r="T777">
        <v>5759</v>
      </c>
      <c r="U777">
        <v>0</v>
      </c>
      <c r="V777">
        <v>5759</v>
      </c>
    </row>
    <row r="778" spans="1:22" x14ac:dyDescent="0.3">
      <c r="A778">
        <v>79452</v>
      </c>
      <c r="B778">
        <v>135902737</v>
      </c>
      <c r="C778" t="s">
        <v>4626</v>
      </c>
      <c r="D778" t="s">
        <v>4627</v>
      </c>
      <c r="E778" t="s">
        <v>843</v>
      </c>
      <c r="F778" t="s">
        <v>844</v>
      </c>
      <c r="G778" t="s">
        <v>164</v>
      </c>
      <c r="H778" t="s">
        <v>165</v>
      </c>
      <c r="I778" t="s">
        <v>34</v>
      </c>
      <c r="J778" t="s">
        <v>166</v>
      </c>
      <c r="K778" t="s">
        <v>41</v>
      </c>
      <c r="L778" t="s">
        <v>4628</v>
      </c>
      <c r="M778" t="s">
        <v>4629</v>
      </c>
      <c r="N778" t="s">
        <v>847</v>
      </c>
      <c r="O778" t="s">
        <v>100</v>
      </c>
      <c r="P778" t="s">
        <v>4630</v>
      </c>
      <c r="Q778" t="s">
        <v>71</v>
      </c>
      <c r="R778" t="s">
        <v>291</v>
      </c>
      <c r="S778">
        <v>1.43</v>
      </c>
      <c r="T778">
        <v>3501</v>
      </c>
      <c r="U778">
        <v>0</v>
      </c>
      <c r="V778">
        <v>3501</v>
      </c>
    </row>
    <row r="779" spans="1:22" x14ac:dyDescent="0.3">
      <c r="A779">
        <v>79452</v>
      </c>
      <c r="B779">
        <v>135844975</v>
      </c>
      <c r="C779" t="s">
        <v>4631</v>
      </c>
      <c r="D779" t="s">
        <v>4632</v>
      </c>
      <c r="E779" t="s">
        <v>843</v>
      </c>
      <c r="F779" t="s">
        <v>844</v>
      </c>
      <c r="G779" t="s">
        <v>164</v>
      </c>
      <c r="H779" t="s">
        <v>165</v>
      </c>
      <c r="I779" t="s">
        <v>34</v>
      </c>
      <c r="J779" t="s">
        <v>166</v>
      </c>
      <c r="K779" t="s">
        <v>41</v>
      </c>
      <c r="L779" t="s">
        <v>4633</v>
      </c>
      <c r="M779" t="s">
        <v>4634</v>
      </c>
      <c r="N779" t="s">
        <v>847</v>
      </c>
      <c r="O779" t="s">
        <v>100</v>
      </c>
      <c r="P779" t="s">
        <v>4635</v>
      </c>
      <c r="Q779" t="s">
        <v>72</v>
      </c>
      <c r="R779" t="s">
        <v>3877</v>
      </c>
      <c r="S779">
        <v>1</v>
      </c>
      <c r="T779">
        <v>3784</v>
      </c>
      <c r="U779">
        <v>0</v>
      </c>
      <c r="V779">
        <v>3784</v>
      </c>
    </row>
    <row r="780" spans="1:22" x14ac:dyDescent="0.3">
      <c r="A780">
        <v>79452</v>
      </c>
      <c r="B780">
        <v>135706365</v>
      </c>
      <c r="C780" t="s">
        <v>4636</v>
      </c>
      <c r="D780" t="s">
        <v>4637</v>
      </c>
      <c r="E780" t="s">
        <v>843</v>
      </c>
      <c r="F780" t="s">
        <v>844</v>
      </c>
      <c r="G780" t="s">
        <v>164</v>
      </c>
      <c r="H780" t="s">
        <v>165</v>
      </c>
      <c r="I780" t="s">
        <v>34</v>
      </c>
      <c r="J780" t="s">
        <v>166</v>
      </c>
      <c r="K780" t="s">
        <v>41</v>
      </c>
      <c r="L780" t="s">
        <v>4638</v>
      </c>
      <c r="M780" t="s">
        <v>4639</v>
      </c>
      <c r="N780" t="s">
        <v>847</v>
      </c>
      <c r="O780" t="s">
        <v>100</v>
      </c>
      <c r="P780" t="s">
        <v>4640</v>
      </c>
      <c r="Q780" t="s">
        <v>55</v>
      </c>
      <c r="R780" t="s">
        <v>3482</v>
      </c>
      <c r="S780">
        <v>1.56</v>
      </c>
      <c r="T780">
        <v>5198</v>
      </c>
      <c r="U780">
        <v>0</v>
      </c>
      <c r="V780">
        <v>5198</v>
      </c>
    </row>
    <row r="781" spans="1:22" x14ac:dyDescent="0.3">
      <c r="A781">
        <v>79452</v>
      </c>
      <c r="B781">
        <v>135745432</v>
      </c>
      <c r="C781" t="s">
        <v>4641</v>
      </c>
      <c r="D781" t="s">
        <v>4642</v>
      </c>
      <c r="E781" t="s">
        <v>843</v>
      </c>
      <c r="F781" t="s">
        <v>844</v>
      </c>
      <c r="G781" t="s">
        <v>164</v>
      </c>
      <c r="H781" t="s">
        <v>165</v>
      </c>
      <c r="I781" t="s">
        <v>34</v>
      </c>
      <c r="J781" t="s">
        <v>166</v>
      </c>
      <c r="K781" t="s">
        <v>41</v>
      </c>
      <c r="L781" t="s">
        <v>4643</v>
      </c>
      <c r="M781" t="s">
        <v>4644</v>
      </c>
      <c r="N781" t="s">
        <v>847</v>
      </c>
      <c r="O781" t="s">
        <v>100</v>
      </c>
      <c r="P781" t="s">
        <v>4645</v>
      </c>
      <c r="Q781" t="s">
        <v>64</v>
      </c>
      <c r="R781" t="s">
        <v>738</v>
      </c>
      <c r="S781">
        <v>2.35</v>
      </c>
      <c r="T781">
        <v>4067</v>
      </c>
      <c r="U781">
        <v>0</v>
      </c>
      <c r="V781">
        <v>4067</v>
      </c>
    </row>
    <row r="782" spans="1:22" x14ac:dyDescent="0.3">
      <c r="A782">
        <v>79452</v>
      </c>
      <c r="B782">
        <v>135706599</v>
      </c>
      <c r="C782" t="s">
        <v>4646</v>
      </c>
      <c r="D782" t="s">
        <v>4647</v>
      </c>
      <c r="E782" t="s">
        <v>843</v>
      </c>
      <c r="F782" t="s">
        <v>844</v>
      </c>
      <c r="G782" t="s">
        <v>164</v>
      </c>
      <c r="H782" t="s">
        <v>165</v>
      </c>
      <c r="I782" t="s">
        <v>34</v>
      </c>
      <c r="J782" t="s">
        <v>166</v>
      </c>
      <c r="K782" t="s">
        <v>41</v>
      </c>
      <c r="L782" t="s">
        <v>542</v>
      </c>
      <c r="M782" t="s">
        <v>4648</v>
      </c>
      <c r="N782" t="s">
        <v>847</v>
      </c>
      <c r="O782" t="s">
        <v>100</v>
      </c>
      <c r="P782" t="s">
        <v>4649</v>
      </c>
      <c r="Q782" t="s">
        <v>54</v>
      </c>
      <c r="R782" t="s">
        <v>769</v>
      </c>
      <c r="S782">
        <v>3.32</v>
      </c>
      <c r="T782">
        <v>8008</v>
      </c>
      <c r="U782">
        <v>0</v>
      </c>
      <c r="V782">
        <v>8008</v>
      </c>
    </row>
    <row r="783" spans="1:22" x14ac:dyDescent="0.3">
      <c r="A783">
        <v>79452</v>
      </c>
      <c r="B783">
        <v>135792512</v>
      </c>
      <c r="C783" t="s">
        <v>4650</v>
      </c>
      <c r="D783" t="s">
        <v>4651</v>
      </c>
      <c r="E783" t="s">
        <v>843</v>
      </c>
      <c r="F783" t="s">
        <v>844</v>
      </c>
      <c r="G783" t="s">
        <v>164</v>
      </c>
      <c r="H783" t="s">
        <v>165</v>
      </c>
      <c r="I783" t="s">
        <v>34</v>
      </c>
      <c r="J783" t="s">
        <v>166</v>
      </c>
      <c r="K783" t="s">
        <v>41</v>
      </c>
      <c r="L783" t="s">
        <v>4652</v>
      </c>
      <c r="M783" t="s">
        <v>4653</v>
      </c>
      <c r="N783" t="s">
        <v>847</v>
      </c>
      <c r="O783" t="s">
        <v>100</v>
      </c>
      <c r="P783" t="s">
        <v>4654</v>
      </c>
      <c r="Q783" t="s">
        <v>55</v>
      </c>
      <c r="R783" t="s">
        <v>694</v>
      </c>
      <c r="S783">
        <v>1.56</v>
      </c>
      <c r="T783">
        <v>5198</v>
      </c>
      <c r="U783">
        <v>0</v>
      </c>
      <c r="V783">
        <v>5198</v>
      </c>
    </row>
    <row r="784" spans="1:22" x14ac:dyDescent="0.3">
      <c r="A784">
        <v>79452</v>
      </c>
      <c r="B784">
        <v>135902721</v>
      </c>
      <c r="C784" t="s">
        <v>4655</v>
      </c>
      <c r="D784" t="s">
        <v>4656</v>
      </c>
      <c r="E784" t="s">
        <v>843</v>
      </c>
      <c r="F784" t="s">
        <v>844</v>
      </c>
      <c r="G784" t="s">
        <v>164</v>
      </c>
      <c r="H784" t="s">
        <v>165</v>
      </c>
      <c r="I784" t="s">
        <v>34</v>
      </c>
      <c r="J784" t="s">
        <v>166</v>
      </c>
      <c r="K784" t="s">
        <v>41</v>
      </c>
      <c r="L784" t="s">
        <v>4657</v>
      </c>
      <c r="M784" t="s">
        <v>4658</v>
      </c>
      <c r="N784" t="s">
        <v>847</v>
      </c>
      <c r="O784" t="s">
        <v>100</v>
      </c>
      <c r="P784" t="s">
        <v>4659</v>
      </c>
      <c r="Q784" t="s">
        <v>84</v>
      </c>
      <c r="R784" t="s">
        <v>291</v>
      </c>
      <c r="S784">
        <v>1.2</v>
      </c>
      <c r="T784">
        <v>3366</v>
      </c>
      <c r="U784">
        <v>0</v>
      </c>
      <c r="V784">
        <v>3366</v>
      </c>
    </row>
    <row r="785" spans="1:22" x14ac:dyDescent="0.3">
      <c r="A785">
        <v>79452</v>
      </c>
      <c r="B785">
        <v>135980348</v>
      </c>
      <c r="C785" t="s">
        <v>4660</v>
      </c>
      <c r="D785" t="s">
        <v>4661</v>
      </c>
      <c r="E785" t="s">
        <v>843</v>
      </c>
      <c r="F785" t="s">
        <v>844</v>
      </c>
      <c r="G785" t="s">
        <v>164</v>
      </c>
      <c r="H785" t="s">
        <v>165</v>
      </c>
      <c r="I785" t="s">
        <v>34</v>
      </c>
      <c r="J785" t="s">
        <v>166</v>
      </c>
      <c r="K785" t="s">
        <v>41</v>
      </c>
      <c r="L785" t="s">
        <v>4662</v>
      </c>
      <c r="M785" t="s">
        <v>4663</v>
      </c>
      <c r="N785" t="s">
        <v>847</v>
      </c>
      <c r="O785" t="s">
        <v>100</v>
      </c>
      <c r="P785" t="s">
        <v>4664</v>
      </c>
      <c r="Q785" t="s">
        <v>63</v>
      </c>
      <c r="R785" t="s">
        <v>288</v>
      </c>
      <c r="S785">
        <v>1.26</v>
      </c>
      <c r="T785">
        <v>4067</v>
      </c>
      <c r="U785">
        <v>0</v>
      </c>
      <c r="V785">
        <v>4067</v>
      </c>
    </row>
    <row r="786" spans="1:22" x14ac:dyDescent="0.3">
      <c r="A786">
        <v>79452</v>
      </c>
      <c r="B786">
        <v>135844911</v>
      </c>
      <c r="C786" t="s">
        <v>4665</v>
      </c>
      <c r="D786" t="s">
        <v>4666</v>
      </c>
      <c r="E786" t="s">
        <v>843</v>
      </c>
      <c r="F786" t="s">
        <v>844</v>
      </c>
      <c r="G786" t="s">
        <v>164</v>
      </c>
      <c r="H786" t="s">
        <v>165</v>
      </c>
      <c r="I786" t="s">
        <v>34</v>
      </c>
      <c r="J786" t="s">
        <v>166</v>
      </c>
      <c r="K786" t="s">
        <v>41</v>
      </c>
      <c r="L786" t="s">
        <v>4667</v>
      </c>
      <c r="M786" t="s">
        <v>4668</v>
      </c>
      <c r="N786" t="s">
        <v>847</v>
      </c>
      <c r="O786" t="s">
        <v>100</v>
      </c>
      <c r="P786" t="s">
        <v>4669</v>
      </c>
      <c r="Q786" t="s">
        <v>50</v>
      </c>
      <c r="R786" t="s">
        <v>3877</v>
      </c>
      <c r="S786">
        <v>1</v>
      </c>
      <c r="T786">
        <v>3784</v>
      </c>
      <c r="U786">
        <v>0</v>
      </c>
      <c r="V786">
        <v>3784</v>
      </c>
    </row>
    <row r="787" spans="1:22" x14ac:dyDescent="0.3">
      <c r="A787">
        <v>79452</v>
      </c>
      <c r="B787">
        <v>135902813</v>
      </c>
      <c r="C787" t="s">
        <v>4670</v>
      </c>
      <c r="D787" t="s">
        <v>4671</v>
      </c>
      <c r="E787" t="s">
        <v>843</v>
      </c>
      <c r="F787" t="s">
        <v>844</v>
      </c>
      <c r="G787" t="s">
        <v>164</v>
      </c>
      <c r="H787" t="s">
        <v>165</v>
      </c>
      <c r="I787" t="s">
        <v>34</v>
      </c>
      <c r="J787" t="s">
        <v>166</v>
      </c>
      <c r="K787" t="s">
        <v>41</v>
      </c>
      <c r="L787" t="s">
        <v>4672</v>
      </c>
      <c r="M787" t="s">
        <v>4673</v>
      </c>
      <c r="N787" t="s">
        <v>847</v>
      </c>
      <c r="O787" t="s">
        <v>100</v>
      </c>
      <c r="P787" t="s">
        <v>4674</v>
      </c>
      <c r="Q787" t="s">
        <v>93</v>
      </c>
      <c r="R787" t="s">
        <v>763</v>
      </c>
      <c r="S787">
        <v>1</v>
      </c>
      <c r="T787">
        <v>3366</v>
      </c>
      <c r="U787">
        <v>0</v>
      </c>
      <c r="V787">
        <v>3366</v>
      </c>
    </row>
    <row r="788" spans="1:22" x14ac:dyDescent="0.3">
      <c r="A788">
        <v>79452</v>
      </c>
      <c r="B788">
        <v>135745400</v>
      </c>
      <c r="C788" t="s">
        <v>4675</v>
      </c>
      <c r="D788" t="s">
        <v>4676</v>
      </c>
      <c r="E788" t="s">
        <v>843</v>
      </c>
      <c r="F788" t="s">
        <v>844</v>
      </c>
      <c r="G788" t="s">
        <v>164</v>
      </c>
      <c r="H788" t="s">
        <v>165</v>
      </c>
      <c r="I788" t="s">
        <v>34</v>
      </c>
      <c r="J788" t="s">
        <v>166</v>
      </c>
      <c r="K788" t="s">
        <v>41</v>
      </c>
      <c r="L788" t="s">
        <v>4677</v>
      </c>
      <c r="M788" t="s">
        <v>4678</v>
      </c>
      <c r="N788" t="s">
        <v>847</v>
      </c>
      <c r="O788" t="s">
        <v>100</v>
      </c>
      <c r="P788" t="s">
        <v>4679</v>
      </c>
      <c r="Q788" t="s">
        <v>54</v>
      </c>
      <c r="R788" t="s">
        <v>535</v>
      </c>
      <c r="S788">
        <v>1.22</v>
      </c>
      <c r="T788">
        <v>5759</v>
      </c>
      <c r="U788">
        <v>0</v>
      </c>
      <c r="V788">
        <v>5759</v>
      </c>
    </row>
    <row r="789" spans="1:22" x14ac:dyDescent="0.3">
      <c r="A789">
        <v>79452</v>
      </c>
      <c r="B789">
        <v>135845030</v>
      </c>
      <c r="C789" t="s">
        <v>4680</v>
      </c>
      <c r="D789" t="s">
        <v>4681</v>
      </c>
      <c r="E789" t="s">
        <v>843</v>
      </c>
      <c r="F789" t="s">
        <v>844</v>
      </c>
      <c r="G789" t="s">
        <v>164</v>
      </c>
      <c r="H789" t="s">
        <v>165</v>
      </c>
      <c r="I789" t="s">
        <v>34</v>
      </c>
      <c r="J789" t="s">
        <v>166</v>
      </c>
      <c r="K789" t="s">
        <v>41</v>
      </c>
      <c r="L789" t="s">
        <v>4682</v>
      </c>
      <c r="M789" t="s">
        <v>4683</v>
      </c>
      <c r="N789" t="s">
        <v>847</v>
      </c>
      <c r="O789" t="s">
        <v>100</v>
      </c>
      <c r="P789" t="s">
        <v>4684</v>
      </c>
      <c r="Q789" t="s">
        <v>43</v>
      </c>
      <c r="R789" t="s">
        <v>503</v>
      </c>
      <c r="S789">
        <v>1.19</v>
      </c>
      <c r="T789">
        <v>3753</v>
      </c>
      <c r="U789">
        <v>0</v>
      </c>
      <c r="V789">
        <v>3753</v>
      </c>
    </row>
    <row r="790" spans="1:22" x14ac:dyDescent="0.3">
      <c r="A790">
        <v>79452</v>
      </c>
      <c r="B790">
        <v>135792507</v>
      </c>
      <c r="C790" t="s">
        <v>4685</v>
      </c>
      <c r="D790" t="s">
        <v>4686</v>
      </c>
      <c r="E790" t="s">
        <v>843</v>
      </c>
      <c r="F790" t="s">
        <v>844</v>
      </c>
      <c r="G790" t="s">
        <v>164</v>
      </c>
      <c r="H790" t="s">
        <v>165</v>
      </c>
      <c r="I790" t="s">
        <v>34</v>
      </c>
      <c r="J790" t="s">
        <v>166</v>
      </c>
      <c r="K790" t="s">
        <v>41</v>
      </c>
      <c r="L790" t="s">
        <v>4687</v>
      </c>
      <c r="M790" t="s">
        <v>4688</v>
      </c>
      <c r="N790" t="s">
        <v>847</v>
      </c>
      <c r="O790" t="s">
        <v>100</v>
      </c>
      <c r="P790" t="s">
        <v>4689</v>
      </c>
      <c r="Q790" t="s">
        <v>169</v>
      </c>
      <c r="R790" t="s">
        <v>694</v>
      </c>
      <c r="S790">
        <v>1.44</v>
      </c>
      <c r="T790">
        <v>4346</v>
      </c>
      <c r="U790">
        <v>0</v>
      </c>
      <c r="V790">
        <v>4346</v>
      </c>
    </row>
    <row r="791" spans="1:22" x14ac:dyDescent="0.3">
      <c r="A791">
        <v>79452</v>
      </c>
      <c r="B791">
        <v>135844981</v>
      </c>
      <c r="C791" t="s">
        <v>4690</v>
      </c>
      <c r="D791" t="s">
        <v>4691</v>
      </c>
      <c r="E791" t="s">
        <v>843</v>
      </c>
      <c r="F791" t="s">
        <v>844</v>
      </c>
      <c r="G791" t="s">
        <v>164</v>
      </c>
      <c r="H791" t="s">
        <v>165</v>
      </c>
      <c r="I791" t="s">
        <v>34</v>
      </c>
      <c r="J791" t="s">
        <v>166</v>
      </c>
      <c r="K791" t="s">
        <v>41</v>
      </c>
      <c r="L791" t="s">
        <v>4692</v>
      </c>
      <c r="M791" t="s">
        <v>4693</v>
      </c>
      <c r="N791" t="s">
        <v>847</v>
      </c>
      <c r="O791" t="s">
        <v>100</v>
      </c>
      <c r="P791" t="s">
        <v>4694</v>
      </c>
      <c r="Q791" t="s">
        <v>92</v>
      </c>
      <c r="R791" t="s">
        <v>3877</v>
      </c>
      <c r="S791">
        <v>1.84</v>
      </c>
      <c r="T791">
        <v>3366</v>
      </c>
      <c r="U791">
        <v>0</v>
      </c>
      <c r="V791">
        <v>3366</v>
      </c>
    </row>
    <row r="792" spans="1:22" x14ac:dyDescent="0.3">
      <c r="A792">
        <v>79452</v>
      </c>
      <c r="B792">
        <v>135980567</v>
      </c>
      <c r="C792" t="s">
        <v>4695</v>
      </c>
      <c r="D792" t="s">
        <v>4696</v>
      </c>
      <c r="E792" t="s">
        <v>843</v>
      </c>
      <c r="F792" t="s">
        <v>844</v>
      </c>
      <c r="G792" t="s">
        <v>164</v>
      </c>
      <c r="H792" t="s">
        <v>165</v>
      </c>
      <c r="I792" t="s">
        <v>34</v>
      </c>
      <c r="J792" t="s">
        <v>166</v>
      </c>
      <c r="K792" t="s">
        <v>41</v>
      </c>
      <c r="L792" t="s">
        <v>4697</v>
      </c>
      <c r="M792" t="s">
        <v>4698</v>
      </c>
      <c r="N792" t="s">
        <v>847</v>
      </c>
      <c r="O792" t="s">
        <v>100</v>
      </c>
      <c r="P792" t="s">
        <v>4699</v>
      </c>
      <c r="Q792" t="s">
        <v>84</v>
      </c>
      <c r="R792" t="s">
        <v>398</v>
      </c>
      <c r="S792">
        <v>1</v>
      </c>
      <c r="T792">
        <v>3366</v>
      </c>
      <c r="U792">
        <v>0</v>
      </c>
      <c r="V792">
        <v>3366</v>
      </c>
    </row>
    <row r="793" spans="1:22" x14ac:dyDescent="0.3">
      <c r="A793">
        <v>79452</v>
      </c>
      <c r="B793">
        <v>135902595</v>
      </c>
      <c r="C793" t="s">
        <v>4700</v>
      </c>
      <c r="D793" t="s">
        <v>4701</v>
      </c>
      <c r="E793" t="s">
        <v>843</v>
      </c>
      <c r="F793" t="s">
        <v>844</v>
      </c>
      <c r="G793" t="s">
        <v>164</v>
      </c>
      <c r="H793" t="s">
        <v>165</v>
      </c>
      <c r="I793" t="s">
        <v>34</v>
      </c>
      <c r="J793" t="s">
        <v>166</v>
      </c>
      <c r="K793" t="s">
        <v>41</v>
      </c>
      <c r="L793" t="s">
        <v>4702</v>
      </c>
      <c r="M793" t="s">
        <v>1790</v>
      </c>
      <c r="N793" t="s">
        <v>847</v>
      </c>
      <c r="O793" t="s">
        <v>100</v>
      </c>
      <c r="P793" t="s">
        <v>1791</v>
      </c>
      <c r="Q793" t="s">
        <v>83</v>
      </c>
      <c r="R793" t="s">
        <v>291</v>
      </c>
      <c r="S793">
        <v>2.06</v>
      </c>
      <c r="T793">
        <v>3366</v>
      </c>
      <c r="U793">
        <v>0</v>
      </c>
      <c r="V793">
        <v>3366</v>
      </c>
    </row>
    <row r="794" spans="1:22" x14ac:dyDescent="0.3">
      <c r="A794">
        <v>79452</v>
      </c>
      <c r="B794">
        <v>135706507</v>
      </c>
      <c r="C794" t="s">
        <v>4703</v>
      </c>
      <c r="D794" t="s">
        <v>4704</v>
      </c>
      <c r="E794" t="s">
        <v>843</v>
      </c>
      <c r="F794" t="s">
        <v>844</v>
      </c>
      <c r="G794" t="s">
        <v>164</v>
      </c>
      <c r="H794" t="s">
        <v>165</v>
      </c>
      <c r="I794" t="s">
        <v>34</v>
      </c>
      <c r="J794" t="s">
        <v>166</v>
      </c>
      <c r="K794" t="s">
        <v>41</v>
      </c>
      <c r="L794" t="s">
        <v>4705</v>
      </c>
      <c r="M794" t="s">
        <v>4706</v>
      </c>
      <c r="N794" t="s">
        <v>847</v>
      </c>
      <c r="O794" t="s">
        <v>100</v>
      </c>
      <c r="P794" t="s">
        <v>4707</v>
      </c>
      <c r="Q794" t="s">
        <v>229</v>
      </c>
      <c r="R794" t="s">
        <v>3482</v>
      </c>
      <c r="S794">
        <v>1.9</v>
      </c>
      <c r="T794">
        <v>4067</v>
      </c>
      <c r="U794">
        <v>0</v>
      </c>
      <c r="V794">
        <v>4067</v>
      </c>
    </row>
    <row r="795" spans="1:22" x14ac:dyDescent="0.3">
      <c r="A795">
        <v>79452</v>
      </c>
      <c r="B795">
        <v>135706390</v>
      </c>
      <c r="C795" t="s">
        <v>4708</v>
      </c>
      <c r="D795" t="s">
        <v>4709</v>
      </c>
      <c r="E795" t="s">
        <v>843</v>
      </c>
      <c r="F795" t="s">
        <v>844</v>
      </c>
      <c r="G795" t="s">
        <v>164</v>
      </c>
      <c r="H795" t="s">
        <v>165</v>
      </c>
      <c r="I795" t="s">
        <v>34</v>
      </c>
      <c r="J795" t="s">
        <v>166</v>
      </c>
      <c r="K795" t="s">
        <v>41</v>
      </c>
      <c r="L795" t="s">
        <v>4710</v>
      </c>
      <c r="M795" t="s">
        <v>4711</v>
      </c>
      <c r="N795" t="s">
        <v>847</v>
      </c>
      <c r="O795" t="s">
        <v>100</v>
      </c>
      <c r="P795" t="s">
        <v>4712</v>
      </c>
      <c r="Q795" t="s">
        <v>54</v>
      </c>
      <c r="R795" t="s">
        <v>3482</v>
      </c>
      <c r="S795">
        <v>1.94</v>
      </c>
      <c r="T795">
        <v>5759</v>
      </c>
      <c r="U795">
        <v>0</v>
      </c>
      <c r="V795">
        <v>5759</v>
      </c>
    </row>
    <row r="796" spans="1:22" x14ac:dyDescent="0.3">
      <c r="A796">
        <v>79452</v>
      </c>
      <c r="B796">
        <v>135706369</v>
      </c>
      <c r="C796" t="s">
        <v>4713</v>
      </c>
      <c r="D796" t="s">
        <v>4714</v>
      </c>
      <c r="E796" t="s">
        <v>843</v>
      </c>
      <c r="F796" t="s">
        <v>844</v>
      </c>
      <c r="G796" t="s">
        <v>164</v>
      </c>
      <c r="H796" t="s">
        <v>165</v>
      </c>
      <c r="I796" t="s">
        <v>34</v>
      </c>
      <c r="J796" t="s">
        <v>166</v>
      </c>
      <c r="K796" t="s">
        <v>41</v>
      </c>
      <c r="L796" t="s">
        <v>4710</v>
      </c>
      <c r="M796" t="s">
        <v>4715</v>
      </c>
      <c r="N796" t="s">
        <v>847</v>
      </c>
      <c r="O796" t="s">
        <v>100</v>
      </c>
      <c r="P796" t="s">
        <v>4712</v>
      </c>
      <c r="Q796" t="s">
        <v>54</v>
      </c>
      <c r="R796" t="s">
        <v>3482</v>
      </c>
      <c r="S796">
        <v>1.53</v>
      </c>
      <c r="T796">
        <v>5759</v>
      </c>
      <c r="U796">
        <v>0</v>
      </c>
      <c r="V796">
        <v>5759</v>
      </c>
    </row>
    <row r="797" spans="1:22" x14ac:dyDescent="0.3">
      <c r="A797">
        <v>79452</v>
      </c>
      <c r="B797">
        <v>135792469</v>
      </c>
      <c r="C797" t="s">
        <v>4716</v>
      </c>
      <c r="D797" t="s">
        <v>4717</v>
      </c>
      <c r="E797" t="s">
        <v>843</v>
      </c>
      <c r="F797" t="s">
        <v>844</v>
      </c>
      <c r="G797" t="s">
        <v>164</v>
      </c>
      <c r="H797" t="s">
        <v>165</v>
      </c>
      <c r="I797" t="s">
        <v>34</v>
      </c>
      <c r="J797" t="s">
        <v>166</v>
      </c>
      <c r="K797" t="s">
        <v>41</v>
      </c>
      <c r="L797" t="s">
        <v>4718</v>
      </c>
      <c r="M797" t="s">
        <v>4719</v>
      </c>
      <c r="N797" t="s">
        <v>847</v>
      </c>
      <c r="O797" t="s">
        <v>100</v>
      </c>
      <c r="P797" t="s">
        <v>4720</v>
      </c>
      <c r="Q797" t="s">
        <v>60</v>
      </c>
      <c r="R797" t="s">
        <v>694</v>
      </c>
      <c r="S797">
        <v>1.98</v>
      </c>
      <c r="T797">
        <v>4346</v>
      </c>
      <c r="U797">
        <v>0</v>
      </c>
      <c r="V797">
        <v>4346</v>
      </c>
    </row>
    <row r="798" spans="1:22" x14ac:dyDescent="0.3">
      <c r="A798">
        <v>79452</v>
      </c>
      <c r="B798">
        <v>135980414</v>
      </c>
      <c r="C798" t="s">
        <v>4721</v>
      </c>
      <c r="D798" t="s">
        <v>4722</v>
      </c>
      <c r="E798" t="s">
        <v>843</v>
      </c>
      <c r="F798" t="s">
        <v>844</v>
      </c>
      <c r="G798" t="s">
        <v>164</v>
      </c>
      <c r="H798" t="s">
        <v>165</v>
      </c>
      <c r="I798" t="s">
        <v>34</v>
      </c>
      <c r="J798" t="s">
        <v>166</v>
      </c>
      <c r="K798" t="s">
        <v>41</v>
      </c>
      <c r="L798" t="s">
        <v>4723</v>
      </c>
      <c r="M798" t="s">
        <v>4724</v>
      </c>
      <c r="N798" t="s">
        <v>847</v>
      </c>
      <c r="O798" t="s">
        <v>100</v>
      </c>
      <c r="P798" t="s">
        <v>4725</v>
      </c>
      <c r="Q798" t="s">
        <v>74</v>
      </c>
      <c r="R798" t="s">
        <v>288</v>
      </c>
      <c r="S798">
        <v>1</v>
      </c>
      <c r="T798">
        <v>3753</v>
      </c>
      <c r="U798">
        <v>0</v>
      </c>
      <c r="V798">
        <v>3753</v>
      </c>
    </row>
    <row r="799" spans="1:22" x14ac:dyDescent="0.3">
      <c r="A799">
        <v>79452</v>
      </c>
      <c r="B799">
        <v>135902780</v>
      </c>
      <c r="C799" t="s">
        <v>4726</v>
      </c>
      <c r="D799" t="s">
        <v>4727</v>
      </c>
      <c r="E799" t="s">
        <v>843</v>
      </c>
      <c r="F799" t="s">
        <v>844</v>
      </c>
      <c r="G799" t="s">
        <v>164</v>
      </c>
      <c r="H799" t="s">
        <v>165</v>
      </c>
      <c r="I799" t="s">
        <v>34</v>
      </c>
      <c r="J799" t="s">
        <v>166</v>
      </c>
      <c r="K799" t="s">
        <v>41</v>
      </c>
      <c r="L799" t="s">
        <v>4728</v>
      </c>
      <c r="M799" t="s">
        <v>4729</v>
      </c>
      <c r="N799" t="s">
        <v>847</v>
      </c>
      <c r="O799" t="s">
        <v>100</v>
      </c>
      <c r="P799" t="s">
        <v>4730</v>
      </c>
      <c r="Q799" t="s">
        <v>69</v>
      </c>
      <c r="R799" t="s">
        <v>763</v>
      </c>
      <c r="S799">
        <v>1</v>
      </c>
      <c r="T799">
        <v>3753</v>
      </c>
      <c r="U799">
        <v>0</v>
      </c>
      <c r="V799">
        <v>3753</v>
      </c>
    </row>
    <row r="800" spans="1:22" x14ac:dyDescent="0.3">
      <c r="A800">
        <v>79452</v>
      </c>
      <c r="B800">
        <v>135844969</v>
      </c>
      <c r="C800" t="s">
        <v>4731</v>
      </c>
      <c r="D800" t="s">
        <v>4732</v>
      </c>
      <c r="E800" t="s">
        <v>843</v>
      </c>
      <c r="F800" t="s">
        <v>844</v>
      </c>
      <c r="G800" t="s">
        <v>164</v>
      </c>
      <c r="H800" t="s">
        <v>165</v>
      </c>
      <c r="I800" t="s">
        <v>34</v>
      </c>
      <c r="J800" t="s">
        <v>166</v>
      </c>
      <c r="K800" t="s">
        <v>41</v>
      </c>
      <c r="L800" t="s">
        <v>4733</v>
      </c>
      <c r="M800" t="s">
        <v>4734</v>
      </c>
      <c r="N800" t="s">
        <v>847</v>
      </c>
      <c r="O800" t="s">
        <v>100</v>
      </c>
      <c r="P800" t="s">
        <v>4735</v>
      </c>
      <c r="Q800" t="s">
        <v>71</v>
      </c>
      <c r="R800" t="s">
        <v>3877</v>
      </c>
      <c r="S800">
        <v>1.63</v>
      </c>
      <c r="T800">
        <v>3501</v>
      </c>
      <c r="U800">
        <v>0</v>
      </c>
      <c r="V800">
        <v>3501</v>
      </c>
    </row>
    <row r="801" spans="1:22" x14ac:dyDescent="0.3">
      <c r="A801">
        <v>79452</v>
      </c>
      <c r="B801">
        <v>135745441</v>
      </c>
      <c r="C801" t="s">
        <v>4736</v>
      </c>
      <c r="D801" t="s">
        <v>4737</v>
      </c>
      <c r="E801" t="s">
        <v>843</v>
      </c>
      <c r="F801" t="s">
        <v>844</v>
      </c>
      <c r="G801" t="s">
        <v>164</v>
      </c>
      <c r="H801" t="s">
        <v>165</v>
      </c>
      <c r="I801" t="s">
        <v>34</v>
      </c>
      <c r="J801" t="s">
        <v>166</v>
      </c>
      <c r="K801" t="s">
        <v>41</v>
      </c>
      <c r="L801" t="s">
        <v>4738</v>
      </c>
      <c r="M801" t="s">
        <v>4739</v>
      </c>
      <c r="N801" t="s">
        <v>847</v>
      </c>
      <c r="O801" t="s">
        <v>100</v>
      </c>
      <c r="P801" t="s">
        <v>2439</v>
      </c>
      <c r="Q801" t="s">
        <v>71</v>
      </c>
      <c r="R801" t="s">
        <v>738</v>
      </c>
      <c r="S801">
        <v>2.36</v>
      </c>
      <c r="T801">
        <v>3501</v>
      </c>
      <c r="U801">
        <v>0</v>
      </c>
      <c r="V801">
        <v>3501</v>
      </c>
    </row>
    <row r="802" spans="1:22" x14ac:dyDescent="0.3">
      <c r="A802">
        <v>79452</v>
      </c>
      <c r="B802">
        <v>135902806</v>
      </c>
      <c r="C802" t="s">
        <v>4740</v>
      </c>
      <c r="D802" t="s">
        <v>4741</v>
      </c>
      <c r="E802" t="s">
        <v>843</v>
      </c>
      <c r="F802" t="s">
        <v>844</v>
      </c>
      <c r="G802" t="s">
        <v>164</v>
      </c>
      <c r="H802" t="s">
        <v>165</v>
      </c>
      <c r="I802" t="s">
        <v>34</v>
      </c>
      <c r="J802" t="s">
        <v>166</v>
      </c>
      <c r="K802" t="s">
        <v>44</v>
      </c>
      <c r="L802" t="s">
        <v>188</v>
      </c>
      <c r="M802" t="s">
        <v>4742</v>
      </c>
      <c r="N802" t="s">
        <v>847</v>
      </c>
      <c r="O802" t="s">
        <v>100</v>
      </c>
      <c r="P802" t="s">
        <v>4743</v>
      </c>
      <c r="Q802" t="s">
        <v>84</v>
      </c>
      <c r="R802" t="s">
        <v>763</v>
      </c>
      <c r="S802">
        <v>1</v>
      </c>
      <c r="T802">
        <v>3366</v>
      </c>
      <c r="U802">
        <v>0</v>
      </c>
      <c r="V802">
        <v>3366</v>
      </c>
    </row>
    <row r="803" spans="1:22" x14ac:dyDescent="0.3">
      <c r="A803">
        <v>79452</v>
      </c>
      <c r="B803">
        <v>135902802</v>
      </c>
      <c r="C803" t="s">
        <v>4744</v>
      </c>
      <c r="D803" t="s">
        <v>4745</v>
      </c>
      <c r="E803" t="s">
        <v>843</v>
      </c>
      <c r="F803" t="s">
        <v>844</v>
      </c>
      <c r="G803" t="s">
        <v>164</v>
      </c>
      <c r="H803" t="s">
        <v>165</v>
      </c>
      <c r="I803" t="s">
        <v>34</v>
      </c>
      <c r="J803" t="s">
        <v>166</v>
      </c>
      <c r="K803" t="s">
        <v>41</v>
      </c>
      <c r="L803" t="s">
        <v>4746</v>
      </c>
      <c r="M803" t="s">
        <v>4747</v>
      </c>
      <c r="N803" t="s">
        <v>847</v>
      </c>
      <c r="O803" t="s">
        <v>100</v>
      </c>
      <c r="P803" t="s">
        <v>4748</v>
      </c>
      <c r="Q803" t="s">
        <v>69</v>
      </c>
      <c r="R803" t="s">
        <v>763</v>
      </c>
      <c r="S803">
        <v>1.39</v>
      </c>
      <c r="T803">
        <v>3753</v>
      </c>
      <c r="U803">
        <v>0</v>
      </c>
      <c r="V803">
        <v>3753</v>
      </c>
    </row>
    <row r="804" spans="1:22" x14ac:dyDescent="0.3">
      <c r="A804">
        <v>79452</v>
      </c>
      <c r="B804">
        <v>135980388</v>
      </c>
      <c r="C804" t="s">
        <v>4749</v>
      </c>
      <c r="D804" t="s">
        <v>4750</v>
      </c>
      <c r="E804" t="s">
        <v>843</v>
      </c>
      <c r="F804" t="s">
        <v>844</v>
      </c>
      <c r="G804" t="s">
        <v>164</v>
      </c>
      <c r="H804" t="s">
        <v>165</v>
      </c>
      <c r="I804" t="s">
        <v>34</v>
      </c>
      <c r="J804" t="s">
        <v>166</v>
      </c>
      <c r="K804" t="s">
        <v>41</v>
      </c>
      <c r="L804" t="s">
        <v>4751</v>
      </c>
      <c r="M804" t="s">
        <v>4752</v>
      </c>
      <c r="N804" t="s">
        <v>847</v>
      </c>
      <c r="O804" t="s">
        <v>100</v>
      </c>
      <c r="P804" t="s">
        <v>4753</v>
      </c>
      <c r="Q804" t="s">
        <v>84</v>
      </c>
      <c r="R804" t="s">
        <v>288</v>
      </c>
      <c r="S804">
        <v>2.02</v>
      </c>
      <c r="T804">
        <v>3366</v>
      </c>
      <c r="U804">
        <v>0</v>
      </c>
      <c r="V804">
        <v>3366</v>
      </c>
    </row>
    <row r="805" spans="1:22" x14ac:dyDescent="0.3">
      <c r="A805">
        <v>79452</v>
      </c>
      <c r="B805">
        <v>135745355</v>
      </c>
      <c r="C805" t="s">
        <v>4754</v>
      </c>
      <c r="D805" t="s">
        <v>4755</v>
      </c>
      <c r="E805" t="s">
        <v>843</v>
      </c>
      <c r="F805" t="s">
        <v>844</v>
      </c>
      <c r="G805" t="s">
        <v>164</v>
      </c>
      <c r="H805" t="s">
        <v>165</v>
      </c>
      <c r="I805" t="s">
        <v>34</v>
      </c>
      <c r="J805" t="s">
        <v>166</v>
      </c>
      <c r="K805" t="s">
        <v>41</v>
      </c>
      <c r="L805" t="s">
        <v>4756</v>
      </c>
      <c r="M805" t="s">
        <v>4757</v>
      </c>
      <c r="N805" t="s">
        <v>847</v>
      </c>
      <c r="O805" t="s">
        <v>100</v>
      </c>
      <c r="P805" t="s">
        <v>4758</v>
      </c>
      <c r="Q805" t="s">
        <v>57</v>
      </c>
      <c r="R805" t="s">
        <v>535</v>
      </c>
      <c r="S805">
        <v>12.82</v>
      </c>
      <c r="T805">
        <v>13930</v>
      </c>
      <c r="U805">
        <v>0</v>
      </c>
      <c r="V805">
        <v>13930</v>
      </c>
    </row>
    <row r="806" spans="1:22" x14ac:dyDescent="0.3">
      <c r="A806">
        <v>79452</v>
      </c>
      <c r="B806">
        <v>135792492</v>
      </c>
      <c r="C806" t="s">
        <v>4759</v>
      </c>
      <c r="D806" t="s">
        <v>4760</v>
      </c>
      <c r="E806" t="s">
        <v>843</v>
      </c>
      <c r="F806" t="s">
        <v>844</v>
      </c>
      <c r="G806" t="s">
        <v>164</v>
      </c>
      <c r="H806" t="s">
        <v>165</v>
      </c>
      <c r="I806" t="s">
        <v>34</v>
      </c>
      <c r="J806" t="s">
        <v>166</v>
      </c>
      <c r="K806" t="s">
        <v>41</v>
      </c>
      <c r="L806" t="s">
        <v>4761</v>
      </c>
      <c r="M806" t="s">
        <v>4762</v>
      </c>
      <c r="N806" t="s">
        <v>847</v>
      </c>
      <c r="O806" t="s">
        <v>100</v>
      </c>
      <c r="P806" t="s">
        <v>4763</v>
      </c>
      <c r="Q806" t="s">
        <v>215</v>
      </c>
      <c r="R806" t="s">
        <v>694</v>
      </c>
      <c r="S806">
        <v>1.21</v>
      </c>
      <c r="T806">
        <v>4067</v>
      </c>
      <c r="U806">
        <v>0</v>
      </c>
      <c r="V806">
        <v>4067</v>
      </c>
    </row>
    <row r="807" spans="1:22" x14ac:dyDescent="0.3">
      <c r="A807">
        <v>79452</v>
      </c>
      <c r="B807">
        <v>135666487</v>
      </c>
      <c r="C807" t="s">
        <v>4764</v>
      </c>
      <c r="D807" t="s">
        <v>4765</v>
      </c>
      <c r="E807" t="s">
        <v>843</v>
      </c>
      <c r="F807" t="s">
        <v>844</v>
      </c>
      <c r="G807" t="s">
        <v>164</v>
      </c>
      <c r="H807" t="s">
        <v>165</v>
      </c>
      <c r="I807" t="s">
        <v>34</v>
      </c>
      <c r="J807" t="s">
        <v>166</v>
      </c>
      <c r="K807" t="s">
        <v>41</v>
      </c>
      <c r="L807" t="s">
        <v>4766</v>
      </c>
      <c r="M807" t="s">
        <v>4767</v>
      </c>
      <c r="N807" t="s">
        <v>847</v>
      </c>
      <c r="O807" t="s">
        <v>100</v>
      </c>
      <c r="P807" t="s">
        <v>4768</v>
      </c>
      <c r="Q807" t="s">
        <v>65</v>
      </c>
      <c r="R807" t="s">
        <v>4769</v>
      </c>
      <c r="S807">
        <v>0.77</v>
      </c>
      <c r="T807">
        <v>4067</v>
      </c>
      <c r="U807">
        <v>0</v>
      </c>
      <c r="V807">
        <v>4067</v>
      </c>
    </row>
    <row r="808" spans="1:22" x14ac:dyDescent="0.3">
      <c r="A808">
        <v>79452</v>
      </c>
      <c r="B808">
        <v>135745391</v>
      </c>
      <c r="C808" t="s">
        <v>4770</v>
      </c>
      <c r="D808" t="s">
        <v>4771</v>
      </c>
      <c r="E808" t="s">
        <v>843</v>
      </c>
      <c r="F808" t="s">
        <v>844</v>
      </c>
      <c r="G808" t="s">
        <v>164</v>
      </c>
      <c r="H808" t="s">
        <v>165</v>
      </c>
      <c r="I808" t="s">
        <v>34</v>
      </c>
      <c r="J808" t="s">
        <v>166</v>
      </c>
      <c r="K808" t="s">
        <v>41</v>
      </c>
      <c r="L808" t="s">
        <v>4772</v>
      </c>
      <c r="M808" t="s">
        <v>4773</v>
      </c>
      <c r="N808" t="s">
        <v>847</v>
      </c>
      <c r="O808" t="s">
        <v>100</v>
      </c>
      <c r="P808" t="s">
        <v>4774</v>
      </c>
      <c r="Q808" t="s">
        <v>55</v>
      </c>
      <c r="R808" t="s">
        <v>535</v>
      </c>
      <c r="S808">
        <v>0.97</v>
      </c>
      <c r="T808">
        <v>5198</v>
      </c>
      <c r="U808">
        <v>0</v>
      </c>
      <c r="V808">
        <v>5198</v>
      </c>
    </row>
    <row r="809" spans="1:22" x14ac:dyDescent="0.3">
      <c r="A809">
        <v>79452</v>
      </c>
      <c r="B809">
        <v>135902722</v>
      </c>
      <c r="C809" t="s">
        <v>4775</v>
      </c>
      <c r="D809" t="s">
        <v>4776</v>
      </c>
      <c r="E809" t="s">
        <v>843</v>
      </c>
      <c r="F809" t="s">
        <v>844</v>
      </c>
      <c r="G809" t="s">
        <v>164</v>
      </c>
      <c r="H809" t="s">
        <v>165</v>
      </c>
      <c r="I809" t="s">
        <v>34</v>
      </c>
      <c r="J809" t="s">
        <v>166</v>
      </c>
      <c r="K809" t="s">
        <v>41</v>
      </c>
      <c r="L809" t="s">
        <v>4777</v>
      </c>
      <c r="M809" t="s">
        <v>636</v>
      </c>
      <c r="N809" t="s">
        <v>847</v>
      </c>
      <c r="O809" t="s">
        <v>100</v>
      </c>
      <c r="P809" t="s">
        <v>4778</v>
      </c>
      <c r="Q809" t="s">
        <v>127</v>
      </c>
      <c r="R809" t="s">
        <v>291</v>
      </c>
      <c r="S809">
        <v>1</v>
      </c>
      <c r="T809">
        <v>4542</v>
      </c>
      <c r="U809">
        <v>0</v>
      </c>
      <c r="V809">
        <v>4542</v>
      </c>
    </row>
    <row r="810" spans="1:22" x14ac:dyDescent="0.3">
      <c r="A810">
        <v>79452</v>
      </c>
      <c r="B810">
        <v>135980423</v>
      </c>
      <c r="C810" t="s">
        <v>4779</v>
      </c>
      <c r="D810" t="s">
        <v>4780</v>
      </c>
      <c r="E810" t="s">
        <v>843</v>
      </c>
      <c r="F810" t="s">
        <v>844</v>
      </c>
      <c r="G810" t="s">
        <v>164</v>
      </c>
      <c r="H810" t="s">
        <v>165</v>
      </c>
      <c r="I810" t="s">
        <v>34</v>
      </c>
      <c r="J810" t="s">
        <v>166</v>
      </c>
      <c r="K810" t="s">
        <v>41</v>
      </c>
      <c r="L810" t="s">
        <v>4781</v>
      </c>
      <c r="M810" t="s">
        <v>4782</v>
      </c>
      <c r="N810" t="s">
        <v>847</v>
      </c>
      <c r="O810" t="s">
        <v>100</v>
      </c>
      <c r="P810" t="s">
        <v>4783</v>
      </c>
      <c r="Q810" t="s">
        <v>71</v>
      </c>
      <c r="R810" t="s">
        <v>288</v>
      </c>
      <c r="S810">
        <v>1.76</v>
      </c>
      <c r="T810">
        <v>3501</v>
      </c>
      <c r="U810">
        <v>0</v>
      </c>
      <c r="V810">
        <v>3501</v>
      </c>
    </row>
    <row r="811" spans="1:22" x14ac:dyDescent="0.3">
      <c r="A811">
        <v>79452</v>
      </c>
      <c r="B811">
        <v>135792468</v>
      </c>
      <c r="C811" t="s">
        <v>4784</v>
      </c>
      <c r="D811" t="s">
        <v>4785</v>
      </c>
      <c r="E811" t="s">
        <v>843</v>
      </c>
      <c r="F811" t="s">
        <v>844</v>
      </c>
      <c r="G811" t="s">
        <v>164</v>
      </c>
      <c r="H811" t="s">
        <v>165</v>
      </c>
      <c r="I811" t="s">
        <v>34</v>
      </c>
      <c r="J811" t="s">
        <v>166</v>
      </c>
      <c r="K811" t="s">
        <v>41</v>
      </c>
      <c r="L811" t="s">
        <v>4786</v>
      </c>
      <c r="M811" t="s">
        <v>4787</v>
      </c>
      <c r="N811" t="s">
        <v>847</v>
      </c>
      <c r="O811" t="s">
        <v>100</v>
      </c>
      <c r="P811" t="s">
        <v>4788</v>
      </c>
      <c r="Q811" t="s">
        <v>55</v>
      </c>
      <c r="R811" t="s">
        <v>694</v>
      </c>
      <c r="S811">
        <v>1.03</v>
      </c>
      <c r="T811">
        <v>5198</v>
      </c>
      <c r="U811">
        <v>0</v>
      </c>
      <c r="V811">
        <v>5198</v>
      </c>
    </row>
    <row r="812" spans="1:22" x14ac:dyDescent="0.3">
      <c r="A812">
        <v>79452</v>
      </c>
      <c r="B812">
        <v>135745378</v>
      </c>
      <c r="C812" t="s">
        <v>4789</v>
      </c>
      <c r="D812" t="s">
        <v>4790</v>
      </c>
      <c r="E812" t="s">
        <v>843</v>
      </c>
      <c r="F812" t="s">
        <v>844</v>
      </c>
      <c r="G812" t="s">
        <v>164</v>
      </c>
      <c r="H812" t="s">
        <v>165</v>
      </c>
      <c r="I812" t="s">
        <v>34</v>
      </c>
      <c r="J812" t="s">
        <v>166</v>
      </c>
      <c r="K812" t="s">
        <v>41</v>
      </c>
      <c r="L812" t="s">
        <v>4791</v>
      </c>
      <c r="M812" t="s">
        <v>4792</v>
      </c>
      <c r="N812" t="s">
        <v>847</v>
      </c>
      <c r="O812" t="s">
        <v>100</v>
      </c>
      <c r="P812" t="s">
        <v>4793</v>
      </c>
      <c r="Q812" t="s">
        <v>83</v>
      </c>
      <c r="R812" t="s">
        <v>535</v>
      </c>
      <c r="S812">
        <v>1.23</v>
      </c>
      <c r="T812">
        <v>3366</v>
      </c>
      <c r="U812">
        <v>0</v>
      </c>
      <c r="V812">
        <v>3366</v>
      </c>
    </row>
    <row r="813" spans="1:22" x14ac:dyDescent="0.3">
      <c r="A813">
        <v>79452</v>
      </c>
      <c r="B813">
        <v>135524091</v>
      </c>
      <c r="C813" t="s">
        <v>4794</v>
      </c>
      <c r="D813" t="s">
        <v>4795</v>
      </c>
      <c r="E813" t="s">
        <v>843</v>
      </c>
      <c r="F813" t="s">
        <v>844</v>
      </c>
      <c r="G813" t="s">
        <v>164</v>
      </c>
      <c r="H813" t="s">
        <v>165</v>
      </c>
      <c r="I813" t="s">
        <v>34</v>
      </c>
      <c r="J813" t="s">
        <v>166</v>
      </c>
      <c r="K813" t="s">
        <v>41</v>
      </c>
      <c r="L813" t="s">
        <v>4796</v>
      </c>
      <c r="M813" t="s">
        <v>4797</v>
      </c>
      <c r="N813" t="s">
        <v>847</v>
      </c>
      <c r="O813" t="s">
        <v>100</v>
      </c>
      <c r="P813" t="s">
        <v>4798</v>
      </c>
      <c r="Q813" t="s">
        <v>52</v>
      </c>
      <c r="R813" t="s">
        <v>730</v>
      </c>
      <c r="S813">
        <v>1</v>
      </c>
      <c r="T813">
        <v>5759</v>
      </c>
      <c r="U813">
        <v>0</v>
      </c>
      <c r="V813">
        <v>5759</v>
      </c>
    </row>
    <row r="814" spans="1:22" x14ac:dyDescent="0.3">
      <c r="A814">
        <v>79452</v>
      </c>
      <c r="B814">
        <v>135672400</v>
      </c>
      <c r="C814" t="s">
        <v>4799</v>
      </c>
      <c r="D814" t="s">
        <v>4800</v>
      </c>
      <c r="E814" t="s">
        <v>843</v>
      </c>
      <c r="F814" t="s">
        <v>844</v>
      </c>
      <c r="G814" t="s">
        <v>164</v>
      </c>
      <c r="H814" t="s">
        <v>165</v>
      </c>
      <c r="I814" t="s">
        <v>34</v>
      </c>
      <c r="J814" t="s">
        <v>166</v>
      </c>
      <c r="K814" t="s">
        <v>41</v>
      </c>
      <c r="L814" t="s">
        <v>4801</v>
      </c>
      <c r="M814" t="s">
        <v>330</v>
      </c>
      <c r="N814" t="s">
        <v>847</v>
      </c>
      <c r="O814" t="s">
        <v>100</v>
      </c>
      <c r="P814" t="s">
        <v>4802</v>
      </c>
      <c r="Q814" t="s">
        <v>70</v>
      </c>
      <c r="R814" t="s">
        <v>695</v>
      </c>
      <c r="S814">
        <v>1</v>
      </c>
      <c r="T814">
        <v>3501</v>
      </c>
      <c r="U814">
        <v>0</v>
      </c>
      <c r="V814">
        <v>3501</v>
      </c>
    </row>
    <row r="815" spans="1:22" x14ac:dyDescent="0.3">
      <c r="A815">
        <v>79452</v>
      </c>
      <c r="B815">
        <v>135845050</v>
      </c>
      <c r="C815" t="s">
        <v>4803</v>
      </c>
      <c r="D815" t="s">
        <v>4804</v>
      </c>
      <c r="E815" t="s">
        <v>843</v>
      </c>
      <c r="F815" t="s">
        <v>844</v>
      </c>
      <c r="G815" t="s">
        <v>164</v>
      </c>
      <c r="H815" t="s">
        <v>165</v>
      </c>
      <c r="I815" t="s">
        <v>34</v>
      </c>
      <c r="J815" t="s">
        <v>166</v>
      </c>
      <c r="K815" t="s">
        <v>44</v>
      </c>
      <c r="L815" t="s">
        <v>188</v>
      </c>
      <c r="M815" t="s">
        <v>4805</v>
      </c>
      <c r="N815" t="s">
        <v>847</v>
      </c>
      <c r="O815" t="s">
        <v>100</v>
      </c>
      <c r="P815" t="s">
        <v>4806</v>
      </c>
      <c r="Q815" t="s">
        <v>63</v>
      </c>
      <c r="R815" t="s">
        <v>503</v>
      </c>
      <c r="S815">
        <v>1.91</v>
      </c>
      <c r="T815">
        <v>4067</v>
      </c>
      <c r="U815">
        <v>0</v>
      </c>
      <c r="V815">
        <v>4067</v>
      </c>
    </row>
    <row r="816" spans="1:22" x14ac:dyDescent="0.3">
      <c r="A816">
        <v>79452</v>
      </c>
      <c r="B816">
        <v>135844968</v>
      </c>
      <c r="C816" t="s">
        <v>4807</v>
      </c>
      <c r="D816" t="s">
        <v>4808</v>
      </c>
      <c r="E816" t="s">
        <v>843</v>
      </c>
      <c r="F816" t="s">
        <v>844</v>
      </c>
      <c r="G816" t="s">
        <v>164</v>
      </c>
      <c r="H816" t="s">
        <v>165</v>
      </c>
      <c r="I816" t="s">
        <v>34</v>
      </c>
      <c r="J816" t="s">
        <v>166</v>
      </c>
      <c r="K816" t="s">
        <v>41</v>
      </c>
      <c r="L816" t="s">
        <v>4809</v>
      </c>
      <c r="M816" t="s">
        <v>4810</v>
      </c>
      <c r="N816" t="s">
        <v>847</v>
      </c>
      <c r="O816" t="s">
        <v>100</v>
      </c>
      <c r="P816" t="s">
        <v>4811</v>
      </c>
      <c r="Q816" t="s">
        <v>50</v>
      </c>
      <c r="R816" t="s">
        <v>3877</v>
      </c>
      <c r="S816">
        <v>1.38</v>
      </c>
      <c r="T816">
        <v>3784</v>
      </c>
      <c r="U816">
        <v>0</v>
      </c>
      <c r="V816">
        <v>3784</v>
      </c>
    </row>
    <row r="817" spans="1:22" x14ac:dyDescent="0.3">
      <c r="A817">
        <v>79452</v>
      </c>
      <c r="B817">
        <v>135792509</v>
      </c>
      <c r="C817" t="s">
        <v>4812</v>
      </c>
      <c r="D817" t="s">
        <v>4813</v>
      </c>
      <c r="E817" t="s">
        <v>843</v>
      </c>
      <c r="F817" t="s">
        <v>844</v>
      </c>
      <c r="G817" t="s">
        <v>164</v>
      </c>
      <c r="H817" t="s">
        <v>165</v>
      </c>
      <c r="I817" t="s">
        <v>34</v>
      </c>
      <c r="J817" t="s">
        <v>166</v>
      </c>
      <c r="K817" t="s">
        <v>41</v>
      </c>
      <c r="L817" t="s">
        <v>4814</v>
      </c>
      <c r="M817" t="s">
        <v>3440</v>
      </c>
      <c r="N817" t="s">
        <v>847</v>
      </c>
      <c r="O817" t="s">
        <v>100</v>
      </c>
      <c r="P817" t="s">
        <v>3441</v>
      </c>
      <c r="Q817" t="s">
        <v>94</v>
      </c>
      <c r="R817" t="s">
        <v>694</v>
      </c>
      <c r="S817">
        <v>1.98</v>
      </c>
      <c r="T817">
        <v>3366</v>
      </c>
      <c r="U817">
        <v>0</v>
      </c>
      <c r="V817">
        <v>3366</v>
      </c>
    </row>
    <row r="818" spans="1:22" x14ac:dyDescent="0.3">
      <c r="A818">
        <v>79452</v>
      </c>
      <c r="B818">
        <v>135844928</v>
      </c>
      <c r="C818" t="s">
        <v>4815</v>
      </c>
      <c r="D818" t="s">
        <v>4816</v>
      </c>
      <c r="E818" t="s">
        <v>843</v>
      </c>
      <c r="F818" t="s">
        <v>844</v>
      </c>
      <c r="G818" t="s">
        <v>164</v>
      </c>
      <c r="H818" t="s">
        <v>165</v>
      </c>
      <c r="I818" t="s">
        <v>34</v>
      </c>
      <c r="J818" t="s">
        <v>166</v>
      </c>
      <c r="K818" t="s">
        <v>41</v>
      </c>
      <c r="L818" t="s">
        <v>4817</v>
      </c>
      <c r="M818" t="s">
        <v>4818</v>
      </c>
      <c r="N818" t="s">
        <v>847</v>
      </c>
      <c r="O818" t="s">
        <v>100</v>
      </c>
      <c r="P818" t="s">
        <v>4819</v>
      </c>
      <c r="Q818" t="s">
        <v>63</v>
      </c>
      <c r="R818" t="s">
        <v>3877</v>
      </c>
      <c r="S818">
        <v>1</v>
      </c>
      <c r="T818">
        <v>4067</v>
      </c>
      <c r="U818">
        <v>0</v>
      </c>
      <c r="V818">
        <v>4067</v>
      </c>
    </row>
    <row r="819" spans="1:22" x14ac:dyDescent="0.3">
      <c r="A819">
        <v>79452</v>
      </c>
      <c r="B819">
        <v>135792470</v>
      </c>
      <c r="C819" t="s">
        <v>4820</v>
      </c>
      <c r="D819" t="s">
        <v>4821</v>
      </c>
      <c r="E819" t="s">
        <v>843</v>
      </c>
      <c r="F819" t="s">
        <v>844</v>
      </c>
      <c r="G819" t="s">
        <v>164</v>
      </c>
      <c r="H819" t="s">
        <v>165</v>
      </c>
      <c r="I819" t="s">
        <v>34</v>
      </c>
      <c r="J819" t="s">
        <v>166</v>
      </c>
      <c r="K819" t="s">
        <v>41</v>
      </c>
      <c r="L819" t="s">
        <v>4822</v>
      </c>
      <c r="M819" t="s">
        <v>4823</v>
      </c>
      <c r="N819" t="s">
        <v>847</v>
      </c>
      <c r="O819" t="s">
        <v>100</v>
      </c>
      <c r="P819" t="s">
        <v>4824</v>
      </c>
      <c r="Q819" t="s">
        <v>84</v>
      </c>
      <c r="R819" t="s">
        <v>694</v>
      </c>
      <c r="S819">
        <v>2.5499999999999998</v>
      </c>
      <c r="T819">
        <v>3366</v>
      </c>
      <c r="U819">
        <v>0</v>
      </c>
      <c r="V819">
        <v>3366</v>
      </c>
    </row>
    <row r="820" spans="1:22" x14ac:dyDescent="0.3">
      <c r="A820">
        <v>79452</v>
      </c>
      <c r="B820">
        <v>135980415</v>
      </c>
      <c r="C820" t="s">
        <v>4825</v>
      </c>
      <c r="D820" t="s">
        <v>4826</v>
      </c>
      <c r="E820" t="s">
        <v>843</v>
      </c>
      <c r="F820" t="s">
        <v>844</v>
      </c>
      <c r="G820" t="s">
        <v>164</v>
      </c>
      <c r="H820" t="s">
        <v>165</v>
      </c>
      <c r="I820" t="s">
        <v>34</v>
      </c>
      <c r="J820" t="s">
        <v>166</v>
      </c>
      <c r="K820" t="s">
        <v>41</v>
      </c>
      <c r="L820" t="s">
        <v>4827</v>
      </c>
      <c r="M820" t="s">
        <v>4828</v>
      </c>
      <c r="N820" t="s">
        <v>847</v>
      </c>
      <c r="O820" t="s">
        <v>100</v>
      </c>
      <c r="P820" t="s">
        <v>4829</v>
      </c>
      <c r="Q820" t="s">
        <v>137</v>
      </c>
      <c r="R820" t="s">
        <v>288</v>
      </c>
      <c r="S820">
        <v>1.86</v>
      </c>
      <c r="T820">
        <v>4693</v>
      </c>
      <c r="U820">
        <v>0</v>
      </c>
      <c r="V820">
        <v>4693</v>
      </c>
    </row>
    <row r="821" spans="1:22" x14ac:dyDescent="0.3">
      <c r="A821">
        <v>79452</v>
      </c>
      <c r="B821">
        <v>135845068</v>
      </c>
      <c r="C821" t="s">
        <v>4830</v>
      </c>
      <c r="D821" t="s">
        <v>4831</v>
      </c>
      <c r="E821" t="s">
        <v>843</v>
      </c>
      <c r="F821" t="s">
        <v>844</v>
      </c>
      <c r="G821" t="s">
        <v>164</v>
      </c>
      <c r="H821" t="s">
        <v>165</v>
      </c>
      <c r="I821" t="s">
        <v>34</v>
      </c>
      <c r="J821" t="s">
        <v>166</v>
      </c>
      <c r="K821" t="s">
        <v>41</v>
      </c>
      <c r="L821" t="s">
        <v>4832</v>
      </c>
      <c r="M821" t="s">
        <v>4833</v>
      </c>
      <c r="N821" t="s">
        <v>847</v>
      </c>
      <c r="O821" t="s">
        <v>100</v>
      </c>
      <c r="P821" t="s">
        <v>4834</v>
      </c>
      <c r="Q821" t="s">
        <v>57</v>
      </c>
      <c r="R821" t="s">
        <v>503</v>
      </c>
      <c r="S821">
        <v>0.94</v>
      </c>
      <c r="T821">
        <v>5476</v>
      </c>
      <c r="U821">
        <v>0</v>
      </c>
      <c r="V821">
        <v>5476</v>
      </c>
    </row>
    <row r="822" spans="1:22" x14ac:dyDescent="0.3">
      <c r="A822">
        <v>79452</v>
      </c>
      <c r="B822">
        <v>135745370</v>
      </c>
      <c r="C822" t="s">
        <v>4835</v>
      </c>
      <c r="D822" t="s">
        <v>4836</v>
      </c>
      <c r="E822" t="s">
        <v>843</v>
      </c>
      <c r="F822" t="s">
        <v>844</v>
      </c>
      <c r="G822" t="s">
        <v>164</v>
      </c>
      <c r="H822" t="s">
        <v>165</v>
      </c>
      <c r="I822" t="s">
        <v>34</v>
      </c>
      <c r="J822" t="s">
        <v>166</v>
      </c>
      <c r="K822" t="s">
        <v>41</v>
      </c>
      <c r="L822" t="s">
        <v>4837</v>
      </c>
      <c r="M822" t="s">
        <v>4838</v>
      </c>
      <c r="N822" t="s">
        <v>847</v>
      </c>
      <c r="O822" t="s">
        <v>100</v>
      </c>
      <c r="P822" t="s">
        <v>4839</v>
      </c>
      <c r="Q822" t="s">
        <v>55</v>
      </c>
      <c r="R822" t="s">
        <v>535</v>
      </c>
      <c r="S822">
        <v>1.61</v>
      </c>
      <c r="T822">
        <v>5198</v>
      </c>
      <c r="U822">
        <v>0</v>
      </c>
      <c r="V822">
        <v>5198</v>
      </c>
    </row>
    <row r="823" spans="1:22" x14ac:dyDescent="0.3">
      <c r="A823">
        <v>79452</v>
      </c>
      <c r="B823">
        <v>135844983</v>
      </c>
      <c r="C823" t="s">
        <v>4840</v>
      </c>
      <c r="D823" t="s">
        <v>4841</v>
      </c>
      <c r="E823" t="s">
        <v>843</v>
      </c>
      <c r="F823" t="s">
        <v>844</v>
      </c>
      <c r="G823" t="s">
        <v>164</v>
      </c>
      <c r="H823" t="s">
        <v>165</v>
      </c>
      <c r="I823" t="s">
        <v>34</v>
      </c>
      <c r="J823" t="s">
        <v>166</v>
      </c>
      <c r="K823" t="s">
        <v>41</v>
      </c>
      <c r="L823" t="s">
        <v>4842</v>
      </c>
      <c r="M823" t="s">
        <v>4843</v>
      </c>
      <c r="N823" t="s">
        <v>847</v>
      </c>
      <c r="O823" t="s">
        <v>100</v>
      </c>
      <c r="P823" t="s">
        <v>4844</v>
      </c>
      <c r="Q823" t="s">
        <v>71</v>
      </c>
      <c r="R823" t="s">
        <v>3877</v>
      </c>
      <c r="S823">
        <v>2.19</v>
      </c>
      <c r="T823">
        <v>3501</v>
      </c>
      <c r="U823">
        <v>0</v>
      </c>
      <c r="V823">
        <v>3501</v>
      </c>
    </row>
    <row r="824" spans="1:22" x14ac:dyDescent="0.3">
      <c r="A824">
        <v>79452</v>
      </c>
      <c r="B824">
        <v>135845005</v>
      </c>
      <c r="C824" t="s">
        <v>4845</v>
      </c>
      <c r="D824" t="s">
        <v>4846</v>
      </c>
      <c r="E824" t="s">
        <v>843</v>
      </c>
      <c r="F824" t="s">
        <v>844</v>
      </c>
      <c r="G824" t="s">
        <v>164</v>
      </c>
      <c r="H824" t="s">
        <v>165</v>
      </c>
      <c r="I824" t="s">
        <v>34</v>
      </c>
      <c r="J824" t="s">
        <v>166</v>
      </c>
      <c r="K824" t="s">
        <v>41</v>
      </c>
      <c r="L824" t="s">
        <v>4847</v>
      </c>
      <c r="M824" t="s">
        <v>4848</v>
      </c>
      <c r="N824" t="s">
        <v>847</v>
      </c>
      <c r="O824" t="s">
        <v>100</v>
      </c>
      <c r="P824" t="s">
        <v>4849</v>
      </c>
      <c r="Q824" t="s">
        <v>83</v>
      </c>
      <c r="R824" t="s">
        <v>3877</v>
      </c>
      <c r="S824">
        <v>1.1499999999999999</v>
      </c>
      <c r="T824">
        <v>3366</v>
      </c>
      <c r="U824">
        <v>0</v>
      </c>
      <c r="V824">
        <v>3366</v>
      </c>
    </row>
    <row r="825" spans="1:22" x14ac:dyDescent="0.3">
      <c r="A825">
        <v>79452</v>
      </c>
      <c r="B825">
        <v>135980387</v>
      </c>
      <c r="C825" t="s">
        <v>4850</v>
      </c>
      <c r="D825" t="s">
        <v>4851</v>
      </c>
      <c r="E825" t="s">
        <v>843</v>
      </c>
      <c r="F825" t="s">
        <v>844</v>
      </c>
      <c r="G825" t="s">
        <v>164</v>
      </c>
      <c r="H825" t="s">
        <v>165</v>
      </c>
      <c r="I825" t="s">
        <v>34</v>
      </c>
      <c r="J825" t="s">
        <v>166</v>
      </c>
      <c r="K825" t="s">
        <v>41</v>
      </c>
      <c r="L825" t="s">
        <v>4852</v>
      </c>
      <c r="M825" t="s">
        <v>4853</v>
      </c>
      <c r="N825" t="s">
        <v>847</v>
      </c>
      <c r="O825" t="s">
        <v>100</v>
      </c>
      <c r="P825" t="s">
        <v>4854</v>
      </c>
      <c r="Q825" t="s">
        <v>72</v>
      </c>
      <c r="R825" t="s">
        <v>288</v>
      </c>
      <c r="S825">
        <v>0.76</v>
      </c>
      <c r="T825">
        <v>3784</v>
      </c>
      <c r="U825">
        <v>0</v>
      </c>
      <c r="V825">
        <v>3784</v>
      </c>
    </row>
    <row r="826" spans="1:22" x14ac:dyDescent="0.3">
      <c r="A826">
        <v>79452</v>
      </c>
      <c r="B826">
        <v>135980602</v>
      </c>
      <c r="C826" t="s">
        <v>4855</v>
      </c>
      <c r="D826" t="s">
        <v>4856</v>
      </c>
      <c r="E826" t="s">
        <v>843</v>
      </c>
      <c r="F826" t="s">
        <v>844</v>
      </c>
      <c r="G826" t="s">
        <v>164</v>
      </c>
      <c r="H826" t="s">
        <v>165</v>
      </c>
      <c r="I826" t="s">
        <v>34</v>
      </c>
      <c r="J826" t="s">
        <v>166</v>
      </c>
      <c r="K826" t="s">
        <v>41</v>
      </c>
      <c r="L826" t="s">
        <v>4857</v>
      </c>
      <c r="M826" t="s">
        <v>4858</v>
      </c>
      <c r="N826" t="s">
        <v>847</v>
      </c>
      <c r="O826" t="s">
        <v>100</v>
      </c>
      <c r="P826" t="s">
        <v>4859</v>
      </c>
      <c r="Q826" t="s">
        <v>85</v>
      </c>
      <c r="R826" t="s">
        <v>398</v>
      </c>
      <c r="S826">
        <v>1.1200000000000001</v>
      </c>
      <c r="T826">
        <v>3366</v>
      </c>
      <c r="U826">
        <v>0</v>
      </c>
      <c r="V826">
        <v>3366</v>
      </c>
    </row>
    <row r="827" spans="1:22" x14ac:dyDescent="0.3">
      <c r="A827">
        <v>79452</v>
      </c>
      <c r="B827">
        <v>135902753</v>
      </c>
      <c r="C827" t="s">
        <v>4860</v>
      </c>
      <c r="D827" t="s">
        <v>4861</v>
      </c>
      <c r="E827" t="s">
        <v>843</v>
      </c>
      <c r="F827" t="s">
        <v>844</v>
      </c>
      <c r="G827" t="s">
        <v>164</v>
      </c>
      <c r="H827" t="s">
        <v>165</v>
      </c>
      <c r="I827" t="s">
        <v>34</v>
      </c>
      <c r="J827" t="s">
        <v>166</v>
      </c>
      <c r="K827" t="s">
        <v>41</v>
      </c>
      <c r="L827" t="s">
        <v>4862</v>
      </c>
      <c r="M827" t="s">
        <v>4863</v>
      </c>
      <c r="N827" t="s">
        <v>847</v>
      </c>
      <c r="O827" t="s">
        <v>100</v>
      </c>
      <c r="P827" t="s">
        <v>4864</v>
      </c>
      <c r="Q827" t="s">
        <v>69</v>
      </c>
      <c r="R827" t="s">
        <v>763</v>
      </c>
      <c r="S827">
        <v>0.83</v>
      </c>
      <c r="T827">
        <v>3753</v>
      </c>
      <c r="U827">
        <v>0</v>
      </c>
      <c r="V827">
        <v>3753</v>
      </c>
    </row>
    <row r="828" spans="1:22" x14ac:dyDescent="0.3">
      <c r="A828">
        <v>79452</v>
      </c>
      <c r="B828">
        <v>135706349</v>
      </c>
      <c r="C828" t="s">
        <v>4865</v>
      </c>
      <c r="D828" t="s">
        <v>4866</v>
      </c>
      <c r="E828" t="s">
        <v>843</v>
      </c>
      <c r="F828" t="s">
        <v>844</v>
      </c>
      <c r="G828" t="s">
        <v>164</v>
      </c>
      <c r="H828" t="s">
        <v>165</v>
      </c>
      <c r="I828" t="s">
        <v>34</v>
      </c>
      <c r="J828" t="s">
        <v>166</v>
      </c>
      <c r="K828" t="s">
        <v>41</v>
      </c>
      <c r="L828" t="s">
        <v>4867</v>
      </c>
      <c r="M828" t="s">
        <v>4868</v>
      </c>
      <c r="N828" t="s">
        <v>847</v>
      </c>
      <c r="O828" t="s">
        <v>100</v>
      </c>
      <c r="P828" t="s">
        <v>4869</v>
      </c>
      <c r="Q828" t="s">
        <v>57</v>
      </c>
      <c r="R828" t="s">
        <v>3482</v>
      </c>
      <c r="S828">
        <v>1.68</v>
      </c>
      <c r="T828">
        <v>5476</v>
      </c>
      <c r="U828">
        <v>0</v>
      </c>
      <c r="V828">
        <v>5476</v>
      </c>
    </row>
    <row r="829" spans="1:22" x14ac:dyDescent="0.3">
      <c r="A829">
        <v>79452</v>
      </c>
      <c r="B829">
        <v>135524074</v>
      </c>
      <c r="C829" t="s">
        <v>4870</v>
      </c>
      <c r="D829" t="s">
        <v>4871</v>
      </c>
      <c r="E829" t="s">
        <v>843</v>
      </c>
      <c r="F829" t="s">
        <v>844</v>
      </c>
      <c r="G829" t="s">
        <v>164</v>
      </c>
      <c r="H829" t="s">
        <v>165</v>
      </c>
      <c r="I829" t="s">
        <v>34</v>
      </c>
      <c r="J829" t="s">
        <v>166</v>
      </c>
      <c r="K829" t="s">
        <v>41</v>
      </c>
      <c r="L829" t="s">
        <v>4872</v>
      </c>
      <c r="M829" t="s">
        <v>4873</v>
      </c>
      <c r="N829" t="s">
        <v>847</v>
      </c>
      <c r="O829" t="s">
        <v>100</v>
      </c>
      <c r="P829" t="s">
        <v>4874</v>
      </c>
      <c r="Q829" t="s">
        <v>52</v>
      </c>
      <c r="R829" t="s">
        <v>730</v>
      </c>
      <c r="S829">
        <v>1</v>
      </c>
      <c r="T829">
        <v>5759</v>
      </c>
      <c r="U829">
        <v>0</v>
      </c>
      <c r="V829">
        <v>5759</v>
      </c>
    </row>
    <row r="830" spans="1:22" x14ac:dyDescent="0.3">
      <c r="A830">
        <v>79452</v>
      </c>
      <c r="B830">
        <v>135792400</v>
      </c>
      <c r="C830" t="s">
        <v>4875</v>
      </c>
      <c r="D830" t="s">
        <v>4876</v>
      </c>
      <c r="E830" t="s">
        <v>843</v>
      </c>
      <c r="F830" t="s">
        <v>844</v>
      </c>
      <c r="G830" t="s">
        <v>164</v>
      </c>
      <c r="H830" t="s">
        <v>165</v>
      </c>
      <c r="I830" t="s">
        <v>34</v>
      </c>
      <c r="J830" t="s">
        <v>166</v>
      </c>
      <c r="K830" t="s">
        <v>41</v>
      </c>
      <c r="L830" t="s">
        <v>4877</v>
      </c>
      <c r="M830" t="s">
        <v>4878</v>
      </c>
      <c r="N830" t="s">
        <v>847</v>
      </c>
      <c r="O830" t="s">
        <v>100</v>
      </c>
      <c r="P830" t="s">
        <v>4879</v>
      </c>
      <c r="Q830" t="s">
        <v>92</v>
      </c>
      <c r="R830" t="s">
        <v>694</v>
      </c>
      <c r="S830">
        <v>1.35</v>
      </c>
      <c r="T830">
        <v>3366</v>
      </c>
      <c r="U830">
        <v>0</v>
      </c>
      <c r="V830">
        <v>3366</v>
      </c>
    </row>
    <row r="831" spans="1:22" x14ac:dyDescent="0.3">
      <c r="A831">
        <v>79452</v>
      </c>
      <c r="B831">
        <v>135745421</v>
      </c>
      <c r="C831" t="s">
        <v>4880</v>
      </c>
      <c r="D831" t="s">
        <v>4881</v>
      </c>
      <c r="E831" t="s">
        <v>843</v>
      </c>
      <c r="F831" t="s">
        <v>844</v>
      </c>
      <c r="G831" t="s">
        <v>164</v>
      </c>
      <c r="H831" t="s">
        <v>165</v>
      </c>
      <c r="I831" t="s">
        <v>34</v>
      </c>
      <c r="J831" t="s">
        <v>166</v>
      </c>
      <c r="K831" t="s">
        <v>41</v>
      </c>
      <c r="L831" t="s">
        <v>4882</v>
      </c>
      <c r="M831" t="s">
        <v>4883</v>
      </c>
      <c r="N831" t="s">
        <v>847</v>
      </c>
      <c r="O831" t="s">
        <v>100</v>
      </c>
      <c r="P831" t="s">
        <v>4884</v>
      </c>
      <c r="Q831" t="s">
        <v>55</v>
      </c>
      <c r="R831" t="s">
        <v>738</v>
      </c>
      <c r="S831">
        <v>1.59</v>
      </c>
      <c r="T831">
        <v>5198</v>
      </c>
      <c r="U831">
        <v>0</v>
      </c>
      <c r="V831">
        <v>5198</v>
      </c>
    </row>
    <row r="832" spans="1:22" x14ac:dyDescent="0.3">
      <c r="A832">
        <v>79452</v>
      </c>
      <c r="B832">
        <v>135792362</v>
      </c>
      <c r="C832" t="s">
        <v>4885</v>
      </c>
      <c r="D832" t="s">
        <v>4886</v>
      </c>
      <c r="E832" t="s">
        <v>843</v>
      </c>
      <c r="F832" t="s">
        <v>844</v>
      </c>
      <c r="G832" t="s">
        <v>164</v>
      </c>
      <c r="H832" t="s">
        <v>165</v>
      </c>
      <c r="I832" t="s">
        <v>34</v>
      </c>
      <c r="J832" t="s">
        <v>166</v>
      </c>
      <c r="K832" t="s">
        <v>41</v>
      </c>
      <c r="L832" t="s">
        <v>4887</v>
      </c>
      <c r="M832" t="s">
        <v>4888</v>
      </c>
      <c r="N832" t="s">
        <v>847</v>
      </c>
      <c r="O832" t="s">
        <v>100</v>
      </c>
      <c r="P832" t="s">
        <v>4889</v>
      </c>
      <c r="Q832" t="s">
        <v>84</v>
      </c>
      <c r="R832" t="s">
        <v>694</v>
      </c>
      <c r="S832">
        <v>2.1800000000000002</v>
      </c>
      <c r="T832">
        <v>3366</v>
      </c>
      <c r="U832">
        <v>0</v>
      </c>
      <c r="V832">
        <v>3366</v>
      </c>
    </row>
    <row r="833" spans="1:22" x14ac:dyDescent="0.3">
      <c r="A833">
        <v>79452</v>
      </c>
      <c r="B833">
        <v>135792386</v>
      </c>
      <c r="C833" t="s">
        <v>4890</v>
      </c>
      <c r="D833" t="s">
        <v>4891</v>
      </c>
      <c r="E833" t="s">
        <v>843</v>
      </c>
      <c r="F833" t="s">
        <v>844</v>
      </c>
      <c r="G833" t="s">
        <v>164</v>
      </c>
      <c r="H833" t="s">
        <v>165</v>
      </c>
      <c r="I833" t="s">
        <v>34</v>
      </c>
      <c r="J833" t="s">
        <v>166</v>
      </c>
      <c r="K833" t="s">
        <v>41</v>
      </c>
      <c r="L833" t="s">
        <v>4892</v>
      </c>
      <c r="M833" t="s">
        <v>820</v>
      </c>
      <c r="N833" t="s">
        <v>847</v>
      </c>
      <c r="O833" t="s">
        <v>100</v>
      </c>
      <c r="P833" t="s">
        <v>821</v>
      </c>
      <c r="Q833" t="s">
        <v>55</v>
      </c>
      <c r="R833" t="s">
        <v>694</v>
      </c>
      <c r="S833">
        <v>1.1200000000000001</v>
      </c>
      <c r="T833">
        <v>5198</v>
      </c>
      <c r="U833">
        <v>0</v>
      </c>
      <c r="V833">
        <v>5198</v>
      </c>
    </row>
    <row r="834" spans="1:22" x14ac:dyDescent="0.3">
      <c r="A834">
        <v>79452</v>
      </c>
      <c r="B834">
        <v>135706617</v>
      </c>
      <c r="C834" t="s">
        <v>4893</v>
      </c>
      <c r="D834" t="s">
        <v>4894</v>
      </c>
      <c r="E834" t="s">
        <v>843</v>
      </c>
      <c r="F834" t="s">
        <v>844</v>
      </c>
      <c r="G834" t="s">
        <v>164</v>
      </c>
      <c r="H834" t="s">
        <v>165</v>
      </c>
      <c r="I834" t="s">
        <v>34</v>
      </c>
      <c r="J834" t="s">
        <v>166</v>
      </c>
      <c r="K834" t="s">
        <v>41</v>
      </c>
      <c r="L834" t="s">
        <v>4895</v>
      </c>
      <c r="M834" t="s">
        <v>4896</v>
      </c>
      <c r="N834" t="s">
        <v>847</v>
      </c>
      <c r="O834" t="s">
        <v>100</v>
      </c>
      <c r="P834" t="s">
        <v>4897</v>
      </c>
      <c r="Q834" t="s">
        <v>54</v>
      </c>
      <c r="R834" t="s">
        <v>769</v>
      </c>
      <c r="S834">
        <v>1.76</v>
      </c>
      <c r="T834">
        <v>5759</v>
      </c>
      <c r="U834">
        <v>0</v>
      </c>
      <c r="V834">
        <v>5759</v>
      </c>
    </row>
    <row r="835" spans="1:22" x14ac:dyDescent="0.3">
      <c r="A835">
        <v>79452</v>
      </c>
      <c r="B835">
        <v>135845082</v>
      </c>
      <c r="C835" t="s">
        <v>4898</v>
      </c>
      <c r="D835" t="s">
        <v>4899</v>
      </c>
      <c r="E835" t="s">
        <v>843</v>
      </c>
      <c r="F835" t="s">
        <v>844</v>
      </c>
      <c r="G835" t="s">
        <v>164</v>
      </c>
      <c r="H835" t="s">
        <v>165</v>
      </c>
      <c r="I835" t="s">
        <v>34</v>
      </c>
      <c r="J835" t="s">
        <v>166</v>
      </c>
      <c r="K835" t="s">
        <v>41</v>
      </c>
      <c r="L835" t="s">
        <v>4900</v>
      </c>
      <c r="M835" t="s">
        <v>4901</v>
      </c>
      <c r="N835" t="s">
        <v>847</v>
      </c>
      <c r="O835" t="s">
        <v>100</v>
      </c>
      <c r="P835" t="s">
        <v>4902</v>
      </c>
      <c r="Q835" t="s">
        <v>54</v>
      </c>
      <c r="R835" t="s">
        <v>503</v>
      </c>
      <c r="S835">
        <v>0.76</v>
      </c>
      <c r="T835">
        <v>5759</v>
      </c>
      <c r="U835">
        <v>0</v>
      </c>
      <c r="V835">
        <v>5759</v>
      </c>
    </row>
    <row r="836" spans="1:22" x14ac:dyDescent="0.3">
      <c r="A836">
        <v>79452</v>
      </c>
      <c r="B836">
        <v>135902642</v>
      </c>
      <c r="C836" t="s">
        <v>4903</v>
      </c>
      <c r="D836" t="s">
        <v>4904</v>
      </c>
      <c r="E836" t="s">
        <v>843</v>
      </c>
      <c r="F836" t="s">
        <v>844</v>
      </c>
      <c r="G836" t="s">
        <v>164</v>
      </c>
      <c r="H836" t="s">
        <v>165</v>
      </c>
      <c r="I836" t="s">
        <v>34</v>
      </c>
      <c r="J836" t="s">
        <v>166</v>
      </c>
      <c r="K836" t="s">
        <v>41</v>
      </c>
      <c r="L836" t="s">
        <v>4905</v>
      </c>
      <c r="M836" t="s">
        <v>4906</v>
      </c>
      <c r="N836" t="s">
        <v>847</v>
      </c>
      <c r="O836" t="s">
        <v>100</v>
      </c>
      <c r="P836" t="s">
        <v>4907</v>
      </c>
      <c r="Q836" t="s">
        <v>59</v>
      </c>
      <c r="R836" t="s">
        <v>291</v>
      </c>
      <c r="S836">
        <v>1.8</v>
      </c>
      <c r="T836">
        <v>4067</v>
      </c>
      <c r="U836">
        <v>0</v>
      </c>
      <c r="V836">
        <v>4067</v>
      </c>
    </row>
    <row r="837" spans="1:22" x14ac:dyDescent="0.3">
      <c r="A837">
        <v>79452</v>
      </c>
      <c r="B837">
        <v>135792423</v>
      </c>
      <c r="C837" t="s">
        <v>4908</v>
      </c>
      <c r="D837" t="s">
        <v>4909</v>
      </c>
      <c r="E837" t="s">
        <v>843</v>
      </c>
      <c r="F837" t="s">
        <v>844</v>
      </c>
      <c r="G837" t="s">
        <v>164</v>
      </c>
      <c r="H837" t="s">
        <v>165</v>
      </c>
      <c r="I837" t="s">
        <v>34</v>
      </c>
      <c r="J837" t="s">
        <v>166</v>
      </c>
      <c r="K837" t="s">
        <v>41</v>
      </c>
      <c r="L837" t="s">
        <v>4910</v>
      </c>
      <c r="M837" t="s">
        <v>4911</v>
      </c>
      <c r="N837" t="s">
        <v>847</v>
      </c>
      <c r="O837" t="s">
        <v>100</v>
      </c>
      <c r="P837" t="s">
        <v>4912</v>
      </c>
      <c r="Q837" t="s">
        <v>60</v>
      </c>
      <c r="R837" t="s">
        <v>694</v>
      </c>
      <c r="S837">
        <v>1</v>
      </c>
      <c r="T837">
        <v>4346</v>
      </c>
      <c r="U837">
        <v>0</v>
      </c>
      <c r="V837">
        <v>4346</v>
      </c>
    </row>
    <row r="838" spans="1:22" x14ac:dyDescent="0.3">
      <c r="A838">
        <v>79452</v>
      </c>
      <c r="B838">
        <v>135706621</v>
      </c>
      <c r="C838" t="s">
        <v>4913</v>
      </c>
      <c r="D838" t="s">
        <v>4914</v>
      </c>
      <c r="E838" t="s">
        <v>843</v>
      </c>
      <c r="F838" t="s">
        <v>844</v>
      </c>
      <c r="G838" t="s">
        <v>164</v>
      </c>
      <c r="H838" t="s">
        <v>165</v>
      </c>
      <c r="I838" t="s">
        <v>34</v>
      </c>
      <c r="J838" t="s">
        <v>166</v>
      </c>
      <c r="K838" t="s">
        <v>41</v>
      </c>
      <c r="L838" t="s">
        <v>4915</v>
      </c>
      <c r="M838" t="s">
        <v>4916</v>
      </c>
      <c r="N838" t="s">
        <v>847</v>
      </c>
      <c r="O838" t="s">
        <v>100</v>
      </c>
      <c r="P838" t="s">
        <v>4917</v>
      </c>
      <c r="Q838" t="s">
        <v>59</v>
      </c>
      <c r="R838" t="s">
        <v>769</v>
      </c>
      <c r="S838">
        <v>1.65</v>
      </c>
      <c r="T838">
        <v>4067</v>
      </c>
      <c r="U838">
        <v>0</v>
      </c>
      <c r="V838">
        <v>4067</v>
      </c>
    </row>
    <row r="839" spans="1:22" x14ac:dyDescent="0.3">
      <c r="A839">
        <v>79452</v>
      </c>
      <c r="B839">
        <v>135706437</v>
      </c>
      <c r="C839" t="s">
        <v>4918</v>
      </c>
      <c r="D839" t="s">
        <v>4919</v>
      </c>
      <c r="E839" t="s">
        <v>843</v>
      </c>
      <c r="F839" t="s">
        <v>844</v>
      </c>
      <c r="G839" t="s">
        <v>164</v>
      </c>
      <c r="H839" t="s">
        <v>165</v>
      </c>
      <c r="I839" t="s">
        <v>34</v>
      </c>
      <c r="J839" t="s">
        <v>166</v>
      </c>
      <c r="K839" t="s">
        <v>41</v>
      </c>
      <c r="L839" t="s">
        <v>4920</v>
      </c>
      <c r="M839" t="s">
        <v>4921</v>
      </c>
      <c r="N839" t="s">
        <v>847</v>
      </c>
      <c r="O839" t="s">
        <v>100</v>
      </c>
      <c r="P839" t="s">
        <v>4922</v>
      </c>
      <c r="Q839" t="s">
        <v>63</v>
      </c>
      <c r="R839" t="s">
        <v>3482</v>
      </c>
      <c r="S839">
        <v>1</v>
      </c>
      <c r="T839">
        <v>4067</v>
      </c>
      <c r="U839">
        <v>0</v>
      </c>
      <c r="V839">
        <v>4067</v>
      </c>
    </row>
    <row r="840" spans="1:22" x14ac:dyDescent="0.3">
      <c r="A840">
        <v>79452</v>
      </c>
      <c r="B840">
        <v>135706431</v>
      </c>
      <c r="C840" t="s">
        <v>4923</v>
      </c>
      <c r="D840" t="s">
        <v>4924</v>
      </c>
      <c r="E840" t="s">
        <v>843</v>
      </c>
      <c r="F840" t="s">
        <v>844</v>
      </c>
      <c r="G840" t="s">
        <v>164</v>
      </c>
      <c r="H840" t="s">
        <v>165</v>
      </c>
      <c r="I840" t="s">
        <v>34</v>
      </c>
      <c r="J840" t="s">
        <v>166</v>
      </c>
      <c r="K840" t="s">
        <v>41</v>
      </c>
      <c r="L840" t="s">
        <v>4925</v>
      </c>
      <c r="M840" t="s">
        <v>4926</v>
      </c>
      <c r="N840" t="s">
        <v>847</v>
      </c>
      <c r="O840" t="s">
        <v>100</v>
      </c>
      <c r="P840" t="s">
        <v>4927</v>
      </c>
      <c r="Q840" t="s">
        <v>84</v>
      </c>
      <c r="R840" t="s">
        <v>3482</v>
      </c>
      <c r="S840">
        <v>1.51</v>
      </c>
      <c r="T840">
        <v>3366</v>
      </c>
      <c r="U840">
        <v>0</v>
      </c>
      <c r="V840">
        <v>3366</v>
      </c>
    </row>
    <row r="841" spans="1:22" x14ac:dyDescent="0.3">
      <c r="A841">
        <v>79452</v>
      </c>
      <c r="B841">
        <v>135706339</v>
      </c>
      <c r="C841" t="s">
        <v>4928</v>
      </c>
      <c r="D841" t="s">
        <v>4929</v>
      </c>
      <c r="E841" t="s">
        <v>843</v>
      </c>
      <c r="F841" t="s">
        <v>844</v>
      </c>
      <c r="G841" t="s">
        <v>164</v>
      </c>
      <c r="H841" t="s">
        <v>165</v>
      </c>
      <c r="I841" t="s">
        <v>34</v>
      </c>
      <c r="J841" t="s">
        <v>166</v>
      </c>
      <c r="K841" t="s">
        <v>41</v>
      </c>
      <c r="L841" t="s">
        <v>4930</v>
      </c>
      <c r="M841" t="s">
        <v>2771</v>
      </c>
      <c r="N841" t="s">
        <v>847</v>
      </c>
      <c r="O841" t="s">
        <v>100</v>
      </c>
      <c r="P841" t="s">
        <v>2772</v>
      </c>
      <c r="Q841" t="s">
        <v>219</v>
      </c>
      <c r="R841" t="s">
        <v>3482</v>
      </c>
      <c r="S841">
        <v>1.18</v>
      </c>
      <c r="T841">
        <v>3784</v>
      </c>
      <c r="U841">
        <v>0</v>
      </c>
      <c r="V841">
        <v>3784</v>
      </c>
    </row>
    <row r="842" spans="1:22" x14ac:dyDescent="0.3">
      <c r="A842">
        <v>79452</v>
      </c>
      <c r="B842">
        <v>135902622</v>
      </c>
      <c r="C842" t="s">
        <v>4931</v>
      </c>
      <c r="D842" t="s">
        <v>4932</v>
      </c>
      <c r="E842" t="s">
        <v>843</v>
      </c>
      <c r="F842" t="s">
        <v>844</v>
      </c>
      <c r="G842" t="s">
        <v>164</v>
      </c>
      <c r="H842" t="s">
        <v>165</v>
      </c>
      <c r="I842" t="s">
        <v>34</v>
      </c>
      <c r="J842" t="s">
        <v>166</v>
      </c>
      <c r="K842" t="s">
        <v>41</v>
      </c>
      <c r="L842" t="s">
        <v>4933</v>
      </c>
      <c r="M842" t="s">
        <v>4934</v>
      </c>
      <c r="N842" t="s">
        <v>847</v>
      </c>
      <c r="O842" t="s">
        <v>100</v>
      </c>
      <c r="P842" t="s">
        <v>4935</v>
      </c>
      <c r="Q842" t="s">
        <v>71</v>
      </c>
      <c r="R842" t="s">
        <v>291</v>
      </c>
      <c r="S842">
        <v>0.79</v>
      </c>
      <c r="T842">
        <v>3501</v>
      </c>
      <c r="U842">
        <v>0</v>
      </c>
      <c r="V842">
        <v>3501</v>
      </c>
    </row>
    <row r="843" spans="1:22" x14ac:dyDescent="0.3">
      <c r="A843">
        <v>79452</v>
      </c>
      <c r="B843">
        <v>135745471</v>
      </c>
      <c r="C843" t="s">
        <v>4936</v>
      </c>
      <c r="D843" t="s">
        <v>4937</v>
      </c>
      <c r="E843" t="s">
        <v>843</v>
      </c>
      <c r="F843" t="s">
        <v>844</v>
      </c>
      <c r="G843" t="s">
        <v>164</v>
      </c>
      <c r="H843" t="s">
        <v>165</v>
      </c>
      <c r="I843" t="s">
        <v>34</v>
      </c>
      <c r="J843" t="s">
        <v>166</v>
      </c>
      <c r="K843" t="s">
        <v>41</v>
      </c>
      <c r="L843" t="s">
        <v>4938</v>
      </c>
      <c r="M843" t="s">
        <v>4939</v>
      </c>
      <c r="N843" t="s">
        <v>847</v>
      </c>
      <c r="O843" t="s">
        <v>100</v>
      </c>
      <c r="P843" t="s">
        <v>4940</v>
      </c>
      <c r="Q843" t="s">
        <v>63</v>
      </c>
      <c r="R843" t="s">
        <v>738</v>
      </c>
      <c r="S843">
        <v>1.38</v>
      </c>
      <c r="T843">
        <v>4067</v>
      </c>
      <c r="U843">
        <v>0</v>
      </c>
      <c r="V843">
        <v>4067</v>
      </c>
    </row>
    <row r="844" spans="1:22" x14ac:dyDescent="0.3">
      <c r="A844">
        <v>79452</v>
      </c>
      <c r="B844">
        <v>135449391</v>
      </c>
      <c r="C844" t="s">
        <v>4941</v>
      </c>
      <c r="D844" t="s">
        <v>4942</v>
      </c>
      <c r="E844" t="s">
        <v>843</v>
      </c>
      <c r="F844" t="s">
        <v>844</v>
      </c>
      <c r="G844" t="s">
        <v>164</v>
      </c>
      <c r="H844" t="s">
        <v>165</v>
      </c>
      <c r="I844" t="s">
        <v>34</v>
      </c>
      <c r="J844" t="s">
        <v>166</v>
      </c>
      <c r="K844" t="s">
        <v>41</v>
      </c>
      <c r="L844" t="s">
        <v>4943</v>
      </c>
      <c r="M844" t="s">
        <v>1820</v>
      </c>
      <c r="N844" t="s">
        <v>847</v>
      </c>
      <c r="O844" t="s">
        <v>100</v>
      </c>
      <c r="P844" t="s">
        <v>1821</v>
      </c>
      <c r="Q844" t="s">
        <v>246</v>
      </c>
      <c r="R844" t="s">
        <v>4944</v>
      </c>
      <c r="S844">
        <v>1</v>
      </c>
      <c r="T844">
        <v>5759</v>
      </c>
      <c r="U844">
        <v>0</v>
      </c>
      <c r="V844">
        <v>5759</v>
      </c>
    </row>
    <row r="845" spans="1:22" x14ac:dyDescent="0.3">
      <c r="A845">
        <v>79452</v>
      </c>
      <c r="B845">
        <v>135902690</v>
      </c>
      <c r="C845" t="s">
        <v>4945</v>
      </c>
      <c r="D845" t="s">
        <v>4946</v>
      </c>
      <c r="E845" t="s">
        <v>843</v>
      </c>
      <c r="F845" t="s">
        <v>844</v>
      </c>
      <c r="G845" t="s">
        <v>164</v>
      </c>
      <c r="H845" t="s">
        <v>165</v>
      </c>
      <c r="I845" t="s">
        <v>34</v>
      </c>
      <c r="J845" t="s">
        <v>166</v>
      </c>
      <c r="K845" t="s">
        <v>41</v>
      </c>
      <c r="L845" t="s">
        <v>4947</v>
      </c>
      <c r="M845" t="s">
        <v>4948</v>
      </c>
      <c r="N845" t="s">
        <v>847</v>
      </c>
      <c r="O845" t="s">
        <v>100</v>
      </c>
      <c r="P845" t="s">
        <v>4949</v>
      </c>
      <c r="Q845" t="s">
        <v>59</v>
      </c>
      <c r="R845" t="s">
        <v>291</v>
      </c>
      <c r="S845">
        <v>1.75</v>
      </c>
      <c r="T845">
        <v>4067</v>
      </c>
      <c r="U845">
        <v>0</v>
      </c>
      <c r="V845">
        <v>4067</v>
      </c>
    </row>
    <row r="846" spans="1:22" x14ac:dyDescent="0.3">
      <c r="A846">
        <v>79452</v>
      </c>
      <c r="B846">
        <v>135745368</v>
      </c>
      <c r="C846" t="s">
        <v>4950</v>
      </c>
      <c r="D846" t="s">
        <v>4951</v>
      </c>
      <c r="E846" t="s">
        <v>843</v>
      </c>
      <c r="F846" t="s">
        <v>844</v>
      </c>
      <c r="G846" t="s">
        <v>164</v>
      </c>
      <c r="H846" t="s">
        <v>165</v>
      </c>
      <c r="I846" t="s">
        <v>34</v>
      </c>
      <c r="J846" t="s">
        <v>166</v>
      </c>
      <c r="K846" t="s">
        <v>41</v>
      </c>
      <c r="L846" t="s">
        <v>4952</v>
      </c>
      <c r="M846" t="s">
        <v>4953</v>
      </c>
      <c r="N846" t="s">
        <v>847</v>
      </c>
      <c r="O846" t="s">
        <v>100</v>
      </c>
      <c r="P846" t="s">
        <v>4954</v>
      </c>
      <c r="Q846" t="s">
        <v>60</v>
      </c>
      <c r="R846" t="s">
        <v>535</v>
      </c>
      <c r="S846">
        <v>2.2200000000000002</v>
      </c>
      <c r="T846">
        <v>4346</v>
      </c>
      <c r="U846">
        <v>0</v>
      </c>
      <c r="V846">
        <v>4346</v>
      </c>
    </row>
    <row r="847" spans="1:22" x14ac:dyDescent="0.3">
      <c r="A847">
        <v>79452</v>
      </c>
      <c r="B847">
        <v>135706496</v>
      </c>
      <c r="C847" t="s">
        <v>4955</v>
      </c>
      <c r="D847" t="s">
        <v>4956</v>
      </c>
      <c r="E847" t="s">
        <v>843</v>
      </c>
      <c r="F847" t="s">
        <v>844</v>
      </c>
      <c r="G847" t="s">
        <v>164</v>
      </c>
      <c r="H847" t="s">
        <v>165</v>
      </c>
      <c r="I847" t="s">
        <v>34</v>
      </c>
      <c r="J847" t="s">
        <v>166</v>
      </c>
      <c r="K847" t="s">
        <v>41</v>
      </c>
      <c r="L847" t="s">
        <v>4957</v>
      </c>
      <c r="M847" t="s">
        <v>4958</v>
      </c>
      <c r="N847" t="s">
        <v>847</v>
      </c>
      <c r="O847" t="s">
        <v>100</v>
      </c>
      <c r="P847" t="s">
        <v>4959</v>
      </c>
      <c r="Q847" t="s">
        <v>68</v>
      </c>
      <c r="R847" t="s">
        <v>3482</v>
      </c>
      <c r="S847">
        <v>1</v>
      </c>
      <c r="T847">
        <v>3753</v>
      </c>
      <c r="U847">
        <v>0</v>
      </c>
      <c r="V847">
        <v>3753</v>
      </c>
    </row>
    <row r="848" spans="1:22" x14ac:dyDescent="0.3">
      <c r="A848">
        <v>79452</v>
      </c>
      <c r="B848">
        <v>135792431</v>
      </c>
      <c r="C848" t="s">
        <v>4960</v>
      </c>
      <c r="D848" t="s">
        <v>4961</v>
      </c>
      <c r="E848" t="s">
        <v>843</v>
      </c>
      <c r="F848" t="s">
        <v>844</v>
      </c>
      <c r="G848" t="s">
        <v>164</v>
      </c>
      <c r="H848" t="s">
        <v>165</v>
      </c>
      <c r="I848" t="s">
        <v>34</v>
      </c>
      <c r="J848" t="s">
        <v>166</v>
      </c>
      <c r="K848" t="s">
        <v>41</v>
      </c>
      <c r="L848" t="s">
        <v>4957</v>
      </c>
      <c r="M848" t="s">
        <v>4958</v>
      </c>
      <c r="N848" t="s">
        <v>847</v>
      </c>
      <c r="O848" t="s">
        <v>100</v>
      </c>
      <c r="P848" t="s">
        <v>4959</v>
      </c>
      <c r="Q848" t="s">
        <v>68</v>
      </c>
      <c r="R848" t="s">
        <v>694</v>
      </c>
      <c r="S848">
        <v>2.0299999999999998</v>
      </c>
      <c r="T848">
        <v>3753</v>
      </c>
      <c r="U848">
        <v>0</v>
      </c>
      <c r="V848">
        <v>3753</v>
      </c>
    </row>
    <row r="849" spans="1:22" x14ac:dyDescent="0.3">
      <c r="A849">
        <v>79452</v>
      </c>
      <c r="B849">
        <v>135792437</v>
      </c>
      <c r="C849" t="s">
        <v>4962</v>
      </c>
      <c r="D849" t="s">
        <v>4963</v>
      </c>
      <c r="E849" t="s">
        <v>843</v>
      </c>
      <c r="F849" t="s">
        <v>844</v>
      </c>
      <c r="G849" t="s">
        <v>164</v>
      </c>
      <c r="H849" t="s">
        <v>165</v>
      </c>
      <c r="I849" t="s">
        <v>34</v>
      </c>
      <c r="J849" t="s">
        <v>166</v>
      </c>
      <c r="K849" t="s">
        <v>41</v>
      </c>
      <c r="L849" t="s">
        <v>4964</v>
      </c>
      <c r="M849" t="s">
        <v>4965</v>
      </c>
      <c r="N849" t="s">
        <v>847</v>
      </c>
      <c r="O849" t="s">
        <v>100</v>
      </c>
      <c r="P849" t="s">
        <v>4966</v>
      </c>
      <c r="Q849" t="s">
        <v>49</v>
      </c>
      <c r="R849" t="s">
        <v>694</v>
      </c>
      <c r="S849">
        <v>1</v>
      </c>
      <c r="T849">
        <v>3784</v>
      </c>
      <c r="U849">
        <v>0</v>
      </c>
      <c r="V849">
        <v>3784</v>
      </c>
    </row>
    <row r="850" spans="1:22" x14ac:dyDescent="0.3">
      <c r="A850">
        <v>79452</v>
      </c>
      <c r="B850">
        <v>135706355</v>
      </c>
      <c r="C850" t="s">
        <v>4967</v>
      </c>
      <c r="D850" t="s">
        <v>4968</v>
      </c>
      <c r="E850" t="s">
        <v>843</v>
      </c>
      <c r="F850" t="s">
        <v>844</v>
      </c>
      <c r="G850" t="s">
        <v>164</v>
      </c>
      <c r="H850" t="s">
        <v>165</v>
      </c>
      <c r="I850" t="s">
        <v>34</v>
      </c>
      <c r="J850" t="s">
        <v>166</v>
      </c>
      <c r="K850" t="s">
        <v>41</v>
      </c>
      <c r="L850" t="s">
        <v>4969</v>
      </c>
      <c r="M850" t="s">
        <v>1586</v>
      </c>
      <c r="N850" t="s">
        <v>847</v>
      </c>
      <c r="O850" t="s">
        <v>100</v>
      </c>
      <c r="P850" t="s">
        <v>1587</v>
      </c>
      <c r="Q850" t="s">
        <v>63</v>
      </c>
      <c r="R850" t="s">
        <v>3482</v>
      </c>
      <c r="S850">
        <v>1.7</v>
      </c>
      <c r="T850">
        <v>4067</v>
      </c>
      <c r="U850">
        <v>0</v>
      </c>
      <c r="V850">
        <v>4067</v>
      </c>
    </row>
    <row r="851" spans="1:22" x14ac:dyDescent="0.3">
      <c r="A851">
        <v>79452</v>
      </c>
      <c r="B851">
        <v>135706413</v>
      </c>
      <c r="C851" t="s">
        <v>4970</v>
      </c>
      <c r="D851" t="s">
        <v>4971</v>
      </c>
      <c r="E851" t="s">
        <v>843</v>
      </c>
      <c r="F851" t="s">
        <v>844</v>
      </c>
      <c r="G851" t="s">
        <v>164</v>
      </c>
      <c r="H851" t="s">
        <v>165</v>
      </c>
      <c r="I851" t="s">
        <v>34</v>
      </c>
      <c r="J851" t="s">
        <v>166</v>
      </c>
      <c r="K851" t="s">
        <v>41</v>
      </c>
      <c r="L851" t="s">
        <v>4972</v>
      </c>
      <c r="M851" t="s">
        <v>4973</v>
      </c>
      <c r="N851" t="s">
        <v>847</v>
      </c>
      <c r="O851" t="s">
        <v>100</v>
      </c>
      <c r="P851" t="s">
        <v>4974</v>
      </c>
      <c r="Q851" t="s">
        <v>69</v>
      </c>
      <c r="R851" t="s">
        <v>3482</v>
      </c>
      <c r="S851">
        <v>1.91</v>
      </c>
      <c r="T851">
        <v>3753</v>
      </c>
      <c r="U851">
        <v>0</v>
      </c>
      <c r="V851">
        <v>3753</v>
      </c>
    </row>
    <row r="852" spans="1:22" x14ac:dyDescent="0.3">
      <c r="A852">
        <v>79452</v>
      </c>
      <c r="B852">
        <v>135706440</v>
      </c>
      <c r="C852" t="s">
        <v>4975</v>
      </c>
      <c r="D852" t="s">
        <v>4976</v>
      </c>
      <c r="E852" t="s">
        <v>843</v>
      </c>
      <c r="F852" t="s">
        <v>844</v>
      </c>
      <c r="G852" t="s">
        <v>164</v>
      </c>
      <c r="H852" t="s">
        <v>165</v>
      </c>
      <c r="I852" t="s">
        <v>34</v>
      </c>
      <c r="J852" t="s">
        <v>166</v>
      </c>
      <c r="K852" t="s">
        <v>41</v>
      </c>
      <c r="L852" t="s">
        <v>4977</v>
      </c>
      <c r="M852" t="s">
        <v>2648</v>
      </c>
      <c r="N852" t="s">
        <v>847</v>
      </c>
      <c r="O852" t="s">
        <v>100</v>
      </c>
      <c r="P852" t="s">
        <v>2649</v>
      </c>
      <c r="Q852" t="s">
        <v>97</v>
      </c>
      <c r="R852" t="s">
        <v>3482</v>
      </c>
      <c r="S852">
        <v>1.83</v>
      </c>
      <c r="T852">
        <v>3366</v>
      </c>
      <c r="U852">
        <v>0</v>
      </c>
      <c r="V852">
        <v>3366</v>
      </c>
    </row>
    <row r="853" spans="1:22" x14ac:dyDescent="0.3">
      <c r="A853">
        <v>79452</v>
      </c>
      <c r="B853">
        <v>135792436</v>
      </c>
      <c r="C853" t="s">
        <v>4978</v>
      </c>
      <c r="D853" t="s">
        <v>4979</v>
      </c>
      <c r="E853" t="s">
        <v>843</v>
      </c>
      <c r="F853" t="s">
        <v>844</v>
      </c>
      <c r="G853" t="s">
        <v>164</v>
      </c>
      <c r="H853" t="s">
        <v>165</v>
      </c>
      <c r="I853" t="s">
        <v>34</v>
      </c>
      <c r="J853" t="s">
        <v>166</v>
      </c>
      <c r="K853" t="s">
        <v>41</v>
      </c>
      <c r="L853" t="s">
        <v>4980</v>
      </c>
      <c r="M853" t="s">
        <v>4981</v>
      </c>
      <c r="N853" t="s">
        <v>847</v>
      </c>
      <c r="O853" t="s">
        <v>100</v>
      </c>
      <c r="P853" t="s">
        <v>4982</v>
      </c>
      <c r="Q853" t="s">
        <v>78</v>
      </c>
      <c r="R853" t="s">
        <v>694</v>
      </c>
      <c r="S853">
        <v>1.66</v>
      </c>
      <c r="T853">
        <v>3784</v>
      </c>
      <c r="U853">
        <v>0</v>
      </c>
      <c r="V853">
        <v>3784</v>
      </c>
    </row>
    <row r="854" spans="1:22" x14ac:dyDescent="0.3">
      <c r="A854">
        <v>79452</v>
      </c>
      <c r="B854">
        <v>135706477</v>
      </c>
      <c r="C854" t="s">
        <v>4983</v>
      </c>
      <c r="D854" t="s">
        <v>4984</v>
      </c>
      <c r="E854" t="s">
        <v>843</v>
      </c>
      <c r="F854" t="s">
        <v>844</v>
      </c>
      <c r="G854" t="s">
        <v>164</v>
      </c>
      <c r="H854" t="s">
        <v>165</v>
      </c>
      <c r="I854" t="s">
        <v>34</v>
      </c>
      <c r="J854" t="s">
        <v>166</v>
      </c>
      <c r="K854" t="s">
        <v>41</v>
      </c>
      <c r="L854" t="s">
        <v>4985</v>
      </c>
      <c r="M854" t="s">
        <v>3890</v>
      </c>
      <c r="N854" t="s">
        <v>847</v>
      </c>
      <c r="O854" t="s">
        <v>100</v>
      </c>
      <c r="P854" t="s">
        <v>4986</v>
      </c>
      <c r="Q854" t="s">
        <v>83</v>
      </c>
      <c r="R854" t="s">
        <v>3482</v>
      </c>
      <c r="S854">
        <v>1</v>
      </c>
      <c r="T854">
        <v>3366</v>
      </c>
      <c r="U854">
        <v>0</v>
      </c>
      <c r="V854">
        <v>3366</v>
      </c>
    </row>
    <row r="855" spans="1:22" x14ac:dyDescent="0.3">
      <c r="A855">
        <v>79452</v>
      </c>
      <c r="B855">
        <v>135902683</v>
      </c>
      <c r="C855" t="s">
        <v>4987</v>
      </c>
      <c r="D855" t="s">
        <v>4988</v>
      </c>
      <c r="E855" t="s">
        <v>843</v>
      </c>
      <c r="F855" t="s">
        <v>844</v>
      </c>
      <c r="G855" t="s">
        <v>164</v>
      </c>
      <c r="H855" t="s">
        <v>165</v>
      </c>
      <c r="I855" t="s">
        <v>34</v>
      </c>
      <c r="J855" t="s">
        <v>166</v>
      </c>
      <c r="K855" t="s">
        <v>41</v>
      </c>
      <c r="L855" t="s">
        <v>4989</v>
      </c>
      <c r="M855" t="s">
        <v>4990</v>
      </c>
      <c r="N855" t="s">
        <v>847</v>
      </c>
      <c r="O855" t="s">
        <v>100</v>
      </c>
      <c r="P855" t="s">
        <v>4991</v>
      </c>
      <c r="Q855" t="s">
        <v>68</v>
      </c>
      <c r="R855" t="s">
        <v>291</v>
      </c>
      <c r="S855">
        <v>1</v>
      </c>
      <c r="T855">
        <v>3753</v>
      </c>
      <c r="U855">
        <v>0</v>
      </c>
      <c r="V855">
        <v>3753</v>
      </c>
    </row>
    <row r="856" spans="1:22" x14ac:dyDescent="0.3">
      <c r="A856">
        <v>79452</v>
      </c>
      <c r="B856">
        <v>135792358</v>
      </c>
      <c r="C856" t="s">
        <v>4992</v>
      </c>
      <c r="D856" t="s">
        <v>4993</v>
      </c>
      <c r="E856" t="s">
        <v>843</v>
      </c>
      <c r="F856" t="s">
        <v>844</v>
      </c>
      <c r="G856" t="s">
        <v>164</v>
      </c>
      <c r="H856" t="s">
        <v>165</v>
      </c>
      <c r="I856" t="s">
        <v>34</v>
      </c>
      <c r="J856" t="s">
        <v>166</v>
      </c>
      <c r="K856" t="s">
        <v>41</v>
      </c>
      <c r="L856" t="s">
        <v>4994</v>
      </c>
      <c r="M856" t="s">
        <v>4995</v>
      </c>
      <c r="N856" t="s">
        <v>847</v>
      </c>
      <c r="O856" t="s">
        <v>100</v>
      </c>
      <c r="P856" t="s">
        <v>4996</v>
      </c>
      <c r="Q856" t="s">
        <v>84</v>
      </c>
      <c r="R856" t="s">
        <v>694</v>
      </c>
      <c r="S856">
        <v>0.9</v>
      </c>
      <c r="T856">
        <v>3366</v>
      </c>
      <c r="U856">
        <v>0</v>
      </c>
      <c r="V856">
        <v>3366</v>
      </c>
    </row>
    <row r="857" spans="1:22" x14ac:dyDescent="0.3">
      <c r="A857">
        <v>79452</v>
      </c>
      <c r="B857">
        <v>135706552</v>
      </c>
      <c r="C857" t="s">
        <v>4997</v>
      </c>
      <c r="D857" t="s">
        <v>4998</v>
      </c>
      <c r="E857" t="s">
        <v>843</v>
      </c>
      <c r="F857" t="s">
        <v>844</v>
      </c>
      <c r="G857" t="s">
        <v>164</v>
      </c>
      <c r="H857" t="s">
        <v>165</v>
      </c>
      <c r="I857" t="s">
        <v>34</v>
      </c>
      <c r="J857" t="s">
        <v>166</v>
      </c>
      <c r="K857" t="s">
        <v>41</v>
      </c>
      <c r="L857" t="s">
        <v>4999</v>
      </c>
      <c r="M857" t="s">
        <v>5000</v>
      </c>
      <c r="N857" t="s">
        <v>847</v>
      </c>
      <c r="O857" t="s">
        <v>100</v>
      </c>
      <c r="P857" t="s">
        <v>5001</v>
      </c>
      <c r="Q857" t="s">
        <v>72</v>
      </c>
      <c r="R857" t="s">
        <v>3482</v>
      </c>
      <c r="S857">
        <v>1</v>
      </c>
      <c r="T857">
        <v>3784</v>
      </c>
      <c r="U857">
        <v>0</v>
      </c>
      <c r="V857">
        <v>3784</v>
      </c>
    </row>
    <row r="858" spans="1:22" x14ac:dyDescent="0.3">
      <c r="A858">
        <v>79452</v>
      </c>
      <c r="B858">
        <v>135745376</v>
      </c>
      <c r="C858" t="s">
        <v>5002</v>
      </c>
      <c r="D858" t="s">
        <v>5003</v>
      </c>
      <c r="E858" t="s">
        <v>843</v>
      </c>
      <c r="F858" t="s">
        <v>844</v>
      </c>
      <c r="G858" t="s">
        <v>164</v>
      </c>
      <c r="H858" t="s">
        <v>165</v>
      </c>
      <c r="I858" t="s">
        <v>34</v>
      </c>
      <c r="J858" t="s">
        <v>166</v>
      </c>
      <c r="K858" t="s">
        <v>41</v>
      </c>
      <c r="L858" t="s">
        <v>5004</v>
      </c>
      <c r="M858" t="s">
        <v>5005</v>
      </c>
      <c r="N858" t="s">
        <v>847</v>
      </c>
      <c r="O858" t="s">
        <v>100</v>
      </c>
      <c r="P858" t="s">
        <v>5006</v>
      </c>
      <c r="Q858" t="s">
        <v>190</v>
      </c>
      <c r="R858" t="s">
        <v>535</v>
      </c>
      <c r="S858">
        <v>1.1100000000000001</v>
      </c>
      <c r="T858">
        <v>3366</v>
      </c>
      <c r="U858">
        <v>0</v>
      </c>
      <c r="V858">
        <v>3366</v>
      </c>
    </row>
    <row r="859" spans="1:22" x14ac:dyDescent="0.3">
      <c r="A859">
        <v>79452</v>
      </c>
      <c r="B859">
        <v>135706549</v>
      </c>
      <c r="C859" t="s">
        <v>5007</v>
      </c>
      <c r="D859" t="s">
        <v>5008</v>
      </c>
      <c r="E859" t="s">
        <v>843</v>
      </c>
      <c r="F859" t="s">
        <v>844</v>
      </c>
      <c r="G859" t="s">
        <v>164</v>
      </c>
      <c r="H859" t="s">
        <v>165</v>
      </c>
      <c r="I859" t="s">
        <v>34</v>
      </c>
      <c r="J859" t="s">
        <v>166</v>
      </c>
      <c r="K859" t="s">
        <v>41</v>
      </c>
      <c r="L859" t="s">
        <v>5009</v>
      </c>
      <c r="M859" t="s">
        <v>5010</v>
      </c>
      <c r="N859" t="s">
        <v>847</v>
      </c>
      <c r="O859" t="s">
        <v>100</v>
      </c>
      <c r="P859" t="s">
        <v>5011</v>
      </c>
      <c r="Q859" t="s">
        <v>78</v>
      </c>
      <c r="R859" t="s">
        <v>3482</v>
      </c>
      <c r="S859">
        <v>0.89</v>
      </c>
      <c r="T859">
        <v>3784</v>
      </c>
      <c r="U859">
        <v>0</v>
      </c>
      <c r="V859">
        <v>3784</v>
      </c>
    </row>
    <row r="860" spans="1:22" x14ac:dyDescent="0.3">
      <c r="A860">
        <v>79452</v>
      </c>
      <c r="B860">
        <v>135792374</v>
      </c>
      <c r="C860" t="s">
        <v>5012</v>
      </c>
      <c r="D860" t="s">
        <v>5013</v>
      </c>
      <c r="E860" t="s">
        <v>843</v>
      </c>
      <c r="F860" t="s">
        <v>844</v>
      </c>
      <c r="G860" t="s">
        <v>164</v>
      </c>
      <c r="H860" t="s">
        <v>165</v>
      </c>
      <c r="I860" t="s">
        <v>34</v>
      </c>
      <c r="J860" t="s">
        <v>166</v>
      </c>
      <c r="K860" t="s">
        <v>41</v>
      </c>
      <c r="L860" t="s">
        <v>5014</v>
      </c>
      <c r="M860" t="s">
        <v>5015</v>
      </c>
      <c r="N860" t="s">
        <v>847</v>
      </c>
      <c r="O860" t="s">
        <v>100</v>
      </c>
      <c r="P860" t="s">
        <v>5016</v>
      </c>
      <c r="Q860" t="s">
        <v>94</v>
      </c>
      <c r="R860" t="s">
        <v>694</v>
      </c>
      <c r="S860">
        <v>1.99</v>
      </c>
      <c r="T860">
        <v>3366</v>
      </c>
      <c r="U860">
        <v>0</v>
      </c>
      <c r="V860">
        <v>3366</v>
      </c>
    </row>
    <row r="861" spans="1:22" x14ac:dyDescent="0.3">
      <c r="A861">
        <v>79452</v>
      </c>
      <c r="B861">
        <v>135666503</v>
      </c>
      <c r="C861" t="s">
        <v>5017</v>
      </c>
      <c r="D861" t="s">
        <v>5018</v>
      </c>
      <c r="E861" t="s">
        <v>843</v>
      </c>
      <c r="F861" t="s">
        <v>844</v>
      </c>
      <c r="G861" t="s">
        <v>164</v>
      </c>
      <c r="H861" t="s">
        <v>165</v>
      </c>
      <c r="I861" t="s">
        <v>34</v>
      </c>
      <c r="J861" t="s">
        <v>166</v>
      </c>
      <c r="K861" t="s">
        <v>41</v>
      </c>
      <c r="L861" t="s">
        <v>5019</v>
      </c>
      <c r="M861" t="s">
        <v>574</v>
      </c>
      <c r="N861" t="s">
        <v>847</v>
      </c>
      <c r="O861" t="s">
        <v>100</v>
      </c>
      <c r="P861" t="s">
        <v>5020</v>
      </c>
      <c r="Q861" t="s">
        <v>58</v>
      </c>
      <c r="R861" t="s">
        <v>4769</v>
      </c>
      <c r="S861">
        <v>1.1599999999999999</v>
      </c>
      <c r="T861">
        <v>5759</v>
      </c>
      <c r="U861">
        <v>0</v>
      </c>
      <c r="V861">
        <v>5759</v>
      </c>
    </row>
    <row r="862" spans="1:22" x14ac:dyDescent="0.3">
      <c r="A862">
        <v>79452</v>
      </c>
      <c r="B862">
        <v>135706378</v>
      </c>
      <c r="C862" t="s">
        <v>5021</v>
      </c>
      <c r="D862" t="s">
        <v>5022</v>
      </c>
      <c r="E862" t="s">
        <v>843</v>
      </c>
      <c r="F862" t="s">
        <v>844</v>
      </c>
      <c r="G862" t="s">
        <v>164</v>
      </c>
      <c r="H862" t="s">
        <v>165</v>
      </c>
      <c r="I862" t="s">
        <v>34</v>
      </c>
      <c r="J862" t="s">
        <v>166</v>
      </c>
      <c r="K862" t="s">
        <v>41</v>
      </c>
      <c r="L862" t="s">
        <v>5023</v>
      </c>
      <c r="M862" t="s">
        <v>5024</v>
      </c>
      <c r="N862" t="s">
        <v>847</v>
      </c>
      <c r="O862" t="s">
        <v>100</v>
      </c>
      <c r="P862" t="s">
        <v>5025</v>
      </c>
      <c r="Q862" t="s">
        <v>68</v>
      </c>
      <c r="R862" t="s">
        <v>3482</v>
      </c>
      <c r="S862">
        <v>1.39</v>
      </c>
      <c r="T862">
        <v>3753</v>
      </c>
      <c r="U862">
        <v>0</v>
      </c>
      <c r="V862">
        <v>3753</v>
      </c>
    </row>
    <row r="863" spans="1:22" x14ac:dyDescent="0.3">
      <c r="A863">
        <v>79452</v>
      </c>
      <c r="B863">
        <v>135902674</v>
      </c>
      <c r="C863" t="s">
        <v>5026</v>
      </c>
      <c r="D863" t="s">
        <v>5027</v>
      </c>
      <c r="E863" t="s">
        <v>843</v>
      </c>
      <c r="F863" t="s">
        <v>844</v>
      </c>
      <c r="G863" t="s">
        <v>164</v>
      </c>
      <c r="H863" t="s">
        <v>165</v>
      </c>
      <c r="I863" t="s">
        <v>34</v>
      </c>
      <c r="J863" t="s">
        <v>166</v>
      </c>
      <c r="K863" t="s">
        <v>41</v>
      </c>
      <c r="L863" t="s">
        <v>571</v>
      </c>
      <c r="M863" t="s">
        <v>1357</v>
      </c>
      <c r="N863" t="s">
        <v>847</v>
      </c>
      <c r="O863" t="s">
        <v>100</v>
      </c>
      <c r="P863" t="s">
        <v>5028</v>
      </c>
      <c r="Q863" t="s">
        <v>59</v>
      </c>
      <c r="R863" t="s">
        <v>291</v>
      </c>
      <c r="S863">
        <v>1.26</v>
      </c>
      <c r="T863">
        <v>4067</v>
      </c>
      <c r="U863">
        <v>0</v>
      </c>
      <c r="V863">
        <v>4067</v>
      </c>
    </row>
    <row r="864" spans="1:22" x14ac:dyDescent="0.3">
      <c r="A864">
        <v>79452</v>
      </c>
      <c r="B864">
        <v>135745387</v>
      </c>
      <c r="C864" t="s">
        <v>5029</v>
      </c>
      <c r="D864" t="s">
        <v>5030</v>
      </c>
      <c r="E864" t="s">
        <v>843</v>
      </c>
      <c r="F864" t="s">
        <v>844</v>
      </c>
      <c r="G864" t="s">
        <v>164</v>
      </c>
      <c r="H864" t="s">
        <v>165</v>
      </c>
      <c r="I864" t="s">
        <v>34</v>
      </c>
      <c r="J864" t="s">
        <v>166</v>
      </c>
      <c r="K864" t="s">
        <v>41</v>
      </c>
      <c r="L864" t="s">
        <v>5031</v>
      </c>
      <c r="M864" t="s">
        <v>5032</v>
      </c>
      <c r="N864" t="s">
        <v>847</v>
      </c>
      <c r="O864" t="s">
        <v>100</v>
      </c>
      <c r="P864" t="s">
        <v>5033</v>
      </c>
      <c r="Q864" t="s">
        <v>72</v>
      </c>
      <c r="R864" t="s">
        <v>535</v>
      </c>
      <c r="S864">
        <v>1</v>
      </c>
      <c r="T864">
        <v>3784</v>
      </c>
      <c r="U864">
        <v>0</v>
      </c>
      <c r="V864">
        <v>3784</v>
      </c>
    </row>
    <row r="865" spans="1:22" x14ac:dyDescent="0.3">
      <c r="A865">
        <v>79452</v>
      </c>
      <c r="B865">
        <v>135792445</v>
      </c>
      <c r="C865" t="s">
        <v>5034</v>
      </c>
      <c r="D865" t="s">
        <v>5035</v>
      </c>
      <c r="E865" t="s">
        <v>843</v>
      </c>
      <c r="F865" t="s">
        <v>844</v>
      </c>
      <c r="G865" t="s">
        <v>164</v>
      </c>
      <c r="H865" t="s">
        <v>165</v>
      </c>
      <c r="I865" t="s">
        <v>34</v>
      </c>
      <c r="J865" t="s">
        <v>166</v>
      </c>
      <c r="K865" t="s">
        <v>41</v>
      </c>
      <c r="L865" t="s">
        <v>5036</v>
      </c>
      <c r="M865" t="s">
        <v>5037</v>
      </c>
      <c r="N865" t="s">
        <v>847</v>
      </c>
      <c r="O865" t="s">
        <v>100</v>
      </c>
      <c r="P865" t="s">
        <v>5038</v>
      </c>
      <c r="Q865" t="s">
        <v>59</v>
      </c>
      <c r="R865" t="s">
        <v>694</v>
      </c>
      <c r="S865">
        <v>1</v>
      </c>
      <c r="T865">
        <v>4067</v>
      </c>
      <c r="U865">
        <v>0</v>
      </c>
      <c r="V865">
        <v>4067</v>
      </c>
    </row>
    <row r="866" spans="1:22" x14ac:dyDescent="0.3">
      <c r="A866">
        <v>79452</v>
      </c>
      <c r="B866">
        <v>135706410</v>
      </c>
      <c r="C866" t="s">
        <v>5039</v>
      </c>
      <c r="D866" t="s">
        <v>5040</v>
      </c>
      <c r="E866" t="s">
        <v>843</v>
      </c>
      <c r="F866" t="s">
        <v>844</v>
      </c>
      <c r="G866" t="s">
        <v>164</v>
      </c>
      <c r="H866" t="s">
        <v>165</v>
      </c>
      <c r="I866" t="s">
        <v>34</v>
      </c>
      <c r="J866" t="s">
        <v>166</v>
      </c>
      <c r="K866" t="s">
        <v>41</v>
      </c>
      <c r="L866" t="s">
        <v>5041</v>
      </c>
      <c r="M866" t="s">
        <v>812</v>
      </c>
      <c r="N866" t="s">
        <v>847</v>
      </c>
      <c r="O866" t="s">
        <v>100</v>
      </c>
      <c r="P866" t="s">
        <v>813</v>
      </c>
      <c r="Q866" t="s">
        <v>43</v>
      </c>
      <c r="R866" t="s">
        <v>3482</v>
      </c>
      <c r="S866">
        <v>3.24</v>
      </c>
      <c r="T866">
        <v>4322</v>
      </c>
      <c r="U866">
        <v>0</v>
      </c>
      <c r="V866">
        <v>4322</v>
      </c>
    </row>
    <row r="867" spans="1:22" x14ac:dyDescent="0.3">
      <c r="A867">
        <v>79452</v>
      </c>
      <c r="B867">
        <v>135706589</v>
      </c>
      <c r="C867" t="s">
        <v>5042</v>
      </c>
      <c r="D867" t="s">
        <v>5043</v>
      </c>
      <c r="E867" t="s">
        <v>843</v>
      </c>
      <c r="F867" t="s">
        <v>844</v>
      </c>
      <c r="G867" t="s">
        <v>164</v>
      </c>
      <c r="H867" t="s">
        <v>165</v>
      </c>
      <c r="I867" t="s">
        <v>34</v>
      </c>
      <c r="J867" t="s">
        <v>166</v>
      </c>
      <c r="K867" t="s">
        <v>41</v>
      </c>
      <c r="L867" t="s">
        <v>5044</v>
      </c>
      <c r="M867" t="s">
        <v>5045</v>
      </c>
      <c r="N867" t="s">
        <v>847</v>
      </c>
      <c r="O867" t="s">
        <v>100</v>
      </c>
      <c r="P867" t="s">
        <v>5046</v>
      </c>
      <c r="Q867" t="s">
        <v>72</v>
      </c>
      <c r="R867" t="s">
        <v>769</v>
      </c>
      <c r="S867">
        <v>1.34</v>
      </c>
      <c r="T867">
        <v>3784</v>
      </c>
      <c r="U867">
        <v>0</v>
      </c>
      <c r="V867">
        <v>3784</v>
      </c>
    </row>
    <row r="868" spans="1:22" x14ac:dyDescent="0.3">
      <c r="A868">
        <v>79452</v>
      </c>
      <c r="B868">
        <v>135902657</v>
      </c>
      <c r="C868" t="s">
        <v>5047</v>
      </c>
      <c r="D868" t="s">
        <v>5048</v>
      </c>
      <c r="E868" t="s">
        <v>843</v>
      </c>
      <c r="F868" t="s">
        <v>844</v>
      </c>
      <c r="G868" t="s">
        <v>164</v>
      </c>
      <c r="H868" t="s">
        <v>165</v>
      </c>
      <c r="I868" t="s">
        <v>34</v>
      </c>
      <c r="J868" t="s">
        <v>166</v>
      </c>
      <c r="K868" t="s">
        <v>41</v>
      </c>
      <c r="L868" t="s">
        <v>5049</v>
      </c>
      <c r="M868" t="s">
        <v>5050</v>
      </c>
      <c r="N868" t="s">
        <v>847</v>
      </c>
      <c r="O868" t="s">
        <v>100</v>
      </c>
      <c r="P868" t="s">
        <v>5051</v>
      </c>
      <c r="Q868" t="s">
        <v>60</v>
      </c>
      <c r="R868" t="s">
        <v>291</v>
      </c>
      <c r="S868">
        <v>2.41</v>
      </c>
      <c r="T868">
        <v>4346</v>
      </c>
      <c r="U868">
        <v>0</v>
      </c>
      <c r="V868">
        <v>4346</v>
      </c>
    </row>
    <row r="869" spans="1:22" x14ac:dyDescent="0.3">
      <c r="A869">
        <v>79452</v>
      </c>
      <c r="B869">
        <v>135902678</v>
      </c>
      <c r="C869" t="s">
        <v>5052</v>
      </c>
      <c r="D869" t="s">
        <v>5053</v>
      </c>
      <c r="E869" t="s">
        <v>843</v>
      </c>
      <c r="F869" t="s">
        <v>844</v>
      </c>
      <c r="G869" t="s">
        <v>164</v>
      </c>
      <c r="H869" t="s">
        <v>165</v>
      </c>
      <c r="I869" t="s">
        <v>34</v>
      </c>
      <c r="J869" t="s">
        <v>166</v>
      </c>
      <c r="K869" t="s">
        <v>41</v>
      </c>
      <c r="L869" t="s">
        <v>5054</v>
      </c>
      <c r="M869" t="s">
        <v>5055</v>
      </c>
      <c r="N869" t="s">
        <v>847</v>
      </c>
      <c r="O869" t="s">
        <v>100</v>
      </c>
      <c r="P869" t="s">
        <v>5056</v>
      </c>
      <c r="Q869" t="s">
        <v>63</v>
      </c>
      <c r="R869" t="s">
        <v>291</v>
      </c>
      <c r="S869">
        <v>1</v>
      </c>
      <c r="T869">
        <v>4067</v>
      </c>
      <c r="U869">
        <v>0</v>
      </c>
      <c r="V869">
        <v>4067</v>
      </c>
    </row>
    <row r="870" spans="1:22" x14ac:dyDescent="0.3">
      <c r="A870">
        <v>79452</v>
      </c>
      <c r="B870">
        <v>135706536</v>
      </c>
      <c r="C870" t="s">
        <v>5057</v>
      </c>
      <c r="D870" t="s">
        <v>5058</v>
      </c>
      <c r="E870" t="s">
        <v>843</v>
      </c>
      <c r="F870" t="s">
        <v>844</v>
      </c>
      <c r="G870" t="s">
        <v>164</v>
      </c>
      <c r="H870" t="s">
        <v>165</v>
      </c>
      <c r="I870" t="s">
        <v>34</v>
      </c>
      <c r="J870" t="s">
        <v>166</v>
      </c>
      <c r="K870" t="s">
        <v>41</v>
      </c>
      <c r="L870" t="s">
        <v>5059</v>
      </c>
      <c r="M870" t="s">
        <v>5060</v>
      </c>
      <c r="N870" t="s">
        <v>847</v>
      </c>
      <c r="O870" t="s">
        <v>100</v>
      </c>
      <c r="P870" t="s">
        <v>5061</v>
      </c>
      <c r="Q870" t="s">
        <v>50</v>
      </c>
      <c r="R870" t="s">
        <v>3482</v>
      </c>
      <c r="S870">
        <v>1.76</v>
      </c>
      <c r="T870">
        <v>3784</v>
      </c>
      <c r="U870">
        <v>0</v>
      </c>
      <c r="V870">
        <v>3784</v>
      </c>
    </row>
    <row r="871" spans="1:22" x14ac:dyDescent="0.3">
      <c r="A871">
        <v>79452</v>
      </c>
      <c r="B871">
        <v>135745375</v>
      </c>
      <c r="C871" t="s">
        <v>5062</v>
      </c>
      <c r="D871" t="s">
        <v>5063</v>
      </c>
      <c r="E871" t="s">
        <v>843</v>
      </c>
      <c r="F871" t="s">
        <v>844</v>
      </c>
      <c r="G871" t="s">
        <v>164</v>
      </c>
      <c r="H871" t="s">
        <v>165</v>
      </c>
      <c r="I871" t="s">
        <v>34</v>
      </c>
      <c r="J871" t="s">
        <v>166</v>
      </c>
      <c r="K871" t="s">
        <v>41</v>
      </c>
      <c r="L871" t="s">
        <v>5064</v>
      </c>
      <c r="M871" t="s">
        <v>5065</v>
      </c>
      <c r="N871" t="s">
        <v>847</v>
      </c>
      <c r="O871" t="s">
        <v>100</v>
      </c>
      <c r="P871" t="s">
        <v>5066</v>
      </c>
      <c r="Q871" t="s">
        <v>84</v>
      </c>
      <c r="R871" t="s">
        <v>535</v>
      </c>
      <c r="S871">
        <v>1</v>
      </c>
      <c r="T871">
        <v>3366</v>
      </c>
      <c r="U871">
        <v>0</v>
      </c>
      <c r="V871">
        <v>3366</v>
      </c>
    </row>
    <row r="872" spans="1:22" x14ac:dyDescent="0.3">
      <c r="A872">
        <v>79452</v>
      </c>
      <c r="B872">
        <v>135844921</v>
      </c>
      <c r="C872" t="s">
        <v>5067</v>
      </c>
      <c r="D872" t="s">
        <v>5068</v>
      </c>
      <c r="E872" t="s">
        <v>843</v>
      </c>
      <c r="F872" t="s">
        <v>844</v>
      </c>
      <c r="G872" t="s">
        <v>164</v>
      </c>
      <c r="H872" t="s">
        <v>165</v>
      </c>
      <c r="I872" t="s">
        <v>34</v>
      </c>
      <c r="J872" t="s">
        <v>166</v>
      </c>
      <c r="K872" t="s">
        <v>41</v>
      </c>
      <c r="L872" t="s">
        <v>5069</v>
      </c>
      <c r="M872" t="s">
        <v>5070</v>
      </c>
      <c r="N872" t="s">
        <v>847</v>
      </c>
      <c r="O872" t="s">
        <v>100</v>
      </c>
      <c r="P872" t="s">
        <v>5071</v>
      </c>
      <c r="Q872" t="s">
        <v>50</v>
      </c>
      <c r="R872" t="s">
        <v>3877</v>
      </c>
      <c r="S872">
        <v>2.1</v>
      </c>
      <c r="T872">
        <v>3784</v>
      </c>
      <c r="U872">
        <v>0</v>
      </c>
      <c r="V872">
        <v>3784</v>
      </c>
    </row>
    <row r="873" spans="1:22" x14ac:dyDescent="0.3">
      <c r="A873">
        <v>79452</v>
      </c>
      <c r="B873">
        <v>135792399</v>
      </c>
      <c r="C873" t="s">
        <v>5072</v>
      </c>
      <c r="D873" t="s">
        <v>5073</v>
      </c>
      <c r="E873" t="s">
        <v>843</v>
      </c>
      <c r="F873" t="s">
        <v>844</v>
      </c>
      <c r="G873" t="s">
        <v>164</v>
      </c>
      <c r="H873" t="s">
        <v>165</v>
      </c>
      <c r="I873" t="s">
        <v>34</v>
      </c>
      <c r="J873" t="s">
        <v>166</v>
      </c>
      <c r="K873" t="s">
        <v>41</v>
      </c>
      <c r="L873" t="s">
        <v>5074</v>
      </c>
      <c r="M873" t="s">
        <v>5075</v>
      </c>
      <c r="N873" t="s">
        <v>847</v>
      </c>
      <c r="O873" t="s">
        <v>100</v>
      </c>
      <c r="P873" t="s">
        <v>5076</v>
      </c>
      <c r="Q873" t="s">
        <v>50</v>
      </c>
      <c r="R873" t="s">
        <v>694</v>
      </c>
      <c r="S873">
        <v>0.97</v>
      </c>
      <c r="T873">
        <v>3784</v>
      </c>
      <c r="U873">
        <v>0</v>
      </c>
      <c r="V873">
        <v>3784</v>
      </c>
    </row>
    <row r="874" spans="1:22" x14ac:dyDescent="0.3">
      <c r="A874">
        <v>79452</v>
      </c>
      <c r="B874">
        <v>135706416</v>
      </c>
      <c r="C874" t="s">
        <v>5077</v>
      </c>
      <c r="D874" t="s">
        <v>5078</v>
      </c>
      <c r="E874" t="s">
        <v>843</v>
      </c>
      <c r="F874" t="s">
        <v>844</v>
      </c>
      <c r="G874" t="s">
        <v>164</v>
      </c>
      <c r="H874" t="s">
        <v>165</v>
      </c>
      <c r="I874" t="s">
        <v>34</v>
      </c>
      <c r="J874" t="s">
        <v>166</v>
      </c>
      <c r="K874" t="s">
        <v>41</v>
      </c>
      <c r="L874" t="s">
        <v>5079</v>
      </c>
      <c r="M874" t="s">
        <v>5080</v>
      </c>
      <c r="N874" t="s">
        <v>847</v>
      </c>
      <c r="O874" t="s">
        <v>100</v>
      </c>
      <c r="P874" t="s">
        <v>5081</v>
      </c>
      <c r="Q874" t="s">
        <v>72</v>
      </c>
      <c r="R874" t="s">
        <v>3482</v>
      </c>
      <c r="S874">
        <v>1.1000000000000001</v>
      </c>
      <c r="T874">
        <v>3784</v>
      </c>
      <c r="U874">
        <v>0</v>
      </c>
      <c r="V874">
        <v>3784</v>
      </c>
    </row>
    <row r="875" spans="1:22" x14ac:dyDescent="0.3">
      <c r="A875">
        <v>79452</v>
      </c>
      <c r="B875">
        <v>135792406</v>
      </c>
      <c r="C875" t="s">
        <v>5082</v>
      </c>
      <c r="D875" t="s">
        <v>5083</v>
      </c>
      <c r="E875" t="s">
        <v>843</v>
      </c>
      <c r="F875" t="s">
        <v>844</v>
      </c>
      <c r="G875" t="s">
        <v>164</v>
      </c>
      <c r="H875" t="s">
        <v>165</v>
      </c>
      <c r="I875" t="s">
        <v>34</v>
      </c>
      <c r="J875" t="s">
        <v>166</v>
      </c>
      <c r="K875" t="s">
        <v>41</v>
      </c>
      <c r="L875" t="s">
        <v>5084</v>
      </c>
      <c r="M875" t="s">
        <v>5085</v>
      </c>
      <c r="N875" t="s">
        <v>847</v>
      </c>
      <c r="O875" t="s">
        <v>100</v>
      </c>
      <c r="P875" t="s">
        <v>5086</v>
      </c>
      <c r="Q875" t="s">
        <v>69</v>
      </c>
      <c r="R875" t="s">
        <v>694</v>
      </c>
      <c r="S875">
        <v>0.74</v>
      </c>
      <c r="T875">
        <v>3753</v>
      </c>
      <c r="U875">
        <v>0</v>
      </c>
      <c r="V875">
        <v>3753</v>
      </c>
    </row>
    <row r="876" spans="1:22" x14ac:dyDescent="0.3">
      <c r="A876">
        <v>79452</v>
      </c>
      <c r="B876">
        <v>135792430</v>
      </c>
      <c r="C876" t="s">
        <v>5087</v>
      </c>
      <c r="D876" t="s">
        <v>5088</v>
      </c>
      <c r="E876" t="s">
        <v>843</v>
      </c>
      <c r="F876" t="s">
        <v>844</v>
      </c>
      <c r="G876" t="s">
        <v>164</v>
      </c>
      <c r="H876" t="s">
        <v>165</v>
      </c>
      <c r="I876" t="s">
        <v>34</v>
      </c>
      <c r="J876" t="s">
        <v>166</v>
      </c>
      <c r="K876" t="s">
        <v>41</v>
      </c>
      <c r="L876" t="s">
        <v>5089</v>
      </c>
      <c r="M876" t="s">
        <v>5090</v>
      </c>
      <c r="N876" t="s">
        <v>847</v>
      </c>
      <c r="O876" t="s">
        <v>100</v>
      </c>
      <c r="P876" t="s">
        <v>5091</v>
      </c>
      <c r="Q876" t="s">
        <v>49</v>
      </c>
      <c r="R876" t="s">
        <v>694</v>
      </c>
      <c r="S876">
        <v>0.89</v>
      </c>
      <c r="T876">
        <v>3784</v>
      </c>
      <c r="U876">
        <v>0</v>
      </c>
      <c r="V876">
        <v>3784</v>
      </c>
    </row>
    <row r="877" spans="1:22" x14ac:dyDescent="0.3">
      <c r="A877">
        <v>79452</v>
      </c>
      <c r="B877">
        <v>135745458</v>
      </c>
      <c r="C877" t="s">
        <v>5092</v>
      </c>
      <c r="D877" t="s">
        <v>5093</v>
      </c>
      <c r="E877" t="s">
        <v>843</v>
      </c>
      <c r="F877" t="s">
        <v>844</v>
      </c>
      <c r="G877" t="s">
        <v>164</v>
      </c>
      <c r="H877" t="s">
        <v>165</v>
      </c>
      <c r="I877" t="s">
        <v>34</v>
      </c>
      <c r="J877" t="s">
        <v>166</v>
      </c>
      <c r="K877" t="s">
        <v>41</v>
      </c>
      <c r="L877" t="s">
        <v>5094</v>
      </c>
      <c r="M877" t="s">
        <v>5095</v>
      </c>
      <c r="N877" t="s">
        <v>847</v>
      </c>
      <c r="O877" t="s">
        <v>100</v>
      </c>
      <c r="P877" t="s">
        <v>5096</v>
      </c>
      <c r="Q877" t="s">
        <v>72</v>
      </c>
      <c r="R877" t="s">
        <v>738</v>
      </c>
      <c r="S877">
        <v>2.13</v>
      </c>
      <c r="T877">
        <v>3784</v>
      </c>
      <c r="U877">
        <v>0</v>
      </c>
      <c r="V877">
        <v>3784</v>
      </c>
    </row>
    <row r="878" spans="1:22" x14ac:dyDescent="0.3">
      <c r="A878">
        <v>79452</v>
      </c>
      <c r="B878">
        <v>135706382</v>
      </c>
      <c r="C878" t="s">
        <v>5097</v>
      </c>
      <c r="D878" t="s">
        <v>5098</v>
      </c>
      <c r="E878" t="s">
        <v>843</v>
      </c>
      <c r="F878" t="s">
        <v>844</v>
      </c>
      <c r="G878" t="s">
        <v>164</v>
      </c>
      <c r="H878" t="s">
        <v>165</v>
      </c>
      <c r="I878" t="s">
        <v>34</v>
      </c>
      <c r="J878" t="s">
        <v>166</v>
      </c>
      <c r="K878" t="s">
        <v>41</v>
      </c>
      <c r="L878" t="s">
        <v>5099</v>
      </c>
      <c r="M878" t="s">
        <v>5100</v>
      </c>
      <c r="N878" t="s">
        <v>847</v>
      </c>
      <c r="O878" t="s">
        <v>100</v>
      </c>
      <c r="P878" t="s">
        <v>5101</v>
      </c>
      <c r="Q878" t="s">
        <v>68</v>
      </c>
      <c r="R878" t="s">
        <v>3482</v>
      </c>
      <c r="S878">
        <v>1.4</v>
      </c>
      <c r="T878">
        <v>3753</v>
      </c>
      <c r="U878">
        <v>0</v>
      </c>
      <c r="V878">
        <v>3753</v>
      </c>
    </row>
    <row r="879" spans="1:22" x14ac:dyDescent="0.3">
      <c r="A879">
        <v>79452</v>
      </c>
      <c r="B879">
        <v>135745440</v>
      </c>
      <c r="C879" t="s">
        <v>5102</v>
      </c>
      <c r="D879" t="s">
        <v>5103</v>
      </c>
      <c r="E879" t="s">
        <v>843</v>
      </c>
      <c r="F879" t="s">
        <v>844</v>
      </c>
      <c r="G879" t="s">
        <v>164</v>
      </c>
      <c r="H879" t="s">
        <v>165</v>
      </c>
      <c r="I879" t="s">
        <v>34</v>
      </c>
      <c r="J879" t="s">
        <v>166</v>
      </c>
      <c r="K879" t="s">
        <v>41</v>
      </c>
      <c r="L879" t="s">
        <v>5104</v>
      </c>
      <c r="M879" t="s">
        <v>5105</v>
      </c>
      <c r="N879" t="s">
        <v>847</v>
      </c>
      <c r="O879" t="s">
        <v>100</v>
      </c>
      <c r="P879" t="s">
        <v>5106</v>
      </c>
      <c r="Q879" t="s">
        <v>69</v>
      </c>
      <c r="R879" t="s">
        <v>738</v>
      </c>
      <c r="S879">
        <v>1</v>
      </c>
      <c r="T879">
        <v>3753</v>
      </c>
      <c r="U879">
        <v>0</v>
      </c>
      <c r="V879">
        <v>3753</v>
      </c>
    </row>
    <row r="880" spans="1:22" x14ac:dyDescent="0.3">
      <c r="A880">
        <v>79452</v>
      </c>
      <c r="B880">
        <v>135706447</v>
      </c>
      <c r="C880" t="s">
        <v>5107</v>
      </c>
      <c r="D880" t="s">
        <v>5108</v>
      </c>
      <c r="E880" t="s">
        <v>843</v>
      </c>
      <c r="F880" t="s">
        <v>844</v>
      </c>
      <c r="G880" t="s">
        <v>164</v>
      </c>
      <c r="H880" t="s">
        <v>165</v>
      </c>
      <c r="I880" t="s">
        <v>34</v>
      </c>
      <c r="J880" t="s">
        <v>166</v>
      </c>
      <c r="K880" t="s">
        <v>41</v>
      </c>
      <c r="L880" t="s">
        <v>5109</v>
      </c>
      <c r="M880" t="s">
        <v>5110</v>
      </c>
      <c r="N880" t="s">
        <v>847</v>
      </c>
      <c r="O880" t="s">
        <v>100</v>
      </c>
      <c r="P880" t="s">
        <v>5111</v>
      </c>
      <c r="Q880" t="s">
        <v>90</v>
      </c>
      <c r="R880" t="s">
        <v>3482</v>
      </c>
      <c r="S880">
        <v>1</v>
      </c>
      <c r="T880">
        <v>3870</v>
      </c>
      <c r="U880">
        <v>0</v>
      </c>
      <c r="V880">
        <v>3870</v>
      </c>
    </row>
    <row r="881" spans="1:22" x14ac:dyDescent="0.3">
      <c r="A881">
        <v>79452</v>
      </c>
      <c r="B881">
        <v>135706585</v>
      </c>
      <c r="C881" t="s">
        <v>5112</v>
      </c>
      <c r="D881" t="s">
        <v>5113</v>
      </c>
      <c r="E881" t="s">
        <v>843</v>
      </c>
      <c r="F881" t="s">
        <v>844</v>
      </c>
      <c r="G881" t="s">
        <v>164</v>
      </c>
      <c r="H881" t="s">
        <v>165</v>
      </c>
      <c r="I881" t="s">
        <v>34</v>
      </c>
      <c r="J881" t="s">
        <v>166</v>
      </c>
      <c r="K881" t="s">
        <v>41</v>
      </c>
      <c r="L881" t="s">
        <v>5114</v>
      </c>
      <c r="M881" t="s">
        <v>5115</v>
      </c>
      <c r="N881" t="s">
        <v>847</v>
      </c>
      <c r="O881" t="s">
        <v>100</v>
      </c>
      <c r="P881" t="s">
        <v>5116</v>
      </c>
      <c r="Q881" t="s">
        <v>69</v>
      </c>
      <c r="R881" t="s">
        <v>769</v>
      </c>
      <c r="S881">
        <v>1.98</v>
      </c>
      <c r="T881">
        <v>3753</v>
      </c>
      <c r="U881">
        <v>0</v>
      </c>
      <c r="V881">
        <v>3753</v>
      </c>
    </row>
    <row r="882" spans="1:22" x14ac:dyDescent="0.3">
      <c r="A882">
        <v>79452</v>
      </c>
      <c r="B882">
        <v>135706375</v>
      </c>
      <c r="C882" t="s">
        <v>5117</v>
      </c>
      <c r="D882" t="s">
        <v>5118</v>
      </c>
      <c r="E882" t="s">
        <v>843</v>
      </c>
      <c r="F882" t="s">
        <v>844</v>
      </c>
      <c r="G882" t="s">
        <v>164</v>
      </c>
      <c r="H882" t="s">
        <v>165</v>
      </c>
      <c r="I882" t="s">
        <v>34</v>
      </c>
      <c r="J882" t="s">
        <v>166</v>
      </c>
      <c r="K882" t="s">
        <v>41</v>
      </c>
      <c r="L882" t="s">
        <v>5119</v>
      </c>
      <c r="M882" t="s">
        <v>5120</v>
      </c>
      <c r="N882" t="s">
        <v>847</v>
      </c>
      <c r="O882" t="s">
        <v>100</v>
      </c>
      <c r="P882" t="s">
        <v>5121</v>
      </c>
      <c r="Q882" t="s">
        <v>70</v>
      </c>
      <c r="R882" t="s">
        <v>3482</v>
      </c>
      <c r="S882">
        <v>1</v>
      </c>
      <c r="T882">
        <v>3501</v>
      </c>
      <c r="U882">
        <v>0</v>
      </c>
      <c r="V882">
        <v>3501</v>
      </c>
    </row>
    <row r="883" spans="1:22" x14ac:dyDescent="0.3">
      <c r="A883">
        <v>79452</v>
      </c>
      <c r="B883">
        <v>135672417</v>
      </c>
      <c r="C883" t="s">
        <v>5122</v>
      </c>
      <c r="D883" t="s">
        <v>5123</v>
      </c>
      <c r="E883" t="s">
        <v>843</v>
      </c>
      <c r="F883" t="s">
        <v>844</v>
      </c>
      <c r="G883" t="s">
        <v>164</v>
      </c>
      <c r="H883" t="s">
        <v>165</v>
      </c>
      <c r="I883" t="s">
        <v>34</v>
      </c>
      <c r="J883" t="s">
        <v>166</v>
      </c>
      <c r="K883" t="s">
        <v>41</v>
      </c>
      <c r="L883" t="s">
        <v>5124</v>
      </c>
      <c r="M883" t="s">
        <v>5125</v>
      </c>
      <c r="N883" t="s">
        <v>847</v>
      </c>
      <c r="O883" t="s">
        <v>100</v>
      </c>
      <c r="P883" t="s">
        <v>5126</v>
      </c>
      <c r="Q883" t="s">
        <v>58</v>
      </c>
      <c r="R883" t="s">
        <v>695</v>
      </c>
      <c r="S883">
        <v>0.9</v>
      </c>
      <c r="T883">
        <v>5759</v>
      </c>
      <c r="U883">
        <v>0</v>
      </c>
      <c r="V883">
        <v>5759</v>
      </c>
    </row>
    <row r="884" spans="1:22" x14ac:dyDescent="0.3">
      <c r="A884">
        <v>79452</v>
      </c>
      <c r="B884">
        <v>135845077</v>
      </c>
      <c r="C884" t="s">
        <v>5127</v>
      </c>
      <c r="D884" t="s">
        <v>5128</v>
      </c>
      <c r="E884" t="s">
        <v>843</v>
      </c>
      <c r="F884" t="s">
        <v>844</v>
      </c>
      <c r="G884" t="s">
        <v>164</v>
      </c>
      <c r="H884" t="s">
        <v>165</v>
      </c>
      <c r="I884" t="s">
        <v>34</v>
      </c>
      <c r="J884" t="s">
        <v>166</v>
      </c>
      <c r="K884" t="s">
        <v>41</v>
      </c>
      <c r="L884" t="s">
        <v>5129</v>
      </c>
      <c r="M884" t="s">
        <v>5130</v>
      </c>
      <c r="N884" t="s">
        <v>847</v>
      </c>
      <c r="O884" t="s">
        <v>100</v>
      </c>
      <c r="P884" t="s">
        <v>5131</v>
      </c>
      <c r="Q884" t="s">
        <v>68</v>
      </c>
      <c r="R884" t="s">
        <v>503</v>
      </c>
      <c r="S884">
        <v>1</v>
      </c>
      <c r="T884">
        <v>3753</v>
      </c>
      <c r="U884">
        <v>0</v>
      </c>
      <c r="V884">
        <v>3753</v>
      </c>
    </row>
    <row r="885" spans="1:22" x14ac:dyDescent="0.3">
      <c r="A885">
        <v>79452</v>
      </c>
      <c r="B885">
        <v>135745412</v>
      </c>
      <c r="C885" t="s">
        <v>5132</v>
      </c>
      <c r="D885" t="s">
        <v>5133</v>
      </c>
      <c r="E885" t="s">
        <v>843</v>
      </c>
      <c r="F885" t="s">
        <v>844</v>
      </c>
      <c r="G885" t="s">
        <v>164</v>
      </c>
      <c r="H885" t="s">
        <v>165</v>
      </c>
      <c r="I885" t="s">
        <v>34</v>
      </c>
      <c r="J885" t="s">
        <v>166</v>
      </c>
      <c r="K885" t="s">
        <v>41</v>
      </c>
      <c r="L885" t="s">
        <v>5134</v>
      </c>
      <c r="M885" t="s">
        <v>5135</v>
      </c>
      <c r="N885" t="s">
        <v>847</v>
      </c>
      <c r="O885" t="s">
        <v>100</v>
      </c>
      <c r="P885" t="s">
        <v>5136</v>
      </c>
      <c r="Q885" t="s">
        <v>69</v>
      </c>
      <c r="R885" t="s">
        <v>738</v>
      </c>
      <c r="S885">
        <v>1.68</v>
      </c>
      <c r="T885">
        <v>3753</v>
      </c>
      <c r="U885">
        <v>0</v>
      </c>
      <c r="V885">
        <v>3753</v>
      </c>
    </row>
    <row r="886" spans="1:22" x14ac:dyDescent="0.3">
      <c r="A886">
        <v>79452</v>
      </c>
      <c r="B886">
        <v>135706572</v>
      </c>
      <c r="C886" t="s">
        <v>5137</v>
      </c>
      <c r="D886" t="s">
        <v>5138</v>
      </c>
      <c r="E886" t="s">
        <v>843</v>
      </c>
      <c r="F886" t="s">
        <v>844</v>
      </c>
      <c r="G886" t="s">
        <v>164</v>
      </c>
      <c r="H886" t="s">
        <v>165</v>
      </c>
      <c r="I886" t="s">
        <v>34</v>
      </c>
      <c r="J886" t="s">
        <v>166</v>
      </c>
      <c r="K886" t="s">
        <v>41</v>
      </c>
      <c r="L886" t="s">
        <v>5139</v>
      </c>
      <c r="M886" t="s">
        <v>5140</v>
      </c>
      <c r="N886" t="s">
        <v>847</v>
      </c>
      <c r="O886" t="s">
        <v>100</v>
      </c>
      <c r="P886" t="s">
        <v>5141</v>
      </c>
      <c r="Q886" t="s">
        <v>49</v>
      </c>
      <c r="R886" t="s">
        <v>769</v>
      </c>
      <c r="S886">
        <v>1.65</v>
      </c>
      <c r="T886">
        <v>3784</v>
      </c>
      <c r="U886">
        <v>0</v>
      </c>
      <c r="V886">
        <v>3784</v>
      </c>
    </row>
    <row r="887" spans="1:22" x14ac:dyDescent="0.3">
      <c r="A887">
        <v>79452</v>
      </c>
      <c r="B887">
        <v>135902673</v>
      </c>
      <c r="C887" t="s">
        <v>5142</v>
      </c>
      <c r="D887" t="s">
        <v>5143</v>
      </c>
      <c r="E887" t="s">
        <v>843</v>
      </c>
      <c r="F887" t="s">
        <v>844</v>
      </c>
      <c r="G887" t="s">
        <v>164</v>
      </c>
      <c r="H887" t="s">
        <v>165</v>
      </c>
      <c r="I887" t="s">
        <v>34</v>
      </c>
      <c r="J887" t="s">
        <v>166</v>
      </c>
      <c r="K887" t="s">
        <v>41</v>
      </c>
      <c r="L887" t="s">
        <v>5144</v>
      </c>
      <c r="M887" t="s">
        <v>5145</v>
      </c>
      <c r="N887" t="s">
        <v>847</v>
      </c>
      <c r="O887" t="s">
        <v>100</v>
      </c>
      <c r="P887" t="s">
        <v>5146</v>
      </c>
      <c r="Q887" t="s">
        <v>98</v>
      </c>
      <c r="R887" t="s">
        <v>291</v>
      </c>
      <c r="S887">
        <v>1.37</v>
      </c>
      <c r="T887">
        <v>3366</v>
      </c>
      <c r="U887">
        <v>0</v>
      </c>
      <c r="V887">
        <v>3366</v>
      </c>
    </row>
    <row r="888" spans="1:22" x14ac:dyDescent="0.3">
      <c r="A888">
        <v>79452</v>
      </c>
      <c r="B888">
        <v>135706414</v>
      </c>
      <c r="C888" t="s">
        <v>5147</v>
      </c>
      <c r="D888" t="s">
        <v>5148</v>
      </c>
      <c r="E888" t="s">
        <v>843</v>
      </c>
      <c r="F888" t="s">
        <v>844</v>
      </c>
      <c r="G888" t="s">
        <v>164</v>
      </c>
      <c r="H888" t="s">
        <v>165</v>
      </c>
      <c r="I888" t="s">
        <v>34</v>
      </c>
      <c r="J888" t="s">
        <v>166</v>
      </c>
      <c r="K888" t="s">
        <v>41</v>
      </c>
      <c r="L888" t="s">
        <v>5149</v>
      </c>
      <c r="M888" t="s">
        <v>2842</v>
      </c>
      <c r="N888" t="s">
        <v>847</v>
      </c>
      <c r="O888" t="s">
        <v>100</v>
      </c>
      <c r="P888" t="s">
        <v>2843</v>
      </c>
      <c r="Q888" t="s">
        <v>50</v>
      </c>
      <c r="R888" t="s">
        <v>3482</v>
      </c>
      <c r="S888">
        <v>1.43</v>
      </c>
      <c r="T888">
        <v>3784</v>
      </c>
      <c r="U888">
        <v>0</v>
      </c>
      <c r="V888">
        <v>3784</v>
      </c>
    </row>
    <row r="889" spans="1:22" x14ac:dyDescent="0.3">
      <c r="A889">
        <v>79452</v>
      </c>
      <c r="B889">
        <v>135745467</v>
      </c>
      <c r="C889" t="s">
        <v>5150</v>
      </c>
      <c r="D889" t="s">
        <v>5151</v>
      </c>
      <c r="E889" t="s">
        <v>843</v>
      </c>
      <c r="F889" t="s">
        <v>844</v>
      </c>
      <c r="G889" t="s">
        <v>164</v>
      </c>
      <c r="H889" t="s">
        <v>165</v>
      </c>
      <c r="I889" t="s">
        <v>34</v>
      </c>
      <c r="J889" t="s">
        <v>166</v>
      </c>
      <c r="K889" t="s">
        <v>41</v>
      </c>
      <c r="L889" t="s">
        <v>5152</v>
      </c>
      <c r="M889" t="s">
        <v>5153</v>
      </c>
      <c r="N889" t="s">
        <v>847</v>
      </c>
      <c r="O889" t="s">
        <v>100</v>
      </c>
      <c r="P889" t="s">
        <v>5154</v>
      </c>
      <c r="Q889" t="s">
        <v>302</v>
      </c>
      <c r="R889" t="s">
        <v>738</v>
      </c>
      <c r="S889">
        <v>1</v>
      </c>
      <c r="T889">
        <v>3753</v>
      </c>
      <c r="U889">
        <v>0</v>
      </c>
      <c r="V889">
        <v>3753</v>
      </c>
    </row>
    <row r="890" spans="1:22" x14ac:dyDescent="0.3">
      <c r="A890">
        <v>79452</v>
      </c>
      <c r="B890">
        <v>135706421</v>
      </c>
      <c r="C890" t="s">
        <v>5155</v>
      </c>
      <c r="D890" t="s">
        <v>5156</v>
      </c>
      <c r="E890" t="s">
        <v>843</v>
      </c>
      <c r="F890" t="s">
        <v>844</v>
      </c>
      <c r="G890" t="s">
        <v>164</v>
      </c>
      <c r="H890" t="s">
        <v>165</v>
      </c>
      <c r="I890" t="s">
        <v>34</v>
      </c>
      <c r="J890" t="s">
        <v>166</v>
      </c>
      <c r="K890" t="s">
        <v>41</v>
      </c>
      <c r="L890" t="s">
        <v>5157</v>
      </c>
      <c r="M890" t="s">
        <v>5158</v>
      </c>
      <c r="N890" t="s">
        <v>847</v>
      </c>
      <c r="O890" t="s">
        <v>100</v>
      </c>
      <c r="P890" t="s">
        <v>5159</v>
      </c>
      <c r="Q890" t="s">
        <v>72</v>
      </c>
      <c r="R890" t="s">
        <v>3482</v>
      </c>
      <c r="S890">
        <v>1.92</v>
      </c>
      <c r="T890">
        <v>3784</v>
      </c>
      <c r="U890">
        <v>0</v>
      </c>
      <c r="V890">
        <v>3784</v>
      </c>
    </row>
    <row r="891" spans="1:22" x14ac:dyDescent="0.3">
      <c r="A891">
        <v>79452</v>
      </c>
      <c r="B891">
        <v>135706462</v>
      </c>
      <c r="C891" t="s">
        <v>5160</v>
      </c>
      <c r="D891" t="s">
        <v>5161</v>
      </c>
      <c r="E891" t="s">
        <v>843</v>
      </c>
      <c r="F891" t="s">
        <v>844</v>
      </c>
      <c r="G891" t="s">
        <v>164</v>
      </c>
      <c r="H891" t="s">
        <v>165</v>
      </c>
      <c r="I891" t="s">
        <v>34</v>
      </c>
      <c r="J891" t="s">
        <v>166</v>
      </c>
      <c r="K891" t="s">
        <v>41</v>
      </c>
      <c r="L891" t="s">
        <v>5162</v>
      </c>
      <c r="M891" t="s">
        <v>411</v>
      </c>
      <c r="N891" t="s">
        <v>847</v>
      </c>
      <c r="O891" t="s">
        <v>100</v>
      </c>
      <c r="P891" t="s">
        <v>5163</v>
      </c>
      <c r="Q891" t="s">
        <v>84</v>
      </c>
      <c r="R891" t="s">
        <v>3482</v>
      </c>
      <c r="S891">
        <v>1</v>
      </c>
      <c r="T891">
        <v>3366</v>
      </c>
      <c r="U891">
        <v>0</v>
      </c>
      <c r="V891">
        <v>3366</v>
      </c>
    </row>
    <row r="892" spans="1:22" x14ac:dyDescent="0.3">
      <c r="A892">
        <v>79452</v>
      </c>
      <c r="B892">
        <v>135845061</v>
      </c>
      <c r="C892" t="s">
        <v>5164</v>
      </c>
      <c r="D892" t="s">
        <v>5165</v>
      </c>
      <c r="E892" t="s">
        <v>843</v>
      </c>
      <c r="F892" t="s">
        <v>844</v>
      </c>
      <c r="G892" t="s">
        <v>164</v>
      </c>
      <c r="H892" t="s">
        <v>165</v>
      </c>
      <c r="I892" t="s">
        <v>34</v>
      </c>
      <c r="J892" t="s">
        <v>166</v>
      </c>
      <c r="K892" t="s">
        <v>41</v>
      </c>
      <c r="L892" t="s">
        <v>5166</v>
      </c>
      <c r="M892" t="s">
        <v>5167</v>
      </c>
      <c r="N892" t="s">
        <v>847</v>
      </c>
      <c r="O892" t="s">
        <v>100</v>
      </c>
      <c r="P892" t="s">
        <v>5168</v>
      </c>
      <c r="Q892" t="s">
        <v>97</v>
      </c>
      <c r="R892" t="s">
        <v>503</v>
      </c>
      <c r="S892">
        <v>1.5</v>
      </c>
      <c r="T892">
        <v>3366</v>
      </c>
      <c r="U892">
        <v>0</v>
      </c>
      <c r="V892">
        <v>3366</v>
      </c>
    </row>
    <row r="893" spans="1:22" x14ac:dyDescent="0.3">
      <c r="A893">
        <v>79452</v>
      </c>
      <c r="B893">
        <v>135745364</v>
      </c>
      <c r="C893" t="s">
        <v>5169</v>
      </c>
      <c r="D893" t="s">
        <v>5170</v>
      </c>
      <c r="E893" t="s">
        <v>843</v>
      </c>
      <c r="F893" t="s">
        <v>844</v>
      </c>
      <c r="G893" t="s">
        <v>164</v>
      </c>
      <c r="H893" t="s">
        <v>165</v>
      </c>
      <c r="I893" t="s">
        <v>34</v>
      </c>
      <c r="J893" t="s">
        <v>166</v>
      </c>
      <c r="K893" t="s">
        <v>41</v>
      </c>
      <c r="L893" t="s">
        <v>5171</v>
      </c>
      <c r="M893" t="s">
        <v>5172</v>
      </c>
      <c r="N893" t="s">
        <v>847</v>
      </c>
      <c r="O893" t="s">
        <v>100</v>
      </c>
      <c r="P893" t="s">
        <v>5173</v>
      </c>
      <c r="Q893" t="s">
        <v>71</v>
      </c>
      <c r="R893" t="s">
        <v>535</v>
      </c>
      <c r="S893">
        <v>0.94</v>
      </c>
      <c r="T893">
        <v>3501</v>
      </c>
      <c r="U893">
        <v>0</v>
      </c>
      <c r="V893">
        <v>3501</v>
      </c>
    </row>
    <row r="894" spans="1:22" x14ac:dyDescent="0.3">
      <c r="A894">
        <v>79452</v>
      </c>
      <c r="B894">
        <v>135706564</v>
      </c>
      <c r="C894" t="s">
        <v>5174</v>
      </c>
      <c r="D894" t="s">
        <v>5175</v>
      </c>
      <c r="E894" t="s">
        <v>843</v>
      </c>
      <c r="F894" t="s">
        <v>844</v>
      </c>
      <c r="G894" t="s">
        <v>164</v>
      </c>
      <c r="H894" t="s">
        <v>165</v>
      </c>
      <c r="I894" t="s">
        <v>34</v>
      </c>
      <c r="J894" t="s">
        <v>166</v>
      </c>
      <c r="K894" t="s">
        <v>41</v>
      </c>
      <c r="L894" t="s">
        <v>5176</v>
      </c>
      <c r="M894" t="s">
        <v>5177</v>
      </c>
      <c r="N894" t="s">
        <v>847</v>
      </c>
      <c r="O894" t="s">
        <v>100</v>
      </c>
      <c r="P894" t="s">
        <v>5178</v>
      </c>
      <c r="Q894" t="s">
        <v>69</v>
      </c>
      <c r="R894" t="s">
        <v>3482</v>
      </c>
      <c r="S894">
        <v>1</v>
      </c>
      <c r="T894">
        <v>3753</v>
      </c>
      <c r="U894">
        <v>0</v>
      </c>
      <c r="V894">
        <v>3753</v>
      </c>
    </row>
    <row r="895" spans="1:22" x14ac:dyDescent="0.3">
      <c r="A895">
        <v>79452</v>
      </c>
      <c r="B895">
        <v>135706465</v>
      </c>
      <c r="C895" t="s">
        <v>5179</v>
      </c>
      <c r="D895" t="s">
        <v>5180</v>
      </c>
      <c r="E895" t="s">
        <v>843</v>
      </c>
      <c r="F895" t="s">
        <v>844</v>
      </c>
      <c r="G895" t="s">
        <v>164</v>
      </c>
      <c r="H895" t="s">
        <v>165</v>
      </c>
      <c r="I895" t="s">
        <v>34</v>
      </c>
      <c r="J895" t="s">
        <v>166</v>
      </c>
      <c r="K895" t="s">
        <v>41</v>
      </c>
      <c r="L895" t="s">
        <v>5181</v>
      </c>
      <c r="M895" t="s">
        <v>3729</v>
      </c>
      <c r="N895" t="s">
        <v>847</v>
      </c>
      <c r="O895" t="s">
        <v>100</v>
      </c>
      <c r="P895" t="s">
        <v>3730</v>
      </c>
      <c r="Q895" t="s">
        <v>43</v>
      </c>
      <c r="R895" t="s">
        <v>3482</v>
      </c>
      <c r="S895">
        <v>2.38</v>
      </c>
      <c r="T895">
        <v>3753</v>
      </c>
      <c r="U895">
        <v>0</v>
      </c>
      <c r="V895">
        <v>3753</v>
      </c>
    </row>
    <row r="896" spans="1:22" x14ac:dyDescent="0.3">
      <c r="A896">
        <v>79452</v>
      </c>
      <c r="B896">
        <v>135706474</v>
      </c>
      <c r="C896" t="s">
        <v>5182</v>
      </c>
      <c r="D896" t="s">
        <v>5183</v>
      </c>
      <c r="E896" t="s">
        <v>843</v>
      </c>
      <c r="F896" t="s">
        <v>844</v>
      </c>
      <c r="G896" t="s">
        <v>164</v>
      </c>
      <c r="H896" t="s">
        <v>165</v>
      </c>
      <c r="I896" t="s">
        <v>34</v>
      </c>
      <c r="J896" t="s">
        <v>166</v>
      </c>
      <c r="K896" t="s">
        <v>41</v>
      </c>
      <c r="L896" t="s">
        <v>5184</v>
      </c>
      <c r="M896" t="s">
        <v>5185</v>
      </c>
      <c r="N896" t="s">
        <v>847</v>
      </c>
      <c r="O896" t="s">
        <v>100</v>
      </c>
      <c r="P896" t="s">
        <v>5186</v>
      </c>
      <c r="Q896" t="s">
        <v>87</v>
      </c>
      <c r="R896" t="s">
        <v>3482</v>
      </c>
      <c r="S896">
        <v>1.75</v>
      </c>
      <c r="T896">
        <v>3366</v>
      </c>
      <c r="U896">
        <v>0</v>
      </c>
      <c r="V896">
        <v>3366</v>
      </c>
    </row>
    <row r="897" spans="1:22" x14ac:dyDescent="0.3">
      <c r="A897">
        <v>79452</v>
      </c>
      <c r="B897">
        <v>135706453</v>
      </c>
      <c r="C897" t="s">
        <v>5187</v>
      </c>
      <c r="D897" t="s">
        <v>5188</v>
      </c>
      <c r="E897" t="s">
        <v>843</v>
      </c>
      <c r="F897" t="s">
        <v>844</v>
      </c>
      <c r="G897" t="s">
        <v>164</v>
      </c>
      <c r="H897" t="s">
        <v>165</v>
      </c>
      <c r="I897" t="s">
        <v>34</v>
      </c>
      <c r="J897" t="s">
        <v>166</v>
      </c>
      <c r="K897" t="s">
        <v>41</v>
      </c>
      <c r="L897" t="s">
        <v>5189</v>
      </c>
      <c r="M897" t="s">
        <v>5190</v>
      </c>
      <c r="N897" t="s">
        <v>847</v>
      </c>
      <c r="O897" t="s">
        <v>100</v>
      </c>
      <c r="P897" t="s">
        <v>5191</v>
      </c>
      <c r="Q897" t="s">
        <v>61</v>
      </c>
      <c r="R897" t="s">
        <v>3482</v>
      </c>
      <c r="S897">
        <v>1.56</v>
      </c>
      <c r="T897">
        <v>4067</v>
      </c>
      <c r="U897">
        <v>0</v>
      </c>
      <c r="V897">
        <v>4067</v>
      </c>
    </row>
    <row r="898" spans="1:22" x14ac:dyDescent="0.3">
      <c r="A898">
        <v>79452</v>
      </c>
      <c r="B898">
        <v>135706458</v>
      </c>
      <c r="C898" t="s">
        <v>5192</v>
      </c>
      <c r="D898" t="s">
        <v>5193</v>
      </c>
      <c r="E898" t="s">
        <v>843</v>
      </c>
      <c r="F898" t="s">
        <v>844</v>
      </c>
      <c r="G898" t="s">
        <v>164</v>
      </c>
      <c r="H898" t="s">
        <v>165</v>
      </c>
      <c r="I898" t="s">
        <v>34</v>
      </c>
      <c r="J898" t="s">
        <v>166</v>
      </c>
      <c r="K898" t="s">
        <v>41</v>
      </c>
      <c r="L898" t="s">
        <v>5194</v>
      </c>
      <c r="M898" t="s">
        <v>5195</v>
      </c>
      <c r="N898" t="s">
        <v>847</v>
      </c>
      <c r="O898" t="s">
        <v>100</v>
      </c>
      <c r="P898" t="s">
        <v>5196</v>
      </c>
      <c r="Q898" t="s">
        <v>74</v>
      </c>
      <c r="R898" t="s">
        <v>3482</v>
      </c>
      <c r="S898">
        <v>1</v>
      </c>
      <c r="T898">
        <v>3753</v>
      </c>
      <c r="U898">
        <v>0</v>
      </c>
      <c r="V898">
        <v>3753</v>
      </c>
    </row>
    <row r="899" spans="1:22" x14ac:dyDescent="0.3">
      <c r="A899">
        <v>79452</v>
      </c>
      <c r="B899">
        <v>135706409</v>
      </c>
      <c r="C899" t="s">
        <v>5197</v>
      </c>
      <c r="D899" t="s">
        <v>5198</v>
      </c>
      <c r="E899" t="s">
        <v>843</v>
      </c>
      <c r="F899" t="s">
        <v>844</v>
      </c>
      <c r="G899" t="s">
        <v>164</v>
      </c>
      <c r="H899" t="s">
        <v>165</v>
      </c>
      <c r="I899" t="s">
        <v>34</v>
      </c>
      <c r="J899" t="s">
        <v>166</v>
      </c>
      <c r="K899" t="s">
        <v>41</v>
      </c>
      <c r="L899" t="s">
        <v>5199</v>
      </c>
      <c r="M899" t="s">
        <v>5200</v>
      </c>
      <c r="N899" t="s">
        <v>847</v>
      </c>
      <c r="O899" t="s">
        <v>100</v>
      </c>
      <c r="P899" t="s">
        <v>5201</v>
      </c>
      <c r="Q899" t="s">
        <v>190</v>
      </c>
      <c r="R899" t="s">
        <v>3482</v>
      </c>
      <c r="S899">
        <v>0.92</v>
      </c>
      <c r="T899">
        <v>3366</v>
      </c>
      <c r="U899">
        <v>0</v>
      </c>
      <c r="V899">
        <v>3366</v>
      </c>
    </row>
    <row r="900" spans="1:22" x14ac:dyDescent="0.3">
      <c r="A900">
        <v>79452</v>
      </c>
      <c r="B900">
        <v>135845086</v>
      </c>
      <c r="C900" t="s">
        <v>5202</v>
      </c>
      <c r="D900" t="s">
        <v>5203</v>
      </c>
      <c r="E900" t="s">
        <v>843</v>
      </c>
      <c r="F900" t="s">
        <v>844</v>
      </c>
      <c r="G900" t="s">
        <v>164</v>
      </c>
      <c r="H900" t="s">
        <v>165</v>
      </c>
      <c r="I900" t="s">
        <v>34</v>
      </c>
      <c r="J900" t="s">
        <v>166</v>
      </c>
      <c r="K900" t="s">
        <v>41</v>
      </c>
      <c r="L900" t="s">
        <v>5204</v>
      </c>
      <c r="M900" t="s">
        <v>5205</v>
      </c>
      <c r="N900" t="s">
        <v>847</v>
      </c>
      <c r="O900" t="s">
        <v>100</v>
      </c>
      <c r="P900" t="s">
        <v>5206</v>
      </c>
      <c r="Q900" t="s">
        <v>50</v>
      </c>
      <c r="R900" t="s">
        <v>503</v>
      </c>
      <c r="S900">
        <v>1.53</v>
      </c>
      <c r="T900">
        <v>3784</v>
      </c>
      <c r="U900">
        <v>0</v>
      </c>
      <c r="V900">
        <v>3784</v>
      </c>
    </row>
    <row r="901" spans="1:22" x14ac:dyDescent="0.3">
      <c r="A901">
        <v>79452</v>
      </c>
      <c r="B901">
        <v>135792412</v>
      </c>
      <c r="C901" t="s">
        <v>5207</v>
      </c>
      <c r="D901" t="s">
        <v>5208</v>
      </c>
      <c r="E901" t="s">
        <v>843</v>
      </c>
      <c r="F901" t="s">
        <v>844</v>
      </c>
      <c r="G901" t="s">
        <v>164</v>
      </c>
      <c r="H901" t="s">
        <v>165</v>
      </c>
      <c r="I901" t="s">
        <v>34</v>
      </c>
      <c r="J901" t="s">
        <v>166</v>
      </c>
      <c r="K901" t="s">
        <v>41</v>
      </c>
      <c r="L901" t="s">
        <v>5209</v>
      </c>
      <c r="M901" t="s">
        <v>5210</v>
      </c>
      <c r="N901" t="s">
        <v>847</v>
      </c>
      <c r="O901" t="s">
        <v>100</v>
      </c>
      <c r="P901" t="s">
        <v>5211</v>
      </c>
      <c r="Q901" t="s">
        <v>72</v>
      </c>
      <c r="R901" t="s">
        <v>694</v>
      </c>
      <c r="S901">
        <v>2.1800000000000002</v>
      </c>
      <c r="T901">
        <v>3784</v>
      </c>
      <c r="U901">
        <v>0</v>
      </c>
      <c r="V901">
        <v>3784</v>
      </c>
    </row>
    <row r="902" spans="1:22" x14ac:dyDescent="0.3">
      <c r="A902">
        <v>79452</v>
      </c>
      <c r="B902">
        <v>135706531</v>
      </c>
      <c r="C902" t="s">
        <v>5212</v>
      </c>
      <c r="D902" t="s">
        <v>5213</v>
      </c>
      <c r="E902" t="s">
        <v>843</v>
      </c>
      <c r="F902" t="s">
        <v>844</v>
      </c>
      <c r="G902" t="s">
        <v>164</v>
      </c>
      <c r="H902" t="s">
        <v>165</v>
      </c>
      <c r="I902" t="s">
        <v>34</v>
      </c>
      <c r="J902" t="s">
        <v>166</v>
      </c>
      <c r="K902" t="s">
        <v>41</v>
      </c>
      <c r="L902" t="s">
        <v>5214</v>
      </c>
      <c r="M902" t="s">
        <v>2857</v>
      </c>
      <c r="N902" t="s">
        <v>847</v>
      </c>
      <c r="O902" t="s">
        <v>100</v>
      </c>
      <c r="P902" t="s">
        <v>5215</v>
      </c>
      <c r="Q902" t="s">
        <v>90</v>
      </c>
      <c r="R902" t="s">
        <v>3482</v>
      </c>
      <c r="S902">
        <v>1</v>
      </c>
      <c r="T902">
        <v>3870</v>
      </c>
      <c r="U902">
        <v>0</v>
      </c>
      <c r="V902">
        <v>3870</v>
      </c>
    </row>
    <row r="903" spans="1:22" x14ac:dyDescent="0.3">
      <c r="A903">
        <v>79452</v>
      </c>
      <c r="B903">
        <v>135745444</v>
      </c>
      <c r="C903" t="s">
        <v>5216</v>
      </c>
      <c r="D903" t="s">
        <v>5217</v>
      </c>
      <c r="E903" t="s">
        <v>843</v>
      </c>
      <c r="F903" t="s">
        <v>844</v>
      </c>
      <c r="G903" t="s">
        <v>164</v>
      </c>
      <c r="H903" t="s">
        <v>165</v>
      </c>
      <c r="I903" t="s">
        <v>34</v>
      </c>
      <c r="J903" t="s">
        <v>166</v>
      </c>
      <c r="K903" t="s">
        <v>41</v>
      </c>
      <c r="L903" t="s">
        <v>5218</v>
      </c>
      <c r="M903" t="s">
        <v>5219</v>
      </c>
      <c r="N903" t="s">
        <v>847</v>
      </c>
      <c r="O903" t="s">
        <v>100</v>
      </c>
      <c r="P903" t="s">
        <v>5220</v>
      </c>
      <c r="Q903" t="s">
        <v>274</v>
      </c>
      <c r="R903" t="s">
        <v>738</v>
      </c>
      <c r="S903">
        <v>0.97</v>
      </c>
      <c r="T903">
        <v>3366</v>
      </c>
      <c r="U903">
        <v>0</v>
      </c>
      <c r="V903">
        <v>3366</v>
      </c>
    </row>
    <row r="904" spans="1:22" x14ac:dyDescent="0.3">
      <c r="A904">
        <v>79452</v>
      </c>
      <c r="B904">
        <v>135672445</v>
      </c>
      <c r="C904" t="s">
        <v>5221</v>
      </c>
      <c r="D904" t="s">
        <v>5222</v>
      </c>
      <c r="E904" t="s">
        <v>843</v>
      </c>
      <c r="F904" t="s">
        <v>844</v>
      </c>
      <c r="G904" t="s">
        <v>164</v>
      </c>
      <c r="H904" t="s">
        <v>165</v>
      </c>
      <c r="I904" t="s">
        <v>34</v>
      </c>
      <c r="J904" t="s">
        <v>166</v>
      </c>
      <c r="K904" t="s">
        <v>44</v>
      </c>
      <c r="L904" t="s">
        <v>188</v>
      </c>
      <c r="M904" t="s">
        <v>2176</v>
      </c>
      <c r="N904" t="s">
        <v>847</v>
      </c>
      <c r="O904" t="s">
        <v>100</v>
      </c>
      <c r="P904" t="s">
        <v>2177</v>
      </c>
      <c r="Q904" t="s">
        <v>55</v>
      </c>
      <c r="R904" t="s">
        <v>695</v>
      </c>
      <c r="S904">
        <v>1.01</v>
      </c>
      <c r="T904">
        <v>5198</v>
      </c>
      <c r="U904">
        <v>0</v>
      </c>
      <c r="V904">
        <v>5198</v>
      </c>
    </row>
    <row r="905" spans="1:22" x14ac:dyDescent="0.3">
      <c r="A905">
        <v>79452</v>
      </c>
      <c r="B905">
        <v>135792364</v>
      </c>
      <c r="C905" t="s">
        <v>5223</v>
      </c>
      <c r="D905" t="s">
        <v>5224</v>
      </c>
      <c r="E905" t="s">
        <v>843</v>
      </c>
      <c r="F905" t="s">
        <v>844</v>
      </c>
      <c r="G905" t="s">
        <v>164</v>
      </c>
      <c r="H905" t="s">
        <v>165</v>
      </c>
      <c r="I905" t="s">
        <v>34</v>
      </c>
      <c r="J905" t="s">
        <v>166</v>
      </c>
      <c r="K905" t="s">
        <v>41</v>
      </c>
      <c r="L905" t="s">
        <v>5225</v>
      </c>
      <c r="M905" t="s">
        <v>5226</v>
      </c>
      <c r="N905" t="s">
        <v>847</v>
      </c>
      <c r="O905" t="s">
        <v>100</v>
      </c>
      <c r="P905" t="s">
        <v>5227</v>
      </c>
      <c r="Q905" t="s">
        <v>190</v>
      </c>
      <c r="R905" t="s">
        <v>694</v>
      </c>
      <c r="S905">
        <v>1.28</v>
      </c>
      <c r="T905">
        <v>3366</v>
      </c>
      <c r="U905">
        <v>0</v>
      </c>
      <c r="V905">
        <v>3366</v>
      </c>
    </row>
    <row r="906" spans="1:22" x14ac:dyDescent="0.3">
      <c r="A906">
        <v>79452</v>
      </c>
      <c r="B906">
        <v>135902623</v>
      </c>
      <c r="C906" t="s">
        <v>5228</v>
      </c>
      <c r="D906" t="s">
        <v>5229</v>
      </c>
      <c r="E906" t="s">
        <v>843</v>
      </c>
      <c r="F906" t="s">
        <v>844</v>
      </c>
      <c r="G906" t="s">
        <v>164</v>
      </c>
      <c r="H906" t="s">
        <v>165</v>
      </c>
      <c r="I906" t="s">
        <v>34</v>
      </c>
      <c r="J906" t="s">
        <v>166</v>
      </c>
      <c r="K906" t="s">
        <v>41</v>
      </c>
      <c r="L906" t="s">
        <v>5230</v>
      </c>
      <c r="M906" t="s">
        <v>5231</v>
      </c>
      <c r="N906" t="s">
        <v>847</v>
      </c>
      <c r="O906" t="s">
        <v>100</v>
      </c>
      <c r="P906" t="s">
        <v>5232</v>
      </c>
      <c r="Q906" t="s">
        <v>92</v>
      </c>
      <c r="R906" t="s">
        <v>291</v>
      </c>
      <c r="S906">
        <v>2.02</v>
      </c>
      <c r="T906">
        <v>3366</v>
      </c>
      <c r="U906">
        <v>0</v>
      </c>
      <c r="V906">
        <v>3366</v>
      </c>
    </row>
    <row r="907" spans="1:22" x14ac:dyDescent="0.3">
      <c r="A907">
        <v>79452</v>
      </c>
      <c r="B907">
        <v>135706551</v>
      </c>
      <c r="C907" t="s">
        <v>5233</v>
      </c>
      <c r="D907" t="s">
        <v>5234</v>
      </c>
      <c r="E907" t="s">
        <v>843</v>
      </c>
      <c r="F907" t="s">
        <v>844</v>
      </c>
      <c r="G907" t="s">
        <v>164</v>
      </c>
      <c r="H907" t="s">
        <v>165</v>
      </c>
      <c r="I907" t="s">
        <v>34</v>
      </c>
      <c r="J907" t="s">
        <v>166</v>
      </c>
      <c r="K907" t="s">
        <v>41</v>
      </c>
      <c r="L907" t="s">
        <v>5235</v>
      </c>
      <c r="M907" t="s">
        <v>5236</v>
      </c>
      <c r="N907" t="s">
        <v>847</v>
      </c>
      <c r="O907" t="s">
        <v>100</v>
      </c>
      <c r="P907" t="s">
        <v>5237</v>
      </c>
      <c r="Q907" t="s">
        <v>216</v>
      </c>
      <c r="R907" t="s">
        <v>3482</v>
      </c>
      <c r="S907">
        <v>1</v>
      </c>
      <c r="T907">
        <v>3366</v>
      </c>
      <c r="U907">
        <v>0</v>
      </c>
      <c r="V907">
        <v>3366</v>
      </c>
    </row>
    <row r="908" spans="1:22" x14ac:dyDescent="0.3">
      <c r="A908">
        <v>79452</v>
      </c>
      <c r="B908">
        <v>135672415</v>
      </c>
      <c r="C908" t="s">
        <v>5238</v>
      </c>
      <c r="D908" t="s">
        <v>5239</v>
      </c>
      <c r="E908" t="s">
        <v>843</v>
      </c>
      <c r="F908" t="s">
        <v>844</v>
      </c>
      <c r="G908" t="s">
        <v>164</v>
      </c>
      <c r="H908" t="s">
        <v>165</v>
      </c>
      <c r="I908" t="s">
        <v>34</v>
      </c>
      <c r="J908" t="s">
        <v>166</v>
      </c>
      <c r="K908" t="s">
        <v>41</v>
      </c>
      <c r="L908" t="s">
        <v>5240</v>
      </c>
      <c r="M908" t="s">
        <v>5241</v>
      </c>
      <c r="N908" t="s">
        <v>847</v>
      </c>
      <c r="O908" t="s">
        <v>100</v>
      </c>
      <c r="P908" t="s">
        <v>5242</v>
      </c>
      <c r="Q908" t="s">
        <v>224</v>
      </c>
      <c r="R908" t="s">
        <v>695</v>
      </c>
      <c r="S908">
        <v>1</v>
      </c>
      <c r="T908">
        <v>4067</v>
      </c>
      <c r="U908">
        <v>0</v>
      </c>
      <c r="V908">
        <v>4067</v>
      </c>
    </row>
    <row r="909" spans="1:22" x14ac:dyDescent="0.3">
      <c r="A909">
        <v>79452</v>
      </c>
      <c r="B909">
        <v>135672401</v>
      </c>
      <c r="C909" t="s">
        <v>5243</v>
      </c>
      <c r="D909" t="s">
        <v>5244</v>
      </c>
      <c r="E909" t="s">
        <v>843</v>
      </c>
      <c r="F909" t="s">
        <v>844</v>
      </c>
      <c r="G909" t="s">
        <v>164</v>
      </c>
      <c r="H909" t="s">
        <v>165</v>
      </c>
      <c r="I909" t="s">
        <v>34</v>
      </c>
      <c r="J909" t="s">
        <v>166</v>
      </c>
      <c r="K909" t="s">
        <v>41</v>
      </c>
      <c r="L909" t="s">
        <v>5245</v>
      </c>
      <c r="M909" t="s">
        <v>5246</v>
      </c>
      <c r="N909" t="s">
        <v>847</v>
      </c>
      <c r="O909" t="s">
        <v>100</v>
      </c>
      <c r="P909" t="s">
        <v>5247</v>
      </c>
      <c r="Q909" t="s">
        <v>96</v>
      </c>
      <c r="R909" t="s">
        <v>695</v>
      </c>
      <c r="S909">
        <v>0.9</v>
      </c>
      <c r="T909">
        <v>3870</v>
      </c>
      <c r="U909">
        <v>0</v>
      </c>
      <c r="V909">
        <v>3870</v>
      </c>
    </row>
    <row r="910" spans="1:22" x14ac:dyDescent="0.3">
      <c r="A910">
        <v>79452</v>
      </c>
      <c r="B910">
        <v>135573813</v>
      </c>
      <c r="C910" t="s">
        <v>5248</v>
      </c>
      <c r="D910" t="s">
        <v>5249</v>
      </c>
      <c r="E910" t="s">
        <v>843</v>
      </c>
      <c r="F910" t="s">
        <v>844</v>
      </c>
      <c r="G910" t="s">
        <v>164</v>
      </c>
      <c r="H910" t="s">
        <v>165</v>
      </c>
      <c r="I910" t="s">
        <v>34</v>
      </c>
      <c r="J910" t="s">
        <v>166</v>
      </c>
      <c r="K910" t="s">
        <v>41</v>
      </c>
      <c r="L910" t="s">
        <v>5250</v>
      </c>
      <c r="M910" t="s">
        <v>5251</v>
      </c>
      <c r="N910" t="s">
        <v>847</v>
      </c>
      <c r="O910" t="s">
        <v>100</v>
      </c>
      <c r="P910" t="s">
        <v>5252</v>
      </c>
      <c r="Q910" t="s">
        <v>55</v>
      </c>
      <c r="R910" t="s">
        <v>3358</v>
      </c>
      <c r="S910">
        <v>1.1200000000000001</v>
      </c>
      <c r="T910">
        <v>5198</v>
      </c>
      <c r="U910">
        <v>0</v>
      </c>
      <c r="V910">
        <v>5198</v>
      </c>
    </row>
    <row r="911" spans="1:22" x14ac:dyDescent="0.3">
      <c r="A911">
        <v>79452</v>
      </c>
      <c r="B911">
        <v>135554225</v>
      </c>
      <c r="C911" t="s">
        <v>5253</v>
      </c>
      <c r="D911" t="s">
        <v>5254</v>
      </c>
      <c r="E911" t="s">
        <v>843</v>
      </c>
      <c r="F911" t="s">
        <v>844</v>
      </c>
      <c r="G911" t="s">
        <v>164</v>
      </c>
      <c r="H911" t="s">
        <v>165</v>
      </c>
      <c r="I911" t="s">
        <v>34</v>
      </c>
      <c r="J911" t="s">
        <v>166</v>
      </c>
      <c r="K911" t="s">
        <v>41</v>
      </c>
      <c r="L911" t="s">
        <v>5255</v>
      </c>
      <c r="M911" t="s">
        <v>2373</v>
      </c>
      <c r="N911" t="s">
        <v>847</v>
      </c>
      <c r="O911" t="s">
        <v>100</v>
      </c>
      <c r="P911" t="s">
        <v>5256</v>
      </c>
      <c r="Q911" t="s">
        <v>118</v>
      </c>
      <c r="R911" t="s">
        <v>4496</v>
      </c>
      <c r="S911">
        <v>0.66</v>
      </c>
      <c r="T911">
        <v>4346</v>
      </c>
      <c r="U911">
        <v>0</v>
      </c>
      <c r="V911">
        <v>4346</v>
      </c>
    </row>
    <row r="912" spans="1:22" x14ac:dyDescent="0.3">
      <c r="A912">
        <v>79452</v>
      </c>
      <c r="B912">
        <v>135672436</v>
      </c>
      <c r="C912" t="s">
        <v>5257</v>
      </c>
      <c r="D912" t="s">
        <v>5258</v>
      </c>
      <c r="E912" t="s">
        <v>843</v>
      </c>
      <c r="F912" t="s">
        <v>844</v>
      </c>
      <c r="G912" t="s">
        <v>164</v>
      </c>
      <c r="H912" t="s">
        <v>165</v>
      </c>
      <c r="I912" t="s">
        <v>34</v>
      </c>
      <c r="J912" t="s">
        <v>166</v>
      </c>
      <c r="K912" t="s">
        <v>41</v>
      </c>
      <c r="L912" t="s">
        <v>5259</v>
      </c>
      <c r="M912" t="s">
        <v>5260</v>
      </c>
      <c r="N912" t="s">
        <v>847</v>
      </c>
      <c r="O912" t="s">
        <v>100</v>
      </c>
      <c r="P912" t="s">
        <v>5261</v>
      </c>
      <c r="Q912" t="s">
        <v>57</v>
      </c>
      <c r="R912" t="s">
        <v>695</v>
      </c>
      <c r="S912">
        <v>2.06</v>
      </c>
      <c r="T912">
        <v>5476</v>
      </c>
      <c r="U912">
        <v>0</v>
      </c>
      <c r="V912">
        <v>5476</v>
      </c>
    </row>
    <row r="913" spans="1:22" x14ac:dyDescent="0.3">
      <c r="A913">
        <v>79452</v>
      </c>
      <c r="B913">
        <v>135672422</v>
      </c>
      <c r="C913" t="s">
        <v>5262</v>
      </c>
      <c r="D913" t="s">
        <v>5263</v>
      </c>
      <c r="E913" t="s">
        <v>843</v>
      </c>
      <c r="F913" t="s">
        <v>844</v>
      </c>
      <c r="G913" t="s">
        <v>164</v>
      </c>
      <c r="H913" t="s">
        <v>165</v>
      </c>
      <c r="I913" t="s">
        <v>34</v>
      </c>
      <c r="J913" t="s">
        <v>166</v>
      </c>
      <c r="K913" t="s">
        <v>41</v>
      </c>
      <c r="L913" t="s">
        <v>5264</v>
      </c>
      <c r="M913" t="s">
        <v>3283</v>
      </c>
      <c r="N913" t="s">
        <v>847</v>
      </c>
      <c r="O913" t="s">
        <v>100</v>
      </c>
      <c r="P913" t="s">
        <v>3284</v>
      </c>
      <c r="Q913" t="s">
        <v>57</v>
      </c>
      <c r="R913" t="s">
        <v>695</v>
      </c>
      <c r="S913">
        <v>2.82</v>
      </c>
      <c r="T913">
        <v>5476</v>
      </c>
      <c r="U913">
        <v>0</v>
      </c>
      <c r="V913">
        <v>5476</v>
      </c>
    </row>
    <row r="914" spans="1:22" x14ac:dyDescent="0.3">
      <c r="A914">
        <v>79452</v>
      </c>
      <c r="B914">
        <v>135666513</v>
      </c>
      <c r="C914" t="s">
        <v>5265</v>
      </c>
      <c r="D914" t="s">
        <v>5266</v>
      </c>
      <c r="E914" t="s">
        <v>843</v>
      </c>
      <c r="F914" t="s">
        <v>844</v>
      </c>
      <c r="G914" t="s">
        <v>164</v>
      </c>
      <c r="H914" t="s">
        <v>165</v>
      </c>
      <c r="I914" t="s">
        <v>34</v>
      </c>
      <c r="J914" t="s">
        <v>166</v>
      </c>
      <c r="K914" t="s">
        <v>41</v>
      </c>
      <c r="L914" t="s">
        <v>5267</v>
      </c>
      <c r="M914" t="s">
        <v>5268</v>
      </c>
      <c r="N914" t="s">
        <v>847</v>
      </c>
      <c r="O914" t="s">
        <v>100</v>
      </c>
      <c r="P914" t="s">
        <v>5269</v>
      </c>
      <c r="Q914" t="s">
        <v>59</v>
      </c>
      <c r="R914" t="s">
        <v>4769</v>
      </c>
      <c r="S914">
        <v>2.35</v>
      </c>
      <c r="T914">
        <v>4067</v>
      </c>
      <c r="U914">
        <v>0</v>
      </c>
      <c r="V914">
        <v>4067</v>
      </c>
    </row>
    <row r="915" spans="1:22" x14ac:dyDescent="0.3">
      <c r="A915">
        <v>79452</v>
      </c>
      <c r="B915">
        <v>135672403</v>
      </c>
      <c r="C915" t="s">
        <v>5270</v>
      </c>
      <c r="D915" t="s">
        <v>5271</v>
      </c>
      <c r="E915" t="s">
        <v>843</v>
      </c>
      <c r="F915" t="s">
        <v>844</v>
      </c>
      <c r="G915" t="s">
        <v>164</v>
      </c>
      <c r="H915" t="s">
        <v>165</v>
      </c>
      <c r="I915" t="s">
        <v>34</v>
      </c>
      <c r="J915" t="s">
        <v>166</v>
      </c>
      <c r="K915" t="s">
        <v>41</v>
      </c>
      <c r="L915" t="s">
        <v>5272</v>
      </c>
      <c r="M915" t="s">
        <v>5273</v>
      </c>
      <c r="N915" t="s">
        <v>847</v>
      </c>
      <c r="O915" t="s">
        <v>100</v>
      </c>
      <c r="P915" t="s">
        <v>5274</v>
      </c>
      <c r="Q915" t="s">
        <v>60</v>
      </c>
      <c r="R915" t="s">
        <v>695</v>
      </c>
      <c r="S915">
        <v>3.5</v>
      </c>
      <c r="T915">
        <v>5376</v>
      </c>
      <c r="U915">
        <v>0</v>
      </c>
      <c r="V915">
        <v>5376</v>
      </c>
    </row>
    <row r="916" spans="1:22" x14ac:dyDescent="0.3">
      <c r="A916">
        <v>79452</v>
      </c>
      <c r="B916">
        <v>135666651</v>
      </c>
      <c r="C916" t="s">
        <v>5275</v>
      </c>
      <c r="D916" t="s">
        <v>5276</v>
      </c>
      <c r="E916" t="s">
        <v>843</v>
      </c>
      <c r="F916" t="s">
        <v>844</v>
      </c>
      <c r="G916" t="s">
        <v>164</v>
      </c>
      <c r="H916" t="s">
        <v>165</v>
      </c>
      <c r="I916" t="s">
        <v>34</v>
      </c>
      <c r="J916" t="s">
        <v>166</v>
      </c>
      <c r="K916" t="s">
        <v>41</v>
      </c>
      <c r="L916" t="s">
        <v>5277</v>
      </c>
      <c r="M916" t="s">
        <v>5278</v>
      </c>
      <c r="N916" t="s">
        <v>847</v>
      </c>
      <c r="O916" t="s">
        <v>100</v>
      </c>
      <c r="P916" t="s">
        <v>5279</v>
      </c>
      <c r="Q916" t="s">
        <v>43</v>
      </c>
      <c r="R916" t="s">
        <v>5280</v>
      </c>
      <c r="S916">
        <v>1.3</v>
      </c>
      <c r="T916">
        <v>3753</v>
      </c>
      <c r="U916">
        <v>0</v>
      </c>
      <c r="V916">
        <v>3753</v>
      </c>
    </row>
    <row r="917" spans="1:22" x14ac:dyDescent="0.3">
      <c r="A917">
        <v>79452</v>
      </c>
      <c r="B917">
        <v>135666469</v>
      </c>
      <c r="C917" t="s">
        <v>5281</v>
      </c>
      <c r="D917" t="s">
        <v>5282</v>
      </c>
      <c r="E917" t="s">
        <v>843</v>
      </c>
      <c r="F917" t="s">
        <v>844</v>
      </c>
      <c r="G917" t="s">
        <v>164</v>
      </c>
      <c r="H917" t="s">
        <v>165</v>
      </c>
      <c r="I917" t="s">
        <v>34</v>
      </c>
      <c r="J917" t="s">
        <v>166</v>
      </c>
      <c r="K917" t="s">
        <v>41</v>
      </c>
      <c r="L917" t="s">
        <v>5283</v>
      </c>
      <c r="M917" t="s">
        <v>5284</v>
      </c>
      <c r="N917" t="s">
        <v>847</v>
      </c>
      <c r="O917" t="s">
        <v>100</v>
      </c>
      <c r="P917" t="s">
        <v>5285</v>
      </c>
      <c r="Q917" t="s">
        <v>69</v>
      </c>
      <c r="R917" t="s">
        <v>4769</v>
      </c>
      <c r="S917">
        <v>0.9</v>
      </c>
      <c r="T917">
        <v>3753</v>
      </c>
      <c r="U917">
        <v>0</v>
      </c>
      <c r="V917">
        <v>3753</v>
      </c>
    </row>
    <row r="918" spans="1:22" x14ac:dyDescent="0.3">
      <c r="A918">
        <v>79452</v>
      </c>
      <c r="B918">
        <v>135666475</v>
      </c>
      <c r="C918" t="s">
        <v>5286</v>
      </c>
      <c r="D918" t="s">
        <v>5287</v>
      </c>
      <c r="E918" t="s">
        <v>843</v>
      </c>
      <c r="F918" t="s">
        <v>844</v>
      </c>
      <c r="G918" t="s">
        <v>164</v>
      </c>
      <c r="H918" t="s">
        <v>165</v>
      </c>
      <c r="I918" t="s">
        <v>34</v>
      </c>
      <c r="J918" t="s">
        <v>166</v>
      </c>
      <c r="K918" t="s">
        <v>41</v>
      </c>
      <c r="L918" t="s">
        <v>5288</v>
      </c>
      <c r="M918" t="s">
        <v>5289</v>
      </c>
      <c r="N918" t="s">
        <v>847</v>
      </c>
      <c r="O918" t="s">
        <v>100</v>
      </c>
      <c r="P918" t="s">
        <v>5290</v>
      </c>
      <c r="Q918" t="s">
        <v>83</v>
      </c>
      <c r="R918" t="s">
        <v>4769</v>
      </c>
      <c r="S918">
        <v>1.06</v>
      </c>
      <c r="T918">
        <v>3366</v>
      </c>
      <c r="U918">
        <v>0</v>
      </c>
      <c r="V918">
        <v>3366</v>
      </c>
    </row>
    <row r="919" spans="1:22" x14ac:dyDescent="0.3">
      <c r="A919">
        <v>79452</v>
      </c>
      <c r="B919">
        <v>135672413</v>
      </c>
      <c r="C919" t="s">
        <v>5291</v>
      </c>
      <c r="D919" t="s">
        <v>5292</v>
      </c>
      <c r="E919" t="s">
        <v>843</v>
      </c>
      <c r="F919" t="s">
        <v>844</v>
      </c>
      <c r="G919" t="s">
        <v>164</v>
      </c>
      <c r="H919" t="s">
        <v>165</v>
      </c>
      <c r="I919" t="s">
        <v>34</v>
      </c>
      <c r="J919" t="s">
        <v>166</v>
      </c>
      <c r="K919" t="s">
        <v>44</v>
      </c>
      <c r="L919" t="s">
        <v>188</v>
      </c>
      <c r="M919" t="s">
        <v>5293</v>
      </c>
      <c r="N919" t="s">
        <v>847</v>
      </c>
      <c r="O919" t="s">
        <v>100</v>
      </c>
      <c r="P919" t="s">
        <v>5294</v>
      </c>
      <c r="Q919" t="s">
        <v>64</v>
      </c>
      <c r="R919" t="s">
        <v>695</v>
      </c>
      <c r="S919">
        <v>2.19</v>
      </c>
      <c r="T919">
        <v>4067</v>
      </c>
      <c r="U919">
        <v>0</v>
      </c>
      <c r="V919">
        <v>4067</v>
      </c>
    </row>
    <row r="920" spans="1:22" x14ac:dyDescent="0.3">
      <c r="A920">
        <v>79452</v>
      </c>
      <c r="B920">
        <v>135672412</v>
      </c>
      <c r="C920" t="s">
        <v>5295</v>
      </c>
      <c r="D920" t="s">
        <v>5296</v>
      </c>
      <c r="E920" t="s">
        <v>843</v>
      </c>
      <c r="F920" t="s">
        <v>844</v>
      </c>
      <c r="G920" t="s">
        <v>164</v>
      </c>
      <c r="H920" t="s">
        <v>165</v>
      </c>
      <c r="I920" t="s">
        <v>34</v>
      </c>
      <c r="J920" t="s">
        <v>166</v>
      </c>
      <c r="K920" t="s">
        <v>41</v>
      </c>
      <c r="L920" t="s">
        <v>5297</v>
      </c>
      <c r="M920" t="s">
        <v>5298</v>
      </c>
      <c r="N920" t="s">
        <v>847</v>
      </c>
      <c r="O920" t="s">
        <v>100</v>
      </c>
      <c r="P920" t="s">
        <v>5299</v>
      </c>
      <c r="Q920" t="s">
        <v>63</v>
      </c>
      <c r="R920" t="s">
        <v>695</v>
      </c>
      <c r="S920">
        <v>2.4300000000000002</v>
      </c>
      <c r="T920">
        <v>4067</v>
      </c>
      <c r="U920">
        <v>0</v>
      </c>
      <c r="V920">
        <v>4067</v>
      </c>
    </row>
    <row r="921" spans="1:22" x14ac:dyDescent="0.3">
      <c r="A921">
        <v>79452</v>
      </c>
      <c r="B921">
        <v>135672454</v>
      </c>
      <c r="C921" t="s">
        <v>5300</v>
      </c>
      <c r="D921" t="s">
        <v>5301</v>
      </c>
      <c r="E921" t="s">
        <v>843</v>
      </c>
      <c r="F921" t="s">
        <v>844</v>
      </c>
      <c r="G921" t="s">
        <v>164</v>
      </c>
      <c r="H921" t="s">
        <v>165</v>
      </c>
      <c r="I921" t="s">
        <v>34</v>
      </c>
      <c r="J921" t="s">
        <v>166</v>
      </c>
      <c r="K921" t="s">
        <v>41</v>
      </c>
      <c r="L921" t="s">
        <v>5302</v>
      </c>
      <c r="M921" t="s">
        <v>5303</v>
      </c>
      <c r="N921" t="s">
        <v>847</v>
      </c>
      <c r="O921" t="s">
        <v>100</v>
      </c>
      <c r="P921" t="s">
        <v>5304</v>
      </c>
      <c r="Q921" t="s">
        <v>69</v>
      </c>
      <c r="R921" t="s">
        <v>695</v>
      </c>
      <c r="S921">
        <v>1</v>
      </c>
      <c r="T921">
        <v>3753</v>
      </c>
      <c r="U921">
        <v>0</v>
      </c>
      <c r="V921">
        <v>3753</v>
      </c>
    </row>
    <row r="922" spans="1:22" x14ac:dyDescent="0.3">
      <c r="A922">
        <v>79452</v>
      </c>
      <c r="B922">
        <v>135666517</v>
      </c>
      <c r="C922" t="s">
        <v>5305</v>
      </c>
      <c r="D922" t="s">
        <v>5306</v>
      </c>
      <c r="E922" t="s">
        <v>843</v>
      </c>
      <c r="F922" t="s">
        <v>844</v>
      </c>
      <c r="G922" t="s">
        <v>164</v>
      </c>
      <c r="H922" t="s">
        <v>165</v>
      </c>
      <c r="I922" t="s">
        <v>34</v>
      </c>
      <c r="J922" t="s">
        <v>166</v>
      </c>
      <c r="K922" t="s">
        <v>41</v>
      </c>
      <c r="L922" t="s">
        <v>5307</v>
      </c>
      <c r="M922" t="s">
        <v>5308</v>
      </c>
      <c r="N922" t="s">
        <v>847</v>
      </c>
      <c r="O922" t="s">
        <v>100</v>
      </c>
      <c r="P922" t="s">
        <v>5309</v>
      </c>
      <c r="Q922" t="s">
        <v>63</v>
      </c>
      <c r="R922" t="s">
        <v>4769</v>
      </c>
      <c r="S922">
        <v>2.44</v>
      </c>
      <c r="T922">
        <v>4067</v>
      </c>
      <c r="U922">
        <v>0</v>
      </c>
      <c r="V922">
        <v>4067</v>
      </c>
    </row>
    <row r="923" spans="1:22" x14ac:dyDescent="0.3">
      <c r="A923">
        <v>79452</v>
      </c>
      <c r="B923">
        <v>135666477</v>
      </c>
      <c r="C923" t="s">
        <v>5310</v>
      </c>
      <c r="D923" t="s">
        <v>5311</v>
      </c>
      <c r="E923" t="s">
        <v>843</v>
      </c>
      <c r="F923" t="s">
        <v>844</v>
      </c>
      <c r="G923" t="s">
        <v>164</v>
      </c>
      <c r="H923" t="s">
        <v>165</v>
      </c>
      <c r="I923" t="s">
        <v>34</v>
      </c>
      <c r="J923" t="s">
        <v>166</v>
      </c>
      <c r="K923" t="s">
        <v>41</v>
      </c>
      <c r="L923" t="s">
        <v>5312</v>
      </c>
      <c r="M923" t="s">
        <v>5313</v>
      </c>
      <c r="N923" t="s">
        <v>847</v>
      </c>
      <c r="O923" t="s">
        <v>100</v>
      </c>
      <c r="P923" t="s">
        <v>5314</v>
      </c>
      <c r="Q923" t="s">
        <v>69</v>
      </c>
      <c r="R923" t="s">
        <v>4769</v>
      </c>
      <c r="S923">
        <v>1</v>
      </c>
      <c r="T923">
        <v>3753</v>
      </c>
      <c r="U923">
        <v>0</v>
      </c>
      <c r="V923">
        <v>3753</v>
      </c>
    </row>
    <row r="924" spans="1:22" x14ac:dyDescent="0.3">
      <c r="A924">
        <v>79452</v>
      </c>
      <c r="B924">
        <v>135672440</v>
      </c>
      <c r="C924" t="s">
        <v>5315</v>
      </c>
      <c r="D924" t="s">
        <v>5316</v>
      </c>
      <c r="E924" t="s">
        <v>843</v>
      </c>
      <c r="F924" t="s">
        <v>844</v>
      </c>
      <c r="G924" t="s">
        <v>164</v>
      </c>
      <c r="H924" t="s">
        <v>165</v>
      </c>
      <c r="I924" t="s">
        <v>34</v>
      </c>
      <c r="J924" t="s">
        <v>166</v>
      </c>
      <c r="K924" t="s">
        <v>41</v>
      </c>
      <c r="L924" t="s">
        <v>5317</v>
      </c>
      <c r="M924" t="s">
        <v>5318</v>
      </c>
      <c r="N924" t="s">
        <v>847</v>
      </c>
      <c r="O924" t="s">
        <v>100</v>
      </c>
      <c r="P924" t="s">
        <v>5319</v>
      </c>
      <c r="Q924" t="s">
        <v>308</v>
      </c>
      <c r="R924" t="s">
        <v>695</v>
      </c>
      <c r="S924">
        <v>1</v>
      </c>
      <c r="T924">
        <v>3753</v>
      </c>
      <c r="U924">
        <v>0</v>
      </c>
      <c r="V924">
        <v>3753</v>
      </c>
    </row>
    <row r="925" spans="1:22" x14ac:dyDescent="0.3">
      <c r="A925">
        <v>79452</v>
      </c>
      <c r="B925">
        <v>135666514</v>
      </c>
      <c r="C925" t="s">
        <v>5320</v>
      </c>
      <c r="D925" t="s">
        <v>5321</v>
      </c>
      <c r="E925" t="s">
        <v>843</v>
      </c>
      <c r="F925" t="s">
        <v>844</v>
      </c>
      <c r="G925" t="s">
        <v>164</v>
      </c>
      <c r="H925" t="s">
        <v>165</v>
      </c>
      <c r="I925" t="s">
        <v>34</v>
      </c>
      <c r="J925" t="s">
        <v>166</v>
      </c>
      <c r="K925" t="s">
        <v>41</v>
      </c>
      <c r="L925" t="s">
        <v>5322</v>
      </c>
      <c r="M925" t="s">
        <v>5323</v>
      </c>
      <c r="N925" t="s">
        <v>847</v>
      </c>
      <c r="O925" t="s">
        <v>100</v>
      </c>
      <c r="P925" t="s">
        <v>5324</v>
      </c>
      <c r="Q925" t="s">
        <v>61</v>
      </c>
      <c r="R925" t="s">
        <v>4769</v>
      </c>
      <c r="S925">
        <v>2.5</v>
      </c>
      <c r="T925">
        <v>4067</v>
      </c>
      <c r="U925">
        <v>0</v>
      </c>
      <c r="V925">
        <v>4067</v>
      </c>
    </row>
    <row r="926" spans="1:22" x14ac:dyDescent="0.3">
      <c r="A926">
        <v>79452</v>
      </c>
      <c r="B926">
        <v>135672391</v>
      </c>
      <c r="C926" t="s">
        <v>5325</v>
      </c>
      <c r="D926" t="s">
        <v>5326</v>
      </c>
      <c r="E926" t="s">
        <v>843</v>
      </c>
      <c r="F926" t="s">
        <v>844</v>
      </c>
      <c r="G926" t="s">
        <v>164</v>
      </c>
      <c r="H926" t="s">
        <v>165</v>
      </c>
      <c r="I926" t="s">
        <v>34</v>
      </c>
      <c r="J926" t="s">
        <v>166</v>
      </c>
      <c r="K926" t="s">
        <v>41</v>
      </c>
      <c r="L926" t="s">
        <v>5327</v>
      </c>
      <c r="M926" t="s">
        <v>5328</v>
      </c>
      <c r="N926" t="s">
        <v>847</v>
      </c>
      <c r="O926" t="s">
        <v>100</v>
      </c>
      <c r="P926" t="s">
        <v>5329</v>
      </c>
      <c r="Q926" t="s">
        <v>49</v>
      </c>
      <c r="R926" t="s">
        <v>695</v>
      </c>
      <c r="S926">
        <v>2.2799999999999998</v>
      </c>
      <c r="T926">
        <v>3784</v>
      </c>
      <c r="U926">
        <v>0</v>
      </c>
      <c r="V926">
        <v>3784</v>
      </c>
    </row>
    <row r="927" spans="1:22" x14ac:dyDescent="0.3">
      <c r="A927">
        <v>79452</v>
      </c>
      <c r="B927">
        <v>135666470</v>
      </c>
      <c r="C927" t="s">
        <v>5330</v>
      </c>
      <c r="D927" t="s">
        <v>5331</v>
      </c>
      <c r="E927" t="s">
        <v>843</v>
      </c>
      <c r="F927" t="s">
        <v>844</v>
      </c>
      <c r="G927" t="s">
        <v>164</v>
      </c>
      <c r="H927" t="s">
        <v>165</v>
      </c>
      <c r="I927" t="s">
        <v>34</v>
      </c>
      <c r="J927" t="s">
        <v>166</v>
      </c>
      <c r="K927" t="s">
        <v>41</v>
      </c>
      <c r="L927" t="s">
        <v>5332</v>
      </c>
      <c r="M927" t="s">
        <v>5333</v>
      </c>
      <c r="N927" t="s">
        <v>847</v>
      </c>
      <c r="O927" t="s">
        <v>100</v>
      </c>
      <c r="P927" t="s">
        <v>5334</v>
      </c>
      <c r="Q927" t="s">
        <v>98</v>
      </c>
      <c r="R927" t="s">
        <v>4769</v>
      </c>
      <c r="S927">
        <v>0.87</v>
      </c>
      <c r="T927">
        <v>3366</v>
      </c>
      <c r="U927">
        <v>0</v>
      </c>
      <c r="V927">
        <v>3366</v>
      </c>
    </row>
    <row r="928" spans="1:22" x14ac:dyDescent="0.3">
      <c r="A928">
        <v>79452</v>
      </c>
      <c r="B928">
        <v>135666486</v>
      </c>
      <c r="C928" t="s">
        <v>5335</v>
      </c>
      <c r="D928" t="s">
        <v>5336</v>
      </c>
      <c r="E928" t="s">
        <v>843</v>
      </c>
      <c r="F928" t="s">
        <v>844</v>
      </c>
      <c r="G928" t="s">
        <v>164</v>
      </c>
      <c r="H928" t="s">
        <v>165</v>
      </c>
      <c r="I928" t="s">
        <v>34</v>
      </c>
      <c r="J928" t="s">
        <v>166</v>
      </c>
      <c r="K928" t="s">
        <v>41</v>
      </c>
      <c r="L928" t="s">
        <v>5337</v>
      </c>
      <c r="M928" t="s">
        <v>5338</v>
      </c>
      <c r="N928" t="s">
        <v>847</v>
      </c>
      <c r="O928" t="s">
        <v>100</v>
      </c>
      <c r="P928" t="s">
        <v>5339</v>
      </c>
      <c r="Q928" t="s">
        <v>302</v>
      </c>
      <c r="R928" t="s">
        <v>4769</v>
      </c>
      <c r="S928">
        <v>1</v>
      </c>
      <c r="T928">
        <v>3753</v>
      </c>
      <c r="U928">
        <v>0</v>
      </c>
      <c r="V928">
        <v>3753</v>
      </c>
    </row>
    <row r="929" spans="1:22" x14ac:dyDescent="0.3">
      <c r="A929">
        <v>79452</v>
      </c>
      <c r="B929">
        <v>135672452</v>
      </c>
      <c r="C929" t="s">
        <v>5340</v>
      </c>
      <c r="D929" t="s">
        <v>5341</v>
      </c>
      <c r="E929" t="s">
        <v>843</v>
      </c>
      <c r="F929" t="s">
        <v>844</v>
      </c>
      <c r="G929" t="s">
        <v>164</v>
      </c>
      <c r="H929" t="s">
        <v>165</v>
      </c>
      <c r="I929" t="s">
        <v>34</v>
      </c>
      <c r="J929" t="s">
        <v>166</v>
      </c>
      <c r="K929" t="s">
        <v>41</v>
      </c>
      <c r="L929" t="s">
        <v>5342</v>
      </c>
      <c r="M929" t="s">
        <v>5343</v>
      </c>
      <c r="N929" t="s">
        <v>847</v>
      </c>
      <c r="O929" t="s">
        <v>100</v>
      </c>
      <c r="P929" t="s">
        <v>5344</v>
      </c>
      <c r="Q929" t="s">
        <v>97</v>
      </c>
      <c r="R929" t="s">
        <v>695</v>
      </c>
      <c r="S929">
        <v>1.8</v>
      </c>
      <c r="T929">
        <v>3366</v>
      </c>
      <c r="U929">
        <v>0</v>
      </c>
      <c r="V929">
        <v>3366</v>
      </c>
    </row>
    <row r="930" spans="1:22" x14ac:dyDescent="0.3">
      <c r="A930">
        <v>79452</v>
      </c>
      <c r="B930">
        <v>135666512</v>
      </c>
      <c r="C930" t="s">
        <v>5345</v>
      </c>
      <c r="D930" t="s">
        <v>5346</v>
      </c>
      <c r="E930" t="s">
        <v>843</v>
      </c>
      <c r="F930" t="s">
        <v>844</v>
      </c>
      <c r="G930" t="s">
        <v>164</v>
      </c>
      <c r="H930" t="s">
        <v>165</v>
      </c>
      <c r="I930" t="s">
        <v>34</v>
      </c>
      <c r="J930" t="s">
        <v>166</v>
      </c>
      <c r="K930" t="s">
        <v>41</v>
      </c>
      <c r="L930" t="s">
        <v>5347</v>
      </c>
      <c r="M930" t="s">
        <v>5348</v>
      </c>
      <c r="N930" t="s">
        <v>847</v>
      </c>
      <c r="O930" t="s">
        <v>100</v>
      </c>
      <c r="P930" t="s">
        <v>5349</v>
      </c>
      <c r="Q930" t="s">
        <v>71</v>
      </c>
      <c r="R930" t="s">
        <v>4769</v>
      </c>
      <c r="S930">
        <v>2.36</v>
      </c>
      <c r="T930">
        <v>3501</v>
      </c>
      <c r="U930">
        <v>0</v>
      </c>
      <c r="V930">
        <v>3501</v>
      </c>
    </row>
    <row r="931" spans="1:22" x14ac:dyDescent="0.3">
      <c r="A931">
        <v>79452</v>
      </c>
      <c r="B931">
        <v>135628108</v>
      </c>
      <c r="C931" t="s">
        <v>5350</v>
      </c>
      <c r="D931" t="s">
        <v>5351</v>
      </c>
      <c r="E931" t="s">
        <v>843</v>
      </c>
      <c r="F931" t="s">
        <v>844</v>
      </c>
      <c r="G931" t="s">
        <v>164</v>
      </c>
      <c r="H931" t="s">
        <v>165</v>
      </c>
      <c r="I931" t="s">
        <v>34</v>
      </c>
      <c r="J931" t="s">
        <v>166</v>
      </c>
      <c r="K931" t="s">
        <v>41</v>
      </c>
      <c r="L931" t="s">
        <v>5352</v>
      </c>
      <c r="M931" t="s">
        <v>5353</v>
      </c>
      <c r="N931" t="s">
        <v>847</v>
      </c>
      <c r="O931" t="s">
        <v>100</v>
      </c>
      <c r="P931" t="s">
        <v>5354</v>
      </c>
      <c r="Q931" t="s">
        <v>61</v>
      </c>
      <c r="R931" t="s">
        <v>713</v>
      </c>
      <c r="S931">
        <v>0.77</v>
      </c>
      <c r="T931">
        <v>4067</v>
      </c>
      <c r="U931">
        <v>0</v>
      </c>
      <c r="V931">
        <v>4067</v>
      </c>
    </row>
    <row r="932" spans="1:22" x14ac:dyDescent="0.3">
      <c r="A932">
        <v>79452</v>
      </c>
      <c r="B932">
        <v>135605879</v>
      </c>
      <c r="C932" t="s">
        <v>5355</v>
      </c>
      <c r="D932" t="s">
        <v>5356</v>
      </c>
      <c r="E932" t="s">
        <v>843</v>
      </c>
      <c r="F932" t="s">
        <v>844</v>
      </c>
      <c r="G932" t="s">
        <v>164</v>
      </c>
      <c r="H932" t="s">
        <v>165</v>
      </c>
      <c r="I932" t="s">
        <v>34</v>
      </c>
      <c r="J932" t="s">
        <v>166</v>
      </c>
      <c r="K932" t="s">
        <v>44</v>
      </c>
      <c r="L932" t="s">
        <v>188</v>
      </c>
      <c r="M932" t="s">
        <v>5357</v>
      </c>
      <c r="N932" t="s">
        <v>847</v>
      </c>
      <c r="O932" t="s">
        <v>100</v>
      </c>
      <c r="P932" t="s">
        <v>5358</v>
      </c>
      <c r="Q932" t="s">
        <v>202</v>
      </c>
      <c r="R932" t="s">
        <v>3373</v>
      </c>
      <c r="S932">
        <v>1</v>
      </c>
      <c r="T932">
        <v>3784</v>
      </c>
      <c r="U932">
        <v>0</v>
      </c>
      <c r="V932">
        <v>3784</v>
      </c>
    </row>
    <row r="933" spans="1:22" x14ac:dyDescent="0.3">
      <c r="A933">
        <v>79452</v>
      </c>
      <c r="B933">
        <v>135605883</v>
      </c>
      <c r="C933" t="s">
        <v>5359</v>
      </c>
      <c r="D933" t="s">
        <v>5360</v>
      </c>
      <c r="E933" t="s">
        <v>843</v>
      </c>
      <c r="F933" t="s">
        <v>844</v>
      </c>
      <c r="G933" t="s">
        <v>164</v>
      </c>
      <c r="H933" t="s">
        <v>165</v>
      </c>
      <c r="I933" t="s">
        <v>34</v>
      </c>
      <c r="J933" t="s">
        <v>166</v>
      </c>
      <c r="K933" t="s">
        <v>41</v>
      </c>
      <c r="L933" t="s">
        <v>5361</v>
      </c>
      <c r="M933" t="s">
        <v>5362</v>
      </c>
      <c r="N933" t="s">
        <v>847</v>
      </c>
      <c r="O933" t="s">
        <v>100</v>
      </c>
      <c r="P933" t="s">
        <v>5363</v>
      </c>
      <c r="Q933" t="s">
        <v>190</v>
      </c>
      <c r="R933" t="s">
        <v>3373</v>
      </c>
      <c r="S933">
        <v>1</v>
      </c>
      <c r="T933">
        <v>3366</v>
      </c>
      <c r="U933">
        <v>0</v>
      </c>
      <c r="V933">
        <v>3366</v>
      </c>
    </row>
    <row r="934" spans="1:22" x14ac:dyDescent="0.3">
      <c r="A934">
        <v>79452</v>
      </c>
      <c r="B934">
        <v>135628172</v>
      </c>
      <c r="C934" t="s">
        <v>5364</v>
      </c>
      <c r="D934" t="s">
        <v>5365</v>
      </c>
      <c r="E934" t="s">
        <v>843</v>
      </c>
      <c r="F934" t="s">
        <v>844</v>
      </c>
      <c r="G934" t="s">
        <v>164</v>
      </c>
      <c r="H934" t="s">
        <v>165</v>
      </c>
      <c r="I934" t="s">
        <v>34</v>
      </c>
      <c r="J934" t="s">
        <v>166</v>
      </c>
      <c r="K934" t="s">
        <v>41</v>
      </c>
      <c r="L934" t="s">
        <v>5366</v>
      </c>
      <c r="M934" t="s">
        <v>5367</v>
      </c>
      <c r="N934" t="s">
        <v>847</v>
      </c>
      <c r="O934" t="s">
        <v>100</v>
      </c>
      <c r="P934" t="s">
        <v>5368</v>
      </c>
      <c r="Q934" t="s">
        <v>63</v>
      </c>
      <c r="R934" t="s">
        <v>713</v>
      </c>
      <c r="S934">
        <v>0.61</v>
      </c>
      <c r="T934">
        <v>4067</v>
      </c>
      <c r="U934">
        <v>0</v>
      </c>
      <c r="V934">
        <v>4067</v>
      </c>
    </row>
    <row r="935" spans="1:22" x14ac:dyDescent="0.3">
      <c r="A935">
        <v>79452</v>
      </c>
      <c r="B935">
        <v>135628109</v>
      </c>
      <c r="C935" t="s">
        <v>5369</v>
      </c>
      <c r="D935" t="s">
        <v>5370</v>
      </c>
      <c r="E935" t="s">
        <v>843</v>
      </c>
      <c r="F935" t="s">
        <v>844</v>
      </c>
      <c r="G935" t="s">
        <v>164</v>
      </c>
      <c r="H935" t="s">
        <v>165</v>
      </c>
      <c r="I935" t="s">
        <v>34</v>
      </c>
      <c r="J935" t="s">
        <v>166</v>
      </c>
      <c r="K935" t="s">
        <v>41</v>
      </c>
      <c r="L935" t="s">
        <v>5371</v>
      </c>
      <c r="M935" t="s">
        <v>353</v>
      </c>
      <c r="N935" t="s">
        <v>847</v>
      </c>
      <c r="O935" t="s">
        <v>100</v>
      </c>
      <c r="P935" t="s">
        <v>5372</v>
      </c>
      <c r="Q935" t="s">
        <v>83</v>
      </c>
      <c r="R935" t="s">
        <v>713</v>
      </c>
      <c r="S935">
        <v>1</v>
      </c>
      <c r="T935">
        <v>3366</v>
      </c>
      <c r="U935">
        <v>0</v>
      </c>
      <c r="V935">
        <v>3366</v>
      </c>
    </row>
    <row r="936" spans="1:22" x14ac:dyDescent="0.3">
      <c r="A936">
        <v>79452</v>
      </c>
      <c r="B936">
        <v>135554222</v>
      </c>
      <c r="C936" t="s">
        <v>5373</v>
      </c>
      <c r="D936" t="s">
        <v>5374</v>
      </c>
      <c r="E936" t="s">
        <v>843</v>
      </c>
      <c r="F936" t="s">
        <v>844</v>
      </c>
      <c r="G936" t="s">
        <v>164</v>
      </c>
      <c r="H936" t="s">
        <v>165</v>
      </c>
      <c r="I936" t="s">
        <v>34</v>
      </c>
      <c r="J936" t="s">
        <v>166</v>
      </c>
      <c r="K936" t="s">
        <v>41</v>
      </c>
      <c r="L936" t="s">
        <v>5375</v>
      </c>
      <c r="M936" t="s">
        <v>5376</v>
      </c>
      <c r="N936" t="s">
        <v>847</v>
      </c>
      <c r="O936" t="s">
        <v>100</v>
      </c>
      <c r="P936" t="s">
        <v>5377</v>
      </c>
      <c r="Q936" t="s">
        <v>55</v>
      </c>
      <c r="R936" t="s">
        <v>4496</v>
      </c>
      <c r="S936">
        <v>1.36</v>
      </c>
      <c r="T936">
        <v>5198</v>
      </c>
      <c r="U936">
        <v>0</v>
      </c>
      <c r="V936">
        <v>5198</v>
      </c>
    </row>
    <row r="937" spans="1:22" x14ac:dyDescent="0.3">
      <c r="A937">
        <v>79452</v>
      </c>
      <c r="B937">
        <v>135628115</v>
      </c>
      <c r="C937" t="s">
        <v>5378</v>
      </c>
      <c r="D937" t="s">
        <v>5379</v>
      </c>
      <c r="E937" t="s">
        <v>843</v>
      </c>
      <c r="F937" t="s">
        <v>844</v>
      </c>
      <c r="G937" t="s">
        <v>164</v>
      </c>
      <c r="H937" t="s">
        <v>165</v>
      </c>
      <c r="I937" t="s">
        <v>34</v>
      </c>
      <c r="J937" t="s">
        <v>166</v>
      </c>
      <c r="K937" t="s">
        <v>41</v>
      </c>
      <c r="L937" t="s">
        <v>5380</v>
      </c>
      <c r="M937" t="s">
        <v>5381</v>
      </c>
      <c r="N937" t="s">
        <v>847</v>
      </c>
      <c r="O937" t="s">
        <v>100</v>
      </c>
      <c r="P937" t="s">
        <v>5382</v>
      </c>
      <c r="Q937" t="s">
        <v>60</v>
      </c>
      <c r="R937" t="s">
        <v>713</v>
      </c>
      <c r="S937">
        <v>1.1299999999999999</v>
      </c>
      <c r="T937">
        <v>4346</v>
      </c>
      <c r="U937">
        <v>0</v>
      </c>
      <c r="V937">
        <v>4346</v>
      </c>
    </row>
    <row r="938" spans="1:22" x14ac:dyDescent="0.3">
      <c r="A938">
        <v>79452</v>
      </c>
      <c r="B938">
        <v>135605887</v>
      </c>
      <c r="C938" t="s">
        <v>5383</v>
      </c>
      <c r="D938" t="s">
        <v>5384</v>
      </c>
      <c r="E938" t="s">
        <v>843</v>
      </c>
      <c r="F938" t="s">
        <v>844</v>
      </c>
      <c r="G938" t="s">
        <v>164</v>
      </c>
      <c r="H938" t="s">
        <v>165</v>
      </c>
      <c r="I938" t="s">
        <v>34</v>
      </c>
      <c r="J938" t="s">
        <v>166</v>
      </c>
      <c r="K938" t="s">
        <v>41</v>
      </c>
      <c r="L938" t="s">
        <v>4964</v>
      </c>
      <c r="M938" t="s">
        <v>4965</v>
      </c>
      <c r="N938" t="s">
        <v>847</v>
      </c>
      <c r="O938" t="s">
        <v>100</v>
      </c>
      <c r="P938" t="s">
        <v>4966</v>
      </c>
      <c r="Q938" t="s">
        <v>49</v>
      </c>
      <c r="R938" t="s">
        <v>3373</v>
      </c>
      <c r="S938">
        <v>1</v>
      </c>
      <c r="T938">
        <v>3784</v>
      </c>
      <c r="U938">
        <v>0</v>
      </c>
      <c r="V938">
        <v>3784</v>
      </c>
    </row>
    <row r="939" spans="1:22" x14ac:dyDescent="0.3">
      <c r="A939">
        <v>79452</v>
      </c>
      <c r="B939">
        <v>135605891</v>
      </c>
      <c r="C939" t="s">
        <v>5385</v>
      </c>
      <c r="D939" t="s">
        <v>5386</v>
      </c>
      <c r="E939" t="s">
        <v>843</v>
      </c>
      <c r="F939" t="s">
        <v>844</v>
      </c>
      <c r="G939" t="s">
        <v>164</v>
      </c>
      <c r="H939" t="s">
        <v>165</v>
      </c>
      <c r="I939" t="s">
        <v>34</v>
      </c>
      <c r="J939" t="s">
        <v>166</v>
      </c>
      <c r="K939" t="s">
        <v>41</v>
      </c>
      <c r="L939" t="s">
        <v>5054</v>
      </c>
      <c r="M939" t="s">
        <v>5055</v>
      </c>
      <c r="N939" t="s">
        <v>847</v>
      </c>
      <c r="O939" t="s">
        <v>100</v>
      </c>
      <c r="P939" t="s">
        <v>5056</v>
      </c>
      <c r="Q939" t="s">
        <v>63</v>
      </c>
      <c r="R939" t="s">
        <v>3373</v>
      </c>
      <c r="S939">
        <v>1</v>
      </c>
      <c r="T939">
        <v>4067</v>
      </c>
      <c r="U939">
        <v>0</v>
      </c>
      <c r="V939">
        <v>4067</v>
      </c>
    </row>
    <row r="940" spans="1:22" x14ac:dyDescent="0.3">
      <c r="A940">
        <v>79452</v>
      </c>
      <c r="B940">
        <v>135605864</v>
      </c>
      <c r="C940" t="s">
        <v>5387</v>
      </c>
      <c r="D940" t="s">
        <v>5388</v>
      </c>
      <c r="E940" t="s">
        <v>843</v>
      </c>
      <c r="F940" t="s">
        <v>844</v>
      </c>
      <c r="G940" t="s">
        <v>164</v>
      </c>
      <c r="H940" t="s">
        <v>165</v>
      </c>
      <c r="I940" t="s">
        <v>34</v>
      </c>
      <c r="J940" t="s">
        <v>166</v>
      </c>
      <c r="K940" t="s">
        <v>41</v>
      </c>
      <c r="L940" t="s">
        <v>5389</v>
      </c>
      <c r="M940" t="s">
        <v>3494</v>
      </c>
      <c r="N940" t="s">
        <v>847</v>
      </c>
      <c r="O940" t="s">
        <v>100</v>
      </c>
      <c r="P940" t="s">
        <v>3495</v>
      </c>
      <c r="Q940" t="s">
        <v>90</v>
      </c>
      <c r="R940" t="s">
        <v>3373</v>
      </c>
      <c r="S940">
        <v>0.84</v>
      </c>
      <c r="T940">
        <v>3870</v>
      </c>
      <c r="U940">
        <v>0</v>
      </c>
      <c r="V940">
        <v>3870</v>
      </c>
    </row>
    <row r="941" spans="1:22" x14ac:dyDescent="0.3">
      <c r="A941">
        <v>79452</v>
      </c>
      <c r="B941">
        <v>135628100</v>
      </c>
      <c r="C941" t="s">
        <v>5390</v>
      </c>
      <c r="D941" t="s">
        <v>5391</v>
      </c>
      <c r="E941" t="s">
        <v>843</v>
      </c>
      <c r="F941" t="s">
        <v>844</v>
      </c>
      <c r="G941" t="s">
        <v>164</v>
      </c>
      <c r="H941" t="s">
        <v>165</v>
      </c>
      <c r="I941" t="s">
        <v>34</v>
      </c>
      <c r="J941" t="s">
        <v>166</v>
      </c>
      <c r="K941" t="s">
        <v>41</v>
      </c>
      <c r="L941" t="s">
        <v>624</v>
      </c>
      <c r="M941" t="s">
        <v>625</v>
      </c>
      <c r="N941" t="s">
        <v>847</v>
      </c>
      <c r="O941" t="s">
        <v>100</v>
      </c>
      <c r="P941" t="s">
        <v>5392</v>
      </c>
      <c r="Q941" t="s">
        <v>94</v>
      </c>
      <c r="R941" t="s">
        <v>713</v>
      </c>
      <c r="S941">
        <v>0.63</v>
      </c>
      <c r="T941">
        <v>3366</v>
      </c>
      <c r="U941">
        <v>0</v>
      </c>
      <c r="V941">
        <v>3366</v>
      </c>
    </row>
    <row r="942" spans="1:22" x14ac:dyDescent="0.3">
      <c r="A942">
        <v>79452</v>
      </c>
      <c r="B942">
        <v>135554243</v>
      </c>
      <c r="C942" t="s">
        <v>5393</v>
      </c>
      <c r="D942" t="s">
        <v>5394</v>
      </c>
      <c r="E942" t="s">
        <v>843</v>
      </c>
      <c r="F942" t="s">
        <v>844</v>
      </c>
      <c r="G942" t="s">
        <v>164</v>
      </c>
      <c r="H942" t="s">
        <v>165</v>
      </c>
      <c r="I942" t="s">
        <v>34</v>
      </c>
      <c r="J942" t="s">
        <v>166</v>
      </c>
      <c r="K942" t="s">
        <v>41</v>
      </c>
      <c r="L942" t="s">
        <v>5395</v>
      </c>
      <c r="M942" t="s">
        <v>383</v>
      </c>
      <c r="N942" t="s">
        <v>847</v>
      </c>
      <c r="O942" t="s">
        <v>100</v>
      </c>
      <c r="P942" t="s">
        <v>5396</v>
      </c>
      <c r="Q942" t="s">
        <v>55</v>
      </c>
      <c r="R942" t="s">
        <v>4496</v>
      </c>
      <c r="S942">
        <v>1.46</v>
      </c>
      <c r="T942">
        <v>5198</v>
      </c>
      <c r="U942">
        <v>0</v>
      </c>
      <c r="V942">
        <v>5198</v>
      </c>
    </row>
    <row r="943" spans="1:22" x14ac:dyDescent="0.3">
      <c r="A943">
        <v>79452</v>
      </c>
      <c r="B943">
        <v>135605877</v>
      </c>
      <c r="C943" t="s">
        <v>5397</v>
      </c>
      <c r="D943" t="s">
        <v>5398</v>
      </c>
      <c r="E943" t="s">
        <v>843</v>
      </c>
      <c r="F943" t="s">
        <v>844</v>
      </c>
      <c r="G943" t="s">
        <v>164</v>
      </c>
      <c r="H943" t="s">
        <v>165</v>
      </c>
      <c r="I943" t="s">
        <v>34</v>
      </c>
      <c r="J943" t="s">
        <v>166</v>
      </c>
      <c r="K943" t="s">
        <v>41</v>
      </c>
      <c r="L943" t="s">
        <v>5399</v>
      </c>
      <c r="M943" t="s">
        <v>5400</v>
      </c>
      <c r="N943" t="s">
        <v>847</v>
      </c>
      <c r="O943" t="s">
        <v>100</v>
      </c>
      <c r="P943" t="s">
        <v>5401</v>
      </c>
      <c r="Q943" t="s">
        <v>43</v>
      </c>
      <c r="R943" t="s">
        <v>3373</v>
      </c>
      <c r="S943">
        <v>0.73</v>
      </c>
      <c r="T943">
        <v>3753</v>
      </c>
      <c r="U943">
        <v>0</v>
      </c>
      <c r="V943">
        <v>3753</v>
      </c>
    </row>
    <row r="944" spans="1:22" x14ac:dyDescent="0.3">
      <c r="A944">
        <v>79452</v>
      </c>
      <c r="B944">
        <v>135628122</v>
      </c>
      <c r="C944" t="s">
        <v>5402</v>
      </c>
      <c r="D944" t="s">
        <v>5403</v>
      </c>
      <c r="E944" t="s">
        <v>843</v>
      </c>
      <c r="F944" t="s">
        <v>844</v>
      </c>
      <c r="G944" t="s">
        <v>164</v>
      </c>
      <c r="H944" t="s">
        <v>165</v>
      </c>
      <c r="I944" t="s">
        <v>34</v>
      </c>
      <c r="J944" t="s">
        <v>166</v>
      </c>
      <c r="K944" t="s">
        <v>41</v>
      </c>
      <c r="L944" t="s">
        <v>5404</v>
      </c>
      <c r="M944" t="s">
        <v>5405</v>
      </c>
      <c r="N944" t="s">
        <v>847</v>
      </c>
      <c r="O944" t="s">
        <v>100</v>
      </c>
      <c r="P944" t="s">
        <v>5406</v>
      </c>
      <c r="Q944" t="s">
        <v>216</v>
      </c>
      <c r="R944" t="s">
        <v>713</v>
      </c>
      <c r="S944">
        <v>0.73</v>
      </c>
      <c r="T944">
        <v>3366</v>
      </c>
      <c r="U944">
        <v>0</v>
      </c>
      <c r="V944">
        <v>3366</v>
      </c>
    </row>
    <row r="945" spans="1:22" x14ac:dyDescent="0.3">
      <c r="A945">
        <v>79452</v>
      </c>
      <c r="B945">
        <v>135628104</v>
      </c>
      <c r="C945" t="s">
        <v>5407</v>
      </c>
      <c r="D945" t="s">
        <v>5408</v>
      </c>
      <c r="E945" t="s">
        <v>843</v>
      </c>
      <c r="F945" t="s">
        <v>844</v>
      </c>
      <c r="G945" t="s">
        <v>164</v>
      </c>
      <c r="H945" t="s">
        <v>165</v>
      </c>
      <c r="I945" t="s">
        <v>34</v>
      </c>
      <c r="J945" t="s">
        <v>166</v>
      </c>
      <c r="K945" t="s">
        <v>41</v>
      </c>
      <c r="L945" t="s">
        <v>5409</v>
      </c>
      <c r="M945" t="s">
        <v>4061</v>
      </c>
      <c r="N945" t="s">
        <v>847</v>
      </c>
      <c r="O945" t="s">
        <v>100</v>
      </c>
      <c r="P945" t="s">
        <v>4062</v>
      </c>
      <c r="Q945" t="s">
        <v>84</v>
      </c>
      <c r="R945" t="s">
        <v>713</v>
      </c>
      <c r="S945">
        <v>1.5</v>
      </c>
      <c r="T945">
        <v>3366</v>
      </c>
      <c r="U945">
        <v>0</v>
      </c>
      <c r="V945">
        <v>3366</v>
      </c>
    </row>
    <row r="946" spans="1:22" x14ac:dyDescent="0.3">
      <c r="A946">
        <v>79452</v>
      </c>
      <c r="B946">
        <v>135605890</v>
      </c>
      <c r="C946" t="s">
        <v>5410</v>
      </c>
      <c r="D946" t="s">
        <v>5411</v>
      </c>
      <c r="E946" t="s">
        <v>843</v>
      </c>
      <c r="F946" t="s">
        <v>844</v>
      </c>
      <c r="G946" t="s">
        <v>164</v>
      </c>
      <c r="H946" t="s">
        <v>165</v>
      </c>
      <c r="I946" t="s">
        <v>34</v>
      </c>
      <c r="J946" t="s">
        <v>166</v>
      </c>
      <c r="K946" t="s">
        <v>41</v>
      </c>
      <c r="L946" t="s">
        <v>5412</v>
      </c>
      <c r="M946" t="s">
        <v>5413</v>
      </c>
      <c r="N946" t="s">
        <v>847</v>
      </c>
      <c r="O946" t="s">
        <v>100</v>
      </c>
      <c r="P946" t="s">
        <v>5414</v>
      </c>
      <c r="Q946" t="s">
        <v>61</v>
      </c>
      <c r="R946" t="s">
        <v>3373</v>
      </c>
      <c r="S946">
        <v>1.1499999999999999</v>
      </c>
      <c r="T946">
        <v>4067</v>
      </c>
      <c r="U946">
        <v>0</v>
      </c>
      <c r="V946">
        <v>4067</v>
      </c>
    </row>
    <row r="947" spans="1:22" x14ac:dyDescent="0.3">
      <c r="A947">
        <v>79452</v>
      </c>
      <c r="B947">
        <v>135573827</v>
      </c>
      <c r="C947" t="s">
        <v>5415</v>
      </c>
      <c r="D947" t="s">
        <v>5416</v>
      </c>
      <c r="E947" t="s">
        <v>843</v>
      </c>
      <c r="F947" t="s">
        <v>844</v>
      </c>
      <c r="G947" t="s">
        <v>164</v>
      </c>
      <c r="H947" t="s">
        <v>165</v>
      </c>
      <c r="I947" t="s">
        <v>34</v>
      </c>
      <c r="J947" t="s">
        <v>166</v>
      </c>
      <c r="K947" t="s">
        <v>41</v>
      </c>
      <c r="L947" t="s">
        <v>551</v>
      </c>
      <c r="M947" t="s">
        <v>566</v>
      </c>
      <c r="N947" t="s">
        <v>847</v>
      </c>
      <c r="O947" t="s">
        <v>100</v>
      </c>
      <c r="P947" t="s">
        <v>5417</v>
      </c>
      <c r="Q947" t="s">
        <v>55</v>
      </c>
      <c r="R947" t="s">
        <v>3358</v>
      </c>
      <c r="S947">
        <v>1</v>
      </c>
      <c r="T947">
        <v>5198</v>
      </c>
      <c r="U947">
        <v>0</v>
      </c>
      <c r="V947">
        <v>5198</v>
      </c>
    </row>
    <row r="948" spans="1:22" x14ac:dyDescent="0.3">
      <c r="A948">
        <v>79452</v>
      </c>
      <c r="B948">
        <v>135554241</v>
      </c>
      <c r="C948" t="s">
        <v>5418</v>
      </c>
      <c r="D948" t="s">
        <v>5419</v>
      </c>
      <c r="E948" t="s">
        <v>843</v>
      </c>
      <c r="F948" t="s">
        <v>844</v>
      </c>
      <c r="G948" t="s">
        <v>164</v>
      </c>
      <c r="H948" t="s">
        <v>165</v>
      </c>
      <c r="I948" t="s">
        <v>34</v>
      </c>
      <c r="J948" t="s">
        <v>166</v>
      </c>
      <c r="K948" t="s">
        <v>41</v>
      </c>
      <c r="L948" t="s">
        <v>5420</v>
      </c>
      <c r="M948" t="s">
        <v>5421</v>
      </c>
      <c r="N948" t="s">
        <v>847</v>
      </c>
      <c r="O948" t="s">
        <v>100</v>
      </c>
      <c r="P948" t="s">
        <v>5422</v>
      </c>
      <c r="Q948" t="s">
        <v>55</v>
      </c>
      <c r="R948" t="s">
        <v>4496</v>
      </c>
      <c r="S948">
        <v>1.33</v>
      </c>
      <c r="T948">
        <v>5198</v>
      </c>
      <c r="U948">
        <v>0</v>
      </c>
      <c r="V948">
        <v>5198</v>
      </c>
    </row>
    <row r="949" spans="1:22" x14ac:dyDescent="0.3">
      <c r="A949">
        <v>79452</v>
      </c>
      <c r="B949">
        <v>135628106</v>
      </c>
      <c r="C949" t="s">
        <v>5423</v>
      </c>
      <c r="D949" t="s">
        <v>5424</v>
      </c>
      <c r="E949" t="s">
        <v>843</v>
      </c>
      <c r="F949" t="s">
        <v>844</v>
      </c>
      <c r="G949" t="s">
        <v>164</v>
      </c>
      <c r="H949" t="s">
        <v>165</v>
      </c>
      <c r="I949" t="s">
        <v>34</v>
      </c>
      <c r="J949" t="s">
        <v>166</v>
      </c>
      <c r="K949" t="s">
        <v>41</v>
      </c>
      <c r="L949" t="s">
        <v>5425</v>
      </c>
      <c r="M949" t="s">
        <v>5426</v>
      </c>
      <c r="N949" t="s">
        <v>847</v>
      </c>
      <c r="O949" t="s">
        <v>100</v>
      </c>
      <c r="P949" t="s">
        <v>5427</v>
      </c>
      <c r="Q949" t="s">
        <v>84</v>
      </c>
      <c r="R949" t="s">
        <v>713</v>
      </c>
      <c r="S949">
        <v>1</v>
      </c>
      <c r="T949">
        <v>3366</v>
      </c>
      <c r="U949">
        <v>0</v>
      </c>
      <c r="V949">
        <v>3366</v>
      </c>
    </row>
    <row r="950" spans="1:22" x14ac:dyDescent="0.3">
      <c r="A950">
        <v>79452</v>
      </c>
      <c r="B950">
        <v>135605868</v>
      </c>
      <c r="C950" t="s">
        <v>5428</v>
      </c>
      <c r="D950" t="s">
        <v>5429</v>
      </c>
      <c r="E950" t="s">
        <v>843</v>
      </c>
      <c r="F950" t="s">
        <v>844</v>
      </c>
      <c r="G950" t="s">
        <v>164</v>
      </c>
      <c r="H950" t="s">
        <v>165</v>
      </c>
      <c r="I950" t="s">
        <v>34</v>
      </c>
      <c r="J950" t="s">
        <v>166</v>
      </c>
      <c r="K950" t="s">
        <v>41</v>
      </c>
      <c r="L950" t="s">
        <v>5430</v>
      </c>
      <c r="M950" t="s">
        <v>2091</v>
      </c>
      <c r="N950" t="s">
        <v>847</v>
      </c>
      <c r="O950" t="s">
        <v>100</v>
      </c>
      <c r="P950" t="s">
        <v>2092</v>
      </c>
      <c r="Q950" t="s">
        <v>83</v>
      </c>
      <c r="R950" t="s">
        <v>3373</v>
      </c>
      <c r="S950">
        <v>0.76</v>
      </c>
      <c r="T950">
        <v>3366</v>
      </c>
      <c r="U950">
        <v>0</v>
      </c>
      <c r="V950">
        <v>3366</v>
      </c>
    </row>
    <row r="951" spans="1:22" x14ac:dyDescent="0.3">
      <c r="A951">
        <v>79452</v>
      </c>
      <c r="B951">
        <v>135605893</v>
      </c>
      <c r="C951" t="s">
        <v>5431</v>
      </c>
      <c r="D951" t="s">
        <v>5432</v>
      </c>
      <c r="E951" t="s">
        <v>843</v>
      </c>
      <c r="F951" t="s">
        <v>844</v>
      </c>
      <c r="G951" t="s">
        <v>164</v>
      </c>
      <c r="H951" t="s">
        <v>165</v>
      </c>
      <c r="I951" t="s">
        <v>34</v>
      </c>
      <c r="J951" t="s">
        <v>166</v>
      </c>
      <c r="K951" t="s">
        <v>41</v>
      </c>
      <c r="L951" t="s">
        <v>5433</v>
      </c>
      <c r="M951" t="s">
        <v>3330</v>
      </c>
      <c r="N951" t="s">
        <v>847</v>
      </c>
      <c r="O951" t="s">
        <v>100</v>
      </c>
      <c r="P951" t="s">
        <v>3331</v>
      </c>
      <c r="Q951" t="s">
        <v>94</v>
      </c>
      <c r="R951" t="s">
        <v>3373</v>
      </c>
      <c r="S951">
        <v>1</v>
      </c>
      <c r="T951">
        <v>3366</v>
      </c>
      <c r="U951">
        <v>0</v>
      </c>
      <c r="V951">
        <v>3366</v>
      </c>
    </row>
    <row r="952" spans="1:22" x14ac:dyDescent="0.3">
      <c r="A952">
        <v>79452</v>
      </c>
      <c r="B952">
        <v>135554242</v>
      </c>
      <c r="C952" t="s">
        <v>5434</v>
      </c>
      <c r="D952" t="s">
        <v>5435</v>
      </c>
      <c r="E952" t="s">
        <v>843</v>
      </c>
      <c r="F952" t="s">
        <v>844</v>
      </c>
      <c r="G952" t="s">
        <v>164</v>
      </c>
      <c r="H952" t="s">
        <v>165</v>
      </c>
      <c r="I952" t="s">
        <v>34</v>
      </c>
      <c r="J952" t="s">
        <v>166</v>
      </c>
      <c r="K952" t="s">
        <v>41</v>
      </c>
      <c r="L952" t="s">
        <v>5436</v>
      </c>
      <c r="M952" t="s">
        <v>5437</v>
      </c>
      <c r="N952" t="s">
        <v>847</v>
      </c>
      <c r="O952" t="s">
        <v>100</v>
      </c>
      <c r="P952" t="s">
        <v>5438</v>
      </c>
      <c r="Q952" t="s">
        <v>55</v>
      </c>
      <c r="R952" t="s">
        <v>4496</v>
      </c>
      <c r="S952">
        <v>2.5299999999999998</v>
      </c>
      <c r="T952">
        <v>5198</v>
      </c>
      <c r="U952">
        <v>0</v>
      </c>
      <c r="V952">
        <v>5198</v>
      </c>
    </row>
    <row r="953" spans="1:22" x14ac:dyDescent="0.3">
      <c r="A953">
        <v>79452</v>
      </c>
      <c r="B953">
        <v>135554244</v>
      </c>
      <c r="C953" t="s">
        <v>5439</v>
      </c>
      <c r="D953" t="s">
        <v>5440</v>
      </c>
      <c r="E953" t="s">
        <v>843</v>
      </c>
      <c r="F953" t="s">
        <v>844</v>
      </c>
      <c r="G953" t="s">
        <v>164</v>
      </c>
      <c r="H953" t="s">
        <v>165</v>
      </c>
      <c r="I953" t="s">
        <v>34</v>
      </c>
      <c r="J953" t="s">
        <v>166</v>
      </c>
      <c r="K953" t="s">
        <v>41</v>
      </c>
      <c r="L953" t="s">
        <v>5441</v>
      </c>
      <c r="M953" t="s">
        <v>5442</v>
      </c>
      <c r="N953" t="s">
        <v>847</v>
      </c>
      <c r="O953" t="s">
        <v>100</v>
      </c>
      <c r="P953" t="s">
        <v>5443</v>
      </c>
      <c r="Q953" t="s">
        <v>59</v>
      </c>
      <c r="R953" t="s">
        <v>4496</v>
      </c>
      <c r="S953">
        <v>1</v>
      </c>
      <c r="T953">
        <v>4067</v>
      </c>
      <c r="U953">
        <v>0</v>
      </c>
      <c r="V953">
        <v>4067</v>
      </c>
    </row>
    <row r="954" spans="1:22" x14ac:dyDescent="0.3">
      <c r="A954">
        <v>79452</v>
      </c>
      <c r="B954">
        <v>135472930</v>
      </c>
      <c r="C954" t="s">
        <v>5444</v>
      </c>
      <c r="D954" t="s">
        <v>5445</v>
      </c>
      <c r="E954" t="s">
        <v>843</v>
      </c>
      <c r="F954" t="s">
        <v>844</v>
      </c>
      <c r="G954" t="s">
        <v>164</v>
      </c>
      <c r="H954" t="s">
        <v>165</v>
      </c>
      <c r="I954" t="s">
        <v>34</v>
      </c>
      <c r="J954" t="s">
        <v>166</v>
      </c>
      <c r="K954" t="s">
        <v>41</v>
      </c>
      <c r="L954" t="s">
        <v>5446</v>
      </c>
      <c r="M954" t="s">
        <v>5447</v>
      </c>
      <c r="N954" t="s">
        <v>847</v>
      </c>
      <c r="O954" t="s">
        <v>100</v>
      </c>
      <c r="P954" t="s">
        <v>5448</v>
      </c>
      <c r="Q954" t="s">
        <v>55</v>
      </c>
      <c r="R954" t="s">
        <v>5449</v>
      </c>
      <c r="S954">
        <v>1</v>
      </c>
      <c r="T954">
        <v>5198</v>
      </c>
      <c r="U954">
        <v>0</v>
      </c>
      <c r="V954">
        <v>5198</v>
      </c>
    </row>
    <row r="955" spans="1:22" x14ac:dyDescent="0.3">
      <c r="A955">
        <v>79452</v>
      </c>
      <c r="B955">
        <v>135524061</v>
      </c>
      <c r="C955" t="s">
        <v>5450</v>
      </c>
      <c r="D955" t="s">
        <v>5451</v>
      </c>
      <c r="E955" t="s">
        <v>843</v>
      </c>
      <c r="F955" t="s">
        <v>844</v>
      </c>
      <c r="G955" t="s">
        <v>164</v>
      </c>
      <c r="H955" t="s">
        <v>165</v>
      </c>
      <c r="I955" t="s">
        <v>34</v>
      </c>
      <c r="J955" t="s">
        <v>166</v>
      </c>
      <c r="K955" t="s">
        <v>41</v>
      </c>
      <c r="L955" t="s">
        <v>5452</v>
      </c>
      <c r="M955" t="s">
        <v>5453</v>
      </c>
      <c r="N955" t="s">
        <v>847</v>
      </c>
      <c r="O955" t="s">
        <v>100</v>
      </c>
      <c r="P955" t="s">
        <v>5454</v>
      </c>
      <c r="Q955" t="s">
        <v>190</v>
      </c>
      <c r="R955" t="s">
        <v>730</v>
      </c>
      <c r="S955">
        <v>1</v>
      </c>
      <c r="T955">
        <v>3366</v>
      </c>
      <c r="U955">
        <v>0</v>
      </c>
      <c r="V955">
        <v>3366</v>
      </c>
    </row>
    <row r="956" spans="1:22" x14ac:dyDescent="0.3">
      <c r="A956">
        <v>79452</v>
      </c>
      <c r="B956">
        <v>135504042</v>
      </c>
      <c r="C956" t="s">
        <v>5455</v>
      </c>
      <c r="D956" t="s">
        <v>5456</v>
      </c>
      <c r="E956" t="s">
        <v>843</v>
      </c>
      <c r="F956" t="s">
        <v>844</v>
      </c>
      <c r="G956" t="s">
        <v>164</v>
      </c>
      <c r="H956" t="s">
        <v>165</v>
      </c>
      <c r="I956" t="s">
        <v>34</v>
      </c>
      <c r="J956" t="s">
        <v>166</v>
      </c>
      <c r="K956" t="s">
        <v>41</v>
      </c>
      <c r="L956" t="s">
        <v>5457</v>
      </c>
      <c r="M956" t="s">
        <v>5458</v>
      </c>
      <c r="N956" t="s">
        <v>847</v>
      </c>
      <c r="O956" t="s">
        <v>100</v>
      </c>
      <c r="P956" t="s">
        <v>5459</v>
      </c>
      <c r="Q956" t="s">
        <v>55</v>
      </c>
      <c r="R956" t="s">
        <v>711</v>
      </c>
      <c r="S956">
        <v>1</v>
      </c>
      <c r="T956">
        <v>5198</v>
      </c>
      <c r="U956">
        <v>0</v>
      </c>
      <c r="V956">
        <v>5198</v>
      </c>
    </row>
    <row r="957" spans="1:22" x14ac:dyDescent="0.3">
      <c r="A957">
        <v>79452</v>
      </c>
      <c r="B957">
        <v>135554249</v>
      </c>
      <c r="C957" t="s">
        <v>5460</v>
      </c>
      <c r="D957" t="s">
        <v>5461</v>
      </c>
      <c r="E957" t="s">
        <v>843</v>
      </c>
      <c r="F957" t="s">
        <v>844</v>
      </c>
      <c r="G957" t="s">
        <v>164</v>
      </c>
      <c r="H957" t="s">
        <v>165</v>
      </c>
      <c r="I957" t="s">
        <v>34</v>
      </c>
      <c r="J957" t="s">
        <v>166</v>
      </c>
      <c r="K957" t="s">
        <v>41</v>
      </c>
      <c r="L957" t="s">
        <v>5462</v>
      </c>
      <c r="M957" t="s">
        <v>5463</v>
      </c>
      <c r="N957" t="s">
        <v>847</v>
      </c>
      <c r="O957" t="s">
        <v>100</v>
      </c>
      <c r="P957" t="s">
        <v>5464</v>
      </c>
      <c r="Q957" t="s">
        <v>84</v>
      </c>
      <c r="R957" t="s">
        <v>5465</v>
      </c>
      <c r="S957">
        <v>1</v>
      </c>
      <c r="T957">
        <v>3366</v>
      </c>
      <c r="U957">
        <v>0</v>
      </c>
      <c r="V957">
        <v>3366</v>
      </c>
    </row>
    <row r="958" spans="1:22" x14ac:dyDescent="0.3">
      <c r="A958">
        <v>79452</v>
      </c>
      <c r="B958">
        <v>135504041</v>
      </c>
      <c r="C958" t="s">
        <v>5466</v>
      </c>
      <c r="D958" t="s">
        <v>5467</v>
      </c>
      <c r="E958" t="s">
        <v>843</v>
      </c>
      <c r="F958" t="s">
        <v>844</v>
      </c>
      <c r="G958" t="s">
        <v>164</v>
      </c>
      <c r="H958" t="s">
        <v>165</v>
      </c>
      <c r="I958" t="s">
        <v>34</v>
      </c>
      <c r="J958" t="s">
        <v>166</v>
      </c>
      <c r="K958" t="s">
        <v>44</v>
      </c>
      <c r="L958" t="s">
        <v>188</v>
      </c>
      <c r="M958" t="s">
        <v>5468</v>
      </c>
      <c r="N958" t="s">
        <v>847</v>
      </c>
      <c r="O958" t="s">
        <v>100</v>
      </c>
      <c r="P958" t="s">
        <v>5469</v>
      </c>
      <c r="Q958" t="s">
        <v>58</v>
      </c>
      <c r="R958" t="s">
        <v>711</v>
      </c>
      <c r="S958">
        <v>1</v>
      </c>
      <c r="T958">
        <v>5759</v>
      </c>
      <c r="U958">
        <v>0</v>
      </c>
      <c r="V958">
        <v>5759</v>
      </c>
    </row>
    <row r="959" spans="1:22" x14ac:dyDescent="0.3">
      <c r="A959">
        <v>79452</v>
      </c>
      <c r="B959">
        <v>135554230</v>
      </c>
      <c r="C959" t="s">
        <v>5470</v>
      </c>
      <c r="D959" t="s">
        <v>5471</v>
      </c>
      <c r="E959" t="s">
        <v>843</v>
      </c>
      <c r="F959" t="s">
        <v>844</v>
      </c>
      <c r="G959" t="s">
        <v>164</v>
      </c>
      <c r="H959" t="s">
        <v>165</v>
      </c>
      <c r="I959" t="s">
        <v>34</v>
      </c>
      <c r="J959" t="s">
        <v>166</v>
      </c>
      <c r="K959" t="s">
        <v>41</v>
      </c>
      <c r="L959" t="s">
        <v>5472</v>
      </c>
      <c r="M959" t="s">
        <v>5473</v>
      </c>
      <c r="N959" t="s">
        <v>847</v>
      </c>
      <c r="O959" t="s">
        <v>100</v>
      </c>
      <c r="P959" t="s">
        <v>5474</v>
      </c>
      <c r="Q959" t="s">
        <v>69</v>
      </c>
      <c r="R959" t="s">
        <v>4496</v>
      </c>
      <c r="S959">
        <v>1</v>
      </c>
      <c r="T959">
        <v>3753</v>
      </c>
      <c r="U959">
        <v>0</v>
      </c>
      <c r="V959">
        <v>3753</v>
      </c>
    </row>
    <row r="960" spans="1:22" x14ac:dyDescent="0.3">
      <c r="A960">
        <v>79452</v>
      </c>
      <c r="B960">
        <v>135297453</v>
      </c>
      <c r="C960" t="s">
        <v>5475</v>
      </c>
      <c r="D960" t="s">
        <v>5476</v>
      </c>
      <c r="E960" t="s">
        <v>843</v>
      </c>
      <c r="F960" t="s">
        <v>844</v>
      </c>
      <c r="G960" t="s">
        <v>164</v>
      </c>
      <c r="H960" t="s">
        <v>165</v>
      </c>
      <c r="I960" t="s">
        <v>34</v>
      </c>
      <c r="J960" t="s">
        <v>166</v>
      </c>
      <c r="K960" t="s">
        <v>41</v>
      </c>
      <c r="L960" t="s">
        <v>5477</v>
      </c>
      <c r="M960" t="s">
        <v>5478</v>
      </c>
      <c r="N960" t="s">
        <v>847</v>
      </c>
      <c r="O960" t="s">
        <v>100</v>
      </c>
      <c r="P960" t="s">
        <v>5479</v>
      </c>
      <c r="Q960" t="s">
        <v>52</v>
      </c>
      <c r="R960" t="s">
        <v>5480</v>
      </c>
      <c r="S960">
        <v>1</v>
      </c>
      <c r="T960">
        <v>5759</v>
      </c>
      <c r="U960">
        <v>0</v>
      </c>
      <c r="V960">
        <v>5759</v>
      </c>
    </row>
    <row r="961" spans="1:22" x14ac:dyDescent="0.3">
      <c r="A961">
        <v>79452</v>
      </c>
      <c r="B961">
        <v>135573844</v>
      </c>
      <c r="C961" t="s">
        <v>5481</v>
      </c>
      <c r="D961" t="s">
        <v>5482</v>
      </c>
      <c r="E961" t="s">
        <v>843</v>
      </c>
      <c r="F961" t="s">
        <v>844</v>
      </c>
      <c r="G961" t="s">
        <v>164</v>
      </c>
      <c r="H961" t="s">
        <v>165</v>
      </c>
      <c r="I961" t="s">
        <v>34</v>
      </c>
      <c r="J961" t="s">
        <v>166</v>
      </c>
      <c r="K961" t="s">
        <v>41</v>
      </c>
      <c r="L961" t="s">
        <v>5483</v>
      </c>
      <c r="M961" t="s">
        <v>5045</v>
      </c>
      <c r="N961" t="s">
        <v>847</v>
      </c>
      <c r="O961" t="s">
        <v>100</v>
      </c>
      <c r="P961" t="s">
        <v>5046</v>
      </c>
      <c r="Q961" t="s">
        <v>72</v>
      </c>
      <c r="R961" t="s">
        <v>3358</v>
      </c>
      <c r="S961">
        <v>0.73</v>
      </c>
      <c r="T961">
        <v>3784</v>
      </c>
      <c r="U961">
        <v>0</v>
      </c>
      <c r="V961">
        <v>3784</v>
      </c>
    </row>
    <row r="962" spans="1:22" x14ac:dyDescent="0.3">
      <c r="A962">
        <v>79452</v>
      </c>
      <c r="B962">
        <v>135573808</v>
      </c>
      <c r="C962" t="s">
        <v>5484</v>
      </c>
      <c r="D962" t="s">
        <v>5485</v>
      </c>
      <c r="E962" t="s">
        <v>843</v>
      </c>
      <c r="F962" t="s">
        <v>844</v>
      </c>
      <c r="G962" t="s">
        <v>164</v>
      </c>
      <c r="H962" t="s">
        <v>165</v>
      </c>
      <c r="I962" t="s">
        <v>34</v>
      </c>
      <c r="J962" t="s">
        <v>166</v>
      </c>
      <c r="K962" t="s">
        <v>41</v>
      </c>
      <c r="L962" t="s">
        <v>5486</v>
      </c>
      <c r="M962" t="s">
        <v>5487</v>
      </c>
      <c r="N962" t="s">
        <v>847</v>
      </c>
      <c r="O962" t="s">
        <v>100</v>
      </c>
      <c r="P962" t="s">
        <v>5488</v>
      </c>
      <c r="Q962" t="s">
        <v>97</v>
      </c>
      <c r="R962" t="s">
        <v>3358</v>
      </c>
      <c r="S962">
        <v>1.01</v>
      </c>
      <c r="T962">
        <v>3366</v>
      </c>
      <c r="U962">
        <v>0</v>
      </c>
      <c r="V962">
        <v>3366</v>
      </c>
    </row>
    <row r="963" spans="1:22" x14ac:dyDescent="0.3">
      <c r="A963">
        <v>79452</v>
      </c>
      <c r="B963">
        <v>135573829</v>
      </c>
      <c r="C963" t="s">
        <v>5489</v>
      </c>
      <c r="D963" t="s">
        <v>5490</v>
      </c>
      <c r="E963" t="s">
        <v>843</v>
      </c>
      <c r="F963" t="s">
        <v>844</v>
      </c>
      <c r="G963" t="s">
        <v>164</v>
      </c>
      <c r="H963" t="s">
        <v>165</v>
      </c>
      <c r="I963" t="s">
        <v>34</v>
      </c>
      <c r="J963" t="s">
        <v>166</v>
      </c>
      <c r="K963" t="s">
        <v>41</v>
      </c>
      <c r="L963" t="s">
        <v>5491</v>
      </c>
      <c r="M963" t="s">
        <v>5492</v>
      </c>
      <c r="N963" t="s">
        <v>847</v>
      </c>
      <c r="O963" t="s">
        <v>100</v>
      </c>
      <c r="P963" t="s">
        <v>5493</v>
      </c>
      <c r="Q963" t="s">
        <v>63</v>
      </c>
      <c r="R963" t="s">
        <v>3358</v>
      </c>
      <c r="S963">
        <v>0.96</v>
      </c>
      <c r="T963">
        <v>4067</v>
      </c>
      <c r="U963">
        <v>0</v>
      </c>
      <c r="V963">
        <v>4067</v>
      </c>
    </row>
    <row r="964" spans="1:22" x14ac:dyDescent="0.3">
      <c r="A964">
        <v>79452</v>
      </c>
      <c r="B964">
        <v>135573823</v>
      </c>
      <c r="C964" t="s">
        <v>5494</v>
      </c>
      <c r="D964" t="s">
        <v>5495</v>
      </c>
      <c r="E964" t="s">
        <v>843</v>
      </c>
      <c r="F964" t="s">
        <v>844</v>
      </c>
      <c r="G964" t="s">
        <v>164</v>
      </c>
      <c r="H964" t="s">
        <v>165</v>
      </c>
      <c r="I964" t="s">
        <v>34</v>
      </c>
      <c r="J964" t="s">
        <v>166</v>
      </c>
      <c r="K964" t="s">
        <v>41</v>
      </c>
      <c r="L964" t="s">
        <v>5496</v>
      </c>
      <c r="M964" t="s">
        <v>5497</v>
      </c>
      <c r="N964" t="s">
        <v>847</v>
      </c>
      <c r="O964" t="s">
        <v>100</v>
      </c>
      <c r="P964" t="s">
        <v>5498</v>
      </c>
      <c r="Q964" t="s">
        <v>84</v>
      </c>
      <c r="R964" t="s">
        <v>3358</v>
      </c>
      <c r="S964">
        <v>0.81</v>
      </c>
      <c r="T964">
        <v>3366</v>
      </c>
      <c r="U964">
        <v>0</v>
      </c>
      <c r="V964">
        <v>3366</v>
      </c>
    </row>
    <row r="965" spans="1:22" x14ac:dyDescent="0.3">
      <c r="A965">
        <v>79452</v>
      </c>
      <c r="B965">
        <v>135524068</v>
      </c>
      <c r="C965" t="s">
        <v>5499</v>
      </c>
      <c r="D965" t="s">
        <v>5500</v>
      </c>
      <c r="E965" t="s">
        <v>843</v>
      </c>
      <c r="F965" t="s">
        <v>844</v>
      </c>
      <c r="G965" t="s">
        <v>164</v>
      </c>
      <c r="H965" t="s">
        <v>165</v>
      </c>
      <c r="I965" t="s">
        <v>34</v>
      </c>
      <c r="J965" t="s">
        <v>166</v>
      </c>
      <c r="K965" t="s">
        <v>41</v>
      </c>
      <c r="L965" t="s">
        <v>5501</v>
      </c>
      <c r="M965" t="s">
        <v>5502</v>
      </c>
      <c r="N965" t="s">
        <v>847</v>
      </c>
      <c r="O965" t="s">
        <v>100</v>
      </c>
      <c r="P965" t="s">
        <v>5503</v>
      </c>
      <c r="Q965" t="s">
        <v>211</v>
      </c>
      <c r="R965" t="s">
        <v>730</v>
      </c>
      <c r="S965">
        <v>1</v>
      </c>
      <c r="T965">
        <v>4067</v>
      </c>
      <c r="U965">
        <v>0</v>
      </c>
      <c r="V965">
        <v>4067</v>
      </c>
    </row>
    <row r="966" spans="1:22" x14ac:dyDescent="0.3">
      <c r="A966">
        <v>79452</v>
      </c>
      <c r="B966">
        <v>135421219</v>
      </c>
      <c r="C966" t="s">
        <v>5504</v>
      </c>
      <c r="D966" t="s">
        <v>5505</v>
      </c>
      <c r="E966" t="s">
        <v>843</v>
      </c>
      <c r="F966" t="s">
        <v>844</v>
      </c>
      <c r="G966" t="s">
        <v>164</v>
      </c>
      <c r="H966" t="s">
        <v>165</v>
      </c>
      <c r="I966" t="s">
        <v>34</v>
      </c>
      <c r="J966" t="s">
        <v>166</v>
      </c>
      <c r="K966" t="s">
        <v>41</v>
      </c>
      <c r="L966" t="s">
        <v>5506</v>
      </c>
      <c r="M966" t="s">
        <v>5507</v>
      </c>
      <c r="N966" t="s">
        <v>847</v>
      </c>
      <c r="O966" t="s">
        <v>100</v>
      </c>
      <c r="P966" t="s">
        <v>5508</v>
      </c>
      <c r="Q966" t="s">
        <v>54</v>
      </c>
      <c r="R966" t="s">
        <v>3187</v>
      </c>
      <c r="S966">
        <v>1</v>
      </c>
      <c r="T966">
        <v>5759</v>
      </c>
      <c r="U966">
        <v>0</v>
      </c>
      <c r="V966">
        <v>5759</v>
      </c>
    </row>
    <row r="967" spans="1:22" x14ac:dyDescent="0.3">
      <c r="A967">
        <v>79452</v>
      </c>
      <c r="B967">
        <v>135524067</v>
      </c>
      <c r="C967" t="s">
        <v>5509</v>
      </c>
      <c r="D967" t="s">
        <v>5510</v>
      </c>
      <c r="E967" t="s">
        <v>843</v>
      </c>
      <c r="F967" t="s">
        <v>844</v>
      </c>
      <c r="G967" t="s">
        <v>164</v>
      </c>
      <c r="H967" t="s">
        <v>165</v>
      </c>
      <c r="I967" t="s">
        <v>34</v>
      </c>
      <c r="J967" t="s">
        <v>166</v>
      </c>
      <c r="K967" t="s">
        <v>41</v>
      </c>
      <c r="L967" t="s">
        <v>5511</v>
      </c>
      <c r="M967" t="s">
        <v>5512</v>
      </c>
      <c r="N967" t="s">
        <v>847</v>
      </c>
      <c r="O967" t="s">
        <v>100</v>
      </c>
      <c r="P967" t="s">
        <v>5513</v>
      </c>
      <c r="Q967" t="s">
        <v>354</v>
      </c>
      <c r="R967" t="s">
        <v>730</v>
      </c>
      <c r="S967">
        <v>1</v>
      </c>
      <c r="T967">
        <v>4067</v>
      </c>
      <c r="U967">
        <v>0</v>
      </c>
      <c r="V967">
        <v>4067</v>
      </c>
    </row>
    <row r="968" spans="1:22" x14ac:dyDescent="0.3">
      <c r="A968">
        <v>79452</v>
      </c>
      <c r="B968">
        <v>135449401</v>
      </c>
      <c r="C968" t="s">
        <v>5514</v>
      </c>
      <c r="D968" t="s">
        <v>5515</v>
      </c>
      <c r="E968" t="s">
        <v>843</v>
      </c>
      <c r="F968" t="s">
        <v>844</v>
      </c>
      <c r="G968" t="s">
        <v>164</v>
      </c>
      <c r="H968" t="s">
        <v>165</v>
      </c>
      <c r="I968" t="s">
        <v>34</v>
      </c>
      <c r="J968" t="s">
        <v>166</v>
      </c>
      <c r="K968" t="s">
        <v>41</v>
      </c>
      <c r="L968" t="s">
        <v>5516</v>
      </c>
      <c r="M968" t="s">
        <v>5517</v>
      </c>
      <c r="N968" t="s">
        <v>847</v>
      </c>
      <c r="O968" t="s">
        <v>100</v>
      </c>
      <c r="P968" t="s">
        <v>5518</v>
      </c>
      <c r="Q968" t="s">
        <v>54</v>
      </c>
      <c r="R968" t="s">
        <v>4944</v>
      </c>
      <c r="S968">
        <v>1</v>
      </c>
      <c r="T968">
        <v>5759</v>
      </c>
      <c r="U968">
        <v>0</v>
      </c>
      <c r="V968">
        <v>5759</v>
      </c>
    </row>
    <row r="969" spans="1:22" x14ac:dyDescent="0.3">
      <c r="A969">
        <v>79452</v>
      </c>
      <c r="B969">
        <v>135504033</v>
      </c>
      <c r="C969" t="s">
        <v>5519</v>
      </c>
      <c r="D969" t="s">
        <v>5520</v>
      </c>
      <c r="E969" t="s">
        <v>843</v>
      </c>
      <c r="F969" t="s">
        <v>844</v>
      </c>
      <c r="G969" t="s">
        <v>164</v>
      </c>
      <c r="H969" t="s">
        <v>165</v>
      </c>
      <c r="I969" t="s">
        <v>34</v>
      </c>
      <c r="J969" t="s">
        <v>166</v>
      </c>
      <c r="K969" t="s">
        <v>41</v>
      </c>
      <c r="L969" t="s">
        <v>5521</v>
      </c>
      <c r="M969" t="s">
        <v>5522</v>
      </c>
      <c r="N969" t="s">
        <v>847</v>
      </c>
      <c r="O969" t="s">
        <v>100</v>
      </c>
      <c r="P969" t="s">
        <v>5523</v>
      </c>
      <c r="Q969" t="s">
        <v>71</v>
      </c>
      <c r="R969" t="s">
        <v>5524</v>
      </c>
      <c r="S969">
        <v>1</v>
      </c>
      <c r="T969">
        <v>3501</v>
      </c>
      <c r="U969">
        <v>0</v>
      </c>
      <c r="V969">
        <v>3501</v>
      </c>
    </row>
    <row r="970" spans="1:22" x14ac:dyDescent="0.3">
      <c r="A970">
        <v>79452</v>
      </c>
      <c r="B970">
        <v>135524114</v>
      </c>
      <c r="C970" t="s">
        <v>5525</v>
      </c>
      <c r="D970" t="s">
        <v>5526</v>
      </c>
      <c r="E970" t="s">
        <v>843</v>
      </c>
      <c r="F970" t="s">
        <v>844</v>
      </c>
      <c r="G970" t="s">
        <v>164</v>
      </c>
      <c r="H970" t="s">
        <v>165</v>
      </c>
      <c r="I970" t="s">
        <v>34</v>
      </c>
      <c r="J970" t="s">
        <v>166</v>
      </c>
      <c r="K970" t="s">
        <v>41</v>
      </c>
      <c r="L970" t="s">
        <v>5521</v>
      </c>
      <c r="M970" t="s">
        <v>5527</v>
      </c>
      <c r="N970" t="s">
        <v>847</v>
      </c>
      <c r="O970" t="s">
        <v>100</v>
      </c>
      <c r="P970" t="s">
        <v>5528</v>
      </c>
      <c r="Q970" t="s">
        <v>71</v>
      </c>
      <c r="R970" t="s">
        <v>730</v>
      </c>
      <c r="S970">
        <v>1</v>
      </c>
      <c r="T970">
        <v>3501</v>
      </c>
      <c r="U970">
        <v>0</v>
      </c>
      <c r="V970">
        <v>3501</v>
      </c>
    </row>
    <row r="971" spans="1:22" x14ac:dyDescent="0.3">
      <c r="A971">
        <v>79452</v>
      </c>
      <c r="B971">
        <v>135421215</v>
      </c>
      <c r="C971" t="s">
        <v>5529</v>
      </c>
      <c r="D971" t="s">
        <v>5530</v>
      </c>
      <c r="E971" t="s">
        <v>843</v>
      </c>
      <c r="F971" t="s">
        <v>844</v>
      </c>
      <c r="G971" t="s">
        <v>164</v>
      </c>
      <c r="H971" t="s">
        <v>165</v>
      </c>
      <c r="I971" t="s">
        <v>34</v>
      </c>
      <c r="J971" t="s">
        <v>166</v>
      </c>
      <c r="K971" t="s">
        <v>41</v>
      </c>
      <c r="L971" t="s">
        <v>5531</v>
      </c>
      <c r="M971" t="s">
        <v>5532</v>
      </c>
      <c r="N971" t="s">
        <v>847</v>
      </c>
      <c r="O971" t="s">
        <v>100</v>
      </c>
      <c r="P971" t="s">
        <v>5533</v>
      </c>
      <c r="Q971" t="s">
        <v>55</v>
      </c>
      <c r="R971" t="s">
        <v>3187</v>
      </c>
      <c r="S971">
        <v>1</v>
      </c>
      <c r="T971">
        <v>5198</v>
      </c>
      <c r="U971">
        <v>0</v>
      </c>
      <c r="V971">
        <v>5198</v>
      </c>
    </row>
    <row r="972" spans="1:22" x14ac:dyDescent="0.3">
      <c r="A972">
        <v>79452</v>
      </c>
      <c r="B972">
        <v>135421234</v>
      </c>
      <c r="C972" t="s">
        <v>5534</v>
      </c>
      <c r="D972" t="s">
        <v>5535</v>
      </c>
      <c r="E972" t="s">
        <v>843</v>
      </c>
      <c r="F972" t="s">
        <v>844</v>
      </c>
      <c r="G972" t="s">
        <v>164</v>
      </c>
      <c r="H972" t="s">
        <v>165</v>
      </c>
      <c r="I972" t="s">
        <v>34</v>
      </c>
      <c r="J972" t="s">
        <v>166</v>
      </c>
      <c r="K972" t="s">
        <v>41</v>
      </c>
      <c r="L972" t="s">
        <v>5536</v>
      </c>
      <c r="M972" t="s">
        <v>5537</v>
      </c>
      <c r="N972" t="s">
        <v>847</v>
      </c>
      <c r="O972" t="s">
        <v>100</v>
      </c>
      <c r="P972" t="s">
        <v>5538</v>
      </c>
      <c r="Q972" t="s">
        <v>55</v>
      </c>
      <c r="R972" t="s">
        <v>3187</v>
      </c>
      <c r="S972">
        <v>1</v>
      </c>
      <c r="T972">
        <v>5198</v>
      </c>
      <c r="U972">
        <v>0</v>
      </c>
      <c r="V972">
        <v>5198</v>
      </c>
    </row>
    <row r="973" spans="1:22" x14ac:dyDescent="0.3">
      <c r="A973">
        <v>79452</v>
      </c>
      <c r="B973">
        <v>135449417</v>
      </c>
      <c r="C973" t="s">
        <v>5539</v>
      </c>
      <c r="D973" t="s">
        <v>5540</v>
      </c>
      <c r="E973" t="s">
        <v>843</v>
      </c>
      <c r="F973" t="s">
        <v>844</v>
      </c>
      <c r="G973" t="s">
        <v>164</v>
      </c>
      <c r="H973" t="s">
        <v>165</v>
      </c>
      <c r="I973" t="s">
        <v>34</v>
      </c>
      <c r="J973" t="s">
        <v>166</v>
      </c>
      <c r="K973" t="s">
        <v>41</v>
      </c>
      <c r="L973" t="s">
        <v>5541</v>
      </c>
      <c r="M973" t="s">
        <v>5542</v>
      </c>
      <c r="N973" t="s">
        <v>847</v>
      </c>
      <c r="O973" t="s">
        <v>100</v>
      </c>
      <c r="P973" t="s">
        <v>5543</v>
      </c>
      <c r="Q973" t="s">
        <v>58</v>
      </c>
      <c r="R973" t="s">
        <v>4944</v>
      </c>
      <c r="S973">
        <v>1</v>
      </c>
      <c r="T973">
        <v>5759</v>
      </c>
      <c r="U973">
        <v>0</v>
      </c>
      <c r="V973">
        <v>5759</v>
      </c>
    </row>
    <row r="974" spans="1:22" x14ac:dyDescent="0.3">
      <c r="A974">
        <v>79452</v>
      </c>
      <c r="B974">
        <v>135472929</v>
      </c>
      <c r="C974" t="s">
        <v>5544</v>
      </c>
      <c r="D974" t="s">
        <v>5545</v>
      </c>
      <c r="E974" t="s">
        <v>843</v>
      </c>
      <c r="F974" t="s">
        <v>844</v>
      </c>
      <c r="G974" t="s">
        <v>164</v>
      </c>
      <c r="H974" t="s">
        <v>165</v>
      </c>
      <c r="I974" t="s">
        <v>34</v>
      </c>
      <c r="J974" t="s">
        <v>166</v>
      </c>
      <c r="K974" t="s">
        <v>41</v>
      </c>
      <c r="L974" t="s">
        <v>5546</v>
      </c>
      <c r="M974" t="s">
        <v>3450</v>
      </c>
      <c r="N974" t="s">
        <v>847</v>
      </c>
      <c r="O974" t="s">
        <v>100</v>
      </c>
      <c r="P974" t="s">
        <v>5547</v>
      </c>
      <c r="Q974" t="s">
        <v>63</v>
      </c>
      <c r="R974" t="s">
        <v>5449</v>
      </c>
      <c r="S974">
        <v>1</v>
      </c>
      <c r="T974">
        <v>4067</v>
      </c>
      <c r="U974">
        <v>0</v>
      </c>
      <c r="V974">
        <v>4067</v>
      </c>
    </row>
    <row r="975" spans="1:22" x14ac:dyDescent="0.3">
      <c r="A975">
        <v>79452</v>
      </c>
      <c r="B975">
        <v>135504046</v>
      </c>
      <c r="C975" t="s">
        <v>5548</v>
      </c>
      <c r="D975" t="s">
        <v>5549</v>
      </c>
      <c r="E975" t="s">
        <v>843</v>
      </c>
      <c r="F975" t="s">
        <v>844</v>
      </c>
      <c r="G975" t="s">
        <v>164</v>
      </c>
      <c r="H975" t="s">
        <v>165</v>
      </c>
      <c r="I975" t="s">
        <v>34</v>
      </c>
      <c r="J975" t="s">
        <v>166</v>
      </c>
      <c r="K975" t="s">
        <v>41</v>
      </c>
      <c r="L975" t="s">
        <v>5550</v>
      </c>
      <c r="M975" t="s">
        <v>635</v>
      </c>
      <c r="N975" t="s">
        <v>847</v>
      </c>
      <c r="O975" t="s">
        <v>100</v>
      </c>
      <c r="P975" t="s">
        <v>5551</v>
      </c>
      <c r="Q975" t="s">
        <v>63</v>
      </c>
      <c r="R975" t="s">
        <v>711</v>
      </c>
      <c r="S975">
        <v>1</v>
      </c>
      <c r="T975">
        <v>4067</v>
      </c>
      <c r="U975">
        <v>0</v>
      </c>
      <c r="V975">
        <v>4067</v>
      </c>
    </row>
    <row r="976" spans="1:22" x14ac:dyDescent="0.3">
      <c r="A976">
        <v>79452</v>
      </c>
      <c r="B976">
        <v>135504025</v>
      </c>
      <c r="C976" t="s">
        <v>5552</v>
      </c>
      <c r="D976" t="s">
        <v>5553</v>
      </c>
      <c r="E976" t="s">
        <v>843</v>
      </c>
      <c r="F976" t="s">
        <v>844</v>
      </c>
      <c r="G976" t="s">
        <v>164</v>
      </c>
      <c r="H976" t="s">
        <v>165</v>
      </c>
      <c r="I976" t="s">
        <v>34</v>
      </c>
      <c r="J976" t="s">
        <v>166</v>
      </c>
      <c r="K976" t="s">
        <v>41</v>
      </c>
      <c r="L976" t="s">
        <v>5554</v>
      </c>
      <c r="M976" t="s">
        <v>5555</v>
      </c>
      <c r="N976" t="s">
        <v>847</v>
      </c>
      <c r="O976" t="s">
        <v>100</v>
      </c>
      <c r="P976" t="s">
        <v>5556</v>
      </c>
      <c r="Q976" t="s">
        <v>206</v>
      </c>
      <c r="R976" t="s">
        <v>5524</v>
      </c>
      <c r="S976">
        <v>1</v>
      </c>
      <c r="T976">
        <v>3753</v>
      </c>
      <c r="U976">
        <v>0</v>
      </c>
      <c r="V976">
        <v>3753</v>
      </c>
    </row>
    <row r="977" spans="1:22" x14ac:dyDescent="0.3">
      <c r="A977">
        <v>79452</v>
      </c>
      <c r="B977">
        <v>135504032</v>
      </c>
      <c r="C977" t="s">
        <v>5557</v>
      </c>
      <c r="D977" t="s">
        <v>5558</v>
      </c>
      <c r="E977" t="s">
        <v>843</v>
      </c>
      <c r="F977" t="s">
        <v>844</v>
      </c>
      <c r="G977" t="s">
        <v>164</v>
      </c>
      <c r="H977" t="s">
        <v>165</v>
      </c>
      <c r="I977" t="s">
        <v>34</v>
      </c>
      <c r="J977" t="s">
        <v>166</v>
      </c>
      <c r="K977" t="s">
        <v>41</v>
      </c>
      <c r="L977" t="s">
        <v>5559</v>
      </c>
      <c r="M977" t="s">
        <v>4157</v>
      </c>
      <c r="N977" t="s">
        <v>847</v>
      </c>
      <c r="O977" t="s">
        <v>100</v>
      </c>
      <c r="P977" t="s">
        <v>4158</v>
      </c>
      <c r="Q977" t="s">
        <v>61</v>
      </c>
      <c r="R977" t="s">
        <v>5524</v>
      </c>
      <c r="S977">
        <v>1</v>
      </c>
      <c r="T977">
        <v>4067</v>
      </c>
      <c r="U977">
        <v>0</v>
      </c>
      <c r="V977">
        <v>4067</v>
      </c>
    </row>
    <row r="978" spans="1:22" x14ac:dyDescent="0.3">
      <c r="A978">
        <v>79452</v>
      </c>
      <c r="B978">
        <v>135504051</v>
      </c>
      <c r="C978" t="s">
        <v>5560</v>
      </c>
      <c r="D978" t="s">
        <v>5561</v>
      </c>
      <c r="E978" t="s">
        <v>843</v>
      </c>
      <c r="F978" t="s">
        <v>844</v>
      </c>
      <c r="G978" t="s">
        <v>164</v>
      </c>
      <c r="H978" t="s">
        <v>165</v>
      </c>
      <c r="I978" t="s">
        <v>34</v>
      </c>
      <c r="J978" t="s">
        <v>166</v>
      </c>
      <c r="K978" t="s">
        <v>41</v>
      </c>
      <c r="L978" t="s">
        <v>5562</v>
      </c>
      <c r="M978" t="s">
        <v>5563</v>
      </c>
      <c r="N978" t="s">
        <v>847</v>
      </c>
      <c r="O978" t="s">
        <v>100</v>
      </c>
      <c r="P978" t="s">
        <v>5564</v>
      </c>
      <c r="Q978" t="s">
        <v>211</v>
      </c>
      <c r="R978" t="s">
        <v>711</v>
      </c>
      <c r="S978">
        <v>1</v>
      </c>
      <c r="T978">
        <v>4067</v>
      </c>
      <c r="U978">
        <v>0</v>
      </c>
      <c r="V978">
        <v>4067</v>
      </c>
    </row>
    <row r="979" spans="1:22" x14ac:dyDescent="0.3">
      <c r="A979">
        <v>79452</v>
      </c>
      <c r="B979">
        <v>135213998</v>
      </c>
      <c r="C979" t="s">
        <v>5565</v>
      </c>
      <c r="D979" t="s">
        <v>5566</v>
      </c>
      <c r="E979" t="s">
        <v>843</v>
      </c>
      <c r="F979" t="s">
        <v>844</v>
      </c>
      <c r="G979" t="s">
        <v>164</v>
      </c>
      <c r="H979" t="s">
        <v>165</v>
      </c>
      <c r="I979" t="s">
        <v>34</v>
      </c>
      <c r="J979" t="s">
        <v>166</v>
      </c>
      <c r="K979" t="s">
        <v>41</v>
      </c>
      <c r="L979" t="s">
        <v>5567</v>
      </c>
      <c r="M979" t="s">
        <v>5568</v>
      </c>
      <c r="N979" t="s">
        <v>847</v>
      </c>
      <c r="O979" t="s">
        <v>100</v>
      </c>
      <c r="P979" t="s">
        <v>5569</v>
      </c>
      <c r="Q979" t="s">
        <v>52</v>
      </c>
      <c r="R979" t="s">
        <v>5570</v>
      </c>
      <c r="S979">
        <v>1.51</v>
      </c>
      <c r="T979">
        <v>5759</v>
      </c>
      <c r="U979">
        <v>0</v>
      </c>
      <c r="V979">
        <v>5759</v>
      </c>
    </row>
    <row r="980" spans="1:22" x14ac:dyDescent="0.3">
      <c r="A980">
        <v>79452</v>
      </c>
      <c r="B980">
        <v>135504031</v>
      </c>
      <c r="C980" t="s">
        <v>5571</v>
      </c>
      <c r="D980" t="s">
        <v>5572</v>
      </c>
      <c r="E980" t="s">
        <v>843</v>
      </c>
      <c r="F980" t="s">
        <v>844</v>
      </c>
      <c r="G980" t="s">
        <v>164</v>
      </c>
      <c r="H980" t="s">
        <v>165</v>
      </c>
      <c r="I980" t="s">
        <v>34</v>
      </c>
      <c r="J980" t="s">
        <v>166</v>
      </c>
      <c r="K980" t="s">
        <v>41</v>
      </c>
      <c r="L980" t="s">
        <v>5573</v>
      </c>
      <c r="M980" t="s">
        <v>4061</v>
      </c>
      <c r="N980" t="s">
        <v>847</v>
      </c>
      <c r="O980" t="s">
        <v>100</v>
      </c>
      <c r="P980" t="s">
        <v>5574</v>
      </c>
      <c r="Q980" t="s">
        <v>84</v>
      </c>
      <c r="R980" t="s">
        <v>5524</v>
      </c>
      <c r="S980">
        <v>1</v>
      </c>
      <c r="T980">
        <v>3366</v>
      </c>
      <c r="U980">
        <v>0</v>
      </c>
      <c r="V980">
        <v>3366</v>
      </c>
    </row>
    <row r="981" spans="1:22" x14ac:dyDescent="0.3">
      <c r="A981">
        <v>79452</v>
      </c>
      <c r="B981">
        <v>135504050</v>
      </c>
      <c r="C981" t="s">
        <v>5575</v>
      </c>
      <c r="D981" t="s">
        <v>5576</v>
      </c>
      <c r="E981" t="s">
        <v>843</v>
      </c>
      <c r="F981" t="s">
        <v>844</v>
      </c>
      <c r="G981" t="s">
        <v>164</v>
      </c>
      <c r="H981" t="s">
        <v>165</v>
      </c>
      <c r="I981" t="s">
        <v>34</v>
      </c>
      <c r="J981" t="s">
        <v>166</v>
      </c>
      <c r="K981" t="s">
        <v>41</v>
      </c>
      <c r="L981" t="s">
        <v>5577</v>
      </c>
      <c r="M981" t="s">
        <v>5578</v>
      </c>
      <c r="N981" t="s">
        <v>847</v>
      </c>
      <c r="O981" t="s">
        <v>100</v>
      </c>
      <c r="P981" t="s">
        <v>5579</v>
      </c>
      <c r="Q981" t="s">
        <v>84</v>
      </c>
      <c r="R981" t="s">
        <v>711</v>
      </c>
      <c r="S981">
        <v>1</v>
      </c>
      <c r="T981">
        <v>3366</v>
      </c>
      <c r="U981">
        <v>0</v>
      </c>
      <c r="V981">
        <v>3366</v>
      </c>
    </row>
    <row r="982" spans="1:22" x14ac:dyDescent="0.3">
      <c r="A982">
        <v>79452</v>
      </c>
      <c r="B982">
        <v>135504020</v>
      </c>
      <c r="C982" t="s">
        <v>5580</v>
      </c>
      <c r="D982" t="s">
        <v>5581</v>
      </c>
      <c r="E982" t="s">
        <v>843</v>
      </c>
      <c r="F982" t="s">
        <v>844</v>
      </c>
      <c r="G982" t="s">
        <v>164</v>
      </c>
      <c r="H982" t="s">
        <v>165</v>
      </c>
      <c r="I982" t="s">
        <v>34</v>
      </c>
      <c r="J982" t="s">
        <v>166</v>
      </c>
      <c r="K982" t="s">
        <v>41</v>
      </c>
      <c r="L982" t="s">
        <v>5582</v>
      </c>
      <c r="M982" t="s">
        <v>442</v>
      </c>
      <c r="N982" t="s">
        <v>847</v>
      </c>
      <c r="O982" t="s">
        <v>100</v>
      </c>
      <c r="P982" t="s">
        <v>5583</v>
      </c>
      <c r="Q982" t="s">
        <v>84</v>
      </c>
      <c r="R982" t="s">
        <v>5524</v>
      </c>
      <c r="S982">
        <v>1</v>
      </c>
      <c r="T982">
        <v>3366</v>
      </c>
      <c r="U982">
        <v>0</v>
      </c>
      <c r="V982">
        <v>3366</v>
      </c>
    </row>
    <row r="983" spans="1:22" x14ac:dyDescent="0.3">
      <c r="A983">
        <v>79452</v>
      </c>
      <c r="B983">
        <v>135504028</v>
      </c>
      <c r="C983" t="s">
        <v>5584</v>
      </c>
      <c r="D983" t="s">
        <v>5585</v>
      </c>
      <c r="E983" t="s">
        <v>843</v>
      </c>
      <c r="F983" t="s">
        <v>844</v>
      </c>
      <c r="G983" t="s">
        <v>164</v>
      </c>
      <c r="H983" t="s">
        <v>165</v>
      </c>
      <c r="I983" t="s">
        <v>34</v>
      </c>
      <c r="J983" t="s">
        <v>166</v>
      </c>
      <c r="K983" t="s">
        <v>41</v>
      </c>
      <c r="L983" t="s">
        <v>5586</v>
      </c>
      <c r="M983" t="s">
        <v>1088</v>
      </c>
      <c r="N983" t="s">
        <v>847</v>
      </c>
      <c r="O983" t="s">
        <v>100</v>
      </c>
      <c r="P983" t="s">
        <v>1089</v>
      </c>
      <c r="Q983" t="s">
        <v>59</v>
      </c>
      <c r="R983" t="s">
        <v>5524</v>
      </c>
      <c r="S983">
        <v>1</v>
      </c>
      <c r="T983">
        <v>4067</v>
      </c>
      <c r="U983">
        <v>0</v>
      </c>
      <c r="V983">
        <v>4067</v>
      </c>
    </row>
    <row r="984" spans="1:22" x14ac:dyDescent="0.3">
      <c r="A984">
        <v>79452</v>
      </c>
      <c r="B984">
        <v>135472923</v>
      </c>
      <c r="C984" t="s">
        <v>5587</v>
      </c>
      <c r="D984" t="s">
        <v>5588</v>
      </c>
      <c r="E984" t="s">
        <v>843</v>
      </c>
      <c r="F984" t="s">
        <v>844</v>
      </c>
      <c r="G984" t="s">
        <v>164</v>
      </c>
      <c r="H984" t="s">
        <v>165</v>
      </c>
      <c r="I984" t="s">
        <v>34</v>
      </c>
      <c r="J984" t="s">
        <v>166</v>
      </c>
      <c r="K984" t="s">
        <v>44</v>
      </c>
      <c r="L984" t="s">
        <v>188</v>
      </c>
      <c r="M984" t="s">
        <v>5589</v>
      </c>
      <c r="N984" t="s">
        <v>847</v>
      </c>
      <c r="O984" t="s">
        <v>100</v>
      </c>
      <c r="P984" t="s">
        <v>5590</v>
      </c>
      <c r="Q984" t="s">
        <v>71</v>
      </c>
      <c r="R984" t="s">
        <v>5449</v>
      </c>
      <c r="S984">
        <v>1</v>
      </c>
      <c r="T984">
        <v>3501</v>
      </c>
      <c r="U984">
        <v>0</v>
      </c>
      <c r="V984">
        <v>3501</v>
      </c>
    </row>
    <row r="985" spans="1:22" x14ac:dyDescent="0.3">
      <c r="A985">
        <v>79452</v>
      </c>
      <c r="B985">
        <v>135472932</v>
      </c>
      <c r="C985" t="s">
        <v>5591</v>
      </c>
      <c r="D985" t="s">
        <v>5592</v>
      </c>
      <c r="E985" t="s">
        <v>843</v>
      </c>
      <c r="F985" t="s">
        <v>844</v>
      </c>
      <c r="G985" t="s">
        <v>164</v>
      </c>
      <c r="H985" t="s">
        <v>165</v>
      </c>
      <c r="I985" t="s">
        <v>34</v>
      </c>
      <c r="J985" t="s">
        <v>166</v>
      </c>
      <c r="K985" t="s">
        <v>41</v>
      </c>
      <c r="L985" t="s">
        <v>5593</v>
      </c>
      <c r="M985" t="s">
        <v>5594</v>
      </c>
      <c r="N985" t="s">
        <v>847</v>
      </c>
      <c r="O985" t="s">
        <v>100</v>
      </c>
      <c r="P985" t="s">
        <v>5595</v>
      </c>
      <c r="Q985" t="s">
        <v>77</v>
      </c>
      <c r="R985" t="s">
        <v>5449</v>
      </c>
      <c r="S985">
        <v>1</v>
      </c>
      <c r="T985">
        <v>7506</v>
      </c>
      <c r="U985">
        <v>0</v>
      </c>
      <c r="V985">
        <v>7506</v>
      </c>
    </row>
    <row r="986" spans="1:22" x14ac:dyDescent="0.3">
      <c r="A986">
        <v>79452</v>
      </c>
      <c r="B986">
        <v>135524086</v>
      </c>
      <c r="C986" t="s">
        <v>5596</v>
      </c>
      <c r="D986" t="s">
        <v>5597</v>
      </c>
      <c r="E986" t="s">
        <v>843</v>
      </c>
      <c r="F986" t="s">
        <v>844</v>
      </c>
      <c r="G986" t="s">
        <v>164</v>
      </c>
      <c r="H986" t="s">
        <v>165</v>
      </c>
      <c r="I986" t="s">
        <v>34</v>
      </c>
      <c r="J986" t="s">
        <v>166</v>
      </c>
      <c r="K986" t="s">
        <v>41</v>
      </c>
      <c r="L986" t="s">
        <v>5598</v>
      </c>
      <c r="M986" t="s">
        <v>5599</v>
      </c>
      <c r="N986" t="s">
        <v>847</v>
      </c>
      <c r="O986" t="s">
        <v>100</v>
      </c>
      <c r="P986" t="s">
        <v>5600</v>
      </c>
      <c r="Q986" t="s">
        <v>83</v>
      </c>
      <c r="R986" t="s">
        <v>730</v>
      </c>
      <c r="S986">
        <v>1</v>
      </c>
      <c r="T986">
        <v>3366</v>
      </c>
      <c r="U986">
        <v>0</v>
      </c>
      <c r="V986">
        <v>3366</v>
      </c>
    </row>
    <row r="987" spans="1:22" x14ac:dyDescent="0.3">
      <c r="A987">
        <v>79452</v>
      </c>
      <c r="B987">
        <v>135524070</v>
      </c>
      <c r="C987" t="s">
        <v>5601</v>
      </c>
      <c r="D987" t="s">
        <v>5602</v>
      </c>
      <c r="E987" t="s">
        <v>843</v>
      </c>
      <c r="F987" t="s">
        <v>844</v>
      </c>
      <c r="G987" t="s">
        <v>164</v>
      </c>
      <c r="H987" t="s">
        <v>165</v>
      </c>
      <c r="I987" t="s">
        <v>34</v>
      </c>
      <c r="J987" t="s">
        <v>166</v>
      </c>
      <c r="K987" t="s">
        <v>41</v>
      </c>
      <c r="L987" t="s">
        <v>5603</v>
      </c>
      <c r="M987" t="s">
        <v>5604</v>
      </c>
      <c r="N987" t="s">
        <v>847</v>
      </c>
      <c r="O987" t="s">
        <v>100</v>
      </c>
      <c r="P987" t="s">
        <v>5605</v>
      </c>
      <c r="Q987" t="s">
        <v>61</v>
      </c>
      <c r="R987" t="s">
        <v>730</v>
      </c>
      <c r="S987">
        <v>1</v>
      </c>
      <c r="T987">
        <v>4067</v>
      </c>
      <c r="U987">
        <v>0</v>
      </c>
      <c r="V987">
        <v>4067</v>
      </c>
    </row>
    <row r="988" spans="1:22" x14ac:dyDescent="0.3">
      <c r="A988">
        <v>79452</v>
      </c>
      <c r="B988">
        <v>135472926</v>
      </c>
      <c r="C988" t="s">
        <v>5606</v>
      </c>
      <c r="D988" t="s">
        <v>5607</v>
      </c>
      <c r="E988" t="s">
        <v>843</v>
      </c>
      <c r="F988" t="s">
        <v>844</v>
      </c>
      <c r="G988" t="s">
        <v>164</v>
      </c>
      <c r="H988" t="s">
        <v>165</v>
      </c>
      <c r="I988" t="s">
        <v>34</v>
      </c>
      <c r="J988" t="s">
        <v>166</v>
      </c>
      <c r="K988" t="s">
        <v>41</v>
      </c>
      <c r="L988" t="s">
        <v>5608</v>
      </c>
      <c r="M988" t="s">
        <v>1227</v>
      </c>
      <c r="N988" t="s">
        <v>847</v>
      </c>
      <c r="O988" t="s">
        <v>100</v>
      </c>
      <c r="P988" t="s">
        <v>1228</v>
      </c>
      <c r="Q988" t="s">
        <v>190</v>
      </c>
      <c r="R988" t="s">
        <v>5449</v>
      </c>
      <c r="S988">
        <v>1</v>
      </c>
      <c r="T988">
        <v>3366</v>
      </c>
      <c r="U988">
        <v>0</v>
      </c>
      <c r="V988">
        <v>3366</v>
      </c>
    </row>
    <row r="989" spans="1:22" x14ac:dyDescent="0.3">
      <c r="A989">
        <v>79452</v>
      </c>
      <c r="B989">
        <v>135504013</v>
      </c>
      <c r="C989" t="s">
        <v>5609</v>
      </c>
      <c r="D989" t="s">
        <v>5610</v>
      </c>
      <c r="E989" t="s">
        <v>843</v>
      </c>
      <c r="F989" t="s">
        <v>844</v>
      </c>
      <c r="G989" t="s">
        <v>164</v>
      </c>
      <c r="H989" t="s">
        <v>165</v>
      </c>
      <c r="I989" t="s">
        <v>34</v>
      </c>
      <c r="J989" t="s">
        <v>166</v>
      </c>
      <c r="K989" t="s">
        <v>41</v>
      </c>
      <c r="L989" t="s">
        <v>5611</v>
      </c>
      <c r="M989" t="s">
        <v>5612</v>
      </c>
      <c r="N989" t="s">
        <v>847</v>
      </c>
      <c r="O989" t="s">
        <v>100</v>
      </c>
      <c r="P989" t="s">
        <v>5613</v>
      </c>
      <c r="Q989" t="s">
        <v>69</v>
      </c>
      <c r="R989" t="s">
        <v>5524</v>
      </c>
      <c r="S989">
        <v>1</v>
      </c>
      <c r="T989">
        <v>3753</v>
      </c>
      <c r="U989">
        <v>0</v>
      </c>
      <c r="V989">
        <v>3753</v>
      </c>
    </row>
    <row r="990" spans="1:22" x14ac:dyDescent="0.3">
      <c r="A990">
        <v>79452</v>
      </c>
      <c r="B990">
        <v>135504015</v>
      </c>
      <c r="C990" t="s">
        <v>5614</v>
      </c>
      <c r="D990" t="s">
        <v>5615</v>
      </c>
      <c r="E990" t="s">
        <v>843</v>
      </c>
      <c r="F990" t="s">
        <v>844</v>
      </c>
      <c r="G990" t="s">
        <v>164</v>
      </c>
      <c r="H990" t="s">
        <v>165</v>
      </c>
      <c r="I990" t="s">
        <v>34</v>
      </c>
      <c r="J990" t="s">
        <v>166</v>
      </c>
      <c r="K990" t="s">
        <v>41</v>
      </c>
      <c r="L990" t="s">
        <v>5611</v>
      </c>
      <c r="M990" t="s">
        <v>5612</v>
      </c>
      <c r="N990" t="s">
        <v>847</v>
      </c>
      <c r="O990" t="s">
        <v>100</v>
      </c>
      <c r="P990" t="s">
        <v>5613</v>
      </c>
      <c r="Q990" t="s">
        <v>69</v>
      </c>
      <c r="R990" t="s">
        <v>5524</v>
      </c>
      <c r="S990">
        <v>1</v>
      </c>
      <c r="T990">
        <v>3753</v>
      </c>
      <c r="U990">
        <v>0</v>
      </c>
      <c r="V990">
        <v>3753</v>
      </c>
    </row>
    <row r="991" spans="1:22" x14ac:dyDescent="0.3">
      <c r="A991">
        <v>79452</v>
      </c>
      <c r="B991">
        <v>135421207</v>
      </c>
      <c r="C991" t="s">
        <v>5616</v>
      </c>
      <c r="D991" t="s">
        <v>5617</v>
      </c>
      <c r="E991" t="s">
        <v>843</v>
      </c>
      <c r="F991" t="s">
        <v>844</v>
      </c>
      <c r="G991" t="s">
        <v>164</v>
      </c>
      <c r="H991" t="s">
        <v>165</v>
      </c>
      <c r="I991" t="s">
        <v>34</v>
      </c>
      <c r="J991" t="s">
        <v>166</v>
      </c>
      <c r="K991" t="s">
        <v>41</v>
      </c>
      <c r="L991" t="s">
        <v>5618</v>
      </c>
      <c r="M991" t="s">
        <v>5619</v>
      </c>
      <c r="N991" t="s">
        <v>847</v>
      </c>
      <c r="O991" t="s">
        <v>100</v>
      </c>
      <c r="P991" t="s">
        <v>5620</v>
      </c>
      <c r="Q991" t="s">
        <v>434</v>
      </c>
      <c r="R991" t="s">
        <v>5621</v>
      </c>
      <c r="S991">
        <v>1</v>
      </c>
      <c r="T991">
        <v>4881</v>
      </c>
      <c r="U991">
        <v>0</v>
      </c>
      <c r="V991">
        <v>4881</v>
      </c>
    </row>
    <row r="992" spans="1:22" x14ac:dyDescent="0.3">
      <c r="A992">
        <v>79452</v>
      </c>
      <c r="B992">
        <v>135449462</v>
      </c>
      <c r="C992" t="s">
        <v>5622</v>
      </c>
      <c r="D992" t="s">
        <v>5623</v>
      </c>
      <c r="E992" t="s">
        <v>843</v>
      </c>
      <c r="F992" t="s">
        <v>844</v>
      </c>
      <c r="G992" t="s">
        <v>164</v>
      </c>
      <c r="H992" t="s">
        <v>165</v>
      </c>
      <c r="I992" t="s">
        <v>34</v>
      </c>
      <c r="J992" t="s">
        <v>166</v>
      </c>
      <c r="K992" t="s">
        <v>41</v>
      </c>
      <c r="L992" t="s">
        <v>5624</v>
      </c>
      <c r="M992" t="s">
        <v>5625</v>
      </c>
      <c r="N992" t="s">
        <v>847</v>
      </c>
      <c r="O992" t="s">
        <v>100</v>
      </c>
      <c r="P992" t="s">
        <v>5626</v>
      </c>
      <c r="Q992" t="s">
        <v>60</v>
      </c>
      <c r="R992" t="s">
        <v>4944</v>
      </c>
      <c r="S992">
        <v>1</v>
      </c>
      <c r="T992">
        <v>4346</v>
      </c>
      <c r="U992">
        <v>0</v>
      </c>
      <c r="V992">
        <v>4346</v>
      </c>
    </row>
    <row r="993" spans="1:22" x14ac:dyDescent="0.3">
      <c r="A993">
        <v>79452</v>
      </c>
      <c r="B993">
        <v>135472904</v>
      </c>
      <c r="C993" t="s">
        <v>5627</v>
      </c>
      <c r="D993" t="s">
        <v>5628</v>
      </c>
      <c r="E993" t="s">
        <v>843</v>
      </c>
      <c r="F993" t="s">
        <v>844</v>
      </c>
      <c r="G993" t="s">
        <v>164</v>
      </c>
      <c r="H993" t="s">
        <v>165</v>
      </c>
      <c r="I993" t="s">
        <v>34</v>
      </c>
      <c r="J993" t="s">
        <v>166</v>
      </c>
      <c r="K993" t="s">
        <v>41</v>
      </c>
      <c r="L993" t="s">
        <v>5629</v>
      </c>
      <c r="M993" t="s">
        <v>5630</v>
      </c>
      <c r="N993" t="s">
        <v>847</v>
      </c>
      <c r="O993" t="s">
        <v>100</v>
      </c>
      <c r="P993" t="s">
        <v>5631</v>
      </c>
      <c r="Q993" t="s">
        <v>63</v>
      </c>
      <c r="R993" t="s">
        <v>5449</v>
      </c>
      <c r="S993">
        <v>1</v>
      </c>
      <c r="T993">
        <v>4067</v>
      </c>
      <c r="U993">
        <v>0</v>
      </c>
      <c r="V993">
        <v>4067</v>
      </c>
    </row>
    <row r="994" spans="1:22" x14ac:dyDescent="0.3">
      <c r="A994">
        <v>79452</v>
      </c>
      <c r="B994">
        <v>135524078</v>
      </c>
      <c r="C994" t="s">
        <v>5632</v>
      </c>
      <c r="D994" t="s">
        <v>5633</v>
      </c>
      <c r="E994" t="s">
        <v>843</v>
      </c>
      <c r="F994" t="s">
        <v>844</v>
      </c>
      <c r="G994" t="s">
        <v>164</v>
      </c>
      <c r="H994" t="s">
        <v>165</v>
      </c>
      <c r="I994" t="s">
        <v>34</v>
      </c>
      <c r="J994" t="s">
        <v>166</v>
      </c>
      <c r="K994" t="s">
        <v>41</v>
      </c>
      <c r="L994" t="s">
        <v>5634</v>
      </c>
      <c r="M994" t="s">
        <v>5635</v>
      </c>
      <c r="N994" t="s">
        <v>847</v>
      </c>
      <c r="O994" t="s">
        <v>100</v>
      </c>
      <c r="P994" t="s">
        <v>5636</v>
      </c>
      <c r="Q994" t="s">
        <v>83</v>
      </c>
      <c r="R994" t="s">
        <v>730</v>
      </c>
      <c r="S994">
        <v>1</v>
      </c>
      <c r="T994">
        <v>3366</v>
      </c>
      <c r="U994">
        <v>0</v>
      </c>
      <c r="V994">
        <v>3366</v>
      </c>
    </row>
    <row r="995" spans="1:22" x14ac:dyDescent="0.3">
      <c r="A995">
        <v>79452</v>
      </c>
      <c r="B995">
        <v>135524046</v>
      </c>
      <c r="C995" t="s">
        <v>5637</v>
      </c>
      <c r="D995" t="s">
        <v>5638</v>
      </c>
      <c r="E995" t="s">
        <v>843</v>
      </c>
      <c r="F995" t="s">
        <v>844</v>
      </c>
      <c r="G995" t="s">
        <v>164</v>
      </c>
      <c r="H995" t="s">
        <v>165</v>
      </c>
      <c r="I995" t="s">
        <v>34</v>
      </c>
      <c r="J995" t="s">
        <v>166</v>
      </c>
      <c r="K995" t="s">
        <v>41</v>
      </c>
      <c r="L995" t="s">
        <v>5639</v>
      </c>
      <c r="M995" t="s">
        <v>5177</v>
      </c>
      <c r="N995" t="s">
        <v>847</v>
      </c>
      <c r="O995" t="s">
        <v>100</v>
      </c>
      <c r="P995" t="s">
        <v>5178</v>
      </c>
      <c r="Q995" t="s">
        <v>69</v>
      </c>
      <c r="R995" t="s">
        <v>5640</v>
      </c>
      <c r="S995">
        <v>1</v>
      </c>
      <c r="T995">
        <v>3753</v>
      </c>
      <c r="U995">
        <v>0</v>
      </c>
      <c r="V995">
        <v>3753</v>
      </c>
    </row>
    <row r="996" spans="1:22" x14ac:dyDescent="0.3">
      <c r="A996">
        <v>79452</v>
      </c>
      <c r="B996">
        <v>135472908</v>
      </c>
      <c r="C996" t="s">
        <v>5641</v>
      </c>
      <c r="D996" t="s">
        <v>5642</v>
      </c>
      <c r="E996" t="s">
        <v>843</v>
      </c>
      <c r="F996" t="s">
        <v>844</v>
      </c>
      <c r="G996" t="s">
        <v>164</v>
      </c>
      <c r="H996" t="s">
        <v>165</v>
      </c>
      <c r="I996" t="s">
        <v>34</v>
      </c>
      <c r="J996" t="s">
        <v>166</v>
      </c>
      <c r="K996" t="s">
        <v>41</v>
      </c>
      <c r="L996" t="s">
        <v>5643</v>
      </c>
      <c r="M996" t="s">
        <v>4434</v>
      </c>
      <c r="N996" t="s">
        <v>847</v>
      </c>
      <c r="O996" t="s">
        <v>100</v>
      </c>
      <c r="P996" t="s">
        <v>4435</v>
      </c>
      <c r="Q996" t="s">
        <v>84</v>
      </c>
      <c r="R996" t="s">
        <v>5449</v>
      </c>
      <c r="S996">
        <v>1</v>
      </c>
      <c r="T996">
        <v>3366</v>
      </c>
      <c r="U996">
        <v>0</v>
      </c>
      <c r="V996">
        <v>3366</v>
      </c>
    </row>
    <row r="997" spans="1:22" x14ac:dyDescent="0.3">
      <c r="A997">
        <v>79452</v>
      </c>
      <c r="B997">
        <v>135524090</v>
      </c>
      <c r="C997" t="s">
        <v>5644</v>
      </c>
      <c r="D997" t="s">
        <v>5645</v>
      </c>
      <c r="E997" t="s">
        <v>843</v>
      </c>
      <c r="F997" t="s">
        <v>844</v>
      </c>
      <c r="G997" t="s">
        <v>164</v>
      </c>
      <c r="H997" t="s">
        <v>165</v>
      </c>
      <c r="I997" t="s">
        <v>34</v>
      </c>
      <c r="J997" t="s">
        <v>166</v>
      </c>
      <c r="K997" t="s">
        <v>41</v>
      </c>
      <c r="L997" t="s">
        <v>5646</v>
      </c>
      <c r="M997" t="s">
        <v>5647</v>
      </c>
      <c r="N997" t="s">
        <v>847</v>
      </c>
      <c r="O997" t="s">
        <v>100</v>
      </c>
      <c r="P997" t="s">
        <v>5648</v>
      </c>
      <c r="Q997" t="s">
        <v>50</v>
      </c>
      <c r="R997" t="s">
        <v>730</v>
      </c>
      <c r="S997">
        <v>1</v>
      </c>
      <c r="T997">
        <v>3784</v>
      </c>
      <c r="U997">
        <v>0</v>
      </c>
      <c r="V997">
        <v>3784</v>
      </c>
    </row>
    <row r="998" spans="1:22" x14ac:dyDescent="0.3">
      <c r="A998">
        <v>79452</v>
      </c>
      <c r="B998">
        <v>135412522</v>
      </c>
      <c r="C998" t="s">
        <v>5649</v>
      </c>
      <c r="D998" t="s">
        <v>5650</v>
      </c>
      <c r="E998" t="s">
        <v>843</v>
      </c>
      <c r="F998" t="s">
        <v>844</v>
      </c>
      <c r="G998" t="s">
        <v>164</v>
      </c>
      <c r="H998" t="s">
        <v>165</v>
      </c>
      <c r="I998" t="s">
        <v>34</v>
      </c>
      <c r="J998" t="s">
        <v>166</v>
      </c>
      <c r="K998" t="s">
        <v>41</v>
      </c>
      <c r="L998" t="s">
        <v>5651</v>
      </c>
      <c r="M998" t="s">
        <v>5652</v>
      </c>
      <c r="N998" t="s">
        <v>847</v>
      </c>
      <c r="O998" t="s">
        <v>100</v>
      </c>
      <c r="P998" t="s">
        <v>5653</v>
      </c>
      <c r="Q998" t="s">
        <v>55</v>
      </c>
      <c r="R998" t="s">
        <v>5654</v>
      </c>
      <c r="S998">
        <v>1</v>
      </c>
      <c r="T998">
        <v>5198</v>
      </c>
      <c r="U998">
        <v>0</v>
      </c>
      <c r="V998">
        <v>5198</v>
      </c>
    </row>
    <row r="999" spans="1:22" x14ac:dyDescent="0.3">
      <c r="A999">
        <v>79452</v>
      </c>
      <c r="B999">
        <v>135449429</v>
      </c>
      <c r="C999" t="s">
        <v>5655</v>
      </c>
      <c r="D999" t="s">
        <v>5656</v>
      </c>
      <c r="E999" t="s">
        <v>843</v>
      </c>
      <c r="F999" t="s">
        <v>844</v>
      </c>
      <c r="G999" t="s">
        <v>164</v>
      </c>
      <c r="H999" t="s">
        <v>165</v>
      </c>
      <c r="I999" t="s">
        <v>34</v>
      </c>
      <c r="J999" t="s">
        <v>166</v>
      </c>
      <c r="K999" t="s">
        <v>41</v>
      </c>
      <c r="L999" t="s">
        <v>5657</v>
      </c>
      <c r="M999" t="s">
        <v>5658</v>
      </c>
      <c r="N999" t="s">
        <v>847</v>
      </c>
      <c r="O999" t="s">
        <v>100</v>
      </c>
      <c r="P999" t="s">
        <v>5659</v>
      </c>
      <c r="Q999" t="s">
        <v>57</v>
      </c>
      <c r="R999" t="s">
        <v>4944</v>
      </c>
      <c r="S999">
        <v>1</v>
      </c>
      <c r="T999">
        <v>5476</v>
      </c>
      <c r="U999">
        <v>0</v>
      </c>
      <c r="V999">
        <v>5476</v>
      </c>
    </row>
    <row r="1000" spans="1:22" x14ac:dyDescent="0.3">
      <c r="A1000">
        <v>79452</v>
      </c>
      <c r="B1000">
        <v>135421238</v>
      </c>
      <c r="C1000" t="s">
        <v>5660</v>
      </c>
      <c r="D1000" t="s">
        <v>5661</v>
      </c>
      <c r="E1000" t="s">
        <v>843</v>
      </c>
      <c r="F1000" t="s">
        <v>844</v>
      </c>
      <c r="G1000" t="s">
        <v>164</v>
      </c>
      <c r="H1000" t="s">
        <v>165</v>
      </c>
      <c r="I1000" t="s">
        <v>34</v>
      </c>
      <c r="J1000" t="s">
        <v>166</v>
      </c>
      <c r="K1000" t="s">
        <v>41</v>
      </c>
      <c r="L1000" t="s">
        <v>5662</v>
      </c>
      <c r="M1000" t="s">
        <v>5663</v>
      </c>
      <c r="N1000" t="s">
        <v>847</v>
      </c>
      <c r="O1000" t="s">
        <v>100</v>
      </c>
      <c r="P1000" t="s">
        <v>5664</v>
      </c>
      <c r="Q1000" t="s">
        <v>55</v>
      </c>
      <c r="R1000" t="s">
        <v>3187</v>
      </c>
      <c r="S1000">
        <v>1</v>
      </c>
      <c r="T1000">
        <v>5198</v>
      </c>
      <c r="U1000">
        <v>0</v>
      </c>
      <c r="V1000">
        <v>5198</v>
      </c>
    </row>
    <row r="1001" spans="1:22" x14ac:dyDescent="0.3">
      <c r="A1001">
        <v>79452</v>
      </c>
      <c r="B1001">
        <v>135421224</v>
      </c>
      <c r="C1001" t="s">
        <v>5665</v>
      </c>
      <c r="D1001" t="s">
        <v>5666</v>
      </c>
      <c r="E1001" t="s">
        <v>843</v>
      </c>
      <c r="F1001" t="s">
        <v>844</v>
      </c>
      <c r="G1001" t="s">
        <v>164</v>
      </c>
      <c r="H1001" t="s">
        <v>165</v>
      </c>
      <c r="I1001" t="s">
        <v>34</v>
      </c>
      <c r="J1001" t="s">
        <v>166</v>
      </c>
      <c r="K1001" t="s">
        <v>41</v>
      </c>
      <c r="L1001" t="s">
        <v>5667</v>
      </c>
      <c r="M1001" t="s">
        <v>5668</v>
      </c>
      <c r="N1001" t="s">
        <v>847</v>
      </c>
      <c r="O1001" t="s">
        <v>100</v>
      </c>
      <c r="P1001" t="s">
        <v>5669</v>
      </c>
      <c r="Q1001" t="s">
        <v>216</v>
      </c>
      <c r="R1001" t="s">
        <v>3187</v>
      </c>
      <c r="S1001">
        <v>1</v>
      </c>
      <c r="T1001">
        <v>3366</v>
      </c>
      <c r="U1001">
        <v>0</v>
      </c>
      <c r="V1001">
        <v>3366</v>
      </c>
    </row>
    <row r="1002" spans="1:22" x14ac:dyDescent="0.3">
      <c r="A1002">
        <v>79452</v>
      </c>
      <c r="B1002">
        <v>136103818</v>
      </c>
      <c r="C1002" t="s">
        <v>5670</v>
      </c>
      <c r="D1002" t="s">
        <v>5671</v>
      </c>
      <c r="E1002" t="s">
        <v>843</v>
      </c>
      <c r="F1002" t="s">
        <v>844</v>
      </c>
      <c r="G1002" t="s">
        <v>164</v>
      </c>
      <c r="H1002" t="s">
        <v>165</v>
      </c>
      <c r="I1002" t="s">
        <v>34</v>
      </c>
      <c r="J1002" t="s">
        <v>166</v>
      </c>
      <c r="K1002" t="s">
        <v>280</v>
      </c>
      <c r="L1002" t="s">
        <v>281</v>
      </c>
      <c r="M1002" t="s">
        <v>5672</v>
      </c>
      <c r="N1002" t="s">
        <v>847</v>
      </c>
      <c r="O1002" t="s">
        <v>100</v>
      </c>
      <c r="P1002" t="s">
        <v>5673</v>
      </c>
      <c r="Q1002" t="s">
        <v>275</v>
      </c>
      <c r="R1002" t="s">
        <v>599</v>
      </c>
      <c r="S1002">
        <v>1.62</v>
      </c>
      <c r="T1002">
        <v>8707.99</v>
      </c>
      <c r="U1002">
        <v>0</v>
      </c>
      <c r="V1002">
        <v>8707.99</v>
      </c>
    </row>
    <row r="1003" spans="1:22" x14ac:dyDescent="0.3">
      <c r="A1003">
        <v>79452</v>
      </c>
      <c r="B1003">
        <v>135449426</v>
      </c>
      <c r="C1003" t="s">
        <v>5674</v>
      </c>
      <c r="D1003" t="s">
        <v>5675</v>
      </c>
      <c r="E1003" t="s">
        <v>843</v>
      </c>
      <c r="F1003" t="s">
        <v>844</v>
      </c>
      <c r="G1003" t="s">
        <v>164</v>
      </c>
      <c r="H1003" t="s">
        <v>165</v>
      </c>
      <c r="I1003" t="s">
        <v>34</v>
      </c>
      <c r="J1003" t="s">
        <v>166</v>
      </c>
      <c r="K1003" t="s">
        <v>41</v>
      </c>
      <c r="L1003" t="s">
        <v>5676</v>
      </c>
      <c r="M1003" t="s">
        <v>5677</v>
      </c>
      <c r="N1003" t="s">
        <v>847</v>
      </c>
      <c r="O1003" t="s">
        <v>100</v>
      </c>
      <c r="P1003" t="s">
        <v>5678</v>
      </c>
      <c r="Q1003" t="s">
        <v>202</v>
      </c>
      <c r="R1003" t="s">
        <v>4944</v>
      </c>
      <c r="S1003">
        <v>1.3</v>
      </c>
      <c r="T1003">
        <v>5568</v>
      </c>
      <c r="U1003">
        <v>0</v>
      </c>
      <c r="V1003">
        <v>5568</v>
      </c>
    </row>
    <row r="1004" spans="1:22" x14ac:dyDescent="0.3">
      <c r="A1004">
        <v>79452</v>
      </c>
      <c r="B1004">
        <v>137726034</v>
      </c>
      <c r="C1004" t="s">
        <v>5679</v>
      </c>
      <c r="D1004" t="s">
        <v>5680</v>
      </c>
      <c r="E1004" t="s">
        <v>843</v>
      </c>
      <c r="F1004" t="s">
        <v>844</v>
      </c>
      <c r="G1004" t="s">
        <v>267</v>
      </c>
      <c r="H1004" t="s">
        <v>268</v>
      </c>
      <c r="I1004" t="s">
        <v>34</v>
      </c>
      <c r="J1004" t="s">
        <v>269</v>
      </c>
      <c r="K1004" t="s">
        <v>41</v>
      </c>
      <c r="L1004" t="s">
        <v>5681</v>
      </c>
      <c r="M1004" t="s">
        <v>5682</v>
      </c>
      <c r="N1004" t="s">
        <v>847</v>
      </c>
      <c r="O1004" t="s">
        <v>100</v>
      </c>
      <c r="P1004" t="s">
        <v>5683</v>
      </c>
      <c r="Q1004" t="s">
        <v>115</v>
      </c>
      <c r="R1004" t="s">
        <v>5684</v>
      </c>
      <c r="S1004">
        <v>0.27</v>
      </c>
      <c r="T1004">
        <v>3735</v>
      </c>
      <c r="U1004">
        <v>149.94999999999999</v>
      </c>
      <c r="V1004">
        <v>3884.95</v>
      </c>
    </row>
    <row r="1005" spans="1:22" x14ac:dyDescent="0.3">
      <c r="A1005">
        <v>79452</v>
      </c>
      <c r="B1005">
        <v>137701436</v>
      </c>
      <c r="C1005" t="s">
        <v>5685</v>
      </c>
      <c r="D1005" t="s">
        <v>5686</v>
      </c>
      <c r="E1005" t="s">
        <v>843</v>
      </c>
      <c r="F1005" t="s">
        <v>844</v>
      </c>
      <c r="G1005" t="s">
        <v>267</v>
      </c>
      <c r="H1005" t="s">
        <v>268</v>
      </c>
      <c r="I1005" t="s">
        <v>34</v>
      </c>
      <c r="J1005" t="s">
        <v>269</v>
      </c>
      <c r="K1005" t="s">
        <v>41</v>
      </c>
      <c r="L1005" t="s">
        <v>5687</v>
      </c>
      <c r="M1005" t="s">
        <v>5688</v>
      </c>
      <c r="N1005" t="s">
        <v>847</v>
      </c>
      <c r="O1005" t="s">
        <v>100</v>
      </c>
      <c r="P1005" t="s">
        <v>5689</v>
      </c>
      <c r="Q1005" t="s">
        <v>105</v>
      </c>
      <c r="R1005" t="s">
        <v>5690</v>
      </c>
      <c r="S1005">
        <v>0.32</v>
      </c>
      <c r="T1005">
        <v>4481</v>
      </c>
      <c r="U1005">
        <v>224.95</v>
      </c>
      <c r="V1005">
        <v>4705.95</v>
      </c>
    </row>
    <row r="1006" spans="1:22" x14ac:dyDescent="0.3">
      <c r="A1006">
        <v>79452</v>
      </c>
      <c r="B1006">
        <v>137701429</v>
      </c>
      <c r="C1006" t="s">
        <v>5691</v>
      </c>
      <c r="D1006" t="s">
        <v>5692</v>
      </c>
      <c r="E1006" t="s">
        <v>843</v>
      </c>
      <c r="F1006" t="s">
        <v>844</v>
      </c>
      <c r="G1006" t="s">
        <v>267</v>
      </c>
      <c r="H1006" t="s">
        <v>268</v>
      </c>
      <c r="I1006" t="s">
        <v>34</v>
      </c>
      <c r="J1006" t="s">
        <v>269</v>
      </c>
      <c r="K1006" t="s">
        <v>41</v>
      </c>
      <c r="L1006" t="s">
        <v>5693</v>
      </c>
      <c r="M1006" t="s">
        <v>5694</v>
      </c>
      <c r="N1006" t="s">
        <v>847</v>
      </c>
      <c r="O1006" t="s">
        <v>100</v>
      </c>
      <c r="P1006" t="s">
        <v>5695</v>
      </c>
      <c r="Q1006" t="s">
        <v>73</v>
      </c>
      <c r="R1006" t="s">
        <v>5690</v>
      </c>
      <c r="S1006">
        <v>0.5</v>
      </c>
      <c r="T1006">
        <v>5317</v>
      </c>
      <c r="U1006">
        <v>299.89999999999998</v>
      </c>
      <c r="V1006">
        <v>5616.9</v>
      </c>
    </row>
    <row r="1007" spans="1:22" x14ac:dyDescent="0.3">
      <c r="A1007">
        <v>79452</v>
      </c>
      <c r="B1007">
        <v>137669592</v>
      </c>
      <c r="C1007" t="s">
        <v>5696</v>
      </c>
      <c r="D1007" t="s">
        <v>5697</v>
      </c>
      <c r="E1007" t="s">
        <v>843</v>
      </c>
      <c r="F1007" t="s">
        <v>844</v>
      </c>
      <c r="G1007" t="s">
        <v>267</v>
      </c>
      <c r="H1007" t="s">
        <v>268</v>
      </c>
      <c r="I1007" t="s">
        <v>34</v>
      </c>
      <c r="J1007" t="s">
        <v>269</v>
      </c>
      <c r="K1007" t="s">
        <v>41</v>
      </c>
      <c r="L1007" t="s">
        <v>5698</v>
      </c>
      <c r="M1007" t="s">
        <v>5699</v>
      </c>
      <c r="N1007" t="s">
        <v>847</v>
      </c>
      <c r="O1007" t="s">
        <v>100</v>
      </c>
      <c r="P1007" t="s">
        <v>5700</v>
      </c>
      <c r="Q1007" t="s">
        <v>62</v>
      </c>
      <c r="R1007" t="s">
        <v>5701</v>
      </c>
      <c r="S1007">
        <v>0.27</v>
      </c>
      <c r="T1007">
        <v>6595</v>
      </c>
      <c r="U1007">
        <v>149.94999999999999</v>
      </c>
      <c r="V1007">
        <v>6744.95</v>
      </c>
    </row>
    <row r="1008" spans="1:22" x14ac:dyDescent="0.3">
      <c r="A1008">
        <v>79452</v>
      </c>
      <c r="B1008">
        <v>137658974</v>
      </c>
      <c r="C1008" t="s">
        <v>5702</v>
      </c>
      <c r="D1008" t="s">
        <v>5703</v>
      </c>
      <c r="E1008" t="s">
        <v>843</v>
      </c>
      <c r="F1008" t="s">
        <v>844</v>
      </c>
      <c r="G1008" t="s">
        <v>267</v>
      </c>
      <c r="H1008" t="s">
        <v>268</v>
      </c>
      <c r="I1008" t="s">
        <v>34</v>
      </c>
      <c r="J1008" t="s">
        <v>269</v>
      </c>
      <c r="K1008" t="s">
        <v>41</v>
      </c>
      <c r="L1008" t="s">
        <v>5704</v>
      </c>
      <c r="M1008" t="s">
        <v>5705</v>
      </c>
      <c r="N1008" t="s">
        <v>847</v>
      </c>
      <c r="O1008" t="s">
        <v>100</v>
      </c>
      <c r="P1008" t="s">
        <v>5706</v>
      </c>
      <c r="Q1008" t="s">
        <v>62</v>
      </c>
      <c r="R1008" t="s">
        <v>724</v>
      </c>
      <c r="S1008">
        <v>0.3</v>
      </c>
      <c r="T1008">
        <v>6595</v>
      </c>
      <c r="U1008">
        <v>249.95</v>
      </c>
      <c r="V1008">
        <v>6844.95</v>
      </c>
    </row>
    <row r="1009" spans="1:22" x14ac:dyDescent="0.3">
      <c r="A1009">
        <v>79452</v>
      </c>
      <c r="B1009">
        <v>137616493</v>
      </c>
      <c r="C1009" t="s">
        <v>5707</v>
      </c>
      <c r="D1009" t="s">
        <v>5708</v>
      </c>
      <c r="E1009" t="s">
        <v>843</v>
      </c>
      <c r="F1009" t="s">
        <v>844</v>
      </c>
      <c r="G1009" t="s">
        <v>267</v>
      </c>
      <c r="H1009" t="s">
        <v>268</v>
      </c>
      <c r="I1009" t="s">
        <v>34</v>
      </c>
      <c r="J1009" t="s">
        <v>269</v>
      </c>
      <c r="K1009" t="s">
        <v>41</v>
      </c>
      <c r="L1009" t="s">
        <v>5709</v>
      </c>
      <c r="M1009" t="s">
        <v>5710</v>
      </c>
      <c r="N1009" t="s">
        <v>847</v>
      </c>
      <c r="O1009" t="s">
        <v>100</v>
      </c>
      <c r="P1009" t="s">
        <v>5711</v>
      </c>
      <c r="Q1009" t="s">
        <v>115</v>
      </c>
      <c r="R1009" t="s">
        <v>5712</v>
      </c>
      <c r="S1009">
        <v>0.3</v>
      </c>
      <c r="T1009">
        <v>3735</v>
      </c>
      <c r="U1009">
        <v>149.94999999999999</v>
      </c>
      <c r="V1009">
        <v>3884.95</v>
      </c>
    </row>
    <row r="1010" spans="1:22" x14ac:dyDescent="0.3">
      <c r="A1010">
        <v>79452</v>
      </c>
      <c r="B1010">
        <v>137512664</v>
      </c>
      <c r="C1010" t="s">
        <v>5713</v>
      </c>
      <c r="D1010" t="s">
        <v>5714</v>
      </c>
      <c r="E1010" t="s">
        <v>843</v>
      </c>
      <c r="F1010" t="s">
        <v>844</v>
      </c>
      <c r="G1010" t="s">
        <v>267</v>
      </c>
      <c r="H1010" t="s">
        <v>268</v>
      </c>
      <c r="I1010" t="s">
        <v>34</v>
      </c>
      <c r="J1010" t="s">
        <v>269</v>
      </c>
      <c r="K1010" t="s">
        <v>56</v>
      </c>
      <c r="L1010" t="s">
        <v>162</v>
      </c>
      <c r="M1010" t="s">
        <v>5715</v>
      </c>
      <c r="N1010" t="s">
        <v>847</v>
      </c>
      <c r="O1010" t="s">
        <v>100</v>
      </c>
      <c r="P1010" t="s">
        <v>5716</v>
      </c>
      <c r="Q1010" t="s">
        <v>115</v>
      </c>
      <c r="R1010" t="s">
        <v>1049</v>
      </c>
      <c r="S1010">
        <v>0.99</v>
      </c>
      <c r="T1010">
        <v>3735</v>
      </c>
      <c r="U1010">
        <v>699.8</v>
      </c>
      <c r="V1010">
        <v>4434.8</v>
      </c>
    </row>
    <row r="1011" spans="1:22" x14ac:dyDescent="0.3">
      <c r="A1011">
        <v>79452</v>
      </c>
      <c r="B1011">
        <v>137467459</v>
      </c>
      <c r="C1011" t="s">
        <v>5717</v>
      </c>
      <c r="D1011" t="s">
        <v>5718</v>
      </c>
      <c r="E1011" t="s">
        <v>843</v>
      </c>
      <c r="F1011" t="s">
        <v>844</v>
      </c>
      <c r="G1011" t="s">
        <v>267</v>
      </c>
      <c r="H1011" t="s">
        <v>268</v>
      </c>
      <c r="I1011" t="s">
        <v>34</v>
      </c>
      <c r="J1011" t="s">
        <v>269</v>
      </c>
      <c r="K1011" t="s">
        <v>41</v>
      </c>
      <c r="L1011" t="s">
        <v>5719</v>
      </c>
      <c r="M1011" t="s">
        <v>5720</v>
      </c>
      <c r="N1011" t="s">
        <v>847</v>
      </c>
      <c r="O1011" t="s">
        <v>100</v>
      </c>
      <c r="P1011" t="s">
        <v>5721</v>
      </c>
      <c r="Q1011" t="s">
        <v>263</v>
      </c>
      <c r="R1011" t="s">
        <v>1025</v>
      </c>
      <c r="S1011">
        <v>0.64</v>
      </c>
      <c r="T1011">
        <v>6084</v>
      </c>
      <c r="U1011">
        <v>324.89999999999998</v>
      </c>
      <c r="V1011">
        <v>6408.9</v>
      </c>
    </row>
    <row r="1012" spans="1:22" x14ac:dyDescent="0.3">
      <c r="A1012">
        <v>79452</v>
      </c>
      <c r="B1012">
        <v>137408471</v>
      </c>
      <c r="C1012" t="s">
        <v>5722</v>
      </c>
      <c r="D1012" t="s">
        <v>5723</v>
      </c>
      <c r="E1012" t="s">
        <v>843</v>
      </c>
      <c r="F1012" t="s">
        <v>844</v>
      </c>
      <c r="G1012" t="s">
        <v>267</v>
      </c>
      <c r="H1012" t="s">
        <v>268</v>
      </c>
      <c r="I1012" t="s">
        <v>34</v>
      </c>
      <c r="J1012" t="s">
        <v>269</v>
      </c>
      <c r="K1012" t="s">
        <v>41</v>
      </c>
      <c r="L1012" t="s">
        <v>5724</v>
      </c>
      <c r="M1012" t="s">
        <v>5725</v>
      </c>
      <c r="N1012" t="s">
        <v>847</v>
      </c>
      <c r="O1012" t="s">
        <v>100</v>
      </c>
      <c r="P1012" t="s">
        <v>5726</v>
      </c>
      <c r="Q1012" t="s">
        <v>263</v>
      </c>
      <c r="R1012" t="s">
        <v>654</v>
      </c>
      <c r="S1012">
        <v>1</v>
      </c>
      <c r="T1012">
        <v>6084</v>
      </c>
      <c r="U1012">
        <v>299.89999999999998</v>
      </c>
      <c r="V1012">
        <v>6383.9</v>
      </c>
    </row>
    <row r="1013" spans="1:22" x14ac:dyDescent="0.3">
      <c r="A1013">
        <v>79452</v>
      </c>
      <c r="B1013">
        <v>137467333</v>
      </c>
      <c r="C1013" t="s">
        <v>5727</v>
      </c>
      <c r="D1013" t="s">
        <v>5728</v>
      </c>
      <c r="E1013" t="s">
        <v>843</v>
      </c>
      <c r="F1013" t="s">
        <v>844</v>
      </c>
      <c r="G1013" t="s">
        <v>267</v>
      </c>
      <c r="H1013" t="s">
        <v>268</v>
      </c>
      <c r="I1013" t="s">
        <v>34</v>
      </c>
      <c r="J1013" t="s">
        <v>269</v>
      </c>
      <c r="K1013" t="s">
        <v>41</v>
      </c>
      <c r="L1013" t="s">
        <v>5729</v>
      </c>
      <c r="M1013" t="s">
        <v>5730</v>
      </c>
      <c r="N1013" t="s">
        <v>847</v>
      </c>
      <c r="O1013" t="s">
        <v>100</v>
      </c>
      <c r="P1013" t="s">
        <v>5731</v>
      </c>
      <c r="Q1013" t="s">
        <v>81</v>
      </c>
      <c r="R1013" t="s">
        <v>849</v>
      </c>
      <c r="S1013">
        <v>0.75</v>
      </c>
      <c r="T1013">
        <v>6381</v>
      </c>
      <c r="U1013">
        <v>149.94999999999999</v>
      </c>
      <c r="V1013">
        <v>6530.95</v>
      </c>
    </row>
    <row r="1014" spans="1:22" x14ac:dyDescent="0.3">
      <c r="A1014">
        <v>79452</v>
      </c>
      <c r="B1014">
        <v>135554223</v>
      </c>
      <c r="C1014" t="s">
        <v>5732</v>
      </c>
      <c r="D1014" t="s">
        <v>5733</v>
      </c>
      <c r="E1014" t="s">
        <v>843</v>
      </c>
      <c r="F1014" t="s">
        <v>844</v>
      </c>
      <c r="G1014" t="s">
        <v>172</v>
      </c>
      <c r="H1014" t="s">
        <v>173</v>
      </c>
      <c r="I1014" t="s">
        <v>34</v>
      </c>
      <c r="J1014" t="s">
        <v>272</v>
      </c>
      <c r="K1014" t="s">
        <v>41</v>
      </c>
      <c r="L1014" t="s">
        <v>5734</v>
      </c>
      <c r="M1014" t="s">
        <v>5735</v>
      </c>
      <c r="N1014" t="s">
        <v>847</v>
      </c>
      <c r="O1014" t="s">
        <v>100</v>
      </c>
      <c r="P1014" t="s">
        <v>5736</v>
      </c>
      <c r="Q1014" t="s">
        <v>257</v>
      </c>
      <c r="R1014" t="s">
        <v>4496</v>
      </c>
      <c r="S1014">
        <v>0.71</v>
      </c>
      <c r="T1014">
        <v>6064</v>
      </c>
      <c r="U1014">
        <v>0</v>
      </c>
      <c r="V1014">
        <v>6064</v>
      </c>
    </row>
    <row r="1015" spans="1:22" x14ac:dyDescent="0.3">
      <c r="A1015">
        <v>79452</v>
      </c>
      <c r="B1015">
        <v>137467463</v>
      </c>
      <c r="C1015" t="s">
        <v>5737</v>
      </c>
      <c r="D1015" t="s">
        <v>5738</v>
      </c>
      <c r="E1015" t="s">
        <v>843</v>
      </c>
      <c r="F1015" t="s">
        <v>844</v>
      </c>
      <c r="G1015" t="s">
        <v>267</v>
      </c>
      <c r="H1015" t="s">
        <v>268</v>
      </c>
      <c r="I1015" t="s">
        <v>34</v>
      </c>
      <c r="J1015" t="s">
        <v>269</v>
      </c>
      <c r="K1015" t="s">
        <v>41</v>
      </c>
      <c r="L1015" t="s">
        <v>5739</v>
      </c>
      <c r="M1015" t="s">
        <v>5740</v>
      </c>
      <c r="N1015" t="s">
        <v>847</v>
      </c>
      <c r="O1015" t="s">
        <v>100</v>
      </c>
      <c r="P1015" t="s">
        <v>5741</v>
      </c>
      <c r="Q1015" t="s">
        <v>105</v>
      </c>
      <c r="R1015" t="s">
        <v>1025</v>
      </c>
      <c r="S1015">
        <v>0.22</v>
      </c>
      <c r="T1015">
        <v>4481</v>
      </c>
      <c r="U1015">
        <v>149.94999999999999</v>
      </c>
      <c r="V1015">
        <v>4630.95</v>
      </c>
    </row>
    <row r="1016" spans="1:22" x14ac:dyDescent="0.3">
      <c r="A1016">
        <v>79452</v>
      </c>
      <c r="B1016">
        <v>137467526</v>
      </c>
      <c r="C1016" t="s">
        <v>5742</v>
      </c>
      <c r="D1016" t="s">
        <v>5743</v>
      </c>
      <c r="E1016" t="s">
        <v>843</v>
      </c>
      <c r="F1016" t="s">
        <v>844</v>
      </c>
      <c r="G1016" t="s">
        <v>267</v>
      </c>
      <c r="H1016" t="s">
        <v>268</v>
      </c>
      <c r="I1016" t="s">
        <v>34</v>
      </c>
      <c r="J1016" t="s">
        <v>269</v>
      </c>
      <c r="K1016" t="s">
        <v>41</v>
      </c>
      <c r="L1016" t="s">
        <v>5744</v>
      </c>
      <c r="M1016" t="s">
        <v>5745</v>
      </c>
      <c r="N1016" t="s">
        <v>847</v>
      </c>
      <c r="O1016" t="s">
        <v>100</v>
      </c>
      <c r="P1016" t="s">
        <v>5746</v>
      </c>
      <c r="Q1016" t="s">
        <v>73</v>
      </c>
      <c r="R1016" t="s">
        <v>1025</v>
      </c>
      <c r="S1016">
        <v>0.49</v>
      </c>
      <c r="T1016">
        <v>5317</v>
      </c>
      <c r="U1016">
        <v>299.89999999999998</v>
      </c>
      <c r="V1016">
        <v>5616.9</v>
      </c>
    </row>
    <row r="1017" spans="1:22" x14ac:dyDescent="0.3">
      <c r="A1017">
        <v>79452</v>
      </c>
      <c r="B1017">
        <v>137408455</v>
      </c>
      <c r="C1017" t="s">
        <v>5747</v>
      </c>
      <c r="D1017" t="s">
        <v>5748</v>
      </c>
      <c r="E1017" t="s">
        <v>843</v>
      </c>
      <c r="F1017" t="s">
        <v>844</v>
      </c>
      <c r="G1017" t="s">
        <v>267</v>
      </c>
      <c r="H1017" t="s">
        <v>268</v>
      </c>
      <c r="I1017" t="s">
        <v>34</v>
      </c>
      <c r="J1017" t="s">
        <v>269</v>
      </c>
      <c r="K1017" t="s">
        <v>41</v>
      </c>
      <c r="L1017" t="s">
        <v>5749</v>
      </c>
      <c r="M1017" t="s">
        <v>5750</v>
      </c>
      <c r="N1017" t="s">
        <v>847</v>
      </c>
      <c r="O1017" t="s">
        <v>100</v>
      </c>
      <c r="P1017" t="s">
        <v>5751</v>
      </c>
      <c r="Q1017" t="s">
        <v>777</v>
      </c>
      <c r="R1017" t="s">
        <v>654</v>
      </c>
      <c r="S1017">
        <v>0.25</v>
      </c>
      <c r="T1017">
        <v>5738</v>
      </c>
      <c r="U1017">
        <v>149.94999999999999</v>
      </c>
      <c r="V1017">
        <v>5887.95</v>
      </c>
    </row>
    <row r="1018" spans="1:22" x14ac:dyDescent="0.3">
      <c r="A1018">
        <v>79452</v>
      </c>
      <c r="B1018">
        <v>137467549</v>
      </c>
      <c r="C1018" t="s">
        <v>5752</v>
      </c>
      <c r="D1018" t="s">
        <v>5753</v>
      </c>
      <c r="E1018" t="s">
        <v>843</v>
      </c>
      <c r="F1018" t="s">
        <v>844</v>
      </c>
      <c r="G1018" t="s">
        <v>267</v>
      </c>
      <c r="H1018" t="s">
        <v>268</v>
      </c>
      <c r="I1018" t="s">
        <v>34</v>
      </c>
      <c r="J1018" t="s">
        <v>269</v>
      </c>
      <c r="K1018" t="s">
        <v>41</v>
      </c>
      <c r="L1018" t="s">
        <v>5754</v>
      </c>
      <c r="M1018" t="s">
        <v>5755</v>
      </c>
      <c r="N1018" t="s">
        <v>847</v>
      </c>
      <c r="O1018" t="s">
        <v>100</v>
      </c>
      <c r="P1018" t="s">
        <v>5756</v>
      </c>
      <c r="Q1018" t="s">
        <v>277</v>
      </c>
      <c r="R1018" t="s">
        <v>515</v>
      </c>
      <c r="S1018">
        <v>0.72</v>
      </c>
      <c r="T1018">
        <v>4481</v>
      </c>
      <c r="U1018">
        <v>449.85</v>
      </c>
      <c r="V1018">
        <v>4930.8500000000004</v>
      </c>
    </row>
    <row r="1019" spans="1:22" x14ac:dyDescent="0.3">
      <c r="A1019">
        <v>79452</v>
      </c>
      <c r="B1019">
        <v>137358316</v>
      </c>
      <c r="C1019" t="s">
        <v>5757</v>
      </c>
      <c r="D1019" t="s">
        <v>5758</v>
      </c>
      <c r="E1019" t="s">
        <v>843</v>
      </c>
      <c r="F1019" t="s">
        <v>844</v>
      </c>
      <c r="G1019" t="s">
        <v>267</v>
      </c>
      <c r="H1019" t="s">
        <v>268</v>
      </c>
      <c r="I1019" t="s">
        <v>34</v>
      </c>
      <c r="J1019" t="s">
        <v>269</v>
      </c>
      <c r="K1019" t="s">
        <v>41</v>
      </c>
      <c r="L1019" t="s">
        <v>5759</v>
      </c>
      <c r="M1019" t="s">
        <v>5760</v>
      </c>
      <c r="N1019" t="s">
        <v>847</v>
      </c>
      <c r="O1019" t="s">
        <v>100</v>
      </c>
      <c r="P1019" t="s">
        <v>5761</v>
      </c>
      <c r="Q1019" t="s">
        <v>115</v>
      </c>
      <c r="R1019" t="s">
        <v>321</v>
      </c>
      <c r="S1019">
        <v>0.1</v>
      </c>
      <c r="T1019">
        <v>3735</v>
      </c>
      <c r="U1019">
        <v>699.8</v>
      </c>
      <c r="V1019">
        <v>4434.8</v>
      </c>
    </row>
    <row r="1020" spans="1:22" x14ac:dyDescent="0.3">
      <c r="A1020">
        <v>79452</v>
      </c>
      <c r="B1020">
        <v>137328274</v>
      </c>
      <c r="C1020" t="s">
        <v>5762</v>
      </c>
      <c r="D1020" t="s">
        <v>5763</v>
      </c>
      <c r="E1020" t="s">
        <v>843</v>
      </c>
      <c r="F1020" t="s">
        <v>844</v>
      </c>
      <c r="G1020" t="s">
        <v>267</v>
      </c>
      <c r="H1020" t="s">
        <v>268</v>
      </c>
      <c r="I1020" t="s">
        <v>34</v>
      </c>
      <c r="J1020" t="s">
        <v>269</v>
      </c>
      <c r="K1020" t="s">
        <v>41</v>
      </c>
      <c r="L1020" t="s">
        <v>5764</v>
      </c>
      <c r="M1020" t="s">
        <v>5765</v>
      </c>
      <c r="N1020" t="s">
        <v>847</v>
      </c>
      <c r="O1020" t="s">
        <v>100</v>
      </c>
      <c r="P1020" t="s">
        <v>5766</v>
      </c>
      <c r="Q1020" t="s">
        <v>512</v>
      </c>
      <c r="R1020" t="s">
        <v>781</v>
      </c>
      <c r="S1020">
        <v>1.06</v>
      </c>
      <c r="T1020">
        <v>16194</v>
      </c>
      <c r="U1020">
        <v>299.89999999999998</v>
      </c>
      <c r="V1020">
        <v>16493.900000000001</v>
      </c>
    </row>
    <row r="1021" spans="1:22" x14ac:dyDescent="0.3">
      <c r="A1021">
        <v>79452</v>
      </c>
      <c r="B1021">
        <v>137358423</v>
      </c>
      <c r="C1021" t="s">
        <v>5767</v>
      </c>
      <c r="D1021" t="s">
        <v>5768</v>
      </c>
      <c r="E1021" t="s">
        <v>843</v>
      </c>
      <c r="F1021" t="s">
        <v>844</v>
      </c>
      <c r="G1021" t="s">
        <v>267</v>
      </c>
      <c r="H1021" t="s">
        <v>268</v>
      </c>
      <c r="I1021" t="s">
        <v>34</v>
      </c>
      <c r="J1021" t="s">
        <v>269</v>
      </c>
      <c r="K1021" t="s">
        <v>41</v>
      </c>
      <c r="L1021" t="s">
        <v>5769</v>
      </c>
      <c r="M1021" t="s">
        <v>5770</v>
      </c>
      <c r="N1021" t="s">
        <v>847</v>
      </c>
      <c r="O1021" t="s">
        <v>100</v>
      </c>
      <c r="P1021" t="s">
        <v>5771</v>
      </c>
      <c r="Q1021" t="s">
        <v>73</v>
      </c>
      <c r="R1021" t="s">
        <v>872</v>
      </c>
      <c r="S1021">
        <v>0.63</v>
      </c>
      <c r="T1021">
        <v>5317</v>
      </c>
      <c r="U1021">
        <v>374.9</v>
      </c>
      <c r="V1021">
        <v>5691.9</v>
      </c>
    </row>
    <row r="1022" spans="1:22" x14ac:dyDescent="0.3">
      <c r="A1022">
        <v>79452</v>
      </c>
      <c r="B1022">
        <v>137289772</v>
      </c>
      <c r="C1022" t="s">
        <v>5772</v>
      </c>
      <c r="D1022" t="s">
        <v>5773</v>
      </c>
      <c r="E1022" t="s">
        <v>843</v>
      </c>
      <c r="F1022" t="s">
        <v>844</v>
      </c>
      <c r="G1022" t="s">
        <v>267</v>
      </c>
      <c r="H1022" t="s">
        <v>268</v>
      </c>
      <c r="I1022" t="s">
        <v>34</v>
      </c>
      <c r="J1022" t="s">
        <v>269</v>
      </c>
      <c r="K1022" t="s">
        <v>41</v>
      </c>
      <c r="L1022" t="s">
        <v>5774</v>
      </c>
      <c r="M1022" t="s">
        <v>5775</v>
      </c>
      <c r="N1022" t="s">
        <v>847</v>
      </c>
      <c r="O1022" t="s">
        <v>100</v>
      </c>
      <c r="P1022" t="s">
        <v>5776</v>
      </c>
      <c r="Q1022" t="s">
        <v>73</v>
      </c>
      <c r="R1022" t="s">
        <v>900</v>
      </c>
      <c r="S1022">
        <v>0.28000000000000003</v>
      </c>
      <c r="T1022">
        <v>5317</v>
      </c>
      <c r="U1022">
        <v>149.94999999999999</v>
      </c>
      <c r="V1022">
        <v>5466.95</v>
      </c>
    </row>
    <row r="1023" spans="1:22" x14ac:dyDescent="0.3">
      <c r="A1023">
        <v>79452</v>
      </c>
      <c r="B1023">
        <v>137358344</v>
      </c>
      <c r="C1023" t="s">
        <v>5777</v>
      </c>
      <c r="D1023" t="s">
        <v>5778</v>
      </c>
      <c r="E1023" t="s">
        <v>843</v>
      </c>
      <c r="F1023" t="s">
        <v>844</v>
      </c>
      <c r="G1023" t="s">
        <v>267</v>
      </c>
      <c r="H1023" t="s">
        <v>268</v>
      </c>
      <c r="I1023" t="s">
        <v>34</v>
      </c>
      <c r="J1023" t="s">
        <v>269</v>
      </c>
      <c r="K1023" t="s">
        <v>41</v>
      </c>
      <c r="L1023" t="s">
        <v>5779</v>
      </c>
      <c r="M1023" t="s">
        <v>5780</v>
      </c>
      <c r="N1023" t="s">
        <v>847</v>
      </c>
      <c r="O1023" t="s">
        <v>100</v>
      </c>
      <c r="P1023" t="s">
        <v>5781</v>
      </c>
      <c r="Q1023" t="s">
        <v>115</v>
      </c>
      <c r="R1023" t="s">
        <v>321</v>
      </c>
      <c r="S1023">
        <v>1.06</v>
      </c>
      <c r="T1023">
        <v>3950</v>
      </c>
      <c r="U1023">
        <v>299.89999999999998</v>
      </c>
      <c r="V1023">
        <v>4249.8999999999996</v>
      </c>
    </row>
    <row r="1024" spans="1:22" x14ac:dyDescent="0.3">
      <c r="A1024">
        <v>79452</v>
      </c>
      <c r="B1024">
        <v>137358408</v>
      </c>
      <c r="C1024" t="s">
        <v>5782</v>
      </c>
      <c r="D1024" t="s">
        <v>5783</v>
      </c>
      <c r="E1024" t="s">
        <v>843</v>
      </c>
      <c r="F1024" t="s">
        <v>844</v>
      </c>
      <c r="G1024" t="s">
        <v>267</v>
      </c>
      <c r="H1024" t="s">
        <v>268</v>
      </c>
      <c r="I1024" t="s">
        <v>34</v>
      </c>
      <c r="J1024" t="s">
        <v>269</v>
      </c>
      <c r="K1024" t="s">
        <v>41</v>
      </c>
      <c r="L1024" t="s">
        <v>5784</v>
      </c>
      <c r="M1024" t="s">
        <v>5785</v>
      </c>
      <c r="N1024" t="s">
        <v>847</v>
      </c>
      <c r="O1024" t="s">
        <v>100</v>
      </c>
      <c r="P1024" t="s">
        <v>5786</v>
      </c>
      <c r="Q1024" t="s">
        <v>511</v>
      </c>
      <c r="R1024" t="s">
        <v>872</v>
      </c>
      <c r="S1024">
        <v>0.31</v>
      </c>
      <c r="T1024">
        <v>10717</v>
      </c>
      <c r="U1024">
        <v>149.94999999999999</v>
      </c>
      <c r="V1024">
        <v>10866.95</v>
      </c>
    </row>
    <row r="1025" spans="1:22" x14ac:dyDescent="0.3">
      <c r="A1025">
        <v>79452</v>
      </c>
      <c r="B1025">
        <v>137358369</v>
      </c>
      <c r="C1025" t="s">
        <v>5787</v>
      </c>
      <c r="D1025" t="s">
        <v>5788</v>
      </c>
      <c r="E1025" t="s">
        <v>843</v>
      </c>
      <c r="F1025" t="s">
        <v>844</v>
      </c>
      <c r="G1025" t="s">
        <v>267</v>
      </c>
      <c r="H1025" t="s">
        <v>268</v>
      </c>
      <c r="I1025" t="s">
        <v>34</v>
      </c>
      <c r="J1025" t="s">
        <v>269</v>
      </c>
      <c r="K1025" t="s">
        <v>41</v>
      </c>
      <c r="L1025" t="s">
        <v>5789</v>
      </c>
      <c r="M1025" t="s">
        <v>5790</v>
      </c>
      <c r="N1025" t="s">
        <v>847</v>
      </c>
      <c r="O1025" t="s">
        <v>100</v>
      </c>
      <c r="P1025" t="s">
        <v>5791</v>
      </c>
      <c r="Q1025" t="s">
        <v>259</v>
      </c>
      <c r="R1025" t="s">
        <v>321</v>
      </c>
      <c r="S1025">
        <v>0.44</v>
      </c>
      <c r="T1025">
        <v>6077</v>
      </c>
      <c r="U1025">
        <v>299.89999999999998</v>
      </c>
      <c r="V1025">
        <v>6376.9</v>
      </c>
    </row>
    <row r="1026" spans="1:22" x14ac:dyDescent="0.3">
      <c r="A1026">
        <v>79452</v>
      </c>
      <c r="B1026">
        <v>137328299</v>
      </c>
      <c r="C1026" t="s">
        <v>5792</v>
      </c>
      <c r="D1026" t="s">
        <v>5793</v>
      </c>
      <c r="E1026" t="s">
        <v>843</v>
      </c>
      <c r="F1026" t="s">
        <v>844</v>
      </c>
      <c r="G1026" t="s">
        <v>267</v>
      </c>
      <c r="H1026" t="s">
        <v>268</v>
      </c>
      <c r="I1026" t="s">
        <v>34</v>
      </c>
      <c r="J1026" t="s">
        <v>269</v>
      </c>
      <c r="K1026" t="s">
        <v>56</v>
      </c>
      <c r="L1026" t="s">
        <v>162</v>
      </c>
      <c r="M1026" t="s">
        <v>537</v>
      </c>
      <c r="N1026" t="s">
        <v>847</v>
      </c>
      <c r="O1026" t="s">
        <v>100</v>
      </c>
      <c r="P1026" t="s">
        <v>5794</v>
      </c>
      <c r="Q1026" t="s">
        <v>62</v>
      </c>
      <c r="R1026" t="s">
        <v>781</v>
      </c>
      <c r="S1026">
        <v>1.75</v>
      </c>
      <c r="T1026">
        <v>8624</v>
      </c>
      <c r="U1026">
        <v>1049.7</v>
      </c>
      <c r="V1026">
        <v>9673.7000000000007</v>
      </c>
    </row>
    <row r="1027" spans="1:22" x14ac:dyDescent="0.3">
      <c r="A1027">
        <v>79452</v>
      </c>
      <c r="B1027">
        <v>137203652</v>
      </c>
      <c r="C1027" t="s">
        <v>5795</v>
      </c>
      <c r="D1027" t="s">
        <v>5796</v>
      </c>
      <c r="E1027" t="s">
        <v>843</v>
      </c>
      <c r="F1027" t="s">
        <v>844</v>
      </c>
      <c r="G1027" t="s">
        <v>267</v>
      </c>
      <c r="H1027" t="s">
        <v>268</v>
      </c>
      <c r="I1027" t="s">
        <v>34</v>
      </c>
      <c r="J1027" t="s">
        <v>269</v>
      </c>
      <c r="K1027" t="s">
        <v>41</v>
      </c>
      <c r="L1027" t="s">
        <v>5797</v>
      </c>
      <c r="M1027" t="s">
        <v>5798</v>
      </c>
      <c r="N1027" t="s">
        <v>847</v>
      </c>
      <c r="O1027" t="s">
        <v>100</v>
      </c>
      <c r="P1027" t="s">
        <v>5799</v>
      </c>
      <c r="Q1027" t="s">
        <v>244</v>
      </c>
      <c r="R1027" t="s">
        <v>449</v>
      </c>
      <c r="S1027">
        <v>0.44</v>
      </c>
      <c r="T1027">
        <v>6381</v>
      </c>
      <c r="U1027">
        <v>299.89999999999998</v>
      </c>
      <c r="V1027">
        <v>6680.9</v>
      </c>
    </row>
    <row r="1028" spans="1:22" x14ac:dyDescent="0.3">
      <c r="A1028">
        <v>79452</v>
      </c>
      <c r="B1028">
        <v>137121362</v>
      </c>
      <c r="C1028" t="s">
        <v>5800</v>
      </c>
      <c r="D1028" t="s">
        <v>5801</v>
      </c>
      <c r="E1028" t="s">
        <v>843</v>
      </c>
      <c r="F1028" t="s">
        <v>844</v>
      </c>
      <c r="G1028" t="s">
        <v>267</v>
      </c>
      <c r="H1028" t="s">
        <v>268</v>
      </c>
      <c r="I1028" t="s">
        <v>34</v>
      </c>
      <c r="J1028" t="s">
        <v>269</v>
      </c>
      <c r="K1028" t="s">
        <v>41</v>
      </c>
      <c r="L1028" t="s">
        <v>5802</v>
      </c>
      <c r="M1028" t="s">
        <v>5803</v>
      </c>
      <c r="N1028" t="s">
        <v>847</v>
      </c>
      <c r="O1028" t="s">
        <v>100</v>
      </c>
      <c r="P1028" t="s">
        <v>5804</v>
      </c>
      <c r="Q1028" t="s">
        <v>193</v>
      </c>
      <c r="R1028" t="s">
        <v>420</v>
      </c>
      <c r="S1028">
        <v>0.97</v>
      </c>
      <c r="T1028">
        <v>5081</v>
      </c>
      <c r="U1028">
        <v>299.89999999999998</v>
      </c>
      <c r="V1028">
        <v>5380.9</v>
      </c>
    </row>
    <row r="1029" spans="1:22" x14ac:dyDescent="0.3">
      <c r="A1029">
        <v>79452</v>
      </c>
      <c r="B1029">
        <v>137168479</v>
      </c>
      <c r="C1029" t="s">
        <v>5805</v>
      </c>
      <c r="D1029" t="s">
        <v>5806</v>
      </c>
      <c r="E1029" t="s">
        <v>843</v>
      </c>
      <c r="F1029" t="s">
        <v>844</v>
      </c>
      <c r="G1029" t="s">
        <v>267</v>
      </c>
      <c r="H1029" t="s">
        <v>268</v>
      </c>
      <c r="I1029" t="s">
        <v>34</v>
      </c>
      <c r="J1029" t="s">
        <v>269</v>
      </c>
      <c r="K1029" t="s">
        <v>41</v>
      </c>
      <c r="L1029" t="s">
        <v>5807</v>
      </c>
      <c r="M1029" t="s">
        <v>5808</v>
      </c>
      <c r="N1029" t="s">
        <v>847</v>
      </c>
      <c r="O1029" t="s">
        <v>100</v>
      </c>
      <c r="P1029" t="s">
        <v>5809</v>
      </c>
      <c r="Q1029" t="s">
        <v>263</v>
      </c>
      <c r="R1029" t="s">
        <v>966</v>
      </c>
      <c r="S1029">
        <v>0.52</v>
      </c>
      <c r="T1029">
        <v>6084</v>
      </c>
      <c r="U1029">
        <v>299.89999999999998</v>
      </c>
      <c r="V1029">
        <v>6383.9</v>
      </c>
    </row>
    <row r="1030" spans="1:22" x14ac:dyDescent="0.3">
      <c r="A1030">
        <v>79452</v>
      </c>
      <c r="B1030">
        <v>137121408</v>
      </c>
      <c r="C1030" t="s">
        <v>5810</v>
      </c>
      <c r="D1030" t="s">
        <v>5811</v>
      </c>
      <c r="E1030" t="s">
        <v>843</v>
      </c>
      <c r="F1030" t="s">
        <v>844</v>
      </c>
      <c r="G1030" t="s">
        <v>267</v>
      </c>
      <c r="H1030" t="s">
        <v>268</v>
      </c>
      <c r="I1030" t="s">
        <v>34</v>
      </c>
      <c r="J1030" t="s">
        <v>269</v>
      </c>
      <c r="K1030" t="s">
        <v>41</v>
      </c>
      <c r="L1030" t="s">
        <v>5812</v>
      </c>
      <c r="M1030" t="s">
        <v>5813</v>
      </c>
      <c r="N1030" t="s">
        <v>847</v>
      </c>
      <c r="O1030" t="s">
        <v>100</v>
      </c>
      <c r="P1030" t="s">
        <v>5814</v>
      </c>
      <c r="Q1030" t="s">
        <v>247</v>
      </c>
      <c r="R1030" t="s">
        <v>420</v>
      </c>
      <c r="S1030">
        <v>0.46</v>
      </c>
      <c r="T1030">
        <v>5605</v>
      </c>
      <c r="U1030">
        <v>299.89999999999998</v>
      </c>
      <c r="V1030">
        <v>5904.9</v>
      </c>
    </row>
    <row r="1031" spans="1:22" x14ac:dyDescent="0.3">
      <c r="A1031">
        <v>79452</v>
      </c>
      <c r="B1031">
        <v>137252143</v>
      </c>
      <c r="C1031" t="s">
        <v>5815</v>
      </c>
      <c r="D1031" t="s">
        <v>5816</v>
      </c>
      <c r="E1031" t="s">
        <v>843</v>
      </c>
      <c r="F1031" t="s">
        <v>844</v>
      </c>
      <c r="G1031" t="s">
        <v>267</v>
      </c>
      <c r="H1031" t="s">
        <v>268</v>
      </c>
      <c r="I1031" t="s">
        <v>34</v>
      </c>
      <c r="J1031" t="s">
        <v>269</v>
      </c>
      <c r="K1031" t="s">
        <v>41</v>
      </c>
      <c r="L1031" t="s">
        <v>5817</v>
      </c>
      <c r="M1031" t="s">
        <v>5818</v>
      </c>
      <c r="N1031" t="s">
        <v>847</v>
      </c>
      <c r="O1031" t="s">
        <v>100</v>
      </c>
      <c r="P1031" t="s">
        <v>5819</v>
      </c>
      <c r="Q1031" t="s">
        <v>185</v>
      </c>
      <c r="R1031" t="s">
        <v>1124</v>
      </c>
      <c r="S1031">
        <v>0.6</v>
      </c>
      <c r="T1031">
        <v>6595</v>
      </c>
      <c r="U1031">
        <v>299.89999999999998</v>
      </c>
      <c r="V1031">
        <v>6894.9</v>
      </c>
    </row>
    <row r="1032" spans="1:22" x14ac:dyDescent="0.3">
      <c r="A1032">
        <v>79452</v>
      </c>
      <c r="B1032">
        <v>137203701</v>
      </c>
      <c r="C1032" t="s">
        <v>5820</v>
      </c>
      <c r="D1032" t="s">
        <v>5821</v>
      </c>
      <c r="E1032" t="s">
        <v>843</v>
      </c>
      <c r="F1032" t="s">
        <v>844</v>
      </c>
      <c r="G1032" t="s">
        <v>267</v>
      </c>
      <c r="H1032" t="s">
        <v>268</v>
      </c>
      <c r="I1032" t="s">
        <v>34</v>
      </c>
      <c r="J1032" t="s">
        <v>269</v>
      </c>
      <c r="K1032" t="s">
        <v>41</v>
      </c>
      <c r="L1032" t="s">
        <v>5822</v>
      </c>
      <c r="M1032" t="s">
        <v>5823</v>
      </c>
      <c r="N1032" t="s">
        <v>847</v>
      </c>
      <c r="O1032" t="s">
        <v>100</v>
      </c>
      <c r="P1032" t="s">
        <v>5824</v>
      </c>
      <c r="Q1032" t="s">
        <v>82</v>
      </c>
      <c r="R1032" t="s">
        <v>547</v>
      </c>
      <c r="S1032">
        <v>0.22</v>
      </c>
      <c r="T1032">
        <v>5317</v>
      </c>
      <c r="U1032">
        <v>149.94999999999999</v>
      </c>
      <c r="V1032">
        <v>5466.95</v>
      </c>
    </row>
    <row r="1033" spans="1:22" x14ac:dyDescent="0.3">
      <c r="A1033">
        <v>79452</v>
      </c>
      <c r="B1033">
        <v>137168423</v>
      </c>
      <c r="C1033" t="s">
        <v>5825</v>
      </c>
      <c r="D1033" t="s">
        <v>5826</v>
      </c>
      <c r="E1033" t="s">
        <v>843</v>
      </c>
      <c r="F1033" t="s">
        <v>844</v>
      </c>
      <c r="G1033" t="s">
        <v>267</v>
      </c>
      <c r="H1033" t="s">
        <v>268</v>
      </c>
      <c r="I1033" t="s">
        <v>34</v>
      </c>
      <c r="J1033" t="s">
        <v>269</v>
      </c>
      <c r="K1033" t="s">
        <v>41</v>
      </c>
      <c r="L1033" t="s">
        <v>5827</v>
      </c>
      <c r="M1033" t="s">
        <v>5828</v>
      </c>
      <c r="N1033" t="s">
        <v>847</v>
      </c>
      <c r="O1033" t="s">
        <v>100</v>
      </c>
      <c r="P1033" t="s">
        <v>5829</v>
      </c>
      <c r="Q1033" t="s">
        <v>392</v>
      </c>
      <c r="R1033" t="s">
        <v>966</v>
      </c>
      <c r="S1033">
        <v>0.2</v>
      </c>
      <c r="T1033">
        <v>6595</v>
      </c>
      <c r="U1033">
        <v>149.94999999999999</v>
      </c>
      <c r="V1033">
        <v>6744.95</v>
      </c>
    </row>
    <row r="1034" spans="1:22" x14ac:dyDescent="0.3">
      <c r="A1034">
        <v>79452</v>
      </c>
      <c r="B1034">
        <v>136997109</v>
      </c>
      <c r="C1034" t="s">
        <v>5830</v>
      </c>
      <c r="D1034" t="s">
        <v>5831</v>
      </c>
      <c r="E1034" t="s">
        <v>843</v>
      </c>
      <c r="F1034" t="s">
        <v>844</v>
      </c>
      <c r="G1034" t="s">
        <v>267</v>
      </c>
      <c r="H1034" t="s">
        <v>268</v>
      </c>
      <c r="I1034" t="s">
        <v>34</v>
      </c>
      <c r="J1034" t="s">
        <v>269</v>
      </c>
      <c r="K1034" t="s">
        <v>41</v>
      </c>
      <c r="L1034" t="s">
        <v>5832</v>
      </c>
      <c r="M1034" t="s">
        <v>5833</v>
      </c>
      <c r="N1034" t="s">
        <v>847</v>
      </c>
      <c r="O1034" t="s">
        <v>100</v>
      </c>
      <c r="P1034" t="s">
        <v>5834</v>
      </c>
      <c r="Q1034" t="s">
        <v>115</v>
      </c>
      <c r="R1034" t="s">
        <v>1550</v>
      </c>
      <c r="S1034">
        <v>0.59</v>
      </c>
      <c r="T1034">
        <v>3735</v>
      </c>
      <c r="U1034">
        <v>399.9</v>
      </c>
      <c r="V1034">
        <v>4134.8999999999996</v>
      </c>
    </row>
    <row r="1035" spans="1:22" x14ac:dyDescent="0.3">
      <c r="A1035">
        <v>79452</v>
      </c>
      <c r="B1035">
        <v>136939520</v>
      </c>
      <c r="C1035" t="s">
        <v>5835</v>
      </c>
      <c r="D1035" t="s">
        <v>5836</v>
      </c>
      <c r="E1035" t="s">
        <v>843</v>
      </c>
      <c r="F1035" t="s">
        <v>844</v>
      </c>
      <c r="G1035" t="s">
        <v>267</v>
      </c>
      <c r="H1035" t="s">
        <v>268</v>
      </c>
      <c r="I1035" t="s">
        <v>34</v>
      </c>
      <c r="J1035" t="s">
        <v>269</v>
      </c>
      <c r="K1035" t="s">
        <v>41</v>
      </c>
      <c r="L1035" t="s">
        <v>5837</v>
      </c>
      <c r="M1035" t="s">
        <v>5838</v>
      </c>
      <c r="N1035" t="s">
        <v>847</v>
      </c>
      <c r="O1035" t="s">
        <v>100</v>
      </c>
      <c r="P1035" t="s">
        <v>5839</v>
      </c>
      <c r="Q1035" t="s">
        <v>512</v>
      </c>
      <c r="R1035" t="s">
        <v>1857</v>
      </c>
      <c r="S1035">
        <v>0.2</v>
      </c>
      <c r="T1035">
        <v>10181</v>
      </c>
      <c r="U1035">
        <v>149.94999999999999</v>
      </c>
      <c r="V1035">
        <v>10330.950000000001</v>
      </c>
    </row>
    <row r="1036" spans="1:22" x14ac:dyDescent="0.3">
      <c r="A1036">
        <v>79452</v>
      </c>
      <c r="B1036">
        <v>136939514</v>
      </c>
      <c r="C1036" t="s">
        <v>5840</v>
      </c>
      <c r="D1036" t="s">
        <v>5841</v>
      </c>
      <c r="E1036" t="s">
        <v>843</v>
      </c>
      <c r="F1036" t="s">
        <v>844</v>
      </c>
      <c r="G1036" t="s">
        <v>267</v>
      </c>
      <c r="H1036" t="s">
        <v>268</v>
      </c>
      <c r="I1036" t="s">
        <v>34</v>
      </c>
      <c r="J1036" t="s">
        <v>269</v>
      </c>
      <c r="K1036" t="s">
        <v>41</v>
      </c>
      <c r="L1036" t="s">
        <v>5842</v>
      </c>
      <c r="M1036" t="s">
        <v>5843</v>
      </c>
      <c r="N1036" t="s">
        <v>847</v>
      </c>
      <c r="O1036" t="s">
        <v>100</v>
      </c>
      <c r="P1036" t="s">
        <v>5844</v>
      </c>
      <c r="Q1036" t="s">
        <v>259</v>
      </c>
      <c r="R1036" t="s">
        <v>1857</v>
      </c>
      <c r="S1036">
        <v>0.56999999999999995</v>
      </c>
      <c r="T1036">
        <v>6077</v>
      </c>
      <c r="U1036">
        <v>299.89999999999998</v>
      </c>
      <c r="V1036">
        <v>6376.9</v>
      </c>
    </row>
    <row r="1037" spans="1:22" x14ac:dyDescent="0.3">
      <c r="A1037">
        <v>79452</v>
      </c>
      <c r="B1037">
        <v>136939470</v>
      </c>
      <c r="C1037" t="s">
        <v>5845</v>
      </c>
      <c r="D1037" t="s">
        <v>5846</v>
      </c>
      <c r="E1037" t="s">
        <v>843</v>
      </c>
      <c r="F1037" t="s">
        <v>844</v>
      </c>
      <c r="G1037" t="s">
        <v>267</v>
      </c>
      <c r="H1037" t="s">
        <v>268</v>
      </c>
      <c r="I1037" t="s">
        <v>34</v>
      </c>
      <c r="J1037" t="s">
        <v>269</v>
      </c>
      <c r="K1037" t="s">
        <v>41</v>
      </c>
      <c r="L1037" t="s">
        <v>5847</v>
      </c>
      <c r="M1037" t="s">
        <v>5848</v>
      </c>
      <c r="N1037" t="s">
        <v>847</v>
      </c>
      <c r="O1037" t="s">
        <v>100</v>
      </c>
      <c r="P1037" t="s">
        <v>5849</v>
      </c>
      <c r="Q1037" t="s">
        <v>62</v>
      </c>
      <c r="R1037" t="s">
        <v>1857</v>
      </c>
      <c r="S1037">
        <v>1.18</v>
      </c>
      <c r="T1037">
        <v>8624</v>
      </c>
      <c r="U1037">
        <v>649.79999999999995</v>
      </c>
      <c r="V1037">
        <v>9273.7999999999993</v>
      </c>
    </row>
    <row r="1038" spans="1:22" x14ac:dyDescent="0.3">
      <c r="A1038">
        <v>79452</v>
      </c>
      <c r="B1038">
        <v>136939528</v>
      </c>
      <c r="C1038" t="s">
        <v>5850</v>
      </c>
      <c r="D1038" t="s">
        <v>5851</v>
      </c>
      <c r="E1038" t="s">
        <v>843</v>
      </c>
      <c r="F1038" t="s">
        <v>844</v>
      </c>
      <c r="G1038" t="s">
        <v>267</v>
      </c>
      <c r="H1038" t="s">
        <v>268</v>
      </c>
      <c r="I1038" t="s">
        <v>34</v>
      </c>
      <c r="J1038" t="s">
        <v>269</v>
      </c>
      <c r="K1038" t="s">
        <v>41</v>
      </c>
      <c r="L1038" t="s">
        <v>5852</v>
      </c>
      <c r="M1038" t="s">
        <v>5853</v>
      </c>
      <c r="N1038" t="s">
        <v>847</v>
      </c>
      <c r="O1038" t="s">
        <v>100</v>
      </c>
      <c r="P1038" t="s">
        <v>5854</v>
      </c>
      <c r="Q1038" t="s">
        <v>524</v>
      </c>
      <c r="R1038" t="s">
        <v>1857</v>
      </c>
      <c r="S1038">
        <v>0.56999999999999995</v>
      </c>
      <c r="T1038">
        <v>6084</v>
      </c>
      <c r="U1038">
        <v>299.89999999999998</v>
      </c>
      <c r="V1038">
        <v>6383.9</v>
      </c>
    </row>
    <row r="1039" spans="1:22" x14ac:dyDescent="0.3">
      <c r="A1039">
        <v>79452</v>
      </c>
      <c r="B1039">
        <v>136888387</v>
      </c>
      <c r="C1039" t="s">
        <v>5855</v>
      </c>
      <c r="D1039" t="s">
        <v>5856</v>
      </c>
      <c r="E1039" t="s">
        <v>843</v>
      </c>
      <c r="F1039" t="s">
        <v>844</v>
      </c>
      <c r="G1039" t="s">
        <v>267</v>
      </c>
      <c r="H1039" t="s">
        <v>268</v>
      </c>
      <c r="I1039" t="s">
        <v>34</v>
      </c>
      <c r="J1039" t="s">
        <v>269</v>
      </c>
      <c r="K1039" t="s">
        <v>41</v>
      </c>
      <c r="L1039" t="s">
        <v>5857</v>
      </c>
      <c r="M1039" t="s">
        <v>5858</v>
      </c>
      <c r="N1039" t="s">
        <v>847</v>
      </c>
      <c r="O1039" t="s">
        <v>100</v>
      </c>
      <c r="P1039" t="s">
        <v>5859</v>
      </c>
      <c r="Q1039" t="s">
        <v>115</v>
      </c>
      <c r="R1039" t="s">
        <v>418</v>
      </c>
      <c r="S1039">
        <v>0.53</v>
      </c>
      <c r="T1039">
        <v>3735</v>
      </c>
      <c r="U1039">
        <v>299.89999999999998</v>
      </c>
      <c r="V1039">
        <v>4034.9</v>
      </c>
    </row>
    <row r="1040" spans="1:22" x14ac:dyDescent="0.3">
      <c r="A1040">
        <v>79452</v>
      </c>
      <c r="B1040">
        <v>136888381</v>
      </c>
      <c r="C1040" t="s">
        <v>5860</v>
      </c>
      <c r="D1040" t="s">
        <v>5861</v>
      </c>
      <c r="E1040" t="s">
        <v>843</v>
      </c>
      <c r="F1040" t="s">
        <v>844</v>
      </c>
      <c r="G1040" t="s">
        <v>267</v>
      </c>
      <c r="H1040" t="s">
        <v>268</v>
      </c>
      <c r="I1040" t="s">
        <v>34</v>
      </c>
      <c r="J1040" t="s">
        <v>269</v>
      </c>
      <c r="K1040" t="s">
        <v>41</v>
      </c>
      <c r="L1040" t="s">
        <v>5862</v>
      </c>
      <c r="M1040" t="s">
        <v>5863</v>
      </c>
      <c r="N1040" t="s">
        <v>847</v>
      </c>
      <c r="O1040" t="s">
        <v>100</v>
      </c>
      <c r="P1040" t="s">
        <v>5864</v>
      </c>
      <c r="Q1040" t="s">
        <v>247</v>
      </c>
      <c r="R1040" t="s">
        <v>418</v>
      </c>
      <c r="S1040">
        <v>0.36</v>
      </c>
      <c r="T1040">
        <v>5605</v>
      </c>
      <c r="U1040">
        <v>149.94999999999999</v>
      </c>
      <c r="V1040">
        <v>5754.95</v>
      </c>
    </row>
    <row r="1041" spans="1:22" x14ac:dyDescent="0.3">
      <c r="A1041">
        <v>79452</v>
      </c>
      <c r="B1041">
        <v>136859644</v>
      </c>
      <c r="C1041" t="s">
        <v>5865</v>
      </c>
      <c r="D1041" t="s">
        <v>5866</v>
      </c>
      <c r="E1041" t="s">
        <v>843</v>
      </c>
      <c r="F1041" t="s">
        <v>844</v>
      </c>
      <c r="G1041" t="s">
        <v>267</v>
      </c>
      <c r="H1041" t="s">
        <v>268</v>
      </c>
      <c r="I1041" t="s">
        <v>34</v>
      </c>
      <c r="J1041" t="s">
        <v>269</v>
      </c>
      <c r="K1041" t="s">
        <v>41</v>
      </c>
      <c r="L1041" t="s">
        <v>5867</v>
      </c>
      <c r="M1041" t="s">
        <v>5868</v>
      </c>
      <c r="N1041" t="s">
        <v>847</v>
      </c>
      <c r="O1041" t="s">
        <v>100</v>
      </c>
      <c r="P1041" t="s">
        <v>5869</v>
      </c>
      <c r="Q1041" t="s">
        <v>73</v>
      </c>
      <c r="R1041" t="s">
        <v>328</v>
      </c>
      <c r="S1041">
        <v>0.62</v>
      </c>
      <c r="T1041">
        <v>5317</v>
      </c>
      <c r="U1041">
        <v>299.89999999999998</v>
      </c>
      <c r="V1041">
        <v>5616.9</v>
      </c>
    </row>
    <row r="1042" spans="1:22" x14ac:dyDescent="0.3">
      <c r="A1042">
        <v>79452</v>
      </c>
      <c r="B1042">
        <v>136859667</v>
      </c>
      <c r="C1042" t="s">
        <v>5870</v>
      </c>
      <c r="D1042" t="s">
        <v>5871</v>
      </c>
      <c r="E1042" t="s">
        <v>843</v>
      </c>
      <c r="F1042" t="s">
        <v>844</v>
      </c>
      <c r="G1042" t="s">
        <v>267</v>
      </c>
      <c r="H1042" t="s">
        <v>268</v>
      </c>
      <c r="I1042" t="s">
        <v>34</v>
      </c>
      <c r="J1042" t="s">
        <v>269</v>
      </c>
      <c r="K1042" t="s">
        <v>41</v>
      </c>
      <c r="L1042" t="s">
        <v>5872</v>
      </c>
      <c r="M1042" t="s">
        <v>5873</v>
      </c>
      <c r="N1042" t="s">
        <v>847</v>
      </c>
      <c r="O1042" t="s">
        <v>100</v>
      </c>
      <c r="P1042" t="s">
        <v>5874</v>
      </c>
      <c r="Q1042" t="s">
        <v>259</v>
      </c>
      <c r="R1042" t="s">
        <v>328</v>
      </c>
      <c r="S1042">
        <v>0.34</v>
      </c>
      <c r="T1042">
        <v>6077</v>
      </c>
      <c r="U1042">
        <v>149.94999999999999</v>
      </c>
      <c r="V1042">
        <v>6226.95</v>
      </c>
    </row>
    <row r="1043" spans="1:22" x14ac:dyDescent="0.3">
      <c r="A1043">
        <v>79452</v>
      </c>
      <c r="B1043">
        <v>136792481</v>
      </c>
      <c r="C1043" t="s">
        <v>5875</v>
      </c>
      <c r="D1043" t="s">
        <v>5876</v>
      </c>
      <c r="E1043" t="s">
        <v>843</v>
      </c>
      <c r="F1043" t="s">
        <v>844</v>
      </c>
      <c r="G1043" t="s">
        <v>267</v>
      </c>
      <c r="H1043" t="s">
        <v>268</v>
      </c>
      <c r="I1043" t="s">
        <v>34</v>
      </c>
      <c r="J1043" t="s">
        <v>269</v>
      </c>
      <c r="K1043" t="s">
        <v>41</v>
      </c>
      <c r="L1043" t="s">
        <v>5877</v>
      </c>
      <c r="M1043" t="s">
        <v>5878</v>
      </c>
      <c r="N1043" t="s">
        <v>847</v>
      </c>
      <c r="O1043" t="s">
        <v>100</v>
      </c>
      <c r="P1043" t="s">
        <v>5879</v>
      </c>
      <c r="Q1043" t="s">
        <v>115</v>
      </c>
      <c r="R1043" t="s">
        <v>2464</v>
      </c>
      <c r="S1043">
        <v>0.61</v>
      </c>
      <c r="T1043">
        <v>3735</v>
      </c>
      <c r="U1043">
        <v>474.9</v>
      </c>
      <c r="V1043">
        <v>4209.8999999999996</v>
      </c>
    </row>
    <row r="1044" spans="1:22" x14ac:dyDescent="0.3">
      <c r="A1044">
        <v>79452</v>
      </c>
      <c r="B1044">
        <v>136723311</v>
      </c>
      <c r="C1044" t="s">
        <v>5880</v>
      </c>
      <c r="D1044" t="s">
        <v>5881</v>
      </c>
      <c r="E1044" t="s">
        <v>843</v>
      </c>
      <c r="F1044" t="s">
        <v>844</v>
      </c>
      <c r="G1044" t="s">
        <v>267</v>
      </c>
      <c r="H1044" t="s">
        <v>268</v>
      </c>
      <c r="I1044" t="s">
        <v>34</v>
      </c>
      <c r="J1044" t="s">
        <v>269</v>
      </c>
      <c r="K1044" t="s">
        <v>41</v>
      </c>
      <c r="L1044" t="s">
        <v>5882</v>
      </c>
      <c r="M1044" t="s">
        <v>5883</v>
      </c>
      <c r="N1044" t="s">
        <v>847</v>
      </c>
      <c r="O1044" t="s">
        <v>100</v>
      </c>
      <c r="P1044" t="s">
        <v>5884</v>
      </c>
      <c r="Q1044" t="s">
        <v>815</v>
      </c>
      <c r="R1044" t="s">
        <v>1338</v>
      </c>
      <c r="S1044">
        <v>0.49</v>
      </c>
      <c r="T1044">
        <v>5887</v>
      </c>
      <c r="U1044">
        <v>299.89999999999998</v>
      </c>
      <c r="V1044">
        <v>6186.9</v>
      </c>
    </row>
    <row r="1045" spans="1:22" x14ac:dyDescent="0.3">
      <c r="A1045">
        <v>79452</v>
      </c>
      <c r="B1045">
        <v>136792520</v>
      </c>
      <c r="C1045" t="s">
        <v>5885</v>
      </c>
      <c r="D1045" t="s">
        <v>5886</v>
      </c>
      <c r="E1045" t="s">
        <v>843</v>
      </c>
      <c r="F1045" t="s">
        <v>844</v>
      </c>
      <c r="G1045" t="s">
        <v>267</v>
      </c>
      <c r="H1045" t="s">
        <v>268</v>
      </c>
      <c r="I1045" t="s">
        <v>34</v>
      </c>
      <c r="J1045" t="s">
        <v>269</v>
      </c>
      <c r="K1045" t="s">
        <v>41</v>
      </c>
      <c r="L1045" t="s">
        <v>5887</v>
      </c>
      <c r="M1045" t="s">
        <v>5888</v>
      </c>
      <c r="N1045" t="s">
        <v>847</v>
      </c>
      <c r="O1045" t="s">
        <v>100</v>
      </c>
      <c r="P1045" t="s">
        <v>5889</v>
      </c>
      <c r="Q1045" t="s">
        <v>513</v>
      </c>
      <c r="R1045" t="s">
        <v>2207</v>
      </c>
      <c r="S1045">
        <v>0.68</v>
      </c>
      <c r="T1045">
        <v>6678</v>
      </c>
      <c r="U1045">
        <v>449.9</v>
      </c>
      <c r="V1045">
        <v>7127.9</v>
      </c>
    </row>
    <row r="1046" spans="1:22" x14ac:dyDescent="0.3">
      <c r="A1046">
        <v>79452</v>
      </c>
      <c r="B1046">
        <v>136825395</v>
      </c>
      <c r="C1046" t="s">
        <v>5890</v>
      </c>
      <c r="D1046" t="s">
        <v>5891</v>
      </c>
      <c r="E1046" t="s">
        <v>843</v>
      </c>
      <c r="F1046" t="s">
        <v>844</v>
      </c>
      <c r="G1046" t="s">
        <v>267</v>
      </c>
      <c r="H1046" t="s">
        <v>268</v>
      </c>
      <c r="I1046" t="s">
        <v>34</v>
      </c>
      <c r="J1046" t="s">
        <v>269</v>
      </c>
      <c r="K1046" t="s">
        <v>41</v>
      </c>
      <c r="L1046" t="s">
        <v>5892</v>
      </c>
      <c r="M1046" t="s">
        <v>5893</v>
      </c>
      <c r="N1046" t="s">
        <v>847</v>
      </c>
      <c r="O1046" t="s">
        <v>100</v>
      </c>
      <c r="P1046" t="s">
        <v>5894</v>
      </c>
      <c r="Q1046" t="s">
        <v>105</v>
      </c>
      <c r="R1046" t="s">
        <v>155</v>
      </c>
      <c r="S1046">
        <v>1.01</v>
      </c>
      <c r="T1046">
        <v>4738</v>
      </c>
      <c r="U1046">
        <v>299.89999999999998</v>
      </c>
      <c r="V1046">
        <v>5037.8999999999996</v>
      </c>
    </row>
    <row r="1047" spans="1:22" x14ac:dyDescent="0.3">
      <c r="A1047">
        <v>79452</v>
      </c>
      <c r="B1047">
        <v>136825439</v>
      </c>
      <c r="C1047" t="s">
        <v>5895</v>
      </c>
      <c r="D1047" t="s">
        <v>5896</v>
      </c>
      <c r="E1047" t="s">
        <v>843</v>
      </c>
      <c r="F1047" t="s">
        <v>844</v>
      </c>
      <c r="G1047" t="s">
        <v>267</v>
      </c>
      <c r="H1047" t="s">
        <v>268</v>
      </c>
      <c r="I1047" t="s">
        <v>34</v>
      </c>
      <c r="J1047" t="s">
        <v>269</v>
      </c>
      <c r="K1047" t="s">
        <v>41</v>
      </c>
      <c r="L1047" t="s">
        <v>5897</v>
      </c>
      <c r="M1047" t="s">
        <v>5898</v>
      </c>
      <c r="N1047" t="s">
        <v>847</v>
      </c>
      <c r="O1047" t="s">
        <v>100</v>
      </c>
      <c r="P1047" t="s">
        <v>5899</v>
      </c>
      <c r="Q1047" t="s">
        <v>82</v>
      </c>
      <c r="R1047" t="s">
        <v>310</v>
      </c>
      <c r="S1047">
        <v>0.23</v>
      </c>
      <c r="T1047">
        <v>5317</v>
      </c>
      <c r="U1047">
        <v>149.94999999999999</v>
      </c>
      <c r="V1047">
        <v>5466.95</v>
      </c>
    </row>
    <row r="1048" spans="1:22" x14ac:dyDescent="0.3">
      <c r="A1048">
        <v>79452</v>
      </c>
      <c r="B1048">
        <v>136723353</v>
      </c>
      <c r="C1048" t="s">
        <v>5900</v>
      </c>
      <c r="D1048" t="s">
        <v>5901</v>
      </c>
      <c r="E1048" t="s">
        <v>843</v>
      </c>
      <c r="F1048" t="s">
        <v>844</v>
      </c>
      <c r="G1048" t="s">
        <v>267</v>
      </c>
      <c r="H1048" t="s">
        <v>268</v>
      </c>
      <c r="I1048" t="s">
        <v>34</v>
      </c>
      <c r="J1048" t="s">
        <v>269</v>
      </c>
      <c r="K1048" t="s">
        <v>41</v>
      </c>
      <c r="L1048" t="s">
        <v>5902</v>
      </c>
      <c r="M1048" t="s">
        <v>5903</v>
      </c>
      <c r="N1048" t="s">
        <v>847</v>
      </c>
      <c r="O1048" t="s">
        <v>100</v>
      </c>
      <c r="P1048" t="s">
        <v>5904</v>
      </c>
      <c r="Q1048" t="s">
        <v>115</v>
      </c>
      <c r="R1048" t="s">
        <v>1338</v>
      </c>
      <c r="S1048">
        <v>0.49</v>
      </c>
      <c r="T1048">
        <v>3735</v>
      </c>
      <c r="U1048">
        <v>299.89999999999998</v>
      </c>
      <c r="V1048">
        <v>4034.9</v>
      </c>
    </row>
    <row r="1049" spans="1:22" x14ac:dyDescent="0.3">
      <c r="A1049">
        <v>79452</v>
      </c>
      <c r="B1049">
        <v>136756164</v>
      </c>
      <c r="C1049" t="s">
        <v>5905</v>
      </c>
      <c r="D1049" t="s">
        <v>5906</v>
      </c>
      <c r="E1049" t="s">
        <v>843</v>
      </c>
      <c r="F1049" t="s">
        <v>844</v>
      </c>
      <c r="G1049" t="s">
        <v>267</v>
      </c>
      <c r="H1049" t="s">
        <v>268</v>
      </c>
      <c r="I1049" t="s">
        <v>34</v>
      </c>
      <c r="J1049" t="s">
        <v>269</v>
      </c>
      <c r="K1049" t="s">
        <v>41</v>
      </c>
      <c r="L1049" t="s">
        <v>162</v>
      </c>
      <c r="M1049" t="s">
        <v>405</v>
      </c>
      <c r="N1049" t="s">
        <v>847</v>
      </c>
      <c r="O1049" t="s">
        <v>100</v>
      </c>
      <c r="P1049" t="s">
        <v>5907</v>
      </c>
      <c r="Q1049" t="s">
        <v>53</v>
      </c>
      <c r="R1049" t="s">
        <v>782</v>
      </c>
      <c r="S1049">
        <v>0.59</v>
      </c>
      <c r="T1049">
        <v>10717</v>
      </c>
      <c r="U1049">
        <v>349.9</v>
      </c>
      <c r="V1049">
        <v>11066.9</v>
      </c>
    </row>
    <row r="1050" spans="1:22" x14ac:dyDescent="0.3">
      <c r="A1050">
        <v>79452</v>
      </c>
      <c r="B1050">
        <v>136541758</v>
      </c>
      <c r="C1050" t="s">
        <v>5908</v>
      </c>
      <c r="D1050" t="s">
        <v>5909</v>
      </c>
      <c r="E1050" t="s">
        <v>843</v>
      </c>
      <c r="F1050" t="s">
        <v>844</v>
      </c>
      <c r="G1050" t="s">
        <v>267</v>
      </c>
      <c r="H1050" t="s">
        <v>268</v>
      </c>
      <c r="I1050" t="s">
        <v>34</v>
      </c>
      <c r="J1050" t="s">
        <v>269</v>
      </c>
      <c r="K1050" t="s">
        <v>41</v>
      </c>
      <c r="L1050" t="s">
        <v>5910</v>
      </c>
      <c r="M1050" t="s">
        <v>5911</v>
      </c>
      <c r="N1050" t="s">
        <v>847</v>
      </c>
      <c r="O1050" t="s">
        <v>100</v>
      </c>
      <c r="P1050" t="s">
        <v>5912</v>
      </c>
      <c r="Q1050" t="s">
        <v>115</v>
      </c>
      <c r="R1050" t="s">
        <v>2688</v>
      </c>
      <c r="S1050">
        <v>2.61</v>
      </c>
      <c r="T1050">
        <v>3950</v>
      </c>
      <c r="U1050">
        <v>1349.55</v>
      </c>
      <c r="V1050">
        <v>5299.55</v>
      </c>
    </row>
    <row r="1051" spans="1:22" x14ac:dyDescent="0.3">
      <c r="A1051">
        <v>79452</v>
      </c>
      <c r="B1051">
        <v>136635059</v>
      </c>
      <c r="C1051" t="s">
        <v>5913</v>
      </c>
      <c r="D1051" t="s">
        <v>5914</v>
      </c>
      <c r="E1051" t="s">
        <v>843</v>
      </c>
      <c r="F1051" t="s">
        <v>844</v>
      </c>
      <c r="G1051" t="s">
        <v>267</v>
      </c>
      <c r="H1051" t="s">
        <v>268</v>
      </c>
      <c r="I1051" t="s">
        <v>34</v>
      </c>
      <c r="J1051" t="s">
        <v>269</v>
      </c>
      <c r="K1051" t="s">
        <v>41</v>
      </c>
      <c r="L1051" t="s">
        <v>5915</v>
      </c>
      <c r="M1051" t="s">
        <v>5916</v>
      </c>
      <c r="N1051" t="s">
        <v>847</v>
      </c>
      <c r="O1051" t="s">
        <v>100</v>
      </c>
      <c r="P1051" t="s">
        <v>5917</v>
      </c>
      <c r="Q1051" t="s">
        <v>105</v>
      </c>
      <c r="R1051" t="s">
        <v>475</v>
      </c>
      <c r="S1051">
        <v>0.59</v>
      </c>
      <c r="T1051">
        <v>4481</v>
      </c>
      <c r="U1051">
        <v>474.9</v>
      </c>
      <c r="V1051">
        <v>4955.8999999999996</v>
      </c>
    </row>
    <row r="1052" spans="1:22" x14ac:dyDescent="0.3">
      <c r="A1052">
        <v>79452</v>
      </c>
      <c r="B1052">
        <v>136559278</v>
      </c>
      <c r="C1052" t="s">
        <v>5918</v>
      </c>
      <c r="D1052" t="s">
        <v>5919</v>
      </c>
      <c r="E1052" t="s">
        <v>843</v>
      </c>
      <c r="F1052" t="s">
        <v>844</v>
      </c>
      <c r="G1052" t="s">
        <v>267</v>
      </c>
      <c r="H1052" t="s">
        <v>268</v>
      </c>
      <c r="I1052" t="s">
        <v>34</v>
      </c>
      <c r="J1052" t="s">
        <v>269</v>
      </c>
      <c r="K1052" t="s">
        <v>41</v>
      </c>
      <c r="L1052" t="s">
        <v>5920</v>
      </c>
      <c r="M1052" t="s">
        <v>5921</v>
      </c>
      <c r="N1052" t="s">
        <v>847</v>
      </c>
      <c r="O1052" t="s">
        <v>100</v>
      </c>
      <c r="P1052" t="s">
        <v>5922</v>
      </c>
      <c r="Q1052" t="s">
        <v>105</v>
      </c>
      <c r="R1052" t="s">
        <v>1606</v>
      </c>
      <c r="S1052">
        <v>0.25</v>
      </c>
      <c r="T1052">
        <v>4481</v>
      </c>
      <c r="U1052">
        <v>149.94999999999999</v>
      </c>
      <c r="V1052">
        <v>4630.95</v>
      </c>
    </row>
    <row r="1053" spans="1:22" x14ac:dyDescent="0.3">
      <c r="A1053">
        <v>79452</v>
      </c>
      <c r="B1053">
        <v>136541749</v>
      </c>
      <c r="C1053" t="s">
        <v>5923</v>
      </c>
      <c r="D1053" t="s">
        <v>5924</v>
      </c>
      <c r="E1053" t="s">
        <v>843</v>
      </c>
      <c r="F1053" t="s">
        <v>844</v>
      </c>
      <c r="G1053" t="s">
        <v>267</v>
      </c>
      <c r="H1053" t="s">
        <v>268</v>
      </c>
      <c r="I1053" t="s">
        <v>34</v>
      </c>
      <c r="J1053" t="s">
        <v>269</v>
      </c>
      <c r="K1053" t="s">
        <v>41</v>
      </c>
      <c r="L1053" t="s">
        <v>5925</v>
      </c>
      <c r="M1053" t="s">
        <v>5926</v>
      </c>
      <c r="N1053" t="s">
        <v>847</v>
      </c>
      <c r="O1053" t="s">
        <v>100</v>
      </c>
      <c r="P1053" t="s">
        <v>5927</v>
      </c>
      <c r="Q1053" t="s">
        <v>105</v>
      </c>
      <c r="R1053" t="s">
        <v>2688</v>
      </c>
      <c r="S1053">
        <v>0.38</v>
      </c>
      <c r="T1053">
        <v>4481</v>
      </c>
      <c r="U1053">
        <v>299.89999999999998</v>
      </c>
      <c r="V1053">
        <v>4780.8999999999996</v>
      </c>
    </row>
    <row r="1054" spans="1:22" x14ac:dyDescent="0.3">
      <c r="A1054">
        <v>79452</v>
      </c>
      <c r="B1054">
        <v>136635003</v>
      </c>
      <c r="C1054" t="s">
        <v>5928</v>
      </c>
      <c r="D1054" t="s">
        <v>5929</v>
      </c>
      <c r="E1054" t="s">
        <v>843</v>
      </c>
      <c r="F1054" t="s">
        <v>844</v>
      </c>
      <c r="G1054" t="s">
        <v>267</v>
      </c>
      <c r="H1054" t="s">
        <v>268</v>
      </c>
      <c r="I1054" t="s">
        <v>34</v>
      </c>
      <c r="J1054" t="s">
        <v>269</v>
      </c>
      <c r="K1054" t="s">
        <v>41</v>
      </c>
      <c r="L1054" t="s">
        <v>5930</v>
      </c>
      <c r="M1054" t="s">
        <v>5931</v>
      </c>
      <c r="N1054" t="s">
        <v>847</v>
      </c>
      <c r="O1054" t="s">
        <v>100</v>
      </c>
      <c r="P1054" t="s">
        <v>5932</v>
      </c>
      <c r="Q1054" t="s">
        <v>777</v>
      </c>
      <c r="R1054" t="s">
        <v>475</v>
      </c>
      <c r="S1054">
        <v>0.52</v>
      </c>
      <c r="T1054">
        <v>5738</v>
      </c>
      <c r="U1054">
        <v>299.89999999999998</v>
      </c>
      <c r="V1054">
        <v>6037.9</v>
      </c>
    </row>
    <row r="1055" spans="1:22" x14ac:dyDescent="0.3">
      <c r="A1055">
        <v>79452</v>
      </c>
      <c r="B1055">
        <v>136635076</v>
      </c>
      <c r="C1055" t="s">
        <v>5933</v>
      </c>
      <c r="D1055" t="s">
        <v>5934</v>
      </c>
      <c r="E1055" t="s">
        <v>843</v>
      </c>
      <c r="F1055" t="s">
        <v>844</v>
      </c>
      <c r="G1055" t="s">
        <v>267</v>
      </c>
      <c r="H1055" t="s">
        <v>268</v>
      </c>
      <c r="I1055" t="s">
        <v>34</v>
      </c>
      <c r="J1055" t="s">
        <v>269</v>
      </c>
      <c r="K1055" t="s">
        <v>41</v>
      </c>
      <c r="L1055" t="s">
        <v>5935</v>
      </c>
      <c r="M1055" t="s">
        <v>5936</v>
      </c>
      <c r="N1055" t="s">
        <v>847</v>
      </c>
      <c r="O1055" t="s">
        <v>100</v>
      </c>
      <c r="P1055" t="s">
        <v>5937</v>
      </c>
      <c r="Q1055" t="s">
        <v>62</v>
      </c>
      <c r="R1055" t="s">
        <v>2480</v>
      </c>
      <c r="S1055">
        <v>0.81</v>
      </c>
      <c r="T1055">
        <v>6595</v>
      </c>
      <c r="U1055">
        <v>449.85</v>
      </c>
      <c r="V1055">
        <v>7044.85</v>
      </c>
    </row>
    <row r="1056" spans="1:22" x14ac:dyDescent="0.3">
      <c r="A1056">
        <v>79452</v>
      </c>
      <c r="B1056">
        <v>136635036</v>
      </c>
      <c r="C1056" t="s">
        <v>5938</v>
      </c>
      <c r="D1056" t="s">
        <v>5939</v>
      </c>
      <c r="E1056" t="s">
        <v>843</v>
      </c>
      <c r="F1056" t="s">
        <v>844</v>
      </c>
      <c r="G1056" t="s">
        <v>267</v>
      </c>
      <c r="H1056" t="s">
        <v>268</v>
      </c>
      <c r="I1056" t="s">
        <v>34</v>
      </c>
      <c r="J1056" t="s">
        <v>269</v>
      </c>
      <c r="K1056" t="s">
        <v>41</v>
      </c>
      <c r="L1056" t="s">
        <v>5704</v>
      </c>
      <c r="M1056" t="s">
        <v>5705</v>
      </c>
      <c r="N1056" t="s">
        <v>847</v>
      </c>
      <c r="O1056" t="s">
        <v>100</v>
      </c>
      <c r="P1056" t="s">
        <v>5706</v>
      </c>
      <c r="Q1056" t="s">
        <v>62</v>
      </c>
      <c r="R1056" t="s">
        <v>475</v>
      </c>
      <c r="S1056">
        <v>0.77</v>
      </c>
      <c r="T1056">
        <v>6595</v>
      </c>
      <c r="U1056">
        <v>549.85</v>
      </c>
      <c r="V1056">
        <v>7144.85</v>
      </c>
    </row>
    <row r="1057" spans="1:22" x14ac:dyDescent="0.3">
      <c r="A1057">
        <v>79452</v>
      </c>
      <c r="B1057">
        <v>136483049</v>
      </c>
      <c r="C1057" t="s">
        <v>5940</v>
      </c>
      <c r="D1057" t="s">
        <v>5941</v>
      </c>
      <c r="E1057" t="s">
        <v>843</v>
      </c>
      <c r="F1057" t="s">
        <v>844</v>
      </c>
      <c r="G1057" t="s">
        <v>267</v>
      </c>
      <c r="H1057" t="s">
        <v>268</v>
      </c>
      <c r="I1057" t="s">
        <v>34</v>
      </c>
      <c r="J1057" t="s">
        <v>269</v>
      </c>
      <c r="K1057" t="s">
        <v>41</v>
      </c>
      <c r="L1057" t="s">
        <v>5942</v>
      </c>
      <c r="M1057" t="s">
        <v>5943</v>
      </c>
      <c r="N1057" t="s">
        <v>847</v>
      </c>
      <c r="O1057" t="s">
        <v>100</v>
      </c>
      <c r="P1057" t="s">
        <v>5944</v>
      </c>
      <c r="Q1057" t="s">
        <v>115</v>
      </c>
      <c r="R1057" t="s">
        <v>590</v>
      </c>
      <c r="S1057">
        <v>0.61</v>
      </c>
      <c r="T1057">
        <v>3735</v>
      </c>
      <c r="U1057">
        <v>499.9</v>
      </c>
      <c r="V1057">
        <v>4234.8999999999996</v>
      </c>
    </row>
    <row r="1058" spans="1:22" x14ac:dyDescent="0.3">
      <c r="A1058">
        <v>79452</v>
      </c>
      <c r="B1058">
        <v>136508208</v>
      </c>
      <c r="C1058" t="s">
        <v>5945</v>
      </c>
      <c r="D1058" t="s">
        <v>5946</v>
      </c>
      <c r="E1058" t="s">
        <v>843</v>
      </c>
      <c r="F1058" t="s">
        <v>844</v>
      </c>
      <c r="G1058" t="s">
        <v>267</v>
      </c>
      <c r="H1058" t="s">
        <v>268</v>
      </c>
      <c r="I1058" t="s">
        <v>34</v>
      </c>
      <c r="J1058" t="s">
        <v>269</v>
      </c>
      <c r="K1058" t="s">
        <v>41</v>
      </c>
      <c r="L1058" t="s">
        <v>5947</v>
      </c>
      <c r="M1058" t="s">
        <v>5948</v>
      </c>
      <c r="N1058" t="s">
        <v>847</v>
      </c>
      <c r="O1058" t="s">
        <v>100</v>
      </c>
      <c r="P1058" t="s">
        <v>5949</v>
      </c>
      <c r="Q1058" t="s">
        <v>73</v>
      </c>
      <c r="R1058" t="s">
        <v>3236</v>
      </c>
      <c r="S1058">
        <v>0.8</v>
      </c>
      <c r="T1058">
        <v>5317</v>
      </c>
      <c r="U1058">
        <v>449.85</v>
      </c>
      <c r="V1058">
        <v>5766.85</v>
      </c>
    </row>
    <row r="1059" spans="1:22" x14ac:dyDescent="0.3">
      <c r="A1059">
        <v>79452</v>
      </c>
      <c r="B1059">
        <v>136411965</v>
      </c>
      <c r="C1059" t="s">
        <v>5950</v>
      </c>
      <c r="D1059" t="s">
        <v>5951</v>
      </c>
      <c r="E1059" t="s">
        <v>843</v>
      </c>
      <c r="F1059" t="s">
        <v>844</v>
      </c>
      <c r="G1059" t="s">
        <v>267</v>
      </c>
      <c r="H1059" t="s">
        <v>268</v>
      </c>
      <c r="I1059" t="s">
        <v>34</v>
      </c>
      <c r="J1059" t="s">
        <v>269</v>
      </c>
      <c r="K1059" t="s">
        <v>41</v>
      </c>
      <c r="L1059" t="s">
        <v>5952</v>
      </c>
      <c r="M1059" t="s">
        <v>5953</v>
      </c>
      <c r="N1059" t="s">
        <v>847</v>
      </c>
      <c r="O1059" t="s">
        <v>100</v>
      </c>
      <c r="P1059" t="s">
        <v>5954</v>
      </c>
      <c r="Q1059" t="s">
        <v>193</v>
      </c>
      <c r="R1059" t="s">
        <v>641</v>
      </c>
      <c r="S1059">
        <v>1.27</v>
      </c>
      <c r="T1059">
        <v>5832</v>
      </c>
      <c r="U1059">
        <v>599.79999999999995</v>
      </c>
      <c r="V1059">
        <v>6431.8</v>
      </c>
    </row>
    <row r="1060" spans="1:22" x14ac:dyDescent="0.3">
      <c r="A1060">
        <v>79452</v>
      </c>
      <c r="B1060">
        <v>136327512</v>
      </c>
      <c r="C1060" t="s">
        <v>5955</v>
      </c>
      <c r="D1060" t="s">
        <v>5956</v>
      </c>
      <c r="E1060" t="s">
        <v>843</v>
      </c>
      <c r="F1060" t="s">
        <v>844</v>
      </c>
      <c r="G1060" t="s">
        <v>267</v>
      </c>
      <c r="H1060" t="s">
        <v>268</v>
      </c>
      <c r="I1060" t="s">
        <v>34</v>
      </c>
      <c r="J1060" t="s">
        <v>269</v>
      </c>
      <c r="K1060" t="s">
        <v>41</v>
      </c>
      <c r="L1060" t="s">
        <v>5957</v>
      </c>
      <c r="M1060" t="s">
        <v>5715</v>
      </c>
      <c r="N1060" t="s">
        <v>847</v>
      </c>
      <c r="O1060" t="s">
        <v>100</v>
      </c>
      <c r="P1060" t="s">
        <v>5716</v>
      </c>
      <c r="Q1060" t="s">
        <v>115</v>
      </c>
      <c r="R1060" t="s">
        <v>708</v>
      </c>
      <c r="S1060">
        <v>0.99</v>
      </c>
      <c r="T1060">
        <v>3735</v>
      </c>
      <c r="U1060">
        <v>599.79999999999995</v>
      </c>
      <c r="V1060">
        <v>4334.8</v>
      </c>
    </row>
    <row r="1061" spans="1:22" x14ac:dyDescent="0.3">
      <c r="A1061">
        <v>79452</v>
      </c>
      <c r="B1061">
        <v>136327517</v>
      </c>
      <c r="C1061" t="s">
        <v>5958</v>
      </c>
      <c r="D1061" t="s">
        <v>5959</v>
      </c>
      <c r="E1061" t="s">
        <v>843</v>
      </c>
      <c r="F1061" t="s">
        <v>844</v>
      </c>
      <c r="G1061" t="s">
        <v>267</v>
      </c>
      <c r="H1061" t="s">
        <v>268</v>
      </c>
      <c r="I1061" t="s">
        <v>34</v>
      </c>
      <c r="J1061" t="s">
        <v>269</v>
      </c>
      <c r="K1061" t="s">
        <v>41</v>
      </c>
      <c r="L1061" t="s">
        <v>5960</v>
      </c>
      <c r="M1061" t="s">
        <v>5961</v>
      </c>
      <c r="N1061" t="s">
        <v>847</v>
      </c>
      <c r="O1061" t="s">
        <v>100</v>
      </c>
      <c r="P1061" t="s">
        <v>5962</v>
      </c>
      <c r="Q1061" t="s">
        <v>53</v>
      </c>
      <c r="R1061" t="s">
        <v>708</v>
      </c>
      <c r="S1061">
        <v>0.56999999999999995</v>
      </c>
      <c r="T1061">
        <v>10717</v>
      </c>
      <c r="U1061">
        <v>299.89999999999998</v>
      </c>
      <c r="V1061">
        <v>11016.9</v>
      </c>
    </row>
    <row r="1062" spans="1:22" x14ac:dyDescent="0.3">
      <c r="A1062">
        <v>79452</v>
      </c>
      <c r="B1062">
        <v>136439984</v>
      </c>
      <c r="C1062" t="s">
        <v>5963</v>
      </c>
      <c r="D1062" t="s">
        <v>5964</v>
      </c>
      <c r="E1062" t="s">
        <v>843</v>
      </c>
      <c r="F1062" t="s">
        <v>844</v>
      </c>
      <c r="G1062" t="s">
        <v>267</v>
      </c>
      <c r="H1062" t="s">
        <v>268</v>
      </c>
      <c r="I1062" t="s">
        <v>34</v>
      </c>
      <c r="J1062" t="s">
        <v>269</v>
      </c>
      <c r="K1062" t="s">
        <v>41</v>
      </c>
      <c r="L1062" t="s">
        <v>5965</v>
      </c>
      <c r="M1062" t="s">
        <v>5966</v>
      </c>
      <c r="N1062" t="s">
        <v>847</v>
      </c>
      <c r="O1062" t="s">
        <v>100</v>
      </c>
      <c r="P1062" t="s">
        <v>5967</v>
      </c>
      <c r="Q1062" t="s">
        <v>512</v>
      </c>
      <c r="R1062" t="s">
        <v>4094</v>
      </c>
      <c r="S1062">
        <v>1.46</v>
      </c>
      <c r="T1062">
        <v>16194</v>
      </c>
      <c r="U1062">
        <v>599.79999999999995</v>
      </c>
      <c r="V1062">
        <v>16793.8</v>
      </c>
    </row>
    <row r="1063" spans="1:22" x14ac:dyDescent="0.3">
      <c r="A1063">
        <v>79452</v>
      </c>
      <c r="B1063">
        <v>136103998</v>
      </c>
      <c r="C1063" t="s">
        <v>5968</v>
      </c>
      <c r="D1063" t="s">
        <v>5969</v>
      </c>
      <c r="E1063" t="s">
        <v>843</v>
      </c>
      <c r="F1063" t="s">
        <v>844</v>
      </c>
      <c r="G1063" t="s">
        <v>267</v>
      </c>
      <c r="H1063" t="s">
        <v>268</v>
      </c>
      <c r="I1063" t="s">
        <v>34</v>
      </c>
      <c r="J1063" t="s">
        <v>269</v>
      </c>
      <c r="K1063" t="s">
        <v>41</v>
      </c>
      <c r="L1063" t="s">
        <v>5970</v>
      </c>
      <c r="M1063" t="s">
        <v>5770</v>
      </c>
      <c r="N1063" t="s">
        <v>847</v>
      </c>
      <c r="O1063" t="s">
        <v>100</v>
      </c>
      <c r="P1063" t="s">
        <v>5771</v>
      </c>
      <c r="Q1063" t="s">
        <v>73</v>
      </c>
      <c r="R1063" t="s">
        <v>803</v>
      </c>
      <c r="S1063">
        <v>0.48</v>
      </c>
      <c r="T1063">
        <v>5317</v>
      </c>
      <c r="U1063">
        <v>374.9</v>
      </c>
      <c r="V1063">
        <v>5691.9</v>
      </c>
    </row>
    <row r="1064" spans="1:22" x14ac:dyDescent="0.3">
      <c r="A1064">
        <v>79452</v>
      </c>
      <c r="B1064">
        <v>136104113</v>
      </c>
      <c r="C1064" t="s">
        <v>5971</v>
      </c>
      <c r="D1064" t="s">
        <v>5972</v>
      </c>
      <c r="E1064" t="s">
        <v>843</v>
      </c>
      <c r="F1064" t="s">
        <v>844</v>
      </c>
      <c r="G1064" t="s">
        <v>267</v>
      </c>
      <c r="H1064" t="s">
        <v>268</v>
      </c>
      <c r="I1064" t="s">
        <v>34</v>
      </c>
      <c r="J1064" t="s">
        <v>269</v>
      </c>
      <c r="K1064" t="s">
        <v>41</v>
      </c>
      <c r="L1064" t="s">
        <v>5973</v>
      </c>
      <c r="M1064" t="s">
        <v>5974</v>
      </c>
      <c r="N1064" t="s">
        <v>847</v>
      </c>
      <c r="O1064" t="s">
        <v>100</v>
      </c>
      <c r="P1064" t="s">
        <v>5975</v>
      </c>
      <c r="Q1064" t="s">
        <v>392</v>
      </c>
      <c r="R1064" t="s">
        <v>803</v>
      </c>
      <c r="S1064">
        <v>1.29</v>
      </c>
      <c r="T1064">
        <v>8624</v>
      </c>
      <c r="U1064">
        <v>799.75</v>
      </c>
      <c r="V1064">
        <v>9423.75</v>
      </c>
    </row>
    <row r="1065" spans="1:22" x14ac:dyDescent="0.3">
      <c r="A1065">
        <v>79452</v>
      </c>
      <c r="B1065">
        <v>136269988</v>
      </c>
      <c r="C1065" t="s">
        <v>5976</v>
      </c>
      <c r="D1065" t="s">
        <v>5977</v>
      </c>
      <c r="E1065" t="s">
        <v>843</v>
      </c>
      <c r="F1065" t="s">
        <v>844</v>
      </c>
      <c r="G1065" t="s">
        <v>267</v>
      </c>
      <c r="H1065" t="s">
        <v>268</v>
      </c>
      <c r="I1065" t="s">
        <v>34</v>
      </c>
      <c r="J1065" t="s">
        <v>269</v>
      </c>
      <c r="K1065" t="s">
        <v>41</v>
      </c>
      <c r="L1065" t="s">
        <v>5978</v>
      </c>
      <c r="M1065" t="s">
        <v>5979</v>
      </c>
      <c r="N1065" t="s">
        <v>847</v>
      </c>
      <c r="O1065" t="s">
        <v>100</v>
      </c>
      <c r="P1065" t="s">
        <v>5980</v>
      </c>
      <c r="Q1065" t="s">
        <v>115</v>
      </c>
      <c r="R1065" t="s">
        <v>759</v>
      </c>
      <c r="S1065">
        <v>0.81</v>
      </c>
      <c r="T1065">
        <v>3735</v>
      </c>
      <c r="U1065">
        <v>149.94999999999999</v>
      </c>
      <c r="V1065">
        <v>3884.95</v>
      </c>
    </row>
    <row r="1066" spans="1:22" x14ac:dyDescent="0.3">
      <c r="A1066">
        <v>79452</v>
      </c>
      <c r="B1066">
        <v>136270007</v>
      </c>
      <c r="C1066" t="s">
        <v>5981</v>
      </c>
      <c r="D1066" t="s">
        <v>5982</v>
      </c>
      <c r="E1066" t="s">
        <v>843</v>
      </c>
      <c r="F1066" t="s">
        <v>844</v>
      </c>
      <c r="G1066" t="s">
        <v>267</v>
      </c>
      <c r="H1066" t="s">
        <v>268</v>
      </c>
      <c r="I1066" t="s">
        <v>34</v>
      </c>
      <c r="J1066" t="s">
        <v>269</v>
      </c>
      <c r="K1066" t="s">
        <v>41</v>
      </c>
      <c r="L1066" t="s">
        <v>5983</v>
      </c>
      <c r="M1066" t="s">
        <v>5984</v>
      </c>
      <c r="N1066" t="s">
        <v>847</v>
      </c>
      <c r="O1066" t="s">
        <v>100</v>
      </c>
      <c r="P1066" t="s">
        <v>5985</v>
      </c>
      <c r="Q1066" t="s">
        <v>115</v>
      </c>
      <c r="R1066" t="s">
        <v>759</v>
      </c>
      <c r="S1066">
        <v>0.99</v>
      </c>
      <c r="T1066">
        <v>3735</v>
      </c>
      <c r="U1066">
        <v>599.79999999999995</v>
      </c>
      <c r="V1066">
        <v>4334.8</v>
      </c>
    </row>
    <row r="1067" spans="1:22" x14ac:dyDescent="0.3">
      <c r="A1067">
        <v>79452</v>
      </c>
      <c r="B1067">
        <v>136196583</v>
      </c>
      <c r="C1067" t="s">
        <v>5986</v>
      </c>
      <c r="D1067" t="s">
        <v>5987</v>
      </c>
      <c r="E1067" t="s">
        <v>843</v>
      </c>
      <c r="F1067" t="s">
        <v>844</v>
      </c>
      <c r="G1067" t="s">
        <v>267</v>
      </c>
      <c r="H1067" t="s">
        <v>268</v>
      </c>
      <c r="I1067" t="s">
        <v>34</v>
      </c>
      <c r="J1067" t="s">
        <v>269</v>
      </c>
      <c r="K1067" t="s">
        <v>41</v>
      </c>
      <c r="L1067" t="s">
        <v>5988</v>
      </c>
      <c r="M1067" t="s">
        <v>5989</v>
      </c>
      <c r="N1067" t="s">
        <v>847</v>
      </c>
      <c r="O1067" t="s">
        <v>100</v>
      </c>
      <c r="P1067" t="s">
        <v>5990</v>
      </c>
      <c r="Q1067" t="s">
        <v>391</v>
      </c>
      <c r="R1067" t="s">
        <v>1999</v>
      </c>
      <c r="S1067">
        <v>1.03</v>
      </c>
      <c r="T1067">
        <v>7337</v>
      </c>
      <c r="U1067">
        <v>749.8</v>
      </c>
      <c r="V1067">
        <v>8086.8</v>
      </c>
    </row>
    <row r="1068" spans="1:22" x14ac:dyDescent="0.3">
      <c r="A1068">
        <v>79452</v>
      </c>
      <c r="B1068">
        <v>136025740</v>
      </c>
      <c r="C1068" t="s">
        <v>5991</v>
      </c>
      <c r="D1068" t="s">
        <v>5992</v>
      </c>
      <c r="E1068" t="s">
        <v>843</v>
      </c>
      <c r="F1068" t="s">
        <v>844</v>
      </c>
      <c r="G1068" t="s">
        <v>267</v>
      </c>
      <c r="H1068" t="s">
        <v>268</v>
      </c>
      <c r="I1068" t="s">
        <v>34</v>
      </c>
      <c r="J1068" t="s">
        <v>269</v>
      </c>
      <c r="K1068" t="s">
        <v>41</v>
      </c>
      <c r="L1068" t="s">
        <v>5993</v>
      </c>
      <c r="M1068" t="s">
        <v>5994</v>
      </c>
      <c r="N1068" t="s">
        <v>847</v>
      </c>
      <c r="O1068" t="s">
        <v>100</v>
      </c>
      <c r="P1068" t="s">
        <v>5995</v>
      </c>
      <c r="Q1068" t="s">
        <v>105</v>
      </c>
      <c r="R1068" t="s">
        <v>342</v>
      </c>
      <c r="S1068">
        <v>0.35</v>
      </c>
      <c r="T1068">
        <v>4481</v>
      </c>
      <c r="U1068">
        <v>299.89999999999998</v>
      </c>
      <c r="V1068">
        <v>4780.8999999999996</v>
      </c>
    </row>
    <row r="1069" spans="1:22" x14ac:dyDescent="0.3">
      <c r="A1069">
        <v>79452</v>
      </c>
      <c r="B1069">
        <v>136103872</v>
      </c>
      <c r="C1069" t="s">
        <v>5996</v>
      </c>
      <c r="D1069" t="s">
        <v>5997</v>
      </c>
      <c r="E1069" t="s">
        <v>843</v>
      </c>
      <c r="F1069" t="s">
        <v>844</v>
      </c>
      <c r="G1069" t="s">
        <v>267</v>
      </c>
      <c r="H1069" t="s">
        <v>268</v>
      </c>
      <c r="I1069" t="s">
        <v>34</v>
      </c>
      <c r="J1069" t="s">
        <v>269</v>
      </c>
      <c r="K1069" t="s">
        <v>41</v>
      </c>
      <c r="L1069" t="s">
        <v>5998</v>
      </c>
      <c r="M1069" t="s">
        <v>5999</v>
      </c>
      <c r="N1069" t="s">
        <v>847</v>
      </c>
      <c r="O1069" t="s">
        <v>100</v>
      </c>
      <c r="P1069" t="s">
        <v>6000</v>
      </c>
      <c r="Q1069" t="s">
        <v>105</v>
      </c>
      <c r="R1069" t="s">
        <v>803</v>
      </c>
      <c r="S1069">
        <v>2.1800000000000002</v>
      </c>
      <c r="T1069">
        <v>4738</v>
      </c>
      <c r="U1069">
        <v>1249.7</v>
      </c>
      <c r="V1069">
        <v>5987.7</v>
      </c>
    </row>
    <row r="1070" spans="1:22" x14ac:dyDescent="0.3">
      <c r="A1070">
        <v>79452</v>
      </c>
      <c r="B1070">
        <v>136025774</v>
      </c>
      <c r="C1070" t="s">
        <v>6001</v>
      </c>
      <c r="D1070" t="s">
        <v>6002</v>
      </c>
      <c r="E1070" t="s">
        <v>843</v>
      </c>
      <c r="F1070" t="s">
        <v>844</v>
      </c>
      <c r="G1070" t="s">
        <v>267</v>
      </c>
      <c r="H1070" t="s">
        <v>268</v>
      </c>
      <c r="I1070" t="s">
        <v>34</v>
      </c>
      <c r="J1070" t="s">
        <v>269</v>
      </c>
      <c r="K1070" t="s">
        <v>41</v>
      </c>
      <c r="L1070" t="s">
        <v>6003</v>
      </c>
      <c r="M1070" t="s">
        <v>6004</v>
      </c>
      <c r="N1070" t="s">
        <v>847</v>
      </c>
      <c r="O1070" t="s">
        <v>100</v>
      </c>
      <c r="P1070" t="s">
        <v>6005</v>
      </c>
      <c r="Q1070" t="s">
        <v>73</v>
      </c>
      <c r="R1070" t="s">
        <v>342</v>
      </c>
      <c r="S1070">
        <v>0.27</v>
      </c>
      <c r="T1070">
        <v>5317</v>
      </c>
      <c r="U1070">
        <v>149.94999999999999</v>
      </c>
      <c r="V1070">
        <v>5466.95</v>
      </c>
    </row>
    <row r="1071" spans="1:22" x14ac:dyDescent="0.3">
      <c r="A1071">
        <v>79452</v>
      </c>
      <c r="B1071">
        <v>136196443</v>
      </c>
      <c r="C1071" t="s">
        <v>6006</v>
      </c>
      <c r="D1071" t="s">
        <v>6007</v>
      </c>
      <c r="E1071" t="s">
        <v>843</v>
      </c>
      <c r="F1071" t="s">
        <v>844</v>
      </c>
      <c r="G1071" t="s">
        <v>267</v>
      </c>
      <c r="H1071" t="s">
        <v>268</v>
      </c>
      <c r="I1071" t="s">
        <v>34</v>
      </c>
      <c r="J1071" t="s">
        <v>269</v>
      </c>
      <c r="K1071" t="s">
        <v>41</v>
      </c>
      <c r="L1071" t="s">
        <v>6008</v>
      </c>
      <c r="M1071" t="s">
        <v>6009</v>
      </c>
      <c r="N1071" t="s">
        <v>847</v>
      </c>
      <c r="O1071" t="s">
        <v>100</v>
      </c>
      <c r="P1071" t="s">
        <v>6010</v>
      </c>
      <c r="Q1071" t="s">
        <v>73</v>
      </c>
      <c r="R1071" t="s">
        <v>716</v>
      </c>
      <c r="S1071">
        <v>1.01</v>
      </c>
      <c r="T1071">
        <v>6115</v>
      </c>
      <c r="U1071">
        <v>299.89999999999998</v>
      </c>
      <c r="V1071">
        <v>6414.9</v>
      </c>
    </row>
    <row r="1072" spans="1:22" x14ac:dyDescent="0.3">
      <c r="A1072">
        <v>79452</v>
      </c>
      <c r="B1072">
        <v>136025926</v>
      </c>
      <c r="C1072" t="s">
        <v>6011</v>
      </c>
      <c r="D1072" t="s">
        <v>6012</v>
      </c>
      <c r="E1072" t="s">
        <v>843</v>
      </c>
      <c r="F1072" t="s">
        <v>844</v>
      </c>
      <c r="G1072" t="s">
        <v>267</v>
      </c>
      <c r="H1072" t="s">
        <v>268</v>
      </c>
      <c r="I1072" t="s">
        <v>34</v>
      </c>
      <c r="J1072" t="s">
        <v>269</v>
      </c>
      <c r="K1072" t="s">
        <v>41</v>
      </c>
      <c r="L1072" t="s">
        <v>6013</v>
      </c>
      <c r="M1072" t="s">
        <v>6014</v>
      </c>
      <c r="N1072" t="s">
        <v>847</v>
      </c>
      <c r="O1072" t="s">
        <v>100</v>
      </c>
      <c r="P1072" t="s">
        <v>6015</v>
      </c>
      <c r="Q1072" t="s">
        <v>73</v>
      </c>
      <c r="R1072" t="s">
        <v>403</v>
      </c>
      <c r="S1072">
        <v>1.42</v>
      </c>
      <c r="T1072">
        <v>6115</v>
      </c>
      <c r="U1072">
        <v>599.79999999999995</v>
      </c>
      <c r="V1072">
        <v>6714.8</v>
      </c>
    </row>
    <row r="1073" spans="1:22" x14ac:dyDescent="0.3">
      <c r="A1073">
        <v>79452</v>
      </c>
      <c r="B1073">
        <v>136270042</v>
      </c>
      <c r="C1073" t="s">
        <v>6016</v>
      </c>
      <c r="D1073" t="s">
        <v>6017</v>
      </c>
      <c r="E1073" t="s">
        <v>843</v>
      </c>
      <c r="F1073" t="s">
        <v>844</v>
      </c>
      <c r="G1073" t="s">
        <v>267</v>
      </c>
      <c r="H1073" t="s">
        <v>268</v>
      </c>
      <c r="I1073" t="s">
        <v>34</v>
      </c>
      <c r="J1073" t="s">
        <v>269</v>
      </c>
      <c r="K1073" t="s">
        <v>41</v>
      </c>
      <c r="L1073" t="s">
        <v>6018</v>
      </c>
      <c r="M1073" t="s">
        <v>6019</v>
      </c>
      <c r="N1073" t="s">
        <v>847</v>
      </c>
      <c r="O1073" t="s">
        <v>100</v>
      </c>
      <c r="P1073" t="s">
        <v>6020</v>
      </c>
      <c r="Q1073" t="s">
        <v>73</v>
      </c>
      <c r="R1073" t="s">
        <v>759</v>
      </c>
      <c r="S1073">
        <v>1.08</v>
      </c>
      <c r="T1073">
        <v>6115</v>
      </c>
      <c r="U1073">
        <v>599.79999999999995</v>
      </c>
      <c r="V1073">
        <v>6714.8</v>
      </c>
    </row>
    <row r="1074" spans="1:22" x14ac:dyDescent="0.3">
      <c r="A1074">
        <v>79452</v>
      </c>
      <c r="B1074">
        <v>136363598</v>
      </c>
      <c r="C1074" t="s">
        <v>6021</v>
      </c>
      <c r="D1074" t="s">
        <v>6022</v>
      </c>
      <c r="E1074" t="s">
        <v>843</v>
      </c>
      <c r="F1074" t="s">
        <v>844</v>
      </c>
      <c r="G1074" t="s">
        <v>267</v>
      </c>
      <c r="H1074" t="s">
        <v>268</v>
      </c>
      <c r="I1074" t="s">
        <v>34</v>
      </c>
      <c r="J1074" t="s">
        <v>269</v>
      </c>
      <c r="K1074" t="s">
        <v>41</v>
      </c>
      <c r="L1074" t="s">
        <v>6023</v>
      </c>
      <c r="M1074" t="s">
        <v>6024</v>
      </c>
      <c r="N1074" t="s">
        <v>847</v>
      </c>
      <c r="O1074" t="s">
        <v>100</v>
      </c>
      <c r="P1074" t="s">
        <v>6025</v>
      </c>
      <c r="Q1074" t="s">
        <v>82</v>
      </c>
      <c r="R1074" t="s">
        <v>3337</v>
      </c>
      <c r="S1074">
        <v>1.1599999999999999</v>
      </c>
      <c r="T1074">
        <v>6115</v>
      </c>
      <c r="U1074">
        <v>674.8</v>
      </c>
      <c r="V1074">
        <v>6789.8</v>
      </c>
    </row>
    <row r="1075" spans="1:22" x14ac:dyDescent="0.3">
      <c r="A1075">
        <v>79452</v>
      </c>
      <c r="B1075">
        <v>136025892</v>
      </c>
      <c r="C1075" t="s">
        <v>6026</v>
      </c>
      <c r="D1075" t="s">
        <v>6027</v>
      </c>
      <c r="E1075" t="s">
        <v>843</v>
      </c>
      <c r="F1075" t="s">
        <v>844</v>
      </c>
      <c r="G1075" t="s">
        <v>267</v>
      </c>
      <c r="H1075" t="s">
        <v>268</v>
      </c>
      <c r="I1075" t="s">
        <v>34</v>
      </c>
      <c r="J1075" t="s">
        <v>269</v>
      </c>
      <c r="K1075" t="s">
        <v>41</v>
      </c>
      <c r="L1075" t="s">
        <v>6028</v>
      </c>
      <c r="M1075" t="s">
        <v>6029</v>
      </c>
      <c r="N1075" t="s">
        <v>847</v>
      </c>
      <c r="O1075" t="s">
        <v>100</v>
      </c>
      <c r="P1075" t="s">
        <v>6030</v>
      </c>
      <c r="Q1075" t="s">
        <v>201</v>
      </c>
      <c r="R1075" t="s">
        <v>403</v>
      </c>
      <c r="S1075">
        <v>1.05</v>
      </c>
      <c r="T1075">
        <v>6086</v>
      </c>
      <c r="U1075">
        <v>749.8</v>
      </c>
      <c r="V1075">
        <v>6835.8</v>
      </c>
    </row>
    <row r="1076" spans="1:22" x14ac:dyDescent="0.3">
      <c r="A1076">
        <v>79452</v>
      </c>
      <c r="B1076">
        <v>136196591</v>
      </c>
      <c r="C1076" t="s">
        <v>6031</v>
      </c>
      <c r="D1076" t="s">
        <v>6032</v>
      </c>
      <c r="E1076" t="s">
        <v>843</v>
      </c>
      <c r="F1076" t="s">
        <v>844</v>
      </c>
      <c r="G1076" t="s">
        <v>267</v>
      </c>
      <c r="H1076" t="s">
        <v>268</v>
      </c>
      <c r="I1076" t="s">
        <v>34</v>
      </c>
      <c r="J1076" t="s">
        <v>269</v>
      </c>
      <c r="K1076" t="s">
        <v>41</v>
      </c>
      <c r="L1076" t="s">
        <v>6033</v>
      </c>
      <c r="M1076" t="s">
        <v>6034</v>
      </c>
      <c r="N1076" t="s">
        <v>847</v>
      </c>
      <c r="O1076" t="s">
        <v>100</v>
      </c>
      <c r="P1076" t="s">
        <v>6035</v>
      </c>
      <c r="Q1076" t="s">
        <v>520</v>
      </c>
      <c r="R1076" t="s">
        <v>1999</v>
      </c>
      <c r="S1076">
        <v>0.25</v>
      </c>
      <c r="T1076">
        <v>6381</v>
      </c>
      <c r="U1076">
        <v>149.94999999999999</v>
      </c>
      <c r="V1076">
        <v>6530.95</v>
      </c>
    </row>
    <row r="1077" spans="1:22" x14ac:dyDescent="0.3">
      <c r="A1077">
        <v>79452</v>
      </c>
      <c r="B1077">
        <v>135554218</v>
      </c>
      <c r="C1077" t="s">
        <v>6036</v>
      </c>
      <c r="D1077" t="s">
        <v>6037</v>
      </c>
      <c r="E1077" t="s">
        <v>843</v>
      </c>
      <c r="F1077" t="s">
        <v>844</v>
      </c>
      <c r="G1077" t="s">
        <v>172</v>
      </c>
      <c r="H1077" t="s">
        <v>173</v>
      </c>
      <c r="I1077" t="s">
        <v>34</v>
      </c>
      <c r="J1077" t="s">
        <v>272</v>
      </c>
      <c r="K1077" t="s">
        <v>41</v>
      </c>
      <c r="L1077" t="s">
        <v>6038</v>
      </c>
      <c r="M1077" t="s">
        <v>6039</v>
      </c>
      <c r="N1077" t="s">
        <v>847</v>
      </c>
      <c r="O1077" t="s">
        <v>100</v>
      </c>
      <c r="P1077" t="s">
        <v>6040</v>
      </c>
      <c r="Q1077" t="s">
        <v>316</v>
      </c>
      <c r="R1077" t="s">
        <v>4496</v>
      </c>
      <c r="S1077">
        <v>1.49</v>
      </c>
      <c r="T1077">
        <v>6064</v>
      </c>
      <c r="U1077">
        <v>0</v>
      </c>
      <c r="V1077">
        <v>6064</v>
      </c>
    </row>
    <row r="1078" spans="1:22" x14ac:dyDescent="0.3">
      <c r="A1078">
        <v>79452</v>
      </c>
      <c r="B1078">
        <v>136196467</v>
      </c>
      <c r="C1078" t="s">
        <v>6041</v>
      </c>
      <c r="D1078" t="s">
        <v>6042</v>
      </c>
      <c r="E1078" t="s">
        <v>843</v>
      </c>
      <c r="F1078" t="s">
        <v>844</v>
      </c>
      <c r="G1078" t="s">
        <v>267</v>
      </c>
      <c r="H1078" t="s">
        <v>268</v>
      </c>
      <c r="I1078" t="s">
        <v>34</v>
      </c>
      <c r="J1078" t="s">
        <v>269</v>
      </c>
      <c r="K1078" t="s">
        <v>41</v>
      </c>
      <c r="L1078" t="s">
        <v>6043</v>
      </c>
      <c r="M1078" t="s">
        <v>6044</v>
      </c>
      <c r="N1078" t="s">
        <v>847</v>
      </c>
      <c r="O1078" t="s">
        <v>100</v>
      </c>
      <c r="P1078" t="s">
        <v>6045</v>
      </c>
      <c r="Q1078" t="s">
        <v>514</v>
      </c>
      <c r="R1078" t="s">
        <v>1999</v>
      </c>
      <c r="S1078">
        <v>0.44</v>
      </c>
      <c r="T1078">
        <v>6595</v>
      </c>
      <c r="U1078">
        <v>299.89999999999998</v>
      </c>
      <c r="V1078">
        <v>6894.9</v>
      </c>
    </row>
    <row r="1079" spans="1:22" x14ac:dyDescent="0.3">
      <c r="A1079">
        <v>79452</v>
      </c>
      <c r="B1079">
        <v>135902746</v>
      </c>
      <c r="C1079" t="s">
        <v>6046</v>
      </c>
      <c r="D1079" t="s">
        <v>6047</v>
      </c>
      <c r="E1079" t="s">
        <v>843</v>
      </c>
      <c r="F1079" t="s">
        <v>844</v>
      </c>
      <c r="G1079" t="s">
        <v>267</v>
      </c>
      <c r="H1079" t="s">
        <v>268</v>
      </c>
      <c r="I1079" t="s">
        <v>34</v>
      </c>
      <c r="J1079" t="s">
        <v>269</v>
      </c>
      <c r="K1079" t="s">
        <v>41</v>
      </c>
      <c r="L1079" t="s">
        <v>6048</v>
      </c>
      <c r="M1079" t="s">
        <v>6049</v>
      </c>
      <c r="N1079" t="s">
        <v>847</v>
      </c>
      <c r="O1079" t="s">
        <v>100</v>
      </c>
      <c r="P1079" t="s">
        <v>6050</v>
      </c>
      <c r="Q1079" t="s">
        <v>105</v>
      </c>
      <c r="R1079" t="s">
        <v>763</v>
      </c>
      <c r="S1079">
        <v>1.18</v>
      </c>
      <c r="T1079">
        <v>4738</v>
      </c>
      <c r="U1079">
        <v>599.79999999999995</v>
      </c>
      <c r="V1079">
        <v>5337.8</v>
      </c>
    </row>
    <row r="1080" spans="1:22" x14ac:dyDescent="0.3">
      <c r="A1080">
        <v>79452</v>
      </c>
      <c r="B1080">
        <v>135980465</v>
      </c>
      <c r="C1080" t="s">
        <v>6051</v>
      </c>
      <c r="D1080" t="s">
        <v>6052</v>
      </c>
      <c r="E1080" t="s">
        <v>843</v>
      </c>
      <c r="F1080" t="s">
        <v>844</v>
      </c>
      <c r="G1080" t="s">
        <v>267</v>
      </c>
      <c r="H1080" t="s">
        <v>268</v>
      </c>
      <c r="I1080" t="s">
        <v>34</v>
      </c>
      <c r="J1080" t="s">
        <v>269</v>
      </c>
      <c r="K1080" t="s">
        <v>41</v>
      </c>
      <c r="L1080" t="s">
        <v>6053</v>
      </c>
      <c r="M1080" t="s">
        <v>6054</v>
      </c>
      <c r="N1080" t="s">
        <v>847</v>
      </c>
      <c r="O1080" t="s">
        <v>100</v>
      </c>
      <c r="P1080" t="s">
        <v>6055</v>
      </c>
      <c r="Q1080" t="s">
        <v>73</v>
      </c>
      <c r="R1080" t="s">
        <v>398</v>
      </c>
      <c r="S1080">
        <v>1.22</v>
      </c>
      <c r="T1080">
        <v>6115</v>
      </c>
      <c r="U1080">
        <v>599.79999999999995</v>
      </c>
      <c r="V1080">
        <v>6714.8</v>
      </c>
    </row>
    <row r="1081" spans="1:22" x14ac:dyDescent="0.3">
      <c r="A1081">
        <v>79452</v>
      </c>
      <c r="B1081">
        <v>135980677</v>
      </c>
      <c r="C1081" t="s">
        <v>6056</v>
      </c>
      <c r="D1081" t="s">
        <v>6057</v>
      </c>
      <c r="E1081" t="s">
        <v>843</v>
      </c>
      <c r="F1081" t="s">
        <v>844</v>
      </c>
      <c r="G1081" t="s">
        <v>267</v>
      </c>
      <c r="H1081" t="s">
        <v>268</v>
      </c>
      <c r="I1081" t="s">
        <v>34</v>
      </c>
      <c r="J1081" t="s">
        <v>269</v>
      </c>
      <c r="K1081" t="s">
        <v>41</v>
      </c>
      <c r="L1081" t="s">
        <v>6058</v>
      </c>
      <c r="M1081" t="s">
        <v>346</v>
      </c>
      <c r="N1081" t="s">
        <v>847</v>
      </c>
      <c r="O1081" t="s">
        <v>100</v>
      </c>
      <c r="P1081" t="s">
        <v>6059</v>
      </c>
      <c r="Q1081" t="s">
        <v>262</v>
      </c>
      <c r="R1081" t="s">
        <v>3290</v>
      </c>
      <c r="S1081">
        <v>1.17</v>
      </c>
      <c r="T1081">
        <v>7337</v>
      </c>
      <c r="U1081">
        <v>624.79999999999995</v>
      </c>
      <c r="V1081">
        <v>7961.8</v>
      </c>
    </row>
    <row r="1082" spans="1:22" x14ac:dyDescent="0.3">
      <c r="A1082">
        <v>79452</v>
      </c>
      <c r="B1082">
        <v>135902593</v>
      </c>
      <c r="C1082" t="s">
        <v>6060</v>
      </c>
      <c r="D1082" t="s">
        <v>6061</v>
      </c>
      <c r="E1082" t="s">
        <v>843</v>
      </c>
      <c r="F1082" t="s">
        <v>844</v>
      </c>
      <c r="G1082" t="s">
        <v>267</v>
      </c>
      <c r="H1082" t="s">
        <v>268</v>
      </c>
      <c r="I1082" t="s">
        <v>34</v>
      </c>
      <c r="J1082" t="s">
        <v>269</v>
      </c>
      <c r="K1082" t="s">
        <v>41</v>
      </c>
      <c r="L1082" t="s">
        <v>6062</v>
      </c>
      <c r="M1082" t="s">
        <v>6063</v>
      </c>
      <c r="N1082" t="s">
        <v>847</v>
      </c>
      <c r="O1082" t="s">
        <v>100</v>
      </c>
      <c r="P1082" t="s">
        <v>6064</v>
      </c>
      <c r="Q1082" t="s">
        <v>62</v>
      </c>
      <c r="R1082" t="s">
        <v>291</v>
      </c>
      <c r="S1082">
        <v>1.57</v>
      </c>
      <c r="T1082">
        <v>8624</v>
      </c>
      <c r="U1082">
        <v>599.79999999999995</v>
      </c>
      <c r="V1082">
        <v>9223.7999999999993</v>
      </c>
    </row>
    <row r="1083" spans="1:22" x14ac:dyDescent="0.3">
      <c r="A1083">
        <v>79452</v>
      </c>
      <c r="B1083">
        <v>135980344</v>
      </c>
      <c r="C1083" t="s">
        <v>6065</v>
      </c>
      <c r="D1083" t="s">
        <v>6066</v>
      </c>
      <c r="E1083" t="s">
        <v>843</v>
      </c>
      <c r="F1083" t="s">
        <v>844</v>
      </c>
      <c r="G1083" t="s">
        <v>267</v>
      </c>
      <c r="H1083" t="s">
        <v>268</v>
      </c>
      <c r="I1083" t="s">
        <v>34</v>
      </c>
      <c r="J1083" t="s">
        <v>269</v>
      </c>
      <c r="K1083" t="s">
        <v>41</v>
      </c>
      <c r="L1083" t="s">
        <v>6067</v>
      </c>
      <c r="M1083" t="s">
        <v>6068</v>
      </c>
      <c r="N1083" t="s">
        <v>847</v>
      </c>
      <c r="O1083" t="s">
        <v>100</v>
      </c>
      <c r="P1083" t="s">
        <v>6069</v>
      </c>
      <c r="Q1083" t="s">
        <v>62</v>
      </c>
      <c r="R1083" t="s">
        <v>288</v>
      </c>
      <c r="S1083">
        <v>1.44</v>
      </c>
      <c r="T1083">
        <v>8624</v>
      </c>
      <c r="U1083">
        <v>599.79999999999995</v>
      </c>
      <c r="V1083">
        <v>9223.7999999999993</v>
      </c>
    </row>
    <row r="1084" spans="1:22" x14ac:dyDescent="0.3">
      <c r="A1084">
        <v>79452</v>
      </c>
      <c r="B1084">
        <v>135902748</v>
      </c>
      <c r="C1084" t="s">
        <v>6070</v>
      </c>
      <c r="D1084" t="s">
        <v>6071</v>
      </c>
      <c r="E1084" t="s">
        <v>843</v>
      </c>
      <c r="F1084" t="s">
        <v>844</v>
      </c>
      <c r="G1084" t="s">
        <v>267</v>
      </c>
      <c r="H1084" t="s">
        <v>268</v>
      </c>
      <c r="I1084" t="s">
        <v>34</v>
      </c>
      <c r="J1084" t="s">
        <v>269</v>
      </c>
      <c r="K1084" t="s">
        <v>41</v>
      </c>
      <c r="L1084" t="s">
        <v>6072</v>
      </c>
      <c r="M1084" t="s">
        <v>6073</v>
      </c>
      <c r="N1084" t="s">
        <v>847</v>
      </c>
      <c r="O1084" t="s">
        <v>100</v>
      </c>
      <c r="P1084" t="s">
        <v>6074</v>
      </c>
      <c r="Q1084" t="s">
        <v>62</v>
      </c>
      <c r="R1084" t="s">
        <v>763</v>
      </c>
      <c r="S1084">
        <v>0.25</v>
      </c>
      <c r="T1084">
        <v>6595</v>
      </c>
      <c r="U1084">
        <v>149.94999999999999</v>
      </c>
      <c r="V1084">
        <v>6744.95</v>
      </c>
    </row>
    <row r="1085" spans="1:22" x14ac:dyDescent="0.3">
      <c r="A1085">
        <v>79452</v>
      </c>
      <c r="B1085">
        <v>137408566</v>
      </c>
      <c r="C1085" t="s">
        <v>6075</v>
      </c>
      <c r="D1085" t="s">
        <v>6076</v>
      </c>
      <c r="E1085" t="s">
        <v>843</v>
      </c>
      <c r="F1085" t="s">
        <v>844</v>
      </c>
      <c r="G1085" t="s">
        <v>172</v>
      </c>
      <c r="H1085" t="s">
        <v>173</v>
      </c>
      <c r="I1085" t="s">
        <v>34</v>
      </c>
      <c r="J1085" t="s">
        <v>272</v>
      </c>
      <c r="K1085" t="s">
        <v>44</v>
      </c>
      <c r="L1085" t="s">
        <v>6077</v>
      </c>
      <c r="M1085" t="s">
        <v>6078</v>
      </c>
      <c r="N1085" t="s">
        <v>847</v>
      </c>
      <c r="O1085" t="s">
        <v>100</v>
      </c>
      <c r="P1085" t="s">
        <v>6079</v>
      </c>
      <c r="Q1085" t="s">
        <v>102</v>
      </c>
      <c r="R1085" t="s">
        <v>443</v>
      </c>
      <c r="S1085">
        <v>1.07</v>
      </c>
      <c r="T1085">
        <v>3915</v>
      </c>
      <c r="U1085">
        <v>0</v>
      </c>
      <c r="V1085">
        <v>3915</v>
      </c>
    </row>
    <row r="1086" spans="1:22" x14ac:dyDescent="0.3">
      <c r="A1086">
        <v>79452</v>
      </c>
      <c r="B1086">
        <v>137497893</v>
      </c>
      <c r="C1086" t="s">
        <v>6080</v>
      </c>
      <c r="D1086" t="s">
        <v>6081</v>
      </c>
      <c r="E1086" t="s">
        <v>843</v>
      </c>
      <c r="F1086" t="s">
        <v>844</v>
      </c>
      <c r="G1086" t="s">
        <v>172</v>
      </c>
      <c r="H1086" t="s">
        <v>173</v>
      </c>
      <c r="I1086" t="s">
        <v>34</v>
      </c>
      <c r="J1086" t="s">
        <v>272</v>
      </c>
      <c r="K1086" t="s">
        <v>41</v>
      </c>
      <c r="L1086" t="s">
        <v>174</v>
      </c>
      <c r="M1086" t="s">
        <v>6082</v>
      </c>
      <c r="N1086" t="s">
        <v>847</v>
      </c>
      <c r="O1086" t="s">
        <v>100</v>
      </c>
      <c r="P1086" t="s">
        <v>6083</v>
      </c>
      <c r="Q1086" t="s">
        <v>104</v>
      </c>
      <c r="R1086" t="s">
        <v>921</v>
      </c>
      <c r="S1086">
        <v>0.23</v>
      </c>
      <c r="T1086">
        <v>3776</v>
      </c>
      <c r="U1086">
        <v>0</v>
      </c>
      <c r="V1086">
        <v>3776</v>
      </c>
    </row>
    <row r="1087" spans="1:22" x14ac:dyDescent="0.3">
      <c r="A1087">
        <v>79452</v>
      </c>
      <c r="B1087">
        <v>137467328</v>
      </c>
      <c r="C1087" t="s">
        <v>6084</v>
      </c>
      <c r="D1087" t="s">
        <v>6085</v>
      </c>
      <c r="E1087" t="s">
        <v>843</v>
      </c>
      <c r="F1087" t="s">
        <v>844</v>
      </c>
      <c r="G1087" t="s">
        <v>172</v>
      </c>
      <c r="H1087" t="s">
        <v>173</v>
      </c>
      <c r="I1087" t="s">
        <v>34</v>
      </c>
      <c r="J1087" t="s">
        <v>272</v>
      </c>
      <c r="K1087" t="s">
        <v>41</v>
      </c>
      <c r="L1087" t="s">
        <v>174</v>
      </c>
      <c r="M1087" t="s">
        <v>6086</v>
      </c>
      <c r="N1087" t="s">
        <v>847</v>
      </c>
      <c r="O1087" t="s">
        <v>100</v>
      </c>
      <c r="P1087" t="s">
        <v>6087</v>
      </c>
      <c r="Q1087" t="s">
        <v>88</v>
      </c>
      <c r="R1087" t="s">
        <v>849</v>
      </c>
      <c r="S1087">
        <v>0.83</v>
      </c>
      <c r="T1087">
        <v>5992</v>
      </c>
      <c r="U1087">
        <v>0</v>
      </c>
      <c r="V1087">
        <v>5992</v>
      </c>
    </row>
    <row r="1088" spans="1:22" x14ac:dyDescent="0.3">
      <c r="A1088">
        <v>79452</v>
      </c>
      <c r="B1088">
        <v>137497921</v>
      </c>
      <c r="C1088" t="s">
        <v>6088</v>
      </c>
      <c r="D1088" t="s">
        <v>6089</v>
      </c>
      <c r="E1088" t="s">
        <v>843</v>
      </c>
      <c r="F1088" t="s">
        <v>844</v>
      </c>
      <c r="G1088" t="s">
        <v>172</v>
      </c>
      <c r="H1088" t="s">
        <v>173</v>
      </c>
      <c r="I1088" t="s">
        <v>34</v>
      </c>
      <c r="J1088" t="s">
        <v>272</v>
      </c>
      <c r="K1088" t="s">
        <v>41</v>
      </c>
      <c r="L1088" t="s">
        <v>174</v>
      </c>
      <c r="M1088" t="s">
        <v>6090</v>
      </c>
      <c r="N1088" t="s">
        <v>847</v>
      </c>
      <c r="O1088" t="s">
        <v>100</v>
      </c>
      <c r="P1088" t="s">
        <v>6091</v>
      </c>
      <c r="Q1088" t="s">
        <v>102</v>
      </c>
      <c r="R1088" t="s">
        <v>921</v>
      </c>
      <c r="S1088">
        <v>1.07</v>
      </c>
      <c r="T1088">
        <v>3915</v>
      </c>
      <c r="U1088">
        <v>0</v>
      </c>
      <c r="V1088">
        <v>3915</v>
      </c>
    </row>
    <row r="1089" spans="1:22" x14ac:dyDescent="0.3">
      <c r="A1089">
        <v>79452</v>
      </c>
      <c r="B1089">
        <v>137408490</v>
      </c>
      <c r="C1089" t="s">
        <v>6092</v>
      </c>
      <c r="D1089" t="s">
        <v>6093</v>
      </c>
      <c r="E1089" t="s">
        <v>843</v>
      </c>
      <c r="F1089" t="s">
        <v>844</v>
      </c>
      <c r="G1089" t="s">
        <v>172</v>
      </c>
      <c r="H1089" t="s">
        <v>173</v>
      </c>
      <c r="I1089" t="s">
        <v>34</v>
      </c>
      <c r="J1089" t="s">
        <v>272</v>
      </c>
      <c r="K1089" t="s">
        <v>46</v>
      </c>
      <c r="L1089" t="s">
        <v>242</v>
      </c>
      <c r="M1089" t="s">
        <v>6094</v>
      </c>
      <c r="N1089" t="s">
        <v>847</v>
      </c>
      <c r="O1089" t="s">
        <v>100</v>
      </c>
      <c r="P1089" t="s">
        <v>6095</v>
      </c>
      <c r="Q1089" t="s">
        <v>75</v>
      </c>
      <c r="R1089" t="s">
        <v>654</v>
      </c>
      <c r="S1089">
        <v>0.65</v>
      </c>
      <c r="T1089">
        <v>6125</v>
      </c>
      <c r="U1089">
        <v>0</v>
      </c>
      <c r="V1089">
        <v>6125</v>
      </c>
    </row>
    <row r="1090" spans="1:22" x14ac:dyDescent="0.3">
      <c r="A1090">
        <v>79452</v>
      </c>
      <c r="B1090">
        <v>137328359</v>
      </c>
      <c r="C1090" t="s">
        <v>6096</v>
      </c>
      <c r="D1090" t="s">
        <v>6097</v>
      </c>
      <c r="E1090" t="s">
        <v>843</v>
      </c>
      <c r="F1090" t="s">
        <v>844</v>
      </c>
      <c r="G1090" t="s">
        <v>172</v>
      </c>
      <c r="H1090" t="s">
        <v>173</v>
      </c>
      <c r="I1090" t="s">
        <v>34</v>
      </c>
      <c r="J1090" t="s">
        <v>272</v>
      </c>
      <c r="K1090" t="s">
        <v>41</v>
      </c>
      <c r="L1090" t="s">
        <v>6098</v>
      </c>
      <c r="M1090" t="s">
        <v>6099</v>
      </c>
      <c r="N1090" t="s">
        <v>847</v>
      </c>
      <c r="O1090" t="s">
        <v>100</v>
      </c>
      <c r="P1090" t="s">
        <v>6100</v>
      </c>
      <c r="Q1090" t="s">
        <v>241</v>
      </c>
      <c r="R1090" t="s">
        <v>781</v>
      </c>
      <c r="S1090">
        <v>0.55000000000000004</v>
      </c>
      <c r="T1090">
        <v>3915</v>
      </c>
      <c r="U1090">
        <v>0</v>
      </c>
      <c r="V1090">
        <v>3915</v>
      </c>
    </row>
    <row r="1091" spans="1:22" x14ac:dyDescent="0.3">
      <c r="A1091">
        <v>79452</v>
      </c>
      <c r="B1091">
        <v>137358405</v>
      </c>
      <c r="C1091" t="s">
        <v>6101</v>
      </c>
      <c r="D1091" t="s">
        <v>6102</v>
      </c>
      <c r="E1091" t="s">
        <v>843</v>
      </c>
      <c r="F1091" t="s">
        <v>844</v>
      </c>
      <c r="G1091" t="s">
        <v>172</v>
      </c>
      <c r="H1091" t="s">
        <v>173</v>
      </c>
      <c r="I1091" t="s">
        <v>34</v>
      </c>
      <c r="J1091" t="s">
        <v>272</v>
      </c>
      <c r="K1091" t="s">
        <v>41</v>
      </c>
      <c r="L1091" t="s">
        <v>6103</v>
      </c>
      <c r="M1091" t="s">
        <v>6104</v>
      </c>
      <c r="N1091" t="s">
        <v>847</v>
      </c>
      <c r="O1091" t="s">
        <v>100</v>
      </c>
      <c r="P1091" t="s">
        <v>6105</v>
      </c>
      <c r="Q1091" t="s">
        <v>86</v>
      </c>
      <c r="R1091" t="s">
        <v>872</v>
      </c>
      <c r="S1091">
        <v>1.59</v>
      </c>
      <c r="T1091">
        <v>6800</v>
      </c>
      <c r="U1091">
        <v>0</v>
      </c>
      <c r="V1091">
        <v>6800</v>
      </c>
    </row>
    <row r="1092" spans="1:22" x14ac:dyDescent="0.3">
      <c r="A1092">
        <v>79452</v>
      </c>
      <c r="B1092">
        <v>137289721</v>
      </c>
      <c r="C1092" t="s">
        <v>6106</v>
      </c>
      <c r="D1092" t="s">
        <v>6107</v>
      </c>
      <c r="E1092" t="s">
        <v>843</v>
      </c>
      <c r="F1092" t="s">
        <v>844</v>
      </c>
      <c r="G1092" t="s">
        <v>172</v>
      </c>
      <c r="H1092" t="s">
        <v>173</v>
      </c>
      <c r="I1092" t="s">
        <v>34</v>
      </c>
      <c r="J1092" t="s">
        <v>272</v>
      </c>
      <c r="K1092" t="s">
        <v>41</v>
      </c>
      <c r="L1092" t="s">
        <v>174</v>
      </c>
      <c r="M1092" t="s">
        <v>6108</v>
      </c>
      <c r="N1092" t="s">
        <v>847</v>
      </c>
      <c r="O1092" t="s">
        <v>100</v>
      </c>
      <c r="P1092" t="s">
        <v>6109</v>
      </c>
      <c r="Q1092" t="s">
        <v>401</v>
      </c>
      <c r="R1092" t="s">
        <v>900</v>
      </c>
      <c r="S1092">
        <v>1.69</v>
      </c>
      <c r="T1092">
        <v>7015</v>
      </c>
      <c r="U1092">
        <v>0</v>
      </c>
      <c r="V1092">
        <v>7015</v>
      </c>
    </row>
    <row r="1093" spans="1:22" x14ac:dyDescent="0.3">
      <c r="A1093">
        <v>79452</v>
      </c>
      <c r="B1093">
        <v>137203674</v>
      </c>
      <c r="C1093" t="s">
        <v>6110</v>
      </c>
      <c r="D1093" t="s">
        <v>6111</v>
      </c>
      <c r="E1093" t="s">
        <v>843</v>
      </c>
      <c r="F1093" t="s">
        <v>844</v>
      </c>
      <c r="G1093" t="s">
        <v>172</v>
      </c>
      <c r="H1093" t="s">
        <v>173</v>
      </c>
      <c r="I1093" t="s">
        <v>34</v>
      </c>
      <c r="J1093" t="s">
        <v>272</v>
      </c>
      <c r="K1093" t="s">
        <v>41</v>
      </c>
      <c r="L1093" t="s">
        <v>174</v>
      </c>
      <c r="M1093" t="s">
        <v>6112</v>
      </c>
      <c r="N1093" t="s">
        <v>847</v>
      </c>
      <c r="O1093" t="s">
        <v>100</v>
      </c>
      <c r="P1093" t="s">
        <v>6113</v>
      </c>
      <c r="Q1093" t="s">
        <v>115</v>
      </c>
      <c r="R1093" t="s">
        <v>449</v>
      </c>
      <c r="S1093">
        <v>0.53</v>
      </c>
      <c r="T1093">
        <v>5910</v>
      </c>
      <c r="U1093">
        <v>0</v>
      </c>
      <c r="V1093">
        <v>5910</v>
      </c>
    </row>
    <row r="1094" spans="1:22" x14ac:dyDescent="0.3">
      <c r="A1094">
        <v>79452</v>
      </c>
      <c r="B1094">
        <v>137467554</v>
      </c>
      <c r="C1094" t="s">
        <v>6114</v>
      </c>
      <c r="D1094" t="s">
        <v>6115</v>
      </c>
      <c r="E1094" t="s">
        <v>843</v>
      </c>
      <c r="F1094" t="s">
        <v>844</v>
      </c>
      <c r="G1094" t="s">
        <v>172</v>
      </c>
      <c r="H1094" t="s">
        <v>173</v>
      </c>
      <c r="I1094" t="s">
        <v>34</v>
      </c>
      <c r="J1094" t="s">
        <v>272</v>
      </c>
      <c r="K1094" t="s">
        <v>41</v>
      </c>
      <c r="L1094" t="s">
        <v>174</v>
      </c>
      <c r="M1094" t="s">
        <v>6116</v>
      </c>
      <c r="N1094" t="s">
        <v>847</v>
      </c>
      <c r="O1094" t="s">
        <v>100</v>
      </c>
      <c r="P1094" t="s">
        <v>6117</v>
      </c>
      <c r="Q1094" t="s">
        <v>104</v>
      </c>
      <c r="R1094" t="s">
        <v>515</v>
      </c>
      <c r="S1094">
        <v>0.68</v>
      </c>
      <c r="T1094">
        <v>3915</v>
      </c>
      <c r="U1094">
        <v>0</v>
      </c>
      <c r="V1094">
        <v>3915</v>
      </c>
    </row>
    <row r="1095" spans="1:22" x14ac:dyDescent="0.3">
      <c r="A1095">
        <v>79452</v>
      </c>
      <c r="B1095">
        <v>137512641</v>
      </c>
      <c r="C1095" t="s">
        <v>6118</v>
      </c>
      <c r="D1095" t="s">
        <v>6119</v>
      </c>
      <c r="E1095" t="s">
        <v>843</v>
      </c>
      <c r="F1095" t="s">
        <v>844</v>
      </c>
      <c r="G1095" t="s">
        <v>172</v>
      </c>
      <c r="H1095" t="s">
        <v>173</v>
      </c>
      <c r="I1095" t="s">
        <v>34</v>
      </c>
      <c r="J1095" t="s">
        <v>272</v>
      </c>
      <c r="K1095" t="s">
        <v>41</v>
      </c>
      <c r="L1095" t="s">
        <v>174</v>
      </c>
      <c r="M1095" t="s">
        <v>6120</v>
      </c>
      <c r="N1095" t="s">
        <v>847</v>
      </c>
      <c r="O1095" t="s">
        <v>100</v>
      </c>
      <c r="P1095" t="s">
        <v>6121</v>
      </c>
      <c r="Q1095" t="s">
        <v>103</v>
      </c>
      <c r="R1095" t="s">
        <v>1049</v>
      </c>
      <c r="S1095">
        <v>0.45</v>
      </c>
      <c r="T1095">
        <v>3776</v>
      </c>
      <c r="U1095">
        <v>0</v>
      </c>
      <c r="V1095">
        <v>3776</v>
      </c>
    </row>
    <row r="1096" spans="1:22" x14ac:dyDescent="0.3">
      <c r="A1096">
        <v>79452</v>
      </c>
      <c r="B1096">
        <v>137467491</v>
      </c>
      <c r="C1096" t="s">
        <v>6122</v>
      </c>
      <c r="D1096" t="s">
        <v>6123</v>
      </c>
      <c r="E1096" t="s">
        <v>843</v>
      </c>
      <c r="F1096" t="s">
        <v>844</v>
      </c>
      <c r="G1096" t="s">
        <v>172</v>
      </c>
      <c r="H1096" t="s">
        <v>173</v>
      </c>
      <c r="I1096" t="s">
        <v>34</v>
      </c>
      <c r="J1096" t="s">
        <v>272</v>
      </c>
      <c r="K1096" t="s">
        <v>46</v>
      </c>
      <c r="L1096" t="s">
        <v>242</v>
      </c>
      <c r="M1096" t="s">
        <v>6124</v>
      </c>
      <c r="N1096" t="s">
        <v>847</v>
      </c>
      <c r="O1096" t="s">
        <v>100</v>
      </c>
      <c r="P1096" t="s">
        <v>6125</v>
      </c>
      <c r="Q1096" t="s">
        <v>102</v>
      </c>
      <c r="R1096" t="s">
        <v>1025</v>
      </c>
      <c r="S1096">
        <v>0.32</v>
      </c>
      <c r="T1096">
        <v>3776</v>
      </c>
      <c r="U1096">
        <v>0</v>
      </c>
      <c r="V1096">
        <v>3776</v>
      </c>
    </row>
    <row r="1097" spans="1:22" x14ac:dyDescent="0.3">
      <c r="A1097">
        <v>79452</v>
      </c>
      <c r="B1097">
        <v>137328337</v>
      </c>
      <c r="C1097" t="s">
        <v>6126</v>
      </c>
      <c r="D1097" t="s">
        <v>6127</v>
      </c>
      <c r="E1097" t="s">
        <v>843</v>
      </c>
      <c r="F1097" t="s">
        <v>844</v>
      </c>
      <c r="G1097" t="s">
        <v>172</v>
      </c>
      <c r="H1097" t="s">
        <v>173</v>
      </c>
      <c r="I1097" t="s">
        <v>34</v>
      </c>
      <c r="J1097" t="s">
        <v>272</v>
      </c>
      <c r="K1097" t="s">
        <v>41</v>
      </c>
      <c r="L1097" t="s">
        <v>6128</v>
      </c>
      <c r="M1097" t="s">
        <v>504</v>
      </c>
      <c r="N1097" t="s">
        <v>847</v>
      </c>
      <c r="O1097" t="s">
        <v>100</v>
      </c>
      <c r="P1097" t="s">
        <v>6129</v>
      </c>
      <c r="Q1097" t="s">
        <v>102</v>
      </c>
      <c r="R1097" t="s">
        <v>781</v>
      </c>
      <c r="S1097">
        <v>0.28000000000000003</v>
      </c>
      <c r="T1097">
        <v>3776</v>
      </c>
      <c r="U1097">
        <v>0</v>
      </c>
      <c r="V1097">
        <v>3776</v>
      </c>
    </row>
    <row r="1098" spans="1:22" x14ac:dyDescent="0.3">
      <c r="A1098">
        <v>79452</v>
      </c>
      <c r="B1098">
        <v>137408567</v>
      </c>
      <c r="C1098" t="s">
        <v>6130</v>
      </c>
      <c r="D1098" t="s">
        <v>6131</v>
      </c>
      <c r="E1098" t="s">
        <v>843</v>
      </c>
      <c r="F1098" t="s">
        <v>844</v>
      </c>
      <c r="G1098" t="s">
        <v>172</v>
      </c>
      <c r="H1098" t="s">
        <v>173</v>
      </c>
      <c r="I1098" t="s">
        <v>34</v>
      </c>
      <c r="J1098" t="s">
        <v>272</v>
      </c>
      <c r="K1098" t="s">
        <v>44</v>
      </c>
      <c r="L1098" t="s">
        <v>6132</v>
      </c>
      <c r="M1098" t="s">
        <v>6133</v>
      </c>
      <c r="N1098" t="s">
        <v>847</v>
      </c>
      <c r="O1098" t="s">
        <v>100</v>
      </c>
      <c r="P1098" t="s">
        <v>6134</v>
      </c>
      <c r="Q1098" t="s">
        <v>189</v>
      </c>
      <c r="R1098" t="s">
        <v>443</v>
      </c>
      <c r="S1098">
        <v>0.38</v>
      </c>
      <c r="T1098">
        <v>3776</v>
      </c>
      <c r="U1098">
        <v>0</v>
      </c>
      <c r="V1098">
        <v>3776</v>
      </c>
    </row>
    <row r="1099" spans="1:22" x14ac:dyDescent="0.3">
      <c r="A1099">
        <v>79452</v>
      </c>
      <c r="B1099">
        <v>137408537</v>
      </c>
      <c r="C1099" t="s">
        <v>6135</v>
      </c>
      <c r="D1099" t="s">
        <v>6136</v>
      </c>
      <c r="E1099" t="s">
        <v>843</v>
      </c>
      <c r="F1099" t="s">
        <v>844</v>
      </c>
      <c r="G1099" t="s">
        <v>172</v>
      </c>
      <c r="H1099" t="s">
        <v>173</v>
      </c>
      <c r="I1099" t="s">
        <v>34</v>
      </c>
      <c r="J1099" t="s">
        <v>272</v>
      </c>
      <c r="K1099" t="s">
        <v>44</v>
      </c>
      <c r="L1099" t="s">
        <v>6137</v>
      </c>
      <c r="M1099" t="s">
        <v>6138</v>
      </c>
      <c r="N1099" t="s">
        <v>847</v>
      </c>
      <c r="O1099" t="s">
        <v>100</v>
      </c>
      <c r="P1099" t="s">
        <v>6139</v>
      </c>
      <c r="Q1099" t="s">
        <v>241</v>
      </c>
      <c r="R1099" t="s">
        <v>443</v>
      </c>
      <c r="S1099">
        <v>0.32</v>
      </c>
      <c r="T1099">
        <v>3776</v>
      </c>
      <c r="U1099">
        <v>0</v>
      </c>
      <c r="V1099">
        <v>3776</v>
      </c>
    </row>
    <row r="1100" spans="1:22" x14ac:dyDescent="0.3">
      <c r="A1100">
        <v>79452</v>
      </c>
      <c r="B1100">
        <v>137467623</v>
      </c>
      <c r="C1100" t="s">
        <v>6140</v>
      </c>
      <c r="D1100" t="s">
        <v>6141</v>
      </c>
      <c r="E1100" t="s">
        <v>843</v>
      </c>
      <c r="F1100" t="s">
        <v>844</v>
      </c>
      <c r="G1100" t="s">
        <v>172</v>
      </c>
      <c r="H1100" t="s">
        <v>173</v>
      </c>
      <c r="I1100" t="s">
        <v>34</v>
      </c>
      <c r="J1100" t="s">
        <v>272</v>
      </c>
      <c r="K1100" t="s">
        <v>44</v>
      </c>
      <c r="L1100" t="s">
        <v>6142</v>
      </c>
      <c r="M1100" t="s">
        <v>6143</v>
      </c>
      <c r="N1100" t="s">
        <v>847</v>
      </c>
      <c r="O1100" t="s">
        <v>100</v>
      </c>
      <c r="P1100" t="s">
        <v>6144</v>
      </c>
      <c r="Q1100" t="s">
        <v>113</v>
      </c>
      <c r="R1100" t="s">
        <v>515</v>
      </c>
      <c r="S1100">
        <v>0.25</v>
      </c>
      <c r="T1100">
        <v>5601</v>
      </c>
      <c r="U1100">
        <v>0</v>
      </c>
      <c r="V1100">
        <v>5601</v>
      </c>
    </row>
    <row r="1101" spans="1:22" x14ac:dyDescent="0.3">
      <c r="A1101">
        <v>79452</v>
      </c>
      <c r="B1101">
        <v>137328349</v>
      </c>
      <c r="C1101" t="s">
        <v>6145</v>
      </c>
      <c r="D1101" t="s">
        <v>6146</v>
      </c>
      <c r="E1101" t="s">
        <v>843</v>
      </c>
      <c r="F1101" t="s">
        <v>844</v>
      </c>
      <c r="G1101" t="s">
        <v>172</v>
      </c>
      <c r="H1101" t="s">
        <v>173</v>
      </c>
      <c r="I1101" t="s">
        <v>34</v>
      </c>
      <c r="J1101" t="s">
        <v>272</v>
      </c>
      <c r="K1101" t="s">
        <v>41</v>
      </c>
      <c r="L1101" t="s">
        <v>6147</v>
      </c>
      <c r="M1101" t="s">
        <v>6148</v>
      </c>
      <c r="N1101" t="s">
        <v>847</v>
      </c>
      <c r="O1101" t="s">
        <v>100</v>
      </c>
      <c r="P1101" t="s">
        <v>6149</v>
      </c>
      <c r="Q1101" t="s">
        <v>116</v>
      </c>
      <c r="R1101" t="s">
        <v>781</v>
      </c>
      <c r="S1101">
        <v>1.04</v>
      </c>
      <c r="T1101">
        <v>3915</v>
      </c>
      <c r="U1101">
        <v>0</v>
      </c>
      <c r="V1101">
        <v>3915</v>
      </c>
    </row>
    <row r="1102" spans="1:22" x14ac:dyDescent="0.3">
      <c r="A1102">
        <v>79452</v>
      </c>
      <c r="B1102">
        <v>137289819</v>
      </c>
      <c r="C1102" t="s">
        <v>6150</v>
      </c>
      <c r="D1102" t="s">
        <v>6151</v>
      </c>
      <c r="E1102" t="s">
        <v>843</v>
      </c>
      <c r="F1102" t="s">
        <v>844</v>
      </c>
      <c r="G1102" t="s">
        <v>172</v>
      </c>
      <c r="H1102" t="s">
        <v>173</v>
      </c>
      <c r="I1102" t="s">
        <v>34</v>
      </c>
      <c r="J1102" t="s">
        <v>272</v>
      </c>
      <c r="K1102" t="s">
        <v>41</v>
      </c>
      <c r="L1102" t="s">
        <v>6152</v>
      </c>
      <c r="M1102" t="s">
        <v>6153</v>
      </c>
      <c r="N1102" t="s">
        <v>847</v>
      </c>
      <c r="O1102" t="s">
        <v>100</v>
      </c>
      <c r="P1102" t="s">
        <v>6154</v>
      </c>
      <c r="Q1102" t="s">
        <v>104</v>
      </c>
      <c r="R1102" t="s">
        <v>900</v>
      </c>
      <c r="S1102">
        <v>0.66</v>
      </c>
      <c r="T1102">
        <v>3915</v>
      </c>
      <c r="U1102">
        <v>0</v>
      </c>
      <c r="V1102">
        <v>3915</v>
      </c>
    </row>
    <row r="1103" spans="1:22" x14ac:dyDescent="0.3">
      <c r="A1103">
        <v>79452</v>
      </c>
      <c r="B1103">
        <v>137408503</v>
      </c>
      <c r="C1103" t="s">
        <v>6155</v>
      </c>
      <c r="D1103" t="s">
        <v>6156</v>
      </c>
      <c r="E1103" t="s">
        <v>843</v>
      </c>
      <c r="F1103" t="s">
        <v>844</v>
      </c>
      <c r="G1103" t="s">
        <v>172</v>
      </c>
      <c r="H1103" t="s">
        <v>173</v>
      </c>
      <c r="I1103" t="s">
        <v>34</v>
      </c>
      <c r="J1103" t="s">
        <v>272</v>
      </c>
      <c r="K1103" t="s">
        <v>41</v>
      </c>
      <c r="L1103" t="s">
        <v>174</v>
      </c>
      <c r="M1103" t="s">
        <v>6157</v>
      </c>
      <c r="N1103" t="s">
        <v>847</v>
      </c>
      <c r="O1103" t="s">
        <v>100</v>
      </c>
      <c r="P1103" t="s">
        <v>6158</v>
      </c>
      <c r="Q1103" t="s">
        <v>401</v>
      </c>
      <c r="R1103" t="s">
        <v>654</v>
      </c>
      <c r="S1103">
        <v>1.99</v>
      </c>
      <c r="T1103">
        <v>7015</v>
      </c>
      <c r="U1103">
        <v>0</v>
      </c>
      <c r="V1103">
        <v>7015</v>
      </c>
    </row>
    <row r="1104" spans="1:22" x14ac:dyDescent="0.3">
      <c r="A1104">
        <v>79452</v>
      </c>
      <c r="B1104">
        <v>137289821</v>
      </c>
      <c r="C1104" t="s">
        <v>6159</v>
      </c>
      <c r="D1104" t="s">
        <v>6160</v>
      </c>
      <c r="E1104" t="s">
        <v>843</v>
      </c>
      <c r="F1104" t="s">
        <v>844</v>
      </c>
      <c r="G1104" t="s">
        <v>172</v>
      </c>
      <c r="H1104" t="s">
        <v>173</v>
      </c>
      <c r="I1104" t="s">
        <v>34</v>
      </c>
      <c r="J1104" t="s">
        <v>272</v>
      </c>
      <c r="K1104" t="s">
        <v>44</v>
      </c>
      <c r="L1104" t="s">
        <v>6161</v>
      </c>
      <c r="M1104" t="s">
        <v>6162</v>
      </c>
      <c r="N1104" t="s">
        <v>847</v>
      </c>
      <c r="O1104" t="s">
        <v>100</v>
      </c>
      <c r="P1104" t="s">
        <v>6163</v>
      </c>
      <c r="Q1104" t="s">
        <v>107</v>
      </c>
      <c r="R1104" t="s">
        <v>900</v>
      </c>
      <c r="S1104">
        <v>0.26</v>
      </c>
      <c r="T1104">
        <v>3776</v>
      </c>
      <c r="U1104">
        <v>0</v>
      </c>
      <c r="V1104">
        <v>3776</v>
      </c>
    </row>
    <row r="1105" spans="1:22" x14ac:dyDescent="0.3">
      <c r="A1105">
        <v>79452</v>
      </c>
      <c r="B1105">
        <v>137389634</v>
      </c>
      <c r="C1105" t="s">
        <v>6164</v>
      </c>
      <c r="D1105" t="s">
        <v>6165</v>
      </c>
      <c r="E1105" t="s">
        <v>843</v>
      </c>
      <c r="F1105" t="s">
        <v>844</v>
      </c>
      <c r="G1105" t="s">
        <v>172</v>
      </c>
      <c r="H1105" t="s">
        <v>173</v>
      </c>
      <c r="I1105" t="s">
        <v>34</v>
      </c>
      <c r="J1105" t="s">
        <v>272</v>
      </c>
      <c r="K1105" t="s">
        <v>44</v>
      </c>
      <c r="L1105" t="s">
        <v>6166</v>
      </c>
      <c r="M1105" t="s">
        <v>6167</v>
      </c>
      <c r="N1105" t="s">
        <v>847</v>
      </c>
      <c r="O1105" t="s">
        <v>100</v>
      </c>
      <c r="P1105" t="s">
        <v>6168</v>
      </c>
      <c r="Q1105" t="s">
        <v>106</v>
      </c>
      <c r="R1105" t="s">
        <v>855</v>
      </c>
      <c r="S1105">
        <v>0.31</v>
      </c>
      <c r="T1105">
        <v>3776</v>
      </c>
      <c r="U1105">
        <v>0</v>
      </c>
      <c r="V1105">
        <v>3776</v>
      </c>
    </row>
    <row r="1106" spans="1:22" x14ac:dyDescent="0.3">
      <c r="A1106">
        <v>79452</v>
      </c>
      <c r="B1106">
        <v>137408487</v>
      </c>
      <c r="C1106" t="s">
        <v>6169</v>
      </c>
      <c r="D1106" t="s">
        <v>6170</v>
      </c>
      <c r="E1106" t="s">
        <v>843</v>
      </c>
      <c r="F1106" t="s">
        <v>844</v>
      </c>
      <c r="G1106" t="s">
        <v>172</v>
      </c>
      <c r="H1106" t="s">
        <v>173</v>
      </c>
      <c r="I1106" t="s">
        <v>34</v>
      </c>
      <c r="J1106" t="s">
        <v>272</v>
      </c>
      <c r="K1106" t="s">
        <v>41</v>
      </c>
      <c r="L1106" t="s">
        <v>6171</v>
      </c>
      <c r="M1106" t="s">
        <v>6172</v>
      </c>
      <c r="N1106" t="s">
        <v>847</v>
      </c>
      <c r="O1106" t="s">
        <v>100</v>
      </c>
      <c r="P1106" t="s">
        <v>6173</v>
      </c>
      <c r="Q1106" t="s">
        <v>175</v>
      </c>
      <c r="R1106" t="s">
        <v>654</v>
      </c>
      <c r="S1106">
        <v>0.62</v>
      </c>
      <c r="T1106">
        <v>6381</v>
      </c>
      <c r="U1106">
        <v>0</v>
      </c>
      <c r="V1106">
        <v>6381</v>
      </c>
    </row>
    <row r="1107" spans="1:22" x14ac:dyDescent="0.3">
      <c r="A1107">
        <v>79452</v>
      </c>
      <c r="B1107">
        <v>137467348</v>
      </c>
      <c r="C1107" t="s">
        <v>6174</v>
      </c>
      <c r="D1107" t="s">
        <v>6175</v>
      </c>
      <c r="E1107" t="s">
        <v>843</v>
      </c>
      <c r="F1107" t="s">
        <v>844</v>
      </c>
      <c r="G1107" t="s">
        <v>172</v>
      </c>
      <c r="H1107" t="s">
        <v>173</v>
      </c>
      <c r="I1107" t="s">
        <v>34</v>
      </c>
      <c r="J1107" t="s">
        <v>272</v>
      </c>
      <c r="K1107" t="s">
        <v>41</v>
      </c>
      <c r="L1107" t="s">
        <v>174</v>
      </c>
      <c r="M1107" t="s">
        <v>6176</v>
      </c>
      <c r="N1107" t="s">
        <v>847</v>
      </c>
      <c r="O1107" t="s">
        <v>100</v>
      </c>
      <c r="P1107" t="s">
        <v>6177</v>
      </c>
      <c r="Q1107" t="s">
        <v>86</v>
      </c>
      <c r="R1107" t="s">
        <v>849</v>
      </c>
      <c r="S1107">
        <v>0.84</v>
      </c>
      <c r="T1107">
        <v>5992</v>
      </c>
      <c r="U1107">
        <v>0</v>
      </c>
      <c r="V1107">
        <v>5992</v>
      </c>
    </row>
    <row r="1108" spans="1:22" x14ac:dyDescent="0.3">
      <c r="A1108">
        <v>79452</v>
      </c>
      <c r="B1108">
        <v>137408510</v>
      </c>
      <c r="C1108" t="s">
        <v>6178</v>
      </c>
      <c r="D1108" t="s">
        <v>6179</v>
      </c>
      <c r="E1108" t="s">
        <v>843</v>
      </c>
      <c r="F1108" t="s">
        <v>844</v>
      </c>
      <c r="G1108" t="s">
        <v>172</v>
      </c>
      <c r="H1108" t="s">
        <v>173</v>
      </c>
      <c r="I1108" t="s">
        <v>34</v>
      </c>
      <c r="J1108" t="s">
        <v>272</v>
      </c>
      <c r="K1108" t="s">
        <v>41</v>
      </c>
      <c r="L1108" t="s">
        <v>174</v>
      </c>
      <c r="M1108" t="s">
        <v>6180</v>
      </c>
      <c r="N1108" t="s">
        <v>847</v>
      </c>
      <c r="O1108" t="s">
        <v>100</v>
      </c>
      <c r="P1108" t="s">
        <v>6181</v>
      </c>
      <c r="Q1108" t="s">
        <v>175</v>
      </c>
      <c r="R1108" t="s">
        <v>443</v>
      </c>
      <c r="S1108">
        <v>0.34</v>
      </c>
      <c r="T1108">
        <v>5964</v>
      </c>
      <c r="U1108">
        <v>0</v>
      </c>
      <c r="V1108">
        <v>5964</v>
      </c>
    </row>
    <row r="1109" spans="1:22" x14ac:dyDescent="0.3">
      <c r="A1109">
        <v>79452</v>
      </c>
      <c r="B1109">
        <v>137467410</v>
      </c>
      <c r="C1109" t="s">
        <v>6182</v>
      </c>
      <c r="D1109" t="s">
        <v>6183</v>
      </c>
      <c r="E1109" t="s">
        <v>843</v>
      </c>
      <c r="F1109" t="s">
        <v>844</v>
      </c>
      <c r="G1109" t="s">
        <v>172</v>
      </c>
      <c r="H1109" t="s">
        <v>173</v>
      </c>
      <c r="I1109" t="s">
        <v>34</v>
      </c>
      <c r="J1109" t="s">
        <v>272</v>
      </c>
      <c r="K1109" t="s">
        <v>46</v>
      </c>
      <c r="L1109" t="s">
        <v>242</v>
      </c>
      <c r="M1109" t="s">
        <v>6184</v>
      </c>
      <c r="N1109" t="s">
        <v>847</v>
      </c>
      <c r="O1109" t="s">
        <v>100</v>
      </c>
      <c r="P1109" t="s">
        <v>6185</v>
      </c>
      <c r="Q1109" t="s">
        <v>75</v>
      </c>
      <c r="R1109" t="s">
        <v>849</v>
      </c>
      <c r="S1109">
        <v>0.7</v>
      </c>
      <c r="T1109">
        <v>6125</v>
      </c>
      <c r="U1109">
        <v>0</v>
      </c>
      <c r="V1109">
        <v>6125</v>
      </c>
    </row>
    <row r="1110" spans="1:22" x14ac:dyDescent="0.3">
      <c r="A1110">
        <v>79452</v>
      </c>
      <c r="B1110">
        <v>137084241</v>
      </c>
      <c r="C1110" t="s">
        <v>6186</v>
      </c>
      <c r="D1110" t="s">
        <v>6187</v>
      </c>
      <c r="E1110" t="s">
        <v>843</v>
      </c>
      <c r="F1110" t="s">
        <v>844</v>
      </c>
      <c r="G1110" t="s">
        <v>172</v>
      </c>
      <c r="H1110" t="s">
        <v>173</v>
      </c>
      <c r="I1110" t="s">
        <v>34</v>
      </c>
      <c r="J1110" t="s">
        <v>272</v>
      </c>
      <c r="K1110" t="s">
        <v>41</v>
      </c>
      <c r="L1110" t="s">
        <v>174</v>
      </c>
      <c r="M1110" t="s">
        <v>6188</v>
      </c>
      <c r="N1110" t="s">
        <v>847</v>
      </c>
      <c r="O1110" t="s">
        <v>100</v>
      </c>
      <c r="P1110" t="s">
        <v>6189</v>
      </c>
      <c r="Q1110" t="s">
        <v>103</v>
      </c>
      <c r="R1110" t="s">
        <v>460</v>
      </c>
      <c r="S1110">
        <v>0.66</v>
      </c>
      <c r="T1110">
        <v>3915</v>
      </c>
      <c r="U1110">
        <v>0</v>
      </c>
      <c r="V1110">
        <v>3915</v>
      </c>
    </row>
    <row r="1111" spans="1:22" x14ac:dyDescent="0.3">
      <c r="A1111">
        <v>79452</v>
      </c>
      <c r="B1111">
        <v>137328294</v>
      </c>
      <c r="C1111" t="s">
        <v>6190</v>
      </c>
      <c r="D1111" t="s">
        <v>6191</v>
      </c>
      <c r="E1111" t="s">
        <v>843</v>
      </c>
      <c r="F1111" t="s">
        <v>844</v>
      </c>
      <c r="G1111" t="s">
        <v>172</v>
      </c>
      <c r="H1111" t="s">
        <v>173</v>
      </c>
      <c r="I1111" t="s">
        <v>34</v>
      </c>
      <c r="J1111" t="s">
        <v>272</v>
      </c>
      <c r="K1111" t="s">
        <v>41</v>
      </c>
      <c r="L1111" t="s">
        <v>6192</v>
      </c>
      <c r="M1111" t="s">
        <v>6193</v>
      </c>
      <c r="N1111" t="s">
        <v>847</v>
      </c>
      <c r="O1111" t="s">
        <v>100</v>
      </c>
      <c r="P1111" t="s">
        <v>6194</v>
      </c>
      <c r="Q1111" t="s">
        <v>107</v>
      </c>
      <c r="R1111" t="s">
        <v>781</v>
      </c>
      <c r="S1111">
        <v>0.22</v>
      </c>
      <c r="T1111">
        <v>3776</v>
      </c>
      <c r="U1111">
        <v>0</v>
      </c>
      <c r="V1111">
        <v>3776</v>
      </c>
    </row>
    <row r="1112" spans="1:22" x14ac:dyDescent="0.3">
      <c r="A1112">
        <v>79452</v>
      </c>
      <c r="B1112">
        <v>137328320</v>
      </c>
      <c r="C1112" t="s">
        <v>6195</v>
      </c>
      <c r="D1112" t="s">
        <v>6196</v>
      </c>
      <c r="E1112" t="s">
        <v>843</v>
      </c>
      <c r="F1112" t="s">
        <v>844</v>
      </c>
      <c r="G1112" t="s">
        <v>172</v>
      </c>
      <c r="H1112" t="s">
        <v>173</v>
      </c>
      <c r="I1112" t="s">
        <v>34</v>
      </c>
      <c r="J1112" t="s">
        <v>272</v>
      </c>
      <c r="K1112" t="s">
        <v>41</v>
      </c>
      <c r="L1112" t="s">
        <v>6197</v>
      </c>
      <c r="M1112" t="s">
        <v>626</v>
      </c>
      <c r="N1112" t="s">
        <v>847</v>
      </c>
      <c r="O1112" t="s">
        <v>100</v>
      </c>
      <c r="P1112" t="s">
        <v>6198</v>
      </c>
      <c r="Q1112" t="s">
        <v>112</v>
      </c>
      <c r="R1112" t="s">
        <v>781</v>
      </c>
      <c r="S1112">
        <v>0.26</v>
      </c>
      <c r="T1112">
        <v>5964</v>
      </c>
      <c r="U1112">
        <v>0</v>
      </c>
      <c r="V1112">
        <v>5964</v>
      </c>
    </row>
    <row r="1113" spans="1:22" x14ac:dyDescent="0.3">
      <c r="A1113">
        <v>79452</v>
      </c>
      <c r="B1113">
        <v>137358342</v>
      </c>
      <c r="C1113" t="s">
        <v>6199</v>
      </c>
      <c r="D1113" t="s">
        <v>6200</v>
      </c>
      <c r="E1113" t="s">
        <v>843</v>
      </c>
      <c r="F1113" t="s">
        <v>844</v>
      </c>
      <c r="G1113" t="s">
        <v>172</v>
      </c>
      <c r="H1113" t="s">
        <v>173</v>
      </c>
      <c r="I1113" t="s">
        <v>34</v>
      </c>
      <c r="J1113" t="s">
        <v>272</v>
      </c>
      <c r="K1113" t="s">
        <v>41</v>
      </c>
      <c r="L1113" t="s">
        <v>6201</v>
      </c>
      <c r="M1113" t="s">
        <v>6202</v>
      </c>
      <c r="N1113" t="s">
        <v>847</v>
      </c>
      <c r="O1113" t="s">
        <v>100</v>
      </c>
      <c r="P1113" t="s">
        <v>6203</v>
      </c>
      <c r="Q1113" t="s">
        <v>104</v>
      </c>
      <c r="R1113" t="s">
        <v>321</v>
      </c>
      <c r="S1113">
        <v>0.56000000000000005</v>
      </c>
      <c r="T1113">
        <v>3915</v>
      </c>
      <c r="U1113">
        <v>0</v>
      </c>
      <c r="V1113">
        <v>3915</v>
      </c>
    </row>
    <row r="1114" spans="1:22" x14ac:dyDescent="0.3">
      <c r="A1114">
        <v>79452</v>
      </c>
      <c r="B1114">
        <v>137358359</v>
      </c>
      <c r="C1114" t="s">
        <v>6204</v>
      </c>
      <c r="D1114" t="s">
        <v>6205</v>
      </c>
      <c r="E1114" t="s">
        <v>843</v>
      </c>
      <c r="F1114" t="s">
        <v>844</v>
      </c>
      <c r="G1114" t="s">
        <v>172</v>
      </c>
      <c r="H1114" t="s">
        <v>173</v>
      </c>
      <c r="I1114" t="s">
        <v>34</v>
      </c>
      <c r="J1114" t="s">
        <v>272</v>
      </c>
      <c r="K1114" t="s">
        <v>41</v>
      </c>
      <c r="L1114" t="s">
        <v>174</v>
      </c>
      <c r="M1114" t="s">
        <v>6206</v>
      </c>
      <c r="N1114" t="s">
        <v>847</v>
      </c>
      <c r="O1114" t="s">
        <v>100</v>
      </c>
      <c r="P1114" t="s">
        <v>6207</v>
      </c>
      <c r="Q1114" t="s">
        <v>257</v>
      </c>
      <c r="R1114" t="s">
        <v>321</v>
      </c>
      <c r="S1114">
        <v>0.45</v>
      </c>
      <c r="T1114">
        <v>5733</v>
      </c>
      <c r="U1114">
        <v>0</v>
      </c>
      <c r="V1114">
        <v>5733</v>
      </c>
    </row>
    <row r="1115" spans="1:22" x14ac:dyDescent="0.3">
      <c r="A1115">
        <v>79452</v>
      </c>
      <c r="B1115">
        <v>137358363</v>
      </c>
      <c r="C1115" t="s">
        <v>6208</v>
      </c>
      <c r="D1115" t="s">
        <v>6209</v>
      </c>
      <c r="E1115" t="s">
        <v>843</v>
      </c>
      <c r="F1115" t="s">
        <v>844</v>
      </c>
      <c r="G1115" t="s">
        <v>172</v>
      </c>
      <c r="H1115" t="s">
        <v>173</v>
      </c>
      <c r="I1115" t="s">
        <v>34</v>
      </c>
      <c r="J1115" t="s">
        <v>272</v>
      </c>
      <c r="K1115" t="s">
        <v>41</v>
      </c>
      <c r="L1115" t="s">
        <v>174</v>
      </c>
      <c r="M1115" t="s">
        <v>6210</v>
      </c>
      <c r="N1115" t="s">
        <v>847</v>
      </c>
      <c r="O1115" t="s">
        <v>100</v>
      </c>
      <c r="P1115" t="s">
        <v>6211</v>
      </c>
      <c r="Q1115" t="s">
        <v>349</v>
      </c>
      <c r="R1115" t="s">
        <v>321</v>
      </c>
      <c r="S1115">
        <v>0.44</v>
      </c>
      <c r="T1115">
        <v>5733</v>
      </c>
      <c r="U1115">
        <v>0</v>
      </c>
      <c r="V1115">
        <v>5733</v>
      </c>
    </row>
    <row r="1116" spans="1:22" x14ac:dyDescent="0.3">
      <c r="A1116">
        <v>79452</v>
      </c>
      <c r="B1116">
        <v>137328346</v>
      </c>
      <c r="C1116" t="s">
        <v>6212</v>
      </c>
      <c r="D1116" t="s">
        <v>6213</v>
      </c>
      <c r="E1116" t="s">
        <v>843</v>
      </c>
      <c r="F1116" t="s">
        <v>844</v>
      </c>
      <c r="G1116" t="s">
        <v>172</v>
      </c>
      <c r="H1116" t="s">
        <v>173</v>
      </c>
      <c r="I1116" t="s">
        <v>34</v>
      </c>
      <c r="J1116" t="s">
        <v>272</v>
      </c>
      <c r="K1116" t="s">
        <v>41</v>
      </c>
      <c r="L1116" t="s">
        <v>174</v>
      </c>
      <c r="M1116" t="s">
        <v>6214</v>
      </c>
      <c r="N1116" t="s">
        <v>847</v>
      </c>
      <c r="O1116" t="s">
        <v>100</v>
      </c>
      <c r="P1116" t="s">
        <v>6215</v>
      </c>
      <c r="Q1116" t="s">
        <v>260</v>
      </c>
      <c r="R1116" t="s">
        <v>781</v>
      </c>
      <c r="S1116">
        <v>0.56999999999999995</v>
      </c>
      <c r="T1116">
        <v>6064</v>
      </c>
      <c r="U1116">
        <v>0</v>
      </c>
      <c r="V1116">
        <v>6064</v>
      </c>
    </row>
    <row r="1117" spans="1:22" x14ac:dyDescent="0.3">
      <c r="A1117">
        <v>79452</v>
      </c>
      <c r="B1117">
        <v>137328352</v>
      </c>
      <c r="C1117" t="s">
        <v>6216</v>
      </c>
      <c r="D1117" t="s">
        <v>6217</v>
      </c>
      <c r="E1117" t="s">
        <v>843</v>
      </c>
      <c r="F1117" t="s">
        <v>844</v>
      </c>
      <c r="G1117" t="s">
        <v>172</v>
      </c>
      <c r="H1117" t="s">
        <v>173</v>
      </c>
      <c r="I1117" t="s">
        <v>34</v>
      </c>
      <c r="J1117" t="s">
        <v>272</v>
      </c>
      <c r="K1117" t="s">
        <v>41</v>
      </c>
      <c r="L1117" t="s">
        <v>6218</v>
      </c>
      <c r="M1117" t="s">
        <v>6219</v>
      </c>
      <c r="N1117" t="s">
        <v>847</v>
      </c>
      <c r="O1117" t="s">
        <v>100</v>
      </c>
      <c r="P1117" t="s">
        <v>6220</v>
      </c>
      <c r="Q1117" t="s">
        <v>104</v>
      </c>
      <c r="R1117" t="s">
        <v>781</v>
      </c>
      <c r="S1117">
        <v>0.64</v>
      </c>
      <c r="T1117">
        <v>3915</v>
      </c>
      <c r="U1117">
        <v>0</v>
      </c>
      <c r="V1117">
        <v>3915</v>
      </c>
    </row>
    <row r="1118" spans="1:22" x14ac:dyDescent="0.3">
      <c r="A1118">
        <v>79452</v>
      </c>
      <c r="B1118">
        <v>137389688</v>
      </c>
      <c r="C1118" t="s">
        <v>6221</v>
      </c>
      <c r="D1118" t="s">
        <v>6222</v>
      </c>
      <c r="E1118" t="s">
        <v>843</v>
      </c>
      <c r="F1118" t="s">
        <v>844</v>
      </c>
      <c r="G1118" t="s">
        <v>172</v>
      </c>
      <c r="H1118" t="s">
        <v>173</v>
      </c>
      <c r="I1118" t="s">
        <v>34</v>
      </c>
      <c r="J1118" t="s">
        <v>272</v>
      </c>
      <c r="K1118" t="s">
        <v>44</v>
      </c>
      <c r="L1118" t="s">
        <v>6223</v>
      </c>
      <c r="M1118" t="s">
        <v>6224</v>
      </c>
      <c r="N1118" t="s">
        <v>847</v>
      </c>
      <c r="O1118" t="s">
        <v>100</v>
      </c>
      <c r="P1118" t="s">
        <v>6225</v>
      </c>
      <c r="Q1118" t="s">
        <v>69</v>
      </c>
      <c r="R1118" t="s">
        <v>884</v>
      </c>
      <c r="S1118">
        <v>0.41</v>
      </c>
      <c r="T1118">
        <v>6692</v>
      </c>
      <c r="U1118">
        <v>0</v>
      </c>
      <c r="V1118">
        <v>6692</v>
      </c>
    </row>
    <row r="1119" spans="1:22" x14ac:dyDescent="0.3">
      <c r="A1119">
        <v>79452</v>
      </c>
      <c r="B1119">
        <v>137358375</v>
      </c>
      <c r="C1119" t="s">
        <v>6226</v>
      </c>
      <c r="D1119" t="s">
        <v>6227</v>
      </c>
      <c r="E1119" t="s">
        <v>843</v>
      </c>
      <c r="F1119" t="s">
        <v>844</v>
      </c>
      <c r="G1119" t="s">
        <v>172</v>
      </c>
      <c r="H1119" t="s">
        <v>173</v>
      </c>
      <c r="I1119" t="s">
        <v>34</v>
      </c>
      <c r="J1119" t="s">
        <v>272</v>
      </c>
      <c r="K1119" t="s">
        <v>41</v>
      </c>
      <c r="L1119" t="s">
        <v>6228</v>
      </c>
      <c r="M1119" t="s">
        <v>6229</v>
      </c>
      <c r="N1119" t="s">
        <v>847</v>
      </c>
      <c r="O1119" t="s">
        <v>100</v>
      </c>
      <c r="P1119" t="s">
        <v>6230</v>
      </c>
      <c r="Q1119" t="s">
        <v>175</v>
      </c>
      <c r="R1119" t="s">
        <v>872</v>
      </c>
      <c r="S1119">
        <v>0.28999999999999998</v>
      </c>
      <c r="T1119">
        <v>5964</v>
      </c>
      <c r="U1119">
        <v>0</v>
      </c>
      <c r="V1119">
        <v>5964</v>
      </c>
    </row>
    <row r="1120" spans="1:22" x14ac:dyDescent="0.3">
      <c r="A1120">
        <v>79452</v>
      </c>
      <c r="B1120">
        <v>137467336</v>
      </c>
      <c r="C1120" t="s">
        <v>6231</v>
      </c>
      <c r="D1120" t="s">
        <v>6232</v>
      </c>
      <c r="E1120" t="s">
        <v>843</v>
      </c>
      <c r="F1120" t="s">
        <v>844</v>
      </c>
      <c r="G1120" t="s">
        <v>172</v>
      </c>
      <c r="H1120" t="s">
        <v>173</v>
      </c>
      <c r="I1120" t="s">
        <v>34</v>
      </c>
      <c r="J1120" t="s">
        <v>272</v>
      </c>
      <c r="K1120" t="s">
        <v>41</v>
      </c>
      <c r="L1120" t="s">
        <v>174</v>
      </c>
      <c r="M1120" t="s">
        <v>496</v>
      </c>
      <c r="N1120" t="s">
        <v>847</v>
      </c>
      <c r="O1120" t="s">
        <v>100</v>
      </c>
      <c r="P1120" t="s">
        <v>6233</v>
      </c>
      <c r="Q1120" t="s">
        <v>104</v>
      </c>
      <c r="R1120" t="s">
        <v>849</v>
      </c>
      <c r="S1120">
        <v>0.63</v>
      </c>
      <c r="T1120">
        <v>3915</v>
      </c>
      <c r="U1120">
        <v>0</v>
      </c>
      <c r="V1120">
        <v>3915</v>
      </c>
    </row>
    <row r="1121" spans="1:22" x14ac:dyDescent="0.3">
      <c r="A1121">
        <v>79452</v>
      </c>
      <c r="B1121">
        <v>137467445</v>
      </c>
      <c r="C1121" t="s">
        <v>6234</v>
      </c>
      <c r="D1121" t="s">
        <v>6235</v>
      </c>
      <c r="E1121" t="s">
        <v>843</v>
      </c>
      <c r="F1121" t="s">
        <v>844</v>
      </c>
      <c r="G1121" t="s">
        <v>172</v>
      </c>
      <c r="H1121" t="s">
        <v>173</v>
      </c>
      <c r="I1121" t="s">
        <v>34</v>
      </c>
      <c r="J1121" t="s">
        <v>272</v>
      </c>
      <c r="K1121" t="s">
        <v>46</v>
      </c>
      <c r="L1121" t="s">
        <v>242</v>
      </c>
      <c r="M1121" t="s">
        <v>6148</v>
      </c>
      <c r="N1121" t="s">
        <v>847</v>
      </c>
      <c r="O1121" t="s">
        <v>100</v>
      </c>
      <c r="P1121" t="s">
        <v>6149</v>
      </c>
      <c r="Q1121" t="s">
        <v>116</v>
      </c>
      <c r="R1121" t="s">
        <v>1025</v>
      </c>
      <c r="S1121">
        <v>2.11</v>
      </c>
      <c r="T1121">
        <v>4168</v>
      </c>
      <c r="U1121">
        <v>0</v>
      </c>
      <c r="V1121">
        <v>4168</v>
      </c>
    </row>
    <row r="1122" spans="1:22" x14ac:dyDescent="0.3">
      <c r="A1122">
        <v>79452</v>
      </c>
      <c r="B1122">
        <v>137408562</v>
      </c>
      <c r="C1122" t="s">
        <v>6236</v>
      </c>
      <c r="D1122" t="s">
        <v>6237</v>
      </c>
      <c r="E1122" t="s">
        <v>843</v>
      </c>
      <c r="F1122" t="s">
        <v>844</v>
      </c>
      <c r="G1122" t="s">
        <v>172</v>
      </c>
      <c r="H1122" t="s">
        <v>173</v>
      </c>
      <c r="I1122" t="s">
        <v>34</v>
      </c>
      <c r="J1122" t="s">
        <v>272</v>
      </c>
      <c r="K1122" t="s">
        <v>41</v>
      </c>
      <c r="L1122" t="s">
        <v>174</v>
      </c>
      <c r="M1122" t="s">
        <v>6238</v>
      </c>
      <c r="N1122" t="s">
        <v>847</v>
      </c>
      <c r="O1122" t="s">
        <v>100</v>
      </c>
      <c r="P1122" t="s">
        <v>6239</v>
      </c>
      <c r="Q1122" t="s">
        <v>103</v>
      </c>
      <c r="R1122" t="s">
        <v>443</v>
      </c>
      <c r="S1122">
        <v>0.62</v>
      </c>
      <c r="T1122">
        <v>3915</v>
      </c>
      <c r="U1122">
        <v>0</v>
      </c>
      <c r="V1122">
        <v>3915</v>
      </c>
    </row>
    <row r="1123" spans="1:22" x14ac:dyDescent="0.3">
      <c r="A1123">
        <v>79452</v>
      </c>
      <c r="B1123">
        <v>137497904</v>
      </c>
      <c r="C1123" t="s">
        <v>6240</v>
      </c>
      <c r="D1123" t="s">
        <v>6241</v>
      </c>
      <c r="E1123" t="s">
        <v>843</v>
      </c>
      <c r="F1123" t="s">
        <v>844</v>
      </c>
      <c r="G1123" t="s">
        <v>172</v>
      </c>
      <c r="H1123" t="s">
        <v>173</v>
      </c>
      <c r="I1123" t="s">
        <v>34</v>
      </c>
      <c r="J1123" t="s">
        <v>272</v>
      </c>
      <c r="K1123" t="s">
        <v>41</v>
      </c>
      <c r="L1123" t="s">
        <v>174</v>
      </c>
      <c r="M1123" t="s">
        <v>6242</v>
      </c>
      <c r="N1123" t="s">
        <v>847</v>
      </c>
      <c r="O1123" t="s">
        <v>100</v>
      </c>
      <c r="P1123" t="s">
        <v>6243</v>
      </c>
      <c r="Q1123" t="s">
        <v>86</v>
      </c>
      <c r="R1123" t="s">
        <v>921</v>
      </c>
      <c r="S1123">
        <v>0.28999999999999998</v>
      </c>
      <c r="T1123">
        <v>5601</v>
      </c>
      <c r="U1123">
        <v>0</v>
      </c>
      <c r="V1123">
        <v>5601</v>
      </c>
    </row>
    <row r="1124" spans="1:22" x14ac:dyDescent="0.3">
      <c r="A1124">
        <v>79452</v>
      </c>
      <c r="B1124">
        <v>137408540</v>
      </c>
      <c r="C1124" t="s">
        <v>6244</v>
      </c>
      <c r="D1124" t="s">
        <v>6245</v>
      </c>
      <c r="E1124" t="s">
        <v>843</v>
      </c>
      <c r="F1124" t="s">
        <v>844</v>
      </c>
      <c r="G1124" t="s">
        <v>172</v>
      </c>
      <c r="H1124" t="s">
        <v>173</v>
      </c>
      <c r="I1124" t="s">
        <v>34</v>
      </c>
      <c r="J1124" t="s">
        <v>272</v>
      </c>
      <c r="K1124" t="s">
        <v>41</v>
      </c>
      <c r="L1124" t="s">
        <v>174</v>
      </c>
      <c r="M1124" t="s">
        <v>6246</v>
      </c>
      <c r="N1124" t="s">
        <v>847</v>
      </c>
      <c r="O1124" t="s">
        <v>100</v>
      </c>
      <c r="P1124" t="s">
        <v>6247</v>
      </c>
      <c r="Q1124" t="s">
        <v>114</v>
      </c>
      <c r="R1124" t="s">
        <v>443</v>
      </c>
      <c r="S1124">
        <v>0.38</v>
      </c>
      <c r="T1124">
        <v>5733</v>
      </c>
      <c r="U1124">
        <v>0</v>
      </c>
      <c r="V1124">
        <v>5733</v>
      </c>
    </row>
    <row r="1125" spans="1:22" x14ac:dyDescent="0.3">
      <c r="A1125">
        <v>79452</v>
      </c>
      <c r="B1125">
        <v>137289715</v>
      </c>
      <c r="C1125" t="s">
        <v>6248</v>
      </c>
      <c r="D1125" t="s">
        <v>6249</v>
      </c>
      <c r="E1125" t="s">
        <v>843</v>
      </c>
      <c r="F1125" t="s">
        <v>844</v>
      </c>
      <c r="G1125" t="s">
        <v>172</v>
      </c>
      <c r="H1125" t="s">
        <v>173</v>
      </c>
      <c r="I1125" t="s">
        <v>34</v>
      </c>
      <c r="J1125" t="s">
        <v>272</v>
      </c>
      <c r="K1125" t="s">
        <v>41</v>
      </c>
      <c r="L1125" t="s">
        <v>174</v>
      </c>
      <c r="M1125" t="s">
        <v>6250</v>
      </c>
      <c r="N1125" t="s">
        <v>847</v>
      </c>
      <c r="O1125" t="s">
        <v>100</v>
      </c>
      <c r="P1125" t="s">
        <v>6251</v>
      </c>
      <c r="Q1125" t="s">
        <v>180</v>
      </c>
      <c r="R1125" t="s">
        <v>900</v>
      </c>
      <c r="S1125">
        <v>0.18</v>
      </c>
      <c r="T1125">
        <v>5964</v>
      </c>
      <c r="U1125">
        <v>0</v>
      </c>
      <c r="V1125">
        <v>5964</v>
      </c>
    </row>
    <row r="1126" spans="1:22" x14ac:dyDescent="0.3">
      <c r="A1126">
        <v>79452</v>
      </c>
      <c r="B1126">
        <v>137289729</v>
      </c>
      <c r="C1126" t="s">
        <v>6252</v>
      </c>
      <c r="D1126" t="s">
        <v>6253</v>
      </c>
      <c r="E1126" t="s">
        <v>843</v>
      </c>
      <c r="F1126" t="s">
        <v>844</v>
      </c>
      <c r="G1126" t="s">
        <v>172</v>
      </c>
      <c r="H1126" t="s">
        <v>173</v>
      </c>
      <c r="I1126" t="s">
        <v>34</v>
      </c>
      <c r="J1126" t="s">
        <v>272</v>
      </c>
      <c r="K1126" t="s">
        <v>41</v>
      </c>
      <c r="L1126" t="s">
        <v>174</v>
      </c>
      <c r="M1126" t="s">
        <v>6254</v>
      </c>
      <c r="N1126" t="s">
        <v>847</v>
      </c>
      <c r="O1126" t="s">
        <v>100</v>
      </c>
      <c r="P1126" t="s">
        <v>6255</v>
      </c>
      <c r="Q1126" t="s">
        <v>106</v>
      </c>
      <c r="R1126" t="s">
        <v>900</v>
      </c>
      <c r="S1126">
        <v>0.32</v>
      </c>
      <c r="T1126">
        <v>3776</v>
      </c>
      <c r="U1126">
        <v>0</v>
      </c>
      <c r="V1126">
        <v>3776</v>
      </c>
    </row>
    <row r="1127" spans="1:22" x14ac:dyDescent="0.3">
      <c r="A1127">
        <v>79452</v>
      </c>
      <c r="B1127">
        <v>137358327</v>
      </c>
      <c r="C1127" t="s">
        <v>6256</v>
      </c>
      <c r="D1127" t="s">
        <v>6257</v>
      </c>
      <c r="E1127" t="s">
        <v>843</v>
      </c>
      <c r="F1127" t="s">
        <v>844</v>
      </c>
      <c r="G1127" t="s">
        <v>172</v>
      </c>
      <c r="H1127" t="s">
        <v>173</v>
      </c>
      <c r="I1127" t="s">
        <v>34</v>
      </c>
      <c r="J1127" t="s">
        <v>272</v>
      </c>
      <c r="K1127" t="s">
        <v>41</v>
      </c>
      <c r="L1127" t="s">
        <v>174</v>
      </c>
      <c r="M1127" t="s">
        <v>6258</v>
      </c>
      <c r="N1127" t="s">
        <v>847</v>
      </c>
      <c r="O1127" t="s">
        <v>100</v>
      </c>
      <c r="P1127" t="s">
        <v>6259</v>
      </c>
      <c r="Q1127" t="s">
        <v>260</v>
      </c>
      <c r="R1127" t="s">
        <v>321</v>
      </c>
      <c r="S1127">
        <v>0.61</v>
      </c>
      <c r="T1127">
        <v>6064</v>
      </c>
      <c r="U1127">
        <v>0</v>
      </c>
      <c r="V1127">
        <v>6064</v>
      </c>
    </row>
    <row r="1128" spans="1:22" x14ac:dyDescent="0.3">
      <c r="A1128">
        <v>79452</v>
      </c>
      <c r="B1128">
        <v>137358412</v>
      </c>
      <c r="C1128" t="s">
        <v>6260</v>
      </c>
      <c r="D1128" t="s">
        <v>6261</v>
      </c>
      <c r="E1128" t="s">
        <v>843</v>
      </c>
      <c r="F1128" t="s">
        <v>844</v>
      </c>
      <c r="G1128" t="s">
        <v>172</v>
      </c>
      <c r="H1128" t="s">
        <v>173</v>
      </c>
      <c r="I1128" t="s">
        <v>34</v>
      </c>
      <c r="J1128" t="s">
        <v>272</v>
      </c>
      <c r="K1128" t="s">
        <v>41</v>
      </c>
      <c r="L1128" t="s">
        <v>6262</v>
      </c>
      <c r="M1128" t="s">
        <v>6263</v>
      </c>
      <c r="N1128" t="s">
        <v>847</v>
      </c>
      <c r="O1128" t="s">
        <v>100</v>
      </c>
      <c r="P1128" t="s">
        <v>6264</v>
      </c>
      <c r="Q1128" t="s">
        <v>175</v>
      </c>
      <c r="R1128" t="s">
        <v>872</v>
      </c>
      <c r="S1128">
        <v>0.27</v>
      </c>
      <c r="T1128">
        <v>5964</v>
      </c>
      <c r="U1128">
        <v>0</v>
      </c>
      <c r="V1128">
        <v>5964</v>
      </c>
    </row>
    <row r="1129" spans="1:22" x14ac:dyDescent="0.3">
      <c r="A1129">
        <v>79452</v>
      </c>
      <c r="B1129">
        <v>137168455</v>
      </c>
      <c r="C1129" t="s">
        <v>6265</v>
      </c>
      <c r="D1129" t="s">
        <v>6266</v>
      </c>
      <c r="E1129" t="s">
        <v>843</v>
      </c>
      <c r="F1129" t="s">
        <v>844</v>
      </c>
      <c r="G1129" t="s">
        <v>172</v>
      </c>
      <c r="H1129" t="s">
        <v>173</v>
      </c>
      <c r="I1129" t="s">
        <v>34</v>
      </c>
      <c r="J1129" t="s">
        <v>272</v>
      </c>
      <c r="K1129" t="s">
        <v>41</v>
      </c>
      <c r="L1129" t="s">
        <v>6267</v>
      </c>
      <c r="M1129" t="s">
        <v>6268</v>
      </c>
      <c r="N1129" t="s">
        <v>847</v>
      </c>
      <c r="O1129" t="s">
        <v>100</v>
      </c>
      <c r="P1129" t="s">
        <v>6269</v>
      </c>
      <c r="Q1129" t="s">
        <v>107</v>
      </c>
      <c r="R1129" t="s">
        <v>966</v>
      </c>
      <c r="S1129">
        <v>0.72</v>
      </c>
      <c r="T1129">
        <v>3915</v>
      </c>
      <c r="U1129">
        <v>0</v>
      </c>
      <c r="V1129">
        <v>3915</v>
      </c>
    </row>
    <row r="1130" spans="1:22" x14ac:dyDescent="0.3">
      <c r="A1130">
        <v>79452</v>
      </c>
      <c r="B1130">
        <v>136997013</v>
      </c>
      <c r="C1130" t="s">
        <v>6270</v>
      </c>
      <c r="D1130" t="s">
        <v>6271</v>
      </c>
      <c r="E1130" t="s">
        <v>843</v>
      </c>
      <c r="F1130" t="s">
        <v>844</v>
      </c>
      <c r="G1130" t="s">
        <v>172</v>
      </c>
      <c r="H1130" t="s">
        <v>173</v>
      </c>
      <c r="I1130" t="s">
        <v>34</v>
      </c>
      <c r="J1130" t="s">
        <v>272</v>
      </c>
      <c r="K1130" t="s">
        <v>41</v>
      </c>
      <c r="L1130" t="s">
        <v>6272</v>
      </c>
      <c r="M1130" t="s">
        <v>6273</v>
      </c>
      <c r="N1130" t="s">
        <v>847</v>
      </c>
      <c r="O1130" t="s">
        <v>100</v>
      </c>
      <c r="P1130" t="s">
        <v>6274</v>
      </c>
      <c r="Q1130" t="s">
        <v>103</v>
      </c>
      <c r="R1130" t="s">
        <v>1141</v>
      </c>
      <c r="S1130">
        <v>0.46</v>
      </c>
      <c r="T1130">
        <v>3776</v>
      </c>
      <c r="U1130">
        <v>0</v>
      </c>
      <c r="V1130">
        <v>3776</v>
      </c>
    </row>
    <row r="1131" spans="1:22" x14ac:dyDescent="0.3">
      <c r="A1131">
        <v>79452</v>
      </c>
      <c r="B1131">
        <v>136997021</v>
      </c>
      <c r="C1131" t="s">
        <v>6275</v>
      </c>
      <c r="D1131" t="s">
        <v>6276</v>
      </c>
      <c r="E1131" t="s">
        <v>843</v>
      </c>
      <c r="F1131" t="s">
        <v>844</v>
      </c>
      <c r="G1131" t="s">
        <v>172</v>
      </c>
      <c r="H1131" t="s">
        <v>173</v>
      </c>
      <c r="I1131" t="s">
        <v>34</v>
      </c>
      <c r="J1131" t="s">
        <v>272</v>
      </c>
      <c r="K1131" t="s">
        <v>56</v>
      </c>
      <c r="L1131" t="s">
        <v>6277</v>
      </c>
      <c r="M1131" t="s">
        <v>6278</v>
      </c>
      <c r="N1131" t="s">
        <v>847</v>
      </c>
      <c r="O1131" t="s">
        <v>100</v>
      </c>
      <c r="P1131" t="s">
        <v>6279</v>
      </c>
      <c r="Q1131" t="s">
        <v>322</v>
      </c>
      <c r="R1131" t="s">
        <v>1141</v>
      </c>
      <c r="S1131">
        <v>0.17</v>
      </c>
      <c r="T1131">
        <v>11337</v>
      </c>
      <c r="U1131">
        <v>0</v>
      </c>
      <c r="V1131">
        <v>11337</v>
      </c>
    </row>
    <row r="1132" spans="1:22" x14ac:dyDescent="0.3">
      <c r="A1132">
        <v>79452</v>
      </c>
      <c r="B1132">
        <v>137252150</v>
      </c>
      <c r="C1132" t="s">
        <v>6280</v>
      </c>
      <c r="D1132" t="s">
        <v>6281</v>
      </c>
      <c r="E1132" t="s">
        <v>843</v>
      </c>
      <c r="F1132" t="s">
        <v>844</v>
      </c>
      <c r="G1132" t="s">
        <v>172</v>
      </c>
      <c r="H1132" t="s">
        <v>173</v>
      </c>
      <c r="I1132" t="s">
        <v>34</v>
      </c>
      <c r="J1132" t="s">
        <v>272</v>
      </c>
      <c r="K1132" t="s">
        <v>41</v>
      </c>
      <c r="L1132" t="s">
        <v>174</v>
      </c>
      <c r="M1132" t="s">
        <v>6282</v>
      </c>
      <c r="N1132" t="s">
        <v>847</v>
      </c>
      <c r="O1132" t="s">
        <v>100</v>
      </c>
      <c r="P1132" t="s">
        <v>6283</v>
      </c>
      <c r="Q1132" t="s">
        <v>102</v>
      </c>
      <c r="R1132" t="s">
        <v>1124</v>
      </c>
      <c r="S1132">
        <v>0.4</v>
      </c>
      <c r="T1132">
        <v>3776</v>
      </c>
      <c r="U1132">
        <v>0</v>
      </c>
      <c r="V1132">
        <v>3776</v>
      </c>
    </row>
    <row r="1133" spans="1:22" x14ac:dyDescent="0.3">
      <c r="A1133">
        <v>79452</v>
      </c>
      <c r="B1133">
        <v>137252176</v>
      </c>
      <c r="C1133" t="s">
        <v>6284</v>
      </c>
      <c r="D1133" t="s">
        <v>6285</v>
      </c>
      <c r="E1133" t="s">
        <v>843</v>
      </c>
      <c r="F1133" t="s">
        <v>844</v>
      </c>
      <c r="G1133" t="s">
        <v>172</v>
      </c>
      <c r="H1133" t="s">
        <v>173</v>
      </c>
      <c r="I1133" t="s">
        <v>34</v>
      </c>
      <c r="J1133" t="s">
        <v>272</v>
      </c>
      <c r="K1133" t="s">
        <v>41</v>
      </c>
      <c r="L1133" t="s">
        <v>174</v>
      </c>
      <c r="M1133" t="s">
        <v>6286</v>
      </c>
      <c r="N1133" t="s">
        <v>847</v>
      </c>
      <c r="O1133" t="s">
        <v>100</v>
      </c>
      <c r="P1133" t="s">
        <v>6287</v>
      </c>
      <c r="Q1133" t="s">
        <v>103</v>
      </c>
      <c r="R1133" t="s">
        <v>1124</v>
      </c>
      <c r="S1133">
        <v>0.52</v>
      </c>
      <c r="T1133">
        <v>3915</v>
      </c>
      <c r="U1133">
        <v>0</v>
      </c>
      <c r="V1133">
        <v>3915</v>
      </c>
    </row>
    <row r="1134" spans="1:22" x14ac:dyDescent="0.3">
      <c r="A1134">
        <v>79452</v>
      </c>
      <c r="B1134">
        <v>137084192</v>
      </c>
      <c r="C1134" t="s">
        <v>6288</v>
      </c>
      <c r="D1134" t="s">
        <v>6289</v>
      </c>
      <c r="E1134" t="s">
        <v>843</v>
      </c>
      <c r="F1134" t="s">
        <v>844</v>
      </c>
      <c r="G1134" t="s">
        <v>172</v>
      </c>
      <c r="H1134" t="s">
        <v>173</v>
      </c>
      <c r="I1134" t="s">
        <v>34</v>
      </c>
      <c r="J1134" t="s">
        <v>272</v>
      </c>
      <c r="K1134" t="s">
        <v>41</v>
      </c>
      <c r="L1134" t="s">
        <v>6290</v>
      </c>
      <c r="M1134" t="s">
        <v>6291</v>
      </c>
      <c r="N1134" t="s">
        <v>847</v>
      </c>
      <c r="O1134" t="s">
        <v>100</v>
      </c>
      <c r="P1134" t="s">
        <v>6292</v>
      </c>
      <c r="Q1134" t="s">
        <v>86</v>
      </c>
      <c r="R1134" t="s">
        <v>460</v>
      </c>
      <c r="S1134">
        <v>0.46</v>
      </c>
      <c r="T1134">
        <v>5601</v>
      </c>
      <c r="U1134">
        <v>0</v>
      </c>
      <c r="V1134">
        <v>5601</v>
      </c>
    </row>
    <row r="1135" spans="1:22" x14ac:dyDescent="0.3">
      <c r="A1135">
        <v>79452</v>
      </c>
      <c r="B1135">
        <v>137252173</v>
      </c>
      <c r="C1135" t="s">
        <v>6293</v>
      </c>
      <c r="D1135" t="s">
        <v>6294</v>
      </c>
      <c r="E1135" t="s">
        <v>843</v>
      </c>
      <c r="F1135" t="s">
        <v>844</v>
      </c>
      <c r="G1135" t="s">
        <v>172</v>
      </c>
      <c r="H1135" t="s">
        <v>173</v>
      </c>
      <c r="I1135" t="s">
        <v>34</v>
      </c>
      <c r="J1135" t="s">
        <v>272</v>
      </c>
      <c r="K1135" t="s">
        <v>41</v>
      </c>
      <c r="L1135" t="s">
        <v>174</v>
      </c>
      <c r="M1135" t="s">
        <v>6295</v>
      </c>
      <c r="N1135" t="s">
        <v>847</v>
      </c>
      <c r="O1135" t="s">
        <v>100</v>
      </c>
      <c r="P1135" t="s">
        <v>6296</v>
      </c>
      <c r="Q1135" t="s">
        <v>401</v>
      </c>
      <c r="R1135" t="s">
        <v>1124</v>
      </c>
      <c r="S1135">
        <v>0.61</v>
      </c>
      <c r="T1135">
        <v>6064</v>
      </c>
      <c r="U1135">
        <v>0</v>
      </c>
      <c r="V1135">
        <v>6064</v>
      </c>
    </row>
    <row r="1136" spans="1:22" x14ac:dyDescent="0.3">
      <c r="A1136">
        <v>79452</v>
      </c>
      <c r="B1136">
        <v>136997059</v>
      </c>
      <c r="C1136" t="s">
        <v>6297</v>
      </c>
      <c r="D1136" t="s">
        <v>6298</v>
      </c>
      <c r="E1136" t="s">
        <v>843</v>
      </c>
      <c r="F1136" t="s">
        <v>844</v>
      </c>
      <c r="G1136" t="s">
        <v>172</v>
      </c>
      <c r="H1136" t="s">
        <v>173</v>
      </c>
      <c r="I1136" t="s">
        <v>34</v>
      </c>
      <c r="J1136" t="s">
        <v>272</v>
      </c>
      <c r="K1136" t="s">
        <v>41</v>
      </c>
      <c r="L1136" t="s">
        <v>6299</v>
      </c>
      <c r="M1136" t="s">
        <v>6300</v>
      </c>
      <c r="N1136" t="s">
        <v>847</v>
      </c>
      <c r="O1136" t="s">
        <v>100</v>
      </c>
      <c r="P1136" t="s">
        <v>6301</v>
      </c>
      <c r="Q1136" t="s">
        <v>191</v>
      </c>
      <c r="R1136" t="s">
        <v>1141</v>
      </c>
      <c r="S1136">
        <v>0.69</v>
      </c>
      <c r="T1136">
        <v>5910</v>
      </c>
      <c r="U1136">
        <v>0</v>
      </c>
      <c r="V1136">
        <v>5910</v>
      </c>
    </row>
    <row r="1137" spans="1:22" x14ac:dyDescent="0.3">
      <c r="A1137">
        <v>79452</v>
      </c>
      <c r="B1137">
        <v>136997065</v>
      </c>
      <c r="C1137" t="s">
        <v>6302</v>
      </c>
      <c r="D1137" t="s">
        <v>6303</v>
      </c>
      <c r="E1137" t="s">
        <v>843</v>
      </c>
      <c r="F1137" t="s">
        <v>844</v>
      </c>
      <c r="G1137" t="s">
        <v>172</v>
      </c>
      <c r="H1137" t="s">
        <v>173</v>
      </c>
      <c r="I1137" t="s">
        <v>34</v>
      </c>
      <c r="J1137" t="s">
        <v>272</v>
      </c>
      <c r="K1137" t="s">
        <v>41</v>
      </c>
      <c r="L1137" t="s">
        <v>6304</v>
      </c>
      <c r="M1137" t="s">
        <v>6305</v>
      </c>
      <c r="N1137" t="s">
        <v>847</v>
      </c>
      <c r="O1137" t="s">
        <v>100</v>
      </c>
      <c r="P1137" t="s">
        <v>6306</v>
      </c>
      <c r="Q1137" t="s">
        <v>86</v>
      </c>
      <c r="R1137" t="s">
        <v>1141</v>
      </c>
      <c r="S1137">
        <v>1.39</v>
      </c>
      <c r="T1137">
        <v>5992</v>
      </c>
      <c r="U1137">
        <v>0</v>
      </c>
      <c r="V1137">
        <v>5992</v>
      </c>
    </row>
    <row r="1138" spans="1:22" x14ac:dyDescent="0.3">
      <c r="A1138">
        <v>79452</v>
      </c>
      <c r="B1138">
        <v>136997026</v>
      </c>
      <c r="C1138" t="s">
        <v>6307</v>
      </c>
      <c r="D1138" t="s">
        <v>6308</v>
      </c>
      <c r="E1138" t="s">
        <v>843</v>
      </c>
      <c r="F1138" t="s">
        <v>844</v>
      </c>
      <c r="G1138" t="s">
        <v>172</v>
      </c>
      <c r="H1138" t="s">
        <v>173</v>
      </c>
      <c r="I1138" t="s">
        <v>34</v>
      </c>
      <c r="J1138" t="s">
        <v>272</v>
      </c>
      <c r="K1138" t="s">
        <v>41</v>
      </c>
      <c r="L1138" t="s">
        <v>6309</v>
      </c>
      <c r="M1138" t="s">
        <v>6310</v>
      </c>
      <c r="N1138" t="s">
        <v>847</v>
      </c>
      <c r="O1138" t="s">
        <v>100</v>
      </c>
      <c r="P1138" t="s">
        <v>6311</v>
      </c>
      <c r="Q1138" t="s">
        <v>250</v>
      </c>
      <c r="R1138" t="s">
        <v>1141</v>
      </c>
      <c r="S1138">
        <v>0.27</v>
      </c>
      <c r="T1138">
        <v>5964</v>
      </c>
      <c r="U1138">
        <v>0</v>
      </c>
      <c r="V1138">
        <v>5964</v>
      </c>
    </row>
    <row r="1139" spans="1:22" x14ac:dyDescent="0.3">
      <c r="A1139">
        <v>79452</v>
      </c>
      <c r="B1139">
        <v>137203634</v>
      </c>
      <c r="C1139" t="s">
        <v>6312</v>
      </c>
      <c r="D1139" t="s">
        <v>6313</v>
      </c>
      <c r="E1139" t="s">
        <v>843</v>
      </c>
      <c r="F1139" t="s">
        <v>844</v>
      </c>
      <c r="G1139" t="s">
        <v>172</v>
      </c>
      <c r="H1139" t="s">
        <v>173</v>
      </c>
      <c r="I1139" t="s">
        <v>34</v>
      </c>
      <c r="J1139" t="s">
        <v>272</v>
      </c>
      <c r="K1139" t="s">
        <v>41</v>
      </c>
      <c r="L1139" t="s">
        <v>174</v>
      </c>
      <c r="M1139" t="s">
        <v>6314</v>
      </c>
      <c r="N1139" t="s">
        <v>847</v>
      </c>
      <c r="O1139" t="s">
        <v>100</v>
      </c>
      <c r="P1139" t="s">
        <v>6315</v>
      </c>
      <c r="Q1139" t="s">
        <v>86</v>
      </c>
      <c r="R1139" t="s">
        <v>449</v>
      </c>
      <c r="S1139">
        <v>0.54</v>
      </c>
      <c r="T1139">
        <v>5992</v>
      </c>
      <c r="U1139">
        <v>0</v>
      </c>
      <c r="V1139">
        <v>5992</v>
      </c>
    </row>
    <row r="1140" spans="1:22" x14ac:dyDescent="0.3">
      <c r="A1140">
        <v>79452</v>
      </c>
      <c r="B1140">
        <v>136888356</v>
      </c>
      <c r="C1140" t="s">
        <v>6316</v>
      </c>
      <c r="D1140" t="s">
        <v>6317</v>
      </c>
      <c r="E1140" t="s">
        <v>843</v>
      </c>
      <c r="F1140" t="s">
        <v>844</v>
      </c>
      <c r="G1140" t="s">
        <v>172</v>
      </c>
      <c r="H1140" t="s">
        <v>173</v>
      </c>
      <c r="I1140" t="s">
        <v>34</v>
      </c>
      <c r="J1140" t="s">
        <v>272</v>
      </c>
      <c r="K1140" t="s">
        <v>41</v>
      </c>
      <c r="L1140" t="s">
        <v>6318</v>
      </c>
      <c r="M1140" t="s">
        <v>327</v>
      </c>
      <c r="N1140" t="s">
        <v>847</v>
      </c>
      <c r="O1140" t="s">
        <v>100</v>
      </c>
      <c r="P1140" t="s">
        <v>6319</v>
      </c>
      <c r="Q1140" t="s">
        <v>103</v>
      </c>
      <c r="R1140" t="s">
        <v>418</v>
      </c>
      <c r="S1140">
        <v>0.7</v>
      </c>
      <c r="T1140">
        <v>3915</v>
      </c>
      <c r="U1140">
        <v>0</v>
      </c>
      <c r="V1140">
        <v>3915</v>
      </c>
    </row>
    <row r="1141" spans="1:22" x14ac:dyDescent="0.3">
      <c r="A1141">
        <v>79452</v>
      </c>
      <c r="B1141">
        <v>136939531</v>
      </c>
      <c r="C1141" t="s">
        <v>6320</v>
      </c>
      <c r="D1141" t="s">
        <v>6321</v>
      </c>
      <c r="E1141" t="s">
        <v>843</v>
      </c>
      <c r="F1141" t="s">
        <v>844</v>
      </c>
      <c r="G1141" t="s">
        <v>172</v>
      </c>
      <c r="H1141" t="s">
        <v>173</v>
      </c>
      <c r="I1141" t="s">
        <v>34</v>
      </c>
      <c r="J1141" t="s">
        <v>272</v>
      </c>
      <c r="K1141" t="s">
        <v>41</v>
      </c>
      <c r="L1141" t="s">
        <v>174</v>
      </c>
      <c r="M1141" t="s">
        <v>6322</v>
      </c>
      <c r="N1141" t="s">
        <v>847</v>
      </c>
      <c r="O1141" t="s">
        <v>100</v>
      </c>
      <c r="P1141" t="s">
        <v>6323</v>
      </c>
      <c r="Q1141" t="s">
        <v>75</v>
      </c>
      <c r="R1141" t="s">
        <v>1857</v>
      </c>
      <c r="S1141">
        <v>0.38</v>
      </c>
      <c r="T1141">
        <v>5789</v>
      </c>
      <c r="U1141">
        <v>0</v>
      </c>
      <c r="V1141">
        <v>5789</v>
      </c>
    </row>
    <row r="1142" spans="1:22" x14ac:dyDescent="0.3">
      <c r="A1142">
        <v>79452</v>
      </c>
      <c r="B1142">
        <v>135628169</v>
      </c>
      <c r="C1142" t="s">
        <v>6324</v>
      </c>
      <c r="D1142" t="s">
        <v>6325</v>
      </c>
      <c r="E1142" t="s">
        <v>843</v>
      </c>
      <c r="F1142" t="s">
        <v>844</v>
      </c>
      <c r="G1142" t="s">
        <v>172</v>
      </c>
      <c r="H1142" t="s">
        <v>173</v>
      </c>
      <c r="I1142" t="s">
        <v>34</v>
      </c>
      <c r="J1142" t="s">
        <v>272</v>
      </c>
      <c r="K1142" t="s">
        <v>41</v>
      </c>
      <c r="L1142" t="s">
        <v>174</v>
      </c>
      <c r="M1142" t="s">
        <v>6326</v>
      </c>
      <c r="N1142" t="s">
        <v>847</v>
      </c>
      <c r="O1142" t="s">
        <v>100</v>
      </c>
      <c r="P1142" t="s">
        <v>6327</v>
      </c>
      <c r="Q1142" t="s">
        <v>86</v>
      </c>
      <c r="R1142" t="s">
        <v>713</v>
      </c>
      <c r="S1142">
        <v>0.42</v>
      </c>
      <c r="T1142">
        <v>5601</v>
      </c>
      <c r="U1142">
        <v>0</v>
      </c>
      <c r="V1142">
        <v>5601</v>
      </c>
    </row>
    <row r="1143" spans="1:22" x14ac:dyDescent="0.3">
      <c r="A1143">
        <v>79452</v>
      </c>
      <c r="B1143">
        <v>137203672</v>
      </c>
      <c r="C1143" t="s">
        <v>6328</v>
      </c>
      <c r="D1143" t="s">
        <v>6329</v>
      </c>
      <c r="E1143" t="s">
        <v>843</v>
      </c>
      <c r="F1143" t="s">
        <v>844</v>
      </c>
      <c r="G1143" t="s">
        <v>172</v>
      </c>
      <c r="H1143" t="s">
        <v>173</v>
      </c>
      <c r="I1143" t="s">
        <v>34</v>
      </c>
      <c r="J1143" t="s">
        <v>272</v>
      </c>
      <c r="K1143" t="s">
        <v>41</v>
      </c>
      <c r="L1143" t="s">
        <v>174</v>
      </c>
      <c r="M1143" t="s">
        <v>6330</v>
      </c>
      <c r="N1143" t="s">
        <v>847</v>
      </c>
      <c r="O1143" t="s">
        <v>100</v>
      </c>
      <c r="P1143" t="s">
        <v>6331</v>
      </c>
      <c r="Q1143" t="s">
        <v>86</v>
      </c>
      <c r="R1143" t="s">
        <v>449</v>
      </c>
      <c r="S1143">
        <v>0.47</v>
      </c>
      <c r="T1143">
        <v>5601</v>
      </c>
      <c r="U1143">
        <v>0</v>
      </c>
      <c r="V1143">
        <v>5601</v>
      </c>
    </row>
    <row r="1144" spans="1:22" x14ac:dyDescent="0.3">
      <c r="A1144">
        <v>79452</v>
      </c>
      <c r="B1144">
        <v>137203606</v>
      </c>
      <c r="C1144" t="s">
        <v>6332</v>
      </c>
      <c r="D1144" t="s">
        <v>6333</v>
      </c>
      <c r="E1144" t="s">
        <v>843</v>
      </c>
      <c r="F1144" t="s">
        <v>844</v>
      </c>
      <c r="G1144" t="s">
        <v>172</v>
      </c>
      <c r="H1144" t="s">
        <v>173</v>
      </c>
      <c r="I1144" t="s">
        <v>34</v>
      </c>
      <c r="J1144" t="s">
        <v>272</v>
      </c>
      <c r="K1144" t="s">
        <v>41</v>
      </c>
      <c r="L1144" t="s">
        <v>174</v>
      </c>
      <c r="M1144" t="s">
        <v>6334</v>
      </c>
      <c r="N1144" t="s">
        <v>847</v>
      </c>
      <c r="O1144" t="s">
        <v>100</v>
      </c>
      <c r="P1144" t="s">
        <v>6335</v>
      </c>
      <c r="Q1144" t="s">
        <v>102</v>
      </c>
      <c r="R1144" t="s">
        <v>449</v>
      </c>
      <c r="S1144">
        <v>0.5</v>
      </c>
      <c r="T1144">
        <v>3776</v>
      </c>
      <c r="U1144">
        <v>0</v>
      </c>
      <c r="V1144">
        <v>3776</v>
      </c>
    </row>
    <row r="1145" spans="1:22" x14ac:dyDescent="0.3">
      <c r="A1145">
        <v>79452</v>
      </c>
      <c r="B1145">
        <v>136939464</v>
      </c>
      <c r="C1145" t="s">
        <v>6336</v>
      </c>
      <c r="D1145" t="s">
        <v>6337</v>
      </c>
      <c r="E1145" t="s">
        <v>843</v>
      </c>
      <c r="F1145" t="s">
        <v>844</v>
      </c>
      <c r="G1145" t="s">
        <v>172</v>
      </c>
      <c r="H1145" t="s">
        <v>173</v>
      </c>
      <c r="I1145" t="s">
        <v>34</v>
      </c>
      <c r="J1145" t="s">
        <v>272</v>
      </c>
      <c r="K1145" t="s">
        <v>41</v>
      </c>
      <c r="L1145" t="s">
        <v>174</v>
      </c>
      <c r="M1145" t="s">
        <v>6108</v>
      </c>
      <c r="N1145" t="s">
        <v>847</v>
      </c>
      <c r="O1145" t="s">
        <v>100</v>
      </c>
      <c r="P1145" t="s">
        <v>6109</v>
      </c>
      <c r="Q1145" t="s">
        <v>401</v>
      </c>
      <c r="R1145" t="s">
        <v>1857</v>
      </c>
      <c r="S1145">
        <v>1.21</v>
      </c>
      <c r="T1145">
        <v>6064</v>
      </c>
      <c r="U1145">
        <v>0</v>
      </c>
      <c r="V1145">
        <v>6064</v>
      </c>
    </row>
    <row r="1146" spans="1:22" x14ac:dyDescent="0.3">
      <c r="A1146">
        <v>79452</v>
      </c>
      <c r="B1146">
        <v>136997052</v>
      </c>
      <c r="C1146" t="s">
        <v>6338</v>
      </c>
      <c r="D1146" t="s">
        <v>6339</v>
      </c>
      <c r="E1146" t="s">
        <v>843</v>
      </c>
      <c r="F1146" t="s">
        <v>844</v>
      </c>
      <c r="G1146" t="s">
        <v>172</v>
      </c>
      <c r="H1146" t="s">
        <v>173</v>
      </c>
      <c r="I1146" t="s">
        <v>34</v>
      </c>
      <c r="J1146" t="s">
        <v>272</v>
      </c>
      <c r="K1146" t="s">
        <v>41</v>
      </c>
      <c r="L1146" t="s">
        <v>6340</v>
      </c>
      <c r="M1146" t="s">
        <v>791</v>
      </c>
      <c r="N1146" t="s">
        <v>847</v>
      </c>
      <c r="O1146" t="s">
        <v>100</v>
      </c>
      <c r="P1146" t="s">
        <v>6341</v>
      </c>
      <c r="Q1146" t="s">
        <v>386</v>
      </c>
      <c r="R1146" t="s">
        <v>1141</v>
      </c>
      <c r="S1146">
        <v>0.72</v>
      </c>
      <c r="T1146">
        <v>6064</v>
      </c>
      <c r="U1146">
        <v>0</v>
      </c>
      <c r="V1146">
        <v>6064</v>
      </c>
    </row>
    <row r="1147" spans="1:22" x14ac:dyDescent="0.3">
      <c r="A1147">
        <v>79452</v>
      </c>
      <c r="B1147">
        <v>136997201</v>
      </c>
      <c r="C1147" t="s">
        <v>6342</v>
      </c>
      <c r="D1147" t="s">
        <v>6343</v>
      </c>
      <c r="E1147" t="s">
        <v>843</v>
      </c>
      <c r="F1147" t="s">
        <v>844</v>
      </c>
      <c r="G1147" t="s">
        <v>172</v>
      </c>
      <c r="H1147" t="s">
        <v>173</v>
      </c>
      <c r="I1147" t="s">
        <v>34</v>
      </c>
      <c r="J1147" t="s">
        <v>272</v>
      </c>
      <c r="K1147" t="s">
        <v>51</v>
      </c>
      <c r="L1147" t="s">
        <v>6344</v>
      </c>
      <c r="M1147" t="s">
        <v>6345</v>
      </c>
      <c r="N1147" t="s">
        <v>847</v>
      </c>
      <c r="O1147" t="s">
        <v>100</v>
      </c>
      <c r="P1147" t="s">
        <v>6346</v>
      </c>
      <c r="Q1147" t="s">
        <v>249</v>
      </c>
      <c r="R1147" t="s">
        <v>1550</v>
      </c>
      <c r="S1147">
        <v>0.7</v>
      </c>
      <c r="T1147">
        <v>7289</v>
      </c>
      <c r="U1147">
        <v>0</v>
      </c>
      <c r="V1147">
        <v>7289</v>
      </c>
    </row>
    <row r="1148" spans="1:22" x14ac:dyDescent="0.3">
      <c r="A1148">
        <v>79452</v>
      </c>
      <c r="B1148">
        <v>136997172</v>
      </c>
      <c r="C1148" t="s">
        <v>6347</v>
      </c>
      <c r="D1148" t="s">
        <v>6348</v>
      </c>
      <c r="E1148" t="s">
        <v>843</v>
      </c>
      <c r="F1148" t="s">
        <v>844</v>
      </c>
      <c r="G1148" t="s">
        <v>172</v>
      </c>
      <c r="H1148" t="s">
        <v>173</v>
      </c>
      <c r="I1148" t="s">
        <v>34</v>
      </c>
      <c r="J1148" t="s">
        <v>272</v>
      </c>
      <c r="K1148" t="s">
        <v>41</v>
      </c>
      <c r="L1148" t="s">
        <v>6349</v>
      </c>
      <c r="M1148" t="s">
        <v>6350</v>
      </c>
      <c r="N1148" t="s">
        <v>847</v>
      </c>
      <c r="O1148" t="s">
        <v>100</v>
      </c>
      <c r="P1148" t="s">
        <v>6351</v>
      </c>
      <c r="Q1148" t="s">
        <v>253</v>
      </c>
      <c r="R1148" t="s">
        <v>1550</v>
      </c>
      <c r="S1148">
        <v>1.32</v>
      </c>
      <c r="T1148">
        <v>6381</v>
      </c>
      <c r="U1148">
        <v>0</v>
      </c>
      <c r="V1148">
        <v>6381</v>
      </c>
    </row>
    <row r="1149" spans="1:22" x14ac:dyDescent="0.3">
      <c r="A1149">
        <v>79452</v>
      </c>
      <c r="B1149">
        <v>136997235</v>
      </c>
      <c r="C1149" t="s">
        <v>6352</v>
      </c>
      <c r="D1149" t="s">
        <v>6353</v>
      </c>
      <c r="E1149" t="s">
        <v>843</v>
      </c>
      <c r="F1149" t="s">
        <v>844</v>
      </c>
      <c r="G1149" t="s">
        <v>172</v>
      </c>
      <c r="H1149" t="s">
        <v>173</v>
      </c>
      <c r="I1149" t="s">
        <v>34</v>
      </c>
      <c r="J1149" t="s">
        <v>272</v>
      </c>
      <c r="K1149" t="s">
        <v>41</v>
      </c>
      <c r="L1149" t="s">
        <v>6354</v>
      </c>
      <c r="M1149" t="s">
        <v>463</v>
      </c>
      <c r="N1149" t="s">
        <v>847</v>
      </c>
      <c r="O1149" t="s">
        <v>100</v>
      </c>
      <c r="P1149" t="s">
        <v>6355</v>
      </c>
      <c r="Q1149" t="s">
        <v>86</v>
      </c>
      <c r="R1149" t="s">
        <v>1987</v>
      </c>
      <c r="S1149">
        <v>0.45</v>
      </c>
      <c r="T1149">
        <v>5601</v>
      </c>
      <c r="U1149">
        <v>0</v>
      </c>
      <c r="V1149">
        <v>5601</v>
      </c>
    </row>
    <row r="1150" spans="1:22" x14ac:dyDescent="0.3">
      <c r="A1150">
        <v>79452</v>
      </c>
      <c r="B1150">
        <v>137084183</v>
      </c>
      <c r="C1150" t="s">
        <v>6356</v>
      </c>
      <c r="D1150" t="s">
        <v>6357</v>
      </c>
      <c r="E1150" t="s">
        <v>843</v>
      </c>
      <c r="F1150" t="s">
        <v>844</v>
      </c>
      <c r="G1150" t="s">
        <v>172</v>
      </c>
      <c r="H1150" t="s">
        <v>173</v>
      </c>
      <c r="I1150" t="s">
        <v>34</v>
      </c>
      <c r="J1150" t="s">
        <v>272</v>
      </c>
      <c r="K1150" t="s">
        <v>41</v>
      </c>
      <c r="L1150" t="s">
        <v>6358</v>
      </c>
      <c r="M1150" t="s">
        <v>6359</v>
      </c>
      <c r="N1150" t="s">
        <v>847</v>
      </c>
      <c r="O1150" t="s">
        <v>100</v>
      </c>
      <c r="P1150" t="s">
        <v>6360</v>
      </c>
      <c r="Q1150" t="s">
        <v>119</v>
      </c>
      <c r="R1150" t="s">
        <v>460</v>
      </c>
      <c r="S1150">
        <v>0.37</v>
      </c>
      <c r="T1150">
        <v>7184</v>
      </c>
      <c r="U1150">
        <v>0</v>
      </c>
      <c r="V1150">
        <v>7184</v>
      </c>
    </row>
    <row r="1151" spans="1:22" x14ac:dyDescent="0.3">
      <c r="A1151">
        <v>79452</v>
      </c>
      <c r="B1151">
        <v>136939482</v>
      </c>
      <c r="C1151" t="s">
        <v>6361</v>
      </c>
      <c r="D1151" t="s">
        <v>6362</v>
      </c>
      <c r="E1151" t="s">
        <v>843</v>
      </c>
      <c r="F1151" t="s">
        <v>844</v>
      </c>
      <c r="G1151" t="s">
        <v>172</v>
      </c>
      <c r="H1151" t="s">
        <v>173</v>
      </c>
      <c r="I1151" t="s">
        <v>34</v>
      </c>
      <c r="J1151" t="s">
        <v>272</v>
      </c>
      <c r="K1151" t="s">
        <v>41</v>
      </c>
      <c r="L1151" t="s">
        <v>174</v>
      </c>
      <c r="M1151" t="s">
        <v>6363</v>
      </c>
      <c r="N1151" t="s">
        <v>847</v>
      </c>
      <c r="O1151" t="s">
        <v>100</v>
      </c>
      <c r="P1151" t="s">
        <v>6364</v>
      </c>
      <c r="Q1151" t="s">
        <v>257</v>
      </c>
      <c r="R1151" t="s">
        <v>1857</v>
      </c>
      <c r="S1151">
        <v>1.43</v>
      </c>
      <c r="T1151">
        <v>6064</v>
      </c>
      <c r="U1151">
        <v>0</v>
      </c>
      <c r="V1151">
        <v>6064</v>
      </c>
    </row>
    <row r="1152" spans="1:22" x14ac:dyDescent="0.3">
      <c r="A1152">
        <v>79452</v>
      </c>
      <c r="B1152">
        <v>137203616</v>
      </c>
      <c r="C1152" t="s">
        <v>6365</v>
      </c>
      <c r="D1152" t="s">
        <v>6366</v>
      </c>
      <c r="E1152" t="s">
        <v>843</v>
      </c>
      <c r="F1152" t="s">
        <v>844</v>
      </c>
      <c r="G1152" t="s">
        <v>172</v>
      </c>
      <c r="H1152" t="s">
        <v>173</v>
      </c>
      <c r="I1152" t="s">
        <v>34</v>
      </c>
      <c r="J1152" t="s">
        <v>272</v>
      </c>
      <c r="K1152" t="s">
        <v>41</v>
      </c>
      <c r="L1152" t="s">
        <v>174</v>
      </c>
      <c r="M1152" t="s">
        <v>6367</v>
      </c>
      <c r="N1152" t="s">
        <v>847</v>
      </c>
      <c r="O1152" t="s">
        <v>100</v>
      </c>
      <c r="P1152" t="s">
        <v>6368</v>
      </c>
      <c r="Q1152" t="s">
        <v>175</v>
      </c>
      <c r="R1152" t="s">
        <v>449</v>
      </c>
      <c r="S1152">
        <v>0.55000000000000004</v>
      </c>
      <c r="T1152">
        <v>6381</v>
      </c>
      <c r="U1152">
        <v>0</v>
      </c>
      <c r="V1152">
        <v>6381</v>
      </c>
    </row>
    <row r="1153" spans="1:22" x14ac:dyDescent="0.3">
      <c r="A1153">
        <v>79452</v>
      </c>
      <c r="B1153">
        <v>136939476</v>
      </c>
      <c r="C1153" t="s">
        <v>6369</v>
      </c>
      <c r="D1153" t="s">
        <v>6370</v>
      </c>
      <c r="E1153" t="s">
        <v>843</v>
      </c>
      <c r="F1153" t="s">
        <v>844</v>
      </c>
      <c r="G1153" t="s">
        <v>172</v>
      </c>
      <c r="H1153" t="s">
        <v>173</v>
      </c>
      <c r="I1153" t="s">
        <v>34</v>
      </c>
      <c r="J1153" t="s">
        <v>272</v>
      </c>
      <c r="K1153" t="s">
        <v>41</v>
      </c>
      <c r="L1153" t="s">
        <v>174</v>
      </c>
      <c r="M1153" t="s">
        <v>6371</v>
      </c>
      <c r="N1153" t="s">
        <v>847</v>
      </c>
      <c r="O1153" t="s">
        <v>100</v>
      </c>
      <c r="P1153" t="s">
        <v>6372</v>
      </c>
      <c r="Q1153" t="s">
        <v>253</v>
      </c>
      <c r="R1153" t="s">
        <v>1857</v>
      </c>
      <c r="S1153">
        <v>0.6</v>
      </c>
      <c r="T1153">
        <v>6381</v>
      </c>
      <c r="U1153">
        <v>0</v>
      </c>
      <c r="V1153">
        <v>6381</v>
      </c>
    </row>
    <row r="1154" spans="1:22" x14ac:dyDescent="0.3">
      <c r="A1154">
        <v>79452</v>
      </c>
      <c r="B1154">
        <v>136939494</v>
      </c>
      <c r="C1154" t="s">
        <v>6373</v>
      </c>
      <c r="D1154" t="s">
        <v>6374</v>
      </c>
      <c r="E1154" t="s">
        <v>843</v>
      </c>
      <c r="F1154" t="s">
        <v>844</v>
      </c>
      <c r="G1154" t="s">
        <v>172</v>
      </c>
      <c r="H1154" t="s">
        <v>173</v>
      </c>
      <c r="I1154" t="s">
        <v>34</v>
      </c>
      <c r="J1154" t="s">
        <v>272</v>
      </c>
      <c r="K1154" t="s">
        <v>41</v>
      </c>
      <c r="L1154" t="s">
        <v>174</v>
      </c>
      <c r="M1154" t="s">
        <v>6375</v>
      </c>
      <c r="N1154" t="s">
        <v>847</v>
      </c>
      <c r="O1154" t="s">
        <v>100</v>
      </c>
      <c r="P1154" t="s">
        <v>6376</v>
      </c>
      <c r="Q1154" t="s">
        <v>180</v>
      </c>
      <c r="R1154" t="s">
        <v>1857</v>
      </c>
      <c r="S1154">
        <v>0.41</v>
      </c>
      <c r="T1154">
        <v>5964</v>
      </c>
      <c r="U1154">
        <v>0</v>
      </c>
      <c r="V1154">
        <v>5964</v>
      </c>
    </row>
    <row r="1155" spans="1:22" x14ac:dyDescent="0.3">
      <c r="A1155">
        <v>79452</v>
      </c>
      <c r="B1155">
        <v>137203612</v>
      </c>
      <c r="C1155" t="s">
        <v>6377</v>
      </c>
      <c r="D1155" t="s">
        <v>6378</v>
      </c>
      <c r="E1155" t="s">
        <v>843</v>
      </c>
      <c r="F1155" t="s">
        <v>844</v>
      </c>
      <c r="G1155" t="s">
        <v>172</v>
      </c>
      <c r="H1155" t="s">
        <v>173</v>
      </c>
      <c r="I1155" t="s">
        <v>34</v>
      </c>
      <c r="J1155" t="s">
        <v>272</v>
      </c>
      <c r="K1155" t="s">
        <v>41</v>
      </c>
      <c r="L1155" t="s">
        <v>174</v>
      </c>
      <c r="M1155" t="s">
        <v>791</v>
      </c>
      <c r="N1155" t="s">
        <v>847</v>
      </c>
      <c r="O1155" t="s">
        <v>100</v>
      </c>
      <c r="P1155" t="s">
        <v>6341</v>
      </c>
      <c r="Q1155" t="s">
        <v>386</v>
      </c>
      <c r="R1155" t="s">
        <v>449</v>
      </c>
      <c r="S1155">
        <v>0.75</v>
      </c>
      <c r="T1155">
        <v>6064</v>
      </c>
      <c r="U1155">
        <v>0</v>
      </c>
      <c r="V1155">
        <v>6064</v>
      </c>
    </row>
    <row r="1156" spans="1:22" x14ac:dyDescent="0.3">
      <c r="A1156">
        <v>79452</v>
      </c>
      <c r="B1156">
        <v>136888350</v>
      </c>
      <c r="C1156" t="s">
        <v>6379</v>
      </c>
      <c r="D1156" t="s">
        <v>6380</v>
      </c>
      <c r="E1156" t="s">
        <v>843</v>
      </c>
      <c r="F1156" t="s">
        <v>844</v>
      </c>
      <c r="G1156" t="s">
        <v>172</v>
      </c>
      <c r="H1156" t="s">
        <v>173</v>
      </c>
      <c r="I1156" t="s">
        <v>34</v>
      </c>
      <c r="J1156" t="s">
        <v>272</v>
      </c>
      <c r="K1156" t="s">
        <v>41</v>
      </c>
      <c r="L1156" t="s">
        <v>6381</v>
      </c>
      <c r="M1156" t="s">
        <v>6382</v>
      </c>
      <c r="N1156" t="s">
        <v>847</v>
      </c>
      <c r="O1156" t="s">
        <v>100</v>
      </c>
      <c r="P1156" t="s">
        <v>6383</v>
      </c>
      <c r="Q1156" t="s">
        <v>104</v>
      </c>
      <c r="R1156" t="s">
        <v>418</v>
      </c>
      <c r="S1156">
        <v>0.64</v>
      </c>
      <c r="T1156">
        <v>3915</v>
      </c>
      <c r="U1156">
        <v>0</v>
      </c>
      <c r="V1156">
        <v>3915</v>
      </c>
    </row>
    <row r="1157" spans="1:22" x14ac:dyDescent="0.3">
      <c r="A1157">
        <v>79452</v>
      </c>
      <c r="B1157">
        <v>136634978</v>
      </c>
      <c r="C1157" t="s">
        <v>6384</v>
      </c>
      <c r="D1157" t="s">
        <v>6385</v>
      </c>
      <c r="E1157" t="s">
        <v>843</v>
      </c>
      <c r="F1157" t="s">
        <v>844</v>
      </c>
      <c r="G1157" t="s">
        <v>172</v>
      </c>
      <c r="H1157" t="s">
        <v>173</v>
      </c>
      <c r="I1157" t="s">
        <v>34</v>
      </c>
      <c r="J1157" t="s">
        <v>272</v>
      </c>
      <c r="K1157" t="s">
        <v>41</v>
      </c>
      <c r="L1157" t="s">
        <v>174</v>
      </c>
      <c r="M1157" t="s">
        <v>6386</v>
      </c>
      <c r="N1157" t="s">
        <v>847</v>
      </c>
      <c r="O1157" t="s">
        <v>100</v>
      </c>
      <c r="P1157" t="s">
        <v>6387</v>
      </c>
      <c r="Q1157" t="s">
        <v>237</v>
      </c>
      <c r="R1157" t="s">
        <v>475</v>
      </c>
      <c r="S1157">
        <v>0.56999999999999995</v>
      </c>
      <c r="T1157">
        <v>5992</v>
      </c>
      <c r="U1157">
        <v>0</v>
      </c>
      <c r="V1157">
        <v>5992</v>
      </c>
    </row>
    <row r="1158" spans="1:22" x14ac:dyDescent="0.3">
      <c r="A1158">
        <v>79452</v>
      </c>
      <c r="B1158">
        <v>136680871</v>
      </c>
      <c r="C1158" t="s">
        <v>6388</v>
      </c>
      <c r="D1158" t="s">
        <v>6389</v>
      </c>
      <c r="E1158" t="s">
        <v>843</v>
      </c>
      <c r="F1158" t="s">
        <v>844</v>
      </c>
      <c r="G1158" t="s">
        <v>172</v>
      </c>
      <c r="H1158" t="s">
        <v>173</v>
      </c>
      <c r="I1158" t="s">
        <v>34</v>
      </c>
      <c r="J1158" t="s">
        <v>272</v>
      </c>
      <c r="K1158" t="s">
        <v>41</v>
      </c>
      <c r="L1158" t="s">
        <v>174</v>
      </c>
      <c r="M1158" t="s">
        <v>6390</v>
      </c>
      <c r="N1158" t="s">
        <v>847</v>
      </c>
      <c r="O1158" t="s">
        <v>100</v>
      </c>
      <c r="P1158" t="s">
        <v>6391</v>
      </c>
      <c r="Q1158" t="s">
        <v>107</v>
      </c>
      <c r="R1158" t="s">
        <v>365</v>
      </c>
      <c r="S1158">
        <v>0.52</v>
      </c>
      <c r="T1158">
        <v>3915</v>
      </c>
      <c r="U1158">
        <v>0</v>
      </c>
      <c r="V1158">
        <v>3915</v>
      </c>
    </row>
    <row r="1159" spans="1:22" x14ac:dyDescent="0.3">
      <c r="A1159">
        <v>79452</v>
      </c>
      <c r="B1159">
        <v>136723354</v>
      </c>
      <c r="C1159" t="s">
        <v>6392</v>
      </c>
      <c r="D1159" t="s">
        <v>6393</v>
      </c>
      <c r="E1159" t="s">
        <v>843</v>
      </c>
      <c r="F1159" t="s">
        <v>844</v>
      </c>
      <c r="G1159" t="s">
        <v>172</v>
      </c>
      <c r="H1159" t="s">
        <v>173</v>
      </c>
      <c r="I1159" t="s">
        <v>34</v>
      </c>
      <c r="J1159" t="s">
        <v>272</v>
      </c>
      <c r="K1159" t="s">
        <v>41</v>
      </c>
      <c r="L1159" t="s">
        <v>174</v>
      </c>
      <c r="M1159" t="s">
        <v>6394</v>
      </c>
      <c r="N1159" t="s">
        <v>847</v>
      </c>
      <c r="O1159" t="s">
        <v>100</v>
      </c>
      <c r="P1159" t="s">
        <v>6395</v>
      </c>
      <c r="Q1159" t="s">
        <v>428</v>
      </c>
      <c r="R1159" t="s">
        <v>1338</v>
      </c>
      <c r="S1159">
        <v>0.46</v>
      </c>
      <c r="T1159">
        <v>11337</v>
      </c>
      <c r="U1159">
        <v>0</v>
      </c>
      <c r="V1159">
        <v>11337</v>
      </c>
    </row>
    <row r="1160" spans="1:22" x14ac:dyDescent="0.3">
      <c r="A1160">
        <v>79452</v>
      </c>
      <c r="B1160">
        <v>136888386</v>
      </c>
      <c r="C1160" t="s">
        <v>6396</v>
      </c>
      <c r="D1160" t="s">
        <v>6397</v>
      </c>
      <c r="E1160" t="s">
        <v>843</v>
      </c>
      <c r="F1160" t="s">
        <v>844</v>
      </c>
      <c r="G1160" t="s">
        <v>172</v>
      </c>
      <c r="H1160" t="s">
        <v>173</v>
      </c>
      <c r="I1160" t="s">
        <v>34</v>
      </c>
      <c r="J1160" t="s">
        <v>272</v>
      </c>
      <c r="K1160" t="s">
        <v>44</v>
      </c>
      <c r="L1160" t="s">
        <v>6398</v>
      </c>
      <c r="M1160" t="s">
        <v>6399</v>
      </c>
      <c r="N1160" t="s">
        <v>847</v>
      </c>
      <c r="O1160" t="s">
        <v>100</v>
      </c>
      <c r="P1160" t="s">
        <v>6400</v>
      </c>
      <c r="Q1160" t="s">
        <v>316</v>
      </c>
      <c r="R1160" t="s">
        <v>418</v>
      </c>
      <c r="S1160">
        <v>0.66</v>
      </c>
      <c r="T1160">
        <v>6064</v>
      </c>
      <c r="U1160">
        <v>0</v>
      </c>
      <c r="V1160">
        <v>6064</v>
      </c>
    </row>
    <row r="1161" spans="1:22" x14ac:dyDescent="0.3">
      <c r="A1161">
        <v>79452</v>
      </c>
      <c r="B1161">
        <v>136888393</v>
      </c>
      <c r="C1161" t="s">
        <v>6401</v>
      </c>
      <c r="D1161" t="s">
        <v>6402</v>
      </c>
      <c r="E1161" t="s">
        <v>843</v>
      </c>
      <c r="F1161" t="s">
        <v>844</v>
      </c>
      <c r="G1161" t="s">
        <v>172</v>
      </c>
      <c r="H1161" t="s">
        <v>173</v>
      </c>
      <c r="I1161" t="s">
        <v>34</v>
      </c>
      <c r="J1161" t="s">
        <v>272</v>
      </c>
      <c r="K1161" t="s">
        <v>41</v>
      </c>
      <c r="L1161" t="s">
        <v>6403</v>
      </c>
      <c r="M1161" t="s">
        <v>6404</v>
      </c>
      <c r="N1161" t="s">
        <v>847</v>
      </c>
      <c r="O1161" t="s">
        <v>100</v>
      </c>
      <c r="P1161" t="s">
        <v>6405</v>
      </c>
      <c r="Q1161" t="s">
        <v>103</v>
      </c>
      <c r="R1161" t="s">
        <v>418</v>
      </c>
      <c r="S1161">
        <v>0.24</v>
      </c>
      <c r="T1161">
        <v>3776</v>
      </c>
      <c r="U1161">
        <v>0</v>
      </c>
      <c r="V1161">
        <v>3776</v>
      </c>
    </row>
    <row r="1162" spans="1:22" x14ac:dyDescent="0.3">
      <c r="A1162">
        <v>79452</v>
      </c>
      <c r="B1162">
        <v>136634930</v>
      </c>
      <c r="C1162" t="s">
        <v>6406</v>
      </c>
      <c r="D1162" t="s">
        <v>6407</v>
      </c>
      <c r="E1162" t="s">
        <v>843</v>
      </c>
      <c r="F1162" t="s">
        <v>844</v>
      </c>
      <c r="G1162" t="s">
        <v>172</v>
      </c>
      <c r="H1162" t="s">
        <v>173</v>
      </c>
      <c r="I1162" t="s">
        <v>34</v>
      </c>
      <c r="J1162" t="s">
        <v>272</v>
      </c>
      <c r="K1162" t="s">
        <v>41</v>
      </c>
      <c r="L1162" t="s">
        <v>174</v>
      </c>
      <c r="M1162" t="s">
        <v>6408</v>
      </c>
      <c r="N1162" t="s">
        <v>847</v>
      </c>
      <c r="O1162" t="s">
        <v>100</v>
      </c>
      <c r="P1162" t="s">
        <v>6409</v>
      </c>
      <c r="Q1162" t="s">
        <v>238</v>
      </c>
      <c r="R1162" t="s">
        <v>792</v>
      </c>
      <c r="S1162">
        <v>1.89</v>
      </c>
      <c r="T1162">
        <v>7087</v>
      </c>
      <c r="U1162">
        <v>0</v>
      </c>
      <c r="V1162">
        <v>7087</v>
      </c>
    </row>
    <row r="1163" spans="1:22" x14ac:dyDescent="0.3">
      <c r="A1163">
        <v>79452</v>
      </c>
      <c r="B1163">
        <v>136792538</v>
      </c>
      <c r="C1163" t="s">
        <v>6410</v>
      </c>
      <c r="D1163" t="s">
        <v>6411</v>
      </c>
      <c r="E1163" t="s">
        <v>843</v>
      </c>
      <c r="F1163" t="s">
        <v>844</v>
      </c>
      <c r="G1163" t="s">
        <v>172</v>
      </c>
      <c r="H1163" t="s">
        <v>173</v>
      </c>
      <c r="I1163" t="s">
        <v>34</v>
      </c>
      <c r="J1163" t="s">
        <v>272</v>
      </c>
      <c r="K1163" t="s">
        <v>41</v>
      </c>
      <c r="L1163" t="s">
        <v>174</v>
      </c>
      <c r="M1163" t="s">
        <v>6412</v>
      </c>
      <c r="N1163" t="s">
        <v>847</v>
      </c>
      <c r="O1163" t="s">
        <v>100</v>
      </c>
      <c r="P1163" t="s">
        <v>6413</v>
      </c>
      <c r="Q1163" t="s">
        <v>103</v>
      </c>
      <c r="R1163" t="s">
        <v>2207</v>
      </c>
      <c r="S1163">
        <v>0.4</v>
      </c>
      <c r="T1163">
        <v>3776</v>
      </c>
      <c r="U1163">
        <v>0</v>
      </c>
      <c r="V1163">
        <v>3776</v>
      </c>
    </row>
    <row r="1164" spans="1:22" x14ac:dyDescent="0.3">
      <c r="A1164">
        <v>79452</v>
      </c>
      <c r="B1164">
        <v>136756165</v>
      </c>
      <c r="C1164" t="s">
        <v>6414</v>
      </c>
      <c r="D1164" t="s">
        <v>6415</v>
      </c>
      <c r="E1164" t="s">
        <v>843</v>
      </c>
      <c r="F1164" t="s">
        <v>844</v>
      </c>
      <c r="G1164" t="s">
        <v>172</v>
      </c>
      <c r="H1164" t="s">
        <v>173</v>
      </c>
      <c r="I1164" t="s">
        <v>34</v>
      </c>
      <c r="J1164" t="s">
        <v>272</v>
      </c>
      <c r="K1164" t="s">
        <v>41</v>
      </c>
      <c r="L1164" t="s">
        <v>6416</v>
      </c>
      <c r="M1164" t="s">
        <v>6417</v>
      </c>
      <c r="N1164" t="s">
        <v>847</v>
      </c>
      <c r="O1164" t="s">
        <v>100</v>
      </c>
      <c r="P1164" t="s">
        <v>6418</v>
      </c>
      <c r="Q1164" t="s">
        <v>241</v>
      </c>
      <c r="R1164" t="s">
        <v>782</v>
      </c>
      <c r="S1164">
        <v>0.51</v>
      </c>
      <c r="T1164">
        <v>3915</v>
      </c>
      <c r="U1164">
        <v>0</v>
      </c>
      <c r="V1164">
        <v>3915</v>
      </c>
    </row>
    <row r="1165" spans="1:22" x14ac:dyDescent="0.3">
      <c r="A1165">
        <v>79452</v>
      </c>
      <c r="B1165">
        <v>136756172</v>
      </c>
      <c r="C1165" t="s">
        <v>6419</v>
      </c>
      <c r="D1165" t="s">
        <v>6420</v>
      </c>
      <c r="E1165" t="s">
        <v>843</v>
      </c>
      <c r="F1165" t="s">
        <v>844</v>
      </c>
      <c r="G1165" t="s">
        <v>172</v>
      </c>
      <c r="H1165" t="s">
        <v>173</v>
      </c>
      <c r="I1165" t="s">
        <v>34</v>
      </c>
      <c r="J1165" t="s">
        <v>272</v>
      </c>
      <c r="K1165" t="s">
        <v>41</v>
      </c>
      <c r="L1165" t="s">
        <v>6421</v>
      </c>
      <c r="M1165" t="s">
        <v>6422</v>
      </c>
      <c r="N1165" t="s">
        <v>847</v>
      </c>
      <c r="O1165" t="s">
        <v>100</v>
      </c>
      <c r="P1165" t="s">
        <v>6423</v>
      </c>
      <c r="Q1165" t="s">
        <v>131</v>
      </c>
      <c r="R1165" t="s">
        <v>782</v>
      </c>
      <c r="S1165">
        <v>1.96</v>
      </c>
      <c r="T1165">
        <v>6800</v>
      </c>
      <c r="U1165">
        <v>0</v>
      </c>
      <c r="V1165">
        <v>6800</v>
      </c>
    </row>
    <row r="1166" spans="1:22" x14ac:dyDescent="0.3">
      <c r="A1166">
        <v>79452</v>
      </c>
      <c r="B1166">
        <v>136723327</v>
      </c>
      <c r="C1166" t="s">
        <v>6424</v>
      </c>
      <c r="D1166" t="s">
        <v>6425</v>
      </c>
      <c r="E1166" t="s">
        <v>843</v>
      </c>
      <c r="F1166" t="s">
        <v>844</v>
      </c>
      <c r="G1166" t="s">
        <v>172</v>
      </c>
      <c r="H1166" t="s">
        <v>173</v>
      </c>
      <c r="I1166" t="s">
        <v>34</v>
      </c>
      <c r="J1166" t="s">
        <v>272</v>
      </c>
      <c r="K1166" t="s">
        <v>41</v>
      </c>
      <c r="L1166" t="s">
        <v>174</v>
      </c>
      <c r="M1166" t="s">
        <v>122</v>
      </c>
      <c r="N1166" t="s">
        <v>847</v>
      </c>
      <c r="O1166" t="s">
        <v>100</v>
      </c>
      <c r="P1166" t="s">
        <v>6426</v>
      </c>
      <c r="Q1166" t="s">
        <v>241</v>
      </c>
      <c r="R1166" t="s">
        <v>1338</v>
      </c>
      <c r="S1166">
        <v>1.29</v>
      </c>
      <c r="T1166">
        <v>3915</v>
      </c>
      <c r="U1166">
        <v>0</v>
      </c>
      <c r="V1166">
        <v>3915</v>
      </c>
    </row>
    <row r="1167" spans="1:22" x14ac:dyDescent="0.3">
      <c r="A1167">
        <v>79452</v>
      </c>
      <c r="B1167">
        <v>136825355</v>
      </c>
      <c r="C1167" t="s">
        <v>6427</v>
      </c>
      <c r="D1167" t="s">
        <v>6428</v>
      </c>
      <c r="E1167" t="s">
        <v>843</v>
      </c>
      <c r="F1167" t="s">
        <v>844</v>
      </c>
      <c r="G1167" t="s">
        <v>172</v>
      </c>
      <c r="H1167" t="s">
        <v>173</v>
      </c>
      <c r="I1167" t="s">
        <v>34</v>
      </c>
      <c r="J1167" t="s">
        <v>272</v>
      </c>
      <c r="K1167" t="s">
        <v>41</v>
      </c>
      <c r="L1167" t="s">
        <v>174</v>
      </c>
      <c r="M1167" t="s">
        <v>6429</v>
      </c>
      <c r="N1167" t="s">
        <v>847</v>
      </c>
      <c r="O1167" t="s">
        <v>100</v>
      </c>
      <c r="P1167" t="s">
        <v>6430</v>
      </c>
      <c r="Q1167" t="s">
        <v>86</v>
      </c>
      <c r="R1167" t="s">
        <v>155</v>
      </c>
      <c r="S1167">
        <v>1.46</v>
      </c>
      <c r="T1167">
        <v>5992</v>
      </c>
      <c r="U1167">
        <v>0</v>
      </c>
      <c r="V1167">
        <v>5992</v>
      </c>
    </row>
    <row r="1168" spans="1:22" x14ac:dyDescent="0.3">
      <c r="A1168">
        <v>79452</v>
      </c>
      <c r="B1168">
        <v>136635077</v>
      </c>
      <c r="C1168" t="s">
        <v>6431</v>
      </c>
      <c r="D1168" t="s">
        <v>6432</v>
      </c>
      <c r="E1168" t="s">
        <v>843</v>
      </c>
      <c r="F1168" t="s">
        <v>844</v>
      </c>
      <c r="G1168" t="s">
        <v>172</v>
      </c>
      <c r="H1168" t="s">
        <v>173</v>
      </c>
      <c r="I1168" t="s">
        <v>34</v>
      </c>
      <c r="J1168" t="s">
        <v>272</v>
      </c>
      <c r="K1168" t="s">
        <v>41</v>
      </c>
      <c r="L1168" t="s">
        <v>174</v>
      </c>
      <c r="M1168" t="s">
        <v>6433</v>
      </c>
      <c r="N1168" t="s">
        <v>847</v>
      </c>
      <c r="O1168" t="s">
        <v>100</v>
      </c>
      <c r="P1168" t="s">
        <v>6434</v>
      </c>
      <c r="Q1168" t="s">
        <v>416</v>
      </c>
      <c r="R1168" t="s">
        <v>2480</v>
      </c>
      <c r="S1168">
        <v>0.73</v>
      </c>
      <c r="T1168">
        <v>36898</v>
      </c>
      <c r="U1168">
        <v>0</v>
      </c>
      <c r="V1168">
        <v>36898</v>
      </c>
    </row>
    <row r="1169" spans="1:22" x14ac:dyDescent="0.3">
      <c r="A1169">
        <v>79452</v>
      </c>
      <c r="B1169">
        <v>136859639</v>
      </c>
      <c r="C1169" t="s">
        <v>6435</v>
      </c>
      <c r="D1169" t="s">
        <v>6436</v>
      </c>
      <c r="E1169" t="s">
        <v>843</v>
      </c>
      <c r="F1169" t="s">
        <v>844</v>
      </c>
      <c r="G1169" t="s">
        <v>172</v>
      </c>
      <c r="H1169" t="s">
        <v>173</v>
      </c>
      <c r="I1169" t="s">
        <v>34</v>
      </c>
      <c r="J1169" t="s">
        <v>272</v>
      </c>
      <c r="K1169" t="s">
        <v>41</v>
      </c>
      <c r="L1169" t="s">
        <v>6437</v>
      </c>
      <c r="M1169" t="s">
        <v>6438</v>
      </c>
      <c r="N1169" t="s">
        <v>847</v>
      </c>
      <c r="O1169" t="s">
        <v>100</v>
      </c>
      <c r="P1169" t="s">
        <v>6439</v>
      </c>
      <c r="Q1169" t="s">
        <v>116</v>
      </c>
      <c r="R1169" t="s">
        <v>328</v>
      </c>
      <c r="S1169">
        <v>2.2000000000000002</v>
      </c>
      <c r="T1169">
        <v>4168</v>
      </c>
      <c r="U1169">
        <v>0</v>
      </c>
      <c r="V1169">
        <v>4168</v>
      </c>
    </row>
    <row r="1170" spans="1:22" x14ac:dyDescent="0.3">
      <c r="A1170">
        <v>79452</v>
      </c>
      <c r="B1170">
        <v>136635063</v>
      </c>
      <c r="C1170" t="s">
        <v>6440</v>
      </c>
      <c r="D1170" t="s">
        <v>6441</v>
      </c>
      <c r="E1170" t="s">
        <v>843</v>
      </c>
      <c r="F1170" t="s">
        <v>844</v>
      </c>
      <c r="G1170" t="s">
        <v>172</v>
      </c>
      <c r="H1170" t="s">
        <v>173</v>
      </c>
      <c r="I1170" t="s">
        <v>34</v>
      </c>
      <c r="J1170" t="s">
        <v>272</v>
      </c>
      <c r="K1170" t="s">
        <v>41</v>
      </c>
      <c r="L1170" t="s">
        <v>174</v>
      </c>
      <c r="M1170" t="s">
        <v>6442</v>
      </c>
      <c r="N1170" t="s">
        <v>847</v>
      </c>
      <c r="O1170" t="s">
        <v>100</v>
      </c>
      <c r="P1170" t="s">
        <v>6443</v>
      </c>
      <c r="Q1170" t="s">
        <v>103</v>
      </c>
      <c r="R1170" t="s">
        <v>475</v>
      </c>
      <c r="S1170">
        <v>0.86</v>
      </c>
      <c r="T1170">
        <v>3915</v>
      </c>
      <c r="U1170">
        <v>0</v>
      </c>
      <c r="V1170">
        <v>3915</v>
      </c>
    </row>
    <row r="1171" spans="1:22" x14ac:dyDescent="0.3">
      <c r="A1171">
        <v>79452</v>
      </c>
      <c r="B1171">
        <v>136756171</v>
      </c>
      <c r="C1171" t="s">
        <v>6444</v>
      </c>
      <c r="D1171" t="s">
        <v>6445</v>
      </c>
      <c r="E1171" t="s">
        <v>843</v>
      </c>
      <c r="F1171" t="s">
        <v>844</v>
      </c>
      <c r="G1171" t="s">
        <v>172</v>
      </c>
      <c r="H1171" t="s">
        <v>173</v>
      </c>
      <c r="I1171" t="s">
        <v>34</v>
      </c>
      <c r="J1171" t="s">
        <v>272</v>
      </c>
      <c r="K1171" t="s">
        <v>41</v>
      </c>
      <c r="L1171" t="s">
        <v>734</v>
      </c>
      <c r="M1171" t="s">
        <v>6446</v>
      </c>
      <c r="N1171" t="s">
        <v>847</v>
      </c>
      <c r="O1171" t="s">
        <v>100</v>
      </c>
      <c r="P1171" t="s">
        <v>6447</v>
      </c>
      <c r="Q1171" t="s">
        <v>237</v>
      </c>
      <c r="R1171" t="s">
        <v>782</v>
      </c>
      <c r="S1171">
        <v>1.57</v>
      </c>
      <c r="T1171">
        <v>6800</v>
      </c>
      <c r="U1171">
        <v>0</v>
      </c>
      <c r="V1171">
        <v>6800</v>
      </c>
    </row>
    <row r="1172" spans="1:22" x14ac:dyDescent="0.3">
      <c r="A1172">
        <v>79452</v>
      </c>
      <c r="B1172">
        <v>136756189</v>
      </c>
      <c r="C1172" t="s">
        <v>6448</v>
      </c>
      <c r="D1172" t="s">
        <v>6449</v>
      </c>
      <c r="E1172" t="s">
        <v>843</v>
      </c>
      <c r="F1172" t="s">
        <v>844</v>
      </c>
      <c r="G1172" t="s">
        <v>172</v>
      </c>
      <c r="H1172" t="s">
        <v>173</v>
      </c>
      <c r="I1172" t="s">
        <v>34</v>
      </c>
      <c r="J1172" t="s">
        <v>272</v>
      </c>
      <c r="K1172" t="s">
        <v>41</v>
      </c>
      <c r="L1172" t="s">
        <v>6450</v>
      </c>
      <c r="M1172" t="s">
        <v>576</v>
      </c>
      <c r="N1172" t="s">
        <v>847</v>
      </c>
      <c r="O1172" t="s">
        <v>100</v>
      </c>
      <c r="P1172" t="s">
        <v>6451</v>
      </c>
      <c r="Q1172" t="s">
        <v>103</v>
      </c>
      <c r="R1172" t="s">
        <v>782</v>
      </c>
      <c r="S1172">
        <v>0.56999999999999995</v>
      </c>
      <c r="T1172">
        <v>3915</v>
      </c>
      <c r="U1172">
        <v>0</v>
      </c>
      <c r="V1172">
        <v>3915</v>
      </c>
    </row>
    <row r="1173" spans="1:22" x14ac:dyDescent="0.3">
      <c r="A1173">
        <v>79452</v>
      </c>
      <c r="B1173">
        <v>136680842</v>
      </c>
      <c r="C1173" t="s">
        <v>6452</v>
      </c>
      <c r="D1173" t="s">
        <v>6453</v>
      </c>
      <c r="E1173" t="s">
        <v>843</v>
      </c>
      <c r="F1173" t="s">
        <v>844</v>
      </c>
      <c r="G1173" t="s">
        <v>172</v>
      </c>
      <c r="H1173" t="s">
        <v>173</v>
      </c>
      <c r="I1173" t="s">
        <v>34</v>
      </c>
      <c r="J1173" t="s">
        <v>272</v>
      </c>
      <c r="K1173" t="s">
        <v>41</v>
      </c>
      <c r="L1173" t="s">
        <v>174</v>
      </c>
      <c r="M1173" t="s">
        <v>6454</v>
      </c>
      <c r="N1173" t="s">
        <v>847</v>
      </c>
      <c r="O1173" t="s">
        <v>100</v>
      </c>
      <c r="P1173" t="s">
        <v>6455</v>
      </c>
      <c r="Q1173" t="s">
        <v>86</v>
      </c>
      <c r="R1173" t="s">
        <v>365</v>
      </c>
      <c r="S1173">
        <v>0.73</v>
      </c>
      <c r="T1173">
        <v>5992</v>
      </c>
      <c r="U1173">
        <v>0</v>
      </c>
      <c r="V1173">
        <v>5992</v>
      </c>
    </row>
    <row r="1174" spans="1:22" x14ac:dyDescent="0.3">
      <c r="A1174">
        <v>79452</v>
      </c>
      <c r="B1174">
        <v>136635047</v>
      </c>
      <c r="C1174" t="s">
        <v>6456</v>
      </c>
      <c r="D1174" t="s">
        <v>6457</v>
      </c>
      <c r="E1174" t="s">
        <v>843</v>
      </c>
      <c r="F1174" t="s">
        <v>844</v>
      </c>
      <c r="G1174" t="s">
        <v>172</v>
      </c>
      <c r="H1174" t="s">
        <v>173</v>
      </c>
      <c r="I1174" t="s">
        <v>34</v>
      </c>
      <c r="J1174" t="s">
        <v>272</v>
      </c>
      <c r="K1174" t="s">
        <v>41</v>
      </c>
      <c r="L1174" t="s">
        <v>174</v>
      </c>
      <c r="M1174" t="s">
        <v>6458</v>
      </c>
      <c r="N1174" t="s">
        <v>847</v>
      </c>
      <c r="O1174" t="s">
        <v>100</v>
      </c>
      <c r="P1174" t="s">
        <v>6459</v>
      </c>
      <c r="Q1174" t="s">
        <v>278</v>
      </c>
      <c r="R1174" t="s">
        <v>475</v>
      </c>
      <c r="S1174">
        <v>0.28000000000000003</v>
      </c>
      <c r="T1174">
        <v>5733</v>
      </c>
      <c r="U1174">
        <v>0</v>
      </c>
      <c r="V1174">
        <v>5733</v>
      </c>
    </row>
    <row r="1175" spans="1:22" x14ac:dyDescent="0.3">
      <c r="A1175">
        <v>79452</v>
      </c>
      <c r="B1175">
        <v>136634974</v>
      </c>
      <c r="C1175" t="s">
        <v>6460</v>
      </c>
      <c r="D1175" t="s">
        <v>6461</v>
      </c>
      <c r="E1175" t="s">
        <v>843</v>
      </c>
      <c r="F1175" t="s">
        <v>844</v>
      </c>
      <c r="G1175" t="s">
        <v>172</v>
      </c>
      <c r="H1175" t="s">
        <v>173</v>
      </c>
      <c r="I1175" t="s">
        <v>34</v>
      </c>
      <c r="J1175" t="s">
        <v>272</v>
      </c>
      <c r="K1175" t="s">
        <v>41</v>
      </c>
      <c r="L1175" t="s">
        <v>174</v>
      </c>
      <c r="M1175" t="s">
        <v>6462</v>
      </c>
      <c r="N1175" t="s">
        <v>847</v>
      </c>
      <c r="O1175" t="s">
        <v>100</v>
      </c>
      <c r="P1175" t="s">
        <v>6463</v>
      </c>
      <c r="Q1175" t="s">
        <v>237</v>
      </c>
      <c r="R1175" t="s">
        <v>475</v>
      </c>
      <c r="S1175">
        <v>1.2</v>
      </c>
      <c r="T1175">
        <v>5992</v>
      </c>
      <c r="U1175">
        <v>0</v>
      </c>
      <c r="V1175">
        <v>5992</v>
      </c>
    </row>
    <row r="1176" spans="1:22" x14ac:dyDescent="0.3">
      <c r="A1176">
        <v>79452</v>
      </c>
      <c r="B1176">
        <v>136825401</v>
      </c>
      <c r="C1176" t="s">
        <v>6464</v>
      </c>
      <c r="D1176" t="s">
        <v>6465</v>
      </c>
      <c r="E1176" t="s">
        <v>843</v>
      </c>
      <c r="F1176" t="s">
        <v>844</v>
      </c>
      <c r="G1176" t="s">
        <v>172</v>
      </c>
      <c r="H1176" t="s">
        <v>173</v>
      </c>
      <c r="I1176" t="s">
        <v>34</v>
      </c>
      <c r="J1176" t="s">
        <v>272</v>
      </c>
      <c r="K1176" t="s">
        <v>41</v>
      </c>
      <c r="L1176" t="s">
        <v>174</v>
      </c>
      <c r="M1176" t="s">
        <v>6082</v>
      </c>
      <c r="N1176" t="s">
        <v>847</v>
      </c>
      <c r="O1176" t="s">
        <v>100</v>
      </c>
      <c r="P1176" t="s">
        <v>6083</v>
      </c>
      <c r="Q1176" t="s">
        <v>104</v>
      </c>
      <c r="R1176" t="s">
        <v>155</v>
      </c>
      <c r="S1176">
        <v>0.71</v>
      </c>
      <c r="T1176">
        <v>3915</v>
      </c>
      <c r="U1176">
        <v>0</v>
      </c>
      <c r="V1176">
        <v>3915</v>
      </c>
    </row>
    <row r="1177" spans="1:22" x14ac:dyDescent="0.3">
      <c r="A1177">
        <v>79452</v>
      </c>
      <c r="B1177">
        <v>136859646</v>
      </c>
      <c r="C1177" t="s">
        <v>6466</v>
      </c>
      <c r="D1177" t="s">
        <v>6467</v>
      </c>
      <c r="E1177" t="s">
        <v>843</v>
      </c>
      <c r="F1177" t="s">
        <v>844</v>
      </c>
      <c r="G1177" t="s">
        <v>172</v>
      </c>
      <c r="H1177" t="s">
        <v>173</v>
      </c>
      <c r="I1177" t="s">
        <v>34</v>
      </c>
      <c r="J1177" t="s">
        <v>272</v>
      </c>
      <c r="K1177" t="s">
        <v>41</v>
      </c>
      <c r="L1177" t="s">
        <v>6468</v>
      </c>
      <c r="M1177" t="s">
        <v>6469</v>
      </c>
      <c r="N1177" t="s">
        <v>847</v>
      </c>
      <c r="O1177" t="s">
        <v>100</v>
      </c>
      <c r="P1177" t="s">
        <v>6470</v>
      </c>
      <c r="Q1177" t="s">
        <v>390</v>
      </c>
      <c r="R1177" t="s">
        <v>328</v>
      </c>
      <c r="S1177">
        <v>0.44</v>
      </c>
      <c r="T1177">
        <v>5964</v>
      </c>
      <c r="U1177">
        <v>0</v>
      </c>
      <c r="V1177">
        <v>5964</v>
      </c>
    </row>
    <row r="1178" spans="1:22" x14ac:dyDescent="0.3">
      <c r="A1178">
        <v>79452</v>
      </c>
      <c r="B1178">
        <v>136680861</v>
      </c>
      <c r="C1178" t="s">
        <v>6471</v>
      </c>
      <c r="D1178" t="s">
        <v>6472</v>
      </c>
      <c r="E1178" t="s">
        <v>843</v>
      </c>
      <c r="F1178" t="s">
        <v>844</v>
      </c>
      <c r="G1178" t="s">
        <v>172</v>
      </c>
      <c r="H1178" t="s">
        <v>173</v>
      </c>
      <c r="I1178" t="s">
        <v>34</v>
      </c>
      <c r="J1178" t="s">
        <v>272</v>
      </c>
      <c r="K1178" t="s">
        <v>41</v>
      </c>
      <c r="L1178" t="s">
        <v>174</v>
      </c>
      <c r="M1178" t="s">
        <v>6473</v>
      </c>
      <c r="N1178" t="s">
        <v>847</v>
      </c>
      <c r="O1178" t="s">
        <v>100</v>
      </c>
      <c r="P1178" t="s">
        <v>6474</v>
      </c>
      <c r="Q1178" t="s">
        <v>175</v>
      </c>
      <c r="R1178" t="s">
        <v>365</v>
      </c>
      <c r="S1178">
        <v>0.59</v>
      </c>
      <c r="T1178">
        <v>6381</v>
      </c>
      <c r="U1178">
        <v>0</v>
      </c>
      <c r="V1178">
        <v>6381</v>
      </c>
    </row>
    <row r="1179" spans="1:22" x14ac:dyDescent="0.3">
      <c r="A1179">
        <v>79452</v>
      </c>
      <c r="B1179">
        <v>136825363</v>
      </c>
      <c r="C1179" t="s">
        <v>6475</v>
      </c>
      <c r="D1179" t="s">
        <v>6476</v>
      </c>
      <c r="E1179" t="s">
        <v>843</v>
      </c>
      <c r="F1179" t="s">
        <v>844</v>
      </c>
      <c r="G1179" t="s">
        <v>172</v>
      </c>
      <c r="H1179" t="s">
        <v>173</v>
      </c>
      <c r="I1179" t="s">
        <v>34</v>
      </c>
      <c r="J1179" t="s">
        <v>272</v>
      </c>
      <c r="K1179" t="s">
        <v>41</v>
      </c>
      <c r="L1179" t="s">
        <v>174</v>
      </c>
      <c r="M1179" t="s">
        <v>6477</v>
      </c>
      <c r="N1179" t="s">
        <v>847</v>
      </c>
      <c r="O1179" t="s">
        <v>100</v>
      </c>
      <c r="P1179" t="s">
        <v>6478</v>
      </c>
      <c r="Q1179" t="s">
        <v>86</v>
      </c>
      <c r="R1179" t="s">
        <v>155</v>
      </c>
      <c r="S1179">
        <v>0.68</v>
      </c>
      <c r="T1179">
        <v>5992</v>
      </c>
      <c r="U1179">
        <v>0</v>
      </c>
      <c r="V1179">
        <v>5992</v>
      </c>
    </row>
    <row r="1180" spans="1:22" x14ac:dyDescent="0.3">
      <c r="A1180">
        <v>79452</v>
      </c>
      <c r="B1180">
        <v>136723368</v>
      </c>
      <c r="C1180" t="s">
        <v>6479</v>
      </c>
      <c r="D1180" t="s">
        <v>6480</v>
      </c>
      <c r="E1180" t="s">
        <v>843</v>
      </c>
      <c r="F1180" t="s">
        <v>844</v>
      </c>
      <c r="G1180" t="s">
        <v>172</v>
      </c>
      <c r="H1180" t="s">
        <v>173</v>
      </c>
      <c r="I1180" t="s">
        <v>34</v>
      </c>
      <c r="J1180" t="s">
        <v>272</v>
      </c>
      <c r="K1180" t="s">
        <v>41</v>
      </c>
      <c r="L1180" t="s">
        <v>174</v>
      </c>
      <c r="M1180" t="s">
        <v>6481</v>
      </c>
      <c r="N1180" t="s">
        <v>847</v>
      </c>
      <c r="O1180" t="s">
        <v>100</v>
      </c>
      <c r="P1180" t="s">
        <v>6482</v>
      </c>
      <c r="Q1180" t="s">
        <v>250</v>
      </c>
      <c r="R1180" t="s">
        <v>1338</v>
      </c>
      <c r="S1180">
        <v>0.71</v>
      </c>
      <c r="T1180">
        <v>6381</v>
      </c>
      <c r="U1180">
        <v>0</v>
      </c>
      <c r="V1180">
        <v>6381</v>
      </c>
    </row>
    <row r="1181" spans="1:22" x14ac:dyDescent="0.3">
      <c r="A1181">
        <v>79452</v>
      </c>
      <c r="B1181">
        <v>136635031</v>
      </c>
      <c r="C1181" t="s">
        <v>6483</v>
      </c>
      <c r="D1181" t="s">
        <v>6484</v>
      </c>
      <c r="E1181" t="s">
        <v>843</v>
      </c>
      <c r="F1181" t="s">
        <v>844</v>
      </c>
      <c r="G1181" t="s">
        <v>172</v>
      </c>
      <c r="H1181" t="s">
        <v>173</v>
      </c>
      <c r="I1181" t="s">
        <v>34</v>
      </c>
      <c r="J1181" t="s">
        <v>272</v>
      </c>
      <c r="K1181" t="s">
        <v>41</v>
      </c>
      <c r="L1181" t="s">
        <v>174</v>
      </c>
      <c r="M1181" t="s">
        <v>6485</v>
      </c>
      <c r="N1181" t="s">
        <v>847</v>
      </c>
      <c r="O1181" t="s">
        <v>100</v>
      </c>
      <c r="P1181" t="s">
        <v>6486</v>
      </c>
      <c r="Q1181" t="s">
        <v>257</v>
      </c>
      <c r="R1181" t="s">
        <v>475</v>
      </c>
      <c r="S1181">
        <v>0.95</v>
      </c>
      <c r="T1181">
        <v>6064</v>
      </c>
      <c r="U1181">
        <v>0</v>
      </c>
      <c r="V1181">
        <v>6064</v>
      </c>
    </row>
    <row r="1182" spans="1:22" x14ac:dyDescent="0.3">
      <c r="A1182">
        <v>79452</v>
      </c>
      <c r="B1182">
        <v>136888353</v>
      </c>
      <c r="C1182" t="s">
        <v>6487</v>
      </c>
      <c r="D1182" t="s">
        <v>6488</v>
      </c>
      <c r="E1182" t="s">
        <v>843</v>
      </c>
      <c r="F1182" t="s">
        <v>844</v>
      </c>
      <c r="G1182" t="s">
        <v>172</v>
      </c>
      <c r="H1182" t="s">
        <v>173</v>
      </c>
      <c r="I1182" t="s">
        <v>34</v>
      </c>
      <c r="J1182" t="s">
        <v>272</v>
      </c>
      <c r="K1182" t="s">
        <v>41</v>
      </c>
      <c r="L1182" t="s">
        <v>6489</v>
      </c>
      <c r="M1182" t="s">
        <v>6490</v>
      </c>
      <c r="N1182" t="s">
        <v>847</v>
      </c>
      <c r="O1182" t="s">
        <v>100</v>
      </c>
      <c r="P1182" t="s">
        <v>6491</v>
      </c>
      <c r="Q1182" t="s">
        <v>86</v>
      </c>
      <c r="R1182" t="s">
        <v>418</v>
      </c>
      <c r="S1182">
        <v>0.47</v>
      </c>
      <c r="T1182">
        <v>5601</v>
      </c>
      <c r="U1182">
        <v>0</v>
      </c>
      <c r="V1182">
        <v>5601</v>
      </c>
    </row>
    <row r="1183" spans="1:22" x14ac:dyDescent="0.3">
      <c r="A1183">
        <v>79452</v>
      </c>
      <c r="B1183">
        <v>136680825</v>
      </c>
      <c r="C1183" t="s">
        <v>6492</v>
      </c>
      <c r="D1183" t="s">
        <v>6493</v>
      </c>
      <c r="E1183" t="s">
        <v>843</v>
      </c>
      <c r="F1183" t="s">
        <v>844</v>
      </c>
      <c r="G1183" t="s">
        <v>172</v>
      </c>
      <c r="H1183" t="s">
        <v>173</v>
      </c>
      <c r="I1183" t="s">
        <v>34</v>
      </c>
      <c r="J1183" t="s">
        <v>272</v>
      </c>
      <c r="K1183" t="s">
        <v>41</v>
      </c>
      <c r="L1183" t="s">
        <v>174</v>
      </c>
      <c r="M1183" t="s">
        <v>6404</v>
      </c>
      <c r="N1183" t="s">
        <v>847</v>
      </c>
      <c r="O1183" t="s">
        <v>100</v>
      </c>
      <c r="P1183" t="s">
        <v>6405</v>
      </c>
      <c r="Q1183" t="s">
        <v>103</v>
      </c>
      <c r="R1183" t="s">
        <v>365</v>
      </c>
      <c r="S1183">
        <v>0.69</v>
      </c>
      <c r="T1183">
        <v>3915</v>
      </c>
      <c r="U1183">
        <v>0</v>
      </c>
      <c r="V1183">
        <v>3915</v>
      </c>
    </row>
    <row r="1184" spans="1:22" x14ac:dyDescent="0.3">
      <c r="A1184">
        <v>79452</v>
      </c>
      <c r="B1184">
        <v>136541755</v>
      </c>
      <c r="C1184" t="s">
        <v>6494</v>
      </c>
      <c r="D1184" t="s">
        <v>6495</v>
      </c>
      <c r="E1184" t="s">
        <v>843</v>
      </c>
      <c r="F1184" t="s">
        <v>844</v>
      </c>
      <c r="G1184" t="s">
        <v>172</v>
      </c>
      <c r="H1184" t="s">
        <v>173</v>
      </c>
      <c r="I1184" t="s">
        <v>34</v>
      </c>
      <c r="J1184" t="s">
        <v>272</v>
      </c>
      <c r="K1184" t="s">
        <v>41</v>
      </c>
      <c r="L1184" t="s">
        <v>174</v>
      </c>
      <c r="M1184" t="s">
        <v>6496</v>
      </c>
      <c r="N1184" t="s">
        <v>847</v>
      </c>
      <c r="O1184" t="s">
        <v>100</v>
      </c>
      <c r="P1184" t="s">
        <v>6497</v>
      </c>
      <c r="Q1184" t="s">
        <v>401</v>
      </c>
      <c r="R1184" t="s">
        <v>2688</v>
      </c>
      <c r="S1184">
        <v>0.51</v>
      </c>
      <c r="T1184">
        <v>6064</v>
      </c>
      <c r="U1184">
        <v>0</v>
      </c>
      <c r="V1184">
        <v>6064</v>
      </c>
    </row>
    <row r="1185" spans="1:22" x14ac:dyDescent="0.3">
      <c r="A1185">
        <v>79452</v>
      </c>
      <c r="B1185">
        <v>136483006</v>
      </c>
      <c r="C1185" t="s">
        <v>6498</v>
      </c>
      <c r="D1185" t="s">
        <v>6499</v>
      </c>
      <c r="E1185" t="s">
        <v>843</v>
      </c>
      <c r="F1185" t="s">
        <v>844</v>
      </c>
      <c r="G1185" t="s">
        <v>172</v>
      </c>
      <c r="H1185" t="s">
        <v>173</v>
      </c>
      <c r="I1185" t="s">
        <v>34</v>
      </c>
      <c r="J1185" t="s">
        <v>272</v>
      </c>
      <c r="K1185" t="s">
        <v>41</v>
      </c>
      <c r="L1185" t="s">
        <v>174</v>
      </c>
      <c r="M1185" t="s">
        <v>6500</v>
      </c>
      <c r="N1185" t="s">
        <v>847</v>
      </c>
      <c r="O1185" t="s">
        <v>100</v>
      </c>
      <c r="P1185" t="s">
        <v>6501</v>
      </c>
      <c r="Q1185" t="s">
        <v>86</v>
      </c>
      <c r="R1185" t="s">
        <v>3230</v>
      </c>
      <c r="S1185">
        <v>0.51</v>
      </c>
      <c r="T1185">
        <v>5992</v>
      </c>
      <c r="U1185">
        <v>0</v>
      </c>
      <c r="V1185">
        <v>5992</v>
      </c>
    </row>
    <row r="1186" spans="1:22" x14ac:dyDescent="0.3">
      <c r="A1186">
        <v>79452</v>
      </c>
      <c r="B1186">
        <v>136508136</v>
      </c>
      <c r="C1186" t="s">
        <v>6502</v>
      </c>
      <c r="D1186" t="s">
        <v>6503</v>
      </c>
      <c r="E1186" t="s">
        <v>843</v>
      </c>
      <c r="F1186" t="s">
        <v>844</v>
      </c>
      <c r="G1186" t="s">
        <v>172</v>
      </c>
      <c r="H1186" t="s">
        <v>173</v>
      </c>
      <c r="I1186" t="s">
        <v>34</v>
      </c>
      <c r="J1186" t="s">
        <v>272</v>
      </c>
      <c r="K1186" t="s">
        <v>41</v>
      </c>
      <c r="L1186" t="s">
        <v>174</v>
      </c>
      <c r="M1186" t="s">
        <v>532</v>
      </c>
      <c r="N1186" t="s">
        <v>847</v>
      </c>
      <c r="O1186" t="s">
        <v>100</v>
      </c>
      <c r="P1186" t="s">
        <v>533</v>
      </c>
      <c r="Q1186" t="s">
        <v>243</v>
      </c>
      <c r="R1186" t="s">
        <v>3236</v>
      </c>
      <c r="S1186">
        <v>1.66</v>
      </c>
      <c r="T1186">
        <v>7015</v>
      </c>
      <c r="U1186">
        <v>0</v>
      </c>
      <c r="V1186">
        <v>7015</v>
      </c>
    </row>
    <row r="1187" spans="1:22" x14ac:dyDescent="0.3">
      <c r="A1187">
        <v>79452</v>
      </c>
      <c r="B1187">
        <v>136541772</v>
      </c>
      <c r="C1187" t="s">
        <v>6504</v>
      </c>
      <c r="D1187" t="s">
        <v>6505</v>
      </c>
      <c r="E1187" t="s">
        <v>843</v>
      </c>
      <c r="F1187" t="s">
        <v>844</v>
      </c>
      <c r="G1187" t="s">
        <v>172</v>
      </c>
      <c r="H1187" t="s">
        <v>173</v>
      </c>
      <c r="I1187" t="s">
        <v>34</v>
      </c>
      <c r="J1187" t="s">
        <v>272</v>
      </c>
      <c r="K1187" t="s">
        <v>41</v>
      </c>
      <c r="L1187" t="s">
        <v>174</v>
      </c>
      <c r="M1187" t="s">
        <v>6506</v>
      </c>
      <c r="N1187" t="s">
        <v>847</v>
      </c>
      <c r="O1187" t="s">
        <v>100</v>
      </c>
      <c r="P1187" t="s">
        <v>6507</v>
      </c>
      <c r="Q1187" t="s">
        <v>103</v>
      </c>
      <c r="R1187" t="s">
        <v>2767</v>
      </c>
      <c r="S1187">
        <v>1.1100000000000001</v>
      </c>
      <c r="T1187">
        <v>3915</v>
      </c>
      <c r="U1187">
        <v>0</v>
      </c>
      <c r="V1187">
        <v>3915</v>
      </c>
    </row>
    <row r="1188" spans="1:22" x14ac:dyDescent="0.3">
      <c r="A1188">
        <v>79452</v>
      </c>
      <c r="B1188">
        <v>136541774</v>
      </c>
      <c r="C1188" t="s">
        <v>6508</v>
      </c>
      <c r="D1188" t="s">
        <v>6509</v>
      </c>
      <c r="E1188" t="s">
        <v>843</v>
      </c>
      <c r="F1188" t="s">
        <v>844</v>
      </c>
      <c r="G1188" t="s">
        <v>172</v>
      </c>
      <c r="H1188" t="s">
        <v>173</v>
      </c>
      <c r="I1188" t="s">
        <v>34</v>
      </c>
      <c r="J1188" t="s">
        <v>272</v>
      </c>
      <c r="K1188" t="s">
        <v>41</v>
      </c>
      <c r="L1188" t="s">
        <v>174</v>
      </c>
      <c r="M1188" t="s">
        <v>6510</v>
      </c>
      <c r="N1188" t="s">
        <v>847</v>
      </c>
      <c r="O1188" t="s">
        <v>100</v>
      </c>
      <c r="P1188" t="s">
        <v>6511</v>
      </c>
      <c r="Q1188" t="s">
        <v>104</v>
      </c>
      <c r="R1188" t="s">
        <v>2767</v>
      </c>
      <c r="S1188">
        <v>0.28000000000000003</v>
      </c>
      <c r="T1188">
        <v>3776</v>
      </c>
      <c r="U1188">
        <v>0</v>
      </c>
      <c r="V1188">
        <v>3776</v>
      </c>
    </row>
    <row r="1189" spans="1:22" x14ac:dyDescent="0.3">
      <c r="A1189">
        <v>79452</v>
      </c>
      <c r="B1189">
        <v>136270055</v>
      </c>
      <c r="C1189" t="s">
        <v>6512</v>
      </c>
      <c r="D1189" t="s">
        <v>6513</v>
      </c>
      <c r="E1189" t="s">
        <v>843</v>
      </c>
      <c r="F1189" t="s">
        <v>844</v>
      </c>
      <c r="G1189" t="s">
        <v>172</v>
      </c>
      <c r="H1189" t="s">
        <v>173</v>
      </c>
      <c r="I1189" t="s">
        <v>34</v>
      </c>
      <c r="J1189" t="s">
        <v>272</v>
      </c>
      <c r="K1189" t="s">
        <v>41</v>
      </c>
      <c r="L1189" t="s">
        <v>174</v>
      </c>
      <c r="M1189" t="s">
        <v>6514</v>
      </c>
      <c r="N1189" t="s">
        <v>847</v>
      </c>
      <c r="O1189" t="s">
        <v>100</v>
      </c>
      <c r="P1189" t="s">
        <v>6515</v>
      </c>
      <c r="Q1189" t="s">
        <v>107</v>
      </c>
      <c r="R1189" t="s">
        <v>759</v>
      </c>
      <c r="S1189">
        <v>1.61</v>
      </c>
      <c r="T1189">
        <v>4168</v>
      </c>
      <c r="U1189">
        <v>0</v>
      </c>
      <c r="V1189">
        <v>4168</v>
      </c>
    </row>
    <row r="1190" spans="1:22" x14ac:dyDescent="0.3">
      <c r="A1190">
        <v>79452</v>
      </c>
      <c r="B1190">
        <v>136327964</v>
      </c>
      <c r="C1190" t="s">
        <v>6516</v>
      </c>
      <c r="D1190" t="s">
        <v>6517</v>
      </c>
      <c r="E1190" t="s">
        <v>843</v>
      </c>
      <c r="F1190" t="s">
        <v>844</v>
      </c>
      <c r="G1190" t="s">
        <v>172</v>
      </c>
      <c r="H1190" t="s">
        <v>173</v>
      </c>
      <c r="I1190" t="s">
        <v>34</v>
      </c>
      <c r="J1190" t="s">
        <v>272</v>
      </c>
      <c r="K1190" t="s">
        <v>41</v>
      </c>
      <c r="L1190" t="s">
        <v>174</v>
      </c>
      <c r="M1190" t="s">
        <v>6518</v>
      </c>
      <c r="N1190" t="s">
        <v>847</v>
      </c>
      <c r="O1190" t="s">
        <v>100</v>
      </c>
      <c r="P1190" t="s">
        <v>6519</v>
      </c>
      <c r="Q1190" t="s">
        <v>86</v>
      </c>
      <c r="R1190" t="s">
        <v>431</v>
      </c>
      <c r="S1190">
        <v>1.43</v>
      </c>
      <c r="T1190">
        <v>5992</v>
      </c>
      <c r="U1190">
        <v>0</v>
      </c>
      <c r="V1190">
        <v>5992</v>
      </c>
    </row>
    <row r="1191" spans="1:22" x14ac:dyDescent="0.3">
      <c r="A1191">
        <v>79452</v>
      </c>
      <c r="B1191">
        <v>136439978</v>
      </c>
      <c r="C1191" t="s">
        <v>6520</v>
      </c>
      <c r="D1191" t="s">
        <v>6521</v>
      </c>
      <c r="E1191" t="s">
        <v>843</v>
      </c>
      <c r="F1191" t="s">
        <v>844</v>
      </c>
      <c r="G1191" t="s">
        <v>172</v>
      </c>
      <c r="H1191" t="s">
        <v>173</v>
      </c>
      <c r="I1191" t="s">
        <v>34</v>
      </c>
      <c r="J1191" t="s">
        <v>272</v>
      </c>
      <c r="K1191" t="s">
        <v>41</v>
      </c>
      <c r="L1191" t="s">
        <v>174</v>
      </c>
      <c r="M1191" t="s">
        <v>145</v>
      </c>
      <c r="N1191" t="s">
        <v>847</v>
      </c>
      <c r="O1191" t="s">
        <v>100</v>
      </c>
      <c r="P1191" t="s">
        <v>161</v>
      </c>
      <c r="Q1191" t="s">
        <v>86</v>
      </c>
      <c r="R1191" t="s">
        <v>4094</v>
      </c>
      <c r="S1191">
        <v>0.37</v>
      </c>
      <c r="T1191">
        <v>5601</v>
      </c>
      <c r="U1191">
        <v>0</v>
      </c>
      <c r="V1191">
        <v>5601</v>
      </c>
    </row>
    <row r="1192" spans="1:22" x14ac:dyDescent="0.3">
      <c r="A1192">
        <v>79452</v>
      </c>
      <c r="B1192">
        <v>136508279</v>
      </c>
      <c r="C1192" t="s">
        <v>6522</v>
      </c>
      <c r="D1192" t="s">
        <v>6523</v>
      </c>
      <c r="E1192" t="s">
        <v>843</v>
      </c>
      <c r="F1192" t="s">
        <v>844</v>
      </c>
      <c r="G1192" t="s">
        <v>172</v>
      </c>
      <c r="H1192" t="s">
        <v>173</v>
      </c>
      <c r="I1192" t="s">
        <v>34</v>
      </c>
      <c r="J1192" t="s">
        <v>272</v>
      </c>
      <c r="K1192" t="s">
        <v>41</v>
      </c>
      <c r="L1192" t="s">
        <v>174</v>
      </c>
      <c r="M1192" t="s">
        <v>6524</v>
      </c>
      <c r="N1192" t="s">
        <v>847</v>
      </c>
      <c r="O1192" t="s">
        <v>100</v>
      </c>
      <c r="P1192" t="s">
        <v>6525</v>
      </c>
      <c r="Q1192" t="s">
        <v>349</v>
      </c>
      <c r="R1192" t="s">
        <v>3236</v>
      </c>
      <c r="S1192">
        <v>0.31</v>
      </c>
      <c r="T1192">
        <v>5733</v>
      </c>
      <c r="U1192">
        <v>0</v>
      </c>
      <c r="V1192">
        <v>5733</v>
      </c>
    </row>
    <row r="1193" spans="1:22" x14ac:dyDescent="0.3">
      <c r="A1193">
        <v>79452</v>
      </c>
      <c r="B1193">
        <v>136482998</v>
      </c>
      <c r="C1193" t="s">
        <v>6526</v>
      </c>
      <c r="D1193" t="s">
        <v>6527</v>
      </c>
      <c r="E1193" t="s">
        <v>843</v>
      </c>
      <c r="F1193" t="s">
        <v>844</v>
      </c>
      <c r="G1193" t="s">
        <v>172</v>
      </c>
      <c r="H1193" t="s">
        <v>173</v>
      </c>
      <c r="I1193" t="s">
        <v>34</v>
      </c>
      <c r="J1193" t="s">
        <v>272</v>
      </c>
      <c r="K1193" t="s">
        <v>41</v>
      </c>
      <c r="L1193" t="s">
        <v>174</v>
      </c>
      <c r="M1193" t="s">
        <v>6528</v>
      </c>
      <c r="N1193" t="s">
        <v>847</v>
      </c>
      <c r="O1193" t="s">
        <v>100</v>
      </c>
      <c r="P1193" t="s">
        <v>6529</v>
      </c>
      <c r="Q1193" t="s">
        <v>278</v>
      </c>
      <c r="R1193" t="s">
        <v>3230</v>
      </c>
      <c r="S1193">
        <v>0.32</v>
      </c>
      <c r="T1193">
        <v>5733</v>
      </c>
      <c r="U1193">
        <v>0</v>
      </c>
      <c r="V1193">
        <v>5733</v>
      </c>
    </row>
    <row r="1194" spans="1:22" x14ac:dyDescent="0.3">
      <c r="A1194">
        <v>79452</v>
      </c>
      <c r="B1194">
        <v>136327511</v>
      </c>
      <c r="C1194" t="s">
        <v>6530</v>
      </c>
      <c r="D1194" t="s">
        <v>6531</v>
      </c>
      <c r="E1194" t="s">
        <v>843</v>
      </c>
      <c r="F1194" t="s">
        <v>844</v>
      </c>
      <c r="G1194" t="s">
        <v>172</v>
      </c>
      <c r="H1194" t="s">
        <v>173</v>
      </c>
      <c r="I1194" t="s">
        <v>34</v>
      </c>
      <c r="J1194" t="s">
        <v>272</v>
      </c>
      <c r="K1194" t="s">
        <v>41</v>
      </c>
      <c r="L1194" t="s">
        <v>174</v>
      </c>
      <c r="M1194" t="s">
        <v>6532</v>
      </c>
      <c r="N1194" t="s">
        <v>847</v>
      </c>
      <c r="O1194" t="s">
        <v>100</v>
      </c>
      <c r="P1194" t="s">
        <v>6533</v>
      </c>
      <c r="Q1194" t="s">
        <v>175</v>
      </c>
      <c r="R1194" t="s">
        <v>708</v>
      </c>
      <c r="S1194">
        <v>0.28000000000000003</v>
      </c>
      <c r="T1194">
        <v>5964</v>
      </c>
      <c r="U1194">
        <v>0</v>
      </c>
      <c r="V1194">
        <v>5964</v>
      </c>
    </row>
    <row r="1195" spans="1:22" x14ac:dyDescent="0.3">
      <c r="A1195">
        <v>79452</v>
      </c>
      <c r="B1195">
        <v>136483030</v>
      </c>
      <c r="C1195" t="s">
        <v>6534</v>
      </c>
      <c r="D1195" t="s">
        <v>6535</v>
      </c>
      <c r="E1195" t="s">
        <v>843</v>
      </c>
      <c r="F1195" t="s">
        <v>844</v>
      </c>
      <c r="G1195" t="s">
        <v>172</v>
      </c>
      <c r="H1195" t="s">
        <v>173</v>
      </c>
      <c r="I1195" t="s">
        <v>34</v>
      </c>
      <c r="J1195" t="s">
        <v>272</v>
      </c>
      <c r="K1195" t="s">
        <v>41</v>
      </c>
      <c r="L1195" t="s">
        <v>174</v>
      </c>
      <c r="M1195" t="s">
        <v>122</v>
      </c>
      <c r="N1195" t="s">
        <v>847</v>
      </c>
      <c r="O1195" t="s">
        <v>100</v>
      </c>
      <c r="P1195" t="s">
        <v>6536</v>
      </c>
      <c r="Q1195" t="s">
        <v>241</v>
      </c>
      <c r="R1195" t="s">
        <v>590</v>
      </c>
      <c r="S1195">
        <v>0.35</v>
      </c>
      <c r="T1195">
        <v>3776</v>
      </c>
      <c r="U1195">
        <v>0</v>
      </c>
      <c r="V1195">
        <v>3776</v>
      </c>
    </row>
    <row r="1196" spans="1:22" x14ac:dyDescent="0.3">
      <c r="A1196">
        <v>79452</v>
      </c>
      <c r="B1196">
        <v>136483038</v>
      </c>
      <c r="C1196" t="s">
        <v>6537</v>
      </c>
      <c r="D1196" t="s">
        <v>6538</v>
      </c>
      <c r="E1196" t="s">
        <v>843</v>
      </c>
      <c r="F1196" t="s">
        <v>844</v>
      </c>
      <c r="G1196" t="s">
        <v>172</v>
      </c>
      <c r="H1196" t="s">
        <v>173</v>
      </c>
      <c r="I1196" t="s">
        <v>34</v>
      </c>
      <c r="J1196" t="s">
        <v>272</v>
      </c>
      <c r="K1196" t="s">
        <v>41</v>
      </c>
      <c r="L1196" t="s">
        <v>174</v>
      </c>
      <c r="M1196" t="s">
        <v>6539</v>
      </c>
      <c r="N1196" t="s">
        <v>847</v>
      </c>
      <c r="O1196" t="s">
        <v>100</v>
      </c>
      <c r="P1196" t="s">
        <v>6540</v>
      </c>
      <c r="Q1196" t="s">
        <v>104</v>
      </c>
      <c r="R1196" t="s">
        <v>590</v>
      </c>
      <c r="S1196">
        <v>0.28000000000000003</v>
      </c>
      <c r="T1196">
        <v>3776</v>
      </c>
      <c r="U1196">
        <v>0</v>
      </c>
      <c r="V1196">
        <v>3776</v>
      </c>
    </row>
    <row r="1197" spans="1:22" x14ac:dyDescent="0.3">
      <c r="A1197">
        <v>79452</v>
      </c>
      <c r="B1197">
        <v>136411977</v>
      </c>
      <c r="C1197" t="s">
        <v>6541</v>
      </c>
      <c r="D1197" t="s">
        <v>6542</v>
      </c>
      <c r="E1197" t="s">
        <v>843</v>
      </c>
      <c r="F1197" t="s">
        <v>844</v>
      </c>
      <c r="G1197" t="s">
        <v>172</v>
      </c>
      <c r="H1197" t="s">
        <v>173</v>
      </c>
      <c r="I1197" t="s">
        <v>34</v>
      </c>
      <c r="J1197" t="s">
        <v>272</v>
      </c>
      <c r="K1197" t="s">
        <v>41</v>
      </c>
      <c r="L1197" t="s">
        <v>174</v>
      </c>
      <c r="M1197" t="s">
        <v>6543</v>
      </c>
      <c r="N1197" t="s">
        <v>847</v>
      </c>
      <c r="O1197" t="s">
        <v>100</v>
      </c>
      <c r="P1197" t="s">
        <v>6544</v>
      </c>
      <c r="Q1197" t="s">
        <v>86</v>
      </c>
      <c r="R1197" t="s">
        <v>641</v>
      </c>
      <c r="S1197">
        <v>1.07</v>
      </c>
      <c r="T1197">
        <v>5992</v>
      </c>
      <c r="U1197">
        <v>0</v>
      </c>
      <c r="V1197">
        <v>5992</v>
      </c>
    </row>
    <row r="1198" spans="1:22" x14ac:dyDescent="0.3">
      <c r="A1198">
        <v>79452</v>
      </c>
      <c r="B1198">
        <v>136327516</v>
      </c>
      <c r="C1198" t="s">
        <v>6545</v>
      </c>
      <c r="D1198" t="s">
        <v>6546</v>
      </c>
      <c r="E1198" t="s">
        <v>843</v>
      </c>
      <c r="F1198" t="s">
        <v>844</v>
      </c>
      <c r="G1198" t="s">
        <v>172</v>
      </c>
      <c r="H1198" t="s">
        <v>173</v>
      </c>
      <c r="I1198" t="s">
        <v>34</v>
      </c>
      <c r="J1198" t="s">
        <v>272</v>
      </c>
      <c r="K1198" t="s">
        <v>41</v>
      </c>
      <c r="L1198" t="s">
        <v>174</v>
      </c>
      <c r="M1198" t="s">
        <v>6547</v>
      </c>
      <c r="N1198" t="s">
        <v>847</v>
      </c>
      <c r="O1198" t="s">
        <v>100</v>
      </c>
      <c r="P1198" t="s">
        <v>6548</v>
      </c>
      <c r="Q1198" t="s">
        <v>311</v>
      </c>
      <c r="R1198" t="s">
        <v>708</v>
      </c>
      <c r="S1198">
        <v>0.43</v>
      </c>
      <c r="T1198">
        <v>5526</v>
      </c>
      <c r="U1198">
        <v>0</v>
      </c>
      <c r="V1198">
        <v>5526</v>
      </c>
    </row>
    <row r="1199" spans="1:22" x14ac:dyDescent="0.3">
      <c r="A1199">
        <v>79452</v>
      </c>
      <c r="B1199">
        <v>136559293</v>
      </c>
      <c r="C1199" t="s">
        <v>6549</v>
      </c>
      <c r="D1199" t="s">
        <v>6550</v>
      </c>
      <c r="E1199" t="s">
        <v>843</v>
      </c>
      <c r="F1199" t="s">
        <v>844</v>
      </c>
      <c r="G1199" t="s">
        <v>172</v>
      </c>
      <c r="H1199" t="s">
        <v>173</v>
      </c>
      <c r="I1199" t="s">
        <v>34</v>
      </c>
      <c r="J1199" t="s">
        <v>272</v>
      </c>
      <c r="K1199" t="s">
        <v>41</v>
      </c>
      <c r="L1199" t="s">
        <v>174</v>
      </c>
      <c r="M1199" t="s">
        <v>6551</v>
      </c>
      <c r="N1199" t="s">
        <v>847</v>
      </c>
      <c r="O1199" t="s">
        <v>100</v>
      </c>
      <c r="P1199" t="s">
        <v>6552</v>
      </c>
      <c r="Q1199" t="s">
        <v>104</v>
      </c>
      <c r="R1199" t="s">
        <v>1606</v>
      </c>
      <c r="S1199">
        <v>0.54</v>
      </c>
      <c r="T1199">
        <v>3915</v>
      </c>
      <c r="U1199">
        <v>0</v>
      </c>
      <c r="V1199">
        <v>3915</v>
      </c>
    </row>
    <row r="1200" spans="1:22" x14ac:dyDescent="0.3">
      <c r="A1200">
        <v>79452</v>
      </c>
      <c r="B1200">
        <v>136483042</v>
      </c>
      <c r="C1200" t="s">
        <v>6553</v>
      </c>
      <c r="D1200" t="s">
        <v>6554</v>
      </c>
      <c r="E1200" t="s">
        <v>843</v>
      </c>
      <c r="F1200" t="s">
        <v>844</v>
      </c>
      <c r="G1200" t="s">
        <v>172</v>
      </c>
      <c r="H1200" t="s">
        <v>173</v>
      </c>
      <c r="I1200" t="s">
        <v>34</v>
      </c>
      <c r="J1200" t="s">
        <v>272</v>
      </c>
      <c r="K1200" t="s">
        <v>41</v>
      </c>
      <c r="L1200" t="s">
        <v>174</v>
      </c>
      <c r="M1200" t="s">
        <v>6555</v>
      </c>
      <c r="N1200" t="s">
        <v>847</v>
      </c>
      <c r="O1200" t="s">
        <v>100</v>
      </c>
      <c r="P1200" t="s">
        <v>6556</v>
      </c>
      <c r="Q1200" t="s">
        <v>86</v>
      </c>
      <c r="R1200" t="s">
        <v>590</v>
      </c>
      <c r="S1200">
        <v>1.42</v>
      </c>
      <c r="T1200">
        <v>5992</v>
      </c>
      <c r="U1200">
        <v>0</v>
      </c>
      <c r="V1200">
        <v>5992</v>
      </c>
    </row>
    <row r="1201" spans="1:22" x14ac:dyDescent="0.3">
      <c r="A1201">
        <v>79452</v>
      </c>
      <c r="B1201">
        <v>136196410</v>
      </c>
      <c r="C1201" t="s">
        <v>6557</v>
      </c>
      <c r="D1201" t="s">
        <v>6558</v>
      </c>
      <c r="E1201" t="s">
        <v>843</v>
      </c>
      <c r="F1201" t="s">
        <v>844</v>
      </c>
      <c r="G1201" t="s">
        <v>172</v>
      </c>
      <c r="H1201" t="s">
        <v>173</v>
      </c>
      <c r="I1201" t="s">
        <v>34</v>
      </c>
      <c r="J1201" t="s">
        <v>272</v>
      </c>
      <c r="K1201" t="s">
        <v>41</v>
      </c>
      <c r="L1201" t="s">
        <v>174</v>
      </c>
      <c r="M1201" t="s">
        <v>6559</v>
      </c>
      <c r="N1201" t="s">
        <v>847</v>
      </c>
      <c r="O1201" t="s">
        <v>100</v>
      </c>
      <c r="P1201" t="s">
        <v>6560</v>
      </c>
      <c r="Q1201" t="s">
        <v>103</v>
      </c>
      <c r="R1201" t="s">
        <v>716</v>
      </c>
      <c r="S1201">
        <v>0.66</v>
      </c>
      <c r="T1201">
        <v>3915</v>
      </c>
      <c r="U1201">
        <v>0</v>
      </c>
      <c r="V1201">
        <v>3915</v>
      </c>
    </row>
    <row r="1202" spans="1:22" x14ac:dyDescent="0.3">
      <c r="A1202">
        <v>79452</v>
      </c>
      <c r="B1202">
        <v>136196409</v>
      </c>
      <c r="C1202" t="s">
        <v>6561</v>
      </c>
      <c r="D1202" t="s">
        <v>6562</v>
      </c>
      <c r="E1202" t="s">
        <v>843</v>
      </c>
      <c r="F1202" t="s">
        <v>844</v>
      </c>
      <c r="G1202" t="s">
        <v>172</v>
      </c>
      <c r="H1202" t="s">
        <v>173</v>
      </c>
      <c r="I1202" t="s">
        <v>34</v>
      </c>
      <c r="J1202" t="s">
        <v>272</v>
      </c>
      <c r="K1202" t="s">
        <v>41</v>
      </c>
      <c r="L1202" t="s">
        <v>174</v>
      </c>
      <c r="M1202" t="s">
        <v>6563</v>
      </c>
      <c r="N1202" t="s">
        <v>847</v>
      </c>
      <c r="O1202" t="s">
        <v>100</v>
      </c>
      <c r="P1202" t="s">
        <v>6564</v>
      </c>
      <c r="Q1202" t="s">
        <v>241</v>
      </c>
      <c r="R1202" t="s">
        <v>716</v>
      </c>
      <c r="S1202">
        <v>0.47</v>
      </c>
      <c r="T1202">
        <v>3776</v>
      </c>
      <c r="U1202">
        <v>0</v>
      </c>
      <c r="V1202">
        <v>3776</v>
      </c>
    </row>
    <row r="1203" spans="1:22" x14ac:dyDescent="0.3">
      <c r="A1203">
        <v>79452</v>
      </c>
      <c r="B1203">
        <v>136196424</v>
      </c>
      <c r="C1203" t="s">
        <v>6565</v>
      </c>
      <c r="D1203" t="s">
        <v>6566</v>
      </c>
      <c r="E1203" t="s">
        <v>843</v>
      </c>
      <c r="F1203" t="s">
        <v>844</v>
      </c>
      <c r="G1203" t="s">
        <v>172</v>
      </c>
      <c r="H1203" t="s">
        <v>173</v>
      </c>
      <c r="I1203" t="s">
        <v>34</v>
      </c>
      <c r="J1203" t="s">
        <v>272</v>
      </c>
      <c r="K1203" t="s">
        <v>41</v>
      </c>
      <c r="L1203" t="s">
        <v>174</v>
      </c>
      <c r="M1203" t="s">
        <v>6567</v>
      </c>
      <c r="N1203" t="s">
        <v>847</v>
      </c>
      <c r="O1203" t="s">
        <v>100</v>
      </c>
      <c r="P1203" t="s">
        <v>6568</v>
      </c>
      <c r="Q1203" t="s">
        <v>104</v>
      </c>
      <c r="R1203" t="s">
        <v>716</v>
      </c>
      <c r="S1203">
        <v>0.38</v>
      </c>
      <c r="T1203">
        <v>3776</v>
      </c>
      <c r="U1203">
        <v>0</v>
      </c>
      <c r="V1203">
        <v>3776</v>
      </c>
    </row>
    <row r="1204" spans="1:22" x14ac:dyDescent="0.3">
      <c r="A1204">
        <v>79452</v>
      </c>
      <c r="B1204">
        <v>136196452</v>
      </c>
      <c r="C1204" t="s">
        <v>6569</v>
      </c>
      <c r="D1204" t="s">
        <v>6570</v>
      </c>
      <c r="E1204" t="s">
        <v>843</v>
      </c>
      <c r="F1204" t="s">
        <v>844</v>
      </c>
      <c r="G1204" t="s">
        <v>172</v>
      </c>
      <c r="H1204" t="s">
        <v>173</v>
      </c>
      <c r="I1204" t="s">
        <v>34</v>
      </c>
      <c r="J1204" t="s">
        <v>272</v>
      </c>
      <c r="K1204" t="s">
        <v>41</v>
      </c>
      <c r="L1204" t="s">
        <v>174</v>
      </c>
      <c r="M1204" t="s">
        <v>6571</v>
      </c>
      <c r="N1204" t="s">
        <v>847</v>
      </c>
      <c r="O1204" t="s">
        <v>100</v>
      </c>
      <c r="P1204" t="s">
        <v>6572</v>
      </c>
      <c r="Q1204" t="s">
        <v>102</v>
      </c>
      <c r="R1204" t="s">
        <v>1999</v>
      </c>
      <c r="S1204">
        <v>1.8</v>
      </c>
      <c r="T1204">
        <v>4168</v>
      </c>
      <c r="U1204">
        <v>0</v>
      </c>
      <c r="V1204">
        <v>4168</v>
      </c>
    </row>
    <row r="1205" spans="1:22" x14ac:dyDescent="0.3">
      <c r="A1205">
        <v>79452</v>
      </c>
      <c r="B1205">
        <v>136196532</v>
      </c>
      <c r="C1205" t="s">
        <v>6573</v>
      </c>
      <c r="D1205" t="s">
        <v>6574</v>
      </c>
      <c r="E1205" t="s">
        <v>843</v>
      </c>
      <c r="F1205" t="s">
        <v>844</v>
      </c>
      <c r="G1205" t="s">
        <v>172</v>
      </c>
      <c r="H1205" t="s">
        <v>173</v>
      </c>
      <c r="I1205" t="s">
        <v>34</v>
      </c>
      <c r="J1205" t="s">
        <v>272</v>
      </c>
      <c r="K1205" t="s">
        <v>41</v>
      </c>
      <c r="L1205" t="s">
        <v>174</v>
      </c>
      <c r="M1205" t="s">
        <v>6575</v>
      </c>
      <c r="N1205" t="s">
        <v>847</v>
      </c>
      <c r="O1205" t="s">
        <v>100</v>
      </c>
      <c r="P1205" t="s">
        <v>6576</v>
      </c>
      <c r="Q1205" t="s">
        <v>432</v>
      </c>
      <c r="R1205" t="s">
        <v>1999</v>
      </c>
      <c r="S1205">
        <v>1.08</v>
      </c>
      <c r="T1205">
        <v>6381</v>
      </c>
      <c r="U1205">
        <v>0</v>
      </c>
      <c r="V1205">
        <v>6381</v>
      </c>
    </row>
    <row r="1206" spans="1:22" x14ac:dyDescent="0.3">
      <c r="A1206">
        <v>79452</v>
      </c>
      <c r="B1206">
        <v>136269977</v>
      </c>
      <c r="C1206" t="s">
        <v>6577</v>
      </c>
      <c r="D1206" t="s">
        <v>6578</v>
      </c>
      <c r="E1206" t="s">
        <v>843</v>
      </c>
      <c r="F1206" t="s">
        <v>844</v>
      </c>
      <c r="G1206" t="s">
        <v>172</v>
      </c>
      <c r="H1206" t="s">
        <v>173</v>
      </c>
      <c r="I1206" t="s">
        <v>34</v>
      </c>
      <c r="J1206" t="s">
        <v>272</v>
      </c>
      <c r="K1206" t="s">
        <v>41</v>
      </c>
      <c r="L1206" t="s">
        <v>174</v>
      </c>
      <c r="M1206" t="s">
        <v>6579</v>
      </c>
      <c r="N1206" t="s">
        <v>847</v>
      </c>
      <c r="O1206" t="s">
        <v>100</v>
      </c>
      <c r="P1206" t="s">
        <v>6580</v>
      </c>
      <c r="Q1206" t="s">
        <v>237</v>
      </c>
      <c r="R1206" t="s">
        <v>794</v>
      </c>
      <c r="S1206">
        <v>0.62</v>
      </c>
      <c r="T1206">
        <v>5992</v>
      </c>
      <c r="U1206">
        <v>0</v>
      </c>
      <c r="V1206">
        <v>5992</v>
      </c>
    </row>
    <row r="1207" spans="1:22" x14ac:dyDescent="0.3">
      <c r="A1207">
        <v>79452</v>
      </c>
      <c r="B1207">
        <v>136269993</v>
      </c>
      <c r="C1207" t="s">
        <v>6581</v>
      </c>
      <c r="D1207" t="s">
        <v>6582</v>
      </c>
      <c r="E1207" t="s">
        <v>843</v>
      </c>
      <c r="F1207" t="s">
        <v>844</v>
      </c>
      <c r="G1207" t="s">
        <v>172</v>
      </c>
      <c r="H1207" t="s">
        <v>173</v>
      </c>
      <c r="I1207" t="s">
        <v>34</v>
      </c>
      <c r="J1207" t="s">
        <v>272</v>
      </c>
      <c r="K1207" t="s">
        <v>41</v>
      </c>
      <c r="L1207" t="s">
        <v>174</v>
      </c>
      <c r="M1207" t="s">
        <v>6583</v>
      </c>
      <c r="N1207" t="s">
        <v>847</v>
      </c>
      <c r="O1207" t="s">
        <v>100</v>
      </c>
      <c r="P1207" t="s">
        <v>6584</v>
      </c>
      <c r="Q1207" t="s">
        <v>116</v>
      </c>
      <c r="R1207" t="s">
        <v>759</v>
      </c>
      <c r="S1207">
        <v>1.0900000000000001</v>
      </c>
      <c r="T1207">
        <v>3915</v>
      </c>
      <c r="U1207">
        <v>0</v>
      </c>
      <c r="V1207">
        <v>3915</v>
      </c>
    </row>
    <row r="1208" spans="1:22" x14ac:dyDescent="0.3">
      <c r="A1208">
        <v>79452</v>
      </c>
      <c r="B1208">
        <v>136269995</v>
      </c>
      <c r="C1208" t="s">
        <v>6585</v>
      </c>
      <c r="D1208" t="s">
        <v>6586</v>
      </c>
      <c r="E1208" t="s">
        <v>843</v>
      </c>
      <c r="F1208" t="s">
        <v>844</v>
      </c>
      <c r="G1208" t="s">
        <v>172</v>
      </c>
      <c r="H1208" t="s">
        <v>173</v>
      </c>
      <c r="I1208" t="s">
        <v>34</v>
      </c>
      <c r="J1208" t="s">
        <v>272</v>
      </c>
      <c r="K1208" t="s">
        <v>41</v>
      </c>
      <c r="L1208" t="s">
        <v>174</v>
      </c>
      <c r="M1208" t="s">
        <v>6587</v>
      </c>
      <c r="N1208" t="s">
        <v>847</v>
      </c>
      <c r="O1208" t="s">
        <v>100</v>
      </c>
      <c r="P1208" t="s">
        <v>6588</v>
      </c>
      <c r="Q1208" t="s">
        <v>189</v>
      </c>
      <c r="R1208" t="s">
        <v>759</v>
      </c>
      <c r="S1208">
        <v>0.28999999999999998</v>
      </c>
      <c r="T1208">
        <v>3776</v>
      </c>
      <c r="U1208">
        <v>0</v>
      </c>
      <c r="V1208">
        <v>3776</v>
      </c>
    </row>
    <row r="1209" spans="1:22" x14ac:dyDescent="0.3">
      <c r="A1209">
        <v>79452</v>
      </c>
      <c r="B1209">
        <v>136363575</v>
      </c>
      <c r="C1209" t="s">
        <v>6589</v>
      </c>
      <c r="D1209" t="s">
        <v>6590</v>
      </c>
      <c r="E1209" t="s">
        <v>843</v>
      </c>
      <c r="F1209" t="s">
        <v>844</v>
      </c>
      <c r="G1209" t="s">
        <v>172</v>
      </c>
      <c r="H1209" t="s">
        <v>173</v>
      </c>
      <c r="I1209" t="s">
        <v>34</v>
      </c>
      <c r="J1209" t="s">
        <v>272</v>
      </c>
      <c r="K1209" t="s">
        <v>41</v>
      </c>
      <c r="L1209" t="s">
        <v>174</v>
      </c>
      <c r="M1209" t="s">
        <v>6591</v>
      </c>
      <c r="N1209" t="s">
        <v>847</v>
      </c>
      <c r="O1209" t="s">
        <v>100</v>
      </c>
      <c r="P1209" t="s">
        <v>6592</v>
      </c>
      <c r="Q1209" t="s">
        <v>104</v>
      </c>
      <c r="R1209" t="s">
        <v>4143</v>
      </c>
      <c r="S1209">
        <v>0.24</v>
      </c>
      <c r="T1209">
        <v>3776</v>
      </c>
      <c r="U1209">
        <v>0</v>
      </c>
      <c r="V1209">
        <v>3776</v>
      </c>
    </row>
    <row r="1210" spans="1:22" x14ac:dyDescent="0.3">
      <c r="A1210">
        <v>79452</v>
      </c>
      <c r="B1210">
        <v>136363584</v>
      </c>
      <c r="C1210" t="s">
        <v>6593</v>
      </c>
      <c r="D1210" t="s">
        <v>6594</v>
      </c>
      <c r="E1210" t="s">
        <v>843</v>
      </c>
      <c r="F1210" t="s">
        <v>844</v>
      </c>
      <c r="G1210" t="s">
        <v>172</v>
      </c>
      <c r="H1210" t="s">
        <v>173</v>
      </c>
      <c r="I1210" t="s">
        <v>34</v>
      </c>
      <c r="J1210" t="s">
        <v>272</v>
      </c>
      <c r="K1210" t="s">
        <v>41</v>
      </c>
      <c r="L1210" t="s">
        <v>174</v>
      </c>
      <c r="M1210" t="s">
        <v>6595</v>
      </c>
      <c r="N1210" t="s">
        <v>847</v>
      </c>
      <c r="O1210" t="s">
        <v>100</v>
      </c>
      <c r="P1210" t="s">
        <v>6596</v>
      </c>
      <c r="Q1210" t="s">
        <v>102</v>
      </c>
      <c r="R1210" t="s">
        <v>4143</v>
      </c>
      <c r="S1210">
        <v>1.52</v>
      </c>
      <c r="T1210">
        <v>4168</v>
      </c>
      <c r="U1210">
        <v>0</v>
      </c>
      <c r="V1210">
        <v>4168</v>
      </c>
    </row>
    <row r="1211" spans="1:22" x14ac:dyDescent="0.3">
      <c r="A1211">
        <v>79452</v>
      </c>
      <c r="B1211">
        <v>136363650</v>
      </c>
      <c r="C1211" t="s">
        <v>6597</v>
      </c>
      <c r="D1211" t="s">
        <v>6598</v>
      </c>
      <c r="E1211" t="s">
        <v>843</v>
      </c>
      <c r="F1211" t="s">
        <v>844</v>
      </c>
      <c r="G1211" t="s">
        <v>172</v>
      </c>
      <c r="H1211" t="s">
        <v>173</v>
      </c>
      <c r="I1211" t="s">
        <v>34</v>
      </c>
      <c r="J1211" t="s">
        <v>272</v>
      </c>
      <c r="K1211" t="s">
        <v>41</v>
      </c>
      <c r="L1211" t="s">
        <v>174</v>
      </c>
      <c r="M1211" t="s">
        <v>6599</v>
      </c>
      <c r="N1211" t="s">
        <v>847</v>
      </c>
      <c r="O1211" t="s">
        <v>100</v>
      </c>
      <c r="P1211" t="s">
        <v>6600</v>
      </c>
      <c r="Q1211" t="s">
        <v>102</v>
      </c>
      <c r="R1211" t="s">
        <v>3337</v>
      </c>
      <c r="S1211">
        <v>0.34</v>
      </c>
      <c r="T1211">
        <v>3776</v>
      </c>
      <c r="U1211">
        <v>0</v>
      </c>
      <c r="V1211">
        <v>3776</v>
      </c>
    </row>
    <row r="1212" spans="1:22" x14ac:dyDescent="0.3">
      <c r="A1212">
        <v>79452</v>
      </c>
      <c r="B1212">
        <v>136363661</v>
      </c>
      <c r="C1212" t="s">
        <v>6601</v>
      </c>
      <c r="D1212" t="s">
        <v>6602</v>
      </c>
      <c r="E1212" t="s">
        <v>843</v>
      </c>
      <c r="F1212" t="s">
        <v>844</v>
      </c>
      <c r="G1212" t="s">
        <v>172</v>
      </c>
      <c r="H1212" t="s">
        <v>173</v>
      </c>
      <c r="I1212" t="s">
        <v>34</v>
      </c>
      <c r="J1212" t="s">
        <v>272</v>
      </c>
      <c r="K1212" t="s">
        <v>41</v>
      </c>
      <c r="L1212" t="s">
        <v>174</v>
      </c>
      <c r="M1212" t="s">
        <v>6603</v>
      </c>
      <c r="N1212" t="s">
        <v>847</v>
      </c>
      <c r="O1212" t="s">
        <v>100</v>
      </c>
      <c r="P1212" t="s">
        <v>6604</v>
      </c>
      <c r="Q1212" t="s">
        <v>103</v>
      </c>
      <c r="R1212" t="s">
        <v>3337</v>
      </c>
      <c r="S1212">
        <v>1.18</v>
      </c>
      <c r="T1212">
        <v>3915</v>
      </c>
      <c r="U1212">
        <v>0</v>
      </c>
      <c r="V1212">
        <v>3915</v>
      </c>
    </row>
    <row r="1213" spans="1:22" x14ac:dyDescent="0.3">
      <c r="A1213">
        <v>79452</v>
      </c>
      <c r="B1213">
        <v>136025823</v>
      </c>
      <c r="C1213" t="s">
        <v>6605</v>
      </c>
      <c r="D1213" t="s">
        <v>6606</v>
      </c>
      <c r="E1213" t="s">
        <v>843</v>
      </c>
      <c r="F1213" t="s">
        <v>844</v>
      </c>
      <c r="G1213" t="s">
        <v>172</v>
      </c>
      <c r="H1213" t="s">
        <v>173</v>
      </c>
      <c r="I1213" t="s">
        <v>34</v>
      </c>
      <c r="J1213" t="s">
        <v>272</v>
      </c>
      <c r="K1213" t="s">
        <v>41</v>
      </c>
      <c r="L1213" t="s">
        <v>174</v>
      </c>
      <c r="M1213" t="s">
        <v>6607</v>
      </c>
      <c r="N1213" t="s">
        <v>847</v>
      </c>
      <c r="O1213" t="s">
        <v>100</v>
      </c>
      <c r="P1213" t="s">
        <v>6608</v>
      </c>
      <c r="Q1213" t="s">
        <v>103</v>
      </c>
      <c r="R1213" t="s">
        <v>403</v>
      </c>
      <c r="S1213">
        <v>1.32</v>
      </c>
      <c r="T1213">
        <v>3915</v>
      </c>
      <c r="U1213">
        <v>0</v>
      </c>
      <c r="V1213">
        <v>3915</v>
      </c>
    </row>
    <row r="1214" spans="1:22" x14ac:dyDescent="0.3">
      <c r="A1214">
        <v>79452</v>
      </c>
      <c r="B1214">
        <v>136025869</v>
      </c>
      <c r="C1214" t="s">
        <v>6609</v>
      </c>
      <c r="D1214" t="s">
        <v>6610</v>
      </c>
      <c r="E1214" t="s">
        <v>843</v>
      </c>
      <c r="F1214" t="s">
        <v>844</v>
      </c>
      <c r="G1214" t="s">
        <v>172</v>
      </c>
      <c r="H1214" t="s">
        <v>173</v>
      </c>
      <c r="I1214" t="s">
        <v>34</v>
      </c>
      <c r="J1214" t="s">
        <v>272</v>
      </c>
      <c r="K1214" t="s">
        <v>41</v>
      </c>
      <c r="L1214" t="s">
        <v>174</v>
      </c>
      <c r="M1214" t="s">
        <v>549</v>
      </c>
      <c r="N1214" t="s">
        <v>847</v>
      </c>
      <c r="O1214" t="s">
        <v>100</v>
      </c>
      <c r="P1214" t="s">
        <v>6611</v>
      </c>
      <c r="Q1214" t="s">
        <v>279</v>
      </c>
      <c r="R1214" t="s">
        <v>403</v>
      </c>
      <c r="S1214">
        <v>1.17</v>
      </c>
      <c r="T1214">
        <v>6064</v>
      </c>
      <c r="U1214">
        <v>0</v>
      </c>
      <c r="V1214">
        <v>6064</v>
      </c>
    </row>
    <row r="1215" spans="1:22" x14ac:dyDescent="0.3">
      <c r="A1215">
        <v>79452</v>
      </c>
      <c r="B1215">
        <v>136363714</v>
      </c>
      <c r="C1215" t="s">
        <v>6612</v>
      </c>
      <c r="D1215" t="s">
        <v>6613</v>
      </c>
      <c r="E1215" t="s">
        <v>843</v>
      </c>
      <c r="F1215" t="s">
        <v>844</v>
      </c>
      <c r="G1215" t="s">
        <v>172</v>
      </c>
      <c r="H1215" t="s">
        <v>173</v>
      </c>
      <c r="I1215" t="s">
        <v>34</v>
      </c>
      <c r="J1215" t="s">
        <v>272</v>
      </c>
      <c r="K1215" t="s">
        <v>41</v>
      </c>
      <c r="L1215" t="s">
        <v>174</v>
      </c>
      <c r="M1215" t="s">
        <v>6614</v>
      </c>
      <c r="N1215" t="s">
        <v>847</v>
      </c>
      <c r="O1215" t="s">
        <v>100</v>
      </c>
      <c r="P1215" t="s">
        <v>6615</v>
      </c>
      <c r="Q1215" t="s">
        <v>735</v>
      </c>
      <c r="R1215" t="s">
        <v>3337</v>
      </c>
      <c r="S1215">
        <v>0.26</v>
      </c>
      <c r="T1215">
        <v>13907</v>
      </c>
      <c r="U1215">
        <v>0</v>
      </c>
      <c r="V1215">
        <v>13907</v>
      </c>
    </row>
    <row r="1216" spans="1:22" x14ac:dyDescent="0.3">
      <c r="A1216">
        <v>79452</v>
      </c>
      <c r="B1216">
        <v>136104043</v>
      </c>
      <c r="C1216" t="s">
        <v>6616</v>
      </c>
      <c r="D1216" t="s">
        <v>6617</v>
      </c>
      <c r="E1216" t="s">
        <v>843</v>
      </c>
      <c r="F1216" t="s">
        <v>844</v>
      </c>
      <c r="G1216" t="s">
        <v>172</v>
      </c>
      <c r="H1216" t="s">
        <v>173</v>
      </c>
      <c r="I1216" t="s">
        <v>34</v>
      </c>
      <c r="J1216" t="s">
        <v>272</v>
      </c>
      <c r="K1216" t="s">
        <v>41</v>
      </c>
      <c r="L1216" t="s">
        <v>174</v>
      </c>
      <c r="M1216" t="s">
        <v>6618</v>
      </c>
      <c r="N1216" t="s">
        <v>847</v>
      </c>
      <c r="O1216" t="s">
        <v>100</v>
      </c>
      <c r="P1216" t="s">
        <v>6619</v>
      </c>
      <c r="Q1216" t="s">
        <v>102</v>
      </c>
      <c r="R1216" t="s">
        <v>803</v>
      </c>
      <c r="S1216">
        <v>1.26</v>
      </c>
      <c r="T1216">
        <v>3915</v>
      </c>
      <c r="U1216">
        <v>0</v>
      </c>
      <c r="V1216">
        <v>3915</v>
      </c>
    </row>
    <row r="1217" spans="1:22" x14ac:dyDescent="0.3">
      <c r="A1217">
        <v>79452</v>
      </c>
      <c r="B1217">
        <v>136104049</v>
      </c>
      <c r="C1217" t="s">
        <v>6620</v>
      </c>
      <c r="D1217" t="s">
        <v>6621</v>
      </c>
      <c r="E1217" t="s">
        <v>843</v>
      </c>
      <c r="F1217" t="s">
        <v>844</v>
      </c>
      <c r="G1217" t="s">
        <v>172</v>
      </c>
      <c r="H1217" t="s">
        <v>173</v>
      </c>
      <c r="I1217" t="s">
        <v>34</v>
      </c>
      <c r="J1217" t="s">
        <v>272</v>
      </c>
      <c r="K1217" t="s">
        <v>41</v>
      </c>
      <c r="L1217" t="s">
        <v>174</v>
      </c>
      <c r="M1217" t="s">
        <v>6622</v>
      </c>
      <c r="N1217" t="s">
        <v>847</v>
      </c>
      <c r="O1217" t="s">
        <v>100</v>
      </c>
      <c r="P1217" t="s">
        <v>6623</v>
      </c>
      <c r="Q1217" t="s">
        <v>257</v>
      </c>
      <c r="R1217" t="s">
        <v>803</v>
      </c>
      <c r="S1217">
        <v>1.38</v>
      </c>
      <c r="T1217">
        <v>6064</v>
      </c>
      <c r="U1217">
        <v>0</v>
      </c>
      <c r="V1217">
        <v>6064</v>
      </c>
    </row>
    <row r="1218" spans="1:22" x14ac:dyDescent="0.3">
      <c r="A1218">
        <v>79452</v>
      </c>
      <c r="B1218">
        <v>136103793</v>
      </c>
      <c r="C1218" t="s">
        <v>6624</v>
      </c>
      <c r="D1218" t="s">
        <v>6625</v>
      </c>
      <c r="E1218" t="s">
        <v>843</v>
      </c>
      <c r="F1218" t="s">
        <v>844</v>
      </c>
      <c r="G1218" t="s">
        <v>172</v>
      </c>
      <c r="H1218" t="s">
        <v>173</v>
      </c>
      <c r="I1218" t="s">
        <v>34</v>
      </c>
      <c r="J1218" t="s">
        <v>272</v>
      </c>
      <c r="K1218" t="s">
        <v>41</v>
      </c>
      <c r="L1218" t="s">
        <v>174</v>
      </c>
      <c r="M1218" t="s">
        <v>6626</v>
      </c>
      <c r="N1218" t="s">
        <v>847</v>
      </c>
      <c r="O1218" t="s">
        <v>100</v>
      </c>
      <c r="P1218" t="s">
        <v>6627</v>
      </c>
      <c r="Q1218" t="s">
        <v>103</v>
      </c>
      <c r="R1218" t="s">
        <v>599</v>
      </c>
      <c r="S1218">
        <v>0.89</v>
      </c>
      <c r="T1218">
        <v>3915</v>
      </c>
      <c r="U1218">
        <v>0</v>
      </c>
      <c r="V1218">
        <v>3915</v>
      </c>
    </row>
    <row r="1219" spans="1:22" x14ac:dyDescent="0.3">
      <c r="A1219">
        <v>79452</v>
      </c>
      <c r="B1219">
        <v>136104118</v>
      </c>
      <c r="C1219" t="s">
        <v>6628</v>
      </c>
      <c r="D1219" t="s">
        <v>6629</v>
      </c>
      <c r="E1219" t="s">
        <v>843</v>
      </c>
      <c r="F1219" t="s">
        <v>844</v>
      </c>
      <c r="G1219" t="s">
        <v>172</v>
      </c>
      <c r="H1219" t="s">
        <v>173</v>
      </c>
      <c r="I1219" t="s">
        <v>34</v>
      </c>
      <c r="J1219" t="s">
        <v>272</v>
      </c>
      <c r="K1219" t="s">
        <v>41</v>
      </c>
      <c r="L1219" t="s">
        <v>174</v>
      </c>
      <c r="M1219" t="s">
        <v>6630</v>
      </c>
      <c r="N1219" t="s">
        <v>847</v>
      </c>
      <c r="O1219" t="s">
        <v>100</v>
      </c>
      <c r="P1219" t="s">
        <v>6631</v>
      </c>
      <c r="Q1219" t="s">
        <v>253</v>
      </c>
      <c r="R1219" t="s">
        <v>803</v>
      </c>
      <c r="S1219">
        <v>1.27</v>
      </c>
      <c r="T1219">
        <v>6381</v>
      </c>
      <c r="U1219">
        <v>0</v>
      </c>
      <c r="V1219">
        <v>6381</v>
      </c>
    </row>
    <row r="1220" spans="1:22" x14ac:dyDescent="0.3">
      <c r="A1220">
        <v>79452</v>
      </c>
      <c r="B1220">
        <v>136103858</v>
      </c>
      <c r="C1220" t="s">
        <v>6632</v>
      </c>
      <c r="D1220" t="s">
        <v>6633</v>
      </c>
      <c r="E1220" t="s">
        <v>843</v>
      </c>
      <c r="F1220" t="s">
        <v>844</v>
      </c>
      <c r="G1220" t="s">
        <v>172</v>
      </c>
      <c r="H1220" t="s">
        <v>173</v>
      </c>
      <c r="I1220" t="s">
        <v>34</v>
      </c>
      <c r="J1220" t="s">
        <v>272</v>
      </c>
      <c r="K1220" t="s">
        <v>41</v>
      </c>
      <c r="L1220" t="s">
        <v>174</v>
      </c>
      <c r="M1220" t="s">
        <v>6634</v>
      </c>
      <c r="N1220" t="s">
        <v>847</v>
      </c>
      <c r="O1220" t="s">
        <v>100</v>
      </c>
      <c r="P1220" t="s">
        <v>6635</v>
      </c>
      <c r="Q1220" t="s">
        <v>103</v>
      </c>
      <c r="R1220" t="s">
        <v>803</v>
      </c>
      <c r="S1220">
        <v>1.3</v>
      </c>
      <c r="T1220">
        <v>3915</v>
      </c>
      <c r="U1220">
        <v>0</v>
      </c>
      <c r="V1220">
        <v>3915</v>
      </c>
    </row>
    <row r="1221" spans="1:22" x14ac:dyDescent="0.3">
      <c r="A1221">
        <v>79452</v>
      </c>
      <c r="B1221">
        <v>136103928</v>
      </c>
      <c r="C1221" t="s">
        <v>6636</v>
      </c>
      <c r="D1221" t="s">
        <v>6637</v>
      </c>
      <c r="E1221" t="s">
        <v>843</v>
      </c>
      <c r="F1221" t="s">
        <v>844</v>
      </c>
      <c r="G1221" t="s">
        <v>172</v>
      </c>
      <c r="H1221" t="s">
        <v>173</v>
      </c>
      <c r="I1221" t="s">
        <v>34</v>
      </c>
      <c r="J1221" t="s">
        <v>272</v>
      </c>
      <c r="K1221" t="s">
        <v>41</v>
      </c>
      <c r="L1221" t="s">
        <v>174</v>
      </c>
      <c r="M1221" t="s">
        <v>6638</v>
      </c>
      <c r="N1221" t="s">
        <v>847</v>
      </c>
      <c r="O1221" t="s">
        <v>100</v>
      </c>
      <c r="P1221" t="s">
        <v>6639</v>
      </c>
      <c r="Q1221" t="s">
        <v>75</v>
      </c>
      <c r="R1221" t="s">
        <v>803</v>
      </c>
      <c r="S1221">
        <v>1</v>
      </c>
      <c r="T1221">
        <v>6125</v>
      </c>
      <c r="U1221">
        <v>0</v>
      </c>
      <c r="V1221">
        <v>6125</v>
      </c>
    </row>
    <row r="1222" spans="1:22" x14ac:dyDescent="0.3">
      <c r="A1222">
        <v>79452</v>
      </c>
      <c r="B1222">
        <v>136270069</v>
      </c>
      <c r="C1222" t="s">
        <v>6640</v>
      </c>
      <c r="D1222" t="s">
        <v>6641</v>
      </c>
      <c r="E1222" t="s">
        <v>843</v>
      </c>
      <c r="F1222" t="s">
        <v>844</v>
      </c>
      <c r="G1222" t="s">
        <v>172</v>
      </c>
      <c r="H1222" t="s">
        <v>173</v>
      </c>
      <c r="I1222" t="s">
        <v>34</v>
      </c>
      <c r="J1222" t="s">
        <v>272</v>
      </c>
      <c r="K1222" t="s">
        <v>41</v>
      </c>
      <c r="L1222" t="s">
        <v>174</v>
      </c>
      <c r="M1222" t="s">
        <v>6642</v>
      </c>
      <c r="N1222" t="s">
        <v>847</v>
      </c>
      <c r="O1222" t="s">
        <v>100</v>
      </c>
      <c r="P1222" t="s">
        <v>6643</v>
      </c>
      <c r="Q1222" t="s">
        <v>86</v>
      </c>
      <c r="R1222" t="s">
        <v>759</v>
      </c>
      <c r="S1222">
        <v>1.29</v>
      </c>
      <c r="T1222">
        <v>5992</v>
      </c>
      <c r="U1222">
        <v>0</v>
      </c>
      <c r="V1222">
        <v>5992</v>
      </c>
    </row>
    <row r="1223" spans="1:22" x14ac:dyDescent="0.3">
      <c r="A1223">
        <v>79452</v>
      </c>
      <c r="B1223">
        <v>136270089</v>
      </c>
      <c r="C1223" t="s">
        <v>6644</v>
      </c>
      <c r="D1223" t="s">
        <v>6645</v>
      </c>
      <c r="E1223" t="s">
        <v>843</v>
      </c>
      <c r="F1223" t="s">
        <v>844</v>
      </c>
      <c r="G1223" t="s">
        <v>172</v>
      </c>
      <c r="H1223" t="s">
        <v>173</v>
      </c>
      <c r="I1223" t="s">
        <v>34</v>
      </c>
      <c r="J1223" t="s">
        <v>272</v>
      </c>
      <c r="K1223" t="s">
        <v>41</v>
      </c>
      <c r="L1223" t="s">
        <v>174</v>
      </c>
      <c r="M1223" t="s">
        <v>6646</v>
      </c>
      <c r="N1223" t="s">
        <v>847</v>
      </c>
      <c r="O1223" t="s">
        <v>100</v>
      </c>
      <c r="P1223" t="s">
        <v>6647</v>
      </c>
      <c r="Q1223" t="s">
        <v>180</v>
      </c>
      <c r="R1223" t="s">
        <v>759</v>
      </c>
      <c r="S1223">
        <v>0.86</v>
      </c>
      <c r="T1223">
        <v>6381</v>
      </c>
      <c r="U1223">
        <v>0</v>
      </c>
      <c r="V1223">
        <v>6381</v>
      </c>
    </row>
    <row r="1224" spans="1:22" x14ac:dyDescent="0.3">
      <c r="A1224">
        <v>79452</v>
      </c>
      <c r="B1224">
        <v>136327444</v>
      </c>
      <c r="C1224" t="s">
        <v>6648</v>
      </c>
      <c r="D1224" t="s">
        <v>6649</v>
      </c>
      <c r="E1224" t="s">
        <v>843</v>
      </c>
      <c r="F1224" t="s">
        <v>844</v>
      </c>
      <c r="G1224" t="s">
        <v>172</v>
      </c>
      <c r="H1224" t="s">
        <v>173</v>
      </c>
      <c r="I1224" t="s">
        <v>34</v>
      </c>
      <c r="J1224" t="s">
        <v>272</v>
      </c>
      <c r="K1224" t="s">
        <v>41</v>
      </c>
      <c r="L1224" t="s">
        <v>174</v>
      </c>
      <c r="M1224" t="s">
        <v>6650</v>
      </c>
      <c r="N1224" t="s">
        <v>847</v>
      </c>
      <c r="O1224" t="s">
        <v>100</v>
      </c>
      <c r="P1224" t="s">
        <v>6651</v>
      </c>
      <c r="Q1224" t="s">
        <v>103</v>
      </c>
      <c r="R1224" t="s">
        <v>1130</v>
      </c>
      <c r="S1224">
        <v>1.24</v>
      </c>
      <c r="T1224">
        <v>3915</v>
      </c>
      <c r="U1224">
        <v>0</v>
      </c>
      <c r="V1224">
        <v>3915</v>
      </c>
    </row>
    <row r="1225" spans="1:22" x14ac:dyDescent="0.3">
      <c r="A1225">
        <v>79452</v>
      </c>
      <c r="B1225">
        <v>135706370</v>
      </c>
      <c r="C1225" t="s">
        <v>6652</v>
      </c>
      <c r="D1225" t="s">
        <v>6653</v>
      </c>
      <c r="E1225" t="s">
        <v>843</v>
      </c>
      <c r="F1225" t="s">
        <v>844</v>
      </c>
      <c r="G1225" t="s">
        <v>172</v>
      </c>
      <c r="H1225" t="s">
        <v>173</v>
      </c>
      <c r="I1225" t="s">
        <v>34</v>
      </c>
      <c r="J1225" t="s">
        <v>272</v>
      </c>
      <c r="K1225" t="s">
        <v>41</v>
      </c>
      <c r="L1225" t="s">
        <v>174</v>
      </c>
      <c r="M1225" t="s">
        <v>6654</v>
      </c>
      <c r="N1225" t="s">
        <v>847</v>
      </c>
      <c r="O1225" t="s">
        <v>100</v>
      </c>
      <c r="P1225" t="s">
        <v>6655</v>
      </c>
      <c r="Q1225" t="s">
        <v>386</v>
      </c>
      <c r="R1225" t="s">
        <v>3482</v>
      </c>
      <c r="S1225">
        <v>0.89</v>
      </c>
      <c r="T1225">
        <v>6064</v>
      </c>
      <c r="U1225">
        <v>0</v>
      </c>
      <c r="V1225">
        <v>6064</v>
      </c>
    </row>
    <row r="1226" spans="1:22" x14ac:dyDescent="0.3">
      <c r="A1226">
        <v>79452</v>
      </c>
      <c r="B1226">
        <v>135845035</v>
      </c>
      <c r="C1226" t="s">
        <v>6656</v>
      </c>
      <c r="D1226" t="s">
        <v>6657</v>
      </c>
      <c r="E1226" t="s">
        <v>843</v>
      </c>
      <c r="F1226" t="s">
        <v>844</v>
      </c>
      <c r="G1226" t="s">
        <v>172</v>
      </c>
      <c r="H1226" t="s">
        <v>173</v>
      </c>
      <c r="I1226" t="s">
        <v>34</v>
      </c>
      <c r="J1226" t="s">
        <v>272</v>
      </c>
      <c r="K1226" t="s">
        <v>41</v>
      </c>
      <c r="L1226" t="s">
        <v>6658</v>
      </c>
      <c r="M1226" t="s">
        <v>6496</v>
      </c>
      <c r="N1226" t="s">
        <v>847</v>
      </c>
      <c r="O1226" t="s">
        <v>100</v>
      </c>
      <c r="P1226" t="s">
        <v>6497</v>
      </c>
      <c r="Q1226" t="s">
        <v>401</v>
      </c>
      <c r="R1226" t="s">
        <v>503</v>
      </c>
      <c r="S1226">
        <v>0.65</v>
      </c>
      <c r="T1226">
        <v>6064</v>
      </c>
      <c r="U1226">
        <v>0</v>
      </c>
      <c r="V1226">
        <v>6064</v>
      </c>
    </row>
    <row r="1227" spans="1:22" x14ac:dyDescent="0.3">
      <c r="A1227">
        <v>79452</v>
      </c>
      <c r="B1227">
        <v>135706392</v>
      </c>
      <c r="C1227" t="s">
        <v>6659</v>
      </c>
      <c r="D1227" t="s">
        <v>6660</v>
      </c>
      <c r="E1227" t="s">
        <v>843</v>
      </c>
      <c r="F1227" t="s">
        <v>844</v>
      </c>
      <c r="G1227" t="s">
        <v>172</v>
      </c>
      <c r="H1227" t="s">
        <v>173</v>
      </c>
      <c r="I1227" t="s">
        <v>34</v>
      </c>
      <c r="J1227" t="s">
        <v>272</v>
      </c>
      <c r="K1227" t="s">
        <v>41</v>
      </c>
      <c r="L1227" t="s">
        <v>174</v>
      </c>
      <c r="M1227" t="s">
        <v>6661</v>
      </c>
      <c r="N1227" t="s">
        <v>847</v>
      </c>
      <c r="O1227" t="s">
        <v>100</v>
      </c>
      <c r="P1227" t="s">
        <v>6662</v>
      </c>
      <c r="Q1227" t="s">
        <v>103</v>
      </c>
      <c r="R1227" t="s">
        <v>3482</v>
      </c>
      <c r="S1227">
        <v>0.54</v>
      </c>
      <c r="T1227">
        <v>3915</v>
      </c>
      <c r="U1227">
        <v>0</v>
      </c>
      <c r="V1227">
        <v>3915</v>
      </c>
    </row>
    <row r="1228" spans="1:22" x14ac:dyDescent="0.3">
      <c r="A1228">
        <v>79452</v>
      </c>
      <c r="B1228">
        <v>135706504</v>
      </c>
      <c r="C1228" t="s">
        <v>6663</v>
      </c>
      <c r="D1228" t="s">
        <v>6664</v>
      </c>
      <c r="E1228" t="s">
        <v>843</v>
      </c>
      <c r="F1228" t="s">
        <v>844</v>
      </c>
      <c r="G1228" t="s">
        <v>172</v>
      </c>
      <c r="H1228" t="s">
        <v>173</v>
      </c>
      <c r="I1228" t="s">
        <v>34</v>
      </c>
      <c r="J1228" t="s">
        <v>272</v>
      </c>
      <c r="K1228" t="s">
        <v>41</v>
      </c>
      <c r="L1228" t="s">
        <v>174</v>
      </c>
      <c r="M1228" t="s">
        <v>6665</v>
      </c>
      <c r="N1228" t="s">
        <v>847</v>
      </c>
      <c r="O1228" t="s">
        <v>100</v>
      </c>
      <c r="P1228" t="s">
        <v>6666</v>
      </c>
      <c r="Q1228" t="s">
        <v>102</v>
      </c>
      <c r="R1228" t="s">
        <v>3482</v>
      </c>
      <c r="S1228">
        <v>1.6</v>
      </c>
      <c r="T1228">
        <v>4168</v>
      </c>
      <c r="U1228">
        <v>0</v>
      </c>
      <c r="V1228">
        <v>4168</v>
      </c>
    </row>
    <row r="1229" spans="1:22" x14ac:dyDescent="0.3">
      <c r="A1229">
        <v>79452</v>
      </c>
      <c r="B1229">
        <v>135980330</v>
      </c>
      <c r="C1229" t="s">
        <v>6667</v>
      </c>
      <c r="D1229" t="s">
        <v>6668</v>
      </c>
      <c r="E1229" t="s">
        <v>843</v>
      </c>
      <c r="F1229" t="s">
        <v>844</v>
      </c>
      <c r="G1229" t="s">
        <v>172</v>
      </c>
      <c r="H1229" t="s">
        <v>173</v>
      </c>
      <c r="I1229" t="s">
        <v>34</v>
      </c>
      <c r="J1229" t="s">
        <v>272</v>
      </c>
      <c r="K1229" t="s">
        <v>41</v>
      </c>
      <c r="L1229" t="s">
        <v>6669</v>
      </c>
      <c r="M1229" t="s">
        <v>6670</v>
      </c>
      <c r="N1229" t="s">
        <v>847</v>
      </c>
      <c r="O1229" t="s">
        <v>100</v>
      </c>
      <c r="P1229" t="s">
        <v>6671</v>
      </c>
      <c r="Q1229" t="s">
        <v>102</v>
      </c>
      <c r="R1229" t="s">
        <v>288</v>
      </c>
      <c r="S1229">
        <v>1.32</v>
      </c>
      <c r="T1229">
        <v>3915</v>
      </c>
      <c r="U1229">
        <v>0</v>
      </c>
      <c r="V1229">
        <v>3915</v>
      </c>
    </row>
    <row r="1230" spans="1:22" x14ac:dyDescent="0.3">
      <c r="A1230">
        <v>79452</v>
      </c>
      <c r="B1230">
        <v>135980450</v>
      </c>
      <c r="C1230" t="s">
        <v>6672</v>
      </c>
      <c r="D1230" t="s">
        <v>6673</v>
      </c>
      <c r="E1230" t="s">
        <v>843</v>
      </c>
      <c r="F1230" t="s">
        <v>844</v>
      </c>
      <c r="G1230" t="s">
        <v>172</v>
      </c>
      <c r="H1230" t="s">
        <v>173</v>
      </c>
      <c r="I1230" t="s">
        <v>34</v>
      </c>
      <c r="J1230" t="s">
        <v>272</v>
      </c>
      <c r="K1230" t="s">
        <v>41</v>
      </c>
      <c r="L1230" t="s">
        <v>6674</v>
      </c>
      <c r="M1230" t="s">
        <v>6422</v>
      </c>
      <c r="N1230" t="s">
        <v>847</v>
      </c>
      <c r="O1230" t="s">
        <v>100</v>
      </c>
      <c r="P1230" t="s">
        <v>6423</v>
      </c>
      <c r="Q1230" t="s">
        <v>131</v>
      </c>
      <c r="R1230" t="s">
        <v>398</v>
      </c>
      <c r="S1230">
        <v>1.02</v>
      </c>
      <c r="T1230">
        <v>5992</v>
      </c>
      <c r="U1230">
        <v>0</v>
      </c>
      <c r="V1230">
        <v>5992</v>
      </c>
    </row>
    <row r="1231" spans="1:22" x14ac:dyDescent="0.3">
      <c r="A1231">
        <v>79452</v>
      </c>
      <c r="B1231">
        <v>135980579</v>
      </c>
      <c r="C1231" t="s">
        <v>6675</v>
      </c>
      <c r="D1231" t="s">
        <v>6676</v>
      </c>
      <c r="E1231" t="s">
        <v>843</v>
      </c>
      <c r="F1231" t="s">
        <v>844</v>
      </c>
      <c r="G1231" t="s">
        <v>172</v>
      </c>
      <c r="H1231" t="s">
        <v>173</v>
      </c>
      <c r="I1231" t="s">
        <v>34</v>
      </c>
      <c r="J1231" t="s">
        <v>272</v>
      </c>
      <c r="K1231" t="s">
        <v>44</v>
      </c>
      <c r="L1231" t="s">
        <v>6677</v>
      </c>
      <c r="M1231" t="s">
        <v>6678</v>
      </c>
      <c r="N1231" t="s">
        <v>847</v>
      </c>
      <c r="O1231" t="s">
        <v>100</v>
      </c>
      <c r="P1231" t="s">
        <v>6679</v>
      </c>
      <c r="Q1231" t="s">
        <v>107</v>
      </c>
      <c r="R1231" t="s">
        <v>398</v>
      </c>
      <c r="S1231">
        <v>1.86</v>
      </c>
      <c r="T1231">
        <v>4168</v>
      </c>
      <c r="U1231">
        <v>0</v>
      </c>
      <c r="V1231">
        <v>4168</v>
      </c>
    </row>
    <row r="1232" spans="1:22" x14ac:dyDescent="0.3">
      <c r="A1232">
        <v>79452</v>
      </c>
      <c r="B1232">
        <v>135980596</v>
      </c>
      <c r="C1232" t="s">
        <v>6680</v>
      </c>
      <c r="D1232" t="s">
        <v>6681</v>
      </c>
      <c r="E1232" t="s">
        <v>843</v>
      </c>
      <c r="F1232" t="s">
        <v>844</v>
      </c>
      <c r="G1232" t="s">
        <v>172</v>
      </c>
      <c r="H1232" t="s">
        <v>173</v>
      </c>
      <c r="I1232" t="s">
        <v>34</v>
      </c>
      <c r="J1232" t="s">
        <v>272</v>
      </c>
      <c r="K1232" t="s">
        <v>41</v>
      </c>
      <c r="L1232" t="s">
        <v>174</v>
      </c>
      <c r="M1232" t="s">
        <v>6682</v>
      </c>
      <c r="N1232" t="s">
        <v>847</v>
      </c>
      <c r="O1232" t="s">
        <v>100</v>
      </c>
      <c r="P1232" t="s">
        <v>6683</v>
      </c>
      <c r="Q1232" t="s">
        <v>86</v>
      </c>
      <c r="R1232" t="s">
        <v>398</v>
      </c>
      <c r="S1232">
        <v>2.19</v>
      </c>
      <c r="T1232">
        <v>6800</v>
      </c>
      <c r="U1232">
        <v>0</v>
      </c>
      <c r="V1232">
        <v>6800</v>
      </c>
    </row>
    <row r="1233" spans="1:22" x14ac:dyDescent="0.3">
      <c r="A1233">
        <v>79452</v>
      </c>
      <c r="B1233">
        <v>135706618</v>
      </c>
      <c r="C1233" t="s">
        <v>6684</v>
      </c>
      <c r="D1233" t="s">
        <v>6685</v>
      </c>
      <c r="E1233" t="s">
        <v>843</v>
      </c>
      <c r="F1233" t="s">
        <v>844</v>
      </c>
      <c r="G1233" t="s">
        <v>172</v>
      </c>
      <c r="H1233" t="s">
        <v>173</v>
      </c>
      <c r="I1233" t="s">
        <v>34</v>
      </c>
      <c r="J1233" t="s">
        <v>272</v>
      </c>
      <c r="K1233" t="s">
        <v>41</v>
      </c>
      <c r="L1233" t="s">
        <v>174</v>
      </c>
      <c r="M1233" t="s">
        <v>6686</v>
      </c>
      <c r="N1233" t="s">
        <v>847</v>
      </c>
      <c r="O1233" t="s">
        <v>100</v>
      </c>
      <c r="P1233" t="s">
        <v>6687</v>
      </c>
      <c r="Q1233" t="s">
        <v>115</v>
      </c>
      <c r="R1233" t="s">
        <v>769</v>
      </c>
      <c r="S1233">
        <v>1.23</v>
      </c>
      <c r="T1233">
        <v>5910</v>
      </c>
      <c r="U1233">
        <v>0</v>
      </c>
      <c r="V1233">
        <v>5910</v>
      </c>
    </row>
    <row r="1234" spans="1:22" x14ac:dyDescent="0.3">
      <c r="A1234">
        <v>79452</v>
      </c>
      <c r="B1234">
        <v>135745459</v>
      </c>
      <c r="C1234" t="s">
        <v>6688</v>
      </c>
      <c r="D1234" t="s">
        <v>6689</v>
      </c>
      <c r="E1234" t="s">
        <v>843</v>
      </c>
      <c r="F1234" t="s">
        <v>844</v>
      </c>
      <c r="G1234" t="s">
        <v>172</v>
      </c>
      <c r="H1234" t="s">
        <v>173</v>
      </c>
      <c r="I1234" t="s">
        <v>34</v>
      </c>
      <c r="J1234" t="s">
        <v>272</v>
      </c>
      <c r="K1234" t="s">
        <v>41</v>
      </c>
      <c r="L1234" t="s">
        <v>174</v>
      </c>
      <c r="M1234" t="s">
        <v>179</v>
      </c>
      <c r="N1234" t="s">
        <v>847</v>
      </c>
      <c r="O1234" t="s">
        <v>100</v>
      </c>
      <c r="P1234" t="s">
        <v>6690</v>
      </c>
      <c r="Q1234" t="s">
        <v>106</v>
      </c>
      <c r="R1234" t="s">
        <v>738</v>
      </c>
      <c r="S1234">
        <v>1.5</v>
      </c>
      <c r="T1234">
        <v>3915</v>
      </c>
      <c r="U1234">
        <v>0</v>
      </c>
      <c r="V1234">
        <v>3915</v>
      </c>
    </row>
    <row r="1235" spans="1:22" x14ac:dyDescent="0.3">
      <c r="A1235">
        <v>79452</v>
      </c>
      <c r="B1235">
        <v>135845013</v>
      </c>
      <c r="C1235" t="s">
        <v>6691</v>
      </c>
      <c r="D1235" t="s">
        <v>6692</v>
      </c>
      <c r="E1235" t="s">
        <v>843</v>
      </c>
      <c r="F1235" t="s">
        <v>844</v>
      </c>
      <c r="G1235" t="s">
        <v>172</v>
      </c>
      <c r="H1235" t="s">
        <v>173</v>
      </c>
      <c r="I1235" t="s">
        <v>34</v>
      </c>
      <c r="J1235" t="s">
        <v>272</v>
      </c>
      <c r="K1235" t="s">
        <v>41</v>
      </c>
      <c r="L1235" t="s">
        <v>6693</v>
      </c>
      <c r="M1235" t="s">
        <v>6694</v>
      </c>
      <c r="N1235" t="s">
        <v>847</v>
      </c>
      <c r="O1235" t="s">
        <v>100</v>
      </c>
      <c r="P1235" t="s">
        <v>6695</v>
      </c>
      <c r="Q1235" t="s">
        <v>86</v>
      </c>
      <c r="R1235" t="s">
        <v>503</v>
      </c>
      <c r="S1235">
        <v>1.32</v>
      </c>
      <c r="T1235">
        <v>5992</v>
      </c>
      <c r="U1235">
        <v>0</v>
      </c>
      <c r="V1235">
        <v>5992</v>
      </c>
    </row>
    <row r="1236" spans="1:22" x14ac:dyDescent="0.3">
      <c r="A1236">
        <v>79452</v>
      </c>
      <c r="B1236">
        <v>135844979</v>
      </c>
      <c r="C1236" t="s">
        <v>6696</v>
      </c>
      <c r="D1236" t="s">
        <v>6697</v>
      </c>
      <c r="E1236" t="s">
        <v>843</v>
      </c>
      <c r="F1236" t="s">
        <v>844</v>
      </c>
      <c r="G1236" t="s">
        <v>172</v>
      </c>
      <c r="H1236" t="s">
        <v>173</v>
      </c>
      <c r="I1236" t="s">
        <v>34</v>
      </c>
      <c r="J1236" t="s">
        <v>272</v>
      </c>
      <c r="K1236" t="s">
        <v>41</v>
      </c>
      <c r="L1236" t="s">
        <v>6698</v>
      </c>
      <c r="M1236" t="s">
        <v>6699</v>
      </c>
      <c r="N1236" t="s">
        <v>847</v>
      </c>
      <c r="O1236" t="s">
        <v>100</v>
      </c>
      <c r="P1236" t="s">
        <v>6700</v>
      </c>
      <c r="Q1236" t="s">
        <v>828</v>
      </c>
      <c r="R1236" t="s">
        <v>3877</v>
      </c>
      <c r="S1236">
        <v>0.39</v>
      </c>
      <c r="T1236">
        <v>7184</v>
      </c>
      <c r="U1236">
        <v>0</v>
      </c>
      <c r="V1236">
        <v>7184</v>
      </c>
    </row>
    <row r="1237" spans="1:22" x14ac:dyDescent="0.3">
      <c r="A1237">
        <v>79452</v>
      </c>
      <c r="B1237">
        <v>135980617</v>
      </c>
      <c r="C1237" t="s">
        <v>6701</v>
      </c>
      <c r="D1237" t="s">
        <v>6702</v>
      </c>
      <c r="E1237" t="s">
        <v>843</v>
      </c>
      <c r="F1237" t="s">
        <v>844</v>
      </c>
      <c r="G1237" t="s">
        <v>172</v>
      </c>
      <c r="H1237" t="s">
        <v>173</v>
      </c>
      <c r="I1237" t="s">
        <v>34</v>
      </c>
      <c r="J1237" t="s">
        <v>272</v>
      </c>
      <c r="K1237" t="s">
        <v>41</v>
      </c>
      <c r="L1237" t="s">
        <v>174</v>
      </c>
      <c r="M1237" t="s">
        <v>6703</v>
      </c>
      <c r="N1237" t="s">
        <v>847</v>
      </c>
      <c r="O1237" t="s">
        <v>100</v>
      </c>
      <c r="P1237" t="s">
        <v>6704</v>
      </c>
      <c r="Q1237" t="s">
        <v>257</v>
      </c>
      <c r="R1237" t="s">
        <v>398</v>
      </c>
      <c r="S1237">
        <v>0.5</v>
      </c>
      <c r="T1237">
        <v>5733</v>
      </c>
      <c r="U1237">
        <v>0</v>
      </c>
      <c r="V1237">
        <v>5733</v>
      </c>
    </row>
    <row r="1238" spans="1:22" x14ac:dyDescent="0.3">
      <c r="A1238">
        <v>79452</v>
      </c>
      <c r="B1238">
        <v>135980620</v>
      </c>
      <c r="C1238" t="s">
        <v>6705</v>
      </c>
      <c r="D1238" t="s">
        <v>6706</v>
      </c>
      <c r="E1238" t="s">
        <v>843</v>
      </c>
      <c r="F1238" t="s">
        <v>844</v>
      </c>
      <c r="G1238" t="s">
        <v>172</v>
      </c>
      <c r="H1238" t="s">
        <v>173</v>
      </c>
      <c r="I1238" t="s">
        <v>34</v>
      </c>
      <c r="J1238" t="s">
        <v>272</v>
      </c>
      <c r="K1238" t="s">
        <v>41</v>
      </c>
      <c r="L1238" t="s">
        <v>174</v>
      </c>
      <c r="M1238" t="s">
        <v>6707</v>
      </c>
      <c r="N1238" t="s">
        <v>847</v>
      </c>
      <c r="O1238" t="s">
        <v>100</v>
      </c>
      <c r="P1238" t="s">
        <v>6708</v>
      </c>
      <c r="Q1238" t="s">
        <v>106</v>
      </c>
      <c r="R1238" t="s">
        <v>398</v>
      </c>
      <c r="S1238">
        <v>1.24</v>
      </c>
      <c r="T1238">
        <v>3915</v>
      </c>
      <c r="U1238">
        <v>0</v>
      </c>
      <c r="V1238">
        <v>3915</v>
      </c>
    </row>
    <row r="1239" spans="1:22" x14ac:dyDescent="0.3">
      <c r="A1239">
        <v>79452</v>
      </c>
      <c r="B1239">
        <v>135792382</v>
      </c>
      <c r="C1239" t="s">
        <v>6709</v>
      </c>
      <c r="D1239" t="s">
        <v>6710</v>
      </c>
      <c r="E1239" t="s">
        <v>843</v>
      </c>
      <c r="F1239" t="s">
        <v>844</v>
      </c>
      <c r="G1239" t="s">
        <v>172</v>
      </c>
      <c r="H1239" t="s">
        <v>173</v>
      </c>
      <c r="I1239" t="s">
        <v>34</v>
      </c>
      <c r="J1239" t="s">
        <v>272</v>
      </c>
      <c r="K1239" t="s">
        <v>41</v>
      </c>
      <c r="L1239" t="s">
        <v>174</v>
      </c>
      <c r="M1239" t="s">
        <v>6711</v>
      </c>
      <c r="N1239" t="s">
        <v>847</v>
      </c>
      <c r="O1239" t="s">
        <v>100</v>
      </c>
      <c r="P1239" t="s">
        <v>6712</v>
      </c>
      <c r="Q1239" t="s">
        <v>119</v>
      </c>
      <c r="R1239" t="s">
        <v>694</v>
      </c>
      <c r="S1239">
        <v>1</v>
      </c>
      <c r="T1239">
        <v>7552</v>
      </c>
      <c r="U1239">
        <v>0</v>
      </c>
      <c r="V1239">
        <v>7552</v>
      </c>
    </row>
    <row r="1240" spans="1:22" x14ac:dyDescent="0.3">
      <c r="A1240">
        <v>79452</v>
      </c>
      <c r="B1240">
        <v>135845100</v>
      </c>
      <c r="C1240" t="s">
        <v>6713</v>
      </c>
      <c r="D1240" t="s">
        <v>6714</v>
      </c>
      <c r="E1240" t="s">
        <v>843</v>
      </c>
      <c r="F1240" t="s">
        <v>844</v>
      </c>
      <c r="G1240" t="s">
        <v>172</v>
      </c>
      <c r="H1240" t="s">
        <v>173</v>
      </c>
      <c r="I1240" t="s">
        <v>34</v>
      </c>
      <c r="J1240" t="s">
        <v>272</v>
      </c>
      <c r="K1240" t="s">
        <v>41</v>
      </c>
      <c r="L1240" t="s">
        <v>6715</v>
      </c>
      <c r="M1240" t="s">
        <v>6716</v>
      </c>
      <c r="N1240" t="s">
        <v>847</v>
      </c>
      <c r="O1240" t="s">
        <v>100</v>
      </c>
      <c r="P1240" t="s">
        <v>6717</v>
      </c>
      <c r="Q1240" t="s">
        <v>237</v>
      </c>
      <c r="R1240" t="s">
        <v>503</v>
      </c>
      <c r="S1240">
        <v>2.12</v>
      </c>
      <c r="T1240">
        <v>6800</v>
      </c>
      <c r="U1240">
        <v>0</v>
      </c>
      <c r="V1240">
        <v>6800</v>
      </c>
    </row>
    <row r="1241" spans="1:22" x14ac:dyDescent="0.3">
      <c r="A1241">
        <v>79452</v>
      </c>
      <c r="B1241">
        <v>135980507</v>
      </c>
      <c r="C1241" t="s">
        <v>6718</v>
      </c>
      <c r="D1241" t="s">
        <v>6719</v>
      </c>
      <c r="E1241" t="s">
        <v>843</v>
      </c>
      <c r="F1241" t="s">
        <v>844</v>
      </c>
      <c r="G1241" t="s">
        <v>172</v>
      </c>
      <c r="H1241" t="s">
        <v>173</v>
      </c>
      <c r="I1241" t="s">
        <v>34</v>
      </c>
      <c r="J1241" t="s">
        <v>272</v>
      </c>
      <c r="K1241" t="s">
        <v>41</v>
      </c>
      <c r="L1241" t="s">
        <v>6720</v>
      </c>
      <c r="M1241" t="s">
        <v>6721</v>
      </c>
      <c r="N1241" t="s">
        <v>847</v>
      </c>
      <c r="O1241" t="s">
        <v>100</v>
      </c>
      <c r="P1241" t="s">
        <v>6722</v>
      </c>
      <c r="Q1241" t="s">
        <v>189</v>
      </c>
      <c r="R1241" t="s">
        <v>398</v>
      </c>
      <c r="S1241">
        <v>0.45</v>
      </c>
      <c r="T1241">
        <v>3776</v>
      </c>
      <c r="U1241">
        <v>0</v>
      </c>
      <c r="V1241">
        <v>3776</v>
      </c>
    </row>
    <row r="1242" spans="1:22" x14ac:dyDescent="0.3">
      <c r="A1242">
        <v>79452</v>
      </c>
      <c r="B1242">
        <v>135980522</v>
      </c>
      <c r="C1242" t="s">
        <v>6723</v>
      </c>
      <c r="D1242" t="s">
        <v>6724</v>
      </c>
      <c r="E1242" t="s">
        <v>843</v>
      </c>
      <c r="F1242" t="s">
        <v>844</v>
      </c>
      <c r="G1242" t="s">
        <v>172</v>
      </c>
      <c r="H1242" t="s">
        <v>173</v>
      </c>
      <c r="I1242" t="s">
        <v>34</v>
      </c>
      <c r="J1242" t="s">
        <v>272</v>
      </c>
      <c r="K1242" t="s">
        <v>44</v>
      </c>
      <c r="L1242" t="s">
        <v>6725</v>
      </c>
      <c r="M1242" t="s">
        <v>6726</v>
      </c>
      <c r="N1242" t="s">
        <v>847</v>
      </c>
      <c r="O1242" t="s">
        <v>100</v>
      </c>
      <c r="P1242" t="s">
        <v>6727</v>
      </c>
      <c r="Q1242" t="s">
        <v>103</v>
      </c>
      <c r="R1242" t="s">
        <v>398</v>
      </c>
      <c r="S1242">
        <v>1.03</v>
      </c>
      <c r="T1242">
        <v>3915</v>
      </c>
      <c r="U1242">
        <v>0</v>
      </c>
      <c r="V1242">
        <v>3915</v>
      </c>
    </row>
    <row r="1243" spans="1:22" x14ac:dyDescent="0.3">
      <c r="A1243">
        <v>79452</v>
      </c>
      <c r="B1243">
        <v>135980572</v>
      </c>
      <c r="C1243" t="s">
        <v>6728</v>
      </c>
      <c r="D1243" t="s">
        <v>6729</v>
      </c>
      <c r="E1243" t="s">
        <v>843</v>
      </c>
      <c r="F1243" t="s">
        <v>844</v>
      </c>
      <c r="G1243" t="s">
        <v>172</v>
      </c>
      <c r="H1243" t="s">
        <v>173</v>
      </c>
      <c r="I1243" t="s">
        <v>34</v>
      </c>
      <c r="J1243" t="s">
        <v>272</v>
      </c>
      <c r="K1243" t="s">
        <v>41</v>
      </c>
      <c r="L1243" t="s">
        <v>6730</v>
      </c>
      <c r="M1243" t="s">
        <v>326</v>
      </c>
      <c r="N1243" t="s">
        <v>847</v>
      </c>
      <c r="O1243" t="s">
        <v>100</v>
      </c>
      <c r="P1243" t="s">
        <v>6731</v>
      </c>
      <c r="Q1243" t="s">
        <v>104</v>
      </c>
      <c r="R1243" t="s">
        <v>398</v>
      </c>
      <c r="S1243">
        <v>0.92</v>
      </c>
      <c r="T1243">
        <v>3915</v>
      </c>
      <c r="U1243">
        <v>0</v>
      </c>
      <c r="V1243">
        <v>3915</v>
      </c>
    </row>
    <row r="1244" spans="1:22" x14ac:dyDescent="0.3">
      <c r="A1244">
        <v>79452</v>
      </c>
      <c r="B1244">
        <v>135980613</v>
      </c>
      <c r="C1244" t="s">
        <v>6732</v>
      </c>
      <c r="D1244" t="s">
        <v>6733</v>
      </c>
      <c r="E1244" t="s">
        <v>843</v>
      </c>
      <c r="F1244" t="s">
        <v>844</v>
      </c>
      <c r="G1244" t="s">
        <v>172</v>
      </c>
      <c r="H1244" t="s">
        <v>173</v>
      </c>
      <c r="I1244" t="s">
        <v>34</v>
      </c>
      <c r="J1244" t="s">
        <v>272</v>
      </c>
      <c r="K1244" t="s">
        <v>41</v>
      </c>
      <c r="L1244" t="s">
        <v>174</v>
      </c>
      <c r="M1244" t="s">
        <v>6734</v>
      </c>
      <c r="N1244" t="s">
        <v>847</v>
      </c>
      <c r="O1244" t="s">
        <v>100</v>
      </c>
      <c r="P1244" t="s">
        <v>6735</v>
      </c>
      <c r="Q1244" t="s">
        <v>295</v>
      </c>
      <c r="R1244" t="s">
        <v>398</v>
      </c>
      <c r="S1244">
        <v>0.38</v>
      </c>
      <c r="T1244">
        <v>5733</v>
      </c>
      <c r="U1244">
        <v>0</v>
      </c>
      <c r="V1244">
        <v>5733</v>
      </c>
    </row>
    <row r="1245" spans="1:22" x14ac:dyDescent="0.3">
      <c r="A1245">
        <v>79452</v>
      </c>
      <c r="B1245">
        <v>135792395</v>
      </c>
      <c r="C1245" t="s">
        <v>6736</v>
      </c>
      <c r="D1245" t="s">
        <v>6737</v>
      </c>
      <c r="E1245" t="s">
        <v>843</v>
      </c>
      <c r="F1245" t="s">
        <v>844</v>
      </c>
      <c r="G1245" t="s">
        <v>172</v>
      </c>
      <c r="H1245" t="s">
        <v>173</v>
      </c>
      <c r="I1245" t="s">
        <v>34</v>
      </c>
      <c r="J1245" t="s">
        <v>272</v>
      </c>
      <c r="K1245" t="s">
        <v>41</v>
      </c>
      <c r="L1245" t="s">
        <v>174</v>
      </c>
      <c r="M1245" t="s">
        <v>6738</v>
      </c>
      <c r="N1245" t="s">
        <v>847</v>
      </c>
      <c r="O1245" t="s">
        <v>100</v>
      </c>
      <c r="P1245" t="s">
        <v>6739</v>
      </c>
      <c r="Q1245" t="s">
        <v>102</v>
      </c>
      <c r="R1245" t="s">
        <v>694</v>
      </c>
      <c r="S1245">
        <v>1.17</v>
      </c>
      <c r="T1245">
        <v>3915</v>
      </c>
      <c r="U1245">
        <v>0</v>
      </c>
      <c r="V1245">
        <v>3915</v>
      </c>
    </row>
    <row r="1246" spans="1:22" x14ac:dyDescent="0.3">
      <c r="A1246">
        <v>79452</v>
      </c>
      <c r="B1246">
        <v>135412529</v>
      </c>
      <c r="C1246" t="s">
        <v>6740</v>
      </c>
      <c r="D1246" t="s">
        <v>6741</v>
      </c>
      <c r="E1246" t="s">
        <v>843</v>
      </c>
      <c r="F1246" t="s">
        <v>844</v>
      </c>
      <c r="G1246" t="s">
        <v>172</v>
      </c>
      <c r="H1246" t="s">
        <v>173</v>
      </c>
      <c r="I1246" t="s">
        <v>34</v>
      </c>
      <c r="J1246" t="s">
        <v>272</v>
      </c>
      <c r="K1246" t="s">
        <v>41</v>
      </c>
      <c r="L1246" t="s">
        <v>174</v>
      </c>
      <c r="M1246" t="s">
        <v>6742</v>
      </c>
      <c r="N1246" t="s">
        <v>847</v>
      </c>
      <c r="O1246" t="s">
        <v>100</v>
      </c>
      <c r="P1246" t="s">
        <v>6743</v>
      </c>
      <c r="Q1246" t="s">
        <v>248</v>
      </c>
      <c r="R1246" t="s">
        <v>5654</v>
      </c>
      <c r="S1246">
        <v>0.67</v>
      </c>
      <c r="T1246">
        <v>6381</v>
      </c>
      <c r="U1246">
        <v>0</v>
      </c>
      <c r="V1246">
        <v>6381</v>
      </c>
    </row>
    <row r="1247" spans="1:22" x14ac:dyDescent="0.3">
      <c r="A1247">
        <v>79452</v>
      </c>
      <c r="B1247">
        <v>135672404</v>
      </c>
      <c r="C1247" t="s">
        <v>6744</v>
      </c>
      <c r="D1247" t="s">
        <v>6745</v>
      </c>
      <c r="E1247" t="s">
        <v>843</v>
      </c>
      <c r="F1247" t="s">
        <v>844</v>
      </c>
      <c r="G1247" t="s">
        <v>172</v>
      </c>
      <c r="H1247" t="s">
        <v>173</v>
      </c>
      <c r="I1247" t="s">
        <v>34</v>
      </c>
      <c r="J1247" t="s">
        <v>272</v>
      </c>
      <c r="K1247" t="s">
        <v>41</v>
      </c>
      <c r="L1247" t="s">
        <v>174</v>
      </c>
      <c r="M1247" t="s">
        <v>6746</v>
      </c>
      <c r="N1247" t="s">
        <v>847</v>
      </c>
      <c r="O1247" t="s">
        <v>100</v>
      </c>
      <c r="P1247" t="s">
        <v>6747</v>
      </c>
      <c r="Q1247" t="s">
        <v>102</v>
      </c>
      <c r="R1247" t="s">
        <v>695</v>
      </c>
      <c r="S1247">
        <v>2.21</v>
      </c>
      <c r="T1247">
        <v>4168</v>
      </c>
      <c r="U1247">
        <v>0</v>
      </c>
      <c r="V1247">
        <v>4168</v>
      </c>
    </row>
    <row r="1248" spans="1:22" x14ac:dyDescent="0.3">
      <c r="A1248">
        <v>79452</v>
      </c>
      <c r="B1248">
        <v>135628091</v>
      </c>
      <c r="C1248" t="s">
        <v>6748</v>
      </c>
      <c r="D1248" t="s">
        <v>6749</v>
      </c>
      <c r="E1248" t="s">
        <v>843</v>
      </c>
      <c r="F1248" t="s">
        <v>844</v>
      </c>
      <c r="G1248" t="s">
        <v>172</v>
      </c>
      <c r="H1248" t="s">
        <v>173</v>
      </c>
      <c r="I1248" t="s">
        <v>34</v>
      </c>
      <c r="J1248" t="s">
        <v>272</v>
      </c>
      <c r="K1248" t="s">
        <v>41</v>
      </c>
      <c r="L1248" t="s">
        <v>174</v>
      </c>
      <c r="M1248" t="s">
        <v>6750</v>
      </c>
      <c r="N1248" t="s">
        <v>847</v>
      </c>
      <c r="O1248" t="s">
        <v>100</v>
      </c>
      <c r="P1248" t="s">
        <v>6751</v>
      </c>
      <c r="Q1248" t="s">
        <v>103</v>
      </c>
      <c r="R1248" t="s">
        <v>713</v>
      </c>
      <c r="S1248">
        <v>0.8</v>
      </c>
      <c r="T1248">
        <v>3915</v>
      </c>
      <c r="U1248">
        <v>0</v>
      </c>
      <c r="V1248">
        <v>3915</v>
      </c>
    </row>
    <row r="1249" spans="1:22" x14ac:dyDescent="0.3">
      <c r="A1249">
        <v>79452</v>
      </c>
      <c r="B1249">
        <v>135628132</v>
      </c>
      <c r="C1249" t="s">
        <v>6752</v>
      </c>
      <c r="D1249" t="s">
        <v>6753</v>
      </c>
      <c r="E1249" t="s">
        <v>843</v>
      </c>
      <c r="F1249" t="s">
        <v>844</v>
      </c>
      <c r="G1249" t="s">
        <v>172</v>
      </c>
      <c r="H1249" t="s">
        <v>173</v>
      </c>
      <c r="I1249" t="s">
        <v>34</v>
      </c>
      <c r="J1249" t="s">
        <v>272</v>
      </c>
      <c r="K1249" t="s">
        <v>41</v>
      </c>
      <c r="L1249" t="s">
        <v>174</v>
      </c>
      <c r="M1249" t="s">
        <v>6417</v>
      </c>
      <c r="N1249" t="s">
        <v>847</v>
      </c>
      <c r="O1249" t="s">
        <v>100</v>
      </c>
      <c r="P1249" t="s">
        <v>6418</v>
      </c>
      <c r="Q1249" t="s">
        <v>241</v>
      </c>
      <c r="R1249" t="s">
        <v>713</v>
      </c>
      <c r="S1249">
        <v>0.51</v>
      </c>
      <c r="T1249">
        <v>3915</v>
      </c>
      <c r="U1249">
        <v>0</v>
      </c>
      <c r="V1249">
        <v>3915</v>
      </c>
    </row>
    <row r="1250" spans="1:22" x14ac:dyDescent="0.3">
      <c r="A1250">
        <v>79452</v>
      </c>
      <c r="B1250">
        <v>135628079</v>
      </c>
      <c r="C1250" t="s">
        <v>6754</v>
      </c>
      <c r="D1250" t="s">
        <v>6755</v>
      </c>
      <c r="E1250" t="s">
        <v>843</v>
      </c>
      <c r="F1250" t="s">
        <v>844</v>
      </c>
      <c r="G1250" t="s">
        <v>172</v>
      </c>
      <c r="H1250" t="s">
        <v>173</v>
      </c>
      <c r="I1250" t="s">
        <v>34</v>
      </c>
      <c r="J1250" t="s">
        <v>272</v>
      </c>
      <c r="K1250" t="s">
        <v>41</v>
      </c>
      <c r="L1250" t="s">
        <v>174</v>
      </c>
      <c r="M1250" t="s">
        <v>6500</v>
      </c>
      <c r="N1250" t="s">
        <v>847</v>
      </c>
      <c r="O1250" t="s">
        <v>100</v>
      </c>
      <c r="P1250" t="s">
        <v>6501</v>
      </c>
      <c r="Q1250" t="s">
        <v>86</v>
      </c>
      <c r="R1250" t="s">
        <v>713</v>
      </c>
      <c r="S1250">
        <v>0.7</v>
      </c>
      <c r="T1250">
        <v>5992</v>
      </c>
      <c r="U1250">
        <v>0</v>
      </c>
      <c r="V1250">
        <v>5992</v>
      </c>
    </row>
    <row r="1251" spans="1:22" x14ac:dyDescent="0.3">
      <c r="A1251">
        <v>79452</v>
      </c>
      <c r="B1251">
        <v>135666500</v>
      </c>
      <c r="C1251" t="s">
        <v>6756</v>
      </c>
      <c r="D1251" t="s">
        <v>6757</v>
      </c>
      <c r="E1251" t="s">
        <v>843</v>
      </c>
      <c r="F1251" t="s">
        <v>844</v>
      </c>
      <c r="G1251" t="s">
        <v>172</v>
      </c>
      <c r="H1251" t="s">
        <v>173</v>
      </c>
      <c r="I1251" t="s">
        <v>34</v>
      </c>
      <c r="J1251" t="s">
        <v>272</v>
      </c>
      <c r="K1251" t="s">
        <v>41</v>
      </c>
      <c r="L1251" t="s">
        <v>174</v>
      </c>
      <c r="M1251" t="s">
        <v>6758</v>
      </c>
      <c r="N1251" t="s">
        <v>847</v>
      </c>
      <c r="O1251" t="s">
        <v>100</v>
      </c>
      <c r="P1251" t="s">
        <v>6759</v>
      </c>
      <c r="Q1251" t="s">
        <v>103</v>
      </c>
      <c r="R1251" t="s">
        <v>4769</v>
      </c>
      <c r="S1251">
        <v>2.67</v>
      </c>
      <c r="T1251">
        <v>4168</v>
      </c>
      <c r="U1251">
        <v>0</v>
      </c>
      <c r="V1251">
        <v>4168</v>
      </c>
    </row>
    <row r="1252" spans="1:22" x14ac:dyDescent="0.3">
      <c r="A1252">
        <v>80147</v>
      </c>
      <c r="B1252">
        <v>136997735</v>
      </c>
      <c r="C1252" t="s">
        <v>6760</v>
      </c>
      <c r="D1252" t="s">
        <v>6761</v>
      </c>
      <c r="E1252" t="s">
        <v>6762</v>
      </c>
      <c r="F1252" t="s">
        <v>844</v>
      </c>
      <c r="G1252" t="s">
        <v>164</v>
      </c>
      <c r="H1252" t="s">
        <v>165</v>
      </c>
      <c r="I1252" t="s">
        <v>34</v>
      </c>
      <c r="J1252" t="s">
        <v>166</v>
      </c>
      <c r="K1252" t="s">
        <v>41</v>
      </c>
      <c r="L1252" t="s">
        <v>6763</v>
      </c>
      <c r="M1252" t="s">
        <v>6764</v>
      </c>
      <c r="N1252" t="s">
        <v>847</v>
      </c>
      <c r="O1252" t="s">
        <v>100</v>
      </c>
      <c r="P1252" t="s">
        <v>6765</v>
      </c>
      <c r="Q1252" t="s">
        <v>544</v>
      </c>
      <c r="R1252" t="s">
        <v>565</v>
      </c>
      <c r="S1252">
        <v>1</v>
      </c>
      <c r="T1252">
        <v>5759</v>
      </c>
      <c r="U1252">
        <v>0</v>
      </c>
      <c r="V1252">
        <v>5759</v>
      </c>
    </row>
    <row r="1253" spans="1:22" x14ac:dyDescent="0.3">
      <c r="A1253">
        <v>80147</v>
      </c>
      <c r="B1253">
        <v>137252795</v>
      </c>
      <c r="C1253" t="s">
        <v>6766</v>
      </c>
      <c r="D1253" t="s">
        <v>6767</v>
      </c>
      <c r="E1253" t="s">
        <v>6762</v>
      </c>
      <c r="F1253" t="s">
        <v>844</v>
      </c>
      <c r="G1253" t="s">
        <v>164</v>
      </c>
      <c r="H1253" t="s">
        <v>165</v>
      </c>
      <c r="I1253" t="s">
        <v>34</v>
      </c>
      <c r="J1253" t="s">
        <v>166</v>
      </c>
      <c r="K1253" t="s">
        <v>41</v>
      </c>
      <c r="L1253" t="s">
        <v>6768</v>
      </c>
      <c r="M1253" t="s">
        <v>6769</v>
      </c>
      <c r="N1253" t="s">
        <v>847</v>
      </c>
      <c r="O1253" t="s">
        <v>100</v>
      </c>
      <c r="P1253" t="s">
        <v>6770</v>
      </c>
      <c r="Q1253" t="s">
        <v>55</v>
      </c>
      <c r="R1253" t="s">
        <v>394</v>
      </c>
      <c r="S1253">
        <v>1</v>
      </c>
      <c r="T1253">
        <v>5198</v>
      </c>
      <c r="U1253">
        <v>0</v>
      </c>
      <c r="V1253">
        <v>5198</v>
      </c>
    </row>
    <row r="1254" spans="1:22" x14ac:dyDescent="0.3">
      <c r="A1254">
        <v>80147</v>
      </c>
      <c r="B1254">
        <v>137205155</v>
      </c>
      <c r="C1254" t="s">
        <v>6771</v>
      </c>
      <c r="D1254" t="s">
        <v>6772</v>
      </c>
      <c r="E1254" t="s">
        <v>6762</v>
      </c>
      <c r="F1254" t="s">
        <v>844</v>
      </c>
      <c r="G1254" t="s">
        <v>164</v>
      </c>
      <c r="H1254" t="s">
        <v>165</v>
      </c>
      <c r="I1254" t="s">
        <v>34</v>
      </c>
      <c r="J1254" t="s">
        <v>166</v>
      </c>
      <c r="K1254" t="s">
        <v>41</v>
      </c>
      <c r="L1254" t="s">
        <v>554</v>
      </c>
      <c r="M1254" t="s">
        <v>6773</v>
      </c>
      <c r="N1254" t="s">
        <v>847</v>
      </c>
      <c r="O1254" t="s">
        <v>100</v>
      </c>
      <c r="P1254" t="s">
        <v>6774</v>
      </c>
      <c r="Q1254" t="s">
        <v>211</v>
      </c>
      <c r="R1254" t="s">
        <v>745</v>
      </c>
      <c r="S1254">
        <v>6.3</v>
      </c>
      <c r="T1254">
        <v>6328</v>
      </c>
      <c r="U1254">
        <v>0</v>
      </c>
      <c r="V1254">
        <v>6328</v>
      </c>
    </row>
    <row r="1255" spans="1:22" x14ac:dyDescent="0.3">
      <c r="A1255">
        <v>80147</v>
      </c>
      <c r="B1255">
        <v>135710004</v>
      </c>
      <c r="C1255" t="s">
        <v>6775</v>
      </c>
      <c r="D1255" t="s">
        <v>6776</v>
      </c>
      <c r="E1255" t="s">
        <v>6762</v>
      </c>
      <c r="F1255" t="s">
        <v>844</v>
      </c>
      <c r="G1255" t="s">
        <v>172</v>
      </c>
      <c r="H1255" t="s">
        <v>173</v>
      </c>
      <c r="I1255" t="s">
        <v>34</v>
      </c>
      <c r="J1255" t="s">
        <v>272</v>
      </c>
      <c r="K1255" t="s">
        <v>41</v>
      </c>
      <c r="L1255" t="s">
        <v>174</v>
      </c>
      <c r="M1255" t="s">
        <v>831</v>
      </c>
      <c r="N1255" t="s">
        <v>847</v>
      </c>
      <c r="O1255" t="s">
        <v>100</v>
      </c>
      <c r="P1255" t="s">
        <v>6777</v>
      </c>
      <c r="Q1255" t="s">
        <v>248</v>
      </c>
      <c r="R1255" t="s">
        <v>6778</v>
      </c>
      <c r="S1255">
        <v>5.47</v>
      </c>
      <c r="T1255">
        <v>7449</v>
      </c>
      <c r="U1255">
        <v>0</v>
      </c>
      <c r="V1255">
        <v>7449</v>
      </c>
    </row>
    <row r="1256" spans="1:22" x14ac:dyDescent="0.3">
      <c r="A1256">
        <v>80147</v>
      </c>
      <c r="B1256">
        <v>137121869</v>
      </c>
      <c r="C1256" t="s">
        <v>6779</v>
      </c>
      <c r="D1256" t="s">
        <v>6780</v>
      </c>
      <c r="E1256" t="s">
        <v>6762</v>
      </c>
      <c r="F1256" t="s">
        <v>844</v>
      </c>
      <c r="G1256" t="s">
        <v>164</v>
      </c>
      <c r="H1256" t="s">
        <v>165</v>
      </c>
      <c r="I1256" t="s">
        <v>34</v>
      </c>
      <c r="J1256" t="s">
        <v>166</v>
      </c>
      <c r="K1256" t="s">
        <v>41</v>
      </c>
      <c r="L1256" t="s">
        <v>6781</v>
      </c>
      <c r="M1256" t="s">
        <v>6782</v>
      </c>
      <c r="N1256" t="s">
        <v>847</v>
      </c>
      <c r="O1256" t="s">
        <v>100</v>
      </c>
      <c r="P1256" t="s">
        <v>6783</v>
      </c>
      <c r="Q1256" t="s">
        <v>6784</v>
      </c>
      <c r="R1256" t="s">
        <v>748</v>
      </c>
      <c r="S1256">
        <v>8.4700000000000006</v>
      </c>
      <c r="T1256">
        <v>7119</v>
      </c>
      <c r="U1256">
        <v>0</v>
      </c>
      <c r="V1256">
        <v>7119</v>
      </c>
    </row>
    <row r="1257" spans="1:22" x14ac:dyDescent="0.3">
      <c r="A1257">
        <v>80147</v>
      </c>
      <c r="B1257">
        <v>137290623</v>
      </c>
      <c r="C1257" t="s">
        <v>6785</v>
      </c>
      <c r="D1257" t="s">
        <v>6786</v>
      </c>
      <c r="E1257" t="s">
        <v>6762</v>
      </c>
      <c r="F1257" t="s">
        <v>844</v>
      </c>
      <c r="G1257" t="s">
        <v>164</v>
      </c>
      <c r="H1257" t="s">
        <v>165</v>
      </c>
      <c r="I1257" t="s">
        <v>34</v>
      </c>
      <c r="J1257" t="s">
        <v>166</v>
      </c>
      <c r="K1257" t="s">
        <v>41</v>
      </c>
      <c r="L1257" t="s">
        <v>6787</v>
      </c>
      <c r="M1257" t="s">
        <v>6788</v>
      </c>
      <c r="N1257" t="s">
        <v>847</v>
      </c>
      <c r="O1257" t="s">
        <v>100</v>
      </c>
      <c r="P1257" t="s">
        <v>6789</v>
      </c>
      <c r="Q1257" t="s">
        <v>84</v>
      </c>
      <c r="R1257" t="s">
        <v>149</v>
      </c>
      <c r="S1257">
        <v>1</v>
      </c>
      <c r="T1257">
        <v>3366</v>
      </c>
      <c r="U1257">
        <v>0</v>
      </c>
      <c r="V1257">
        <v>3366</v>
      </c>
    </row>
    <row r="1258" spans="1:22" x14ac:dyDescent="0.3">
      <c r="A1258">
        <v>80147</v>
      </c>
      <c r="B1258">
        <v>137205159</v>
      </c>
      <c r="C1258" t="s">
        <v>6790</v>
      </c>
      <c r="D1258" t="s">
        <v>6791</v>
      </c>
      <c r="E1258" t="s">
        <v>6762</v>
      </c>
      <c r="F1258" t="s">
        <v>844</v>
      </c>
      <c r="G1258" t="s">
        <v>164</v>
      </c>
      <c r="H1258" t="s">
        <v>165</v>
      </c>
      <c r="I1258" t="s">
        <v>34</v>
      </c>
      <c r="J1258" t="s">
        <v>166</v>
      </c>
      <c r="K1258" t="s">
        <v>41</v>
      </c>
      <c r="L1258" t="s">
        <v>6792</v>
      </c>
      <c r="M1258" t="s">
        <v>6793</v>
      </c>
      <c r="N1258" t="s">
        <v>847</v>
      </c>
      <c r="O1258" t="s">
        <v>100</v>
      </c>
      <c r="P1258" t="s">
        <v>6794</v>
      </c>
      <c r="Q1258" t="s">
        <v>55</v>
      </c>
      <c r="R1258" t="s">
        <v>745</v>
      </c>
      <c r="S1258">
        <v>2.95</v>
      </c>
      <c r="T1258">
        <v>5198</v>
      </c>
      <c r="U1258">
        <v>0</v>
      </c>
      <c r="V1258">
        <v>5198</v>
      </c>
    </row>
    <row r="1259" spans="1:22" x14ac:dyDescent="0.3">
      <c r="A1259">
        <v>80147</v>
      </c>
      <c r="B1259">
        <v>137290638</v>
      </c>
      <c r="C1259" t="s">
        <v>6795</v>
      </c>
      <c r="D1259" t="s">
        <v>6796</v>
      </c>
      <c r="E1259" t="s">
        <v>6762</v>
      </c>
      <c r="F1259" t="s">
        <v>844</v>
      </c>
      <c r="G1259" t="s">
        <v>164</v>
      </c>
      <c r="H1259" t="s">
        <v>165</v>
      </c>
      <c r="I1259" t="s">
        <v>34</v>
      </c>
      <c r="J1259" t="s">
        <v>166</v>
      </c>
      <c r="K1259" t="s">
        <v>41</v>
      </c>
      <c r="L1259" t="s">
        <v>6797</v>
      </c>
      <c r="M1259" t="s">
        <v>564</v>
      </c>
      <c r="N1259" t="s">
        <v>847</v>
      </c>
      <c r="O1259" t="s">
        <v>100</v>
      </c>
      <c r="P1259" t="s">
        <v>6798</v>
      </c>
      <c r="Q1259" t="s">
        <v>84</v>
      </c>
      <c r="R1259" t="s">
        <v>444</v>
      </c>
      <c r="S1259">
        <v>1</v>
      </c>
      <c r="T1259">
        <v>3366</v>
      </c>
      <c r="U1259">
        <v>0</v>
      </c>
      <c r="V1259">
        <v>3366</v>
      </c>
    </row>
    <row r="1260" spans="1:22" x14ac:dyDescent="0.3">
      <c r="A1260">
        <v>80147</v>
      </c>
      <c r="B1260">
        <v>137085024</v>
      </c>
      <c r="C1260" t="s">
        <v>6799</v>
      </c>
      <c r="D1260" t="s">
        <v>6800</v>
      </c>
      <c r="E1260" t="s">
        <v>6762</v>
      </c>
      <c r="F1260" t="s">
        <v>844</v>
      </c>
      <c r="G1260" t="s">
        <v>164</v>
      </c>
      <c r="H1260" t="s">
        <v>165</v>
      </c>
      <c r="I1260" t="s">
        <v>34</v>
      </c>
      <c r="J1260" t="s">
        <v>166</v>
      </c>
      <c r="K1260" t="s">
        <v>41</v>
      </c>
      <c r="L1260" t="s">
        <v>6801</v>
      </c>
      <c r="M1260" t="s">
        <v>6802</v>
      </c>
      <c r="N1260" t="s">
        <v>847</v>
      </c>
      <c r="O1260" t="s">
        <v>100</v>
      </c>
      <c r="P1260" t="s">
        <v>6803</v>
      </c>
      <c r="Q1260" t="s">
        <v>193</v>
      </c>
      <c r="R1260" t="s">
        <v>6804</v>
      </c>
      <c r="S1260">
        <v>1</v>
      </c>
      <c r="T1260">
        <v>5198</v>
      </c>
      <c r="U1260">
        <v>0</v>
      </c>
      <c r="V1260">
        <v>5198</v>
      </c>
    </row>
    <row r="1261" spans="1:22" x14ac:dyDescent="0.3">
      <c r="A1261">
        <v>80147</v>
      </c>
      <c r="B1261">
        <v>137121860</v>
      </c>
      <c r="C1261" t="s">
        <v>6805</v>
      </c>
      <c r="D1261" t="s">
        <v>6806</v>
      </c>
      <c r="E1261" t="s">
        <v>6762</v>
      </c>
      <c r="F1261" t="s">
        <v>844</v>
      </c>
      <c r="G1261" t="s">
        <v>164</v>
      </c>
      <c r="H1261" t="s">
        <v>165</v>
      </c>
      <c r="I1261" t="s">
        <v>34</v>
      </c>
      <c r="J1261" t="s">
        <v>166</v>
      </c>
      <c r="K1261" t="s">
        <v>41</v>
      </c>
      <c r="L1261" t="s">
        <v>6807</v>
      </c>
      <c r="M1261" t="s">
        <v>6808</v>
      </c>
      <c r="N1261" t="s">
        <v>847</v>
      </c>
      <c r="O1261" t="s">
        <v>100</v>
      </c>
      <c r="P1261" t="s">
        <v>6809</v>
      </c>
      <c r="Q1261" t="s">
        <v>55</v>
      </c>
      <c r="R1261" t="s">
        <v>748</v>
      </c>
      <c r="S1261">
        <v>0.9</v>
      </c>
      <c r="T1261">
        <v>5198</v>
      </c>
      <c r="U1261">
        <v>0</v>
      </c>
      <c r="V1261">
        <v>5198</v>
      </c>
    </row>
    <row r="1262" spans="1:22" x14ac:dyDescent="0.3">
      <c r="A1262">
        <v>80147</v>
      </c>
      <c r="B1262">
        <v>136939887</v>
      </c>
      <c r="C1262" t="s">
        <v>6810</v>
      </c>
      <c r="D1262" t="s">
        <v>6811</v>
      </c>
      <c r="E1262" t="s">
        <v>6762</v>
      </c>
      <c r="F1262" t="s">
        <v>844</v>
      </c>
      <c r="G1262" t="s">
        <v>164</v>
      </c>
      <c r="H1262" t="s">
        <v>165</v>
      </c>
      <c r="I1262" t="s">
        <v>34</v>
      </c>
      <c r="J1262" t="s">
        <v>166</v>
      </c>
      <c r="K1262" t="s">
        <v>41</v>
      </c>
      <c r="L1262" t="s">
        <v>6812</v>
      </c>
      <c r="M1262" t="s">
        <v>6813</v>
      </c>
      <c r="N1262" t="s">
        <v>847</v>
      </c>
      <c r="O1262" t="s">
        <v>100</v>
      </c>
      <c r="P1262" t="s">
        <v>6814</v>
      </c>
      <c r="Q1262" t="s">
        <v>58</v>
      </c>
      <c r="R1262" t="s">
        <v>6815</v>
      </c>
      <c r="S1262">
        <v>1</v>
      </c>
      <c r="T1262">
        <v>5759</v>
      </c>
      <c r="U1262">
        <v>0</v>
      </c>
      <c r="V1262">
        <v>5759</v>
      </c>
    </row>
    <row r="1263" spans="1:22" x14ac:dyDescent="0.3">
      <c r="A1263">
        <v>80147</v>
      </c>
      <c r="B1263">
        <v>136939879</v>
      </c>
      <c r="C1263" t="s">
        <v>6816</v>
      </c>
      <c r="D1263" t="s">
        <v>6817</v>
      </c>
      <c r="E1263" t="s">
        <v>6762</v>
      </c>
      <c r="F1263" t="s">
        <v>844</v>
      </c>
      <c r="G1263" t="s">
        <v>164</v>
      </c>
      <c r="H1263" t="s">
        <v>165</v>
      </c>
      <c r="I1263" t="s">
        <v>34</v>
      </c>
      <c r="J1263" t="s">
        <v>166</v>
      </c>
      <c r="K1263" t="s">
        <v>41</v>
      </c>
      <c r="L1263" t="s">
        <v>6818</v>
      </c>
      <c r="M1263" t="s">
        <v>6819</v>
      </c>
      <c r="N1263" t="s">
        <v>847</v>
      </c>
      <c r="O1263" t="s">
        <v>100</v>
      </c>
      <c r="P1263" t="s">
        <v>6820</v>
      </c>
      <c r="Q1263" t="s">
        <v>55</v>
      </c>
      <c r="R1263" t="s">
        <v>6815</v>
      </c>
      <c r="S1263">
        <v>6.3</v>
      </c>
      <c r="T1263">
        <v>9710</v>
      </c>
      <c r="U1263">
        <v>0</v>
      </c>
      <c r="V1263">
        <v>9710</v>
      </c>
    </row>
    <row r="1264" spans="1:22" x14ac:dyDescent="0.3">
      <c r="A1264">
        <v>80147</v>
      </c>
      <c r="B1264">
        <v>136756763</v>
      </c>
      <c r="C1264" t="s">
        <v>6821</v>
      </c>
      <c r="D1264" t="s">
        <v>6822</v>
      </c>
      <c r="E1264" t="s">
        <v>6762</v>
      </c>
      <c r="F1264" t="s">
        <v>844</v>
      </c>
      <c r="G1264" t="s">
        <v>164</v>
      </c>
      <c r="H1264" t="s">
        <v>165</v>
      </c>
      <c r="I1264" t="s">
        <v>34</v>
      </c>
      <c r="J1264" t="s">
        <v>166</v>
      </c>
      <c r="K1264" t="s">
        <v>41</v>
      </c>
      <c r="L1264" t="s">
        <v>6823</v>
      </c>
      <c r="M1264" t="s">
        <v>6824</v>
      </c>
      <c r="N1264" t="s">
        <v>847</v>
      </c>
      <c r="O1264" t="s">
        <v>100</v>
      </c>
      <c r="P1264" t="s">
        <v>6825</v>
      </c>
      <c r="Q1264" t="s">
        <v>58</v>
      </c>
      <c r="R1264" t="s">
        <v>332</v>
      </c>
      <c r="S1264">
        <v>1.8</v>
      </c>
      <c r="T1264">
        <v>5759</v>
      </c>
      <c r="U1264">
        <v>0</v>
      </c>
      <c r="V1264">
        <v>5759</v>
      </c>
    </row>
    <row r="1265" spans="1:22" x14ac:dyDescent="0.3">
      <c r="A1265">
        <v>80147</v>
      </c>
      <c r="B1265">
        <v>137205183</v>
      </c>
      <c r="C1265" t="s">
        <v>6826</v>
      </c>
      <c r="D1265" t="s">
        <v>6827</v>
      </c>
      <c r="E1265" t="s">
        <v>6762</v>
      </c>
      <c r="F1265" t="s">
        <v>844</v>
      </c>
      <c r="G1265" t="s">
        <v>164</v>
      </c>
      <c r="H1265" t="s">
        <v>165</v>
      </c>
      <c r="I1265" t="s">
        <v>34</v>
      </c>
      <c r="J1265" t="s">
        <v>166</v>
      </c>
      <c r="K1265" t="s">
        <v>41</v>
      </c>
      <c r="L1265" t="s">
        <v>6828</v>
      </c>
      <c r="M1265" t="s">
        <v>6829</v>
      </c>
      <c r="N1265" t="s">
        <v>847</v>
      </c>
      <c r="O1265" t="s">
        <v>100</v>
      </c>
      <c r="P1265" t="s">
        <v>6830</v>
      </c>
      <c r="Q1265" t="s">
        <v>57</v>
      </c>
      <c r="R1265" t="s">
        <v>745</v>
      </c>
      <c r="S1265">
        <v>7.62</v>
      </c>
      <c r="T1265">
        <v>10562</v>
      </c>
      <c r="U1265">
        <v>0</v>
      </c>
      <c r="V1265">
        <v>10562</v>
      </c>
    </row>
    <row r="1266" spans="1:22" x14ac:dyDescent="0.3">
      <c r="A1266">
        <v>80147</v>
      </c>
      <c r="B1266">
        <v>137290632</v>
      </c>
      <c r="C1266" t="s">
        <v>6831</v>
      </c>
      <c r="D1266" t="s">
        <v>6832</v>
      </c>
      <c r="E1266" t="s">
        <v>6762</v>
      </c>
      <c r="F1266" t="s">
        <v>844</v>
      </c>
      <c r="G1266" t="s">
        <v>164</v>
      </c>
      <c r="H1266" t="s">
        <v>165</v>
      </c>
      <c r="I1266" t="s">
        <v>34</v>
      </c>
      <c r="J1266" t="s">
        <v>166</v>
      </c>
      <c r="K1266" t="s">
        <v>41</v>
      </c>
      <c r="L1266" t="s">
        <v>6833</v>
      </c>
      <c r="M1266" t="s">
        <v>6834</v>
      </c>
      <c r="N1266" t="s">
        <v>847</v>
      </c>
      <c r="O1266" t="s">
        <v>100</v>
      </c>
      <c r="P1266" t="s">
        <v>6835</v>
      </c>
      <c r="Q1266" t="s">
        <v>69</v>
      </c>
      <c r="R1266" t="s">
        <v>444</v>
      </c>
      <c r="S1266">
        <v>1</v>
      </c>
      <c r="T1266">
        <v>3753</v>
      </c>
      <c r="U1266">
        <v>0</v>
      </c>
      <c r="V1266">
        <v>3753</v>
      </c>
    </row>
    <row r="1267" spans="1:22" x14ac:dyDescent="0.3">
      <c r="A1267">
        <v>80147</v>
      </c>
      <c r="B1267">
        <v>137085036</v>
      </c>
      <c r="C1267" t="s">
        <v>6836</v>
      </c>
      <c r="D1267" t="s">
        <v>6837</v>
      </c>
      <c r="E1267" t="s">
        <v>6762</v>
      </c>
      <c r="F1267" t="s">
        <v>844</v>
      </c>
      <c r="G1267" t="s">
        <v>164</v>
      </c>
      <c r="H1267" t="s">
        <v>165</v>
      </c>
      <c r="I1267" t="s">
        <v>34</v>
      </c>
      <c r="J1267" t="s">
        <v>166</v>
      </c>
      <c r="K1267" t="s">
        <v>41</v>
      </c>
      <c r="L1267" t="s">
        <v>6838</v>
      </c>
      <c r="M1267" t="s">
        <v>6839</v>
      </c>
      <c r="N1267" t="s">
        <v>847</v>
      </c>
      <c r="O1267" t="s">
        <v>100</v>
      </c>
      <c r="P1267" t="s">
        <v>6840</v>
      </c>
      <c r="Q1267" t="s">
        <v>55</v>
      </c>
      <c r="R1267" t="s">
        <v>6804</v>
      </c>
      <c r="S1267">
        <v>0.9</v>
      </c>
      <c r="T1267">
        <v>5198</v>
      </c>
      <c r="U1267">
        <v>0</v>
      </c>
      <c r="V1267">
        <v>5198</v>
      </c>
    </row>
    <row r="1268" spans="1:22" x14ac:dyDescent="0.3">
      <c r="A1268">
        <v>80147</v>
      </c>
      <c r="B1268">
        <v>137252782</v>
      </c>
      <c r="C1268" t="s">
        <v>6841</v>
      </c>
      <c r="D1268" t="s">
        <v>6842</v>
      </c>
      <c r="E1268" t="s">
        <v>6762</v>
      </c>
      <c r="F1268" t="s">
        <v>844</v>
      </c>
      <c r="G1268" t="s">
        <v>164</v>
      </c>
      <c r="H1268" t="s">
        <v>165</v>
      </c>
      <c r="I1268" t="s">
        <v>34</v>
      </c>
      <c r="J1268" t="s">
        <v>166</v>
      </c>
      <c r="K1268" t="s">
        <v>41</v>
      </c>
      <c r="L1268" t="s">
        <v>6843</v>
      </c>
      <c r="M1268" t="s">
        <v>6844</v>
      </c>
      <c r="N1268" t="s">
        <v>847</v>
      </c>
      <c r="O1268" t="s">
        <v>100</v>
      </c>
      <c r="P1268" t="s">
        <v>6845</v>
      </c>
      <c r="Q1268" t="s">
        <v>72</v>
      </c>
      <c r="R1268" t="s">
        <v>394</v>
      </c>
      <c r="S1268">
        <v>1</v>
      </c>
      <c r="T1268">
        <v>3784</v>
      </c>
      <c r="U1268">
        <v>0</v>
      </c>
      <c r="V1268">
        <v>3784</v>
      </c>
    </row>
    <row r="1269" spans="1:22" x14ac:dyDescent="0.3">
      <c r="A1269">
        <v>80147</v>
      </c>
      <c r="B1269">
        <v>137290621</v>
      </c>
      <c r="C1269" t="s">
        <v>6846</v>
      </c>
      <c r="D1269" t="s">
        <v>6847</v>
      </c>
      <c r="E1269" t="s">
        <v>6762</v>
      </c>
      <c r="F1269" t="s">
        <v>844</v>
      </c>
      <c r="G1269" t="s">
        <v>164</v>
      </c>
      <c r="H1269" t="s">
        <v>165</v>
      </c>
      <c r="I1269" t="s">
        <v>34</v>
      </c>
      <c r="J1269" t="s">
        <v>166</v>
      </c>
      <c r="K1269" t="s">
        <v>41</v>
      </c>
      <c r="L1269" t="s">
        <v>6848</v>
      </c>
      <c r="M1269" t="s">
        <v>6849</v>
      </c>
      <c r="N1269" t="s">
        <v>847</v>
      </c>
      <c r="O1269" t="s">
        <v>100</v>
      </c>
      <c r="P1269" t="s">
        <v>6850</v>
      </c>
      <c r="Q1269" t="s">
        <v>78</v>
      </c>
      <c r="R1269" t="s">
        <v>149</v>
      </c>
      <c r="S1269">
        <v>6.03</v>
      </c>
      <c r="T1269">
        <v>5476</v>
      </c>
      <c r="U1269">
        <v>0</v>
      </c>
      <c r="V1269">
        <v>5476</v>
      </c>
    </row>
    <row r="1270" spans="1:22" x14ac:dyDescent="0.3">
      <c r="A1270">
        <v>80147</v>
      </c>
      <c r="B1270">
        <v>136723789</v>
      </c>
      <c r="C1270" t="s">
        <v>6851</v>
      </c>
      <c r="D1270" t="s">
        <v>6852</v>
      </c>
      <c r="E1270" t="s">
        <v>6762</v>
      </c>
      <c r="F1270" t="s">
        <v>844</v>
      </c>
      <c r="G1270" t="s">
        <v>164</v>
      </c>
      <c r="H1270" t="s">
        <v>165</v>
      </c>
      <c r="I1270" t="s">
        <v>34</v>
      </c>
      <c r="J1270" t="s">
        <v>166</v>
      </c>
      <c r="K1270" t="s">
        <v>41</v>
      </c>
      <c r="L1270" t="s">
        <v>6853</v>
      </c>
      <c r="M1270" t="s">
        <v>6854</v>
      </c>
      <c r="N1270" t="s">
        <v>847</v>
      </c>
      <c r="O1270" t="s">
        <v>100</v>
      </c>
      <c r="P1270" t="s">
        <v>6855</v>
      </c>
      <c r="Q1270" t="s">
        <v>55</v>
      </c>
      <c r="R1270" t="s">
        <v>6856</v>
      </c>
      <c r="S1270">
        <v>3.3</v>
      </c>
      <c r="T1270">
        <v>7484</v>
      </c>
      <c r="U1270">
        <v>0</v>
      </c>
      <c r="V1270">
        <v>7484</v>
      </c>
    </row>
    <row r="1271" spans="1:22" x14ac:dyDescent="0.3">
      <c r="A1271">
        <v>80147</v>
      </c>
      <c r="B1271">
        <v>136997729</v>
      </c>
      <c r="C1271" t="s">
        <v>6857</v>
      </c>
      <c r="D1271" t="s">
        <v>6858</v>
      </c>
      <c r="E1271" t="s">
        <v>6762</v>
      </c>
      <c r="F1271" t="s">
        <v>844</v>
      </c>
      <c r="G1271" t="s">
        <v>164</v>
      </c>
      <c r="H1271" t="s">
        <v>165</v>
      </c>
      <c r="I1271" t="s">
        <v>34</v>
      </c>
      <c r="J1271" t="s">
        <v>166</v>
      </c>
      <c r="K1271" t="s">
        <v>41</v>
      </c>
      <c r="L1271" t="s">
        <v>6859</v>
      </c>
      <c r="M1271" t="s">
        <v>6860</v>
      </c>
      <c r="N1271" t="s">
        <v>847</v>
      </c>
      <c r="O1271" t="s">
        <v>100</v>
      </c>
      <c r="P1271" t="s">
        <v>6861</v>
      </c>
      <c r="Q1271" t="s">
        <v>57</v>
      </c>
      <c r="R1271" t="s">
        <v>565</v>
      </c>
      <c r="S1271">
        <v>8</v>
      </c>
      <c r="T1271">
        <v>10562</v>
      </c>
      <c r="U1271">
        <v>0</v>
      </c>
      <c r="V1271">
        <v>10562</v>
      </c>
    </row>
    <row r="1272" spans="1:22" x14ac:dyDescent="0.3">
      <c r="A1272">
        <v>80147</v>
      </c>
      <c r="B1272">
        <v>137290629</v>
      </c>
      <c r="C1272" t="s">
        <v>6862</v>
      </c>
      <c r="D1272" t="s">
        <v>6863</v>
      </c>
      <c r="E1272" t="s">
        <v>6762</v>
      </c>
      <c r="F1272" t="s">
        <v>844</v>
      </c>
      <c r="G1272" t="s">
        <v>164</v>
      </c>
      <c r="H1272" t="s">
        <v>165</v>
      </c>
      <c r="I1272" t="s">
        <v>34</v>
      </c>
      <c r="J1272" t="s">
        <v>166</v>
      </c>
      <c r="K1272" t="s">
        <v>44</v>
      </c>
      <c r="L1272" t="s">
        <v>188</v>
      </c>
      <c r="M1272" t="s">
        <v>6864</v>
      </c>
      <c r="N1272" t="s">
        <v>847</v>
      </c>
      <c r="O1272" t="s">
        <v>100</v>
      </c>
      <c r="P1272" t="s">
        <v>6865</v>
      </c>
      <c r="Q1272" t="s">
        <v>76</v>
      </c>
      <c r="R1272" t="s">
        <v>444</v>
      </c>
      <c r="S1272">
        <v>0.9</v>
      </c>
      <c r="T1272">
        <v>3753</v>
      </c>
      <c r="U1272">
        <v>0</v>
      </c>
      <c r="V1272">
        <v>3753</v>
      </c>
    </row>
    <row r="1273" spans="1:22" x14ac:dyDescent="0.3">
      <c r="A1273">
        <v>80147</v>
      </c>
      <c r="B1273">
        <v>137121853</v>
      </c>
      <c r="C1273" t="s">
        <v>6866</v>
      </c>
      <c r="D1273" t="s">
        <v>6867</v>
      </c>
      <c r="E1273" t="s">
        <v>6762</v>
      </c>
      <c r="F1273" t="s">
        <v>844</v>
      </c>
      <c r="G1273" t="s">
        <v>164</v>
      </c>
      <c r="H1273" t="s">
        <v>165</v>
      </c>
      <c r="I1273" t="s">
        <v>34</v>
      </c>
      <c r="J1273" t="s">
        <v>166</v>
      </c>
      <c r="K1273" t="s">
        <v>41</v>
      </c>
      <c r="L1273" t="s">
        <v>656</v>
      </c>
      <c r="M1273" t="s">
        <v>657</v>
      </c>
      <c r="N1273" t="s">
        <v>847</v>
      </c>
      <c r="O1273" t="s">
        <v>100</v>
      </c>
      <c r="P1273" t="s">
        <v>6868</v>
      </c>
      <c r="Q1273" t="s">
        <v>54</v>
      </c>
      <c r="R1273" t="s">
        <v>748</v>
      </c>
      <c r="S1273">
        <v>6.83</v>
      </c>
      <c r="T1273">
        <v>10562</v>
      </c>
      <c r="U1273">
        <v>0</v>
      </c>
      <c r="V1273">
        <v>10562</v>
      </c>
    </row>
    <row r="1274" spans="1:22" x14ac:dyDescent="0.3">
      <c r="A1274">
        <v>80147</v>
      </c>
      <c r="B1274">
        <v>137085039</v>
      </c>
      <c r="C1274" t="s">
        <v>6869</v>
      </c>
      <c r="D1274" t="s">
        <v>6870</v>
      </c>
      <c r="E1274" t="s">
        <v>6762</v>
      </c>
      <c r="F1274" t="s">
        <v>844</v>
      </c>
      <c r="G1274" t="s">
        <v>164</v>
      </c>
      <c r="H1274" t="s">
        <v>165</v>
      </c>
      <c r="I1274" t="s">
        <v>34</v>
      </c>
      <c r="J1274" t="s">
        <v>166</v>
      </c>
      <c r="K1274" t="s">
        <v>41</v>
      </c>
      <c r="L1274" t="s">
        <v>6871</v>
      </c>
      <c r="M1274" t="s">
        <v>6872</v>
      </c>
      <c r="N1274" t="s">
        <v>847</v>
      </c>
      <c r="O1274" t="s">
        <v>100</v>
      </c>
      <c r="P1274" t="s">
        <v>6873</v>
      </c>
      <c r="Q1274" t="s">
        <v>84</v>
      </c>
      <c r="R1274" t="s">
        <v>6804</v>
      </c>
      <c r="S1274">
        <v>1.96</v>
      </c>
      <c r="T1274">
        <v>3366</v>
      </c>
      <c r="U1274">
        <v>0</v>
      </c>
      <c r="V1274">
        <v>3366</v>
      </c>
    </row>
    <row r="1275" spans="1:22" x14ac:dyDescent="0.3">
      <c r="A1275">
        <v>80147</v>
      </c>
      <c r="B1275">
        <v>137169038</v>
      </c>
      <c r="C1275" t="s">
        <v>6874</v>
      </c>
      <c r="D1275" t="s">
        <v>6875</v>
      </c>
      <c r="E1275" t="s">
        <v>6762</v>
      </c>
      <c r="F1275" t="s">
        <v>844</v>
      </c>
      <c r="G1275" t="s">
        <v>164</v>
      </c>
      <c r="H1275" t="s">
        <v>165</v>
      </c>
      <c r="I1275" t="s">
        <v>34</v>
      </c>
      <c r="J1275" t="s">
        <v>166</v>
      </c>
      <c r="K1275" t="s">
        <v>41</v>
      </c>
      <c r="L1275" t="s">
        <v>6876</v>
      </c>
      <c r="M1275" t="s">
        <v>6877</v>
      </c>
      <c r="N1275" t="s">
        <v>847</v>
      </c>
      <c r="O1275" t="s">
        <v>100</v>
      </c>
      <c r="P1275" t="s">
        <v>6878</v>
      </c>
      <c r="Q1275" t="s">
        <v>60</v>
      </c>
      <c r="R1275" t="s">
        <v>6879</v>
      </c>
      <c r="S1275">
        <v>2.95</v>
      </c>
      <c r="T1275">
        <v>4346</v>
      </c>
      <c r="U1275">
        <v>0</v>
      </c>
      <c r="V1275">
        <v>4346</v>
      </c>
    </row>
    <row r="1276" spans="1:22" x14ac:dyDescent="0.3">
      <c r="A1276">
        <v>80147</v>
      </c>
      <c r="B1276">
        <v>137121879</v>
      </c>
      <c r="C1276" t="s">
        <v>6880</v>
      </c>
      <c r="D1276" t="s">
        <v>6881</v>
      </c>
      <c r="E1276" t="s">
        <v>6762</v>
      </c>
      <c r="F1276" t="s">
        <v>844</v>
      </c>
      <c r="G1276" t="s">
        <v>164</v>
      </c>
      <c r="H1276" t="s">
        <v>165</v>
      </c>
      <c r="I1276" t="s">
        <v>34</v>
      </c>
      <c r="J1276" t="s">
        <v>166</v>
      </c>
      <c r="K1276" t="s">
        <v>41</v>
      </c>
      <c r="L1276" t="s">
        <v>6882</v>
      </c>
      <c r="M1276" t="s">
        <v>6883</v>
      </c>
      <c r="N1276" t="s">
        <v>847</v>
      </c>
      <c r="O1276" t="s">
        <v>100</v>
      </c>
      <c r="P1276" t="s">
        <v>6884</v>
      </c>
      <c r="Q1276" t="s">
        <v>72</v>
      </c>
      <c r="R1276" t="s">
        <v>748</v>
      </c>
      <c r="S1276">
        <v>1</v>
      </c>
      <c r="T1276">
        <v>3784</v>
      </c>
      <c r="U1276">
        <v>0</v>
      </c>
      <c r="V1276">
        <v>3784</v>
      </c>
    </row>
    <row r="1277" spans="1:22" x14ac:dyDescent="0.3">
      <c r="A1277">
        <v>80147</v>
      </c>
      <c r="B1277">
        <v>137169044</v>
      </c>
      <c r="C1277" t="s">
        <v>6885</v>
      </c>
      <c r="D1277" t="s">
        <v>6886</v>
      </c>
      <c r="E1277" t="s">
        <v>6762</v>
      </c>
      <c r="F1277" t="s">
        <v>844</v>
      </c>
      <c r="G1277" t="s">
        <v>164</v>
      </c>
      <c r="H1277" t="s">
        <v>165</v>
      </c>
      <c r="I1277" t="s">
        <v>34</v>
      </c>
      <c r="J1277" t="s">
        <v>166</v>
      </c>
      <c r="K1277" t="s">
        <v>41</v>
      </c>
      <c r="L1277" t="s">
        <v>6887</v>
      </c>
      <c r="M1277" t="s">
        <v>6888</v>
      </c>
      <c r="N1277" t="s">
        <v>847</v>
      </c>
      <c r="O1277" t="s">
        <v>100</v>
      </c>
      <c r="P1277" t="s">
        <v>6889</v>
      </c>
      <c r="Q1277" t="s">
        <v>72</v>
      </c>
      <c r="R1277" t="s">
        <v>6879</v>
      </c>
      <c r="S1277">
        <v>3.14</v>
      </c>
      <c r="T1277">
        <v>4585</v>
      </c>
      <c r="U1277">
        <v>0</v>
      </c>
      <c r="V1277">
        <v>4585</v>
      </c>
    </row>
    <row r="1278" spans="1:22" x14ac:dyDescent="0.3">
      <c r="A1278">
        <v>80147</v>
      </c>
      <c r="B1278">
        <v>137205176</v>
      </c>
      <c r="C1278" t="s">
        <v>6890</v>
      </c>
      <c r="D1278" t="s">
        <v>6891</v>
      </c>
      <c r="E1278" t="s">
        <v>6762</v>
      </c>
      <c r="F1278" t="s">
        <v>844</v>
      </c>
      <c r="G1278" t="s">
        <v>164</v>
      </c>
      <c r="H1278" t="s">
        <v>165</v>
      </c>
      <c r="I1278" t="s">
        <v>34</v>
      </c>
      <c r="J1278" t="s">
        <v>166</v>
      </c>
      <c r="K1278" t="s">
        <v>41</v>
      </c>
      <c r="L1278" t="s">
        <v>6892</v>
      </c>
      <c r="M1278" t="s">
        <v>6893</v>
      </c>
      <c r="N1278" t="s">
        <v>847</v>
      </c>
      <c r="O1278" t="s">
        <v>100</v>
      </c>
      <c r="P1278" t="s">
        <v>6894</v>
      </c>
      <c r="Q1278" t="s">
        <v>215</v>
      </c>
      <c r="R1278" t="s">
        <v>745</v>
      </c>
      <c r="S1278">
        <v>2.95</v>
      </c>
      <c r="T1278">
        <v>4067</v>
      </c>
      <c r="U1278">
        <v>0</v>
      </c>
      <c r="V1278">
        <v>4067</v>
      </c>
    </row>
    <row r="1279" spans="1:22" x14ac:dyDescent="0.3">
      <c r="A1279">
        <v>80147</v>
      </c>
      <c r="B1279">
        <v>137169037</v>
      </c>
      <c r="C1279" t="s">
        <v>6895</v>
      </c>
      <c r="D1279" t="s">
        <v>6896</v>
      </c>
      <c r="E1279" t="s">
        <v>6762</v>
      </c>
      <c r="F1279" t="s">
        <v>844</v>
      </c>
      <c r="G1279" t="s">
        <v>164</v>
      </c>
      <c r="H1279" t="s">
        <v>165</v>
      </c>
      <c r="I1279" t="s">
        <v>34</v>
      </c>
      <c r="J1279" t="s">
        <v>166</v>
      </c>
      <c r="K1279" t="s">
        <v>41</v>
      </c>
      <c r="L1279" t="s">
        <v>6897</v>
      </c>
      <c r="M1279" t="s">
        <v>6898</v>
      </c>
      <c r="N1279" t="s">
        <v>847</v>
      </c>
      <c r="O1279" t="s">
        <v>100</v>
      </c>
      <c r="P1279" t="s">
        <v>6899</v>
      </c>
      <c r="Q1279" t="s">
        <v>49</v>
      </c>
      <c r="R1279" t="s">
        <v>6879</v>
      </c>
      <c r="S1279">
        <v>0.9</v>
      </c>
      <c r="T1279">
        <v>3784</v>
      </c>
      <c r="U1279">
        <v>0</v>
      </c>
      <c r="V1279">
        <v>3784</v>
      </c>
    </row>
    <row r="1280" spans="1:22" x14ac:dyDescent="0.3">
      <c r="A1280">
        <v>80147</v>
      </c>
      <c r="B1280">
        <v>137121865</v>
      </c>
      <c r="C1280" t="s">
        <v>6900</v>
      </c>
      <c r="D1280" t="s">
        <v>6901</v>
      </c>
      <c r="E1280" t="s">
        <v>6762</v>
      </c>
      <c r="F1280" t="s">
        <v>844</v>
      </c>
      <c r="G1280" t="s">
        <v>164</v>
      </c>
      <c r="H1280" t="s">
        <v>165</v>
      </c>
      <c r="I1280" t="s">
        <v>34</v>
      </c>
      <c r="J1280" t="s">
        <v>166</v>
      </c>
      <c r="K1280" t="s">
        <v>41</v>
      </c>
      <c r="L1280" t="s">
        <v>6902</v>
      </c>
      <c r="M1280" t="s">
        <v>6903</v>
      </c>
      <c r="N1280" t="s">
        <v>847</v>
      </c>
      <c r="O1280" t="s">
        <v>100</v>
      </c>
      <c r="P1280" t="s">
        <v>6904</v>
      </c>
      <c r="Q1280" t="s">
        <v>98</v>
      </c>
      <c r="R1280" t="s">
        <v>748</v>
      </c>
      <c r="S1280">
        <v>6.09</v>
      </c>
      <c r="T1280">
        <v>5198</v>
      </c>
      <c r="U1280">
        <v>0</v>
      </c>
      <c r="V1280">
        <v>5198</v>
      </c>
    </row>
    <row r="1281" spans="1:22" x14ac:dyDescent="0.3">
      <c r="A1281">
        <v>80147</v>
      </c>
      <c r="B1281">
        <v>137169052</v>
      </c>
      <c r="C1281" t="s">
        <v>6905</v>
      </c>
      <c r="D1281" t="s">
        <v>6906</v>
      </c>
      <c r="E1281" t="s">
        <v>6762</v>
      </c>
      <c r="F1281" t="s">
        <v>844</v>
      </c>
      <c r="G1281" t="s">
        <v>164</v>
      </c>
      <c r="H1281" t="s">
        <v>165</v>
      </c>
      <c r="I1281" t="s">
        <v>34</v>
      </c>
      <c r="J1281" t="s">
        <v>166</v>
      </c>
      <c r="K1281" t="s">
        <v>41</v>
      </c>
      <c r="L1281" t="s">
        <v>6907</v>
      </c>
      <c r="M1281" t="s">
        <v>6908</v>
      </c>
      <c r="N1281" t="s">
        <v>847</v>
      </c>
      <c r="O1281" t="s">
        <v>100</v>
      </c>
      <c r="P1281" t="s">
        <v>6909</v>
      </c>
      <c r="Q1281" t="s">
        <v>68</v>
      </c>
      <c r="R1281" t="s">
        <v>6879</v>
      </c>
      <c r="S1281">
        <v>0.9</v>
      </c>
      <c r="T1281">
        <v>3753</v>
      </c>
      <c r="U1281">
        <v>0</v>
      </c>
      <c r="V1281">
        <v>3753</v>
      </c>
    </row>
    <row r="1282" spans="1:22" x14ac:dyDescent="0.3">
      <c r="A1282">
        <v>80147</v>
      </c>
      <c r="B1282">
        <v>137205166</v>
      </c>
      <c r="C1282" t="s">
        <v>6910</v>
      </c>
      <c r="D1282" t="s">
        <v>6911</v>
      </c>
      <c r="E1282" t="s">
        <v>6762</v>
      </c>
      <c r="F1282" t="s">
        <v>844</v>
      </c>
      <c r="G1282" t="s">
        <v>164</v>
      </c>
      <c r="H1282" t="s">
        <v>165</v>
      </c>
      <c r="I1282" t="s">
        <v>34</v>
      </c>
      <c r="J1282" t="s">
        <v>166</v>
      </c>
      <c r="K1282" t="s">
        <v>41</v>
      </c>
      <c r="L1282" t="s">
        <v>6912</v>
      </c>
      <c r="M1282" t="s">
        <v>6913</v>
      </c>
      <c r="N1282" t="s">
        <v>847</v>
      </c>
      <c r="O1282" t="s">
        <v>100</v>
      </c>
      <c r="P1282" t="s">
        <v>6914</v>
      </c>
      <c r="Q1282" t="s">
        <v>63</v>
      </c>
      <c r="R1282" t="s">
        <v>745</v>
      </c>
      <c r="S1282">
        <v>3.14</v>
      </c>
      <c r="T1282">
        <v>5111</v>
      </c>
      <c r="U1282">
        <v>0</v>
      </c>
      <c r="V1282">
        <v>5111</v>
      </c>
    </row>
    <row r="1283" spans="1:22" x14ac:dyDescent="0.3">
      <c r="A1283">
        <v>80147</v>
      </c>
      <c r="B1283">
        <v>137121863</v>
      </c>
      <c r="C1283" t="s">
        <v>6915</v>
      </c>
      <c r="D1283" t="s">
        <v>6916</v>
      </c>
      <c r="E1283" t="s">
        <v>6762</v>
      </c>
      <c r="F1283" t="s">
        <v>844</v>
      </c>
      <c r="G1283" t="s">
        <v>164</v>
      </c>
      <c r="H1283" t="s">
        <v>165</v>
      </c>
      <c r="I1283" t="s">
        <v>34</v>
      </c>
      <c r="J1283" t="s">
        <v>166</v>
      </c>
      <c r="K1283" t="s">
        <v>41</v>
      </c>
      <c r="L1283" t="s">
        <v>6917</v>
      </c>
      <c r="M1283" t="s">
        <v>6918</v>
      </c>
      <c r="N1283" t="s">
        <v>847</v>
      </c>
      <c r="O1283" t="s">
        <v>100</v>
      </c>
      <c r="P1283" t="s">
        <v>6919</v>
      </c>
      <c r="Q1283" t="s">
        <v>67</v>
      </c>
      <c r="R1283" t="s">
        <v>748</v>
      </c>
      <c r="S1283">
        <v>5.98</v>
      </c>
      <c r="T1283">
        <v>4585</v>
      </c>
      <c r="U1283">
        <v>0</v>
      </c>
      <c r="V1283">
        <v>4585</v>
      </c>
    </row>
    <row r="1284" spans="1:22" x14ac:dyDescent="0.3">
      <c r="A1284">
        <v>80147</v>
      </c>
      <c r="B1284">
        <v>137121844</v>
      </c>
      <c r="C1284" t="s">
        <v>6920</v>
      </c>
      <c r="D1284" t="s">
        <v>6921</v>
      </c>
      <c r="E1284" t="s">
        <v>6762</v>
      </c>
      <c r="F1284" t="s">
        <v>844</v>
      </c>
      <c r="G1284" t="s">
        <v>164</v>
      </c>
      <c r="H1284" t="s">
        <v>165</v>
      </c>
      <c r="I1284" t="s">
        <v>34</v>
      </c>
      <c r="J1284" t="s">
        <v>166</v>
      </c>
      <c r="K1284" t="s">
        <v>41</v>
      </c>
      <c r="L1284" t="s">
        <v>6922</v>
      </c>
      <c r="M1284" t="s">
        <v>6923</v>
      </c>
      <c r="N1284" t="s">
        <v>847</v>
      </c>
      <c r="O1284" t="s">
        <v>100</v>
      </c>
      <c r="P1284" t="s">
        <v>6924</v>
      </c>
      <c r="Q1284" t="s">
        <v>63</v>
      </c>
      <c r="R1284" t="s">
        <v>748</v>
      </c>
      <c r="S1284">
        <v>6.52</v>
      </c>
      <c r="T1284">
        <v>6328</v>
      </c>
      <c r="U1284">
        <v>0</v>
      </c>
      <c r="V1284">
        <v>6328</v>
      </c>
    </row>
    <row r="1285" spans="1:22" x14ac:dyDescent="0.3">
      <c r="A1285">
        <v>80147</v>
      </c>
      <c r="B1285">
        <v>136997722</v>
      </c>
      <c r="C1285" t="s">
        <v>6925</v>
      </c>
      <c r="D1285" t="s">
        <v>6926</v>
      </c>
      <c r="E1285" t="s">
        <v>6762</v>
      </c>
      <c r="F1285" t="s">
        <v>844</v>
      </c>
      <c r="G1285" t="s">
        <v>164</v>
      </c>
      <c r="H1285" t="s">
        <v>165</v>
      </c>
      <c r="I1285" t="s">
        <v>34</v>
      </c>
      <c r="J1285" t="s">
        <v>166</v>
      </c>
      <c r="K1285" t="s">
        <v>41</v>
      </c>
      <c r="L1285" t="s">
        <v>6927</v>
      </c>
      <c r="M1285" t="s">
        <v>6928</v>
      </c>
      <c r="N1285" t="s">
        <v>847</v>
      </c>
      <c r="O1285" t="s">
        <v>100</v>
      </c>
      <c r="P1285" t="s">
        <v>6929</v>
      </c>
      <c r="Q1285" t="s">
        <v>57</v>
      </c>
      <c r="R1285" t="s">
        <v>565</v>
      </c>
      <c r="S1285">
        <v>1</v>
      </c>
      <c r="T1285">
        <v>5476</v>
      </c>
      <c r="U1285">
        <v>0</v>
      </c>
      <c r="V1285">
        <v>5476</v>
      </c>
    </row>
    <row r="1286" spans="1:22" x14ac:dyDescent="0.3">
      <c r="A1286">
        <v>80147</v>
      </c>
      <c r="B1286">
        <v>137169048</v>
      </c>
      <c r="C1286" t="s">
        <v>6930</v>
      </c>
      <c r="D1286" t="s">
        <v>6931</v>
      </c>
      <c r="E1286" t="s">
        <v>6762</v>
      </c>
      <c r="F1286" t="s">
        <v>844</v>
      </c>
      <c r="G1286" t="s">
        <v>164</v>
      </c>
      <c r="H1286" t="s">
        <v>165</v>
      </c>
      <c r="I1286" t="s">
        <v>34</v>
      </c>
      <c r="J1286" t="s">
        <v>166</v>
      </c>
      <c r="K1286" t="s">
        <v>41</v>
      </c>
      <c r="L1286" t="s">
        <v>6932</v>
      </c>
      <c r="M1286" t="s">
        <v>6933</v>
      </c>
      <c r="N1286" t="s">
        <v>847</v>
      </c>
      <c r="O1286" t="s">
        <v>100</v>
      </c>
      <c r="P1286" t="s">
        <v>6934</v>
      </c>
      <c r="Q1286" t="s">
        <v>61</v>
      </c>
      <c r="R1286" t="s">
        <v>6879</v>
      </c>
      <c r="S1286">
        <v>1</v>
      </c>
      <c r="T1286">
        <v>4067</v>
      </c>
      <c r="U1286">
        <v>0</v>
      </c>
      <c r="V1286">
        <v>4067</v>
      </c>
    </row>
    <row r="1287" spans="1:22" x14ac:dyDescent="0.3">
      <c r="A1287">
        <v>80147</v>
      </c>
      <c r="B1287">
        <v>136939882</v>
      </c>
      <c r="C1287" t="s">
        <v>6935</v>
      </c>
      <c r="D1287" t="s">
        <v>6936</v>
      </c>
      <c r="E1287" t="s">
        <v>6762</v>
      </c>
      <c r="F1287" t="s">
        <v>844</v>
      </c>
      <c r="G1287" t="s">
        <v>164</v>
      </c>
      <c r="H1287" t="s">
        <v>165</v>
      </c>
      <c r="I1287" t="s">
        <v>34</v>
      </c>
      <c r="J1287" t="s">
        <v>166</v>
      </c>
      <c r="K1287" t="s">
        <v>41</v>
      </c>
      <c r="L1287" t="s">
        <v>6937</v>
      </c>
      <c r="M1287" t="s">
        <v>6938</v>
      </c>
      <c r="N1287" t="s">
        <v>847</v>
      </c>
      <c r="O1287" t="s">
        <v>100</v>
      </c>
      <c r="P1287" t="s">
        <v>6939</v>
      </c>
      <c r="Q1287" t="s">
        <v>190</v>
      </c>
      <c r="R1287" t="s">
        <v>6815</v>
      </c>
      <c r="S1287">
        <v>0.48</v>
      </c>
      <c r="T1287">
        <v>3299</v>
      </c>
      <c r="U1287">
        <v>0</v>
      </c>
      <c r="V1287">
        <v>3299</v>
      </c>
    </row>
    <row r="1288" spans="1:22" x14ac:dyDescent="0.3">
      <c r="A1288">
        <v>80147</v>
      </c>
      <c r="B1288">
        <v>136997711</v>
      </c>
      <c r="C1288" t="s">
        <v>6940</v>
      </c>
      <c r="D1288" t="s">
        <v>6941</v>
      </c>
      <c r="E1288" t="s">
        <v>6762</v>
      </c>
      <c r="F1288" t="s">
        <v>844</v>
      </c>
      <c r="G1288" t="s">
        <v>164</v>
      </c>
      <c r="H1288" t="s">
        <v>165</v>
      </c>
      <c r="I1288" t="s">
        <v>34</v>
      </c>
      <c r="J1288" t="s">
        <v>166</v>
      </c>
      <c r="K1288" t="s">
        <v>41</v>
      </c>
      <c r="L1288" t="s">
        <v>6942</v>
      </c>
      <c r="M1288" t="s">
        <v>6943</v>
      </c>
      <c r="N1288" t="s">
        <v>847</v>
      </c>
      <c r="O1288" t="s">
        <v>100</v>
      </c>
      <c r="P1288" t="s">
        <v>6944</v>
      </c>
      <c r="Q1288" t="s">
        <v>63</v>
      </c>
      <c r="R1288" t="s">
        <v>565</v>
      </c>
      <c r="S1288">
        <v>7.13</v>
      </c>
      <c r="T1288">
        <v>6328</v>
      </c>
      <c r="U1288">
        <v>0</v>
      </c>
      <c r="V1288">
        <v>6328</v>
      </c>
    </row>
    <row r="1289" spans="1:22" x14ac:dyDescent="0.3">
      <c r="A1289">
        <v>80147</v>
      </c>
      <c r="B1289">
        <v>137121883</v>
      </c>
      <c r="C1289" t="s">
        <v>6945</v>
      </c>
      <c r="D1289" t="s">
        <v>6946</v>
      </c>
      <c r="E1289" t="s">
        <v>6762</v>
      </c>
      <c r="F1289" t="s">
        <v>844</v>
      </c>
      <c r="G1289" t="s">
        <v>164</v>
      </c>
      <c r="H1289" t="s">
        <v>165</v>
      </c>
      <c r="I1289" t="s">
        <v>34</v>
      </c>
      <c r="J1289" t="s">
        <v>166</v>
      </c>
      <c r="K1289" t="s">
        <v>41</v>
      </c>
      <c r="L1289" t="s">
        <v>6947</v>
      </c>
      <c r="M1289" t="s">
        <v>6948</v>
      </c>
      <c r="N1289" t="s">
        <v>847</v>
      </c>
      <c r="O1289" t="s">
        <v>100</v>
      </c>
      <c r="P1289" t="s">
        <v>6949</v>
      </c>
      <c r="Q1289" t="s">
        <v>98</v>
      </c>
      <c r="R1289" t="s">
        <v>748</v>
      </c>
      <c r="S1289">
        <v>10.73</v>
      </c>
      <c r="T1289">
        <v>6400</v>
      </c>
      <c r="U1289">
        <v>0</v>
      </c>
      <c r="V1289">
        <v>6400</v>
      </c>
    </row>
    <row r="1290" spans="1:22" x14ac:dyDescent="0.3">
      <c r="A1290">
        <v>80147</v>
      </c>
      <c r="B1290">
        <v>137169053</v>
      </c>
      <c r="C1290" t="s">
        <v>6950</v>
      </c>
      <c r="D1290" t="s">
        <v>6951</v>
      </c>
      <c r="E1290" t="s">
        <v>6762</v>
      </c>
      <c r="F1290" t="s">
        <v>844</v>
      </c>
      <c r="G1290" t="s">
        <v>164</v>
      </c>
      <c r="H1290" t="s">
        <v>165</v>
      </c>
      <c r="I1290" t="s">
        <v>34</v>
      </c>
      <c r="J1290" t="s">
        <v>166</v>
      </c>
      <c r="K1290" t="s">
        <v>41</v>
      </c>
      <c r="L1290" t="s">
        <v>6952</v>
      </c>
      <c r="M1290" t="s">
        <v>6953</v>
      </c>
      <c r="N1290" t="s">
        <v>847</v>
      </c>
      <c r="O1290" t="s">
        <v>100</v>
      </c>
      <c r="P1290" t="s">
        <v>6954</v>
      </c>
      <c r="Q1290" t="s">
        <v>43</v>
      </c>
      <c r="R1290" t="s">
        <v>6879</v>
      </c>
      <c r="S1290">
        <v>11.99</v>
      </c>
      <c r="T1290">
        <v>7031</v>
      </c>
      <c r="U1290">
        <v>0</v>
      </c>
      <c r="V1290">
        <v>7031</v>
      </c>
    </row>
    <row r="1291" spans="1:22" x14ac:dyDescent="0.3">
      <c r="A1291">
        <v>80147</v>
      </c>
      <c r="B1291">
        <v>136997716</v>
      </c>
      <c r="C1291" t="s">
        <v>6955</v>
      </c>
      <c r="D1291" t="s">
        <v>6956</v>
      </c>
      <c r="E1291" t="s">
        <v>6762</v>
      </c>
      <c r="F1291" t="s">
        <v>844</v>
      </c>
      <c r="G1291" t="s">
        <v>164</v>
      </c>
      <c r="H1291" t="s">
        <v>165</v>
      </c>
      <c r="I1291" t="s">
        <v>34</v>
      </c>
      <c r="J1291" t="s">
        <v>166</v>
      </c>
      <c r="K1291" t="s">
        <v>41</v>
      </c>
      <c r="L1291" t="s">
        <v>562</v>
      </c>
      <c r="M1291" t="s">
        <v>6957</v>
      </c>
      <c r="N1291" t="s">
        <v>847</v>
      </c>
      <c r="O1291" t="s">
        <v>100</v>
      </c>
      <c r="P1291" t="s">
        <v>6958</v>
      </c>
      <c r="Q1291" t="s">
        <v>60</v>
      </c>
      <c r="R1291" t="s">
        <v>565</v>
      </c>
      <c r="S1291">
        <v>7.23</v>
      </c>
      <c r="T1291">
        <v>6888</v>
      </c>
      <c r="U1291">
        <v>0</v>
      </c>
      <c r="V1291">
        <v>6888</v>
      </c>
    </row>
    <row r="1292" spans="1:22" x14ac:dyDescent="0.3">
      <c r="A1292">
        <v>80147</v>
      </c>
      <c r="B1292">
        <v>137032718</v>
      </c>
      <c r="C1292" t="s">
        <v>6959</v>
      </c>
      <c r="D1292" t="s">
        <v>6960</v>
      </c>
      <c r="E1292" t="s">
        <v>6762</v>
      </c>
      <c r="F1292" t="s">
        <v>844</v>
      </c>
      <c r="G1292" t="s">
        <v>164</v>
      </c>
      <c r="H1292" t="s">
        <v>165</v>
      </c>
      <c r="I1292" t="s">
        <v>34</v>
      </c>
      <c r="J1292" t="s">
        <v>166</v>
      </c>
      <c r="K1292" t="s">
        <v>41</v>
      </c>
      <c r="L1292" t="s">
        <v>6961</v>
      </c>
      <c r="M1292" t="s">
        <v>6962</v>
      </c>
      <c r="N1292" t="s">
        <v>847</v>
      </c>
      <c r="O1292" t="s">
        <v>100</v>
      </c>
      <c r="P1292" t="s">
        <v>6963</v>
      </c>
      <c r="Q1292" t="s">
        <v>59</v>
      </c>
      <c r="R1292" t="s">
        <v>126</v>
      </c>
      <c r="S1292">
        <v>2.95</v>
      </c>
      <c r="T1292">
        <v>4067</v>
      </c>
      <c r="U1292">
        <v>0</v>
      </c>
      <c r="V1292">
        <v>4067</v>
      </c>
    </row>
    <row r="1293" spans="1:22" x14ac:dyDescent="0.3">
      <c r="A1293">
        <v>80147</v>
      </c>
      <c r="B1293">
        <v>137085027</v>
      </c>
      <c r="C1293" t="s">
        <v>6964</v>
      </c>
      <c r="D1293" t="s">
        <v>6965</v>
      </c>
      <c r="E1293" t="s">
        <v>6762</v>
      </c>
      <c r="F1293" t="s">
        <v>844</v>
      </c>
      <c r="G1293" t="s">
        <v>164</v>
      </c>
      <c r="H1293" t="s">
        <v>165</v>
      </c>
      <c r="I1293" t="s">
        <v>34</v>
      </c>
      <c r="J1293" t="s">
        <v>166</v>
      </c>
      <c r="K1293" t="s">
        <v>41</v>
      </c>
      <c r="L1293" t="s">
        <v>6966</v>
      </c>
      <c r="M1293" t="s">
        <v>6967</v>
      </c>
      <c r="N1293" t="s">
        <v>847</v>
      </c>
      <c r="O1293" t="s">
        <v>100</v>
      </c>
      <c r="P1293" t="s">
        <v>6968</v>
      </c>
      <c r="Q1293" t="s">
        <v>84</v>
      </c>
      <c r="R1293" t="s">
        <v>6804</v>
      </c>
      <c r="S1293">
        <v>5.53</v>
      </c>
      <c r="T1293">
        <v>3797</v>
      </c>
      <c r="U1293">
        <v>0</v>
      </c>
      <c r="V1293">
        <v>3797</v>
      </c>
    </row>
    <row r="1294" spans="1:22" x14ac:dyDescent="0.3">
      <c r="A1294">
        <v>80147</v>
      </c>
      <c r="B1294">
        <v>137085030</v>
      </c>
      <c r="C1294" t="s">
        <v>6969</v>
      </c>
      <c r="D1294" t="s">
        <v>6970</v>
      </c>
      <c r="E1294" t="s">
        <v>6762</v>
      </c>
      <c r="F1294" t="s">
        <v>844</v>
      </c>
      <c r="G1294" t="s">
        <v>164</v>
      </c>
      <c r="H1294" t="s">
        <v>165</v>
      </c>
      <c r="I1294" t="s">
        <v>34</v>
      </c>
      <c r="J1294" t="s">
        <v>166</v>
      </c>
      <c r="K1294" t="s">
        <v>41</v>
      </c>
      <c r="L1294" t="s">
        <v>6971</v>
      </c>
      <c r="M1294" t="s">
        <v>6972</v>
      </c>
      <c r="N1294" t="s">
        <v>847</v>
      </c>
      <c r="O1294" t="s">
        <v>100</v>
      </c>
      <c r="P1294" t="s">
        <v>6973</v>
      </c>
      <c r="Q1294" t="s">
        <v>92</v>
      </c>
      <c r="R1294" t="s">
        <v>6804</v>
      </c>
      <c r="S1294">
        <v>1</v>
      </c>
      <c r="T1294">
        <v>3366</v>
      </c>
      <c r="U1294">
        <v>0</v>
      </c>
      <c r="V1294">
        <v>3366</v>
      </c>
    </row>
    <row r="1295" spans="1:22" x14ac:dyDescent="0.3">
      <c r="A1295">
        <v>80147</v>
      </c>
      <c r="B1295">
        <v>136997718</v>
      </c>
      <c r="C1295" t="s">
        <v>6974</v>
      </c>
      <c r="D1295" t="s">
        <v>6975</v>
      </c>
      <c r="E1295" t="s">
        <v>6762</v>
      </c>
      <c r="F1295" t="s">
        <v>844</v>
      </c>
      <c r="G1295" t="s">
        <v>164</v>
      </c>
      <c r="H1295" t="s">
        <v>165</v>
      </c>
      <c r="I1295" t="s">
        <v>34</v>
      </c>
      <c r="J1295" t="s">
        <v>166</v>
      </c>
      <c r="K1295" t="s">
        <v>41</v>
      </c>
      <c r="L1295" t="s">
        <v>6976</v>
      </c>
      <c r="M1295" t="s">
        <v>6977</v>
      </c>
      <c r="N1295" t="s">
        <v>847</v>
      </c>
      <c r="O1295" t="s">
        <v>100</v>
      </c>
      <c r="P1295" t="s">
        <v>6978</v>
      </c>
      <c r="Q1295" t="s">
        <v>92</v>
      </c>
      <c r="R1295" t="s">
        <v>565</v>
      </c>
      <c r="S1295">
        <v>1</v>
      </c>
      <c r="T1295">
        <v>3366</v>
      </c>
      <c r="U1295">
        <v>0</v>
      </c>
      <c r="V1295">
        <v>3366</v>
      </c>
    </row>
    <row r="1296" spans="1:22" x14ac:dyDescent="0.3">
      <c r="A1296">
        <v>80147</v>
      </c>
      <c r="B1296">
        <v>136997742</v>
      </c>
      <c r="C1296" t="s">
        <v>6979</v>
      </c>
      <c r="D1296" t="s">
        <v>6980</v>
      </c>
      <c r="E1296" t="s">
        <v>6762</v>
      </c>
      <c r="F1296" t="s">
        <v>844</v>
      </c>
      <c r="G1296" t="s">
        <v>164</v>
      </c>
      <c r="H1296" t="s">
        <v>165</v>
      </c>
      <c r="I1296" t="s">
        <v>34</v>
      </c>
      <c r="J1296" t="s">
        <v>166</v>
      </c>
      <c r="K1296" t="s">
        <v>41</v>
      </c>
      <c r="L1296" t="s">
        <v>6981</v>
      </c>
      <c r="M1296" t="s">
        <v>6982</v>
      </c>
      <c r="N1296" t="s">
        <v>847</v>
      </c>
      <c r="O1296" t="s">
        <v>100</v>
      </c>
      <c r="P1296" t="s">
        <v>6983</v>
      </c>
      <c r="Q1296" t="s">
        <v>190</v>
      </c>
      <c r="R1296" t="s">
        <v>565</v>
      </c>
      <c r="S1296">
        <v>1</v>
      </c>
      <c r="T1296">
        <v>3366</v>
      </c>
      <c r="U1296">
        <v>0</v>
      </c>
      <c r="V1296">
        <v>3366</v>
      </c>
    </row>
    <row r="1297" spans="1:22" x14ac:dyDescent="0.3">
      <c r="A1297">
        <v>80147</v>
      </c>
      <c r="B1297">
        <v>137032730</v>
      </c>
      <c r="C1297" t="s">
        <v>6984</v>
      </c>
      <c r="D1297" t="s">
        <v>6985</v>
      </c>
      <c r="E1297" t="s">
        <v>6762</v>
      </c>
      <c r="F1297" t="s">
        <v>844</v>
      </c>
      <c r="G1297" t="s">
        <v>164</v>
      </c>
      <c r="H1297" t="s">
        <v>165</v>
      </c>
      <c r="I1297" t="s">
        <v>34</v>
      </c>
      <c r="J1297" t="s">
        <v>166</v>
      </c>
      <c r="K1297" t="s">
        <v>41</v>
      </c>
      <c r="L1297" t="s">
        <v>6986</v>
      </c>
      <c r="M1297" t="s">
        <v>6987</v>
      </c>
      <c r="N1297" t="s">
        <v>847</v>
      </c>
      <c r="O1297" t="s">
        <v>100</v>
      </c>
      <c r="P1297" t="s">
        <v>6988</v>
      </c>
      <c r="Q1297" t="s">
        <v>71</v>
      </c>
      <c r="R1297" t="s">
        <v>126</v>
      </c>
      <c r="S1297">
        <v>0.9</v>
      </c>
      <c r="T1297">
        <v>3501</v>
      </c>
      <c r="U1297">
        <v>0</v>
      </c>
      <c r="V1297">
        <v>3501</v>
      </c>
    </row>
    <row r="1298" spans="1:22" x14ac:dyDescent="0.3">
      <c r="A1298">
        <v>80147</v>
      </c>
      <c r="B1298">
        <v>136997734</v>
      </c>
      <c r="C1298" t="s">
        <v>6989</v>
      </c>
      <c r="D1298" t="s">
        <v>6990</v>
      </c>
      <c r="E1298" t="s">
        <v>6762</v>
      </c>
      <c r="F1298" t="s">
        <v>844</v>
      </c>
      <c r="G1298" t="s">
        <v>164</v>
      </c>
      <c r="H1298" t="s">
        <v>165</v>
      </c>
      <c r="I1298" t="s">
        <v>34</v>
      </c>
      <c r="J1298" t="s">
        <v>166</v>
      </c>
      <c r="K1298" t="s">
        <v>41</v>
      </c>
      <c r="L1298" t="s">
        <v>6991</v>
      </c>
      <c r="M1298" t="s">
        <v>6992</v>
      </c>
      <c r="N1298" t="s">
        <v>847</v>
      </c>
      <c r="O1298" t="s">
        <v>100</v>
      </c>
      <c r="P1298" t="s">
        <v>6993</v>
      </c>
      <c r="Q1298" t="s">
        <v>72</v>
      </c>
      <c r="R1298" t="s">
        <v>565</v>
      </c>
      <c r="S1298">
        <v>6.64</v>
      </c>
      <c r="T1298">
        <v>5476</v>
      </c>
      <c r="U1298">
        <v>0</v>
      </c>
      <c r="V1298">
        <v>5476</v>
      </c>
    </row>
    <row r="1299" spans="1:22" x14ac:dyDescent="0.3">
      <c r="A1299">
        <v>80147</v>
      </c>
      <c r="B1299">
        <v>136997721</v>
      </c>
      <c r="C1299" t="s">
        <v>6994</v>
      </c>
      <c r="D1299" t="s">
        <v>6995</v>
      </c>
      <c r="E1299" t="s">
        <v>6762</v>
      </c>
      <c r="F1299" t="s">
        <v>844</v>
      </c>
      <c r="G1299" t="s">
        <v>164</v>
      </c>
      <c r="H1299" t="s">
        <v>165</v>
      </c>
      <c r="I1299" t="s">
        <v>34</v>
      </c>
      <c r="J1299" t="s">
        <v>166</v>
      </c>
      <c r="K1299" t="s">
        <v>44</v>
      </c>
      <c r="L1299" t="s">
        <v>188</v>
      </c>
      <c r="M1299" t="s">
        <v>6996</v>
      </c>
      <c r="N1299" t="s">
        <v>847</v>
      </c>
      <c r="O1299" t="s">
        <v>100</v>
      </c>
      <c r="P1299" t="s">
        <v>6997</v>
      </c>
      <c r="Q1299" t="s">
        <v>60</v>
      </c>
      <c r="R1299" t="s">
        <v>565</v>
      </c>
      <c r="S1299">
        <v>1</v>
      </c>
      <c r="T1299">
        <v>4346</v>
      </c>
      <c r="U1299">
        <v>0</v>
      </c>
      <c r="V1299">
        <v>4346</v>
      </c>
    </row>
    <row r="1300" spans="1:22" x14ac:dyDescent="0.3">
      <c r="A1300">
        <v>80147</v>
      </c>
      <c r="B1300">
        <v>136997723</v>
      </c>
      <c r="C1300" t="s">
        <v>6998</v>
      </c>
      <c r="D1300" t="s">
        <v>6999</v>
      </c>
      <c r="E1300" t="s">
        <v>6762</v>
      </c>
      <c r="F1300" t="s">
        <v>844</v>
      </c>
      <c r="G1300" t="s">
        <v>164</v>
      </c>
      <c r="H1300" t="s">
        <v>165</v>
      </c>
      <c r="I1300" t="s">
        <v>34</v>
      </c>
      <c r="J1300" t="s">
        <v>166</v>
      </c>
      <c r="K1300" t="s">
        <v>41</v>
      </c>
      <c r="L1300" t="s">
        <v>7000</v>
      </c>
      <c r="M1300" t="s">
        <v>7001</v>
      </c>
      <c r="N1300" t="s">
        <v>847</v>
      </c>
      <c r="O1300" t="s">
        <v>100</v>
      </c>
      <c r="P1300" t="s">
        <v>7002</v>
      </c>
      <c r="Q1300" t="s">
        <v>69</v>
      </c>
      <c r="R1300" t="s">
        <v>565</v>
      </c>
      <c r="S1300">
        <v>1</v>
      </c>
      <c r="T1300">
        <v>3753</v>
      </c>
      <c r="U1300">
        <v>0</v>
      </c>
      <c r="V1300">
        <v>3753</v>
      </c>
    </row>
    <row r="1301" spans="1:22" x14ac:dyDescent="0.3">
      <c r="A1301">
        <v>80147</v>
      </c>
      <c r="B1301">
        <v>136997741</v>
      </c>
      <c r="C1301" t="s">
        <v>7003</v>
      </c>
      <c r="D1301" t="s">
        <v>7004</v>
      </c>
      <c r="E1301" t="s">
        <v>6762</v>
      </c>
      <c r="F1301" t="s">
        <v>844</v>
      </c>
      <c r="G1301" t="s">
        <v>164</v>
      </c>
      <c r="H1301" t="s">
        <v>165</v>
      </c>
      <c r="I1301" t="s">
        <v>34</v>
      </c>
      <c r="J1301" t="s">
        <v>166</v>
      </c>
      <c r="K1301" t="s">
        <v>41</v>
      </c>
      <c r="L1301" t="s">
        <v>556</v>
      </c>
      <c r="M1301" t="s">
        <v>7005</v>
      </c>
      <c r="N1301" t="s">
        <v>847</v>
      </c>
      <c r="O1301" t="s">
        <v>100</v>
      </c>
      <c r="P1301" t="s">
        <v>7006</v>
      </c>
      <c r="Q1301" t="s">
        <v>61</v>
      </c>
      <c r="R1301" t="s">
        <v>565</v>
      </c>
      <c r="S1301">
        <v>5.42</v>
      </c>
      <c r="T1301">
        <v>5376</v>
      </c>
      <c r="U1301">
        <v>0</v>
      </c>
      <c r="V1301">
        <v>5376</v>
      </c>
    </row>
    <row r="1302" spans="1:22" x14ac:dyDescent="0.3">
      <c r="A1302">
        <v>80147</v>
      </c>
      <c r="B1302">
        <v>137032724</v>
      </c>
      <c r="C1302" t="s">
        <v>7007</v>
      </c>
      <c r="D1302" t="s">
        <v>7008</v>
      </c>
      <c r="E1302" t="s">
        <v>6762</v>
      </c>
      <c r="F1302" t="s">
        <v>844</v>
      </c>
      <c r="G1302" t="s">
        <v>164</v>
      </c>
      <c r="H1302" t="s">
        <v>165</v>
      </c>
      <c r="I1302" t="s">
        <v>34</v>
      </c>
      <c r="J1302" t="s">
        <v>166</v>
      </c>
      <c r="K1302" t="s">
        <v>41</v>
      </c>
      <c r="L1302" t="s">
        <v>7009</v>
      </c>
      <c r="M1302" t="s">
        <v>184</v>
      </c>
      <c r="N1302" t="s">
        <v>847</v>
      </c>
      <c r="O1302" t="s">
        <v>100</v>
      </c>
      <c r="P1302" t="s">
        <v>7010</v>
      </c>
      <c r="Q1302" t="s">
        <v>64</v>
      </c>
      <c r="R1302" t="s">
        <v>126</v>
      </c>
      <c r="S1302">
        <v>1</v>
      </c>
      <c r="T1302">
        <v>4067</v>
      </c>
      <c r="U1302">
        <v>0</v>
      </c>
      <c r="V1302">
        <v>4067</v>
      </c>
    </row>
    <row r="1303" spans="1:22" x14ac:dyDescent="0.3">
      <c r="A1303">
        <v>80147</v>
      </c>
      <c r="B1303">
        <v>136997710</v>
      </c>
      <c r="C1303" t="s">
        <v>7011</v>
      </c>
      <c r="D1303" t="s">
        <v>7012</v>
      </c>
      <c r="E1303" t="s">
        <v>6762</v>
      </c>
      <c r="F1303" t="s">
        <v>844</v>
      </c>
      <c r="G1303" t="s">
        <v>164</v>
      </c>
      <c r="H1303" t="s">
        <v>165</v>
      </c>
      <c r="I1303" t="s">
        <v>34</v>
      </c>
      <c r="J1303" t="s">
        <v>166</v>
      </c>
      <c r="K1303" t="s">
        <v>41</v>
      </c>
      <c r="L1303" t="s">
        <v>7013</v>
      </c>
      <c r="M1303" t="s">
        <v>7014</v>
      </c>
      <c r="N1303" t="s">
        <v>847</v>
      </c>
      <c r="O1303" t="s">
        <v>100</v>
      </c>
      <c r="P1303" t="s">
        <v>7015</v>
      </c>
      <c r="Q1303" t="s">
        <v>49</v>
      </c>
      <c r="R1303" t="s">
        <v>565</v>
      </c>
      <c r="S1303">
        <v>7.02</v>
      </c>
      <c r="T1303">
        <v>5476</v>
      </c>
      <c r="U1303">
        <v>0</v>
      </c>
      <c r="V1303">
        <v>5476</v>
      </c>
    </row>
    <row r="1304" spans="1:22" x14ac:dyDescent="0.3">
      <c r="A1304">
        <v>80147</v>
      </c>
      <c r="B1304">
        <v>136997733</v>
      </c>
      <c r="C1304" t="s">
        <v>7016</v>
      </c>
      <c r="D1304" t="s">
        <v>7017</v>
      </c>
      <c r="E1304" t="s">
        <v>6762</v>
      </c>
      <c r="F1304" t="s">
        <v>844</v>
      </c>
      <c r="G1304" t="s">
        <v>164</v>
      </c>
      <c r="H1304" t="s">
        <v>165</v>
      </c>
      <c r="I1304" t="s">
        <v>34</v>
      </c>
      <c r="J1304" t="s">
        <v>166</v>
      </c>
      <c r="K1304" t="s">
        <v>41</v>
      </c>
      <c r="L1304" t="s">
        <v>7018</v>
      </c>
      <c r="M1304" t="s">
        <v>7019</v>
      </c>
      <c r="N1304" t="s">
        <v>847</v>
      </c>
      <c r="O1304" t="s">
        <v>100</v>
      </c>
      <c r="P1304" t="s">
        <v>7020</v>
      </c>
      <c r="Q1304" t="s">
        <v>226</v>
      </c>
      <c r="R1304" t="s">
        <v>565</v>
      </c>
      <c r="S1304">
        <v>8.82</v>
      </c>
      <c r="T1304">
        <v>5759</v>
      </c>
      <c r="U1304">
        <v>0</v>
      </c>
      <c r="V1304">
        <v>5759</v>
      </c>
    </row>
    <row r="1305" spans="1:22" x14ac:dyDescent="0.3">
      <c r="A1305">
        <v>80147</v>
      </c>
      <c r="B1305">
        <v>136997745</v>
      </c>
      <c r="C1305" t="s">
        <v>7021</v>
      </c>
      <c r="D1305" t="s">
        <v>7022</v>
      </c>
      <c r="E1305" t="s">
        <v>6762</v>
      </c>
      <c r="F1305" t="s">
        <v>844</v>
      </c>
      <c r="G1305" t="s">
        <v>164</v>
      </c>
      <c r="H1305" t="s">
        <v>165</v>
      </c>
      <c r="I1305" t="s">
        <v>34</v>
      </c>
      <c r="J1305" t="s">
        <v>166</v>
      </c>
      <c r="K1305" t="s">
        <v>41</v>
      </c>
      <c r="L1305" t="s">
        <v>7023</v>
      </c>
      <c r="M1305" t="s">
        <v>7024</v>
      </c>
      <c r="N1305" t="s">
        <v>847</v>
      </c>
      <c r="O1305" t="s">
        <v>100</v>
      </c>
      <c r="P1305" t="s">
        <v>7025</v>
      </c>
      <c r="Q1305" t="s">
        <v>97</v>
      </c>
      <c r="R1305" t="s">
        <v>565</v>
      </c>
      <c r="S1305">
        <v>2.0099999999999998</v>
      </c>
      <c r="T1305">
        <v>3366</v>
      </c>
      <c r="U1305">
        <v>0</v>
      </c>
      <c r="V1305">
        <v>3366</v>
      </c>
    </row>
    <row r="1306" spans="1:22" x14ac:dyDescent="0.3">
      <c r="A1306">
        <v>80147</v>
      </c>
      <c r="B1306">
        <v>137085031</v>
      </c>
      <c r="C1306" t="s">
        <v>7026</v>
      </c>
      <c r="D1306" t="s">
        <v>7027</v>
      </c>
      <c r="E1306" t="s">
        <v>6762</v>
      </c>
      <c r="F1306" t="s">
        <v>844</v>
      </c>
      <c r="G1306" t="s">
        <v>164</v>
      </c>
      <c r="H1306" t="s">
        <v>165</v>
      </c>
      <c r="I1306" t="s">
        <v>34</v>
      </c>
      <c r="J1306" t="s">
        <v>166</v>
      </c>
      <c r="K1306" t="s">
        <v>41</v>
      </c>
      <c r="L1306" t="s">
        <v>7028</v>
      </c>
      <c r="M1306" t="s">
        <v>7029</v>
      </c>
      <c r="N1306" t="s">
        <v>847</v>
      </c>
      <c r="O1306" t="s">
        <v>100</v>
      </c>
      <c r="P1306" t="s">
        <v>7030</v>
      </c>
      <c r="Q1306" t="s">
        <v>234</v>
      </c>
      <c r="R1306" t="s">
        <v>6804</v>
      </c>
      <c r="S1306">
        <v>5.51</v>
      </c>
      <c r="T1306">
        <v>3797</v>
      </c>
      <c r="U1306">
        <v>0</v>
      </c>
      <c r="V1306">
        <v>3797</v>
      </c>
    </row>
    <row r="1307" spans="1:22" x14ac:dyDescent="0.3">
      <c r="A1307">
        <v>80147</v>
      </c>
      <c r="B1307">
        <v>136756778</v>
      </c>
      <c r="C1307" t="s">
        <v>7031</v>
      </c>
      <c r="D1307" t="s">
        <v>7032</v>
      </c>
      <c r="E1307" t="s">
        <v>6762</v>
      </c>
      <c r="F1307" t="s">
        <v>844</v>
      </c>
      <c r="G1307" t="s">
        <v>164</v>
      </c>
      <c r="H1307" t="s">
        <v>165</v>
      </c>
      <c r="I1307" t="s">
        <v>34</v>
      </c>
      <c r="J1307" t="s">
        <v>166</v>
      </c>
      <c r="K1307" t="s">
        <v>41</v>
      </c>
      <c r="L1307" t="s">
        <v>7033</v>
      </c>
      <c r="M1307" t="s">
        <v>7034</v>
      </c>
      <c r="N1307" t="s">
        <v>847</v>
      </c>
      <c r="O1307" t="s">
        <v>100</v>
      </c>
      <c r="P1307" t="s">
        <v>7035</v>
      </c>
      <c r="Q1307" t="s">
        <v>118</v>
      </c>
      <c r="R1307" t="s">
        <v>332</v>
      </c>
      <c r="S1307">
        <v>5.98</v>
      </c>
      <c r="T1307">
        <v>5376</v>
      </c>
      <c r="U1307">
        <v>0</v>
      </c>
      <c r="V1307">
        <v>5376</v>
      </c>
    </row>
    <row r="1308" spans="1:22" x14ac:dyDescent="0.3">
      <c r="A1308">
        <v>80147</v>
      </c>
      <c r="B1308">
        <v>136636172</v>
      </c>
      <c r="C1308" t="s">
        <v>7036</v>
      </c>
      <c r="D1308" t="s">
        <v>7037</v>
      </c>
      <c r="E1308" t="s">
        <v>6762</v>
      </c>
      <c r="F1308" t="s">
        <v>844</v>
      </c>
      <c r="G1308" t="s">
        <v>164</v>
      </c>
      <c r="H1308" t="s">
        <v>165</v>
      </c>
      <c r="I1308" t="s">
        <v>34</v>
      </c>
      <c r="J1308" t="s">
        <v>166</v>
      </c>
      <c r="K1308" t="s">
        <v>41</v>
      </c>
      <c r="L1308" t="s">
        <v>7038</v>
      </c>
      <c r="M1308" t="s">
        <v>7039</v>
      </c>
      <c r="N1308" t="s">
        <v>847</v>
      </c>
      <c r="O1308" t="s">
        <v>100</v>
      </c>
      <c r="P1308" t="s">
        <v>7040</v>
      </c>
      <c r="Q1308" t="s">
        <v>58</v>
      </c>
      <c r="R1308" t="s">
        <v>639</v>
      </c>
      <c r="S1308">
        <v>1</v>
      </c>
      <c r="T1308">
        <v>5759</v>
      </c>
      <c r="U1308">
        <v>0</v>
      </c>
      <c r="V1308">
        <v>5759</v>
      </c>
    </row>
    <row r="1309" spans="1:22" x14ac:dyDescent="0.3">
      <c r="A1309">
        <v>80147</v>
      </c>
      <c r="B1309">
        <v>135904534</v>
      </c>
      <c r="C1309" t="s">
        <v>7041</v>
      </c>
      <c r="D1309" t="s">
        <v>7042</v>
      </c>
      <c r="E1309" t="s">
        <v>6762</v>
      </c>
      <c r="F1309" t="s">
        <v>844</v>
      </c>
      <c r="G1309" t="s">
        <v>164</v>
      </c>
      <c r="H1309" t="s">
        <v>165</v>
      </c>
      <c r="I1309" t="s">
        <v>34</v>
      </c>
      <c r="J1309" t="s">
        <v>166</v>
      </c>
      <c r="K1309" t="s">
        <v>41</v>
      </c>
      <c r="L1309" t="s">
        <v>7043</v>
      </c>
      <c r="M1309" t="s">
        <v>7044</v>
      </c>
      <c r="N1309" t="s">
        <v>847</v>
      </c>
      <c r="O1309" t="s">
        <v>100</v>
      </c>
      <c r="P1309" t="s">
        <v>7045</v>
      </c>
      <c r="Q1309" t="s">
        <v>264</v>
      </c>
      <c r="R1309" t="s">
        <v>290</v>
      </c>
      <c r="S1309">
        <v>5.36</v>
      </c>
      <c r="T1309">
        <v>8008</v>
      </c>
      <c r="U1309">
        <v>0</v>
      </c>
      <c r="V1309">
        <v>8008</v>
      </c>
    </row>
    <row r="1310" spans="1:22" x14ac:dyDescent="0.3">
      <c r="A1310">
        <v>80147</v>
      </c>
      <c r="B1310">
        <v>136681656</v>
      </c>
      <c r="C1310" t="s">
        <v>7046</v>
      </c>
      <c r="D1310" t="s">
        <v>7047</v>
      </c>
      <c r="E1310" t="s">
        <v>6762</v>
      </c>
      <c r="F1310" t="s">
        <v>844</v>
      </c>
      <c r="G1310" t="s">
        <v>164</v>
      </c>
      <c r="H1310" t="s">
        <v>165</v>
      </c>
      <c r="I1310" t="s">
        <v>34</v>
      </c>
      <c r="J1310" t="s">
        <v>166</v>
      </c>
      <c r="K1310" t="s">
        <v>41</v>
      </c>
      <c r="L1310" t="s">
        <v>7048</v>
      </c>
      <c r="M1310" t="s">
        <v>7049</v>
      </c>
      <c r="N1310" t="s">
        <v>847</v>
      </c>
      <c r="O1310" t="s">
        <v>100</v>
      </c>
      <c r="P1310" t="s">
        <v>7050</v>
      </c>
      <c r="Q1310" t="s">
        <v>229</v>
      </c>
      <c r="R1310" t="s">
        <v>424</v>
      </c>
      <c r="S1310">
        <v>2.1</v>
      </c>
      <c r="T1310">
        <v>4067</v>
      </c>
      <c r="U1310">
        <v>0</v>
      </c>
      <c r="V1310">
        <v>4067</v>
      </c>
    </row>
    <row r="1311" spans="1:22" x14ac:dyDescent="0.3">
      <c r="A1311">
        <v>80147</v>
      </c>
      <c r="B1311">
        <v>136681664</v>
      </c>
      <c r="C1311" t="s">
        <v>7051</v>
      </c>
      <c r="D1311" t="s">
        <v>7052</v>
      </c>
      <c r="E1311" t="s">
        <v>6762</v>
      </c>
      <c r="F1311" t="s">
        <v>844</v>
      </c>
      <c r="G1311" t="s">
        <v>164</v>
      </c>
      <c r="H1311" t="s">
        <v>165</v>
      </c>
      <c r="I1311" t="s">
        <v>34</v>
      </c>
      <c r="J1311" t="s">
        <v>166</v>
      </c>
      <c r="K1311" t="s">
        <v>41</v>
      </c>
      <c r="L1311" t="s">
        <v>7053</v>
      </c>
      <c r="M1311" t="s">
        <v>7054</v>
      </c>
      <c r="N1311" t="s">
        <v>847</v>
      </c>
      <c r="O1311" t="s">
        <v>100</v>
      </c>
      <c r="P1311" t="s">
        <v>7055</v>
      </c>
      <c r="Q1311" t="s">
        <v>209</v>
      </c>
      <c r="R1311" t="s">
        <v>424</v>
      </c>
      <c r="S1311">
        <v>5.24</v>
      </c>
      <c r="T1311">
        <v>8008</v>
      </c>
      <c r="U1311">
        <v>0</v>
      </c>
      <c r="V1311">
        <v>8008</v>
      </c>
    </row>
    <row r="1312" spans="1:22" x14ac:dyDescent="0.3">
      <c r="A1312">
        <v>80147</v>
      </c>
      <c r="B1312">
        <v>136825781</v>
      </c>
      <c r="C1312" t="s">
        <v>7056</v>
      </c>
      <c r="D1312" t="s">
        <v>7057</v>
      </c>
      <c r="E1312" t="s">
        <v>6762</v>
      </c>
      <c r="F1312" t="s">
        <v>844</v>
      </c>
      <c r="G1312" t="s">
        <v>164</v>
      </c>
      <c r="H1312" t="s">
        <v>165</v>
      </c>
      <c r="I1312" t="s">
        <v>34</v>
      </c>
      <c r="J1312" t="s">
        <v>166</v>
      </c>
      <c r="K1312" t="s">
        <v>41</v>
      </c>
      <c r="L1312" t="s">
        <v>7058</v>
      </c>
      <c r="M1312" t="s">
        <v>7059</v>
      </c>
      <c r="N1312" t="s">
        <v>847</v>
      </c>
      <c r="O1312" t="s">
        <v>100</v>
      </c>
      <c r="P1312" t="s">
        <v>7060</v>
      </c>
      <c r="Q1312" t="s">
        <v>741</v>
      </c>
      <c r="R1312" t="s">
        <v>156</v>
      </c>
      <c r="S1312">
        <v>6.54</v>
      </c>
      <c r="T1312">
        <v>6328</v>
      </c>
      <c r="U1312">
        <v>0</v>
      </c>
      <c r="V1312">
        <v>6328</v>
      </c>
    </row>
    <row r="1313" spans="1:22" x14ac:dyDescent="0.3">
      <c r="A1313">
        <v>80147</v>
      </c>
      <c r="B1313">
        <v>136859852</v>
      </c>
      <c r="C1313" t="s">
        <v>7061</v>
      </c>
      <c r="D1313" t="s">
        <v>7062</v>
      </c>
      <c r="E1313" t="s">
        <v>6762</v>
      </c>
      <c r="F1313" t="s">
        <v>844</v>
      </c>
      <c r="G1313" t="s">
        <v>164</v>
      </c>
      <c r="H1313" t="s">
        <v>165</v>
      </c>
      <c r="I1313" t="s">
        <v>34</v>
      </c>
      <c r="J1313" t="s">
        <v>166</v>
      </c>
      <c r="K1313" t="s">
        <v>41</v>
      </c>
      <c r="L1313" t="s">
        <v>7063</v>
      </c>
      <c r="M1313" t="s">
        <v>7064</v>
      </c>
      <c r="N1313" t="s">
        <v>847</v>
      </c>
      <c r="O1313" t="s">
        <v>100</v>
      </c>
      <c r="P1313" t="s">
        <v>7065</v>
      </c>
      <c r="Q1313" t="s">
        <v>57</v>
      </c>
      <c r="R1313" t="s">
        <v>723</v>
      </c>
      <c r="S1313">
        <v>6.13</v>
      </c>
      <c r="T1313">
        <v>10562</v>
      </c>
      <c r="U1313">
        <v>0</v>
      </c>
      <c r="V1313">
        <v>10562</v>
      </c>
    </row>
    <row r="1314" spans="1:22" x14ac:dyDescent="0.3">
      <c r="A1314">
        <v>80147</v>
      </c>
      <c r="B1314">
        <v>136756751</v>
      </c>
      <c r="C1314" t="s">
        <v>7066</v>
      </c>
      <c r="D1314" t="s">
        <v>7067</v>
      </c>
      <c r="E1314" t="s">
        <v>6762</v>
      </c>
      <c r="F1314" t="s">
        <v>844</v>
      </c>
      <c r="G1314" t="s">
        <v>164</v>
      </c>
      <c r="H1314" t="s">
        <v>165</v>
      </c>
      <c r="I1314" t="s">
        <v>34</v>
      </c>
      <c r="J1314" t="s">
        <v>166</v>
      </c>
      <c r="K1314" t="s">
        <v>41</v>
      </c>
      <c r="L1314" t="s">
        <v>7068</v>
      </c>
      <c r="M1314" t="s">
        <v>7069</v>
      </c>
      <c r="N1314" t="s">
        <v>847</v>
      </c>
      <c r="O1314" t="s">
        <v>100</v>
      </c>
      <c r="P1314" t="s">
        <v>7070</v>
      </c>
      <c r="Q1314" t="s">
        <v>58</v>
      </c>
      <c r="R1314" t="s">
        <v>332</v>
      </c>
      <c r="S1314">
        <v>5.77</v>
      </c>
      <c r="T1314">
        <v>8538</v>
      </c>
      <c r="U1314">
        <v>0</v>
      </c>
      <c r="V1314">
        <v>8538</v>
      </c>
    </row>
    <row r="1315" spans="1:22" x14ac:dyDescent="0.3">
      <c r="A1315">
        <v>80147</v>
      </c>
      <c r="B1315">
        <v>136681682</v>
      </c>
      <c r="C1315" t="s">
        <v>7071</v>
      </c>
      <c r="D1315" t="s">
        <v>7072</v>
      </c>
      <c r="E1315" t="s">
        <v>6762</v>
      </c>
      <c r="F1315" t="s">
        <v>844</v>
      </c>
      <c r="G1315" t="s">
        <v>164</v>
      </c>
      <c r="H1315" t="s">
        <v>165</v>
      </c>
      <c r="I1315" t="s">
        <v>34</v>
      </c>
      <c r="J1315" t="s">
        <v>166</v>
      </c>
      <c r="K1315" t="s">
        <v>41</v>
      </c>
      <c r="L1315" t="s">
        <v>7073</v>
      </c>
      <c r="M1315" t="s">
        <v>801</v>
      </c>
      <c r="N1315" t="s">
        <v>847</v>
      </c>
      <c r="O1315" t="s">
        <v>100</v>
      </c>
      <c r="P1315" t="s">
        <v>7074</v>
      </c>
      <c r="Q1315" t="s">
        <v>57</v>
      </c>
      <c r="R1315" t="s">
        <v>424</v>
      </c>
      <c r="S1315">
        <v>5.49</v>
      </c>
      <c r="T1315">
        <v>7749</v>
      </c>
      <c r="U1315">
        <v>0</v>
      </c>
      <c r="V1315">
        <v>7749</v>
      </c>
    </row>
    <row r="1316" spans="1:22" x14ac:dyDescent="0.3">
      <c r="A1316">
        <v>80147</v>
      </c>
      <c r="B1316">
        <v>136888836</v>
      </c>
      <c r="C1316" t="s">
        <v>7075</v>
      </c>
      <c r="D1316" t="s">
        <v>7076</v>
      </c>
      <c r="E1316" t="s">
        <v>6762</v>
      </c>
      <c r="F1316" t="s">
        <v>844</v>
      </c>
      <c r="G1316" t="s">
        <v>164</v>
      </c>
      <c r="H1316" t="s">
        <v>165</v>
      </c>
      <c r="I1316" t="s">
        <v>34</v>
      </c>
      <c r="J1316" t="s">
        <v>166</v>
      </c>
      <c r="K1316" t="s">
        <v>41</v>
      </c>
      <c r="L1316" t="s">
        <v>7077</v>
      </c>
      <c r="M1316" t="s">
        <v>7078</v>
      </c>
      <c r="N1316" t="s">
        <v>847</v>
      </c>
      <c r="O1316" t="s">
        <v>100</v>
      </c>
      <c r="P1316" t="s">
        <v>7079</v>
      </c>
      <c r="Q1316" t="s">
        <v>57</v>
      </c>
      <c r="R1316" t="s">
        <v>7080</v>
      </c>
      <c r="S1316">
        <v>6.78</v>
      </c>
      <c r="T1316">
        <v>10562</v>
      </c>
      <c r="U1316">
        <v>0</v>
      </c>
      <c r="V1316">
        <v>10562</v>
      </c>
    </row>
    <row r="1317" spans="1:22" x14ac:dyDescent="0.3">
      <c r="A1317">
        <v>80147</v>
      </c>
      <c r="B1317">
        <v>136636218</v>
      </c>
      <c r="C1317" t="s">
        <v>7081</v>
      </c>
      <c r="D1317" t="s">
        <v>7082</v>
      </c>
      <c r="E1317" t="s">
        <v>6762</v>
      </c>
      <c r="F1317" t="s">
        <v>844</v>
      </c>
      <c r="G1317" t="s">
        <v>164</v>
      </c>
      <c r="H1317" t="s">
        <v>165</v>
      </c>
      <c r="I1317" t="s">
        <v>34</v>
      </c>
      <c r="J1317" t="s">
        <v>166</v>
      </c>
      <c r="K1317" t="s">
        <v>41</v>
      </c>
      <c r="L1317" t="s">
        <v>7083</v>
      </c>
      <c r="M1317" t="s">
        <v>7084</v>
      </c>
      <c r="N1317" t="s">
        <v>847</v>
      </c>
      <c r="O1317" t="s">
        <v>100</v>
      </c>
      <c r="P1317" t="s">
        <v>7085</v>
      </c>
      <c r="Q1317" t="s">
        <v>224</v>
      </c>
      <c r="R1317" t="s">
        <v>639</v>
      </c>
      <c r="S1317">
        <v>6.08</v>
      </c>
      <c r="T1317">
        <v>6328</v>
      </c>
      <c r="U1317">
        <v>0</v>
      </c>
      <c r="V1317">
        <v>6328</v>
      </c>
    </row>
    <row r="1318" spans="1:22" x14ac:dyDescent="0.3">
      <c r="A1318">
        <v>80147</v>
      </c>
      <c r="B1318">
        <v>136508617</v>
      </c>
      <c r="C1318" t="s">
        <v>7086</v>
      </c>
      <c r="D1318" t="s">
        <v>7087</v>
      </c>
      <c r="E1318" t="s">
        <v>6762</v>
      </c>
      <c r="F1318" t="s">
        <v>844</v>
      </c>
      <c r="G1318" t="s">
        <v>164</v>
      </c>
      <c r="H1318" t="s">
        <v>165</v>
      </c>
      <c r="I1318" t="s">
        <v>34</v>
      </c>
      <c r="J1318" t="s">
        <v>166</v>
      </c>
      <c r="K1318" t="s">
        <v>41</v>
      </c>
      <c r="L1318" t="s">
        <v>7088</v>
      </c>
      <c r="M1318" t="s">
        <v>7089</v>
      </c>
      <c r="N1318" t="s">
        <v>847</v>
      </c>
      <c r="O1318" t="s">
        <v>100</v>
      </c>
      <c r="P1318" t="s">
        <v>7090</v>
      </c>
      <c r="Q1318" t="s">
        <v>614</v>
      </c>
      <c r="R1318" t="s">
        <v>592</v>
      </c>
      <c r="S1318">
        <v>6.41</v>
      </c>
      <c r="T1318">
        <v>10562</v>
      </c>
      <c r="U1318">
        <v>0</v>
      </c>
      <c r="V1318">
        <v>10562</v>
      </c>
    </row>
    <row r="1319" spans="1:22" x14ac:dyDescent="0.3">
      <c r="A1319">
        <v>80147</v>
      </c>
      <c r="B1319">
        <v>136793008</v>
      </c>
      <c r="C1319" t="s">
        <v>7091</v>
      </c>
      <c r="D1319" t="s">
        <v>7092</v>
      </c>
      <c r="E1319" t="s">
        <v>6762</v>
      </c>
      <c r="F1319" t="s">
        <v>844</v>
      </c>
      <c r="G1319" t="s">
        <v>164</v>
      </c>
      <c r="H1319" t="s">
        <v>165</v>
      </c>
      <c r="I1319" t="s">
        <v>34</v>
      </c>
      <c r="J1319" t="s">
        <v>166</v>
      </c>
      <c r="K1319" t="s">
        <v>41</v>
      </c>
      <c r="L1319" t="s">
        <v>7093</v>
      </c>
      <c r="M1319" t="s">
        <v>7094</v>
      </c>
      <c r="N1319" t="s">
        <v>847</v>
      </c>
      <c r="O1319" t="s">
        <v>100</v>
      </c>
      <c r="P1319" t="s">
        <v>7095</v>
      </c>
      <c r="Q1319" t="s">
        <v>63</v>
      </c>
      <c r="R1319" t="s">
        <v>7096</v>
      </c>
      <c r="S1319">
        <v>3.19</v>
      </c>
      <c r="T1319">
        <v>5111</v>
      </c>
      <c r="U1319">
        <v>0</v>
      </c>
      <c r="V1319">
        <v>5111</v>
      </c>
    </row>
    <row r="1320" spans="1:22" x14ac:dyDescent="0.3">
      <c r="A1320">
        <v>80147</v>
      </c>
      <c r="B1320">
        <v>136681658</v>
      </c>
      <c r="C1320" t="s">
        <v>7097</v>
      </c>
      <c r="D1320" t="s">
        <v>7098</v>
      </c>
      <c r="E1320" t="s">
        <v>6762</v>
      </c>
      <c r="F1320" t="s">
        <v>844</v>
      </c>
      <c r="G1320" t="s">
        <v>164</v>
      </c>
      <c r="H1320" t="s">
        <v>165</v>
      </c>
      <c r="I1320" t="s">
        <v>34</v>
      </c>
      <c r="J1320" t="s">
        <v>166</v>
      </c>
      <c r="K1320" t="s">
        <v>41</v>
      </c>
      <c r="L1320" t="s">
        <v>7099</v>
      </c>
      <c r="M1320" t="s">
        <v>7100</v>
      </c>
      <c r="N1320" t="s">
        <v>847</v>
      </c>
      <c r="O1320" t="s">
        <v>100</v>
      </c>
      <c r="P1320" t="s">
        <v>7101</v>
      </c>
      <c r="Q1320" t="s">
        <v>224</v>
      </c>
      <c r="R1320" t="s">
        <v>424</v>
      </c>
      <c r="S1320">
        <v>6.51</v>
      </c>
      <c r="T1320">
        <v>6328</v>
      </c>
      <c r="U1320">
        <v>0</v>
      </c>
      <c r="V1320">
        <v>6328</v>
      </c>
    </row>
    <row r="1321" spans="1:22" x14ac:dyDescent="0.3">
      <c r="A1321">
        <v>80147</v>
      </c>
      <c r="B1321">
        <v>136756756</v>
      </c>
      <c r="C1321" t="s">
        <v>7102</v>
      </c>
      <c r="D1321" t="s">
        <v>7103</v>
      </c>
      <c r="E1321" t="s">
        <v>6762</v>
      </c>
      <c r="F1321" t="s">
        <v>844</v>
      </c>
      <c r="G1321" t="s">
        <v>164</v>
      </c>
      <c r="H1321" t="s">
        <v>165</v>
      </c>
      <c r="I1321" t="s">
        <v>34</v>
      </c>
      <c r="J1321" t="s">
        <v>166</v>
      </c>
      <c r="K1321" t="s">
        <v>41</v>
      </c>
      <c r="L1321" t="s">
        <v>7104</v>
      </c>
      <c r="M1321" t="s">
        <v>7105</v>
      </c>
      <c r="N1321" t="s">
        <v>847</v>
      </c>
      <c r="O1321" t="s">
        <v>100</v>
      </c>
      <c r="P1321" t="s">
        <v>7106</v>
      </c>
      <c r="Q1321" t="s">
        <v>54</v>
      </c>
      <c r="R1321" t="s">
        <v>332</v>
      </c>
      <c r="S1321">
        <v>6.53</v>
      </c>
      <c r="T1321">
        <v>10562</v>
      </c>
      <c r="U1321">
        <v>0</v>
      </c>
      <c r="V1321">
        <v>10562</v>
      </c>
    </row>
    <row r="1322" spans="1:22" x14ac:dyDescent="0.3">
      <c r="A1322">
        <v>80147</v>
      </c>
      <c r="B1322">
        <v>136793007</v>
      </c>
      <c r="C1322" t="s">
        <v>7107</v>
      </c>
      <c r="D1322" t="s">
        <v>7108</v>
      </c>
      <c r="E1322" t="s">
        <v>6762</v>
      </c>
      <c r="F1322" t="s">
        <v>844</v>
      </c>
      <c r="G1322" t="s">
        <v>164</v>
      </c>
      <c r="H1322" t="s">
        <v>165</v>
      </c>
      <c r="I1322" t="s">
        <v>34</v>
      </c>
      <c r="J1322" t="s">
        <v>166</v>
      </c>
      <c r="K1322" t="s">
        <v>41</v>
      </c>
      <c r="L1322" t="s">
        <v>575</v>
      </c>
      <c r="M1322" t="s">
        <v>7109</v>
      </c>
      <c r="N1322" t="s">
        <v>847</v>
      </c>
      <c r="O1322" t="s">
        <v>100</v>
      </c>
      <c r="P1322" t="s">
        <v>7110</v>
      </c>
      <c r="Q1322" t="s">
        <v>211</v>
      </c>
      <c r="R1322" t="s">
        <v>7096</v>
      </c>
      <c r="S1322">
        <v>1</v>
      </c>
      <c r="T1322">
        <v>4067</v>
      </c>
      <c r="U1322">
        <v>0</v>
      </c>
      <c r="V1322">
        <v>4067</v>
      </c>
    </row>
    <row r="1323" spans="1:22" x14ac:dyDescent="0.3">
      <c r="A1323">
        <v>80147</v>
      </c>
      <c r="B1323">
        <v>136859845</v>
      </c>
      <c r="C1323" t="s">
        <v>7111</v>
      </c>
      <c r="D1323" t="s">
        <v>7112</v>
      </c>
      <c r="E1323" t="s">
        <v>6762</v>
      </c>
      <c r="F1323" t="s">
        <v>844</v>
      </c>
      <c r="G1323" t="s">
        <v>164</v>
      </c>
      <c r="H1323" t="s">
        <v>165</v>
      </c>
      <c r="I1323" t="s">
        <v>34</v>
      </c>
      <c r="J1323" t="s">
        <v>166</v>
      </c>
      <c r="K1323" t="s">
        <v>41</v>
      </c>
      <c r="L1323" t="s">
        <v>7113</v>
      </c>
      <c r="M1323" t="s">
        <v>7114</v>
      </c>
      <c r="N1323" t="s">
        <v>847</v>
      </c>
      <c r="O1323" t="s">
        <v>100</v>
      </c>
      <c r="P1323" t="s">
        <v>7115</v>
      </c>
      <c r="Q1323" t="s">
        <v>59</v>
      </c>
      <c r="R1323" t="s">
        <v>723</v>
      </c>
      <c r="S1323">
        <v>1</v>
      </c>
      <c r="T1323">
        <v>4067</v>
      </c>
      <c r="U1323">
        <v>0</v>
      </c>
      <c r="V1323">
        <v>4067</v>
      </c>
    </row>
    <row r="1324" spans="1:22" x14ac:dyDescent="0.3">
      <c r="A1324">
        <v>80147</v>
      </c>
      <c r="B1324">
        <v>136888835</v>
      </c>
      <c r="C1324" t="s">
        <v>7116</v>
      </c>
      <c r="D1324" t="s">
        <v>7117</v>
      </c>
      <c r="E1324" t="s">
        <v>6762</v>
      </c>
      <c r="F1324" t="s">
        <v>844</v>
      </c>
      <c r="G1324" t="s">
        <v>164</v>
      </c>
      <c r="H1324" t="s">
        <v>165</v>
      </c>
      <c r="I1324" t="s">
        <v>34</v>
      </c>
      <c r="J1324" t="s">
        <v>166</v>
      </c>
      <c r="K1324" t="s">
        <v>41</v>
      </c>
      <c r="L1324" t="s">
        <v>7118</v>
      </c>
      <c r="M1324" t="s">
        <v>7119</v>
      </c>
      <c r="N1324" t="s">
        <v>847</v>
      </c>
      <c r="O1324" t="s">
        <v>100</v>
      </c>
      <c r="P1324" t="s">
        <v>7120</v>
      </c>
      <c r="Q1324" t="s">
        <v>84</v>
      </c>
      <c r="R1324" t="s">
        <v>7080</v>
      </c>
      <c r="S1324">
        <v>6.99</v>
      </c>
      <c r="T1324">
        <v>5198</v>
      </c>
      <c r="U1324">
        <v>0</v>
      </c>
      <c r="V1324">
        <v>5198</v>
      </c>
    </row>
    <row r="1325" spans="1:22" x14ac:dyDescent="0.3">
      <c r="A1325">
        <v>80147</v>
      </c>
      <c r="B1325">
        <v>136793013</v>
      </c>
      <c r="C1325" t="s">
        <v>7121</v>
      </c>
      <c r="D1325" t="s">
        <v>7122</v>
      </c>
      <c r="E1325" t="s">
        <v>6762</v>
      </c>
      <c r="F1325" t="s">
        <v>844</v>
      </c>
      <c r="G1325" t="s">
        <v>164</v>
      </c>
      <c r="H1325" t="s">
        <v>165</v>
      </c>
      <c r="I1325" t="s">
        <v>34</v>
      </c>
      <c r="J1325" t="s">
        <v>166</v>
      </c>
      <c r="K1325" t="s">
        <v>41</v>
      </c>
      <c r="L1325" t="s">
        <v>7123</v>
      </c>
      <c r="M1325" t="s">
        <v>7124</v>
      </c>
      <c r="N1325" t="s">
        <v>847</v>
      </c>
      <c r="O1325" t="s">
        <v>100</v>
      </c>
      <c r="P1325" t="s">
        <v>7125</v>
      </c>
      <c r="Q1325" t="s">
        <v>71</v>
      </c>
      <c r="R1325" t="s">
        <v>7096</v>
      </c>
      <c r="S1325">
        <v>2.95</v>
      </c>
      <c r="T1325">
        <v>3501</v>
      </c>
      <c r="U1325">
        <v>0</v>
      </c>
      <c r="V1325">
        <v>3501</v>
      </c>
    </row>
    <row r="1326" spans="1:22" x14ac:dyDescent="0.3">
      <c r="A1326">
        <v>80147</v>
      </c>
      <c r="B1326">
        <v>135982145</v>
      </c>
      <c r="C1326" t="s">
        <v>7126</v>
      </c>
      <c r="D1326" t="s">
        <v>7127</v>
      </c>
      <c r="E1326" t="s">
        <v>6762</v>
      </c>
      <c r="F1326" t="s">
        <v>844</v>
      </c>
      <c r="G1326" t="s">
        <v>164</v>
      </c>
      <c r="H1326" t="s">
        <v>165</v>
      </c>
      <c r="I1326" t="s">
        <v>34</v>
      </c>
      <c r="J1326" t="s">
        <v>166</v>
      </c>
      <c r="K1326" t="s">
        <v>41</v>
      </c>
      <c r="L1326" t="s">
        <v>7128</v>
      </c>
      <c r="M1326" t="s">
        <v>7129</v>
      </c>
      <c r="N1326" t="s">
        <v>847</v>
      </c>
      <c r="O1326" t="s">
        <v>100</v>
      </c>
      <c r="P1326" t="s">
        <v>7130</v>
      </c>
      <c r="Q1326" t="s">
        <v>52</v>
      </c>
      <c r="R1326" t="s">
        <v>7131</v>
      </c>
      <c r="S1326">
        <v>6.57</v>
      </c>
      <c r="T1326">
        <v>11407</v>
      </c>
      <c r="U1326">
        <v>0</v>
      </c>
      <c r="V1326">
        <v>11407</v>
      </c>
    </row>
    <row r="1327" spans="1:22" x14ac:dyDescent="0.3">
      <c r="A1327">
        <v>80147</v>
      </c>
      <c r="B1327">
        <v>136756771</v>
      </c>
      <c r="C1327" t="s">
        <v>7132</v>
      </c>
      <c r="D1327" t="s">
        <v>7133</v>
      </c>
      <c r="E1327" t="s">
        <v>6762</v>
      </c>
      <c r="F1327" t="s">
        <v>844</v>
      </c>
      <c r="G1327" t="s">
        <v>164</v>
      </c>
      <c r="H1327" t="s">
        <v>165</v>
      </c>
      <c r="I1327" t="s">
        <v>34</v>
      </c>
      <c r="J1327" t="s">
        <v>166</v>
      </c>
      <c r="K1327" t="s">
        <v>41</v>
      </c>
      <c r="L1327" t="s">
        <v>7134</v>
      </c>
      <c r="M1327" t="s">
        <v>7135</v>
      </c>
      <c r="N1327" t="s">
        <v>847</v>
      </c>
      <c r="O1327" t="s">
        <v>100</v>
      </c>
      <c r="P1327" t="s">
        <v>7136</v>
      </c>
      <c r="Q1327" t="s">
        <v>59</v>
      </c>
      <c r="R1327" t="s">
        <v>332</v>
      </c>
      <c r="S1327">
        <v>6.3</v>
      </c>
      <c r="T1327">
        <v>6328</v>
      </c>
      <c r="U1327">
        <v>0</v>
      </c>
      <c r="V1327">
        <v>6328</v>
      </c>
    </row>
    <row r="1328" spans="1:22" x14ac:dyDescent="0.3">
      <c r="A1328">
        <v>80147</v>
      </c>
      <c r="B1328">
        <v>136681666</v>
      </c>
      <c r="C1328" t="s">
        <v>7137</v>
      </c>
      <c r="D1328" t="s">
        <v>7138</v>
      </c>
      <c r="E1328" t="s">
        <v>6762</v>
      </c>
      <c r="F1328" t="s">
        <v>844</v>
      </c>
      <c r="G1328" t="s">
        <v>164</v>
      </c>
      <c r="H1328" t="s">
        <v>165</v>
      </c>
      <c r="I1328" t="s">
        <v>34</v>
      </c>
      <c r="J1328" t="s">
        <v>166</v>
      </c>
      <c r="K1328" t="s">
        <v>41</v>
      </c>
      <c r="L1328" t="s">
        <v>7139</v>
      </c>
      <c r="M1328" t="s">
        <v>7140</v>
      </c>
      <c r="N1328" t="s">
        <v>847</v>
      </c>
      <c r="O1328" t="s">
        <v>100</v>
      </c>
      <c r="P1328" t="s">
        <v>7141</v>
      </c>
      <c r="Q1328" t="s">
        <v>59</v>
      </c>
      <c r="R1328" t="s">
        <v>424</v>
      </c>
      <c r="S1328">
        <v>2.95</v>
      </c>
      <c r="T1328">
        <v>4067</v>
      </c>
      <c r="U1328">
        <v>0</v>
      </c>
      <c r="V1328">
        <v>4067</v>
      </c>
    </row>
    <row r="1329" spans="1:22" x14ac:dyDescent="0.3">
      <c r="A1329">
        <v>80147</v>
      </c>
      <c r="B1329">
        <v>136027156</v>
      </c>
      <c r="C1329" t="s">
        <v>7142</v>
      </c>
      <c r="D1329" t="s">
        <v>7143</v>
      </c>
      <c r="E1329" t="s">
        <v>6762</v>
      </c>
      <c r="F1329" t="s">
        <v>844</v>
      </c>
      <c r="G1329" t="s">
        <v>164</v>
      </c>
      <c r="H1329" t="s">
        <v>165</v>
      </c>
      <c r="I1329" t="s">
        <v>34</v>
      </c>
      <c r="J1329" t="s">
        <v>166</v>
      </c>
      <c r="K1329" t="s">
        <v>41</v>
      </c>
      <c r="L1329" t="s">
        <v>7144</v>
      </c>
      <c r="M1329" t="s">
        <v>7145</v>
      </c>
      <c r="N1329" t="s">
        <v>847</v>
      </c>
      <c r="O1329" t="s">
        <v>100</v>
      </c>
      <c r="P1329" t="s">
        <v>7146</v>
      </c>
      <c r="Q1329" t="s">
        <v>246</v>
      </c>
      <c r="R1329" t="s">
        <v>7147</v>
      </c>
      <c r="S1329">
        <v>6.66</v>
      </c>
      <c r="T1329">
        <v>11407</v>
      </c>
      <c r="U1329">
        <v>0</v>
      </c>
      <c r="V1329">
        <v>11407</v>
      </c>
    </row>
    <row r="1330" spans="1:22" x14ac:dyDescent="0.3">
      <c r="A1330">
        <v>80147</v>
      </c>
      <c r="B1330">
        <v>136888826</v>
      </c>
      <c r="C1330" t="s">
        <v>7148</v>
      </c>
      <c r="D1330" t="s">
        <v>7149</v>
      </c>
      <c r="E1330" t="s">
        <v>6762</v>
      </c>
      <c r="F1330" t="s">
        <v>844</v>
      </c>
      <c r="G1330" t="s">
        <v>164</v>
      </c>
      <c r="H1330" t="s">
        <v>165</v>
      </c>
      <c r="I1330" t="s">
        <v>34</v>
      </c>
      <c r="J1330" t="s">
        <v>166</v>
      </c>
      <c r="K1330" t="s">
        <v>41</v>
      </c>
      <c r="L1330" t="s">
        <v>7150</v>
      </c>
      <c r="M1330" t="s">
        <v>7151</v>
      </c>
      <c r="N1330" t="s">
        <v>847</v>
      </c>
      <c r="O1330" t="s">
        <v>100</v>
      </c>
      <c r="P1330" t="s">
        <v>7152</v>
      </c>
      <c r="Q1330" t="s">
        <v>43</v>
      </c>
      <c r="R1330" t="s">
        <v>7080</v>
      </c>
      <c r="S1330">
        <v>1</v>
      </c>
      <c r="T1330">
        <v>3753</v>
      </c>
      <c r="U1330">
        <v>0</v>
      </c>
      <c r="V1330">
        <v>3753</v>
      </c>
    </row>
    <row r="1331" spans="1:22" x14ac:dyDescent="0.3">
      <c r="A1331">
        <v>80147</v>
      </c>
      <c r="B1331">
        <v>136825774</v>
      </c>
      <c r="C1331" t="s">
        <v>7153</v>
      </c>
      <c r="D1331" t="s">
        <v>7154</v>
      </c>
      <c r="E1331" t="s">
        <v>6762</v>
      </c>
      <c r="F1331" t="s">
        <v>844</v>
      </c>
      <c r="G1331" t="s">
        <v>164</v>
      </c>
      <c r="H1331" t="s">
        <v>165</v>
      </c>
      <c r="I1331" t="s">
        <v>34</v>
      </c>
      <c r="J1331" t="s">
        <v>166</v>
      </c>
      <c r="K1331" t="s">
        <v>41</v>
      </c>
      <c r="L1331" t="s">
        <v>7155</v>
      </c>
      <c r="M1331" t="s">
        <v>7156</v>
      </c>
      <c r="N1331" t="s">
        <v>847</v>
      </c>
      <c r="O1331" t="s">
        <v>100</v>
      </c>
      <c r="P1331" t="s">
        <v>7157</v>
      </c>
      <c r="Q1331" t="s">
        <v>72</v>
      </c>
      <c r="R1331" t="s">
        <v>156</v>
      </c>
      <c r="S1331">
        <v>3.15</v>
      </c>
      <c r="T1331">
        <v>4585</v>
      </c>
      <c r="U1331">
        <v>0</v>
      </c>
      <c r="V1331">
        <v>4585</v>
      </c>
    </row>
    <row r="1332" spans="1:22" x14ac:dyDescent="0.3">
      <c r="A1332">
        <v>80147</v>
      </c>
      <c r="B1332">
        <v>136825770</v>
      </c>
      <c r="C1332" t="s">
        <v>7158</v>
      </c>
      <c r="D1332" t="s">
        <v>7159</v>
      </c>
      <c r="E1332" t="s">
        <v>6762</v>
      </c>
      <c r="F1332" t="s">
        <v>844</v>
      </c>
      <c r="G1332" t="s">
        <v>164</v>
      </c>
      <c r="H1332" t="s">
        <v>165</v>
      </c>
      <c r="I1332" t="s">
        <v>34</v>
      </c>
      <c r="J1332" t="s">
        <v>166</v>
      </c>
      <c r="K1332" t="s">
        <v>41</v>
      </c>
      <c r="L1332" t="s">
        <v>7160</v>
      </c>
      <c r="M1332" t="s">
        <v>7161</v>
      </c>
      <c r="N1332" t="s">
        <v>847</v>
      </c>
      <c r="O1332" t="s">
        <v>100</v>
      </c>
      <c r="P1332" t="s">
        <v>7162</v>
      </c>
      <c r="Q1332" t="s">
        <v>43</v>
      </c>
      <c r="R1332" t="s">
        <v>156</v>
      </c>
      <c r="S1332">
        <v>5.81</v>
      </c>
      <c r="T1332">
        <v>4322</v>
      </c>
      <c r="U1332">
        <v>0</v>
      </c>
      <c r="V1332">
        <v>4322</v>
      </c>
    </row>
    <row r="1333" spans="1:22" x14ac:dyDescent="0.3">
      <c r="A1333">
        <v>80147</v>
      </c>
      <c r="B1333">
        <v>136756767</v>
      </c>
      <c r="C1333" t="s">
        <v>7163</v>
      </c>
      <c r="D1333" t="s">
        <v>7164</v>
      </c>
      <c r="E1333" t="s">
        <v>6762</v>
      </c>
      <c r="F1333" t="s">
        <v>844</v>
      </c>
      <c r="G1333" t="s">
        <v>164</v>
      </c>
      <c r="H1333" t="s">
        <v>165</v>
      </c>
      <c r="I1333" t="s">
        <v>34</v>
      </c>
      <c r="J1333" t="s">
        <v>166</v>
      </c>
      <c r="K1333" t="s">
        <v>41</v>
      </c>
      <c r="L1333" t="s">
        <v>7165</v>
      </c>
      <c r="M1333" t="s">
        <v>7166</v>
      </c>
      <c r="N1333" t="s">
        <v>847</v>
      </c>
      <c r="O1333" t="s">
        <v>100</v>
      </c>
      <c r="P1333" t="s">
        <v>7167</v>
      </c>
      <c r="Q1333" t="s">
        <v>80</v>
      </c>
      <c r="R1333" t="s">
        <v>332</v>
      </c>
      <c r="S1333">
        <v>4.8</v>
      </c>
      <c r="T1333">
        <v>4456</v>
      </c>
      <c r="U1333">
        <v>0</v>
      </c>
      <c r="V1333">
        <v>4456</v>
      </c>
    </row>
    <row r="1334" spans="1:22" x14ac:dyDescent="0.3">
      <c r="A1334">
        <v>80147</v>
      </c>
      <c r="B1334">
        <v>136636196</v>
      </c>
      <c r="C1334" t="s">
        <v>7168</v>
      </c>
      <c r="D1334" t="s">
        <v>7169</v>
      </c>
      <c r="E1334" t="s">
        <v>6762</v>
      </c>
      <c r="F1334" t="s">
        <v>844</v>
      </c>
      <c r="G1334" t="s">
        <v>164</v>
      </c>
      <c r="H1334" t="s">
        <v>165</v>
      </c>
      <c r="I1334" t="s">
        <v>34</v>
      </c>
      <c r="J1334" t="s">
        <v>166</v>
      </c>
      <c r="K1334" t="s">
        <v>41</v>
      </c>
      <c r="L1334" t="s">
        <v>7170</v>
      </c>
      <c r="M1334" t="s">
        <v>7171</v>
      </c>
      <c r="N1334" t="s">
        <v>847</v>
      </c>
      <c r="O1334" t="s">
        <v>100</v>
      </c>
      <c r="P1334" t="s">
        <v>7172</v>
      </c>
      <c r="Q1334" t="s">
        <v>55</v>
      </c>
      <c r="R1334" t="s">
        <v>639</v>
      </c>
      <c r="S1334">
        <v>12.9</v>
      </c>
      <c r="T1334">
        <v>13299</v>
      </c>
      <c r="U1334">
        <v>0</v>
      </c>
      <c r="V1334">
        <v>13299</v>
      </c>
    </row>
    <row r="1335" spans="1:22" x14ac:dyDescent="0.3">
      <c r="A1335">
        <v>80147</v>
      </c>
      <c r="B1335">
        <v>136636194</v>
      </c>
      <c r="C1335" t="s">
        <v>7173</v>
      </c>
      <c r="D1335" t="s">
        <v>7174</v>
      </c>
      <c r="E1335" t="s">
        <v>6762</v>
      </c>
      <c r="F1335" t="s">
        <v>844</v>
      </c>
      <c r="G1335" t="s">
        <v>164</v>
      </c>
      <c r="H1335" t="s">
        <v>165</v>
      </c>
      <c r="I1335" t="s">
        <v>34</v>
      </c>
      <c r="J1335" t="s">
        <v>166</v>
      </c>
      <c r="K1335" t="s">
        <v>41</v>
      </c>
      <c r="L1335" t="s">
        <v>7175</v>
      </c>
      <c r="M1335" t="s">
        <v>7176</v>
      </c>
      <c r="N1335" t="s">
        <v>847</v>
      </c>
      <c r="O1335" t="s">
        <v>100</v>
      </c>
      <c r="P1335" t="s">
        <v>7177</v>
      </c>
      <c r="Q1335" t="s">
        <v>55</v>
      </c>
      <c r="R1335" t="s">
        <v>639</v>
      </c>
      <c r="S1335">
        <v>1</v>
      </c>
      <c r="T1335">
        <v>5198</v>
      </c>
      <c r="U1335">
        <v>0</v>
      </c>
      <c r="V1335">
        <v>5198</v>
      </c>
    </row>
    <row r="1336" spans="1:22" x14ac:dyDescent="0.3">
      <c r="A1336">
        <v>80147</v>
      </c>
      <c r="B1336">
        <v>136636189</v>
      </c>
      <c r="C1336" t="s">
        <v>7178</v>
      </c>
      <c r="D1336" t="s">
        <v>7179</v>
      </c>
      <c r="E1336" t="s">
        <v>6762</v>
      </c>
      <c r="F1336" t="s">
        <v>844</v>
      </c>
      <c r="G1336" t="s">
        <v>164</v>
      </c>
      <c r="H1336" t="s">
        <v>165</v>
      </c>
      <c r="I1336" t="s">
        <v>34</v>
      </c>
      <c r="J1336" t="s">
        <v>166</v>
      </c>
      <c r="K1336" t="s">
        <v>41</v>
      </c>
      <c r="L1336" t="s">
        <v>7180</v>
      </c>
      <c r="M1336" t="s">
        <v>7181</v>
      </c>
      <c r="N1336" t="s">
        <v>847</v>
      </c>
      <c r="O1336" t="s">
        <v>100</v>
      </c>
      <c r="P1336" t="s">
        <v>7182</v>
      </c>
      <c r="Q1336" t="s">
        <v>57</v>
      </c>
      <c r="R1336" t="s">
        <v>639</v>
      </c>
      <c r="S1336">
        <v>5.4</v>
      </c>
      <c r="T1336">
        <v>7749</v>
      </c>
      <c r="U1336">
        <v>0</v>
      </c>
      <c r="V1336">
        <v>7749</v>
      </c>
    </row>
    <row r="1337" spans="1:22" x14ac:dyDescent="0.3">
      <c r="A1337">
        <v>80147</v>
      </c>
      <c r="B1337">
        <v>136756762</v>
      </c>
      <c r="C1337" t="s">
        <v>7183</v>
      </c>
      <c r="D1337" t="s">
        <v>7184</v>
      </c>
      <c r="E1337" t="s">
        <v>6762</v>
      </c>
      <c r="F1337" t="s">
        <v>844</v>
      </c>
      <c r="G1337" t="s">
        <v>164</v>
      </c>
      <c r="H1337" t="s">
        <v>165</v>
      </c>
      <c r="I1337" t="s">
        <v>34</v>
      </c>
      <c r="J1337" t="s">
        <v>166</v>
      </c>
      <c r="K1337" t="s">
        <v>41</v>
      </c>
      <c r="L1337" t="s">
        <v>7185</v>
      </c>
      <c r="M1337" t="s">
        <v>7186</v>
      </c>
      <c r="N1337" t="s">
        <v>847</v>
      </c>
      <c r="O1337" t="s">
        <v>100</v>
      </c>
      <c r="P1337" t="s">
        <v>7187</v>
      </c>
      <c r="Q1337" t="s">
        <v>92</v>
      </c>
      <c r="R1337" t="s">
        <v>332</v>
      </c>
      <c r="S1337">
        <v>6.73</v>
      </c>
      <c r="T1337">
        <v>5198</v>
      </c>
      <c r="U1337">
        <v>0</v>
      </c>
      <c r="V1337">
        <v>5198</v>
      </c>
    </row>
    <row r="1338" spans="1:22" x14ac:dyDescent="0.3">
      <c r="A1338">
        <v>80147</v>
      </c>
      <c r="B1338">
        <v>136723783</v>
      </c>
      <c r="C1338" t="s">
        <v>7188</v>
      </c>
      <c r="D1338" t="s">
        <v>7189</v>
      </c>
      <c r="E1338" t="s">
        <v>6762</v>
      </c>
      <c r="F1338" t="s">
        <v>844</v>
      </c>
      <c r="G1338" t="s">
        <v>164</v>
      </c>
      <c r="H1338" t="s">
        <v>165</v>
      </c>
      <c r="I1338" t="s">
        <v>34</v>
      </c>
      <c r="J1338" t="s">
        <v>166</v>
      </c>
      <c r="K1338" t="s">
        <v>41</v>
      </c>
      <c r="L1338" t="s">
        <v>7190</v>
      </c>
      <c r="M1338" t="s">
        <v>7191</v>
      </c>
      <c r="N1338" t="s">
        <v>847</v>
      </c>
      <c r="O1338" t="s">
        <v>100</v>
      </c>
      <c r="P1338" t="s">
        <v>7192</v>
      </c>
      <c r="Q1338" t="s">
        <v>72</v>
      </c>
      <c r="R1338" t="s">
        <v>6856</v>
      </c>
      <c r="S1338">
        <v>7.63</v>
      </c>
      <c r="T1338">
        <v>5476</v>
      </c>
      <c r="U1338">
        <v>0</v>
      </c>
      <c r="V1338">
        <v>5476</v>
      </c>
    </row>
    <row r="1339" spans="1:22" x14ac:dyDescent="0.3">
      <c r="A1339">
        <v>80147</v>
      </c>
      <c r="B1339">
        <v>136756761</v>
      </c>
      <c r="C1339" t="s">
        <v>7193</v>
      </c>
      <c r="D1339" t="s">
        <v>7194</v>
      </c>
      <c r="E1339" t="s">
        <v>6762</v>
      </c>
      <c r="F1339" t="s">
        <v>844</v>
      </c>
      <c r="G1339" t="s">
        <v>164</v>
      </c>
      <c r="H1339" t="s">
        <v>165</v>
      </c>
      <c r="I1339" t="s">
        <v>34</v>
      </c>
      <c r="J1339" t="s">
        <v>166</v>
      </c>
      <c r="K1339" t="s">
        <v>41</v>
      </c>
      <c r="L1339" t="s">
        <v>7195</v>
      </c>
      <c r="M1339" t="s">
        <v>7196</v>
      </c>
      <c r="N1339" t="s">
        <v>847</v>
      </c>
      <c r="O1339" t="s">
        <v>100</v>
      </c>
      <c r="P1339" t="s">
        <v>7197</v>
      </c>
      <c r="Q1339" t="s">
        <v>92</v>
      </c>
      <c r="R1339" t="s">
        <v>332</v>
      </c>
      <c r="S1339">
        <v>1.1599999999999999</v>
      </c>
      <c r="T1339">
        <v>3366</v>
      </c>
      <c r="U1339">
        <v>0</v>
      </c>
      <c r="V1339">
        <v>3366</v>
      </c>
    </row>
    <row r="1340" spans="1:22" x14ac:dyDescent="0.3">
      <c r="A1340">
        <v>80147</v>
      </c>
      <c r="B1340">
        <v>136756760</v>
      </c>
      <c r="C1340" t="s">
        <v>7198</v>
      </c>
      <c r="D1340" t="s">
        <v>7199</v>
      </c>
      <c r="E1340" t="s">
        <v>6762</v>
      </c>
      <c r="F1340" t="s">
        <v>844</v>
      </c>
      <c r="G1340" t="s">
        <v>164</v>
      </c>
      <c r="H1340" t="s">
        <v>165</v>
      </c>
      <c r="I1340" t="s">
        <v>34</v>
      </c>
      <c r="J1340" t="s">
        <v>166</v>
      </c>
      <c r="K1340" t="s">
        <v>44</v>
      </c>
      <c r="L1340" t="s">
        <v>188</v>
      </c>
      <c r="M1340" t="s">
        <v>7200</v>
      </c>
      <c r="N1340" t="s">
        <v>847</v>
      </c>
      <c r="O1340" t="s">
        <v>100</v>
      </c>
      <c r="P1340" t="s">
        <v>7201</v>
      </c>
      <c r="Q1340" t="s">
        <v>92</v>
      </c>
      <c r="R1340" t="s">
        <v>332</v>
      </c>
      <c r="S1340">
        <v>1.82</v>
      </c>
      <c r="T1340">
        <v>3366</v>
      </c>
      <c r="U1340">
        <v>0</v>
      </c>
      <c r="V1340">
        <v>3366</v>
      </c>
    </row>
    <row r="1341" spans="1:22" x14ac:dyDescent="0.3">
      <c r="A1341">
        <v>80147</v>
      </c>
      <c r="B1341">
        <v>136792997</v>
      </c>
      <c r="C1341" t="s">
        <v>7202</v>
      </c>
      <c r="D1341" t="s">
        <v>7203</v>
      </c>
      <c r="E1341" t="s">
        <v>6762</v>
      </c>
      <c r="F1341" t="s">
        <v>844</v>
      </c>
      <c r="G1341" t="s">
        <v>164</v>
      </c>
      <c r="H1341" t="s">
        <v>165</v>
      </c>
      <c r="I1341" t="s">
        <v>34</v>
      </c>
      <c r="J1341" t="s">
        <v>166</v>
      </c>
      <c r="K1341" t="s">
        <v>41</v>
      </c>
      <c r="L1341" t="s">
        <v>7204</v>
      </c>
      <c r="M1341" t="s">
        <v>7205</v>
      </c>
      <c r="N1341" t="s">
        <v>847</v>
      </c>
      <c r="O1341" t="s">
        <v>100</v>
      </c>
      <c r="P1341" t="s">
        <v>7206</v>
      </c>
      <c r="Q1341" t="s">
        <v>60</v>
      </c>
      <c r="R1341" t="s">
        <v>7096</v>
      </c>
      <c r="S1341">
        <v>1.9</v>
      </c>
      <c r="T1341">
        <v>4346</v>
      </c>
      <c r="U1341">
        <v>0</v>
      </c>
      <c r="V1341">
        <v>4346</v>
      </c>
    </row>
    <row r="1342" spans="1:22" x14ac:dyDescent="0.3">
      <c r="A1342">
        <v>80147</v>
      </c>
      <c r="B1342">
        <v>136793003</v>
      </c>
      <c r="C1342" t="s">
        <v>7207</v>
      </c>
      <c r="D1342" t="s">
        <v>7208</v>
      </c>
      <c r="E1342" t="s">
        <v>6762</v>
      </c>
      <c r="F1342" t="s">
        <v>844</v>
      </c>
      <c r="G1342" t="s">
        <v>164</v>
      </c>
      <c r="H1342" t="s">
        <v>165</v>
      </c>
      <c r="I1342" t="s">
        <v>34</v>
      </c>
      <c r="J1342" t="s">
        <v>166</v>
      </c>
      <c r="K1342" t="s">
        <v>41</v>
      </c>
      <c r="L1342" t="s">
        <v>7209</v>
      </c>
      <c r="M1342" t="s">
        <v>7210</v>
      </c>
      <c r="N1342" t="s">
        <v>847</v>
      </c>
      <c r="O1342" t="s">
        <v>100</v>
      </c>
      <c r="P1342" t="s">
        <v>7211</v>
      </c>
      <c r="Q1342" t="s">
        <v>43</v>
      </c>
      <c r="R1342" t="s">
        <v>7096</v>
      </c>
      <c r="S1342">
        <v>3.02</v>
      </c>
      <c r="T1342">
        <v>4322</v>
      </c>
      <c r="U1342">
        <v>0</v>
      </c>
      <c r="V1342">
        <v>4322</v>
      </c>
    </row>
    <row r="1343" spans="1:22" x14ac:dyDescent="0.3">
      <c r="A1343">
        <v>80147</v>
      </c>
      <c r="B1343">
        <v>136888825</v>
      </c>
      <c r="C1343" t="s">
        <v>7212</v>
      </c>
      <c r="D1343" t="s">
        <v>7213</v>
      </c>
      <c r="E1343" t="s">
        <v>6762</v>
      </c>
      <c r="F1343" t="s">
        <v>844</v>
      </c>
      <c r="G1343" t="s">
        <v>164</v>
      </c>
      <c r="H1343" t="s">
        <v>165</v>
      </c>
      <c r="I1343" t="s">
        <v>34</v>
      </c>
      <c r="J1343" t="s">
        <v>166</v>
      </c>
      <c r="K1343" t="s">
        <v>41</v>
      </c>
      <c r="L1343" t="s">
        <v>7214</v>
      </c>
      <c r="M1343" t="s">
        <v>7215</v>
      </c>
      <c r="N1343" t="s">
        <v>847</v>
      </c>
      <c r="O1343" t="s">
        <v>100</v>
      </c>
      <c r="P1343" t="s">
        <v>7216</v>
      </c>
      <c r="Q1343" t="s">
        <v>117</v>
      </c>
      <c r="R1343" t="s">
        <v>7080</v>
      </c>
      <c r="S1343">
        <v>2.7</v>
      </c>
      <c r="T1343">
        <v>4067</v>
      </c>
      <c r="U1343">
        <v>0</v>
      </c>
      <c r="V1343">
        <v>4067</v>
      </c>
    </row>
    <row r="1344" spans="1:22" x14ac:dyDescent="0.3">
      <c r="A1344">
        <v>80147</v>
      </c>
      <c r="B1344">
        <v>135904562</v>
      </c>
      <c r="C1344" t="s">
        <v>7217</v>
      </c>
      <c r="D1344" t="s">
        <v>7218</v>
      </c>
      <c r="E1344" t="s">
        <v>6762</v>
      </c>
      <c r="F1344" t="s">
        <v>844</v>
      </c>
      <c r="G1344" t="s">
        <v>164</v>
      </c>
      <c r="H1344" t="s">
        <v>165</v>
      </c>
      <c r="I1344" t="s">
        <v>34</v>
      </c>
      <c r="J1344" t="s">
        <v>166</v>
      </c>
      <c r="K1344" t="s">
        <v>41</v>
      </c>
      <c r="L1344" t="s">
        <v>7219</v>
      </c>
      <c r="M1344" t="s">
        <v>7220</v>
      </c>
      <c r="N1344" t="s">
        <v>847</v>
      </c>
      <c r="O1344" t="s">
        <v>100</v>
      </c>
      <c r="P1344" t="s">
        <v>7221</v>
      </c>
      <c r="Q1344" t="s">
        <v>52</v>
      </c>
      <c r="R1344" t="s">
        <v>499</v>
      </c>
      <c r="S1344">
        <v>6.53</v>
      </c>
      <c r="T1344">
        <v>11407</v>
      </c>
      <c r="U1344">
        <v>0</v>
      </c>
      <c r="V1344">
        <v>11407</v>
      </c>
    </row>
    <row r="1345" spans="1:22" x14ac:dyDescent="0.3">
      <c r="A1345">
        <v>80147</v>
      </c>
      <c r="B1345">
        <v>136825786</v>
      </c>
      <c r="C1345" t="s">
        <v>7222</v>
      </c>
      <c r="D1345" t="s">
        <v>7223</v>
      </c>
      <c r="E1345" t="s">
        <v>6762</v>
      </c>
      <c r="F1345" t="s">
        <v>844</v>
      </c>
      <c r="G1345" t="s">
        <v>164</v>
      </c>
      <c r="H1345" t="s">
        <v>165</v>
      </c>
      <c r="I1345" t="s">
        <v>34</v>
      </c>
      <c r="J1345" t="s">
        <v>166</v>
      </c>
      <c r="K1345" t="s">
        <v>41</v>
      </c>
      <c r="L1345" t="s">
        <v>7224</v>
      </c>
      <c r="M1345" t="s">
        <v>7225</v>
      </c>
      <c r="N1345" t="s">
        <v>847</v>
      </c>
      <c r="O1345" t="s">
        <v>100</v>
      </c>
      <c r="P1345" t="s">
        <v>7226</v>
      </c>
      <c r="Q1345" t="s">
        <v>84</v>
      </c>
      <c r="R1345" t="s">
        <v>156</v>
      </c>
      <c r="S1345">
        <v>1.74</v>
      </c>
      <c r="T1345">
        <v>3366</v>
      </c>
      <c r="U1345">
        <v>0</v>
      </c>
      <c r="V1345">
        <v>3366</v>
      </c>
    </row>
    <row r="1346" spans="1:22" x14ac:dyDescent="0.3">
      <c r="A1346">
        <v>80147</v>
      </c>
      <c r="B1346">
        <v>136792993</v>
      </c>
      <c r="C1346" t="s">
        <v>7227</v>
      </c>
      <c r="D1346" t="s">
        <v>7228</v>
      </c>
      <c r="E1346" t="s">
        <v>6762</v>
      </c>
      <c r="F1346" t="s">
        <v>844</v>
      </c>
      <c r="G1346" t="s">
        <v>164</v>
      </c>
      <c r="H1346" t="s">
        <v>165</v>
      </c>
      <c r="I1346" t="s">
        <v>34</v>
      </c>
      <c r="J1346" t="s">
        <v>166</v>
      </c>
      <c r="K1346" t="s">
        <v>41</v>
      </c>
      <c r="L1346" t="s">
        <v>7229</v>
      </c>
      <c r="M1346" t="s">
        <v>7230</v>
      </c>
      <c r="N1346" t="s">
        <v>847</v>
      </c>
      <c r="O1346" t="s">
        <v>100</v>
      </c>
      <c r="P1346" t="s">
        <v>7231</v>
      </c>
      <c r="Q1346" t="s">
        <v>90</v>
      </c>
      <c r="R1346" t="s">
        <v>7096</v>
      </c>
      <c r="S1346">
        <v>6.47</v>
      </c>
      <c r="T1346">
        <v>5977</v>
      </c>
      <c r="U1346">
        <v>0</v>
      </c>
      <c r="V1346">
        <v>5977</v>
      </c>
    </row>
    <row r="1347" spans="1:22" x14ac:dyDescent="0.3">
      <c r="A1347">
        <v>80147</v>
      </c>
      <c r="B1347">
        <v>135746613</v>
      </c>
      <c r="C1347" t="s">
        <v>7232</v>
      </c>
      <c r="D1347" t="s">
        <v>7233</v>
      </c>
      <c r="E1347" t="s">
        <v>6762</v>
      </c>
      <c r="F1347" t="s">
        <v>844</v>
      </c>
      <c r="G1347" t="s">
        <v>164</v>
      </c>
      <c r="H1347" t="s">
        <v>165</v>
      </c>
      <c r="I1347" t="s">
        <v>34</v>
      </c>
      <c r="J1347" t="s">
        <v>166</v>
      </c>
      <c r="K1347" t="s">
        <v>41</v>
      </c>
      <c r="L1347" t="s">
        <v>7234</v>
      </c>
      <c r="M1347" t="s">
        <v>6650</v>
      </c>
      <c r="N1347" t="s">
        <v>847</v>
      </c>
      <c r="O1347" t="s">
        <v>100</v>
      </c>
      <c r="P1347" t="s">
        <v>7235</v>
      </c>
      <c r="Q1347" t="s">
        <v>52</v>
      </c>
      <c r="R1347" t="s">
        <v>681</v>
      </c>
      <c r="S1347">
        <v>1</v>
      </c>
      <c r="T1347">
        <v>5759</v>
      </c>
      <c r="U1347">
        <v>0</v>
      </c>
      <c r="V1347">
        <v>5759</v>
      </c>
    </row>
    <row r="1348" spans="1:22" x14ac:dyDescent="0.3">
      <c r="A1348">
        <v>80147</v>
      </c>
      <c r="B1348">
        <v>136636226</v>
      </c>
      <c r="C1348" t="s">
        <v>7236</v>
      </c>
      <c r="D1348" t="s">
        <v>7237</v>
      </c>
      <c r="E1348" t="s">
        <v>6762</v>
      </c>
      <c r="F1348" t="s">
        <v>844</v>
      </c>
      <c r="G1348" t="s">
        <v>164</v>
      </c>
      <c r="H1348" t="s">
        <v>165</v>
      </c>
      <c r="I1348" t="s">
        <v>34</v>
      </c>
      <c r="J1348" t="s">
        <v>166</v>
      </c>
      <c r="K1348" t="s">
        <v>41</v>
      </c>
      <c r="L1348" t="s">
        <v>7238</v>
      </c>
      <c r="M1348" t="s">
        <v>7239</v>
      </c>
      <c r="N1348" t="s">
        <v>847</v>
      </c>
      <c r="O1348" t="s">
        <v>100</v>
      </c>
      <c r="P1348" t="s">
        <v>7240</v>
      </c>
      <c r="Q1348" t="s">
        <v>54</v>
      </c>
      <c r="R1348" t="s">
        <v>639</v>
      </c>
      <c r="S1348">
        <v>8.57</v>
      </c>
      <c r="T1348">
        <v>10562</v>
      </c>
      <c r="U1348">
        <v>0</v>
      </c>
      <c r="V1348">
        <v>10562</v>
      </c>
    </row>
    <row r="1349" spans="1:22" x14ac:dyDescent="0.3">
      <c r="A1349">
        <v>80147</v>
      </c>
      <c r="B1349">
        <v>135904597</v>
      </c>
      <c r="C1349" t="s">
        <v>7241</v>
      </c>
      <c r="D1349" t="s">
        <v>7242</v>
      </c>
      <c r="E1349" t="s">
        <v>6762</v>
      </c>
      <c r="F1349" t="s">
        <v>844</v>
      </c>
      <c r="G1349" t="s">
        <v>164</v>
      </c>
      <c r="H1349" t="s">
        <v>165</v>
      </c>
      <c r="I1349" t="s">
        <v>34</v>
      </c>
      <c r="J1349" t="s">
        <v>166</v>
      </c>
      <c r="K1349" t="s">
        <v>41</v>
      </c>
      <c r="L1349" t="s">
        <v>7243</v>
      </c>
      <c r="M1349" t="s">
        <v>7244</v>
      </c>
      <c r="N1349" t="s">
        <v>847</v>
      </c>
      <c r="O1349" t="s">
        <v>100</v>
      </c>
      <c r="P1349" t="s">
        <v>7245</v>
      </c>
      <c r="Q1349" t="s">
        <v>69</v>
      </c>
      <c r="R1349" t="s">
        <v>499</v>
      </c>
      <c r="S1349">
        <v>1</v>
      </c>
      <c r="T1349">
        <v>3753</v>
      </c>
      <c r="U1349">
        <v>0</v>
      </c>
      <c r="V1349">
        <v>3753</v>
      </c>
    </row>
    <row r="1350" spans="1:22" x14ac:dyDescent="0.3">
      <c r="A1350">
        <v>80147</v>
      </c>
      <c r="B1350">
        <v>135791782</v>
      </c>
      <c r="C1350" t="s">
        <v>7246</v>
      </c>
      <c r="D1350" t="s">
        <v>7247</v>
      </c>
      <c r="E1350" t="s">
        <v>6762</v>
      </c>
      <c r="F1350" t="s">
        <v>844</v>
      </c>
      <c r="G1350" t="s">
        <v>164</v>
      </c>
      <c r="H1350" t="s">
        <v>165</v>
      </c>
      <c r="I1350" t="s">
        <v>34</v>
      </c>
      <c r="J1350" t="s">
        <v>166</v>
      </c>
      <c r="K1350" t="s">
        <v>41</v>
      </c>
      <c r="L1350" t="s">
        <v>7248</v>
      </c>
      <c r="M1350" t="s">
        <v>7249</v>
      </c>
      <c r="N1350" t="s">
        <v>847</v>
      </c>
      <c r="O1350" t="s">
        <v>100</v>
      </c>
      <c r="P1350" t="s">
        <v>7250</v>
      </c>
      <c r="Q1350" t="s">
        <v>52</v>
      </c>
      <c r="R1350" t="s">
        <v>507</v>
      </c>
      <c r="S1350">
        <v>6.53</v>
      </c>
      <c r="T1350">
        <v>11407</v>
      </c>
      <c r="U1350">
        <v>0</v>
      </c>
      <c r="V1350">
        <v>11407</v>
      </c>
    </row>
    <row r="1351" spans="1:22" x14ac:dyDescent="0.3">
      <c r="A1351">
        <v>80147</v>
      </c>
      <c r="B1351">
        <v>136441519</v>
      </c>
      <c r="C1351" t="s">
        <v>7251</v>
      </c>
      <c r="D1351" t="s">
        <v>7252</v>
      </c>
      <c r="E1351" t="s">
        <v>6762</v>
      </c>
      <c r="F1351" t="s">
        <v>844</v>
      </c>
      <c r="G1351" t="s">
        <v>164</v>
      </c>
      <c r="H1351" t="s">
        <v>165</v>
      </c>
      <c r="I1351" t="s">
        <v>34</v>
      </c>
      <c r="J1351" t="s">
        <v>166</v>
      </c>
      <c r="K1351" t="s">
        <v>41</v>
      </c>
      <c r="L1351" t="s">
        <v>7253</v>
      </c>
      <c r="M1351" t="s">
        <v>7254</v>
      </c>
      <c r="N1351" t="s">
        <v>847</v>
      </c>
      <c r="O1351" t="s">
        <v>100</v>
      </c>
      <c r="P1351" t="s">
        <v>7255</v>
      </c>
      <c r="Q1351" t="s">
        <v>57</v>
      </c>
      <c r="R1351" t="s">
        <v>596</v>
      </c>
      <c r="S1351">
        <v>7.29</v>
      </c>
      <c r="T1351">
        <v>10562</v>
      </c>
      <c r="U1351">
        <v>0</v>
      </c>
      <c r="V1351">
        <v>10562</v>
      </c>
    </row>
    <row r="1352" spans="1:22" x14ac:dyDescent="0.3">
      <c r="A1352">
        <v>80147</v>
      </c>
      <c r="B1352">
        <v>136636213</v>
      </c>
      <c r="C1352" t="s">
        <v>7256</v>
      </c>
      <c r="D1352" t="s">
        <v>7257</v>
      </c>
      <c r="E1352" t="s">
        <v>6762</v>
      </c>
      <c r="F1352" t="s">
        <v>844</v>
      </c>
      <c r="G1352" t="s">
        <v>164</v>
      </c>
      <c r="H1352" t="s">
        <v>165</v>
      </c>
      <c r="I1352" t="s">
        <v>34</v>
      </c>
      <c r="J1352" t="s">
        <v>166</v>
      </c>
      <c r="K1352" t="s">
        <v>41</v>
      </c>
      <c r="L1352" t="s">
        <v>7258</v>
      </c>
      <c r="M1352" t="s">
        <v>7259</v>
      </c>
      <c r="N1352" t="s">
        <v>847</v>
      </c>
      <c r="O1352" t="s">
        <v>100</v>
      </c>
      <c r="P1352" t="s">
        <v>7260</v>
      </c>
      <c r="Q1352" t="s">
        <v>67</v>
      </c>
      <c r="R1352" t="s">
        <v>639</v>
      </c>
      <c r="S1352">
        <v>1</v>
      </c>
      <c r="T1352">
        <v>3784</v>
      </c>
      <c r="U1352">
        <v>0</v>
      </c>
      <c r="V1352">
        <v>3784</v>
      </c>
    </row>
    <row r="1353" spans="1:22" x14ac:dyDescent="0.3">
      <c r="A1353">
        <v>80147</v>
      </c>
      <c r="B1353">
        <v>136636220</v>
      </c>
      <c r="C1353" t="s">
        <v>7261</v>
      </c>
      <c r="D1353" t="s">
        <v>7262</v>
      </c>
      <c r="E1353" t="s">
        <v>6762</v>
      </c>
      <c r="F1353" t="s">
        <v>844</v>
      </c>
      <c r="G1353" t="s">
        <v>164</v>
      </c>
      <c r="H1353" t="s">
        <v>165</v>
      </c>
      <c r="I1353" t="s">
        <v>34</v>
      </c>
      <c r="J1353" t="s">
        <v>166</v>
      </c>
      <c r="K1353" t="s">
        <v>41</v>
      </c>
      <c r="L1353" t="s">
        <v>7263</v>
      </c>
      <c r="M1353" t="s">
        <v>7264</v>
      </c>
      <c r="N1353" t="s">
        <v>847</v>
      </c>
      <c r="O1353" t="s">
        <v>100</v>
      </c>
      <c r="P1353" t="s">
        <v>7265</v>
      </c>
      <c r="Q1353" t="s">
        <v>69</v>
      </c>
      <c r="R1353" t="s">
        <v>639</v>
      </c>
      <c r="S1353">
        <v>3.11</v>
      </c>
      <c r="T1353">
        <v>4456</v>
      </c>
      <c r="U1353">
        <v>0</v>
      </c>
      <c r="V1353">
        <v>4456</v>
      </c>
    </row>
    <row r="1354" spans="1:22" x14ac:dyDescent="0.3">
      <c r="A1354">
        <v>80147</v>
      </c>
      <c r="B1354">
        <v>136364253</v>
      </c>
      <c r="C1354" t="s">
        <v>7266</v>
      </c>
      <c r="D1354" t="s">
        <v>7267</v>
      </c>
      <c r="E1354" t="s">
        <v>6762</v>
      </c>
      <c r="F1354" t="s">
        <v>844</v>
      </c>
      <c r="G1354" t="s">
        <v>164</v>
      </c>
      <c r="H1354" t="s">
        <v>165</v>
      </c>
      <c r="I1354" t="s">
        <v>34</v>
      </c>
      <c r="J1354" t="s">
        <v>166</v>
      </c>
      <c r="K1354" t="s">
        <v>41</v>
      </c>
      <c r="L1354" t="s">
        <v>7268</v>
      </c>
      <c r="M1354" t="s">
        <v>7269</v>
      </c>
      <c r="N1354" t="s">
        <v>847</v>
      </c>
      <c r="O1354" t="s">
        <v>100</v>
      </c>
      <c r="P1354" t="s">
        <v>7270</v>
      </c>
      <c r="Q1354" t="s">
        <v>58</v>
      </c>
      <c r="R1354" t="s">
        <v>439</v>
      </c>
      <c r="S1354">
        <v>5.64</v>
      </c>
      <c r="T1354">
        <v>8538</v>
      </c>
      <c r="U1354">
        <v>0</v>
      </c>
      <c r="V1354">
        <v>8538</v>
      </c>
    </row>
    <row r="1355" spans="1:22" x14ac:dyDescent="0.3">
      <c r="A1355">
        <v>80147</v>
      </c>
      <c r="B1355">
        <v>136271598</v>
      </c>
      <c r="C1355" t="s">
        <v>7271</v>
      </c>
      <c r="D1355" t="s">
        <v>7272</v>
      </c>
      <c r="E1355" t="s">
        <v>6762</v>
      </c>
      <c r="F1355" t="s">
        <v>844</v>
      </c>
      <c r="G1355" t="s">
        <v>164</v>
      </c>
      <c r="H1355" t="s">
        <v>165</v>
      </c>
      <c r="I1355" t="s">
        <v>34</v>
      </c>
      <c r="J1355" t="s">
        <v>166</v>
      </c>
      <c r="K1355" t="s">
        <v>41</v>
      </c>
      <c r="L1355" t="s">
        <v>7273</v>
      </c>
      <c r="M1355" t="s">
        <v>7274</v>
      </c>
      <c r="N1355" t="s">
        <v>847</v>
      </c>
      <c r="O1355" t="s">
        <v>100</v>
      </c>
      <c r="P1355" t="s">
        <v>7275</v>
      </c>
      <c r="Q1355" t="s">
        <v>211</v>
      </c>
      <c r="R1355" t="s">
        <v>372</v>
      </c>
      <c r="S1355">
        <v>5.22</v>
      </c>
      <c r="T1355">
        <v>4852</v>
      </c>
      <c r="U1355">
        <v>0</v>
      </c>
      <c r="V1355">
        <v>4852</v>
      </c>
    </row>
    <row r="1356" spans="1:22" x14ac:dyDescent="0.3">
      <c r="A1356">
        <v>80147</v>
      </c>
      <c r="B1356">
        <v>136542015</v>
      </c>
      <c r="C1356" t="s">
        <v>7276</v>
      </c>
      <c r="D1356" t="s">
        <v>7277</v>
      </c>
      <c r="E1356" t="s">
        <v>6762</v>
      </c>
      <c r="F1356" t="s">
        <v>844</v>
      </c>
      <c r="G1356" t="s">
        <v>164</v>
      </c>
      <c r="H1356" t="s">
        <v>165</v>
      </c>
      <c r="I1356" t="s">
        <v>34</v>
      </c>
      <c r="J1356" t="s">
        <v>166</v>
      </c>
      <c r="K1356" t="s">
        <v>41</v>
      </c>
      <c r="L1356" t="s">
        <v>7278</v>
      </c>
      <c r="M1356" t="s">
        <v>7279</v>
      </c>
      <c r="N1356" t="s">
        <v>847</v>
      </c>
      <c r="O1356" t="s">
        <v>100</v>
      </c>
      <c r="P1356" t="s">
        <v>7280</v>
      </c>
      <c r="Q1356" t="s">
        <v>72</v>
      </c>
      <c r="R1356" t="s">
        <v>7281</v>
      </c>
      <c r="S1356">
        <v>1</v>
      </c>
      <c r="T1356">
        <v>3784</v>
      </c>
      <c r="U1356">
        <v>0</v>
      </c>
      <c r="V1356">
        <v>3784</v>
      </c>
    </row>
    <row r="1357" spans="1:22" x14ac:dyDescent="0.3">
      <c r="A1357">
        <v>80147</v>
      </c>
      <c r="B1357">
        <v>136636175</v>
      </c>
      <c r="C1357" t="s">
        <v>7282</v>
      </c>
      <c r="D1357" t="s">
        <v>7283</v>
      </c>
      <c r="E1357" t="s">
        <v>6762</v>
      </c>
      <c r="F1357" t="s">
        <v>844</v>
      </c>
      <c r="G1357" t="s">
        <v>164</v>
      </c>
      <c r="H1357" t="s">
        <v>165</v>
      </c>
      <c r="I1357" t="s">
        <v>34</v>
      </c>
      <c r="J1357" t="s">
        <v>166</v>
      </c>
      <c r="K1357" t="s">
        <v>41</v>
      </c>
      <c r="L1357" t="s">
        <v>7284</v>
      </c>
      <c r="M1357" t="s">
        <v>7285</v>
      </c>
      <c r="N1357" t="s">
        <v>847</v>
      </c>
      <c r="O1357" t="s">
        <v>100</v>
      </c>
      <c r="P1357" t="s">
        <v>7286</v>
      </c>
      <c r="Q1357" t="s">
        <v>94</v>
      </c>
      <c r="R1357" t="s">
        <v>639</v>
      </c>
      <c r="S1357">
        <v>1</v>
      </c>
      <c r="T1357">
        <v>3366</v>
      </c>
      <c r="U1357">
        <v>0</v>
      </c>
      <c r="V1357">
        <v>3366</v>
      </c>
    </row>
    <row r="1358" spans="1:22" x14ac:dyDescent="0.3">
      <c r="A1358">
        <v>80147</v>
      </c>
      <c r="B1358">
        <v>136636223</v>
      </c>
      <c r="C1358" t="s">
        <v>7287</v>
      </c>
      <c r="D1358" t="s">
        <v>7288</v>
      </c>
      <c r="E1358" t="s">
        <v>6762</v>
      </c>
      <c r="F1358" t="s">
        <v>844</v>
      </c>
      <c r="G1358" t="s">
        <v>164</v>
      </c>
      <c r="H1358" t="s">
        <v>165</v>
      </c>
      <c r="I1358" t="s">
        <v>34</v>
      </c>
      <c r="J1358" t="s">
        <v>166</v>
      </c>
      <c r="K1358" t="s">
        <v>41</v>
      </c>
      <c r="L1358" t="s">
        <v>7289</v>
      </c>
      <c r="M1358" t="s">
        <v>7290</v>
      </c>
      <c r="N1358" t="s">
        <v>847</v>
      </c>
      <c r="O1358" t="s">
        <v>100</v>
      </c>
      <c r="P1358" t="s">
        <v>7291</v>
      </c>
      <c r="Q1358" t="s">
        <v>84</v>
      </c>
      <c r="R1358" t="s">
        <v>639</v>
      </c>
      <c r="S1358">
        <v>1</v>
      </c>
      <c r="T1358">
        <v>3366</v>
      </c>
      <c r="U1358">
        <v>0</v>
      </c>
      <c r="V1358">
        <v>3366</v>
      </c>
    </row>
    <row r="1359" spans="1:22" x14ac:dyDescent="0.3">
      <c r="A1359">
        <v>80147</v>
      </c>
      <c r="B1359">
        <v>136441511</v>
      </c>
      <c r="C1359" t="s">
        <v>7292</v>
      </c>
      <c r="D1359" t="s">
        <v>7293</v>
      </c>
      <c r="E1359" t="s">
        <v>6762</v>
      </c>
      <c r="F1359" t="s">
        <v>844</v>
      </c>
      <c r="G1359" t="s">
        <v>164</v>
      </c>
      <c r="H1359" t="s">
        <v>165</v>
      </c>
      <c r="I1359" t="s">
        <v>34</v>
      </c>
      <c r="J1359" t="s">
        <v>166</v>
      </c>
      <c r="K1359" t="s">
        <v>41</v>
      </c>
      <c r="L1359" t="s">
        <v>7294</v>
      </c>
      <c r="M1359" t="s">
        <v>707</v>
      </c>
      <c r="N1359" t="s">
        <v>847</v>
      </c>
      <c r="O1359" t="s">
        <v>100</v>
      </c>
      <c r="P1359" t="s">
        <v>7295</v>
      </c>
      <c r="Q1359" t="s">
        <v>54</v>
      </c>
      <c r="R1359" t="s">
        <v>596</v>
      </c>
      <c r="S1359">
        <v>1</v>
      </c>
      <c r="T1359">
        <v>5759</v>
      </c>
      <c r="U1359">
        <v>0</v>
      </c>
      <c r="V1359">
        <v>5759</v>
      </c>
    </row>
    <row r="1360" spans="1:22" x14ac:dyDescent="0.3">
      <c r="A1360">
        <v>80147</v>
      </c>
      <c r="B1360">
        <v>136636222</v>
      </c>
      <c r="C1360" t="s">
        <v>7296</v>
      </c>
      <c r="D1360" t="s">
        <v>7297</v>
      </c>
      <c r="E1360" t="s">
        <v>6762</v>
      </c>
      <c r="F1360" t="s">
        <v>844</v>
      </c>
      <c r="G1360" t="s">
        <v>164</v>
      </c>
      <c r="H1360" t="s">
        <v>165</v>
      </c>
      <c r="I1360" t="s">
        <v>34</v>
      </c>
      <c r="J1360" t="s">
        <v>166</v>
      </c>
      <c r="K1360" t="s">
        <v>41</v>
      </c>
      <c r="L1360" t="s">
        <v>7298</v>
      </c>
      <c r="M1360" t="s">
        <v>5888</v>
      </c>
      <c r="N1360" t="s">
        <v>847</v>
      </c>
      <c r="O1360" t="s">
        <v>100</v>
      </c>
      <c r="P1360" t="s">
        <v>7299</v>
      </c>
      <c r="Q1360" t="s">
        <v>84</v>
      </c>
      <c r="R1360" t="s">
        <v>639</v>
      </c>
      <c r="S1360">
        <v>5.38</v>
      </c>
      <c r="T1360">
        <v>3797</v>
      </c>
      <c r="U1360">
        <v>0</v>
      </c>
      <c r="V1360">
        <v>3797</v>
      </c>
    </row>
    <row r="1361" spans="1:22" x14ac:dyDescent="0.3">
      <c r="A1361">
        <v>80147</v>
      </c>
      <c r="B1361">
        <v>136636199</v>
      </c>
      <c r="C1361" t="s">
        <v>7300</v>
      </c>
      <c r="D1361" t="s">
        <v>7301</v>
      </c>
      <c r="E1361" t="s">
        <v>6762</v>
      </c>
      <c r="F1361" t="s">
        <v>844</v>
      </c>
      <c r="G1361" t="s">
        <v>164</v>
      </c>
      <c r="H1361" t="s">
        <v>165</v>
      </c>
      <c r="I1361" t="s">
        <v>34</v>
      </c>
      <c r="J1361" t="s">
        <v>166</v>
      </c>
      <c r="K1361" t="s">
        <v>41</v>
      </c>
      <c r="L1361" t="s">
        <v>7302</v>
      </c>
      <c r="M1361" t="s">
        <v>7303</v>
      </c>
      <c r="N1361" t="s">
        <v>847</v>
      </c>
      <c r="O1361" t="s">
        <v>100</v>
      </c>
      <c r="P1361" t="s">
        <v>7304</v>
      </c>
      <c r="Q1361" t="s">
        <v>72</v>
      </c>
      <c r="R1361" t="s">
        <v>639</v>
      </c>
      <c r="S1361">
        <v>5.56</v>
      </c>
      <c r="T1361">
        <v>4585</v>
      </c>
      <c r="U1361">
        <v>0</v>
      </c>
      <c r="V1361">
        <v>4585</v>
      </c>
    </row>
    <row r="1362" spans="1:22" x14ac:dyDescent="0.3">
      <c r="A1362">
        <v>80147</v>
      </c>
      <c r="B1362">
        <v>136636185</v>
      </c>
      <c r="C1362" t="s">
        <v>7305</v>
      </c>
      <c r="D1362" t="s">
        <v>7306</v>
      </c>
      <c r="E1362" t="s">
        <v>6762</v>
      </c>
      <c r="F1362" t="s">
        <v>844</v>
      </c>
      <c r="G1362" t="s">
        <v>164</v>
      </c>
      <c r="H1362" t="s">
        <v>165</v>
      </c>
      <c r="I1362" t="s">
        <v>34</v>
      </c>
      <c r="J1362" t="s">
        <v>166</v>
      </c>
      <c r="K1362" t="s">
        <v>41</v>
      </c>
      <c r="L1362" t="s">
        <v>7307</v>
      </c>
      <c r="M1362" t="s">
        <v>7308</v>
      </c>
      <c r="N1362" t="s">
        <v>847</v>
      </c>
      <c r="O1362" t="s">
        <v>100</v>
      </c>
      <c r="P1362" t="s">
        <v>7309</v>
      </c>
      <c r="Q1362" t="s">
        <v>70</v>
      </c>
      <c r="R1362" t="s">
        <v>639</v>
      </c>
      <c r="S1362">
        <v>0.9</v>
      </c>
      <c r="T1362">
        <v>3501</v>
      </c>
      <c r="U1362">
        <v>0</v>
      </c>
      <c r="V1362">
        <v>3501</v>
      </c>
    </row>
    <row r="1363" spans="1:22" x14ac:dyDescent="0.3">
      <c r="A1363">
        <v>80147</v>
      </c>
      <c r="B1363">
        <v>136673429</v>
      </c>
      <c r="C1363" t="s">
        <v>7310</v>
      </c>
      <c r="D1363" t="s">
        <v>7311</v>
      </c>
      <c r="E1363" t="s">
        <v>6762</v>
      </c>
      <c r="F1363" t="s">
        <v>844</v>
      </c>
      <c r="G1363" t="s">
        <v>164</v>
      </c>
      <c r="H1363" t="s">
        <v>165</v>
      </c>
      <c r="I1363" t="s">
        <v>34</v>
      </c>
      <c r="J1363" t="s">
        <v>166</v>
      </c>
      <c r="K1363" t="s">
        <v>41</v>
      </c>
      <c r="L1363" t="s">
        <v>7312</v>
      </c>
      <c r="M1363" t="s">
        <v>7313</v>
      </c>
      <c r="N1363" t="s">
        <v>847</v>
      </c>
      <c r="O1363" t="s">
        <v>100</v>
      </c>
      <c r="P1363" t="s">
        <v>7314</v>
      </c>
      <c r="Q1363" t="s">
        <v>61</v>
      </c>
      <c r="R1363" t="s">
        <v>474</v>
      </c>
      <c r="S1363">
        <v>5.94</v>
      </c>
      <c r="T1363">
        <v>5376</v>
      </c>
      <c r="U1363">
        <v>0</v>
      </c>
      <c r="V1363">
        <v>5376</v>
      </c>
    </row>
    <row r="1364" spans="1:22" x14ac:dyDescent="0.3">
      <c r="A1364">
        <v>80147</v>
      </c>
      <c r="B1364">
        <v>136508618</v>
      </c>
      <c r="C1364" t="s">
        <v>7315</v>
      </c>
      <c r="D1364" t="s">
        <v>7316</v>
      </c>
      <c r="E1364" t="s">
        <v>6762</v>
      </c>
      <c r="F1364" t="s">
        <v>844</v>
      </c>
      <c r="G1364" t="s">
        <v>164</v>
      </c>
      <c r="H1364" t="s">
        <v>165</v>
      </c>
      <c r="I1364" t="s">
        <v>34</v>
      </c>
      <c r="J1364" t="s">
        <v>166</v>
      </c>
      <c r="K1364" t="s">
        <v>41</v>
      </c>
      <c r="L1364" t="s">
        <v>7317</v>
      </c>
      <c r="M1364" t="s">
        <v>7318</v>
      </c>
      <c r="N1364" t="s">
        <v>847</v>
      </c>
      <c r="O1364" t="s">
        <v>100</v>
      </c>
      <c r="P1364" t="s">
        <v>7319</v>
      </c>
      <c r="Q1364" t="s">
        <v>55</v>
      </c>
      <c r="R1364" t="s">
        <v>592</v>
      </c>
      <c r="S1364">
        <v>1</v>
      </c>
      <c r="T1364">
        <v>5198</v>
      </c>
      <c r="U1364">
        <v>0</v>
      </c>
      <c r="V1364">
        <v>5198</v>
      </c>
    </row>
    <row r="1365" spans="1:22" x14ac:dyDescent="0.3">
      <c r="A1365">
        <v>80147</v>
      </c>
      <c r="B1365">
        <v>136636217</v>
      </c>
      <c r="C1365" t="s">
        <v>7320</v>
      </c>
      <c r="D1365" t="s">
        <v>7321</v>
      </c>
      <c r="E1365" t="s">
        <v>6762</v>
      </c>
      <c r="F1365" t="s">
        <v>844</v>
      </c>
      <c r="G1365" t="s">
        <v>164</v>
      </c>
      <c r="H1365" t="s">
        <v>165</v>
      </c>
      <c r="I1365" t="s">
        <v>34</v>
      </c>
      <c r="J1365" t="s">
        <v>166</v>
      </c>
      <c r="K1365" t="s">
        <v>41</v>
      </c>
      <c r="L1365" t="s">
        <v>7322</v>
      </c>
      <c r="M1365" t="s">
        <v>7323</v>
      </c>
      <c r="N1365" t="s">
        <v>847</v>
      </c>
      <c r="O1365" t="s">
        <v>100</v>
      </c>
      <c r="P1365" t="s">
        <v>7324</v>
      </c>
      <c r="Q1365" t="s">
        <v>72</v>
      </c>
      <c r="R1365" t="s">
        <v>639</v>
      </c>
      <c r="S1365">
        <v>6.73</v>
      </c>
      <c r="T1365">
        <v>5476</v>
      </c>
      <c r="U1365">
        <v>0</v>
      </c>
      <c r="V1365">
        <v>5476</v>
      </c>
    </row>
    <row r="1366" spans="1:22" x14ac:dyDescent="0.3">
      <c r="A1366">
        <v>80147</v>
      </c>
      <c r="B1366">
        <v>136364257</v>
      </c>
      <c r="C1366" t="s">
        <v>7325</v>
      </c>
      <c r="D1366" t="s">
        <v>7326</v>
      </c>
      <c r="E1366" t="s">
        <v>6762</v>
      </c>
      <c r="F1366" t="s">
        <v>844</v>
      </c>
      <c r="G1366" t="s">
        <v>164</v>
      </c>
      <c r="H1366" t="s">
        <v>165</v>
      </c>
      <c r="I1366" t="s">
        <v>34</v>
      </c>
      <c r="J1366" t="s">
        <v>166</v>
      </c>
      <c r="K1366" t="s">
        <v>41</v>
      </c>
      <c r="L1366" t="s">
        <v>7327</v>
      </c>
      <c r="M1366" t="s">
        <v>7328</v>
      </c>
      <c r="N1366" t="s">
        <v>847</v>
      </c>
      <c r="O1366" t="s">
        <v>100</v>
      </c>
      <c r="P1366" t="s">
        <v>7329</v>
      </c>
      <c r="Q1366" t="s">
        <v>199</v>
      </c>
      <c r="R1366" t="s">
        <v>439</v>
      </c>
      <c r="S1366">
        <v>5.5</v>
      </c>
      <c r="T1366">
        <v>5111</v>
      </c>
      <c r="U1366">
        <v>0</v>
      </c>
      <c r="V1366">
        <v>5111</v>
      </c>
    </row>
    <row r="1367" spans="1:22" x14ac:dyDescent="0.3">
      <c r="A1367">
        <v>80147</v>
      </c>
      <c r="B1367">
        <v>136441518</v>
      </c>
      <c r="C1367" t="s">
        <v>7330</v>
      </c>
      <c r="D1367" t="s">
        <v>7331</v>
      </c>
      <c r="E1367" t="s">
        <v>6762</v>
      </c>
      <c r="F1367" t="s">
        <v>844</v>
      </c>
      <c r="G1367" t="s">
        <v>164</v>
      </c>
      <c r="H1367" t="s">
        <v>165</v>
      </c>
      <c r="I1367" t="s">
        <v>34</v>
      </c>
      <c r="J1367" t="s">
        <v>166</v>
      </c>
      <c r="K1367" t="s">
        <v>41</v>
      </c>
      <c r="L1367" t="s">
        <v>7332</v>
      </c>
      <c r="M1367" t="s">
        <v>7333</v>
      </c>
      <c r="N1367" t="s">
        <v>847</v>
      </c>
      <c r="O1367" t="s">
        <v>100</v>
      </c>
      <c r="P1367" t="s">
        <v>7334</v>
      </c>
      <c r="Q1367" t="s">
        <v>55</v>
      </c>
      <c r="R1367" t="s">
        <v>596</v>
      </c>
      <c r="S1367">
        <v>7.17</v>
      </c>
      <c r="T1367">
        <v>9710</v>
      </c>
      <c r="U1367">
        <v>0</v>
      </c>
      <c r="V1367">
        <v>9710</v>
      </c>
    </row>
    <row r="1368" spans="1:22" x14ac:dyDescent="0.3">
      <c r="A1368">
        <v>80147</v>
      </c>
      <c r="B1368">
        <v>136559567</v>
      </c>
      <c r="C1368" t="s">
        <v>7335</v>
      </c>
      <c r="D1368" t="s">
        <v>7336</v>
      </c>
      <c r="E1368" t="s">
        <v>6762</v>
      </c>
      <c r="F1368" t="s">
        <v>844</v>
      </c>
      <c r="G1368" t="s">
        <v>164</v>
      </c>
      <c r="H1368" t="s">
        <v>165</v>
      </c>
      <c r="I1368" t="s">
        <v>34</v>
      </c>
      <c r="J1368" t="s">
        <v>166</v>
      </c>
      <c r="K1368" t="s">
        <v>41</v>
      </c>
      <c r="L1368" t="s">
        <v>7337</v>
      </c>
      <c r="M1368" t="s">
        <v>7338</v>
      </c>
      <c r="N1368" t="s">
        <v>847</v>
      </c>
      <c r="O1368" t="s">
        <v>100</v>
      </c>
      <c r="P1368" t="s">
        <v>7339</v>
      </c>
      <c r="Q1368" t="s">
        <v>71</v>
      </c>
      <c r="R1368" t="s">
        <v>427</v>
      </c>
      <c r="S1368">
        <v>3.22</v>
      </c>
      <c r="T1368">
        <v>4322</v>
      </c>
      <c r="U1368">
        <v>0</v>
      </c>
      <c r="V1368">
        <v>4322</v>
      </c>
    </row>
    <row r="1369" spans="1:22" x14ac:dyDescent="0.3">
      <c r="A1369">
        <v>80147</v>
      </c>
      <c r="B1369">
        <v>136636227</v>
      </c>
      <c r="C1369" t="s">
        <v>7340</v>
      </c>
      <c r="D1369" t="s">
        <v>7341</v>
      </c>
      <c r="E1369" t="s">
        <v>6762</v>
      </c>
      <c r="F1369" t="s">
        <v>844</v>
      </c>
      <c r="G1369" t="s">
        <v>164</v>
      </c>
      <c r="H1369" t="s">
        <v>165</v>
      </c>
      <c r="I1369" t="s">
        <v>34</v>
      </c>
      <c r="J1369" t="s">
        <v>166</v>
      </c>
      <c r="K1369" t="s">
        <v>41</v>
      </c>
      <c r="L1369" t="s">
        <v>7342</v>
      </c>
      <c r="M1369" t="s">
        <v>7343</v>
      </c>
      <c r="N1369" t="s">
        <v>847</v>
      </c>
      <c r="O1369" t="s">
        <v>100</v>
      </c>
      <c r="P1369" t="s">
        <v>7344</v>
      </c>
      <c r="Q1369" t="s">
        <v>50</v>
      </c>
      <c r="R1369" t="s">
        <v>639</v>
      </c>
      <c r="S1369">
        <v>3.05</v>
      </c>
      <c r="T1369">
        <v>4585</v>
      </c>
      <c r="U1369">
        <v>0</v>
      </c>
      <c r="V1369">
        <v>4585</v>
      </c>
    </row>
    <row r="1370" spans="1:22" x14ac:dyDescent="0.3">
      <c r="A1370">
        <v>80147</v>
      </c>
      <c r="B1370">
        <v>136636176</v>
      </c>
      <c r="C1370" t="s">
        <v>7345</v>
      </c>
      <c r="D1370" t="s">
        <v>7346</v>
      </c>
      <c r="E1370" t="s">
        <v>6762</v>
      </c>
      <c r="F1370" t="s">
        <v>844</v>
      </c>
      <c r="G1370" t="s">
        <v>164</v>
      </c>
      <c r="H1370" t="s">
        <v>165</v>
      </c>
      <c r="I1370" t="s">
        <v>34</v>
      </c>
      <c r="J1370" t="s">
        <v>166</v>
      </c>
      <c r="K1370" t="s">
        <v>41</v>
      </c>
      <c r="L1370" t="s">
        <v>7347</v>
      </c>
      <c r="M1370" t="s">
        <v>714</v>
      </c>
      <c r="N1370" t="s">
        <v>847</v>
      </c>
      <c r="O1370" t="s">
        <v>100</v>
      </c>
      <c r="P1370" t="s">
        <v>7348</v>
      </c>
      <c r="Q1370" t="s">
        <v>69</v>
      </c>
      <c r="R1370" t="s">
        <v>639</v>
      </c>
      <c r="S1370">
        <v>5.29</v>
      </c>
      <c r="T1370">
        <v>4456</v>
      </c>
      <c r="U1370">
        <v>0</v>
      </c>
      <c r="V1370">
        <v>4456</v>
      </c>
    </row>
    <row r="1371" spans="1:22" x14ac:dyDescent="0.3">
      <c r="A1371">
        <v>80147</v>
      </c>
      <c r="B1371">
        <v>136636177</v>
      </c>
      <c r="C1371" t="s">
        <v>7349</v>
      </c>
      <c r="D1371" t="s">
        <v>7350</v>
      </c>
      <c r="E1371" t="s">
        <v>6762</v>
      </c>
      <c r="F1371" t="s">
        <v>844</v>
      </c>
      <c r="G1371" t="s">
        <v>164</v>
      </c>
      <c r="H1371" t="s">
        <v>165</v>
      </c>
      <c r="I1371" t="s">
        <v>34</v>
      </c>
      <c r="J1371" t="s">
        <v>166</v>
      </c>
      <c r="K1371" t="s">
        <v>41</v>
      </c>
      <c r="L1371" t="s">
        <v>7351</v>
      </c>
      <c r="M1371" t="s">
        <v>7352</v>
      </c>
      <c r="N1371" t="s">
        <v>847</v>
      </c>
      <c r="O1371" t="s">
        <v>100</v>
      </c>
      <c r="P1371" t="s">
        <v>7353</v>
      </c>
      <c r="Q1371" t="s">
        <v>61</v>
      </c>
      <c r="R1371" t="s">
        <v>639</v>
      </c>
      <c r="S1371">
        <v>1.24</v>
      </c>
      <c r="T1371">
        <v>4067</v>
      </c>
      <c r="U1371">
        <v>0</v>
      </c>
      <c r="V1371">
        <v>4067</v>
      </c>
    </row>
    <row r="1372" spans="1:22" x14ac:dyDescent="0.3">
      <c r="A1372">
        <v>80147</v>
      </c>
      <c r="B1372">
        <v>136364255</v>
      </c>
      <c r="C1372" t="s">
        <v>7354</v>
      </c>
      <c r="D1372" t="s">
        <v>7355</v>
      </c>
      <c r="E1372" t="s">
        <v>6762</v>
      </c>
      <c r="F1372" t="s">
        <v>844</v>
      </c>
      <c r="G1372" t="s">
        <v>164</v>
      </c>
      <c r="H1372" t="s">
        <v>165</v>
      </c>
      <c r="I1372" t="s">
        <v>34</v>
      </c>
      <c r="J1372" t="s">
        <v>166</v>
      </c>
      <c r="K1372" t="s">
        <v>41</v>
      </c>
      <c r="L1372" t="s">
        <v>7356</v>
      </c>
      <c r="M1372" t="s">
        <v>6923</v>
      </c>
      <c r="N1372" t="s">
        <v>847</v>
      </c>
      <c r="O1372" t="s">
        <v>100</v>
      </c>
      <c r="P1372" t="s">
        <v>6924</v>
      </c>
      <c r="Q1372" t="s">
        <v>63</v>
      </c>
      <c r="R1372" t="s">
        <v>439</v>
      </c>
      <c r="S1372">
        <v>1</v>
      </c>
      <c r="T1372">
        <v>4067</v>
      </c>
      <c r="U1372">
        <v>0</v>
      </c>
      <c r="V1372">
        <v>4067</v>
      </c>
    </row>
    <row r="1373" spans="1:22" x14ac:dyDescent="0.3">
      <c r="A1373">
        <v>80147</v>
      </c>
      <c r="B1373">
        <v>136636197</v>
      </c>
      <c r="C1373" t="s">
        <v>7357</v>
      </c>
      <c r="D1373" t="s">
        <v>7358</v>
      </c>
      <c r="E1373" t="s">
        <v>6762</v>
      </c>
      <c r="F1373" t="s">
        <v>844</v>
      </c>
      <c r="G1373" t="s">
        <v>164</v>
      </c>
      <c r="H1373" t="s">
        <v>165</v>
      </c>
      <c r="I1373" t="s">
        <v>34</v>
      </c>
      <c r="J1373" t="s">
        <v>166</v>
      </c>
      <c r="K1373" t="s">
        <v>41</v>
      </c>
      <c r="L1373" t="s">
        <v>7359</v>
      </c>
      <c r="M1373" t="s">
        <v>7360</v>
      </c>
      <c r="N1373" t="s">
        <v>847</v>
      </c>
      <c r="O1373" t="s">
        <v>100</v>
      </c>
      <c r="P1373" t="s">
        <v>7361</v>
      </c>
      <c r="Q1373" t="s">
        <v>61</v>
      </c>
      <c r="R1373" t="s">
        <v>639</v>
      </c>
      <c r="S1373">
        <v>3.14</v>
      </c>
      <c r="T1373">
        <v>5376</v>
      </c>
      <c r="U1373">
        <v>0</v>
      </c>
      <c r="V1373">
        <v>5376</v>
      </c>
    </row>
    <row r="1374" spans="1:22" x14ac:dyDescent="0.3">
      <c r="A1374">
        <v>80147</v>
      </c>
      <c r="B1374">
        <v>135848130</v>
      </c>
      <c r="C1374" t="s">
        <v>7362</v>
      </c>
      <c r="D1374" t="s">
        <v>7363</v>
      </c>
      <c r="E1374" t="s">
        <v>6762</v>
      </c>
      <c r="F1374" t="s">
        <v>844</v>
      </c>
      <c r="G1374" t="s">
        <v>164</v>
      </c>
      <c r="H1374" t="s">
        <v>165</v>
      </c>
      <c r="I1374" t="s">
        <v>34</v>
      </c>
      <c r="J1374" t="s">
        <v>166</v>
      </c>
      <c r="K1374" t="s">
        <v>41</v>
      </c>
      <c r="L1374" t="s">
        <v>7364</v>
      </c>
      <c r="M1374" t="s">
        <v>7365</v>
      </c>
      <c r="N1374" t="s">
        <v>847</v>
      </c>
      <c r="O1374" t="s">
        <v>100</v>
      </c>
      <c r="P1374" t="s">
        <v>7366</v>
      </c>
      <c r="Q1374" t="s">
        <v>52</v>
      </c>
      <c r="R1374" t="s">
        <v>7367</v>
      </c>
      <c r="S1374">
        <v>5.36</v>
      </c>
      <c r="T1374">
        <v>8008</v>
      </c>
      <c r="U1374">
        <v>0</v>
      </c>
      <c r="V1374">
        <v>8008</v>
      </c>
    </row>
    <row r="1375" spans="1:22" x14ac:dyDescent="0.3">
      <c r="A1375">
        <v>80147</v>
      </c>
      <c r="B1375">
        <v>136364238</v>
      </c>
      <c r="C1375" t="s">
        <v>7368</v>
      </c>
      <c r="D1375" t="s">
        <v>7369</v>
      </c>
      <c r="E1375" t="s">
        <v>6762</v>
      </c>
      <c r="F1375" t="s">
        <v>844</v>
      </c>
      <c r="G1375" t="s">
        <v>164</v>
      </c>
      <c r="H1375" t="s">
        <v>165</v>
      </c>
      <c r="I1375" t="s">
        <v>34</v>
      </c>
      <c r="J1375" t="s">
        <v>166</v>
      </c>
      <c r="K1375" t="s">
        <v>41</v>
      </c>
      <c r="L1375" t="s">
        <v>7370</v>
      </c>
      <c r="M1375" t="s">
        <v>7371</v>
      </c>
      <c r="N1375" t="s">
        <v>847</v>
      </c>
      <c r="O1375" t="s">
        <v>100</v>
      </c>
      <c r="P1375" t="s">
        <v>7372</v>
      </c>
      <c r="Q1375" t="s">
        <v>109</v>
      </c>
      <c r="R1375" t="s">
        <v>439</v>
      </c>
      <c r="S1375">
        <v>6.29</v>
      </c>
      <c r="T1375">
        <v>6888</v>
      </c>
      <c r="U1375">
        <v>0</v>
      </c>
      <c r="V1375">
        <v>6888</v>
      </c>
    </row>
    <row r="1376" spans="1:22" x14ac:dyDescent="0.3">
      <c r="A1376">
        <v>80147</v>
      </c>
      <c r="B1376">
        <v>136636181</v>
      </c>
      <c r="C1376" t="s">
        <v>7373</v>
      </c>
      <c r="D1376" t="s">
        <v>7374</v>
      </c>
      <c r="E1376" t="s">
        <v>6762</v>
      </c>
      <c r="F1376" t="s">
        <v>844</v>
      </c>
      <c r="G1376" t="s">
        <v>164</v>
      </c>
      <c r="H1376" t="s">
        <v>165</v>
      </c>
      <c r="I1376" t="s">
        <v>34</v>
      </c>
      <c r="J1376" t="s">
        <v>166</v>
      </c>
      <c r="K1376" t="s">
        <v>41</v>
      </c>
      <c r="L1376" t="s">
        <v>7375</v>
      </c>
      <c r="M1376" t="s">
        <v>7376</v>
      </c>
      <c r="N1376" t="s">
        <v>847</v>
      </c>
      <c r="O1376" t="s">
        <v>100</v>
      </c>
      <c r="P1376" t="s">
        <v>7377</v>
      </c>
      <c r="Q1376" t="s">
        <v>582</v>
      </c>
      <c r="R1376" t="s">
        <v>639</v>
      </c>
      <c r="S1376">
        <v>6.53</v>
      </c>
      <c r="T1376">
        <v>6912</v>
      </c>
      <c r="U1376">
        <v>0</v>
      </c>
      <c r="V1376">
        <v>6912</v>
      </c>
    </row>
    <row r="1377" spans="1:22" x14ac:dyDescent="0.3">
      <c r="A1377">
        <v>80147</v>
      </c>
      <c r="B1377">
        <v>136636203</v>
      </c>
      <c r="C1377" t="s">
        <v>7378</v>
      </c>
      <c r="D1377" t="s">
        <v>7379</v>
      </c>
      <c r="E1377" t="s">
        <v>6762</v>
      </c>
      <c r="F1377" t="s">
        <v>844</v>
      </c>
      <c r="G1377" t="s">
        <v>164</v>
      </c>
      <c r="H1377" t="s">
        <v>165</v>
      </c>
      <c r="I1377" t="s">
        <v>34</v>
      </c>
      <c r="J1377" t="s">
        <v>166</v>
      </c>
      <c r="K1377" t="s">
        <v>41</v>
      </c>
      <c r="L1377" t="s">
        <v>7380</v>
      </c>
      <c r="M1377" t="s">
        <v>7381</v>
      </c>
      <c r="N1377" t="s">
        <v>847</v>
      </c>
      <c r="O1377" t="s">
        <v>100</v>
      </c>
      <c r="P1377" t="s">
        <v>7382</v>
      </c>
      <c r="Q1377" t="s">
        <v>214</v>
      </c>
      <c r="R1377" t="s">
        <v>639</v>
      </c>
      <c r="S1377">
        <v>5.65</v>
      </c>
      <c r="T1377">
        <v>3797</v>
      </c>
      <c r="U1377">
        <v>0</v>
      </c>
      <c r="V1377">
        <v>3797</v>
      </c>
    </row>
    <row r="1378" spans="1:22" x14ac:dyDescent="0.3">
      <c r="A1378">
        <v>80147</v>
      </c>
      <c r="B1378">
        <v>136559573</v>
      </c>
      <c r="C1378" t="s">
        <v>7383</v>
      </c>
      <c r="D1378" t="s">
        <v>7384</v>
      </c>
      <c r="E1378" t="s">
        <v>6762</v>
      </c>
      <c r="F1378" t="s">
        <v>844</v>
      </c>
      <c r="G1378" t="s">
        <v>164</v>
      </c>
      <c r="H1378" t="s">
        <v>165</v>
      </c>
      <c r="I1378" t="s">
        <v>34</v>
      </c>
      <c r="J1378" t="s">
        <v>166</v>
      </c>
      <c r="K1378" t="s">
        <v>41</v>
      </c>
      <c r="L1378" t="s">
        <v>7385</v>
      </c>
      <c r="M1378" t="s">
        <v>7386</v>
      </c>
      <c r="N1378" t="s">
        <v>847</v>
      </c>
      <c r="O1378" t="s">
        <v>100</v>
      </c>
      <c r="P1378" t="s">
        <v>7387</v>
      </c>
      <c r="Q1378" t="s">
        <v>90</v>
      </c>
      <c r="R1378" t="s">
        <v>427</v>
      </c>
      <c r="S1378">
        <v>0.9</v>
      </c>
      <c r="T1378">
        <v>3870</v>
      </c>
      <c r="U1378">
        <v>0</v>
      </c>
      <c r="V1378">
        <v>3870</v>
      </c>
    </row>
    <row r="1379" spans="1:22" x14ac:dyDescent="0.3">
      <c r="A1379">
        <v>80147</v>
      </c>
      <c r="B1379">
        <v>136508620</v>
      </c>
      <c r="C1379" t="s">
        <v>7388</v>
      </c>
      <c r="D1379" t="s">
        <v>7389</v>
      </c>
      <c r="E1379" t="s">
        <v>6762</v>
      </c>
      <c r="F1379" t="s">
        <v>844</v>
      </c>
      <c r="G1379" t="s">
        <v>164</v>
      </c>
      <c r="H1379" t="s">
        <v>165</v>
      </c>
      <c r="I1379" t="s">
        <v>34</v>
      </c>
      <c r="J1379" t="s">
        <v>166</v>
      </c>
      <c r="K1379" t="s">
        <v>41</v>
      </c>
      <c r="L1379" t="s">
        <v>7390</v>
      </c>
      <c r="M1379" t="s">
        <v>7391</v>
      </c>
      <c r="N1379" t="s">
        <v>847</v>
      </c>
      <c r="O1379" t="s">
        <v>100</v>
      </c>
      <c r="P1379" t="s">
        <v>7392</v>
      </c>
      <c r="Q1379" t="s">
        <v>224</v>
      </c>
      <c r="R1379" t="s">
        <v>592</v>
      </c>
      <c r="S1379">
        <v>3.49</v>
      </c>
      <c r="T1379">
        <v>5111</v>
      </c>
      <c r="U1379">
        <v>0</v>
      </c>
      <c r="V1379">
        <v>5111</v>
      </c>
    </row>
    <row r="1380" spans="1:22" x14ac:dyDescent="0.3">
      <c r="A1380">
        <v>80147</v>
      </c>
      <c r="B1380">
        <v>136542009</v>
      </c>
      <c r="C1380" t="s">
        <v>7393</v>
      </c>
      <c r="D1380" t="s">
        <v>7394</v>
      </c>
      <c r="E1380" t="s">
        <v>6762</v>
      </c>
      <c r="F1380" t="s">
        <v>844</v>
      </c>
      <c r="G1380" t="s">
        <v>164</v>
      </c>
      <c r="H1380" t="s">
        <v>165</v>
      </c>
      <c r="I1380" t="s">
        <v>34</v>
      </c>
      <c r="J1380" t="s">
        <v>166</v>
      </c>
      <c r="K1380" t="s">
        <v>41</v>
      </c>
      <c r="L1380" t="s">
        <v>7395</v>
      </c>
      <c r="M1380" t="s">
        <v>7396</v>
      </c>
      <c r="N1380" t="s">
        <v>847</v>
      </c>
      <c r="O1380" t="s">
        <v>100</v>
      </c>
      <c r="P1380" t="s">
        <v>7397</v>
      </c>
      <c r="Q1380" t="s">
        <v>43</v>
      </c>
      <c r="R1380" t="s">
        <v>7281</v>
      </c>
      <c r="S1380">
        <v>0.9</v>
      </c>
      <c r="T1380">
        <v>3753</v>
      </c>
      <c r="U1380">
        <v>0</v>
      </c>
      <c r="V1380">
        <v>3753</v>
      </c>
    </row>
    <row r="1381" spans="1:22" x14ac:dyDescent="0.3">
      <c r="A1381">
        <v>80147</v>
      </c>
      <c r="B1381">
        <v>136364268</v>
      </c>
      <c r="C1381" t="s">
        <v>7398</v>
      </c>
      <c r="D1381" t="s">
        <v>7399</v>
      </c>
      <c r="E1381" t="s">
        <v>6762</v>
      </c>
      <c r="F1381" t="s">
        <v>844</v>
      </c>
      <c r="G1381" t="s">
        <v>164</v>
      </c>
      <c r="H1381" t="s">
        <v>165</v>
      </c>
      <c r="I1381" t="s">
        <v>34</v>
      </c>
      <c r="J1381" t="s">
        <v>166</v>
      </c>
      <c r="K1381" t="s">
        <v>41</v>
      </c>
      <c r="L1381" t="s">
        <v>7400</v>
      </c>
      <c r="M1381" t="s">
        <v>7401</v>
      </c>
      <c r="N1381" t="s">
        <v>847</v>
      </c>
      <c r="O1381" t="s">
        <v>100</v>
      </c>
      <c r="P1381" t="s">
        <v>7402</v>
      </c>
      <c r="Q1381" t="s">
        <v>203</v>
      </c>
      <c r="R1381" t="s">
        <v>439</v>
      </c>
      <c r="S1381">
        <v>6.05</v>
      </c>
      <c r="T1381">
        <v>5759</v>
      </c>
      <c r="U1381">
        <v>0</v>
      </c>
      <c r="V1381">
        <v>5759</v>
      </c>
    </row>
    <row r="1382" spans="1:22" x14ac:dyDescent="0.3">
      <c r="A1382">
        <v>80147</v>
      </c>
      <c r="B1382">
        <v>136197831</v>
      </c>
      <c r="C1382" t="s">
        <v>7403</v>
      </c>
      <c r="D1382" t="s">
        <v>7404</v>
      </c>
      <c r="E1382" t="s">
        <v>6762</v>
      </c>
      <c r="F1382" t="s">
        <v>844</v>
      </c>
      <c r="G1382" t="s">
        <v>164</v>
      </c>
      <c r="H1382" t="s">
        <v>165</v>
      </c>
      <c r="I1382" t="s">
        <v>34</v>
      </c>
      <c r="J1382" t="s">
        <v>166</v>
      </c>
      <c r="K1382" t="s">
        <v>41</v>
      </c>
      <c r="L1382" t="s">
        <v>7405</v>
      </c>
      <c r="M1382" t="s">
        <v>7406</v>
      </c>
      <c r="N1382" t="s">
        <v>847</v>
      </c>
      <c r="O1382" t="s">
        <v>100</v>
      </c>
      <c r="P1382" t="s">
        <v>7407</v>
      </c>
      <c r="Q1382" t="s">
        <v>55</v>
      </c>
      <c r="R1382" t="s">
        <v>725</v>
      </c>
      <c r="S1382">
        <v>1</v>
      </c>
      <c r="T1382">
        <v>5198</v>
      </c>
      <c r="U1382">
        <v>0</v>
      </c>
      <c r="V1382">
        <v>5198</v>
      </c>
    </row>
    <row r="1383" spans="1:22" x14ac:dyDescent="0.3">
      <c r="A1383">
        <v>80147</v>
      </c>
      <c r="B1383">
        <v>136412378</v>
      </c>
      <c r="C1383" t="s">
        <v>7408</v>
      </c>
      <c r="D1383" t="s">
        <v>7409</v>
      </c>
      <c r="E1383" t="s">
        <v>6762</v>
      </c>
      <c r="F1383" t="s">
        <v>844</v>
      </c>
      <c r="G1383" t="s">
        <v>164</v>
      </c>
      <c r="H1383" t="s">
        <v>165</v>
      </c>
      <c r="I1383" t="s">
        <v>34</v>
      </c>
      <c r="J1383" t="s">
        <v>166</v>
      </c>
      <c r="K1383" t="s">
        <v>41</v>
      </c>
      <c r="L1383" t="s">
        <v>7410</v>
      </c>
      <c r="M1383" t="s">
        <v>7411</v>
      </c>
      <c r="N1383" t="s">
        <v>847</v>
      </c>
      <c r="O1383" t="s">
        <v>100</v>
      </c>
      <c r="P1383" t="s">
        <v>7412</v>
      </c>
      <c r="Q1383" t="s">
        <v>55</v>
      </c>
      <c r="R1383" t="s">
        <v>757</v>
      </c>
      <c r="S1383">
        <v>6.41</v>
      </c>
      <c r="T1383">
        <v>9710</v>
      </c>
      <c r="U1383">
        <v>0</v>
      </c>
      <c r="V1383">
        <v>9710</v>
      </c>
    </row>
    <row r="1384" spans="1:22" x14ac:dyDescent="0.3">
      <c r="A1384">
        <v>80147</v>
      </c>
      <c r="B1384">
        <v>136483268</v>
      </c>
      <c r="C1384" t="s">
        <v>7413</v>
      </c>
      <c r="D1384" t="s">
        <v>7414</v>
      </c>
      <c r="E1384" t="s">
        <v>6762</v>
      </c>
      <c r="F1384" t="s">
        <v>844</v>
      </c>
      <c r="G1384" t="s">
        <v>164</v>
      </c>
      <c r="H1384" t="s">
        <v>165</v>
      </c>
      <c r="I1384" t="s">
        <v>34</v>
      </c>
      <c r="J1384" t="s">
        <v>166</v>
      </c>
      <c r="K1384" t="s">
        <v>41</v>
      </c>
      <c r="L1384" t="s">
        <v>7415</v>
      </c>
      <c r="M1384" t="s">
        <v>7416</v>
      </c>
      <c r="N1384" t="s">
        <v>847</v>
      </c>
      <c r="O1384" t="s">
        <v>100</v>
      </c>
      <c r="P1384" t="s">
        <v>7417</v>
      </c>
      <c r="Q1384" t="s">
        <v>109</v>
      </c>
      <c r="R1384" t="s">
        <v>7418</v>
      </c>
      <c r="S1384">
        <v>6.22</v>
      </c>
      <c r="T1384">
        <v>6888</v>
      </c>
      <c r="U1384">
        <v>0</v>
      </c>
      <c r="V1384">
        <v>6888</v>
      </c>
    </row>
    <row r="1385" spans="1:22" x14ac:dyDescent="0.3">
      <c r="A1385">
        <v>80147</v>
      </c>
      <c r="B1385">
        <v>136271638</v>
      </c>
      <c r="C1385" t="s">
        <v>7419</v>
      </c>
      <c r="D1385" t="s">
        <v>7420</v>
      </c>
      <c r="E1385" t="s">
        <v>6762</v>
      </c>
      <c r="F1385" t="s">
        <v>844</v>
      </c>
      <c r="G1385" t="s">
        <v>164</v>
      </c>
      <c r="H1385" t="s">
        <v>165</v>
      </c>
      <c r="I1385" t="s">
        <v>34</v>
      </c>
      <c r="J1385" t="s">
        <v>166</v>
      </c>
      <c r="K1385" t="s">
        <v>41</v>
      </c>
      <c r="L1385" t="s">
        <v>595</v>
      </c>
      <c r="M1385" t="s">
        <v>7421</v>
      </c>
      <c r="N1385" t="s">
        <v>847</v>
      </c>
      <c r="O1385" t="s">
        <v>100</v>
      </c>
      <c r="P1385" t="s">
        <v>7422</v>
      </c>
      <c r="Q1385" t="s">
        <v>86</v>
      </c>
      <c r="R1385" t="s">
        <v>372</v>
      </c>
      <c r="S1385">
        <v>6.32</v>
      </c>
      <c r="T1385">
        <v>5198</v>
      </c>
      <c r="U1385">
        <v>0</v>
      </c>
      <c r="V1385">
        <v>5198</v>
      </c>
    </row>
    <row r="1386" spans="1:22" x14ac:dyDescent="0.3">
      <c r="A1386">
        <v>80147</v>
      </c>
      <c r="B1386">
        <v>136271644</v>
      </c>
      <c r="C1386" t="s">
        <v>7423</v>
      </c>
      <c r="D1386" t="s">
        <v>7424</v>
      </c>
      <c r="E1386" t="s">
        <v>6762</v>
      </c>
      <c r="F1386" t="s">
        <v>844</v>
      </c>
      <c r="G1386" t="s">
        <v>164</v>
      </c>
      <c r="H1386" t="s">
        <v>165</v>
      </c>
      <c r="I1386" t="s">
        <v>34</v>
      </c>
      <c r="J1386" t="s">
        <v>166</v>
      </c>
      <c r="K1386" t="s">
        <v>41</v>
      </c>
      <c r="L1386" t="s">
        <v>7425</v>
      </c>
      <c r="M1386" t="s">
        <v>7426</v>
      </c>
      <c r="N1386" t="s">
        <v>847</v>
      </c>
      <c r="O1386" t="s">
        <v>100</v>
      </c>
      <c r="P1386" t="s">
        <v>7427</v>
      </c>
      <c r="Q1386" t="s">
        <v>63</v>
      </c>
      <c r="R1386" t="s">
        <v>372</v>
      </c>
      <c r="S1386">
        <v>1</v>
      </c>
      <c r="T1386">
        <v>4067</v>
      </c>
      <c r="U1386">
        <v>0</v>
      </c>
      <c r="V1386">
        <v>4067</v>
      </c>
    </row>
    <row r="1387" spans="1:22" x14ac:dyDescent="0.3">
      <c r="A1387">
        <v>80147</v>
      </c>
      <c r="B1387">
        <v>135606036</v>
      </c>
      <c r="C1387" t="s">
        <v>7428</v>
      </c>
      <c r="D1387" t="s">
        <v>7429</v>
      </c>
      <c r="E1387" t="s">
        <v>6762</v>
      </c>
      <c r="F1387" t="s">
        <v>844</v>
      </c>
      <c r="G1387" t="s">
        <v>164</v>
      </c>
      <c r="H1387" t="s">
        <v>165</v>
      </c>
      <c r="I1387" t="s">
        <v>34</v>
      </c>
      <c r="J1387" t="s">
        <v>166</v>
      </c>
      <c r="K1387" t="s">
        <v>41</v>
      </c>
      <c r="L1387" t="s">
        <v>7430</v>
      </c>
      <c r="M1387" t="s">
        <v>7431</v>
      </c>
      <c r="N1387" t="s">
        <v>847</v>
      </c>
      <c r="O1387" t="s">
        <v>100</v>
      </c>
      <c r="P1387" t="s">
        <v>7432</v>
      </c>
      <c r="Q1387" t="s">
        <v>246</v>
      </c>
      <c r="R1387" t="s">
        <v>7433</v>
      </c>
      <c r="S1387">
        <v>9.5500000000000007</v>
      </c>
      <c r="T1387">
        <v>11407</v>
      </c>
      <c r="U1387">
        <v>0</v>
      </c>
      <c r="V1387">
        <v>11407</v>
      </c>
    </row>
    <row r="1388" spans="1:22" x14ac:dyDescent="0.3">
      <c r="A1388">
        <v>80147</v>
      </c>
      <c r="B1388">
        <v>136364241</v>
      </c>
      <c r="C1388" t="s">
        <v>7434</v>
      </c>
      <c r="D1388" t="s">
        <v>7435</v>
      </c>
      <c r="E1388" t="s">
        <v>6762</v>
      </c>
      <c r="F1388" t="s">
        <v>844</v>
      </c>
      <c r="G1388" t="s">
        <v>164</v>
      </c>
      <c r="H1388" t="s">
        <v>165</v>
      </c>
      <c r="I1388" t="s">
        <v>34</v>
      </c>
      <c r="J1388" t="s">
        <v>166</v>
      </c>
      <c r="K1388" t="s">
        <v>41</v>
      </c>
      <c r="L1388" t="s">
        <v>7436</v>
      </c>
      <c r="M1388" t="s">
        <v>631</v>
      </c>
      <c r="N1388" t="s">
        <v>847</v>
      </c>
      <c r="O1388" t="s">
        <v>100</v>
      </c>
      <c r="P1388" t="s">
        <v>7437</v>
      </c>
      <c r="Q1388" t="s">
        <v>83</v>
      </c>
      <c r="R1388" t="s">
        <v>439</v>
      </c>
      <c r="S1388">
        <v>6.26</v>
      </c>
      <c r="T1388">
        <v>5198</v>
      </c>
      <c r="U1388">
        <v>0</v>
      </c>
      <c r="V1388">
        <v>5198</v>
      </c>
    </row>
    <row r="1389" spans="1:22" x14ac:dyDescent="0.3">
      <c r="A1389">
        <v>80147</v>
      </c>
      <c r="B1389">
        <v>136364281</v>
      </c>
      <c r="C1389" t="s">
        <v>7438</v>
      </c>
      <c r="D1389" t="s">
        <v>7439</v>
      </c>
      <c r="E1389" t="s">
        <v>6762</v>
      </c>
      <c r="F1389" t="s">
        <v>844</v>
      </c>
      <c r="G1389" t="s">
        <v>164</v>
      </c>
      <c r="H1389" t="s">
        <v>165</v>
      </c>
      <c r="I1389" t="s">
        <v>34</v>
      </c>
      <c r="J1389" t="s">
        <v>166</v>
      </c>
      <c r="K1389" t="s">
        <v>41</v>
      </c>
      <c r="L1389" t="s">
        <v>589</v>
      </c>
      <c r="M1389" t="s">
        <v>802</v>
      </c>
      <c r="N1389" t="s">
        <v>847</v>
      </c>
      <c r="O1389" t="s">
        <v>100</v>
      </c>
      <c r="P1389" t="s">
        <v>7440</v>
      </c>
      <c r="Q1389" t="s">
        <v>72</v>
      </c>
      <c r="R1389" t="s">
        <v>439</v>
      </c>
      <c r="S1389">
        <v>7.02</v>
      </c>
      <c r="T1389">
        <v>5476</v>
      </c>
      <c r="U1389">
        <v>0</v>
      </c>
      <c r="V1389">
        <v>5476</v>
      </c>
    </row>
    <row r="1390" spans="1:22" x14ac:dyDescent="0.3">
      <c r="A1390">
        <v>80147</v>
      </c>
      <c r="B1390">
        <v>136271630</v>
      </c>
      <c r="C1390" t="s">
        <v>7441</v>
      </c>
      <c r="D1390" t="s">
        <v>7442</v>
      </c>
      <c r="E1390" t="s">
        <v>6762</v>
      </c>
      <c r="F1390" t="s">
        <v>844</v>
      </c>
      <c r="G1390" t="s">
        <v>164</v>
      </c>
      <c r="H1390" t="s">
        <v>165</v>
      </c>
      <c r="I1390" t="s">
        <v>34</v>
      </c>
      <c r="J1390" t="s">
        <v>166</v>
      </c>
      <c r="K1390" t="s">
        <v>41</v>
      </c>
      <c r="L1390" t="s">
        <v>7443</v>
      </c>
      <c r="M1390" t="s">
        <v>7444</v>
      </c>
      <c r="N1390" t="s">
        <v>847</v>
      </c>
      <c r="O1390" t="s">
        <v>100</v>
      </c>
      <c r="P1390" t="s">
        <v>7445</v>
      </c>
      <c r="Q1390" t="s">
        <v>60</v>
      </c>
      <c r="R1390" t="s">
        <v>372</v>
      </c>
      <c r="S1390">
        <v>6.73</v>
      </c>
      <c r="T1390">
        <v>6888</v>
      </c>
      <c r="U1390">
        <v>0</v>
      </c>
      <c r="V1390">
        <v>6888</v>
      </c>
    </row>
    <row r="1391" spans="1:22" x14ac:dyDescent="0.3">
      <c r="A1391">
        <v>80147</v>
      </c>
      <c r="B1391">
        <v>136441514</v>
      </c>
      <c r="C1391" t="s">
        <v>7446</v>
      </c>
      <c r="D1391" t="s">
        <v>7447</v>
      </c>
      <c r="E1391" t="s">
        <v>6762</v>
      </c>
      <c r="F1391" t="s">
        <v>844</v>
      </c>
      <c r="G1391" t="s">
        <v>164</v>
      </c>
      <c r="H1391" t="s">
        <v>165</v>
      </c>
      <c r="I1391" t="s">
        <v>34</v>
      </c>
      <c r="J1391" t="s">
        <v>166</v>
      </c>
      <c r="K1391" t="s">
        <v>41</v>
      </c>
      <c r="L1391" t="s">
        <v>7448</v>
      </c>
      <c r="M1391" t="s">
        <v>7449</v>
      </c>
      <c r="N1391" t="s">
        <v>847</v>
      </c>
      <c r="O1391" t="s">
        <v>100</v>
      </c>
      <c r="P1391" t="s">
        <v>7450</v>
      </c>
      <c r="Q1391" t="s">
        <v>43</v>
      </c>
      <c r="R1391" t="s">
        <v>596</v>
      </c>
      <c r="S1391">
        <v>1</v>
      </c>
      <c r="T1391">
        <v>3753</v>
      </c>
      <c r="U1391">
        <v>0</v>
      </c>
      <c r="V1391">
        <v>3753</v>
      </c>
    </row>
    <row r="1392" spans="1:22" x14ac:dyDescent="0.3">
      <c r="A1392">
        <v>80147</v>
      </c>
      <c r="B1392">
        <v>136271597</v>
      </c>
      <c r="C1392" t="s">
        <v>7451</v>
      </c>
      <c r="D1392" t="s">
        <v>7452</v>
      </c>
      <c r="E1392" t="s">
        <v>6762</v>
      </c>
      <c r="F1392" t="s">
        <v>844</v>
      </c>
      <c r="G1392" t="s">
        <v>164</v>
      </c>
      <c r="H1392" t="s">
        <v>165</v>
      </c>
      <c r="I1392" t="s">
        <v>34</v>
      </c>
      <c r="J1392" t="s">
        <v>166</v>
      </c>
      <c r="K1392" t="s">
        <v>41</v>
      </c>
      <c r="L1392" t="s">
        <v>7453</v>
      </c>
      <c r="M1392" t="s">
        <v>7454</v>
      </c>
      <c r="N1392" t="s">
        <v>847</v>
      </c>
      <c r="O1392" t="s">
        <v>100</v>
      </c>
      <c r="P1392" t="s">
        <v>7455</v>
      </c>
      <c r="Q1392" t="s">
        <v>190</v>
      </c>
      <c r="R1392" t="s">
        <v>372</v>
      </c>
      <c r="S1392">
        <v>5.18</v>
      </c>
      <c r="T1392">
        <v>3797</v>
      </c>
      <c r="U1392">
        <v>0</v>
      </c>
      <c r="V1392">
        <v>3797</v>
      </c>
    </row>
    <row r="1393" spans="1:22" x14ac:dyDescent="0.3">
      <c r="A1393">
        <v>80147</v>
      </c>
      <c r="B1393">
        <v>136364213</v>
      </c>
      <c r="C1393" t="s">
        <v>7456</v>
      </c>
      <c r="D1393" t="s">
        <v>7457</v>
      </c>
      <c r="E1393" t="s">
        <v>6762</v>
      </c>
      <c r="F1393" t="s">
        <v>844</v>
      </c>
      <c r="G1393" t="s">
        <v>164</v>
      </c>
      <c r="H1393" t="s">
        <v>165</v>
      </c>
      <c r="I1393" t="s">
        <v>34</v>
      </c>
      <c r="J1393" t="s">
        <v>166</v>
      </c>
      <c r="K1393" t="s">
        <v>41</v>
      </c>
      <c r="L1393" t="s">
        <v>7458</v>
      </c>
      <c r="M1393" t="s">
        <v>7459</v>
      </c>
      <c r="N1393" t="s">
        <v>847</v>
      </c>
      <c r="O1393" t="s">
        <v>100</v>
      </c>
      <c r="P1393" t="s">
        <v>7460</v>
      </c>
      <c r="Q1393" t="s">
        <v>127</v>
      </c>
      <c r="R1393" t="s">
        <v>439</v>
      </c>
      <c r="S1393">
        <v>6.88</v>
      </c>
      <c r="T1393">
        <v>7017</v>
      </c>
      <c r="U1393">
        <v>0</v>
      </c>
      <c r="V1393">
        <v>7017</v>
      </c>
    </row>
    <row r="1394" spans="1:22" x14ac:dyDescent="0.3">
      <c r="A1394">
        <v>80147</v>
      </c>
      <c r="B1394">
        <v>136364217</v>
      </c>
      <c r="C1394" t="s">
        <v>7461</v>
      </c>
      <c r="D1394" t="s">
        <v>7462</v>
      </c>
      <c r="E1394" t="s">
        <v>6762</v>
      </c>
      <c r="F1394" t="s">
        <v>844</v>
      </c>
      <c r="G1394" t="s">
        <v>164</v>
      </c>
      <c r="H1394" t="s">
        <v>165</v>
      </c>
      <c r="I1394" t="s">
        <v>34</v>
      </c>
      <c r="J1394" t="s">
        <v>166</v>
      </c>
      <c r="K1394" t="s">
        <v>41</v>
      </c>
      <c r="L1394" t="s">
        <v>7463</v>
      </c>
      <c r="M1394" t="s">
        <v>7464</v>
      </c>
      <c r="N1394" t="s">
        <v>847</v>
      </c>
      <c r="O1394" t="s">
        <v>100</v>
      </c>
      <c r="P1394" t="s">
        <v>7465</v>
      </c>
      <c r="Q1394" t="s">
        <v>59</v>
      </c>
      <c r="R1394" t="s">
        <v>439</v>
      </c>
      <c r="S1394">
        <v>3</v>
      </c>
      <c r="T1394">
        <v>4067</v>
      </c>
      <c r="U1394">
        <v>0</v>
      </c>
      <c r="V1394">
        <v>4067</v>
      </c>
    </row>
    <row r="1395" spans="1:22" x14ac:dyDescent="0.3">
      <c r="A1395">
        <v>80147</v>
      </c>
      <c r="B1395">
        <v>136271615</v>
      </c>
      <c r="C1395" t="s">
        <v>7466</v>
      </c>
      <c r="D1395" t="s">
        <v>7467</v>
      </c>
      <c r="E1395" t="s">
        <v>6762</v>
      </c>
      <c r="F1395" t="s">
        <v>844</v>
      </c>
      <c r="G1395" t="s">
        <v>164</v>
      </c>
      <c r="H1395" t="s">
        <v>165</v>
      </c>
      <c r="I1395" t="s">
        <v>34</v>
      </c>
      <c r="J1395" t="s">
        <v>166</v>
      </c>
      <c r="K1395" t="s">
        <v>41</v>
      </c>
      <c r="L1395" t="s">
        <v>7468</v>
      </c>
      <c r="M1395" t="s">
        <v>468</v>
      </c>
      <c r="N1395" t="s">
        <v>847</v>
      </c>
      <c r="O1395" t="s">
        <v>100</v>
      </c>
      <c r="P1395" t="s">
        <v>7469</v>
      </c>
      <c r="Q1395" t="s">
        <v>70</v>
      </c>
      <c r="R1395" t="s">
        <v>372</v>
      </c>
      <c r="S1395">
        <v>6.44</v>
      </c>
      <c r="T1395">
        <v>5476</v>
      </c>
      <c r="U1395">
        <v>0</v>
      </c>
      <c r="V1395">
        <v>5476</v>
      </c>
    </row>
    <row r="1396" spans="1:22" x14ac:dyDescent="0.3">
      <c r="A1396">
        <v>80147</v>
      </c>
      <c r="B1396">
        <v>136508623</v>
      </c>
      <c r="C1396" t="s">
        <v>7470</v>
      </c>
      <c r="D1396" t="s">
        <v>7471</v>
      </c>
      <c r="E1396" t="s">
        <v>6762</v>
      </c>
      <c r="F1396" t="s">
        <v>844</v>
      </c>
      <c r="G1396" t="s">
        <v>164</v>
      </c>
      <c r="H1396" t="s">
        <v>165</v>
      </c>
      <c r="I1396" t="s">
        <v>34</v>
      </c>
      <c r="J1396" t="s">
        <v>166</v>
      </c>
      <c r="K1396" t="s">
        <v>41</v>
      </c>
      <c r="L1396" t="s">
        <v>7472</v>
      </c>
      <c r="M1396" t="s">
        <v>7473</v>
      </c>
      <c r="N1396" t="s">
        <v>847</v>
      </c>
      <c r="O1396" t="s">
        <v>100</v>
      </c>
      <c r="P1396" t="s">
        <v>7474</v>
      </c>
      <c r="Q1396" t="s">
        <v>222</v>
      </c>
      <c r="R1396" t="s">
        <v>592</v>
      </c>
      <c r="S1396">
        <v>1</v>
      </c>
      <c r="T1396">
        <v>4067</v>
      </c>
      <c r="U1396">
        <v>0</v>
      </c>
      <c r="V1396">
        <v>4067</v>
      </c>
    </row>
    <row r="1397" spans="1:22" x14ac:dyDescent="0.3">
      <c r="A1397">
        <v>80147</v>
      </c>
      <c r="B1397">
        <v>136271610</v>
      </c>
      <c r="C1397" t="s">
        <v>7475</v>
      </c>
      <c r="D1397" t="s">
        <v>7476</v>
      </c>
      <c r="E1397" t="s">
        <v>6762</v>
      </c>
      <c r="F1397" t="s">
        <v>844</v>
      </c>
      <c r="G1397" t="s">
        <v>164</v>
      </c>
      <c r="H1397" t="s">
        <v>165</v>
      </c>
      <c r="I1397" t="s">
        <v>34</v>
      </c>
      <c r="J1397" t="s">
        <v>166</v>
      </c>
      <c r="K1397" t="s">
        <v>41</v>
      </c>
      <c r="L1397" t="s">
        <v>7477</v>
      </c>
      <c r="M1397" t="s">
        <v>228</v>
      </c>
      <c r="N1397" t="s">
        <v>847</v>
      </c>
      <c r="O1397" t="s">
        <v>100</v>
      </c>
      <c r="P1397" t="s">
        <v>7478</v>
      </c>
      <c r="Q1397" t="s">
        <v>76</v>
      </c>
      <c r="R1397" t="s">
        <v>372</v>
      </c>
      <c r="S1397">
        <v>6.73</v>
      </c>
      <c r="T1397">
        <v>5759</v>
      </c>
      <c r="U1397">
        <v>0</v>
      </c>
      <c r="V1397">
        <v>5759</v>
      </c>
    </row>
    <row r="1398" spans="1:22" x14ac:dyDescent="0.3">
      <c r="A1398">
        <v>80147</v>
      </c>
      <c r="B1398">
        <v>136412382</v>
      </c>
      <c r="C1398" t="s">
        <v>7479</v>
      </c>
      <c r="D1398" t="s">
        <v>7480</v>
      </c>
      <c r="E1398" t="s">
        <v>6762</v>
      </c>
      <c r="F1398" t="s">
        <v>844</v>
      </c>
      <c r="G1398" t="s">
        <v>164</v>
      </c>
      <c r="H1398" t="s">
        <v>165</v>
      </c>
      <c r="I1398" t="s">
        <v>34</v>
      </c>
      <c r="J1398" t="s">
        <v>166</v>
      </c>
      <c r="K1398" t="s">
        <v>41</v>
      </c>
      <c r="L1398" t="s">
        <v>7481</v>
      </c>
      <c r="M1398" t="s">
        <v>7482</v>
      </c>
      <c r="N1398" t="s">
        <v>847</v>
      </c>
      <c r="O1398" t="s">
        <v>100</v>
      </c>
      <c r="P1398" t="s">
        <v>7483</v>
      </c>
      <c r="Q1398" t="s">
        <v>69</v>
      </c>
      <c r="R1398" t="s">
        <v>757</v>
      </c>
      <c r="S1398">
        <v>1</v>
      </c>
      <c r="T1398">
        <v>3753</v>
      </c>
      <c r="U1398">
        <v>0</v>
      </c>
      <c r="V1398">
        <v>3753</v>
      </c>
    </row>
    <row r="1399" spans="1:22" x14ac:dyDescent="0.3">
      <c r="A1399">
        <v>80147</v>
      </c>
      <c r="B1399">
        <v>136271635</v>
      </c>
      <c r="C1399" t="s">
        <v>7484</v>
      </c>
      <c r="D1399" t="s">
        <v>7485</v>
      </c>
      <c r="E1399" t="s">
        <v>6762</v>
      </c>
      <c r="F1399" t="s">
        <v>844</v>
      </c>
      <c r="G1399" t="s">
        <v>164</v>
      </c>
      <c r="H1399" t="s">
        <v>165</v>
      </c>
      <c r="I1399" t="s">
        <v>34</v>
      </c>
      <c r="J1399" t="s">
        <v>166</v>
      </c>
      <c r="K1399" t="s">
        <v>41</v>
      </c>
      <c r="L1399" t="s">
        <v>7486</v>
      </c>
      <c r="M1399" t="s">
        <v>7487</v>
      </c>
      <c r="N1399" t="s">
        <v>847</v>
      </c>
      <c r="O1399" t="s">
        <v>100</v>
      </c>
      <c r="P1399" t="s">
        <v>7488</v>
      </c>
      <c r="Q1399" t="s">
        <v>210</v>
      </c>
      <c r="R1399" t="s">
        <v>372</v>
      </c>
      <c r="S1399">
        <v>7.02</v>
      </c>
      <c r="T1399">
        <v>6888</v>
      </c>
      <c r="U1399">
        <v>0</v>
      </c>
      <c r="V1399">
        <v>6888</v>
      </c>
    </row>
    <row r="1400" spans="1:22" x14ac:dyDescent="0.3">
      <c r="A1400">
        <v>80147</v>
      </c>
      <c r="B1400">
        <v>136364251</v>
      </c>
      <c r="C1400" t="s">
        <v>7489</v>
      </c>
      <c r="D1400" t="s">
        <v>7490</v>
      </c>
      <c r="E1400" t="s">
        <v>6762</v>
      </c>
      <c r="F1400" t="s">
        <v>844</v>
      </c>
      <c r="G1400" t="s">
        <v>164</v>
      </c>
      <c r="H1400" t="s">
        <v>165</v>
      </c>
      <c r="I1400" t="s">
        <v>34</v>
      </c>
      <c r="J1400" t="s">
        <v>166</v>
      </c>
      <c r="K1400" t="s">
        <v>41</v>
      </c>
      <c r="L1400" t="s">
        <v>7491</v>
      </c>
      <c r="M1400" t="s">
        <v>7492</v>
      </c>
      <c r="N1400" t="s">
        <v>847</v>
      </c>
      <c r="O1400" t="s">
        <v>100</v>
      </c>
      <c r="P1400" t="s">
        <v>7493</v>
      </c>
      <c r="Q1400" t="s">
        <v>93</v>
      </c>
      <c r="R1400" t="s">
        <v>439</v>
      </c>
      <c r="S1400">
        <v>5.9</v>
      </c>
      <c r="T1400">
        <v>3797</v>
      </c>
      <c r="U1400">
        <v>0</v>
      </c>
      <c r="V1400">
        <v>3797</v>
      </c>
    </row>
    <row r="1401" spans="1:22" x14ac:dyDescent="0.3">
      <c r="A1401">
        <v>80147</v>
      </c>
      <c r="B1401">
        <v>136364279</v>
      </c>
      <c r="C1401" t="s">
        <v>7494</v>
      </c>
      <c r="D1401" t="s">
        <v>7495</v>
      </c>
      <c r="E1401" t="s">
        <v>6762</v>
      </c>
      <c r="F1401" t="s">
        <v>844</v>
      </c>
      <c r="G1401" t="s">
        <v>164</v>
      </c>
      <c r="H1401" t="s">
        <v>165</v>
      </c>
      <c r="I1401" t="s">
        <v>34</v>
      </c>
      <c r="J1401" t="s">
        <v>166</v>
      </c>
      <c r="K1401" t="s">
        <v>41</v>
      </c>
      <c r="L1401" t="s">
        <v>605</v>
      </c>
      <c r="M1401" t="s">
        <v>7496</v>
      </c>
      <c r="N1401" t="s">
        <v>847</v>
      </c>
      <c r="O1401" t="s">
        <v>100</v>
      </c>
      <c r="P1401" t="s">
        <v>7497</v>
      </c>
      <c r="Q1401" t="s">
        <v>83</v>
      </c>
      <c r="R1401" t="s">
        <v>439</v>
      </c>
      <c r="S1401">
        <v>7.55</v>
      </c>
      <c r="T1401">
        <v>5198</v>
      </c>
      <c r="U1401">
        <v>0</v>
      </c>
      <c r="V1401">
        <v>5198</v>
      </c>
    </row>
    <row r="1402" spans="1:22" x14ac:dyDescent="0.3">
      <c r="A1402">
        <v>80147</v>
      </c>
      <c r="B1402">
        <v>135982180</v>
      </c>
      <c r="C1402" t="s">
        <v>7498</v>
      </c>
      <c r="D1402" t="s">
        <v>7499</v>
      </c>
      <c r="E1402" t="s">
        <v>6762</v>
      </c>
      <c r="F1402" t="s">
        <v>844</v>
      </c>
      <c r="G1402" t="s">
        <v>164</v>
      </c>
      <c r="H1402" t="s">
        <v>165</v>
      </c>
      <c r="I1402" t="s">
        <v>34</v>
      </c>
      <c r="J1402" t="s">
        <v>166</v>
      </c>
      <c r="K1402" t="s">
        <v>41</v>
      </c>
      <c r="L1402" t="s">
        <v>7500</v>
      </c>
      <c r="M1402" t="s">
        <v>7501</v>
      </c>
      <c r="N1402" t="s">
        <v>847</v>
      </c>
      <c r="O1402" t="s">
        <v>100</v>
      </c>
      <c r="P1402" t="s">
        <v>7502</v>
      </c>
      <c r="Q1402" t="s">
        <v>246</v>
      </c>
      <c r="R1402" t="s">
        <v>7131</v>
      </c>
      <c r="S1402">
        <v>1</v>
      </c>
      <c r="T1402">
        <v>5759</v>
      </c>
      <c r="U1402">
        <v>0</v>
      </c>
      <c r="V1402">
        <v>5759</v>
      </c>
    </row>
    <row r="1403" spans="1:22" x14ac:dyDescent="0.3">
      <c r="A1403">
        <v>80147</v>
      </c>
      <c r="B1403">
        <v>136197827</v>
      </c>
      <c r="C1403" t="s">
        <v>7503</v>
      </c>
      <c r="D1403" t="s">
        <v>7504</v>
      </c>
      <c r="E1403" t="s">
        <v>6762</v>
      </c>
      <c r="F1403" t="s">
        <v>844</v>
      </c>
      <c r="G1403" t="s">
        <v>164</v>
      </c>
      <c r="H1403" t="s">
        <v>165</v>
      </c>
      <c r="I1403" t="s">
        <v>34</v>
      </c>
      <c r="J1403" t="s">
        <v>166</v>
      </c>
      <c r="K1403" t="s">
        <v>41</v>
      </c>
      <c r="L1403" t="s">
        <v>7505</v>
      </c>
      <c r="M1403" t="s">
        <v>7506</v>
      </c>
      <c r="N1403" t="s">
        <v>847</v>
      </c>
      <c r="O1403" t="s">
        <v>100</v>
      </c>
      <c r="P1403" t="s">
        <v>7507</v>
      </c>
      <c r="Q1403" t="s">
        <v>63</v>
      </c>
      <c r="R1403" t="s">
        <v>725</v>
      </c>
      <c r="S1403">
        <v>6.05</v>
      </c>
      <c r="T1403">
        <v>6328</v>
      </c>
      <c r="U1403">
        <v>0</v>
      </c>
      <c r="V1403">
        <v>6328</v>
      </c>
    </row>
    <row r="1404" spans="1:22" x14ac:dyDescent="0.3">
      <c r="A1404">
        <v>80147</v>
      </c>
      <c r="B1404">
        <v>136364267</v>
      </c>
      <c r="C1404" t="s">
        <v>7508</v>
      </c>
      <c r="D1404" t="s">
        <v>7509</v>
      </c>
      <c r="E1404" t="s">
        <v>6762</v>
      </c>
      <c r="F1404" t="s">
        <v>844</v>
      </c>
      <c r="G1404" t="s">
        <v>164</v>
      </c>
      <c r="H1404" t="s">
        <v>165</v>
      </c>
      <c r="I1404" t="s">
        <v>34</v>
      </c>
      <c r="J1404" t="s">
        <v>166</v>
      </c>
      <c r="K1404" t="s">
        <v>41</v>
      </c>
      <c r="L1404" t="s">
        <v>7510</v>
      </c>
      <c r="M1404" t="s">
        <v>7511</v>
      </c>
      <c r="N1404" t="s">
        <v>847</v>
      </c>
      <c r="O1404" t="s">
        <v>100</v>
      </c>
      <c r="P1404" t="s">
        <v>7512</v>
      </c>
      <c r="Q1404" t="s">
        <v>109</v>
      </c>
      <c r="R1404" t="s">
        <v>439</v>
      </c>
      <c r="S1404">
        <v>6.37</v>
      </c>
      <c r="T1404">
        <v>6888</v>
      </c>
      <c r="U1404">
        <v>0</v>
      </c>
      <c r="V1404">
        <v>6888</v>
      </c>
    </row>
    <row r="1405" spans="1:22" x14ac:dyDescent="0.3">
      <c r="A1405">
        <v>80147</v>
      </c>
      <c r="B1405">
        <v>136271595</v>
      </c>
      <c r="C1405" t="s">
        <v>7513</v>
      </c>
      <c r="D1405" t="s">
        <v>7514</v>
      </c>
      <c r="E1405" t="s">
        <v>6762</v>
      </c>
      <c r="F1405" t="s">
        <v>844</v>
      </c>
      <c r="G1405" t="s">
        <v>164</v>
      </c>
      <c r="H1405" t="s">
        <v>165</v>
      </c>
      <c r="I1405" t="s">
        <v>34</v>
      </c>
      <c r="J1405" t="s">
        <v>166</v>
      </c>
      <c r="K1405" t="s">
        <v>41</v>
      </c>
      <c r="L1405" t="s">
        <v>7515</v>
      </c>
      <c r="M1405" t="s">
        <v>7516</v>
      </c>
      <c r="N1405" t="s">
        <v>847</v>
      </c>
      <c r="O1405" t="s">
        <v>100</v>
      </c>
      <c r="P1405" t="s">
        <v>7517</v>
      </c>
      <c r="Q1405" t="s">
        <v>74</v>
      </c>
      <c r="R1405" t="s">
        <v>372</v>
      </c>
      <c r="S1405">
        <v>7.01</v>
      </c>
      <c r="T1405">
        <v>5759</v>
      </c>
      <c r="U1405">
        <v>0</v>
      </c>
      <c r="V1405">
        <v>5759</v>
      </c>
    </row>
    <row r="1406" spans="1:22" x14ac:dyDescent="0.3">
      <c r="A1406">
        <v>80147</v>
      </c>
      <c r="B1406">
        <v>136197845</v>
      </c>
      <c r="C1406" t="s">
        <v>7518</v>
      </c>
      <c r="D1406" t="s">
        <v>7519</v>
      </c>
      <c r="E1406" t="s">
        <v>6762</v>
      </c>
      <c r="F1406" t="s">
        <v>844</v>
      </c>
      <c r="G1406" t="s">
        <v>164</v>
      </c>
      <c r="H1406" t="s">
        <v>165</v>
      </c>
      <c r="I1406" t="s">
        <v>34</v>
      </c>
      <c r="J1406" t="s">
        <v>166</v>
      </c>
      <c r="K1406" t="s">
        <v>41</v>
      </c>
      <c r="L1406" t="s">
        <v>7520</v>
      </c>
      <c r="M1406" t="s">
        <v>7521</v>
      </c>
      <c r="N1406" t="s">
        <v>847</v>
      </c>
      <c r="O1406" t="s">
        <v>100</v>
      </c>
      <c r="P1406" t="s">
        <v>7522</v>
      </c>
      <c r="Q1406" t="s">
        <v>68</v>
      </c>
      <c r="R1406" t="s">
        <v>725</v>
      </c>
      <c r="S1406">
        <v>6.05</v>
      </c>
      <c r="T1406">
        <v>5759</v>
      </c>
      <c r="U1406">
        <v>0</v>
      </c>
      <c r="V1406">
        <v>5759</v>
      </c>
    </row>
    <row r="1407" spans="1:22" x14ac:dyDescent="0.3">
      <c r="A1407">
        <v>80147</v>
      </c>
      <c r="B1407">
        <v>136483271</v>
      </c>
      <c r="C1407" t="s">
        <v>7523</v>
      </c>
      <c r="D1407" t="s">
        <v>7524</v>
      </c>
      <c r="E1407" t="s">
        <v>6762</v>
      </c>
      <c r="F1407" t="s">
        <v>844</v>
      </c>
      <c r="G1407" t="s">
        <v>164</v>
      </c>
      <c r="H1407" t="s">
        <v>165</v>
      </c>
      <c r="I1407" t="s">
        <v>34</v>
      </c>
      <c r="J1407" t="s">
        <v>166</v>
      </c>
      <c r="K1407" t="s">
        <v>41</v>
      </c>
      <c r="L1407" t="s">
        <v>7525</v>
      </c>
      <c r="M1407" t="s">
        <v>136</v>
      </c>
      <c r="N1407" t="s">
        <v>847</v>
      </c>
      <c r="O1407" t="s">
        <v>100</v>
      </c>
      <c r="P1407" t="s">
        <v>7526</v>
      </c>
      <c r="Q1407" t="s">
        <v>86</v>
      </c>
      <c r="R1407" t="s">
        <v>7418</v>
      </c>
      <c r="S1407">
        <v>1</v>
      </c>
      <c r="T1407">
        <v>3366</v>
      </c>
      <c r="U1407">
        <v>0</v>
      </c>
      <c r="V1407">
        <v>3366</v>
      </c>
    </row>
    <row r="1408" spans="1:22" x14ac:dyDescent="0.3">
      <c r="A1408">
        <v>80147</v>
      </c>
      <c r="B1408">
        <v>136197825</v>
      </c>
      <c r="C1408" t="s">
        <v>7527</v>
      </c>
      <c r="D1408" t="s">
        <v>7528</v>
      </c>
      <c r="E1408" t="s">
        <v>6762</v>
      </c>
      <c r="F1408" t="s">
        <v>844</v>
      </c>
      <c r="G1408" t="s">
        <v>164</v>
      </c>
      <c r="H1408" t="s">
        <v>165</v>
      </c>
      <c r="I1408" t="s">
        <v>34</v>
      </c>
      <c r="J1408" t="s">
        <v>166</v>
      </c>
      <c r="K1408" t="s">
        <v>41</v>
      </c>
      <c r="L1408" t="s">
        <v>7529</v>
      </c>
      <c r="M1408" t="s">
        <v>7530</v>
      </c>
      <c r="N1408" t="s">
        <v>847</v>
      </c>
      <c r="O1408" t="s">
        <v>100</v>
      </c>
      <c r="P1408" t="s">
        <v>7531</v>
      </c>
      <c r="Q1408" t="s">
        <v>60</v>
      </c>
      <c r="R1408" t="s">
        <v>725</v>
      </c>
      <c r="S1408">
        <v>5.62</v>
      </c>
      <c r="T1408">
        <v>5376</v>
      </c>
      <c r="U1408">
        <v>0</v>
      </c>
      <c r="V1408">
        <v>5376</v>
      </c>
    </row>
    <row r="1409" spans="1:22" x14ac:dyDescent="0.3">
      <c r="A1409">
        <v>80147</v>
      </c>
      <c r="B1409">
        <v>136364228</v>
      </c>
      <c r="C1409" t="s">
        <v>7532</v>
      </c>
      <c r="D1409" t="s">
        <v>7533</v>
      </c>
      <c r="E1409" t="s">
        <v>6762</v>
      </c>
      <c r="F1409" t="s">
        <v>844</v>
      </c>
      <c r="G1409" t="s">
        <v>164</v>
      </c>
      <c r="H1409" t="s">
        <v>165</v>
      </c>
      <c r="I1409" t="s">
        <v>34</v>
      </c>
      <c r="J1409" t="s">
        <v>166</v>
      </c>
      <c r="K1409" t="s">
        <v>41</v>
      </c>
      <c r="L1409" t="s">
        <v>7534</v>
      </c>
      <c r="M1409" t="s">
        <v>7535</v>
      </c>
      <c r="N1409" t="s">
        <v>847</v>
      </c>
      <c r="O1409" t="s">
        <v>100</v>
      </c>
      <c r="P1409" t="s">
        <v>7536</v>
      </c>
      <c r="Q1409" t="s">
        <v>76</v>
      </c>
      <c r="R1409" t="s">
        <v>439</v>
      </c>
      <c r="S1409">
        <v>3.3</v>
      </c>
      <c r="T1409">
        <v>4456</v>
      </c>
      <c r="U1409">
        <v>0</v>
      </c>
      <c r="V1409">
        <v>4456</v>
      </c>
    </row>
    <row r="1410" spans="1:22" x14ac:dyDescent="0.3">
      <c r="A1410">
        <v>80147</v>
      </c>
      <c r="B1410">
        <v>136197826</v>
      </c>
      <c r="C1410" t="s">
        <v>7537</v>
      </c>
      <c r="D1410" t="s">
        <v>7538</v>
      </c>
      <c r="E1410" t="s">
        <v>6762</v>
      </c>
      <c r="F1410" t="s">
        <v>844</v>
      </c>
      <c r="G1410" t="s">
        <v>164</v>
      </c>
      <c r="H1410" t="s">
        <v>165</v>
      </c>
      <c r="I1410" t="s">
        <v>34</v>
      </c>
      <c r="J1410" t="s">
        <v>166</v>
      </c>
      <c r="K1410" t="s">
        <v>41</v>
      </c>
      <c r="L1410" t="s">
        <v>7539</v>
      </c>
      <c r="M1410" t="s">
        <v>7540</v>
      </c>
      <c r="N1410" t="s">
        <v>847</v>
      </c>
      <c r="O1410" t="s">
        <v>100</v>
      </c>
      <c r="P1410" t="s">
        <v>7541</v>
      </c>
      <c r="Q1410" t="s">
        <v>61</v>
      </c>
      <c r="R1410" t="s">
        <v>725</v>
      </c>
      <c r="S1410">
        <v>6.43</v>
      </c>
      <c r="T1410">
        <v>6888</v>
      </c>
      <c r="U1410">
        <v>0</v>
      </c>
      <c r="V1410">
        <v>6888</v>
      </c>
    </row>
    <row r="1411" spans="1:22" x14ac:dyDescent="0.3">
      <c r="A1411">
        <v>80147</v>
      </c>
      <c r="B1411">
        <v>136271631</v>
      </c>
      <c r="C1411" t="s">
        <v>7542</v>
      </c>
      <c r="D1411" t="s">
        <v>7543</v>
      </c>
      <c r="E1411" t="s">
        <v>6762</v>
      </c>
      <c r="F1411" t="s">
        <v>844</v>
      </c>
      <c r="G1411" t="s">
        <v>164</v>
      </c>
      <c r="H1411" t="s">
        <v>165</v>
      </c>
      <c r="I1411" t="s">
        <v>34</v>
      </c>
      <c r="J1411" t="s">
        <v>166</v>
      </c>
      <c r="K1411" t="s">
        <v>41</v>
      </c>
      <c r="L1411" t="s">
        <v>7544</v>
      </c>
      <c r="M1411" t="s">
        <v>7545</v>
      </c>
      <c r="N1411" t="s">
        <v>847</v>
      </c>
      <c r="O1411" t="s">
        <v>100</v>
      </c>
      <c r="P1411" t="s">
        <v>7546</v>
      </c>
      <c r="Q1411" t="s">
        <v>215</v>
      </c>
      <c r="R1411" t="s">
        <v>372</v>
      </c>
      <c r="S1411">
        <v>5.86</v>
      </c>
      <c r="T1411">
        <v>5111</v>
      </c>
      <c r="U1411">
        <v>0</v>
      </c>
      <c r="V1411">
        <v>5111</v>
      </c>
    </row>
    <row r="1412" spans="1:22" x14ac:dyDescent="0.3">
      <c r="A1412">
        <v>80147</v>
      </c>
      <c r="B1412">
        <v>136364277</v>
      </c>
      <c r="C1412" t="s">
        <v>7547</v>
      </c>
      <c r="D1412" t="s">
        <v>7548</v>
      </c>
      <c r="E1412" t="s">
        <v>6762</v>
      </c>
      <c r="F1412" t="s">
        <v>844</v>
      </c>
      <c r="G1412" t="s">
        <v>164</v>
      </c>
      <c r="H1412" t="s">
        <v>165</v>
      </c>
      <c r="I1412" t="s">
        <v>34</v>
      </c>
      <c r="J1412" t="s">
        <v>166</v>
      </c>
      <c r="K1412" t="s">
        <v>41</v>
      </c>
      <c r="L1412" t="s">
        <v>7549</v>
      </c>
      <c r="M1412" t="s">
        <v>7550</v>
      </c>
      <c r="N1412" t="s">
        <v>847</v>
      </c>
      <c r="O1412" t="s">
        <v>100</v>
      </c>
      <c r="P1412" t="s">
        <v>7551</v>
      </c>
      <c r="Q1412" t="s">
        <v>84</v>
      </c>
      <c r="R1412" t="s">
        <v>439</v>
      </c>
      <c r="S1412">
        <v>6.39</v>
      </c>
      <c r="T1412">
        <v>5198</v>
      </c>
      <c r="U1412">
        <v>0</v>
      </c>
      <c r="V1412">
        <v>5198</v>
      </c>
    </row>
    <row r="1413" spans="1:22" x14ac:dyDescent="0.3">
      <c r="A1413">
        <v>80147</v>
      </c>
      <c r="B1413">
        <v>136197838</v>
      </c>
      <c r="C1413" t="s">
        <v>7552</v>
      </c>
      <c r="D1413" t="s">
        <v>7553</v>
      </c>
      <c r="E1413" t="s">
        <v>6762</v>
      </c>
      <c r="F1413" t="s">
        <v>844</v>
      </c>
      <c r="G1413" t="s">
        <v>164</v>
      </c>
      <c r="H1413" t="s">
        <v>165</v>
      </c>
      <c r="I1413" t="s">
        <v>34</v>
      </c>
      <c r="J1413" t="s">
        <v>166</v>
      </c>
      <c r="K1413" t="s">
        <v>41</v>
      </c>
      <c r="L1413" t="s">
        <v>7554</v>
      </c>
      <c r="M1413" t="s">
        <v>743</v>
      </c>
      <c r="N1413" t="s">
        <v>847</v>
      </c>
      <c r="O1413" t="s">
        <v>100</v>
      </c>
      <c r="P1413" t="s">
        <v>7555</v>
      </c>
      <c r="Q1413" t="s">
        <v>49</v>
      </c>
      <c r="R1413" t="s">
        <v>725</v>
      </c>
      <c r="S1413">
        <v>6.11</v>
      </c>
      <c r="T1413">
        <v>5476</v>
      </c>
      <c r="U1413">
        <v>0</v>
      </c>
      <c r="V1413">
        <v>5476</v>
      </c>
    </row>
    <row r="1414" spans="1:22" x14ac:dyDescent="0.3">
      <c r="A1414">
        <v>80147</v>
      </c>
      <c r="B1414">
        <v>136364259</v>
      </c>
      <c r="C1414" t="s">
        <v>7556</v>
      </c>
      <c r="D1414" t="s">
        <v>7557</v>
      </c>
      <c r="E1414" t="s">
        <v>6762</v>
      </c>
      <c r="F1414" t="s">
        <v>844</v>
      </c>
      <c r="G1414" t="s">
        <v>164</v>
      </c>
      <c r="H1414" t="s">
        <v>165</v>
      </c>
      <c r="I1414" t="s">
        <v>34</v>
      </c>
      <c r="J1414" t="s">
        <v>166</v>
      </c>
      <c r="K1414" t="s">
        <v>41</v>
      </c>
      <c r="L1414" t="s">
        <v>7558</v>
      </c>
      <c r="M1414" t="s">
        <v>7559</v>
      </c>
      <c r="N1414" t="s">
        <v>847</v>
      </c>
      <c r="O1414" t="s">
        <v>100</v>
      </c>
      <c r="P1414" t="s">
        <v>7560</v>
      </c>
      <c r="Q1414" t="s">
        <v>85</v>
      </c>
      <c r="R1414" t="s">
        <v>439</v>
      </c>
      <c r="S1414">
        <v>5.58</v>
      </c>
      <c r="T1414">
        <v>3797</v>
      </c>
      <c r="U1414">
        <v>0</v>
      </c>
      <c r="V1414">
        <v>3797</v>
      </c>
    </row>
    <row r="1415" spans="1:22" x14ac:dyDescent="0.3">
      <c r="A1415">
        <v>80147</v>
      </c>
      <c r="B1415">
        <v>136197839</v>
      </c>
      <c r="C1415" t="s">
        <v>7561</v>
      </c>
      <c r="D1415" t="s">
        <v>7562</v>
      </c>
      <c r="E1415" t="s">
        <v>6762</v>
      </c>
      <c r="F1415" t="s">
        <v>844</v>
      </c>
      <c r="G1415" t="s">
        <v>164</v>
      </c>
      <c r="H1415" t="s">
        <v>165</v>
      </c>
      <c r="I1415" t="s">
        <v>34</v>
      </c>
      <c r="J1415" t="s">
        <v>166</v>
      </c>
      <c r="K1415" t="s">
        <v>41</v>
      </c>
      <c r="L1415" t="s">
        <v>7563</v>
      </c>
      <c r="M1415" t="s">
        <v>7564</v>
      </c>
      <c r="N1415" t="s">
        <v>847</v>
      </c>
      <c r="O1415" t="s">
        <v>100</v>
      </c>
      <c r="P1415" t="s">
        <v>7565</v>
      </c>
      <c r="Q1415" t="s">
        <v>94</v>
      </c>
      <c r="R1415" t="s">
        <v>725</v>
      </c>
      <c r="S1415">
        <v>6.3</v>
      </c>
      <c r="T1415">
        <v>5198</v>
      </c>
      <c r="U1415">
        <v>0</v>
      </c>
      <c r="V1415">
        <v>5198</v>
      </c>
    </row>
    <row r="1416" spans="1:22" x14ac:dyDescent="0.3">
      <c r="A1416">
        <v>80147</v>
      </c>
      <c r="B1416">
        <v>136271633</v>
      </c>
      <c r="C1416" t="s">
        <v>7566</v>
      </c>
      <c r="D1416" t="s">
        <v>7567</v>
      </c>
      <c r="E1416" t="s">
        <v>6762</v>
      </c>
      <c r="F1416" t="s">
        <v>844</v>
      </c>
      <c r="G1416" t="s">
        <v>164</v>
      </c>
      <c r="H1416" t="s">
        <v>165</v>
      </c>
      <c r="I1416" t="s">
        <v>34</v>
      </c>
      <c r="J1416" t="s">
        <v>166</v>
      </c>
      <c r="K1416" t="s">
        <v>41</v>
      </c>
      <c r="L1416" t="s">
        <v>217</v>
      </c>
      <c r="M1416" t="s">
        <v>7568</v>
      </c>
      <c r="N1416" t="s">
        <v>847</v>
      </c>
      <c r="O1416" t="s">
        <v>100</v>
      </c>
      <c r="P1416" t="s">
        <v>7569</v>
      </c>
      <c r="Q1416" t="s">
        <v>93</v>
      </c>
      <c r="R1416" t="s">
        <v>372</v>
      </c>
      <c r="S1416">
        <v>6.5</v>
      </c>
      <c r="T1416">
        <v>5198</v>
      </c>
      <c r="U1416">
        <v>0</v>
      </c>
      <c r="V1416">
        <v>5198</v>
      </c>
    </row>
    <row r="1417" spans="1:22" x14ac:dyDescent="0.3">
      <c r="A1417">
        <v>80147</v>
      </c>
      <c r="B1417">
        <v>136027159</v>
      </c>
      <c r="C1417" t="s">
        <v>7570</v>
      </c>
      <c r="D1417" t="s">
        <v>7571</v>
      </c>
      <c r="E1417" t="s">
        <v>6762</v>
      </c>
      <c r="F1417" t="s">
        <v>844</v>
      </c>
      <c r="G1417" t="s">
        <v>164</v>
      </c>
      <c r="H1417" t="s">
        <v>165</v>
      </c>
      <c r="I1417" t="s">
        <v>34</v>
      </c>
      <c r="J1417" t="s">
        <v>166</v>
      </c>
      <c r="K1417" t="s">
        <v>41</v>
      </c>
      <c r="L1417" t="s">
        <v>7150</v>
      </c>
      <c r="M1417" t="s">
        <v>7151</v>
      </c>
      <c r="N1417" t="s">
        <v>847</v>
      </c>
      <c r="O1417" t="s">
        <v>100</v>
      </c>
      <c r="P1417" t="s">
        <v>7152</v>
      </c>
      <c r="Q1417" t="s">
        <v>43</v>
      </c>
      <c r="R1417" t="s">
        <v>7147</v>
      </c>
      <c r="S1417">
        <v>5.46</v>
      </c>
      <c r="T1417">
        <v>4322</v>
      </c>
      <c r="U1417">
        <v>0</v>
      </c>
      <c r="V1417">
        <v>4322</v>
      </c>
    </row>
    <row r="1418" spans="1:22" x14ac:dyDescent="0.3">
      <c r="A1418">
        <v>80147</v>
      </c>
      <c r="B1418">
        <v>136197790</v>
      </c>
      <c r="C1418" t="s">
        <v>7572</v>
      </c>
      <c r="D1418" t="s">
        <v>7573</v>
      </c>
      <c r="E1418" t="s">
        <v>6762</v>
      </c>
      <c r="F1418" t="s">
        <v>844</v>
      </c>
      <c r="G1418" t="s">
        <v>164</v>
      </c>
      <c r="H1418" t="s">
        <v>165</v>
      </c>
      <c r="I1418" t="s">
        <v>34</v>
      </c>
      <c r="J1418" t="s">
        <v>166</v>
      </c>
      <c r="K1418" t="s">
        <v>41</v>
      </c>
      <c r="L1418" t="s">
        <v>7574</v>
      </c>
      <c r="M1418" t="s">
        <v>7575</v>
      </c>
      <c r="N1418" t="s">
        <v>847</v>
      </c>
      <c r="O1418" t="s">
        <v>100</v>
      </c>
      <c r="P1418" t="s">
        <v>7576</v>
      </c>
      <c r="Q1418" t="s">
        <v>209</v>
      </c>
      <c r="R1418" t="s">
        <v>725</v>
      </c>
      <c r="S1418">
        <v>5.26</v>
      </c>
      <c r="T1418">
        <v>8008</v>
      </c>
      <c r="U1418">
        <v>0</v>
      </c>
      <c r="V1418">
        <v>8008</v>
      </c>
    </row>
    <row r="1419" spans="1:22" x14ac:dyDescent="0.3">
      <c r="A1419">
        <v>80147</v>
      </c>
      <c r="B1419">
        <v>136106098</v>
      </c>
      <c r="C1419" t="s">
        <v>7577</v>
      </c>
      <c r="D1419" t="s">
        <v>7578</v>
      </c>
      <c r="E1419" t="s">
        <v>6762</v>
      </c>
      <c r="F1419" t="s">
        <v>844</v>
      </c>
      <c r="G1419" t="s">
        <v>164</v>
      </c>
      <c r="H1419" t="s">
        <v>165</v>
      </c>
      <c r="I1419" t="s">
        <v>34</v>
      </c>
      <c r="J1419" t="s">
        <v>166</v>
      </c>
      <c r="K1419" t="s">
        <v>41</v>
      </c>
      <c r="L1419" t="s">
        <v>7579</v>
      </c>
      <c r="M1419" t="s">
        <v>7580</v>
      </c>
      <c r="N1419" t="s">
        <v>847</v>
      </c>
      <c r="O1419" t="s">
        <v>100</v>
      </c>
      <c r="P1419" t="s">
        <v>7581</v>
      </c>
      <c r="Q1419" t="s">
        <v>199</v>
      </c>
      <c r="R1419" t="s">
        <v>270</v>
      </c>
      <c r="S1419">
        <v>6.78</v>
      </c>
      <c r="T1419">
        <v>6328</v>
      </c>
      <c r="U1419">
        <v>0</v>
      </c>
      <c r="V1419">
        <v>6328</v>
      </c>
    </row>
    <row r="1420" spans="1:22" x14ac:dyDescent="0.3">
      <c r="A1420">
        <v>80147</v>
      </c>
      <c r="B1420">
        <v>135848155</v>
      </c>
      <c r="C1420" t="s">
        <v>7582</v>
      </c>
      <c r="D1420" t="s">
        <v>7583</v>
      </c>
      <c r="E1420" t="s">
        <v>6762</v>
      </c>
      <c r="F1420" t="s">
        <v>844</v>
      </c>
      <c r="G1420" t="s">
        <v>164</v>
      </c>
      <c r="H1420" t="s">
        <v>165</v>
      </c>
      <c r="I1420" t="s">
        <v>34</v>
      </c>
      <c r="J1420" t="s">
        <v>166</v>
      </c>
      <c r="K1420" t="s">
        <v>41</v>
      </c>
      <c r="L1420" t="s">
        <v>7584</v>
      </c>
      <c r="M1420" t="s">
        <v>7585</v>
      </c>
      <c r="N1420" t="s">
        <v>847</v>
      </c>
      <c r="O1420" t="s">
        <v>100</v>
      </c>
      <c r="P1420" t="s">
        <v>7586</v>
      </c>
      <c r="Q1420" t="s">
        <v>85</v>
      </c>
      <c r="R1420" t="s">
        <v>676</v>
      </c>
      <c r="S1420">
        <v>6.68</v>
      </c>
      <c r="T1420">
        <v>5198</v>
      </c>
      <c r="U1420">
        <v>0</v>
      </c>
      <c r="V1420">
        <v>5198</v>
      </c>
    </row>
    <row r="1421" spans="1:22" x14ac:dyDescent="0.3">
      <c r="A1421">
        <v>80147</v>
      </c>
      <c r="B1421">
        <v>135848163</v>
      </c>
      <c r="C1421" t="s">
        <v>7587</v>
      </c>
      <c r="D1421" t="s">
        <v>7588</v>
      </c>
      <c r="E1421" t="s">
        <v>6762</v>
      </c>
      <c r="F1421" t="s">
        <v>844</v>
      </c>
      <c r="G1421" t="s">
        <v>164</v>
      </c>
      <c r="H1421" t="s">
        <v>165</v>
      </c>
      <c r="I1421" t="s">
        <v>34</v>
      </c>
      <c r="J1421" t="s">
        <v>166</v>
      </c>
      <c r="K1421" t="s">
        <v>41</v>
      </c>
      <c r="L1421" t="s">
        <v>7589</v>
      </c>
      <c r="M1421" t="s">
        <v>7590</v>
      </c>
      <c r="N1421" t="s">
        <v>847</v>
      </c>
      <c r="O1421" t="s">
        <v>100</v>
      </c>
      <c r="P1421" t="s">
        <v>7591</v>
      </c>
      <c r="Q1421" t="s">
        <v>57</v>
      </c>
      <c r="R1421" t="s">
        <v>676</v>
      </c>
      <c r="S1421">
        <v>20.62</v>
      </c>
      <c r="T1421">
        <v>34072</v>
      </c>
      <c r="U1421">
        <v>0</v>
      </c>
      <c r="V1421">
        <v>34072</v>
      </c>
    </row>
    <row r="1422" spans="1:22" x14ac:dyDescent="0.3">
      <c r="A1422">
        <v>80147</v>
      </c>
      <c r="B1422">
        <v>135606037</v>
      </c>
      <c r="C1422" t="s">
        <v>7592</v>
      </c>
      <c r="D1422" t="s">
        <v>7593</v>
      </c>
      <c r="E1422" t="s">
        <v>6762</v>
      </c>
      <c r="F1422" t="s">
        <v>844</v>
      </c>
      <c r="G1422" t="s">
        <v>164</v>
      </c>
      <c r="H1422" t="s">
        <v>165</v>
      </c>
      <c r="I1422" t="s">
        <v>34</v>
      </c>
      <c r="J1422" t="s">
        <v>166</v>
      </c>
      <c r="K1422" t="s">
        <v>41</v>
      </c>
      <c r="L1422" t="s">
        <v>7594</v>
      </c>
      <c r="M1422" t="s">
        <v>7595</v>
      </c>
      <c r="N1422" t="s">
        <v>847</v>
      </c>
      <c r="O1422" t="s">
        <v>100</v>
      </c>
      <c r="P1422" t="s">
        <v>7596</v>
      </c>
      <c r="Q1422" t="s">
        <v>246</v>
      </c>
      <c r="R1422" t="s">
        <v>7433</v>
      </c>
      <c r="S1422">
        <v>5.53</v>
      </c>
      <c r="T1422">
        <v>8008</v>
      </c>
      <c r="U1422">
        <v>0</v>
      </c>
      <c r="V1422">
        <v>8008</v>
      </c>
    </row>
    <row r="1423" spans="1:22" x14ac:dyDescent="0.3">
      <c r="A1423">
        <v>80147</v>
      </c>
      <c r="B1423">
        <v>135848193</v>
      </c>
      <c r="C1423" t="s">
        <v>7597</v>
      </c>
      <c r="D1423" t="s">
        <v>7598</v>
      </c>
      <c r="E1423" t="s">
        <v>6762</v>
      </c>
      <c r="F1423" t="s">
        <v>844</v>
      </c>
      <c r="G1423" t="s">
        <v>164</v>
      </c>
      <c r="H1423" t="s">
        <v>165</v>
      </c>
      <c r="I1423" t="s">
        <v>34</v>
      </c>
      <c r="J1423" t="s">
        <v>166</v>
      </c>
      <c r="K1423" t="s">
        <v>41</v>
      </c>
      <c r="L1423" t="s">
        <v>7599</v>
      </c>
      <c r="M1423" t="s">
        <v>7600</v>
      </c>
      <c r="N1423" t="s">
        <v>847</v>
      </c>
      <c r="O1423" t="s">
        <v>100</v>
      </c>
      <c r="P1423" t="s">
        <v>7601</v>
      </c>
      <c r="Q1423" t="s">
        <v>57</v>
      </c>
      <c r="R1423" t="s">
        <v>676</v>
      </c>
      <c r="S1423">
        <v>6.34</v>
      </c>
      <c r="T1423">
        <v>10562</v>
      </c>
      <c r="U1423">
        <v>0</v>
      </c>
      <c r="V1423">
        <v>10562</v>
      </c>
    </row>
    <row r="1424" spans="1:22" x14ac:dyDescent="0.3">
      <c r="A1424">
        <v>80147</v>
      </c>
      <c r="B1424">
        <v>136197822</v>
      </c>
      <c r="C1424" t="s">
        <v>7602</v>
      </c>
      <c r="D1424" t="s">
        <v>7603</v>
      </c>
      <c r="E1424" t="s">
        <v>6762</v>
      </c>
      <c r="F1424" t="s">
        <v>844</v>
      </c>
      <c r="G1424" t="s">
        <v>164</v>
      </c>
      <c r="H1424" t="s">
        <v>165</v>
      </c>
      <c r="I1424" t="s">
        <v>34</v>
      </c>
      <c r="J1424" t="s">
        <v>166</v>
      </c>
      <c r="K1424" t="s">
        <v>41</v>
      </c>
      <c r="L1424" t="s">
        <v>7604</v>
      </c>
      <c r="M1424" t="s">
        <v>7605</v>
      </c>
      <c r="N1424" t="s">
        <v>847</v>
      </c>
      <c r="O1424" t="s">
        <v>100</v>
      </c>
      <c r="P1424" t="s">
        <v>7606</v>
      </c>
      <c r="Q1424" t="s">
        <v>54</v>
      </c>
      <c r="R1424" t="s">
        <v>725</v>
      </c>
      <c r="S1424">
        <v>24.71</v>
      </c>
      <c r="T1424">
        <v>35007</v>
      </c>
      <c r="U1424">
        <v>0</v>
      </c>
      <c r="V1424">
        <v>35007</v>
      </c>
    </row>
    <row r="1425" spans="1:22" x14ac:dyDescent="0.3">
      <c r="A1425">
        <v>80147</v>
      </c>
      <c r="B1425">
        <v>136027171</v>
      </c>
      <c r="C1425" t="s">
        <v>7607</v>
      </c>
      <c r="D1425" t="s">
        <v>7608</v>
      </c>
      <c r="E1425" t="s">
        <v>6762</v>
      </c>
      <c r="F1425" t="s">
        <v>844</v>
      </c>
      <c r="G1425" t="s">
        <v>164</v>
      </c>
      <c r="H1425" t="s">
        <v>165</v>
      </c>
      <c r="I1425" t="s">
        <v>34</v>
      </c>
      <c r="J1425" t="s">
        <v>166</v>
      </c>
      <c r="K1425" t="s">
        <v>41</v>
      </c>
      <c r="L1425" t="s">
        <v>7609</v>
      </c>
      <c r="M1425" t="s">
        <v>7610</v>
      </c>
      <c r="N1425" t="s">
        <v>847</v>
      </c>
      <c r="O1425" t="s">
        <v>100</v>
      </c>
      <c r="P1425" t="s">
        <v>7611</v>
      </c>
      <c r="Q1425" t="s">
        <v>55</v>
      </c>
      <c r="R1425" t="s">
        <v>7147</v>
      </c>
      <c r="S1425">
        <v>1</v>
      </c>
      <c r="T1425">
        <v>5198</v>
      </c>
      <c r="U1425">
        <v>0</v>
      </c>
      <c r="V1425">
        <v>5198</v>
      </c>
    </row>
    <row r="1426" spans="1:22" x14ac:dyDescent="0.3">
      <c r="A1426">
        <v>80147</v>
      </c>
      <c r="B1426">
        <v>135449253</v>
      </c>
      <c r="C1426" t="s">
        <v>7612</v>
      </c>
      <c r="D1426" t="s">
        <v>7613</v>
      </c>
      <c r="E1426" t="s">
        <v>6762</v>
      </c>
      <c r="F1426" t="s">
        <v>844</v>
      </c>
      <c r="G1426" t="s">
        <v>172</v>
      </c>
      <c r="H1426" t="s">
        <v>173</v>
      </c>
      <c r="I1426" t="s">
        <v>34</v>
      </c>
      <c r="J1426" t="s">
        <v>272</v>
      </c>
      <c r="K1426" t="s">
        <v>41</v>
      </c>
      <c r="L1426" t="s">
        <v>174</v>
      </c>
      <c r="M1426" t="s">
        <v>7614</v>
      </c>
      <c r="N1426" t="s">
        <v>847</v>
      </c>
      <c r="O1426" t="s">
        <v>100</v>
      </c>
      <c r="P1426" t="s">
        <v>7615</v>
      </c>
      <c r="Q1426" t="s">
        <v>103</v>
      </c>
      <c r="R1426" t="s">
        <v>7616</v>
      </c>
      <c r="S1426">
        <v>1.55</v>
      </c>
      <c r="T1426">
        <v>4168</v>
      </c>
      <c r="U1426">
        <v>0</v>
      </c>
      <c r="V1426">
        <v>4168</v>
      </c>
    </row>
    <row r="1427" spans="1:22" x14ac:dyDescent="0.3">
      <c r="A1427">
        <v>80147</v>
      </c>
      <c r="B1427">
        <v>136197799</v>
      </c>
      <c r="C1427" t="s">
        <v>7617</v>
      </c>
      <c r="D1427" t="s">
        <v>7618</v>
      </c>
      <c r="E1427" t="s">
        <v>6762</v>
      </c>
      <c r="F1427" t="s">
        <v>844</v>
      </c>
      <c r="G1427" t="s">
        <v>164</v>
      </c>
      <c r="H1427" t="s">
        <v>165</v>
      </c>
      <c r="I1427" t="s">
        <v>34</v>
      </c>
      <c r="J1427" t="s">
        <v>166</v>
      </c>
      <c r="K1427" t="s">
        <v>41</v>
      </c>
      <c r="L1427" t="s">
        <v>7619</v>
      </c>
      <c r="M1427" t="s">
        <v>7620</v>
      </c>
      <c r="N1427" t="s">
        <v>847</v>
      </c>
      <c r="O1427" t="s">
        <v>100</v>
      </c>
      <c r="P1427" t="s">
        <v>7621</v>
      </c>
      <c r="Q1427" t="s">
        <v>200</v>
      </c>
      <c r="R1427" t="s">
        <v>725</v>
      </c>
      <c r="S1427">
        <v>1</v>
      </c>
      <c r="T1427">
        <v>3753</v>
      </c>
      <c r="U1427">
        <v>0</v>
      </c>
      <c r="V1427">
        <v>3753</v>
      </c>
    </row>
    <row r="1428" spans="1:22" x14ac:dyDescent="0.3">
      <c r="A1428">
        <v>80147</v>
      </c>
      <c r="B1428">
        <v>136106116</v>
      </c>
      <c r="C1428" t="s">
        <v>7622</v>
      </c>
      <c r="D1428" t="s">
        <v>7623</v>
      </c>
      <c r="E1428" t="s">
        <v>6762</v>
      </c>
      <c r="F1428" t="s">
        <v>844</v>
      </c>
      <c r="G1428" t="s">
        <v>164</v>
      </c>
      <c r="H1428" t="s">
        <v>165</v>
      </c>
      <c r="I1428" t="s">
        <v>34</v>
      </c>
      <c r="J1428" t="s">
        <v>166</v>
      </c>
      <c r="K1428" t="s">
        <v>41</v>
      </c>
      <c r="L1428" t="s">
        <v>7624</v>
      </c>
      <c r="M1428" t="s">
        <v>7625</v>
      </c>
      <c r="N1428" t="s">
        <v>847</v>
      </c>
      <c r="O1428" t="s">
        <v>100</v>
      </c>
      <c r="P1428" t="s">
        <v>7626</v>
      </c>
      <c r="Q1428" t="s">
        <v>68</v>
      </c>
      <c r="R1428" t="s">
        <v>270</v>
      </c>
      <c r="S1428">
        <v>1</v>
      </c>
      <c r="T1428">
        <v>3753</v>
      </c>
      <c r="U1428">
        <v>0</v>
      </c>
      <c r="V1428">
        <v>3753</v>
      </c>
    </row>
    <row r="1429" spans="1:22" x14ac:dyDescent="0.3">
      <c r="A1429">
        <v>80147</v>
      </c>
      <c r="B1429">
        <v>136106142</v>
      </c>
      <c r="C1429" t="s">
        <v>7627</v>
      </c>
      <c r="D1429" t="s">
        <v>7628</v>
      </c>
      <c r="E1429" t="s">
        <v>6762</v>
      </c>
      <c r="F1429" t="s">
        <v>844</v>
      </c>
      <c r="G1429" t="s">
        <v>164</v>
      </c>
      <c r="H1429" t="s">
        <v>165</v>
      </c>
      <c r="I1429" t="s">
        <v>34</v>
      </c>
      <c r="J1429" t="s">
        <v>166</v>
      </c>
      <c r="K1429" t="s">
        <v>41</v>
      </c>
      <c r="L1429" t="s">
        <v>7629</v>
      </c>
      <c r="M1429" t="s">
        <v>717</v>
      </c>
      <c r="N1429" t="s">
        <v>847</v>
      </c>
      <c r="O1429" t="s">
        <v>100</v>
      </c>
      <c r="P1429" t="s">
        <v>7630</v>
      </c>
      <c r="Q1429" t="s">
        <v>55</v>
      </c>
      <c r="R1429" t="s">
        <v>270</v>
      </c>
      <c r="S1429">
        <v>5.75</v>
      </c>
      <c r="T1429">
        <v>7484</v>
      </c>
      <c r="U1429">
        <v>0</v>
      </c>
      <c r="V1429">
        <v>7484</v>
      </c>
    </row>
    <row r="1430" spans="1:22" x14ac:dyDescent="0.3">
      <c r="A1430">
        <v>80147</v>
      </c>
      <c r="B1430">
        <v>135848184</v>
      </c>
      <c r="C1430" t="s">
        <v>7631</v>
      </c>
      <c r="D1430" t="s">
        <v>7632</v>
      </c>
      <c r="E1430" t="s">
        <v>6762</v>
      </c>
      <c r="F1430" t="s">
        <v>844</v>
      </c>
      <c r="G1430" t="s">
        <v>164</v>
      </c>
      <c r="H1430" t="s">
        <v>165</v>
      </c>
      <c r="I1430" t="s">
        <v>34</v>
      </c>
      <c r="J1430" t="s">
        <v>166</v>
      </c>
      <c r="K1430" t="s">
        <v>41</v>
      </c>
      <c r="L1430" t="s">
        <v>7633</v>
      </c>
      <c r="M1430" t="s">
        <v>7634</v>
      </c>
      <c r="N1430" t="s">
        <v>847</v>
      </c>
      <c r="O1430" t="s">
        <v>100</v>
      </c>
      <c r="P1430" t="s">
        <v>7635</v>
      </c>
      <c r="Q1430" t="s">
        <v>55</v>
      </c>
      <c r="R1430" t="s">
        <v>676</v>
      </c>
      <c r="S1430">
        <v>5.82</v>
      </c>
      <c r="T1430">
        <v>7484</v>
      </c>
      <c r="U1430">
        <v>0</v>
      </c>
      <c r="V1430">
        <v>7484</v>
      </c>
    </row>
    <row r="1431" spans="1:22" x14ac:dyDescent="0.3">
      <c r="A1431">
        <v>80147</v>
      </c>
      <c r="B1431">
        <v>136027153</v>
      </c>
      <c r="C1431" t="s">
        <v>7636</v>
      </c>
      <c r="D1431" t="s">
        <v>7637</v>
      </c>
      <c r="E1431" t="s">
        <v>6762</v>
      </c>
      <c r="F1431" t="s">
        <v>844</v>
      </c>
      <c r="G1431" t="s">
        <v>164</v>
      </c>
      <c r="H1431" t="s">
        <v>165</v>
      </c>
      <c r="I1431" t="s">
        <v>34</v>
      </c>
      <c r="J1431" t="s">
        <v>166</v>
      </c>
      <c r="K1431" t="s">
        <v>41</v>
      </c>
      <c r="L1431" t="s">
        <v>7638</v>
      </c>
      <c r="M1431" t="s">
        <v>7639</v>
      </c>
      <c r="N1431" t="s">
        <v>847</v>
      </c>
      <c r="O1431" t="s">
        <v>100</v>
      </c>
      <c r="P1431" t="s">
        <v>7640</v>
      </c>
      <c r="Q1431" t="s">
        <v>67</v>
      </c>
      <c r="R1431" t="s">
        <v>7147</v>
      </c>
      <c r="S1431">
        <v>6.4</v>
      </c>
      <c r="T1431">
        <v>5759</v>
      </c>
      <c r="U1431">
        <v>0</v>
      </c>
      <c r="V1431">
        <v>5759</v>
      </c>
    </row>
    <row r="1432" spans="1:22" x14ac:dyDescent="0.3">
      <c r="A1432">
        <v>80147</v>
      </c>
      <c r="B1432">
        <v>135412593</v>
      </c>
      <c r="C1432" t="s">
        <v>7641</v>
      </c>
      <c r="D1432" t="s">
        <v>7642</v>
      </c>
      <c r="E1432" t="s">
        <v>6762</v>
      </c>
      <c r="F1432" t="s">
        <v>844</v>
      </c>
      <c r="G1432" t="s">
        <v>164</v>
      </c>
      <c r="H1432" t="s">
        <v>165</v>
      </c>
      <c r="I1432" t="s">
        <v>34</v>
      </c>
      <c r="J1432" t="s">
        <v>166</v>
      </c>
      <c r="K1432" t="s">
        <v>41</v>
      </c>
      <c r="L1432" t="s">
        <v>7643</v>
      </c>
      <c r="M1432" t="s">
        <v>7644</v>
      </c>
      <c r="N1432" t="s">
        <v>847</v>
      </c>
      <c r="O1432" t="s">
        <v>100</v>
      </c>
      <c r="P1432" t="s">
        <v>7645</v>
      </c>
      <c r="Q1432" t="s">
        <v>246</v>
      </c>
      <c r="R1432" t="s">
        <v>7646</v>
      </c>
      <c r="S1432">
        <v>4.49</v>
      </c>
      <c r="T1432">
        <v>8008</v>
      </c>
      <c r="U1432">
        <v>0</v>
      </c>
      <c r="V1432">
        <v>8008</v>
      </c>
    </row>
    <row r="1433" spans="1:22" x14ac:dyDescent="0.3">
      <c r="A1433">
        <v>80147</v>
      </c>
      <c r="B1433">
        <v>136027177</v>
      </c>
      <c r="C1433" t="s">
        <v>7647</v>
      </c>
      <c r="D1433" t="s">
        <v>7648</v>
      </c>
      <c r="E1433" t="s">
        <v>6762</v>
      </c>
      <c r="F1433" t="s">
        <v>844</v>
      </c>
      <c r="G1433" t="s">
        <v>164</v>
      </c>
      <c r="H1433" t="s">
        <v>165</v>
      </c>
      <c r="I1433" t="s">
        <v>34</v>
      </c>
      <c r="J1433" t="s">
        <v>166</v>
      </c>
      <c r="K1433" t="s">
        <v>41</v>
      </c>
      <c r="L1433" t="s">
        <v>7649</v>
      </c>
      <c r="M1433" t="s">
        <v>7650</v>
      </c>
      <c r="N1433" t="s">
        <v>847</v>
      </c>
      <c r="O1433" t="s">
        <v>100</v>
      </c>
      <c r="P1433" t="s">
        <v>7651</v>
      </c>
      <c r="Q1433" t="s">
        <v>63</v>
      </c>
      <c r="R1433" t="s">
        <v>7147</v>
      </c>
      <c r="S1433">
        <v>1</v>
      </c>
      <c r="T1433">
        <v>4067</v>
      </c>
      <c r="U1433">
        <v>0</v>
      </c>
      <c r="V1433">
        <v>4067</v>
      </c>
    </row>
    <row r="1434" spans="1:22" x14ac:dyDescent="0.3">
      <c r="A1434">
        <v>80147</v>
      </c>
      <c r="B1434">
        <v>136197813</v>
      </c>
      <c r="C1434" t="s">
        <v>7652</v>
      </c>
      <c r="D1434" t="s">
        <v>7653</v>
      </c>
      <c r="E1434" t="s">
        <v>6762</v>
      </c>
      <c r="F1434" t="s">
        <v>844</v>
      </c>
      <c r="G1434" t="s">
        <v>164</v>
      </c>
      <c r="H1434" t="s">
        <v>165</v>
      </c>
      <c r="I1434" t="s">
        <v>34</v>
      </c>
      <c r="J1434" t="s">
        <v>166</v>
      </c>
      <c r="K1434" t="s">
        <v>41</v>
      </c>
      <c r="L1434" t="s">
        <v>7654</v>
      </c>
      <c r="M1434" t="s">
        <v>7655</v>
      </c>
      <c r="N1434" t="s">
        <v>847</v>
      </c>
      <c r="O1434" t="s">
        <v>100</v>
      </c>
      <c r="P1434" t="s">
        <v>7656</v>
      </c>
      <c r="Q1434" t="s">
        <v>90</v>
      </c>
      <c r="R1434" t="s">
        <v>725</v>
      </c>
      <c r="S1434">
        <v>1</v>
      </c>
      <c r="T1434">
        <v>3870</v>
      </c>
      <c r="U1434">
        <v>0</v>
      </c>
      <c r="V1434">
        <v>3870</v>
      </c>
    </row>
    <row r="1435" spans="1:22" x14ac:dyDescent="0.3">
      <c r="A1435">
        <v>80147</v>
      </c>
      <c r="B1435">
        <v>135746576</v>
      </c>
      <c r="C1435" t="s">
        <v>7657</v>
      </c>
      <c r="D1435" t="s">
        <v>7658</v>
      </c>
      <c r="E1435" t="s">
        <v>6762</v>
      </c>
      <c r="F1435" t="s">
        <v>844</v>
      </c>
      <c r="G1435" t="s">
        <v>164</v>
      </c>
      <c r="H1435" t="s">
        <v>165</v>
      </c>
      <c r="I1435" t="s">
        <v>34</v>
      </c>
      <c r="J1435" t="s">
        <v>166</v>
      </c>
      <c r="K1435" t="s">
        <v>41</v>
      </c>
      <c r="L1435" t="s">
        <v>7659</v>
      </c>
      <c r="M1435" t="s">
        <v>7660</v>
      </c>
      <c r="N1435" t="s">
        <v>847</v>
      </c>
      <c r="O1435" t="s">
        <v>100</v>
      </c>
      <c r="P1435" t="s">
        <v>7661</v>
      </c>
      <c r="Q1435" t="s">
        <v>222</v>
      </c>
      <c r="R1435" t="s">
        <v>681</v>
      </c>
      <c r="S1435">
        <v>23.22</v>
      </c>
      <c r="T1435">
        <v>19010</v>
      </c>
      <c r="U1435">
        <v>0</v>
      </c>
      <c r="V1435">
        <v>19010</v>
      </c>
    </row>
    <row r="1436" spans="1:22" x14ac:dyDescent="0.3">
      <c r="A1436">
        <v>80147</v>
      </c>
      <c r="B1436">
        <v>136106163</v>
      </c>
      <c r="C1436" t="s">
        <v>7662</v>
      </c>
      <c r="D1436" t="s">
        <v>7663</v>
      </c>
      <c r="E1436" t="s">
        <v>6762</v>
      </c>
      <c r="F1436" t="s">
        <v>844</v>
      </c>
      <c r="G1436" t="s">
        <v>164</v>
      </c>
      <c r="H1436" t="s">
        <v>165</v>
      </c>
      <c r="I1436" t="s">
        <v>34</v>
      </c>
      <c r="J1436" t="s">
        <v>166</v>
      </c>
      <c r="K1436" t="s">
        <v>41</v>
      </c>
      <c r="L1436" t="s">
        <v>7664</v>
      </c>
      <c r="M1436" t="s">
        <v>7665</v>
      </c>
      <c r="N1436" t="s">
        <v>847</v>
      </c>
      <c r="O1436" t="s">
        <v>100</v>
      </c>
      <c r="P1436" t="s">
        <v>7666</v>
      </c>
      <c r="Q1436" t="s">
        <v>76</v>
      </c>
      <c r="R1436" t="s">
        <v>270</v>
      </c>
      <c r="S1436">
        <v>1</v>
      </c>
      <c r="T1436">
        <v>3753</v>
      </c>
      <c r="U1436">
        <v>0</v>
      </c>
      <c r="V1436">
        <v>3753</v>
      </c>
    </row>
    <row r="1437" spans="1:22" x14ac:dyDescent="0.3">
      <c r="A1437">
        <v>80147</v>
      </c>
      <c r="B1437">
        <v>135848187</v>
      </c>
      <c r="C1437" t="s">
        <v>7667</v>
      </c>
      <c r="D1437" t="s">
        <v>7668</v>
      </c>
      <c r="E1437" t="s">
        <v>6762</v>
      </c>
      <c r="F1437" t="s">
        <v>844</v>
      </c>
      <c r="G1437" t="s">
        <v>164</v>
      </c>
      <c r="H1437" t="s">
        <v>165</v>
      </c>
      <c r="I1437" t="s">
        <v>34</v>
      </c>
      <c r="J1437" t="s">
        <v>166</v>
      </c>
      <c r="K1437" t="s">
        <v>41</v>
      </c>
      <c r="L1437" t="s">
        <v>7669</v>
      </c>
      <c r="M1437" t="s">
        <v>7670</v>
      </c>
      <c r="N1437" t="s">
        <v>847</v>
      </c>
      <c r="O1437" t="s">
        <v>100</v>
      </c>
      <c r="P1437" t="s">
        <v>7671</v>
      </c>
      <c r="Q1437" t="s">
        <v>614</v>
      </c>
      <c r="R1437" t="s">
        <v>676</v>
      </c>
      <c r="S1437">
        <v>6.24</v>
      </c>
      <c r="T1437">
        <v>10562</v>
      </c>
      <c r="U1437">
        <v>0</v>
      </c>
      <c r="V1437">
        <v>10562</v>
      </c>
    </row>
    <row r="1438" spans="1:22" x14ac:dyDescent="0.3">
      <c r="A1438">
        <v>80147</v>
      </c>
      <c r="B1438">
        <v>136106174</v>
      </c>
      <c r="C1438" t="s">
        <v>7672</v>
      </c>
      <c r="D1438" t="s">
        <v>7673</v>
      </c>
      <c r="E1438" t="s">
        <v>6762</v>
      </c>
      <c r="F1438" t="s">
        <v>844</v>
      </c>
      <c r="G1438" t="s">
        <v>164</v>
      </c>
      <c r="H1438" t="s">
        <v>165</v>
      </c>
      <c r="I1438" t="s">
        <v>34</v>
      </c>
      <c r="J1438" t="s">
        <v>166</v>
      </c>
      <c r="K1438" t="s">
        <v>41</v>
      </c>
      <c r="L1438" t="s">
        <v>7674</v>
      </c>
      <c r="M1438" t="s">
        <v>7675</v>
      </c>
      <c r="N1438" t="s">
        <v>847</v>
      </c>
      <c r="O1438" t="s">
        <v>100</v>
      </c>
      <c r="P1438" t="s">
        <v>7676</v>
      </c>
      <c r="Q1438" t="s">
        <v>59</v>
      </c>
      <c r="R1438" t="s">
        <v>270</v>
      </c>
      <c r="S1438">
        <v>7.82</v>
      </c>
      <c r="T1438">
        <v>6328</v>
      </c>
      <c r="U1438">
        <v>0</v>
      </c>
      <c r="V1438">
        <v>6328</v>
      </c>
    </row>
    <row r="1439" spans="1:22" x14ac:dyDescent="0.3">
      <c r="A1439">
        <v>80147</v>
      </c>
      <c r="B1439">
        <v>136197792</v>
      </c>
      <c r="C1439" t="s">
        <v>7677</v>
      </c>
      <c r="D1439" t="s">
        <v>7678</v>
      </c>
      <c r="E1439" t="s">
        <v>6762</v>
      </c>
      <c r="F1439" t="s">
        <v>844</v>
      </c>
      <c r="G1439" t="s">
        <v>164</v>
      </c>
      <c r="H1439" t="s">
        <v>165</v>
      </c>
      <c r="I1439" t="s">
        <v>34</v>
      </c>
      <c r="J1439" t="s">
        <v>166</v>
      </c>
      <c r="K1439" t="s">
        <v>41</v>
      </c>
      <c r="L1439" t="s">
        <v>7679</v>
      </c>
      <c r="M1439" t="s">
        <v>7680</v>
      </c>
      <c r="N1439" t="s">
        <v>847</v>
      </c>
      <c r="O1439" t="s">
        <v>100</v>
      </c>
      <c r="P1439" t="s">
        <v>7681</v>
      </c>
      <c r="Q1439" t="s">
        <v>69</v>
      </c>
      <c r="R1439" t="s">
        <v>725</v>
      </c>
      <c r="S1439">
        <v>1</v>
      </c>
      <c r="T1439">
        <v>3753</v>
      </c>
      <c r="U1439">
        <v>0</v>
      </c>
      <c r="V1439">
        <v>3753</v>
      </c>
    </row>
    <row r="1440" spans="1:22" x14ac:dyDescent="0.3">
      <c r="A1440">
        <v>80147</v>
      </c>
      <c r="B1440">
        <v>136027131</v>
      </c>
      <c r="C1440" t="s">
        <v>7682</v>
      </c>
      <c r="D1440" t="s">
        <v>7683</v>
      </c>
      <c r="E1440" t="s">
        <v>6762</v>
      </c>
      <c r="F1440" t="s">
        <v>844</v>
      </c>
      <c r="G1440" t="s">
        <v>164</v>
      </c>
      <c r="H1440" t="s">
        <v>165</v>
      </c>
      <c r="I1440" t="s">
        <v>34</v>
      </c>
      <c r="J1440" t="s">
        <v>166</v>
      </c>
      <c r="K1440" t="s">
        <v>41</v>
      </c>
      <c r="L1440" t="s">
        <v>7684</v>
      </c>
      <c r="M1440" t="s">
        <v>7685</v>
      </c>
      <c r="N1440" t="s">
        <v>847</v>
      </c>
      <c r="O1440" t="s">
        <v>100</v>
      </c>
      <c r="P1440" t="s">
        <v>7686</v>
      </c>
      <c r="Q1440" t="s">
        <v>55</v>
      </c>
      <c r="R1440" t="s">
        <v>7147</v>
      </c>
      <c r="S1440">
        <v>6.62</v>
      </c>
      <c r="T1440">
        <v>9710</v>
      </c>
      <c r="U1440">
        <v>0</v>
      </c>
      <c r="V1440">
        <v>9710</v>
      </c>
    </row>
    <row r="1441" spans="1:22" x14ac:dyDescent="0.3">
      <c r="A1441">
        <v>80147</v>
      </c>
      <c r="B1441">
        <v>135848181</v>
      </c>
      <c r="C1441" t="s">
        <v>7687</v>
      </c>
      <c r="D1441" t="s">
        <v>7688</v>
      </c>
      <c r="E1441" t="s">
        <v>6762</v>
      </c>
      <c r="F1441" t="s">
        <v>844</v>
      </c>
      <c r="G1441" t="s">
        <v>164</v>
      </c>
      <c r="H1441" t="s">
        <v>165</v>
      </c>
      <c r="I1441" t="s">
        <v>34</v>
      </c>
      <c r="J1441" t="s">
        <v>166</v>
      </c>
      <c r="K1441" t="s">
        <v>41</v>
      </c>
      <c r="L1441" t="s">
        <v>7689</v>
      </c>
      <c r="M1441" t="s">
        <v>7690</v>
      </c>
      <c r="N1441" t="s">
        <v>847</v>
      </c>
      <c r="O1441" t="s">
        <v>100</v>
      </c>
      <c r="P1441" t="s">
        <v>7691</v>
      </c>
      <c r="Q1441" t="s">
        <v>55</v>
      </c>
      <c r="R1441" t="s">
        <v>676</v>
      </c>
      <c r="S1441">
        <v>5.63</v>
      </c>
      <c r="T1441">
        <v>7484</v>
      </c>
      <c r="U1441">
        <v>0</v>
      </c>
      <c r="V1441">
        <v>7484</v>
      </c>
    </row>
    <row r="1442" spans="1:22" x14ac:dyDescent="0.3">
      <c r="A1442">
        <v>80147</v>
      </c>
      <c r="B1442">
        <v>135710053</v>
      </c>
      <c r="C1442" t="s">
        <v>7692</v>
      </c>
      <c r="D1442" t="s">
        <v>7693</v>
      </c>
      <c r="E1442" t="s">
        <v>6762</v>
      </c>
      <c r="F1442" t="s">
        <v>844</v>
      </c>
      <c r="G1442" t="s">
        <v>164</v>
      </c>
      <c r="H1442" t="s">
        <v>165</v>
      </c>
      <c r="I1442" t="s">
        <v>34</v>
      </c>
      <c r="J1442" t="s">
        <v>166</v>
      </c>
      <c r="K1442" t="s">
        <v>41</v>
      </c>
      <c r="L1442" t="s">
        <v>7694</v>
      </c>
      <c r="M1442" t="s">
        <v>7695</v>
      </c>
      <c r="N1442" t="s">
        <v>847</v>
      </c>
      <c r="O1442" t="s">
        <v>100</v>
      </c>
      <c r="P1442" t="s">
        <v>7696</v>
      </c>
      <c r="Q1442" t="s">
        <v>52</v>
      </c>
      <c r="R1442" t="s">
        <v>6778</v>
      </c>
      <c r="S1442">
        <v>8.91</v>
      </c>
      <c r="T1442">
        <v>11407</v>
      </c>
      <c r="U1442">
        <v>0</v>
      </c>
      <c r="V1442">
        <v>11407</v>
      </c>
    </row>
    <row r="1443" spans="1:22" x14ac:dyDescent="0.3">
      <c r="A1443">
        <v>80147</v>
      </c>
      <c r="B1443">
        <v>136197817</v>
      </c>
      <c r="C1443" t="s">
        <v>7697</v>
      </c>
      <c r="D1443" t="s">
        <v>7698</v>
      </c>
      <c r="E1443" t="s">
        <v>6762</v>
      </c>
      <c r="F1443" t="s">
        <v>844</v>
      </c>
      <c r="G1443" t="s">
        <v>164</v>
      </c>
      <c r="H1443" t="s">
        <v>165</v>
      </c>
      <c r="I1443" t="s">
        <v>34</v>
      </c>
      <c r="J1443" t="s">
        <v>166</v>
      </c>
      <c r="K1443" t="s">
        <v>41</v>
      </c>
      <c r="L1443" t="s">
        <v>7699</v>
      </c>
      <c r="M1443" t="s">
        <v>7700</v>
      </c>
      <c r="N1443" t="s">
        <v>847</v>
      </c>
      <c r="O1443" t="s">
        <v>100</v>
      </c>
      <c r="P1443" t="s">
        <v>7701</v>
      </c>
      <c r="Q1443" t="s">
        <v>81</v>
      </c>
      <c r="R1443" t="s">
        <v>725</v>
      </c>
      <c r="S1443">
        <v>5.33</v>
      </c>
      <c r="T1443">
        <v>5617</v>
      </c>
      <c r="U1443">
        <v>0</v>
      </c>
      <c r="V1443">
        <v>5617</v>
      </c>
    </row>
    <row r="1444" spans="1:22" x14ac:dyDescent="0.3">
      <c r="A1444">
        <v>80147</v>
      </c>
      <c r="B1444">
        <v>135848215</v>
      </c>
      <c r="C1444" t="s">
        <v>7702</v>
      </c>
      <c r="D1444" t="s">
        <v>7703</v>
      </c>
      <c r="E1444" t="s">
        <v>6762</v>
      </c>
      <c r="F1444" t="s">
        <v>844</v>
      </c>
      <c r="G1444" t="s">
        <v>164</v>
      </c>
      <c r="H1444" t="s">
        <v>165</v>
      </c>
      <c r="I1444" t="s">
        <v>34</v>
      </c>
      <c r="J1444" t="s">
        <v>166</v>
      </c>
      <c r="K1444" t="s">
        <v>41</v>
      </c>
      <c r="L1444" t="s">
        <v>7704</v>
      </c>
      <c r="M1444" t="s">
        <v>7705</v>
      </c>
      <c r="N1444" t="s">
        <v>847</v>
      </c>
      <c r="O1444" t="s">
        <v>100</v>
      </c>
      <c r="P1444" t="s">
        <v>7706</v>
      </c>
      <c r="Q1444" t="s">
        <v>84</v>
      </c>
      <c r="R1444" t="s">
        <v>676</v>
      </c>
      <c r="S1444">
        <v>6.6</v>
      </c>
      <c r="T1444">
        <v>5198</v>
      </c>
      <c r="U1444">
        <v>0</v>
      </c>
      <c r="V1444">
        <v>5198</v>
      </c>
    </row>
    <row r="1445" spans="1:22" x14ac:dyDescent="0.3">
      <c r="A1445">
        <v>80147</v>
      </c>
      <c r="B1445">
        <v>135848196</v>
      </c>
      <c r="C1445" t="s">
        <v>7707</v>
      </c>
      <c r="D1445" t="s">
        <v>7708</v>
      </c>
      <c r="E1445" t="s">
        <v>6762</v>
      </c>
      <c r="F1445" t="s">
        <v>844</v>
      </c>
      <c r="G1445" t="s">
        <v>164</v>
      </c>
      <c r="H1445" t="s">
        <v>165</v>
      </c>
      <c r="I1445" t="s">
        <v>34</v>
      </c>
      <c r="J1445" t="s">
        <v>166</v>
      </c>
      <c r="K1445" t="s">
        <v>41</v>
      </c>
      <c r="L1445" t="s">
        <v>7709</v>
      </c>
      <c r="M1445" t="s">
        <v>7710</v>
      </c>
      <c r="N1445" t="s">
        <v>847</v>
      </c>
      <c r="O1445" t="s">
        <v>100</v>
      </c>
      <c r="P1445" t="s">
        <v>7711</v>
      </c>
      <c r="Q1445" t="s">
        <v>63</v>
      </c>
      <c r="R1445" t="s">
        <v>676</v>
      </c>
      <c r="S1445">
        <v>1</v>
      </c>
      <c r="T1445">
        <v>4067</v>
      </c>
      <c r="U1445">
        <v>0</v>
      </c>
      <c r="V1445">
        <v>4067</v>
      </c>
    </row>
    <row r="1446" spans="1:22" x14ac:dyDescent="0.3">
      <c r="A1446">
        <v>80147</v>
      </c>
      <c r="B1446">
        <v>136106130</v>
      </c>
      <c r="C1446" t="s">
        <v>7712</v>
      </c>
      <c r="D1446" t="s">
        <v>7713</v>
      </c>
      <c r="E1446" t="s">
        <v>6762</v>
      </c>
      <c r="F1446" t="s">
        <v>844</v>
      </c>
      <c r="G1446" t="s">
        <v>164</v>
      </c>
      <c r="H1446" t="s">
        <v>165</v>
      </c>
      <c r="I1446" t="s">
        <v>34</v>
      </c>
      <c r="J1446" t="s">
        <v>166</v>
      </c>
      <c r="K1446" t="s">
        <v>41</v>
      </c>
      <c r="L1446" t="s">
        <v>7714</v>
      </c>
      <c r="M1446" t="s">
        <v>7715</v>
      </c>
      <c r="N1446" t="s">
        <v>847</v>
      </c>
      <c r="O1446" t="s">
        <v>100</v>
      </c>
      <c r="P1446" t="s">
        <v>7716</v>
      </c>
      <c r="Q1446" t="s">
        <v>43</v>
      </c>
      <c r="R1446" t="s">
        <v>270</v>
      </c>
      <c r="S1446">
        <v>2.95</v>
      </c>
      <c r="T1446">
        <v>3753</v>
      </c>
      <c r="U1446">
        <v>0</v>
      </c>
      <c r="V1446">
        <v>3753</v>
      </c>
    </row>
    <row r="1447" spans="1:22" x14ac:dyDescent="0.3">
      <c r="A1447">
        <v>80147</v>
      </c>
      <c r="B1447">
        <v>135848206</v>
      </c>
      <c r="C1447" t="s">
        <v>7717</v>
      </c>
      <c r="D1447" t="s">
        <v>7718</v>
      </c>
      <c r="E1447" t="s">
        <v>6762</v>
      </c>
      <c r="F1447" t="s">
        <v>844</v>
      </c>
      <c r="G1447" t="s">
        <v>164</v>
      </c>
      <c r="H1447" t="s">
        <v>165</v>
      </c>
      <c r="I1447" t="s">
        <v>34</v>
      </c>
      <c r="J1447" t="s">
        <v>166</v>
      </c>
      <c r="K1447" t="s">
        <v>41</v>
      </c>
      <c r="L1447" t="s">
        <v>7719</v>
      </c>
      <c r="M1447" t="s">
        <v>7720</v>
      </c>
      <c r="N1447" t="s">
        <v>847</v>
      </c>
      <c r="O1447" t="s">
        <v>100</v>
      </c>
      <c r="P1447" t="s">
        <v>7721</v>
      </c>
      <c r="Q1447" t="s">
        <v>43</v>
      </c>
      <c r="R1447" t="s">
        <v>676</v>
      </c>
      <c r="S1447">
        <v>1</v>
      </c>
      <c r="T1447">
        <v>3753</v>
      </c>
      <c r="U1447">
        <v>0</v>
      </c>
      <c r="V1447">
        <v>3753</v>
      </c>
    </row>
    <row r="1448" spans="1:22" x14ac:dyDescent="0.3">
      <c r="A1448">
        <v>80147</v>
      </c>
      <c r="B1448">
        <v>136197819</v>
      </c>
      <c r="C1448" t="s">
        <v>7722</v>
      </c>
      <c r="D1448" t="s">
        <v>7723</v>
      </c>
      <c r="E1448" t="s">
        <v>6762</v>
      </c>
      <c r="F1448" t="s">
        <v>844</v>
      </c>
      <c r="G1448" t="s">
        <v>164</v>
      </c>
      <c r="H1448" t="s">
        <v>165</v>
      </c>
      <c r="I1448" t="s">
        <v>34</v>
      </c>
      <c r="J1448" t="s">
        <v>166</v>
      </c>
      <c r="K1448" t="s">
        <v>41</v>
      </c>
      <c r="L1448" t="s">
        <v>7724</v>
      </c>
      <c r="M1448" t="s">
        <v>7725</v>
      </c>
      <c r="N1448" t="s">
        <v>847</v>
      </c>
      <c r="O1448" t="s">
        <v>100</v>
      </c>
      <c r="P1448" t="s">
        <v>7726</v>
      </c>
      <c r="Q1448" t="s">
        <v>63</v>
      </c>
      <c r="R1448" t="s">
        <v>725</v>
      </c>
      <c r="S1448">
        <v>1</v>
      </c>
      <c r="T1448">
        <v>4067</v>
      </c>
      <c r="U1448">
        <v>0</v>
      </c>
      <c r="V1448">
        <v>4067</v>
      </c>
    </row>
    <row r="1449" spans="1:22" x14ac:dyDescent="0.3">
      <c r="A1449">
        <v>80147</v>
      </c>
      <c r="B1449">
        <v>136106091</v>
      </c>
      <c r="C1449" t="s">
        <v>7727</v>
      </c>
      <c r="D1449" t="s">
        <v>7728</v>
      </c>
      <c r="E1449" t="s">
        <v>6762</v>
      </c>
      <c r="F1449" t="s">
        <v>844</v>
      </c>
      <c r="G1449" t="s">
        <v>164</v>
      </c>
      <c r="H1449" t="s">
        <v>165</v>
      </c>
      <c r="I1449" t="s">
        <v>34</v>
      </c>
      <c r="J1449" t="s">
        <v>166</v>
      </c>
      <c r="K1449" t="s">
        <v>41</v>
      </c>
      <c r="L1449" t="s">
        <v>7729</v>
      </c>
      <c r="M1449" t="s">
        <v>7730</v>
      </c>
      <c r="N1449" t="s">
        <v>847</v>
      </c>
      <c r="O1449" t="s">
        <v>100</v>
      </c>
      <c r="P1449" t="s">
        <v>7731</v>
      </c>
      <c r="Q1449" t="s">
        <v>84</v>
      </c>
      <c r="R1449" t="s">
        <v>270</v>
      </c>
      <c r="S1449">
        <v>1</v>
      </c>
      <c r="T1449">
        <v>3366</v>
      </c>
      <c r="U1449">
        <v>0</v>
      </c>
      <c r="V1449">
        <v>3366</v>
      </c>
    </row>
    <row r="1450" spans="1:22" x14ac:dyDescent="0.3">
      <c r="A1450">
        <v>80147</v>
      </c>
      <c r="B1450">
        <v>136197810</v>
      </c>
      <c r="C1450" t="s">
        <v>7732</v>
      </c>
      <c r="D1450" t="s">
        <v>7733</v>
      </c>
      <c r="E1450" t="s">
        <v>6762</v>
      </c>
      <c r="F1450" t="s">
        <v>844</v>
      </c>
      <c r="G1450" t="s">
        <v>164</v>
      </c>
      <c r="H1450" t="s">
        <v>165</v>
      </c>
      <c r="I1450" t="s">
        <v>34</v>
      </c>
      <c r="J1450" t="s">
        <v>166</v>
      </c>
      <c r="K1450" t="s">
        <v>41</v>
      </c>
      <c r="L1450" t="s">
        <v>7734</v>
      </c>
      <c r="M1450" t="s">
        <v>7735</v>
      </c>
      <c r="N1450" t="s">
        <v>847</v>
      </c>
      <c r="O1450" t="s">
        <v>100</v>
      </c>
      <c r="P1450" t="s">
        <v>7736</v>
      </c>
      <c r="Q1450" t="s">
        <v>59</v>
      </c>
      <c r="R1450" t="s">
        <v>725</v>
      </c>
      <c r="S1450">
        <v>8.4700000000000006</v>
      </c>
      <c r="T1450">
        <v>6328</v>
      </c>
      <c r="U1450">
        <v>0</v>
      </c>
      <c r="V1450">
        <v>6328</v>
      </c>
    </row>
    <row r="1451" spans="1:22" x14ac:dyDescent="0.3">
      <c r="A1451">
        <v>80147</v>
      </c>
      <c r="B1451">
        <v>136027123</v>
      </c>
      <c r="C1451" t="s">
        <v>7737</v>
      </c>
      <c r="D1451" t="s">
        <v>7738</v>
      </c>
      <c r="E1451" t="s">
        <v>6762</v>
      </c>
      <c r="F1451" t="s">
        <v>844</v>
      </c>
      <c r="G1451" t="s">
        <v>164</v>
      </c>
      <c r="H1451" t="s">
        <v>165</v>
      </c>
      <c r="I1451" t="s">
        <v>34</v>
      </c>
      <c r="J1451" t="s">
        <v>166</v>
      </c>
      <c r="K1451" t="s">
        <v>41</v>
      </c>
      <c r="L1451" t="s">
        <v>7739</v>
      </c>
      <c r="M1451" t="s">
        <v>7740</v>
      </c>
      <c r="N1451" t="s">
        <v>847</v>
      </c>
      <c r="O1451" t="s">
        <v>100</v>
      </c>
      <c r="P1451" t="s">
        <v>7741</v>
      </c>
      <c r="Q1451" t="s">
        <v>190</v>
      </c>
      <c r="R1451" t="s">
        <v>720</v>
      </c>
      <c r="S1451">
        <v>1</v>
      </c>
      <c r="T1451">
        <v>3366</v>
      </c>
      <c r="U1451">
        <v>0</v>
      </c>
      <c r="V1451">
        <v>3366</v>
      </c>
    </row>
    <row r="1452" spans="1:22" x14ac:dyDescent="0.3">
      <c r="A1452">
        <v>80147</v>
      </c>
      <c r="B1452">
        <v>136027130</v>
      </c>
      <c r="C1452" t="s">
        <v>7742</v>
      </c>
      <c r="D1452" t="s">
        <v>7743</v>
      </c>
      <c r="E1452" t="s">
        <v>6762</v>
      </c>
      <c r="F1452" t="s">
        <v>844</v>
      </c>
      <c r="G1452" t="s">
        <v>164</v>
      </c>
      <c r="H1452" t="s">
        <v>165</v>
      </c>
      <c r="I1452" t="s">
        <v>34</v>
      </c>
      <c r="J1452" t="s">
        <v>166</v>
      </c>
      <c r="K1452" t="s">
        <v>41</v>
      </c>
      <c r="L1452" t="s">
        <v>7744</v>
      </c>
      <c r="M1452" t="s">
        <v>7745</v>
      </c>
      <c r="N1452" t="s">
        <v>847</v>
      </c>
      <c r="O1452" t="s">
        <v>100</v>
      </c>
      <c r="P1452" t="s">
        <v>7746</v>
      </c>
      <c r="Q1452" t="s">
        <v>84</v>
      </c>
      <c r="R1452" t="s">
        <v>7147</v>
      </c>
      <c r="S1452">
        <v>1</v>
      </c>
      <c r="T1452">
        <v>3366</v>
      </c>
      <c r="U1452">
        <v>0</v>
      </c>
      <c r="V1452">
        <v>3366</v>
      </c>
    </row>
    <row r="1453" spans="1:22" x14ac:dyDescent="0.3">
      <c r="A1453">
        <v>80147</v>
      </c>
      <c r="B1453">
        <v>136106131</v>
      </c>
      <c r="C1453" t="s">
        <v>7747</v>
      </c>
      <c r="D1453" t="s">
        <v>7748</v>
      </c>
      <c r="E1453" t="s">
        <v>6762</v>
      </c>
      <c r="F1453" t="s">
        <v>844</v>
      </c>
      <c r="G1453" t="s">
        <v>164</v>
      </c>
      <c r="H1453" t="s">
        <v>165</v>
      </c>
      <c r="I1453" t="s">
        <v>34</v>
      </c>
      <c r="J1453" t="s">
        <v>166</v>
      </c>
      <c r="K1453" t="s">
        <v>41</v>
      </c>
      <c r="L1453" t="s">
        <v>7749</v>
      </c>
      <c r="M1453" t="s">
        <v>7750</v>
      </c>
      <c r="N1453" t="s">
        <v>847</v>
      </c>
      <c r="O1453" t="s">
        <v>100</v>
      </c>
      <c r="P1453" t="s">
        <v>7751</v>
      </c>
      <c r="Q1453" t="s">
        <v>78</v>
      </c>
      <c r="R1453" t="s">
        <v>270</v>
      </c>
      <c r="S1453">
        <v>5.36</v>
      </c>
      <c r="T1453">
        <v>4585</v>
      </c>
      <c r="U1453">
        <v>0</v>
      </c>
      <c r="V1453">
        <v>4585</v>
      </c>
    </row>
    <row r="1454" spans="1:22" x14ac:dyDescent="0.3">
      <c r="A1454">
        <v>80147</v>
      </c>
      <c r="B1454">
        <v>136027184</v>
      </c>
      <c r="C1454" t="s">
        <v>7752</v>
      </c>
      <c r="D1454" t="s">
        <v>7753</v>
      </c>
      <c r="E1454" t="s">
        <v>6762</v>
      </c>
      <c r="F1454" t="s">
        <v>844</v>
      </c>
      <c r="G1454" t="s">
        <v>164</v>
      </c>
      <c r="H1454" t="s">
        <v>165</v>
      </c>
      <c r="I1454" t="s">
        <v>34</v>
      </c>
      <c r="J1454" t="s">
        <v>166</v>
      </c>
      <c r="K1454" t="s">
        <v>41</v>
      </c>
      <c r="L1454" t="s">
        <v>7754</v>
      </c>
      <c r="M1454" t="s">
        <v>7755</v>
      </c>
      <c r="N1454" t="s">
        <v>847</v>
      </c>
      <c r="O1454" t="s">
        <v>100</v>
      </c>
      <c r="P1454" t="s">
        <v>7756</v>
      </c>
      <c r="Q1454" t="s">
        <v>222</v>
      </c>
      <c r="R1454" t="s">
        <v>7147</v>
      </c>
      <c r="S1454">
        <v>1</v>
      </c>
      <c r="T1454">
        <v>4067</v>
      </c>
      <c r="U1454">
        <v>0</v>
      </c>
      <c r="V1454">
        <v>4067</v>
      </c>
    </row>
    <row r="1455" spans="1:22" x14ac:dyDescent="0.3">
      <c r="A1455">
        <v>80147</v>
      </c>
      <c r="B1455">
        <v>136027120</v>
      </c>
      <c r="C1455" t="s">
        <v>7757</v>
      </c>
      <c r="D1455" t="s">
        <v>7758</v>
      </c>
      <c r="E1455" t="s">
        <v>6762</v>
      </c>
      <c r="F1455" t="s">
        <v>844</v>
      </c>
      <c r="G1455" t="s">
        <v>164</v>
      </c>
      <c r="H1455" t="s">
        <v>165</v>
      </c>
      <c r="I1455" t="s">
        <v>34</v>
      </c>
      <c r="J1455" t="s">
        <v>166</v>
      </c>
      <c r="K1455" t="s">
        <v>41</v>
      </c>
      <c r="L1455" t="s">
        <v>7759</v>
      </c>
      <c r="M1455" t="s">
        <v>7760</v>
      </c>
      <c r="N1455" t="s">
        <v>847</v>
      </c>
      <c r="O1455" t="s">
        <v>100</v>
      </c>
      <c r="P1455" t="s">
        <v>7761</v>
      </c>
      <c r="Q1455" t="s">
        <v>190</v>
      </c>
      <c r="R1455" t="s">
        <v>720</v>
      </c>
      <c r="S1455">
        <v>1</v>
      </c>
      <c r="T1455">
        <v>3366</v>
      </c>
      <c r="U1455">
        <v>0</v>
      </c>
      <c r="V1455">
        <v>3366</v>
      </c>
    </row>
    <row r="1456" spans="1:22" x14ac:dyDescent="0.3">
      <c r="A1456">
        <v>80147</v>
      </c>
      <c r="B1456">
        <v>135982136</v>
      </c>
      <c r="C1456" t="s">
        <v>7762</v>
      </c>
      <c r="D1456" t="s">
        <v>7763</v>
      </c>
      <c r="E1456" t="s">
        <v>6762</v>
      </c>
      <c r="F1456" t="s">
        <v>844</v>
      </c>
      <c r="G1456" t="s">
        <v>164</v>
      </c>
      <c r="H1456" t="s">
        <v>165</v>
      </c>
      <c r="I1456" t="s">
        <v>34</v>
      </c>
      <c r="J1456" t="s">
        <v>166</v>
      </c>
      <c r="K1456" t="s">
        <v>41</v>
      </c>
      <c r="L1456" t="s">
        <v>7764</v>
      </c>
      <c r="M1456" t="s">
        <v>7765</v>
      </c>
      <c r="N1456" t="s">
        <v>847</v>
      </c>
      <c r="O1456" t="s">
        <v>100</v>
      </c>
      <c r="P1456" t="s">
        <v>7766</v>
      </c>
      <c r="Q1456" t="s">
        <v>59</v>
      </c>
      <c r="R1456" t="s">
        <v>7131</v>
      </c>
      <c r="S1456">
        <v>22.3</v>
      </c>
      <c r="T1456">
        <v>18066</v>
      </c>
      <c r="U1456">
        <v>0</v>
      </c>
      <c r="V1456">
        <v>18066</v>
      </c>
    </row>
    <row r="1457" spans="1:22" x14ac:dyDescent="0.3">
      <c r="A1457">
        <v>80147</v>
      </c>
      <c r="B1457">
        <v>136106186</v>
      </c>
      <c r="C1457" t="s">
        <v>7767</v>
      </c>
      <c r="D1457" t="s">
        <v>7768</v>
      </c>
      <c r="E1457" t="s">
        <v>6762</v>
      </c>
      <c r="F1457" t="s">
        <v>844</v>
      </c>
      <c r="G1457" t="s">
        <v>164</v>
      </c>
      <c r="H1457" t="s">
        <v>165</v>
      </c>
      <c r="I1457" t="s">
        <v>34</v>
      </c>
      <c r="J1457" t="s">
        <v>166</v>
      </c>
      <c r="K1457" t="s">
        <v>41</v>
      </c>
      <c r="L1457" t="s">
        <v>7769</v>
      </c>
      <c r="M1457" t="s">
        <v>7770</v>
      </c>
      <c r="N1457" t="s">
        <v>847</v>
      </c>
      <c r="O1457" t="s">
        <v>100</v>
      </c>
      <c r="P1457" t="s">
        <v>7771</v>
      </c>
      <c r="Q1457" t="s">
        <v>68</v>
      </c>
      <c r="R1457" t="s">
        <v>270</v>
      </c>
      <c r="S1457">
        <v>1</v>
      </c>
      <c r="T1457">
        <v>3753</v>
      </c>
      <c r="U1457">
        <v>0</v>
      </c>
      <c r="V1457">
        <v>3753</v>
      </c>
    </row>
    <row r="1458" spans="1:22" x14ac:dyDescent="0.3">
      <c r="A1458">
        <v>80147</v>
      </c>
      <c r="B1458">
        <v>136106088</v>
      </c>
      <c r="C1458" t="s">
        <v>7772</v>
      </c>
      <c r="D1458" t="s">
        <v>7773</v>
      </c>
      <c r="E1458" t="s">
        <v>6762</v>
      </c>
      <c r="F1458" t="s">
        <v>844</v>
      </c>
      <c r="G1458" t="s">
        <v>164</v>
      </c>
      <c r="H1458" t="s">
        <v>165</v>
      </c>
      <c r="I1458" t="s">
        <v>34</v>
      </c>
      <c r="J1458" t="s">
        <v>166</v>
      </c>
      <c r="K1458" t="s">
        <v>41</v>
      </c>
      <c r="L1458" t="s">
        <v>7774</v>
      </c>
      <c r="M1458" t="s">
        <v>232</v>
      </c>
      <c r="N1458" t="s">
        <v>847</v>
      </c>
      <c r="O1458" t="s">
        <v>100</v>
      </c>
      <c r="P1458" t="s">
        <v>7775</v>
      </c>
      <c r="Q1458" t="s">
        <v>83</v>
      </c>
      <c r="R1458" t="s">
        <v>270</v>
      </c>
      <c r="S1458">
        <v>1</v>
      </c>
      <c r="T1458">
        <v>3366</v>
      </c>
      <c r="U1458">
        <v>0</v>
      </c>
      <c r="V1458">
        <v>3366</v>
      </c>
    </row>
    <row r="1459" spans="1:22" x14ac:dyDescent="0.3">
      <c r="A1459">
        <v>80147</v>
      </c>
      <c r="B1459">
        <v>136027179</v>
      </c>
      <c r="C1459" t="s">
        <v>7776</v>
      </c>
      <c r="D1459" t="s">
        <v>7777</v>
      </c>
      <c r="E1459" t="s">
        <v>6762</v>
      </c>
      <c r="F1459" t="s">
        <v>844</v>
      </c>
      <c r="G1459" t="s">
        <v>164</v>
      </c>
      <c r="H1459" t="s">
        <v>165</v>
      </c>
      <c r="I1459" t="s">
        <v>34</v>
      </c>
      <c r="J1459" t="s">
        <v>166</v>
      </c>
      <c r="K1459" t="s">
        <v>41</v>
      </c>
      <c r="L1459" t="s">
        <v>7778</v>
      </c>
      <c r="M1459" t="s">
        <v>7779</v>
      </c>
      <c r="N1459" t="s">
        <v>847</v>
      </c>
      <c r="O1459" t="s">
        <v>100</v>
      </c>
      <c r="P1459" t="s">
        <v>7780</v>
      </c>
      <c r="Q1459" t="s">
        <v>60</v>
      </c>
      <c r="R1459" t="s">
        <v>7147</v>
      </c>
      <c r="S1459">
        <v>3.06</v>
      </c>
      <c r="T1459">
        <v>5376</v>
      </c>
      <c r="U1459">
        <v>0</v>
      </c>
      <c r="V1459">
        <v>5376</v>
      </c>
    </row>
    <row r="1460" spans="1:22" x14ac:dyDescent="0.3">
      <c r="A1460">
        <v>80147</v>
      </c>
      <c r="B1460">
        <v>136027170</v>
      </c>
      <c r="C1460" t="s">
        <v>7781</v>
      </c>
      <c r="D1460" t="s">
        <v>7782</v>
      </c>
      <c r="E1460" t="s">
        <v>6762</v>
      </c>
      <c r="F1460" t="s">
        <v>844</v>
      </c>
      <c r="G1460" t="s">
        <v>164</v>
      </c>
      <c r="H1460" t="s">
        <v>165</v>
      </c>
      <c r="I1460" t="s">
        <v>34</v>
      </c>
      <c r="J1460" t="s">
        <v>166</v>
      </c>
      <c r="K1460" t="s">
        <v>41</v>
      </c>
      <c r="L1460" t="s">
        <v>7783</v>
      </c>
      <c r="M1460" t="s">
        <v>7784</v>
      </c>
      <c r="N1460" t="s">
        <v>847</v>
      </c>
      <c r="O1460" t="s">
        <v>100</v>
      </c>
      <c r="P1460" t="s">
        <v>7785</v>
      </c>
      <c r="Q1460" t="s">
        <v>68</v>
      </c>
      <c r="R1460" t="s">
        <v>7147</v>
      </c>
      <c r="S1460">
        <v>1</v>
      </c>
      <c r="T1460">
        <v>3753</v>
      </c>
      <c r="U1460">
        <v>0</v>
      </c>
      <c r="V1460">
        <v>3753</v>
      </c>
    </row>
    <row r="1461" spans="1:22" x14ac:dyDescent="0.3">
      <c r="A1461">
        <v>80147</v>
      </c>
      <c r="B1461">
        <v>136027124</v>
      </c>
      <c r="C1461" t="s">
        <v>7786</v>
      </c>
      <c r="D1461" t="s">
        <v>7787</v>
      </c>
      <c r="E1461" t="s">
        <v>6762</v>
      </c>
      <c r="F1461" t="s">
        <v>844</v>
      </c>
      <c r="G1461" t="s">
        <v>164</v>
      </c>
      <c r="H1461" t="s">
        <v>165</v>
      </c>
      <c r="I1461" t="s">
        <v>34</v>
      </c>
      <c r="J1461" t="s">
        <v>166</v>
      </c>
      <c r="K1461" t="s">
        <v>41</v>
      </c>
      <c r="L1461" t="s">
        <v>7788</v>
      </c>
      <c r="M1461" t="s">
        <v>7789</v>
      </c>
      <c r="N1461" t="s">
        <v>847</v>
      </c>
      <c r="O1461" t="s">
        <v>100</v>
      </c>
      <c r="P1461" t="s">
        <v>7790</v>
      </c>
      <c r="Q1461" t="s">
        <v>74</v>
      </c>
      <c r="R1461" t="s">
        <v>720</v>
      </c>
      <c r="S1461">
        <v>1</v>
      </c>
      <c r="T1461">
        <v>3753</v>
      </c>
      <c r="U1461">
        <v>0</v>
      </c>
      <c r="V1461">
        <v>3753</v>
      </c>
    </row>
    <row r="1462" spans="1:22" x14ac:dyDescent="0.3">
      <c r="A1462">
        <v>80147</v>
      </c>
      <c r="B1462">
        <v>135982181</v>
      </c>
      <c r="C1462" t="s">
        <v>7791</v>
      </c>
      <c r="D1462" t="s">
        <v>7792</v>
      </c>
      <c r="E1462" t="s">
        <v>6762</v>
      </c>
      <c r="F1462" t="s">
        <v>844</v>
      </c>
      <c r="G1462" t="s">
        <v>164</v>
      </c>
      <c r="H1462" t="s">
        <v>165</v>
      </c>
      <c r="I1462" t="s">
        <v>34</v>
      </c>
      <c r="J1462" t="s">
        <v>166</v>
      </c>
      <c r="K1462" t="s">
        <v>41</v>
      </c>
      <c r="L1462" t="s">
        <v>7793</v>
      </c>
      <c r="M1462" t="s">
        <v>7794</v>
      </c>
      <c r="N1462" t="s">
        <v>847</v>
      </c>
      <c r="O1462" t="s">
        <v>100</v>
      </c>
      <c r="P1462" t="s">
        <v>7795</v>
      </c>
      <c r="Q1462" t="s">
        <v>69</v>
      </c>
      <c r="R1462" t="s">
        <v>7131</v>
      </c>
      <c r="S1462">
        <v>2.95</v>
      </c>
      <c r="T1462">
        <v>3753</v>
      </c>
      <c r="U1462">
        <v>0</v>
      </c>
      <c r="V1462">
        <v>3753</v>
      </c>
    </row>
    <row r="1463" spans="1:22" x14ac:dyDescent="0.3">
      <c r="A1463">
        <v>80147</v>
      </c>
      <c r="B1463">
        <v>136106111</v>
      </c>
      <c r="C1463" t="s">
        <v>7796</v>
      </c>
      <c r="D1463" t="s">
        <v>7797</v>
      </c>
      <c r="E1463" t="s">
        <v>6762</v>
      </c>
      <c r="F1463" t="s">
        <v>844</v>
      </c>
      <c r="G1463" t="s">
        <v>164</v>
      </c>
      <c r="H1463" t="s">
        <v>165</v>
      </c>
      <c r="I1463" t="s">
        <v>34</v>
      </c>
      <c r="J1463" t="s">
        <v>166</v>
      </c>
      <c r="K1463" t="s">
        <v>41</v>
      </c>
      <c r="L1463" t="s">
        <v>7798</v>
      </c>
      <c r="M1463" t="s">
        <v>7799</v>
      </c>
      <c r="N1463" t="s">
        <v>847</v>
      </c>
      <c r="O1463" t="s">
        <v>100</v>
      </c>
      <c r="P1463" t="s">
        <v>7800</v>
      </c>
      <c r="Q1463" t="s">
        <v>87</v>
      </c>
      <c r="R1463" t="s">
        <v>270</v>
      </c>
      <c r="S1463">
        <v>1</v>
      </c>
      <c r="T1463">
        <v>3366</v>
      </c>
      <c r="U1463">
        <v>0</v>
      </c>
      <c r="V1463">
        <v>3366</v>
      </c>
    </row>
    <row r="1464" spans="1:22" x14ac:dyDescent="0.3">
      <c r="A1464">
        <v>80147</v>
      </c>
      <c r="B1464">
        <v>136106085</v>
      </c>
      <c r="C1464" t="s">
        <v>7801</v>
      </c>
      <c r="D1464" t="s">
        <v>7802</v>
      </c>
      <c r="E1464" t="s">
        <v>6762</v>
      </c>
      <c r="F1464" t="s">
        <v>844</v>
      </c>
      <c r="G1464" t="s">
        <v>164</v>
      </c>
      <c r="H1464" t="s">
        <v>165</v>
      </c>
      <c r="I1464" t="s">
        <v>34</v>
      </c>
      <c r="J1464" t="s">
        <v>166</v>
      </c>
      <c r="K1464" t="s">
        <v>41</v>
      </c>
      <c r="L1464" t="s">
        <v>7803</v>
      </c>
      <c r="M1464" t="s">
        <v>368</v>
      </c>
      <c r="N1464" t="s">
        <v>847</v>
      </c>
      <c r="O1464" t="s">
        <v>100</v>
      </c>
      <c r="P1464" t="s">
        <v>7804</v>
      </c>
      <c r="Q1464" t="s">
        <v>50</v>
      </c>
      <c r="R1464" t="s">
        <v>270</v>
      </c>
      <c r="S1464">
        <v>5.33</v>
      </c>
      <c r="T1464">
        <v>4585</v>
      </c>
      <c r="U1464">
        <v>0</v>
      </c>
      <c r="V1464">
        <v>4585</v>
      </c>
    </row>
    <row r="1465" spans="1:22" x14ac:dyDescent="0.3">
      <c r="A1465">
        <v>80147</v>
      </c>
      <c r="B1465">
        <v>135982199</v>
      </c>
      <c r="C1465" t="s">
        <v>7805</v>
      </c>
      <c r="D1465" t="s">
        <v>7806</v>
      </c>
      <c r="E1465" t="s">
        <v>6762</v>
      </c>
      <c r="F1465" t="s">
        <v>844</v>
      </c>
      <c r="G1465" t="s">
        <v>164</v>
      </c>
      <c r="H1465" t="s">
        <v>165</v>
      </c>
      <c r="I1465" t="s">
        <v>34</v>
      </c>
      <c r="J1465" t="s">
        <v>166</v>
      </c>
      <c r="K1465" t="s">
        <v>41</v>
      </c>
      <c r="L1465" t="s">
        <v>7807</v>
      </c>
      <c r="M1465" t="s">
        <v>7808</v>
      </c>
      <c r="N1465" t="s">
        <v>847</v>
      </c>
      <c r="O1465" t="s">
        <v>100</v>
      </c>
      <c r="P1465" t="s">
        <v>7809</v>
      </c>
      <c r="Q1465" t="s">
        <v>54</v>
      </c>
      <c r="R1465" t="s">
        <v>7131</v>
      </c>
      <c r="S1465">
        <v>3.32</v>
      </c>
      <c r="T1465">
        <v>8008</v>
      </c>
      <c r="U1465">
        <v>0</v>
      </c>
      <c r="V1465">
        <v>8008</v>
      </c>
    </row>
    <row r="1466" spans="1:22" x14ac:dyDescent="0.3">
      <c r="A1466">
        <v>80147</v>
      </c>
      <c r="B1466">
        <v>136106154</v>
      </c>
      <c r="C1466" t="s">
        <v>7810</v>
      </c>
      <c r="D1466" t="s">
        <v>7811</v>
      </c>
      <c r="E1466" t="s">
        <v>6762</v>
      </c>
      <c r="F1466" t="s">
        <v>844</v>
      </c>
      <c r="G1466" t="s">
        <v>164</v>
      </c>
      <c r="H1466" t="s">
        <v>165</v>
      </c>
      <c r="I1466" t="s">
        <v>34</v>
      </c>
      <c r="J1466" t="s">
        <v>166</v>
      </c>
      <c r="K1466" t="s">
        <v>41</v>
      </c>
      <c r="L1466" t="s">
        <v>7812</v>
      </c>
      <c r="M1466" t="s">
        <v>7813</v>
      </c>
      <c r="N1466" t="s">
        <v>847</v>
      </c>
      <c r="O1466" t="s">
        <v>100</v>
      </c>
      <c r="P1466" t="s">
        <v>7814</v>
      </c>
      <c r="Q1466" t="s">
        <v>76</v>
      </c>
      <c r="R1466" t="s">
        <v>270</v>
      </c>
      <c r="S1466">
        <v>5.86</v>
      </c>
      <c r="T1466">
        <v>4456</v>
      </c>
      <c r="U1466">
        <v>0</v>
      </c>
      <c r="V1466">
        <v>4456</v>
      </c>
    </row>
    <row r="1467" spans="1:22" x14ac:dyDescent="0.3">
      <c r="A1467">
        <v>80147</v>
      </c>
      <c r="B1467">
        <v>136106167</v>
      </c>
      <c r="C1467" t="s">
        <v>7815</v>
      </c>
      <c r="D1467" t="s">
        <v>7816</v>
      </c>
      <c r="E1467" t="s">
        <v>6762</v>
      </c>
      <c r="F1467" t="s">
        <v>844</v>
      </c>
      <c r="G1467" t="s">
        <v>164</v>
      </c>
      <c r="H1467" t="s">
        <v>165</v>
      </c>
      <c r="I1467" t="s">
        <v>34</v>
      </c>
      <c r="J1467" t="s">
        <v>166</v>
      </c>
      <c r="K1467" t="s">
        <v>41</v>
      </c>
      <c r="L1467" t="s">
        <v>7817</v>
      </c>
      <c r="M1467" t="s">
        <v>7818</v>
      </c>
      <c r="N1467" t="s">
        <v>847</v>
      </c>
      <c r="O1467" t="s">
        <v>100</v>
      </c>
      <c r="P1467" t="s">
        <v>7819</v>
      </c>
      <c r="Q1467" t="s">
        <v>652</v>
      </c>
      <c r="R1467" t="s">
        <v>270</v>
      </c>
      <c r="S1467">
        <v>5.61</v>
      </c>
      <c r="T1467">
        <v>4322</v>
      </c>
      <c r="U1467">
        <v>0</v>
      </c>
      <c r="V1467">
        <v>4322</v>
      </c>
    </row>
    <row r="1468" spans="1:22" x14ac:dyDescent="0.3">
      <c r="A1468">
        <v>80147</v>
      </c>
      <c r="B1468">
        <v>135848172</v>
      </c>
      <c r="C1468" t="s">
        <v>7820</v>
      </c>
      <c r="D1468" t="s">
        <v>7821</v>
      </c>
      <c r="E1468" t="s">
        <v>6762</v>
      </c>
      <c r="F1468" t="s">
        <v>844</v>
      </c>
      <c r="G1468" t="s">
        <v>164</v>
      </c>
      <c r="H1468" t="s">
        <v>165</v>
      </c>
      <c r="I1468" t="s">
        <v>34</v>
      </c>
      <c r="J1468" t="s">
        <v>166</v>
      </c>
      <c r="K1468" t="s">
        <v>41</v>
      </c>
      <c r="L1468" t="s">
        <v>7822</v>
      </c>
      <c r="M1468" t="s">
        <v>171</v>
      </c>
      <c r="N1468" t="s">
        <v>847</v>
      </c>
      <c r="O1468" t="s">
        <v>100</v>
      </c>
      <c r="P1468" t="s">
        <v>7823</v>
      </c>
      <c r="Q1468" t="s">
        <v>68</v>
      </c>
      <c r="R1468" t="s">
        <v>676</v>
      </c>
      <c r="S1468">
        <v>10.27</v>
      </c>
      <c r="T1468">
        <v>7031</v>
      </c>
      <c r="U1468">
        <v>0</v>
      </c>
      <c r="V1468">
        <v>7031</v>
      </c>
    </row>
    <row r="1469" spans="1:22" x14ac:dyDescent="0.3">
      <c r="A1469">
        <v>80147</v>
      </c>
      <c r="B1469">
        <v>135791745</v>
      </c>
      <c r="C1469" t="s">
        <v>7824</v>
      </c>
      <c r="D1469" t="s">
        <v>7825</v>
      </c>
      <c r="E1469" t="s">
        <v>6762</v>
      </c>
      <c r="F1469" t="s">
        <v>844</v>
      </c>
      <c r="G1469" t="s">
        <v>164</v>
      </c>
      <c r="H1469" t="s">
        <v>165</v>
      </c>
      <c r="I1469" t="s">
        <v>34</v>
      </c>
      <c r="J1469" t="s">
        <v>166</v>
      </c>
      <c r="K1469" t="s">
        <v>41</v>
      </c>
      <c r="L1469" t="s">
        <v>7826</v>
      </c>
      <c r="M1469" t="s">
        <v>7827</v>
      </c>
      <c r="N1469" t="s">
        <v>847</v>
      </c>
      <c r="O1469" t="s">
        <v>100</v>
      </c>
      <c r="P1469" t="s">
        <v>7828</v>
      </c>
      <c r="Q1469" t="s">
        <v>118</v>
      </c>
      <c r="R1469" t="s">
        <v>507</v>
      </c>
      <c r="S1469">
        <v>5.84</v>
      </c>
      <c r="T1469">
        <v>5376</v>
      </c>
      <c r="U1469">
        <v>0</v>
      </c>
      <c r="V1469">
        <v>5376</v>
      </c>
    </row>
    <row r="1470" spans="1:22" x14ac:dyDescent="0.3">
      <c r="A1470">
        <v>80147</v>
      </c>
      <c r="B1470">
        <v>135848165</v>
      </c>
      <c r="C1470" t="s">
        <v>7829</v>
      </c>
      <c r="D1470" t="s">
        <v>7830</v>
      </c>
      <c r="E1470" t="s">
        <v>6762</v>
      </c>
      <c r="F1470" t="s">
        <v>844</v>
      </c>
      <c r="G1470" t="s">
        <v>164</v>
      </c>
      <c r="H1470" t="s">
        <v>165</v>
      </c>
      <c r="I1470" t="s">
        <v>34</v>
      </c>
      <c r="J1470" t="s">
        <v>166</v>
      </c>
      <c r="K1470" t="s">
        <v>41</v>
      </c>
      <c r="L1470" t="s">
        <v>7831</v>
      </c>
      <c r="M1470" t="s">
        <v>643</v>
      </c>
      <c r="N1470" t="s">
        <v>847</v>
      </c>
      <c r="O1470" t="s">
        <v>100</v>
      </c>
      <c r="P1470" t="s">
        <v>7832</v>
      </c>
      <c r="Q1470" t="s">
        <v>84</v>
      </c>
      <c r="R1470" t="s">
        <v>676</v>
      </c>
      <c r="S1470">
        <v>1</v>
      </c>
      <c r="T1470">
        <v>3366</v>
      </c>
      <c r="U1470">
        <v>0</v>
      </c>
      <c r="V1470">
        <v>3366</v>
      </c>
    </row>
    <row r="1471" spans="1:22" x14ac:dyDescent="0.3">
      <c r="A1471">
        <v>80147</v>
      </c>
      <c r="B1471">
        <v>135848171</v>
      </c>
      <c r="C1471" t="s">
        <v>7833</v>
      </c>
      <c r="D1471" t="s">
        <v>7834</v>
      </c>
      <c r="E1471" t="s">
        <v>6762</v>
      </c>
      <c r="F1471" t="s">
        <v>844</v>
      </c>
      <c r="G1471" t="s">
        <v>164</v>
      </c>
      <c r="H1471" t="s">
        <v>165</v>
      </c>
      <c r="I1471" t="s">
        <v>34</v>
      </c>
      <c r="J1471" t="s">
        <v>166</v>
      </c>
      <c r="K1471" t="s">
        <v>41</v>
      </c>
      <c r="L1471" t="s">
        <v>7835</v>
      </c>
      <c r="M1471" t="s">
        <v>7836</v>
      </c>
      <c r="N1471" t="s">
        <v>847</v>
      </c>
      <c r="O1471" t="s">
        <v>100</v>
      </c>
      <c r="P1471" t="s">
        <v>7837</v>
      </c>
      <c r="Q1471" t="s">
        <v>55</v>
      </c>
      <c r="R1471" t="s">
        <v>676</v>
      </c>
      <c r="S1471">
        <v>6.29</v>
      </c>
      <c r="T1471">
        <v>9710</v>
      </c>
      <c r="U1471">
        <v>0</v>
      </c>
      <c r="V1471">
        <v>9710</v>
      </c>
    </row>
    <row r="1472" spans="1:22" x14ac:dyDescent="0.3">
      <c r="A1472">
        <v>80147</v>
      </c>
      <c r="B1472">
        <v>135791758</v>
      </c>
      <c r="C1472" t="s">
        <v>7838</v>
      </c>
      <c r="D1472" t="s">
        <v>7839</v>
      </c>
      <c r="E1472" t="s">
        <v>6762</v>
      </c>
      <c r="F1472" t="s">
        <v>844</v>
      </c>
      <c r="G1472" t="s">
        <v>164</v>
      </c>
      <c r="H1472" t="s">
        <v>165</v>
      </c>
      <c r="I1472" t="s">
        <v>34</v>
      </c>
      <c r="J1472" t="s">
        <v>166</v>
      </c>
      <c r="K1472" t="s">
        <v>41</v>
      </c>
      <c r="L1472" t="s">
        <v>7840</v>
      </c>
      <c r="M1472" t="s">
        <v>7841</v>
      </c>
      <c r="N1472" t="s">
        <v>847</v>
      </c>
      <c r="O1472" t="s">
        <v>100</v>
      </c>
      <c r="P1472" t="s">
        <v>7842</v>
      </c>
      <c r="Q1472" t="s">
        <v>308</v>
      </c>
      <c r="R1472" t="s">
        <v>507</v>
      </c>
      <c r="S1472">
        <v>1</v>
      </c>
      <c r="T1472">
        <v>3753</v>
      </c>
      <c r="U1472">
        <v>0</v>
      </c>
      <c r="V1472">
        <v>3753</v>
      </c>
    </row>
    <row r="1473" spans="1:22" x14ac:dyDescent="0.3">
      <c r="A1473">
        <v>80147</v>
      </c>
      <c r="B1473">
        <v>135574129</v>
      </c>
      <c r="C1473" t="s">
        <v>7843</v>
      </c>
      <c r="D1473" t="s">
        <v>7844</v>
      </c>
      <c r="E1473" t="s">
        <v>6762</v>
      </c>
      <c r="F1473" t="s">
        <v>844</v>
      </c>
      <c r="G1473" t="s">
        <v>164</v>
      </c>
      <c r="H1473" t="s">
        <v>165</v>
      </c>
      <c r="I1473" t="s">
        <v>34</v>
      </c>
      <c r="J1473" t="s">
        <v>166</v>
      </c>
      <c r="K1473" t="s">
        <v>41</v>
      </c>
      <c r="L1473" t="s">
        <v>7845</v>
      </c>
      <c r="M1473" t="s">
        <v>7846</v>
      </c>
      <c r="N1473" t="s">
        <v>847</v>
      </c>
      <c r="O1473" t="s">
        <v>100</v>
      </c>
      <c r="P1473" t="s">
        <v>7847</v>
      </c>
      <c r="Q1473" t="s">
        <v>52</v>
      </c>
      <c r="R1473" t="s">
        <v>7848</v>
      </c>
      <c r="S1473">
        <v>17.64</v>
      </c>
      <c r="T1473">
        <v>28368</v>
      </c>
      <c r="U1473">
        <v>0</v>
      </c>
      <c r="V1473">
        <v>28368</v>
      </c>
    </row>
    <row r="1474" spans="1:22" x14ac:dyDescent="0.3">
      <c r="A1474">
        <v>80147</v>
      </c>
      <c r="B1474">
        <v>135982131</v>
      </c>
      <c r="C1474" t="s">
        <v>7849</v>
      </c>
      <c r="D1474" t="s">
        <v>7850</v>
      </c>
      <c r="E1474" t="s">
        <v>6762</v>
      </c>
      <c r="F1474" t="s">
        <v>844</v>
      </c>
      <c r="G1474" t="s">
        <v>164</v>
      </c>
      <c r="H1474" t="s">
        <v>165</v>
      </c>
      <c r="I1474" t="s">
        <v>34</v>
      </c>
      <c r="J1474" t="s">
        <v>166</v>
      </c>
      <c r="K1474" t="s">
        <v>41</v>
      </c>
      <c r="L1474" t="s">
        <v>7851</v>
      </c>
      <c r="M1474" t="s">
        <v>7852</v>
      </c>
      <c r="N1474" t="s">
        <v>847</v>
      </c>
      <c r="O1474" t="s">
        <v>100</v>
      </c>
      <c r="P1474" t="s">
        <v>7853</v>
      </c>
      <c r="Q1474" t="s">
        <v>209</v>
      </c>
      <c r="R1474" t="s">
        <v>7131</v>
      </c>
      <c r="S1474">
        <v>5.7</v>
      </c>
      <c r="T1474">
        <v>8008</v>
      </c>
      <c r="U1474">
        <v>0</v>
      </c>
      <c r="V1474">
        <v>8008</v>
      </c>
    </row>
    <row r="1475" spans="1:22" x14ac:dyDescent="0.3">
      <c r="A1475">
        <v>80147</v>
      </c>
      <c r="B1475">
        <v>135904542</v>
      </c>
      <c r="C1475" t="s">
        <v>7854</v>
      </c>
      <c r="D1475" t="s">
        <v>7855</v>
      </c>
      <c r="E1475" t="s">
        <v>6762</v>
      </c>
      <c r="F1475" t="s">
        <v>844</v>
      </c>
      <c r="G1475" t="s">
        <v>164</v>
      </c>
      <c r="H1475" t="s">
        <v>165</v>
      </c>
      <c r="I1475" t="s">
        <v>34</v>
      </c>
      <c r="J1475" t="s">
        <v>166</v>
      </c>
      <c r="K1475" t="s">
        <v>41</v>
      </c>
      <c r="L1475" t="s">
        <v>7856</v>
      </c>
      <c r="M1475" t="s">
        <v>7857</v>
      </c>
      <c r="N1475" t="s">
        <v>847</v>
      </c>
      <c r="O1475" t="s">
        <v>100</v>
      </c>
      <c r="P1475" t="s">
        <v>7858</v>
      </c>
      <c r="Q1475" t="s">
        <v>69</v>
      </c>
      <c r="R1475" t="s">
        <v>499</v>
      </c>
      <c r="S1475">
        <v>5.84</v>
      </c>
      <c r="T1475">
        <v>4456</v>
      </c>
      <c r="U1475">
        <v>0</v>
      </c>
      <c r="V1475">
        <v>4456</v>
      </c>
    </row>
    <row r="1476" spans="1:22" x14ac:dyDescent="0.3">
      <c r="A1476">
        <v>80147</v>
      </c>
      <c r="B1476">
        <v>135982146</v>
      </c>
      <c r="C1476" t="s">
        <v>7859</v>
      </c>
      <c r="D1476" t="s">
        <v>7860</v>
      </c>
      <c r="E1476" t="s">
        <v>6762</v>
      </c>
      <c r="F1476" t="s">
        <v>844</v>
      </c>
      <c r="G1476" t="s">
        <v>164</v>
      </c>
      <c r="H1476" t="s">
        <v>165</v>
      </c>
      <c r="I1476" t="s">
        <v>34</v>
      </c>
      <c r="J1476" t="s">
        <v>166</v>
      </c>
      <c r="K1476" t="s">
        <v>41</v>
      </c>
      <c r="L1476" t="s">
        <v>7861</v>
      </c>
      <c r="M1476" t="s">
        <v>7862</v>
      </c>
      <c r="N1476" t="s">
        <v>847</v>
      </c>
      <c r="O1476" t="s">
        <v>100</v>
      </c>
      <c r="P1476" t="s">
        <v>7863</v>
      </c>
      <c r="Q1476" t="s">
        <v>90</v>
      </c>
      <c r="R1476" t="s">
        <v>7131</v>
      </c>
      <c r="S1476">
        <v>6.29</v>
      </c>
      <c r="T1476">
        <v>5977</v>
      </c>
      <c r="U1476">
        <v>0</v>
      </c>
      <c r="V1476">
        <v>5977</v>
      </c>
    </row>
    <row r="1477" spans="1:22" x14ac:dyDescent="0.3">
      <c r="A1477">
        <v>80147</v>
      </c>
      <c r="B1477">
        <v>135791777</v>
      </c>
      <c r="C1477" t="s">
        <v>7864</v>
      </c>
      <c r="D1477" t="s">
        <v>7865</v>
      </c>
      <c r="E1477" t="s">
        <v>6762</v>
      </c>
      <c r="F1477" t="s">
        <v>844</v>
      </c>
      <c r="G1477" t="s">
        <v>164</v>
      </c>
      <c r="H1477" t="s">
        <v>165</v>
      </c>
      <c r="I1477" t="s">
        <v>34</v>
      </c>
      <c r="J1477" t="s">
        <v>166</v>
      </c>
      <c r="K1477" t="s">
        <v>41</v>
      </c>
      <c r="L1477" t="s">
        <v>7866</v>
      </c>
      <c r="M1477" t="s">
        <v>7867</v>
      </c>
      <c r="N1477" t="s">
        <v>847</v>
      </c>
      <c r="O1477" t="s">
        <v>100</v>
      </c>
      <c r="P1477" t="s">
        <v>7868</v>
      </c>
      <c r="Q1477" t="s">
        <v>58</v>
      </c>
      <c r="R1477" t="s">
        <v>507</v>
      </c>
      <c r="S1477">
        <v>6.24</v>
      </c>
      <c r="T1477">
        <v>10841</v>
      </c>
      <c r="U1477">
        <v>0</v>
      </c>
      <c r="V1477">
        <v>10841</v>
      </c>
    </row>
    <row r="1478" spans="1:22" x14ac:dyDescent="0.3">
      <c r="A1478">
        <v>80147</v>
      </c>
      <c r="B1478">
        <v>135982149</v>
      </c>
      <c r="C1478" t="s">
        <v>7869</v>
      </c>
      <c r="D1478" t="s">
        <v>7870</v>
      </c>
      <c r="E1478" t="s">
        <v>6762</v>
      </c>
      <c r="F1478" t="s">
        <v>844</v>
      </c>
      <c r="G1478" t="s">
        <v>164</v>
      </c>
      <c r="H1478" t="s">
        <v>165</v>
      </c>
      <c r="I1478" t="s">
        <v>34</v>
      </c>
      <c r="J1478" t="s">
        <v>166</v>
      </c>
      <c r="K1478" t="s">
        <v>41</v>
      </c>
      <c r="L1478" t="s">
        <v>7871</v>
      </c>
      <c r="M1478" t="s">
        <v>7872</v>
      </c>
      <c r="N1478" t="s">
        <v>847</v>
      </c>
      <c r="O1478" t="s">
        <v>100</v>
      </c>
      <c r="P1478" t="s">
        <v>7873</v>
      </c>
      <c r="Q1478" t="s">
        <v>84</v>
      </c>
      <c r="R1478" t="s">
        <v>7131</v>
      </c>
      <c r="S1478">
        <v>2.97</v>
      </c>
      <c r="T1478">
        <v>3366</v>
      </c>
      <c r="U1478">
        <v>0</v>
      </c>
      <c r="V1478">
        <v>3366</v>
      </c>
    </row>
    <row r="1479" spans="1:22" x14ac:dyDescent="0.3">
      <c r="A1479">
        <v>80147</v>
      </c>
      <c r="B1479">
        <v>135982182</v>
      </c>
      <c r="C1479" t="s">
        <v>7874</v>
      </c>
      <c r="D1479" t="s">
        <v>7875</v>
      </c>
      <c r="E1479" t="s">
        <v>6762</v>
      </c>
      <c r="F1479" t="s">
        <v>844</v>
      </c>
      <c r="G1479" t="s">
        <v>164</v>
      </c>
      <c r="H1479" t="s">
        <v>165</v>
      </c>
      <c r="I1479" t="s">
        <v>34</v>
      </c>
      <c r="J1479" t="s">
        <v>166</v>
      </c>
      <c r="K1479" t="s">
        <v>41</v>
      </c>
      <c r="L1479" t="s">
        <v>7876</v>
      </c>
      <c r="M1479" t="s">
        <v>7877</v>
      </c>
      <c r="N1479" t="s">
        <v>847</v>
      </c>
      <c r="O1479" t="s">
        <v>100</v>
      </c>
      <c r="P1479" t="s">
        <v>7878</v>
      </c>
      <c r="Q1479" t="s">
        <v>209</v>
      </c>
      <c r="R1479" t="s">
        <v>7131</v>
      </c>
      <c r="S1479">
        <v>5.04</v>
      </c>
      <c r="T1479">
        <v>8008</v>
      </c>
      <c r="U1479">
        <v>0</v>
      </c>
      <c r="V1479">
        <v>8008</v>
      </c>
    </row>
    <row r="1480" spans="1:22" x14ac:dyDescent="0.3">
      <c r="A1480">
        <v>80147</v>
      </c>
      <c r="B1480">
        <v>135982307</v>
      </c>
      <c r="C1480" t="s">
        <v>7879</v>
      </c>
      <c r="D1480" t="s">
        <v>7880</v>
      </c>
      <c r="E1480" t="s">
        <v>6762</v>
      </c>
      <c r="F1480" t="s">
        <v>844</v>
      </c>
      <c r="G1480" t="s">
        <v>164</v>
      </c>
      <c r="H1480" t="s">
        <v>165</v>
      </c>
      <c r="I1480" t="s">
        <v>34</v>
      </c>
      <c r="J1480" t="s">
        <v>166</v>
      </c>
      <c r="K1480" t="s">
        <v>41</v>
      </c>
      <c r="L1480" t="s">
        <v>7881</v>
      </c>
      <c r="M1480" t="s">
        <v>7882</v>
      </c>
      <c r="N1480" t="s">
        <v>847</v>
      </c>
      <c r="O1480" t="s">
        <v>100</v>
      </c>
      <c r="P1480" t="s">
        <v>7883</v>
      </c>
      <c r="Q1480" t="s">
        <v>55</v>
      </c>
      <c r="R1480" t="s">
        <v>660</v>
      </c>
      <c r="S1480">
        <v>8.0399999999999991</v>
      </c>
      <c r="T1480">
        <v>9710</v>
      </c>
      <c r="U1480">
        <v>0</v>
      </c>
      <c r="V1480">
        <v>9710</v>
      </c>
    </row>
    <row r="1481" spans="1:22" x14ac:dyDescent="0.3">
      <c r="A1481">
        <v>80147</v>
      </c>
      <c r="B1481">
        <v>135982144</v>
      </c>
      <c r="C1481" t="s">
        <v>7884</v>
      </c>
      <c r="D1481" t="s">
        <v>7885</v>
      </c>
      <c r="E1481" t="s">
        <v>6762</v>
      </c>
      <c r="F1481" t="s">
        <v>844</v>
      </c>
      <c r="G1481" t="s">
        <v>164</v>
      </c>
      <c r="H1481" t="s">
        <v>165</v>
      </c>
      <c r="I1481" t="s">
        <v>34</v>
      </c>
      <c r="J1481" t="s">
        <v>166</v>
      </c>
      <c r="K1481" t="s">
        <v>41</v>
      </c>
      <c r="L1481" t="s">
        <v>7886</v>
      </c>
      <c r="M1481" t="s">
        <v>7887</v>
      </c>
      <c r="N1481" t="s">
        <v>847</v>
      </c>
      <c r="O1481" t="s">
        <v>100</v>
      </c>
      <c r="P1481" t="s">
        <v>7888</v>
      </c>
      <c r="Q1481" t="s">
        <v>55</v>
      </c>
      <c r="R1481" t="s">
        <v>7131</v>
      </c>
      <c r="S1481">
        <v>6.01</v>
      </c>
      <c r="T1481">
        <v>9710</v>
      </c>
      <c r="U1481">
        <v>0</v>
      </c>
      <c r="V1481">
        <v>9710</v>
      </c>
    </row>
    <row r="1482" spans="1:22" x14ac:dyDescent="0.3">
      <c r="A1482">
        <v>80147</v>
      </c>
      <c r="B1482">
        <v>135904588</v>
      </c>
      <c r="C1482" t="s">
        <v>7889</v>
      </c>
      <c r="D1482" t="s">
        <v>7890</v>
      </c>
      <c r="E1482" t="s">
        <v>6762</v>
      </c>
      <c r="F1482" t="s">
        <v>844</v>
      </c>
      <c r="G1482" t="s">
        <v>164</v>
      </c>
      <c r="H1482" t="s">
        <v>165</v>
      </c>
      <c r="I1482" t="s">
        <v>34</v>
      </c>
      <c r="J1482" t="s">
        <v>166</v>
      </c>
      <c r="K1482" t="s">
        <v>41</v>
      </c>
      <c r="L1482" t="s">
        <v>7891</v>
      </c>
      <c r="M1482" t="s">
        <v>7892</v>
      </c>
      <c r="N1482" t="s">
        <v>847</v>
      </c>
      <c r="O1482" t="s">
        <v>100</v>
      </c>
      <c r="P1482" t="s">
        <v>7893</v>
      </c>
      <c r="Q1482" t="s">
        <v>61</v>
      </c>
      <c r="R1482" t="s">
        <v>499</v>
      </c>
      <c r="S1482">
        <v>1</v>
      </c>
      <c r="T1482">
        <v>4067</v>
      </c>
      <c r="U1482">
        <v>0</v>
      </c>
      <c r="V1482">
        <v>4067</v>
      </c>
    </row>
    <row r="1483" spans="1:22" x14ac:dyDescent="0.3">
      <c r="A1483">
        <v>80147</v>
      </c>
      <c r="B1483">
        <v>135848140</v>
      </c>
      <c r="C1483" t="s">
        <v>7894</v>
      </c>
      <c r="D1483" t="s">
        <v>7895</v>
      </c>
      <c r="E1483" t="s">
        <v>6762</v>
      </c>
      <c r="F1483" t="s">
        <v>844</v>
      </c>
      <c r="G1483" t="s">
        <v>164</v>
      </c>
      <c r="H1483" t="s">
        <v>165</v>
      </c>
      <c r="I1483" t="s">
        <v>34</v>
      </c>
      <c r="J1483" t="s">
        <v>166</v>
      </c>
      <c r="K1483" t="s">
        <v>41</v>
      </c>
      <c r="L1483" t="s">
        <v>7896</v>
      </c>
      <c r="M1483" t="s">
        <v>7897</v>
      </c>
      <c r="N1483" t="s">
        <v>847</v>
      </c>
      <c r="O1483" t="s">
        <v>100</v>
      </c>
      <c r="P1483" t="s">
        <v>7898</v>
      </c>
      <c r="Q1483" t="s">
        <v>224</v>
      </c>
      <c r="R1483" t="s">
        <v>7367</v>
      </c>
      <c r="S1483">
        <v>1</v>
      </c>
      <c r="T1483">
        <v>4067</v>
      </c>
      <c r="U1483">
        <v>0</v>
      </c>
      <c r="V1483">
        <v>4067</v>
      </c>
    </row>
    <row r="1484" spans="1:22" x14ac:dyDescent="0.3">
      <c r="A1484">
        <v>80147</v>
      </c>
      <c r="B1484">
        <v>135746599</v>
      </c>
      <c r="C1484" t="s">
        <v>7899</v>
      </c>
      <c r="D1484" t="s">
        <v>7900</v>
      </c>
      <c r="E1484" t="s">
        <v>6762</v>
      </c>
      <c r="F1484" t="s">
        <v>844</v>
      </c>
      <c r="G1484" t="s">
        <v>164</v>
      </c>
      <c r="H1484" t="s">
        <v>165</v>
      </c>
      <c r="I1484" t="s">
        <v>34</v>
      </c>
      <c r="J1484" t="s">
        <v>166</v>
      </c>
      <c r="K1484" t="s">
        <v>41</v>
      </c>
      <c r="L1484" t="s">
        <v>7901</v>
      </c>
      <c r="M1484" t="s">
        <v>7902</v>
      </c>
      <c r="N1484" t="s">
        <v>847</v>
      </c>
      <c r="O1484" t="s">
        <v>100</v>
      </c>
      <c r="P1484" t="s">
        <v>7903</v>
      </c>
      <c r="Q1484" t="s">
        <v>59</v>
      </c>
      <c r="R1484" t="s">
        <v>681</v>
      </c>
      <c r="S1484">
        <v>1</v>
      </c>
      <c r="T1484">
        <v>4067</v>
      </c>
      <c r="U1484">
        <v>0</v>
      </c>
      <c r="V1484">
        <v>4067</v>
      </c>
    </row>
    <row r="1485" spans="1:22" x14ac:dyDescent="0.3">
      <c r="A1485">
        <v>80147</v>
      </c>
      <c r="B1485">
        <v>135791783</v>
      </c>
      <c r="C1485" t="s">
        <v>7904</v>
      </c>
      <c r="D1485" t="s">
        <v>7905</v>
      </c>
      <c r="E1485" t="s">
        <v>6762</v>
      </c>
      <c r="F1485" t="s">
        <v>844</v>
      </c>
      <c r="G1485" t="s">
        <v>164</v>
      </c>
      <c r="H1485" t="s">
        <v>165</v>
      </c>
      <c r="I1485" t="s">
        <v>34</v>
      </c>
      <c r="J1485" t="s">
        <v>166</v>
      </c>
      <c r="K1485" t="s">
        <v>41</v>
      </c>
      <c r="L1485" t="s">
        <v>7906</v>
      </c>
      <c r="M1485" t="s">
        <v>7907</v>
      </c>
      <c r="N1485" t="s">
        <v>847</v>
      </c>
      <c r="O1485" t="s">
        <v>100</v>
      </c>
      <c r="P1485" t="s">
        <v>7908</v>
      </c>
      <c r="Q1485" t="s">
        <v>54</v>
      </c>
      <c r="R1485" t="s">
        <v>507</v>
      </c>
      <c r="S1485">
        <v>1</v>
      </c>
      <c r="T1485">
        <v>5759</v>
      </c>
      <c r="U1485">
        <v>0</v>
      </c>
      <c r="V1485">
        <v>5759</v>
      </c>
    </row>
    <row r="1486" spans="1:22" x14ac:dyDescent="0.3">
      <c r="A1486">
        <v>80147</v>
      </c>
      <c r="B1486">
        <v>135982128</v>
      </c>
      <c r="C1486" t="s">
        <v>7909</v>
      </c>
      <c r="D1486" t="s">
        <v>7910</v>
      </c>
      <c r="E1486" t="s">
        <v>6762</v>
      </c>
      <c r="F1486" t="s">
        <v>844</v>
      </c>
      <c r="G1486" t="s">
        <v>164</v>
      </c>
      <c r="H1486" t="s">
        <v>165</v>
      </c>
      <c r="I1486" t="s">
        <v>34</v>
      </c>
      <c r="J1486" t="s">
        <v>166</v>
      </c>
      <c r="K1486" t="s">
        <v>41</v>
      </c>
      <c r="L1486" t="s">
        <v>7911</v>
      </c>
      <c r="M1486" t="s">
        <v>7912</v>
      </c>
      <c r="N1486" t="s">
        <v>847</v>
      </c>
      <c r="O1486" t="s">
        <v>100</v>
      </c>
      <c r="P1486" t="s">
        <v>7913</v>
      </c>
      <c r="Q1486" t="s">
        <v>55</v>
      </c>
      <c r="R1486" t="s">
        <v>7131</v>
      </c>
      <c r="S1486">
        <v>7.26</v>
      </c>
      <c r="T1486">
        <v>9710</v>
      </c>
      <c r="U1486">
        <v>0</v>
      </c>
      <c r="V1486">
        <v>9710</v>
      </c>
    </row>
    <row r="1487" spans="1:22" x14ac:dyDescent="0.3">
      <c r="A1487">
        <v>80147</v>
      </c>
      <c r="B1487">
        <v>135904578</v>
      </c>
      <c r="C1487" t="s">
        <v>7914</v>
      </c>
      <c r="D1487" t="s">
        <v>7915</v>
      </c>
      <c r="E1487" t="s">
        <v>6762</v>
      </c>
      <c r="F1487" t="s">
        <v>844</v>
      </c>
      <c r="G1487" t="s">
        <v>164</v>
      </c>
      <c r="H1487" t="s">
        <v>165</v>
      </c>
      <c r="I1487" t="s">
        <v>34</v>
      </c>
      <c r="J1487" t="s">
        <v>166</v>
      </c>
      <c r="K1487" t="s">
        <v>41</v>
      </c>
      <c r="L1487" t="s">
        <v>7916</v>
      </c>
      <c r="M1487" t="s">
        <v>7917</v>
      </c>
      <c r="N1487" t="s">
        <v>847</v>
      </c>
      <c r="O1487" t="s">
        <v>100</v>
      </c>
      <c r="P1487" t="s">
        <v>7918</v>
      </c>
      <c r="Q1487" t="s">
        <v>98</v>
      </c>
      <c r="R1487" t="s">
        <v>499</v>
      </c>
      <c r="S1487">
        <v>7.23</v>
      </c>
      <c r="T1487">
        <v>5198</v>
      </c>
      <c r="U1487">
        <v>0</v>
      </c>
      <c r="V1487">
        <v>5198</v>
      </c>
    </row>
    <row r="1488" spans="1:22" x14ac:dyDescent="0.3">
      <c r="A1488">
        <v>80147</v>
      </c>
      <c r="B1488">
        <v>135848136</v>
      </c>
      <c r="C1488" t="s">
        <v>7919</v>
      </c>
      <c r="D1488" t="s">
        <v>7920</v>
      </c>
      <c r="E1488" t="s">
        <v>6762</v>
      </c>
      <c r="F1488" t="s">
        <v>844</v>
      </c>
      <c r="G1488" t="s">
        <v>164</v>
      </c>
      <c r="H1488" t="s">
        <v>165</v>
      </c>
      <c r="I1488" t="s">
        <v>34</v>
      </c>
      <c r="J1488" t="s">
        <v>166</v>
      </c>
      <c r="K1488" t="s">
        <v>41</v>
      </c>
      <c r="L1488" t="s">
        <v>7921</v>
      </c>
      <c r="M1488" t="s">
        <v>7922</v>
      </c>
      <c r="N1488" t="s">
        <v>847</v>
      </c>
      <c r="O1488" t="s">
        <v>100</v>
      </c>
      <c r="P1488" t="s">
        <v>7923</v>
      </c>
      <c r="Q1488" t="s">
        <v>92</v>
      </c>
      <c r="R1488" t="s">
        <v>7367</v>
      </c>
      <c r="S1488">
        <v>6.19</v>
      </c>
      <c r="T1488">
        <v>5198</v>
      </c>
      <c r="U1488">
        <v>0</v>
      </c>
      <c r="V1488">
        <v>5198</v>
      </c>
    </row>
    <row r="1489" spans="1:22" x14ac:dyDescent="0.3">
      <c r="A1489">
        <v>80147</v>
      </c>
      <c r="B1489">
        <v>135503955</v>
      </c>
      <c r="C1489" t="s">
        <v>7924</v>
      </c>
      <c r="D1489" t="s">
        <v>7925</v>
      </c>
      <c r="E1489" t="s">
        <v>6762</v>
      </c>
      <c r="F1489" t="s">
        <v>844</v>
      </c>
      <c r="G1489" t="s">
        <v>164</v>
      </c>
      <c r="H1489" t="s">
        <v>165</v>
      </c>
      <c r="I1489" t="s">
        <v>34</v>
      </c>
      <c r="J1489" t="s">
        <v>166</v>
      </c>
      <c r="K1489" t="s">
        <v>46</v>
      </c>
      <c r="L1489" t="s">
        <v>281</v>
      </c>
      <c r="M1489" t="s">
        <v>123</v>
      </c>
      <c r="N1489" t="s">
        <v>847</v>
      </c>
      <c r="O1489" t="s">
        <v>100</v>
      </c>
      <c r="P1489" t="s">
        <v>7926</v>
      </c>
      <c r="Q1489" t="s">
        <v>70</v>
      </c>
      <c r="R1489" t="s">
        <v>7927</v>
      </c>
      <c r="S1489">
        <v>0.3</v>
      </c>
      <c r="T1489">
        <v>3449</v>
      </c>
      <c r="U1489">
        <v>0</v>
      </c>
      <c r="V1489">
        <v>3449</v>
      </c>
    </row>
    <row r="1490" spans="1:22" x14ac:dyDescent="0.3">
      <c r="A1490">
        <v>80147</v>
      </c>
      <c r="B1490">
        <v>135982161</v>
      </c>
      <c r="C1490" t="s">
        <v>7928</v>
      </c>
      <c r="D1490" t="s">
        <v>7929</v>
      </c>
      <c r="E1490" t="s">
        <v>6762</v>
      </c>
      <c r="F1490" t="s">
        <v>844</v>
      </c>
      <c r="G1490" t="s">
        <v>164</v>
      </c>
      <c r="H1490" t="s">
        <v>165</v>
      </c>
      <c r="I1490" t="s">
        <v>34</v>
      </c>
      <c r="J1490" t="s">
        <v>166</v>
      </c>
      <c r="K1490" t="s">
        <v>41</v>
      </c>
      <c r="L1490" t="s">
        <v>7930</v>
      </c>
      <c r="M1490" t="s">
        <v>7931</v>
      </c>
      <c r="N1490" t="s">
        <v>847</v>
      </c>
      <c r="O1490" t="s">
        <v>100</v>
      </c>
      <c r="P1490" t="s">
        <v>7932</v>
      </c>
      <c r="Q1490" t="s">
        <v>61</v>
      </c>
      <c r="R1490" t="s">
        <v>7131</v>
      </c>
      <c r="S1490">
        <v>5.77</v>
      </c>
      <c r="T1490">
        <v>5376</v>
      </c>
      <c r="U1490">
        <v>0</v>
      </c>
      <c r="V1490">
        <v>5376</v>
      </c>
    </row>
    <row r="1491" spans="1:22" x14ac:dyDescent="0.3">
      <c r="A1491">
        <v>80147</v>
      </c>
      <c r="B1491">
        <v>135904544</v>
      </c>
      <c r="C1491" t="s">
        <v>7933</v>
      </c>
      <c r="D1491" t="s">
        <v>7934</v>
      </c>
      <c r="E1491" t="s">
        <v>6762</v>
      </c>
      <c r="F1491" t="s">
        <v>844</v>
      </c>
      <c r="G1491" t="s">
        <v>164</v>
      </c>
      <c r="H1491" t="s">
        <v>165</v>
      </c>
      <c r="I1491" t="s">
        <v>34</v>
      </c>
      <c r="J1491" t="s">
        <v>166</v>
      </c>
      <c r="K1491" t="s">
        <v>41</v>
      </c>
      <c r="L1491" t="s">
        <v>7935</v>
      </c>
      <c r="M1491" t="s">
        <v>7936</v>
      </c>
      <c r="N1491" t="s">
        <v>847</v>
      </c>
      <c r="O1491" t="s">
        <v>100</v>
      </c>
      <c r="P1491" t="s">
        <v>7937</v>
      </c>
      <c r="Q1491" t="s">
        <v>90</v>
      </c>
      <c r="R1491" t="s">
        <v>499</v>
      </c>
      <c r="S1491">
        <v>5.7</v>
      </c>
      <c r="T1491">
        <v>4366</v>
      </c>
      <c r="U1491">
        <v>0</v>
      </c>
      <c r="V1491">
        <v>4366</v>
      </c>
    </row>
    <row r="1492" spans="1:22" x14ac:dyDescent="0.3">
      <c r="A1492">
        <v>80147</v>
      </c>
      <c r="B1492">
        <v>135982168</v>
      </c>
      <c r="C1492" t="s">
        <v>7938</v>
      </c>
      <c r="D1492" t="s">
        <v>7939</v>
      </c>
      <c r="E1492" t="s">
        <v>6762</v>
      </c>
      <c r="F1492" t="s">
        <v>844</v>
      </c>
      <c r="G1492" t="s">
        <v>164</v>
      </c>
      <c r="H1492" t="s">
        <v>165</v>
      </c>
      <c r="I1492" t="s">
        <v>34</v>
      </c>
      <c r="J1492" t="s">
        <v>166</v>
      </c>
      <c r="K1492" t="s">
        <v>41</v>
      </c>
      <c r="L1492" t="s">
        <v>7940</v>
      </c>
      <c r="M1492" t="s">
        <v>835</v>
      </c>
      <c r="N1492" t="s">
        <v>847</v>
      </c>
      <c r="O1492" t="s">
        <v>100</v>
      </c>
      <c r="P1492" t="s">
        <v>7941</v>
      </c>
      <c r="Q1492" t="s">
        <v>83</v>
      </c>
      <c r="R1492" t="s">
        <v>7131</v>
      </c>
      <c r="S1492">
        <v>1</v>
      </c>
      <c r="T1492">
        <v>3366</v>
      </c>
      <c r="U1492">
        <v>0</v>
      </c>
      <c r="V1492">
        <v>3366</v>
      </c>
    </row>
    <row r="1493" spans="1:22" x14ac:dyDescent="0.3">
      <c r="A1493">
        <v>80147</v>
      </c>
      <c r="B1493">
        <v>135791759</v>
      </c>
      <c r="C1493" t="s">
        <v>7942</v>
      </c>
      <c r="D1493" t="s">
        <v>7943</v>
      </c>
      <c r="E1493" t="s">
        <v>6762</v>
      </c>
      <c r="F1493" t="s">
        <v>844</v>
      </c>
      <c r="G1493" t="s">
        <v>164</v>
      </c>
      <c r="H1493" t="s">
        <v>165</v>
      </c>
      <c r="I1493" t="s">
        <v>34</v>
      </c>
      <c r="J1493" t="s">
        <v>166</v>
      </c>
      <c r="K1493" t="s">
        <v>41</v>
      </c>
      <c r="L1493" t="s">
        <v>7944</v>
      </c>
      <c r="M1493" t="s">
        <v>7945</v>
      </c>
      <c r="N1493" t="s">
        <v>847</v>
      </c>
      <c r="O1493" t="s">
        <v>100</v>
      </c>
      <c r="P1493" t="s">
        <v>7946</v>
      </c>
      <c r="Q1493" t="s">
        <v>84</v>
      </c>
      <c r="R1493" t="s">
        <v>507</v>
      </c>
      <c r="S1493">
        <v>6.72</v>
      </c>
      <c r="T1493">
        <v>5198</v>
      </c>
      <c r="U1493">
        <v>0</v>
      </c>
      <c r="V1493">
        <v>5198</v>
      </c>
    </row>
    <row r="1494" spans="1:22" x14ac:dyDescent="0.3">
      <c r="A1494">
        <v>80147</v>
      </c>
      <c r="B1494">
        <v>135848134</v>
      </c>
      <c r="C1494" t="s">
        <v>7947</v>
      </c>
      <c r="D1494" t="s">
        <v>7948</v>
      </c>
      <c r="E1494" t="s">
        <v>6762</v>
      </c>
      <c r="F1494" t="s">
        <v>844</v>
      </c>
      <c r="G1494" t="s">
        <v>164</v>
      </c>
      <c r="H1494" t="s">
        <v>165</v>
      </c>
      <c r="I1494" t="s">
        <v>34</v>
      </c>
      <c r="J1494" t="s">
        <v>166</v>
      </c>
      <c r="K1494" t="s">
        <v>41</v>
      </c>
      <c r="L1494" t="s">
        <v>7949</v>
      </c>
      <c r="M1494" t="s">
        <v>7950</v>
      </c>
      <c r="N1494" t="s">
        <v>847</v>
      </c>
      <c r="O1494" t="s">
        <v>100</v>
      </c>
      <c r="P1494" t="s">
        <v>7951</v>
      </c>
      <c r="Q1494" t="s">
        <v>63</v>
      </c>
      <c r="R1494" t="s">
        <v>7367</v>
      </c>
      <c r="S1494">
        <v>5.66</v>
      </c>
      <c r="T1494">
        <v>5111</v>
      </c>
      <c r="U1494">
        <v>0</v>
      </c>
      <c r="V1494">
        <v>5111</v>
      </c>
    </row>
    <row r="1495" spans="1:22" x14ac:dyDescent="0.3">
      <c r="A1495">
        <v>80147</v>
      </c>
      <c r="B1495">
        <v>135710028</v>
      </c>
      <c r="C1495" t="s">
        <v>7952</v>
      </c>
      <c r="D1495" t="s">
        <v>7953</v>
      </c>
      <c r="E1495" t="s">
        <v>6762</v>
      </c>
      <c r="F1495" t="s">
        <v>844</v>
      </c>
      <c r="G1495" t="s">
        <v>164</v>
      </c>
      <c r="H1495" t="s">
        <v>165</v>
      </c>
      <c r="I1495" t="s">
        <v>34</v>
      </c>
      <c r="J1495" t="s">
        <v>166</v>
      </c>
      <c r="K1495" t="s">
        <v>41</v>
      </c>
      <c r="L1495" t="s">
        <v>7954</v>
      </c>
      <c r="M1495" t="s">
        <v>7955</v>
      </c>
      <c r="N1495" t="s">
        <v>847</v>
      </c>
      <c r="O1495" t="s">
        <v>100</v>
      </c>
      <c r="P1495" t="s">
        <v>7956</v>
      </c>
      <c r="Q1495" t="s">
        <v>614</v>
      </c>
      <c r="R1495" t="s">
        <v>6778</v>
      </c>
      <c r="S1495">
        <v>8.1</v>
      </c>
      <c r="T1495">
        <v>10562</v>
      </c>
      <c r="U1495">
        <v>0</v>
      </c>
      <c r="V1495">
        <v>10562</v>
      </c>
    </row>
    <row r="1496" spans="1:22" x14ac:dyDescent="0.3">
      <c r="A1496">
        <v>80147</v>
      </c>
      <c r="B1496">
        <v>135746600</v>
      </c>
      <c r="C1496" t="s">
        <v>7957</v>
      </c>
      <c r="D1496" t="s">
        <v>7958</v>
      </c>
      <c r="E1496" t="s">
        <v>6762</v>
      </c>
      <c r="F1496" t="s">
        <v>844</v>
      </c>
      <c r="G1496" t="s">
        <v>164</v>
      </c>
      <c r="H1496" t="s">
        <v>165</v>
      </c>
      <c r="I1496" t="s">
        <v>34</v>
      </c>
      <c r="J1496" t="s">
        <v>166</v>
      </c>
      <c r="K1496" t="s">
        <v>41</v>
      </c>
      <c r="L1496" t="s">
        <v>7959</v>
      </c>
      <c r="M1496" t="s">
        <v>7960</v>
      </c>
      <c r="N1496" t="s">
        <v>847</v>
      </c>
      <c r="O1496" t="s">
        <v>100</v>
      </c>
      <c r="P1496" t="s">
        <v>7961</v>
      </c>
      <c r="Q1496" t="s">
        <v>68</v>
      </c>
      <c r="R1496" t="s">
        <v>681</v>
      </c>
      <c r="S1496">
        <v>6.5</v>
      </c>
      <c r="T1496">
        <v>5759</v>
      </c>
      <c r="U1496">
        <v>0</v>
      </c>
      <c r="V1496">
        <v>5759</v>
      </c>
    </row>
    <row r="1497" spans="1:22" x14ac:dyDescent="0.3">
      <c r="A1497">
        <v>80147</v>
      </c>
      <c r="B1497">
        <v>135904600</v>
      </c>
      <c r="C1497" t="s">
        <v>7962</v>
      </c>
      <c r="D1497" t="s">
        <v>7963</v>
      </c>
      <c r="E1497" t="s">
        <v>6762</v>
      </c>
      <c r="F1497" t="s">
        <v>844</v>
      </c>
      <c r="G1497" t="s">
        <v>164</v>
      </c>
      <c r="H1497" t="s">
        <v>165</v>
      </c>
      <c r="I1497" t="s">
        <v>34</v>
      </c>
      <c r="J1497" t="s">
        <v>166</v>
      </c>
      <c r="K1497" t="s">
        <v>41</v>
      </c>
      <c r="L1497" t="s">
        <v>7964</v>
      </c>
      <c r="M1497" t="s">
        <v>7965</v>
      </c>
      <c r="N1497" t="s">
        <v>847</v>
      </c>
      <c r="O1497" t="s">
        <v>100</v>
      </c>
      <c r="P1497" t="s">
        <v>7966</v>
      </c>
      <c r="Q1497" t="s">
        <v>61</v>
      </c>
      <c r="R1497" t="s">
        <v>499</v>
      </c>
      <c r="S1497">
        <v>6.45</v>
      </c>
      <c r="T1497">
        <v>6888</v>
      </c>
      <c r="U1497">
        <v>0</v>
      </c>
      <c r="V1497">
        <v>6888</v>
      </c>
    </row>
    <row r="1498" spans="1:22" x14ac:dyDescent="0.3">
      <c r="A1498">
        <v>80147</v>
      </c>
      <c r="B1498">
        <v>135904553</v>
      </c>
      <c r="C1498" t="s">
        <v>7967</v>
      </c>
      <c r="D1498" t="s">
        <v>7968</v>
      </c>
      <c r="E1498" t="s">
        <v>6762</v>
      </c>
      <c r="F1498" t="s">
        <v>844</v>
      </c>
      <c r="G1498" t="s">
        <v>164</v>
      </c>
      <c r="H1498" t="s">
        <v>165</v>
      </c>
      <c r="I1498" t="s">
        <v>34</v>
      </c>
      <c r="J1498" t="s">
        <v>166</v>
      </c>
      <c r="K1498" t="s">
        <v>41</v>
      </c>
      <c r="L1498" t="s">
        <v>7969</v>
      </c>
      <c r="M1498" t="s">
        <v>7970</v>
      </c>
      <c r="N1498" t="s">
        <v>847</v>
      </c>
      <c r="O1498" t="s">
        <v>100</v>
      </c>
      <c r="P1498" t="s">
        <v>7971</v>
      </c>
      <c r="Q1498" t="s">
        <v>83</v>
      </c>
      <c r="R1498" t="s">
        <v>499</v>
      </c>
      <c r="S1498">
        <v>1</v>
      </c>
      <c r="T1498">
        <v>3366</v>
      </c>
      <c r="U1498">
        <v>0</v>
      </c>
      <c r="V1498">
        <v>3366</v>
      </c>
    </row>
    <row r="1499" spans="1:22" x14ac:dyDescent="0.3">
      <c r="A1499">
        <v>80147</v>
      </c>
      <c r="B1499">
        <v>135791763</v>
      </c>
      <c r="C1499" t="s">
        <v>7972</v>
      </c>
      <c r="D1499" t="s">
        <v>7973</v>
      </c>
      <c r="E1499" t="s">
        <v>6762</v>
      </c>
      <c r="F1499" t="s">
        <v>844</v>
      </c>
      <c r="G1499" t="s">
        <v>164</v>
      </c>
      <c r="H1499" t="s">
        <v>165</v>
      </c>
      <c r="I1499" t="s">
        <v>34</v>
      </c>
      <c r="J1499" t="s">
        <v>166</v>
      </c>
      <c r="K1499" t="s">
        <v>41</v>
      </c>
      <c r="L1499" t="s">
        <v>7974</v>
      </c>
      <c r="M1499" t="s">
        <v>7975</v>
      </c>
      <c r="N1499" t="s">
        <v>847</v>
      </c>
      <c r="O1499" t="s">
        <v>100</v>
      </c>
      <c r="P1499" t="s">
        <v>7976</v>
      </c>
      <c r="Q1499" t="s">
        <v>84</v>
      </c>
      <c r="R1499" t="s">
        <v>507</v>
      </c>
      <c r="S1499">
        <v>8.66</v>
      </c>
      <c r="T1499">
        <v>5198</v>
      </c>
      <c r="U1499">
        <v>0</v>
      </c>
      <c r="V1499">
        <v>5198</v>
      </c>
    </row>
    <row r="1500" spans="1:22" x14ac:dyDescent="0.3">
      <c r="A1500">
        <v>80147</v>
      </c>
      <c r="B1500">
        <v>135904563</v>
      </c>
      <c r="C1500" t="s">
        <v>7977</v>
      </c>
      <c r="D1500" t="s">
        <v>7978</v>
      </c>
      <c r="E1500" t="s">
        <v>6762</v>
      </c>
      <c r="F1500" t="s">
        <v>844</v>
      </c>
      <c r="G1500" t="s">
        <v>164</v>
      </c>
      <c r="H1500" t="s">
        <v>165</v>
      </c>
      <c r="I1500" t="s">
        <v>34</v>
      </c>
      <c r="J1500" t="s">
        <v>166</v>
      </c>
      <c r="K1500" t="s">
        <v>41</v>
      </c>
      <c r="L1500" t="s">
        <v>7979</v>
      </c>
      <c r="M1500" t="s">
        <v>7980</v>
      </c>
      <c r="N1500" t="s">
        <v>847</v>
      </c>
      <c r="O1500" t="s">
        <v>100</v>
      </c>
      <c r="P1500" t="s">
        <v>7981</v>
      </c>
      <c r="Q1500" t="s">
        <v>79</v>
      </c>
      <c r="R1500" t="s">
        <v>499</v>
      </c>
      <c r="S1500">
        <v>5.08</v>
      </c>
      <c r="T1500">
        <v>5734</v>
      </c>
      <c r="U1500">
        <v>0</v>
      </c>
      <c r="V1500">
        <v>5734</v>
      </c>
    </row>
    <row r="1501" spans="1:22" x14ac:dyDescent="0.3">
      <c r="A1501">
        <v>80147</v>
      </c>
      <c r="B1501">
        <v>135791739</v>
      </c>
      <c r="C1501" t="s">
        <v>7982</v>
      </c>
      <c r="D1501" t="s">
        <v>7983</v>
      </c>
      <c r="E1501" t="s">
        <v>6762</v>
      </c>
      <c r="F1501" t="s">
        <v>844</v>
      </c>
      <c r="G1501" t="s">
        <v>164</v>
      </c>
      <c r="H1501" t="s">
        <v>165</v>
      </c>
      <c r="I1501" t="s">
        <v>34</v>
      </c>
      <c r="J1501" t="s">
        <v>166</v>
      </c>
      <c r="K1501" t="s">
        <v>41</v>
      </c>
      <c r="L1501" t="s">
        <v>7984</v>
      </c>
      <c r="M1501" t="s">
        <v>7985</v>
      </c>
      <c r="N1501" t="s">
        <v>847</v>
      </c>
      <c r="O1501" t="s">
        <v>100</v>
      </c>
      <c r="P1501" t="s">
        <v>7986</v>
      </c>
      <c r="Q1501" t="s">
        <v>43</v>
      </c>
      <c r="R1501" t="s">
        <v>507</v>
      </c>
      <c r="S1501">
        <v>5.23</v>
      </c>
      <c r="T1501">
        <v>4322</v>
      </c>
      <c r="U1501">
        <v>0</v>
      </c>
      <c r="V1501">
        <v>4322</v>
      </c>
    </row>
    <row r="1502" spans="1:22" x14ac:dyDescent="0.3">
      <c r="A1502">
        <v>80147</v>
      </c>
      <c r="B1502">
        <v>135904520</v>
      </c>
      <c r="C1502" t="s">
        <v>7987</v>
      </c>
      <c r="D1502" t="s">
        <v>7988</v>
      </c>
      <c r="E1502" t="s">
        <v>6762</v>
      </c>
      <c r="F1502" t="s">
        <v>844</v>
      </c>
      <c r="G1502" t="s">
        <v>164</v>
      </c>
      <c r="H1502" t="s">
        <v>165</v>
      </c>
      <c r="I1502" t="s">
        <v>34</v>
      </c>
      <c r="J1502" t="s">
        <v>166</v>
      </c>
      <c r="K1502" t="s">
        <v>41</v>
      </c>
      <c r="L1502" t="s">
        <v>7989</v>
      </c>
      <c r="M1502" t="s">
        <v>7990</v>
      </c>
      <c r="N1502" t="s">
        <v>847</v>
      </c>
      <c r="O1502" t="s">
        <v>100</v>
      </c>
      <c r="P1502" t="s">
        <v>7991</v>
      </c>
      <c r="Q1502" t="s">
        <v>83</v>
      </c>
      <c r="R1502" t="s">
        <v>290</v>
      </c>
      <c r="S1502">
        <v>1</v>
      </c>
      <c r="T1502">
        <v>3366</v>
      </c>
      <c r="U1502">
        <v>0</v>
      </c>
      <c r="V1502">
        <v>3366</v>
      </c>
    </row>
    <row r="1503" spans="1:22" x14ac:dyDescent="0.3">
      <c r="A1503">
        <v>80147</v>
      </c>
      <c r="B1503">
        <v>135746609</v>
      </c>
      <c r="C1503" t="s">
        <v>7992</v>
      </c>
      <c r="D1503" t="s">
        <v>7993</v>
      </c>
      <c r="E1503" t="s">
        <v>6762</v>
      </c>
      <c r="F1503" t="s">
        <v>844</v>
      </c>
      <c r="G1503" t="s">
        <v>164</v>
      </c>
      <c r="H1503" t="s">
        <v>165</v>
      </c>
      <c r="I1503" t="s">
        <v>34</v>
      </c>
      <c r="J1503" t="s">
        <v>166</v>
      </c>
      <c r="K1503" t="s">
        <v>41</v>
      </c>
      <c r="L1503" t="s">
        <v>7994</v>
      </c>
      <c r="M1503" t="s">
        <v>7995</v>
      </c>
      <c r="N1503" t="s">
        <v>847</v>
      </c>
      <c r="O1503" t="s">
        <v>100</v>
      </c>
      <c r="P1503" t="s">
        <v>7996</v>
      </c>
      <c r="Q1503" t="s">
        <v>204</v>
      </c>
      <c r="R1503" t="s">
        <v>681</v>
      </c>
      <c r="S1503">
        <v>5.62</v>
      </c>
      <c r="T1503">
        <v>3797</v>
      </c>
      <c r="U1503">
        <v>0</v>
      </c>
      <c r="V1503">
        <v>3797</v>
      </c>
    </row>
    <row r="1504" spans="1:22" x14ac:dyDescent="0.3">
      <c r="A1504">
        <v>80147</v>
      </c>
      <c r="B1504">
        <v>135848137</v>
      </c>
      <c r="C1504" t="s">
        <v>7997</v>
      </c>
      <c r="D1504" t="s">
        <v>7998</v>
      </c>
      <c r="E1504" t="s">
        <v>6762</v>
      </c>
      <c r="F1504" t="s">
        <v>844</v>
      </c>
      <c r="G1504" t="s">
        <v>164</v>
      </c>
      <c r="H1504" t="s">
        <v>165</v>
      </c>
      <c r="I1504" t="s">
        <v>34</v>
      </c>
      <c r="J1504" t="s">
        <v>166</v>
      </c>
      <c r="K1504" t="s">
        <v>41</v>
      </c>
      <c r="L1504" t="s">
        <v>7999</v>
      </c>
      <c r="M1504" t="s">
        <v>8000</v>
      </c>
      <c r="N1504" t="s">
        <v>847</v>
      </c>
      <c r="O1504" t="s">
        <v>100</v>
      </c>
      <c r="P1504" t="s">
        <v>8001</v>
      </c>
      <c r="Q1504" t="s">
        <v>83</v>
      </c>
      <c r="R1504" t="s">
        <v>7367</v>
      </c>
      <c r="S1504">
        <v>1</v>
      </c>
      <c r="T1504">
        <v>3366</v>
      </c>
      <c r="U1504">
        <v>0</v>
      </c>
      <c r="V1504">
        <v>3366</v>
      </c>
    </row>
    <row r="1505" spans="1:22" x14ac:dyDescent="0.3">
      <c r="A1505">
        <v>80147</v>
      </c>
      <c r="B1505">
        <v>135904529</v>
      </c>
      <c r="C1505" t="s">
        <v>8002</v>
      </c>
      <c r="D1505" t="s">
        <v>8003</v>
      </c>
      <c r="E1505" t="s">
        <v>6762</v>
      </c>
      <c r="F1505" t="s">
        <v>844</v>
      </c>
      <c r="G1505" t="s">
        <v>164</v>
      </c>
      <c r="H1505" t="s">
        <v>165</v>
      </c>
      <c r="I1505" t="s">
        <v>34</v>
      </c>
      <c r="J1505" t="s">
        <v>166</v>
      </c>
      <c r="K1505" t="s">
        <v>41</v>
      </c>
      <c r="L1505" t="s">
        <v>8004</v>
      </c>
      <c r="M1505" t="s">
        <v>8005</v>
      </c>
      <c r="N1505" t="s">
        <v>847</v>
      </c>
      <c r="O1505" t="s">
        <v>100</v>
      </c>
      <c r="P1505" t="s">
        <v>8006</v>
      </c>
      <c r="Q1505" t="s">
        <v>71</v>
      </c>
      <c r="R1505" t="s">
        <v>290</v>
      </c>
      <c r="S1505">
        <v>5.09</v>
      </c>
      <c r="T1505">
        <v>4322</v>
      </c>
      <c r="U1505">
        <v>0</v>
      </c>
      <c r="V1505">
        <v>4322</v>
      </c>
    </row>
    <row r="1506" spans="1:22" x14ac:dyDescent="0.3">
      <c r="A1506">
        <v>80147</v>
      </c>
      <c r="B1506">
        <v>135904598</v>
      </c>
      <c r="C1506" t="s">
        <v>8007</v>
      </c>
      <c r="D1506" t="s">
        <v>8008</v>
      </c>
      <c r="E1506" t="s">
        <v>6762</v>
      </c>
      <c r="F1506" t="s">
        <v>844</v>
      </c>
      <c r="G1506" t="s">
        <v>164</v>
      </c>
      <c r="H1506" t="s">
        <v>165</v>
      </c>
      <c r="I1506" t="s">
        <v>34</v>
      </c>
      <c r="J1506" t="s">
        <v>166</v>
      </c>
      <c r="K1506" t="s">
        <v>41</v>
      </c>
      <c r="L1506" t="s">
        <v>8009</v>
      </c>
      <c r="M1506" t="s">
        <v>8010</v>
      </c>
      <c r="N1506" t="s">
        <v>847</v>
      </c>
      <c r="O1506" t="s">
        <v>100</v>
      </c>
      <c r="P1506" t="s">
        <v>8011</v>
      </c>
      <c r="Q1506" t="s">
        <v>69</v>
      </c>
      <c r="R1506" t="s">
        <v>499</v>
      </c>
      <c r="S1506">
        <v>5.46</v>
      </c>
      <c r="T1506">
        <v>4456</v>
      </c>
      <c r="U1506">
        <v>0</v>
      </c>
      <c r="V1506">
        <v>4456</v>
      </c>
    </row>
    <row r="1507" spans="1:22" x14ac:dyDescent="0.3">
      <c r="A1507">
        <v>80147</v>
      </c>
      <c r="B1507">
        <v>135746607</v>
      </c>
      <c r="C1507" t="s">
        <v>8012</v>
      </c>
      <c r="D1507" t="s">
        <v>8013</v>
      </c>
      <c r="E1507" t="s">
        <v>6762</v>
      </c>
      <c r="F1507" t="s">
        <v>844</v>
      </c>
      <c r="G1507" t="s">
        <v>164</v>
      </c>
      <c r="H1507" t="s">
        <v>165</v>
      </c>
      <c r="I1507" t="s">
        <v>34</v>
      </c>
      <c r="J1507" t="s">
        <v>166</v>
      </c>
      <c r="K1507" t="s">
        <v>41</v>
      </c>
      <c r="L1507" t="s">
        <v>8014</v>
      </c>
      <c r="M1507" t="s">
        <v>8015</v>
      </c>
      <c r="N1507" t="s">
        <v>847</v>
      </c>
      <c r="O1507" t="s">
        <v>100</v>
      </c>
      <c r="P1507" t="s">
        <v>8016</v>
      </c>
      <c r="Q1507" t="s">
        <v>72</v>
      </c>
      <c r="R1507" t="s">
        <v>681</v>
      </c>
      <c r="S1507">
        <v>1</v>
      </c>
      <c r="T1507">
        <v>3784</v>
      </c>
      <c r="U1507">
        <v>0</v>
      </c>
      <c r="V1507">
        <v>3784</v>
      </c>
    </row>
    <row r="1508" spans="1:22" x14ac:dyDescent="0.3">
      <c r="A1508">
        <v>80147</v>
      </c>
      <c r="B1508">
        <v>135904532</v>
      </c>
      <c r="C1508" t="s">
        <v>8017</v>
      </c>
      <c r="D1508" t="s">
        <v>8018</v>
      </c>
      <c r="E1508" t="s">
        <v>6762</v>
      </c>
      <c r="F1508" t="s">
        <v>844</v>
      </c>
      <c r="G1508" t="s">
        <v>164</v>
      </c>
      <c r="H1508" t="s">
        <v>165</v>
      </c>
      <c r="I1508" t="s">
        <v>34</v>
      </c>
      <c r="J1508" t="s">
        <v>166</v>
      </c>
      <c r="K1508" t="s">
        <v>41</v>
      </c>
      <c r="L1508" t="s">
        <v>8019</v>
      </c>
      <c r="M1508" t="s">
        <v>459</v>
      </c>
      <c r="N1508" t="s">
        <v>847</v>
      </c>
      <c r="O1508" t="s">
        <v>100</v>
      </c>
      <c r="P1508" t="s">
        <v>8020</v>
      </c>
      <c r="Q1508" t="s">
        <v>63</v>
      </c>
      <c r="R1508" t="s">
        <v>290</v>
      </c>
      <c r="S1508">
        <v>1</v>
      </c>
      <c r="T1508">
        <v>4067</v>
      </c>
      <c r="U1508">
        <v>0</v>
      </c>
      <c r="V1508">
        <v>4067</v>
      </c>
    </row>
    <row r="1509" spans="1:22" x14ac:dyDescent="0.3">
      <c r="A1509">
        <v>80147</v>
      </c>
      <c r="B1509">
        <v>135746611</v>
      </c>
      <c r="C1509" t="s">
        <v>8021</v>
      </c>
      <c r="D1509" t="s">
        <v>8022</v>
      </c>
      <c r="E1509" t="s">
        <v>6762</v>
      </c>
      <c r="F1509" t="s">
        <v>844</v>
      </c>
      <c r="G1509" t="s">
        <v>164</v>
      </c>
      <c r="H1509" t="s">
        <v>165</v>
      </c>
      <c r="I1509" t="s">
        <v>34</v>
      </c>
      <c r="J1509" t="s">
        <v>166</v>
      </c>
      <c r="K1509" t="s">
        <v>41</v>
      </c>
      <c r="L1509" t="s">
        <v>832</v>
      </c>
      <c r="M1509" t="s">
        <v>8023</v>
      </c>
      <c r="N1509" t="s">
        <v>847</v>
      </c>
      <c r="O1509" t="s">
        <v>100</v>
      </c>
      <c r="P1509" t="s">
        <v>8024</v>
      </c>
      <c r="Q1509" t="s">
        <v>83</v>
      </c>
      <c r="R1509" t="s">
        <v>681</v>
      </c>
      <c r="S1509">
        <v>1</v>
      </c>
      <c r="T1509">
        <v>3366</v>
      </c>
      <c r="U1509">
        <v>0</v>
      </c>
      <c r="V1509">
        <v>3366</v>
      </c>
    </row>
    <row r="1510" spans="1:22" x14ac:dyDescent="0.3">
      <c r="A1510">
        <v>80147</v>
      </c>
      <c r="B1510">
        <v>135982134</v>
      </c>
      <c r="C1510" t="s">
        <v>8025</v>
      </c>
      <c r="D1510" t="s">
        <v>8026</v>
      </c>
      <c r="E1510" t="s">
        <v>6762</v>
      </c>
      <c r="F1510" t="s">
        <v>844</v>
      </c>
      <c r="G1510" t="s">
        <v>164</v>
      </c>
      <c r="H1510" t="s">
        <v>165</v>
      </c>
      <c r="I1510" t="s">
        <v>34</v>
      </c>
      <c r="J1510" t="s">
        <v>166</v>
      </c>
      <c r="K1510" t="s">
        <v>41</v>
      </c>
      <c r="L1510" t="s">
        <v>8027</v>
      </c>
      <c r="M1510" t="s">
        <v>8028</v>
      </c>
      <c r="N1510" t="s">
        <v>847</v>
      </c>
      <c r="O1510" t="s">
        <v>100</v>
      </c>
      <c r="P1510" t="s">
        <v>8029</v>
      </c>
      <c r="Q1510" t="s">
        <v>49</v>
      </c>
      <c r="R1510" t="s">
        <v>7131</v>
      </c>
      <c r="S1510">
        <v>5.22</v>
      </c>
      <c r="T1510">
        <v>4585</v>
      </c>
      <c r="U1510">
        <v>0</v>
      </c>
      <c r="V1510">
        <v>4585</v>
      </c>
    </row>
    <row r="1511" spans="1:22" x14ac:dyDescent="0.3">
      <c r="A1511">
        <v>80147</v>
      </c>
      <c r="B1511">
        <v>135746608</v>
      </c>
      <c r="C1511" t="s">
        <v>8030</v>
      </c>
      <c r="D1511" t="s">
        <v>8031</v>
      </c>
      <c r="E1511" t="s">
        <v>6762</v>
      </c>
      <c r="F1511" t="s">
        <v>844</v>
      </c>
      <c r="G1511" t="s">
        <v>164</v>
      </c>
      <c r="H1511" t="s">
        <v>165</v>
      </c>
      <c r="I1511" t="s">
        <v>34</v>
      </c>
      <c r="J1511" t="s">
        <v>166</v>
      </c>
      <c r="K1511" t="s">
        <v>41</v>
      </c>
      <c r="L1511" t="s">
        <v>8032</v>
      </c>
      <c r="M1511" t="s">
        <v>8033</v>
      </c>
      <c r="N1511" t="s">
        <v>847</v>
      </c>
      <c r="O1511" t="s">
        <v>100</v>
      </c>
      <c r="P1511" t="s">
        <v>8034</v>
      </c>
      <c r="Q1511" t="s">
        <v>84</v>
      </c>
      <c r="R1511" t="s">
        <v>681</v>
      </c>
      <c r="S1511">
        <v>1</v>
      </c>
      <c r="T1511">
        <v>3366</v>
      </c>
      <c r="U1511">
        <v>0</v>
      </c>
      <c r="V1511">
        <v>3366</v>
      </c>
    </row>
    <row r="1512" spans="1:22" x14ac:dyDescent="0.3">
      <c r="A1512">
        <v>80147</v>
      </c>
      <c r="B1512">
        <v>135791747</v>
      </c>
      <c r="C1512" t="s">
        <v>8035</v>
      </c>
      <c r="D1512" t="s">
        <v>8036</v>
      </c>
      <c r="E1512" t="s">
        <v>6762</v>
      </c>
      <c r="F1512" t="s">
        <v>844</v>
      </c>
      <c r="G1512" t="s">
        <v>164</v>
      </c>
      <c r="H1512" t="s">
        <v>165</v>
      </c>
      <c r="I1512" t="s">
        <v>34</v>
      </c>
      <c r="J1512" t="s">
        <v>166</v>
      </c>
      <c r="K1512" t="s">
        <v>41</v>
      </c>
      <c r="L1512" t="s">
        <v>435</v>
      </c>
      <c r="M1512" t="s">
        <v>8037</v>
      </c>
      <c r="N1512" t="s">
        <v>847</v>
      </c>
      <c r="O1512" t="s">
        <v>100</v>
      </c>
      <c r="P1512" t="s">
        <v>8038</v>
      </c>
      <c r="Q1512" t="s">
        <v>69</v>
      </c>
      <c r="R1512" t="s">
        <v>507</v>
      </c>
      <c r="S1512">
        <v>1</v>
      </c>
      <c r="T1512">
        <v>3753</v>
      </c>
      <c r="U1512">
        <v>0</v>
      </c>
      <c r="V1512">
        <v>3753</v>
      </c>
    </row>
    <row r="1513" spans="1:22" x14ac:dyDescent="0.3">
      <c r="A1513">
        <v>80147</v>
      </c>
      <c r="B1513">
        <v>135982124</v>
      </c>
      <c r="C1513" t="s">
        <v>8039</v>
      </c>
      <c r="D1513" t="s">
        <v>8040</v>
      </c>
      <c r="E1513" t="s">
        <v>6762</v>
      </c>
      <c r="F1513" t="s">
        <v>844</v>
      </c>
      <c r="G1513" t="s">
        <v>164</v>
      </c>
      <c r="H1513" t="s">
        <v>165</v>
      </c>
      <c r="I1513" t="s">
        <v>34</v>
      </c>
      <c r="J1513" t="s">
        <v>166</v>
      </c>
      <c r="K1513" t="s">
        <v>41</v>
      </c>
      <c r="L1513" t="s">
        <v>8041</v>
      </c>
      <c r="M1513" t="s">
        <v>8042</v>
      </c>
      <c r="N1513" t="s">
        <v>847</v>
      </c>
      <c r="O1513" t="s">
        <v>100</v>
      </c>
      <c r="P1513" t="s">
        <v>8043</v>
      </c>
      <c r="Q1513" t="s">
        <v>43</v>
      </c>
      <c r="R1513" t="s">
        <v>7131</v>
      </c>
      <c r="S1513">
        <v>7.04</v>
      </c>
      <c r="T1513">
        <v>5759</v>
      </c>
      <c r="U1513">
        <v>0</v>
      </c>
      <c r="V1513">
        <v>5759</v>
      </c>
    </row>
    <row r="1514" spans="1:22" x14ac:dyDescent="0.3">
      <c r="A1514">
        <v>80147</v>
      </c>
      <c r="B1514">
        <v>135746606</v>
      </c>
      <c r="C1514" t="s">
        <v>8044</v>
      </c>
      <c r="D1514" t="s">
        <v>8045</v>
      </c>
      <c r="E1514" t="s">
        <v>6762</v>
      </c>
      <c r="F1514" t="s">
        <v>844</v>
      </c>
      <c r="G1514" t="s">
        <v>164</v>
      </c>
      <c r="H1514" t="s">
        <v>165</v>
      </c>
      <c r="I1514" t="s">
        <v>34</v>
      </c>
      <c r="J1514" t="s">
        <v>166</v>
      </c>
      <c r="K1514" t="s">
        <v>41</v>
      </c>
      <c r="L1514" t="s">
        <v>8046</v>
      </c>
      <c r="M1514" t="s">
        <v>8047</v>
      </c>
      <c r="N1514" t="s">
        <v>847</v>
      </c>
      <c r="O1514" t="s">
        <v>100</v>
      </c>
      <c r="P1514" t="s">
        <v>8048</v>
      </c>
      <c r="Q1514" t="s">
        <v>69</v>
      </c>
      <c r="R1514" t="s">
        <v>681</v>
      </c>
      <c r="S1514">
        <v>6.1</v>
      </c>
      <c r="T1514">
        <v>5759</v>
      </c>
      <c r="U1514">
        <v>0</v>
      </c>
      <c r="V1514">
        <v>5759</v>
      </c>
    </row>
    <row r="1515" spans="1:22" x14ac:dyDescent="0.3">
      <c r="A1515">
        <v>80147</v>
      </c>
      <c r="B1515">
        <v>135574133</v>
      </c>
      <c r="C1515" t="s">
        <v>8049</v>
      </c>
      <c r="D1515" t="s">
        <v>8050</v>
      </c>
      <c r="E1515" t="s">
        <v>6762</v>
      </c>
      <c r="F1515" t="s">
        <v>844</v>
      </c>
      <c r="G1515" t="s">
        <v>172</v>
      </c>
      <c r="H1515" t="s">
        <v>173</v>
      </c>
      <c r="I1515" t="s">
        <v>34</v>
      </c>
      <c r="J1515" t="s">
        <v>272</v>
      </c>
      <c r="K1515" t="s">
        <v>41</v>
      </c>
      <c r="L1515" t="s">
        <v>8051</v>
      </c>
      <c r="M1515" t="s">
        <v>8052</v>
      </c>
      <c r="N1515" t="s">
        <v>847</v>
      </c>
      <c r="O1515" t="s">
        <v>100</v>
      </c>
      <c r="P1515" t="s">
        <v>8053</v>
      </c>
      <c r="Q1515" t="s">
        <v>73</v>
      </c>
      <c r="R1515" t="s">
        <v>7848</v>
      </c>
      <c r="S1515">
        <v>8.49</v>
      </c>
      <c r="T1515">
        <v>9333</v>
      </c>
      <c r="U1515">
        <v>0</v>
      </c>
      <c r="V1515">
        <v>9333</v>
      </c>
    </row>
    <row r="1516" spans="1:22" x14ac:dyDescent="0.3">
      <c r="A1516">
        <v>80147</v>
      </c>
      <c r="B1516">
        <v>135791769</v>
      </c>
      <c r="C1516" t="s">
        <v>8054</v>
      </c>
      <c r="D1516" t="s">
        <v>8055</v>
      </c>
      <c r="E1516" t="s">
        <v>6762</v>
      </c>
      <c r="F1516" t="s">
        <v>844</v>
      </c>
      <c r="G1516" t="s">
        <v>164</v>
      </c>
      <c r="H1516" t="s">
        <v>165</v>
      </c>
      <c r="I1516" t="s">
        <v>34</v>
      </c>
      <c r="J1516" t="s">
        <v>166</v>
      </c>
      <c r="K1516" t="s">
        <v>41</v>
      </c>
      <c r="L1516" t="s">
        <v>8056</v>
      </c>
      <c r="M1516" t="s">
        <v>8057</v>
      </c>
      <c r="N1516" t="s">
        <v>847</v>
      </c>
      <c r="O1516" t="s">
        <v>100</v>
      </c>
      <c r="P1516" t="s">
        <v>8058</v>
      </c>
      <c r="Q1516" t="s">
        <v>92</v>
      </c>
      <c r="R1516" t="s">
        <v>507</v>
      </c>
      <c r="S1516">
        <v>5.93</v>
      </c>
      <c r="T1516">
        <v>3797</v>
      </c>
      <c r="U1516">
        <v>0</v>
      </c>
      <c r="V1516">
        <v>3797</v>
      </c>
    </row>
    <row r="1517" spans="1:22" x14ac:dyDescent="0.3">
      <c r="A1517">
        <v>80147</v>
      </c>
      <c r="B1517">
        <v>135982192</v>
      </c>
      <c r="C1517" t="s">
        <v>8059</v>
      </c>
      <c r="D1517" t="s">
        <v>8060</v>
      </c>
      <c r="E1517" t="s">
        <v>6762</v>
      </c>
      <c r="F1517" t="s">
        <v>844</v>
      </c>
      <c r="G1517" t="s">
        <v>164</v>
      </c>
      <c r="H1517" t="s">
        <v>165</v>
      </c>
      <c r="I1517" t="s">
        <v>34</v>
      </c>
      <c r="J1517" t="s">
        <v>166</v>
      </c>
      <c r="K1517" t="s">
        <v>41</v>
      </c>
      <c r="L1517" t="s">
        <v>8061</v>
      </c>
      <c r="M1517" t="s">
        <v>8062</v>
      </c>
      <c r="N1517" t="s">
        <v>847</v>
      </c>
      <c r="O1517" t="s">
        <v>100</v>
      </c>
      <c r="P1517" t="s">
        <v>8063</v>
      </c>
      <c r="Q1517" t="s">
        <v>69</v>
      </c>
      <c r="R1517" t="s">
        <v>7131</v>
      </c>
      <c r="S1517">
        <v>1</v>
      </c>
      <c r="T1517">
        <v>3753</v>
      </c>
      <c r="U1517">
        <v>0</v>
      </c>
      <c r="V1517">
        <v>3753</v>
      </c>
    </row>
    <row r="1518" spans="1:22" x14ac:dyDescent="0.3">
      <c r="A1518">
        <v>80147</v>
      </c>
      <c r="B1518">
        <v>135848143</v>
      </c>
      <c r="C1518" t="s">
        <v>8064</v>
      </c>
      <c r="D1518" t="s">
        <v>8065</v>
      </c>
      <c r="E1518" t="s">
        <v>6762</v>
      </c>
      <c r="F1518" t="s">
        <v>844</v>
      </c>
      <c r="G1518" t="s">
        <v>164</v>
      </c>
      <c r="H1518" t="s">
        <v>165</v>
      </c>
      <c r="I1518" t="s">
        <v>34</v>
      </c>
      <c r="J1518" t="s">
        <v>166</v>
      </c>
      <c r="K1518" t="s">
        <v>41</v>
      </c>
      <c r="L1518" t="s">
        <v>8066</v>
      </c>
      <c r="M1518" t="s">
        <v>8067</v>
      </c>
      <c r="N1518" t="s">
        <v>847</v>
      </c>
      <c r="O1518" t="s">
        <v>100</v>
      </c>
      <c r="P1518" t="s">
        <v>8068</v>
      </c>
      <c r="Q1518" t="s">
        <v>83</v>
      </c>
      <c r="R1518" t="s">
        <v>7367</v>
      </c>
      <c r="S1518">
        <v>5.3</v>
      </c>
      <c r="T1518">
        <v>3797</v>
      </c>
      <c r="U1518">
        <v>0</v>
      </c>
      <c r="V1518">
        <v>3797</v>
      </c>
    </row>
    <row r="1519" spans="1:22" x14ac:dyDescent="0.3">
      <c r="A1519">
        <v>80147</v>
      </c>
      <c r="B1519">
        <v>135982174</v>
      </c>
      <c r="C1519" t="s">
        <v>8069</v>
      </c>
      <c r="D1519" t="s">
        <v>8070</v>
      </c>
      <c r="E1519" t="s">
        <v>6762</v>
      </c>
      <c r="F1519" t="s">
        <v>844</v>
      </c>
      <c r="G1519" t="s">
        <v>164</v>
      </c>
      <c r="H1519" t="s">
        <v>165</v>
      </c>
      <c r="I1519" t="s">
        <v>34</v>
      </c>
      <c r="J1519" t="s">
        <v>166</v>
      </c>
      <c r="K1519" t="s">
        <v>41</v>
      </c>
      <c r="L1519" t="s">
        <v>8071</v>
      </c>
      <c r="M1519" t="s">
        <v>8072</v>
      </c>
      <c r="N1519" t="s">
        <v>847</v>
      </c>
      <c r="O1519" t="s">
        <v>100</v>
      </c>
      <c r="P1519" t="s">
        <v>8073</v>
      </c>
      <c r="Q1519" t="s">
        <v>92</v>
      </c>
      <c r="R1519" t="s">
        <v>7131</v>
      </c>
      <c r="S1519">
        <v>6.52</v>
      </c>
      <c r="T1519">
        <v>5198</v>
      </c>
      <c r="U1519">
        <v>0</v>
      </c>
      <c r="V1519">
        <v>5198</v>
      </c>
    </row>
    <row r="1520" spans="1:22" x14ac:dyDescent="0.3">
      <c r="A1520">
        <v>80147</v>
      </c>
      <c r="B1520">
        <v>135848135</v>
      </c>
      <c r="C1520" t="s">
        <v>8074</v>
      </c>
      <c r="D1520" t="s">
        <v>8075</v>
      </c>
      <c r="E1520" t="s">
        <v>6762</v>
      </c>
      <c r="F1520" t="s">
        <v>844</v>
      </c>
      <c r="G1520" t="s">
        <v>164</v>
      </c>
      <c r="H1520" t="s">
        <v>165</v>
      </c>
      <c r="I1520" t="s">
        <v>34</v>
      </c>
      <c r="J1520" t="s">
        <v>166</v>
      </c>
      <c r="K1520" t="s">
        <v>41</v>
      </c>
      <c r="L1520" t="s">
        <v>8076</v>
      </c>
      <c r="M1520" t="s">
        <v>8077</v>
      </c>
      <c r="N1520" t="s">
        <v>847</v>
      </c>
      <c r="O1520" t="s">
        <v>100</v>
      </c>
      <c r="P1520" t="s">
        <v>8078</v>
      </c>
      <c r="Q1520" t="s">
        <v>50</v>
      </c>
      <c r="R1520" t="s">
        <v>7367</v>
      </c>
      <c r="S1520">
        <v>14.32</v>
      </c>
      <c r="T1520">
        <v>7031</v>
      </c>
      <c r="U1520">
        <v>0</v>
      </c>
      <c r="V1520">
        <v>7031</v>
      </c>
    </row>
    <row r="1521" spans="1:22" x14ac:dyDescent="0.3">
      <c r="A1521">
        <v>80147</v>
      </c>
      <c r="B1521">
        <v>135746604</v>
      </c>
      <c r="C1521" t="s">
        <v>8079</v>
      </c>
      <c r="D1521" t="s">
        <v>8080</v>
      </c>
      <c r="E1521" t="s">
        <v>6762</v>
      </c>
      <c r="F1521" t="s">
        <v>844</v>
      </c>
      <c r="G1521" t="s">
        <v>164</v>
      </c>
      <c r="H1521" t="s">
        <v>165</v>
      </c>
      <c r="I1521" t="s">
        <v>34</v>
      </c>
      <c r="J1521" t="s">
        <v>166</v>
      </c>
      <c r="K1521" t="s">
        <v>41</v>
      </c>
      <c r="L1521" t="s">
        <v>8081</v>
      </c>
      <c r="M1521" t="s">
        <v>8082</v>
      </c>
      <c r="N1521" t="s">
        <v>847</v>
      </c>
      <c r="O1521" t="s">
        <v>100</v>
      </c>
      <c r="P1521" t="s">
        <v>8083</v>
      </c>
      <c r="Q1521" t="s">
        <v>94</v>
      </c>
      <c r="R1521" t="s">
        <v>681</v>
      </c>
      <c r="S1521">
        <v>1</v>
      </c>
      <c r="T1521">
        <v>3366</v>
      </c>
      <c r="U1521">
        <v>0</v>
      </c>
      <c r="V1521">
        <v>3366</v>
      </c>
    </row>
    <row r="1522" spans="1:22" x14ac:dyDescent="0.3">
      <c r="A1522">
        <v>80147</v>
      </c>
      <c r="B1522">
        <v>135982222</v>
      </c>
      <c r="C1522" t="s">
        <v>8084</v>
      </c>
      <c r="D1522" t="s">
        <v>8085</v>
      </c>
      <c r="E1522" t="s">
        <v>6762</v>
      </c>
      <c r="F1522" t="s">
        <v>844</v>
      </c>
      <c r="G1522" t="s">
        <v>164</v>
      </c>
      <c r="H1522" t="s">
        <v>165</v>
      </c>
      <c r="I1522" t="s">
        <v>34</v>
      </c>
      <c r="J1522" t="s">
        <v>166</v>
      </c>
      <c r="K1522" t="s">
        <v>41</v>
      </c>
      <c r="L1522" t="s">
        <v>8086</v>
      </c>
      <c r="M1522" t="s">
        <v>8087</v>
      </c>
      <c r="N1522" t="s">
        <v>847</v>
      </c>
      <c r="O1522" t="s">
        <v>100</v>
      </c>
      <c r="P1522" t="s">
        <v>8088</v>
      </c>
      <c r="Q1522" t="s">
        <v>83</v>
      </c>
      <c r="R1522" t="s">
        <v>7131</v>
      </c>
      <c r="S1522">
        <v>1</v>
      </c>
      <c r="T1522">
        <v>3366</v>
      </c>
      <c r="U1522">
        <v>0</v>
      </c>
      <c r="V1522">
        <v>3366</v>
      </c>
    </row>
    <row r="1523" spans="1:22" x14ac:dyDescent="0.3">
      <c r="A1523">
        <v>80147</v>
      </c>
      <c r="B1523">
        <v>135904540</v>
      </c>
      <c r="C1523" t="s">
        <v>8089</v>
      </c>
      <c r="D1523" t="s">
        <v>8090</v>
      </c>
      <c r="E1523" t="s">
        <v>6762</v>
      </c>
      <c r="F1523" t="s">
        <v>844</v>
      </c>
      <c r="G1523" t="s">
        <v>164</v>
      </c>
      <c r="H1523" t="s">
        <v>165</v>
      </c>
      <c r="I1523" t="s">
        <v>34</v>
      </c>
      <c r="J1523" t="s">
        <v>166</v>
      </c>
      <c r="K1523" t="s">
        <v>44</v>
      </c>
      <c r="L1523" t="s">
        <v>188</v>
      </c>
      <c r="M1523" t="s">
        <v>8091</v>
      </c>
      <c r="N1523" t="s">
        <v>847</v>
      </c>
      <c r="O1523" t="s">
        <v>100</v>
      </c>
      <c r="P1523" t="s">
        <v>8092</v>
      </c>
      <c r="Q1523" t="s">
        <v>64</v>
      </c>
      <c r="R1523" t="s">
        <v>499</v>
      </c>
      <c r="S1523">
        <v>6.06</v>
      </c>
      <c r="T1523">
        <v>6328</v>
      </c>
      <c r="U1523">
        <v>0</v>
      </c>
      <c r="V1523">
        <v>6328</v>
      </c>
    </row>
    <row r="1524" spans="1:22" x14ac:dyDescent="0.3">
      <c r="A1524">
        <v>80147</v>
      </c>
      <c r="B1524">
        <v>135982193</v>
      </c>
      <c r="C1524" t="s">
        <v>8093</v>
      </c>
      <c r="D1524" t="s">
        <v>8094</v>
      </c>
      <c r="E1524" t="s">
        <v>6762</v>
      </c>
      <c r="F1524" t="s">
        <v>844</v>
      </c>
      <c r="G1524" t="s">
        <v>164</v>
      </c>
      <c r="H1524" t="s">
        <v>165</v>
      </c>
      <c r="I1524" t="s">
        <v>34</v>
      </c>
      <c r="J1524" t="s">
        <v>166</v>
      </c>
      <c r="K1524" t="s">
        <v>41</v>
      </c>
      <c r="L1524" t="s">
        <v>8095</v>
      </c>
      <c r="M1524" t="s">
        <v>8096</v>
      </c>
      <c r="N1524" t="s">
        <v>847</v>
      </c>
      <c r="O1524" t="s">
        <v>100</v>
      </c>
      <c r="P1524" t="s">
        <v>8097</v>
      </c>
      <c r="Q1524" t="s">
        <v>98</v>
      </c>
      <c r="R1524" t="s">
        <v>7131</v>
      </c>
      <c r="S1524">
        <v>1</v>
      </c>
      <c r="T1524">
        <v>3366</v>
      </c>
      <c r="U1524">
        <v>0</v>
      </c>
      <c r="V1524">
        <v>3366</v>
      </c>
    </row>
    <row r="1525" spans="1:22" x14ac:dyDescent="0.3">
      <c r="A1525">
        <v>80147</v>
      </c>
      <c r="B1525">
        <v>135904561</v>
      </c>
      <c r="C1525" t="s">
        <v>8098</v>
      </c>
      <c r="D1525" t="s">
        <v>8099</v>
      </c>
      <c r="E1525" t="s">
        <v>6762</v>
      </c>
      <c r="F1525" t="s">
        <v>844</v>
      </c>
      <c r="G1525" t="s">
        <v>164</v>
      </c>
      <c r="H1525" t="s">
        <v>165</v>
      </c>
      <c r="I1525" t="s">
        <v>34</v>
      </c>
      <c r="J1525" t="s">
        <v>166</v>
      </c>
      <c r="K1525" t="s">
        <v>41</v>
      </c>
      <c r="L1525" t="s">
        <v>8100</v>
      </c>
      <c r="M1525" t="s">
        <v>8101</v>
      </c>
      <c r="N1525" t="s">
        <v>847</v>
      </c>
      <c r="O1525" t="s">
        <v>100</v>
      </c>
      <c r="P1525" t="s">
        <v>8102</v>
      </c>
      <c r="Q1525" t="s">
        <v>71</v>
      </c>
      <c r="R1525" t="s">
        <v>499</v>
      </c>
      <c r="S1525">
        <v>1</v>
      </c>
      <c r="T1525">
        <v>3501</v>
      </c>
      <c r="U1525">
        <v>0</v>
      </c>
      <c r="V1525">
        <v>3501</v>
      </c>
    </row>
    <row r="1526" spans="1:22" x14ac:dyDescent="0.3">
      <c r="A1526">
        <v>80147</v>
      </c>
      <c r="B1526">
        <v>135746595</v>
      </c>
      <c r="C1526" t="s">
        <v>8103</v>
      </c>
      <c r="D1526" t="s">
        <v>8104</v>
      </c>
      <c r="E1526" t="s">
        <v>6762</v>
      </c>
      <c r="F1526" t="s">
        <v>844</v>
      </c>
      <c r="G1526" t="s">
        <v>164</v>
      </c>
      <c r="H1526" t="s">
        <v>165</v>
      </c>
      <c r="I1526" t="s">
        <v>34</v>
      </c>
      <c r="J1526" t="s">
        <v>166</v>
      </c>
      <c r="K1526" t="s">
        <v>41</v>
      </c>
      <c r="L1526" t="s">
        <v>8105</v>
      </c>
      <c r="M1526" t="s">
        <v>8106</v>
      </c>
      <c r="N1526" t="s">
        <v>847</v>
      </c>
      <c r="O1526" t="s">
        <v>100</v>
      </c>
      <c r="P1526" t="s">
        <v>8107</v>
      </c>
      <c r="Q1526" t="s">
        <v>190</v>
      </c>
      <c r="R1526" t="s">
        <v>681</v>
      </c>
      <c r="S1526">
        <v>1</v>
      </c>
      <c r="T1526">
        <v>3366</v>
      </c>
      <c r="U1526">
        <v>0</v>
      </c>
      <c r="V1526">
        <v>3366</v>
      </c>
    </row>
    <row r="1527" spans="1:22" x14ac:dyDescent="0.3">
      <c r="A1527">
        <v>80147</v>
      </c>
      <c r="B1527">
        <v>135746592</v>
      </c>
      <c r="C1527" t="s">
        <v>8108</v>
      </c>
      <c r="D1527" t="s">
        <v>8109</v>
      </c>
      <c r="E1527" t="s">
        <v>6762</v>
      </c>
      <c r="F1527" t="s">
        <v>844</v>
      </c>
      <c r="G1527" t="s">
        <v>164</v>
      </c>
      <c r="H1527" t="s">
        <v>165</v>
      </c>
      <c r="I1527" t="s">
        <v>34</v>
      </c>
      <c r="J1527" t="s">
        <v>166</v>
      </c>
      <c r="K1527" t="s">
        <v>41</v>
      </c>
      <c r="L1527" t="s">
        <v>8110</v>
      </c>
      <c r="M1527" t="s">
        <v>8111</v>
      </c>
      <c r="N1527" t="s">
        <v>847</v>
      </c>
      <c r="O1527" t="s">
        <v>100</v>
      </c>
      <c r="P1527" t="s">
        <v>8112</v>
      </c>
      <c r="Q1527" t="s">
        <v>61</v>
      </c>
      <c r="R1527" t="s">
        <v>681</v>
      </c>
      <c r="S1527">
        <v>6.35</v>
      </c>
      <c r="T1527">
        <v>6888</v>
      </c>
      <c r="U1527">
        <v>0</v>
      </c>
      <c r="V1527">
        <v>6888</v>
      </c>
    </row>
    <row r="1528" spans="1:22" x14ac:dyDescent="0.3">
      <c r="A1528">
        <v>80147</v>
      </c>
      <c r="B1528">
        <v>135982201</v>
      </c>
      <c r="C1528" t="s">
        <v>8113</v>
      </c>
      <c r="D1528" t="s">
        <v>8114</v>
      </c>
      <c r="E1528" t="s">
        <v>6762</v>
      </c>
      <c r="F1528" t="s">
        <v>844</v>
      </c>
      <c r="G1528" t="s">
        <v>164</v>
      </c>
      <c r="H1528" t="s">
        <v>165</v>
      </c>
      <c r="I1528" t="s">
        <v>34</v>
      </c>
      <c r="J1528" t="s">
        <v>166</v>
      </c>
      <c r="K1528" t="s">
        <v>41</v>
      </c>
      <c r="L1528" t="s">
        <v>8115</v>
      </c>
      <c r="M1528" t="s">
        <v>8116</v>
      </c>
      <c r="N1528" t="s">
        <v>847</v>
      </c>
      <c r="O1528" t="s">
        <v>100</v>
      </c>
      <c r="P1528" t="s">
        <v>8117</v>
      </c>
      <c r="Q1528" t="s">
        <v>71</v>
      </c>
      <c r="R1528" t="s">
        <v>7131</v>
      </c>
      <c r="S1528">
        <v>6.17</v>
      </c>
      <c r="T1528">
        <v>5476</v>
      </c>
      <c r="U1528">
        <v>0</v>
      </c>
      <c r="V1528">
        <v>5476</v>
      </c>
    </row>
    <row r="1529" spans="1:22" x14ac:dyDescent="0.3">
      <c r="A1529">
        <v>80147</v>
      </c>
      <c r="B1529">
        <v>135791772</v>
      </c>
      <c r="C1529" t="s">
        <v>8118</v>
      </c>
      <c r="D1529" t="s">
        <v>8119</v>
      </c>
      <c r="E1529" t="s">
        <v>6762</v>
      </c>
      <c r="F1529" t="s">
        <v>844</v>
      </c>
      <c r="G1529" t="s">
        <v>164</v>
      </c>
      <c r="H1529" t="s">
        <v>165</v>
      </c>
      <c r="I1529" t="s">
        <v>34</v>
      </c>
      <c r="J1529" t="s">
        <v>166</v>
      </c>
      <c r="K1529" t="s">
        <v>41</v>
      </c>
      <c r="L1529" t="s">
        <v>8120</v>
      </c>
      <c r="M1529" t="s">
        <v>8121</v>
      </c>
      <c r="N1529" t="s">
        <v>847</v>
      </c>
      <c r="O1529" t="s">
        <v>100</v>
      </c>
      <c r="P1529" t="s">
        <v>8122</v>
      </c>
      <c r="Q1529" t="s">
        <v>72</v>
      </c>
      <c r="R1529" t="s">
        <v>507</v>
      </c>
      <c r="S1529">
        <v>6.6</v>
      </c>
      <c r="T1529">
        <v>5476</v>
      </c>
      <c r="U1529">
        <v>0</v>
      </c>
      <c r="V1529">
        <v>5476</v>
      </c>
    </row>
    <row r="1530" spans="1:22" x14ac:dyDescent="0.3">
      <c r="A1530">
        <v>80147</v>
      </c>
      <c r="B1530">
        <v>135848159</v>
      </c>
      <c r="C1530" t="s">
        <v>8123</v>
      </c>
      <c r="D1530" t="s">
        <v>8124</v>
      </c>
      <c r="E1530" t="s">
        <v>6762</v>
      </c>
      <c r="F1530" t="s">
        <v>844</v>
      </c>
      <c r="G1530" t="s">
        <v>164</v>
      </c>
      <c r="H1530" t="s">
        <v>165</v>
      </c>
      <c r="I1530" t="s">
        <v>34</v>
      </c>
      <c r="J1530" t="s">
        <v>166</v>
      </c>
      <c r="K1530" t="s">
        <v>41</v>
      </c>
      <c r="L1530" t="s">
        <v>8125</v>
      </c>
      <c r="M1530" t="s">
        <v>8126</v>
      </c>
      <c r="N1530" t="s">
        <v>847</v>
      </c>
      <c r="O1530" t="s">
        <v>100</v>
      </c>
      <c r="P1530" t="s">
        <v>8127</v>
      </c>
      <c r="Q1530" t="s">
        <v>64</v>
      </c>
      <c r="R1530" t="s">
        <v>676</v>
      </c>
      <c r="S1530">
        <v>6.33</v>
      </c>
      <c r="T1530">
        <v>6328</v>
      </c>
      <c r="U1530">
        <v>0</v>
      </c>
      <c r="V1530">
        <v>6328</v>
      </c>
    </row>
    <row r="1531" spans="1:22" x14ac:dyDescent="0.3">
      <c r="A1531">
        <v>80147</v>
      </c>
      <c r="B1531">
        <v>135848145</v>
      </c>
      <c r="C1531" t="s">
        <v>8128</v>
      </c>
      <c r="D1531" t="s">
        <v>8129</v>
      </c>
      <c r="E1531" t="s">
        <v>6762</v>
      </c>
      <c r="F1531" t="s">
        <v>844</v>
      </c>
      <c r="G1531" t="s">
        <v>164</v>
      </c>
      <c r="H1531" t="s">
        <v>165</v>
      </c>
      <c r="I1531" t="s">
        <v>34</v>
      </c>
      <c r="J1531" t="s">
        <v>166</v>
      </c>
      <c r="K1531" t="s">
        <v>41</v>
      </c>
      <c r="L1531" t="s">
        <v>8130</v>
      </c>
      <c r="M1531" t="s">
        <v>8131</v>
      </c>
      <c r="N1531" t="s">
        <v>847</v>
      </c>
      <c r="O1531" t="s">
        <v>100</v>
      </c>
      <c r="P1531" t="s">
        <v>8132</v>
      </c>
      <c r="Q1531" t="s">
        <v>110</v>
      </c>
      <c r="R1531" t="s">
        <v>676</v>
      </c>
      <c r="S1531">
        <v>3</v>
      </c>
      <c r="T1531">
        <v>7506</v>
      </c>
      <c r="U1531">
        <v>0</v>
      </c>
      <c r="V1531">
        <v>7506</v>
      </c>
    </row>
    <row r="1532" spans="1:22" x14ac:dyDescent="0.3">
      <c r="A1532">
        <v>80147</v>
      </c>
      <c r="B1532">
        <v>135982139</v>
      </c>
      <c r="C1532" t="s">
        <v>8133</v>
      </c>
      <c r="D1532" t="s">
        <v>8134</v>
      </c>
      <c r="E1532" t="s">
        <v>6762</v>
      </c>
      <c r="F1532" t="s">
        <v>844</v>
      </c>
      <c r="G1532" t="s">
        <v>164</v>
      </c>
      <c r="H1532" t="s">
        <v>165</v>
      </c>
      <c r="I1532" t="s">
        <v>34</v>
      </c>
      <c r="J1532" t="s">
        <v>166</v>
      </c>
      <c r="K1532" t="s">
        <v>41</v>
      </c>
      <c r="L1532" t="s">
        <v>8135</v>
      </c>
      <c r="M1532" t="s">
        <v>177</v>
      </c>
      <c r="N1532" t="s">
        <v>847</v>
      </c>
      <c r="O1532" t="s">
        <v>100</v>
      </c>
      <c r="P1532" t="s">
        <v>8136</v>
      </c>
      <c r="Q1532" t="s">
        <v>71</v>
      </c>
      <c r="R1532" t="s">
        <v>7131</v>
      </c>
      <c r="S1532">
        <v>6.11</v>
      </c>
      <c r="T1532">
        <v>5476</v>
      </c>
      <c r="U1532">
        <v>0</v>
      </c>
      <c r="V1532">
        <v>5476</v>
      </c>
    </row>
    <row r="1533" spans="1:22" x14ac:dyDescent="0.3">
      <c r="A1533">
        <v>80147</v>
      </c>
      <c r="B1533">
        <v>135709934</v>
      </c>
      <c r="C1533" t="s">
        <v>8137</v>
      </c>
      <c r="D1533" t="s">
        <v>8138</v>
      </c>
      <c r="E1533" t="s">
        <v>6762</v>
      </c>
      <c r="F1533" t="s">
        <v>844</v>
      </c>
      <c r="G1533" t="s">
        <v>164</v>
      </c>
      <c r="H1533" t="s">
        <v>165</v>
      </c>
      <c r="I1533" t="s">
        <v>34</v>
      </c>
      <c r="J1533" t="s">
        <v>166</v>
      </c>
      <c r="K1533" t="s">
        <v>41</v>
      </c>
      <c r="L1533" t="s">
        <v>8139</v>
      </c>
      <c r="M1533" t="s">
        <v>8140</v>
      </c>
      <c r="N1533" t="s">
        <v>847</v>
      </c>
      <c r="O1533" t="s">
        <v>100</v>
      </c>
      <c r="P1533" t="s">
        <v>8141</v>
      </c>
      <c r="Q1533" t="s">
        <v>58</v>
      </c>
      <c r="R1533" t="s">
        <v>623</v>
      </c>
      <c r="S1533">
        <v>8.7200000000000006</v>
      </c>
      <c r="T1533">
        <v>10841</v>
      </c>
      <c r="U1533">
        <v>0</v>
      </c>
      <c r="V1533">
        <v>10841</v>
      </c>
    </row>
    <row r="1534" spans="1:22" x14ac:dyDescent="0.3">
      <c r="A1534">
        <v>80147</v>
      </c>
      <c r="B1534">
        <v>135667015</v>
      </c>
      <c r="C1534" t="s">
        <v>8142</v>
      </c>
      <c r="D1534" t="s">
        <v>8143</v>
      </c>
      <c r="E1534" t="s">
        <v>6762</v>
      </c>
      <c r="F1534" t="s">
        <v>844</v>
      </c>
      <c r="G1534" t="s">
        <v>164</v>
      </c>
      <c r="H1534" t="s">
        <v>165</v>
      </c>
      <c r="I1534" t="s">
        <v>34</v>
      </c>
      <c r="J1534" t="s">
        <v>166</v>
      </c>
      <c r="K1534" t="s">
        <v>41</v>
      </c>
      <c r="L1534" t="s">
        <v>8144</v>
      </c>
      <c r="M1534" t="s">
        <v>8145</v>
      </c>
      <c r="N1534" t="s">
        <v>847</v>
      </c>
      <c r="O1534" t="s">
        <v>100</v>
      </c>
      <c r="P1534" t="s">
        <v>8146</v>
      </c>
      <c r="Q1534" t="s">
        <v>55</v>
      </c>
      <c r="R1534" t="s">
        <v>579</v>
      </c>
      <c r="S1534">
        <v>8.91</v>
      </c>
      <c r="T1534">
        <v>9710</v>
      </c>
      <c r="U1534">
        <v>0</v>
      </c>
      <c r="V1534">
        <v>9710</v>
      </c>
    </row>
    <row r="1535" spans="1:22" x14ac:dyDescent="0.3">
      <c r="A1535">
        <v>80147</v>
      </c>
      <c r="B1535">
        <v>135709986</v>
      </c>
      <c r="C1535" t="s">
        <v>8147</v>
      </c>
      <c r="D1535" t="s">
        <v>8148</v>
      </c>
      <c r="E1535" t="s">
        <v>6762</v>
      </c>
      <c r="F1535" t="s">
        <v>844</v>
      </c>
      <c r="G1535" t="s">
        <v>164</v>
      </c>
      <c r="H1535" t="s">
        <v>165</v>
      </c>
      <c r="I1535" t="s">
        <v>34</v>
      </c>
      <c r="J1535" t="s">
        <v>166</v>
      </c>
      <c r="K1535" t="s">
        <v>41</v>
      </c>
      <c r="L1535" t="s">
        <v>8149</v>
      </c>
      <c r="M1535" t="s">
        <v>752</v>
      </c>
      <c r="N1535" t="s">
        <v>847</v>
      </c>
      <c r="O1535" t="s">
        <v>100</v>
      </c>
      <c r="P1535" t="s">
        <v>8150</v>
      </c>
      <c r="Q1535" t="s">
        <v>224</v>
      </c>
      <c r="R1535" t="s">
        <v>6778</v>
      </c>
      <c r="S1535">
        <v>5.35</v>
      </c>
      <c r="T1535">
        <v>5111</v>
      </c>
      <c r="U1535">
        <v>0</v>
      </c>
      <c r="V1535">
        <v>5111</v>
      </c>
    </row>
    <row r="1536" spans="1:22" x14ac:dyDescent="0.3">
      <c r="A1536">
        <v>80147</v>
      </c>
      <c r="B1536">
        <v>135574130</v>
      </c>
      <c r="C1536" t="s">
        <v>8151</v>
      </c>
      <c r="D1536" t="s">
        <v>8152</v>
      </c>
      <c r="E1536" t="s">
        <v>6762</v>
      </c>
      <c r="F1536" t="s">
        <v>844</v>
      </c>
      <c r="G1536" t="s">
        <v>164</v>
      </c>
      <c r="H1536" t="s">
        <v>165</v>
      </c>
      <c r="I1536" t="s">
        <v>34</v>
      </c>
      <c r="J1536" t="s">
        <v>166</v>
      </c>
      <c r="K1536" t="s">
        <v>41</v>
      </c>
      <c r="L1536" t="s">
        <v>8153</v>
      </c>
      <c r="M1536" t="s">
        <v>8154</v>
      </c>
      <c r="N1536" t="s">
        <v>847</v>
      </c>
      <c r="O1536" t="s">
        <v>100</v>
      </c>
      <c r="P1536" t="s">
        <v>8155</v>
      </c>
      <c r="Q1536" t="s">
        <v>205</v>
      </c>
      <c r="R1536" t="s">
        <v>7848</v>
      </c>
      <c r="S1536">
        <v>7.13</v>
      </c>
      <c r="T1536">
        <v>5476</v>
      </c>
      <c r="U1536">
        <v>0</v>
      </c>
      <c r="V1536">
        <v>5476</v>
      </c>
    </row>
    <row r="1537" spans="1:22" x14ac:dyDescent="0.3">
      <c r="A1537">
        <v>80147</v>
      </c>
      <c r="B1537">
        <v>135710034</v>
      </c>
      <c r="C1537" t="s">
        <v>8156</v>
      </c>
      <c r="D1537" t="s">
        <v>8157</v>
      </c>
      <c r="E1537" t="s">
        <v>6762</v>
      </c>
      <c r="F1537" t="s">
        <v>844</v>
      </c>
      <c r="G1537" t="s">
        <v>164</v>
      </c>
      <c r="H1537" t="s">
        <v>165</v>
      </c>
      <c r="I1537" t="s">
        <v>34</v>
      </c>
      <c r="J1537" t="s">
        <v>166</v>
      </c>
      <c r="K1537" t="s">
        <v>41</v>
      </c>
      <c r="L1537" t="s">
        <v>8158</v>
      </c>
      <c r="M1537" t="s">
        <v>8159</v>
      </c>
      <c r="N1537" t="s">
        <v>847</v>
      </c>
      <c r="O1537" t="s">
        <v>100</v>
      </c>
      <c r="P1537" t="s">
        <v>8160</v>
      </c>
      <c r="Q1537" t="s">
        <v>59</v>
      </c>
      <c r="R1537" t="s">
        <v>6778</v>
      </c>
      <c r="S1537">
        <v>8.91</v>
      </c>
      <c r="T1537">
        <v>6328</v>
      </c>
      <c r="U1537">
        <v>0</v>
      </c>
      <c r="V1537">
        <v>6328</v>
      </c>
    </row>
    <row r="1538" spans="1:22" x14ac:dyDescent="0.3">
      <c r="A1538">
        <v>80147</v>
      </c>
      <c r="B1538">
        <v>135709969</v>
      </c>
      <c r="C1538" t="s">
        <v>8161</v>
      </c>
      <c r="D1538" t="s">
        <v>8162</v>
      </c>
      <c r="E1538" t="s">
        <v>6762</v>
      </c>
      <c r="F1538" t="s">
        <v>844</v>
      </c>
      <c r="G1538" t="s">
        <v>164</v>
      </c>
      <c r="H1538" t="s">
        <v>165</v>
      </c>
      <c r="I1538" t="s">
        <v>34</v>
      </c>
      <c r="J1538" t="s">
        <v>166</v>
      </c>
      <c r="K1538" t="s">
        <v>41</v>
      </c>
      <c r="L1538" t="s">
        <v>8163</v>
      </c>
      <c r="M1538" t="s">
        <v>8164</v>
      </c>
      <c r="N1538" t="s">
        <v>847</v>
      </c>
      <c r="O1538" t="s">
        <v>100</v>
      </c>
      <c r="P1538" t="s">
        <v>8165</v>
      </c>
      <c r="Q1538" t="s">
        <v>72</v>
      </c>
      <c r="R1538" t="s">
        <v>623</v>
      </c>
      <c r="S1538">
        <v>8.91</v>
      </c>
      <c r="T1538">
        <v>5476</v>
      </c>
      <c r="U1538">
        <v>0</v>
      </c>
      <c r="V1538">
        <v>5476</v>
      </c>
    </row>
    <row r="1539" spans="1:22" x14ac:dyDescent="0.3">
      <c r="A1539">
        <v>80147</v>
      </c>
      <c r="B1539">
        <v>135710018</v>
      </c>
      <c r="C1539" t="s">
        <v>8166</v>
      </c>
      <c r="D1539" t="s">
        <v>8167</v>
      </c>
      <c r="E1539" t="s">
        <v>6762</v>
      </c>
      <c r="F1539" t="s">
        <v>844</v>
      </c>
      <c r="G1539" t="s">
        <v>164</v>
      </c>
      <c r="H1539" t="s">
        <v>165</v>
      </c>
      <c r="I1539" t="s">
        <v>34</v>
      </c>
      <c r="J1539" t="s">
        <v>166</v>
      </c>
      <c r="K1539" t="s">
        <v>41</v>
      </c>
      <c r="L1539" t="s">
        <v>8168</v>
      </c>
      <c r="M1539" t="s">
        <v>8169</v>
      </c>
      <c r="N1539" t="s">
        <v>847</v>
      </c>
      <c r="O1539" t="s">
        <v>100</v>
      </c>
      <c r="P1539" t="s">
        <v>8170</v>
      </c>
      <c r="Q1539" t="s">
        <v>60</v>
      </c>
      <c r="R1539" t="s">
        <v>6778</v>
      </c>
      <c r="S1539">
        <v>8.44</v>
      </c>
      <c r="T1539">
        <v>6888</v>
      </c>
      <c r="U1539">
        <v>0</v>
      </c>
      <c r="V1539">
        <v>6888</v>
      </c>
    </row>
    <row r="1540" spans="1:22" x14ac:dyDescent="0.3">
      <c r="A1540">
        <v>80147</v>
      </c>
      <c r="B1540">
        <v>135710033</v>
      </c>
      <c r="C1540" t="s">
        <v>8171</v>
      </c>
      <c r="D1540" t="s">
        <v>8172</v>
      </c>
      <c r="E1540" t="s">
        <v>6762</v>
      </c>
      <c r="F1540" t="s">
        <v>844</v>
      </c>
      <c r="G1540" t="s">
        <v>164</v>
      </c>
      <c r="H1540" t="s">
        <v>165</v>
      </c>
      <c r="I1540" t="s">
        <v>34</v>
      </c>
      <c r="J1540" t="s">
        <v>166</v>
      </c>
      <c r="K1540" t="s">
        <v>41</v>
      </c>
      <c r="L1540" t="s">
        <v>8173</v>
      </c>
      <c r="M1540" t="s">
        <v>8174</v>
      </c>
      <c r="N1540" t="s">
        <v>847</v>
      </c>
      <c r="O1540" t="s">
        <v>100</v>
      </c>
      <c r="P1540" t="s">
        <v>8175</v>
      </c>
      <c r="Q1540" t="s">
        <v>64</v>
      </c>
      <c r="R1540" t="s">
        <v>6778</v>
      </c>
      <c r="S1540">
        <v>8.7200000000000006</v>
      </c>
      <c r="T1540">
        <v>6328</v>
      </c>
      <c r="U1540">
        <v>0</v>
      </c>
      <c r="V1540">
        <v>6328</v>
      </c>
    </row>
    <row r="1541" spans="1:22" x14ac:dyDescent="0.3">
      <c r="A1541">
        <v>80147</v>
      </c>
      <c r="B1541">
        <v>135709887</v>
      </c>
      <c r="C1541" t="s">
        <v>8176</v>
      </c>
      <c r="D1541" t="s">
        <v>8177</v>
      </c>
      <c r="E1541" t="s">
        <v>6762</v>
      </c>
      <c r="F1541" t="s">
        <v>844</v>
      </c>
      <c r="G1541" t="s">
        <v>164</v>
      </c>
      <c r="H1541" t="s">
        <v>165</v>
      </c>
      <c r="I1541" t="s">
        <v>34</v>
      </c>
      <c r="J1541" t="s">
        <v>166</v>
      </c>
      <c r="K1541" t="s">
        <v>41</v>
      </c>
      <c r="L1541" t="s">
        <v>8178</v>
      </c>
      <c r="M1541" t="s">
        <v>8179</v>
      </c>
      <c r="N1541" t="s">
        <v>847</v>
      </c>
      <c r="O1541" t="s">
        <v>100</v>
      </c>
      <c r="P1541" t="s">
        <v>8180</v>
      </c>
      <c r="Q1541" t="s">
        <v>83</v>
      </c>
      <c r="R1541" t="s">
        <v>623</v>
      </c>
      <c r="S1541">
        <v>8.1</v>
      </c>
      <c r="T1541">
        <v>5198</v>
      </c>
      <c r="U1541">
        <v>0</v>
      </c>
      <c r="V1541">
        <v>5198</v>
      </c>
    </row>
    <row r="1542" spans="1:22" x14ac:dyDescent="0.3">
      <c r="A1542">
        <v>80147</v>
      </c>
      <c r="B1542">
        <v>135710047</v>
      </c>
      <c r="C1542" t="s">
        <v>8181</v>
      </c>
      <c r="D1542" t="s">
        <v>8182</v>
      </c>
      <c r="E1542" t="s">
        <v>6762</v>
      </c>
      <c r="F1542" t="s">
        <v>844</v>
      </c>
      <c r="G1542" t="s">
        <v>164</v>
      </c>
      <c r="H1542" t="s">
        <v>165</v>
      </c>
      <c r="I1542" t="s">
        <v>34</v>
      </c>
      <c r="J1542" t="s">
        <v>166</v>
      </c>
      <c r="K1542" t="s">
        <v>41</v>
      </c>
      <c r="L1542" t="s">
        <v>8183</v>
      </c>
      <c r="M1542" t="s">
        <v>8184</v>
      </c>
      <c r="N1542" t="s">
        <v>847</v>
      </c>
      <c r="O1542" t="s">
        <v>100</v>
      </c>
      <c r="P1542" t="s">
        <v>8185</v>
      </c>
      <c r="Q1542" t="s">
        <v>71</v>
      </c>
      <c r="R1542" t="s">
        <v>6778</v>
      </c>
      <c r="S1542">
        <v>8.1</v>
      </c>
      <c r="T1542">
        <v>5476</v>
      </c>
      <c r="U1542">
        <v>0</v>
      </c>
      <c r="V1542">
        <v>5476</v>
      </c>
    </row>
    <row r="1543" spans="1:22" x14ac:dyDescent="0.3">
      <c r="A1543">
        <v>80147</v>
      </c>
      <c r="B1543">
        <v>135709935</v>
      </c>
      <c r="C1543" t="s">
        <v>8186</v>
      </c>
      <c r="D1543" t="s">
        <v>8187</v>
      </c>
      <c r="E1543" t="s">
        <v>6762</v>
      </c>
      <c r="F1543" t="s">
        <v>844</v>
      </c>
      <c r="G1543" t="s">
        <v>164</v>
      </c>
      <c r="H1543" t="s">
        <v>165</v>
      </c>
      <c r="I1543" t="s">
        <v>34</v>
      </c>
      <c r="J1543" t="s">
        <v>166</v>
      </c>
      <c r="K1543" t="s">
        <v>41</v>
      </c>
      <c r="L1543" t="s">
        <v>8188</v>
      </c>
      <c r="M1543" t="s">
        <v>8189</v>
      </c>
      <c r="N1543" t="s">
        <v>847</v>
      </c>
      <c r="O1543" t="s">
        <v>100</v>
      </c>
      <c r="P1543" t="s">
        <v>8190</v>
      </c>
      <c r="Q1543" t="s">
        <v>94</v>
      </c>
      <c r="R1543" t="s">
        <v>623</v>
      </c>
      <c r="S1543">
        <v>8.91</v>
      </c>
      <c r="T1543">
        <v>5198</v>
      </c>
      <c r="U1543">
        <v>0</v>
      </c>
      <c r="V1543">
        <v>5198</v>
      </c>
    </row>
    <row r="1544" spans="1:22" x14ac:dyDescent="0.3">
      <c r="A1544">
        <v>80147</v>
      </c>
      <c r="B1544">
        <v>135710037</v>
      </c>
      <c r="C1544" t="s">
        <v>8191</v>
      </c>
      <c r="D1544" t="s">
        <v>8192</v>
      </c>
      <c r="E1544" t="s">
        <v>6762</v>
      </c>
      <c r="F1544" t="s">
        <v>844</v>
      </c>
      <c r="G1544" t="s">
        <v>164</v>
      </c>
      <c r="H1544" t="s">
        <v>165</v>
      </c>
      <c r="I1544" t="s">
        <v>34</v>
      </c>
      <c r="J1544" t="s">
        <v>166</v>
      </c>
      <c r="K1544" t="s">
        <v>41</v>
      </c>
      <c r="L1544" t="s">
        <v>8193</v>
      </c>
      <c r="M1544" t="s">
        <v>8194</v>
      </c>
      <c r="N1544" t="s">
        <v>847</v>
      </c>
      <c r="O1544" t="s">
        <v>100</v>
      </c>
      <c r="P1544" t="s">
        <v>8195</v>
      </c>
      <c r="Q1544" t="s">
        <v>63</v>
      </c>
      <c r="R1544" t="s">
        <v>6778</v>
      </c>
      <c r="S1544">
        <v>8.1</v>
      </c>
      <c r="T1544">
        <v>6328</v>
      </c>
      <c r="U1544">
        <v>0</v>
      </c>
      <c r="V1544">
        <v>6328</v>
      </c>
    </row>
    <row r="1545" spans="1:22" x14ac:dyDescent="0.3">
      <c r="A1545">
        <v>80147</v>
      </c>
      <c r="B1545">
        <v>135709900</v>
      </c>
      <c r="C1545" t="s">
        <v>8196</v>
      </c>
      <c r="D1545" t="s">
        <v>8197</v>
      </c>
      <c r="E1545" t="s">
        <v>6762</v>
      </c>
      <c r="F1545" t="s">
        <v>844</v>
      </c>
      <c r="G1545" t="s">
        <v>164</v>
      </c>
      <c r="H1545" t="s">
        <v>165</v>
      </c>
      <c r="I1545" t="s">
        <v>34</v>
      </c>
      <c r="J1545" t="s">
        <v>166</v>
      </c>
      <c r="K1545" t="s">
        <v>41</v>
      </c>
      <c r="L1545" t="s">
        <v>8198</v>
      </c>
      <c r="M1545" t="s">
        <v>8199</v>
      </c>
      <c r="N1545" t="s">
        <v>847</v>
      </c>
      <c r="O1545" t="s">
        <v>100</v>
      </c>
      <c r="P1545" t="s">
        <v>8200</v>
      </c>
      <c r="Q1545" t="s">
        <v>206</v>
      </c>
      <c r="R1545" t="s">
        <v>623</v>
      </c>
      <c r="S1545">
        <v>8.91</v>
      </c>
      <c r="T1545">
        <v>5759</v>
      </c>
      <c r="U1545">
        <v>0</v>
      </c>
      <c r="V1545">
        <v>5759</v>
      </c>
    </row>
    <row r="1546" spans="1:22" x14ac:dyDescent="0.3">
      <c r="A1546">
        <v>80147</v>
      </c>
      <c r="B1546">
        <v>135709904</v>
      </c>
      <c r="C1546" t="s">
        <v>8201</v>
      </c>
      <c r="D1546" t="s">
        <v>8202</v>
      </c>
      <c r="E1546" t="s">
        <v>6762</v>
      </c>
      <c r="F1546" t="s">
        <v>844</v>
      </c>
      <c r="G1546" t="s">
        <v>164</v>
      </c>
      <c r="H1546" t="s">
        <v>165</v>
      </c>
      <c r="I1546" t="s">
        <v>34</v>
      </c>
      <c r="J1546" t="s">
        <v>166</v>
      </c>
      <c r="K1546" t="s">
        <v>41</v>
      </c>
      <c r="L1546" t="s">
        <v>8203</v>
      </c>
      <c r="M1546" t="s">
        <v>584</v>
      </c>
      <c r="N1546" t="s">
        <v>847</v>
      </c>
      <c r="O1546" t="s">
        <v>100</v>
      </c>
      <c r="P1546" t="s">
        <v>8204</v>
      </c>
      <c r="Q1546" t="s">
        <v>43</v>
      </c>
      <c r="R1546" t="s">
        <v>623</v>
      </c>
      <c r="S1546">
        <v>8.91</v>
      </c>
      <c r="T1546">
        <v>5759</v>
      </c>
      <c r="U1546">
        <v>0</v>
      </c>
      <c r="V1546">
        <v>5759</v>
      </c>
    </row>
    <row r="1547" spans="1:22" x14ac:dyDescent="0.3">
      <c r="A1547">
        <v>80147</v>
      </c>
      <c r="B1547">
        <v>135523925</v>
      </c>
      <c r="C1547" t="s">
        <v>8205</v>
      </c>
      <c r="D1547" t="s">
        <v>8206</v>
      </c>
      <c r="E1547" t="s">
        <v>6762</v>
      </c>
      <c r="F1547" t="s">
        <v>844</v>
      </c>
      <c r="G1547" t="s">
        <v>164</v>
      </c>
      <c r="H1547" t="s">
        <v>165</v>
      </c>
      <c r="I1547" t="s">
        <v>34</v>
      </c>
      <c r="J1547" t="s">
        <v>166</v>
      </c>
      <c r="K1547" t="s">
        <v>41</v>
      </c>
      <c r="L1547" t="s">
        <v>3610</v>
      </c>
      <c r="M1547" t="s">
        <v>529</v>
      </c>
      <c r="N1547" t="s">
        <v>847</v>
      </c>
      <c r="O1547" t="s">
        <v>100</v>
      </c>
      <c r="P1547" t="s">
        <v>8207</v>
      </c>
      <c r="Q1547" t="s">
        <v>54</v>
      </c>
      <c r="R1547" t="s">
        <v>306</v>
      </c>
      <c r="S1547">
        <v>4.43</v>
      </c>
      <c r="T1547">
        <v>8008</v>
      </c>
      <c r="U1547">
        <v>0</v>
      </c>
      <c r="V1547">
        <v>8008</v>
      </c>
    </row>
    <row r="1548" spans="1:22" x14ac:dyDescent="0.3">
      <c r="A1548">
        <v>80147</v>
      </c>
      <c r="B1548">
        <v>135503962</v>
      </c>
      <c r="C1548" t="s">
        <v>8208</v>
      </c>
      <c r="D1548" t="s">
        <v>8209</v>
      </c>
      <c r="E1548" t="s">
        <v>6762</v>
      </c>
      <c r="F1548" t="s">
        <v>844</v>
      </c>
      <c r="G1548" t="s">
        <v>164</v>
      </c>
      <c r="H1548" t="s">
        <v>165</v>
      </c>
      <c r="I1548" t="s">
        <v>34</v>
      </c>
      <c r="J1548" t="s">
        <v>166</v>
      </c>
      <c r="K1548" t="s">
        <v>41</v>
      </c>
      <c r="L1548" t="s">
        <v>8210</v>
      </c>
      <c r="M1548" t="s">
        <v>7605</v>
      </c>
      <c r="N1548" t="s">
        <v>847</v>
      </c>
      <c r="O1548" t="s">
        <v>100</v>
      </c>
      <c r="P1548" t="s">
        <v>7606</v>
      </c>
      <c r="Q1548" t="s">
        <v>54</v>
      </c>
      <c r="R1548" t="s">
        <v>7927</v>
      </c>
      <c r="S1548">
        <v>13.37</v>
      </c>
      <c r="T1548">
        <v>13930</v>
      </c>
      <c r="U1548">
        <v>0</v>
      </c>
      <c r="V1548">
        <v>13930</v>
      </c>
    </row>
    <row r="1549" spans="1:22" x14ac:dyDescent="0.3">
      <c r="A1549">
        <v>80147</v>
      </c>
      <c r="B1549">
        <v>135449256</v>
      </c>
      <c r="C1549" t="s">
        <v>8211</v>
      </c>
      <c r="D1549" t="s">
        <v>8212</v>
      </c>
      <c r="E1549" t="s">
        <v>6762</v>
      </c>
      <c r="F1549" t="s">
        <v>844</v>
      </c>
      <c r="G1549" t="s">
        <v>164</v>
      </c>
      <c r="H1549" t="s">
        <v>165</v>
      </c>
      <c r="I1549" t="s">
        <v>34</v>
      </c>
      <c r="J1549" t="s">
        <v>166</v>
      </c>
      <c r="K1549" t="s">
        <v>41</v>
      </c>
      <c r="L1549" t="s">
        <v>8213</v>
      </c>
      <c r="M1549" t="s">
        <v>8214</v>
      </c>
      <c r="N1549" t="s">
        <v>847</v>
      </c>
      <c r="O1549" t="s">
        <v>100</v>
      </c>
      <c r="P1549" t="s">
        <v>8215</v>
      </c>
      <c r="Q1549" t="s">
        <v>54</v>
      </c>
      <c r="R1549" t="s">
        <v>7616</v>
      </c>
      <c r="S1549">
        <v>7.96</v>
      </c>
      <c r="T1549">
        <v>10562</v>
      </c>
      <c r="U1549">
        <v>0</v>
      </c>
      <c r="V1549">
        <v>10562</v>
      </c>
    </row>
    <row r="1550" spans="1:22" x14ac:dyDescent="0.3">
      <c r="A1550">
        <v>80147</v>
      </c>
      <c r="B1550">
        <v>135449244</v>
      </c>
      <c r="C1550" t="s">
        <v>8216</v>
      </c>
      <c r="D1550" t="s">
        <v>8217</v>
      </c>
      <c r="E1550" t="s">
        <v>6762</v>
      </c>
      <c r="F1550" t="s">
        <v>844</v>
      </c>
      <c r="G1550" t="s">
        <v>164</v>
      </c>
      <c r="H1550" t="s">
        <v>165</v>
      </c>
      <c r="I1550" t="s">
        <v>34</v>
      </c>
      <c r="J1550" t="s">
        <v>166</v>
      </c>
      <c r="K1550" t="s">
        <v>41</v>
      </c>
      <c r="L1550" t="s">
        <v>8218</v>
      </c>
      <c r="M1550" t="s">
        <v>8219</v>
      </c>
      <c r="N1550" t="s">
        <v>847</v>
      </c>
      <c r="O1550" t="s">
        <v>100</v>
      </c>
      <c r="P1550" t="s">
        <v>8220</v>
      </c>
      <c r="Q1550" t="s">
        <v>55</v>
      </c>
      <c r="R1550" t="s">
        <v>7616</v>
      </c>
      <c r="S1550">
        <v>1.94</v>
      </c>
      <c r="T1550">
        <v>5198</v>
      </c>
      <c r="U1550">
        <v>0</v>
      </c>
      <c r="V1550">
        <v>5198</v>
      </c>
    </row>
    <row r="1551" spans="1:22" x14ac:dyDescent="0.3">
      <c r="A1551">
        <v>80147</v>
      </c>
      <c r="B1551">
        <v>135472529</v>
      </c>
      <c r="C1551" t="s">
        <v>8221</v>
      </c>
      <c r="D1551" t="s">
        <v>8222</v>
      </c>
      <c r="E1551" t="s">
        <v>6762</v>
      </c>
      <c r="F1551" t="s">
        <v>844</v>
      </c>
      <c r="G1551" t="s">
        <v>164</v>
      </c>
      <c r="H1551" t="s">
        <v>165</v>
      </c>
      <c r="I1551" t="s">
        <v>34</v>
      </c>
      <c r="J1551" t="s">
        <v>166</v>
      </c>
      <c r="K1551" t="s">
        <v>41</v>
      </c>
      <c r="L1551" t="s">
        <v>8223</v>
      </c>
      <c r="M1551" t="s">
        <v>8224</v>
      </c>
      <c r="N1551" t="s">
        <v>847</v>
      </c>
      <c r="O1551" t="s">
        <v>100</v>
      </c>
      <c r="P1551" t="s">
        <v>8225</v>
      </c>
      <c r="Q1551" t="s">
        <v>55</v>
      </c>
      <c r="R1551" t="s">
        <v>8226</v>
      </c>
      <c r="S1551">
        <v>4.43</v>
      </c>
      <c r="T1551">
        <v>7484</v>
      </c>
      <c r="U1551">
        <v>0</v>
      </c>
      <c r="V1551">
        <v>7484</v>
      </c>
    </row>
    <row r="1552" spans="1:22" x14ac:dyDescent="0.3">
      <c r="A1552">
        <v>80147</v>
      </c>
      <c r="B1552">
        <v>135449235</v>
      </c>
      <c r="C1552" t="s">
        <v>8227</v>
      </c>
      <c r="D1552" t="s">
        <v>8228</v>
      </c>
      <c r="E1552" t="s">
        <v>6762</v>
      </c>
      <c r="F1552" t="s">
        <v>844</v>
      </c>
      <c r="G1552" t="s">
        <v>164</v>
      </c>
      <c r="H1552" t="s">
        <v>165</v>
      </c>
      <c r="I1552" t="s">
        <v>34</v>
      </c>
      <c r="J1552" t="s">
        <v>166</v>
      </c>
      <c r="K1552" t="s">
        <v>41</v>
      </c>
      <c r="L1552" t="s">
        <v>8229</v>
      </c>
      <c r="M1552" t="s">
        <v>8230</v>
      </c>
      <c r="N1552" t="s">
        <v>847</v>
      </c>
      <c r="O1552" t="s">
        <v>100</v>
      </c>
      <c r="P1552" t="s">
        <v>8231</v>
      </c>
      <c r="Q1552" t="s">
        <v>169</v>
      </c>
      <c r="R1552" t="s">
        <v>7616</v>
      </c>
      <c r="S1552">
        <v>11.41</v>
      </c>
      <c r="T1552">
        <v>8595</v>
      </c>
      <c r="U1552">
        <v>0</v>
      </c>
      <c r="V1552">
        <v>8595</v>
      </c>
    </row>
    <row r="1553" spans="1:22" x14ac:dyDescent="0.3">
      <c r="A1553">
        <v>80147</v>
      </c>
      <c r="B1553">
        <v>135554363</v>
      </c>
      <c r="C1553" t="s">
        <v>8232</v>
      </c>
      <c r="D1553" t="s">
        <v>8233</v>
      </c>
      <c r="E1553" t="s">
        <v>6762</v>
      </c>
      <c r="F1553" t="s">
        <v>844</v>
      </c>
      <c r="G1553" t="s">
        <v>164</v>
      </c>
      <c r="H1553" t="s">
        <v>165</v>
      </c>
      <c r="I1553" t="s">
        <v>34</v>
      </c>
      <c r="J1553" t="s">
        <v>166</v>
      </c>
      <c r="K1553" t="s">
        <v>41</v>
      </c>
      <c r="L1553" t="s">
        <v>8234</v>
      </c>
      <c r="M1553" t="s">
        <v>8235</v>
      </c>
      <c r="N1553" t="s">
        <v>847</v>
      </c>
      <c r="O1553" t="s">
        <v>100</v>
      </c>
      <c r="P1553" t="s">
        <v>8236</v>
      </c>
      <c r="Q1553" t="s">
        <v>57</v>
      </c>
      <c r="R1553" t="s">
        <v>8237</v>
      </c>
      <c r="S1553">
        <v>4.43</v>
      </c>
      <c r="T1553">
        <v>7749</v>
      </c>
      <c r="U1553">
        <v>0</v>
      </c>
      <c r="V1553">
        <v>7749</v>
      </c>
    </row>
    <row r="1554" spans="1:22" x14ac:dyDescent="0.3">
      <c r="A1554">
        <v>80147</v>
      </c>
      <c r="B1554">
        <v>135472532</v>
      </c>
      <c r="C1554" t="s">
        <v>8238</v>
      </c>
      <c r="D1554" t="s">
        <v>8239</v>
      </c>
      <c r="E1554" t="s">
        <v>6762</v>
      </c>
      <c r="F1554" t="s">
        <v>844</v>
      </c>
      <c r="G1554" t="s">
        <v>164</v>
      </c>
      <c r="H1554" t="s">
        <v>165</v>
      </c>
      <c r="I1554" t="s">
        <v>34</v>
      </c>
      <c r="J1554" t="s">
        <v>166</v>
      </c>
      <c r="K1554" t="s">
        <v>41</v>
      </c>
      <c r="L1554" t="s">
        <v>8240</v>
      </c>
      <c r="M1554" t="s">
        <v>8241</v>
      </c>
      <c r="N1554" t="s">
        <v>847</v>
      </c>
      <c r="O1554" t="s">
        <v>100</v>
      </c>
      <c r="P1554" t="s">
        <v>8242</v>
      </c>
      <c r="Q1554" t="s">
        <v>55</v>
      </c>
      <c r="R1554" t="s">
        <v>8226</v>
      </c>
      <c r="S1554">
        <v>4.43</v>
      </c>
      <c r="T1554">
        <v>7484</v>
      </c>
      <c r="U1554">
        <v>0</v>
      </c>
      <c r="V1554">
        <v>7484</v>
      </c>
    </row>
    <row r="1555" spans="1:22" x14ac:dyDescent="0.3">
      <c r="A1555">
        <v>80147</v>
      </c>
      <c r="B1555">
        <v>135472534</v>
      </c>
      <c r="C1555" t="s">
        <v>8243</v>
      </c>
      <c r="D1555" t="s">
        <v>8244</v>
      </c>
      <c r="E1555" t="s">
        <v>6762</v>
      </c>
      <c r="F1555" t="s">
        <v>844</v>
      </c>
      <c r="G1555" t="s">
        <v>164</v>
      </c>
      <c r="H1555" t="s">
        <v>165</v>
      </c>
      <c r="I1555" t="s">
        <v>34</v>
      </c>
      <c r="J1555" t="s">
        <v>166</v>
      </c>
      <c r="K1555" t="s">
        <v>41</v>
      </c>
      <c r="L1555" t="s">
        <v>8245</v>
      </c>
      <c r="M1555" t="s">
        <v>8246</v>
      </c>
      <c r="N1555" t="s">
        <v>847</v>
      </c>
      <c r="O1555" t="s">
        <v>100</v>
      </c>
      <c r="P1555" t="s">
        <v>8247</v>
      </c>
      <c r="Q1555" t="s">
        <v>70</v>
      </c>
      <c r="R1555" t="s">
        <v>8226</v>
      </c>
      <c r="S1555">
        <v>4.43</v>
      </c>
      <c r="T1555">
        <v>4322</v>
      </c>
      <c r="U1555">
        <v>0</v>
      </c>
      <c r="V1555">
        <v>4322</v>
      </c>
    </row>
    <row r="1556" spans="1:22" x14ac:dyDescent="0.3">
      <c r="A1556">
        <v>80147</v>
      </c>
      <c r="B1556">
        <v>135606038</v>
      </c>
      <c r="C1556" t="s">
        <v>8248</v>
      </c>
      <c r="D1556" t="s">
        <v>8249</v>
      </c>
      <c r="E1556" t="s">
        <v>6762</v>
      </c>
      <c r="F1556" t="s">
        <v>844</v>
      </c>
      <c r="G1556" t="s">
        <v>164</v>
      </c>
      <c r="H1556" t="s">
        <v>165</v>
      </c>
      <c r="I1556" t="s">
        <v>34</v>
      </c>
      <c r="J1556" t="s">
        <v>166</v>
      </c>
      <c r="K1556" t="s">
        <v>41</v>
      </c>
      <c r="L1556" t="s">
        <v>8250</v>
      </c>
      <c r="M1556" t="s">
        <v>8251</v>
      </c>
      <c r="N1556" t="s">
        <v>847</v>
      </c>
      <c r="O1556" t="s">
        <v>100</v>
      </c>
      <c r="P1556" t="s">
        <v>8252</v>
      </c>
      <c r="Q1556" t="s">
        <v>84</v>
      </c>
      <c r="R1556" t="s">
        <v>7433</v>
      </c>
      <c r="S1556">
        <v>6.31</v>
      </c>
      <c r="T1556">
        <v>5198</v>
      </c>
      <c r="U1556">
        <v>0</v>
      </c>
      <c r="V1556">
        <v>5198</v>
      </c>
    </row>
    <row r="1557" spans="1:22" x14ac:dyDescent="0.3">
      <c r="A1557">
        <v>80147</v>
      </c>
      <c r="B1557">
        <v>135606031</v>
      </c>
      <c r="C1557" t="s">
        <v>8253</v>
      </c>
      <c r="D1557" t="s">
        <v>8254</v>
      </c>
      <c r="E1557" t="s">
        <v>6762</v>
      </c>
      <c r="F1557" t="s">
        <v>844</v>
      </c>
      <c r="G1557" t="s">
        <v>164</v>
      </c>
      <c r="H1557" t="s">
        <v>165</v>
      </c>
      <c r="I1557" t="s">
        <v>34</v>
      </c>
      <c r="J1557" t="s">
        <v>166</v>
      </c>
      <c r="K1557" t="s">
        <v>41</v>
      </c>
      <c r="L1557" t="s">
        <v>8255</v>
      </c>
      <c r="M1557" t="s">
        <v>8256</v>
      </c>
      <c r="N1557" t="s">
        <v>847</v>
      </c>
      <c r="O1557" t="s">
        <v>100</v>
      </c>
      <c r="P1557" t="s">
        <v>8257</v>
      </c>
      <c r="Q1557" t="s">
        <v>83</v>
      </c>
      <c r="R1557" t="s">
        <v>7433</v>
      </c>
      <c r="S1557">
        <v>1.23</v>
      </c>
      <c r="T1557">
        <v>3366</v>
      </c>
      <c r="U1557">
        <v>0</v>
      </c>
      <c r="V1557">
        <v>3366</v>
      </c>
    </row>
    <row r="1558" spans="1:22" x14ac:dyDescent="0.3">
      <c r="A1558">
        <v>80147</v>
      </c>
      <c r="B1558">
        <v>135412588</v>
      </c>
      <c r="C1558" t="s">
        <v>8258</v>
      </c>
      <c r="D1558" t="s">
        <v>8259</v>
      </c>
      <c r="E1558" t="s">
        <v>6762</v>
      </c>
      <c r="F1558" t="s">
        <v>844</v>
      </c>
      <c r="G1558" t="s">
        <v>164</v>
      </c>
      <c r="H1558" t="s">
        <v>165</v>
      </c>
      <c r="I1558" t="s">
        <v>34</v>
      </c>
      <c r="J1558" t="s">
        <v>166</v>
      </c>
      <c r="K1558" t="s">
        <v>41</v>
      </c>
      <c r="L1558" t="s">
        <v>8260</v>
      </c>
      <c r="M1558" t="s">
        <v>8261</v>
      </c>
      <c r="N1558" t="s">
        <v>847</v>
      </c>
      <c r="O1558" t="s">
        <v>100</v>
      </c>
      <c r="P1558" t="s">
        <v>8262</v>
      </c>
      <c r="Q1558" t="s">
        <v>55</v>
      </c>
      <c r="R1558" t="s">
        <v>7646</v>
      </c>
      <c r="S1558">
        <v>4.43</v>
      </c>
      <c r="T1558">
        <v>7484</v>
      </c>
      <c r="U1558">
        <v>0</v>
      </c>
      <c r="V1558">
        <v>7484</v>
      </c>
    </row>
    <row r="1559" spans="1:22" x14ac:dyDescent="0.3">
      <c r="A1559">
        <v>80147</v>
      </c>
      <c r="B1559">
        <v>134950316</v>
      </c>
      <c r="C1559" t="s">
        <v>8263</v>
      </c>
      <c r="D1559" t="s">
        <v>8264</v>
      </c>
      <c r="E1559" t="s">
        <v>6762</v>
      </c>
      <c r="F1559" t="s">
        <v>844</v>
      </c>
      <c r="G1559" t="s">
        <v>164</v>
      </c>
      <c r="H1559" t="s">
        <v>165</v>
      </c>
      <c r="I1559" t="s">
        <v>34</v>
      </c>
      <c r="J1559" t="s">
        <v>166</v>
      </c>
      <c r="K1559" t="s">
        <v>41</v>
      </c>
      <c r="L1559" t="s">
        <v>8265</v>
      </c>
      <c r="M1559" t="s">
        <v>8266</v>
      </c>
      <c r="N1559" t="s">
        <v>847</v>
      </c>
      <c r="O1559" t="s">
        <v>100</v>
      </c>
      <c r="P1559" t="s">
        <v>8267</v>
      </c>
      <c r="Q1559" t="s">
        <v>264</v>
      </c>
      <c r="R1559" t="s">
        <v>8268</v>
      </c>
      <c r="S1559">
        <v>1</v>
      </c>
      <c r="T1559">
        <v>5759</v>
      </c>
      <c r="U1559">
        <v>0</v>
      </c>
      <c r="V1559">
        <v>5759</v>
      </c>
    </row>
    <row r="1560" spans="1:22" x14ac:dyDescent="0.3">
      <c r="A1560">
        <v>80147</v>
      </c>
      <c r="B1560">
        <v>135628373</v>
      </c>
      <c r="C1560" t="s">
        <v>8269</v>
      </c>
      <c r="D1560" t="s">
        <v>8270</v>
      </c>
      <c r="E1560" t="s">
        <v>6762</v>
      </c>
      <c r="F1560" t="s">
        <v>844</v>
      </c>
      <c r="G1560" t="s">
        <v>164</v>
      </c>
      <c r="H1560" t="s">
        <v>165</v>
      </c>
      <c r="I1560" t="s">
        <v>34</v>
      </c>
      <c r="J1560" t="s">
        <v>166</v>
      </c>
      <c r="K1560" t="s">
        <v>41</v>
      </c>
      <c r="L1560" t="s">
        <v>8271</v>
      </c>
      <c r="M1560" t="s">
        <v>8272</v>
      </c>
      <c r="N1560" t="s">
        <v>847</v>
      </c>
      <c r="O1560" t="s">
        <v>100</v>
      </c>
      <c r="P1560" t="s">
        <v>8273</v>
      </c>
      <c r="Q1560" t="s">
        <v>94</v>
      </c>
      <c r="R1560" t="s">
        <v>8274</v>
      </c>
      <c r="S1560">
        <v>8.98</v>
      </c>
      <c r="T1560">
        <v>5198</v>
      </c>
      <c r="U1560">
        <v>0</v>
      </c>
      <c r="V1560">
        <v>5198</v>
      </c>
    </row>
    <row r="1561" spans="1:22" x14ac:dyDescent="0.3">
      <c r="A1561">
        <v>80147</v>
      </c>
      <c r="B1561">
        <v>135606042</v>
      </c>
      <c r="C1561" t="s">
        <v>8275</v>
      </c>
      <c r="D1561" t="s">
        <v>8276</v>
      </c>
      <c r="E1561" t="s">
        <v>6762</v>
      </c>
      <c r="F1561" t="s">
        <v>844</v>
      </c>
      <c r="G1561" t="s">
        <v>164</v>
      </c>
      <c r="H1561" t="s">
        <v>165</v>
      </c>
      <c r="I1561" t="s">
        <v>34</v>
      </c>
      <c r="J1561" t="s">
        <v>166</v>
      </c>
      <c r="K1561" t="s">
        <v>41</v>
      </c>
      <c r="L1561" t="s">
        <v>8277</v>
      </c>
      <c r="M1561" t="s">
        <v>8278</v>
      </c>
      <c r="N1561" t="s">
        <v>847</v>
      </c>
      <c r="O1561" t="s">
        <v>100</v>
      </c>
      <c r="P1561" t="s">
        <v>8279</v>
      </c>
      <c r="Q1561" t="s">
        <v>84</v>
      </c>
      <c r="R1561" t="s">
        <v>7433</v>
      </c>
      <c r="S1561">
        <v>8.98</v>
      </c>
      <c r="T1561">
        <v>5198</v>
      </c>
      <c r="U1561">
        <v>0</v>
      </c>
      <c r="V1561">
        <v>5198</v>
      </c>
    </row>
    <row r="1562" spans="1:22" x14ac:dyDescent="0.3">
      <c r="A1562">
        <v>80147</v>
      </c>
      <c r="B1562">
        <v>135503964</v>
      </c>
      <c r="C1562" t="s">
        <v>8280</v>
      </c>
      <c r="D1562" t="s">
        <v>8281</v>
      </c>
      <c r="E1562" t="s">
        <v>6762</v>
      </c>
      <c r="F1562" t="s">
        <v>844</v>
      </c>
      <c r="G1562" t="s">
        <v>164</v>
      </c>
      <c r="H1562" t="s">
        <v>165</v>
      </c>
      <c r="I1562" t="s">
        <v>34</v>
      </c>
      <c r="J1562" t="s">
        <v>166</v>
      </c>
      <c r="K1562" t="s">
        <v>41</v>
      </c>
      <c r="L1562" t="s">
        <v>8282</v>
      </c>
      <c r="M1562" t="s">
        <v>8283</v>
      </c>
      <c r="N1562" t="s">
        <v>847</v>
      </c>
      <c r="O1562" t="s">
        <v>100</v>
      </c>
      <c r="P1562" t="s">
        <v>8284</v>
      </c>
      <c r="Q1562" t="s">
        <v>57</v>
      </c>
      <c r="R1562" t="s">
        <v>7927</v>
      </c>
      <c r="S1562">
        <v>9.0500000000000007</v>
      </c>
      <c r="T1562">
        <v>10562</v>
      </c>
      <c r="U1562">
        <v>0</v>
      </c>
      <c r="V1562">
        <v>10562</v>
      </c>
    </row>
    <row r="1563" spans="1:22" x14ac:dyDescent="0.3">
      <c r="A1563">
        <v>80147</v>
      </c>
      <c r="B1563">
        <v>135503958</v>
      </c>
      <c r="C1563" t="s">
        <v>8285</v>
      </c>
      <c r="D1563" t="s">
        <v>8286</v>
      </c>
      <c r="E1563" t="s">
        <v>6762</v>
      </c>
      <c r="F1563" t="s">
        <v>844</v>
      </c>
      <c r="G1563" t="s">
        <v>164</v>
      </c>
      <c r="H1563" t="s">
        <v>165</v>
      </c>
      <c r="I1563" t="s">
        <v>34</v>
      </c>
      <c r="J1563" t="s">
        <v>166</v>
      </c>
      <c r="K1563" t="s">
        <v>41</v>
      </c>
      <c r="L1563" t="s">
        <v>8287</v>
      </c>
      <c r="M1563" t="s">
        <v>8288</v>
      </c>
      <c r="N1563" t="s">
        <v>847</v>
      </c>
      <c r="O1563" t="s">
        <v>100</v>
      </c>
      <c r="P1563" t="s">
        <v>8289</v>
      </c>
      <c r="Q1563" t="s">
        <v>63</v>
      </c>
      <c r="R1563" t="s">
        <v>7927</v>
      </c>
      <c r="S1563">
        <v>4.49</v>
      </c>
      <c r="T1563">
        <v>5111</v>
      </c>
      <c r="U1563">
        <v>0</v>
      </c>
      <c r="V1563">
        <v>5111</v>
      </c>
    </row>
    <row r="1564" spans="1:22" x14ac:dyDescent="0.3">
      <c r="A1564">
        <v>80147</v>
      </c>
      <c r="B1564">
        <v>135449255</v>
      </c>
      <c r="C1564" t="s">
        <v>8290</v>
      </c>
      <c r="D1564" t="s">
        <v>8291</v>
      </c>
      <c r="E1564" t="s">
        <v>6762</v>
      </c>
      <c r="F1564" t="s">
        <v>844</v>
      </c>
      <c r="G1564" t="s">
        <v>164</v>
      </c>
      <c r="H1564" t="s">
        <v>165</v>
      </c>
      <c r="I1564" t="s">
        <v>34</v>
      </c>
      <c r="J1564" t="s">
        <v>166</v>
      </c>
      <c r="K1564" t="s">
        <v>41</v>
      </c>
      <c r="L1564" t="s">
        <v>8292</v>
      </c>
      <c r="M1564" t="s">
        <v>8293</v>
      </c>
      <c r="N1564" t="s">
        <v>847</v>
      </c>
      <c r="O1564" t="s">
        <v>100</v>
      </c>
      <c r="P1564" t="s">
        <v>8294</v>
      </c>
      <c r="Q1564" t="s">
        <v>72</v>
      </c>
      <c r="R1564" t="s">
        <v>7616</v>
      </c>
      <c r="S1564">
        <v>4.43</v>
      </c>
      <c r="T1564">
        <v>4585</v>
      </c>
      <c r="U1564">
        <v>0</v>
      </c>
      <c r="V1564">
        <v>4585</v>
      </c>
    </row>
    <row r="1565" spans="1:22" x14ac:dyDescent="0.3">
      <c r="A1565">
        <v>80147</v>
      </c>
      <c r="B1565">
        <v>135472527</v>
      </c>
      <c r="C1565" t="s">
        <v>8295</v>
      </c>
      <c r="D1565" t="s">
        <v>8296</v>
      </c>
      <c r="E1565" t="s">
        <v>6762</v>
      </c>
      <c r="F1565" t="s">
        <v>844</v>
      </c>
      <c r="G1565" t="s">
        <v>164</v>
      </c>
      <c r="H1565" t="s">
        <v>165</v>
      </c>
      <c r="I1565" t="s">
        <v>34</v>
      </c>
      <c r="J1565" t="s">
        <v>166</v>
      </c>
      <c r="K1565" t="s">
        <v>41</v>
      </c>
      <c r="L1565" t="s">
        <v>8297</v>
      </c>
      <c r="M1565" t="s">
        <v>8298</v>
      </c>
      <c r="N1565" t="s">
        <v>847</v>
      </c>
      <c r="O1565" t="s">
        <v>100</v>
      </c>
      <c r="P1565" t="s">
        <v>8299</v>
      </c>
      <c r="Q1565" t="s">
        <v>84</v>
      </c>
      <c r="R1565" t="s">
        <v>8226</v>
      </c>
      <c r="S1565">
        <v>4.43</v>
      </c>
      <c r="T1565">
        <v>3797</v>
      </c>
      <c r="U1565">
        <v>0</v>
      </c>
      <c r="V1565">
        <v>3797</v>
      </c>
    </row>
    <row r="1566" spans="1:22" x14ac:dyDescent="0.3">
      <c r="A1566">
        <v>80147</v>
      </c>
      <c r="B1566">
        <v>135523926</v>
      </c>
      <c r="C1566" t="s">
        <v>8300</v>
      </c>
      <c r="D1566" t="s">
        <v>8301</v>
      </c>
      <c r="E1566" t="s">
        <v>6762</v>
      </c>
      <c r="F1566" t="s">
        <v>844</v>
      </c>
      <c r="G1566" t="s">
        <v>164</v>
      </c>
      <c r="H1566" t="s">
        <v>165</v>
      </c>
      <c r="I1566" t="s">
        <v>34</v>
      </c>
      <c r="J1566" t="s">
        <v>166</v>
      </c>
      <c r="K1566" t="s">
        <v>41</v>
      </c>
      <c r="L1566" t="s">
        <v>8302</v>
      </c>
      <c r="M1566" t="s">
        <v>8303</v>
      </c>
      <c r="N1566" t="s">
        <v>847</v>
      </c>
      <c r="O1566" t="s">
        <v>100</v>
      </c>
      <c r="P1566" t="s">
        <v>8304</v>
      </c>
      <c r="Q1566" t="s">
        <v>60</v>
      </c>
      <c r="R1566" t="s">
        <v>306</v>
      </c>
      <c r="S1566">
        <v>4.43</v>
      </c>
      <c r="T1566">
        <v>5376</v>
      </c>
      <c r="U1566">
        <v>0</v>
      </c>
      <c r="V1566">
        <v>5376</v>
      </c>
    </row>
    <row r="1567" spans="1:22" x14ac:dyDescent="0.3">
      <c r="A1567">
        <v>80147</v>
      </c>
      <c r="B1567">
        <v>135449251</v>
      </c>
      <c r="C1567" t="s">
        <v>8305</v>
      </c>
      <c r="D1567" t="s">
        <v>8306</v>
      </c>
      <c r="E1567" t="s">
        <v>6762</v>
      </c>
      <c r="F1567" t="s">
        <v>844</v>
      </c>
      <c r="G1567" t="s">
        <v>164</v>
      </c>
      <c r="H1567" t="s">
        <v>165</v>
      </c>
      <c r="I1567" t="s">
        <v>34</v>
      </c>
      <c r="J1567" t="s">
        <v>166</v>
      </c>
      <c r="K1567" t="s">
        <v>41</v>
      </c>
      <c r="L1567" t="s">
        <v>8307</v>
      </c>
      <c r="M1567" t="s">
        <v>7675</v>
      </c>
      <c r="N1567" t="s">
        <v>847</v>
      </c>
      <c r="O1567" t="s">
        <v>100</v>
      </c>
      <c r="P1567" t="s">
        <v>7676</v>
      </c>
      <c r="Q1567" t="s">
        <v>59</v>
      </c>
      <c r="R1567" t="s">
        <v>7616</v>
      </c>
      <c r="S1567">
        <v>4.43</v>
      </c>
      <c r="T1567">
        <v>4852</v>
      </c>
      <c r="U1567">
        <v>0</v>
      </c>
      <c r="V1567">
        <v>4852</v>
      </c>
    </row>
    <row r="1568" spans="1:22" x14ac:dyDescent="0.3">
      <c r="A1568">
        <v>80147</v>
      </c>
      <c r="B1568">
        <v>135412587</v>
      </c>
      <c r="C1568" t="s">
        <v>8308</v>
      </c>
      <c r="D1568" t="s">
        <v>8309</v>
      </c>
      <c r="E1568" t="s">
        <v>6762</v>
      </c>
      <c r="F1568" t="s">
        <v>844</v>
      </c>
      <c r="G1568" t="s">
        <v>164</v>
      </c>
      <c r="H1568" t="s">
        <v>165</v>
      </c>
      <c r="I1568" t="s">
        <v>34</v>
      </c>
      <c r="J1568" t="s">
        <v>166</v>
      </c>
      <c r="K1568" t="s">
        <v>41</v>
      </c>
      <c r="L1568" t="s">
        <v>8310</v>
      </c>
      <c r="M1568" t="s">
        <v>8311</v>
      </c>
      <c r="N1568" t="s">
        <v>847</v>
      </c>
      <c r="O1568" t="s">
        <v>100</v>
      </c>
      <c r="P1568" t="s">
        <v>8312</v>
      </c>
      <c r="Q1568" t="s">
        <v>78</v>
      </c>
      <c r="R1568" t="s">
        <v>7646</v>
      </c>
      <c r="S1568">
        <v>4.43</v>
      </c>
      <c r="T1568">
        <v>4585</v>
      </c>
      <c r="U1568">
        <v>0</v>
      </c>
      <c r="V1568">
        <v>4585</v>
      </c>
    </row>
    <row r="1569" spans="1:22" x14ac:dyDescent="0.3">
      <c r="A1569">
        <v>80147</v>
      </c>
      <c r="B1569">
        <v>135523928</v>
      </c>
      <c r="C1569" t="s">
        <v>8313</v>
      </c>
      <c r="D1569" t="s">
        <v>8314</v>
      </c>
      <c r="E1569" t="s">
        <v>6762</v>
      </c>
      <c r="F1569" t="s">
        <v>844</v>
      </c>
      <c r="G1569" t="s">
        <v>164</v>
      </c>
      <c r="H1569" t="s">
        <v>165</v>
      </c>
      <c r="I1569" t="s">
        <v>34</v>
      </c>
      <c r="J1569" t="s">
        <v>166</v>
      </c>
      <c r="K1569" t="s">
        <v>41</v>
      </c>
      <c r="L1569" t="s">
        <v>8315</v>
      </c>
      <c r="M1569" t="s">
        <v>8316</v>
      </c>
      <c r="N1569" t="s">
        <v>847</v>
      </c>
      <c r="O1569" t="s">
        <v>100</v>
      </c>
      <c r="P1569" t="s">
        <v>8317</v>
      </c>
      <c r="Q1569" t="s">
        <v>190</v>
      </c>
      <c r="R1569" t="s">
        <v>306</v>
      </c>
      <c r="S1569">
        <v>4.43</v>
      </c>
      <c r="T1569">
        <v>3797</v>
      </c>
      <c r="U1569">
        <v>0</v>
      </c>
      <c r="V1569">
        <v>3797</v>
      </c>
    </row>
    <row r="1570" spans="1:22" x14ac:dyDescent="0.3">
      <c r="A1570">
        <v>80147</v>
      </c>
      <c r="B1570">
        <v>135554371</v>
      </c>
      <c r="C1570" t="s">
        <v>8318</v>
      </c>
      <c r="D1570" t="s">
        <v>8319</v>
      </c>
      <c r="E1570" t="s">
        <v>6762</v>
      </c>
      <c r="F1570" t="s">
        <v>844</v>
      </c>
      <c r="G1570" t="s">
        <v>164</v>
      </c>
      <c r="H1570" t="s">
        <v>165</v>
      </c>
      <c r="I1570" t="s">
        <v>34</v>
      </c>
      <c r="J1570" t="s">
        <v>166</v>
      </c>
      <c r="K1570" t="s">
        <v>41</v>
      </c>
      <c r="L1570" t="s">
        <v>8320</v>
      </c>
      <c r="M1570" t="s">
        <v>8321</v>
      </c>
      <c r="N1570" t="s">
        <v>847</v>
      </c>
      <c r="O1570" t="s">
        <v>100</v>
      </c>
      <c r="P1570" t="s">
        <v>8322</v>
      </c>
      <c r="Q1570" t="s">
        <v>63</v>
      </c>
      <c r="R1570" t="s">
        <v>8323</v>
      </c>
      <c r="S1570">
        <v>4.8</v>
      </c>
      <c r="T1570">
        <v>5111</v>
      </c>
      <c r="U1570">
        <v>0</v>
      </c>
      <c r="V1570">
        <v>5111</v>
      </c>
    </row>
    <row r="1571" spans="1:22" x14ac:dyDescent="0.3">
      <c r="A1571">
        <v>80147</v>
      </c>
      <c r="B1571">
        <v>135574124</v>
      </c>
      <c r="C1571" t="s">
        <v>8324</v>
      </c>
      <c r="D1571" t="s">
        <v>8325</v>
      </c>
      <c r="E1571" t="s">
        <v>6762</v>
      </c>
      <c r="F1571" t="s">
        <v>844</v>
      </c>
      <c r="G1571" t="s">
        <v>164</v>
      </c>
      <c r="H1571" t="s">
        <v>165</v>
      </c>
      <c r="I1571" t="s">
        <v>34</v>
      </c>
      <c r="J1571" t="s">
        <v>166</v>
      </c>
      <c r="K1571" t="s">
        <v>41</v>
      </c>
      <c r="L1571" t="s">
        <v>8326</v>
      </c>
      <c r="M1571" t="s">
        <v>8327</v>
      </c>
      <c r="N1571" t="s">
        <v>847</v>
      </c>
      <c r="O1571" t="s">
        <v>100</v>
      </c>
      <c r="P1571" t="s">
        <v>8328</v>
      </c>
      <c r="Q1571" t="s">
        <v>83</v>
      </c>
      <c r="R1571" t="s">
        <v>7848</v>
      </c>
      <c r="S1571">
        <v>4.43</v>
      </c>
      <c r="T1571">
        <v>3797</v>
      </c>
      <c r="U1571">
        <v>0</v>
      </c>
      <c r="V1571">
        <v>3797</v>
      </c>
    </row>
    <row r="1572" spans="1:22" x14ac:dyDescent="0.3">
      <c r="A1572">
        <v>80147</v>
      </c>
      <c r="B1572">
        <v>135449250</v>
      </c>
      <c r="C1572" t="s">
        <v>8329</v>
      </c>
      <c r="D1572" t="s">
        <v>8330</v>
      </c>
      <c r="E1572" t="s">
        <v>6762</v>
      </c>
      <c r="F1572" t="s">
        <v>844</v>
      </c>
      <c r="G1572" t="s">
        <v>164</v>
      </c>
      <c r="H1572" t="s">
        <v>165</v>
      </c>
      <c r="I1572" t="s">
        <v>34</v>
      </c>
      <c r="J1572" t="s">
        <v>166</v>
      </c>
      <c r="K1572" t="s">
        <v>41</v>
      </c>
      <c r="L1572" t="s">
        <v>8331</v>
      </c>
      <c r="M1572" t="s">
        <v>8332</v>
      </c>
      <c r="N1572" t="s">
        <v>847</v>
      </c>
      <c r="O1572" t="s">
        <v>100</v>
      </c>
      <c r="P1572" t="s">
        <v>8333</v>
      </c>
      <c r="Q1572" t="s">
        <v>90</v>
      </c>
      <c r="R1572" t="s">
        <v>7616</v>
      </c>
      <c r="S1572">
        <v>4.43</v>
      </c>
      <c r="T1572">
        <v>4366</v>
      </c>
      <c r="U1572">
        <v>0</v>
      </c>
      <c r="V1572">
        <v>4366</v>
      </c>
    </row>
    <row r="1573" spans="1:22" x14ac:dyDescent="0.3">
      <c r="A1573">
        <v>80147</v>
      </c>
      <c r="B1573">
        <v>135503963</v>
      </c>
      <c r="C1573" t="s">
        <v>8334</v>
      </c>
      <c r="D1573" t="s">
        <v>8335</v>
      </c>
      <c r="E1573" t="s">
        <v>6762</v>
      </c>
      <c r="F1573" t="s">
        <v>844</v>
      </c>
      <c r="G1573" t="s">
        <v>164</v>
      </c>
      <c r="H1573" t="s">
        <v>165</v>
      </c>
      <c r="I1573" t="s">
        <v>34</v>
      </c>
      <c r="J1573" t="s">
        <v>166</v>
      </c>
      <c r="K1573" t="s">
        <v>41</v>
      </c>
      <c r="L1573" t="s">
        <v>8336</v>
      </c>
      <c r="M1573" t="s">
        <v>8337</v>
      </c>
      <c r="N1573" t="s">
        <v>847</v>
      </c>
      <c r="O1573" t="s">
        <v>100</v>
      </c>
      <c r="P1573" t="s">
        <v>8338</v>
      </c>
      <c r="Q1573" t="s">
        <v>49</v>
      </c>
      <c r="R1573" t="s">
        <v>7927</v>
      </c>
      <c r="S1573">
        <v>6.96</v>
      </c>
      <c r="T1573">
        <v>5476</v>
      </c>
      <c r="U1573">
        <v>0</v>
      </c>
      <c r="V1573">
        <v>5476</v>
      </c>
    </row>
    <row r="1574" spans="1:22" x14ac:dyDescent="0.3">
      <c r="A1574">
        <v>80147</v>
      </c>
      <c r="B1574">
        <v>135412591</v>
      </c>
      <c r="C1574" t="s">
        <v>8339</v>
      </c>
      <c r="D1574" t="s">
        <v>8340</v>
      </c>
      <c r="E1574" t="s">
        <v>6762</v>
      </c>
      <c r="F1574" t="s">
        <v>844</v>
      </c>
      <c r="G1574" t="s">
        <v>164</v>
      </c>
      <c r="H1574" t="s">
        <v>165</v>
      </c>
      <c r="I1574" t="s">
        <v>34</v>
      </c>
      <c r="J1574" t="s">
        <v>166</v>
      </c>
      <c r="K1574" t="s">
        <v>41</v>
      </c>
      <c r="L1574" t="s">
        <v>8341</v>
      </c>
      <c r="M1574" t="s">
        <v>8342</v>
      </c>
      <c r="N1574" t="s">
        <v>847</v>
      </c>
      <c r="O1574" t="s">
        <v>100</v>
      </c>
      <c r="P1574" t="s">
        <v>8343</v>
      </c>
      <c r="Q1574" t="s">
        <v>72</v>
      </c>
      <c r="R1574" t="s">
        <v>7646</v>
      </c>
      <c r="S1574">
        <v>4.43</v>
      </c>
      <c r="T1574">
        <v>4585</v>
      </c>
      <c r="U1574">
        <v>0</v>
      </c>
      <c r="V1574">
        <v>4585</v>
      </c>
    </row>
    <row r="1575" spans="1:22" x14ac:dyDescent="0.3">
      <c r="A1575">
        <v>80147</v>
      </c>
      <c r="B1575">
        <v>135449248</v>
      </c>
      <c r="C1575" t="s">
        <v>8344</v>
      </c>
      <c r="D1575" t="s">
        <v>8345</v>
      </c>
      <c r="E1575" t="s">
        <v>6762</v>
      </c>
      <c r="F1575" t="s">
        <v>844</v>
      </c>
      <c r="G1575" t="s">
        <v>164</v>
      </c>
      <c r="H1575" t="s">
        <v>165</v>
      </c>
      <c r="I1575" t="s">
        <v>34</v>
      </c>
      <c r="J1575" t="s">
        <v>166</v>
      </c>
      <c r="K1575" t="s">
        <v>41</v>
      </c>
      <c r="L1575" t="s">
        <v>8346</v>
      </c>
      <c r="M1575" t="s">
        <v>8347</v>
      </c>
      <c r="N1575" t="s">
        <v>847</v>
      </c>
      <c r="O1575" t="s">
        <v>100</v>
      </c>
      <c r="P1575" t="s">
        <v>8348</v>
      </c>
      <c r="Q1575" t="s">
        <v>50</v>
      </c>
      <c r="R1575" t="s">
        <v>7616</v>
      </c>
      <c r="S1575">
        <v>4.43</v>
      </c>
      <c r="T1575">
        <v>4585</v>
      </c>
      <c r="U1575">
        <v>0</v>
      </c>
      <c r="V1575">
        <v>4585</v>
      </c>
    </row>
    <row r="1576" spans="1:22" x14ac:dyDescent="0.3">
      <c r="A1576">
        <v>80147</v>
      </c>
      <c r="B1576">
        <v>135554362</v>
      </c>
      <c r="C1576" t="s">
        <v>8349</v>
      </c>
      <c r="D1576" t="s">
        <v>8350</v>
      </c>
      <c r="E1576" t="s">
        <v>6762</v>
      </c>
      <c r="F1576" t="s">
        <v>844</v>
      </c>
      <c r="G1576" t="s">
        <v>164</v>
      </c>
      <c r="H1576" t="s">
        <v>165</v>
      </c>
      <c r="I1576" t="s">
        <v>34</v>
      </c>
      <c r="J1576" t="s">
        <v>166</v>
      </c>
      <c r="K1576" t="s">
        <v>41</v>
      </c>
      <c r="L1576" t="s">
        <v>8351</v>
      </c>
      <c r="M1576" t="s">
        <v>8352</v>
      </c>
      <c r="N1576" t="s">
        <v>847</v>
      </c>
      <c r="O1576" t="s">
        <v>100</v>
      </c>
      <c r="P1576" t="s">
        <v>8353</v>
      </c>
      <c r="Q1576" t="s">
        <v>43</v>
      </c>
      <c r="R1576" t="s">
        <v>8237</v>
      </c>
      <c r="S1576">
        <v>4.43</v>
      </c>
      <c r="T1576">
        <v>4322</v>
      </c>
      <c r="U1576">
        <v>0</v>
      </c>
      <c r="V1576">
        <v>4322</v>
      </c>
    </row>
    <row r="1577" spans="1:22" x14ac:dyDescent="0.3">
      <c r="A1577">
        <v>80147</v>
      </c>
      <c r="B1577">
        <v>135503954</v>
      </c>
      <c r="C1577" t="s">
        <v>8354</v>
      </c>
      <c r="D1577" t="s">
        <v>8355</v>
      </c>
      <c r="E1577" t="s">
        <v>6762</v>
      </c>
      <c r="F1577" t="s">
        <v>844</v>
      </c>
      <c r="G1577" t="s">
        <v>164</v>
      </c>
      <c r="H1577" t="s">
        <v>165</v>
      </c>
      <c r="I1577" t="s">
        <v>34</v>
      </c>
      <c r="J1577" t="s">
        <v>166</v>
      </c>
      <c r="K1577" t="s">
        <v>41</v>
      </c>
      <c r="L1577" t="s">
        <v>8356</v>
      </c>
      <c r="M1577" t="s">
        <v>8357</v>
      </c>
      <c r="N1577" t="s">
        <v>847</v>
      </c>
      <c r="O1577" t="s">
        <v>100</v>
      </c>
      <c r="P1577" t="s">
        <v>8358</v>
      </c>
      <c r="Q1577" t="s">
        <v>50</v>
      </c>
      <c r="R1577" t="s">
        <v>7927</v>
      </c>
      <c r="S1577">
        <v>1.7</v>
      </c>
      <c r="T1577">
        <v>3784</v>
      </c>
      <c r="U1577">
        <v>0</v>
      </c>
      <c r="V1577">
        <v>3784</v>
      </c>
    </row>
    <row r="1578" spans="1:22" x14ac:dyDescent="0.3">
      <c r="A1578">
        <v>80147</v>
      </c>
      <c r="B1578">
        <v>135503959</v>
      </c>
      <c r="C1578" t="s">
        <v>8359</v>
      </c>
      <c r="D1578" t="s">
        <v>8360</v>
      </c>
      <c r="E1578" t="s">
        <v>6762</v>
      </c>
      <c r="F1578" t="s">
        <v>844</v>
      </c>
      <c r="G1578" t="s">
        <v>164</v>
      </c>
      <c r="H1578" t="s">
        <v>165</v>
      </c>
      <c r="I1578" t="s">
        <v>34</v>
      </c>
      <c r="J1578" t="s">
        <v>166</v>
      </c>
      <c r="K1578" t="s">
        <v>41</v>
      </c>
      <c r="L1578" t="s">
        <v>8361</v>
      </c>
      <c r="M1578" t="s">
        <v>8362</v>
      </c>
      <c r="N1578" t="s">
        <v>847</v>
      </c>
      <c r="O1578" t="s">
        <v>100</v>
      </c>
      <c r="P1578" t="s">
        <v>8363</v>
      </c>
      <c r="Q1578" t="s">
        <v>68</v>
      </c>
      <c r="R1578" t="s">
        <v>7927</v>
      </c>
      <c r="S1578">
        <v>4.43</v>
      </c>
      <c r="T1578">
        <v>4456</v>
      </c>
      <c r="U1578">
        <v>0</v>
      </c>
      <c r="V1578">
        <v>4456</v>
      </c>
    </row>
    <row r="1579" spans="1:22" x14ac:dyDescent="0.3">
      <c r="A1579">
        <v>80147</v>
      </c>
      <c r="B1579">
        <v>135472537</v>
      </c>
      <c r="C1579" t="s">
        <v>8364</v>
      </c>
      <c r="D1579" t="s">
        <v>8365</v>
      </c>
      <c r="E1579" t="s">
        <v>6762</v>
      </c>
      <c r="F1579" t="s">
        <v>844</v>
      </c>
      <c r="G1579" t="s">
        <v>164</v>
      </c>
      <c r="H1579" t="s">
        <v>165</v>
      </c>
      <c r="I1579" t="s">
        <v>34</v>
      </c>
      <c r="J1579" t="s">
        <v>166</v>
      </c>
      <c r="K1579" t="s">
        <v>41</v>
      </c>
      <c r="L1579" t="s">
        <v>8366</v>
      </c>
      <c r="M1579" t="s">
        <v>8367</v>
      </c>
      <c r="N1579" t="s">
        <v>847</v>
      </c>
      <c r="O1579" t="s">
        <v>100</v>
      </c>
      <c r="P1579" t="s">
        <v>8368</v>
      </c>
      <c r="Q1579" t="s">
        <v>83</v>
      </c>
      <c r="R1579" t="s">
        <v>8226</v>
      </c>
      <c r="S1579">
        <v>7.31</v>
      </c>
      <c r="T1579">
        <v>5198</v>
      </c>
      <c r="U1579">
        <v>0</v>
      </c>
      <c r="V1579">
        <v>5198</v>
      </c>
    </row>
    <row r="1580" spans="1:22" x14ac:dyDescent="0.3">
      <c r="A1580">
        <v>80147</v>
      </c>
      <c r="B1580">
        <v>135159795</v>
      </c>
      <c r="C1580" t="s">
        <v>8369</v>
      </c>
      <c r="D1580" t="s">
        <v>8370</v>
      </c>
      <c r="E1580" t="s">
        <v>6762</v>
      </c>
      <c r="F1580" t="s">
        <v>844</v>
      </c>
      <c r="G1580" t="s">
        <v>164</v>
      </c>
      <c r="H1580" t="s">
        <v>165</v>
      </c>
      <c r="I1580" t="s">
        <v>34</v>
      </c>
      <c r="J1580" t="s">
        <v>166</v>
      </c>
      <c r="K1580" t="s">
        <v>41</v>
      </c>
      <c r="L1580" t="s">
        <v>8371</v>
      </c>
      <c r="M1580" t="s">
        <v>8372</v>
      </c>
      <c r="N1580" t="s">
        <v>847</v>
      </c>
      <c r="O1580" t="s">
        <v>100</v>
      </c>
      <c r="P1580" t="s">
        <v>8373</v>
      </c>
      <c r="Q1580" t="s">
        <v>246</v>
      </c>
      <c r="R1580" t="s">
        <v>8374</v>
      </c>
      <c r="S1580">
        <v>5.79</v>
      </c>
      <c r="T1580">
        <v>8008</v>
      </c>
      <c r="U1580">
        <v>0</v>
      </c>
      <c r="V1580">
        <v>8008</v>
      </c>
    </row>
    <row r="1581" spans="1:22" x14ac:dyDescent="0.3">
      <c r="A1581">
        <v>80147</v>
      </c>
      <c r="B1581">
        <v>137358759</v>
      </c>
      <c r="C1581" t="s">
        <v>8375</v>
      </c>
      <c r="D1581" t="s">
        <v>8376</v>
      </c>
      <c r="E1581" t="s">
        <v>6762</v>
      </c>
      <c r="F1581" t="s">
        <v>844</v>
      </c>
      <c r="G1581" t="s">
        <v>267</v>
      </c>
      <c r="H1581" t="s">
        <v>268</v>
      </c>
      <c r="I1581" t="s">
        <v>34</v>
      </c>
      <c r="J1581" t="s">
        <v>269</v>
      </c>
      <c r="K1581" t="s">
        <v>41</v>
      </c>
      <c r="L1581" t="s">
        <v>8377</v>
      </c>
      <c r="M1581" t="s">
        <v>8378</v>
      </c>
      <c r="N1581" t="s">
        <v>847</v>
      </c>
      <c r="O1581" t="s">
        <v>100</v>
      </c>
      <c r="P1581" t="s">
        <v>8379</v>
      </c>
      <c r="Q1581" t="s">
        <v>263</v>
      </c>
      <c r="R1581" t="s">
        <v>772</v>
      </c>
      <c r="S1581">
        <v>2.97</v>
      </c>
      <c r="T1581">
        <v>8079</v>
      </c>
      <c r="U1581">
        <v>224.95</v>
      </c>
      <c r="V1581">
        <v>8303.9500000000007</v>
      </c>
    </row>
    <row r="1582" spans="1:22" x14ac:dyDescent="0.3">
      <c r="A1582">
        <v>80147</v>
      </c>
      <c r="B1582">
        <v>137328650</v>
      </c>
      <c r="C1582" t="s">
        <v>8380</v>
      </c>
      <c r="D1582" t="s">
        <v>8381</v>
      </c>
      <c r="E1582" t="s">
        <v>6762</v>
      </c>
      <c r="F1582" t="s">
        <v>844</v>
      </c>
      <c r="G1582" t="s">
        <v>267</v>
      </c>
      <c r="H1582" t="s">
        <v>268</v>
      </c>
      <c r="I1582" t="s">
        <v>34</v>
      </c>
      <c r="J1582" t="s">
        <v>269</v>
      </c>
      <c r="K1582" t="s">
        <v>41</v>
      </c>
      <c r="L1582" t="s">
        <v>8382</v>
      </c>
      <c r="M1582" t="s">
        <v>8383</v>
      </c>
      <c r="N1582" t="s">
        <v>847</v>
      </c>
      <c r="O1582" t="s">
        <v>100</v>
      </c>
      <c r="P1582" t="s">
        <v>8384</v>
      </c>
      <c r="Q1582" t="s">
        <v>517</v>
      </c>
      <c r="R1582" t="s">
        <v>8385</v>
      </c>
      <c r="S1582">
        <v>2.94</v>
      </c>
      <c r="T1582">
        <v>8079</v>
      </c>
      <c r="U1582">
        <v>224.95</v>
      </c>
      <c r="V1582">
        <v>8303.9500000000007</v>
      </c>
    </row>
    <row r="1583" spans="1:22" x14ac:dyDescent="0.3">
      <c r="A1583">
        <v>80147</v>
      </c>
      <c r="B1583">
        <v>137328666</v>
      </c>
      <c r="C1583" t="s">
        <v>8386</v>
      </c>
      <c r="D1583" t="s">
        <v>8387</v>
      </c>
      <c r="E1583" t="s">
        <v>6762</v>
      </c>
      <c r="F1583" t="s">
        <v>844</v>
      </c>
      <c r="G1583" t="s">
        <v>267</v>
      </c>
      <c r="H1583" t="s">
        <v>268</v>
      </c>
      <c r="I1583" t="s">
        <v>34</v>
      </c>
      <c r="J1583" t="s">
        <v>269</v>
      </c>
      <c r="K1583" t="s">
        <v>41</v>
      </c>
      <c r="L1583" t="s">
        <v>8388</v>
      </c>
      <c r="M1583" t="s">
        <v>8389</v>
      </c>
      <c r="N1583" t="s">
        <v>847</v>
      </c>
      <c r="O1583" t="s">
        <v>100</v>
      </c>
      <c r="P1583" t="s">
        <v>8390</v>
      </c>
      <c r="Q1583" t="s">
        <v>105</v>
      </c>
      <c r="R1583" t="s">
        <v>8385</v>
      </c>
      <c r="S1583">
        <v>1.87</v>
      </c>
      <c r="T1583">
        <v>4738</v>
      </c>
      <c r="U1583">
        <v>224.95</v>
      </c>
      <c r="V1583">
        <v>4962.95</v>
      </c>
    </row>
    <row r="1584" spans="1:22" x14ac:dyDescent="0.3">
      <c r="A1584">
        <v>80147</v>
      </c>
      <c r="B1584">
        <v>137205160</v>
      </c>
      <c r="C1584" t="s">
        <v>8391</v>
      </c>
      <c r="D1584" t="s">
        <v>8392</v>
      </c>
      <c r="E1584" t="s">
        <v>6762</v>
      </c>
      <c r="F1584" t="s">
        <v>844</v>
      </c>
      <c r="G1584" t="s">
        <v>267</v>
      </c>
      <c r="H1584" t="s">
        <v>268</v>
      </c>
      <c r="I1584" t="s">
        <v>34</v>
      </c>
      <c r="J1584" t="s">
        <v>269</v>
      </c>
      <c r="K1584" t="s">
        <v>41</v>
      </c>
      <c r="L1584" t="s">
        <v>8393</v>
      </c>
      <c r="M1584" t="s">
        <v>8394</v>
      </c>
      <c r="N1584" t="s">
        <v>847</v>
      </c>
      <c r="O1584" t="s">
        <v>100</v>
      </c>
      <c r="P1584" t="s">
        <v>8395</v>
      </c>
      <c r="Q1584" t="s">
        <v>104</v>
      </c>
      <c r="R1584" t="s">
        <v>745</v>
      </c>
      <c r="S1584">
        <v>2.88</v>
      </c>
      <c r="T1584">
        <v>3950</v>
      </c>
      <c r="U1584">
        <v>224.95</v>
      </c>
      <c r="V1584">
        <v>4174.95</v>
      </c>
    </row>
    <row r="1585" spans="1:22" x14ac:dyDescent="0.3">
      <c r="A1585">
        <v>80147</v>
      </c>
      <c r="B1585">
        <v>137032714</v>
      </c>
      <c r="C1585" t="s">
        <v>8396</v>
      </c>
      <c r="D1585" t="s">
        <v>8397</v>
      </c>
      <c r="E1585" t="s">
        <v>6762</v>
      </c>
      <c r="F1585" t="s">
        <v>844</v>
      </c>
      <c r="G1585" t="s">
        <v>267</v>
      </c>
      <c r="H1585" t="s">
        <v>268</v>
      </c>
      <c r="I1585" t="s">
        <v>34</v>
      </c>
      <c r="J1585" t="s">
        <v>269</v>
      </c>
      <c r="K1585" t="s">
        <v>41</v>
      </c>
      <c r="L1585" t="s">
        <v>8398</v>
      </c>
      <c r="M1585" t="s">
        <v>8399</v>
      </c>
      <c r="N1585" t="s">
        <v>847</v>
      </c>
      <c r="O1585" t="s">
        <v>100</v>
      </c>
      <c r="P1585" t="s">
        <v>8400</v>
      </c>
      <c r="Q1585" t="s">
        <v>104</v>
      </c>
      <c r="R1585" t="s">
        <v>126</v>
      </c>
      <c r="S1585">
        <v>2.2999999999999998</v>
      </c>
      <c r="T1585">
        <v>3950</v>
      </c>
      <c r="U1585">
        <v>174.95</v>
      </c>
      <c r="V1585">
        <v>4124.95</v>
      </c>
    </row>
    <row r="1586" spans="1:22" x14ac:dyDescent="0.3">
      <c r="A1586">
        <v>80147</v>
      </c>
      <c r="B1586">
        <v>136681669</v>
      </c>
      <c r="C1586" t="s">
        <v>8401</v>
      </c>
      <c r="D1586" t="s">
        <v>8402</v>
      </c>
      <c r="E1586" t="s">
        <v>6762</v>
      </c>
      <c r="F1586" t="s">
        <v>844</v>
      </c>
      <c r="G1586" t="s">
        <v>267</v>
      </c>
      <c r="H1586" t="s">
        <v>268</v>
      </c>
      <c r="I1586" t="s">
        <v>34</v>
      </c>
      <c r="J1586" t="s">
        <v>269</v>
      </c>
      <c r="K1586" t="s">
        <v>41</v>
      </c>
      <c r="L1586" t="s">
        <v>8403</v>
      </c>
      <c r="M1586" t="s">
        <v>8404</v>
      </c>
      <c r="N1586" t="s">
        <v>847</v>
      </c>
      <c r="O1586" t="s">
        <v>100</v>
      </c>
      <c r="P1586" t="s">
        <v>8405</v>
      </c>
      <c r="Q1586" t="s">
        <v>104</v>
      </c>
      <c r="R1586" t="s">
        <v>424</v>
      </c>
      <c r="S1586">
        <v>2.96</v>
      </c>
      <c r="T1586">
        <v>3950</v>
      </c>
      <c r="U1586">
        <v>224.95</v>
      </c>
      <c r="V1586">
        <v>4174.95</v>
      </c>
    </row>
    <row r="1587" spans="1:22" x14ac:dyDescent="0.3">
      <c r="A1587">
        <v>80147</v>
      </c>
      <c r="B1587">
        <v>136636207</v>
      </c>
      <c r="C1587" t="s">
        <v>8406</v>
      </c>
      <c r="D1587" t="s">
        <v>8407</v>
      </c>
      <c r="E1587" t="s">
        <v>6762</v>
      </c>
      <c r="F1587" t="s">
        <v>844</v>
      </c>
      <c r="G1587" t="s">
        <v>267</v>
      </c>
      <c r="H1587" t="s">
        <v>268</v>
      </c>
      <c r="I1587" t="s">
        <v>34</v>
      </c>
      <c r="J1587" t="s">
        <v>269</v>
      </c>
      <c r="K1587" t="s">
        <v>41</v>
      </c>
      <c r="L1587" t="s">
        <v>8408</v>
      </c>
      <c r="M1587" t="s">
        <v>8409</v>
      </c>
      <c r="N1587" t="s">
        <v>847</v>
      </c>
      <c r="O1587" t="s">
        <v>100</v>
      </c>
      <c r="P1587" t="s">
        <v>8410</v>
      </c>
      <c r="Q1587" t="s">
        <v>247</v>
      </c>
      <c r="R1587" t="s">
        <v>639</v>
      </c>
      <c r="S1587">
        <v>1.57</v>
      </c>
      <c r="T1587">
        <v>6807</v>
      </c>
      <c r="U1587">
        <v>249.95</v>
      </c>
      <c r="V1587">
        <v>7056.95</v>
      </c>
    </row>
    <row r="1588" spans="1:22" x14ac:dyDescent="0.3">
      <c r="A1588">
        <v>80147</v>
      </c>
      <c r="B1588">
        <v>136271608</v>
      </c>
      <c r="C1588" t="s">
        <v>8411</v>
      </c>
      <c r="D1588" t="s">
        <v>8412</v>
      </c>
      <c r="E1588" t="s">
        <v>6762</v>
      </c>
      <c r="F1588" t="s">
        <v>844</v>
      </c>
      <c r="G1588" t="s">
        <v>267</v>
      </c>
      <c r="H1588" t="s">
        <v>268</v>
      </c>
      <c r="I1588" t="s">
        <v>34</v>
      </c>
      <c r="J1588" t="s">
        <v>269</v>
      </c>
      <c r="K1588" t="s">
        <v>41</v>
      </c>
      <c r="L1588" t="s">
        <v>8413</v>
      </c>
      <c r="M1588" t="s">
        <v>8414</v>
      </c>
      <c r="N1588" t="s">
        <v>847</v>
      </c>
      <c r="O1588" t="s">
        <v>100</v>
      </c>
      <c r="P1588" t="s">
        <v>8415</v>
      </c>
      <c r="Q1588" t="s">
        <v>105</v>
      </c>
      <c r="R1588" t="s">
        <v>372</v>
      </c>
      <c r="S1588">
        <v>2.99</v>
      </c>
      <c r="T1588">
        <v>4738</v>
      </c>
      <c r="U1588">
        <v>224.95</v>
      </c>
      <c r="V1588">
        <v>4962.95</v>
      </c>
    </row>
    <row r="1589" spans="1:22" x14ac:dyDescent="0.3">
      <c r="A1589">
        <v>80147</v>
      </c>
      <c r="B1589">
        <v>136027186</v>
      </c>
      <c r="C1589" t="s">
        <v>8416</v>
      </c>
      <c r="D1589" t="s">
        <v>8417</v>
      </c>
      <c r="E1589" t="s">
        <v>6762</v>
      </c>
      <c r="F1589" t="s">
        <v>844</v>
      </c>
      <c r="G1589" t="s">
        <v>267</v>
      </c>
      <c r="H1589" t="s">
        <v>268</v>
      </c>
      <c r="I1589" t="s">
        <v>34</v>
      </c>
      <c r="J1589" t="s">
        <v>269</v>
      </c>
      <c r="K1589" t="s">
        <v>41</v>
      </c>
      <c r="L1589" t="s">
        <v>8418</v>
      </c>
      <c r="M1589" t="s">
        <v>8419</v>
      </c>
      <c r="N1589" t="s">
        <v>847</v>
      </c>
      <c r="O1589" t="s">
        <v>100</v>
      </c>
      <c r="P1589" t="s">
        <v>8420</v>
      </c>
      <c r="Q1589" t="s">
        <v>116</v>
      </c>
      <c r="R1589" t="s">
        <v>7147</v>
      </c>
      <c r="S1589">
        <v>3.31</v>
      </c>
      <c r="T1589">
        <v>4451</v>
      </c>
      <c r="U1589">
        <v>299.89999999999998</v>
      </c>
      <c r="V1589">
        <v>4750.8999999999996</v>
      </c>
    </row>
    <row r="1590" spans="1:22" x14ac:dyDescent="0.3">
      <c r="A1590">
        <v>80147</v>
      </c>
      <c r="B1590">
        <v>135848167</v>
      </c>
      <c r="C1590" t="s">
        <v>8421</v>
      </c>
      <c r="D1590" t="s">
        <v>8422</v>
      </c>
      <c r="E1590" t="s">
        <v>6762</v>
      </c>
      <c r="F1590" t="s">
        <v>844</v>
      </c>
      <c r="G1590" t="s">
        <v>267</v>
      </c>
      <c r="H1590" t="s">
        <v>268</v>
      </c>
      <c r="I1590" t="s">
        <v>34</v>
      </c>
      <c r="J1590" t="s">
        <v>269</v>
      </c>
      <c r="K1590" t="s">
        <v>41</v>
      </c>
      <c r="L1590" t="s">
        <v>8423</v>
      </c>
      <c r="M1590" t="s">
        <v>8424</v>
      </c>
      <c r="N1590" t="s">
        <v>847</v>
      </c>
      <c r="O1590" t="s">
        <v>100</v>
      </c>
      <c r="P1590" t="s">
        <v>8425</v>
      </c>
      <c r="Q1590" t="s">
        <v>105</v>
      </c>
      <c r="R1590" t="s">
        <v>676</v>
      </c>
      <c r="S1590">
        <v>3</v>
      </c>
      <c r="T1590">
        <v>4738</v>
      </c>
      <c r="U1590">
        <v>224.95</v>
      </c>
      <c r="V1590">
        <v>4962.95</v>
      </c>
    </row>
    <row r="1591" spans="1:22" x14ac:dyDescent="0.3">
      <c r="A1591">
        <v>80147</v>
      </c>
      <c r="B1591">
        <v>135710012</v>
      </c>
      <c r="C1591" t="s">
        <v>8426</v>
      </c>
      <c r="D1591" t="s">
        <v>8427</v>
      </c>
      <c r="E1591" t="s">
        <v>6762</v>
      </c>
      <c r="F1591" t="s">
        <v>844</v>
      </c>
      <c r="G1591" t="s">
        <v>172</v>
      </c>
      <c r="H1591" t="s">
        <v>173</v>
      </c>
      <c r="I1591" t="s">
        <v>34</v>
      </c>
      <c r="J1591" t="s">
        <v>272</v>
      </c>
      <c r="K1591" t="s">
        <v>41</v>
      </c>
      <c r="L1591" t="s">
        <v>174</v>
      </c>
      <c r="M1591" t="s">
        <v>8428</v>
      </c>
      <c r="N1591" t="s">
        <v>847</v>
      </c>
      <c r="O1591" t="s">
        <v>100</v>
      </c>
      <c r="P1591" t="s">
        <v>8429</v>
      </c>
      <c r="Q1591" t="s">
        <v>250</v>
      </c>
      <c r="R1591" t="s">
        <v>6778</v>
      </c>
      <c r="S1591">
        <v>5.95</v>
      </c>
      <c r="T1591">
        <v>7449</v>
      </c>
      <c r="U1591">
        <v>0</v>
      </c>
      <c r="V1591">
        <v>7449</v>
      </c>
    </row>
    <row r="1592" spans="1:22" x14ac:dyDescent="0.3">
      <c r="A1592">
        <v>80147</v>
      </c>
      <c r="B1592">
        <v>137121850</v>
      </c>
      <c r="C1592" t="s">
        <v>8430</v>
      </c>
      <c r="D1592" t="s">
        <v>8431</v>
      </c>
      <c r="E1592" t="s">
        <v>6762</v>
      </c>
      <c r="F1592" t="s">
        <v>844</v>
      </c>
      <c r="G1592" t="s">
        <v>172</v>
      </c>
      <c r="H1592" t="s">
        <v>173</v>
      </c>
      <c r="I1592" t="s">
        <v>34</v>
      </c>
      <c r="J1592" t="s">
        <v>272</v>
      </c>
      <c r="K1592" t="s">
        <v>41</v>
      </c>
      <c r="L1592" t="s">
        <v>174</v>
      </c>
      <c r="M1592" t="s">
        <v>8432</v>
      </c>
      <c r="N1592" t="s">
        <v>847</v>
      </c>
      <c r="O1592" t="s">
        <v>100</v>
      </c>
      <c r="P1592" t="s">
        <v>8433</v>
      </c>
      <c r="Q1592" t="s">
        <v>257</v>
      </c>
      <c r="R1592" t="s">
        <v>748</v>
      </c>
      <c r="S1592">
        <v>6.1</v>
      </c>
      <c r="T1592">
        <v>8930</v>
      </c>
      <c r="U1592">
        <v>0</v>
      </c>
      <c r="V1592">
        <v>8930</v>
      </c>
    </row>
    <row r="1593" spans="1:22" x14ac:dyDescent="0.3">
      <c r="A1593">
        <v>80147</v>
      </c>
      <c r="B1593">
        <v>136997726</v>
      </c>
      <c r="C1593" t="s">
        <v>8434</v>
      </c>
      <c r="D1593" t="s">
        <v>8435</v>
      </c>
      <c r="E1593" t="s">
        <v>6762</v>
      </c>
      <c r="F1593" t="s">
        <v>844</v>
      </c>
      <c r="G1593" t="s">
        <v>172</v>
      </c>
      <c r="H1593" t="s">
        <v>173</v>
      </c>
      <c r="I1593" t="s">
        <v>34</v>
      </c>
      <c r="J1593" t="s">
        <v>272</v>
      </c>
      <c r="K1593" t="s">
        <v>51</v>
      </c>
      <c r="L1593" t="s">
        <v>8436</v>
      </c>
      <c r="M1593" t="s">
        <v>8437</v>
      </c>
      <c r="N1593" t="s">
        <v>847</v>
      </c>
      <c r="O1593" t="s">
        <v>100</v>
      </c>
      <c r="P1593" t="s">
        <v>8438</v>
      </c>
      <c r="Q1593" t="s">
        <v>197</v>
      </c>
      <c r="R1593" t="s">
        <v>565</v>
      </c>
      <c r="S1593">
        <v>6.66</v>
      </c>
      <c r="T1593">
        <v>8930</v>
      </c>
      <c r="U1593">
        <v>0</v>
      </c>
      <c r="V1593">
        <v>8930</v>
      </c>
    </row>
    <row r="1594" spans="1:22" x14ac:dyDescent="0.3">
      <c r="A1594">
        <v>80147</v>
      </c>
      <c r="B1594">
        <v>136921236</v>
      </c>
      <c r="C1594" t="s">
        <v>8439</v>
      </c>
      <c r="D1594" t="s">
        <v>8440</v>
      </c>
      <c r="E1594" t="s">
        <v>6762</v>
      </c>
      <c r="F1594" t="s">
        <v>844</v>
      </c>
      <c r="G1594" t="s">
        <v>172</v>
      </c>
      <c r="H1594" t="s">
        <v>173</v>
      </c>
      <c r="I1594" t="s">
        <v>34</v>
      </c>
      <c r="J1594" t="s">
        <v>272</v>
      </c>
      <c r="K1594" t="s">
        <v>41</v>
      </c>
      <c r="L1594" t="s">
        <v>8441</v>
      </c>
      <c r="M1594" t="s">
        <v>8442</v>
      </c>
      <c r="N1594" t="s">
        <v>847</v>
      </c>
      <c r="O1594" t="s">
        <v>100</v>
      </c>
      <c r="P1594" t="s">
        <v>8443</v>
      </c>
      <c r="Q1594" t="s">
        <v>249</v>
      </c>
      <c r="R1594" t="s">
        <v>8444</v>
      </c>
      <c r="S1594">
        <v>6.14</v>
      </c>
      <c r="T1594">
        <v>9948</v>
      </c>
      <c r="U1594">
        <v>0</v>
      </c>
      <c r="V1594">
        <v>9948</v>
      </c>
    </row>
    <row r="1595" spans="1:22" x14ac:dyDescent="0.3">
      <c r="A1595">
        <v>80147</v>
      </c>
      <c r="B1595">
        <v>137085021</v>
      </c>
      <c r="C1595" t="s">
        <v>8445</v>
      </c>
      <c r="D1595" t="s">
        <v>8446</v>
      </c>
      <c r="E1595" t="s">
        <v>6762</v>
      </c>
      <c r="F1595" t="s">
        <v>844</v>
      </c>
      <c r="G1595" t="s">
        <v>172</v>
      </c>
      <c r="H1595" t="s">
        <v>173</v>
      </c>
      <c r="I1595" t="s">
        <v>34</v>
      </c>
      <c r="J1595" t="s">
        <v>272</v>
      </c>
      <c r="K1595" t="s">
        <v>41</v>
      </c>
      <c r="L1595" t="s">
        <v>8447</v>
      </c>
      <c r="M1595" t="s">
        <v>8448</v>
      </c>
      <c r="N1595" t="s">
        <v>847</v>
      </c>
      <c r="O1595" t="s">
        <v>100</v>
      </c>
      <c r="P1595" t="s">
        <v>8449</v>
      </c>
      <c r="Q1595" t="s">
        <v>107</v>
      </c>
      <c r="R1595" t="s">
        <v>6804</v>
      </c>
      <c r="S1595">
        <v>6.24</v>
      </c>
      <c r="T1595">
        <v>5255</v>
      </c>
      <c r="U1595">
        <v>0</v>
      </c>
      <c r="V1595">
        <v>5255</v>
      </c>
    </row>
    <row r="1596" spans="1:22" x14ac:dyDescent="0.3">
      <c r="A1596">
        <v>80147</v>
      </c>
      <c r="B1596">
        <v>137252787</v>
      </c>
      <c r="C1596" t="s">
        <v>8450</v>
      </c>
      <c r="D1596" t="s">
        <v>8451</v>
      </c>
      <c r="E1596" t="s">
        <v>6762</v>
      </c>
      <c r="F1596" t="s">
        <v>844</v>
      </c>
      <c r="G1596" t="s">
        <v>172</v>
      </c>
      <c r="H1596" t="s">
        <v>173</v>
      </c>
      <c r="I1596" t="s">
        <v>34</v>
      </c>
      <c r="J1596" t="s">
        <v>272</v>
      </c>
      <c r="K1596" t="s">
        <v>41</v>
      </c>
      <c r="L1596" t="s">
        <v>8452</v>
      </c>
      <c r="M1596" t="s">
        <v>8453</v>
      </c>
      <c r="N1596" t="s">
        <v>847</v>
      </c>
      <c r="O1596" t="s">
        <v>100</v>
      </c>
      <c r="P1596" t="s">
        <v>8454</v>
      </c>
      <c r="Q1596" t="s">
        <v>102</v>
      </c>
      <c r="R1596" t="s">
        <v>394</v>
      </c>
      <c r="S1596">
        <v>6.03</v>
      </c>
      <c r="T1596">
        <v>5255</v>
      </c>
      <c r="U1596">
        <v>0</v>
      </c>
      <c r="V1596">
        <v>5255</v>
      </c>
    </row>
    <row r="1597" spans="1:22" x14ac:dyDescent="0.3">
      <c r="A1597">
        <v>80147</v>
      </c>
      <c r="B1597">
        <v>136939881</v>
      </c>
      <c r="C1597" t="s">
        <v>8455</v>
      </c>
      <c r="D1597" t="s">
        <v>8456</v>
      </c>
      <c r="E1597" t="s">
        <v>6762</v>
      </c>
      <c r="F1597" t="s">
        <v>844</v>
      </c>
      <c r="G1597" t="s">
        <v>172</v>
      </c>
      <c r="H1597" t="s">
        <v>173</v>
      </c>
      <c r="I1597" t="s">
        <v>34</v>
      </c>
      <c r="J1597" t="s">
        <v>272</v>
      </c>
      <c r="K1597" t="s">
        <v>41</v>
      </c>
      <c r="L1597" t="s">
        <v>8457</v>
      </c>
      <c r="M1597" t="s">
        <v>8458</v>
      </c>
      <c r="N1597" t="s">
        <v>847</v>
      </c>
      <c r="O1597" t="s">
        <v>100</v>
      </c>
      <c r="P1597" t="s">
        <v>8459</v>
      </c>
      <c r="Q1597" t="s">
        <v>106</v>
      </c>
      <c r="R1597" t="s">
        <v>6815</v>
      </c>
      <c r="S1597">
        <v>7.29</v>
      </c>
      <c r="T1597">
        <v>5255</v>
      </c>
      <c r="U1597">
        <v>0</v>
      </c>
      <c r="V1597">
        <v>5255</v>
      </c>
    </row>
    <row r="1598" spans="1:22" x14ac:dyDescent="0.3">
      <c r="A1598">
        <v>80147</v>
      </c>
      <c r="B1598">
        <v>136636167</v>
      </c>
      <c r="C1598" t="s">
        <v>8460</v>
      </c>
      <c r="D1598" t="s">
        <v>8461</v>
      </c>
      <c r="E1598" t="s">
        <v>6762</v>
      </c>
      <c r="F1598" t="s">
        <v>844</v>
      </c>
      <c r="G1598" t="s">
        <v>172</v>
      </c>
      <c r="H1598" t="s">
        <v>173</v>
      </c>
      <c r="I1598" t="s">
        <v>34</v>
      </c>
      <c r="J1598" t="s">
        <v>272</v>
      </c>
      <c r="K1598" t="s">
        <v>41</v>
      </c>
      <c r="L1598" t="s">
        <v>174</v>
      </c>
      <c r="M1598" t="s">
        <v>8462</v>
      </c>
      <c r="N1598" t="s">
        <v>847</v>
      </c>
      <c r="O1598" t="s">
        <v>100</v>
      </c>
      <c r="P1598" t="s">
        <v>8463</v>
      </c>
      <c r="Q1598" t="s">
        <v>107</v>
      </c>
      <c r="R1598" t="s">
        <v>639</v>
      </c>
      <c r="S1598">
        <v>5.87</v>
      </c>
      <c r="T1598">
        <v>4537</v>
      </c>
      <c r="U1598">
        <v>0</v>
      </c>
      <c r="V1598">
        <v>4537</v>
      </c>
    </row>
    <row r="1599" spans="1:22" x14ac:dyDescent="0.3">
      <c r="A1599">
        <v>80147</v>
      </c>
      <c r="B1599">
        <v>136825780</v>
      </c>
      <c r="C1599" t="s">
        <v>8464</v>
      </c>
      <c r="D1599" t="s">
        <v>8465</v>
      </c>
      <c r="E1599" t="s">
        <v>6762</v>
      </c>
      <c r="F1599" t="s">
        <v>844</v>
      </c>
      <c r="G1599" t="s">
        <v>172</v>
      </c>
      <c r="H1599" t="s">
        <v>173</v>
      </c>
      <c r="I1599" t="s">
        <v>34</v>
      </c>
      <c r="J1599" t="s">
        <v>272</v>
      </c>
      <c r="K1599" t="s">
        <v>41</v>
      </c>
      <c r="L1599" t="s">
        <v>174</v>
      </c>
      <c r="M1599" t="s">
        <v>8466</v>
      </c>
      <c r="N1599" t="s">
        <v>847</v>
      </c>
      <c r="O1599" t="s">
        <v>100</v>
      </c>
      <c r="P1599" t="s">
        <v>8467</v>
      </c>
      <c r="Q1599" t="s">
        <v>250</v>
      </c>
      <c r="R1599" t="s">
        <v>156</v>
      </c>
      <c r="S1599">
        <v>5.4</v>
      </c>
      <c r="T1599">
        <v>7449</v>
      </c>
      <c r="U1599">
        <v>0</v>
      </c>
      <c r="V1599">
        <v>7449</v>
      </c>
    </row>
    <row r="1600" spans="1:22" x14ac:dyDescent="0.3">
      <c r="A1600">
        <v>80147</v>
      </c>
      <c r="B1600">
        <v>136825777</v>
      </c>
      <c r="C1600" t="s">
        <v>8468</v>
      </c>
      <c r="D1600" t="s">
        <v>8469</v>
      </c>
      <c r="E1600" t="s">
        <v>6762</v>
      </c>
      <c r="F1600" t="s">
        <v>844</v>
      </c>
      <c r="G1600" t="s">
        <v>172</v>
      </c>
      <c r="H1600" t="s">
        <v>173</v>
      </c>
      <c r="I1600" t="s">
        <v>34</v>
      </c>
      <c r="J1600" t="s">
        <v>272</v>
      </c>
      <c r="K1600" t="s">
        <v>41</v>
      </c>
      <c r="L1600" t="s">
        <v>174</v>
      </c>
      <c r="M1600" t="s">
        <v>8470</v>
      </c>
      <c r="N1600" t="s">
        <v>847</v>
      </c>
      <c r="O1600" t="s">
        <v>100</v>
      </c>
      <c r="P1600" t="s">
        <v>8471</v>
      </c>
      <c r="Q1600" t="s">
        <v>107</v>
      </c>
      <c r="R1600" t="s">
        <v>156</v>
      </c>
      <c r="S1600">
        <v>5.26</v>
      </c>
      <c r="T1600">
        <v>4537</v>
      </c>
      <c r="U1600">
        <v>0</v>
      </c>
      <c r="V1600">
        <v>4537</v>
      </c>
    </row>
    <row r="1601" spans="1:22" x14ac:dyDescent="0.3">
      <c r="A1601">
        <v>80147</v>
      </c>
      <c r="B1601">
        <v>136825776</v>
      </c>
      <c r="C1601" t="s">
        <v>8472</v>
      </c>
      <c r="D1601" t="s">
        <v>8473</v>
      </c>
      <c r="E1601" t="s">
        <v>6762</v>
      </c>
      <c r="F1601" t="s">
        <v>844</v>
      </c>
      <c r="G1601" t="s">
        <v>172</v>
      </c>
      <c r="H1601" t="s">
        <v>173</v>
      </c>
      <c r="I1601" t="s">
        <v>34</v>
      </c>
      <c r="J1601" t="s">
        <v>272</v>
      </c>
      <c r="K1601" t="s">
        <v>41</v>
      </c>
      <c r="L1601" t="s">
        <v>174</v>
      </c>
      <c r="M1601" t="s">
        <v>817</v>
      </c>
      <c r="N1601" t="s">
        <v>847</v>
      </c>
      <c r="O1601" t="s">
        <v>100</v>
      </c>
      <c r="P1601" t="s">
        <v>8474</v>
      </c>
      <c r="Q1601" t="s">
        <v>262</v>
      </c>
      <c r="R1601" t="s">
        <v>156</v>
      </c>
      <c r="S1601">
        <v>5.9</v>
      </c>
      <c r="T1601">
        <v>8022</v>
      </c>
      <c r="U1601">
        <v>0</v>
      </c>
      <c r="V1601">
        <v>8022</v>
      </c>
    </row>
    <row r="1602" spans="1:22" x14ac:dyDescent="0.3">
      <c r="A1602">
        <v>80147</v>
      </c>
      <c r="B1602">
        <v>136825775</v>
      </c>
      <c r="C1602" t="s">
        <v>8475</v>
      </c>
      <c r="D1602" t="s">
        <v>8476</v>
      </c>
      <c r="E1602" t="s">
        <v>6762</v>
      </c>
      <c r="F1602" t="s">
        <v>844</v>
      </c>
      <c r="G1602" t="s">
        <v>172</v>
      </c>
      <c r="H1602" t="s">
        <v>173</v>
      </c>
      <c r="I1602" t="s">
        <v>34</v>
      </c>
      <c r="J1602" t="s">
        <v>272</v>
      </c>
      <c r="K1602" t="s">
        <v>41</v>
      </c>
      <c r="L1602" t="s">
        <v>174</v>
      </c>
      <c r="M1602" t="s">
        <v>8477</v>
      </c>
      <c r="N1602" t="s">
        <v>847</v>
      </c>
      <c r="O1602" t="s">
        <v>100</v>
      </c>
      <c r="P1602" t="s">
        <v>8478</v>
      </c>
      <c r="Q1602" t="s">
        <v>82</v>
      </c>
      <c r="R1602" t="s">
        <v>156</v>
      </c>
      <c r="S1602">
        <v>5.83</v>
      </c>
      <c r="T1602">
        <v>8022</v>
      </c>
      <c r="U1602">
        <v>0</v>
      </c>
      <c r="V1602">
        <v>8022</v>
      </c>
    </row>
    <row r="1603" spans="1:22" x14ac:dyDescent="0.3">
      <c r="A1603">
        <v>80147</v>
      </c>
      <c r="B1603">
        <v>136681657</v>
      </c>
      <c r="C1603" t="s">
        <v>8479</v>
      </c>
      <c r="D1603" t="s">
        <v>8480</v>
      </c>
      <c r="E1603" t="s">
        <v>6762</v>
      </c>
      <c r="F1603" t="s">
        <v>844</v>
      </c>
      <c r="G1603" t="s">
        <v>172</v>
      </c>
      <c r="H1603" t="s">
        <v>173</v>
      </c>
      <c r="I1603" t="s">
        <v>34</v>
      </c>
      <c r="J1603" t="s">
        <v>272</v>
      </c>
      <c r="K1603" t="s">
        <v>41</v>
      </c>
      <c r="L1603" t="s">
        <v>174</v>
      </c>
      <c r="M1603" t="s">
        <v>8481</v>
      </c>
      <c r="N1603" t="s">
        <v>847</v>
      </c>
      <c r="O1603" t="s">
        <v>100</v>
      </c>
      <c r="P1603" t="s">
        <v>8482</v>
      </c>
      <c r="Q1603" t="s">
        <v>82</v>
      </c>
      <c r="R1603" t="s">
        <v>424</v>
      </c>
      <c r="S1603">
        <v>5.87</v>
      </c>
      <c r="T1603">
        <v>8022</v>
      </c>
      <c r="U1603">
        <v>0</v>
      </c>
      <c r="V1603">
        <v>8022</v>
      </c>
    </row>
    <row r="1604" spans="1:22" x14ac:dyDescent="0.3">
      <c r="A1604">
        <v>80147</v>
      </c>
      <c r="B1604">
        <v>136542012</v>
      </c>
      <c r="C1604" t="s">
        <v>8483</v>
      </c>
      <c r="D1604" t="s">
        <v>8484</v>
      </c>
      <c r="E1604" t="s">
        <v>6762</v>
      </c>
      <c r="F1604" t="s">
        <v>844</v>
      </c>
      <c r="G1604" t="s">
        <v>172</v>
      </c>
      <c r="H1604" t="s">
        <v>173</v>
      </c>
      <c r="I1604" t="s">
        <v>34</v>
      </c>
      <c r="J1604" t="s">
        <v>272</v>
      </c>
      <c r="K1604" t="s">
        <v>41</v>
      </c>
      <c r="L1604" t="s">
        <v>174</v>
      </c>
      <c r="M1604" t="s">
        <v>8485</v>
      </c>
      <c r="N1604" t="s">
        <v>847</v>
      </c>
      <c r="O1604" t="s">
        <v>100</v>
      </c>
      <c r="P1604" t="s">
        <v>8486</v>
      </c>
      <c r="Q1604" t="s">
        <v>102</v>
      </c>
      <c r="R1604" t="s">
        <v>7281</v>
      </c>
      <c r="S1604">
        <v>5.52</v>
      </c>
      <c r="T1604">
        <v>4537</v>
      </c>
      <c r="U1604">
        <v>0</v>
      </c>
      <c r="V1604">
        <v>4537</v>
      </c>
    </row>
    <row r="1605" spans="1:22" x14ac:dyDescent="0.3">
      <c r="A1605">
        <v>80147</v>
      </c>
      <c r="B1605">
        <v>136636169</v>
      </c>
      <c r="C1605" t="s">
        <v>8487</v>
      </c>
      <c r="D1605" t="s">
        <v>8488</v>
      </c>
      <c r="E1605" t="s">
        <v>6762</v>
      </c>
      <c r="F1605" t="s">
        <v>844</v>
      </c>
      <c r="G1605" t="s">
        <v>172</v>
      </c>
      <c r="H1605" t="s">
        <v>173</v>
      </c>
      <c r="I1605" t="s">
        <v>34</v>
      </c>
      <c r="J1605" t="s">
        <v>272</v>
      </c>
      <c r="K1605" t="s">
        <v>41</v>
      </c>
      <c r="L1605" t="s">
        <v>174</v>
      </c>
      <c r="M1605" t="s">
        <v>8489</v>
      </c>
      <c r="N1605" t="s">
        <v>847</v>
      </c>
      <c r="O1605" t="s">
        <v>100</v>
      </c>
      <c r="P1605" t="s">
        <v>8490</v>
      </c>
      <c r="Q1605" t="s">
        <v>237</v>
      </c>
      <c r="R1605" t="s">
        <v>639</v>
      </c>
      <c r="S1605">
        <v>1.21</v>
      </c>
      <c r="T1605">
        <v>5992</v>
      </c>
      <c r="U1605">
        <v>0</v>
      </c>
      <c r="V1605">
        <v>5992</v>
      </c>
    </row>
    <row r="1606" spans="1:22" x14ac:dyDescent="0.3">
      <c r="A1606">
        <v>80147</v>
      </c>
      <c r="B1606">
        <v>136271600</v>
      </c>
      <c r="C1606" t="s">
        <v>8491</v>
      </c>
      <c r="D1606" t="s">
        <v>8492</v>
      </c>
      <c r="E1606" t="s">
        <v>6762</v>
      </c>
      <c r="F1606" t="s">
        <v>844</v>
      </c>
      <c r="G1606" t="s">
        <v>172</v>
      </c>
      <c r="H1606" t="s">
        <v>173</v>
      </c>
      <c r="I1606" t="s">
        <v>34</v>
      </c>
      <c r="J1606" t="s">
        <v>272</v>
      </c>
      <c r="K1606" t="s">
        <v>41</v>
      </c>
      <c r="L1606" t="s">
        <v>8493</v>
      </c>
      <c r="M1606" t="s">
        <v>8494</v>
      </c>
      <c r="N1606" t="s">
        <v>847</v>
      </c>
      <c r="O1606" t="s">
        <v>100</v>
      </c>
      <c r="P1606" t="s">
        <v>8495</v>
      </c>
      <c r="Q1606" t="s">
        <v>487</v>
      </c>
      <c r="R1606" t="s">
        <v>372</v>
      </c>
      <c r="S1606">
        <v>6.2</v>
      </c>
      <c r="T1606">
        <v>9867</v>
      </c>
      <c r="U1606">
        <v>0</v>
      </c>
      <c r="V1606">
        <v>9867</v>
      </c>
    </row>
    <row r="1607" spans="1:22" x14ac:dyDescent="0.3">
      <c r="A1607">
        <v>80147</v>
      </c>
      <c r="B1607">
        <v>136508624</v>
      </c>
      <c r="C1607" t="s">
        <v>8496</v>
      </c>
      <c r="D1607" t="s">
        <v>8497</v>
      </c>
      <c r="E1607" t="s">
        <v>6762</v>
      </c>
      <c r="F1607" t="s">
        <v>844</v>
      </c>
      <c r="G1607" t="s">
        <v>172</v>
      </c>
      <c r="H1607" t="s">
        <v>173</v>
      </c>
      <c r="I1607" t="s">
        <v>34</v>
      </c>
      <c r="J1607" t="s">
        <v>272</v>
      </c>
      <c r="K1607" t="s">
        <v>41</v>
      </c>
      <c r="L1607" t="s">
        <v>174</v>
      </c>
      <c r="M1607" t="s">
        <v>8498</v>
      </c>
      <c r="N1607" t="s">
        <v>847</v>
      </c>
      <c r="O1607" t="s">
        <v>100</v>
      </c>
      <c r="P1607" t="s">
        <v>8499</v>
      </c>
      <c r="Q1607" t="s">
        <v>75</v>
      </c>
      <c r="R1607" t="s">
        <v>592</v>
      </c>
      <c r="S1607">
        <v>5.81</v>
      </c>
      <c r="T1607">
        <v>7297</v>
      </c>
      <c r="U1607">
        <v>0</v>
      </c>
      <c r="V1607">
        <v>7297</v>
      </c>
    </row>
    <row r="1608" spans="1:22" x14ac:dyDescent="0.3">
      <c r="A1608">
        <v>80147</v>
      </c>
      <c r="B1608">
        <v>136271648</v>
      </c>
      <c r="C1608" t="s">
        <v>8500</v>
      </c>
      <c r="D1608" t="s">
        <v>8501</v>
      </c>
      <c r="E1608" t="s">
        <v>6762</v>
      </c>
      <c r="F1608" t="s">
        <v>844</v>
      </c>
      <c r="G1608" t="s">
        <v>172</v>
      </c>
      <c r="H1608" t="s">
        <v>173</v>
      </c>
      <c r="I1608" t="s">
        <v>34</v>
      </c>
      <c r="J1608" t="s">
        <v>272</v>
      </c>
      <c r="K1608" t="s">
        <v>41</v>
      </c>
      <c r="L1608" t="s">
        <v>174</v>
      </c>
      <c r="M1608" t="s">
        <v>8502</v>
      </c>
      <c r="N1608" t="s">
        <v>847</v>
      </c>
      <c r="O1608" t="s">
        <v>100</v>
      </c>
      <c r="P1608" t="s">
        <v>8503</v>
      </c>
      <c r="Q1608" t="s">
        <v>251</v>
      </c>
      <c r="R1608" t="s">
        <v>372</v>
      </c>
      <c r="S1608">
        <v>6.45</v>
      </c>
      <c r="T1608">
        <v>10447</v>
      </c>
      <c r="U1608">
        <v>0</v>
      </c>
      <c r="V1608">
        <v>10447</v>
      </c>
    </row>
    <row r="1609" spans="1:22" x14ac:dyDescent="0.3">
      <c r="A1609">
        <v>80147</v>
      </c>
      <c r="B1609">
        <v>136508619</v>
      </c>
      <c r="C1609" t="s">
        <v>8504</v>
      </c>
      <c r="D1609" t="s">
        <v>8505</v>
      </c>
      <c r="E1609" t="s">
        <v>6762</v>
      </c>
      <c r="F1609" t="s">
        <v>844</v>
      </c>
      <c r="G1609" t="s">
        <v>172</v>
      </c>
      <c r="H1609" t="s">
        <v>173</v>
      </c>
      <c r="I1609" t="s">
        <v>34</v>
      </c>
      <c r="J1609" t="s">
        <v>272</v>
      </c>
      <c r="K1609" t="s">
        <v>41</v>
      </c>
      <c r="L1609" t="s">
        <v>174</v>
      </c>
      <c r="M1609" t="s">
        <v>8506</v>
      </c>
      <c r="N1609" t="s">
        <v>847</v>
      </c>
      <c r="O1609" t="s">
        <v>100</v>
      </c>
      <c r="P1609" t="s">
        <v>8507</v>
      </c>
      <c r="Q1609" t="s">
        <v>107</v>
      </c>
      <c r="R1609" t="s">
        <v>592</v>
      </c>
      <c r="S1609">
        <v>7.27</v>
      </c>
      <c r="T1609">
        <v>5255</v>
      </c>
      <c r="U1609">
        <v>0</v>
      </c>
      <c r="V1609">
        <v>5255</v>
      </c>
    </row>
    <row r="1610" spans="1:22" x14ac:dyDescent="0.3">
      <c r="A1610">
        <v>80147</v>
      </c>
      <c r="B1610">
        <v>136271642</v>
      </c>
      <c r="C1610" t="s">
        <v>8508</v>
      </c>
      <c r="D1610" t="s">
        <v>8509</v>
      </c>
      <c r="E1610" t="s">
        <v>6762</v>
      </c>
      <c r="F1610" t="s">
        <v>844</v>
      </c>
      <c r="G1610" t="s">
        <v>172</v>
      </c>
      <c r="H1610" t="s">
        <v>173</v>
      </c>
      <c r="I1610" t="s">
        <v>34</v>
      </c>
      <c r="J1610" t="s">
        <v>272</v>
      </c>
      <c r="K1610" t="s">
        <v>41</v>
      </c>
      <c r="L1610" t="s">
        <v>174</v>
      </c>
      <c r="M1610" t="s">
        <v>8510</v>
      </c>
      <c r="N1610" t="s">
        <v>847</v>
      </c>
      <c r="O1610" t="s">
        <v>100</v>
      </c>
      <c r="P1610" t="s">
        <v>8511</v>
      </c>
      <c r="Q1610" t="s">
        <v>409</v>
      </c>
      <c r="R1610" t="s">
        <v>372</v>
      </c>
      <c r="S1610">
        <v>5.35</v>
      </c>
      <c r="T1610">
        <v>4537</v>
      </c>
      <c r="U1610">
        <v>0</v>
      </c>
      <c r="V1610">
        <v>4537</v>
      </c>
    </row>
    <row r="1611" spans="1:22" x14ac:dyDescent="0.3">
      <c r="A1611">
        <v>80147</v>
      </c>
      <c r="B1611">
        <v>136364244</v>
      </c>
      <c r="C1611" t="s">
        <v>8512</v>
      </c>
      <c r="D1611" t="s">
        <v>8513</v>
      </c>
      <c r="E1611" t="s">
        <v>6762</v>
      </c>
      <c r="F1611" t="s">
        <v>844</v>
      </c>
      <c r="G1611" t="s">
        <v>172</v>
      </c>
      <c r="H1611" t="s">
        <v>173</v>
      </c>
      <c r="I1611" t="s">
        <v>34</v>
      </c>
      <c r="J1611" t="s">
        <v>272</v>
      </c>
      <c r="K1611" t="s">
        <v>41</v>
      </c>
      <c r="L1611" t="s">
        <v>174</v>
      </c>
      <c r="M1611" t="s">
        <v>8514</v>
      </c>
      <c r="N1611" t="s">
        <v>847</v>
      </c>
      <c r="O1611" t="s">
        <v>100</v>
      </c>
      <c r="P1611" t="s">
        <v>8515</v>
      </c>
      <c r="Q1611" t="s">
        <v>103</v>
      </c>
      <c r="R1611" t="s">
        <v>439</v>
      </c>
      <c r="S1611">
        <v>5.64</v>
      </c>
      <c r="T1611">
        <v>4537</v>
      </c>
      <c r="U1611">
        <v>0</v>
      </c>
      <c r="V1611">
        <v>4537</v>
      </c>
    </row>
    <row r="1612" spans="1:22" x14ac:dyDescent="0.3">
      <c r="A1612">
        <v>80147</v>
      </c>
      <c r="B1612">
        <v>136271620</v>
      </c>
      <c r="C1612" t="s">
        <v>8516</v>
      </c>
      <c r="D1612" t="s">
        <v>8517</v>
      </c>
      <c r="E1612" t="s">
        <v>6762</v>
      </c>
      <c r="F1612" t="s">
        <v>844</v>
      </c>
      <c r="G1612" t="s">
        <v>172</v>
      </c>
      <c r="H1612" t="s">
        <v>173</v>
      </c>
      <c r="I1612" t="s">
        <v>34</v>
      </c>
      <c r="J1612" t="s">
        <v>272</v>
      </c>
      <c r="K1612" t="s">
        <v>44</v>
      </c>
      <c r="L1612" t="s">
        <v>8518</v>
      </c>
      <c r="M1612" t="s">
        <v>8519</v>
      </c>
      <c r="N1612" t="s">
        <v>847</v>
      </c>
      <c r="O1612" t="s">
        <v>100</v>
      </c>
      <c r="P1612" t="s">
        <v>8520</v>
      </c>
      <c r="Q1612" t="s">
        <v>826</v>
      </c>
      <c r="R1612" t="s">
        <v>372</v>
      </c>
      <c r="S1612">
        <v>4.9400000000000004</v>
      </c>
      <c r="T1612">
        <v>8022</v>
      </c>
      <c r="U1612">
        <v>0</v>
      </c>
      <c r="V1612">
        <v>8022</v>
      </c>
    </row>
    <row r="1613" spans="1:22" x14ac:dyDescent="0.3">
      <c r="A1613">
        <v>80147</v>
      </c>
      <c r="B1613">
        <v>136106161</v>
      </c>
      <c r="C1613" t="s">
        <v>8521</v>
      </c>
      <c r="D1613" t="s">
        <v>8522</v>
      </c>
      <c r="E1613" t="s">
        <v>6762</v>
      </c>
      <c r="F1613" t="s">
        <v>844</v>
      </c>
      <c r="G1613" t="s">
        <v>172</v>
      </c>
      <c r="H1613" t="s">
        <v>173</v>
      </c>
      <c r="I1613" t="s">
        <v>34</v>
      </c>
      <c r="J1613" t="s">
        <v>272</v>
      </c>
      <c r="K1613" t="s">
        <v>41</v>
      </c>
      <c r="L1613" t="s">
        <v>8523</v>
      </c>
      <c r="M1613" t="s">
        <v>8524</v>
      </c>
      <c r="N1613" t="s">
        <v>847</v>
      </c>
      <c r="O1613" t="s">
        <v>100</v>
      </c>
      <c r="P1613" t="s">
        <v>8525</v>
      </c>
      <c r="Q1613" t="s">
        <v>386</v>
      </c>
      <c r="R1613" t="s">
        <v>270</v>
      </c>
      <c r="S1613">
        <v>6.51</v>
      </c>
      <c r="T1613">
        <v>8930</v>
      </c>
      <c r="U1613">
        <v>0</v>
      </c>
      <c r="V1613">
        <v>8930</v>
      </c>
    </row>
    <row r="1614" spans="1:22" x14ac:dyDescent="0.3">
      <c r="A1614">
        <v>80147</v>
      </c>
      <c r="B1614">
        <v>136106190</v>
      </c>
      <c r="C1614" t="s">
        <v>8526</v>
      </c>
      <c r="D1614" t="s">
        <v>8527</v>
      </c>
      <c r="E1614" t="s">
        <v>6762</v>
      </c>
      <c r="F1614" t="s">
        <v>844</v>
      </c>
      <c r="G1614" t="s">
        <v>172</v>
      </c>
      <c r="H1614" t="s">
        <v>173</v>
      </c>
      <c r="I1614" t="s">
        <v>34</v>
      </c>
      <c r="J1614" t="s">
        <v>272</v>
      </c>
      <c r="K1614" t="s">
        <v>41</v>
      </c>
      <c r="L1614" t="s">
        <v>8528</v>
      </c>
      <c r="M1614" t="s">
        <v>8529</v>
      </c>
      <c r="N1614" t="s">
        <v>847</v>
      </c>
      <c r="O1614" t="s">
        <v>100</v>
      </c>
      <c r="P1614" t="s">
        <v>8530</v>
      </c>
      <c r="Q1614" t="s">
        <v>102</v>
      </c>
      <c r="R1614" t="s">
        <v>270</v>
      </c>
      <c r="S1614">
        <v>5.42</v>
      </c>
      <c r="T1614">
        <v>4537</v>
      </c>
      <c r="U1614">
        <v>0</v>
      </c>
      <c r="V1614">
        <v>4537</v>
      </c>
    </row>
    <row r="1615" spans="1:22" x14ac:dyDescent="0.3">
      <c r="A1615">
        <v>80147</v>
      </c>
      <c r="B1615">
        <v>135848157</v>
      </c>
      <c r="C1615" t="s">
        <v>8531</v>
      </c>
      <c r="D1615" t="s">
        <v>8532</v>
      </c>
      <c r="E1615" t="s">
        <v>6762</v>
      </c>
      <c r="F1615" t="s">
        <v>844</v>
      </c>
      <c r="G1615" t="s">
        <v>172</v>
      </c>
      <c r="H1615" t="s">
        <v>173</v>
      </c>
      <c r="I1615" t="s">
        <v>34</v>
      </c>
      <c r="J1615" t="s">
        <v>272</v>
      </c>
      <c r="K1615" t="s">
        <v>41</v>
      </c>
      <c r="L1615" t="s">
        <v>174</v>
      </c>
      <c r="M1615" t="s">
        <v>8533</v>
      </c>
      <c r="N1615" t="s">
        <v>847</v>
      </c>
      <c r="O1615" t="s">
        <v>100</v>
      </c>
      <c r="P1615" t="s">
        <v>8534</v>
      </c>
      <c r="Q1615" t="s">
        <v>102</v>
      </c>
      <c r="R1615" t="s">
        <v>676</v>
      </c>
      <c r="S1615">
        <v>8.43</v>
      </c>
      <c r="T1615">
        <v>5255</v>
      </c>
      <c r="U1615">
        <v>0</v>
      </c>
      <c r="V1615">
        <v>5255</v>
      </c>
    </row>
    <row r="1616" spans="1:22" x14ac:dyDescent="0.3">
      <c r="A1616">
        <v>80147</v>
      </c>
      <c r="B1616">
        <v>135904541</v>
      </c>
      <c r="C1616" t="s">
        <v>8535</v>
      </c>
      <c r="D1616" t="s">
        <v>8536</v>
      </c>
      <c r="E1616" t="s">
        <v>6762</v>
      </c>
      <c r="F1616" t="s">
        <v>844</v>
      </c>
      <c r="G1616" t="s">
        <v>172</v>
      </c>
      <c r="H1616" t="s">
        <v>173</v>
      </c>
      <c r="I1616" t="s">
        <v>34</v>
      </c>
      <c r="J1616" t="s">
        <v>272</v>
      </c>
      <c r="K1616" t="s">
        <v>41</v>
      </c>
      <c r="L1616" t="s">
        <v>174</v>
      </c>
      <c r="M1616" t="s">
        <v>8537</v>
      </c>
      <c r="N1616" t="s">
        <v>847</v>
      </c>
      <c r="O1616" t="s">
        <v>100</v>
      </c>
      <c r="P1616" t="s">
        <v>8538</v>
      </c>
      <c r="Q1616" t="s">
        <v>82</v>
      </c>
      <c r="R1616" t="s">
        <v>499</v>
      </c>
      <c r="S1616">
        <v>5.29</v>
      </c>
      <c r="T1616">
        <v>8022</v>
      </c>
      <c r="U1616">
        <v>0</v>
      </c>
      <c r="V1616">
        <v>8022</v>
      </c>
    </row>
    <row r="1617" spans="1:22" x14ac:dyDescent="0.3">
      <c r="A1617">
        <v>80147</v>
      </c>
      <c r="B1617">
        <v>135904586</v>
      </c>
      <c r="C1617" t="s">
        <v>8539</v>
      </c>
      <c r="D1617" t="s">
        <v>8540</v>
      </c>
      <c r="E1617" t="s">
        <v>6762</v>
      </c>
      <c r="F1617" t="s">
        <v>844</v>
      </c>
      <c r="G1617" t="s">
        <v>172</v>
      </c>
      <c r="H1617" t="s">
        <v>173</v>
      </c>
      <c r="I1617" t="s">
        <v>34</v>
      </c>
      <c r="J1617" t="s">
        <v>272</v>
      </c>
      <c r="K1617" t="s">
        <v>41</v>
      </c>
      <c r="L1617" t="s">
        <v>174</v>
      </c>
      <c r="M1617" t="s">
        <v>8541</v>
      </c>
      <c r="N1617" t="s">
        <v>847</v>
      </c>
      <c r="O1617" t="s">
        <v>100</v>
      </c>
      <c r="P1617" t="s">
        <v>8542</v>
      </c>
      <c r="Q1617" t="s">
        <v>648</v>
      </c>
      <c r="R1617" t="s">
        <v>499</v>
      </c>
      <c r="S1617">
        <v>5.78</v>
      </c>
      <c r="T1617">
        <v>12659</v>
      </c>
      <c r="U1617">
        <v>0</v>
      </c>
      <c r="V1617">
        <v>12659</v>
      </c>
    </row>
    <row r="1618" spans="1:22" x14ac:dyDescent="0.3">
      <c r="A1618">
        <v>80147</v>
      </c>
      <c r="B1618">
        <v>135791766</v>
      </c>
      <c r="C1618" t="s">
        <v>8543</v>
      </c>
      <c r="D1618" t="s">
        <v>8544</v>
      </c>
      <c r="E1618" t="s">
        <v>6762</v>
      </c>
      <c r="F1618" t="s">
        <v>844</v>
      </c>
      <c r="G1618" t="s">
        <v>172</v>
      </c>
      <c r="H1618" t="s">
        <v>173</v>
      </c>
      <c r="I1618" t="s">
        <v>34</v>
      </c>
      <c r="J1618" t="s">
        <v>272</v>
      </c>
      <c r="K1618" t="s">
        <v>41</v>
      </c>
      <c r="L1618" t="s">
        <v>174</v>
      </c>
      <c r="M1618" t="s">
        <v>697</v>
      </c>
      <c r="N1618" t="s">
        <v>847</v>
      </c>
      <c r="O1618" t="s">
        <v>100</v>
      </c>
      <c r="P1618" t="s">
        <v>8545</v>
      </c>
      <c r="Q1618" t="s">
        <v>248</v>
      </c>
      <c r="R1618" t="s">
        <v>507</v>
      </c>
      <c r="S1618">
        <v>4.67</v>
      </c>
      <c r="T1618">
        <v>7449</v>
      </c>
      <c r="U1618">
        <v>0</v>
      </c>
      <c r="V1618">
        <v>7449</v>
      </c>
    </row>
    <row r="1619" spans="1:22" x14ac:dyDescent="0.3">
      <c r="A1619">
        <v>80147</v>
      </c>
      <c r="B1619">
        <v>135791779</v>
      </c>
      <c r="C1619" t="s">
        <v>8546</v>
      </c>
      <c r="D1619" t="s">
        <v>8547</v>
      </c>
      <c r="E1619" t="s">
        <v>6762</v>
      </c>
      <c r="F1619" t="s">
        <v>844</v>
      </c>
      <c r="G1619" t="s">
        <v>172</v>
      </c>
      <c r="H1619" t="s">
        <v>173</v>
      </c>
      <c r="I1619" t="s">
        <v>34</v>
      </c>
      <c r="J1619" t="s">
        <v>272</v>
      </c>
      <c r="K1619" t="s">
        <v>41</v>
      </c>
      <c r="L1619" t="s">
        <v>174</v>
      </c>
      <c r="M1619" t="s">
        <v>8548</v>
      </c>
      <c r="N1619" t="s">
        <v>847</v>
      </c>
      <c r="O1619" t="s">
        <v>100</v>
      </c>
      <c r="P1619" t="s">
        <v>8549</v>
      </c>
      <c r="Q1619" t="s">
        <v>102</v>
      </c>
      <c r="R1619" t="s">
        <v>507</v>
      </c>
      <c r="S1619">
        <v>13.17</v>
      </c>
      <c r="T1619">
        <v>5714</v>
      </c>
      <c r="U1619">
        <v>0</v>
      </c>
      <c r="V1619">
        <v>5714</v>
      </c>
    </row>
    <row r="1620" spans="1:22" x14ac:dyDescent="0.3">
      <c r="A1620">
        <v>80147</v>
      </c>
      <c r="B1620">
        <v>135791753</v>
      </c>
      <c r="C1620" t="s">
        <v>8550</v>
      </c>
      <c r="D1620" t="s">
        <v>8551</v>
      </c>
      <c r="E1620" t="s">
        <v>6762</v>
      </c>
      <c r="F1620" t="s">
        <v>844</v>
      </c>
      <c r="G1620" t="s">
        <v>172</v>
      </c>
      <c r="H1620" t="s">
        <v>173</v>
      </c>
      <c r="I1620" t="s">
        <v>34</v>
      </c>
      <c r="J1620" t="s">
        <v>272</v>
      </c>
      <c r="K1620" t="s">
        <v>41</v>
      </c>
      <c r="L1620" t="s">
        <v>174</v>
      </c>
      <c r="M1620" t="s">
        <v>8552</v>
      </c>
      <c r="N1620" t="s">
        <v>847</v>
      </c>
      <c r="O1620" t="s">
        <v>100</v>
      </c>
      <c r="P1620" t="s">
        <v>252</v>
      </c>
      <c r="Q1620" t="s">
        <v>250</v>
      </c>
      <c r="R1620" t="s">
        <v>507</v>
      </c>
      <c r="S1620">
        <v>12.47</v>
      </c>
      <c r="T1620">
        <v>11309</v>
      </c>
      <c r="U1620">
        <v>0</v>
      </c>
      <c r="V1620">
        <v>11309</v>
      </c>
    </row>
    <row r="1621" spans="1:22" x14ac:dyDescent="0.3">
      <c r="A1621">
        <v>80147</v>
      </c>
      <c r="B1621">
        <v>135982202</v>
      </c>
      <c r="C1621" t="s">
        <v>8553</v>
      </c>
      <c r="D1621" t="s">
        <v>8554</v>
      </c>
      <c r="E1621" t="s">
        <v>6762</v>
      </c>
      <c r="F1621" t="s">
        <v>844</v>
      </c>
      <c r="G1621" t="s">
        <v>172</v>
      </c>
      <c r="H1621" t="s">
        <v>173</v>
      </c>
      <c r="I1621" t="s">
        <v>34</v>
      </c>
      <c r="J1621" t="s">
        <v>272</v>
      </c>
      <c r="K1621" t="s">
        <v>41</v>
      </c>
      <c r="L1621" t="s">
        <v>174</v>
      </c>
      <c r="M1621" t="s">
        <v>8555</v>
      </c>
      <c r="N1621" t="s">
        <v>847</v>
      </c>
      <c r="O1621" t="s">
        <v>100</v>
      </c>
      <c r="P1621" t="s">
        <v>8556</v>
      </c>
      <c r="Q1621" t="s">
        <v>102</v>
      </c>
      <c r="R1621" t="s">
        <v>7131</v>
      </c>
      <c r="S1621">
        <v>6.75</v>
      </c>
      <c r="T1621">
        <v>5255</v>
      </c>
      <c r="U1621">
        <v>0</v>
      </c>
      <c r="V1621">
        <v>5255</v>
      </c>
    </row>
    <row r="1622" spans="1:22" x14ac:dyDescent="0.3">
      <c r="A1622">
        <v>80147</v>
      </c>
      <c r="B1622">
        <v>135982142</v>
      </c>
      <c r="C1622" t="s">
        <v>8557</v>
      </c>
      <c r="D1622" t="s">
        <v>8558</v>
      </c>
      <c r="E1622" t="s">
        <v>6762</v>
      </c>
      <c r="F1622" t="s">
        <v>844</v>
      </c>
      <c r="G1622" t="s">
        <v>172</v>
      </c>
      <c r="H1622" t="s">
        <v>173</v>
      </c>
      <c r="I1622" t="s">
        <v>34</v>
      </c>
      <c r="J1622" t="s">
        <v>272</v>
      </c>
      <c r="K1622" t="s">
        <v>41</v>
      </c>
      <c r="L1622" t="s">
        <v>174</v>
      </c>
      <c r="M1622" t="s">
        <v>8559</v>
      </c>
      <c r="N1622" t="s">
        <v>847</v>
      </c>
      <c r="O1622" t="s">
        <v>100</v>
      </c>
      <c r="P1622" t="s">
        <v>8560</v>
      </c>
      <c r="Q1622" t="s">
        <v>190</v>
      </c>
      <c r="R1622" t="s">
        <v>7131</v>
      </c>
      <c r="S1622">
        <v>4.84</v>
      </c>
      <c r="T1622">
        <v>7129</v>
      </c>
      <c r="U1622">
        <v>0</v>
      </c>
      <c r="V1622">
        <v>7129</v>
      </c>
    </row>
    <row r="1623" spans="1:22" x14ac:dyDescent="0.3">
      <c r="A1623">
        <v>80147</v>
      </c>
      <c r="B1623">
        <v>135791829</v>
      </c>
      <c r="C1623" t="s">
        <v>8561</v>
      </c>
      <c r="D1623" t="s">
        <v>8562</v>
      </c>
      <c r="E1623" t="s">
        <v>6762</v>
      </c>
      <c r="F1623" t="s">
        <v>844</v>
      </c>
      <c r="G1623" t="s">
        <v>172</v>
      </c>
      <c r="H1623" t="s">
        <v>173</v>
      </c>
      <c r="I1623" t="s">
        <v>34</v>
      </c>
      <c r="J1623" t="s">
        <v>272</v>
      </c>
      <c r="K1623" t="s">
        <v>41</v>
      </c>
      <c r="L1623" t="s">
        <v>174</v>
      </c>
      <c r="M1623" t="s">
        <v>8563</v>
      </c>
      <c r="N1623" t="s">
        <v>847</v>
      </c>
      <c r="O1623" t="s">
        <v>100</v>
      </c>
      <c r="P1623" t="s">
        <v>8564</v>
      </c>
      <c r="Q1623" t="s">
        <v>774</v>
      </c>
      <c r="R1623" t="s">
        <v>507</v>
      </c>
      <c r="S1623">
        <v>5.04</v>
      </c>
      <c r="T1623">
        <v>12659</v>
      </c>
      <c r="U1623">
        <v>0</v>
      </c>
      <c r="V1623">
        <v>12659</v>
      </c>
    </row>
    <row r="1624" spans="1:22" x14ac:dyDescent="0.3">
      <c r="A1624">
        <v>80147</v>
      </c>
      <c r="B1624">
        <v>135982166</v>
      </c>
      <c r="C1624" t="s">
        <v>8565</v>
      </c>
      <c r="D1624" t="s">
        <v>8566</v>
      </c>
      <c r="E1624" t="s">
        <v>6762</v>
      </c>
      <c r="F1624" t="s">
        <v>844</v>
      </c>
      <c r="G1624" t="s">
        <v>172</v>
      </c>
      <c r="H1624" t="s">
        <v>173</v>
      </c>
      <c r="I1624" t="s">
        <v>34</v>
      </c>
      <c r="J1624" t="s">
        <v>272</v>
      </c>
      <c r="K1624" t="s">
        <v>41</v>
      </c>
      <c r="L1624" t="s">
        <v>174</v>
      </c>
      <c r="M1624" t="s">
        <v>8567</v>
      </c>
      <c r="N1624" t="s">
        <v>847</v>
      </c>
      <c r="O1624" t="s">
        <v>100</v>
      </c>
      <c r="P1624" t="s">
        <v>8568</v>
      </c>
      <c r="Q1624" t="s">
        <v>103</v>
      </c>
      <c r="R1624" t="s">
        <v>7131</v>
      </c>
      <c r="S1624">
        <v>5.67</v>
      </c>
      <c r="T1624">
        <v>4537</v>
      </c>
      <c r="U1624">
        <v>0</v>
      </c>
      <c r="V1624">
        <v>4537</v>
      </c>
    </row>
    <row r="1625" spans="1:22" x14ac:dyDescent="0.3">
      <c r="A1625">
        <v>80147</v>
      </c>
      <c r="B1625">
        <v>135904545</v>
      </c>
      <c r="C1625" t="s">
        <v>8569</v>
      </c>
      <c r="D1625" t="s">
        <v>8570</v>
      </c>
      <c r="E1625" t="s">
        <v>6762</v>
      </c>
      <c r="F1625" t="s">
        <v>844</v>
      </c>
      <c r="G1625" t="s">
        <v>172</v>
      </c>
      <c r="H1625" t="s">
        <v>173</v>
      </c>
      <c r="I1625" t="s">
        <v>34</v>
      </c>
      <c r="J1625" t="s">
        <v>272</v>
      </c>
      <c r="K1625" t="s">
        <v>41</v>
      </c>
      <c r="L1625" t="s">
        <v>174</v>
      </c>
      <c r="M1625" t="s">
        <v>8571</v>
      </c>
      <c r="N1625" t="s">
        <v>847</v>
      </c>
      <c r="O1625" t="s">
        <v>100</v>
      </c>
      <c r="P1625" t="s">
        <v>8572</v>
      </c>
      <c r="Q1625" t="s">
        <v>175</v>
      </c>
      <c r="R1625" t="s">
        <v>499</v>
      </c>
      <c r="S1625">
        <v>4.91</v>
      </c>
      <c r="T1625">
        <v>7449</v>
      </c>
      <c r="U1625">
        <v>0</v>
      </c>
      <c r="V1625">
        <v>7449</v>
      </c>
    </row>
    <row r="1626" spans="1:22" x14ac:dyDescent="0.3">
      <c r="A1626">
        <v>80147</v>
      </c>
      <c r="B1626">
        <v>135746620</v>
      </c>
      <c r="C1626" t="s">
        <v>8573</v>
      </c>
      <c r="D1626" t="s">
        <v>8574</v>
      </c>
      <c r="E1626" t="s">
        <v>6762</v>
      </c>
      <c r="F1626" t="s">
        <v>844</v>
      </c>
      <c r="G1626" t="s">
        <v>172</v>
      </c>
      <c r="H1626" t="s">
        <v>173</v>
      </c>
      <c r="I1626" t="s">
        <v>34</v>
      </c>
      <c r="J1626" t="s">
        <v>272</v>
      </c>
      <c r="K1626" t="s">
        <v>41</v>
      </c>
      <c r="L1626" t="s">
        <v>174</v>
      </c>
      <c r="M1626" t="s">
        <v>8575</v>
      </c>
      <c r="N1626" t="s">
        <v>847</v>
      </c>
      <c r="O1626" t="s">
        <v>100</v>
      </c>
      <c r="P1626" t="s">
        <v>8576</v>
      </c>
      <c r="Q1626" t="s">
        <v>102</v>
      </c>
      <c r="R1626" t="s">
        <v>681</v>
      </c>
      <c r="S1626">
        <v>5.19</v>
      </c>
      <c r="T1626">
        <v>4537</v>
      </c>
      <c r="U1626">
        <v>0</v>
      </c>
      <c r="V1626">
        <v>4537</v>
      </c>
    </row>
    <row r="1627" spans="1:22" x14ac:dyDescent="0.3">
      <c r="A1627">
        <v>80147</v>
      </c>
      <c r="B1627">
        <v>135503961</v>
      </c>
      <c r="C1627" t="s">
        <v>8577</v>
      </c>
      <c r="D1627" t="s">
        <v>8578</v>
      </c>
      <c r="E1627" t="s">
        <v>6762</v>
      </c>
      <c r="F1627" t="s">
        <v>844</v>
      </c>
      <c r="G1627" t="s">
        <v>172</v>
      </c>
      <c r="H1627" t="s">
        <v>173</v>
      </c>
      <c r="I1627" t="s">
        <v>34</v>
      </c>
      <c r="J1627" t="s">
        <v>272</v>
      </c>
      <c r="K1627" t="s">
        <v>41</v>
      </c>
      <c r="L1627" t="s">
        <v>174</v>
      </c>
      <c r="M1627" t="s">
        <v>8579</v>
      </c>
      <c r="N1627" t="s">
        <v>847</v>
      </c>
      <c r="O1627" t="s">
        <v>100</v>
      </c>
      <c r="P1627" t="s">
        <v>8580</v>
      </c>
      <c r="Q1627" t="s">
        <v>62</v>
      </c>
      <c r="R1627" t="s">
        <v>7927</v>
      </c>
      <c r="S1627">
        <v>4.72</v>
      </c>
      <c r="T1627">
        <v>11321</v>
      </c>
      <c r="U1627">
        <v>0</v>
      </c>
      <c r="V1627">
        <v>11321</v>
      </c>
    </row>
    <row r="1628" spans="1:22" x14ac:dyDescent="0.3">
      <c r="A1628">
        <v>80147</v>
      </c>
      <c r="B1628">
        <v>135709958</v>
      </c>
      <c r="C1628" t="s">
        <v>8581</v>
      </c>
      <c r="D1628" t="s">
        <v>8582</v>
      </c>
      <c r="E1628" t="s">
        <v>6762</v>
      </c>
      <c r="F1628" t="s">
        <v>844</v>
      </c>
      <c r="G1628" t="s">
        <v>172</v>
      </c>
      <c r="H1628" t="s">
        <v>173</v>
      </c>
      <c r="I1628" t="s">
        <v>34</v>
      </c>
      <c r="J1628" t="s">
        <v>272</v>
      </c>
      <c r="K1628" t="s">
        <v>41</v>
      </c>
      <c r="L1628" t="s">
        <v>174</v>
      </c>
      <c r="M1628" t="s">
        <v>8583</v>
      </c>
      <c r="N1628" t="s">
        <v>847</v>
      </c>
      <c r="O1628" t="s">
        <v>100</v>
      </c>
      <c r="P1628" t="s">
        <v>8584</v>
      </c>
      <c r="Q1628" t="s">
        <v>114</v>
      </c>
      <c r="R1628" t="s">
        <v>623</v>
      </c>
      <c r="S1628">
        <v>7.83</v>
      </c>
      <c r="T1628">
        <v>8930</v>
      </c>
      <c r="U1628">
        <v>0</v>
      </c>
      <c r="V1628">
        <v>8930</v>
      </c>
    </row>
    <row r="1629" spans="1:22" x14ac:dyDescent="0.3">
      <c r="A1629">
        <v>187694</v>
      </c>
      <c r="B1629">
        <v>137505023</v>
      </c>
      <c r="C1629" t="s">
        <v>8585</v>
      </c>
      <c r="D1629" t="s">
        <v>8586</v>
      </c>
      <c r="E1629" t="s">
        <v>8587</v>
      </c>
      <c r="F1629" t="s">
        <v>844</v>
      </c>
      <c r="G1629" t="s">
        <v>164</v>
      </c>
      <c r="H1629" t="s">
        <v>165</v>
      </c>
      <c r="I1629" t="s">
        <v>34</v>
      </c>
      <c r="J1629" t="s">
        <v>166</v>
      </c>
      <c r="K1629" t="s">
        <v>41</v>
      </c>
      <c r="L1629" t="s">
        <v>8588</v>
      </c>
      <c r="M1629" t="s">
        <v>472</v>
      </c>
      <c r="N1629" t="s">
        <v>847</v>
      </c>
      <c r="O1629" t="s">
        <v>100</v>
      </c>
      <c r="P1629" t="s">
        <v>8589</v>
      </c>
      <c r="Q1629" t="s">
        <v>69</v>
      </c>
      <c r="R1629" t="s">
        <v>8590</v>
      </c>
      <c r="S1629">
        <v>1.34</v>
      </c>
      <c r="T1629">
        <v>3753</v>
      </c>
      <c r="U1629">
        <v>0</v>
      </c>
      <c r="V1629">
        <v>3753</v>
      </c>
    </row>
    <row r="1630" spans="1:22" x14ac:dyDescent="0.3">
      <c r="A1630">
        <v>187694</v>
      </c>
      <c r="B1630">
        <v>136899683</v>
      </c>
      <c r="C1630" t="s">
        <v>8591</v>
      </c>
      <c r="D1630" t="s">
        <v>8592</v>
      </c>
      <c r="E1630" t="s">
        <v>8587</v>
      </c>
      <c r="F1630" t="s">
        <v>844</v>
      </c>
      <c r="G1630" t="s">
        <v>164</v>
      </c>
      <c r="H1630" t="s">
        <v>165</v>
      </c>
      <c r="I1630" t="s">
        <v>34</v>
      </c>
      <c r="J1630" t="s">
        <v>166</v>
      </c>
      <c r="K1630" t="s">
        <v>41</v>
      </c>
      <c r="L1630" t="s">
        <v>8593</v>
      </c>
      <c r="M1630" t="s">
        <v>8594</v>
      </c>
      <c r="N1630" t="s">
        <v>847</v>
      </c>
      <c r="O1630" t="s">
        <v>100</v>
      </c>
      <c r="P1630" t="s">
        <v>8595</v>
      </c>
      <c r="Q1630" t="s">
        <v>52</v>
      </c>
      <c r="R1630" t="s">
        <v>325</v>
      </c>
      <c r="S1630">
        <v>2.5</v>
      </c>
      <c r="T1630">
        <v>5759</v>
      </c>
      <c r="U1630">
        <v>0</v>
      </c>
      <c r="V1630">
        <v>5759</v>
      </c>
    </row>
    <row r="1631" spans="1:22" x14ac:dyDescent="0.3">
      <c r="A1631">
        <v>187694</v>
      </c>
      <c r="B1631">
        <v>137366029</v>
      </c>
      <c r="C1631" t="s">
        <v>8596</v>
      </c>
      <c r="D1631" t="s">
        <v>8597</v>
      </c>
      <c r="E1631" t="s">
        <v>8587</v>
      </c>
      <c r="F1631" t="s">
        <v>844</v>
      </c>
      <c r="G1631" t="s">
        <v>164</v>
      </c>
      <c r="H1631" t="s">
        <v>165</v>
      </c>
      <c r="I1631" t="s">
        <v>34</v>
      </c>
      <c r="J1631" t="s">
        <v>166</v>
      </c>
      <c r="K1631" t="s">
        <v>41</v>
      </c>
      <c r="L1631" t="s">
        <v>8598</v>
      </c>
      <c r="M1631" t="s">
        <v>8599</v>
      </c>
      <c r="N1631" t="s">
        <v>847</v>
      </c>
      <c r="O1631" t="s">
        <v>100</v>
      </c>
      <c r="P1631" t="s">
        <v>8600</v>
      </c>
      <c r="Q1631" t="s">
        <v>72</v>
      </c>
      <c r="R1631" t="s">
        <v>796</v>
      </c>
      <c r="S1631">
        <v>1.33</v>
      </c>
      <c r="T1631">
        <v>3784</v>
      </c>
      <c r="U1631">
        <v>0</v>
      </c>
      <c r="V1631">
        <v>3784</v>
      </c>
    </row>
    <row r="1632" spans="1:22" x14ac:dyDescent="0.3">
      <c r="A1632">
        <v>187694</v>
      </c>
      <c r="B1632">
        <v>137213786</v>
      </c>
      <c r="C1632" t="s">
        <v>8601</v>
      </c>
      <c r="D1632" t="s">
        <v>8602</v>
      </c>
      <c r="E1632" t="s">
        <v>8587</v>
      </c>
      <c r="F1632" t="s">
        <v>844</v>
      </c>
      <c r="G1632" t="s">
        <v>164</v>
      </c>
      <c r="H1632" t="s">
        <v>165</v>
      </c>
      <c r="I1632" t="s">
        <v>34</v>
      </c>
      <c r="J1632" t="s">
        <v>166</v>
      </c>
      <c r="K1632" t="s">
        <v>41</v>
      </c>
      <c r="L1632" t="s">
        <v>8603</v>
      </c>
      <c r="M1632" t="s">
        <v>8604</v>
      </c>
      <c r="N1632" t="s">
        <v>847</v>
      </c>
      <c r="O1632" t="s">
        <v>100</v>
      </c>
      <c r="P1632" t="s">
        <v>8605</v>
      </c>
      <c r="Q1632" t="s">
        <v>91</v>
      </c>
      <c r="R1632" t="s">
        <v>446</v>
      </c>
      <c r="S1632">
        <v>1.4</v>
      </c>
      <c r="T1632">
        <v>3870</v>
      </c>
      <c r="U1632">
        <v>0</v>
      </c>
      <c r="V1632">
        <v>3870</v>
      </c>
    </row>
    <row r="1633" spans="1:22" x14ac:dyDescent="0.3">
      <c r="A1633">
        <v>187694</v>
      </c>
      <c r="B1633">
        <v>137043174</v>
      </c>
      <c r="C1633" t="s">
        <v>8606</v>
      </c>
      <c r="D1633" t="s">
        <v>8607</v>
      </c>
      <c r="E1633" t="s">
        <v>8587</v>
      </c>
      <c r="F1633" t="s">
        <v>844</v>
      </c>
      <c r="G1633" t="s">
        <v>164</v>
      </c>
      <c r="H1633" t="s">
        <v>165</v>
      </c>
      <c r="I1633" t="s">
        <v>34</v>
      </c>
      <c r="J1633" t="s">
        <v>166</v>
      </c>
      <c r="K1633" t="s">
        <v>41</v>
      </c>
      <c r="L1633" t="s">
        <v>8608</v>
      </c>
      <c r="M1633" t="s">
        <v>8609</v>
      </c>
      <c r="N1633" t="s">
        <v>847</v>
      </c>
      <c r="O1633" t="s">
        <v>100</v>
      </c>
      <c r="P1633" t="s">
        <v>8610</v>
      </c>
      <c r="Q1633" t="s">
        <v>190</v>
      </c>
      <c r="R1633" t="s">
        <v>111</v>
      </c>
      <c r="S1633">
        <v>1.34</v>
      </c>
      <c r="T1633">
        <v>3366</v>
      </c>
      <c r="U1633">
        <v>0</v>
      </c>
      <c r="V1633">
        <v>3366</v>
      </c>
    </row>
    <row r="1634" spans="1:22" x14ac:dyDescent="0.3">
      <c r="A1634">
        <v>187694</v>
      </c>
      <c r="B1634">
        <v>137213780</v>
      </c>
      <c r="C1634" t="s">
        <v>8611</v>
      </c>
      <c r="D1634" t="s">
        <v>8612</v>
      </c>
      <c r="E1634" t="s">
        <v>8587</v>
      </c>
      <c r="F1634" t="s">
        <v>844</v>
      </c>
      <c r="G1634" t="s">
        <v>164</v>
      </c>
      <c r="H1634" t="s">
        <v>165</v>
      </c>
      <c r="I1634" t="s">
        <v>34</v>
      </c>
      <c r="J1634" t="s">
        <v>166</v>
      </c>
      <c r="K1634" t="s">
        <v>41</v>
      </c>
      <c r="L1634" t="s">
        <v>8613</v>
      </c>
      <c r="M1634" t="s">
        <v>8614</v>
      </c>
      <c r="N1634" t="s">
        <v>847</v>
      </c>
      <c r="O1634" t="s">
        <v>100</v>
      </c>
      <c r="P1634" t="s">
        <v>8615</v>
      </c>
      <c r="Q1634" t="s">
        <v>71</v>
      </c>
      <c r="R1634" t="s">
        <v>446</v>
      </c>
      <c r="S1634">
        <v>2.02</v>
      </c>
      <c r="T1634">
        <v>3501</v>
      </c>
      <c r="U1634">
        <v>0</v>
      </c>
      <c r="V1634">
        <v>3501</v>
      </c>
    </row>
    <row r="1635" spans="1:22" x14ac:dyDescent="0.3">
      <c r="A1635">
        <v>187694</v>
      </c>
      <c r="B1635">
        <v>136762951</v>
      </c>
      <c r="C1635" t="s">
        <v>8616</v>
      </c>
      <c r="D1635" t="s">
        <v>8617</v>
      </c>
      <c r="E1635" t="s">
        <v>8587</v>
      </c>
      <c r="F1635" t="s">
        <v>844</v>
      </c>
      <c r="G1635" t="s">
        <v>164</v>
      </c>
      <c r="H1635" t="s">
        <v>165</v>
      </c>
      <c r="I1635" t="s">
        <v>34</v>
      </c>
      <c r="J1635" t="s">
        <v>166</v>
      </c>
      <c r="K1635" t="s">
        <v>41</v>
      </c>
      <c r="L1635" t="s">
        <v>8618</v>
      </c>
      <c r="M1635" t="s">
        <v>8619</v>
      </c>
      <c r="N1635" t="s">
        <v>847</v>
      </c>
      <c r="O1635" t="s">
        <v>100</v>
      </c>
      <c r="P1635" t="s">
        <v>8620</v>
      </c>
      <c r="Q1635" t="s">
        <v>69</v>
      </c>
      <c r="R1635" t="s">
        <v>331</v>
      </c>
      <c r="S1635">
        <v>1.95</v>
      </c>
      <c r="T1635">
        <v>3753</v>
      </c>
      <c r="U1635">
        <v>0</v>
      </c>
      <c r="V1635">
        <v>3753</v>
      </c>
    </row>
    <row r="1636" spans="1:22" x14ac:dyDescent="0.3">
      <c r="A1636">
        <v>187694</v>
      </c>
      <c r="B1636">
        <v>136762940</v>
      </c>
      <c r="C1636" t="s">
        <v>8621</v>
      </c>
      <c r="D1636" t="s">
        <v>8622</v>
      </c>
      <c r="E1636" t="s">
        <v>8587</v>
      </c>
      <c r="F1636" t="s">
        <v>844</v>
      </c>
      <c r="G1636" t="s">
        <v>164</v>
      </c>
      <c r="H1636" t="s">
        <v>165</v>
      </c>
      <c r="I1636" t="s">
        <v>34</v>
      </c>
      <c r="J1636" t="s">
        <v>166</v>
      </c>
      <c r="K1636" t="s">
        <v>41</v>
      </c>
      <c r="L1636" t="s">
        <v>8623</v>
      </c>
      <c r="M1636" t="s">
        <v>8624</v>
      </c>
      <c r="N1636" t="s">
        <v>847</v>
      </c>
      <c r="O1636" t="s">
        <v>100</v>
      </c>
      <c r="P1636" t="s">
        <v>8625</v>
      </c>
      <c r="Q1636" t="s">
        <v>69</v>
      </c>
      <c r="R1636" t="s">
        <v>797</v>
      </c>
      <c r="S1636">
        <v>0.37</v>
      </c>
      <c r="T1636">
        <v>3680</v>
      </c>
      <c r="U1636">
        <v>0</v>
      </c>
      <c r="V1636">
        <v>3680</v>
      </c>
    </row>
    <row r="1637" spans="1:22" x14ac:dyDescent="0.3">
      <c r="A1637">
        <v>187694</v>
      </c>
      <c r="B1637">
        <v>136382512</v>
      </c>
      <c r="C1637" t="s">
        <v>8626</v>
      </c>
      <c r="D1637" t="s">
        <v>8627</v>
      </c>
      <c r="E1637" t="s">
        <v>8587</v>
      </c>
      <c r="F1637" t="s">
        <v>844</v>
      </c>
      <c r="G1637" t="s">
        <v>164</v>
      </c>
      <c r="H1637" t="s">
        <v>165</v>
      </c>
      <c r="I1637" t="s">
        <v>34</v>
      </c>
      <c r="J1637" t="s">
        <v>166</v>
      </c>
      <c r="K1637" t="s">
        <v>41</v>
      </c>
      <c r="L1637" t="s">
        <v>8628</v>
      </c>
      <c r="M1637" t="s">
        <v>8629</v>
      </c>
      <c r="N1637" t="s">
        <v>847</v>
      </c>
      <c r="O1637" t="s">
        <v>100</v>
      </c>
      <c r="P1637" t="s">
        <v>8630</v>
      </c>
      <c r="Q1637" t="s">
        <v>83</v>
      </c>
      <c r="R1637" t="s">
        <v>642</v>
      </c>
      <c r="S1637">
        <v>1.99</v>
      </c>
      <c r="T1637">
        <v>3366</v>
      </c>
      <c r="U1637">
        <v>0</v>
      </c>
      <c r="V1637">
        <v>3366</v>
      </c>
    </row>
    <row r="1638" spans="1:22" x14ac:dyDescent="0.3">
      <c r="A1638">
        <v>187694</v>
      </c>
      <c r="B1638">
        <v>136382517</v>
      </c>
      <c r="C1638" t="s">
        <v>8631</v>
      </c>
      <c r="D1638" t="s">
        <v>8632</v>
      </c>
      <c r="E1638" t="s">
        <v>8587</v>
      </c>
      <c r="F1638" t="s">
        <v>844</v>
      </c>
      <c r="G1638" t="s">
        <v>164</v>
      </c>
      <c r="H1638" t="s">
        <v>165</v>
      </c>
      <c r="I1638" t="s">
        <v>34</v>
      </c>
      <c r="J1638" t="s">
        <v>166</v>
      </c>
      <c r="K1638" t="s">
        <v>41</v>
      </c>
      <c r="L1638" t="s">
        <v>8633</v>
      </c>
      <c r="M1638" t="s">
        <v>8634</v>
      </c>
      <c r="N1638" t="s">
        <v>847</v>
      </c>
      <c r="O1638" t="s">
        <v>100</v>
      </c>
      <c r="P1638" t="s">
        <v>8635</v>
      </c>
      <c r="Q1638" t="s">
        <v>55</v>
      </c>
      <c r="R1638" t="s">
        <v>642</v>
      </c>
      <c r="S1638">
        <v>2.5</v>
      </c>
      <c r="T1638">
        <v>5198</v>
      </c>
      <c r="U1638">
        <v>0</v>
      </c>
      <c r="V1638">
        <v>5198</v>
      </c>
    </row>
    <row r="1639" spans="1:22" x14ac:dyDescent="0.3">
      <c r="A1639">
        <v>187694</v>
      </c>
      <c r="B1639">
        <v>136131977</v>
      </c>
      <c r="C1639" t="s">
        <v>8636</v>
      </c>
      <c r="D1639" t="s">
        <v>8637</v>
      </c>
      <c r="E1639" t="s">
        <v>8587</v>
      </c>
      <c r="F1639" t="s">
        <v>844</v>
      </c>
      <c r="G1639" t="s">
        <v>164</v>
      </c>
      <c r="H1639" t="s">
        <v>165</v>
      </c>
      <c r="I1639" t="s">
        <v>34</v>
      </c>
      <c r="J1639" t="s">
        <v>166</v>
      </c>
      <c r="K1639" t="s">
        <v>41</v>
      </c>
      <c r="L1639" t="s">
        <v>8638</v>
      </c>
      <c r="M1639" t="s">
        <v>8639</v>
      </c>
      <c r="N1639" t="s">
        <v>847</v>
      </c>
      <c r="O1639" t="s">
        <v>100</v>
      </c>
      <c r="P1639" t="s">
        <v>8640</v>
      </c>
      <c r="Q1639" t="s">
        <v>69</v>
      </c>
      <c r="R1639" t="s">
        <v>645</v>
      </c>
      <c r="S1639">
        <v>2.4</v>
      </c>
      <c r="T1639">
        <v>3753</v>
      </c>
      <c r="U1639">
        <v>0</v>
      </c>
      <c r="V1639">
        <v>3753</v>
      </c>
    </row>
    <row r="1640" spans="1:22" x14ac:dyDescent="0.3">
      <c r="A1640">
        <v>187694</v>
      </c>
      <c r="B1640">
        <v>135642500</v>
      </c>
      <c r="C1640" t="s">
        <v>8641</v>
      </c>
      <c r="D1640" t="s">
        <v>8642</v>
      </c>
      <c r="E1640" t="s">
        <v>8587</v>
      </c>
      <c r="F1640" t="s">
        <v>844</v>
      </c>
      <c r="G1640" t="s">
        <v>172</v>
      </c>
      <c r="H1640" t="s">
        <v>173</v>
      </c>
      <c r="I1640" t="s">
        <v>34</v>
      </c>
      <c r="J1640" t="s">
        <v>272</v>
      </c>
      <c r="K1640" t="s">
        <v>44</v>
      </c>
      <c r="L1640" t="s">
        <v>8643</v>
      </c>
      <c r="M1640" t="s">
        <v>8644</v>
      </c>
      <c r="N1640" t="s">
        <v>847</v>
      </c>
      <c r="O1640" t="s">
        <v>100</v>
      </c>
      <c r="P1640" t="s">
        <v>8645</v>
      </c>
      <c r="Q1640" t="s">
        <v>103</v>
      </c>
      <c r="R1640" t="s">
        <v>8646</v>
      </c>
      <c r="S1640">
        <v>1.36</v>
      </c>
      <c r="T1640">
        <v>3915</v>
      </c>
      <c r="U1640">
        <v>0</v>
      </c>
      <c r="V1640">
        <v>3915</v>
      </c>
    </row>
    <row r="1641" spans="1:22" x14ac:dyDescent="0.3">
      <c r="A1641">
        <v>187694</v>
      </c>
      <c r="B1641">
        <v>136382515</v>
      </c>
      <c r="C1641" t="s">
        <v>8647</v>
      </c>
      <c r="D1641" t="s">
        <v>8648</v>
      </c>
      <c r="E1641" t="s">
        <v>8587</v>
      </c>
      <c r="F1641" t="s">
        <v>844</v>
      </c>
      <c r="G1641" t="s">
        <v>267</v>
      </c>
      <c r="H1641" t="s">
        <v>268</v>
      </c>
      <c r="I1641" t="s">
        <v>34</v>
      </c>
      <c r="J1641" t="s">
        <v>269</v>
      </c>
      <c r="K1641" t="s">
        <v>41</v>
      </c>
      <c r="L1641" t="s">
        <v>8649</v>
      </c>
      <c r="M1641" t="s">
        <v>8650</v>
      </c>
      <c r="N1641" t="s">
        <v>847</v>
      </c>
      <c r="O1641" t="s">
        <v>100</v>
      </c>
      <c r="P1641" t="s">
        <v>8651</v>
      </c>
      <c r="Q1641" t="s">
        <v>251</v>
      </c>
      <c r="R1641" t="s">
        <v>642</v>
      </c>
      <c r="S1641">
        <v>0.3</v>
      </c>
      <c r="T1641">
        <v>6351</v>
      </c>
      <c r="U1641">
        <v>74.95</v>
      </c>
      <c r="V1641">
        <v>6425.95</v>
      </c>
    </row>
    <row r="1642" spans="1:22" x14ac:dyDescent="0.3">
      <c r="A1642">
        <v>187694</v>
      </c>
      <c r="B1642">
        <v>136762946</v>
      </c>
      <c r="C1642" t="s">
        <v>8652</v>
      </c>
      <c r="D1642" t="s">
        <v>8653</v>
      </c>
      <c r="E1642" t="s">
        <v>8587</v>
      </c>
      <c r="F1642" t="s">
        <v>844</v>
      </c>
      <c r="G1642" t="s">
        <v>172</v>
      </c>
      <c r="H1642" t="s">
        <v>173</v>
      </c>
      <c r="I1642" t="s">
        <v>34</v>
      </c>
      <c r="J1642" t="s">
        <v>272</v>
      </c>
      <c r="K1642" t="s">
        <v>41</v>
      </c>
      <c r="L1642" t="s">
        <v>8654</v>
      </c>
      <c r="M1642" t="s">
        <v>8655</v>
      </c>
      <c r="N1642" t="s">
        <v>847</v>
      </c>
      <c r="O1642" t="s">
        <v>100</v>
      </c>
      <c r="P1642" t="s">
        <v>8656</v>
      </c>
      <c r="Q1642" t="s">
        <v>409</v>
      </c>
      <c r="R1642" t="s">
        <v>331</v>
      </c>
      <c r="S1642">
        <v>1.2</v>
      </c>
      <c r="T1642">
        <v>3915</v>
      </c>
      <c r="U1642">
        <v>0</v>
      </c>
      <c r="V1642">
        <v>3915</v>
      </c>
    </row>
    <row r="1643" spans="1:22" x14ac:dyDescent="0.3">
      <c r="A1643">
        <v>152577</v>
      </c>
      <c r="B1643">
        <v>137557169</v>
      </c>
      <c r="C1643" t="s">
        <v>8657</v>
      </c>
      <c r="D1643" t="s">
        <v>8658</v>
      </c>
      <c r="E1643" t="s">
        <v>8659</v>
      </c>
      <c r="F1643" t="s">
        <v>844</v>
      </c>
      <c r="G1643" t="s">
        <v>164</v>
      </c>
      <c r="H1643" t="s">
        <v>165</v>
      </c>
      <c r="I1643" t="s">
        <v>34</v>
      </c>
      <c r="J1643" t="s">
        <v>166</v>
      </c>
      <c r="K1643" t="s">
        <v>41</v>
      </c>
      <c r="L1643" t="s">
        <v>8660</v>
      </c>
      <c r="M1643" t="s">
        <v>801</v>
      </c>
      <c r="N1643" t="s">
        <v>847</v>
      </c>
      <c r="O1643" t="s">
        <v>100</v>
      </c>
      <c r="P1643" t="s">
        <v>8661</v>
      </c>
      <c r="Q1643" t="s">
        <v>92</v>
      </c>
      <c r="R1643" t="s">
        <v>8662</v>
      </c>
      <c r="S1643">
        <v>0.91</v>
      </c>
      <c r="T1643">
        <v>3366</v>
      </c>
      <c r="U1643">
        <v>0</v>
      </c>
      <c r="V1643">
        <v>3366</v>
      </c>
    </row>
    <row r="1644" spans="1:22" x14ac:dyDescent="0.3">
      <c r="A1644">
        <v>152577</v>
      </c>
      <c r="B1644">
        <v>137043379</v>
      </c>
      <c r="C1644" t="s">
        <v>8663</v>
      </c>
      <c r="D1644" t="s">
        <v>8664</v>
      </c>
      <c r="E1644" t="s">
        <v>8659</v>
      </c>
      <c r="F1644" t="s">
        <v>844</v>
      </c>
      <c r="G1644" t="s">
        <v>164</v>
      </c>
      <c r="H1644" t="s">
        <v>165</v>
      </c>
      <c r="I1644" t="s">
        <v>34</v>
      </c>
      <c r="J1644" t="s">
        <v>166</v>
      </c>
      <c r="K1644" t="s">
        <v>41</v>
      </c>
      <c r="L1644" t="s">
        <v>8665</v>
      </c>
      <c r="M1644" t="s">
        <v>8666</v>
      </c>
      <c r="N1644" t="s">
        <v>847</v>
      </c>
      <c r="O1644" t="s">
        <v>100</v>
      </c>
      <c r="P1644" t="s">
        <v>8667</v>
      </c>
      <c r="Q1644" t="s">
        <v>50</v>
      </c>
      <c r="R1644" t="s">
        <v>8668</v>
      </c>
      <c r="S1644">
        <v>2.13</v>
      </c>
      <c r="T1644">
        <v>3784</v>
      </c>
      <c r="U1644">
        <v>0</v>
      </c>
      <c r="V1644">
        <v>3784</v>
      </c>
    </row>
    <row r="1645" spans="1:22" x14ac:dyDescent="0.3">
      <c r="A1645">
        <v>152577</v>
      </c>
      <c r="B1645">
        <v>136815933</v>
      </c>
      <c r="C1645" t="s">
        <v>8669</v>
      </c>
      <c r="D1645" t="s">
        <v>8670</v>
      </c>
      <c r="E1645" t="s">
        <v>8659</v>
      </c>
      <c r="F1645" t="s">
        <v>844</v>
      </c>
      <c r="G1645" t="s">
        <v>164</v>
      </c>
      <c r="H1645" t="s">
        <v>165</v>
      </c>
      <c r="I1645" t="s">
        <v>34</v>
      </c>
      <c r="J1645" t="s">
        <v>166</v>
      </c>
      <c r="K1645" t="s">
        <v>41</v>
      </c>
      <c r="L1645" t="s">
        <v>8671</v>
      </c>
      <c r="M1645" t="s">
        <v>8672</v>
      </c>
      <c r="N1645" t="s">
        <v>847</v>
      </c>
      <c r="O1645" t="s">
        <v>100</v>
      </c>
      <c r="P1645" t="s">
        <v>8673</v>
      </c>
      <c r="Q1645" t="s">
        <v>68</v>
      </c>
      <c r="R1645" t="s">
        <v>630</v>
      </c>
      <c r="S1645">
        <v>1</v>
      </c>
      <c r="T1645">
        <v>3753</v>
      </c>
      <c r="U1645">
        <v>7978.86</v>
      </c>
      <c r="V1645">
        <v>11731.86</v>
      </c>
    </row>
    <row r="1646" spans="1:22" x14ac:dyDescent="0.3">
      <c r="A1646">
        <v>152577</v>
      </c>
      <c r="B1646">
        <v>135361626</v>
      </c>
      <c r="C1646" t="s">
        <v>8674</v>
      </c>
      <c r="D1646" t="s">
        <v>8675</v>
      </c>
      <c r="E1646" t="s">
        <v>8659</v>
      </c>
      <c r="F1646" t="s">
        <v>844</v>
      </c>
      <c r="G1646" t="s">
        <v>164</v>
      </c>
      <c r="H1646" t="s">
        <v>165</v>
      </c>
      <c r="I1646" t="s">
        <v>34</v>
      </c>
      <c r="J1646" t="s">
        <v>166</v>
      </c>
      <c r="K1646" t="s">
        <v>41</v>
      </c>
      <c r="L1646" t="s">
        <v>8676</v>
      </c>
      <c r="M1646" t="s">
        <v>8677</v>
      </c>
      <c r="N1646" t="s">
        <v>847</v>
      </c>
      <c r="O1646" t="s">
        <v>100</v>
      </c>
      <c r="P1646" t="s">
        <v>8678</v>
      </c>
      <c r="Q1646" t="s">
        <v>614</v>
      </c>
      <c r="R1646" t="s">
        <v>8679</v>
      </c>
      <c r="S1646">
        <v>2.67</v>
      </c>
      <c r="T1646">
        <v>5476</v>
      </c>
      <c r="U1646">
        <v>0</v>
      </c>
      <c r="V1646">
        <v>5476</v>
      </c>
    </row>
    <row r="1647" spans="1:22" x14ac:dyDescent="0.3">
      <c r="A1647">
        <v>152577</v>
      </c>
      <c r="B1647">
        <v>135548135</v>
      </c>
      <c r="C1647" t="s">
        <v>8680</v>
      </c>
      <c r="D1647" t="s">
        <v>8681</v>
      </c>
      <c r="E1647" t="s">
        <v>8659</v>
      </c>
      <c r="F1647" t="s">
        <v>844</v>
      </c>
      <c r="G1647" t="s">
        <v>164</v>
      </c>
      <c r="H1647" t="s">
        <v>165</v>
      </c>
      <c r="I1647" t="s">
        <v>34</v>
      </c>
      <c r="J1647" t="s">
        <v>166</v>
      </c>
      <c r="K1647" t="s">
        <v>41</v>
      </c>
      <c r="L1647" t="s">
        <v>8682</v>
      </c>
      <c r="M1647" t="s">
        <v>8683</v>
      </c>
      <c r="N1647" t="s">
        <v>847</v>
      </c>
      <c r="O1647" t="s">
        <v>100</v>
      </c>
      <c r="P1647" t="s">
        <v>8684</v>
      </c>
      <c r="Q1647" t="s">
        <v>71</v>
      </c>
      <c r="R1647" t="s">
        <v>8685</v>
      </c>
      <c r="S1647">
        <v>1.65</v>
      </c>
      <c r="T1647">
        <v>3501</v>
      </c>
      <c r="U1647">
        <v>0</v>
      </c>
      <c r="V1647">
        <v>3501</v>
      </c>
    </row>
    <row r="1648" spans="1:22" x14ac:dyDescent="0.3">
      <c r="A1648">
        <v>152577</v>
      </c>
      <c r="B1648">
        <v>135548576</v>
      </c>
      <c r="C1648" t="s">
        <v>8686</v>
      </c>
      <c r="D1648" t="s">
        <v>8687</v>
      </c>
      <c r="E1648" t="s">
        <v>8659</v>
      </c>
      <c r="F1648" t="s">
        <v>844</v>
      </c>
      <c r="G1648" t="s">
        <v>164</v>
      </c>
      <c r="H1648" t="s">
        <v>165</v>
      </c>
      <c r="I1648" t="s">
        <v>34</v>
      </c>
      <c r="J1648" t="s">
        <v>166</v>
      </c>
      <c r="K1648" t="s">
        <v>41</v>
      </c>
      <c r="L1648" t="s">
        <v>8688</v>
      </c>
      <c r="M1648" t="s">
        <v>8689</v>
      </c>
      <c r="N1648" t="s">
        <v>847</v>
      </c>
      <c r="O1648" t="s">
        <v>100</v>
      </c>
      <c r="P1648" t="s">
        <v>8678</v>
      </c>
      <c r="Q1648" t="s">
        <v>614</v>
      </c>
      <c r="R1648" t="s">
        <v>8690</v>
      </c>
      <c r="S1648">
        <v>1</v>
      </c>
      <c r="T1648">
        <v>5476</v>
      </c>
      <c r="U1648">
        <v>0</v>
      </c>
      <c r="V1648">
        <v>5476</v>
      </c>
    </row>
    <row r="1649" spans="1:22" x14ac:dyDescent="0.3">
      <c r="A1649">
        <v>152577</v>
      </c>
      <c r="B1649">
        <v>135096890</v>
      </c>
      <c r="C1649" t="s">
        <v>8691</v>
      </c>
      <c r="D1649" t="s">
        <v>8692</v>
      </c>
      <c r="E1649" t="s">
        <v>8659</v>
      </c>
      <c r="F1649" t="s">
        <v>844</v>
      </c>
      <c r="G1649" t="s">
        <v>164</v>
      </c>
      <c r="H1649" t="s">
        <v>165</v>
      </c>
      <c r="I1649" t="s">
        <v>34</v>
      </c>
      <c r="J1649" t="s">
        <v>166</v>
      </c>
      <c r="K1649" t="s">
        <v>44</v>
      </c>
      <c r="L1649" t="s">
        <v>188</v>
      </c>
      <c r="M1649" t="s">
        <v>8683</v>
      </c>
      <c r="N1649" t="s">
        <v>847</v>
      </c>
      <c r="O1649" t="s">
        <v>100</v>
      </c>
      <c r="P1649" t="s">
        <v>8693</v>
      </c>
      <c r="Q1649" t="s">
        <v>71</v>
      </c>
      <c r="R1649" t="s">
        <v>8694</v>
      </c>
      <c r="S1649">
        <v>1.82</v>
      </c>
      <c r="T1649">
        <v>3501</v>
      </c>
      <c r="U1649">
        <v>0</v>
      </c>
      <c r="V1649">
        <v>3501</v>
      </c>
    </row>
    <row r="1650" spans="1:22" x14ac:dyDescent="0.3">
      <c r="A1650">
        <v>152577</v>
      </c>
      <c r="B1650">
        <v>135396329</v>
      </c>
      <c r="C1650" t="s">
        <v>8695</v>
      </c>
      <c r="D1650" t="s">
        <v>8696</v>
      </c>
      <c r="E1650" t="s">
        <v>8659</v>
      </c>
      <c r="F1650" t="s">
        <v>844</v>
      </c>
      <c r="G1650" t="s">
        <v>164</v>
      </c>
      <c r="H1650" t="s">
        <v>165</v>
      </c>
      <c r="I1650" t="s">
        <v>34</v>
      </c>
      <c r="J1650" t="s">
        <v>166</v>
      </c>
      <c r="K1650" t="s">
        <v>41</v>
      </c>
      <c r="L1650" t="s">
        <v>8697</v>
      </c>
      <c r="M1650" t="s">
        <v>8698</v>
      </c>
      <c r="N1650" t="s">
        <v>847</v>
      </c>
      <c r="O1650" t="s">
        <v>100</v>
      </c>
      <c r="P1650" t="s">
        <v>8699</v>
      </c>
      <c r="Q1650" t="s">
        <v>109</v>
      </c>
      <c r="R1650" t="s">
        <v>8700</v>
      </c>
      <c r="S1650">
        <v>0.94</v>
      </c>
      <c r="T1650">
        <v>4346</v>
      </c>
      <c r="U1650">
        <v>0</v>
      </c>
      <c r="V1650">
        <v>4346</v>
      </c>
    </row>
    <row r="1651" spans="1:22" x14ac:dyDescent="0.3">
      <c r="A1651">
        <v>187830</v>
      </c>
      <c r="B1651">
        <v>137409423</v>
      </c>
      <c r="C1651" t="s">
        <v>8701</v>
      </c>
      <c r="D1651" t="s">
        <v>8702</v>
      </c>
      <c r="E1651" t="s">
        <v>8703</v>
      </c>
      <c r="F1651" t="s">
        <v>844</v>
      </c>
      <c r="G1651" t="s">
        <v>164</v>
      </c>
      <c r="H1651" t="s">
        <v>165</v>
      </c>
      <c r="I1651" t="s">
        <v>34</v>
      </c>
      <c r="J1651" t="s">
        <v>166</v>
      </c>
      <c r="K1651" t="s">
        <v>41</v>
      </c>
      <c r="L1651" t="s">
        <v>8704</v>
      </c>
      <c r="M1651" t="s">
        <v>8705</v>
      </c>
      <c r="N1651" t="s">
        <v>847</v>
      </c>
      <c r="O1651" t="s">
        <v>100</v>
      </c>
      <c r="P1651" t="s">
        <v>8706</v>
      </c>
      <c r="Q1651" t="s">
        <v>69</v>
      </c>
      <c r="R1651" t="s">
        <v>410</v>
      </c>
      <c r="S1651">
        <v>1.66</v>
      </c>
      <c r="T1651">
        <v>3753</v>
      </c>
      <c r="U1651">
        <v>0</v>
      </c>
      <c r="V1651">
        <v>3753</v>
      </c>
    </row>
    <row r="1652" spans="1:22" x14ac:dyDescent="0.3">
      <c r="A1652">
        <v>187830</v>
      </c>
      <c r="B1652">
        <v>134921040</v>
      </c>
      <c r="C1652" t="s">
        <v>8707</v>
      </c>
      <c r="D1652" t="s">
        <v>8708</v>
      </c>
      <c r="E1652" t="s">
        <v>8703</v>
      </c>
      <c r="F1652" t="s">
        <v>844</v>
      </c>
      <c r="G1652" t="s">
        <v>164</v>
      </c>
      <c r="H1652" t="s">
        <v>165</v>
      </c>
      <c r="I1652" t="s">
        <v>34</v>
      </c>
      <c r="J1652" t="s">
        <v>166</v>
      </c>
      <c r="K1652" t="s">
        <v>41</v>
      </c>
      <c r="L1652" t="s">
        <v>8709</v>
      </c>
      <c r="M1652" t="s">
        <v>8710</v>
      </c>
      <c r="N1652" t="s">
        <v>847</v>
      </c>
      <c r="O1652" t="s">
        <v>100</v>
      </c>
      <c r="P1652" t="s">
        <v>8711</v>
      </c>
      <c r="Q1652" t="s">
        <v>63</v>
      </c>
      <c r="R1652" t="s">
        <v>8712</v>
      </c>
      <c r="S1652">
        <v>2.14</v>
      </c>
      <c r="T1652">
        <v>4067</v>
      </c>
      <c r="U1652">
        <v>0</v>
      </c>
      <c r="V1652">
        <v>4067</v>
      </c>
    </row>
    <row r="1653" spans="1:22" x14ac:dyDescent="0.3">
      <c r="A1653">
        <v>187830</v>
      </c>
      <c r="B1653">
        <v>137499212</v>
      </c>
      <c r="C1653" t="s">
        <v>8713</v>
      </c>
      <c r="D1653" t="s">
        <v>8714</v>
      </c>
      <c r="E1653" t="s">
        <v>8703</v>
      </c>
      <c r="F1653" t="s">
        <v>844</v>
      </c>
      <c r="G1653" t="s">
        <v>164</v>
      </c>
      <c r="H1653" t="s">
        <v>165</v>
      </c>
      <c r="I1653" t="s">
        <v>34</v>
      </c>
      <c r="J1653" t="s">
        <v>166</v>
      </c>
      <c r="K1653" t="s">
        <v>41</v>
      </c>
      <c r="L1653" t="s">
        <v>8715</v>
      </c>
      <c r="M1653" t="s">
        <v>8716</v>
      </c>
      <c r="N1653" t="s">
        <v>847</v>
      </c>
      <c r="O1653" t="s">
        <v>100</v>
      </c>
      <c r="P1653" t="s">
        <v>8717</v>
      </c>
      <c r="Q1653" t="s">
        <v>50</v>
      </c>
      <c r="R1653" t="s">
        <v>8718</v>
      </c>
      <c r="S1653">
        <v>0.59</v>
      </c>
      <c r="T1653">
        <v>3784</v>
      </c>
      <c r="U1653">
        <v>0</v>
      </c>
      <c r="V1653">
        <v>3784</v>
      </c>
    </row>
    <row r="1654" spans="1:22" x14ac:dyDescent="0.3">
      <c r="A1654">
        <v>187830</v>
      </c>
      <c r="B1654">
        <v>137468948</v>
      </c>
      <c r="C1654" t="s">
        <v>8719</v>
      </c>
      <c r="D1654" t="s">
        <v>8720</v>
      </c>
      <c r="E1654" t="s">
        <v>8703</v>
      </c>
      <c r="F1654" t="s">
        <v>844</v>
      </c>
      <c r="G1654" t="s">
        <v>164</v>
      </c>
      <c r="H1654" t="s">
        <v>165</v>
      </c>
      <c r="I1654" t="s">
        <v>34</v>
      </c>
      <c r="J1654" t="s">
        <v>166</v>
      </c>
      <c r="K1654" t="s">
        <v>41</v>
      </c>
      <c r="L1654" t="s">
        <v>8721</v>
      </c>
      <c r="M1654" t="s">
        <v>8722</v>
      </c>
      <c r="N1654" t="s">
        <v>847</v>
      </c>
      <c r="O1654" t="s">
        <v>100</v>
      </c>
      <c r="P1654" t="s">
        <v>8723</v>
      </c>
      <c r="Q1654" t="s">
        <v>69</v>
      </c>
      <c r="R1654" t="s">
        <v>8724</v>
      </c>
      <c r="S1654">
        <v>1.85</v>
      </c>
      <c r="T1654">
        <v>3753</v>
      </c>
      <c r="U1654">
        <v>0</v>
      </c>
      <c r="V1654">
        <v>3753</v>
      </c>
    </row>
    <row r="1655" spans="1:22" x14ac:dyDescent="0.3">
      <c r="A1655">
        <v>187830</v>
      </c>
      <c r="B1655">
        <v>137468967</v>
      </c>
      <c r="C1655" t="s">
        <v>8725</v>
      </c>
      <c r="D1655" t="s">
        <v>8726</v>
      </c>
      <c r="E1655" t="s">
        <v>8703</v>
      </c>
      <c r="F1655" t="s">
        <v>844</v>
      </c>
      <c r="G1655" t="s">
        <v>164</v>
      </c>
      <c r="H1655" t="s">
        <v>165</v>
      </c>
      <c r="I1655" t="s">
        <v>34</v>
      </c>
      <c r="J1655" t="s">
        <v>166</v>
      </c>
      <c r="K1655" t="s">
        <v>41</v>
      </c>
      <c r="L1655" t="s">
        <v>8727</v>
      </c>
      <c r="M1655" t="s">
        <v>8728</v>
      </c>
      <c r="N1655" t="s">
        <v>847</v>
      </c>
      <c r="O1655" t="s">
        <v>100</v>
      </c>
      <c r="P1655" t="s">
        <v>8729</v>
      </c>
      <c r="Q1655" t="s">
        <v>190</v>
      </c>
      <c r="R1655" t="s">
        <v>822</v>
      </c>
      <c r="S1655">
        <v>0.79</v>
      </c>
      <c r="T1655">
        <v>3366</v>
      </c>
      <c r="U1655">
        <v>0</v>
      </c>
      <c r="V1655">
        <v>3366</v>
      </c>
    </row>
    <row r="1656" spans="1:22" x14ac:dyDescent="0.3">
      <c r="A1656">
        <v>187830</v>
      </c>
      <c r="B1656">
        <v>137390285</v>
      </c>
      <c r="C1656" t="s">
        <v>8730</v>
      </c>
      <c r="D1656" t="s">
        <v>8731</v>
      </c>
      <c r="E1656" t="s">
        <v>8703</v>
      </c>
      <c r="F1656" t="s">
        <v>844</v>
      </c>
      <c r="G1656" t="s">
        <v>164</v>
      </c>
      <c r="H1656" t="s">
        <v>165</v>
      </c>
      <c r="I1656" t="s">
        <v>34</v>
      </c>
      <c r="J1656" t="s">
        <v>166</v>
      </c>
      <c r="K1656" t="s">
        <v>41</v>
      </c>
      <c r="L1656" t="s">
        <v>8732</v>
      </c>
      <c r="M1656" t="s">
        <v>8733</v>
      </c>
      <c r="N1656" t="s">
        <v>847</v>
      </c>
      <c r="O1656" t="s">
        <v>100</v>
      </c>
      <c r="P1656" t="s">
        <v>8734</v>
      </c>
      <c r="Q1656" t="s">
        <v>315</v>
      </c>
      <c r="R1656" t="s">
        <v>319</v>
      </c>
      <c r="S1656">
        <v>2.15</v>
      </c>
      <c r="T1656">
        <v>3784</v>
      </c>
      <c r="U1656">
        <v>0</v>
      </c>
      <c r="V1656">
        <v>3784</v>
      </c>
    </row>
    <row r="1657" spans="1:22" x14ac:dyDescent="0.3">
      <c r="A1657">
        <v>187830</v>
      </c>
      <c r="B1657">
        <v>137206682</v>
      </c>
      <c r="C1657" t="s">
        <v>8735</v>
      </c>
      <c r="D1657" t="s">
        <v>8736</v>
      </c>
      <c r="E1657" t="s">
        <v>8703</v>
      </c>
      <c r="F1657" t="s">
        <v>844</v>
      </c>
      <c r="G1657" t="s">
        <v>164</v>
      </c>
      <c r="H1657" t="s">
        <v>165</v>
      </c>
      <c r="I1657" t="s">
        <v>34</v>
      </c>
      <c r="J1657" t="s">
        <v>166</v>
      </c>
      <c r="K1657" t="s">
        <v>41</v>
      </c>
      <c r="L1657" t="s">
        <v>8737</v>
      </c>
      <c r="M1657" t="s">
        <v>8738</v>
      </c>
      <c r="N1657" t="s">
        <v>847</v>
      </c>
      <c r="O1657" t="s">
        <v>100</v>
      </c>
      <c r="P1657" t="s">
        <v>8739</v>
      </c>
      <c r="Q1657" t="s">
        <v>50</v>
      </c>
      <c r="R1657" t="s">
        <v>447</v>
      </c>
      <c r="S1657">
        <v>1.17</v>
      </c>
      <c r="T1657">
        <v>3784</v>
      </c>
      <c r="U1657">
        <v>0</v>
      </c>
      <c r="V1657">
        <v>3784</v>
      </c>
    </row>
    <row r="1658" spans="1:22" x14ac:dyDescent="0.3">
      <c r="A1658">
        <v>187830</v>
      </c>
      <c r="B1658">
        <v>137468980</v>
      </c>
      <c r="C1658" t="s">
        <v>8740</v>
      </c>
      <c r="D1658" t="s">
        <v>8741</v>
      </c>
      <c r="E1658" t="s">
        <v>8703</v>
      </c>
      <c r="F1658" t="s">
        <v>844</v>
      </c>
      <c r="G1658" t="s">
        <v>164</v>
      </c>
      <c r="H1658" t="s">
        <v>165</v>
      </c>
      <c r="I1658" t="s">
        <v>34</v>
      </c>
      <c r="J1658" t="s">
        <v>166</v>
      </c>
      <c r="K1658" t="s">
        <v>41</v>
      </c>
      <c r="L1658" t="s">
        <v>8742</v>
      </c>
      <c r="M1658" t="s">
        <v>8743</v>
      </c>
      <c r="N1658" t="s">
        <v>847</v>
      </c>
      <c r="O1658" t="s">
        <v>100</v>
      </c>
      <c r="P1658" t="s">
        <v>8744</v>
      </c>
      <c r="Q1658" t="s">
        <v>64</v>
      </c>
      <c r="R1658" t="s">
        <v>822</v>
      </c>
      <c r="S1658">
        <v>2.4900000000000002</v>
      </c>
      <c r="T1658">
        <v>4067</v>
      </c>
      <c r="U1658">
        <v>0</v>
      </c>
      <c r="V1658">
        <v>4067</v>
      </c>
    </row>
    <row r="1659" spans="1:22" x14ac:dyDescent="0.3">
      <c r="A1659">
        <v>187830</v>
      </c>
      <c r="B1659">
        <v>137499185</v>
      </c>
      <c r="C1659" t="s">
        <v>8745</v>
      </c>
      <c r="D1659" t="s">
        <v>8746</v>
      </c>
      <c r="E1659" t="s">
        <v>8703</v>
      </c>
      <c r="F1659" t="s">
        <v>844</v>
      </c>
      <c r="G1659" t="s">
        <v>164</v>
      </c>
      <c r="H1659" t="s">
        <v>165</v>
      </c>
      <c r="I1659" t="s">
        <v>34</v>
      </c>
      <c r="J1659" t="s">
        <v>166</v>
      </c>
      <c r="K1659" t="s">
        <v>41</v>
      </c>
      <c r="L1659" t="s">
        <v>8747</v>
      </c>
      <c r="M1659" t="s">
        <v>8748</v>
      </c>
      <c r="N1659" t="s">
        <v>847</v>
      </c>
      <c r="O1659" t="s">
        <v>100</v>
      </c>
      <c r="P1659" t="s">
        <v>8749</v>
      </c>
      <c r="Q1659" t="s">
        <v>61</v>
      </c>
      <c r="R1659" t="s">
        <v>8718</v>
      </c>
      <c r="S1659">
        <v>2.1</v>
      </c>
      <c r="T1659">
        <v>4067</v>
      </c>
      <c r="U1659">
        <v>0</v>
      </c>
      <c r="V1659">
        <v>4067</v>
      </c>
    </row>
    <row r="1660" spans="1:22" x14ac:dyDescent="0.3">
      <c r="A1660">
        <v>187830</v>
      </c>
      <c r="B1660">
        <v>137468982</v>
      </c>
      <c r="C1660" t="s">
        <v>8750</v>
      </c>
      <c r="D1660" t="s">
        <v>8751</v>
      </c>
      <c r="E1660" t="s">
        <v>8703</v>
      </c>
      <c r="F1660" t="s">
        <v>844</v>
      </c>
      <c r="G1660" t="s">
        <v>164</v>
      </c>
      <c r="H1660" t="s">
        <v>165</v>
      </c>
      <c r="I1660" t="s">
        <v>34</v>
      </c>
      <c r="J1660" t="s">
        <v>166</v>
      </c>
      <c r="K1660" t="s">
        <v>41</v>
      </c>
      <c r="L1660" t="s">
        <v>8752</v>
      </c>
      <c r="M1660" t="s">
        <v>8753</v>
      </c>
      <c r="N1660" t="s">
        <v>847</v>
      </c>
      <c r="O1660" t="s">
        <v>100</v>
      </c>
      <c r="P1660" t="s">
        <v>8754</v>
      </c>
      <c r="Q1660" t="s">
        <v>274</v>
      </c>
      <c r="R1660" t="s">
        <v>822</v>
      </c>
      <c r="S1660">
        <v>3.04</v>
      </c>
      <c r="T1660">
        <v>3797</v>
      </c>
      <c r="U1660">
        <v>0</v>
      </c>
      <c r="V1660">
        <v>3797</v>
      </c>
    </row>
    <row r="1661" spans="1:22" x14ac:dyDescent="0.3">
      <c r="A1661">
        <v>187830</v>
      </c>
      <c r="B1661">
        <v>137499213</v>
      </c>
      <c r="C1661" t="s">
        <v>8755</v>
      </c>
      <c r="D1661" t="s">
        <v>8756</v>
      </c>
      <c r="E1661" t="s">
        <v>8703</v>
      </c>
      <c r="F1661" t="s">
        <v>844</v>
      </c>
      <c r="G1661" t="s">
        <v>164</v>
      </c>
      <c r="H1661" t="s">
        <v>165</v>
      </c>
      <c r="I1661" t="s">
        <v>34</v>
      </c>
      <c r="J1661" t="s">
        <v>166</v>
      </c>
      <c r="K1661" t="s">
        <v>41</v>
      </c>
      <c r="L1661" t="s">
        <v>8757</v>
      </c>
      <c r="M1661" t="s">
        <v>8758</v>
      </c>
      <c r="N1661" t="s">
        <v>847</v>
      </c>
      <c r="O1661" t="s">
        <v>100</v>
      </c>
      <c r="P1661" t="s">
        <v>8759</v>
      </c>
      <c r="Q1661" t="s">
        <v>61</v>
      </c>
      <c r="R1661" t="s">
        <v>8718</v>
      </c>
      <c r="S1661">
        <v>1.95</v>
      </c>
      <c r="T1661">
        <v>4067</v>
      </c>
      <c r="U1661">
        <v>0</v>
      </c>
      <c r="V1661">
        <v>4067</v>
      </c>
    </row>
    <row r="1662" spans="1:22" x14ac:dyDescent="0.3">
      <c r="A1662">
        <v>187830</v>
      </c>
      <c r="B1662">
        <v>137513282</v>
      </c>
      <c r="C1662" t="s">
        <v>8760</v>
      </c>
      <c r="D1662" t="s">
        <v>8761</v>
      </c>
      <c r="E1662" t="s">
        <v>8703</v>
      </c>
      <c r="F1662" t="s">
        <v>844</v>
      </c>
      <c r="G1662" t="s">
        <v>164</v>
      </c>
      <c r="H1662" t="s">
        <v>165</v>
      </c>
      <c r="I1662" t="s">
        <v>34</v>
      </c>
      <c r="J1662" t="s">
        <v>166</v>
      </c>
      <c r="K1662" t="s">
        <v>41</v>
      </c>
      <c r="L1662" t="s">
        <v>8762</v>
      </c>
      <c r="M1662" t="s">
        <v>8763</v>
      </c>
      <c r="N1662" t="s">
        <v>847</v>
      </c>
      <c r="O1662" t="s">
        <v>100</v>
      </c>
      <c r="P1662" t="s">
        <v>8764</v>
      </c>
      <c r="Q1662" t="s">
        <v>84</v>
      </c>
      <c r="R1662" t="s">
        <v>669</v>
      </c>
      <c r="S1662">
        <v>1.86</v>
      </c>
      <c r="T1662">
        <v>3366</v>
      </c>
      <c r="U1662">
        <v>0</v>
      </c>
      <c r="V1662">
        <v>3366</v>
      </c>
    </row>
    <row r="1663" spans="1:22" x14ac:dyDescent="0.3">
      <c r="A1663">
        <v>187830</v>
      </c>
      <c r="B1663">
        <v>137468962</v>
      </c>
      <c r="C1663" t="s">
        <v>8765</v>
      </c>
      <c r="D1663" t="s">
        <v>8766</v>
      </c>
      <c r="E1663" t="s">
        <v>8703</v>
      </c>
      <c r="F1663" t="s">
        <v>844</v>
      </c>
      <c r="G1663" t="s">
        <v>164</v>
      </c>
      <c r="H1663" t="s">
        <v>165</v>
      </c>
      <c r="I1663" t="s">
        <v>34</v>
      </c>
      <c r="J1663" t="s">
        <v>166</v>
      </c>
      <c r="K1663" t="s">
        <v>41</v>
      </c>
      <c r="L1663" t="s">
        <v>8767</v>
      </c>
      <c r="M1663" t="s">
        <v>8768</v>
      </c>
      <c r="N1663" t="s">
        <v>847</v>
      </c>
      <c r="O1663" t="s">
        <v>100</v>
      </c>
      <c r="P1663" t="s">
        <v>8769</v>
      </c>
      <c r="Q1663" t="s">
        <v>76</v>
      </c>
      <c r="R1663" t="s">
        <v>822</v>
      </c>
      <c r="S1663">
        <v>0.71</v>
      </c>
      <c r="T1663">
        <v>3753</v>
      </c>
      <c r="U1663">
        <v>0</v>
      </c>
      <c r="V1663">
        <v>3753</v>
      </c>
    </row>
    <row r="1664" spans="1:22" x14ac:dyDescent="0.3">
      <c r="A1664">
        <v>187830</v>
      </c>
      <c r="B1664">
        <v>137468975</v>
      </c>
      <c r="C1664" t="s">
        <v>8770</v>
      </c>
      <c r="D1664" t="s">
        <v>8771</v>
      </c>
      <c r="E1664" t="s">
        <v>8703</v>
      </c>
      <c r="F1664" t="s">
        <v>844</v>
      </c>
      <c r="G1664" t="s">
        <v>164</v>
      </c>
      <c r="H1664" t="s">
        <v>165</v>
      </c>
      <c r="I1664" t="s">
        <v>34</v>
      </c>
      <c r="J1664" t="s">
        <v>166</v>
      </c>
      <c r="K1664" t="s">
        <v>41</v>
      </c>
      <c r="L1664" t="s">
        <v>8772</v>
      </c>
      <c r="M1664" t="s">
        <v>8773</v>
      </c>
      <c r="N1664" t="s">
        <v>847</v>
      </c>
      <c r="O1664" t="s">
        <v>100</v>
      </c>
      <c r="P1664" t="s">
        <v>8774</v>
      </c>
      <c r="Q1664" t="s">
        <v>69</v>
      </c>
      <c r="R1664" t="s">
        <v>822</v>
      </c>
      <c r="S1664">
        <v>2.08</v>
      </c>
      <c r="T1664">
        <v>3753</v>
      </c>
      <c r="U1664">
        <v>0</v>
      </c>
      <c r="V1664">
        <v>3753</v>
      </c>
    </row>
    <row r="1665" spans="1:22" x14ac:dyDescent="0.3">
      <c r="A1665">
        <v>187830</v>
      </c>
      <c r="B1665">
        <v>137499199</v>
      </c>
      <c r="C1665" t="s">
        <v>8775</v>
      </c>
      <c r="D1665" t="s">
        <v>8776</v>
      </c>
      <c r="E1665" t="s">
        <v>8703</v>
      </c>
      <c r="F1665" t="s">
        <v>844</v>
      </c>
      <c r="G1665" t="s">
        <v>164</v>
      </c>
      <c r="H1665" t="s">
        <v>165</v>
      </c>
      <c r="I1665" t="s">
        <v>34</v>
      </c>
      <c r="J1665" t="s">
        <v>166</v>
      </c>
      <c r="K1665" t="s">
        <v>41</v>
      </c>
      <c r="L1665" t="s">
        <v>8777</v>
      </c>
      <c r="M1665" t="s">
        <v>8778</v>
      </c>
      <c r="N1665" t="s">
        <v>847</v>
      </c>
      <c r="O1665" t="s">
        <v>100</v>
      </c>
      <c r="P1665" t="s">
        <v>8779</v>
      </c>
      <c r="Q1665" t="s">
        <v>110</v>
      </c>
      <c r="R1665" t="s">
        <v>8718</v>
      </c>
      <c r="S1665">
        <v>2.0699999999999998</v>
      </c>
      <c r="T1665">
        <v>7506</v>
      </c>
      <c r="U1665">
        <v>0</v>
      </c>
      <c r="V1665">
        <v>7506</v>
      </c>
    </row>
    <row r="1666" spans="1:22" x14ac:dyDescent="0.3">
      <c r="A1666">
        <v>187830</v>
      </c>
      <c r="B1666">
        <v>137468924</v>
      </c>
      <c r="C1666" t="s">
        <v>8780</v>
      </c>
      <c r="D1666" t="s">
        <v>8781</v>
      </c>
      <c r="E1666" t="s">
        <v>8703</v>
      </c>
      <c r="F1666" t="s">
        <v>844</v>
      </c>
      <c r="G1666" t="s">
        <v>164</v>
      </c>
      <c r="H1666" t="s">
        <v>165</v>
      </c>
      <c r="I1666" t="s">
        <v>34</v>
      </c>
      <c r="J1666" t="s">
        <v>166</v>
      </c>
      <c r="K1666" t="s">
        <v>44</v>
      </c>
      <c r="L1666" t="s">
        <v>188</v>
      </c>
      <c r="M1666" t="s">
        <v>8782</v>
      </c>
      <c r="N1666" t="s">
        <v>847</v>
      </c>
      <c r="O1666" t="s">
        <v>100</v>
      </c>
      <c r="P1666" t="s">
        <v>8783</v>
      </c>
      <c r="Q1666" t="s">
        <v>90</v>
      </c>
      <c r="R1666" t="s">
        <v>8724</v>
      </c>
      <c r="S1666">
        <v>1.56</v>
      </c>
      <c r="T1666">
        <v>3870</v>
      </c>
      <c r="U1666">
        <v>0</v>
      </c>
      <c r="V1666">
        <v>3870</v>
      </c>
    </row>
    <row r="1667" spans="1:22" x14ac:dyDescent="0.3">
      <c r="A1667">
        <v>187830</v>
      </c>
      <c r="B1667">
        <v>137390286</v>
      </c>
      <c r="C1667" t="s">
        <v>8784</v>
      </c>
      <c r="D1667" t="s">
        <v>8785</v>
      </c>
      <c r="E1667" t="s">
        <v>8703</v>
      </c>
      <c r="F1667" t="s">
        <v>844</v>
      </c>
      <c r="G1667" t="s">
        <v>164</v>
      </c>
      <c r="H1667" t="s">
        <v>165</v>
      </c>
      <c r="I1667" t="s">
        <v>34</v>
      </c>
      <c r="J1667" t="s">
        <v>166</v>
      </c>
      <c r="K1667" t="s">
        <v>41</v>
      </c>
      <c r="L1667" t="s">
        <v>8786</v>
      </c>
      <c r="M1667" t="s">
        <v>8787</v>
      </c>
      <c r="N1667" t="s">
        <v>847</v>
      </c>
      <c r="O1667" t="s">
        <v>100</v>
      </c>
      <c r="P1667" t="s">
        <v>8788</v>
      </c>
      <c r="Q1667" t="s">
        <v>308</v>
      </c>
      <c r="R1667" t="s">
        <v>319</v>
      </c>
      <c r="S1667">
        <v>0.78</v>
      </c>
      <c r="T1667">
        <v>3753</v>
      </c>
      <c r="U1667">
        <v>0</v>
      </c>
      <c r="V1667">
        <v>3753</v>
      </c>
    </row>
    <row r="1668" spans="1:22" x14ac:dyDescent="0.3">
      <c r="A1668">
        <v>187830</v>
      </c>
      <c r="B1668">
        <v>137359948</v>
      </c>
      <c r="C1668" t="s">
        <v>8789</v>
      </c>
      <c r="D1668" t="s">
        <v>8790</v>
      </c>
      <c r="E1668" t="s">
        <v>8703</v>
      </c>
      <c r="F1668" t="s">
        <v>844</v>
      </c>
      <c r="G1668" t="s">
        <v>164</v>
      </c>
      <c r="H1668" t="s">
        <v>165</v>
      </c>
      <c r="I1668" t="s">
        <v>34</v>
      </c>
      <c r="J1668" t="s">
        <v>166</v>
      </c>
      <c r="K1668" t="s">
        <v>41</v>
      </c>
      <c r="L1668" t="s">
        <v>8791</v>
      </c>
      <c r="M1668" t="s">
        <v>8792</v>
      </c>
      <c r="N1668" t="s">
        <v>847</v>
      </c>
      <c r="O1668" t="s">
        <v>100</v>
      </c>
      <c r="P1668" t="s">
        <v>8793</v>
      </c>
      <c r="Q1668" t="s">
        <v>65</v>
      </c>
      <c r="R1668" t="s">
        <v>8794</v>
      </c>
      <c r="S1668">
        <v>1.58</v>
      </c>
      <c r="T1668">
        <v>4067</v>
      </c>
      <c r="U1668">
        <v>0</v>
      </c>
      <c r="V1668">
        <v>4067</v>
      </c>
    </row>
    <row r="1669" spans="1:22" x14ac:dyDescent="0.3">
      <c r="A1669">
        <v>187830</v>
      </c>
      <c r="B1669">
        <v>137359945</v>
      </c>
      <c r="C1669" t="s">
        <v>8795</v>
      </c>
      <c r="D1669" t="s">
        <v>8796</v>
      </c>
      <c r="E1669" t="s">
        <v>8703</v>
      </c>
      <c r="F1669" t="s">
        <v>844</v>
      </c>
      <c r="G1669" t="s">
        <v>164</v>
      </c>
      <c r="H1669" t="s">
        <v>165</v>
      </c>
      <c r="I1669" t="s">
        <v>34</v>
      </c>
      <c r="J1669" t="s">
        <v>166</v>
      </c>
      <c r="K1669" t="s">
        <v>41</v>
      </c>
      <c r="L1669" t="s">
        <v>8797</v>
      </c>
      <c r="M1669" t="s">
        <v>8798</v>
      </c>
      <c r="N1669" t="s">
        <v>847</v>
      </c>
      <c r="O1669" t="s">
        <v>100</v>
      </c>
      <c r="P1669" t="s">
        <v>8799</v>
      </c>
      <c r="Q1669" t="s">
        <v>87</v>
      </c>
      <c r="R1669" t="s">
        <v>8794</v>
      </c>
      <c r="S1669">
        <v>0.71</v>
      </c>
      <c r="T1669">
        <v>3366</v>
      </c>
      <c r="U1669">
        <v>0</v>
      </c>
      <c r="V1669">
        <v>3366</v>
      </c>
    </row>
    <row r="1670" spans="1:22" x14ac:dyDescent="0.3">
      <c r="A1670">
        <v>187830</v>
      </c>
      <c r="B1670">
        <v>136921502</v>
      </c>
      <c r="C1670" t="s">
        <v>8800</v>
      </c>
      <c r="D1670" t="s">
        <v>8801</v>
      </c>
      <c r="E1670" t="s">
        <v>8703</v>
      </c>
      <c r="F1670" t="s">
        <v>844</v>
      </c>
      <c r="G1670" t="s">
        <v>164</v>
      </c>
      <c r="H1670" t="s">
        <v>165</v>
      </c>
      <c r="I1670" t="s">
        <v>34</v>
      </c>
      <c r="J1670" t="s">
        <v>166</v>
      </c>
      <c r="K1670" t="s">
        <v>41</v>
      </c>
      <c r="L1670" t="s">
        <v>8802</v>
      </c>
      <c r="M1670" t="s">
        <v>8803</v>
      </c>
      <c r="N1670" t="s">
        <v>847</v>
      </c>
      <c r="O1670" t="s">
        <v>100</v>
      </c>
      <c r="P1670" t="s">
        <v>8804</v>
      </c>
      <c r="Q1670" t="s">
        <v>63</v>
      </c>
      <c r="R1670" t="s">
        <v>8805</v>
      </c>
      <c r="S1670">
        <v>2.52</v>
      </c>
      <c r="T1670">
        <v>4067</v>
      </c>
      <c r="U1670">
        <v>0</v>
      </c>
      <c r="V1670">
        <v>4067</v>
      </c>
    </row>
    <row r="1671" spans="1:22" x14ac:dyDescent="0.3">
      <c r="A1671">
        <v>187830</v>
      </c>
      <c r="B1671">
        <v>137291450</v>
      </c>
      <c r="C1671" t="s">
        <v>8806</v>
      </c>
      <c r="D1671" t="s">
        <v>8807</v>
      </c>
      <c r="E1671" t="s">
        <v>8703</v>
      </c>
      <c r="F1671" t="s">
        <v>844</v>
      </c>
      <c r="G1671" t="s">
        <v>164</v>
      </c>
      <c r="H1671" t="s">
        <v>165</v>
      </c>
      <c r="I1671" t="s">
        <v>34</v>
      </c>
      <c r="J1671" t="s">
        <v>166</v>
      </c>
      <c r="K1671" t="s">
        <v>41</v>
      </c>
      <c r="L1671" t="s">
        <v>8808</v>
      </c>
      <c r="M1671" t="s">
        <v>8809</v>
      </c>
      <c r="N1671" t="s">
        <v>847</v>
      </c>
      <c r="O1671" t="s">
        <v>100</v>
      </c>
      <c r="P1671" t="s">
        <v>8810</v>
      </c>
      <c r="Q1671" t="s">
        <v>57</v>
      </c>
      <c r="R1671" t="s">
        <v>8811</v>
      </c>
      <c r="S1671">
        <v>3.03</v>
      </c>
      <c r="T1671">
        <v>7749</v>
      </c>
      <c r="U1671">
        <v>0</v>
      </c>
      <c r="V1671">
        <v>7749</v>
      </c>
    </row>
    <row r="1672" spans="1:22" x14ac:dyDescent="0.3">
      <c r="A1672">
        <v>187830</v>
      </c>
      <c r="B1672">
        <v>137390295</v>
      </c>
      <c r="C1672" t="s">
        <v>8812</v>
      </c>
      <c r="D1672" t="s">
        <v>8813</v>
      </c>
      <c r="E1672" t="s">
        <v>8703</v>
      </c>
      <c r="F1672" t="s">
        <v>844</v>
      </c>
      <c r="G1672" t="s">
        <v>164</v>
      </c>
      <c r="H1672" t="s">
        <v>165</v>
      </c>
      <c r="I1672" t="s">
        <v>34</v>
      </c>
      <c r="J1672" t="s">
        <v>166</v>
      </c>
      <c r="K1672" t="s">
        <v>41</v>
      </c>
      <c r="L1672" t="s">
        <v>8814</v>
      </c>
      <c r="M1672" t="s">
        <v>8815</v>
      </c>
      <c r="N1672" t="s">
        <v>847</v>
      </c>
      <c r="O1672" t="s">
        <v>100</v>
      </c>
      <c r="P1672" t="s">
        <v>8816</v>
      </c>
      <c r="Q1672" t="s">
        <v>63</v>
      </c>
      <c r="R1672" t="s">
        <v>319</v>
      </c>
      <c r="S1672">
        <v>2.04</v>
      </c>
      <c r="T1672">
        <v>4067</v>
      </c>
      <c r="U1672">
        <v>0</v>
      </c>
      <c r="V1672">
        <v>4067</v>
      </c>
    </row>
    <row r="1673" spans="1:22" x14ac:dyDescent="0.3">
      <c r="A1673">
        <v>187830</v>
      </c>
      <c r="B1673">
        <v>137329043</v>
      </c>
      <c r="C1673" t="s">
        <v>8817</v>
      </c>
      <c r="D1673" t="s">
        <v>8818</v>
      </c>
      <c r="E1673" t="s">
        <v>8703</v>
      </c>
      <c r="F1673" t="s">
        <v>844</v>
      </c>
      <c r="G1673" t="s">
        <v>164</v>
      </c>
      <c r="H1673" t="s">
        <v>165</v>
      </c>
      <c r="I1673" t="s">
        <v>34</v>
      </c>
      <c r="J1673" t="s">
        <v>166</v>
      </c>
      <c r="K1673" t="s">
        <v>41</v>
      </c>
      <c r="L1673" t="s">
        <v>8819</v>
      </c>
      <c r="M1673" t="s">
        <v>8820</v>
      </c>
      <c r="N1673" t="s">
        <v>847</v>
      </c>
      <c r="O1673" t="s">
        <v>100</v>
      </c>
      <c r="P1673" t="s">
        <v>8821</v>
      </c>
      <c r="Q1673" t="s">
        <v>71</v>
      </c>
      <c r="R1673" t="s">
        <v>680</v>
      </c>
      <c r="S1673">
        <v>2.29</v>
      </c>
      <c r="T1673">
        <v>3501</v>
      </c>
      <c r="U1673">
        <v>0</v>
      </c>
      <c r="V1673">
        <v>3501</v>
      </c>
    </row>
    <row r="1674" spans="1:22" x14ac:dyDescent="0.3">
      <c r="A1674">
        <v>187830</v>
      </c>
      <c r="B1674">
        <v>137390306</v>
      </c>
      <c r="C1674" t="s">
        <v>8822</v>
      </c>
      <c r="D1674" t="s">
        <v>8823</v>
      </c>
      <c r="E1674" t="s">
        <v>8703</v>
      </c>
      <c r="F1674" t="s">
        <v>844</v>
      </c>
      <c r="G1674" t="s">
        <v>164</v>
      </c>
      <c r="H1674" t="s">
        <v>165</v>
      </c>
      <c r="I1674" t="s">
        <v>34</v>
      </c>
      <c r="J1674" t="s">
        <v>166</v>
      </c>
      <c r="K1674" t="s">
        <v>44</v>
      </c>
      <c r="L1674" t="s">
        <v>188</v>
      </c>
      <c r="M1674" t="s">
        <v>8824</v>
      </c>
      <c r="N1674" t="s">
        <v>847</v>
      </c>
      <c r="O1674" t="s">
        <v>100</v>
      </c>
      <c r="P1674" t="s">
        <v>8825</v>
      </c>
      <c r="Q1674" t="s">
        <v>70</v>
      </c>
      <c r="R1674" t="s">
        <v>319</v>
      </c>
      <c r="S1674">
        <v>2.37</v>
      </c>
      <c r="T1674">
        <v>3501</v>
      </c>
      <c r="U1674">
        <v>0</v>
      </c>
      <c r="V1674">
        <v>3501</v>
      </c>
    </row>
    <row r="1675" spans="1:22" x14ac:dyDescent="0.3">
      <c r="A1675">
        <v>187830</v>
      </c>
      <c r="B1675">
        <v>137390303</v>
      </c>
      <c r="C1675" t="s">
        <v>8826</v>
      </c>
      <c r="D1675" t="s">
        <v>8827</v>
      </c>
      <c r="E1675" t="s">
        <v>8703</v>
      </c>
      <c r="F1675" t="s">
        <v>844</v>
      </c>
      <c r="G1675" t="s">
        <v>164</v>
      </c>
      <c r="H1675" t="s">
        <v>165</v>
      </c>
      <c r="I1675" t="s">
        <v>34</v>
      </c>
      <c r="J1675" t="s">
        <v>166</v>
      </c>
      <c r="K1675" t="s">
        <v>41</v>
      </c>
      <c r="L1675" t="s">
        <v>8828</v>
      </c>
      <c r="M1675" t="s">
        <v>8829</v>
      </c>
      <c r="N1675" t="s">
        <v>847</v>
      </c>
      <c r="O1675" t="s">
        <v>100</v>
      </c>
      <c r="P1675" t="s">
        <v>8830</v>
      </c>
      <c r="Q1675" t="s">
        <v>77</v>
      </c>
      <c r="R1675" t="s">
        <v>319</v>
      </c>
      <c r="S1675">
        <v>1.26</v>
      </c>
      <c r="T1675">
        <v>7506</v>
      </c>
      <c r="U1675">
        <v>0</v>
      </c>
      <c r="V1675">
        <v>7506</v>
      </c>
    </row>
    <row r="1676" spans="1:22" x14ac:dyDescent="0.3">
      <c r="A1676">
        <v>187830</v>
      </c>
      <c r="B1676">
        <v>137169497</v>
      </c>
      <c r="C1676" t="s">
        <v>8831</v>
      </c>
      <c r="D1676" t="s">
        <v>8832</v>
      </c>
      <c r="E1676" t="s">
        <v>8703</v>
      </c>
      <c r="F1676" t="s">
        <v>844</v>
      </c>
      <c r="G1676" t="s">
        <v>164</v>
      </c>
      <c r="H1676" t="s">
        <v>165</v>
      </c>
      <c r="I1676" t="s">
        <v>34</v>
      </c>
      <c r="J1676" t="s">
        <v>166</v>
      </c>
      <c r="K1676" t="s">
        <v>41</v>
      </c>
      <c r="L1676" t="s">
        <v>8833</v>
      </c>
      <c r="M1676" t="s">
        <v>8834</v>
      </c>
      <c r="N1676" t="s">
        <v>847</v>
      </c>
      <c r="O1676" t="s">
        <v>100</v>
      </c>
      <c r="P1676" t="s">
        <v>8835</v>
      </c>
      <c r="Q1676" t="s">
        <v>69</v>
      </c>
      <c r="R1676" t="s">
        <v>284</v>
      </c>
      <c r="S1676">
        <v>0.93</v>
      </c>
      <c r="T1676">
        <v>3753</v>
      </c>
      <c r="U1676">
        <v>0</v>
      </c>
      <c r="V1676">
        <v>3753</v>
      </c>
    </row>
    <row r="1677" spans="1:22" x14ac:dyDescent="0.3">
      <c r="A1677">
        <v>187830</v>
      </c>
      <c r="B1677">
        <v>136998077</v>
      </c>
      <c r="C1677" t="s">
        <v>8836</v>
      </c>
      <c r="D1677" t="s">
        <v>8837</v>
      </c>
      <c r="E1677" t="s">
        <v>8703</v>
      </c>
      <c r="F1677" t="s">
        <v>844</v>
      </c>
      <c r="G1677" t="s">
        <v>164</v>
      </c>
      <c r="H1677" t="s">
        <v>165</v>
      </c>
      <c r="I1677" t="s">
        <v>34</v>
      </c>
      <c r="J1677" t="s">
        <v>166</v>
      </c>
      <c r="K1677" t="s">
        <v>41</v>
      </c>
      <c r="L1677" t="s">
        <v>8838</v>
      </c>
      <c r="M1677" t="s">
        <v>8839</v>
      </c>
      <c r="N1677" t="s">
        <v>847</v>
      </c>
      <c r="O1677" t="s">
        <v>100</v>
      </c>
      <c r="P1677" t="s">
        <v>8840</v>
      </c>
      <c r="Q1677" t="s">
        <v>109</v>
      </c>
      <c r="R1677" t="s">
        <v>8841</v>
      </c>
      <c r="S1677">
        <v>1</v>
      </c>
      <c r="T1677">
        <v>4346</v>
      </c>
      <c r="U1677">
        <v>0</v>
      </c>
      <c r="V1677">
        <v>4346</v>
      </c>
    </row>
    <row r="1678" spans="1:22" x14ac:dyDescent="0.3">
      <c r="A1678">
        <v>187830</v>
      </c>
      <c r="B1678">
        <v>137291446</v>
      </c>
      <c r="C1678" t="s">
        <v>8842</v>
      </c>
      <c r="D1678" t="s">
        <v>8843</v>
      </c>
      <c r="E1678" t="s">
        <v>8703</v>
      </c>
      <c r="F1678" t="s">
        <v>844</v>
      </c>
      <c r="G1678" t="s">
        <v>164</v>
      </c>
      <c r="H1678" t="s">
        <v>165</v>
      </c>
      <c r="I1678" t="s">
        <v>34</v>
      </c>
      <c r="J1678" t="s">
        <v>166</v>
      </c>
      <c r="K1678" t="s">
        <v>41</v>
      </c>
      <c r="L1678" t="s">
        <v>8844</v>
      </c>
      <c r="M1678" t="s">
        <v>8845</v>
      </c>
      <c r="N1678" t="s">
        <v>847</v>
      </c>
      <c r="O1678" t="s">
        <v>100</v>
      </c>
      <c r="P1678" t="s">
        <v>8846</v>
      </c>
      <c r="Q1678" t="s">
        <v>94</v>
      </c>
      <c r="R1678" t="s">
        <v>8811</v>
      </c>
      <c r="S1678">
        <v>1.72</v>
      </c>
      <c r="T1678">
        <v>3366</v>
      </c>
      <c r="U1678">
        <v>0</v>
      </c>
      <c r="V1678">
        <v>3366</v>
      </c>
    </row>
    <row r="1679" spans="1:22" x14ac:dyDescent="0.3">
      <c r="A1679">
        <v>187830</v>
      </c>
      <c r="B1679">
        <v>137206698</v>
      </c>
      <c r="C1679" t="s">
        <v>8847</v>
      </c>
      <c r="D1679" t="s">
        <v>8848</v>
      </c>
      <c r="E1679" t="s">
        <v>8703</v>
      </c>
      <c r="F1679" t="s">
        <v>844</v>
      </c>
      <c r="G1679" t="s">
        <v>164</v>
      </c>
      <c r="H1679" t="s">
        <v>165</v>
      </c>
      <c r="I1679" t="s">
        <v>34</v>
      </c>
      <c r="J1679" t="s">
        <v>166</v>
      </c>
      <c r="K1679" t="s">
        <v>41</v>
      </c>
      <c r="L1679" t="s">
        <v>8849</v>
      </c>
      <c r="M1679" t="s">
        <v>8850</v>
      </c>
      <c r="N1679" t="s">
        <v>847</v>
      </c>
      <c r="O1679" t="s">
        <v>100</v>
      </c>
      <c r="P1679" t="s">
        <v>8851</v>
      </c>
      <c r="Q1679" t="s">
        <v>71</v>
      </c>
      <c r="R1679" t="s">
        <v>447</v>
      </c>
      <c r="S1679">
        <v>2.08</v>
      </c>
      <c r="T1679">
        <v>3501</v>
      </c>
      <c r="U1679">
        <v>0</v>
      </c>
      <c r="V1679">
        <v>3501</v>
      </c>
    </row>
    <row r="1680" spans="1:22" x14ac:dyDescent="0.3">
      <c r="A1680">
        <v>187830</v>
      </c>
      <c r="B1680">
        <v>137206651</v>
      </c>
      <c r="C1680" t="s">
        <v>8852</v>
      </c>
      <c r="D1680" t="s">
        <v>8853</v>
      </c>
      <c r="E1680" t="s">
        <v>8703</v>
      </c>
      <c r="F1680" t="s">
        <v>844</v>
      </c>
      <c r="G1680" t="s">
        <v>164</v>
      </c>
      <c r="H1680" t="s">
        <v>165</v>
      </c>
      <c r="I1680" t="s">
        <v>34</v>
      </c>
      <c r="J1680" t="s">
        <v>166</v>
      </c>
      <c r="K1680" t="s">
        <v>41</v>
      </c>
      <c r="L1680" t="s">
        <v>8854</v>
      </c>
      <c r="M1680" t="s">
        <v>8855</v>
      </c>
      <c r="N1680" t="s">
        <v>847</v>
      </c>
      <c r="O1680" t="s">
        <v>100</v>
      </c>
      <c r="P1680" t="s">
        <v>8856</v>
      </c>
      <c r="Q1680" t="s">
        <v>308</v>
      </c>
      <c r="R1680" t="s">
        <v>447</v>
      </c>
      <c r="S1680">
        <v>1</v>
      </c>
      <c r="T1680">
        <v>3753</v>
      </c>
      <c r="U1680">
        <v>0</v>
      </c>
      <c r="V1680">
        <v>3753</v>
      </c>
    </row>
    <row r="1681" spans="1:22" x14ac:dyDescent="0.3">
      <c r="A1681">
        <v>187830</v>
      </c>
      <c r="B1681">
        <v>137085800</v>
      </c>
      <c r="C1681" t="s">
        <v>8857</v>
      </c>
      <c r="D1681" t="s">
        <v>8858</v>
      </c>
      <c r="E1681" t="s">
        <v>8703</v>
      </c>
      <c r="F1681" t="s">
        <v>844</v>
      </c>
      <c r="G1681" t="s">
        <v>164</v>
      </c>
      <c r="H1681" t="s">
        <v>165</v>
      </c>
      <c r="I1681" t="s">
        <v>34</v>
      </c>
      <c r="J1681" t="s">
        <v>166</v>
      </c>
      <c r="K1681" t="s">
        <v>41</v>
      </c>
      <c r="L1681" t="s">
        <v>8859</v>
      </c>
      <c r="M1681" t="s">
        <v>8860</v>
      </c>
      <c r="N1681" t="s">
        <v>847</v>
      </c>
      <c r="O1681" t="s">
        <v>100</v>
      </c>
      <c r="P1681" t="s">
        <v>8861</v>
      </c>
      <c r="Q1681" t="s">
        <v>63</v>
      </c>
      <c r="R1681" t="s">
        <v>531</v>
      </c>
      <c r="S1681">
        <v>0.22</v>
      </c>
      <c r="T1681">
        <v>3680</v>
      </c>
      <c r="U1681">
        <v>0</v>
      </c>
      <c r="V1681">
        <v>3680</v>
      </c>
    </row>
    <row r="1682" spans="1:22" x14ac:dyDescent="0.3">
      <c r="A1682">
        <v>187830</v>
      </c>
      <c r="B1682">
        <v>137329052</v>
      </c>
      <c r="C1682" t="s">
        <v>8862</v>
      </c>
      <c r="D1682" t="s">
        <v>8863</v>
      </c>
      <c r="E1682" t="s">
        <v>8703</v>
      </c>
      <c r="F1682" t="s">
        <v>844</v>
      </c>
      <c r="G1682" t="s">
        <v>164</v>
      </c>
      <c r="H1682" t="s">
        <v>165</v>
      </c>
      <c r="I1682" t="s">
        <v>34</v>
      </c>
      <c r="J1682" t="s">
        <v>166</v>
      </c>
      <c r="K1682" t="s">
        <v>41</v>
      </c>
      <c r="L1682" t="s">
        <v>8864</v>
      </c>
      <c r="M1682" t="s">
        <v>8865</v>
      </c>
      <c r="N1682" t="s">
        <v>847</v>
      </c>
      <c r="O1682" t="s">
        <v>100</v>
      </c>
      <c r="P1682" t="s">
        <v>8866</v>
      </c>
      <c r="Q1682" t="s">
        <v>59</v>
      </c>
      <c r="R1682" t="s">
        <v>680</v>
      </c>
      <c r="S1682">
        <v>2.29</v>
      </c>
      <c r="T1682">
        <v>4067</v>
      </c>
      <c r="U1682">
        <v>0</v>
      </c>
      <c r="V1682">
        <v>4067</v>
      </c>
    </row>
    <row r="1683" spans="1:22" x14ac:dyDescent="0.3">
      <c r="A1683">
        <v>187830</v>
      </c>
      <c r="B1683">
        <v>137253294</v>
      </c>
      <c r="C1683" t="s">
        <v>8867</v>
      </c>
      <c r="D1683" t="s">
        <v>8868</v>
      </c>
      <c r="E1683" t="s">
        <v>8703</v>
      </c>
      <c r="F1683" t="s">
        <v>844</v>
      </c>
      <c r="G1683" t="s">
        <v>164</v>
      </c>
      <c r="H1683" t="s">
        <v>165</v>
      </c>
      <c r="I1683" t="s">
        <v>34</v>
      </c>
      <c r="J1683" t="s">
        <v>166</v>
      </c>
      <c r="K1683" t="s">
        <v>41</v>
      </c>
      <c r="L1683" t="s">
        <v>8869</v>
      </c>
      <c r="M1683" t="s">
        <v>8870</v>
      </c>
      <c r="N1683" t="s">
        <v>847</v>
      </c>
      <c r="O1683" t="s">
        <v>100</v>
      </c>
      <c r="P1683" t="s">
        <v>8871</v>
      </c>
      <c r="Q1683" t="s">
        <v>63</v>
      </c>
      <c r="R1683" t="s">
        <v>313</v>
      </c>
      <c r="S1683">
        <v>0.67</v>
      </c>
      <c r="T1683">
        <v>4067</v>
      </c>
      <c r="U1683">
        <v>0</v>
      </c>
      <c r="V1683">
        <v>4067</v>
      </c>
    </row>
    <row r="1684" spans="1:22" x14ac:dyDescent="0.3">
      <c r="A1684">
        <v>187830</v>
      </c>
      <c r="B1684">
        <v>137291449</v>
      </c>
      <c r="C1684" t="s">
        <v>8872</v>
      </c>
      <c r="D1684" t="s">
        <v>8873</v>
      </c>
      <c r="E1684" t="s">
        <v>8703</v>
      </c>
      <c r="F1684" t="s">
        <v>844</v>
      </c>
      <c r="G1684" t="s">
        <v>164</v>
      </c>
      <c r="H1684" t="s">
        <v>165</v>
      </c>
      <c r="I1684" t="s">
        <v>34</v>
      </c>
      <c r="J1684" t="s">
        <v>166</v>
      </c>
      <c r="K1684" t="s">
        <v>44</v>
      </c>
      <c r="L1684" t="s">
        <v>188</v>
      </c>
      <c r="M1684" t="s">
        <v>8874</v>
      </c>
      <c r="N1684" t="s">
        <v>847</v>
      </c>
      <c r="O1684" t="s">
        <v>100</v>
      </c>
      <c r="P1684" t="s">
        <v>8875</v>
      </c>
      <c r="Q1684" t="s">
        <v>210</v>
      </c>
      <c r="R1684" t="s">
        <v>8811</v>
      </c>
      <c r="S1684">
        <v>1.89</v>
      </c>
      <c r="T1684">
        <v>4346</v>
      </c>
      <c r="U1684">
        <v>0</v>
      </c>
      <c r="V1684">
        <v>4346</v>
      </c>
    </row>
    <row r="1685" spans="1:22" x14ac:dyDescent="0.3">
      <c r="A1685">
        <v>187830</v>
      </c>
      <c r="B1685">
        <v>137359951</v>
      </c>
      <c r="C1685" t="s">
        <v>8876</v>
      </c>
      <c r="D1685" t="s">
        <v>8877</v>
      </c>
      <c r="E1685" t="s">
        <v>8703</v>
      </c>
      <c r="F1685" t="s">
        <v>844</v>
      </c>
      <c r="G1685" t="s">
        <v>164</v>
      </c>
      <c r="H1685" t="s">
        <v>165</v>
      </c>
      <c r="I1685" t="s">
        <v>34</v>
      </c>
      <c r="J1685" t="s">
        <v>166</v>
      </c>
      <c r="K1685" t="s">
        <v>41</v>
      </c>
      <c r="L1685" t="s">
        <v>8878</v>
      </c>
      <c r="M1685" t="s">
        <v>8879</v>
      </c>
      <c r="N1685" t="s">
        <v>847</v>
      </c>
      <c r="O1685" t="s">
        <v>100</v>
      </c>
      <c r="P1685" t="s">
        <v>8880</v>
      </c>
      <c r="Q1685" t="s">
        <v>71</v>
      </c>
      <c r="R1685" t="s">
        <v>8794</v>
      </c>
      <c r="S1685">
        <v>0.22</v>
      </c>
      <c r="T1685">
        <v>3449</v>
      </c>
      <c r="U1685">
        <v>0</v>
      </c>
      <c r="V1685">
        <v>3449</v>
      </c>
    </row>
    <row r="1686" spans="1:22" x14ac:dyDescent="0.3">
      <c r="A1686">
        <v>187830</v>
      </c>
      <c r="B1686">
        <v>137206655</v>
      </c>
      <c r="C1686" t="s">
        <v>8881</v>
      </c>
      <c r="D1686" t="s">
        <v>8882</v>
      </c>
      <c r="E1686" t="s">
        <v>8703</v>
      </c>
      <c r="F1686" t="s">
        <v>844</v>
      </c>
      <c r="G1686" t="s">
        <v>164</v>
      </c>
      <c r="H1686" t="s">
        <v>165</v>
      </c>
      <c r="I1686" t="s">
        <v>34</v>
      </c>
      <c r="J1686" t="s">
        <v>166</v>
      </c>
      <c r="K1686" t="s">
        <v>41</v>
      </c>
      <c r="L1686" t="s">
        <v>8883</v>
      </c>
      <c r="M1686" t="s">
        <v>8884</v>
      </c>
      <c r="N1686" t="s">
        <v>847</v>
      </c>
      <c r="O1686" t="s">
        <v>100</v>
      </c>
      <c r="P1686" t="s">
        <v>8885</v>
      </c>
      <c r="Q1686" t="s">
        <v>55</v>
      </c>
      <c r="R1686" t="s">
        <v>447</v>
      </c>
      <c r="S1686">
        <v>1.6</v>
      </c>
      <c r="T1686">
        <v>5198</v>
      </c>
      <c r="U1686">
        <v>0</v>
      </c>
      <c r="V1686">
        <v>5198</v>
      </c>
    </row>
    <row r="1687" spans="1:22" x14ac:dyDescent="0.3">
      <c r="A1687">
        <v>187830</v>
      </c>
      <c r="B1687">
        <v>137329029</v>
      </c>
      <c r="C1687" t="s">
        <v>8886</v>
      </c>
      <c r="D1687" t="s">
        <v>8887</v>
      </c>
      <c r="E1687" t="s">
        <v>8703</v>
      </c>
      <c r="F1687" t="s">
        <v>844</v>
      </c>
      <c r="G1687" t="s">
        <v>164</v>
      </c>
      <c r="H1687" t="s">
        <v>165</v>
      </c>
      <c r="I1687" t="s">
        <v>34</v>
      </c>
      <c r="J1687" t="s">
        <v>166</v>
      </c>
      <c r="K1687" t="s">
        <v>41</v>
      </c>
      <c r="L1687" t="s">
        <v>8888</v>
      </c>
      <c r="M1687" t="s">
        <v>8889</v>
      </c>
      <c r="N1687" t="s">
        <v>847</v>
      </c>
      <c r="O1687" t="s">
        <v>100</v>
      </c>
      <c r="P1687" t="s">
        <v>8890</v>
      </c>
      <c r="Q1687" t="s">
        <v>98</v>
      </c>
      <c r="R1687" t="s">
        <v>680</v>
      </c>
      <c r="S1687">
        <v>2.31</v>
      </c>
      <c r="T1687">
        <v>3366</v>
      </c>
      <c r="U1687">
        <v>0</v>
      </c>
      <c r="V1687">
        <v>3366</v>
      </c>
    </row>
    <row r="1688" spans="1:22" x14ac:dyDescent="0.3">
      <c r="A1688">
        <v>187830</v>
      </c>
      <c r="B1688">
        <v>137291441</v>
      </c>
      <c r="C1688" t="s">
        <v>8891</v>
      </c>
      <c r="D1688" t="s">
        <v>8892</v>
      </c>
      <c r="E1688" t="s">
        <v>8703</v>
      </c>
      <c r="F1688" t="s">
        <v>844</v>
      </c>
      <c r="G1688" t="s">
        <v>164</v>
      </c>
      <c r="H1688" t="s">
        <v>165</v>
      </c>
      <c r="I1688" t="s">
        <v>34</v>
      </c>
      <c r="J1688" t="s">
        <v>166</v>
      </c>
      <c r="K1688" t="s">
        <v>41</v>
      </c>
      <c r="L1688" t="s">
        <v>8893</v>
      </c>
      <c r="M1688" t="s">
        <v>8894</v>
      </c>
      <c r="N1688" t="s">
        <v>847</v>
      </c>
      <c r="O1688" t="s">
        <v>100</v>
      </c>
      <c r="P1688" t="s">
        <v>8895</v>
      </c>
      <c r="Q1688" t="s">
        <v>94</v>
      </c>
      <c r="R1688" t="s">
        <v>8811</v>
      </c>
      <c r="S1688">
        <v>2.23</v>
      </c>
      <c r="T1688">
        <v>3366</v>
      </c>
      <c r="U1688">
        <v>0</v>
      </c>
      <c r="V1688">
        <v>3366</v>
      </c>
    </row>
    <row r="1689" spans="1:22" x14ac:dyDescent="0.3">
      <c r="A1689">
        <v>187830</v>
      </c>
      <c r="B1689">
        <v>137291442</v>
      </c>
      <c r="C1689" t="s">
        <v>8896</v>
      </c>
      <c r="D1689" t="s">
        <v>8897</v>
      </c>
      <c r="E1689" t="s">
        <v>8703</v>
      </c>
      <c r="F1689" t="s">
        <v>844</v>
      </c>
      <c r="G1689" t="s">
        <v>164</v>
      </c>
      <c r="H1689" t="s">
        <v>165</v>
      </c>
      <c r="I1689" t="s">
        <v>34</v>
      </c>
      <c r="J1689" t="s">
        <v>166</v>
      </c>
      <c r="K1689" t="s">
        <v>41</v>
      </c>
      <c r="L1689" t="s">
        <v>8898</v>
      </c>
      <c r="M1689" t="s">
        <v>8899</v>
      </c>
      <c r="N1689" t="s">
        <v>847</v>
      </c>
      <c r="O1689" t="s">
        <v>100</v>
      </c>
      <c r="P1689" t="s">
        <v>8900</v>
      </c>
      <c r="Q1689" t="s">
        <v>78</v>
      </c>
      <c r="R1689" t="s">
        <v>8811</v>
      </c>
      <c r="S1689">
        <v>2.8</v>
      </c>
      <c r="T1689">
        <v>3784</v>
      </c>
      <c r="U1689">
        <v>0</v>
      </c>
      <c r="V1689">
        <v>3784</v>
      </c>
    </row>
    <row r="1690" spans="1:22" x14ac:dyDescent="0.3">
      <c r="A1690">
        <v>187830</v>
      </c>
      <c r="B1690">
        <v>136273948</v>
      </c>
      <c r="C1690" t="s">
        <v>8901</v>
      </c>
      <c r="D1690" t="s">
        <v>8902</v>
      </c>
      <c r="E1690" t="s">
        <v>8703</v>
      </c>
      <c r="F1690" t="s">
        <v>844</v>
      </c>
      <c r="G1690" t="s">
        <v>164</v>
      </c>
      <c r="H1690" t="s">
        <v>165</v>
      </c>
      <c r="I1690" t="s">
        <v>34</v>
      </c>
      <c r="J1690" t="s">
        <v>166</v>
      </c>
      <c r="K1690" t="s">
        <v>41</v>
      </c>
      <c r="L1690" t="s">
        <v>8903</v>
      </c>
      <c r="M1690" t="s">
        <v>350</v>
      </c>
      <c r="N1690" t="s">
        <v>847</v>
      </c>
      <c r="O1690" t="s">
        <v>100</v>
      </c>
      <c r="P1690" t="s">
        <v>8904</v>
      </c>
      <c r="Q1690" t="s">
        <v>78</v>
      </c>
      <c r="R1690" t="s">
        <v>785</v>
      </c>
      <c r="S1690">
        <v>1</v>
      </c>
      <c r="T1690">
        <v>3784</v>
      </c>
      <c r="U1690">
        <v>0</v>
      </c>
      <c r="V1690">
        <v>3784</v>
      </c>
    </row>
    <row r="1691" spans="1:22" x14ac:dyDescent="0.3">
      <c r="A1691">
        <v>187830</v>
      </c>
      <c r="B1691">
        <v>136998058</v>
      </c>
      <c r="C1691" t="s">
        <v>8905</v>
      </c>
      <c r="D1691" t="s">
        <v>8906</v>
      </c>
      <c r="E1691" t="s">
        <v>8703</v>
      </c>
      <c r="F1691" t="s">
        <v>844</v>
      </c>
      <c r="G1691" t="s">
        <v>164</v>
      </c>
      <c r="H1691" t="s">
        <v>165</v>
      </c>
      <c r="I1691" t="s">
        <v>34</v>
      </c>
      <c r="J1691" t="s">
        <v>166</v>
      </c>
      <c r="K1691" t="s">
        <v>41</v>
      </c>
      <c r="L1691" t="s">
        <v>8907</v>
      </c>
      <c r="M1691" t="s">
        <v>8908</v>
      </c>
      <c r="N1691" t="s">
        <v>847</v>
      </c>
      <c r="O1691" t="s">
        <v>100</v>
      </c>
      <c r="P1691" t="s">
        <v>8909</v>
      </c>
      <c r="Q1691" t="s">
        <v>199</v>
      </c>
      <c r="R1691" t="s">
        <v>8841</v>
      </c>
      <c r="S1691">
        <v>1</v>
      </c>
      <c r="T1691">
        <v>4067</v>
      </c>
      <c r="U1691">
        <v>0</v>
      </c>
      <c r="V1691">
        <v>4067</v>
      </c>
    </row>
    <row r="1692" spans="1:22" x14ac:dyDescent="0.3">
      <c r="A1692">
        <v>187830</v>
      </c>
      <c r="B1692">
        <v>137253291</v>
      </c>
      <c r="C1692" t="s">
        <v>8910</v>
      </c>
      <c r="D1692" t="s">
        <v>8911</v>
      </c>
      <c r="E1692" t="s">
        <v>8703</v>
      </c>
      <c r="F1692" t="s">
        <v>844</v>
      </c>
      <c r="G1692" t="s">
        <v>164</v>
      </c>
      <c r="H1692" t="s">
        <v>165</v>
      </c>
      <c r="I1692" t="s">
        <v>34</v>
      </c>
      <c r="J1692" t="s">
        <v>166</v>
      </c>
      <c r="K1692" t="s">
        <v>41</v>
      </c>
      <c r="L1692" t="s">
        <v>8912</v>
      </c>
      <c r="M1692" t="s">
        <v>8913</v>
      </c>
      <c r="N1692" t="s">
        <v>847</v>
      </c>
      <c r="O1692" t="s">
        <v>100</v>
      </c>
      <c r="P1692" t="s">
        <v>8914</v>
      </c>
      <c r="Q1692" t="s">
        <v>84</v>
      </c>
      <c r="R1692" t="s">
        <v>313</v>
      </c>
      <c r="S1692">
        <v>1</v>
      </c>
      <c r="T1692">
        <v>3366</v>
      </c>
      <c r="U1692">
        <v>0</v>
      </c>
      <c r="V1692">
        <v>3366</v>
      </c>
    </row>
    <row r="1693" spans="1:22" x14ac:dyDescent="0.3">
      <c r="A1693">
        <v>187830</v>
      </c>
      <c r="B1693">
        <v>137291469</v>
      </c>
      <c r="C1693" t="s">
        <v>8915</v>
      </c>
      <c r="D1693" t="s">
        <v>8916</v>
      </c>
      <c r="E1693" t="s">
        <v>8703</v>
      </c>
      <c r="F1693" t="s">
        <v>844</v>
      </c>
      <c r="G1693" t="s">
        <v>164</v>
      </c>
      <c r="H1693" t="s">
        <v>165</v>
      </c>
      <c r="I1693" t="s">
        <v>34</v>
      </c>
      <c r="J1693" t="s">
        <v>166</v>
      </c>
      <c r="K1693" t="s">
        <v>41</v>
      </c>
      <c r="L1693" t="s">
        <v>8917</v>
      </c>
      <c r="M1693" t="s">
        <v>8918</v>
      </c>
      <c r="N1693" t="s">
        <v>847</v>
      </c>
      <c r="O1693" t="s">
        <v>100</v>
      </c>
      <c r="P1693" t="s">
        <v>8919</v>
      </c>
      <c r="Q1693" t="s">
        <v>84</v>
      </c>
      <c r="R1693" t="s">
        <v>830</v>
      </c>
      <c r="S1693">
        <v>2.68</v>
      </c>
      <c r="T1693">
        <v>3366</v>
      </c>
      <c r="U1693">
        <v>0</v>
      </c>
      <c r="V1693">
        <v>3366</v>
      </c>
    </row>
    <row r="1694" spans="1:22" x14ac:dyDescent="0.3">
      <c r="A1694">
        <v>187830</v>
      </c>
      <c r="B1694">
        <v>137206657</v>
      </c>
      <c r="C1694" t="s">
        <v>8920</v>
      </c>
      <c r="D1694" t="s">
        <v>8921</v>
      </c>
      <c r="E1694" t="s">
        <v>8703</v>
      </c>
      <c r="F1694" t="s">
        <v>844</v>
      </c>
      <c r="G1694" t="s">
        <v>164</v>
      </c>
      <c r="H1694" t="s">
        <v>165</v>
      </c>
      <c r="I1694" t="s">
        <v>34</v>
      </c>
      <c r="J1694" t="s">
        <v>166</v>
      </c>
      <c r="K1694" t="s">
        <v>41</v>
      </c>
      <c r="L1694" t="s">
        <v>8922</v>
      </c>
      <c r="M1694" t="s">
        <v>8923</v>
      </c>
      <c r="N1694" t="s">
        <v>847</v>
      </c>
      <c r="O1694" t="s">
        <v>100</v>
      </c>
      <c r="P1694" t="s">
        <v>8924</v>
      </c>
      <c r="Q1694" t="s">
        <v>60</v>
      </c>
      <c r="R1694" t="s">
        <v>447</v>
      </c>
      <c r="S1694">
        <v>1.38</v>
      </c>
      <c r="T1694">
        <v>4346</v>
      </c>
      <c r="U1694">
        <v>0</v>
      </c>
      <c r="V1694">
        <v>4346</v>
      </c>
    </row>
    <row r="1695" spans="1:22" x14ac:dyDescent="0.3">
      <c r="A1695">
        <v>187830</v>
      </c>
      <c r="B1695">
        <v>137206690</v>
      </c>
      <c r="C1695" t="s">
        <v>8925</v>
      </c>
      <c r="D1695" t="s">
        <v>8926</v>
      </c>
      <c r="E1695" t="s">
        <v>8703</v>
      </c>
      <c r="F1695" t="s">
        <v>844</v>
      </c>
      <c r="G1695" t="s">
        <v>164</v>
      </c>
      <c r="H1695" t="s">
        <v>165</v>
      </c>
      <c r="I1695" t="s">
        <v>34</v>
      </c>
      <c r="J1695" t="s">
        <v>166</v>
      </c>
      <c r="K1695" t="s">
        <v>41</v>
      </c>
      <c r="L1695" t="s">
        <v>8927</v>
      </c>
      <c r="M1695" t="s">
        <v>8928</v>
      </c>
      <c r="N1695" t="s">
        <v>847</v>
      </c>
      <c r="O1695" t="s">
        <v>100</v>
      </c>
      <c r="P1695" t="s">
        <v>8929</v>
      </c>
      <c r="Q1695" t="s">
        <v>84</v>
      </c>
      <c r="R1695" t="s">
        <v>447</v>
      </c>
      <c r="S1695">
        <v>1</v>
      </c>
      <c r="T1695">
        <v>3366</v>
      </c>
      <c r="U1695">
        <v>0</v>
      </c>
      <c r="V1695">
        <v>3366</v>
      </c>
    </row>
    <row r="1696" spans="1:22" x14ac:dyDescent="0.3">
      <c r="A1696">
        <v>187830</v>
      </c>
      <c r="B1696">
        <v>137206661</v>
      </c>
      <c r="C1696" t="s">
        <v>8930</v>
      </c>
      <c r="D1696" t="s">
        <v>8931</v>
      </c>
      <c r="E1696" t="s">
        <v>8703</v>
      </c>
      <c r="F1696" t="s">
        <v>844</v>
      </c>
      <c r="G1696" t="s">
        <v>164</v>
      </c>
      <c r="H1696" t="s">
        <v>165</v>
      </c>
      <c r="I1696" t="s">
        <v>34</v>
      </c>
      <c r="J1696" t="s">
        <v>166</v>
      </c>
      <c r="K1696" t="s">
        <v>41</v>
      </c>
      <c r="L1696" t="s">
        <v>8932</v>
      </c>
      <c r="M1696" t="s">
        <v>8933</v>
      </c>
      <c r="N1696" t="s">
        <v>847</v>
      </c>
      <c r="O1696" t="s">
        <v>100</v>
      </c>
      <c r="P1696" t="s">
        <v>8934</v>
      </c>
      <c r="Q1696" t="s">
        <v>59</v>
      </c>
      <c r="R1696" t="s">
        <v>447</v>
      </c>
      <c r="S1696">
        <v>2.5099999999999998</v>
      </c>
      <c r="T1696">
        <v>4067</v>
      </c>
      <c r="U1696">
        <v>0</v>
      </c>
      <c r="V1696">
        <v>4067</v>
      </c>
    </row>
    <row r="1697" spans="1:22" x14ac:dyDescent="0.3">
      <c r="A1697">
        <v>187830</v>
      </c>
      <c r="B1697">
        <v>137123602</v>
      </c>
      <c r="C1697" t="s">
        <v>8935</v>
      </c>
      <c r="D1697" t="s">
        <v>8936</v>
      </c>
      <c r="E1697" t="s">
        <v>8703</v>
      </c>
      <c r="F1697" t="s">
        <v>844</v>
      </c>
      <c r="G1697" t="s">
        <v>164</v>
      </c>
      <c r="H1697" t="s">
        <v>165</v>
      </c>
      <c r="I1697" t="s">
        <v>34</v>
      </c>
      <c r="J1697" t="s">
        <v>166</v>
      </c>
      <c r="K1697" t="s">
        <v>41</v>
      </c>
      <c r="L1697" t="s">
        <v>8937</v>
      </c>
      <c r="M1697" t="s">
        <v>8938</v>
      </c>
      <c r="N1697" t="s">
        <v>847</v>
      </c>
      <c r="O1697" t="s">
        <v>100</v>
      </c>
      <c r="P1697" t="s">
        <v>271</v>
      </c>
      <c r="Q1697" t="s">
        <v>50</v>
      </c>
      <c r="R1697" t="s">
        <v>457</v>
      </c>
      <c r="S1697">
        <v>1</v>
      </c>
      <c r="T1697">
        <v>3784</v>
      </c>
      <c r="U1697">
        <v>0</v>
      </c>
      <c r="V1697">
        <v>3784</v>
      </c>
    </row>
    <row r="1698" spans="1:22" x14ac:dyDescent="0.3">
      <c r="A1698">
        <v>187830</v>
      </c>
      <c r="B1698">
        <v>136998075</v>
      </c>
      <c r="C1698" t="s">
        <v>8939</v>
      </c>
      <c r="D1698" t="s">
        <v>8940</v>
      </c>
      <c r="E1698" t="s">
        <v>8703</v>
      </c>
      <c r="F1698" t="s">
        <v>844</v>
      </c>
      <c r="G1698" t="s">
        <v>164</v>
      </c>
      <c r="H1698" t="s">
        <v>165</v>
      </c>
      <c r="I1698" t="s">
        <v>34</v>
      </c>
      <c r="J1698" t="s">
        <v>166</v>
      </c>
      <c r="K1698" t="s">
        <v>41</v>
      </c>
      <c r="L1698" t="s">
        <v>5662</v>
      </c>
      <c r="M1698" t="s">
        <v>8941</v>
      </c>
      <c r="N1698" t="s">
        <v>847</v>
      </c>
      <c r="O1698" t="s">
        <v>100</v>
      </c>
      <c r="P1698" t="s">
        <v>8942</v>
      </c>
      <c r="Q1698" t="s">
        <v>55</v>
      </c>
      <c r="R1698" t="s">
        <v>8841</v>
      </c>
      <c r="S1698">
        <v>1</v>
      </c>
      <c r="T1698">
        <v>5198</v>
      </c>
      <c r="U1698">
        <v>0</v>
      </c>
      <c r="V1698">
        <v>5198</v>
      </c>
    </row>
    <row r="1699" spans="1:22" x14ac:dyDescent="0.3">
      <c r="A1699">
        <v>187830</v>
      </c>
      <c r="B1699">
        <v>137206662</v>
      </c>
      <c r="C1699" t="s">
        <v>8943</v>
      </c>
      <c r="D1699" t="s">
        <v>8944</v>
      </c>
      <c r="E1699" t="s">
        <v>8703</v>
      </c>
      <c r="F1699" t="s">
        <v>844</v>
      </c>
      <c r="G1699" t="s">
        <v>164</v>
      </c>
      <c r="H1699" t="s">
        <v>165</v>
      </c>
      <c r="I1699" t="s">
        <v>34</v>
      </c>
      <c r="J1699" t="s">
        <v>166</v>
      </c>
      <c r="K1699" t="s">
        <v>41</v>
      </c>
      <c r="L1699" t="s">
        <v>8945</v>
      </c>
      <c r="M1699" t="s">
        <v>8946</v>
      </c>
      <c r="N1699" t="s">
        <v>847</v>
      </c>
      <c r="O1699" t="s">
        <v>100</v>
      </c>
      <c r="P1699" t="s">
        <v>8947</v>
      </c>
      <c r="Q1699" t="s">
        <v>60</v>
      </c>
      <c r="R1699" t="s">
        <v>447</v>
      </c>
      <c r="S1699">
        <v>1.92</v>
      </c>
      <c r="T1699">
        <v>4346</v>
      </c>
      <c r="U1699">
        <v>0</v>
      </c>
      <c r="V1699">
        <v>4346</v>
      </c>
    </row>
    <row r="1700" spans="1:22" x14ac:dyDescent="0.3">
      <c r="A1700">
        <v>187830</v>
      </c>
      <c r="B1700">
        <v>137253298</v>
      </c>
      <c r="C1700" t="s">
        <v>8948</v>
      </c>
      <c r="D1700" t="s">
        <v>8949</v>
      </c>
      <c r="E1700" t="s">
        <v>8703</v>
      </c>
      <c r="F1700" t="s">
        <v>844</v>
      </c>
      <c r="G1700" t="s">
        <v>164</v>
      </c>
      <c r="H1700" t="s">
        <v>165</v>
      </c>
      <c r="I1700" t="s">
        <v>34</v>
      </c>
      <c r="J1700" t="s">
        <v>166</v>
      </c>
      <c r="K1700" t="s">
        <v>41</v>
      </c>
      <c r="L1700" t="s">
        <v>8950</v>
      </c>
      <c r="M1700" t="s">
        <v>8951</v>
      </c>
      <c r="N1700" t="s">
        <v>847</v>
      </c>
      <c r="O1700" t="s">
        <v>100</v>
      </c>
      <c r="P1700" t="s">
        <v>8952</v>
      </c>
      <c r="Q1700" t="s">
        <v>63</v>
      </c>
      <c r="R1700" t="s">
        <v>313</v>
      </c>
      <c r="S1700">
        <v>0.88</v>
      </c>
      <c r="T1700">
        <v>4067</v>
      </c>
      <c r="U1700">
        <v>0</v>
      </c>
      <c r="V1700">
        <v>4067</v>
      </c>
    </row>
    <row r="1701" spans="1:22" x14ac:dyDescent="0.3">
      <c r="A1701">
        <v>187830</v>
      </c>
      <c r="B1701">
        <v>137253300</v>
      </c>
      <c r="C1701" t="s">
        <v>8953</v>
      </c>
      <c r="D1701" t="s">
        <v>8954</v>
      </c>
      <c r="E1701" t="s">
        <v>8703</v>
      </c>
      <c r="F1701" t="s">
        <v>844</v>
      </c>
      <c r="G1701" t="s">
        <v>164</v>
      </c>
      <c r="H1701" t="s">
        <v>165</v>
      </c>
      <c r="I1701" t="s">
        <v>34</v>
      </c>
      <c r="J1701" t="s">
        <v>166</v>
      </c>
      <c r="K1701" t="s">
        <v>41</v>
      </c>
      <c r="L1701" t="s">
        <v>8955</v>
      </c>
      <c r="M1701" t="s">
        <v>8956</v>
      </c>
      <c r="N1701" t="s">
        <v>847</v>
      </c>
      <c r="O1701" t="s">
        <v>100</v>
      </c>
      <c r="P1701" t="s">
        <v>8957</v>
      </c>
      <c r="Q1701" t="s">
        <v>64</v>
      </c>
      <c r="R1701" t="s">
        <v>313</v>
      </c>
      <c r="S1701">
        <v>1.5</v>
      </c>
      <c r="T1701">
        <v>4067</v>
      </c>
      <c r="U1701">
        <v>0</v>
      </c>
      <c r="V1701">
        <v>4067</v>
      </c>
    </row>
    <row r="1702" spans="1:22" x14ac:dyDescent="0.3">
      <c r="A1702">
        <v>187830</v>
      </c>
      <c r="B1702">
        <v>137169500</v>
      </c>
      <c r="C1702" t="s">
        <v>8958</v>
      </c>
      <c r="D1702" t="s">
        <v>8959</v>
      </c>
      <c r="E1702" t="s">
        <v>8703</v>
      </c>
      <c r="F1702" t="s">
        <v>844</v>
      </c>
      <c r="G1702" t="s">
        <v>164</v>
      </c>
      <c r="H1702" t="s">
        <v>165</v>
      </c>
      <c r="I1702" t="s">
        <v>34</v>
      </c>
      <c r="J1702" t="s">
        <v>166</v>
      </c>
      <c r="K1702" t="s">
        <v>41</v>
      </c>
      <c r="L1702" t="s">
        <v>8960</v>
      </c>
      <c r="M1702" t="s">
        <v>8961</v>
      </c>
      <c r="N1702" t="s">
        <v>847</v>
      </c>
      <c r="O1702" t="s">
        <v>100</v>
      </c>
      <c r="P1702" t="s">
        <v>8962</v>
      </c>
      <c r="Q1702" t="s">
        <v>70</v>
      </c>
      <c r="R1702" t="s">
        <v>284</v>
      </c>
      <c r="S1702">
        <v>5.41</v>
      </c>
      <c r="T1702">
        <v>4322</v>
      </c>
      <c r="U1702">
        <v>0</v>
      </c>
      <c r="V1702">
        <v>4322</v>
      </c>
    </row>
    <row r="1703" spans="1:22" x14ac:dyDescent="0.3">
      <c r="A1703">
        <v>187830</v>
      </c>
      <c r="B1703">
        <v>137253284</v>
      </c>
      <c r="C1703" t="s">
        <v>8963</v>
      </c>
      <c r="D1703" t="s">
        <v>8964</v>
      </c>
      <c r="E1703" t="s">
        <v>8703</v>
      </c>
      <c r="F1703" t="s">
        <v>844</v>
      </c>
      <c r="G1703" t="s">
        <v>164</v>
      </c>
      <c r="H1703" t="s">
        <v>165</v>
      </c>
      <c r="I1703" t="s">
        <v>34</v>
      </c>
      <c r="J1703" t="s">
        <v>166</v>
      </c>
      <c r="K1703" t="s">
        <v>41</v>
      </c>
      <c r="L1703" t="s">
        <v>8965</v>
      </c>
      <c r="M1703" t="s">
        <v>8966</v>
      </c>
      <c r="N1703" t="s">
        <v>847</v>
      </c>
      <c r="O1703" t="s">
        <v>100</v>
      </c>
      <c r="P1703" t="s">
        <v>8967</v>
      </c>
      <c r="Q1703" t="s">
        <v>69</v>
      </c>
      <c r="R1703" t="s">
        <v>313</v>
      </c>
      <c r="S1703">
        <v>1</v>
      </c>
      <c r="T1703">
        <v>3753</v>
      </c>
      <c r="U1703">
        <v>0</v>
      </c>
      <c r="V1703">
        <v>3753</v>
      </c>
    </row>
    <row r="1704" spans="1:22" x14ac:dyDescent="0.3">
      <c r="A1704">
        <v>187830</v>
      </c>
      <c r="B1704">
        <v>137169495</v>
      </c>
      <c r="C1704" t="s">
        <v>8968</v>
      </c>
      <c r="D1704" t="s">
        <v>8969</v>
      </c>
      <c r="E1704" t="s">
        <v>8703</v>
      </c>
      <c r="F1704" t="s">
        <v>844</v>
      </c>
      <c r="G1704" t="s">
        <v>164</v>
      </c>
      <c r="H1704" t="s">
        <v>165</v>
      </c>
      <c r="I1704" t="s">
        <v>34</v>
      </c>
      <c r="J1704" t="s">
        <v>166</v>
      </c>
      <c r="K1704" t="s">
        <v>41</v>
      </c>
      <c r="L1704" t="s">
        <v>8970</v>
      </c>
      <c r="M1704" t="s">
        <v>8768</v>
      </c>
      <c r="N1704" t="s">
        <v>847</v>
      </c>
      <c r="O1704" t="s">
        <v>100</v>
      </c>
      <c r="P1704" t="s">
        <v>8769</v>
      </c>
      <c r="Q1704" t="s">
        <v>76</v>
      </c>
      <c r="R1704" t="s">
        <v>284</v>
      </c>
      <c r="S1704">
        <v>0.22</v>
      </c>
      <c r="T1704">
        <v>3680</v>
      </c>
      <c r="U1704">
        <v>0</v>
      </c>
      <c r="V1704">
        <v>3680</v>
      </c>
    </row>
    <row r="1705" spans="1:22" x14ac:dyDescent="0.3">
      <c r="A1705">
        <v>187830</v>
      </c>
      <c r="B1705">
        <v>137169499</v>
      </c>
      <c r="C1705" t="s">
        <v>8971</v>
      </c>
      <c r="D1705" t="s">
        <v>8972</v>
      </c>
      <c r="E1705" t="s">
        <v>8703</v>
      </c>
      <c r="F1705" t="s">
        <v>844</v>
      </c>
      <c r="G1705" t="s">
        <v>164</v>
      </c>
      <c r="H1705" t="s">
        <v>165</v>
      </c>
      <c r="I1705" t="s">
        <v>34</v>
      </c>
      <c r="J1705" t="s">
        <v>166</v>
      </c>
      <c r="K1705" t="s">
        <v>41</v>
      </c>
      <c r="L1705" t="s">
        <v>8973</v>
      </c>
      <c r="M1705" t="s">
        <v>8974</v>
      </c>
      <c r="N1705" t="s">
        <v>847</v>
      </c>
      <c r="O1705" t="s">
        <v>100</v>
      </c>
      <c r="P1705" t="s">
        <v>8975</v>
      </c>
      <c r="Q1705" t="s">
        <v>63</v>
      </c>
      <c r="R1705" t="s">
        <v>284</v>
      </c>
      <c r="S1705">
        <v>2.16</v>
      </c>
      <c r="T1705">
        <v>4067</v>
      </c>
      <c r="U1705">
        <v>0</v>
      </c>
      <c r="V1705">
        <v>4067</v>
      </c>
    </row>
    <row r="1706" spans="1:22" x14ac:dyDescent="0.3">
      <c r="A1706">
        <v>187830</v>
      </c>
      <c r="B1706">
        <v>137253293</v>
      </c>
      <c r="C1706" t="s">
        <v>8976</v>
      </c>
      <c r="D1706" t="s">
        <v>8977</v>
      </c>
      <c r="E1706" t="s">
        <v>8703</v>
      </c>
      <c r="F1706" t="s">
        <v>844</v>
      </c>
      <c r="G1706" t="s">
        <v>164</v>
      </c>
      <c r="H1706" t="s">
        <v>165</v>
      </c>
      <c r="I1706" t="s">
        <v>34</v>
      </c>
      <c r="J1706" t="s">
        <v>166</v>
      </c>
      <c r="K1706" t="s">
        <v>41</v>
      </c>
      <c r="L1706" t="s">
        <v>8978</v>
      </c>
      <c r="M1706" t="s">
        <v>8979</v>
      </c>
      <c r="N1706" t="s">
        <v>847</v>
      </c>
      <c r="O1706" t="s">
        <v>100</v>
      </c>
      <c r="P1706" t="s">
        <v>8980</v>
      </c>
      <c r="Q1706" t="s">
        <v>84</v>
      </c>
      <c r="R1706" t="s">
        <v>313</v>
      </c>
      <c r="S1706">
        <v>1.1399999999999999</v>
      </c>
      <c r="T1706">
        <v>3366</v>
      </c>
      <c r="U1706">
        <v>0</v>
      </c>
      <c r="V1706">
        <v>3366</v>
      </c>
    </row>
    <row r="1707" spans="1:22" x14ac:dyDescent="0.3">
      <c r="A1707">
        <v>187830</v>
      </c>
      <c r="B1707">
        <v>136860280</v>
      </c>
      <c r="C1707" t="s">
        <v>8981</v>
      </c>
      <c r="D1707" t="s">
        <v>8982</v>
      </c>
      <c r="E1707" t="s">
        <v>8703</v>
      </c>
      <c r="F1707" t="s">
        <v>844</v>
      </c>
      <c r="G1707" t="s">
        <v>164</v>
      </c>
      <c r="H1707" t="s">
        <v>165</v>
      </c>
      <c r="I1707" t="s">
        <v>34</v>
      </c>
      <c r="J1707" t="s">
        <v>166</v>
      </c>
      <c r="K1707" t="s">
        <v>41</v>
      </c>
      <c r="L1707" t="s">
        <v>8983</v>
      </c>
      <c r="M1707" t="s">
        <v>8984</v>
      </c>
      <c r="N1707" t="s">
        <v>847</v>
      </c>
      <c r="O1707" t="s">
        <v>100</v>
      </c>
      <c r="P1707" t="s">
        <v>8985</v>
      </c>
      <c r="Q1707" t="s">
        <v>69</v>
      </c>
      <c r="R1707" t="s">
        <v>8986</v>
      </c>
      <c r="S1707">
        <v>2.77</v>
      </c>
      <c r="T1707">
        <v>3753</v>
      </c>
      <c r="U1707">
        <v>0</v>
      </c>
      <c r="V1707">
        <v>3753</v>
      </c>
    </row>
    <row r="1708" spans="1:22" x14ac:dyDescent="0.3">
      <c r="A1708">
        <v>187830</v>
      </c>
      <c r="B1708">
        <v>137206679</v>
      </c>
      <c r="C1708" t="s">
        <v>8987</v>
      </c>
      <c r="D1708" t="s">
        <v>8988</v>
      </c>
      <c r="E1708" t="s">
        <v>8703</v>
      </c>
      <c r="F1708" t="s">
        <v>844</v>
      </c>
      <c r="G1708" t="s">
        <v>164</v>
      </c>
      <c r="H1708" t="s">
        <v>165</v>
      </c>
      <c r="I1708" t="s">
        <v>34</v>
      </c>
      <c r="J1708" t="s">
        <v>166</v>
      </c>
      <c r="K1708" t="s">
        <v>41</v>
      </c>
      <c r="L1708" t="s">
        <v>8989</v>
      </c>
      <c r="M1708" t="s">
        <v>8990</v>
      </c>
      <c r="N1708" t="s">
        <v>847</v>
      </c>
      <c r="O1708" t="s">
        <v>100</v>
      </c>
      <c r="P1708" t="s">
        <v>8991</v>
      </c>
      <c r="Q1708" t="s">
        <v>71</v>
      </c>
      <c r="R1708" t="s">
        <v>447</v>
      </c>
      <c r="S1708">
        <v>1.41</v>
      </c>
      <c r="T1708">
        <v>3501</v>
      </c>
      <c r="U1708">
        <v>0</v>
      </c>
      <c r="V1708">
        <v>3501</v>
      </c>
    </row>
    <row r="1709" spans="1:22" x14ac:dyDescent="0.3">
      <c r="A1709">
        <v>187830</v>
      </c>
      <c r="B1709">
        <v>137123606</v>
      </c>
      <c r="C1709" t="s">
        <v>8992</v>
      </c>
      <c r="D1709" t="s">
        <v>8993</v>
      </c>
      <c r="E1709" t="s">
        <v>8703</v>
      </c>
      <c r="F1709" t="s">
        <v>844</v>
      </c>
      <c r="G1709" t="s">
        <v>164</v>
      </c>
      <c r="H1709" t="s">
        <v>165</v>
      </c>
      <c r="I1709" t="s">
        <v>34</v>
      </c>
      <c r="J1709" t="s">
        <v>166</v>
      </c>
      <c r="K1709" t="s">
        <v>41</v>
      </c>
      <c r="L1709" t="s">
        <v>8994</v>
      </c>
      <c r="M1709" t="s">
        <v>8995</v>
      </c>
      <c r="N1709" t="s">
        <v>847</v>
      </c>
      <c r="O1709" t="s">
        <v>100</v>
      </c>
      <c r="P1709" t="s">
        <v>8996</v>
      </c>
      <c r="Q1709" t="s">
        <v>224</v>
      </c>
      <c r="R1709" t="s">
        <v>457</v>
      </c>
      <c r="S1709">
        <v>1</v>
      </c>
      <c r="T1709">
        <v>4067</v>
      </c>
      <c r="U1709">
        <v>0</v>
      </c>
      <c r="V1709">
        <v>4067</v>
      </c>
    </row>
    <row r="1710" spans="1:22" x14ac:dyDescent="0.3">
      <c r="A1710">
        <v>187830</v>
      </c>
      <c r="B1710">
        <v>137253286</v>
      </c>
      <c r="C1710" t="s">
        <v>8997</v>
      </c>
      <c r="D1710" t="s">
        <v>8998</v>
      </c>
      <c r="E1710" t="s">
        <v>8703</v>
      </c>
      <c r="F1710" t="s">
        <v>844</v>
      </c>
      <c r="G1710" t="s">
        <v>164</v>
      </c>
      <c r="H1710" t="s">
        <v>165</v>
      </c>
      <c r="I1710" t="s">
        <v>34</v>
      </c>
      <c r="J1710" t="s">
        <v>166</v>
      </c>
      <c r="K1710" t="s">
        <v>41</v>
      </c>
      <c r="L1710" t="s">
        <v>8999</v>
      </c>
      <c r="M1710" t="s">
        <v>9000</v>
      </c>
      <c r="N1710" t="s">
        <v>847</v>
      </c>
      <c r="O1710" t="s">
        <v>100</v>
      </c>
      <c r="P1710" t="s">
        <v>9001</v>
      </c>
      <c r="Q1710" t="s">
        <v>50</v>
      </c>
      <c r="R1710" t="s">
        <v>313</v>
      </c>
      <c r="S1710">
        <v>1</v>
      </c>
      <c r="T1710">
        <v>3784</v>
      </c>
      <c r="U1710">
        <v>0</v>
      </c>
      <c r="V1710">
        <v>3784</v>
      </c>
    </row>
    <row r="1711" spans="1:22" x14ac:dyDescent="0.3">
      <c r="A1711">
        <v>187830</v>
      </c>
      <c r="B1711">
        <v>137085792</v>
      </c>
      <c r="C1711" t="s">
        <v>9002</v>
      </c>
      <c r="D1711" t="s">
        <v>9003</v>
      </c>
      <c r="E1711" t="s">
        <v>8703</v>
      </c>
      <c r="F1711" t="s">
        <v>844</v>
      </c>
      <c r="G1711" t="s">
        <v>164</v>
      </c>
      <c r="H1711" t="s">
        <v>165</v>
      </c>
      <c r="I1711" t="s">
        <v>34</v>
      </c>
      <c r="J1711" t="s">
        <v>166</v>
      </c>
      <c r="K1711" t="s">
        <v>41</v>
      </c>
      <c r="L1711" t="s">
        <v>9004</v>
      </c>
      <c r="M1711" t="s">
        <v>9005</v>
      </c>
      <c r="N1711" t="s">
        <v>847</v>
      </c>
      <c r="O1711" t="s">
        <v>100</v>
      </c>
      <c r="P1711" t="s">
        <v>9006</v>
      </c>
      <c r="Q1711" t="s">
        <v>315</v>
      </c>
      <c r="R1711" t="s">
        <v>531</v>
      </c>
      <c r="S1711">
        <v>1</v>
      </c>
      <c r="T1711">
        <v>3784</v>
      </c>
      <c r="U1711">
        <v>0</v>
      </c>
      <c r="V1711">
        <v>3784</v>
      </c>
    </row>
    <row r="1712" spans="1:22" x14ac:dyDescent="0.3">
      <c r="A1712">
        <v>187830</v>
      </c>
      <c r="B1712">
        <v>137206681</v>
      </c>
      <c r="C1712" t="s">
        <v>9007</v>
      </c>
      <c r="D1712" t="s">
        <v>9008</v>
      </c>
      <c r="E1712" t="s">
        <v>8703</v>
      </c>
      <c r="F1712" t="s">
        <v>844</v>
      </c>
      <c r="G1712" t="s">
        <v>164</v>
      </c>
      <c r="H1712" t="s">
        <v>165</v>
      </c>
      <c r="I1712" t="s">
        <v>34</v>
      </c>
      <c r="J1712" t="s">
        <v>166</v>
      </c>
      <c r="K1712" t="s">
        <v>41</v>
      </c>
      <c r="L1712" t="s">
        <v>9009</v>
      </c>
      <c r="M1712" t="s">
        <v>9010</v>
      </c>
      <c r="N1712" t="s">
        <v>847</v>
      </c>
      <c r="O1712" t="s">
        <v>100</v>
      </c>
      <c r="P1712" t="s">
        <v>9011</v>
      </c>
      <c r="Q1712" t="s">
        <v>69</v>
      </c>
      <c r="R1712" t="s">
        <v>447</v>
      </c>
      <c r="S1712">
        <v>0.85</v>
      </c>
      <c r="T1712">
        <v>3753</v>
      </c>
      <c r="U1712">
        <v>0</v>
      </c>
      <c r="V1712">
        <v>3753</v>
      </c>
    </row>
    <row r="1713" spans="1:22" x14ac:dyDescent="0.3">
      <c r="A1713">
        <v>187830</v>
      </c>
      <c r="B1713">
        <v>137206688</v>
      </c>
      <c r="C1713" t="s">
        <v>9012</v>
      </c>
      <c r="D1713" t="s">
        <v>9013</v>
      </c>
      <c r="E1713" t="s">
        <v>8703</v>
      </c>
      <c r="F1713" t="s">
        <v>844</v>
      </c>
      <c r="G1713" t="s">
        <v>164</v>
      </c>
      <c r="H1713" t="s">
        <v>165</v>
      </c>
      <c r="I1713" t="s">
        <v>34</v>
      </c>
      <c r="J1713" t="s">
        <v>166</v>
      </c>
      <c r="K1713" t="s">
        <v>41</v>
      </c>
      <c r="L1713" t="s">
        <v>593</v>
      </c>
      <c r="M1713" t="s">
        <v>9014</v>
      </c>
      <c r="N1713" t="s">
        <v>847</v>
      </c>
      <c r="O1713" t="s">
        <v>100</v>
      </c>
      <c r="P1713" t="s">
        <v>9015</v>
      </c>
      <c r="Q1713" t="s">
        <v>84</v>
      </c>
      <c r="R1713" t="s">
        <v>447</v>
      </c>
      <c r="S1713">
        <v>1.37</v>
      </c>
      <c r="T1713">
        <v>3366</v>
      </c>
      <c r="U1713">
        <v>0</v>
      </c>
      <c r="V1713">
        <v>3366</v>
      </c>
    </row>
    <row r="1714" spans="1:22" x14ac:dyDescent="0.3">
      <c r="A1714">
        <v>187830</v>
      </c>
      <c r="B1714">
        <v>137206670</v>
      </c>
      <c r="C1714" t="s">
        <v>9016</v>
      </c>
      <c r="D1714" t="s">
        <v>9017</v>
      </c>
      <c r="E1714" t="s">
        <v>8703</v>
      </c>
      <c r="F1714" t="s">
        <v>844</v>
      </c>
      <c r="G1714" t="s">
        <v>164</v>
      </c>
      <c r="H1714" t="s">
        <v>165</v>
      </c>
      <c r="I1714" t="s">
        <v>34</v>
      </c>
      <c r="J1714" t="s">
        <v>166</v>
      </c>
      <c r="K1714" t="s">
        <v>41</v>
      </c>
      <c r="L1714" t="s">
        <v>9018</v>
      </c>
      <c r="M1714" t="s">
        <v>9019</v>
      </c>
      <c r="N1714" t="s">
        <v>847</v>
      </c>
      <c r="O1714" t="s">
        <v>100</v>
      </c>
      <c r="P1714" t="s">
        <v>9020</v>
      </c>
      <c r="Q1714" t="s">
        <v>90</v>
      </c>
      <c r="R1714" t="s">
        <v>447</v>
      </c>
      <c r="S1714">
        <v>1.01</v>
      </c>
      <c r="T1714">
        <v>3870</v>
      </c>
      <c r="U1714">
        <v>0</v>
      </c>
      <c r="V1714">
        <v>3870</v>
      </c>
    </row>
    <row r="1715" spans="1:22" x14ac:dyDescent="0.3">
      <c r="A1715">
        <v>187830</v>
      </c>
      <c r="B1715">
        <v>137253295</v>
      </c>
      <c r="C1715" t="s">
        <v>9021</v>
      </c>
      <c r="D1715" t="s">
        <v>9022</v>
      </c>
      <c r="E1715" t="s">
        <v>8703</v>
      </c>
      <c r="F1715" t="s">
        <v>844</v>
      </c>
      <c r="G1715" t="s">
        <v>164</v>
      </c>
      <c r="H1715" t="s">
        <v>165</v>
      </c>
      <c r="I1715" t="s">
        <v>34</v>
      </c>
      <c r="J1715" t="s">
        <v>166</v>
      </c>
      <c r="K1715" t="s">
        <v>41</v>
      </c>
      <c r="L1715" t="s">
        <v>9023</v>
      </c>
      <c r="M1715" t="s">
        <v>9024</v>
      </c>
      <c r="N1715" t="s">
        <v>847</v>
      </c>
      <c r="O1715" t="s">
        <v>100</v>
      </c>
      <c r="P1715" t="s">
        <v>9025</v>
      </c>
      <c r="Q1715" t="s">
        <v>69</v>
      </c>
      <c r="R1715" t="s">
        <v>313</v>
      </c>
      <c r="S1715">
        <v>2.62</v>
      </c>
      <c r="T1715">
        <v>3753</v>
      </c>
      <c r="U1715">
        <v>0</v>
      </c>
      <c r="V1715">
        <v>3753</v>
      </c>
    </row>
    <row r="1716" spans="1:22" x14ac:dyDescent="0.3">
      <c r="A1716">
        <v>187830</v>
      </c>
      <c r="B1716">
        <v>137085783</v>
      </c>
      <c r="C1716" t="s">
        <v>9026</v>
      </c>
      <c r="D1716" t="s">
        <v>9027</v>
      </c>
      <c r="E1716" t="s">
        <v>8703</v>
      </c>
      <c r="F1716" t="s">
        <v>844</v>
      </c>
      <c r="G1716" t="s">
        <v>164</v>
      </c>
      <c r="H1716" t="s">
        <v>165</v>
      </c>
      <c r="I1716" t="s">
        <v>34</v>
      </c>
      <c r="J1716" t="s">
        <v>166</v>
      </c>
      <c r="K1716" t="s">
        <v>41</v>
      </c>
      <c r="L1716" t="s">
        <v>9028</v>
      </c>
      <c r="M1716" t="s">
        <v>9029</v>
      </c>
      <c r="N1716" t="s">
        <v>847</v>
      </c>
      <c r="O1716" t="s">
        <v>100</v>
      </c>
      <c r="P1716" t="s">
        <v>9030</v>
      </c>
      <c r="Q1716" t="s">
        <v>43</v>
      </c>
      <c r="R1716" t="s">
        <v>531</v>
      </c>
      <c r="S1716">
        <v>1</v>
      </c>
      <c r="T1716">
        <v>3753</v>
      </c>
      <c r="U1716">
        <v>0</v>
      </c>
      <c r="V1716">
        <v>3753</v>
      </c>
    </row>
    <row r="1717" spans="1:22" x14ac:dyDescent="0.3">
      <c r="A1717">
        <v>187830</v>
      </c>
      <c r="B1717">
        <v>137085799</v>
      </c>
      <c r="C1717" t="s">
        <v>9031</v>
      </c>
      <c r="D1717" t="s">
        <v>9032</v>
      </c>
      <c r="E1717" t="s">
        <v>8703</v>
      </c>
      <c r="F1717" t="s">
        <v>844</v>
      </c>
      <c r="G1717" t="s">
        <v>164</v>
      </c>
      <c r="H1717" t="s">
        <v>165</v>
      </c>
      <c r="I1717" t="s">
        <v>34</v>
      </c>
      <c r="J1717" t="s">
        <v>166</v>
      </c>
      <c r="K1717" t="s">
        <v>41</v>
      </c>
      <c r="L1717" t="s">
        <v>9033</v>
      </c>
      <c r="M1717" t="s">
        <v>9034</v>
      </c>
      <c r="N1717" t="s">
        <v>847</v>
      </c>
      <c r="O1717" t="s">
        <v>100</v>
      </c>
      <c r="P1717" t="s">
        <v>9035</v>
      </c>
      <c r="Q1717" t="s">
        <v>84</v>
      </c>
      <c r="R1717" t="s">
        <v>531</v>
      </c>
      <c r="S1717">
        <v>1</v>
      </c>
      <c r="T1717">
        <v>3366</v>
      </c>
      <c r="U1717">
        <v>0</v>
      </c>
      <c r="V1717">
        <v>3366</v>
      </c>
    </row>
    <row r="1718" spans="1:22" x14ac:dyDescent="0.3">
      <c r="A1718">
        <v>187830</v>
      </c>
      <c r="B1718">
        <v>136998067</v>
      </c>
      <c r="C1718" t="s">
        <v>9036</v>
      </c>
      <c r="D1718" t="s">
        <v>9037</v>
      </c>
      <c r="E1718" t="s">
        <v>8703</v>
      </c>
      <c r="F1718" t="s">
        <v>844</v>
      </c>
      <c r="G1718" t="s">
        <v>164</v>
      </c>
      <c r="H1718" t="s">
        <v>165</v>
      </c>
      <c r="I1718" t="s">
        <v>34</v>
      </c>
      <c r="J1718" t="s">
        <v>166</v>
      </c>
      <c r="K1718" t="s">
        <v>41</v>
      </c>
      <c r="L1718" t="s">
        <v>9038</v>
      </c>
      <c r="M1718" t="s">
        <v>9039</v>
      </c>
      <c r="N1718" t="s">
        <v>847</v>
      </c>
      <c r="O1718" t="s">
        <v>100</v>
      </c>
      <c r="P1718" t="s">
        <v>9040</v>
      </c>
      <c r="Q1718" t="s">
        <v>190</v>
      </c>
      <c r="R1718" t="s">
        <v>8841</v>
      </c>
      <c r="S1718">
        <v>1</v>
      </c>
      <c r="T1718">
        <v>3366</v>
      </c>
      <c r="U1718">
        <v>0</v>
      </c>
      <c r="V1718">
        <v>3366</v>
      </c>
    </row>
    <row r="1719" spans="1:22" x14ac:dyDescent="0.3">
      <c r="A1719">
        <v>187830</v>
      </c>
      <c r="B1719">
        <v>137033471</v>
      </c>
      <c r="C1719" t="s">
        <v>9041</v>
      </c>
      <c r="D1719" t="s">
        <v>9042</v>
      </c>
      <c r="E1719" t="s">
        <v>8703</v>
      </c>
      <c r="F1719" t="s">
        <v>844</v>
      </c>
      <c r="G1719" t="s">
        <v>164</v>
      </c>
      <c r="H1719" t="s">
        <v>165</v>
      </c>
      <c r="I1719" t="s">
        <v>34</v>
      </c>
      <c r="J1719" t="s">
        <v>166</v>
      </c>
      <c r="K1719" t="s">
        <v>41</v>
      </c>
      <c r="L1719" t="s">
        <v>9043</v>
      </c>
      <c r="M1719" t="s">
        <v>9044</v>
      </c>
      <c r="N1719" t="s">
        <v>847</v>
      </c>
      <c r="O1719" t="s">
        <v>100</v>
      </c>
      <c r="P1719" t="s">
        <v>9045</v>
      </c>
      <c r="Q1719" t="s">
        <v>92</v>
      </c>
      <c r="R1719" t="s">
        <v>153</v>
      </c>
      <c r="S1719">
        <v>1</v>
      </c>
      <c r="T1719">
        <v>3366</v>
      </c>
      <c r="U1719">
        <v>0</v>
      </c>
      <c r="V1719">
        <v>3366</v>
      </c>
    </row>
    <row r="1720" spans="1:22" x14ac:dyDescent="0.3">
      <c r="A1720">
        <v>187830</v>
      </c>
      <c r="B1720">
        <v>136939950</v>
      </c>
      <c r="C1720" t="s">
        <v>9046</v>
      </c>
      <c r="D1720" t="s">
        <v>9047</v>
      </c>
      <c r="E1720" t="s">
        <v>8703</v>
      </c>
      <c r="F1720" t="s">
        <v>844</v>
      </c>
      <c r="G1720" t="s">
        <v>164</v>
      </c>
      <c r="H1720" t="s">
        <v>165</v>
      </c>
      <c r="I1720" t="s">
        <v>34</v>
      </c>
      <c r="J1720" t="s">
        <v>166</v>
      </c>
      <c r="K1720" t="s">
        <v>41</v>
      </c>
      <c r="L1720" t="s">
        <v>9048</v>
      </c>
      <c r="M1720" t="s">
        <v>9049</v>
      </c>
      <c r="N1720" t="s">
        <v>847</v>
      </c>
      <c r="O1720" t="s">
        <v>100</v>
      </c>
      <c r="P1720" t="s">
        <v>9050</v>
      </c>
      <c r="Q1720" t="s">
        <v>85</v>
      </c>
      <c r="R1720" t="s">
        <v>387</v>
      </c>
      <c r="S1720">
        <v>4.45</v>
      </c>
      <c r="T1720">
        <v>3797</v>
      </c>
      <c r="U1720">
        <v>0</v>
      </c>
      <c r="V1720">
        <v>3797</v>
      </c>
    </row>
    <row r="1721" spans="1:22" x14ac:dyDescent="0.3">
      <c r="A1721">
        <v>187830</v>
      </c>
      <c r="B1721">
        <v>137085790</v>
      </c>
      <c r="C1721" t="s">
        <v>9051</v>
      </c>
      <c r="D1721" t="s">
        <v>9052</v>
      </c>
      <c r="E1721" t="s">
        <v>8703</v>
      </c>
      <c r="F1721" t="s">
        <v>844</v>
      </c>
      <c r="G1721" t="s">
        <v>164</v>
      </c>
      <c r="H1721" t="s">
        <v>165</v>
      </c>
      <c r="I1721" t="s">
        <v>34</v>
      </c>
      <c r="J1721" t="s">
        <v>166</v>
      </c>
      <c r="K1721" t="s">
        <v>41</v>
      </c>
      <c r="L1721" t="s">
        <v>9053</v>
      </c>
      <c r="M1721" t="s">
        <v>9054</v>
      </c>
      <c r="N1721" t="s">
        <v>847</v>
      </c>
      <c r="O1721" t="s">
        <v>100</v>
      </c>
      <c r="P1721" t="s">
        <v>9055</v>
      </c>
      <c r="Q1721" t="s">
        <v>84</v>
      </c>
      <c r="R1721" t="s">
        <v>531</v>
      </c>
      <c r="S1721">
        <v>1</v>
      </c>
      <c r="T1721">
        <v>3366</v>
      </c>
      <c r="U1721">
        <v>0</v>
      </c>
      <c r="V1721">
        <v>3366</v>
      </c>
    </row>
    <row r="1722" spans="1:22" x14ac:dyDescent="0.3">
      <c r="A1722">
        <v>187830</v>
      </c>
      <c r="B1722">
        <v>136998066</v>
      </c>
      <c r="C1722" t="s">
        <v>9056</v>
      </c>
      <c r="D1722" t="s">
        <v>9057</v>
      </c>
      <c r="E1722" t="s">
        <v>8703</v>
      </c>
      <c r="F1722" t="s">
        <v>844</v>
      </c>
      <c r="G1722" t="s">
        <v>164</v>
      </c>
      <c r="H1722" t="s">
        <v>165</v>
      </c>
      <c r="I1722" t="s">
        <v>34</v>
      </c>
      <c r="J1722" t="s">
        <v>166</v>
      </c>
      <c r="K1722" t="s">
        <v>41</v>
      </c>
      <c r="L1722" t="s">
        <v>9058</v>
      </c>
      <c r="M1722" t="s">
        <v>9059</v>
      </c>
      <c r="N1722" t="s">
        <v>847</v>
      </c>
      <c r="O1722" t="s">
        <v>100</v>
      </c>
      <c r="P1722" t="s">
        <v>9060</v>
      </c>
      <c r="Q1722" t="s">
        <v>60</v>
      </c>
      <c r="R1722" t="s">
        <v>8841</v>
      </c>
      <c r="S1722">
        <v>1</v>
      </c>
      <c r="T1722">
        <v>4346</v>
      </c>
      <c r="U1722">
        <v>0</v>
      </c>
      <c r="V1722">
        <v>4346</v>
      </c>
    </row>
    <row r="1723" spans="1:22" x14ac:dyDescent="0.3">
      <c r="A1723">
        <v>187830</v>
      </c>
      <c r="B1723">
        <v>137085782</v>
      </c>
      <c r="C1723" t="s">
        <v>9061</v>
      </c>
      <c r="D1723" t="s">
        <v>9062</v>
      </c>
      <c r="E1723" t="s">
        <v>8703</v>
      </c>
      <c r="F1723" t="s">
        <v>844</v>
      </c>
      <c r="G1723" t="s">
        <v>164</v>
      </c>
      <c r="H1723" t="s">
        <v>165</v>
      </c>
      <c r="I1723" t="s">
        <v>34</v>
      </c>
      <c r="J1723" t="s">
        <v>166</v>
      </c>
      <c r="K1723" t="s">
        <v>44</v>
      </c>
      <c r="L1723" t="s">
        <v>188</v>
      </c>
      <c r="M1723" t="s">
        <v>9063</v>
      </c>
      <c r="N1723" t="s">
        <v>847</v>
      </c>
      <c r="O1723" t="s">
        <v>100</v>
      </c>
      <c r="P1723" t="s">
        <v>9064</v>
      </c>
      <c r="Q1723" t="s">
        <v>69</v>
      </c>
      <c r="R1723" t="s">
        <v>531</v>
      </c>
      <c r="S1723">
        <v>1</v>
      </c>
      <c r="T1723">
        <v>3753</v>
      </c>
      <c r="U1723">
        <v>0</v>
      </c>
      <c r="V1723">
        <v>3753</v>
      </c>
    </row>
    <row r="1724" spans="1:22" x14ac:dyDescent="0.3">
      <c r="A1724">
        <v>187830</v>
      </c>
      <c r="B1724">
        <v>137033458</v>
      </c>
      <c r="C1724" t="s">
        <v>9065</v>
      </c>
      <c r="D1724" t="s">
        <v>9066</v>
      </c>
      <c r="E1724" t="s">
        <v>8703</v>
      </c>
      <c r="F1724" t="s">
        <v>844</v>
      </c>
      <c r="G1724" t="s">
        <v>164</v>
      </c>
      <c r="H1724" t="s">
        <v>165</v>
      </c>
      <c r="I1724" t="s">
        <v>34</v>
      </c>
      <c r="J1724" t="s">
        <v>166</v>
      </c>
      <c r="K1724" t="s">
        <v>41</v>
      </c>
      <c r="L1724" t="s">
        <v>9067</v>
      </c>
      <c r="M1724" t="s">
        <v>9068</v>
      </c>
      <c r="N1724" t="s">
        <v>847</v>
      </c>
      <c r="O1724" t="s">
        <v>100</v>
      </c>
      <c r="P1724" t="s">
        <v>9069</v>
      </c>
      <c r="Q1724" t="s">
        <v>71</v>
      </c>
      <c r="R1724" t="s">
        <v>153</v>
      </c>
      <c r="S1724">
        <v>1</v>
      </c>
      <c r="T1724">
        <v>3501</v>
      </c>
      <c r="U1724">
        <v>0</v>
      </c>
      <c r="V1724">
        <v>3501</v>
      </c>
    </row>
    <row r="1725" spans="1:22" x14ac:dyDescent="0.3">
      <c r="A1725">
        <v>187830</v>
      </c>
      <c r="B1725">
        <v>137085780</v>
      </c>
      <c r="C1725" t="s">
        <v>9070</v>
      </c>
      <c r="D1725" t="s">
        <v>9071</v>
      </c>
      <c r="E1725" t="s">
        <v>8703</v>
      </c>
      <c r="F1725" t="s">
        <v>844</v>
      </c>
      <c r="G1725" t="s">
        <v>164</v>
      </c>
      <c r="H1725" t="s">
        <v>165</v>
      </c>
      <c r="I1725" t="s">
        <v>34</v>
      </c>
      <c r="J1725" t="s">
        <v>166</v>
      </c>
      <c r="K1725" t="s">
        <v>41</v>
      </c>
      <c r="L1725" t="s">
        <v>9072</v>
      </c>
      <c r="M1725" t="s">
        <v>9073</v>
      </c>
      <c r="N1725" t="s">
        <v>847</v>
      </c>
      <c r="O1725" t="s">
        <v>100</v>
      </c>
      <c r="P1725" t="s">
        <v>9074</v>
      </c>
      <c r="Q1725" t="s">
        <v>63</v>
      </c>
      <c r="R1725" t="s">
        <v>531</v>
      </c>
      <c r="S1725">
        <v>1</v>
      </c>
      <c r="T1725">
        <v>4067</v>
      </c>
      <c r="U1725">
        <v>0</v>
      </c>
      <c r="V1725">
        <v>4067</v>
      </c>
    </row>
    <row r="1726" spans="1:22" x14ac:dyDescent="0.3">
      <c r="A1726">
        <v>187830</v>
      </c>
      <c r="B1726">
        <v>137033453</v>
      </c>
      <c r="C1726" t="s">
        <v>9075</v>
      </c>
      <c r="D1726" t="s">
        <v>9076</v>
      </c>
      <c r="E1726" t="s">
        <v>8703</v>
      </c>
      <c r="F1726" t="s">
        <v>844</v>
      </c>
      <c r="G1726" t="s">
        <v>164</v>
      </c>
      <c r="H1726" t="s">
        <v>165</v>
      </c>
      <c r="I1726" t="s">
        <v>34</v>
      </c>
      <c r="J1726" t="s">
        <v>166</v>
      </c>
      <c r="K1726" t="s">
        <v>41</v>
      </c>
      <c r="L1726" t="s">
        <v>9077</v>
      </c>
      <c r="M1726" t="s">
        <v>9078</v>
      </c>
      <c r="N1726" t="s">
        <v>847</v>
      </c>
      <c r="O1726" t="s">
        <v>100</v>
      </c>
      <c r="P1726" t="s">
        <v>9079</v>
      </c>
      <c r="Q1726" t="s">
        <v>90</v>
      </c>
      <c r="R1726" t="s">
        <v>153</v>
      </c>
      <c r="S1726">
        <v>1</v>
      </c>
      <c r="T1726">
        <v>3870</v>
      </c>
      <c r="U1726">
        <v>0</v>
      </c>
      <c r="V1726">
        <v>3870</v>
      </c>
    </row>
    <row r="1727" spans="1:22" x14ac:dyDescent="0.3">
      <c r="A1727">
        <v>187830</v>
      </c>
      <c r="B1727">
        <v>136413127</v>
      </c>
      <c r="C1727" t="s">
        <v>9080</v>
      </c>
      <c r="D1727" t="s">
        <v>9081</v>
      </c>
      <c r="E1727" t="s">
        <v>8703</v>
      </c>
      <c r="F1727" t="s">
        <v>844</v>
      </c>
      <c r="G1727" t="s">
        <v>164</v>
      </c>
      <c r="H1727" t="s">
        <v>165</v>
      </c>
      <c r="I1727" t="s">
        <v>34</v>
      </c>
      <c r="J1727" t="s">
        <v>166</v>
      </c>
      <c r="K1727" t="s">
        <v>41</v>
      </c>
      <c r="L1727" t="s">
        <v>9082</v>
      </c>
      <c r="M1727" t="s">
        <v>9083</v>
      </c>
      <c r="N1727" t="s">
        <v>847</v>
      </c>
      <c r="O1727" t="s">
        <v>100</v>
      </c>
      <c r="P1727" t="s">
        <v>9084</v>
      </c>
      <c r="Q1727" t="s">
        <v>52</v>
      </c>
      <c r="R1727" t="s">
        <v>299</v>
      </c>
      <c r="S1727">
        <v>1</v>
      </c>
      <c r="T1727">
        <v>5759</v>
      </c>
      <c r="U1727">
        <v>0</v>
      </c>
      <c r="V1727">
        <v>5759</v>
      </c>
    </row>
    <row r="1728" spans="1:22" x14ac:dyDescent="0.3">
      <c r="A1728">
        <v>187830</v>
      </c>
      <c r="B1728">
        <v>135667762</v>
      </c>
      <c r="C1728" t="s">
        <v>9085</v>
      </c>
      <c r="D1728" t="s">
        <v>9086</v>
      </c>
      <c r="E1728" t="s">
        <v>8703</v>
      </c>
      <c r="F1728" t="s">
        <v>844</v>
      </c>
      <c r="G1728" t="s">
        <v>164</v>
      </c>
      <c r="H1728" t="s">
        <v>165</v>
      </c>
      <c r="I1728" t="s">
        <v>34</v>
      </c>
      <c r="J1728" t="s">
        <v>166</v>
      </c>
      <c r="K1728" t="s">
        <v>41</v>
      </c>
      <c r="L1728" t="s">
        <v>9082</v>
      </c>
      <c r="M1728" t="s">
        <v>9083</v>
      </c>
      <c r="N1728" t="s">
        <v>847</v>
      </c>
      <c r="O1728" t="s">
        <v>100</v>
      </c>
      <c r="P1728" t="s">
        <v>9084</v>
      </c>
      <c r="Q1728" t="s">
        <v>52</v>
      </c>
      <c r="R1728" t="s">
        <v>9087</v>
      </c>
      <c r="S1728">
        <v>0.22</v>
      </c>
      <c r="T1728">
        <v>5367</v>
      </c>
      <c r="U1728">
        <v>0</v>
      </c>
      <c r="V1728">
        <v>5367</v>
      </c>
    </row>
    <row r="1729" spans="1:22" x14ac:dyDescent="0.3">
      <c r="A1729">
        <v>187830</v>
      </c>
      <c r="B1729">
        <v>136998062</v>
      </c>
      <c r="C1729" t="s">
        <v>9088</v>
      </c>
      <c r="D1729" t="s">
        <v>9089</v>
      </c>
      <c r="E1729" t="s">
        <v>8703</v>
      </c>
      <c r="F1729" t="s">
        <v>844</v>
      </c>
      <c r="G1729" t="s">
        <v>164</v>
      </c>
      <c r="H1729" t="s">
        <v>165</v>
      </c>
      <c r="I1729" t="s">
        <v>34</v>
      </c>
      <c r="J1729" t="s">
        <v>166</v>
      </c>
      <c r="K1729" t="s">
        <v>41</v>
      </c>
      <c r="L1729" t="s">
        <v>9090</v>
      </c>
      <c r="M1729" t="s">
        <v>9091</v>
      </c>
      <c r="N1729" t="s">
        <v>847</v>
      </c>
      <c r="O1729" t="s">
        <v>100</v>
      </c>
      <c r="P1729" t="s">
        <v>9092</v>
      </c>
      <c r="Q1729" t="s">
        <v>60</v>
      </c>
      <c r="R1729" t="s">
        <v>8841</v>
      </c>
      <c r="S1729">
        <v>2.59</v>
      </c>
      <c r="T1729">
        <v>4346</v>
      </c>
      <c r="U1729">
        <v>0</v>
      </c>
      <c r="V1729">
        <v>4346</v>
      </c>
    </row>
    <row r="1730" spans="1:22" x14ac:dyDescent="0.3">
      <c r="A1730">
        <v>187830</v>
      </c>
      <c r="B1730">
        <v>137085786</v>
      </c>
      <c r="C1730" t="s">
        <v>9093</v>
      </c>
      <c r="D1730" t="s">
        <v>9094</v>
      </c>
      <c r="E1730" t="s">
        <v>8703</v>
      </c>
      <c r="F1730" t="s">
        <v>844</v>
      </c>
      <c r="G1730" t="s">
        <v>164</v>
      </c>
      <c r="H1730" t="s">
        <v>165</v>
      </c>
      <c r="I1730" t="s">
        <v>34</v>
      </c>
      <c r="J1730" t="s">
        <v>166</v>
      </c>
      <c r="K1730" t="s">
        <v>41</v>
      </c>
      <c r="L1730" t="s">
        <v>9095</v>
      </c>
      <c r="M1730" t="s">
        <v>9096</v>
      </c>
      <c r="N1730" t="s">
        <v>847</v>
      </c>
      <c r="O1730" t="s">
        <v>100</v>
      </c>
      <c r="P1730" t="s">
        <v>9097</v>
      </c>
      <c r="Q1730" t="s">
        <v>93</v>
      </c>
      <c r="R1730" t="s">
        <v>531</v>
      </c>
      <c r="S1730">
        <v>1</v>
      </c>
      <c r="T1730">
        <v>3366</v>
      </c>
      <c r="U1730">
        <v>0</v>
      </c>
      <c r="V1730">
        <v>3366</v>
      </c>
    </row>
    <row r="1731" spans="1:22" x14ac:dyDescent="0.3">
      <c r="A1731">
        <v>187830</v>
      </c>
      <c r="B1731">
        <v>136998070</v>
      </c>
      <c r="C1731" t="s">
        <v>9098</v>
      </c>
      <c r="D1731" t="s">
        <v>9099</v>
      </c>
      <c r="E1731" t="s">
        <v>8703</v>
      </c>
      <c r="F1731" t="s">
        <v>844</v>
      </c>
      <c r="G1731" t="s">
        <v>164</v>
      </c>
      <c r="H1731" t="s">
        <v>165</v>
      </c>
      <c r="I1731" t="s">
        <v>34</v>
      </c>
      <c r="J1731" t="s">
        <v>166</v>
      </c>
      <c r="K1731" t="s">
        <v>41</v>
      </c>
      <c r="L1731" t="s">
        <v>658</v>
      </c>
      <c r="M1731" t="s">
        <v>9100</v>
      </c>
      <c r="N1731" t="s">
        <v>847</v>
      </c>
      <c r="O1731" t="s">
        <v>100</v>
      </c>
      <c r="P1731" t="s">
        <v>9101</v>
      </c>
      <c r="Q1731" t="s">
        <v>274</v>
      </c>
      <c r="R1731" t="s">
        <v>8841</v>
      </c>
      <c r="S1731">
        <v>1</v>
      </c>
      <c r="T1731">
        <v>3366</v>
      </c>
      <c r="U1731">
        <v>0</v>
      </c>
      <c r="V1731">
        <v>3366</v>
      </c>
    </row>
    <row r="1732" spans="1:22" x14ac:dyDescent="0.3">
      <c r="A1732">
        <v>187830</v>
      </c>
      <c r="B1732">
        <v>136860277</v>
      </c>
      <c r="C1732" t="s">
        <v>9102</v>
      </c>
      <c r="D1732" t="s">
        <v>9103</v>
      </c>
      <c r="E1732" t="s">
        <v>8703</v>
      </c>
      <c r="F1732" t="s">
        <v>844</v>
      </c>
      <c r="G1732" t="s">
        <v>164</v>
      </c>
      <c r="H1732" t="s">
        <v>165</v>
      </c>
      <c r="I1732" t="s">
        <v>34</v>
      </c>
      <c r="J1732" t="s">
        <v>166</v>
      </c>
      <c r="K1732" t="s">
        <v>41</v>
      </c>
      <c r="L1732" t="s">
        <v>9104</v>
      </c>
      <c r="M1732" t="s">
        <v>9105</v>
      </c>
      <c r="N1732" t="s">
        <v>847</v>
      </c>
      <c r="O1732" t="s">
        <v>100</v>
      </c>
      <c r="P1732" t="s">
        <v>9106</v>
      </c>
      <c r="Q1732" t="s">
        <v>84</v>
      </c>
      <c r="R1732" t="s">
        <v>8986</v>
      </c>
      <c r="S1732">
        <v>1.89</v>
      </c>
      <c r="T1732">
        <v>3366</v>
      </c>
      <c r="U1732">
        <v>0</v>
      </c>
      <c r="V1732">
        <v>3366</v>
      </c>
    </row>
    <row r="1733" spans="1:22" x14ac:dyDescent="0.3">
      <c r="A1733">
        <v>187830</v>
      </c>
      <c r="B1733">
        <v>136889505</v>
      </c>
      <c r="C1733" t="s">
        <v>9107</v>
      </c>
      <c r="D1733" t="s">
        <v>9108</v>
      </c>
      <c r="E1733" t="s">
        <v>8703</v>
      </c>
      <c r="F1733" t="s">
        <v>844</v>
      </c>
      <c r="G1733" t="s">
        <v>164</v>
      </c>
      <c r="H1733" t="s">
        <v>165</v>
      </c>
      <c r="I1733" t="s">
        <v>34</v>
      </c>
      <c r="J1733" t="s">
        <v>166</v>
      </c>
      <c r="K1733" t="s">
        <v>41</v>
      </c>
      <c r="L1733" t="s">
        <v>9109</v>
      </c>
      <c r="M1733" t="s">
        <v>9110</v>
      </c>
      <c r="N1733" t="s">
        <v>847</v>
      </c>
      <c r="O1733" t="s">
        <v>100</v>
      </c>
      <c r="P1733" t="s">
        <v>9111</v>
      </c>
      <c r="Q1733" t="s">
        <v>49</v>
      </c>
      <c r="R1733" t="s">
        <v>154</v>
      </c>
      <c r="S1733">
        <v>1.36</v>
      </c>
      <c r="T1733">
        <v>3784</v>
      </c>
      <c r="U1733">
        <v>0</v>
      </c>
      <c r="V1733">
        <v>3784</v>
      </c>
    </row>
    <row r="1734" spans="1:22" x14ac:dyDescent="0.3">
      <c r="A1734">
        <v>187830</v>
      </c>
      <c r="B1734">
        <v>136921500</v>
      </c>
      <c r="C1734" t="s">
        <v>9112</v>
      </c>
      <c r="D1734" t="s">
        <v>9113</v>
      </c>
      <c r="E1734" t="s">
        <v>8703</v>
      </c>
      <c r="F1734" t="s">
        <v>844</v>
      </c>
      <c r="G1734" t="s">
        <v>164</v>
      </c>
      <c r="H1734" t="s">
        <v>165</v>
      </c>
      <c r="I1734" t="s">
        <v>34</v>
      </c>
      <c r="J1734" t="s">
        <v>166</v>
      </c>
      <c r="K1734" t="s">
        <v>41</v>
      </c>
      <c r="L1734" t="s">
        <v>9114</v>
      </c>
      <c r="M1734" t="s">
        <v>9115</v>
      </c>
      <c r="N1734" t="s">
        <v>847</v>
      </c>
      <c r="O1734" t="s">
        <v>100</v>
      </c>
      <c r="P1734" t="s">
        <v>9116</v>
      </c>
      <c r="Q1734" t="s">
        <v>43</v>
      </c>
      <c r="R1734" t="s">
        <v>8805</v>
      </c>
      <c r="S1734">
        <v>2.06</v>
      </c>
      <c r="T1734">
        <v>3753</v>
      </c>
      <c r="U1734">
        <v>0</v>
      </c>
      <c r="V1734">
        <v>3753</v>
      </c>
    </row>
    <row r="1735" spans="1:22" x14ac:dyDescent="0.3">
      <c r="A1735">
        <v>187830</v>
      </c>
      <c r="B1735">
        <v>136939956</v>
      </c>
      <c r="C1735" t="s">
        <v>9117</v>
      </c>
      <c r="D1735" t="s">
        <v>9118</v>
      </c>
      <c r="E1735" t="s">
        <v>8703</v>
      </c>
      <c r="F1735" t="s">
        <v>844</v>
      </c>
      <c r="G1735" t="s">
        <v>164</v>
      </c>
      <c r="H1735" t="s">
        <v>165</v>
      </c>
      <c r="I1735" t="s">
        <v>34</v>
      </c>
      <c r="J1735" t="s">
        <v>166</v>
      </c>
      <c r="K1735" t="s">
        <v>41</v>
      </c>
      <c r="L1735" t="s">
        <v>9119</v>
      </c>
      <c r="M1735" t="s">
        <v>9120</v>
      </c>
      <c r="N1735" t="s">
        <v>847</v>
      </c>
      <c r="O1735" t="s">
        <v>100</v>
      </c>
      <c r="P1735" t="s">
        <v>9121</v>
      </c>
      <c r="Q1735" t="s">
        <v>63</v>
      </c>
      <c r="R1735" t="s">
        <v>387</v>
      </c>
      <c r="S1735">
        <v>0.48</v>
      </c>
      <c r="T1735">
        <v>3680</v>
      </c>
      <c r="U1735">
        <v>0</v>
      </c>
      <c r="V1735">
        <v>3680</v>
      </c>
    </row>
    <row r="1736" spans="1:22" x14ac:dyDescent="0.3">
      <c r="A1736">
        <v>187830</v>
      </c>
      <c r="B1736">
        <v>136939949</v>
      </c>
      <c r="C1736" t="s">
        <v>9122</v>
      </c>
      <c r="D1736" t="s">
        <v>9123</v>
      </c>
      <c r="E1736" t="s">
        <v>8703</v>
      </c>
      <c r="F1736" t="s">
        <v>844</v>
      </c>
      <c r="G1736" t="s">
        <v>164</v>
      </c>
      <c r="H1736" t="s">
        <v>165</v>
      </c>
      <c r="I1736" t="s">
        <v>34</v>
      </c>
      <c r="J1736" t="s">
        <v>166</v>
      </c>
      <c r="K1736" t="s">
        <v>41</v>
      </c>
      <c r="L1736" t="s">
        <v>9124</v>
      </c>
      <c r="M1736" t="s">
        <v>9125</v>
      </c>
      <c r="N1736" t="s">
        <v>847</v>
      </c>
      <c r="O1736" t="s">
        <v>100</v>
      </c>
      <c r="P1736" t="s">
        <v>9126</v>
      </c>
      <c r="Q1736" t="s">
        <v>98</v>
      </c>
      <c r="R1736" t="s">
        <v>387</v>
      </c>
      <c r="S1736">
        <v>2.2200000000000002</v>
      </c>
      <c r="T1736">
        <v>3366</v>
      </c>
      <c r="U1736">
        <v>0</v>
      </c>
      <c r="V1736">
        <v>3366</v>
      </c>
    </row>
    <row r="1737" spans="1:22" x14ac:dyDescent="0.3">
      <c r="A1737">
        <v>187830</v>
      </c>
      <c r="B1737">
        <v>136793112</v>
      </c>
      <c r="C1737" t="s">
        <v>9127</v>
      </c>
      <c r="D1737" t="s">
        <v>9128</v>
      </c>
      <c r="E1737" t="s">
        <v>8703</v>
      </c>
      <c r="F1737" t="s">
        <v>844</v>
      </c>
      <c r="G1737" t="s">
        <v>164</v>
      </c>
      <c r="H1737" t="s">
        <v>165</v>
      </c>
      <c r="I1737" t="s">
        <v>34</v>
      </c>
      <c r="J1737" t="s">
        <v>166</v>
      </c>
      <c r="K1737" t="s">
        <v>41</v>
      </c>
      <c r="L1737" t="s">
        <v>9129</v>
      </c>
      <c r="M1737" t="s">
        <v>9130</v>
      </c>
      <c r="N1737" t="s">
        <v>847</v>
      </c>
      <c r="O1737" t="s">
        <v>100</v>
      </c>
      <c r="P1737" t="s">
        <v>9131</v>
      </c>
      <c r="Q1737" t="s">
        <v>55</v>
      </c>
      <c r="R1737" t="s">
        <v>588</v>
      </c>
      <c r="S1737">
        <v>2.06</v>
      </c>
      <c r="T1737">
        <v>5198</v>
      </c>
      <c r="U1737">
        <v>0</v>
      </c>
      <c r="V1737">
        <v>5198</v>
      </c>
    </row>
    <row r="1738" spans="1:22" x14ac:dyDescent="0.3">
      <c r="A1738">
        <v>187830</v>
      </c>
      <c r="B1738">
        <v>136793116</v>
      </c>
      <c r="C1738" t="s">
        <v>9132</v>
      </c>
      <c r="D1738" t="s">
        <v>9133</v>
      </c>
      <c r="E1738" t="s">
        <v>8703</v>
      </c>
      <c r="F1738" t="s">
        <v>844</v>
      </c>
      <c r="G1738" t="s">
        <v>164</v>
      </c>
      <c r="H1738" t="s">
        <v>165</v>
      </c>
      <c r="I1738" t="s">
        <v>34</v>
      </c>
      <c r="J1738" t="s">
        <v>166</v>
      </c>
      <c r="K1738" t="s">
        <v>41</v>
      </c>
      <c r="L1738" t="s">
        <v>9134</v>
      </c>
      <c r="M1738" t="s">
        <v>9135</v>
      </c>
      <c r="N1738" t="s">
        <v>847</v>
      </c>
      <c r="O1738" t="s">
        <v>100</v>
      </c>
      <c r="P1738" t="s">
        <v>9136</v>
      </c>
      <c r="Q1738" t="s">
        <v>57</v>
      </c>
      <c r="R1738" t="s">
        <v>588</v>
      </c>
      <c r="S1738">
        <v>1.9</v>
      </c>
      <c r="T1738">
        <v>5476</v>
      </c>
      <c r="U1738">
        <v>0</v>
      </c>
      <c r="V1738">
        <v>5476</v>
      </c>
    </row>
    <row r="1739" spans="1:22" x14ac:dyDescent="0.3">
      <c r="A1739">
        <v>187830</v>
      </c>
      <c r="B1739">
        <v>135850367</v>
      </c>
      <c r="C1739" t="s">
        <v>9137</v>
      </c>
      <c r="D1739" t="s">
        <v>9138</v>
      </c>
      <c r="E1739" t="s">
        <v>8703</v>
      </c>
      <c r="F1739" t="s">
        <v>844</v>
      </c>
      <c r="G1739" t="s">
        <v>164</v>
      </c>
      <c r="H1739" t="s">
        <v>165</v>
      </c>
      <c r="I1739" t="s">
        <v>34</v>
      </c>
      <c r="J1739" t="s">
        <v>166</v>
      </c>
      <c r="K1739" t="s">
        <v>41</v>
      </c>
      <c r="L1739" t="s">
        <v>9139</v>
      </c>
      <c r="M1739" t="s">
        <v>9140</v>
      </c>
      <c r="N1739" t="s">
        <v>847</v>
      </c>
      <c r="O1739" t="s">
        <v>100</v>
      </c>
      <c r="P1739" t="s">
        <v>9141</v>
      </c>
      <c r="Q1739" t="s">
        <v>69</v>
      </c>
      <c r="R1739" t="s">
        <v>608</v>
      </c>
      <c r="S1739">
        <v>1</v>
      </c>
      <c r="T1739">
        <v>3753</v>
      </c>
      <c r="U1739">
        <v>0</v>
      </c>
      <c r="V1739">
        <v>3753</v>
      </c>
    </row>
    <row r="1740" spans="1:22" x14ac:dyDescent="0.3">
      <c r="A1740">
        <v>187830</v>
      </c>
      <c r="B1740">
        <v>136109046</v>
      </c>
      <c r="C1740" t="s">
        <v>9142</v>
      </c>
      <c r="D1740" t="s">
        <v>9143</v>
      </c>
      <c r="E1740" t="s">
        <v>8703</v>
      </c>
      <c r="F1740" t="s">
        <v>844</v>
      </c>
      <c r="G1740" t="s">
        <v>164</v>
      </c>
      <c r="H1740" t="s">
        <v>165</v>
      </c>
      <c r="I1740" t="s">
        <v>34</v>
      </c>
      <c r="J1740" t="s">
        <v>166</v>
      </c>
      <c r="K1740" t="s">
        <v>41</v>
      </c>
      <c r="L1740" t="s">
        <v>9144</v>
      </c>
      <c r="M1740" t="s">
        <v>9145</v>
      </c>
      <c r="N1740" t="s">
        <v>847</v>
      </c>
      <c r="O1740" t="s">
        <v>100</v>
      </c>
      <c r="P1740" t="s">
        <v>9146</v>
      </c>
      <c r="Q1740" t="s">
        <v>83</v>
      </c>
      <c r="R1740" t="s">
        <v>9147</v>
      </c>
      <c r="S1740">
        <v>2.12</v>
      </c>
      <c r="T1740">
        <v>3366</v>
      </c>
      <c r="U1740">
        <v>0</v>
      </c>
      <c r="V1740">
        <v>3366</v>
      </c>
    </row>
    <row r="1741" spans="1:22" x14ac:dyDescent="0.3">
      <c r="A1741">
        <v>187830</v>
      </c>
      <c r="B1741">
        <v>135715586</v>
      </c>
      <c r="C1741" t="s">
        <v>9148</v>
      </c>
      <c r="D1741" t="s">
        <v>9149</v>
      </c>
      <c r="E1741" t="s">
        <v>8703</v>
      </c>
      <c r="F1741" t="s">
        <v>844</v>
      </c>
      <c r="G1741" t="s">
        <v>164</v>
      </c>
      <c r="H1741" t="s">
        <v>165</v>
      </c>
      <c r="I1741" t="s">
        <v>34</v>
      </c>
      <c r="J1741" t="s">
        <v>166</v>
      </c>
      <c r="K1741" t="s">
        <v>41</v>
      </c>
      <c r="L1741" t="s">
        <v>9150</v>
      </c>
      <c r="M1741" t="s">
        <v>651</v>
      </c>
      <c r="N1741" t="s">
        <v>847</v>
      </c>
      <c r="O1741" t="s">
        <v>100</v>
      </c>
      <c r="P1741" t="s">
        <v>9151</v>
      </c>
      <c r="Q1741" t="s">
        <v>63</v>
      </c>
      <c r="R1741" t="s">
        <v>610</v>
      </c>
      <c r="S1741">
        <v>0.22</v>
      </c>
      <c r="T1741">
        <v>3680</v>
      </c>
      <c r="U1741">
        <v>0</v>
      </c>
      <c r="V1741">
        <v>3680</v>
      </c>
    </row>
    <row r="1742" spans="1:22" x14ac:dyDescent="0.3">
      <c r="A1742">
        <v>187830</v>
      </c>
      <c r="B1742">
        <v>136682881</v>
      </c>
      <c r="C1742" t="s">
        <v>9152</v>
      </c>
      <c r="D1742" t="s">
        <v>9153</v>
      </c>
      <c r="E1742" t="s">
        <v>8703</v>
      </c>
      <c r="F1742" t="s">
        <v>844</v>
      </c>
      <c r="G1742" t="s">
        <v>164</v>
      </c>
      <c r="H1742" t="s">
        <v>165</v>
      </c>
      <c r="I1742" t="s">
        <v>34</v>
      </c>
      <c r="J1742" t="s">
        <v>166</v>
      </c>
      <c r="K1742" t="s">
        <v>44</v>
      </c>
      <c r="L1742" t="s">
        <v>188</v>
      </c>
      <c r="M1742" t="s">
        <v>9154</v>
      </c>
      <c r="N1742" t="s">
        <v>847</v>
      </c>
      <c r="O1742" t="s">
        <v>100</v>
      </c>
      <c r="P1742" t="s">
        <v>9155</v>
      </c>
      <c r="Q1742" t="s">
        <v>55</v>
      </c>
      <c r="R1742" t="s">
        <v>9156</v>
      </c>
      <c r="S1742">
        <v>0.97</v>
      </c>
      <c r="T1742">
        <v>5198</v>
      </c>
      <c r="U1742">
        <v>0</v>
      </c>
      <c r="V1742">
        <v>5198</v>
      </c>
    </row>
    <row r="1743" spans="1:22" x14ac:dyDescent="0.3">
      <c r="A1743">
        <v>187830</v>
      </c>
      <c r="B1743">
        <v>136826863</v>
      </c>
      <c r="C1743" t="s">
        <v>9157</v>
      </c>
      <c r="D1743" t="s">
        <v>9158</v>
      </c>
      <c r="E1743" t="s">
        <v>8703</v>
      </c>
      <c r="F1743" t="s">
        <v>844</v>
      </c>
      <c r="G1743" t="s">
        <v>164</v>
      </c>
      <c r="H1743" t="s">
        <v>165</v>
      </c>
      <c r="I1743" t="s">
        <v>34</v>
      </c>
      <c r="J1743" t="s">
        <v>166</v>
      </c>
      <c r="K1743" t="s">
        <v>41</v>
      </c>
      <c r="L1743" t="s">
        <v>9159</v>
      </c>
      <c r="M1743" t="s">
        <v>9160</v>
      </c>
      <c r="N1743" t="s">
        <v>847</v>
      </c>
      <c r="O1743" t="s">
        <v>100</v>
      </c>
      <c r="P1743" t="s">
        <v>9161</v>
      </c>
      <c r="Q1743" t="s">
        <v>61</v>
      </c>
      <c r="R1743" t="s">
        <v>132</v>
      </c>
      <c r="S1743">
        <v>1.99</v>
      </c>
      <c r="T1743">
        <v>4067</v>
      </c>
      <c r="U1743">
        <v>0</v>
      </c>
      <c r="V1743">
        <v>4067</v>
      </c>
    </row>
    <row r="1744" spans="1:22" x14ac:dyDescent="0.3">
      <c r="A1744">
        <v>187830</v>
      </c>
      <c r="B1744">
        <v>135667742</v>
      </c>
      <c r="C1744" t="s">
        <v>9162</v>
      </c>
      <c r="D1744" t="s">
        <v>9163</v>
      </c>
      <c r="E1744" t="s">
        <v>8703</v>
      </c>
      <c r="F1744" t="s">
        <v>844</v>
      </c>
      <c r="G1744" t="s">
        <v>164</v>
      </c>
      <c r="H1744" t="s">
        <v>165</v>
      </c>
      <c r="I1744" t="s">
        <v>34</v>
      </c>
      <c r="J1744" t="s">
        <v>166</v>
      </c>
      <c r="K1744" t="s">
        <v>41</v>
      </c>
      <c r="L1744" t="s">
        <v>9164</v>
      </c>
      <c r="M1744" t="s">
        <v>9165</v>
      </c>
      <c r="N1744" t="s">
        <v>847</v>
      </c>
      <c r="O1744" t="s">
        <v>100</v>
      </c>
      <c r="P1744" t="s">
        <v>9166</v>
      </c>
      <c r="Q1744" t="s">
        <v>60</v>
      </c>
      <c r="R1744" t="s">
        <v>9087</v>
      </c>
      <c r="S1744">
        <v>1</v>
      </c>
      <c r="T1744">
        <v>4346</v>
      </c>
      <c r="U1744">
        <v>0</v>
      </c>
      <c r="V1744">
        <v>4346</v>
      </c>
    </row>
    <row r="1745" spans="1:22" x14ac:dyDescent="0.3">
      <c r="A1745">
        <v>187830</v>
      </c>
      <c r="B1745">
        <v>136724355</v>
      </c>
      <c r="C1745" t="s">
        <v>9167</v>
      </c>
      <c r="D1745" t="s">
        <v>9168</v>
      </c>
      <c r="E1745" t="s">
        <v>8703</v>
      </c>
      <c r="F1745" t="s">
        <v>844</v>
      </c>
      <c r="G1745" t="s">
        <v>164</v>
      </c>
      <c r="H1745" t="s">
        <v>165</v>
      </c>
      <c r="I1745" t="s">
        <v>34</v>
      </c>
      <c r="J1745" t="s">
        <v>166</v>
      </c>
      <c r="K1745" t="s">
        <v>41</v>
      </c>
      <c r="L1745" t="s">
        <v>9169</v>
      </c>
      <c r="M1745" t="s">
        <v>421</v>
      </c>
      <c r="N1745" t="s">
        <v>847</v>
      </c>
      <c r="O1745" t="s">
        <v>100</v>
      </c>
      <c r="P1745" t="s">
        <v>9170</v>
      </c>
      <c r="Q1745" t="s">
        <v>211</v>
      </c>
      <c r="R1745" t="s">
        <v>9171</v>
      </c>
      <c r="S1745">
        <v>3.2</v>
      </c>
      <c r="T1745">
        <v>4852</v>
      </c>
      <c r="U1745">
        <v>0</v>
      </c>
      <c r="V1745">
        <v>4852</v>
      </c>
    </row>
    <row r="1746" spans="1:22" x14ac:dyDescent="0.3">
      <c r="A1746">
        <v>187830</v>
      </c>
      <c r="B1746">
        <v>136637652</v>
      </c>
      <c r="C1746" t="s">
        <v>9172</v>
      </c>
      <c r="D1746" t="s">
        <v>9173</v>
      </c>
      <c r="E1746" t="s">
        <v>8703</v>
      </c>
      <c r="F1746" t="s">
        <v>844</v>
      </c>
      <c r="G1746" t="s">
        <v>164</v>
      </c>
      <c r="H1746" t="s">
        <v>165</v>
      </c>
      <c r="I1746" t="s">
        <v>34</v>
      </c>
      <c r="J1746" t="s">
        <v>166</v>
      </c>
      <c r="K1746" t="s">
        <v>41</v>
      </c>
      <c r="L1746" t="s">
        <v>9174</v>
      </c>
      <c r="M1746" t="s">
        <v>9175</v>
      </c>
      <c r="N1746" t="s">
        <v>847</v>
      </c>
      <c r="O1746" t="s">
        <v>100</v>
      </c>
      <c r="P1746" t="s">
        <v>9176</v>
      </c>
      <c r="Q1746" t="s">
        <v>55</v>
      </c>
      <c r="R1746" t="s">
        <v>9177</v>
      </c>
      <c r="S1746">
        <v>2.92</v>
      </c>
      <c r="T1746">
        <v>5198</v>
      </c>
      <c r="U1746">
        <v>0</v>
      </c>
      <c r="V1746">
        <v>5198</v>
      </c>
    </row>
    <row r="1747" spans="1:22" x14ac:dyDescent="0.3">
      <c r="A1747">
        <v>187830</v>
      </c>
      <c r="B1747">
        <v>136826860</v>
      </c>
      <c r="C1747" t="s">
        <v>9178</v>
      </c>
      <c r="D1747" t="s">
        <v>9179</v>
      </c>
      <c r="E1747" t="s">
        <v>8703</v>
      </c>
      <c r="F1747" t="s">
        <v>844</v>
      </c>
      <c r="G1747" t="s">
        <v>164</v>
      </c>
      <c r="H1747" t="s">
        <v>165</v>
      </c>
      <c r="I1747" t="s">
        <v>34</v>
      </c>
      <c r="J1747" t="s">
        <v>166</v>
      </c>
      <c r="K1747" t="s">
        <v>41</v>
      </c>
      <c r="L1747" t="s">
        <v>9180</v>
      </c>
      <c r="M1747" t="s">
        <v>9181</v>
      </c>
      <c r="N1747" t="s">
        <v>847</v>
      </c>
      <c r="O1747" t="s">
        <v>100</v>
      </c>
      <c r="P1747" t="s">
        <v>9182</v>
      </c>
      <c r="Q1747" t="s">
        <v>61</v>
      </c>
      <c r="R1747" t="s">
        <v>132</v>
      </c>
      <c r="S1747">
        <v>3.31</v>
      </c>
      <c r="T1747">
        <v>5376</v>
      </c>
      <c r="U1747">
        <v>0</v>
      </c>
      <c r="V1747">
        <v>5376</v>
      </c>
    </row>
    <row r="1748" spans="1:22" x14ac:dyDescent="0.3">
      <c r="A1748">
        <v>187830</v>
      </c>
      <c r="B1748">
        <v>136509194</v>
      </c>
      <c r="C1748" t="s">
        <v>9183</v>
      </c>
      <c r="D1748" t="s">
        <v>9184</v>
      </c>
      <c r="E1748" t="s">
        <v>8703</v>
      </c>
      <c r="F1748" t="s">
        <v>844</v>
      </c>
      <c r="G1748" t="s">
        <v>164</v>
      </c>
      <c r="H1748" t="s">
        <v>165</v>
      </c>
      <c r="I1748" t="s">
        <v>34</v>
      </c>
      <c r="J1748" t="s">
        <v>166</v>
      </c>
      <c r="K1748" t="s">
        <v>41</v>
      </c>
      <c r="L1748" t="s">
        <v>9185</v>
      </c>
      <c r="M1748" t="s">
        <v>9186</v>
      </c>
      <c r="N1748" t="s">
        <v>847</v>
      </c>
      <c r="O1748" t="s">
        <v>100</v>
      </c>
      <c r="P1748" t="s">
        <v>9187</v>
      </c>
      <c r="Q1748" t="s">
        <v>55</v>
      </c>
      <c r="R1748" t="s">
        <v>334</v>
      </c>
      <c r="S1748">
        <v>6.88</v>
      </c>
      <c r="T1748">
        <v>9710</v>
      </c>
      <c r="U1748">
        <v>0</v>
      </c>
      <c r="V1748">
        <v>9710</v>
      </c>
    </row>
    <row r="1749" spans="1:22" x14ac:dyDescent="0.3">
      <c r="A1749">
        <v>187830</v>
      </c>
      <c r="B1749">
        <v>136568381</v>
      </c>
      <c r="C1749" t="s">
        <v>9188</v>
      </c>
      <c r="D1749" t="s">
        <v>9189</v>
      </c>
      <c r="E1749" t="s">
        <v>8703</v>
      </c>
      <c r="F1749" t="s">
        <v>844</v>
      </c>
      <c r="G1749" t="s">
        <v>164</v>
      </c>
      <c r="H1749" t="s">
        <v>165</v>
      </c>
      <c r="I1749" t="s">
        <v>34</v>
      </c>
      <c r="J1749" t="s">
        <v>166</v>
      </c>
      <c r="K1749" t="s">
        <v>41</v>
      </c>
      <c r="L1749" t="s">
        <v>9190</v>
      </c>
      <c r="M1749" t="s">
        <v>9191</v>
      </c>
      <c r="N1749" t="s">
        <v>847</v>
      </c>
      <c r="O1749" t="s">
        <v>100</v>
      </c>
      <c r="P1749" t="s">
        <v>9192</v>
      </c>
      <c r="Q1749" t="s">
        <v>110</v>
      </c>
      <c r="R1749" t="s">
        <v>9193</v>
      </c>
      <c r="S1749">
        <v>0.87</v>
      </c>
      <c r="T1749">
        <v>7506</v>
      </c>
      <c r="U1749">
        <v>0</v>
      </c>
      <c r="V1749">
        <v>7506</v>
      </c>
    </row>
    <row r="1750" spans="1:22" x14ac:dyDescent="0.3">
      <c r="A1750">
        <v>187830</v>
      </c>
      <c r="B1750">
        <v>136542331</v>
      </c>
      <c r="C1750" t="s">
        <v>9194</v>
      </c>
      <c r="D1750" t="s">
        <v>9195</v>
      </c>
      <c r="E1750" t="s">
        <v>8703</v>
      </c>
      <c r="F1750" t="s">
        <v>844</v>
      </c>
      <c r="G1750" t="s">
        <v>164</v>
      </c>
      <c r="H1750" t="s">
        <v>165</v>
      </c>
      <c r="I1750" t="s">
        <v>34</v>
      </c>
      <c r="J1750" t="s">
        <v>166</v>
      </c>
      <c r="K1750" t="s">
        <v>41</v>
      </c>
      <c r="L1750" t="s">
        <v>9196</v>
      </c>
      <c r="M1750" t="s">
        <v>9197</v>
      </c>
      <c r="N1750" t="s">
        <v>847</v>
      </c>
      <c r="O1750" t="s">
        <v>100</v>
      </c>
      <c r="P1750" t="s">
        <v>9198</v>
      </c>
      <c r="Q1750" t="s">
        <v>84</v>
      </c>
      <c r="R1750" t="s">
        <v>9199</v>
      </c>
      <c r="S1750">
        <v>2.11</v>
      </c>
      <c r="T1750">
        <v>3366</v>
      </c>
      <c r="U1750">
        <v>0</v>
      </c>
      <c r="V1750">
        <v>3366</v>
      </c>
    </row>
    <row r="1751" spans="1:22" x14ac:dyDescent="0.3">
      <c r="A1751">
        <v>187830</v>
      </c>
      <c r="B1751">
        <v>136682894</v>
      </c>
      <c r="C1751" t="s">
        <v>9200</v>
      </c>
      <c r="D1751" t="s">
        <v>9201</v>
      </c>
      <c r="E1751" t="s">
        <v>8703</v>
      </c>
      <c r="F1751" t="s">
        <v>844</v>
      </c>
      <c r="G1751" t="s">
        <v>164</v>
      </c>
      <c r="H1751" t="s">
        <v>165</v>
      </c>
      <c r="I1751" t="s">
        <v>34</v>
      </c>
      <c r="J1751" t="s">
        <v>166</v>
      </c>
      <c r="K1751" t="s">
        <v>41</v>
      </c>
      <c r="L1751" t="s">
        <v>9202</v>
      </c>
      <c r="M1751" t="s">
        <v>9203</v>
      </c>
      <c r="N1751" t="s">
        <v>847</v>
      </c>
      <c r="O1751" t="s">
        <v>100</v>
      </c>
      <c r="P1751" t="s">
        <v>9204</v>
      </c>
      <c r="Q1751" t="s">
        <v>43</v>
      </c>
      <c r="R1751" t="s">
        <v>9156</v>
      </c>
      <c r="S1751">
        <v>1</v>
      </c>
      <c r="T1751">
        <v>3753</v>
      </c>
      <c r="U1751">
        <v>0</v>
      </c>
      <c r="V1751">
        <v>3753</v>
      </c>
    </row>
    <row r="1752" spans="1:22" x14ac:dyDescent="0.3">
      <c r="A1752">
        <v>187830</v>
      </c>
      <c r="B1752">
        <v>136559913</v>
      </c>
      <c r="C1752" t="s">
        <v>9205</v>
      </c>
      <c r="D1752" t="s">
        <v>9206</v>
      </c>
      <c r="E1752" t="s">
        <v>8703</v>
      </c>
      <c r="F1752" t="s">
        <v>844</v>
      </c>
      <c r="G1752" t="s">
        <v>164</v>
      </c>
      <c r="H1752" t="s">
        <v>165</v>
      </c>
      <c r="I1752" t="s">
        <v>34</v>
      </c>
      <c r="J1752" t="s">
        <v>166</v>
      </c>
      <c r="K1752" t="s">
        <v>41</v>
      </c>
      <c r="L1752" t="s">
        <v>9207</v>
      </c>
      <c r="M1752" t="s">
        <v>9208</v>
      </c>
      <c r="N1752" t="s">
        <v>847</v>
      </c>
      <c r="O1752" t="s">
        <v>100</v>
      </c>
      <c r="P1752" t="s">
        <v>9209</v>
      </c>
      <c r="Q1752" t="s">
        <v>84</v>
      </c>
      <c r="R1752" t="s">
        <v>9210</v>
      </c>
      <c r="S1752">
        <v>2.1800000000000002</v>
      </c>
      <c r="T1752">
        <v>3366</v>
      </c>
      <c r="U1752">
        <v>0</v>
      </c>
      <c r="V1752">
        <v>3366</v>
      </c>
    </row>
    <row r="1753" spans="1:22" x14ac:dyDescent="0.3">
      <c r="A1753">
        <v>187830</v>
      </c>
      <c r="B1753">
        <v>136637640</v>
      </c>
      <c r="C1753" t="s">
        <v>9211</v>
      </c>
      <c r="D1753" t="s">
        <v>9212</v>
      </c>
      <c r="E1753" t="s">
        <v>8703</v>
      </c>
      <c r="F1753" t="s">
        <v>844</v>
      </c>
      <c r="G1753" t="s">
        <v>164</v>
      </c>
      <c r="H1753" t="s">
        <v>165</v>
      </c>
      <c r="I1753" t="s">
        <v>34</v>
      </c>
      <c r="J1753" t="s">
        <v>166</v>
      </c>
      <c r="K1753" t="s">
        <v>41</v>
      </c>
      <c r="L1753" t="s">
        <v>9213</v>
      </c>
      <c r="M1753" t="s">
        <v>9214</v>
      </c>
      <c r="N1753" t="s">
        <v>847</v>
      </c>
      <c r="O1753" t="s">
        <v>100</v>
      </c>
      <c r="P1753" t="s">
        <v>9215</v>
      </c>
      <c r="Q1753" t="s">
        <v>72</v>
      </c>
      <c r="R1753" t="s">
        <v>9177</v>
      </c>
      <c r="S1753">
        <v>1</v>
      </c>
      <c r="T1753">
        <v>3784</v>
      </c>
      <c r="U1753">
        <v>0</v>
      </c>
      <c r="V1753">
        <v>3784</v>
      </c>
    </row>
    <row r="1754" spans="1:22" x14ac:dyDescent="0.3">
      <c r="A1754">
        <v>187830</v>
      </c>
      <c r="B1754">
        <v>136757760</v>
      </c>
      <c r="C1754" t="s">
        <v>9216</v>
      </c>
      <c r="D1754" t="s">
        <v>9217</v>
      </c>
      <c r="E1754" t="s">
        <v>8703</v>
      </c>
      <c r="F1754" t="s">
        <v>844</v>
      </c>
      <c r="G1754" t="s">
        <v>164</v>
      </c>
      <c r="H1754" t="s">
        <v>165</v>
      </c>
      <c r="I1754" t="s">
        <v>34</v>
      </c>
      <c r="J1754" t="s">
        <v>166</v>
      </c>
      <c r="K1754" t="s">
        <v>41</v>
      </c>
      <c r="L1754" t="s">
        <v>9218</v>
      </c>
      <c r="M1754" t="s">
        <v>9219</v>
      </c>
      <c r="N1754" t="s">
        <v>847</v>
      </c>
      <c r="O1754" t="s">
        <v>100</v>
      </c>
      <c r="P1754" t="s">
        <v>9220</v>
      </c>
      <c r="Q1754" t="s">
        <v>63</v>
      </c>
      <c r="R1754" t="s">
        <v>780</v>
      </c>
      <c r="S1754">
        <v>1</v>
      </c>
      <c r="T1754">
        <v>4067</v>
      </c>
      <c r="U1754">
        <v>0</v>
      </c>
      <c r="V1754">
        <v>4067</v>
      </c>
    </row>
    <row r="1755" spans="1:22" x14ac:dyDescent="0.3">
      <c r="A1755">
        <v>187830</v>
      </c>
      <c r="B1755">
        <v>136637661</v>
      </c>
      <c r="C1755" t="s">
        <v>9221</v>
      </c>
      <c r="D1755" t="s">
        <v>9222</v>
      </c>
      <c r="E1755" t="s">
        <v>8703</v>
      </c>
      <c r="F1755" t="s">
        <v>844</v>
      </c>
      <c r="G1755" t="s">
        <v>164</v>
      </c>
      <c r="H1755" t="s">
        <v>165</v>
      </c>
      <c r="I1755" t="s">
        <v>34</v>
      </c>
      <c r="J1755" t="s">
        <v>166</v>
      </c>
      <c r="K1755" t="s">
        <v>41</v>
      </c>
      <c r="L1755" t="s">
        <v>9223</v>
      </c>
      <c r="M1755" t="s">
        <v>9224</v>
      </c>
      <c r="N1755" t="s">
        <v>847</v>
      </c>
      <c r="O1755" t="s">
        <v>100</v>
      </c>
      <c r="P1755" t="s">
        <v>9225</v>
      </c>
      <c r="Q1755" t="s">
        <v>84</v>
      </c>
      <c r="R1755" t="s">
        <v>9177</v>
      </c>
      <c r="S1755">
        <v>1</v>
      </c>
      <c r="T1755">
        <v>3366</v>
      </c>
      <c r="U1755">
        <v>0</v>
      </c>
      <c r="V1755">
        <v>3366</v>
      </c>
    </row>
    <row r="1756" spans="1:22" x14ac:dyDescent="0.3">
      <c r="A1756">
        <v>187830</v>
      </c>
      <c r="B1756">
        <v>136637646</v>
      </c>
      <c r="C1756" t="s">
        <v>9226</v>
      </c>
      <c r="D1756" t="s">
        <v>9227</v>
      </c>
      <c r="E1756" t="s">
        <v>8703</v>
      </c>
      <c r="F1756" t="s">
        <v>844</v>
      </c>
      <c r="G1756" t="s">
        <v>164</v>
      </c>
      <c r="H1756" t="s">
        <v>165</v>
      </c>
      <c r="I1756" t="s">
        <v>34</v>
      </c>
      <c r="J1756" t="s">
        <v>166</v>
      </c>
      <c r="K1756" t="s">
        <v>41</v>
      </c>
      <c r="L1756" t="s">
        <v>9228</v>
      </c>
      <c r="M1756" t="s">
        <v>9229</v>
      </c>
      <c r="N1756" t="s">
        <v>847</v>
      </c>
      <c r="O1756" t="s">
        <v>100</v>
      </c>
      <c r="P1756" t="s">
        <v>9230</v>
      </c>
      <c r="Q1756" t="s">
        <v>60</v>
      </c>
      <c r="R1756" t="s">
        <v>9177</v>
      </c>
      <c r="S1756">
        <v>2.15</v>
      </c>
      <c r="T1756">
        <v>4346</v>
      </c>
      <c r="U1756">
        <v>0</v>
      </c>
      <c r="V1756">
        <v>4346</v>
      </c>
    </row>
    <row r="1757" spans="1:22" x14ac:dyDescent="0.3">
      <c r="A1757">
        <v>187830</v>
      </c>
      <c r="B1757">
        <v>136637655</v>
      </c>
      <c r="C1757" t="s">
        <v>9231</v>
      </c>
      <c r="D1757" t="s">
        <v>9232</v>
      </c>
      <c r="E1757" t="s">
        <v>8703</v>
      </c>
      <c r="F1757" t="s">
        <v>844</v>
      </c>
      <c r="G1757" t="s">
        <v>164</v>
      </c>
      <c r="H1757" t="s">
        <v>165</v>
      </c>
      <c r="I1757" t="s">
        <v>34</v>
      </c>
      <c r="J1757" t="s">
        <v>166</v>
      </c>
      <c r="K1757" t="s">
        <v>41</v>
      </c>
      <c r="L1757" t="s">
        <v>9233</v>
      </c>
      <c r="M1757" t="s">
        <v>9234</v>
      </c>
      <c r="N1757" t="s">
        <v>847</v>
      </c>
      <c r="O1757" t="s">
        <v>100</v>
      </c>
      <c r="P1757" t="s">
        <v>9235</v>
      </c>
      <c r="Q1757" t="s">
        <v>84</v>
      </c>
      <c r="R1757" t="s">
        <v>9177</v>
      </c>
      <c r="S1757">
        <v>0.74</v>
      </c>
      <c r="T1757">
        <v>3366</v>
      </c>
      <c r="U1757">
        <v>0</v>
      </c>
      <c r="V1757">
        <v>3366</v>
      </c>
    </row>
    <row r="1758" spans="1:22" x14ac:dyDescent="0.3">
      <c r="A1758">
        <v>187830</v>
      </c>
      <c r="B1758">
        <v>136757756</v>
      </c>
      <c r="C1758" t="s">
        <v>9236</v>
      </c>
      <c r="D1758" t="s">
        <v>9237</v>
      </c>
      <c r="E1758" t="s">
        <v>8703</v>
      </c>
      <c r="F1758" t="s">
        <v>844</v>
      </c>
      <c r="G1758" t="s">
        <v>164</v>
      </c>
      <c r="H1758" t="s">
        <v>165</v>
      </c>
      <c r="I1758" t="s">
        <v>34</v>
      </c>
      <c r="J1758" t="s">
        <v>166</v>
      </c>
      <c r="K1758" t="s">
        <v>41</v>
      </c>
      <c r="L1758" t="s">
        <v>9238</v>
      </c>
      <c r="M1758" t="s">
        <v>9239</v>
      </c>
      <c r="N1758" t="s">
        <v>847</v>
      </c>
      <c r="O1758" t="s">
        <v>100</v>
      </c>
      <c r="P1758" t="s">
        <v>9240</v>
      </c>
      <c r="Q1758" t="s">
        <v>83</v>
      </c>
      <c r="R1758" t="s">
        <v>780</v>
      </c>
      <c r="S1758">
        <v>1.93</v>
      </c>
      <c r="T1758">
        <v>3366</v>
      </c>
      <c r="U1758">
        <v>0</v>
      </c>
      <c r="V1758">
        <v>3366</v>
      </c>
    </row>
    <row r="1759" spans="1:22" x14ac:dyDescent="0.3">
      <c r="A1759">
        <v>187830</v>
      </c>
      <c r="B1759">
        <v>136682890</v>
      </c>
      <c r="C1759" t="s">
        <v>9241</v>
      </c>
      <c r="D1759" t="s">
        <v>9242</v>
      </c>
      <c r="E1759" t="s">
        <v>8703</v>
      </c>
      <c r="F1759" t="s">
        <v>844</v>
      </c>
      <c r="G1759" t="s">
        <v>164</v>
      </c>
      <c r="H1759" t="s">
        <v>165</v>
      </c>
      <c r="I1759" t="s">
        <v>34</v>
      </c>
      <c r="J1759" t="s">
        <v>166</v>
      </c>
      <c r="K1759" t="s">
        <v>41</v>
      </c>
      <c r="L1759" t="s">
        <v>9243</v>
      </c>
      <c r="M1759" t="s">
        <v>9244</v>
      </c>
      <c r="N1759" t="s">
        <v>847</v>
      </c>
      <c r="O1759" t="s">
        <v>100</v>
      </c>
      <c r="P1759" t="s">
        <v>9245</v>
      </c>
      <c r="Q1759" t="s">
        <v>92</v>
      </c>
      <c r="R1759" t="s">
        <v>9156</v>
      </c>
      <c r="S1759">
        <v>2.99</v>
      </c>
      <c r="T1759">
        <v>3366</v>
      </c>
      <c r="U1759">
        <v>0</v>
      </c>
      <c r="V1759">
        <v>3366</v>
      </c>
    </row>
    <row r="1760" spans="1:22" x14ac:dyDescent="0.3">
      <c r="A1760">
        <v>187830</v>
      </c>
      <c r="B1760">
        <v>136757747</v>
      </c>
      <c r="C1760" t="s">
        <v>9246</v>
      </c>
      <c r="D1760" t="s">
        <v>9247</v>
      </c>
      <c r="E1760" t="s">
        <v>8703</v>
      </c>
      <c r="F1760" t="s">
        <v>844</v>
      </c>
      <c r="G1760" t="s">
        <v>164</v>
      </c>
      <c r="H1760" t="s">
        <v>165</v>
      </c>
      <c r="I1760" t="s">
        <v>34</v>
      </c>
      <c r="J1760" t="s">
        <v>166</v>
      </c>
      <c r="K1760" t="s">
        <v>41</v>
      </c>
      <c r="L1760" t="s">
        <v>9248</v>
      </c>
      <c r="M1760" t="s">
        <v>9249</v>
      </c>
      <c r="N1760" t="s">
        <v>847</v>
      </c>
      <c r="O1760" t="s">
        <v>100</v>
      </c>
      <c r="P1760" t="s">
        <v>9250</v>
      </c>
      <c r="Q1760" t="s">
        <v>43</v>
      </c>
      <c r="R1760" t="s">
        <v>780</v>
      </c>
      <c r="S1760">
        <v>2.02</v>
      </c>
      <c r="T1760">
        <v>3753</v>
      </c>
      <c r="U1760">
        <v>0</v>
      </c>
      <c r="V1760">
        <v>3753</v>
      </c>
    </row>
    <row r="1761" spans="1:22" x14ac:dyDescent="0.3">
      <c r="A1761">
        <v>187830</v>
      </c>
      <c r="B1761">
        <v>136637654</v>
      </c>
      <c r="C1761" t="s">
        <v>9251</v>
      </c>
      <c r="D1761" t="s">
        <v>9252</v>
      </c>
      <c r="E1761" t="s">
        <v>8703</v>
      </c>
      <c r="F1761" t="s">
        <v>844</v>
      </c>
      <c r="G1761" t="s">
        <v>164</v>
      </c>
      <c r="H1761" t="s">
        <v>165</v>
      </c>
      <c r="I1761" t="s">
        <v>34</v>
      </c>
      <c r="J1761" t="s">
        <v>166</v>
      </c>
      <c r="K1761" t="s">
        <v>41</v>
      </c>
      <c r="L1761" t="s">
        <v>9253</v>
      </c>
      <c r="M1761" t="s">
        <v>9254</v>
      </c>
      <c r="N1761" t="s">
        <v>847</v>
      </c>
      <c r="O1761" t="s">
        <v>100</v>
      </c>
      <c r="P1761" t="s">
        <v>9255</v>
      </c>
      <c r="Q1761" t="s">
        <v>84</v>
      </c>
      <c r="R1761" t="s">
        <v>9177</v>
      </c>
      <c r="S1761">
        <v>0.86</v>
      </c>
      <c r="T1761">
        <v>3366</v>
      </c>
      <c r="U1761">
        <v>0</v>
      </c>
      <c r="V1761">
        <v>3366</v>
      </c>
    </row>
    <row r="1762" spans="1:22" x14ac:dyDescent="0.3">
      <c r="A1762">
        <v>187830</v>
      </c>
      <c r="B1762">
        <v>136702336</v>
      </c>
      <c r="C1762" t="s">
        <v>9256</v>
      </c>
      <c r="D1762" t="s">
        <v>9257</v>
      </c>
      <c r="E1762" t="s">
        <v>8703</v>
      </c>
      <c r="F1762" t="s">
        <v>844</v>
      </c>
      <c r="G1762" t="s">
        <v>164</v>
      </c>
      <c r="H1762" t="s">
        <v>165</v>
      </c>
      <c r="I1762" t="s">
        <v>34</v>
      </c>
      <c r="J1762" t="s">
        <v>166</v>
      </c>
      <c r="K1762" t="s">
        <v>41</v>
      </c>
      <c r="L1762" t="s">
        <v>9258</v>
      </c>
      <c r="M1762" t="s">
        <v>283</v>
      </c>
      <c r="N1762" t="s">
        <v>847</v>
      </c>
      <c r="O1762" t="s">
        <v>100</v>
      </c>
      <c r="P1762" t="s">
        <v>9259</v>
      </c>
      <c r="Q1762" t="s">
        <v>72</v>
      </c>
      <c r="R1762" t="s">
        <v>790</v>
      </c>
      <c r="S1762">
        <v>0.72</v>
      </c>
      <c r="T1762">
        <v>3784</v>
      </c>
      <c r="U1762">
        <v>0</v>
      </c>
      <c r="V1762">
        <v>3784</v>
      </c>
    </row>
    <row r="1763" spans="1:22" x14ac:dyDescent="0.3">
      <c r="A1763">
        <v>187830</v>
      </c>
      <c r="B1763">
        <v>136682892</v>
      </c>
      <c r="C1763" t="s">
        <v>9260</v>
      </c>
      <c r="D1763" t="s">
        <v>9261</v>
      </c>
      <c r="E1763" t="s">
        <v>8703</v>
      </c>
      <c r="F1763" t="s">
        <v>844</v>
      </c>
      <c r="G1763" t="s">
        <v>164</v>
      </c>
      <c r="H1763" t="s">
        <v>165</v>
      </c>
      <c r="I1763" t="s">
        <v>34</v>
      </c>
      <c r="J1763" t="s">
        <v>166</v>
      </c>
      <c r="K1763" t="s">
        <v>41</v>
      </c>
      <c r="L1763" t="s">
        <v>9262</v>
      </c>
      <c r="M1763" t="s">
        <v>9263</v>
      </c>
      <c r="N1763" t="s">
        <v>847</v>
      </c>
      <c r="O1763" t="s">
        <v>100</v>
      </c>
      <c r="P1763" t="s">
        <v>9264</v>
      </c>
      <c r="Q1763" t="s">
        <v>76</v>
      </c>
      <c r="R1763" t="s">
        <v>9156</v>
      </c>
      <c r="S1763">
        <v>0.95</v>
      </c>
      <c r="T1763">
        <v>3753</v>
      </c>
      <c r="U1763">
        <v>0</v>
      </c>
      <c r="V1763">
        <v>3753</v>
      </c>
    </row>
    <row r="1764" spans="1:22" x14ac:dyDescent="0.3">
      <c r="A1764">
        <v>187830</v>
      </c>
      <c r="B1764">
        <v>135790136</v>
      </c>
      <c r="C1764" t="s">
        <v>9265</v>
      </c>
      <c r="D1764" t="s">
        <v>9266</v>
      </c>
      <c r="E1764" t="s">
        <v>8703</v>
      </c>
      <c r="F1764" t="s">
        <v>844</v>
      </c>
      <c r="G1764" t="s">
        <v>164</v>
      </c>
      <c r="H1764" t="s">
        <v>165</v>
      </c>
      <c r="I1764" t="s">
        <v>34</v>
      </c>
      <c r="J1764" t="s">
        <v>166</v>
      </c>
      <c r="K1764" t="s">
        <v>41</v>
      </c>
      <c r="L1764" t="s">
        <v>9267</v>
      </c>
      <c r="M1764" t="s">
        <v>9268</v>
      </c>
      <c r="N1764" t="s">
        <v>847</v>
      </c>
      <c r="O1764" t="s">
        <v>100</v>
      </c>
      <c r="P1764" t="s">
        <v>9269</v>
      </c>
      <c r="Q1764" t="s">
        <v>69</v>
      </c>
      <c r="R1764" t="s">
        <v>9270</v>
      </c>
      <c r="S1764">
        <v>1</v>
      </c>
      <c r="T1764">
        <v>3753</v>
      </c>
      <c r="U1764">
        <v>0</v>
      </c>
      <c r="V1764">
        <v>3753</v>
      </c>
    </row>
    <row r="1765" spans="1:22" x14ac:dyDescent="0.3">
      <c r="A1765">
        <v>187830</v>
      </c>
      <c r="B1765">
        <v>135667723</v>
      </c>
      <c r="C1765" t="s">
        <v>9271</v>
      </c>
      <c r="D1765" t="s">
        <v>9272</v>
      </c>
      <c r="E1765" t="s">
        <v>8703</v>
      </c>
      <c r="F1765" t="s">
        <v>844</v>
      </c>
      <c r="G1765" t="s">
        <v>164</v>
      </c>
      <c r="H1765" t="s">
        <v>165</v>
      </c>
      <c r="I1765" t="s">
        <v>34</v>
      </c>
      <c r="J1765" t="s">
        <v>166</v>
      </c>
      <c r="K1765" t="s">
        <v>41</v>
      </c>
      <c r="L1765" t="s">
        <v>9273</v>
      </c>
      <c r="M1765" t="s">
        <v>9274</v>
      </c>
      <c r="N1765" t="s">
        <v>847</v>
      </c>
      <c r="O1765" t="s">
        <v>100</v>
      </c>
      <c r="P1765" t="s">
        <v>9275</v>
      </c>
      <c r="Q1765" t="s">
        <v>55</v>
      </c>
      <c r="R1765" t="s">
        <v>9087</v>
      </c>
      <c r="S1765">
        <v>2.11</v>
      </c>
      <c r="T1765">
        <v>5198</v>
      </c>
      <c r="U1765">
        <v>0</v>
      </c>
      <c r="V1765">
        <v>5198</v>
      </c>
    </row>
    <row r="1766" spans="1:22" x14ac:dyDescent="0.3">
      <c r="A1766">
        <v>187830</v>
      </c>
      <c r="B1766">
        <v>136637664</v>
      </c>
      <c r="C1766" t="s">
        <v>9276</v>
      </c>
      <c r="D1766" t="s">
        <v>9277</v>
      </c>
      <c r="E1766" t="s">
        <v>8703</v>
      </c>
      <c r="F1766" t="s">
        <v>844</v>
      </c>
      <c r="G1766" t="s">
        <v>164</v>
      </c>
      <c r="H1766" t="s">
        <v>165</v>
      </c>
      <c r="I1766" t="s">
        <v>34</v>
      </c>
      <c r="J1766" t="s">
        <v>166</v>
      </c>
      <c r="K1766" t="s">
        <v>41</v>
      </c>
      <c r="L1766" t="s">
        <v>9278</v>
      </c>
      <c r="M1766" t="s">
        <v>9279</v>
      </c>
      <c r="N1766" t="s">
        <v>847</v>
      </c>
      <c r="O1766" t="s">
        <v>100</v>
      </c>
      <c r="P1766" t="s">
        <v>9280</v>
      </c>
      <c r="Q1766" t="s">
        <v>84</v>
      </c>
      <c r="R1766" t="s">
        <v>9177</v>
      </c>
      <c r="S1766">
        <v>3.23</v>
      </c>
      <c r="T1766">
        <v>3797</v>
      </c>
      <c r="U1766">
        <v>0</v>
      </c>
      <c r="V1766">
        <v>3797</v>
      </c>
    </row>
    <row r="1767" spans="1:22" x14ac:dyDescent="0.3">
      <c r="A1767">
        <v>187830</v>
      </c>
      <c r="B1767">
        <v>136757737</v>
      </c>
      <c r="C1767" t="s">
        <v>9281</v>
      </c>
      <c r="D1767" t="s">
        <v>9282</v>
      </c>
      <c r="E1767" t="s">
        <v>8703</v>
      </c>
      <c r="F1767" t="s">
        <v>844</v>
      </c>
      <c r="G1767" t="s">
        <v>164</v>
      </c>
      <c r="H1767" t="s">
        <v>165</v>
      </c>
      <c r="I1767" t="s">
        <v>34</v>
      </c>
      <c r="J1767" t="s">
        <v>166</v>
      </c>
      <c r="K1767" t="s">
        <v>41</v>
      </c>
      <c r="L1767" t="s">
        <v>9283</v>
      </c>
      <c r="M1767" t="s">
        <v>9284</v>
      </c>
      <c r="N1767" t="s">
        <v>847</v>
      </c>
      <c r="O1767" t="s">
        <v>100</v>
      </c>
      <c r="P1767" t="s">
        <v>9285</v>
      </c>
      <c r="Q1767" t="s">
        <v>50</v>
      </c>
      <c r="R1767" t="s">
        <v>780</v>
      </c>
      <c r="S1767">
        <v>1.92</v>
      </c>
      <c r="T1767">
        <v>3784</v>
      </c>
      <c r="U1767">
        <v>0</v>
      </c>
      <c r="V1767">
        <v>3784</v>
      </c>
    </row>
    <row r="1768" spans="1:22" x14ac:dyDescent="0.3">
      <c r="A1768">
        <v>187830</v>
      </c>
      <c r="B1768">
        <v>136757742</v>
      </c>
      <c r="C1768" t="s">
        <v>9286</v>
      </c>
      <c r="D1768" t="s">
        <v>9287</v>
      </c>
      <c r="E1768" t="s">
        <v>8703</v>
      </c>
      <c r="F1768" t="s">
        <v>844</v>
      </c>
      <c r="G1768" t="s">
        <v>164</v>
      </c>
      <c r="H1768" t="s">
        <v>165</v>
      </c>
      <c r="I1768" t="s">
        <v>34</v>
      </c>
      <c r="J1768" t="s">
        <v>166</v>
      </c>
      <c r="K1768" t="s">
        <v>41</v>
      </c>
      <c r="L1768" t="s">
        <v>9288</v>
      </c>
      <c r="M1768" t="s">
        <v>9289</v>
      </c>
      <c r="N1768" t="s">
        <v>847</v>
      </c>
      <c r="O1768" t="s">
        <v>100</v>
      </c>
      <c r="P1768" t="s">
        <v>9290</v>
      </c>
      <c r="Q1768" t="s">
        <v>652</v>
      </c>
      <c r="R1768" t="s">
        <v>780</v>
      </c>
      <c r="S1768">
        <v>1.95</v>
      </c>
      <c r="T1768">
        <v>3753</v>
      </c>
      <c r="U1768">
        <v>0</v>
      </c>
      <c r="V1768">
        <v>3753</v>
      </c>
    </row>
    <row r="1769" spans="1:22" x14ac:dyDescent="0.3">
      <c r="A1769">
        <v>187830</v>
      </c>
      <c r="B1769">
        <v>136637679</v>
      </c>
      <c r="C1769" t="s">
        <v>9291</v>
      </c>
      <c r="D1769" t="s">
        <v>9292</v>
      </c>
      <c r="E1769" t="s">
        <v>8703</v>
      </c>
      <c r="F1769" t="s">
        <v>844</v>
      </c>
      <c r="G1769" t="s">
        <v>164</v>
      </c>
      <c r="H1769" t="s">
        <v>165</v>
      </c>
      <c r="I1769" t="s">
        <v>34</v>
      </c>
      <c r="J1769" t="s">
        <v>166</v>
      </c>
      <c r="K1769" t="s">
        <v>41</v>
      </c>
      <c r="L1769" t="s">
        <v>9293</v>
      </c>
      <c r="M1769" t="s">
        <v>9294</v>
      </c>
      <c r="N1769" t="s">
        <v>847</v>
      </c>
      <c r="O1769" t="s">
        <v>100</v>
      </c>
      <c r="P1769" t="s">
        <v>9295</v>
      </c>
      <c r="Q1769" t="s">
        <v>78</v>
      </c>
      <c r="R1769" t="s">
        <v>9177</v>
      </c>
      <c r="S1769">
        <v>1.99</v>
      </c>
      <c r="T1769">
        <v>3784</v>
      </c>
      <c r="U1769">
        <v>0</v>
      </c>
      <c r="V1769">
        <v>3784</v>
      </c>
    </row>
    <row r="1770" spans="1:22" x14ac:dyDescent="0.3">
      <c r="A1770">
        <v>187830</v>
      </c>
      <c r="B1770">
        <v>135789685</v>
      </c>
      <c r="C1770" t="s">
        <v>9296</v>
      </c>
      <c r="D1770" t="s">
        <v>9297</v>
      </c>
      <c r="E1770" t="s">
        <v>8703</v>
      </c>
      <c r="F1770" t="s">
        <v>844</v>
      </c>
      <c r="G1770" t="s">
        <v>164</v>
      </c>
      <c r="H1770" t="s">
        <v>165</v>
      </c>
      <c r="I1770" t="s">
        <v>34</v>
      </c>
      <c r="J1770" t="s">
        <v>166</v>
      </c>
      <c r="K1770" t="s">
        <v>41</v>
      </c>
      <c r="L1770" t="s">
        <v>9298</v>
      </c>
      <c r="M1770" t="s">
        <v>9299</v>
      </c>
      <c r="N1770" t="s">
        <v>847</v>
      </c>
      <c r="O1770" t="s">
        <v>100</v>
      </c>
      <c r="P1770" t="s">
        <v>9300</v>
      </c>
      <c r="Q1770" t="s">
        <v>211</v>
      </c>
      <c r="R1770" t="s">
        <v>701</v>
      </c>
      <c r="S1770">
        <v>2.57</v>
      </c>
      <c r="T1770">
        <v>4067</v>
      </c>
      <c r="U1770">
        <v>0</v>
      </c>
      <c r="V1770">
        <v>4067</v>
      </c>
    </row>
    <row r="1771" spans="1:22" x14ac:dyDescent="0.3">
      <c r="A1771">
        <v>187830</v>
      </c>
      <c r="B1771">
        <v>136724371</v>
      </c>
      <c r="C1771" t="s">
        <v>9301</v>
      </c>
      <c r="D1771" t="s">
        <v>9302</v>
      </c>
      <c r="E1771" t="s">
        <v>8703</v>
      </c>
      <c r="F1771" t="s">
        <v>844</v>
      </c>
      <c r="G1771" t="s">
        <v>164</v>
      </c>
      <c r="H1771" t="s">
        <v>165</v>
      </c>
      <c r="I1771" t="s">
        <v>34</v>
      </c>
      <c r="J1771" t="s">
        <v>166</v>
      </c>
      <c r="K1771" t="s">
        <v>41</v>
      </c>
      <c r="L1771" t="s">
        <v>9303</v>
      </c>
      <c r="M1771" t="s">
        <v>9304</v>
      </c>
      <c r="N1771" t="s">
        <v>847</v>
      </c>
      <c r="O1771" t="s">
        <v>100</v>
      </c>
      <c r="P1771" t="s">
        <v>9305</v>
      </c>
      <c r="Q1771" t="s">
        <v>68</v>
      </c>
      <c r="R1771" t="s">
        <v>9171</v>
      </c>
      <c r="S1771">
        <v>0.9</v>
      </c>
      <c r="T1771">
        <v>3753</v>
      </c>
      <c r="U1771">
        <v>0</v>
      </c>
      <c r="V1771">
        <v>3753</v>
      </c>
    </row>
    <row r="1772" spans="1:22" x14ac:dyDescent="0.3">
      <c r="A1772">
        <v>187830</v>
      </c>
      <c r="B1772">
        <v>136637677</v>
      </c>
      <c r="C1772" t="s">
        <v>9306</v>
      </c>
      <c r="D1772" t="s">
        <v>9307</v>
      </c>
      <c r="E1772" t="s">
        <v>8703</v>
      </c>
      <c r="F1772" t="s">
        <v>844</v>
      </c>
      <c r="G1772" t="s">
        <v>164</v>
      </c>
      <c r="H1772" t="s">
        <v>165</v>
      </c>
      <c r="I1772" t="s">
        <v>34</v>
      </c>
      <c r="J1772" t="s">
        <v>166</v>
      </c>
      <c r="K1772" t="s">
        <v>41</v>
      </c>
      <c r="L1772" t="s">
        <v>9308</v>
      </c>
      <c r="M1772" t="s">
        <v>9309</v>
      </c>
      <c r="N1772" t="s">
        <v>847</v>
      </c>
      <c r="O1772" t="s">
        <v>100</v>
      </c>
      <c r="P1772" t="s">
        <v>9310</v>
      </c>
      <c r="Q1772" t="s">
        <v>92</v>
      </c>
      <c r="R1772" t="s">
        <v>9177</v>
      </c>
      <c r="S1772">
        <v>5.35</v>
      </c>
      <c r="T1772">
        <v>3797</v>
      </c>
      <c r="U1772">
        <v>0</v>
      </c>
      <c r="V1772">
        <v>3797</v>
      </c>
    </row>
    <row r="1773" spans="1:22" x14ac:dyDescent="0.3">
      <c r="A1773">
        <v>187830</v>
      </c>
      <c r="B1773">
        <v>136757741</v>
      </c>
      <c r="C1773" t="s">
        <v>9311</v>
      </c>
      <c r="D1773" t="s">
        <v>9312</v>
      </c>
      <c r="E1773" t="s">
        <v>8703</v>
      </c>
      <c r="F1773" t="s">
        <v>844</v>
      </c>
      <c r="G1773" t="s">
        <v>164</v>
      </c>
      <c r="H1773" t="s">
        <v>165</v>
      </c>
      <c r="I1773" t="s">
        <v>34</v>
      </c>
      <c r="J1773" t="s">
        <v>166</v>
      </c>
      <c r="K1773" t="s">
        <v>41</v>
      </c>
      <c r="L1773" t="s">
        <v>9313</v>
      </c>
      <c r="M1773" t="s">
        <v>9314</v>
      </c>
      <c r="N1773" t="s">
        <v>847</v>
      </c>
      <c r="O1773" t="s">
        <v>100</v>
      </c>
      <c r="P1773" t="s">
        <v>9315</v>
      </c>
      <c r="Q1773" t="s">
        <v>43</v>
      </c>
      <c r="R1773" t="s">
        <v>780</v>
      </c>
      <c r="S1773">
        <v>2.98</v>
      </c>
      <c r="T1773">
        <v>3753</v>
      </c>
      <c r="U1773">
        <v>0</v>
      </c>
      <c r="V1773">
        <v>3753</v>
      </c>
    </row>
    <row r="1774" spans="1:22" x14ac:dyDescent="0.3">
      <c r="A1774">
        <v>187830</v>
      </c>
      <c r="B1774">
        <v>135715610</v>
      </c>
      <c r="C1774" t="s">
        <v>9316</v>
      </c>
      <c r="D1774" t="s">
        <v>9317</v>
      </c>
      <c r="E1774" t="s">
        <v>8703</v>
      </c>
      <c r="F1774" t="s">
        <v>844</v>
      </c>
      <c r="G1774" t="s">
        <v>164</v>
      </c>
      <c r="H1774" t="s">
        <v>165</v>
      </c>
      <c r="I1774" t="s">
        <v>34</v>
      </c>
      <c r="J1774" t="s">
        <v>166</v>
      </c>
      <c r="K1774" t="s">
        <v>41</v>
      </c>
      <c r="L1774" t="s">
        <v>9318</v>
      </c>
      <c r="M1774" t="s">
        <v>9319</v>
      </c>
      <c r="N1774" t="s">
        <v>847</v>
      </c>
      <c r="O1774" t="s">
        <v>100</v>
      </c>
      <c r="P1774" t="s">
        <v>9320</v>
      </c>
      <c r="Q1774" t="s">
        <v>63</v>
      </c>
      <c r="R1774" t="s">
        <v>610</v>
      </c>
      <c r="S1774">
        <v>2.71</v>
      </c>
      <c r="T1774">
        <v>4067</v>
      </c>
      <c r="U1774">
        <v>0</v>
      </c>
      <c r="V1774">
        <v>4067</v>
      </c>
    </row>
    <row r="1775" spans="1:22" x14ac:dyDescent="0.3">
      <c r="A1775">
        <v>187830</v>
      </c>
      <c r="B1775">
        <v>136028791</v>
      </c>
      <c r="C1775" t="s">
        <v>9321</v>
      </c>
      <c r="D1775" t="s">
        <v>9322</v>
      </c>
      <c r="E1775" t="s">
        <v>8703</v>
      </c>
      <c r="F1775" t="s">
        <v>844</v>
      </c>
      <c r="G1775" t="s">
        <v>164</v>
      </c>
      <c r="H1775" t="s">
        <v>165</v>
      </c>
      <c r="I1775" t="s">
        <v>34</v>
      </c>
      <c r="J1775" t="s">
        <v>166</v>
      </c>
      <c r="K1775" t="s">
        <v>41</v>
      </c>
      <c r="L1775" t="s">
        <v>9323</v>
      </c>
      <c r="M1775" t="s">
        <v>8357</v>
      </c>
      <c r="N1775" t="s">
        <v>847</v>
      </c>
      <c r="O1775" t="s">
        <v>100</v>
      </c>
      <c r="P1775" t="s">
        <v>9324</v>
      </c>
      <c r="Q1775" t="s">
        <v>55</v>
      </c>
      <c r="R1775" t="s">
        <v>488</v>
      </c>
      <c r="S1775">
        <v>1</v>
      </c>
      <c r="T1775">
        <v>5198</v>
      </c>
      <c r="U1775">
        <v>0</v>
      </c>
      <c r="V1775">
        <v>5198</v>
      </c>
    </row>
    <row r="1776" spans="1:22" x14ac:dyDescent="0.3">
      <c r="A1776">
        <v>187830</v>
      </c>
      <c r="B1776">
        <v>135850370</v>
      </c>
      <c r="C1776" t="s">
        <v>9325</v>
      </c>
      <c r="D1776" t="s">
        <v>9326</v>
      </c>
      <c r="E1776" t="s">
        <v>8703</v>
      </c>
      <c r="F1776" t="s">
        <v>844</v>
      </c>
      <c r="G1776" t="s">
        <v>164</v>
      </c>
      <c r="H1776" t="s">
        <v>165</v>
      </c>
      <c r="I1776" t="s">
        <v>34</v>
      </c>
      <c r="J1776" t="s">
        <v>166</v>
      </c>
      <c r="K1776" t="s">
        <v>41</v>
      </c>
      <c r="L1776" t="s">
        <v>9327</v>
      </c>
      <c r="M1776" t="s">
        <v>9328</v>
      </c>
      <c r="N1776" t="s">
        <v>847</v>
      </c>
      <c r="O1776" t="s">
        <v>100</v>
      </c>
      <c r="P1776" t="s">
        <v>9329</v>
      </c>
      <c r="Q1776" t="s">
        <v>55</v>
      </c>
      <c r="R1776" t="s">
        <v>608</v>
      </c>
      <c r="S1776">
        <v>1</v>
      </c>
      <c r="T1776">
        <v>5198</v>
      </c>
      <c r="U1776">
        <v>0</v>
      </c>
      <c r="V1776">
        <v>5198</v>
      </c>
    </row>
    <row r="1777" spans="1:22" x14ac:dyDescent="0.3">
      <c r="A1777">
        <v>187830</v>
      </c>
      <c r="B1777">
        <v>135789684</v>
      </c>
      <c r="C1777" t="s">
        <v>9330</v>
      </c>
      <c r="D1777" t="s">
        <v>9331</v>
      </c>
      <c r="E1777" t="s">
        <v>8703</v>
      </c>
      <c r="F1777" t="s">
        <v>844</v>
      </c>
      <c r="G1777" t="s">
        <v>164</v>
      </c>
      <c r="H1777" t="s">
        <v>165</v>
      </c>
      <c r="I1777" t="s">
        <v>34</v>
      </c>
      <c r="J1777" t="s">
        <v>166</v>
      </c>
      <c r="K1777" t="s">
        <v>41</v>
      </c>
      <c r="L1777" t="s">
        <v>9332</v>
      </c>
      <c r="M1777" t="s">
        <v>9333</v>
      </c>
      <c r="N1777" t="s">
        <v>847</v>
      </c>
      <c r="O1777" t="s">
        <v>100</v>
      </c>
      <c r="P1777" t="s">
        <v>9334</v>
      </c>
      <c r="Q1777" t="s">
        <v>55</v>
      </c>
      <c r="R1777" t="s">
        <v>701</v>
      </c>
      <c r="S1777">
        <v>2.59</v>
      </c>
      <c r="T1777">
        <v>5198</v>
      </c>
      <c r="U1777">
        <v>0</v>
      </c>
      <c r="V1777">
        <v>5198</v>
      </c>
    </row>
    <row r="1778" spans="1:22" x14ac:dyDescent="0.3">
      <c r="A1778">
        <v>187830</v>
      </c>
      <c r="B1778">
        <v>135986246</v>
      </c>
      <c r="C1778" t="s">
        <v>9335</v>
      </c>
      <c r="D1778" t="s">
        <v>9336</v>
      </c>
      <c r="E1778" t="s">
        <v>8703</v>
      </c>
      <c r="F1778" t="s">
        <v>844</v>
      </c>
      <c r="G1778" t="s">
        <v>164</v>
      </c>
      <c r="H1778" t="s">
        <v>165</v>
      </c>
      <c r="I1778" t="s">
        <v>34</v>
      </c>
      <c r="J1778" t="s">
        <v>166</v>
      </c>
      <c r="K1778" t="s">
        <v>41</v>
      </c>
      <c r="L1778" t="s">
        <v>9337</v>
      </c>
      <c r="M1778" t="s">
        <v>9338</v>
      </c>
      <c r="N1778" t="s">
        <v>847</v>
      </c>
      <c r="O1778" t="s">
        <v>100</v>
      </c>
      <c r="P1778" t="s">
        <v>9339</v>
      </c>
      <c r="Q1778" t="s">
        <v>57</v>
      </c>
      <c r="R1778" t="s">
        <v>611</v>
      </c>
      <c r="S1778">
        <v>1.31</v>
      </c>
      <c r="T1778">
        <v>5476</v>
      </c>
      <c r="U1778">
        <v>0</v>
      </c>
      <c r="V1778">
        <v>5476</v>
      </c>
    </row>
    <row r="1779" spans="1:22" x14ac:dyDescent="0.3">
      <c r="A1779">
        <v>187830</v>
      </c>
      <c r="B1779">
        <v>135667721</v>
      </c>
      <c r="C1779" t="s">
        <v>9340</v>
      </c>
      <c r="D1779" t="s">
        <v>9341</v>
      </c>
      <c r="E1779" t="s">
        <v>8703</v>
      </c>
      <c r="F1779" t="s">
        <v>844</v>
      </c>
      <c r="G1779" t="s">
        <v>164</v>
      </c>
      <c r="H1779" t="s">
        <v>165</v>
      </c>
      <c r="I1779" t="s">
        <v>34</v>
      </c>
      <c r="J1779" t="s">
        <v>166</v>
      </c>
      <c r="K1779" t="s">
        <v>41</v>
      </c>
      <c r="L1779" t="s">
        <v>9342</v>
      </c>
      <c r="M1779" t="s">
        <v>9343</v>
      </c>
      <c r="N1779" t="s">
        <v>847</v>
      </c>
      <c r="O1779" t="s">
        <v>100</v>
      </c>
      <c r="P1779" t="s">
        <v>9344</v>
      </c>
      <c r="Q1779" t="s">
        <v>206</v>
      </c>
      <c r="R1779" t="s">
        <v>9087</v>
      </c>
      <c r="S1779">
        <v>1</v>
      </c>
      <c r="T1779">
        <v>3753</v>
      </c>
      <c r="U1779">
        <v>0</v>
      </c>
      <c r="V1779">
        <v>3753</v>
      </c>
    </row>
    <row r="1780" spans="1:22" x14ac:dyDescent="0.3">
      <c r="A1780">
        <v>187830</v>
      </c>
      <c r="B1780">
        <v>135667725</v>
      </c>
      <c r="C1780" t="s">
        <v>9345</v>
      </c>
      <c r="D1780" t="s">
        <v>9346</v>
      </c>
      <c r="E1780" t="s">
        <v>8703</v>
      </c>
      <c r="F1780" t="s">
        <v>844</v>
      </c>
      <c r="G1780" t="s">
        <v>164</v>
      </c>
      <c r="H1780" t="s">
        <v>165</v>
      </c>
      <c r="I1780" t="s">
        <v>34</v>
      </c>
      <c r="J1780" t="s">
        <v>166</v>
      </c>
      <c r="K1780" t="s">
        <v>41</v>
      </c>
      <c r="L1780" t="s">
        <v>9347</v>
      </c>
      <c r="M1780" t="s">
        <v>9348</v>
      </c>
      <c r="N1780" t="s">
        <v>847</v>
      </c>
      <c r="O1780" t="s">
        <v>100</v>
      </c>
      <c r="P1780" t="s">
        <v>9349</v>
      </c>
      <c r="Q1780" t="s">
        <v>211</v>
      </c>
      <c r="R1780" t="s">
        <v>9087</v>
      </c>
      <c r="S1780">
        <v>1.5</v>
      </c>
      <c r="T1780">
        <v>4067</v>
      </c>
      <c r="U1780">
        <v>0</v>
      </c>
      <c r="V1780">
        <v>4067</v>
      </c>
    </row>
    <row r="1781" spans="1:22" x14ac:dyDescent="0.3">
      <c r="A1781">
        <v>187830</v>
      </c>
      <c r="B1781">
        <v>135986286</v>
      </c>
      <c r="C1781" t="s">
        <v>9350</v>
      </c>
      <c r="D1781" t="s">
        <v>9351</v>
      </c>
      <c r="E1781" t="s">
        <v>8703</v>
      </c>
      <c r="F1781" t="s">
        <v>844</v>
      </c>
      <c r="G1781" t="s">
        <v>164</v>
      </c>
      <c r="H1781" t="s">
        <v>165</v>
      </c>
      <c r="I1781" t="s">
        <v>34</v>
      </c>
      <c r="J1781" t="s">
        <v>166</v>
      </c>
      <c r="K1781" t="s">
        <v>41</v>
      </c>
      <c r="L1781" t="s">
        <v>9352</v>
      </c>
      <c r="M1781" t="s">
        <v>9353</v>
      </c>
      <c r="N1781" t="s">
        <v>847</v>
      </c>
      <c r="O1781" t="s">
        <v>100</v>
      </c>
      <c r="P1781" t="s">
        <v>9354</v>
      </c>
      <c r="Q1781" t="s">
        <v>200</v>
      </c>
      <c r="R1781" t="s">
        <v>611</v>
      </c>
      <c r="S1781">
        <v>0.22</v>
      </c>
      <c r="T1781">
        <v>3680</v>
      </c>
      <c r="U1781">
        <v>0</v>
      </c>
      <c r="V1781">
        <v>3680</v>
      </c>
    </row>
    <row r="1782" spans="1:22" x14ac:dyDescent="0.3">
      <c r="A1782">
        <v>187830</v>
      </c>
      <c r="B1782">
        <v>135667711</v>
      </c>
      <c r="C1782" t="s">
        <v>9355</v>
      </c>
      <c r="D1782" t="s">
        <v>9356</v>
      </c>
      <c r="E1782" t="s">
        <v>8703</v>
      </c>
      <c r="F1782" t="s">
        <v>844</v>
      </c>
      <c r="G1782" t="s">
        <v>164</v>
      </c>
      <c r="H1782" t="s">
        <v>165</v>
      </c>
      <c r="I1782" t="s">
        <v>34</v>
      </c>
      <c r="J1782" t="s">
        <v>166</v>
      </c>
      <c r="K1782" t="s">
        <v>44</v>
      </c>
      <c r="L1782" t="s">
        <v>188</v>
      </c>
      <c r="M1782" t="s">
        <v>9357</v>
      </c>
      <c r="N1782" t="s">
        <v>847</v>
      </c>
      <c r="O1782" t="s">
        <v>100</v>
      </c>
      <c r="P1782" t="s">
        <v>9358</v>
      </c>
      <c r="Q1782" t="s">
        <v>80</v>
      </c>
      <c r="R1782" t="s">
        <v>9087</v>
      </c>
      <c r="S1782">
        <v>1.33</v>
      </c>
      <c r="T1782">
        <v>3753</v>
      </c>
      <c r="U1782">
        <v>0</v>
      </c>
      <c r="V1782">
        <v>3753</v>
      </c>
    </row>
    <row r="1783" spans="1:22" x14ac:dyDescent="0.3">
      <c r="A1783">
        <v>187830</v>
      </c>
      <c r="B1783">
        <v>135986238</v>
      </c>
      <c r="C1783" t="s">
        <v>9359</v>
      </c>
      <c r="D1783" t="s">
        <v>9360</v>
      </c>
      <c r="E1783" t="s">
        <v>8703</v>
      </c>
      <c r="F1783" t="s">
        <v>844</v>
      </c>
      <c r="G1783" t="s">
        <v>164</v>
      </c>
      <c r="H1783" t="s">
        <v>165</v>
      </c>
      <c r="I1783" t="s">
        <v>34</v>
      </c>
      <c r="J1783" t="s">
        <v>166</v>
      </c>
      <c r="K1783" t="s">
        <v>41</v>
      </c>
      <c r="L1783" t="s">
        <v>9361</v>
      </c>
      <c r="M1783" t="s">
        <v>9362</v>
      </c>
      <c r="N1783" t="s">
        <v>847</v>
      </c>
      <c r="O1783" t="s">
        <v>100</v>
      </c>
      <c r="P1783" t="s">
        <v>9363</v>
      </c>
      <c r="Q1783" t="s">
        <v>59</v>
      </c>
      <c r="R1783" t="s">
        <v>611</v>
      </c>
      <c r="S1783">
        <v>1</v>
      </c>
      <c r="T1783">
        <v>4067</v>
      </c>
      <c r="U1783">
        <v>0</v>
      </c>
      <c r="V1783">
        <v>4067</v>
      </c>
    </row>
    <row r="1784" spans="1:22" x14ac:dyDescent="0.3">
      <c r="A1784">
        <v>187830</v>
      </c>
      <c r="B1784">
        <v>135667754</v>
      </c>
      <c r="C1784" t="s">
        <v>9364</v>
      </c>
      <c r="D1784" t="s">
        <v>9365</v>
      </c>
      <c r="E1784" t="s">
        <v>8703</v>
      </c>
      <c r="F1784" t="s">
        <v>844</v>
      </c>
      <c r="G1784" t="s">
        <v>164</v>
      </c>
      <c r="H1784" t="s">
        <v>165</v>
      </c>
      <c r="I1784" t="s">
        <v>34</v>
      </c>
      <c r="J1784" t="s">
        <v>166</v>
      </c>
      <c r="K1784" t="s">
        <v>41</v>
      </c>
      <c r="L1784" t="s">
        <v>9038</v>
      </c>
      <c r="M1784" t="s">
        <v>9039</v>
      </c>
      <c r="N1784" t="s">
        <v>847</v>
      </c>
      <c r="O1784" t="s">
        <v>100</v>
      </c>
      <c r="P1784" t="s">
        <v>9040</v>
      </c>
      <c r="Q1784" t="s">
        <v>190</v>
      </c>
      <c r="R1784" t="s">
        <v>9087</v>
      </c>
      <c r="S1784">
        <v>0.56000000000000005</v>
      </c>
      <c r="T1784">
        <v>3366</v>
      </c>
      <c r="U1784">
        <v>0</v>
      </c>
      <c r="V1784">
        <v>3366</v>
      </c>
    </row>
    <row r="1785" spans="1:22" x14ac:dyDescent="0.3">
      <c r="A1785">
        <v>187830</v>
      </c>
      <c r="B1785">
        <v>135715620</v>
      </c>
      <c r="C1785" t="s">
        <v>9366</v>
      </c>
      <c r="D1785" t="s">
        <v>9367</v>
      </c>
      <c r="E1785" t="s">
        <v>8703</v>
      </c>
      <c r="F1785" t="s">
        <v>844</v>
      </c>
      <c r="G1785" t="s">
        <v>164</v>
      </c>
      <c r="H1785" t="s">
        <v>165</v>
      </c>
      <c r="I1785" t="s">
        <v>34</v>
      </c>
      <c r="J1785" t="s">
        <v>166</v>
      </c>
      <c r="K1785" t="s">
        <v>41</v>
      </c>
      <c r="L1785" t="s">
        <v>9368</v>
      </c>
      <c r="M1785" t="s">
        <v>9369</v>
      </c>
      <c r="N1785" t="s">
        <v>847</v>
      </c>
      <c r="O1785" t="s">
        <v>100</v>
      </c>
      <c r="P1785" t="s">
        <v>9370</v>
      </c>
      <c r="Q1785" t="s">
        <v>55</v>
      </c>
      <c r="R1785" t="s">
        <v>610</v>
      </c>
      <c r="S1785">
        <v>1</v>
      </c>
      <c r="T1785">
        <v>5198</v>
      </c>
      <c r="U1785">
        <v>0</v>
      </c>
      <c r="V1785">
        <v>5198</v>
      </c>
    </row>
    <row r="1786" spans="1:22" x14ac:dyDescent="0.3">
      <c r="A1786">
        <v>187830</v>
      </c>
      <c r="B1786">
        <v>135850380</v>
      </c>
      <c r="C1786" t="s">
        <v>9371</v>
      </c>
      <c r="D1786" t="s">
        <v>9372</v>
      </c>
      <c r="E1786" t="s">
        <v>8703</v>
      </c>
      <c r="F1786" t="s">
        <v>844</v>
      </c>
      <c r="G1786" t="s">
        <v>164</v>
      </c>
      <c r="H1786" t="s">
        <v>165</v>
      </c>
      <c r="I1786" t="s">
        <v>34</v>
      </c>
      <c r="J1786" t="s">
        <v>166</v>
      </c>
      <c r="K1786" t="s">
        <v>41</v>
      </c>
      <c r="L1786" t="s">
        <v>9373</v>
      </c>
      <c r="M1786" t="s">
        <v>9374</v>
      </c>
      <c r="N1786" t="s">
        <v>847</v>
      </c>
      <c r="O1786" t="s">
        <v>100</v>
      </c>
      <c r="P1786" t="s">
        <v>9375</v>
      </c>
      <c r="Q1786" t="s">
        <v>307</v>
      </c>
      <c r="R1786" t="s">
        <v>608</v>
      </c>
      <c r="S1786">
        <v>1.29</v>
      </c>
      <c r="T1786">
        <v>3753</v>
      </c>
      <c r="U1786">
        <v>0</v>
      </c>
      <c r="V1786">
        <v>3753</v>
      </c>
    </row>
    <row r="1787" spans="1:22" x14ac:dyDescent="0.3">
      <c r="A1787">
        <v>187830</v>
      </c>
      <c r="B1787">
        <v>135850366</v>
      </c>
      <c r="C1787" t="s">
        <v>9376</v>
      </c>
      <c r="D1787" t="s">
        <v>9377</v>
      </c>
      <c r="E1787" t="s">
        <v>8703</v>
      </c>
      <c r="F1787" t="s">
        <v>844</v>
      </c>
      <c r="G1787" t="s">
        <v>164</v>
      </c>
      <c r="H1787" t="s">
        <v>165</v>
      </c>
      <c r="I1787" t="s">
        <v>34</v>
      </c>
      <c r="J1787" t="s">
        <v>166</v>
      </c>
      <c r="K1787" t="s">
        <v>41</v>
      </c>
      <c r="L1787" t="s">
        <v>9378</v>
      </c>
      <c r="M1787" t="s">
        <v>9379</v>
      </c>
      <c r="N1787" t="s">
        <v>847</v>
      </c>
      <c r="O1787" t="s">
        <v>100</v>
      </c>
      <c r="P1787" t="s">
        <v>9380</v>
      </c>
      <c r="Q1787" t="s">
        <v>224</v>
      </c>
      <c r="R1787" t="s">
        <v>608</v>
      </c>
      <c r="S1787">
        <v>1</v>
      </c>
      <c r="T1787">
        <v>4067</v>
      </c>
      <c r="U1787">
        <v>0</v>
      </c>
      <c r="V1787">
        <v>4067</v>
      </c>
    </row>
    <row r="1788" spans="1:22" x14ac:dyDescent="0.3">
      <c r="A1788">
        <v>187830</v>
      </c>
      <c r="B1788">
        <v>136028771</v>
      </c>
      <c r="C1788" t="s">
        <v>9381</v>
      </c>
      <c r="D1788" t="s">
        <v>9382</v>
      </c>
      <c r="E1788" t="s">
        <v>8703</v>
      </c>
      <c r="F1788" t="s">
        <v>844</v>
      </c>
      <c r="G1788" t="s">
        <v>164</v>
      </c>
      <c r="H1788" t="s">
        <v>165</v>
      </c>
      <c r="I1788" t="s">
        <v>34</v>
      </c>
      <c r="J1788" t="s">
        <v>166</v>
      </c>
      <c r="K1788" t="s">
        <v>41</v>
      </c>
      <c r="L1788" t="s">
        <v>9383</v>
      </c>
      <c r="M1788" t="s">
        <v>9384</v>
      </c>
      <c r="N1788" t="s">
        <v>847</v>
      </c>
      <c r="O1788" t="s">
        <v>100</v>
      </c>
      <c r="P1788" t="s">
        <v>9385</v>
      </c>
      <c r="Q1788" t="s">
        <v>84</v>
      </c>
      <c r="R1788" t="s">
        <v>488</v>
      </c>
      <c r="S1788">
        <v>0.92</v>
      </c>
      <c r="T1788">
        <v>3366</v>
      </c>
      <c r="U1788">
        <v>0</v>
      </c>
      <c r="V1788">
        <v>3366</v>
      </c>
    </row>
    <row r="1789" spans="1:22" x14ac:dyDescent="0.3">
      <c r="A1789">
        <v>187830</v>
      </c>
      <c r="B1789">
        <v>136200075</v>
      </c>
      <c r="C1789" t="s">
        <v>9386</v>
      </c>
      <c r="D1789" t="s">
        <v>9387</v>
      </c>
      <c r="E1789" t="s">
        <v>8703</v>
      </c>
      <c r="F1789" t="s">
        <v>844</v>
      </c>
      <c r="G1789" t="s">
        <v>164</v>
      </c>
      <c r="H1789" t="s">
        <v>165</v>
      </c>
      <c r="I1789" t="s">
        <v>34</v>
      </c>
      <c r="J1789" t="s">
        <v>166</v>
      </c>
      <c r="K1789" t="s">
        <v>41</v>
      </c>
      <c r="L1789" t="s">
        <v>9388</v>
      </c>
      <c r="M1789" t="s">
        <v>9389</v>
      </c>
      <c r="N1789" t="s">
        <v>847</v>
      </c>
      <c r="O1789" t="s">
        <v>100</v>
      </c>
      <c r="P1789" t="s">
        <v>9390</v>
      </c>
      <c r="Q1789" t="s">
        <v>83</v>
      </c>
      <c r="R1789" t="s">
        <v>9391</v>
      </c>
      <c r="S1789">
        <v>7.9</v>
      </c>
      <c r="T1789">
        <v>5198</v>
      </c>
      <c r="U1789">
        <v>0</v>
      </c>
      <c r="V1789">
        <v>5198</v>
      </c>
    </row>
    <row r="1790" spans="1:22" x14ac:dyDescent="0.3">
      <c r="A1790">
        <v>187830</v>
      </c>
      <c r="B1790">
        <v>135606365</v>
      </c>
      <c r="C1790" t="s">
        <v>9392</v>
      </c>
      <c r="D1790" t="s">
        <v>9393</v>
      </c>
      <c r="E1790" t="s">
        <v>8703</v>
      </c>
      <c r="F1790" t="s">
        <v>844</v>
      </c>
      <c r="G1790" t="s">
        <v>164</v>
      </c>
      <c r="H1790" t="s">
        <v>165</v>
      </c>
      <c r="I1790" t="s">
        <v>34</v>
      </c>
      <c r="J1790" t="s">
        <v>166</v>
      </c>
      <c r="K1790" t="s">
        <v>41</v>
      </c>
      <c r="L1790" t="s">
        <v>9394</v>
      </c>
      <c r="M1790" t="s">
        <v>9395</v>
      </c>
      <c r="N1790" t="s">
        <v>847</v>
      </c>
      <c r="O1790" t="s">
        <v>100</v>
      </c>
      <c r="P1790" t="s">
        <v>9396</v>
      </c>
      <c r="Q1790" t="s">
        <v>307</v>
      </c>
      <c r="R1790" t="s">
        <v>9397</v>
      </c>
      <c r="S1790">
        <v>1</v>
      </c>
      <c r="T1790">
        <v>3753</v>
      </c>
      <c r="U1790">
        <v>0</v>
      </c>
      <c r="V1790">
        <v>3753</v>
      </c>
    </row>
    <row r="1791" spans="1:22" x14ac:dyDescent="0.3">
      <c r="A1791">
        <v>187830</v>
      </c>
      <c r="B1791">
        <v>136109026</v>
      </c>
      <c r="C1791" t="s">
        <v>9398</v>
      </c>
      <c r="D1791" t="s">
        <v>9399</v>
      </c>
      <c r="E1791" t="s">
        <v>8703</v>
      </c>
      <c r="F1791" t="s">
        <v>844</v>
      </c>
      <c r="G1791" t="s">
        <v>164</v>
      </c>
      <c r="H1791" t="s">
        <v>165</v>
      </c>
      <c r="I1791" t="s">
        <v>34</v>
      </c>
      <c r="J1791" t="s">
        <v>166</v>
      </c>
      <c r="K1791" t="s">
        <v>41</v>
      </c>
      <c r="L1791" t="s">
        <v>9400</v>
      </c>
      <c r="M1791" t="s">
        <v>9401</v>
      </c>
      <c r="N1791" t="s">
        <v>847</v>
      </c>
      <c r="O1791" t="s">
        <v>100</v>
      </c>
      <c r="P1791" t="s">
        <v>9402</v>
      </c>
      <c r="Q1791" t="s">
        <v>54</v>
      </c>
      <c r="R1791" t="s">
        <v>9147</v>
      </c>
      <c r="S1791">
        <v>4.29</v>
      </c>
      <c r="T1791">
        <v>8008</v>
      </c>
      <c r="U1791">
        <v>0</v>
      </c>
      <c r="V1791">
        <v>8008</v>
      </c>
    </row>
    <row r="1792" spans="1:22" x14ac:dyDescent="0.3">
      <c r="A1792">
        <v>187830</v>
      </c>
      <c r="B1792">
        <v>136200068</v>
      </c>
      <c r="C1792" t="s">
        <v>9403</v>
      </c>
      <c r="D1792" t="s">
        <v>9404</v>
      </c>
      <c r="E1792" t="s">
        <v>8703</v>
      </c>
      <c r="F1792" t="s">
        <v>844</v>
      </c>
      <c r="G1792" t="s">
        <v>164</v>
      </c>
      <c r="H1792" t="s">
        <v>165</v>
      </c>
      <c r="I1792" t="s">
        <v>34</v>
      </c>
      <c r="J1792" t="s">
        <v>166</v>
      </c>
      <c r="K1792" t="s">
        <v>41</v>
      </c>
      <c r="L1792" t="s">
        <v>9405</v>
      </c>
      <c r="M1792" t="s">
        <v>9406</v>
      </c>
      <c r="N1792" t="s">
        <v>847</v>
      </c>
      <c r="O1792" t="s">
        <v>100</v>
      </c>
      <c r="P1792" t="s">
        <v>9407</v>
      </c>
      <c r="Q1792" t="s">
        <v>76</v>
      </c>
      <c r="R1792" t="s">
        <v>9391</v>
      </c>
      <c r="S1792">
        <v>1</v>
      </c>
      <c r="T1792">
        <v>3753</v>
      </c>
      <c r="U1792">
        <v>0</v>
      </c>
      <c r="V1792">
        <v>3753</v>
      </c>
    </row>
    <row r="1793" spans="1:22" x14ac:dyDescent="0.3">
      <c r="A1793">
        <v>187830</v>
      </c>
      <c r="B1793">
        <v>135789682</v>
      </c>
      <c r="C1793" t="s">
        <v>9408</v>
      </c>
      <c r="D1793" t="s">
        <v>9409</v>
      </c>
      <c r="E1793" t="s">
        <v>8703</v>
      </c>
      <c r="F1793" t="s">
        <v>844</v>
      </c>
      <c r="G1793" t="s">
        <v>164</v>
      </c>
      <c r="H1793" t="s">
        <v>165</v>
      </c>
      <c r="I1793" t="s">
        <v>34</v>
      </c>
      <c r="J1793" t="s">
        <v>166</v>
      </c>
      <c r="K1793" t="s">
        <v>41</v>
      </c>
      <c r="L1793" t="s">
        <v>9410</v>
      </c>
      <c r="M1793" t="s">
        <v>9411</v>
      </c>
      <c r="N1793" t="s">
        <v>847</v>
      </c>
      <c r="O1793" t="s">
        <v>100</v>
      </c>
      <c r="P1793" t="s">
        <v>9412</v>
      </c>
      <c r="Q1793" t="s">
        <v>84</v>
      </c>
      <c r="R1793" t="s">
        <v>701</v>
      </c>
      <c r="S1793">
        <v>1</v>
      </c>
      <c r="T1793">
        <v>3366</v>
      </c>
      <c r="U1793">
        <v>0</v>
      </c>
      <c r="V1793">
        <v>3366</v>
      </c>
    </row>
    <row r="1794" spans="1:22" x14ac:dyDescent="0.3">
      <c r="A1794">
        <v>187830</v>
      </c>
      <c r="B1794">
        <v>136441319</v>
      </c>
      <c r="C1794" t="s">
        <v>9413</v>
      </c>
      <c r="D1794" t="s">
        <v>9414</v>
      </c>
      <c r="E1794" t="s">
        <v>8703</v>
      </c>
      <c r="F1794" t="s">
        <v>844</v>
      </c>
      <c r="G1794" t="s">
        <v>164</v>
      </c>
      <c r="H1794" t="s">
        <v>165</v>
      </c>
      <c r="I1794" t="s">
        <v>34</v>
      </c>
      <c r="J1794" t="s">
        <v>166</v>
      </c>
      <c r="K1794" t="s">
        <v>41</v>
      </c>
      <c r="L1794" t="s">
        <v>9415</v>
      </c>
      <c r="M1794" t="s">
        <v>9416</v>
      </c>
      <c r="N1794" t="s">
        <v>847</v>
      </c>
      <c r="O1794" t="s">
        <v>100</v>
      </c>
      <c r="P1794" t="s">
        <v>9417</v>
      </c>
      <c r="Q1794" t="s">
        <v>696</v>
      </c>
      <c r="R1794" t="s">
        <v>756</v>
      </c>
      <c r="S1794">
        <v>1</v>
      </c>
      <c r="T1794">
        <v>4881</v>
      </c>
      <c r="U1794">
        <v>0</v>
      </c>
      <c r="V1794">
        <v>4881</v>
      </c>
    </row>
    <row r="1795" spans="1:22" x14ac:dyDescent="0.3">
      <c r="A1795">
        <v>187830</v>
      </c>
      <c r="B1795">
        <v>135667705</v>
      </c>
      <c r="C1795" t="s">
        <v>9418</v>
      </c>
      <c r="D1795" t="s">
        <v>9419</v>
      </c>
      <c r="E1795" t="s">
        <v>8703</v>
      </c>
      <c r="F1795" t="s">
        <v>844</v>
      </c>
      <c r="G1795" t="s">
        <v>164</v>
      </c>
      <c r="H1795" t="s">
        <v>165</v>
      </c>
      <c r="I1795" t="s">
        <v>34</v>
      </c>
      <c r="J1795" t="s">
        <v>166</v>
      </c>
      <c r="K1795" t="s">
        <v>41</v>
      </c>
      <c r="L1795" t="s">
        <v>9415</v>
      </c>
      <c r="M1795" t="s">
        <v>9416</v>
      </c>
      <c r="N1795" t="s">
        <v>847</v>
      </c>
      <c r="O1795" t="s">
        <v>100</v>
      </c>
      <c r="P1795" t="s">
        <v>9420</v>
      </c>
      <c r="Q1795" t="s">
        <v>696</v>
      </c>
      <c r="R1795" t="s">
        <v>9087</v>
      </c>
      <c r="S1795">
        <v>2.29</v>
      </c>
      <c r="T1795">
        <v>4881</v>
      </c>
      <c r="U1795">
        <v>0</v>
      </c>
      <c r="V1795">
        <v>4881</v>
      </c>
    </row>
    <row r="1796" spans="1:22" x14ac:dyDescent="0.3">
      <c r="A1796">
        <v>187830</v>
      </c>
      <c r="B1796">
        <v>136273956</v>
      </c>
      <c r="C1796" t="s">
        <v>9421</v>
      </c>
      <c r="D1796" t="s">
        <v>9422</v>
      </c>
      <c r="E1796" t="s">
        <v>8703</v>
      </c>
      <c r="F1796" t="s">
        <v>844</v>
      </c>
      <c r="G1796" t="s">
        <v>164</v>
      </c>
      <c r="H1796" t="s">
        <v>165</v>
      </c>
      <c r="I1796" t="s">
        <v>34</v>
      </c>
      <c r="J1796" t="s">
        <v>166</v>
      </c>
      <c r="K1796" t="s">
        <v>41</v>
      </c>
      <c r="L1796" t="s">
        <v>9423</v>
      </c>
      <c r="M1796" t="s">
        <v>9424</v>
      </c>
      <c r="N1796" t="s">
        <v>847</v>
      </c>
      <c r="O1796" t="s">
        <v>100</v>
      </c>
      <c r="P1796" t="s">
        <v>9425</v>
      </c>
      <c r="Q1796" t="s">
        <v>224</v>
      </c>
      <c r="R1796" t="s">
        <v>785</v>
      </c>
      <c r="S1796">
        <v>1</v>
      </c>
      <c r="T1796">
        <v>4067</v>
      </c>
      <c r="U1796">
        <v>0</v>
      </c>
      <c r="V1796">
        <v>4067</v>
      </c>
    </row>
    <row r="1797" spans="1:22" x14ac:dyDescent="0.3">
      <c r="A1797">
        <v>187830</v>
      </c>
      <c r="B1797">
        <v>136200065</v>
      </c>
      <c r="C1797" t="s">
        <v>9426</v>
      </c>
      <c r="D1797" t="s">
        <v>9427</v>
      </c>
      <c r="E1797" t="s">
        <v>8703</v>
      </c>
      <c r="F1797" t="s">
        <v>844</v>
      </c>
      <c r="G1797" t="s">
        <v>164</v>
      </c>
      <c r="H1797" t="s">
        <v>165</v>
      </c>
      <c r="I1797" t="s">
        <v>34</v>
      </c>
      <c r="J1797" t="s">
        <v>166</v>
      </c>
      <c r="K1797" t="s">
        <v>41</v>
      </c>
      <c r="L1797" t="s">
        <v>9428</v>
      </c>
      <c r="M1797" t="s">
        <v>9429</v>
      </c>
      <c r="N1797" t="s">
        <v>847</v>
      </c>
      <c r="O1797" t="s">
        <v>100</v>
      </c>
      <c r="P1797" t="s">
        <v>9430</v>
      </c>
      <c r="Q1797" t="s">
        <v>55</v>
      </c>
      <c r="R1797" t="s">
        <v>9391</v>
      </c>
      <c r="S1797">
        <v>1.97</v>
      </c>
      <c r="T1797">
        <v>5198</v>
      </c>
      <c r="U1797">
        <v>0</v>
      </c>
      <c r="V1797">
        <v>5198</v>
      </c>
    </row>
    <row r="1798" spans="1:22" x14ac:dyDescent="0.3">
      <c r="A1798">
        <v>187830</v>
      </c>
      <c r="B1798">
        <v>135906344</v>
      </c>
      <c r="C1798" t="s">
        <v>9431</v>
      </c>
      <c r="D1798" t="s">
        <v>9432</v>
      </c>
      <c r="E1798" t="s">
        <v>8703</v>
      </c>
      <c r="F1798" t="s">
        <v>844</v>
      </c>
      <c r="G1798" t="s">
        <v>164</v>
      </c>
      <c r="H1798" t="s">
        <v>165</v>
      </c>
      <c r="I1798" t="s">
        <v>34</v>
      </c>
      <c r="J1798" t="s">
        <v>166</v>
      </c>
      <c r="K1798" t="s">
        <v>41</v>
      </c>
      <c r="L1798" t="s">
        <v>9433</v>
      </c>
      <c r="M1798" t="s">
        <v>9434</v>
      </c>
      <c r="N1798" t="s">
        <v>847</v>
      </c>
      <c r="O1798" t="s">
        <v>100</v>
      </c>
      <c r="P1798" t="s">
        <v>9435</v>
      </c>
      <c r="Q1798" t="s">
        <v>49</v>
      </c>
      <c r="R1798" t="s">
        <v>612</v>
      </c>
      <c r="S1798">
        <v>1</v>
      </c>
      <c r="T1798">
        <v>3784</v>
      </c>
      <c r="U1798">
        <v>0</v>
      </c>
      <c r="V1798">
        <v>3784</v>
      </c>
    </row>
    <row r="1799" spans="1:22" x14ac:dyDescent="0.3">
      <c r="A1799">
        <v>187830</v>
      </c>
      <c r="B1799">
        <v>136028779</v>
      </c>
      <c r="C1799" t="s">
        <v>9436</v>
      </c>
      <c r="D1799" t="s">
        <v>9437</v>
      </c>
      <c r="E1799" t="s">
        <v>8703</v>
      </c>
      <c r="F1799" t="s">
        <v>844</v>
      </c>
      <c r="G1799" t="s">
        <v>164</v>
      </c>
      <c r="H1799" t="s">
        <v>165</v>
      </c>
      <c r="I1799" t="s">
        <v>34</v>
      </c>
      <c r="J1799" t="s">
        <v>166</v>
      </c>
      <c r="K1799" t="s">
        <v>41</v>
      </c>
      <c r="L1799" t="s">
        <v>9438</v>
      </c>
      <c r="M1799" t="s">
        <v>9439</v>
      </c>
      <c r="N1799" t="s">
        <v>847</v>
      </c>
      <c r="O1799" t="s">
        <v>100</v>
      </c>
      <c r="P1799" t="s">
        <v>9440</v>
      </c>
      <c r="Q1799" t="s">
        <v>49</v>
      </c>
      <c r="R1799" t="s">
        <v>488</v>
      </c>
      <c r="S1799">
        <v>1.64</v>
      </c>
      <c r="T1799">
        <v>3784</v>
      </c>
      <c r="U1799">
        <v>0</v>
      </c>
      <c r="V1799">
        <v>3784</v>
      </c>
    </row>
    <row r="1800" spans="1:22" x14ac:dyDescent="0.3">
      <c r="A1800">
        <v>187830</v>
      </c>
      <c r="B1800">
        <v>135789661</v>
      </c>
      <c r="C1800" t="s">
        <v>9441</v>
      </c>
      <c r="D1800" t="s">
        <v>9442</v>
      </c>
      <c r="E1800" t="s">
        <v>8703</v>
      </c>
      <c r="F1800" t="s">
        <v>844</v>
      </c>
      <c r="G1800" t="s">
        <v>164</v>
      </c>
      <c r="H1800" t="s">
        <v>165</v>
      </c>
      <c r="I1800" t="s">
        <v>34</v>
      </c>
      <c r="J1800" t="s">
        <v>166</v>
      </c>
      <c r="K1800" t="s">
        <v>41</v>
      </c>
      <c r="L1800" t="s">
        <v>9443</v>
      </c>
      <c r="M1800" t="s">
        <v>9444</v>
      </c>
      <c r="N1800" t="s">
        <v>847</v>
      </c>
      <c r="O1800" t="s">
        <v>100</v>
      </c>
      <c r="P1800" t="s">
        <v>9445</v>
      </c>
      <c r="Q1800" t="s">
        <v>72</v>
      </c>
      <c r="R1800" t="s">
        <v>701</v>
      </c>
      <c r="S1800">
        <v>2.74</v>
      </c>
      <c r="T1800">
        <v>3784</v>
      </c>
      <c r="U1800">
        <v>0</v>
      </c>
      <c r="V1800">
        <v>3784</v>
      </c>
    </row>
    <row r="1801" spans="1:22" x14ac:dyDescent="0.3">
      <c r="A1801">
        <v>187830</v>
      </c>
      <c r="B1801">
        <v>135667736</v>
      </c>
      <c r="C1801" t="s">
        <v>9446</v>
      </c>
      <c r="D1801" t="s">
        <v>9447</v>
      </c>
      <c r="E1801" t="s">
        <v>8703</v>
      </c>
      <c r="F1801" t="s">
        <v>844</v>
      </c>
      <c r="G1801" t="s">
        <v>164</v>
      </c>
      <c r="H1801" t="s">
        <v>165</v>
      </c>
      <c r="I1801" t="s">
        <v>34</v>
      </c>
      <c r="J1801" t="s">
        <v>166</v>
      </c>
      <c r="K1801" t="s">
        <v>41</v>
      </c>
      <c r="L1801" t="s">
        <v>9448</v>
      </c>
      <c r="M1801" t="s">
        <v>8874</v>
      </c>
      <c r="N1801" t="s">
        <v>847</v>
      </c>
      <c r="O1801" t="s">
        <v>100</v>
      </c>
      <c r="P1801" t="s">
        <v>8875</v>
      </c>
      <c r="Q1801" t="s">
        <v>210</v>
      </c>
      <c r="R1801" t="s">
        <v>9087</v>
      </c>
      <c r="S1801">
        <v>1.1399999999999999</v>
      </c>
      <c r="T1801">
        <v>4346</v>
      </c>
      <c r="U1801">
        <v>0</v>
      </c>
      <c r="V1801">
        <v>4346</v>
      </c>
    </row>
    <row r="1802" spans="1:22" x14ac:dyDescent="0.3">
      <c r="A1802">
        <v>187830</v>
      </c>
      <c r="B1802">
        <v>135715569</v>
      </c>
      <c r="C1802" t="s">
        <v>9449</v>
      </c>
      <c r="D1802" t="s">
        <v>9450</v>
      </c>
      <c r="E1802" t="s">
        <v>8703</v>
      </c>
      <c r="F1802" t="s">
        <v>844</v>
      </c>
      <c r="G1802" t="s">
        <v>164</v>
      </c>
      <c r="H1802" t="s">
        <v>165</v>
      </c>
      <c r="I1802" t="s">
        <v>34</v>
      </c>
      <c r="J1802" t="s">
        <v>166</v>
      </c>
      <c r="K1802" t="s">
        <v>41</v>
      </c>
      <c r="L1802" t="s">
        <v>9451</v>
      </c>
      <c r="M1802" t="s">
        <v>9452</v>
      </c>
      <c r="N1802" t="s">
        <v>847</v>
      </c>
      <c r="O1802" t="s">
        <v>100</v>
      </c>
      <c r="P1802" t="s">
        <v>9453</v>
      </c>
      <c r="Q1802" t="s">
        <v>63</v>
      </c>
      <c r="R1802" t="s">
        <v>610</v>
      </c>
      <c r="S1802">
        <v>1</v>
      </c>
      <c r="T1802">
        <v>4067</v>
      </c>
      <c r="U1802">
        <v>0</v>
      </c>
      <c r="V1802">
        <v>4067</v>
      </c>
    </row>
    <row r="1803" spans="1:22" x14ac:dyDescent="0.3">
      <c r="A1803">
        <v>187830</v>
      </c>
      <c r="B1803">
        <v>136483565</v>
      </c>
      <c r="C1803" t="s">
        <v>9454</v>
      </c>
      <c r="D1803" t="s">
        <v>9455</v>
      </c>
      <c r="E1803" t="s">
        <v>8703</v>
      </c>
      <c r="F1803" t="s">
        <v>844</v>
      </c>
      <c r="G1803" t="s">
        <v>164</v>
      </c>
      <c r="H1803" t="s">
        <v>165</v>
      </c>
      <c r="I1803" t="s">
        <v>34</v>
      </c>
      <c r="J1803" t="s">
        <v>166</v>
      </c>
      <c r="K1803" t="s">
        <v>41</v>
      </c>
      <c r="L1803" t="s">
        <v>9456</v>
      </c>
      <c r="M1803" t="s">
        <v>9457</v>
      </c>
      <c r="N1803" t="s">
        <v>847</v>
      </c>
      <c r="O1803" t="s">
        <v>100</v>
      </c>
      <c r="P1803" t="s">
        <v>9458</v>
      </c>
      <c r="Q1803" t="s">
        <v>212</v>
      </c>
      <c r="R1803" t="s">
        <v>9459</v>
      </c>
      <c r="S1803">
        <v>0.95</v>
      </c>
      <c r="T1803">
        <v>3784</v>
      </c>
      <c r="U1803">
        <v>0</v>
      </c>
      <c r="V1803">
        <v>3784</v>
      </c>
    </row>
    <row r="1804" spans="1:22" x14ac:dyDescent="0.3">
      <c r="A1804">
        <v>187830</v>
      </c>
      <c r="B1804">
        <v>135906334</v>
      </c>
      <c r="C1804" t="s">
        <v>9460</v>
      </c>
      <c r="D1804" t="s">
        <v>9461</v>
      </c>
      <c r="E1804" t="s">
        <v>8703</v>
      </c>
      <c r="F1804" t="s">
        <v>844</v>
      </c>
      <c r="G1804" t="s">
        <v>164</v>
      </c>
      <c r="H1804" t="s">
        <v>165</v>
      </c>
      <c r="I1804" t="s">
        <v>34</v>
      </c>
      <c r="J1804" t="s">
        <v>166</v>
      </c>
      <c r="K1804" t="s">
        <v>41</v>
      </c>
      <c r="L1804" t="s">
        <v>9462</v>
      </c>
      <c r="M1804" t="s">
        <v>9463</v>
      </c>
      <c r="N1804" t="s">
        <v>847</v>
      </c>
      <c r="O1804" t="s">
        <v>100</v>
      </c>
      <c r="P1804" t="s">
        <v>9464</v>
      </c>
      <c r="Q1804" t="s">
        <v>63</v>
      </c>
      <c r="R1804" t="s">
        <v>612</v>
      </c>
      <c r="S1804">
        <v>1.83</v>
      </c>
      <c r="T1804">
        <v>4067</v>
      </c>
      <c r="U1804">
        <v>0</v>
      </c>
      <c r="V1804">
        <v>4067</v>
      </c>
    </row>
    <row r="1805" spans="1:22" x14ac:dyDescent="0.3">
      <c r="A1805">
        <v>187830</v>
      </c>
      <c r="B1805">
        <v>136273959</v>
      </c>
      <c r="C1805" t="s">
        <v>9465</v>
      </c>
      <c r="D1805" t="s">
        <v>9466</v>
      </c>
      <c r="E1805" t="s">
        <v>8703</v>
      </c>
      <c r="F1805" t="s">
        <v>844</v>
      </c>
      <c r="G1805" t="s">
        <v>164</v>
      </c>
      <c r="H1805" t="s">
        <v>165</v>
      </c>
      <c r="I1805" t="s">
        <v>34</v>
      </c>
      <c r="J1805" t="s">
        <v>166</v>
      </c>
      <c r="K1805" t="s">
        <v>41</v>
      </c>
      <c r="L1805" t="s">
        <v>9467</v>
      </c>
      <c r="M1805" t="s">
        <v>9468</v>
      </c>
      <c r="N1805" t="s">
        <v>847</v>
      </c>
      <c r="O1805" t="s">
        <v>100</v>
      </c>
      <c r="P1805" t="s">
        <v>9469</v>
      </c>
      <c r="Q1805" t="s">
        <v>72</v>
      </c>
      <c r="R1805" t="s">
        <v>785</v>
      </c>
      <c r="S1805">
        <v>1</v>
      </c>
      <c r="T1805">
        <v>3784</v>
      </c>
      <c r="U1805">
        <v>0</v>
      </c>
      <c r="V1805">
        <v>3784</v>
      </c>
    </row>
    <row r="1806" spans="1:22" x14ac:dyDescent="0.3">
      <c r="A1806">
        <v>187830</v>
      </c>
      <c r="B1806">
        <v>136274041</v>
      </c>
      <c r="C1806" t="s">
        <v>9470</v>
      </c>
      <c r="D1806" t="s">
        <v>9471</v>
      </c>
      <c r="E1806" t="s">
        <v>8703</v>
      </c>
      <c r="F1806" t="s">
        <v>844</v>
      </c>
      <c r="G1806" t="s">
        <v>164</v>
      </c>
      <c r="H1806" t="s">
        <v>165</v>
      </c>
      <c r="I1806" t="s">
        <v>34</v>
      </c>
      <c r="J1806" t="s">
        <v>166</v>
      </c>
      <c r="K1806" t="s">
        <v>41</v>
      </c>
      <c r="L1806" t="s">
        <v>9472</v>
      </c>
      <c r="M1806" t="s">
        <v>9473</v>
      </c>
      <c r="N1806" t="s">
        <v>847</v>
      </c>
      <c r="O1806" t="s">
        <v>100</v>
      </c>
      <c r="P1806" t="s">
        <v>9474</v>
      </c>
      <c r="Q1806" t="s">
        <v>63</v>
      </c>
      <c r="R1806" t="s">
        <v>785</v>
      </c>
      <c r="S1806">
        <v>1.05</v>
      </c>
      <c r="T1806">
        <v>4067</v>
      </c>
      <c r="U1806">
        <v>0</v>
      </c>
      <c r="V1806">
        <v>4067</v>
      </c>
    </row>
    <row r="1807" spans="1:22" x14ac:dyDescent="0.3">
      <c r="A1807">
        <v>187830</v>
      </c>
      <c r="B1807">
        <v>136109014</v>
      </c>
      <c r="C1807" t="s">
        <v>9475</v>
      </c>
      <c r="D1807" t="s">
        <v>9476</v>
      </c>
      <c r="E1807" t="s">
        <v>8703</v>
      </c>
      <c r="F1807" t="s">
        <v>844</v>
      </c>
      <c r="G1807" t="s">
        <v>164</v>
      </c>
      <c r="H1807" t="s">
        <v>165</v>
      </c>
      <c r="I1807" t="s">
        <v>34</v>
      </c>
      <c r="J1807" t="s">
        <v>166</v>
      </c>
      <c r="K1807" t="s">
        <v>41</v>
      </c>
      <c r="L1807" t="s">
        <v>9477</v>
      </c>
      <c r="M1807" t="s">
        <v>9073</v>
      </c>
      <c r="N1807" t="s">
        <v>847</v>
      </c>
      <c r="O1807" t="s">
        <v>100</v>
      </c>
      <c r="P1807" t="s">
        <v>9074</v>
      </c>
      <c r="Q1807" t="s">
        <v>63</v>
      </c>
      <c r="R1807" t="s">
        <v>9147</v>
      </c>
      <c r="S1807">
        <v>1.5</v>
      </c>
      <c r="T1807">
        <v>4067</v>
      </c>
      <c r="U1807">
        <v>0</v>
      </c>
      <c r="V1807">
        <v>4067</v>
      </c>
    </row>
    <row r="1808" spans="1:22" x14ac:dyDescent="0.3">
      <c r="A1808">
        <v>187830</v>
      </c>
      <c r="B1808">
        <v>136413128</v>
      </c>
      <c r="C1808" t="s">
        <v>9478</v>
      </c>
      <c r="D1808" t="s">
        <v>9479</v>
      </c>
      <c r="E1808" t="s">
        <v>8703</v>
      </c>
      <c r="F1808" t="s">
        <v>844</v>
      </c>
      <c r="G1808" t="s">
        <v>164</v>
      </c>
      <c r="H1808" t="s">
        <v>165</v>
      </c>
      <c r="I1808" t="s">
        <v>34</v>
      </c>
      <c r="J1808" t="s">
        <v>166</v>
      </c>
      <c r="K1808" t="s">
        <v>41</v>
      </c>
      <c r="L1808" t="s">
        <v>9480</v>
      </c>
      <c r="M1808" t="s">
        <v>9481</v>
      </c>
      <c r="N1808" t="s">
        <v>847</v>
      </c>
      <c r="O1808" t="s">
        <v>100</v>
      </c>
      <c r="P1808" t="s">
        <v>9482</v>
      </c>
      <c r="Q1808" t="s">
        <v>63</v>
      </c>
      <c r="R1808" t="s">
        <v>299</v>
      </c>
      <c r="S1808">
        <v>1</v>
      </c>
      <c r="T1808">
        <v>4067</v>
      </c>
      <c r="U1808">
        <v>0</v>
      </c>
      <c r="V1808">
        <v>4067</v>
      </c>
    </row>
    <row r="1809" spans="1:22" x14ac:dyDescent="0.3">
      <c r="A1809">
        <v>187830</v>
      </c>
      <c r="B1809">
        <v>135986226</v>
      </c>
      <c r="C1809" t="s">
        <v>9483</v>
      </c>
      <c r="D1809" t="s">
        <v>9484</v>
      </c>
      <c r="E1809" t="s">
        <v>8703</v>
      </c>
      <c r="F1809" t="s">
        <v>844</v>
      </c>
      <c r="G1809" t="s">
        <v>164</v>
      </c>
      <c r="H1809" t="s">
        <v>165</v>
      </c>
      <c r="I1809" t="s">
        <v>34</v>
      </c>
      <c r="J1809" t="s">
        <v>166</v>
      </c>
      <c r="K1809" t="s">
        <v>41</v>
      </c>
      <c r="L1809" t="s">
        <v>9485</v>
      </c>
      <c r="M1809" t="s">
        <v>9486</v>
      </c>
      <c r="N1809" t="s">
        <v>847</v>
      </c>
      <c r="O1809" t="s">
        <v>100</v>
      </c>
      <c r="P1809" t="s">
        <v>9487</v>
      </c>
      <c r="Q1809" t="s">
        <v>68</v>
      </c>
      <c r="R1809" t="s">
        <v>611</v>
      </c>
      <c r="S1809">
        <v>1</v>
      </c>
      <c r="T1809">
        <v>3753</v>
      </c>
      <c r="U1809">
        <v>0</v>
      </c>
      <c r="V1809">
        <v>3753</v>
      </c>
    </row>
    <row r="1810" spans="1:22" x14ac:dyDescent="0.3">
      <c r="A1810">
        <v>187830</v>
      </c>
      <c r="B1810">
        <v>136200071</v>
      </c>
      <c r="C1810" t="s">
        <v>9488</v>
      </c>
      <c r="D1810" t="s">
        <v>9489</v>
      </c>
      <c r="E1810" t="s">
        <v>8703</v>
      </c>
      <c r="F1810" t="s">
        <v>844</v>
      </c>
      <c r="G1810" t="s">
        <v>164</v>
      </c>
      <c r="H1810" t="s">
        <v>165</v>
      </c>
      <c r="I1810" t="s">
        <v>34</v>
      </c>
      <c r="J1810" t="s">
        <v>166</v>
      </c>
      <c r="K1810" t="s">
        <v>41</v>
      </c>
      <c r="L1810" t="s">
        <v>9490</v>
      </c>
      <c r="M1810" t="s">
        <v>9491</v>
      </c>
      <c r="N1810" t="s">
        <v>847</v>
      </c>
      <c r="O1810" t="s">
        <v>100</v>
      </c>
      <c r="P1810" t="s">
        <v>9492</v>
      </c>
      <c r="Q1810" t="s">
        <v>69</v>
      </c>
      <c r="R1810" t="s">
        <v>9391</v>
      </c>
      <c r="S1810">
        <v>9.3000000000000007</v>
      </c>
      <c r="T1810">
        <v>5759</v>
      </c>
      <c r="U1810">
        <v>0</v>
      </c>
      <c r="V1810">
        <v>5759</v>
      </c>
    </row>
    <row r="1811" spans="1:22" x14ac:dyDescent="0.3">
      <c r="A1811">
        <v>187830</v>
      </c>
      <c r="B1811">
        <v>135632461</v>
      </c>
      <c r="C1811" t="s">
        <v>9493</v>
      </c>
      <c r="D1811" t="s">
        <v>9494</v>
      </c>
      <c r="E1811" t="s">
        <v>8703</v>
      </c>
      <c r="F1811" t="s">
        <v>844</v>
      </c>
      <c r="G1811" t="s">
        <v>164</v>
      </c>
      <c r="H1811" t="s">
        <v>165</v>
      </c>
      <c r="I1811" t="s">
        <v>34</v>
      </c>
      <c r="J1811" t="s">
        <v>166</v>
      </c>
      <c r="K1811" t="s">
        <v>41</v>
      </c>
      <c r="L1811" t="s">
        <v>9495</v>
      </c>
      <c r="M1811" t="s">
        <v>9496</v>
      </c>
      <c r="N1811" t="s">
        <v>847</v>
      </c>
      <c r="O1811" t="s">
        <v>100</v>
      </c>
      <c r="P1811" t="s">
        <v>9497</v>
      </c>
      <c r="Q1811" t="s">
        <v>69</v>
      </c>
      <c r="R1811" t="s">
        <v>9498</v>
      </c>
      <c r="S1811">
        <v>1</v>
      </c>
      <c r="T1811">
        <v>3753</v>
      </c>
      <c r="U1811">
        <v>0</v>
      </c>
      <c r="V1811">
        <v>3753</v>
      </c>
    </row>
    <row r="1812" spans="1:22" x14ac:dyDescent="0.3">
      <c r="A1812">
        <v>187830</v>
      </c>
      <c r="B1812">
        <v>136028794</v>
      </c>
      <c r="C1812" t="s">
        <v>9499</v>
      </c>
      <c r="D1812" t="s">
        <v>9500</v>
      </c>
      <c r="E1812" t="s">
        <v>8703</v>
      </c>
      <c r="F1812" t="s">
        <v>844</v>
      </c>
      <c r="G1812" t="s">
        <v>164</v>
      </c>
      <c r="H1812" t="s">
        <v>165</v>
      </c>
      <c r="I1812" t="s">
        <v>34</v>
      </c>
      <c r="J1812" t="s">
        <v>166</v>
      </c>
      <c r="K1812" t="s">
        <v>41</v>
      </c>
      <c r="L1812" t="s">
        <v>9501</v>
      </c>
      <c r="M1812" t="s">
        <v>9502</v>
      </c>
      <c r="N1812" t="s">
        <v>847</v>
      </c>
      <c r="O1812" t="s">
        <v>100</v>
      </c>
      <c r="P1812" t="s">
        <v>9503</v>
      </c>
      <c r="Q1812" t="s">
        <v>69</v>
      </c>
      <c r="R1812" t="s">
        <v>488</v>
      </c>
      <c r="S1812">
        <v>0.22</v>
      </c>
      <c r="T1812">
        <v>3680</v>
      </c>
      <c r="U1812">
        <v>0</v>
      </c>
      <c r="V1812">
        <v>3680</v>
      </c>
    </row>
    <row r="1813" spans="1:22" x14ac:dyDescent="0.3">
      <c r="A1813">
        <v>187830</v>
      </c>
      <c r="B1813">
        <v>136441316</v>
      </c>
      <c r="C1813" t="s">
        <v>9504</v>
      </c>
      <c r="D1813" t="s">
        <v>9505</v>
      </c>
      <c r="E1813" t="s">
        <v>8703</v>
      </c>
      <c r="F1813" t="s">
        <v>844</v>
      </c>
      <c r="G1813" t="s">
        <v>164</v>
      </c>
      <c r="H1813" t="s">
        <v>165</v>
      </c>
      <c r="I1813" t="s">
        <v>34</v>
      </c>
      <c r="J1813" t="s">
        <v>166</v>
      </c>
      <c r="K1813" t="s">
        <v>41</v>
      </c>
      <c r="L1813" t="s">
        <v>9506</v>
      </c>
      <c r="M1813" t="s">
        <v>9507</v>
      </c>
      <c r="N1813" t="s">
        <v>847</v>
      </c>
      <c r="O1813" t="s">
        <v>100</v>
      </c>
      <c r="P1813" t="s">
        <v>9508</v>
      </c>
      <c r="Q1813" t="s">
        <v>69</v>
      </c>
      <c r="R1813" t="s">
        <v>756</v>
      </c>
      <c r="S1813">
        <v>0.22</v>
      </c>
      <c r="T1813">
        <v>3680</v>
      </c>
      <c r="U1813">
        <v>0</v>
      </c>
      <c r="V1813">
        <v>3680</v>
      </c>
    </row>
    <row r="1814" spans="1:22" x14ac:dyDescent="0.3">
      <c r="A1814">
        <v>187830</v>
      </c>
      <c r="B1814">
        <v>136273966</v>
      </c>
      <c r="C1814" t="s">
        <v>9509</v>
      </c>
      <c r="D1814" t="s">
        <v>9510</v>
      </c>
      <c r="E1814" t="s">
        <v>8703</v>
      </c>
      <c r="F1814" t="s">
        <v>844</v>
      </c>
      <c r="G1814" t="s">
        <v>164</v>
      </c>
      <c r="H1814" t="s">
        <v>165</v>
      </c>
      <c r="I1814" t="s">
        <v>34</v>
      </c>
      <c r="J1814" t="s">
        <v>166</v>
      </c>
      <c r="K1814" t="s">
        <v>41</v>
      </c>
      <c r="L1814" t="s">
        <v>9511</v>
      </c>
      <c r="M1814" t="s">
        <v>9512</v>
      </c>
      <c r="N1814" t="s">
        <v>847</v>
      </c>
      <c r="O1814" t="s">
        <v>100</v>
      </c>
      <c r="P1814" t="s">
        <v>9513</v>
      </c>
      <c r="Q1814" t="s">
        <v>90</v>
      </c>
      <c r="R1814" t="s">
        <v>785</v>
      </c>
      <c r="S1814">
        <v>1</v>
      </c>
      <c r="T1814">
        <v>3870</v>
      </c>
      <c r="U1814">
        <v>0</v>
      </c>
      <c r="V1814">
        <v>3870</v>
      </c>
    </row>
    <row r="1815" spans="1:22" x14ac:dyDescent="0.3">
      <c r="A1815">
        <v>187830</v>
      </c>
      <c r="B1815">
        <v>135715618</v>
      </c>
      <c r="C1815" t="s">
        <v>9514</v>
      </c>
      <c r="D1815" t="s">
        <v>9515</v>
      </c>
      <c r="E1815" t="s">
        <v>8703</v>
      </c>
      <c r="F1815" t="s">
        <v>844</v>
      </c>
      <c r="G1815" t="s">
        <v>164</v>
      </c>
      <c r="H1815" t="s">
        <v>165</v>
      </c>
      <c r="I1815" t="s">
        <v>34</v>
      </c>
      <c r="J1815" t="s">
        <v>166</v>
      </c>
      <c r="K1815" t="s">
        <v>41</v>
      </c>
      <c r="L1815" t="s">
        <v>9516</v>
      </c>
      <c r="M1815" t="s">
        <v>9517</v>
      </c>
      <c r="N1815" t="s">
        <v>847</v>
      </c>
      <c r="O1815" t="s">
        <v>100</v>
      </c>
      <c r="P1815" t="s">
        <v>9518</v>
      </c>
      <c r="Q1815" t="s">
        <v>92</v>
      </c>
      <c r="R1815" t="s">
        <v>610</v>
      </c>
      <c r="S1815">
        <v>1</v>
      </c>
      <c r="T1815">
        <v>3366</v>
      </c>
      <c r="U1815">
        <v>0</v>
      </c>
      <c r="V1815">
        <v>3366</v>
      </c>
    </row>
    <row r="1816" spans="1:22" x14ac:dyDescent="0.3">
      <c r="A1816">
        <v>187830</v>
      </c>
      <c r="B1816">
        <v>135789632</v>
      </c>
      <c r="C1816" t="s">
        <v>9519</v>
      </c>
      <c r="D1816" t="s">
        <v>9520</v>
      </c>
      <c r="E1816" t="s">
        <v>8703</v>
      </c>
      <c r="F1816" t="s">
        <v>844</v>
      </c>
      <c r="G1816" t="s">
        <v>164</v>
      </c>
      <c r="H1816" t="s">
        <v>165</v>
      </c>
      <c r="I1816" t="s">
        <v>34</v>
      </c>
      <c r="J1816" t="s">
        <v>166</v>
      </c>
      <c r="K1816" t="s">
        <v>41</v>
      </c>
      <c r="L1816" t="s">
        <v>9521</v>
      </c>
      <c r="M1816" t="s">
        <v>9522</v>
      </c>
      <c r="N1816" t="s">
        <v>847</v>
      </c>
      <c r="O1816" t="s">
        <v>100</v>
      </c>
      <c r="P1816" t="s">
        <v>9523</v>
      </c>
      <c r="Q1816" t="s">
        <v>59</v>
      </c>
      <c r="R1816" t="s">
        <v>400</v>
      </c>
      <c r="S1816">
        <v>4.68</v>
      </c>
      <c r="T1816">
        <v>4852</v>
      </c>
      <c r="U1816">
        <v>0</v>
      </c>
      <c r="V1816">
        <v>4852</v>
      </c>
    </row>
    <row r="1817" spans="1:22" x14ac:dyDescent="0.3">
      <c r="A1817">
        <v>187830</v>
      </c>
      <c r="B1817">
        <v>136109025</v>
      </c>
      <c r="C1817" t="s">
        <v>9524</v>
      </c>
      <c r="D1817" t="s">
        <v>9525</v>
      </c>
      <c r="E1817" t="s">
        <v>8703</v>
      </c>
      <c r="F1817" t="s">
        <v>844</v>
      </c>
      <c r="G1817" t="s">
        <v>164</v>
      </c>
      <c r="H1817" t="s">
        <v>165</v>
      </c>
      <c r="I1817" t="s">
        <v>34</v>
      </c>
      <c r="J1817" t="s">
        <v>166</v>
      </c>
      <c r="K1817" t="s">
        <v>41</v>
      </c>
      <c r="L1817" t="s">
        <v>9526</v>
      </c>
      <c r="M1817" t="s">
        <v>9527</v>
      </c>
      <c r="N1817" t="s">
        <v>847</v>
      </c>
      <c r="O1817" t="s">
        <v>100</v>
      </c>
      <c r="P1817" t="s">
        <v>9528</v>
      </c>
      <c r="Q1817" t="s">
        <v>84</v>
      </c>
      <c r="R1817" t="s">
        <v>9147</v>
      </c>
      <c r="S1817">
        <v>1</v>
      </c>
      <c r="T1817">
        <v>3366</v>
      </c>
      <c r="U1817">
        <v>0</v>
      </c>
      <c r="V1817">
        <v>3366</v>
      </c>
    </row>
    <row r="1818" spans="1:22" x14ac:dyDescent="0.3">
      <c r="A1818">
        <v>187830</v>
      </c>
      <c r="B1818">
        <v>135906318</v>
      </c>
      <c r="C1818" t="s">
        <v>9529</v>
      </c>
      <c r="D1818" t="s">
        <v>9530</v>
      </c>
      <c r="E1818" t="s">
        <v>8703</v>
      </c>
      <c r="F1818" t="s">
        <v>844</v>
      </c>
      <c r="G1818" t="s">
        <v>164</v>
      </c>
      <c r="H1818" t="s">
        <v>165</v>
      </c>
      <c r="I1818" t="s">
        <v>34</v>
      </c>
      <c r="J1818" t="s">
        <v>166</v>
      </c>
      <c r="K1818" t="s">
        <v>41</v>
      </c>
      <c r="L1818" t="s">
        <v>9531</v>
      </c>
      <c r="M1818" t="s">
        <v>9532</v>
      </c>
      <c r="N1818" t="s">
        <v>847</v>
      </c>
      <c r="O1818" t="s">
        <v>100</v>
      </c>
      <c r="P1818" t="s">
        <v>9533</v>
      </c>
      <c r="Q1818" t="s">
        <v>54</v>
      </c>
      <c r="R1818" t="s">
        <v>612</v>
      </c>
      <c r="S1818">
        <v>2.2200000000000002</v>
      </c>
      <c r="T1818">
        <v>5759</v>
      </c>
      <c r="U1818">
        <v>0</v>
      </c>
      <c r="V1818">
        <v>5759</v>
      </c>
    </row>
    <row r="1819" spans="1:22" x14ac:dyDescent="0.3">
      <c r="A1819">
        <v>187830</v>
      </c>
      <c r="B1819">
        <v>136109039</v>
      </c>
      <c r="C1819" t="s">
        <v>9534</v>
      </c>
      <c r="D1819" t="s">
        <v>9535</v>
      </c>
      <c r="E1819" t="s">
        <v>8703</v>
      </c>
      <c r="F1819" t="s">
        <v>844</v>
      </c>
      <c r="G1819" t="s">
        <v>164</v>
      </c>
      <c r="H1819" t="s">
        <v>165</v>
      </c>
      <c r="I1819" t="s">
        <v>34</v>
      </c>
      <c r="J1819" t="s">
        <v>166</v>
      </c>
      <c r="K1819" t="s">
        <v>41</v>
      </c>
      <c r="L1819" t="s">
        <v>9536</v>
      </c>
      <c r="M1819" t="s">
        <v>672</v>
      </c>
      <c r="N1819" t="s">
        <v>847</v>
      </c>
      <c r="O1819" t="s">
        <v>100</v>
      </c>
      <c r="P1819" t="s">
        <v>9537</v>
      </c>
      <c r="Q1819" t="s">
        <v>200</v>
      </c>
      <c r="R1819" t="s">
        <v>9147</v>
      </c>
      <c r="S1819">
        <v>0.22</v>
      </c>
      <c r="T1819">
        <v>3680</v>
      </c>
      <c r="U1819">
        <v>0</v>
      </c>
      <c r="V1819">
        <v>3680</v>
      </c>
    </row>
    <row r="1820" spans="1:22" x14ac:dyDescent="0.3">
      <c r="A1820">
        <v>187830</v>
      </c>
      <c r="B1820">
        <v>136273957</v>
      </c>
      <c r="C1820" t="s">
        <v>9538</v>
      </c>
      <c r="D1820" t="s">
        <v>9539</v>
      </c>
      <c r="E1820" t="s">
        <v>8703</v>
      </c>
      <c r="F1820" t="s">
        <v>844</v>
      </c>
      <c r="G1820" t="s">
        <v>164</v>
      </c>
      <c r="H1820" t="s">
        <v>165</v>
      </c>
      <c r="I1820" t="s">
        <v>34</v>
      </c>
      <c r="J1820" t="s">
        <v>166</v>
      </c>
      <c r="K1820" t="s">
        <v>41</v>
      </c>
      <c r="L1820" t="s">
        <v>9540</v>
      </c>
      <c r="M1820" t="s">
        <v>9541</v>
      </c>
      <c r="N1820" t="s">
        <v>847</v>
      </c>
      <c r="O1820" t="s">
        <v>100</v>
      </c>
      <c r="P1820" t="s">
        <v>9542</v>
      </c>
      <c r="Q1820" t="s">
        <v>64</v>
      </c>
      <c r="R1820" t="s">
        <v>785</v>
      </c>
      <c r="S1820">
        <v>3.36</v>
      </c>
      <c r="T1820">
        <v>5111</v>
      </c>
      <c r="U1820">
        <v>0</v>
      </c>
      <c r="V1820">
        <v>5111</v>
      </c>
    </row>
    <row r="1821" spans="1:22" x14ac:dyDescent="0.3">
      <c r="A1821">
        <v>187830</v>
      </c>
      <c r="B1821">
        <v>136028809</v>
      </c>
      <c r="C1821" t="s">
        <v>9543</v>
      </c>
      <c r="D1821" t="s">
        <v>9544</v>
      </c>
      <c r="E1821" t="s">
        <v>8703</v>
      </c>
      <c r="F1821" t="s">
        <v>844</v>
      </c>
      <c r="G1821" t="s">
        <v>164</v>
      </c>
      <c r="H1821" t="s">
        <v>165</v>
      </c>
      <c r="I1821" t="s">
        <v>34</v>
      </c>
      <c r="J1821" t="s">
        <v>166</v>
      </c>
      <c r="K1821" t="s">
        <v>41</v>
      </c>
      <c r="L1821" t="s">
        <v>9545</v>
      </c>
      <c r="M1821" t="s">
        <v>9546</v>
      </c>
      <c r="N1821" t="s">
        <v>847</v>
      </c>
      <c r="O1821" t="s">
        <v>100</v>
      </c>
      <c r="P1821" t="s">
        <v>9547</v>
      </c>
      <c r="Q1821" t="s">
        <v>70</v>
      </c>
      <c r="R1821" t="s">
        <v>488</v>
      </c>
      <c r="S1821">
        <v>1</v>
      </c>
      <c r="T1821">
        <v>3501</v>
      </c>
      <c r="U1821">
        <v>0</v>
      </c>
      <c r="V1821">
        <v>3501</v>
      </c>
    </row>
    <row r="1822" spans="1:22" x14ac:dyDescent="0.3">
      <c r="A1822">
        <v>187830</v>
      </c>
      <c r="B1822">
        <v>136274025</v>
      </c>
      <c r="C1822" t="s">
        <v>9548</v>
      </c>
      <c r="D1822" t="s">
        <v>9549</v>
      </c>
      <c r="E1822" t="s">
        <v>8703</v>
      </c>
      <c r="F1822" t="s">
        <v>844</v>
      </c>
      <c r="G1822" t="s">
        <v>164</v>
      </c>
      <c r="H1822" t="s">
        <v>165</v>
      </c>
      <c r="I1822" t="s">
        <v>34</v>
      </c>
      <c r="J1822" t="s">
        <v>166</v>
      </c>
      <c r="K1822" t="s">
        <v>44</v>
      </c>
      <c r="L1822" t="s">
        <v>188</v>
      </c>
      <c r="M1822" t="s">
        <v>9550</v>
      </c>
      <c r="N1822" t="s">
        <v>847</v>
      </c>
      <c r="O1822" t="s">
        <v>100</v>
      </c>
      <c r="P1822" t="s">
        <v>9551</v>
      </c>
      <c r="Q1822" t="s">
        <v>60</v>
      </c>
      <c r="R1822" t="s">
        <v>785</v>
      </c>
      <c r="S1822">
        <v>1</v>
      </c>
      <c r="T1822">
        <v>4346</v>
      </c>
      <c r="U1822">
        <v>0</v>
      </c>
      <c r="V1822">
        <v>4346</v>
      </c>
    </row>
    <row r="1823" spans="1:22" x14ac:dyDescent="0.3">
      <c r="A1823">
        <v>187830</v>
      </c>
      <c r="B1823">
        <v>136365361</v>
      </c>
      <c r="C1823" t="s">
        <v>9552</v>
      </c>
      <c r="D1823" t="s">
        <v>9553</v>
      </c>
      <c r="E1823" t="s">
        <v>8703</v>
      </c>
      <c r="F1823" t="s">
        <v>844</v>
      </c>
      <c r="G1823" t="s">
        <v>164</v>
      </c>
      <c r="H1823" t="s">
        <v>165</v>
      </c>
      <c r="I1823" t="s">
        <v>34</v>
      </c>
      <c r="J1823" t="s">
        <v>166</v>
      </c>
      <c r="K1823" t="s">
        <v>41</v>
      </c>
      <c r="L1823" t="s">
        <v>9554</v>
      </c>
      <c r="M1823" t="s">
        <v>9555</v>
      </c>
      <c r="N1823" t="s">
        <v>847</v>
      </c>
      <c r="O1823" t="s">
        <v>100</v>
      </c>
      <c r="P1823" t="s">
        <v>9556</v>
      </c>
      <c r="Q1823" t="s">
        <v>200</v>
      </c>
      <c r="R1823" t="s">
        <v>9557</v>
      </c>
      <c r="S1823">
        <v>0.22</v>
      </c>
      <c r="T1823">
        <v>3680</v>
      </c>
      <c r="U1823">
        <v>0</v>
      </c>
      <c r="V1823">
        <v>3680</v>
      </c>
    </row>
    <row r="1824" spans="1:22" x14ac:dyDescent="0.3">
      <c r="A1824">
        <v>187830</v>
      </c>
      <c r="B1824">
        <v>136200067</v>
      </c>
      <c r="C1824" t="s">
        <v>9558</v>
      </c>
      <c r="D1824" t="s">
        <v>9559</v>
      </c>
      <c r="E1824" t="s">
        <v>8703</v>
      </c>
      <c r="F1824" t="s">
        <v>844</v>
      </c>
      <c r="G1824" t="s">
        <v>164</v>
      </c>
      <c r="H1824" t="s">
        <v>165</v>
      </c>
      <c r="I1824" t="s">
        <v>34</v>
      </c>
      <c r="J1824" t="s">
        <v>166</v>
      </c>
      <c r="K1824" t="s">
        <v>41</v>
      </c>
      <c r="L1824" t="s">
        <v>9560</v>
      </c>
      <c r="M1824" t="s">
        <v>9561</v>
      </c>
      <c r="N1824" t="s">
        <v>847</v>
      </c>
      <c r="O1824" t="s">
        <v>100</v>
      </c>
      <c r="P1824" t="s">
        <v>9562</v>
      </c>
      <c r="Q1824" t="s">
        <v>50</v>
      </c>
      <c r="R1824" t="s">
        <v>9391</v>
      </c>
      <c r="S1824">
        <v>3.31</v>
      </c>
      <c r="T1824">
        <v>4585</v>
      </c>
      <c r="U1824">
        <v>0</v>
      </c>
      <c r="V1824">
        <v>4585</v>
      </c>
    </row>
    <row r="1825" spans="1:22" x14ac:dyDescent="0.3">
      <c r="A1825">
        <v>187830</v>
      </c>
      <c r="B1825">
        <v>136109037</v>
      </c>
      <c r="C1825" t="s">
        <v>9563</v>
      </c>
      <c r="D1825" t="s">
        <v>9564</v>
      </c>
      <c r="E1825" t="s">
        <v>8703</v>
      </c>
      <c r="F1825" t="s">
        <v>844</v>
      </c>
      <c r="G1825" t="s">
        <v>164</v>
      </c>
      <c r="H1825" t="s">
        <v>165</v>
      </c>
      <c r="I1825" t="s">
        <v>34</v>
      </c>
      <c r="J1825" t="s">
        <v>166</v>
      </c>
      <c r="K1825" t="s">
        <v>41</v>
      </c>
      <c r="L1825" t="s">
        <v>297</v>
      </c>
      <c r="M1825" t="s">
        <v>9565</v>
      </c>
      <c r="N1825" t="s">
        <v>847</v>
      </c>
      <c r="O1825" t="s">
        <v>100</v>
      </c>
      <c r="P1825" t="s">
        <v>9566</v>
      </c>
      <c r="Q1825" t="s">
        <v>83</v>
      </c>
      <c r="R1825" t="s">
        <v>9147</v>
      </c>
      <c r="S1825">
        <v>1</v>
      </c>
      <c r="T1825">
        <v>3366</v>
      </c>
      <c r="U1825">
        <v>0</v>
      </c>
      <c r="V1825">
        <v>3366</v>
      </c>
    </row>
    <row r="1826" spans="1:22" x14ac:dyDescent="0.3">
      <c r="A1826">
        <v>187830</v>
      </c>
      <c r="B1826">
        <v>135906325</v>
      </c>
      <c r="C1826" t="s">
        <v>9567</v>
      </c>
      <c r="D1826" t="s">
        <v>9568</v>
      </c>
      <c r="E1826" t="s">
        <v>8703</v>
      </c>
      <c r="F1826" t="s">
        <v>844</v>
      </c>
      <c r="G1826" t="s">
        <v>164</v>
      </c>
      <c r="H1826" t="s">
        <v>165</v>
      </c>
      <c r="I1826" t="s">
        <v>34</v>
      </c>
      <c r="J1826" t="s">
        <v>166</v>
      </c>
      <c r="K1826" t="s">
        <v>41</v>
      </c>
      <c r="L1826" t="s">
        <v>9569</v>
      </c>
      <c r="M1826" t="s">
        <v>9570</v>
      </c>
      <c r="N1826" t="s">
        <v>847</v>
      </c>
      <c r="O1826" t="s">
        <v>100</v>
      </c>
      <c r="P1826" t="s">
        <v>9571</v>
      </c>
      <c r="Q1826" t="s">
        <v>84</v>
      </c>
      <c r="R1826" t="s">
        <v>612</v>
      </c>
      <c r="S1826">
        <v>1</v>
      </c>
      <c r="T1826">
        <v>3366</v>
      </c>
      <c r="U1826">
        <v>0</v>
      </c>
      <c r="V1826">
        <v>3366</v>
      </c>
    </row>
    <row r="1827" spans="1:22" x14ac:dyDescent="0.3">
      <c r="A1827">
        <v>187830</v>
      </c>
      <c r="B1827">
        <v>135715584</v>
      </c>
      <c r="C1827" t="s">
        <v>9572</v>
      </c>
      <c r="D1827" t="s">
        <v>9573</v>
      </c>
      <c r="E1827" t="s">
        <v>8703</v>
      </c>
      <c r="F1827" t="s">
        <v>844</v>
      </c>
      <c r="G1827" t="s">
        <v>164</v>
      </c>
      <c r="H1827" t="s">
        <v>165</v>
      </c>
      <c r="I1827" t="s">
        <v>34</v>
      </c>
      <c r="J1827" t="s">
        <v>166</v>
      </c>
      <c r="K1827" t="s">
        <v>41</v>
      </c>
      <c r="L1827" t="s">
        <v>9574</v>
      </c>
      <c r="M1827" t="s">
        <v>9575</v>
      </c>
      <c r="N1827" t="s">
        <v>847</v>
      </c>
      <c r="O1827" t="s">
        <v>100</v>
      </c>
      <c r="P1827" t="s">
        <v>9576</v>
      </c>
      <c r="Q1827" t="s">
        <v>60</v>
      </c>
      <c r="R1827" t="s">
        <v>610</v>
      </c>
      <c r="S1827">
        <v>2.2000000000000002</v>
      </c>
      <c r="T1827">
        <v>4346</v>
      </c>
      <c r="U1827">
        <v>0</v>
      </c>
      <c r="V1827">
        <v>4346</v>
      </c>
    </row>
    <row r="1828" spans="1:22" x14ac:dyDescent="0.3">
      <c r="A1828">
        <v>187830</v>
      </c>
      <c r="B1828">
        <v>136028832</v>
      </c>
      <c r="C1828" t="s">
        <v>9577</v>
      </c>
      <c r="D1828" t="s">
        <v>9578</v>
      </c>
      <c r="E1828" t="s">
        <v>8703</v>
      </c>
      <c r="F1828" t="s">
        <v>844</v>
      </c>
      <c r="G1828" t="s">
        <v>164</v>
      </c>
      <c r="H1828" t="s">
        <v>165</v>
      </c>
      <c r="I1828" t="s">
        <v>34</v>
      </c>
      <c r="J1828" t="s">
        <v>166</v>
      </c>
      <c r="K1828" t="s">
        <v>41</v>
      </c>
      <c r="L1828" t="s">
        <v>9579</v>
      </c>
      <c r="M1828" t="s">
        <v>9580</v>
      </c>
      <c r="N1828" t="s">
        <v>847</v>
      </c>
      <c r="O1828" t="s">
        <v>100</v>
      </c>
      <c r="P1828" t="s">
        <v>9581</v>
      </c>
      <c r="Q1828" t="s">
        <v>83</v>
      </c>
      <c r="R1828" t="s">
        <v>488</v>
      </c>
      <c r="S1828">
        <v>1</v>
      </c>
      <c r="T1828">
        <v>3366</v>
      </c>
      <c r="U1828">
        <v>0</v>
      </c>
      <c r="V1828">
        <v>3366</v>
      </c>
    </row>
    <row r="1829" spans="1:22" x14ac:dyDescent="0.3">
      <c r="A1829">
        <v>187830</v>
      </c>
      <c r="B1829">
        <v>136413124</v>
      </c>
      <c r="C1829" t="s">
        <v>9582</v>
      </c>
      <c r="D1829" t="s">
        <v>9583</v>
      </c>
      <c r="E1829" t="s">
        <v>8703</v>
      </c>
      <c r="F1829" t="s">
        <v>844</v>
      </c>
      <c r="G1829" t="s">
        <v>164</v>
      </c>
      <c r="H1829" t="s">
        <v>165</v>
      </c>
      <c r="I1829" t="s">
        <v>34</v>
      </c>
      <c r="J1829" t="s">
        <v>166</v>
      </c>
      <c r="K1829" t="s">
        <v>41</v>
      </c>
      <c r="L1829" t="s">
        <v>9584</v>
      </c>
      <c r="M1829" t="s">
        <v>9585</v>
      </c>
      <c r="N1829" t="s">
        <v>847</v>
      </c>
      <c r="O1829" t="s">
        <v>100</v>
      </c>
      <c r="P1829" t="s">
        <v>9586</v>
      </c>
      <c r="Q1829" t="s">
        <v>64</v>
      </c>
      <c r="R1829" t="s">
        <v>299</v>
      </c>
      <c r="S1829">
        <v>1</v>
      </c>
      <c r="T1829">
        <v>4067</v>
      </c>
      <c r="U1829">
        <v>0</v>
      </c>
      <c r="V1829">
        <v>4067</v>
      </c>
    </row>
    <row r="1830" spans="1:22" x14ac:dyDescent="0.3">
      <c r="A1830">
        <v>187830</v>
      </c>
      <c r="B1830">
        <v>135632457</v>
      </c>
      <c r="C1830" t="s">
        <v>9587</v>
      </c>
      <c r="D1830" t="s">
        <v>9588</v>
      </c>
      <c r="E1830" t="s">
        <v>8703</v>
      </c>
      <c r="F1830" t="s">
        <v>844</v>
      </c>
      <c r="G1830" t="s">
        <v>164</v>
      </c>
      <c r="H1830" t="s">
        <v>165</v>
      </c>
      <c r="I1830" t="s">
        <v>34</v>
      </c>
      <c r="J1830" t="s">
        <v>166</v>
      </c>
      <c r="K1830" t="s">
        <v>41</v>
      </c>
      <c r="L1830" t="s">
        <v>9589</v>
      </c>
      <c r="M1830" t="s">
        <v>9590</v>
      </c>
      <c r="N1830" t="s">
        <v>847</v>
      </c>
      <c r="O1830" t="s">
        <v>100</v>
      </c>
      <c r="P1830" t="s">
        <v>9591</v>
      </c>
      <c r="Q1830" t="s">
        <v>69</v>
      </c>
      <c r="R1830" t="s">
        <v>9498</v>
      </c>
      <c r="S1830">
        <v>1</v>
      </c>
      <c r="T1830">
        <v>3753</v>
      </c>
      <c r="U1830">
        <v>0</v>
      </c>
      <c r="V1830">
        <v>3753</v>
      </c>
    </row>
    <row r="1831" spans="1:22" x14ac:dyDescent="0.3">
      <c r="A1831">
        <v>187830</v>
      </c>
      <c r="B1831">
        <v>136274083</v>
      </c>
      <c r="C1831" t="s">
        <v>9592</v>
      </c>
      <c r="D1831" t="s">
        <v>9593</v>
      </c>
      <c r="E1831" t="s">
        <v>8703</v>
      </c>
      <c r="F1831" t="s">
        <v>844</v>
      </c>
      <c r="G1831" t="s">
        <v>164</v>
      </c>
      <c r="H1831" t="s">
        <v>165</v>
      </c>
      <c r="I1831" t="s">
        <v>34</v>
      </c>
      <c r="J1831" t="s">
        <v>166</v>
      </c>
      <c r="K1831" t="s">
        <v>41</v>
      </c>
      <c r="L1831" t="s">
        <v>9594</v>
      </c>
      <c r="M1831" t="s">
        <v>9595</v>
      </c>
      <c r="N1831" t="s">
        <v>847</v>
      </c>
      <c r="O1831" t="s">
        <v>100</v>
      </c>
      <c r="P1831" t="s">
        <v>9596</v>
      </c>
      <c r="Q1831" t="s">
        <v>69</v>
      </c>
      <c r="R1831" t="s">
        <v>144</v>
      </c>
      <c r="S1831">
        <v>1</v>
      </c>
      <c r="T1831">
        <v>3753</v>
      </c>
      <c r="U1831">
        <v>0</v>
      </c>
      <c r="V1831">
        <v>3753</v>
      </c>
    </row>
    <row r="1832" spans="1:22" x14ac:dyDescent="0.3">
      <c r="A1832">
        <v>187830</v>
      </c>
      <c r="B1832">
        <v>135715625</v>
      </c>
      <c r="C1832" t="s">
        <v>9597</v>
      </c>
      <c r="D1832" t="s">
        <v>9598</v>
      </c>
      <c r="E1832" t="s">
        <v>8703</v>
      </c>
      <c r="F1832" t="s">
        <v>844</v>
      </c>
      <c r="G1832" t="s">
        <v>164</v>
      </c>
      <c r="H1832" t="s">
        <v>165</v>
      </c>
      <c r="I1832" t="s">
        <v>34</v>
      </c>
      <c r="J1832" t="s">
        <v>166</v>
      </c>
      <c r="K1832" t="s">
        <v>41</v>
      </c>
      <c r="L1832" t="s">
        <v>9599</v>
      </c>
      <c r="M1832" t="s">
        <v>9600</v>
      </c>
      <c r="N1832" t="s">
        <v>847</v>
      </c>
      <c r="O1832" t="s">
        <v>100</v>
      </c>
      <c r="P1832" t="s">
        <v>9601</v>
      </c>
      <c r="Q1832" t="s">
        <v>80</v>
      </c>
      <c r="R1832" t="s">
        <v>610</v>
      </c>
      <c r="S1832">
        <v>1</v>
      </c>
      <c r="T1832">
        <v>3753</v>
      </c>
      <c r="U1832">
        <v>0</v>
      </c>
      <c r="V1832">
        <v>3753</v>
      </c>
    </row>
    <row r="1833" spans="1:22" x14ac:dyDescent="0.3">
      <c r="A1833">
        <v>187830</v>
      </c>
      <c r="B1833">
        <v>135850345</v>
      </c>
      <c r="C1833" t="s">
        <v>9602</v>
      </c>
      <c r="D1833" t="s">
        <v>9603</v>
      </c>
      <c r="E1833" t="s">
        <v>8703</v>
      </c>
      <c r="F1833" t="s">
        <v>844</v>
      </c>
      <c r="G1833" t="s">
        <v>164</v>
      </c>
      <c r="H1833" t="s">
        <v>165</v>
      </c>
      <c r="I1833" t="s">
        <v>34</v>
      </c>
      <c r="J1833" t="s">
        <v>166</v>
      </c>
      <c r="K1833" t="s">
        <v>41</v>
      </c>
      <c r="L1833" t="s">
        <v>9604</v>
      </c>
      <c r="M1833" t="s">
        <v>9605</v>
      </c>
      <c r="N1833" t="s">
        <v>847</v>
      </c>
      <c r="O1833" t="s">
        <v>100</v>
      </c>
      <c r="P1833" t="s">
        <v>9606</v>
      </c>
      <c r="Q1833" t="s">
        <v>92</v>
      </c>
      <c r="R1833" t="s">
        <v>608</v>
      </c>
      <c r="S1833">
        <v>1</v>
      </c>
      <c r="T1833">
        <v>3366</v>
      </c>
      <c r="U1833">
        <v>0</v>
      </c>
      <c r="V1833">
        <v>3366</v>
      </c>
    </row>
    <row r="1834" spans="1:22" x14ac:dyDescent="0.3">
      <c r="A1834">
        <v>187830</v>
      </c>
      <c r="B1834">
        <v>135986227</v>
      </c>
      <c r="C1834" t="s">
        <v>9607</v>
      </c>
      <c r="D1834" t="s">
        <v>9608</v>
      </c>
      <c r="E1834" t="s">
        <v>8703</v>
      </c>
      <c r="F1834" t="s">
        <v>844</v>
      </c>
      <c r="G1834" t="s">
        <v>164</v>
      </c>
      <c r="H1834" t="s">
        <v>165</v>
      </c>
      <c r="I1834" t="s">
        <v>34</v>
      </c>
      <c r="J1834" t="s">
        <v>166</v>
      </c>
      <c r="K1834" t="s">
        <v>41</v>
      </c>
      <c r="L1834" t="s">
        <v>9609</v>
      </c>
      <c r="M1834" t="s">
        <v>9610</v>
      </c>
      <c r="N1834" t="s">
        <v>847</v>
      </c>
      <c r="O1834" t="s">
        <v>100</v>
      </c>
      <c r="P1834" t="s">
        <v>9611</v>
      </c>
      <c r="Q1834" t="s">
        <v>83</v>
      </c>
      <c r="R1834" t="s">
        <v>611</v>
      </c>
      <c r="S1834">
        <v>1</v>
      </c>
      <c r="T1834">
        <v>3366</v>
      </c>
      <c r="U1834">
        <v>0</v>
      </c>
      <c r="V1834">
        <v>3366</v>
      </c>
    </row>
    <row r="1835" spans="1:22" x14ac:dyDescent="0.3">
      <c r="A1835">
        <v>187830</v>
      </c>
      <c r="B1835">
        <v>136365364</v>
      </c>
      <c r="C1835" t="s">
        <v>9612</v>
      </c>
      <c r="D1835" t="s">
        <v>9613</v>
      </c>
      <c r="E1835" t="s">
        <v>8703</v>
      </c>
      <c r="F1835" t="s">
        <v>844</v>
      </c>
      <c r="G1835" t="s">
        <v>164</v>
      </c>
      <c r="H1835" t="s">
        <v>165</v>
      </c>
      <c r="I1835" t="s">
        <v>34</v>
      </c>
      <c r="J1835" t="s">
        <v>166</v>
      </c>
      <c r="K1835" t="s">
        <v>41</v>
      </c>
      <c r="L1835" t="s">
        <v>9614</v>
      </c>
      <c r="M1835" t="s">
        <v>665</v>
      </c>
      <c r="N1835" t="s">
        <v>847</v>
      </c>
      <c r="O1835" t="s">
        <v>100</v>
      </c>
      <c r="P1835" t="s">
        <v>9615</v>
      </c>
      <c r="Q1835" t="s">
        <v>70</v>
      </c>
      <c r="R1835" t="s">
        <v>9557</v>
      </c>
      <c r="S1835">
        <v>1.63</v>
      </c>
      <c r="T1835">
        <v>3501</v>
      </c>
      <c r="U1835">
        <v>0</v>
      </c>
      <c r="V1835">
        <v>3501</v>
      </c>
    </row>
    <row r="1836" spans="1:22" x14ac:dyDescent="0.3">
      <c r="A1836">
        <v>187830</v>
      </c>
      <c r="B1836">
        <v>135850359</v>
      </c>
      <c r="C1836" t="s">
        <v>9616</v>
      </c>
      <c r="D1836" t="s">
        <v>9617</v>
      </c>
      <c r="E1836" t="s">
        <v>8703</v>
      </c>
      <c r="F1836" t="s">
        <v>844</v>
      </c>
      <c r="G1836" t="s">
        <v>164</v>
      </c>
      <c r="H1836" t="s">
        <v>165</v>
      </c>
      <c r="I1836" t="s">
        <v>34</v>
      </c>
      <c r="J1836" t="s">
        <v>166</v>
      </c>
      <c r="K1836" t="s">
        <v>41</v>
      </c>
      <c r="L1836" t="s">
        <v>9618</v>
      </c>
      <c r="M1836" t="s">
        <v>9619</v>
      </c>
      <c r="N1836" t="s">
        <v>847</v>
      </c>
      <c r="O1836" t="s">
        <v>100</v>
      </c>
      <c r="P1836" t="s">
        <v>9620</v>
      </c>
      <c r="Q1836" t="s">
        <v>71</v>
      </c>
      <c r="R1836" t="s">
        <v>608</v>
      </c>
      <c r="S1836">
        <v>1</v>
      </c>
      <c r="T1836">
        <v>3501</v>
      </c>
      <c r="U1836">
        <v>0</v>
      </c>
      <c r="V1836">
        <v>3501</v>
      </c>
    </row>
    <row r="1837" spans="1:22" x14ac:dyDescent="0.3">
      <c r="A1837">
        <v>187830</v>
      </c>
      <c r="B1837">
        <v>135789649</v>
      </c>
      <c r="C1837" t="s">
        <v>9621</v>
      </c>
      <c r="D1837" t="s">
        <v>9622</v>
      </c>
      <c r="E1837" t="s">
        <v>8703</v>
      </c>
      <c r="F1837" t="s">
        <v>844</v>
      </c>
      <c r="G1837" t="s">
        <v>164</v>
      </c>
      <c r="H1837" t="s">
        <v>165</v>
      </c>
      <c r="I1837" t="s">
        <v>34</v>
      </c>
      <c r="J1837" t="s">
        <v>166</v>
      </c>
      <c r="K1837" t="s">
        <v>41</v>
      </c>
      <c r="L1837" t="s">
        <v>9623</v>
      </c>
      <c r="M1837" t="s">
        <v>8990</v>
      </c>
      <c r="N1837" t="s">
        <v>847</v>
      </c>
      <c r="O1837" t="s">
        <v>100</v>
      </c>
      <c r="P1837" t="s">
        <v>8991</v>
      </c>
      <c r="Q1837" t="s">
        <v>71</v>
      </c>
      <c r="R1837" t="s">
        <v>400</v>
      </c>
      <c r="S1837">
        <v>2.1</v>
      </c>
      <c r="T1837">
        <v>3501</v>
      </c>
      <c r="U1837">
        <v>0</v>
      </c>
      <c r="V1837">
        <v>3501</v>
      </c>
    </row>
    <row r="1838" spans="1:22" x14ac:dyDescent="0.3">
      <c r="A1838">
        <v>187830</v>
      </c>
      <c r="B1838">
        <v>135715633</v>
      </c>
      <c r="C1838" t="s">
        <v>9624</v>
      </c>
      <c r="D1838" t="s">
        <v>9625</v>
      </c>
      <c r="E1838" t="s">
        <v>8703</v>
      </c>
      <c r="F1838" t="s">
        <v>844</v>
      </c>
      <c r="G1838" t="s">
        <v>164</v>
      </c>
      <c r="H1838" t="s">
        <v>165</v>
      </c>
      <c r="I1838" t="s">
        <v>34</v>
      </c>
      <c r="J1838" t="s">
        <v>166</v>
      </c>
      <c r="K1838" t="s">
        <v>41</v>
      </c>
      <c r="L1838" t="s">
        <v>9626</v>
      </c>
      <c r="M1838" t="s">
        <v>9627</v>
      </c>
      <c r="N1838" t="s">
        <v>847</v>
      </c>
      <c r="O1838" t="s">
        <v>100</v>
      </c>
      <c r="P1838" t="s">
        <v>9628</v>
      </c>
      <c r="Q1838" t="s">
        <v>69</v>
      </c>
      <c r="R1838" t="s">
        <v>610</v>
      </c>
      <c r="S1838">
        <v>1</v>
      </c>
      <c r="T1838">
        <v>3753</v>
      </c>
      <c r="U1838">
        <v>0</v>
      </c>
      <c r="V1838">
        <v>3753</v>
      </c>
    </row>
    <row r="1839" spans="1:22" x14ac:dyDescent="0.3">
      <c r="A1839">
        <v>187830</v>
      </c>
      <c r="B1839">
        <v>136109040</v>
      </c>
      <c r="C1839" t="s">
        <v>9629</v>
      </c>
      <c r="D1839" t="s">
        <v>9630</v>
      </c>
      <c r="E1839" t="s">
        <v>8703</v>
      </c>
      <c r="F1839" t="s">
        <v>844</v>
      </c>
      <c r="G1839" t="s">
        <v>164</v>
      </c>
      <c r="H1839" t="s">
        <v>165</v>
      </c>
      <c r="I1839" t="s">
        <v>34</v>
      </c>
      <c r="J1839" t="s">
        <v>166</v>
      </c>
      <c r="K1839" t="s">
        <v>41</v>
      </c>
      <c r="L1839" t="s">
        <v>9631</v>
      </c>
      <c r="M1839" t="s">
        <v>9632</v>
      </c>
      <c r="N1839" t="s">
        <v>847</v>
      </c>
      <c r="O1839" t="s">
        <v>100</v>
      </c>
      <c r="P1839" t="s">
        <v>9633</v>
      </c>
      <c r="Q1839" t="s">
        <v>91</v>
      </c>
      <c r="R1839" t="s">
        <v>9147</v>
      </c>
      <c r="S1839">
        <v>1.67</v>
      </c>
      <c r="T1839">
        <v>3870</v>
      </c>
      <c r="U1839">
        <v>0</v>
      </c>
      <c r="V1839">
        <v>3870</v>
      </c>
    </row>
    <row r="1840" spans="1:22" x14ac:dyDescent="0.3">
      <c r="A1840">
        <v>187830</v>
      </c>
      <c r="B1840">
        <v>136466041</v>
      </c>
      <c r="C1840" t="s">
        <v>9634</v>
      </c>
      <c r="D1840" t="s">
        <v>9635</v>
      </c>
      <c r="E1840" t="s">
        <v>8703</v>
      </c>
      <c r="F1840" t="s">
        <v>844</v>
      </c>
      <c r="G1840" t="s">
        <v>164</v>
      </c>
      <c r="H1840" t="s">
        <v>165</v>
      </c>
      <c r="I1840" t="s">
        <v>34</v>
      </c>
      <c r="J1840" t="s">
        <v>166</v>
      </c>
      <c r="K1840" t="s">
        <v>41</v>
      </c>
      <c r="L1840" t="s">
        <v>9636</v>
      </c>
      <c r="M1840" t="s">
        <v>451</v>
      </c>
      <c r="N1840" t="s">
        <v>847</v>
      </c>
      <c r="O1840" t="s">
        <v>100</v>
      </c>
      <c r="P1840" t="s">
        <v>9637</v>
      </c>
      <c r="Q1840" t="s">
        <v>50</v>
      </c>
      <c r="R1840" t="s">
        <v>9638</v>
      </c>
      <c r="S1840">
        <v>1.42</v>
      </c>
      <c r="T1840">
        <v>3784</v>
      </c>
      <c r="U1840">
        <v>0</v>
      </c>
      <c r="V1840">
        <v>3784</v>
      </c>
    </row>
    <row r="1841" spans="1:22" x14ac:dyDescent="0.3">
      <c r="A1841">
        <v>187830</v>
      </c>
      <c r="B1841">
        <v>136273960</v>
      </c>
      <c r="C1841" t="s">
        <v>9639</v>
      </c>
      <c r="D1841" t="s">
        <v>9640</v>
      </c>
      <c r="E1841" t="s">
        <v>8703</v>
      </c>
      <c r="F1841" t="s">
        <v>844</v>
      </c>
      <c r="G1841" t="s">
        <v>164</v>
      </c>
      <c r="H1841" t="s">
        <v>165</v>
      </c>
      <c r="I1841" t="s">
        <v>34</v>
      </c>
      <c r="J1841" t="s">
        <v>166</v>
      </c>
      <c r="K1841" t="s">
        <v>41</v>
      </c>
      <c r="L1841" t="s">
        <v>9641</v>
      </c>
      <c r="M1841" t="s">
        <v>9289</v>
      </c>
      <c r="N1841" t="s">
        <v>847</v>
      </c>
      <c r="O1841" t="s">
        <v>100</v>
      </c>
      <c r="P1841" t="s">
        <v>9290</v>
      </c>
      <c r="Q1841" t="s">
        <v>652</v>
      </c>
      <c r="R1841" t="s">
        <v>785</v>
      </c>
      <c r="S1841">
        <v>1</v>
      </c>
      <c r="T1841">
        <v>3753</v>
      </c>
      <c r="U1841">
        <v>0</v>
      </c>
      <c r="V1841">
        <v>3753</v>
      </c>
    </row>
    <row r="1842" spans="1:22" x14ac:dyDescent="0.3">
      <c r="A1842">
        <v>187830</v>
      </c>
      <c r="B1842">
        <v>135667715</v>
      </c>
      <c r="C1842" t="s">
        <v>9642</v>
      </c>
      <c r="D1842" t="s">
        <v>9643</v>
      </c>
      <c r="E1842" t="s">
        <v>8703</v>
      </c>
      <c r="F1842" t="s">
        <v>844</v>
      </c>
      <c r="G1842" t="s">
        <v>164</v>
      </c>
      <c r="H1842" t="s">
        <v>165</v>
      </c>
      <c r="I1842" t="s">
        <v>34</v>
      </c>
      <c r="J1842" t="s">
        <v>166</v>
      </c>
      <c r="K1842" t="s">
        <v>41</v>
      </c>
      <c r="L1842" t="s">
        <v>9644</v>
      </c>
      <c r="M1842" t="s">
        <v>9645</v>
      </c>
      <c r="N1842" t="s">
        <v>847</v>
      </c>
      <c r="O1842" t="s">
        <v>100</v>
      </c>
      <c r="P1842" t="s">
        <v>9646</v>
      </c>
      <c r="Q1842" t="s">
        <v>43</v>
      </c>
      <c r="R1842" t="s">
        <v>9087</v>
      </c>
      <c r="S1842">
        <v>1.71</v>
      </c>
      <c r="T1842">
        <v>3753</v>
      </c>
      <c r="U1842">
        <v>0</v>
      </c>
      <c r="V1842">
        <v>3753</v>
      </c>
    </row>
    <row r="1843" spans="1:22" x14ac:dyDescent="0.3">
      <c r="A1843">
        <v>187830</v>
      </c>
      <c r="B1843">
        <v>136273950</v>
      </c>
      <c r="C1843" t="s">
        <v>9647</v>
      </c>
      <c r="D1843" t="s">
        <v>9648</v>
      </c>
      <c r="E1843" t="s">
        <v>8703</v>
      </c>
      <c r="F1843" t="s">
        <v>844</v>
      </c>
      <c r="G1843" t="s">
        <v>164</v>
      </c>
      <c r="H1843" t="s">
        <v>165</v>
      </c>
      <c r="I1843" t="s">
        <v>34</v>
      </c>
      <c r="J1843" t="s">
        <v>166</v>
      </c>
      <c r="K1843" t="s">
        <v>41</v>
      </c>
      <c r="L1843" t="s">
        <v>9649</v>
      </c>
      <c r="M1843" t="s">
        <v>9650</v>
      </c>
      <c r="N1843" t="s">
        <v>847</v>
      </c>
      <c r="O1843" t="s">
        <v>100</v>
      </c>
      <c r="P1843" t="s">
        <v>9651</v>
      </c>
      <c r="Q1843" t="s">
        <v>43</v>
      </c>
      <c r="R1843" t="s">
        <v>785</v>
      </c>
      <c r="S1843">
        <v>1</v>
      </c>
      <c r="T1843">
        <v>3753</v>
      </c>
      <c r="U1843">
        <v>0</v>
      </c>
      <c r="V1843">
        <v>3753</v>
      </c>
    </row>
    <row r="1844" spans="1:22" x14ac:dyDescent="0.3">
      <c r="A1844">
        <v>187830</v>
      </c>
      <c r="B1844">
        <v>135986267</v>
      </c>
      <c r="C1844" t="s">
        <v>9652</v>
      </c>
      <c r="D1844" t="s">
        <v>9653</v>
      </c>
      <c r="E1844" t="s">
        <v>8703</v>
      </c>
      <c r="F1844" t="s">
        <v>844</v>
      </c>
      <c r="G1844" t="s">
        <v>164</v>
      </c>
      <c r="H1844" t="s">
        <v>165</v>
      </c>
      <c r="I1844" t="s">
        <v>34</v>
      </c>
      <c r="J1844" t="s">
        <v>166</v>
      </c>
      <c r="K1844" t="s">
        <v>41</v>
      </c>
      <c r="L1844" t="s">
        <v>9654</v>
      </c>
      <c r="M1844" t="s">
        <v>9655</v>
      </c>
      <c r="N1844" t="s">
        <v>847</v>
      </c>
      <c r="O1844" t="s">
        <v>100</v>
      </c>
      <c r="P1844" t="s">
        <v>9656</v>
      </c>
      <c r="Q1844" t="s">
        <v>43</v>
      </c>
      <c r="R1844" t="s">
        <v>611</v>
      </c>
      <c r="S1844">
        <v>1</v>
      </c>
      <c r="T1844">
        <v>3753</v>
      </c>
      <c r="U1844">
        <v>0</v>
      </c>
      <c r="V1844">
        <v>3753</v>
      </c>
    </row>
    <row r="1845" spans="1:22" x14ac:dyDescent="0.3">
      <c r="A1845">
        <v>187830</v>
      </c>
      <c r="B1845">
        <v>135667746</v>
      </c>
      <c r="C1845" t="s">
        <v>9657</v>
      </c>
      <c r="D1845" t="s">
        <v>9658</v>
      </c>
      <c r="E1845" t="s">
        <v>8703</v>
      </c>
      <c r="F1845" t="s">
        <v>844</v>
      </c>
      <c r="G1845" t="s">
        <v>164</v>
      </c>
      <c r="H1845" t="s">
        <v>165</v>
      </c>
      <c r="I1845" t="s">
        <v>34</v>
      </c>
      <c r="J1845" t="s">
        <v>166</v>
      </c>
      <c r="K1845" t="s">
        <v>41</v>
      </c>
      <c r="L1845" t="s">
        <v>9659</v>
      </c>
      <c r="M1845" t="s">
        <v>9660</v>
      </c>
      <c r="N1845" t="s">
        <v>847</v>
      </c>
      <c r="O1845" t="s">
        <v>100</v>
      </c>
      <c r="P1845" t="s">
        <v>9661</v>
      </c>
      <c r="Q1845" t="s">
        <v>43</v>
      </c>
      <c r="R1845" t="s">
        <v>9087</v>
      </c>
      <c r="S1845">
        <v>0.22</v>
      </c>
      <c r="T1845">
        <v>3680</v>
      </c>
      <c r="U1845">
        <v>0</v>
      </c>
      <c r="V1845">
        <v>3680</v>
      </c>
    </row>
    <row r="1846" spans="1:22" x14ac:dyDescent="0.3">
      <c r="A1846">
        <v>187830</v>
      </c>
      <c r="B1846">
        <v>135715574</v>
      </c>
      <c r="C1846" t="s">
        <v>9662</v>
      </c>
      <c r="D1846" t="s">
        <v>9663</v>
      </c>
      <c r="E1846" t="s">
        <v>8703</v>
      </c>
      <c r="F1846" t="s">
        <v>844</v>
      </c>
      <c r="G1846" t="s">
        <v>164</v>
      </c>
      <c r="H1846" t="s">
        <v>165</v>
      </c>
      <c r="I1846" t="s">
        <v>34</v>
      </c>
      <c r="J1846" t="s">
        <v>166</v>
      </c>
      <c r="K1846" t="s">
        <v>41</v>
      </c>
      <c r="L1846" t="s">
        <v>9664</v>
      </c>
      <c r="M1846" t="s">
        <v>9665</v>
      </c>
      <c r="N1846" t="s">
        <v>847</v>
      </c>
      <c r="O1846" t="s">
        <v>100</v>
      </c>
      <c r="P1846" t="s">
        <v>9666</v>
      </c>
      <c r="Q1846" t="s">
        <v>43</v>
      </c>
      <c r="R1846" t="s">
        <v>610</v>
      </c>
      <c r="S1846">
        <v>0.22</v>
      </c>
      <c r="T1846">
        <v>3680</v>
      </c>
      <c r="U1846">
        <v>0</v>
      </c>
      <c r="V1846">
        <v>3680</v>
      </c>
    </row>
    <row r="1847" spans="1:22" x14ac:dyDescent="0.3">
      <c r="A1847">
        <v>187830</v>
      </c>
      <c r="B1847">
        <v>135850339</v>
      </c>
      <c r="C1847" t="s">
        <v>9667</v>
      </c>
      <c r="D1847" t="s">
        <v>9668</v>
      </c>
      <c r="E1847" t="s">
        <v>8703</v>
      </c>
      <c r="F1847" t="s">
        <v>844</v>
      </c>
      <c r="G1847" t="s">
        <v>164</v>
      </c>
      <c r="H1847" t="s">
        <v>165</v>
      </c>
      <c r="I1847" t="s">
        <v>34</v>
      </c>
      <c r="J1847" t="s">
        <v>166</v>
      </c>
      <c r="K1847" t="s">
        <v>44</v>
      </c>
      <c r="L1847" t="s">
        <v>188</v>
      </c>
      <c r="M1847" t="s">
        <v>393</v>
      </c>
      <c r="N1847" t="s">
        <v>847</v>
      </c>
      <c r="O1847" t="s">
        <v>100</v>
      </c>
      <c r="P1847" t="s">
        <v>9669</v>
      </c>
      <c r="Q1847" t="s">
        <v>71</v>
      </c>
      <c r="R1847" t="s">
        <v>608</v>
      </c>
      <c r="S1847">
        <v>1</v>
      </c>
      <c r="T1847">
        <v>3501</v>
      </c>
      <c r="U1847">
        <v>0</v>
      </c>
      <c r="V1847">
        <v>3501</v>
      </c>
    </row>
    <row r="1848" spans="1:22" x14ac:dyDescent="0.3">
      <c r="A1848">
        <v>187830</v>
      </c>
      <c r="B1848">
        <v>135986271</v>
      </c>
      <c r="C1848" t="s">
        <v>9670</v>
      </c>
      <c r="D1848" t="s">
        <v>9671</v>
      </c>
      <c r="E1848" t="s">
        <v>8703</v>
      </c>
      <c r="F1848" t="s">
        <v>844</v>
      </c>
      <c r="G1848" t="s">
        <v>164</v>
      </c>
      <c r="H1848" t="s">
        <v>165</v>
      </c>
      <c r="I1848" t="s">
        <v>34</v>
      </c>
      <c r="J1848" t="s">
        <v>166</v>
      </c>
      <c r="K1848" t="s">
        <v>41</v>
      </c>
      <c r="L1848" t="s">
        <v>9672</v>
      </c>
      <c r="M1848" t="s">
        <v>9673</v>
      </c>
      <c r="N1848" t="s">
        <v>847</v>
      </c>
      <c r="O1848" t="s">
        <v>100</v>
      </c>
      <c r="P1848" t="s">
        <v>9674</v>
      </c>
      <c r="Q1848" t="s">
        <v>69</v>
      </c>
      <c r="R1848" t="s">
        <v>611</v>
      </c>
      <c r="S1848">
        <v>1.78</v>
      </c>
      <c r="T1848">
        <v>3753</v>
      </c>
      <c r="U1848">
        <v>0</v>
      </c>
      <c r="V1848">
        <v>3753</v>
      </c>
    </row>
    <row r="1849" spans="1:22" x14ac:dyDescent="0.3">
      <c r="A1849">
        <v>187830</v>
      </c>
      <c r="B1849">
        <v>136365362</v>
      </c>
      <c r="C1849" t="s">
        <v>9675</v>
      </c>
      <c r="D1849" t="s">
        <v>9676</v>
      </c>
      <c r="E1849" t="s">
        <v>8703</v>
      </c>
      <c r="F1849" t="s">
        <v>844</v>
      </c>
      <c r="G1849" t="s">
        <v>164</v>
      </c>
      <c r="H1849" t="s">
        <v>165</v>
      </c>
      <c r="I1849" t="s">
        <v>34</v>
      </c>
      <c r="J1849" t="s">
        <v>166</v>
      </c>
      <c r="K1849" t="s">
        <v>41</v>
      </c>
      <c r="L1849" t="s">
        <v>9677</v>
      </c>
      <c r="M1849" t="s">
        <v>9678</v>
      </c>
      <c r="N1849" t="s">
        <v>847</v>
      </c>
      <c r="O1849" t="s">
        <v>100</v>
      </c>
      <c r="P1849" t="s">
        <v>9679</v>
      </c>
      <c r="Q1849" t="s">
        <v>200</v>
      </c>
      <c r="R1849" t="s">
        <v>9557</v>
      </c>
      <c r="S1849">
        <v>0.22</v>
      </c>
      <c r="T1849">
        <v>3680</v>
      </c>
      <c r="U1849">
        <v>0</v>
      </c>
      <c r="V1849">
        <v>3680</v>
      </c>
    </row>
    <row r="1850" spans="1:22" x14ac:dyDescent="0.3">
      <c r="A1850">
        <v>187830</v>
      </c>
      <c r="B1850">
        <v>136365347</v>
      </c>
      <c r="C1850" t="s">
        <v>9680</v>
      </c>
      <c r="D1850" t="s">
        <v>9681</v>
      </c>
      <c r="E1850" t="s">
        <v>8703</v>
      </c>
      <c r="F1850" t="s">
        <v>844</v>
      </c>
      <c r="G1850" t="s">
        <v>164</v>
      </c>
      <c r="H1850" t="s">
        <v>165</v>
      </c>
      <c r="I1850" t="s">
        <v>34</v>
      </c>
      <c r="J1850" t="s">
        <v>166</v>
      </c>
      <c r="K1850" t="s">
        <v>41</v>
      </c>
      <c r="L1850" t="s">
        <v>9682</v>
      </c>
      <c r="M1850" t="s">
        <v>9683</v>
      </c>
      <c r="N1850" t="s">
        <v>847</v>
      </c>
      <c r="O1850" t="s">
        <v>100</v>
      </c>
      <c r="P1850" t="s">
        <v>9684</v>
      </c>
      <c r="Q1850" t="s">
        <v>69</v>
      </c>
      <c r="R1850" t="s">
        <v>9557</v>
      </c>
      <c r="S1850">
        <v>1</v>
      </c>
      <c r="T1850">
        <v>3753</v>
      </c>
      <c r="U1850">
        <v>0</v>
      </c>
      <c r="V1850">
        <v>3753</v>
      </c>
    </row>
    <row r="1851" spans="1:22" x14ac:dyDescent="0.3">
      <c r="A1851">
        <v>187830</v>
      </c>
      <c r="B1851">
        <v>136274015</v>
      </c>
      <c r="C1851" t="s">
        <v>9685</v>
      </c>
      <c r="D1851" t="s">
        <v>9686</v>
      </c>
      <c r="E1851" t="s">
        <v>8703</v>
      </c>
      <c r="F1851" t="s">
        <v>844</v>
      </c>
      <c r="G1851" t="s">
        <v>164</v>
      </c>
      <c r="H1851" t="s">
        <v>165</v>
      </c>
      <c r="I1851" t="s">
        <v>34</v>
      </c>
      <c r="J1851" t="s">
        <v>166</v>
      </c>
      <c r="K1851" t="s">
        <v>41</v>
      </c>
      <c r="L1851" t="s">
        <v>9687</v>
      </c>
      <c r="M1851" t="s">
        <v>9688</v>
      </c>
      <c r="N1851" t="s">
        <v>847</v>
      </c>
      <c r="O1851" t="s">
        <v>100</v>
      </c>
      <c r="P1851" t="s">
        <v>9689</v>
      </c>
      <c r="Q1851" t="s">
        <v>84</v>
      </c>
      <c r="R1851" t="s">
        <v>785</v>
      </c>
      <c r="S1851">
        <v>1</v>
      </c>
      <c r="T1851">
        <v>3366</v>
      </c>
      <c r="U1851">
        <v>0</v>
      </c>
      <c r="V1851">
        <v>3366</v>
      </c>
    </row>
    <row r="1852" spans="1:22" x14ac:dyDescent="0.3">
      <c r="A1852">
        <v>187830</v>
      </c>
      <c r="B1852">
        <v>135715653</v>
      </c>
      <c r="C1852" t="s">
        <v>9690</v>
      </c>
      <c r="D1852" t="s">
        <v>9691</v>
      </c>
      <c r="E1852" t="s">
        <v>8703</v>
      </c>
      <c r="F1852" t="s">
        <v>844</v>
      </c>
      <c r="G1852" t="s">
        <v>164</v>
      </c>
      <c r="H1852" t="s">
        <v>165</v>
      </c>
      <c r="I1852" t="s">
        <v>34</v>
      </c>
      <c r="J1852" t="s">
        <v>166</v>
      </c>
      <c r="K1852" t="s">
        <v>41</v>
      </c>
      <c r="L1852" t="s">
        <v>9692</v>
      </c>
      <c r="M1852" t="s">
        <v>9693</v>
      </c>
      <c r="N1852" t="s">
        <v>847</v>
      </c>
      <c r="O1852" t="s">
        <v>100</v>
      </c>
      <c r="P1852" t="s">
        <v>9694</v>
      </c>
      <c r="Q1852" t="s">
        <v>98</v>
      </c>
      <c r="R1852" t="s">
        <v>610</v>
      </c>
      <c r="S1852">
        <v>0.22</v>
      </c>
      <c r="T1852">
        <v>3299</v>
      </c>
      <c r="U1852">
        <v>0</v>
      </c>
      <c r="V1852">
        <v>3299</v>
      </c>
    </row>
    <row r="1853" spans="1:22" x14ac:dyDescent="0.3">
      <c r="A1853">
        <v>187830</v>
      </c>
      <c r="B1853">
        <v>136274080</v>
      </c>
      <c r="C1853" t="s">
        <v>9695</v>
      </c>
      <c r="D1853" t="s">
        <v>9696</v>
      </c>
      <c r="E1853" t="s">
        <v>8703</v>
      </c>
      <c r="F1853" t="s">
        <v>844</v>
      </c>
      <c r="G1853" t="s">
        <v>164</v>
      </c>
      <c r="H1853" t="s">
        <v>165</v>
      </c>
      <c r="I1853" t="s">
        <v>34</v>
      </c>
      <c r="J1853" t="s">
        <v>166</v>
      </c>
      <c r="K1853" t="s">
        <v>41</v>
      </c>
      <c r="L1853" t="s">
        <v>9697</v>
      </c>
      <c r="M1853" t="s">
        <v>9698</v>
      </c>
      <c r="N1853" t="s">
        <v>847</v>
      </c>
      <c r="O1853" t="s">
        <v>100</v>
      </c>
      <c r="P1853" t="s">
        <v>9699</v>
      </c>
      <c r="Q1853" t="s">
        <v>50</v>
      </c>
      <c r="R1853" t="s">
        <v>144</v>
      </c>
      <c r="S1853">
        <v>1</v>
      </c>
      <c r="T1853">
        <v>3784</v>
      </c>
      <c r="U1853">
        <v>0</v>
      </c>
      <c r="V1853">
        <v>3784</v>
      </c>
    </row>
    <row r="1854" spans="1:22" x14ac:dyDescent="0.3">
      <c r="A1854">
        <v>187830</v>
      </c>
      <c r="B1854">
        <v>136200082</v>
      </c>
      <c r="C1854" t="s">
        <v>9700</v>
      </c>
      <c r="D1854" t="s">
        <v>9701</v>
      </c>
      <c r="E1854" t="s">
        <v>8703</v>
      </c>
      <c r="F1854" t="s">
        <v>844</v>
      </c>
      <c r="G1854" t="s">
        <v>164</v>
      </c>
      <c r="H1854" t="s">
        <v>165</v>
      </c>
      <c r="I1854" t="s">
        <v>34</v>
      </c>
      <c r="J1854" t="s">
        <v>166</v>
      </c>
      <c r="K1854" t="s">
        <v>41</v>
      </c>
      <c r="L1854" t="s">
        <v>9702</v>
      </c>
      <c r="M1854" t="s">
        <v>9703</v>
      </c>
      <c r="N1854" t="s">
        <v>847</v>
      </c>
      <c r="O1854" t="s">
        <v>100</v>
      </c>
      <c r="P1854" t="s">
        <v>9704</v>
      </c>
      <c r="Q1854" t="s">
        <v>50</v>
      </c>
      <c r="R1854" t="s">
        <v>9391</v>
      </c>
      <c r="S1854">
        <v>1</v>
      </c>
      <c r="T1854">
        <v>3784</v>
      </c>
      <c r="U1854">
        <v>0</v>
      </c>
      <c r="V1854">
        <v>3784</v>
      </c>
    </row>
    <row r="1855" spans="1:22" x14ac:dyDescent="0.3">
      <c r="A1855">
        <v>187830</v>
      </c>
      <c r="B1855">
        <v>135986260</v>
      </c>
      <c r="C1855" t="s">
        <v>9705</v>
      </c>
      <c r="D1855" t="s">
        <v>9706</v>
      </c>
      <c r="E1855" t="s">
        <v>8703</v>
      </c>
      <c r="F1855" t="s">
        <v>844</v>
      </c>
      <c r="G1855" t="s">
        <v>164</v>
      </c>
      <c r="H1855" t="s">
        <v>165</v>
      </c>
      <c r="I1855" t="s">
        <v>34</v>
      </c>
      <c r="J1855" t="s">
        <v>166</v>
      </c>
      <c r="K1855" t="s">
        <v>41</v>
      </c>
      <c r="L1855" t="s">
        <v>9707</v>
      </c>
      <c r="M1855" t="s">
        <v>9708</v>
      </c>
      <c r="N1855" t="s">
        <v>847</v>
      </c>
      <c r="O1855" t="s">
        <v>100</v>
      </c>
      <c r="P1855" t="s">
        <v>9709</v>
      </c>
      <c r="Q1855" t="s">
        <v>95</v>
      </c>
      <c r="R1855" t="s">
        <v>611</v>
      </c>
      <c r="S1855">
        <v>1</v>
      </c>
      <c r="T1855">
        <v>6729</v>
      </c>
      <c r="U1855">
        <v>0</v>
      </c>
      <c r="V1855">
        <v>6729</v>
      </c>
    </row>
    <row r="1856" spans="1:22" x14ac:dyDescent="0.3">
      <c r="A1856">
        <v>187830</v>
      </c>
      <c r="B1856">
        <v>136109031</v>
      </c>
      <c r="C1856" t="s">
        <v>9710</v>
      </c>
      <c r="D1856" t="s">
        <v>9711</v>
      </c>
      <c r="E1856" t="s">
        <v>8703</v>
      </c>
      <c r="F1856" t="s">
        <v>844</v>
      </c>
      <c r="G1856" t="s">
        <v>164</v>
      </c>
      <c r="H1856" t="s">
        <v>165</v>
      </c>
      <c r="I1856" t="s">
        <v>34</v>
      </c>
      <c r="J1856" t="s">
        <v>166</v>
      </c>
      <c r="K1856" t="s">
        <v>41</v>
      </c>
      <c r="L1856" t="s">
        <v>9712</v>
      </c>
      <c r="M1856" t="s">
        <v>9713</v>
      </c>
      <c r="N1856" t="s">
        <v>847</v>
      </c>
      <c r="O1856" t="s">
        <v>100</v>
      </c>
      <c r="P1856" t="s">
        <v>9714</v>
      </c>
      <c r="Q1856" t="s">
        <v>77</v>
      </c>
      <c r="R1856" t="s">
        <v>9147</v>
      </c>
      <c r="S1856">
        <v>1</v>
      </c>
      <c r="T1856">
        <v>7506</v>
      </c>
      <c r="U1856">
        <v>0</v>
      </c>
      <c r="V1856">
        <v>7506</v>
      </c>
    </row>
    <row r="1857" spans="1:22" x14ac:dyDescent="0.3">
      <c r="A1857">
        <v>187830</v>
      </c>
      <c r="B1857">
        <v>135051588</v>
      </c>
      <c r="C1857" t="s">
        <v>9715</v>
      </c>
      <c r="D1857" t="s">
        <v>9716</v>
      </c>
      <c r="E1857" t="s">
        <v>8703</v>
      </c>
      <c r="F1857" t="s">
        <v>844</v>
      </c>
      <c r="G1857" t="s">
        <v>164</v>
      </c>
      <c r="H1857" t="s">
        <v>165</v>
      </c>
      <c r="I1857" t="s">
        <v>34</v>
      </c>
      <c r="J1857" t="s">
        <v>166</v>
      </c>
      <c r="K1857" t="s">
        <v>41</v>
      </c>
      <c r="L1857" t="s">
        <v>9717</v>
      </c>
      <c r="M1857" t="s">
        <v>9718</v>
      </c>
      <c r="N1857" t="s">
        <v>847</v>
      </c>
      <c r="O1857" t="s">
        <v>100</v>
      </c>
      <c r="P1857" t="s">
        <v>9719</v>
      </c>
      <c r="Q1857" t="s">
        <v>69</v>
      </c>
      <c r="R1857" t="s">
        <v>9720</v>
      </c>
      <c r="S1857">
        <v>0.95</v>
      </c>
      <c r="T1857">
        <v>3753</v>
      </c>
      <c r="U1857">
        <v>0</v>
      </c>
      <c r="V1857">
        <v>3753</v>
      </c>
    </row>
    <row r="1858" spans="1:22" x14ac:dyDescent="0.3">
      <c r="A1858">
        <v>187830</v>
      </c>
      <c r="B1858">
        <v>135986276</v>
      </c>
      <c r="C1858" t="s">
        <v>9721</v>
      </c>
      <c r="D1858" t="s">
        <v>9722</v>
      </c>
      <c r="E1858" t="s">
        <v>8703</v>
      </c>
      <c r="F1858" t="s">
        <v>844</v>
      </c>
      <c r="G1858" t="s">
        <v>164</v>
      </c>
      <c r="H1858" t="s">
        <v>165</v>
      </c>
      <c r="I1858" t="s">
        <v>34</v>
      </c>
      <c r="J1858" t="s">
        <v>166</v>
      </c>
      <c r="K1858" t="s">
        <v>41</v>
      </c>
      <c r="L1858" t="s">
        <v>9723</v>
      </c>
      <c r="M1858" t="s">
        <v>9724</v>
      </c>
      <c r="N1858" t="s">
        <v>847</v>
      </c>
      <c r="O1858" t="s">
        <v>100</v>
      </c>
      <c r="P1858" t="s">
        <v>9725</v>
      </c>
      <c r="Q1858" t="s">
        <v>71</v>
      </c>
      <c r="R1858" t="s">
        <v>611</v>
      </c>
      <c r="S1858">
        <v>2.06</v>
      </c>
      <c r="T1858">
        <v>3501</v>
      </c>
      <c r="U1858">
        <v>0</v>
      </c>
      <c r="V1858">
        <v>3501</v>
      </c>
    </row>
    <row r="1859" spans="1:22" x14ac:dyDescent="0.3">
      <c r="A1859">
        <v>187830</v>
      </c>
      <c r="B1859">
        <v>135986268</v>
      </c>
      <c r="C1859" t="s">
        <v>9726</v>
      </c>
      <c r="D1859" t="s">
        <v>9727</v>
      </c>
      <c r="E1859" t="s">
        <v>8703</v>
      </c>
      <c r="F1859" t="s">
        <v>844</v>
      </c>
      <c r="G1859" t="s">
        <v>164</v>
      </c>
      <c r="H1859" t="s">
        <v>165</v>
      </c>
      <c r="I1859" t="s">
        <v>34</v>
      </c>
      <c r="J1859" t="s">
        <v>166</v>
      </c>
      <c r="K1859" t="s">
        <v>41</v>
      </c>
      <c r="L1859" t="s">
        <v>9728</v>
      </c>
      <c r="M1859" t="s">
        <v>9729</v>
      </c>
      <c r="N1859" t="s">
        <v>847</v>
      </c>
      <c r="O1859" t="s">
        <v>100</v>
      </c>
      <c r="P1859" t="s">
        <v>9730</v>
      </c>
      <c r="Q1859" t="s">
        <v>76</v>
      </c>
      <c r="R1859" t="s">
        <v>611</v>
      </c>
      <c r="S1859">
        <v>1.73</v>
      </c>
      <c r="T1859">
        <v>3753</v>
      </c>
      <c r="U1859">
        <v>0</v>
      </c>
      <c r="V1859">
        <v>3753</v>
      </c>
    </row>
    <row r="1860" spans="1:22" x14ac:dyDescent="0.3">
      <c r="A1860">
        <v>187830</v>
      </c>
      <c r="B1860">
        <v>135850382</v>
      </c>
      <c r="C1860" t="s">
        <v>9731</v>
      </c>
      <c r="D1860" t="s">
        <v>9732</v>
      </c>
      <c r="E1860" t="s">
        <v>8703</v>
      </c>
      <c r="F1860" t="s">
        <v>844</v>
      </c>
      <c r="G1860" t="s">
        <v>164</v>
      </c>
      <c r="H1860" t="s">
        <v>165</v>
      </c>
      <c r="I1860" t="s">
        <v>34</v>
      </c>
      <c r="J1860" t="s">
        <v>166</v>
      </c>
      <c r="K1860" t="s">
        <v>41</v>
      </c>
      <c r="L1860" t="s">
        <v>9733</v>
      </c>
      <c r="M1860" t="s">
        <v>9734</v>
      </c>
      <c r="N1860" t="s">
        <v>847</v>
      </c>
      <c r="O1860" t="s">
        <v>100</v>
      </c>
      <c r="P1860" t="s">
        <v>9735</v>
      </c>
      <c r="Q1860" t="s">
        <v>84</v>
      </c>
      <c r="R1860" t="s">
        <v>608</v>
      </c>
      <c r="S1860">
        <v>2.36</v>
      </c>
      <c r="T1860">
        <v>3366</v>
      </c>
      <c r="U1860">
        <v>0</v>
      </c>
      <c r="V1860">
        <v>3366</v>
      </c>
    </row>
    <row r="1861" spans="1:22" x14ac:dyDescent="0.3">
      <c r="A1861">
        <v>187830</v>
      </c>
      <c r="B1861">
        <v>135789672</v>
      </c>
      <c r="C1861" t="s">
        <v>9736</v>
      </c>
      <c r="D1861" t="s">
        <v>9737</v>
      </c>
      <c r="E1861" t="s">
        <v>8703</v>
      </c>
      <c r="F1861" t="s">
        <v>844</v>
      </c>
      <c r="G1861" t="s">
        <v>164</v>
      </c>
      <c r="H1861" t="s">
        <v>165</v>
      </c>
      <c r="I1861" t="s">
        <v>34</v>
      </c>
      <c r="J1861" t="s">
        <v>166</v>
      </c>
      <c r="K1861" t="s">
        <v>41</v>
      </c>
      <c r="L1861" t="s">
        <v>9738</v>
      </c>
      <c r="M1861" t="s">
        <v>9739</v>
      </c>
      <c r="N1861" t="s">
        <v>847</v>
      </c>
      <c r="O1861" t="s">
        <v>100</v>
      </c>
      <c r="P1861" t="s">
        <v>9740</v>
      </c>
      <c r="Q1861" t="s">
        <v>307</v>
      </c>
      <c r="R1861" t="s">
        <v>701</v>
      </c>
      <c r="S1861">
        <v>3.31</v>
      </c>
      <c r="T1861">
        <v>4456</v>
      </c>
      <c r="U1861">
        <v>0</v>
      </c>
      <c r="V1861">
        <v>4456</v>
      </c>
    </row>
    <row r="1862" spans="1:22" x14ac:dyDescent="0.3">
      <c r="A1862">
        <v>187830</v>
      </c>
      <c r="B1862">
        <v>135986272</v>
      </c>
      <c r="C1862" t="s">
        <v>9741</v>
      </c>
      <c r="D1862" t="s">
        <v>9742</v>
      </c>
      <c r="E1862" t="s">
        <v>8703</v>
      </c>
      <c r="F1862" t="s">
        <v>844</v>
      </c>
      <c r="G1862" t="s">
        <v>164</v>
      </c>
      <c r="H1862" t="s">
        <v>165</v>
      </c>
      <c r="I1862" t="s">
        <v>34</v>
      </c>
      <c r="J1862" t="s">
        <v>166</v>
      </c>
      <c r="K1862" t="s">
        <v>41</v>
      </c>
      <c r="L1862" t="s">
        <v>9743</v>
      </c>
      <c r="M1862" t="s">
        <v>9744</v>
      </c>
      <c r="N1862" t="s">
        <v>847</v>
      </c>
      <c r="O1862" t="s">
        <v>100</v>
      </c>
      <c r="P1862" t="s">
        <v>9745</v>
      </c>
      <c r="Q1862" t="s">
        <v>97</v>
      </c>
      <c r="R1862" t="s">
        <v>611</v>
      </c>
      <c r="S1862">
        <v>2.42</v>
      </c>
      <c r="T1862">
        <v>3366</v>
      </c>
      <c r="U1862">
        <v>0</v>
      </c>
      <c r="V1862">
        <v>3366</v>
      </c>
    </row>
    <row r="1863" spans="1:22" x14ac:dyDescent="0.3">
      <c r="A1863">
        <v>187830</v>
      </c>
      <c r="B1863">
        <v>135986289</v>
      </c>
      <c r="C1863" t="s">
        <v>9746</v>
      </c>
      <c r="D1863" t="s">
        <v>9747</v>
      </c>
      <c r="E1863" t="s">
        <v>8703</v>
      </c>
      <c r="F1863" t="s">
        <v>844</v>
      </c>
      <c r="G1863" t="s">
        <v>164</v>
      </c>
      <c r="H1863" t="s">
        <v>165</v>
      </c>
      <c r="I1863" t="s">
        <v>34</v>
      </c>
      <c r="J1863" t="s">
        <v>166</v>
      </c>
      <c r="K1863" t="s">
        <v>41</v>
      </c>
      <c r="L1863" t="s">
        <v>9748</v>
      </c>
      <c r="M1863" t="s">
        <v>9749</v>
      </c>
      <c r="N1863" t="s">
        <v>847</v>
      </c>
      <c r="O1863" t="s">
        <v>100</v>
      </c>
      <c r="P1863" t="s">
        <v>9750</v>
      </c>
      <c r="Q1863" t="s">
        <v>577</v>
      </c>
      <c r="R1863" t="s">
        <v>611</v>
      </c>
      <c r="S1863">
        <v>1.75</v>
      </c>
      <c r="T1863">
        <v>3784</v>
      </c>
      <c r="U1863">
        <v>0</v>
      </c>
      <c r="V1863">
        <v>3784</v>
      </c>
    </row>
    <row r="1864" spans="1:22" x14ac:dyDescent="0.3">
      <c r="A1864">
        <v>187830</v>
      </c>
      <c r="B1864">
        <v>135850349</v>
      </c>
      <c r="C1864" t="s">
        <v>9751</v>
      </c>
      <c r="D1864" t="s">
        <v>9752</v>
      </c>
      <c r="E1864" t="s">
        <v>8703</v>
      </c>
      <c r="F1864" t="s">
        <v>844</v>
      </c>
      <c r="G1864" t="s">
        <v>164</v>
      </c>
      <c r="H1864" t="s">
        <v>165</v>
      </c>
      <c r="I1864" t="s">
        <v>34</v>
      </c>
      <c r="J1864" t="s">
        <v>166</v>
      </c>
      <c r="K1864" t="s">
        <v>41</v>
      </c>
      <c r="L1864" t="s">
        <v>9753</v>
      </c>
      <c r="M1864" t="s">
        <v>9754</v>
      </c>
      <c r="N1864" t="s">
        <v>847</v>
      </c>
      <c r="O1864" t="s">
        <v>100</v>
      </c>
      <c r="P1864" t="s">
        <v>9755</v>
      </c>
      <c r="Q1864" t="s">
        <v>43</v>
      </c>
      <c r="R1864" t="s">
        <v>608</v>
      </c>
      <c r="S1864">
        <v>1.83</v>
      </c>
      <c r="T1864">
        <v>3753</v>
      </c>
      <c r="U1864">
        <v>0</v>
      </c>
      <c r="V1864">
        <v>3753</v>
      </c>
    </row>
    <row r="1865" spans="1:22" x14ac:dyDescent="0.3">
      <c r="A1865">
        <v>187830</v>
      </c>
      <c r="B1865">
        <v>135906311</v>
      </c>
      <c r="C1865" t="s">
        <v>9756</v>
      </c>
      <c r="D1865" t="s">
        <v>9757</v>
      </c>
      <c r="E1865" t="s">
        <v>8703</v>
      </c>
      <c r="F1865" t="s">
        <v>844</v>
      </c>
      <c r="G1865" t="s">
        <v>164</v>
      </c>
      <c r="H1865" t="s">
        <v>165</v>
      </c>
      <c r="I1865" t="s">
        <v>34</v>
      </c>
      <c r="J1865" t="s">
        <v>166</v>
      </c>
      <c r="K1865" t="s">
        <v>41</v>
      </c>
      <c r="L1865" t="s">
        <v>9758</v>
      </c>
      <c r="M1865" t="s">
        <v>9759</v>
      </c>
      <c r="N1865" t="s">
        <v>847</v>
      </c>
      <c r="O1865" t="s">
        <v>100</v>
      </c>
      <c r="P1865" t="s">
        <v>9760</v>
      </c>
      <c r="Q1865" t="s">
        <v>84</v>
      </c>
      <c r="R1865" t="s">
        <v>612</v>
      </c>
      <c r="S1865">
        <v>1.01</v>
      </c>
      <c r="T1865">
        <v>3366</v>
      </c>
      <c r="U1865">
        <v>0</v>
      </c>
      <c r="V1865">
        <v>3366</v>
      </c>
    </row>
    <row r="1866" spans="1:22" x14ac:dyDescent="0.3">
      <c r="A1866">
        <v>187830</v>
      </c>
      <c r="B1866">
        <v>135906302</v>
      </c>
      <c r="C1866" t="s">
        <v>9761</v>
      </c>
      <c r="D1866" t="s">
        <v>9762</v>
      </c>
      <c r="E1866" t="s">
        <v>8703</v>
      </c>
      <c r="F1866" t="s">
        <v>844</v>
      </c>
      <c r="G1866" t="s">
        <v>164</v>
      </c>
      <c r="H1866" t="s">
        <v>165</v>
      </c>
      <c r="I1866" t="s">
        <v>34</v>
      </c>
      <c r="J1866" t="s">
        <v>166</v>
      </c>
      <c r="K1866" t="s">
        <v>41</v>
      </c>
      <c r="L1866" t="s">
        <v>9763</v>
      </c>
      <c r="M1866" t="s">
        <v>9764</v>
      </c>
      <c r="N1866" t="s">
        <v>847</v>
      </c>
      <c r="O1866" t="s">
        <v>100</v>
      </c>
      <c r="P1866" t="s">
        <v>9765</v>
      </c>
      <c r="Q1866" t="s">
        <v>92</v>
      </c>
      <c r="R1866" t="s">
        <v>612</v>
      </c>
      <c r="S1866">
        <v>0.67</v>
      </c>
      <c r="T1866">
        <v>3366</v>
      </c>
      <c r="U1866">
        <v>0</v>
      </c>
      <c r="V1866">
        <v>3366</v>
      </c>
    </row>
    <row r="1867" spans="1:22" x14ac:dyDescent="0.3">
      <c r="A1867">
        <v>187830</v>
      </c>
      <c r="B1867">
        <v>135850386</v>
      </c>
      <c r="C1867" t="s">
        <v>9766</v>
      </c>
      <c r="D1867" t="s">
        <v>9767</v>
      </c>
      <c r="E1867" t="s">
        <v>8703</v>
      </c>
      <c r="F1867" t="s">
        <v>844</v>
      </c>
      <c r="G1867" t="s">
        <v>164</v>
      </c>
      <c r="H1867" t="s">
        <v>165</v>
      </c>
      <c r="I1867" t="s">
        <v>34</v>
      </c>
      <c r="J1867" t="s">
        <v>166</v>
      </c>
      <c r="K1867" t="s">
        <v>41</v>
      </c>
      <c r="L1867" t="s">
        <v>9768</v>
      </c>
      <c r="M1867" t="s">
        <v>9769</v>
      </c>
      <c r="N1867" t="s">
        <v>847</v>
      </c>
      <c r="O1867" t="s">
        <v>100</v>
      </c>
      <c r="P1867" t="s">
        <v>9770</v>
      </c>
      <c r="Q1867" t="s">
        <v>84</v>
      </c>
      <c r="R1867" t="s">
        <v>608</v>
      </c>
      <c r="S1867">
        <v>2.25</v>
      </c>
      <c r="T1867">
        <v>3366</v>
      </c>
      <c r="U1867">
        <v>0</v>
      </c>
      <c r="V1867">
        <v>3366</v>
      </c>
    </row>
    <row r="1868" spans="1:22" x14ac:dyDescent="0.3">
      <c r="A1868">
        <v>187830</v>
      </c>
      <c r="B1868">
        <v>135906321</v>
      </c>
      <c r="C1868" t="s">
        <v>9771</v>
      </c>
      <c r="D1868" t="s">
        <v>9772</v>
      </c>
      <c r="E1868" t="s">
        <v>8703</v>
      </c>
      <c r="F1868" t="s">
        <v>844</v>
      </c>
      <c r="G1868" t="s">
        <v>164</v>
      </c>
      <c r="H1868" t="s">
        <v>165</v>
      </c>
      <c r="I1868" t="s">
        <v>34</v>
      </c>
      <c r="J1868" t="s">
        <v>166</v>
      </c>
      <c r="K1868" t="s">
        <v>41</v>
      </c>
      <c r="L1868" t="s">
        <v>9773</v>
      </c>
      <c r="M1868" t="s">
        <v>9774</v>
      </c>
      <c r="N1868" t="s">
        <v>847</v>
      </c>
      <c r="O1868" t="s">
        <v>100</v>
      </c>
      <c r="P1868" t="s">
        <v>9775</v>
      </c>
      <c r="Q1868" t="s">
        <v>69</v>
      </c>
      <c r="R1868" t="s">
        <v>612</v>
      </c>
      <c r="S1868">
        <v>2.5499999999999998</v>
      </c>
      <c r="T1868">
        <v>3753</v>
      </c>
      <c r="U1868">
        <v>0</v>
      </c>
      <c r="V1868">
        <v>3753</v>
      </c>
    </row>
    <row r="1869" spans="1:22" x14ac:dyDescent="0.3">
      <c r="A1869">
        <v>187830</v>
      </c>
      <c r="B1869">
        <v>135850391</v>
      </c>
      <c r="C1869" t="s">
        <v>9776</v>
      </c>
      <c r="D1869" t="s">
        <v>9777</v>
      </c>
      <c r="E1869" t="s">
        <v>8703</v>
      </c>
      <c r="F1869" t="s">
        <v>844</v>
      </c>
      <c r="G1869" t="s">
        <v>164</v>
      </c>
      <c r="H1869" t="s">
        <v>165</v>
      </c>
      <c r="I1869" t="s">
        <v>34</v>
      </c>
      <c r="J1869" t="s">
        <v>166</v>
      </c>
      <c r="K1869" t="s">
        <v>41</v>
      </c>
      <c r="L1869" t="s">
        <v>9778</v>
      </c>
      <c r="M1869" t="s">
        <v>9779</v>
      </c>
      <c r="N1869" t="s">
        <v>847</v>
      </c>
      <c r="O1869" t="s">
        <v>100</v>
      </c>
      <c r="P1869" t="s">
        <v>9780</v>
      </c>
      <c r="Q1869" t="s">
        <v>92</v>
      </c>
      <c r="R1869" t="s">
        <v>608</v>
      </c>
      <c r="S1869">
        <v>1.69</v>
      </c>
      <c r="T1869">
        <v>3366</v>
      </c>
      <c r="U1869">
        <v>0</v>
      </c>
      <c r="V1869">
        <v>3366</v>
      </c>
    </row>
    <row r="1870" spans="1:22" x14ac:dyDescent="0.3">
      <c r="A1870">
        <v>187830</v>
      </c>
      <c r="B1870">
        <v>135906305</v>
      </c>
      <c r="C1870" t="s">
        <v>9781</v>
      </c>
      <c r="D1870" t="s">
        <v>9782</v>
      </c>
      <c r="E1870" t="s">
        <v>8703</v>
      </c>
      <c r="F1870" t="s">
        <v>844</v>
      </c>
      <c r="G1870" t="s">
        <v>164</v>
      </c>
      <c r="H1870" t="s">
        <v>165</v>
      </c>
      <c r="I1870" t="s">
        <v>34</v>
      </c>
      <c r="J1870" t="s">
        <v>166</v>
      </c>
      <c r="K1870" t="s">
        <v>41</v>
      </c>
      <c r="L1870" t="s">
        <v>9783</v>
      </c>
      <c r="M1870" t="s">
        <v>9784</v>
      </c>
      <c r="N1870" t="s">
        <v>847</v>
      </c>
      <c r="O1870" t="s">
        <v>100</v>
      </c>
      <c r="P1870" t="s">
        <v>9785</v>
      </c>
      <c r="Q1870" t="s">
        <v>84</v>
      </c>
      <c r="R1870" t="s">
        <v>612</v>
      </c>
      <c r="S1870">
        <v>2.21</v>
      </c>
      <c r="T1870">
        <v>3366</v>
      </c>
      <c r="U1870">
        <v>0</v>
      </c>
      <c r="V1870">
        <v>3366</v>
      </c>
    </row>
    <row r="1871" spans="1:22" x14ac:dyDescent="0.3">
      <c r="A1871">
        <v>187830</v>
      </c>
      <c r="B1871">
        <v>135906347</v>
      </c>
      <c r="C1871" t="s">
        <v>9786</v>
      </c>
      <c r="D1871" t="s">
        <v>9787</v>
      </c>
      <c r="E1871" t="s">
        <v>8703</v>
      </c>
      <c r="F1871" t="s">
        <v>844</v>
      </c>
      <c r="G1871" t="s">
        <v>164</v>
      </c>
      <c r="H1871" t="s">
        <v>165</v>
      </c>
      <c r="I1871" t="s">
        <v>34</v>
      </c>
      <c r="J1871" t="s">
        <v>166</v>
      </c>
      <c r="K1871" t="s">
        <v>41</v>
      </c>
      <c r="L1871" t="s">
        <v>9788</v>
      </c>
      <c r="M1871" t="s">
        <v>9789</v>
      </c>
      <c r="N1871" t="s">
        <v>847</v>
      </c>
      <c r="O1871" t="s">
        <v>100</v>
      </c>
      <c r="P1871" t="s">
        <v>9790</v>
      </c>
      <c r="Q1871" t="s">
        <v>68</v>
      </c>
      <c r="R1871" t="s">
        <v>612</v>
      </c>
      <c r="S1871">
        <v>1.77</v>
      </c>
      <c r="T1871">
        <v>3753</v>
      </c>
      <c r="U1871">
        <v>0</v>
      </c>
      <c r="V1871">
        <v>3753</v>
      </c>
    </row>
    <row r="1872" spans="1:22" x14ac:dyDescent="0.3">
      <c r="A1872">
        <v>187830</v>
      </c>
      <c r="B1872">
        <v>135789679</v>
      </c>
      <c r="C1872" t="s">
        <v>9791</v>
      </c>
      <c r="D1872" t="s">
        <v>9792</v>
      </c>
      <c r="E1872" t="s">
        <v>8703</v>
      </c>
      <c r="F1872" t="s">
        <v>844</v>
      </c>
      <c r="G1872" t="s">
        <v>164</v>
      </c>
      <c r="H1872" t="s">
        <v>165</v>
      </c>
      <c r="I1872" t="s">
        <v>34</v>
      </c>
      <c r="J1872" t="s">
        <v>166</v>
      </c>
      <c r="K1872" t="s">
        <v>41</v>
      </c>
      <c r="L1872" t="s">
        <v>9793</v>
      </c>
      <c r="M1872" t="s">
        <v>9794</v>
      </c>
      <c r="N1872" t="s">
        <v>847</v>
      </c>
      <c r="O1872" t="s">
        <v>100</v>
      </c>
      <c r="P1872" t="s">
        <v>9795</v>
      </c>
      <c r="Q1872" t="s">
        <v>69</v>
      </c>
      <c r="R1872" t="s">
        <v>701</v>
      </c>
      <c r="S1872">
        <v>3.65</v>
      </c>
      <c r="T1872">
        <v>4456</v>
      </c>
      <c r="U1872">
        <v>0</v>
      </c>
      <c r="V1872">
        <v>4456</v>
      </c>
    </row>
    <row r="1873" spans="1:22" x14ac:dyDescent="0.3">
      <c r="A1873">
        <v>187830</v>
      </c>
      <c r="B1873">
        <v>135789655</v>
      </c>
      <c r="C1873" t="s">
        <v>9796</v>
      </c>
      <c r="D1873" t="s">
        <v>9797</v>
      </c>
      <c r="E1873" t="s">
        <v>8703</v>
      </c>
      <c r="F1873" t="s">
        <v>844</v>
      </c>
      <c r="G1873" t="s">
        <v>164</v>
      </c>
      <c r="H1873" t="s">
        <v>165</v>
      </c>
      <c r="I1873" t="s">
        <v>34</v>
      </c>
      <c r="J1873" t="s">
        <v>166</v>
      </c>
      <c r="K1873" t="s">
        <v>41</v>
      </c>
      <c r="L1873" t="s">
        <v>9798</v>
      </c>
      <c r="M1873" t="s">
        <v>451</v>
      </c>
      <c r="N1873" t="s">
        <v>847</v>
      </c>
      <c r="O1873" t="s">
        <v>100</v>
      </c>
      <c r="P1873" t="s">
        <v>9637</v>
      </c>
      <c r="Q1873" t="s">
        <v>50</v>
      </c>
      <c r="R1873" t="s">
        <v>400</v>
      </c>
      <c r="S1873">
        <v>2.84</v>
      </c>
      <c r="T1873">
        <v>3784</v>
      </c>
      <c r="U1873">
        <v>0</v>
      </c>
      <c r="V1873">
        <v>3784</v>
      </c>
    </row>
    <row r="1874" spans="1:22" x14ac:dyDescent="0.3">
      <c r="A1874">
        <v>187830</v>
      </c>
      <c r="B1874">
        <v>135906329</v>
      </c>
      <c r="C1874" t="s">
        <v>9799</v>
      </c>
      <c r="D1874" t="s">
        <v>9800</v>
      </c>
      <c r="E1874" t="s">
        <v>8703</v>
      </c>
      <c r="F1874" t="s">
        <v>844</v>
      </c>
      <c r="G1874" t="s">
        <v>164</v>
      </c>
      <c r="H1874" t="s">
        <v>165</v>
      </c>
      <c r="I1874" t="s">
        <v>34</v>
      </c>
      <c r="J1874" t="s">
        <v>166</v>
      </c>
      <c r="K1874" t="s">
        <v>41</v>
      </c>
      <c r="L1874" t="s">
        <v>9801</v>
      </c>
      <c r="M1874" t="s">
        <v>9802</v>
      </c>
      <c r="N1874" t="s">
        <v>847</v>
      </c>
      <c r="O1874" t="s">
        <v>100</v>
      </c>
      <c r="P1874" t="s">
        <v>9803</v>
      </c>
      <c r="Q1874" t="s">
        <v>69</v>
      </c>
      <c r="R1874" t="s">
        <v>612</v>
      </c>
      <c r="S1874">
        <v>2.4300000000000002</v>
      </c>
      <c r="T1874">
        <v>3753</v>
      </c>
      <c r="U1874">
        <v>0</v>
      </c>
      <c r="V1874">
        <v>3753</v>
      </c>
    </row>
    <row r="1875" spans="1:22" x14ac:dyDescent="0.3">
      <c r="A1875">
        <v>187830</v>
      </c>
      <c r="B1875">
        <v>135715546</v>
      </c>
      <c r="C1875" t="s">
        <v>9804</v>
      </c>
      <c r="D1875" t="s">
        <v>9805</v>
      </c>
      <c r="E1875" t="s">
        <v>8703</v>
      </c>
      <c r="F1875" t="s">
        <v>844</v>
      </c>
      <c r="G1875" t="s">
        <v>164</v>
      </c>
      <c r="H1875" t="s">
        <v>165</v>
      </c>
      <c r="I1875" t="s">
        <v>34</v>
      </c>
      <c r="J1875" t="s">
        <v>166</v>
      </c>
      <c r="K1875" t="s">
        <v>41</v>
      </c>
      <c r="L1875" t="s">
        <v>9806</v>
      </c>
      <c r="M1875" t="s">
        <v>9807</v>
      </c>
      <c r="N1875" t="s">
        <v>847</v>
      </c>
      <c r="O1875" t="s">
        <v>100</v>
      </c>
      <c r="P1875" t="s">
        <v>9808</v>
      </c>
      <c r="Q1875" t="s">
        <v>67</v>
      </c>
      <c r="R1875" t="s">
        <v>610</v>
      </c>
      <c r="S1875">
        <v>2.65</v>
      </c>
      <c r="T1875">
        <v>3784</v>
      </c>
      <c r="U1875">
        <v>0</v>
      </c>
      <c r="V1875">
        <v>3784</v>
      </c>
    </row>
    <row r="1876" spans="1:22" x14ac:dyDescent="0.3">
      <c r="A1876">
        <v>187830</v>
      </c>
      <c r="B1876">
        <v>135715570</v>
      </c>
      <c r="C1876" t="s">
        <v>9809</v>
      </c>
      <c r="D1876" t="s">
        <v>9810</v>
      </c>
      <c r="E1876" t="s">
        <v>8703</v>
      </c>
      <c r="F1876" t="s">
        <v>844</v>
      </c>
      <c r="G1876" t="s">
        <v>164</v>
      </c>
      <c r="H1876" t="s">
        <v>165</v>
      </c>
      <c r="I1876" t="s">
        <v>34</v>
      </c>
      <c r="J1876" t="s">
        <v>166</v>
      </c>
      <c r="K1876" t="s">
        <v>41</v>
      </c>
      <c r="L1876" t="s">
        <v>9811</v>
      </c>
      <c r="M1876" t="s">
        <v>9812</v>
      </c>
      <c r="N1876" t="s">
        <v>847</v>
      </c>
      <c r="O1876" t="s">
        <v>100</v>
      </c>
      <c r="P1876" t="s">
        <v>9813</v>
      </c>
      <c r="Q1876" t="s">
        <v>55</v>
      </c>
      <c r="R1876" t="s">
        <v>610</v>
      </c>
      <c r="S1876">
        <v>2.33</v>
      </c>
      <c r="T1876">
        <v>5198</v>
      </c>
      <c r="U1876">
        <v>0</v>
      </c>
      <c r="V1876">
        <v>5198</v>
      </c>
    </row>
    <row r="1877" spans="1:22" x14ac:dyDescent="0.3">
      <c r="A1877">
        <v>187830</v>
      </c>
      <c r="B1877">
        <v>135715538</v>
      </c>
      <c r="C1877" t="s">
        <v>9814</v>
      </c>
      <c r="D1877" t="s">
        <v>9815</v>
      </c>
      <c r="E1877" t="s">
        <v>8703</v>
      </c>
      <c r="F1877" t="s">
        <v>844</v>
      </c>
      <c r="G1877" t="s">
        <v>164</v>
      </c>
      <c r="H1877" t="s">
        <v>165</v>
      </c>
      <c r="I1877" t="s">
        <v>34</v>
      </c>
      <c r="J1877" t="s">
        <v>166</v>
      </c>
      <c r="K1877" t="s">
        <v>41</v>
      </c>
      <c r="L1877" t="s">
        <v>9816</v>
      </c>
      <c r="M1877" t="s">
        <v>8938</v>
      </c>
      <c r="N1877" t="s">
        <v>847</v>
      </c>
      <c r="O1877" t="s">
        <v>100</v>
      </c>
      <c r="P1877" t="s">
        <v>9817</v>
      </c>
      <c r="Q1877" t="s">
        <v>50</v>
      </c>
      <c r="R1877" t="s">
        <v>610</v>
      </c>
      <c r="S1877">
        <v>1</v>
      </c>
      <c r="T1877">
        <v>3784</v>
      </c>
      <c r="U1877">
        <v>0</v>
      </c>
      <c r="V1877">
        <v>3784</v>
      </c>
    </row>
    <row r="1878" spans="1:22" x14ac:dyDescent="0.3">
      <c r="A1878">
        <v>187830</v>
      </c>
      <c r="B1878">
        <v>135667756</v>
      </c>
      <c r="C1878" t="s">
        <v>9818</v>
      </c>
      <c r="D1878" t="s">
        <v>9819</v>
      </c>
      <c r="E1878" t="s">
        <v>8703</v>
      </c>
      <c r="F1878" t="s">
        <v>844</v>
      </c>
      <c r="G1878" t="s">
        <v>164</v>
      </c>
      <c r="H1878" t="s">
        <v>165</v>
      </c>
      <c r="I1878" t="s">
        <v>34</v>
      </c>
      <c r="J1878" t="s">
        <v>166</v>
      </c>
      <c r="K1878" t="s">
        <v>41</v>
      </c>
      <c r="L1878" t="s">
        <v>9820</v>
      </c>
      <c r="M1878" t="s">
        <v>235</v>
      </c>
      <c r="N1878" t="s">
        <v>847</v>
      </c>
      <c r="O1878" t="s">
        <v>100</v>
      </c>
      <c r="P1878" t="s">
        <v>9821</v>
      </c>
      <c r="Q1878" t="s">
        <v>200</v>
      </c>
      <c r="R1878" t="s">
        <v>9087</v>
      </c>
      <c r="S1878">
        <v>1</v>
      </c>
      <c r="T1878">
        <v>3753</v>
      </c>
      <c r="U1878">
        <v>0</v>
      </c>
      <c r="V1878">
        <v>3753</v>
      </c>
    </row>
    <row r="1879" spans="1:22" x14ac:dyDescent="0.3">
      <c r="A1879">
        <v>187830</v>
      </c>
      <c r="B1879">
        <v>135715617</v>
      </c>
      <c r="C1879" t="s">
        <v>9822</v>
      </c>
      <c r="D1879" t="s">
        <v>9823</v>
      </c>
      <c r="E1879" t="s">
        <v>8703</v>
      </c>
      <c r="F1879" t="s">
        <v>844</v>
      </c>
      <c r="G1879" t="s">
        <v>164</v>
      </c>
      <c r="H1879" t="s">
        <v>165</v>
      </c>
      <c r="I1879" t="s">
        <v>34</v>
      </c>
      <c r="J1879" t="s">
        <v>166</v>
      </c>
      <c r="K1879" t="s">
        <v>41</v>
      </c>
      <c r="L1879" t="s">
        <v>9824</v>
      </c>
      <c r="M1879" t="s">
        <v>9825</v>
      </c>
      <c r="N1879" t="s">
        <v>847</v>
      </c>
      <c r="O1879" t="s">
        <v>100</v>
      </c>
      <c r="P1879" t="s">
        <v>9826</v>
      </c>
      <c r="Q1879" t="s">
        <v>49</v>
      </c>
      <c r="R1879" t="s">
        <v>610</v>
      </c>
      <c r="S1879">
        <v>0.85</v>
      </c>
      <c r="T1879">
        <v>3784</v>
      </c>
      <c r="U1879">
        <v>0</v>
      </c>
      <c r="V1879">
        <v>3784</v>
      </c>
    </row>
    <row r="1880" spans="1:22" x14ac:dyDescent="0.3">
      <c r="A1880">
        <v>187830</v>
      </c>
      <c r="B1880">
        <v>135667727</v>
      </c>
      <c r="C1880" t="s">
        <v>9827</v>
      </c>
      <c r="D1880" t="s">
        <v>9828</v>
      </c>
      <c r="E1880" t="s">
        <v>8703</v>
      </c>
      <c r="F1880" t="s">
        <v>844</v>
      </c>
      <c r="G1880" t="s">
        <v>164</v>
      </c>
      <c r="H1880" t="s">
        <v>165</v>
      </c>
      <c r="I1880" t="s">
        <v>34</v>
      </c>
      <c r="J1880" t="s">
        <v>166</v>
      </c>
      <c r="K1880" t="s">
        <v>41</v>
      </c>
      <c r="L1880" t="s">
        <v>9829</v>
      </c>
      <c r="M1880" t="s">
        <v>9444</v>
      </c>
      <c r="N1880" t="s">
        <v>847</v>
      </c>
      <c r="O1880" t="s">
        <v>100</v>
      </c>
      <c r="P1880" t="s">
        <v>9830</v>
      </c>
      <c r="Q1880" t="s">
        <v>72</v>
      </c>
      <c r="R1880" t="s">
        <v>9087</v>
      </c>
      <c r="S1880">
        <v>1.32</v>
      </c>
      <c r="T1880">
        <v>3784</v>
      </c>
      <c r="U1880">
        <v>0</v>
      </c>
      <c r="V1880">
        <v>3784</v>
      </c>
    </row>
    <row r="1881" spans="1:22" x14ac:dyDescent="0.3">
      <c r="A1881">
        <v>187830</v>
      </c>
      <c r="B1881">
        <v>135715623</v>
      </c>
      <c r="C1881" t="s">
        <v>9831</v>
      </c>
      <c r="D1881" t="s">
        <v>9832</v>
      </c>
      <c r="E1881" t="s">
        <v>8703</v>
      </c>
      <c r="F1881" t="s">
        <v>844</v>
      </c>
      <c r="G1881" t="s">
        <v>164</v>
      </c>
      <c r="H1881" t="s">
        <v>165</v>
      </c>
      <c r="I1881" t="s">
        <v>34</v>
      </c>
      <c r="J1881" t="s">
        <v>166</v>
      </c>
      <c r="K1881" t="s">
        <v>41</v>
      </c>
      <c r="L1881" t="s">
        <v>9833</v>
      </c>
      <c r="M1881" t="s">
        <v>9834</v>
      </c>
      <c r="N1881" t="s">
        <v>847</v>
      </c>
      <c r="O1881" t="s">
        <v>100</v>
      </c>
      <c r="P1881" t="s">
        <v>9835</v>
      </c>
      <c r="Q1881" t="s">
        <v>110</v>
      </c>
      <c r="R1881" t="s">
        <v>610</v>
      </c>
      <c r="S1881">
        <v>1.19</v>
      </c>
      <c r="T1881">
        <v>7506</v>
      </c>
      <c r="U1881">
        <v>0</v>
      </c>
      <c r="V1881">
        <v>7506</v>
      </c>
    </row>
    <row r="1882" spans="1:22" x14ac:dyDescent="0.3">
      <c r="A1882">
        <v>187830</v>
      </c>
      <c r="B1882">
        <v>135715590</v>
      </c>
      <c r="C1882" t="s">
        <v>9836</v>
      </c>
      <c r="D1882" t="s">
        <v>9837</v>
      </c>
      <c r="E1882" t="s">
        <v>8703</v>
      </c>
      <c r="F1882" t="s">
        <v>844</v>
      </c>
      <c r="G1882" t="s">
        <v>164</v>
      </c>
      <c r="H1882" t="s">
        <v>165</v>
      </c>
      <c r="I1882" t="s">
        <v>34</v>
      </c>
      <c r="J1882" t="s">
        <v>166</v>
      </c>
      <c r="K1882" t="s">
        <v>41</v>
      </c>
      <c r="L1882" t="s">
        <v>9838</v>
      </c>
      <c r="M1882" t="s">
        <v>9839</v>
      </c>
      <c r="N1882" t="s">
        <v>847</v>
      </c>
      <c r="O1882" t="s">
        <v>100</v>
      </c>
      <c r="P1882" t="s">
        <v>9840</v>
      </c>
      <c r="Q1882" t="s">
        <v>84</v>
      </c>
      <c r="R1882" t="s">
        <v>610</v>
      </c>
      <c r="S1882">
        <v>1.63</v>
      </c>
      <c r="T1882">
        <v>3366</v>
      </c>
      <c r="U1882">
        <v>0</v>
      </c>
      <c r="V1882">
        <v>3366</v>
      </c>
    </row>
    <row r="1883" spans="1:22" x14ac:dyDescent="0.3">
      <c r="A1883">
        <v>187830</v>
      </c>
      <c r="B1883">
        <v>135667752</v>
      </c>
      <c r="C1883" t="s">
        <v>9841</v>
      </c>
      <c r="D1883" t="s">
        <v>9842</v>
      </c>
      <c r="E1883" t="s">
        <v>8703</v>
      </c>
      <c r="F1883" t="s">
        <v>844</v>
      </c>
      <c r="G1883" t="s">
        <v>164</v>
      </c>
      <c r="H1883" t="s">
        <v>165</v>
      </c>
      <c r="I1883" t="s">
        <v>34</v>
      </c>
      <c r="J1883" t="s">
        <v>166</v>
      </c>
      <c r="K1883" t="s">
        <v>41</v>
      </c>
      <c r="L1883" t="s">
        <v>585</v>
      </c>
      <c r="M1883" t="s">
        <v>9843</v>
      </c>
      <c r="N1883" t="s">
        <v>847</v>
      </c>
      <c r="O1883" t="s">
        <v>100</v>
      </c>
      <c r="P1883" t="s">
        <v>9844</v>
      </c>
      <c r="Q1883" t="s">
        <v>69</v>
      </c>
      <c r="R1883" t="s">
        <v>9087</v>
      </c>
      <c r="S1883">
        <v>0.73</v>
      </c>
      <c r="T1883">
        <v>3753</v>
      </c>
      <c r="U1883">
        <v>0</v>
      </c>
      <c r="V1883">
        <v>3753</v>
      </c>
    </row>
    <row r="1884" spans="1:22" x14ac:dyDescent="0.3">
      <c r="A1884">
        <v>187830</v>
      </c>
      <c r="B1884">
        <v>135667745</v>
      </c>
      <c r="C1884" t="s">
        <v>9845</v>
      </c>
      <c r="D1884" t="s">
        <v>9846</v>
      </c>
      <c r="E1884" t="s">
        <v>8703</v>
      </c>
      <c r="F1884" t="s">
        <v>844</v>
      </c>
      <c r="G1884" t="s">
        <v>164</v>
      </c>
      <c r="H1884" t="s">
        <v>165</v>
      </c>
      <c r="I1884" t="s">
        <v>34</v>
      </c>
      <c r="J1884" t="s">
        <v>166</v>
      </c>
      <c r="K1884" t="s">
        <v>41</v>
      </c>
      <c r="L1884" t="s">
        <v>9847</v>
      </c>
      <c r="M1884" t="s">
        <v>9848</v>
      </c>
      <c r="N1884" t="s">
        <v>847</v>
      </c>
      <c r="O1884" t="s">
        <v>100</v>
      </c>
      <c r="P1884" t="s">
        <v>9849</v>
      </c>
      <c r="Q1884" t="s">
        <v>60</v>
      </c>
      <c r="R1884" t="s">
        <v>9087</v>
      </c>
      <c r="S1884">
        <v>2.2000000000000002</v>
      </c>
      <c r="T1884">
        <v>4346</v>
      </c>
      <c r="U1884">
        <v>0</v>
      </c>
      <c r="V1884">
        <v>4346</v>
      </c>
    </row>
    <row r="1885" spans="1:22" x14ac:dyDescent="0.3">
      <c r="A1885">
        <v>187830</v>
      </c>
      <c r="B1885">
        <v>135667716</v>
      </c>
      <c r="C1885" t="s">
        <v>9850</v>
      </c>
      <c r="D1885" t="s">
        <v>9851</v>
      </c>
      <c r="E1885" t="s">
        <v>8703</v>
      </c>
      <c r="F1885" t="s">
        <v>844</v>
      </c>
      <c r="G1885" t="s">
        <v>164</v>
      </c>
      <c r="H1885" t="s">
        <v>165</v>
      </c>
      <c r="I1885" t="s">
        <v>34</v>
      </c>
      <c r="J1885" t="s">
        <v>166</v>
      </c>
      <c r="K1885" t="s">
        <v>41</v>
      </c>
      <c r="L1885" t="s">
        <v>9852</v>
      </c>
      <c r="M1885" t="s">
        <v>9853</v>
      </c>
      <c r="N1885" t="s">
        <v>847</v>
      </c>
      <c r="O1885" t="s">
        <v>100</v>
      </c>
      <c r="P1885" t="s">
        <v>9854</v>
      </c>
      <c r="Q1885" t="s">
        <v>61</v>
      </c>
      <c r="R1885" t="s">
        <v>9087</v>
      </c>
      <c r="S1885">
        <v>1.78</v>
      </c>
      <c r="T1885">
        <v>4067</v>
      </c>
      <c r="U1885">
        <v>0</v>
      </c>
      <c r="V1885">
        <v>4067</v>
      </c>
    </row>
    <row r="1886" spans="1:22" x14ac:dyDescent="0.3">
      <c r="A1886">
        <v>187830</v>
      </c>
      <c r="B1886">
        <v>135667759</v>
      </c>
      <c r="C1886" t="s">
        <v>9855</v>
      </c>
      <c r="D1886" t="s">
        <v>9856</v>
      </c>
      <c r="E1886" t="s">
        <v>8703</v>
      </c>
      <c r="F1886" t="s">
        <v>844</v>
      </c>
      <c r="G1886" t="s">
        <v>164</v>
      </c>
      <c r="H1886" t="s">
        <v>165</v>
      </c>
      <c r="I1886" t="s">
        <v>34</v>
      </c>
      <c r="J1886" t="s">
        <v>166</v>
      </c>
      <c r="K1886" t="s">
        <v>41</v>
      </c>
      <c r="L1886" t="s">
        <v>9857</v>
      </c>
      <c r="M1886" t="s">
        <v>233</v>
      </c>
      <c r="N1886" t="s">
        <v>847</v>
      </c>
      <c r="O1886" t="s">
        <v>100</v>
      </c>
      <c r="P1886" t="s">
        <v>9858</v>
      </c>
      <c r="Q1886" t="s">
        <v>69</v>
      </c>
      <c r="R1886" t="s">
        <v>9087</v>
      </c>
      <c r="S1886">
        <v>1.1200000000000001</v>
      </c>
      <c r="T1886">
        <v>3753</v>
      </c>
      <c r="U1886">
        <v>0</v>
      </c>
      <c r="V1886">
        <v>3753</v>
      </c>
    </row>
    <row r="1887" spans="1:22" x14ac:dyDescent="0.3">
      <c r="A1887">
        <v>187830</v>
      </c>
      <c r="B1887">
        <v>135667731</v>
      </c>
      <c r="C1887" t="s">
        <v>9859</v>
      </c>
      <c r="D1887" t="s">
        <v>9860</v>
      </c>
      <c r="E1887" t="s">
        <v>8703</v>
      </c>
      <c r="F1887" t="s">
        <v>844</v>
      </c>
      <c r="G1887" t="s">
        <v>164</v>
      </c>
      <c r="H1887" t="s">
        <v>165</v>
      </c>
      <c r="I1887" t="s">
        <v>34</v>
      </c>
      <c r="J1887" t="s">
        <v>166</v>
      </c>
      <c r="K1887" t="s">
        <v>41</v>
      </c>
      <c r="L1887" t="s">
        <v>9861</v>
      </c>
      <c r="M1887" t="s">
        <v>586</v>
      </c>
      <c r="N1887" t="s">
        <v>847</v>
      </c>
      <c r="O1887" t="s">
        <v>100</v>
      </c>
      <c r="P1887" t="s">
        <v>587</v>
      </c>
      <c r="Q1887" t="s">
        <v>92</v>
      </c>
      <c r="R1887" t="s">
        <v>9087</v>
      </c>
      <c r="S1887">
        <v>1.71</v>
      </c>
      <c r="T1887">
        <v>3366</v>
      </c>
      <c r="U1887">
        <v>0</v>
      </c>
      <c r="V1887">
        <v>3366</v>
      </c>
    </row>
    <row r="1888" spans="1:22" x14ac:dyDescent="0.3">
      <c r="A1888">
        <v>187830</v>
      </c>
      <c r="B1888">
        <v>135577873</v>
      </c>
      <c r="C1888" t="s">
        <v>9862</v>
      </c>
      <c r="D1888" t="s">
        <v>9863</v>
      </c>
      <c r="E1888" t="s">
        <v>8703</v>
      </c>
      <c r="F1888" t="s">
        <v>844</v>
      </c>
      <c r="G1888" t="s">
        <v>164</v>
      </c>
      <c r="H1888" t="s">
        <v>165</v>
      </c>
      <c r="I1888" t="s">
        <v>34</v>
      </c>
      <c r="J1888" t="s">
        <v>166</v>
      </c>
      <c r="K1888" t="s">
        <v>41</v>
      </c>
      <c r="L1888" t="s">
        <v>9864</v>
      </c>
      <c r="M1888" t="s">
        <v>9865</v>
      </c>
      <c r="N1888" t="s">
        <v>847</v>
      </c>
      <c r="O1888" t="s">
        <v>100</v>
      </c>
      <c r="P1888" t="s">
        <v>9866</v>
      </c>
      <c r="Q1888" t="s">
        <v>83</v>
      </c>
      <c r="R1888" t="s">
        <v>760</v>
      </c>
      <c r="S1888">
        <v>1.97</v>
      </c>
      <c r="T1888">
        <v>3366</v>
      </c>
      <c r="U1888">
        <v>0</v>
      </c>
      <c r="V1888">
        <v>3366</v>
      </c>
    </row>
    <row r="1889" spans="1:22" x14ac:dyDescent="0.3">
      <c r="A1889">
        <v>187830</v>
      </c>
      <c r="B1889">
        <v>135606361</v>
      </c>
      <c r="C1889" t="s">
        <v>9867</v>
      </c>
      <c r="D1889" t="s">
        <v>9868</v>
      </c>
      <c r="E1889" t="s">
        <v>8703</v>
      </c>
      <c r="F1889" t="s">
        <v>844</v>
      </c>
      <c r="G1889" t="s">
        <v>164</v>
      </c>
      <c r="H1889" t="s">
        <v>165</v>
      </c>
      <c r="I1889" t="s">
        <v>34</v>
      </c>
      <c r="J1889" t="s">
        <v>166</v>
      </c>
      <c r="K1889" t="s">
        <v>41</v>
      </c>
      <c r="L1889" t="s">
        <v>9869</v>
      </c>
      <c r="M1889" t="s">
        <v>9870</v>
      </c>
      <c r="N1889" t="s">
        <v>847</v>
      </c>
      <c r="O1889" t="s">
        <v>100</v>
      </c>
      <c r="P1889" t="s">
        <v>9871</v>
      </c>
      <c r="Q1889" t="s">
        <v>84</v>
      </c>
      <c r="R1889" t="s">
        <v>9397</v>
      </c>
      <c r="S1889">
        <v>1</v>
      </c>
      <c r="T1889">
        <v>3366</v>
      </c>
      <c r="U1889">
        <v>0</v>
      </c>
      <c r="V1889">
        <v>3366</v>
      </c>
    </row>
    <row r="1890" spans="1:22" x14ac:dyDescent="0.3">
      <c r="A1890">
        <v>187830</v>
      </c>
      <c r="B1890">
        <v>135606369</v>
      </c>
      <c r="C1890" t="s">
        <v>9872</v>
      </c>
      <c r="D1890" t="s">
        <v>9873</v>
      </c>
      <c r="E1890" t="s">
        <v>8703</v>
      </c>
      <c r="F1890" t="s">
        <v>844</v>
      </c>
      <c r="G1890" t="s">
        <v>164</v>
      </c>
      <c r="H1890" t="s">
        <v>165</v>
      </c>
      <c r="I1890" t="s">
        <v>34</v>
      </c>
      <c r="J1890" t="s">
        <v>166</v>
      </c>
      <c r="K1890" t="s">
        <v>41</v>
      </c>
      <c r="L1890" t="s">
        <v>9874</v>
      </c>
      <c r="M1890" t="s">
        <v>9348</v>
      </c>
      <c r="N1890" t="s">
        <v>847</v>
      </c>
      <c r="O1890" t="s">
        <v>100</v>
      </c>
      <c r="P1890" t="s">
        <v>9349</v>
      </c>
      <c r="Q1890" t="s">
        <v>211</v>
      </c>
      <c r="R1890" t="s">
        <v>9397</v>
      </c>
      <c r="S1890">
        <v>1</v>
      </c>
      <c r="T1890">
        <v>4067</v>
      </c>
      <c r="U1890">
        <v>0</v>
      </c>
      <c r="V1890">
        <v>4067</v>
      </c>
    </row>
    <row r="1891" spans="1:22" x14ac:dyDescent="0.3">
      <c r="A1891">
        <v>187830</v>
      </c>
      <c r="B1891">
        <v>135583050</v>
      </c>
      <c r="C1891" t="s">
        <v>9875</v>
      </c>
      <c r="D1891" t="s">
        <v>9876</v>
      </c>
      <c r="E1891" t="s">
        <v>8703</v>
      </c>
      <c r="F1891" t="s">
        <v>844</v>
      </c>
      <c r="G1891" t="s">
        <v>164</v>
      </c>
      <c r="H1891" t="s">
        <v>165</v>
      </c>
      <c r="I1891" t="s">
        <v>34</v>
      </c>
      <c r="J1891" t="s">
        <v>166</v>
      </c>
      <c r="K1891" t="s">
        <v>41</v>
      </c>
      <c r="L1891" t="s">
        <v>9877</v>
      </c>
      <c r="M1891" t="s">
        <v>9878</v>
      </c>
      <c r="N1891" t="s">
        <v>847</v>
      </c>
      <c r="O1891" t="s">
        <v>100</v>
      </c>
      <c r="P1891" t="s">
        <v>9879</v>
      </c>
      <c r="Q1891" t="s">
        <v>647</v>
      </c>
      <c r="R1891" t="s">
        <v>9880</v>
      </c>
      <c r="S1891">
        <v>1.72</v>
      </c>
      <c r="T1891">
        <v>4067</v>
      </c>
      <c r="U1891">
        <v>0</v>
      </c>
      <c r="V1891">
        <v>4067</v>
      </c>
    </row>
    <row r="1892" spans="1:22" x14ac:dyDescent="0.3">
      <c r="A1892">
        <v>187830</v>
      </c>
      <c r="B1892">
        <v>135448938</v>
      </c>
      <c r="C1892" t="s">
        <v>9881</v>
      </c>
      <c r="D1892" t="s">
        <v>9882</v>
      </c>
      <c r="E1892" t="s">
        <v>8703</v>
      </c>
      <c r="F1892" t="s">
        <v>844</v>
      </c>
      <c r="G1892" t="s">
        <v>164</v>
      </c>
      <c r="H1892" t="s">
        <v>165</v>
      </c>
      <c r="I1892" t="s">
        <v>34</v>
      </c>
      <c r="J1892" t="s">
        <v>166</v>
      </c>
      <c r="K1892" t="s">
        <v>41</v>
      </c>
      <c r="L1892" t="s">
        <v>9883</v>
      </c>
      <c r="M1892" t="s">
        <v>9884</v>
      </c>
      <c r="N1892" t="s">
        <v>847</v>
      </c>
      <c r="O1892" t="s">
        <v>100</v>
      </c>
      <c r="P1892" t="s">
        <v>9885</v>
      </c>
      <c r="Q1892" t="s">
        <v>60</v>
      </c>
      <c r="R1892" t="s">
        <v>705</v>
      </c>
      <c r="S1892">
        <v>1</v>
      </c>
      <c r="T1892">
        <v>4346</v>
      </c>
      <c r="U1892">
        <v>0</v>
      </c>
      <c r="V1892">
        <v>4346</v>
      </c>
    </row>
    <row r="1893" spans="1:22" x14ac:dyDescent="0.3">
      <c r="A1893">
        <v>187830</v>
      </c>
      <c r="B1893">
        <v>135448937</v>
      </c>
      <c r="C1893" t="s">
        <v>9886</v>
      </c>
      <c r="D1893" t="s">
        <v>9887</v>
      </c>
      <c r="E1893" t="s">
        <v>8703</v>
      </c>
      <c r="F1893" t="s">
        <v>844</v>
      </c>
      <c r="G1893" t="s">
        <v>164</v>
      </c>
      <c r="H1893" t="s">
        <v>165</v>
      </c>
      <c r="I1893" t="s">
        <v>34</v>
      </c>
      <c r="J1893" t="s">
        <v>166</v>
      </c>
      <c r="K1893" t="s">
        <v>41</v>
      </c>
      <c r="L1893" t="s">
        <v>9888</v>
      </c>
      <c r="M1893" t="s">
        <v>9889</v>
      </c>
      <c r="N1893" t="s">
        <v>847</v>
      </c>
      <c r="O1893" t="s">
        <v>100</v>
      </c>
      <c r="P1893" t="s">
        <v>9890</v>
      </c>
      <c r="Q1893" t="s">
        <v>68</v>
      </c>
      <c r="R1893" t="s">
        <v>705</v>
      </c>
      <c r="S1893">
        <v>1</v>
      </c>
      <c r="T1893">
        <v>3753</v>
      </c>
      <c r="U1893">
        <v>0</v>
      </c>
      <c r="V1893">
        <v>3753</v>
      </c>
    </row>
    <row r="1894" spans="1:22" x14ac:dyDescent="0.3">
      <c r="A1894">
        <v>187830</v>
      </c>
      <c r="B1894">
        <v>135297246</v>
      </c>
      <c r="C1894" t="s">
        <v>9891</v>
      </c>
      <c r="D1894" t="s">
        <v>9892</v>
      </c>
      <c r="E1894" t="s">
        <v>8703</v>
      </c>
      <c r="F1894" t="s">
        <v>844</v>
      </c>
      <c r="G1894" t="s">
        <v>164</v>
      </c>
      <c r="H1894" t="s">
        <v>165</v>
      </c>
      <c r="I1894" t="s">
        <v>34</v>
      </c>
      <c r="J1894" t="s">
        <v>166</v>
      </c>
      <c r="K1894" t="s">
        <v>41</v>
      </c>
      <c r="L1894" t="s">
        <v>9893</v>
      </c>
      <c r="M1894" t="s">
        <v>9894</v>
      </c>
      <c r="N1894" t="s">
        <v>847</v>
      </c>
      <c r="O1894" t="s">
        <v>100</v>
      </c>
      <c r="P1894" t="s">
        <v>9895</v>
      </c>
      <c r="Q1894" t="s">
        <v>43</v>
      </c>
      <c r="R1894" t="s">
        <v>9896</v>
      </c>
      <c r="S1894">
        <v>0.22</v>
      </c>
      <c r="T1894">
        <v>3680</v>
      </c>
      <c r="U1894">
        <v>0</v>
      </c>
      <c r="V1894">
        <v>3680</v>
      </c>
    </row>
    <row r="1895" spans="1:22" x14ac:dyDescent="0.3">
      <c r="A1895">
        <v>187830</v>
      </c>
      <c r="B1895">
        <v>135448939</v>
      </c>
      <c r="C1895" t="s">
        <v>9897</v>
      </c>
      <c r="D1895" t="s">
        <v>9898</v>
      </c>
      <c r="E1895" t="s">
        <v>8703</v>
      </c>
      <c r="F1895" t="s">
        <v>844</v>
      </c>
      <c r="G1895" t="s">
        <v>164</v>
      </c>
      <c r="H1895" t="s">
        <v>165</v>
      </c>
      <c r="I1895" t="s">
        <v>34</v>
      </c>
      <c r="J1895" t="s">
        <v>166</v>
      </c>
      <c r="K1895" t="s">
        <v>41</v>
      </c>
      <c r="L1895" t="s">
        <v>9899</v>
      </c>
      <c r="M1895" t="s">
        <v>9900</v>
      </c>
      <c r="N1895" t="s">
        <v>847</v>
      </c>
      <c r="O1895" t="s">
        <v>100</v>
      </c>
      <c r="P1895" t="s">
        <v>9901</v>
      </c>
      <c r="Q1895" t="s">
        <v>50</v>
      </c>
      <c r="R1895" t="s">
        <v>705</v>
      </c>
      <c r="S1895">
        <v>1</v>
      </c>
      <c r="T1895">
        <v>3784</v>
      </c>
      <c r="U1895">
        <v>0</v>
      </c>
      <c r="V1895">
        <v>3784</v>
      </c>
    </row>
    <row r="1896" spans="1:22" x14ac:dyDescent="0.3">
      <c r="A1896">
        <v>187830</v>
      </c>
      <c r="B1896">
        <v>137535990</v>
      </c>
      <c r="C1896" t="s">
        <v>9902</v>
      </c>
      <c r="D1896" t="s">
        <v>9903</v>
      </c>
      <c r="E1896" t="s">
        <v>8703</v>
      </c>
      <c r="F1896" t="s">
        <v>844</v>
      </c>
      <c r="G1896" t="s">
        <v>267</v>
      </c>
      <c r="H1896" t="s">
        <v>268</v>
      </c>
      <c r="I1896" t="s">
        <v>34</v>
      </c>
      <c r="J1896" t="s">
        <v>269</v>
      </c>
      <c r="K1896" t="s">
        <v>41</v>
      </c>
      <c r="L1896" t="s">
        <v>9904</v>
      </c>
      <c r="M1896" t="s">
        <v>9905</v>
      </c>
      <c r="N1896" t="s">
        <v>847</v>
      </c>
      <c r="O1896" t="s">
        <v>100</v>
      </c>
      <c r="P1896" t="s">
        <v>9906</v>
      </c>
      <c r="Q1896" t="s">
        <v>263</v>
      </c>
      <c r="R1896" t="s">
        <v>9907</v>
      </c>
      <c r="S1896">
        <v>1.49</v>
      </c>
      <c r="T1896">
        <v>8079</v>
      </c>
      <c r="U1896">
        <v>474.5</v>
      </c>
      <c r="V1896">
        <v>8553.5</v>
      </c>
    </row>
    <row r="1897" spans="1:22" x14ac:dyDescent="0.3">
      <c r="A1897">
        <v>187830</v>
      </c>
      <c r="B1897">
        <v>137634189</v>
      </c>
      <c r="C1897" t="s">
        <v>9908</v>
      </c>
      <c r="D1897" t="s">
        <v>9909</v>
      </c>
      <c r="E1897" t="s">
        <v>8703</v>
      </c>
      <c r="F1897" t="s">
        <v>844</v>
      </c>
      <c r="G1897" t="s">
        <v>267</v>
      </c>
      <c r="H1897" t="s">
        <v>268</v>
      </c>
      <c r="I1897" t="s">
        <v>34</v>
      </c>
      <c r="J1897" t="s">
        <v>269</v>
      </c>
      <c r="K1897" t="s">
        <v>41</v>
      </c>
      <c r="L1897" t="s">
        <v>9910</v>
      </c>
      <c r="M1897" t="s">
        <v>9911</v>
      </c>
      <c r="N1897" t="s">
        <v>847</v>
      </c>
      <c r="O1897" t="s">
        <v>100</v>
      </c>
      <c r="P1897" t="s">
        <v>9912</v>
      </c>
      <c r="Q1897" t="s">
        <v>105</v>
      </c>
      <c r="R1897" t="s">
        <v>9913</v>
      </c>
      <c r="S1897">
        <v>0.55000000000000004</v>
      </c>
      <c r="T1897">
        <v>4481</v>
      </c>
      <c r="U1897">
        <v>174.5</v>
      </c>
      <c r="V1897">
        <v>4655.5</v>
      </c>
    </row>
    <row r="1898" spans="1:22" x14ac:dyDescent="0.3">
      <c r="A1898">
        <v>187830</v>
      </c>
      <c r="B1898">
        <v>137616782</v>
      </c>
      <c r="C1898" t="s">
        <v>9914</v>
      </c>
      <c r="D1898" t="s">
        <v>9915</v>
      </c>
      <c r="E1898" t="s">
        <v>8703</v>
      </c>
      <c r="F1898" t="s">
        <v>844</v>
      </c>
      <c r="G1898" t="s">
        <v>267</v>
      </c>
      <c r="H1898" t="s">
        <v>268</v>
      </c>
      <c r="I1898" t="s">
        <v>34</v>
      </c>
      <c r="J1898" t="s">
        <v>269</v>
      </c>
      <c r="K1898" t="s">
        <v>41</v>
      </c>
      <c r="L1898" t="s">
        <v>9916</v>
      </c>
      <c r="M1898" t="s">
        <v>9917</v>
      </c>
      <c r="N1898" t="s">
        <v>847</v>
      </c>
      <c r="O1898" t="s">
        <v>100</v>
      </c>
      <c r="P1898" t="s">
        <v>9918</v>
      </c>
      <c r="Q1898" t="s">
        <v>105</v>
      </c>
      <c r="R1898" t="s">
        <v>9919</v>
      </c>
      <c r="S1898">
        <v>0.61</v>
      </c>
      <c r="T1898">
        <v>4481</v>
      </c>
      <c r="U1898">
        <v>174.5</v>
      </c>
      <c r="V1898">
        <v>4655.5</v>
      </c>
    </row>
    <row r="1899" spans="1:22" x14ac:dyDescent="0.3">
      <c r="A1899">
        <v>187830</v>
      </c>
      <c r="B1899">
        <v>137556795</v>
      </c>
      <c r="C1899" t="s">
        <v>9920</v>
      </c>
      <c r="D1899" t="s">
        <v>9921</v>
      </c>
      <c r="E1899" t="s">
        <v>8703</v>
      </c>
      <c r="F1899" t="s">
        <v>844</v>
      </c>
      <c r="G1899" t="s">
        <v>267</v>
      </c>
      <c r="H1899" t="s">
        <v>268</v>
      </c>
      <c r="I1899" t="s">
        <v>34</v>
      </c>
      <c r="J1899" t="s">
        <v>269</v>
      </c>
      <c r="K1899" t="s">
        <v>41</v>
      </c>
      <c r="L1899" t="s">
        <v>9922</v>
      </c>
      <c r="M1899" t="s">
        <v>9923</v>
      </c>
      <c r="N1899" t="s">
        <v>847</v>
      </c>
      <c r="O1899" t="s">
        <v>100</v>
      </c>
      <c r="P1899" t="s">
        <v>9924</v>
      </c>
      <c r="Q1899" t="s">
        <v>293</v>
      </c>
      <c r="R1899" t="s">
        <v>627</v>
      </c>
      <c r="S1899">
        <v>0.79</v>
      </c>
      <c r="T1899">
        <v>5605</v>
      </c>
      <c r="U1899">
        <v>229.5</v>
      </c>
      <c r="V1899">
        <v>5834.5</v>
      </c>
    </row>
    <row r="1900" spans="1:22" x14ac:dyDescent="0.3">
      <c r="A1900">
        <v>187830</v>
      </c>
      <c r="B1900">
        <v>136109019</v>
      </c>
      <c r="C1900" t="s">
        <v>9925</v>
      </c>
      <c r="D1900" t="s">
        <v>9926</v>
      </c>
      <c r="E1900" t="s">
        <v>8703</v>
      </c>
      <c r="F1900" t="s">
        <v>844</v>
      </c>
      <c r="G1900" t="s">
        <v>267</v>
      </c>
      <c r="H1900" t="s">
        <v>268</v>
      </c>
      <c r="I1900" t="s">
        <v>34</v>
      </c>
      <c r="J1900" t="s">
        <v>269</v>
      </c>
      <c r="K1900" t="s">
        <v>41</v>
      </c>
      <c r="L1900" t="s">
        <v>9927</v>
      </c>
      <c r="M1900" t="s">
        <v>9928</v>
      </c>
      <c r="N1900" t="s">
        <v>847</v>
      </c>
      <c r="O1900" t="s">
        <v>100</v>
      </c>
      <c r="P1900" t="s">
        <v>9929</v>
      </c>
      <c r="Q1900" t="s">
        <v>105</v>
      </c>
      <c r="R1900" t="s">
        <v>9147</v>
      </c>
      <c r="S1900">
        <v>1.08</v>
      </c>
      <c r="T1900">
        <v>4738</v>
      </c>
      <c r="U1900">
        <v>279.85000000000002</v>
      </c>
      <c r="V1900">
        <v>5017.8500000000004</v>
      </c>
    </row>
    <row r="1901" spans="1:22" x14ac:dyDescent="0.3">
      <c r="A1901">
        <v>187830</v>
      </c>
      <c r="B1901">
        <v>137499208</v>
      </c>
      <c r="C1901" t="s">
        <v>9930</v>
      </c>
      <c r="D1901" t="s">
        <v>9931</v>
      </c>
      <c r="E1901" t="s">
        <v>8703</v>
      </c>
      <c r="F1901" t="s">
        <v>844</v>
      </c>
      <c r="G1901" t="s">
        <v>267</v>
      </c>
      <c r="H1901" t="s">
        <v>268</v>
      </c>
      <c r="I1901" t="s">
        <v>34</v>
      </c>
      <c r="J1901" t="s">
        <v>269</v>
      </c>
      <c r="K1901" t="s">
        <v>41</v>
      </c>
      <c r="L1901" t="s">
        <v>9932</v>
      </c>
      <c r="M1901" t="s">
        <v>9933</v>
      </c>
      <c r="N1901" t="s">
        <v>847</v>
      </c>
      <c r="O1901" t="s">
        <v>100</v>
      </c>
      <c r="P1901" t="s">
        <v>9934</v>
      </c>
      <c r="Q1901" t="s">
        <v>82</v>
      </c>
      <c r="R1901" t="s">
        <v>8718</v>
      </c>
      <c r="S1901">
        <v>0.8</v>
      </c>
      <c r="T1901">
        <v>5317</v>
      </c>
      <c r="U1901">
        <v>229.5</v>
      </c>
      <c r="V1901">
        <v>5546.5</v>
      </c>
    </row>
    <row r="1902" spans="1:22" x14ac:dyDescent="0.3">
      <c r="A1902">
        <v>187830</v>
      </c>
      <c r="B1902">
        <v>137291443</v>
      </c>
      <c r="C1902" t="s">
        <v>9935</v>
      </c>
      <c r="D1902" t="s">
        <v>9936</v>
      </c>
      <c r="E1902" t="s">
        <v>8703</v>
      </c>
      <c r="F1902" t="s">
        <v>844</v>
      </c>
      <c r="G1902" t="s">
        <v>267</v>
      </c>
      <c r="H1902" t="s">
        <v>268</v>
      </c>
      <c r="I1902" t="s">
        <v>34</v>
      </c>
      <c r="J1902" t="s">
        <v>269</v>
      </c>
      <c r="K1902" t="s">
        <v>41</v>
      </c>
      <c r="L1902" t="s">
        <v>9937</v>
      </c>
      <c r="M1902" t="s">
        <v>9938</v>
      </c>
      <c r="N1902" t="s">
        <v>847</v>
      </c>
      <c r="O1902" t="s">
        <v>100</v>
      </c>
      <c r="P1902" t="s">
        <v>9939</v>
      </c>
      <c r="Q1902" t="s">
        <v>62</v>
      </c>
      <c r="R1902" t="s">
        <v>8811</v>
      </c>
      <c r="S1902">
        <v>1.22</v>
      </c>
      <c r="T1902">
        <v>8624</v>
      </c>
      <c r="U1902">
        <v>344</v>
      </c>
      <c r="V1902">
        <v>8968</v>
      </c>
    </row>
    <row r="1903" spans="1:22" x14ac:dyDescent="0.3">
      <c r="A1903">
        <v>187830</v>
      </c>
      <c r="B1903">
        <v>137409419</v>
      </c>
      <c r="C1903" t="s">
        <v>9940</v>
      </c>
      <c r="D1903" t="s">
        <v>9941</v>
      </c>
      <c r="E1903" t="s">
        <v>8703</v>
      </c>
      <c r="F1903" t="s">
        <v>844</v>
      </c>
      <c r="G1903" t="s">
        <v>267</v>
      </c>
      <c r="H1903" t="s">
        <v>268</v>
      </c>
      <c r="I1903" t="s">
        <v>34</v>
      </c>
      <c r="J1903" t="s">
        <v>269</v>
      </c>
      <c r="K1903" t="s">
        <v>41</v>
      </c>
      <c r="L1903" t="s">
        <v>9942</v>
      </c>
      <c r="M1903" t="s">
        <v>9943</v>
      </c>
      <c r="N1903" t="s">
        <v>847</v>
      </c>
      <c r="O1903" t="s">
        <v>100</v>
      </c>
      <c r="P1903" t="s">
        <v>9944</v>
      </c>
      <c r="Q1903" t="s">
        <v>82</v>
      </c>
      <c r="R1903" t="s">
        <v>410</v>
      </c>
      <c r="S1903">
        <v>0.81</v>
      </c>
      <c r="T1903">
        <v>5317</v>
      </c>
      <c r="U1903">
        <v>229.5</v>
      </c>
      <c r="V1903">
        <v>5546.5</v>
      </c>
    </row>
    <row r="1904" spans="1:22" x14ac:dyDescent="0.3">
      <c r="A1904">
        <v>187830</v>
      </c>
      <c r="B1904">
        <v>137206665</v>
      </c>
      <c r="C1904" t="s">
        <v>9945</v>
      </c>
      <c r="D1904" t="s">
        <v>9946</v>
      </c>
      <c r="E1904" t="s">
        <v>8703</v>
      </c>
      <c r="F1904" t="s">
        <v>844</v>
      </c>
      <c r="G1904" t="s">
        <v>267</v>
      </c>
      <c r="H1904" t="s">
        <v>268</v>
      </c>
      <c r="I1904" t="s">
        <v>34</v>
      </c>
      <c r="J1904" t="s">
        <v>269</v>
      </c>
      <c r="K1904" t="s">
        <v>41</v>
      </c>
      <c r="L1904" t="s">
        <v>9947</v>
      </c>
      <c r="M1904" t="s">
        <v>9948</v>
      </c>
      <c r="N1904" t="s">
        <v>847</v>
      </c>
      <c r="O1904" t="s">
        <v>100</v>
      </c>
      <c r="P1904" t="s">
        <v>9949</v>
      </c>
      <c r="Q1904" t="s">
        <v>105</v>
      </c>
      <c r="R1904" t="s">
        <v>447</v>
      </c>
      <c r="S1904">
        <v>0.78</v>
      </c>
      <c r="T1904">
        <v>4481</v>
      </c>
      <c r="U1904">
        <v>343.5</v>
      </c>
      <c r="V1904">
        <v>4824.5</v>
      </c>
    </row>
    <row r="1905" spans="1:22" x14ac:dyDescent="0.3">
      <c r="A1905">
        <v>187830</v>
      </c>
      <c r="B1905">
        <v>136998088</v>
      </c>
      <c r="C1905" t="s">
        <v>9950</v>
      </c>
      <c r="D1905" t="s">
        <v>9951</v>
      </c>
      <c r="E1905" t="s">
        <v>8703</v>
      </c>
      <c r="F1905" t="s">
        <v>844</v>
      </c>
      <c r="G1905" t="s">
        <v>267</v>
      </c>
      <c r="H1905" t="s">
        <v>268</v>
      </c>
      <c r="I1905" t="s">
        <v>34</v>
      </c>
      <c r="J1905" t="s">
        <v>269</v>
      </c>
      <c r="K1905" t="s">
        <v>41</v>
      </c>
      <c r="L1905" t="s">
        <v>162</v>
      </c>
      <c r="M1905" t="s">
        <v>9952</v>
      </c>
      <c r="N1905" t="s">
        <v>847</v>
      </c>
      <c r="O1905" t="s">
        <v>100</v>
      </c>
      <c r="P1905" t="s">
        <v>9953</v>
      </c>
      <c r="Q1905" t="s">
        <v>739</v>
      </c>
      <c r="R1905" t="s">
        <v>8841</v>
      </c>
      <c r="S1905">
        <v>0.66</v>
      </c>
      <c r="T1905">
        <v>6351</v>
      </c>
      <c r="U1905">
        <v>119.5</v>
      </c>
      <c r="V1905">
        <v>6470.5</v>
      </c>
    </row>
    <row r="1906" spans="1:22" x14ac:dyDescent="0.3">
      <c r="A1906">
        <v>187830</v>
      </c>
      <c r="B1906">
        <v>137085788</v>
      </c>
      <c r="C1906" t="s">
        <v>9954</v>
      </c>
      <c r="D1906" t="s">
        <v>9955</v>
      </c>
      <c r="E1906" t="s">
        <v>8703</v>
      </c>
      <c r="F1906" t="s">
        <v>844</v>
      </c>
      <c r="G1906" t="s">
        <v>267</v>
      </c>
      <c r="H1906" t="s">
        <v>268</v>
      </c>
      <c r="I1906" t="s">
        <v>34</v>
      </c>
      <c r="J1906" t="s">
        <v>269</v>
      </c>
      <c r="K1906" t="s">
        <v>41</v>
      </c>
      <c r="L1906" t="s">
        <v>9956</v>
      </c>
      <c r="M1906" t="s">
        <v>9957</v>
      </c>
      <c r="N1906" t="s">
        <v>847</v>
      </c>
      <c r="O1906" t="s">
        <v>100</v>
      </c>
      <c r="P1906" t="s">
        <v>9958</v>
      </c>
      <c r="Q1906" t="s">
        <v>82</v>
      </c>
      <c r="R1906" t="s">
        <v>531</v>
      </c>
      <c r="S1906">
        <v>1.65</v>
      </c>
      <c r="T1906">
        <v>6115</v>
      </c>
      <c r="U1906">
        <v>459</v>
      </c>
      <c r="V1906">
        <v>6574</v>
      </c>
    </row>
    <row r="1907" spans="1:22" x14ac:dyDescent="0.3">
      <c r="A1907">
        <v>187830</v>
      </c>
      <c r="B1907">
        <v>136939951</v>
      </c>
      <c r="C1907" t="s">
        <v>9959</v>
      </c>
      <c r="D1907" t="s">
        <v>9960</v>
      </c>
      <c r="E1907" t="s">
        <v>8703</v>
      </c>
      <c r="F1907" t="s">
        <v>844</v>
      </c>
      <c r="G1907" t="s">
        <v>267</v>
      </c>
      <c r="H1907" t="s">
        <v>268</v>
      </c>
      <c r="I1907" t="s">
        <v>34</v>
      </c>
      <c r="J1907" t="s">
        <v>269</v>
      </c>
      <c r="K1907" t="s">
        <v>41</v>
      </c>
      <c r="L1907" t="s">
        <v>9961</v>
      </c>
      <c r="M1907" t="s">
        <v>9962</v>
      </c>
      <c r="N1907" t="s">
        <v>847</v>
      </c>
      <c r="O1907" t="s">
        <v>100</v>
      </c>
      <c r="P1907" t="s">
        <v>9963</v>
      </c>
      <c r="Q1907" t="s">
        <v>62</v>
      </c>
      <c r="R1907" t="s">
        <v>387</v>
      </c>
      <c r="S1907">
        <v>1.1599999999999999</v>
      </c>
      <c r="T1907">
        <v>8624</v>
      </c>
      <c r="U1907">
        <v>399.85</v>
      </c>
      <c r="V1907">
        <v>9023.85</v>
      </c>
    </row>
    <row r="1908" spans="1:22" x14ac:dyDescent="0.3">
      <c r="A1908">
        <v>187830</v>
      </c>
      <c r="B1908">
        <v>136793115</v>
      </c>
      <c r="C1908" t="s">
        <v>9964</v>
      </c>
      <c r="D1908" t="s">
        <v>9965</v>
      </c>
      <c r="E1908" t="s">
        <v>8703</v>
      </c>
      <c r="F1908" t="s">
        <v>844</v>
      </c>
      <c r="G1908" t="s">
        <v>267</v>
      </c>
      <c r="H1908" t="s">
        <v>268</v>
      </c>
      <c r="I1908" t="s">
        <v>34</v>
      </c>
      <c r="J1908" t="s">
        <v>269</v>
      </c>
      <c r="K1908" t="s">
        <v>41</v>
      </c>
      <c r="L1908" t="s">
        <v>9966</v>
      </c>
      <c r="M1908" t="s">
        <v>9967</v>
      </c>
      <c r="N1908" t="s">
        <v>847</v>
      </c>
      <c r="O1908" t="s">
        <v>100</v>
      </c>
      <c r="P1908" t="s">
        <v>9968</v>
      </c>
      <c r="Q1908" t="s">
        <v>649</v>
      </c>
      <c r="R1908" t="s">
        <v>588</v>
      </c>
      <c r="S1908">
        <v>0.88</v>
      </c>
      <c r="T1908">
        <v>6595</v>
      </c>
      <c r="U1908">
        <v>244.5</v>
      </c>
      <c r="V1908">
        <v>6839.5</v>
      </c>
    </row>
    <row r="1909" spans="1:22" x14ac:dyDescent="0.3">
      <c r="A1909">
        <v>187830</v>
      </c>
      <c r="B1909">
        <v>136724361</v>
      </c>
      <c r="C1909" t="s">
        <v>9969</v>
      </c>
      <c r="D1909" t="s">
        <v>9970</v>
      </c>
      <c r="E1909" t="s">
        <v>8703</v>
      </c>
      <c r="F1909" t="s">
        <v>844</v>
      </c>
      <c r="G1909" t="s">
        <v>267</v>
      </c>
      <c r="H1909" t="s">
        <v>268</v>
      </c>
      <c r="I1909" t="s">
        <v>34</v>
      </c>
      <c r="J1909" t="s">
        <v>269</v>
      </c>
      <c r="K1909" t="s">
        <v>41</v>
      </c>
      <c r="L1909" t="s">
        <v>9971</v>
      </c>
      <c r="M1909" t="s">
        <v>9972</v>
      </c>
      <c r="N1909" t="s">
        <v>847</v>
      </c>
      <c r="O1909" t="s">
        <v>100</v>
      </c>
      <c r="P1909" t="s">
        <v>9973</v>
      </c>
      <c r="Q1909" t="s">
        <v>105</v>
      </c>
      <c r="R1909" t="s">
        <v>9171</v>
      </c>
      <c r="S1909">
        <v>0.2</v>
      </c>
      <c r="T1909">
        <v>4481</v>
      </c>
      <c r="U1909">
        <v>119.5</v>
      </c>
      <c r="V1909">
        <v>4600.5</v>
      </c>
    </row>
    <row r="1910" spans="1:22" x14ac:dyDescent="0.3">
      <c r="A1910">
        <v>187830</v>
      </c>
      <c r="B1910">
        <v>136028804</v>
      </c>
      <c r="C1910" t="s">
        <v>9974</v>
      </c>
      <c r="D1910" t="s">
        <v>9975</v>
      </c>
      <c r="E1910" t="s">
        <v>8703</v>
      </c>
      <c r="F1910" t="s">
        <v>844</v>
      </c>
      <c r="G1910" t="s">
        <v>267</v>
      </c>
      <c r="H1910" t="s">
        <v>268</v>
      </c>
      <c r="I1910" t="s">
        <v>34</v>
      </c>
      <c r="J1910" t="s">
        <v>269</v>
      </c>
      <c r="K1910" t="s">
        <v>41</v>
      </c>
      <c r="L1910" t="s">
        <v>9976</v>
      </c>
      <c r="M1910" t="s">
        <v>9977</v>
      </c>
      <c r="N1910" t="s">
        <v>847</v>
      </c>
      <c r="O1910" t="s">
        <v>100</v>
      </c>
      <c r="P1910" t="s">
        <v>9978</v>
      </c>
      <c r="Q1910" t="s">
        <v>115</v>
      </c>
      <c r="R1910" t="s">
        <v>488</v>
      </c>
      <c r="S1910">
        <v>0.32</v>
      </c>
      <c r="T1910">
        <v>3735</v>
      </c>
      <c r="U1910">
        <v>99.95</v>
      </c>
      <c r="V1910">
        <v>3834.95</v>
      </c>
    </row>
    <row r="1911" spans="1:22" x14ac:dyDescent="0.3">
      <c r="A1911">
        <v>187830</v>
      </c>
      <c r="B1911">
        <v>136274021</v>
      </c>
      <c r="C1911" t="s">
        <v>9979</v>
      </c>
      <c r="D1911" t="s">
        <v>9980</v>
      </c>
      <c r="E1911" t="s">
        <v>8703</v>
      </c>
      <c r="F1911" t="s">
        <v>844</v>
      </c>
      <c r="G1911" t="s">
        <v>267</v>
      </c>
      <c r="H1911" t="s">
        <v>268</v>
      </c>
      <c r="I1911" t="s">
        <v>34</v>
      </c>
      <c r="J1911" t="s">
        <v>269</v>
      </c>
      <c r="K1911" t="s">
        <v>41</v>
      </c>
      <c r="L1911" t="s">
        <v>9981</v>
      </c>
      <c r="M1911" t="s">
        <v>9982</v>
      </c>
      <c r="N1911" t="s">
        <v>847</v>
      </c>
      <c r="O1911" t="s">
        <v>100</v>
      </c>
      <c r="P1911" t="s">
        <v>9983</v>
      </c>
      <c r="Q1911" t="s">
        <v>81</v>
      </c>
      <c r="R1911" t="s">
        <v>785</v>
      </c>
      <c r="S1911">
        <v>2.68</v>
      </c>
      <c r="T1911">
        <v>7337</v>
      </c>
      <c r="U1911">
        <v>549.85</v>
      </c>
      <c r="V1911">
        <v>7886.85</v>
      </c>
    </row>
    <row r="1912" spans="1:22" x14ac:dyDescent="0.3">
      <c r="A1912">
        <v>187830</v>
      </c>
      <c r="B1912">
        <v>136365360</v>
      </c>
      <c r="C1912" t="s">
        <v>9984</v>
      </c>
      <c r="D1912" t="s">
        <v>9985</v>
      </c>
      <c r="E1912" t="s">
        <v>8703</v>
      </c>
      <c r="F1912" t="s">
        <v>844</v>
      </c>
      <c r="G1912" t="s">
        <v>267</v>
      </c>
      <c r="H1912" t="s">
        <v>268</v>
      </c>
      <c r="I1912" t="s">
        <v>34</v>
      </c>
      <c r="J1912" t="s">
        <v>269</v>
      </c>
      <c r="K1912" t="s">
        <v>41</v>
      </c>
      <c r="L1912" t="s">
        <v>9986</v>
      </c>
      <c r="M1912" t="s">
        <v>9987</v>
      </c>
      <c r="N1912" t="s">
        <v>847</v>
      </c>
      <c r="O1912" t="s">
        <v>100</v>
      </c>
      <c r="P1912" t="s">
        <v>9988</v>
      </c>
      <c r="Q1912" t="s">
        <v>82</v>
      </c>
      <c r="R1912" t="s">
        <v>9557</v>
      </c>
      <c r="S1912">
        <v>0.75</v>
      </c>
      <c r="T1912">
        <v>5317</v>
      </c>
      <c r="U1912">
        <v>334.95</v>
      </c>
      <c r="V1912">
        <v>5651.95</v>
      </c>
    </row>
    <row r="1913" spans="1:22" x14ac:dyDescent="0.3">
      <c r="A1913">
        <v>187830</v>
      </c>
      <c r="B1913">
        <v>137329025</v>
      </c>
      <c r="C1913" t="s">
        <v>9989</v>
      </c>
      <c r="D1913" t="s">
        <v>9990</v>
      </c>
      <c r="E1913" t="s">
        <v>8703</v>
      </c>
      <c r="F1913" t="s">
        <v>844</v>
      </c>
      <c r="G1913" t="s">
        <v>172</v>
      </c>
      <c r="H1913" t="s">
        <v>173</v>
      </c>
      <c r="I1913" t="s">
        <v>34</v>
      </c>
      <c r="J1913" t="s">
        <v>272</v>
      </c>
      <c r="K1913" t="s">
        <v>41</v>
      </c>
      <c r="L1913" t="s">
        <v>9991</v>
      </c>
      <c r="M1913" t="s">
        <v>9992</v>
      </c>
      <c r="N1913" t="s">
        <v>847</v>
      </c>
      <c r="O1913" t="s">
        <v>100</v>
      </c>
      <c r="P1913" t="s">
        <v>9993</v>
      </c>
      <c r="Q1913" t="s">
        <v>116</v>
      </c>
      <c r="R1913" t="s">
        <v>680</v>
      </c>
      <c r="S1913">
        <v>0.75</v>
      </c>
      <c r="T1913">
        <v>3915</v>
      </c>
      <c r="U1913">
        <v>0</v>
      </c>
      <c r="V1913">
        <v>3915</v>
      </c>
    </row>
    <row r="1914" spans="1:22" x14ac:dyDescent="0.3">
      <c r="A1914">
        <v>187830</v>
      </c>
      <c r="B1914">
        <v>137499188</v>
      </c>
      <c r="C1914" t="s">
        <v>9994</v>
      </c>
      <c r="D1914" t="s">
        <v>9995</v>
      </c>
      <c r="E1914" t="s">
        <v>8703</v>
      </c>
      <c r="F1914" t="s">
        <v>844</v>
      </c>
      <c r="G1914" t="s">
        <v>172</v>
      </c>
      <c r="H1914" t="s">
        <v>173</v>
      </c>
      <c r="I1914" t="s">
        <v>34</v>
      </c>
      <c r="J1914" t="s">
        <v>272</v>
      </c>
      <c r="K1914" t="s">
        <v>41</v>
      </c>
      <c r="L1914" t="s">
        <v>174</v>
      </c>
      <c r="M1914" t="s">
        <v>9996</v>
      </c>
      <c r="N1914" t="s">
        <v>847</v>
      </c>
      <c r="O1914" t="s">
        <v>100</v>
      </c>
      <c r="P1914" t="s">
        <v>9997</v>
      </c>
      <c r="Q1914" t="s">
        <v>103</v>
      </c>
      <c r="R1914" t="s">
        <v>8718</v>
      </c>
      <c r="S1914">
        <v>1.19</v>
      </c>
      <c r="T1914">
        <v>3915</v>
      </c>
      <c r="U1914">
        <v>0</v>
      </c>
      <c r="V1914">
        <v>3915</v>
      </c>
    </row>
    <row r="1915" spans="1:22" x14ac:dyDescent="0.3">
      <c r="A1915">
        <v>187830</v>
      </c>
      <c r="B1915">
        <v>136998086</v>
      </c>
      <c r="C1915" t="s">
        <v>9998</v>
      </c>
      <c r="D1915" t="s">
        <v>9999</v>
      </c>
      <c r="E1915" t="s">
        <v>8703</v>
      </c>
      <c r="F1915" t="s">
        <v>844</v>
      </c>
      <c r="G1915" t="s">
        <v>172</v>
      </c>
      <c r="H1915" t="s">
        <v>173</v>
      </c>
      <c r="I1915" t="s">
        <v>34</v>
      </c>
      <c r="J1915" t="s">
        <v>272</v>
      </c>
      <c r="K1915" t="s">
        <v>41</v>
      </c>
      <c r="L1915" t="s">
        <v>10000</v>
      </c>
      <c r="M1915" t="s">
        <v>10001</v>
      </c>
      <c r="N1915" t="s">
        <v>847</v>
      </c>
      <c r="O1915" t="s">
        <v>100</v>
      </c>
      <c r="P1915" t="s">
        <v>10002</v>
      </c>
      <c r="Q1915" t="s">
        <v>258</v>
      </c>
      <c r="R1915" t="s">
        <v>8841</v>
      </c>
      <c r="S1915">
        <v>1.58</v>
      </c>
      <c r="T1915">
        <v>7015</v>
      </c>
      <c r="U1915">
        <v>0</v>
      </c>
      <c r="V1915">
        <v>7015</v>
      </c>
    </row>
    <row r="1916" spans="1:22" x14ac:dyDescent="0.3">
      <c r="A1916">
        <v>187830</v>
      </c>
      <c r="B1916">
        <v>136998083</v>
      </c>
      <c r="C1916" t="s">
        <v>10003</v>
      </c>
      <c r="D1916" t="s">
        <v>10004</v>
      </c>
      <c r="E1916" t="s">
        <v>8703</v>
      </c>
      <c r="F1916" t="s">
        <v>844</v>
      </c>
      <c r="G1916" t="s">
        <v>172</v>
      </c>
      <c r="H1916" t="s">
        <v>173</v>
      </c>
      <c r="I1916" t="s">
        <v>34</v>
      </c>
      <c r="J1916" t="s">
        <v>272</v>
      </c>
      <c r="K1916" t="s">
        <v>41</v>
      </c>
      <c r="L1916" t="s">
        <v>10005</v>
      </c>
      <c r="M1916" t="s">
        <v>750</v>
      </c>
      <c r="N1916" t="s">
        <v>847</v>
      </c>
      <c r="O1916" t="s">
        <v>100</v>
      </c>
      <c r="P1916" t="s">
        <v>751</v>
      </c>
      <c r="Q1916" t="s">
        <v>86</v>
      </c>
      <c r="R1916" t="s">
        <v>8841</v>
      </c>
      <c r="S1916">
        <v>2.1</v>
      </c>
      <c r="T1916">
        <v>6800</v>
      </c>
      <c r="U1916">
        <v>0</v>
      </c>
      <c r="V1916">
        <v>6800</v>
      </c>
    </row>
    <row r="1917" spans="1:22" x14ac:dyDescent="0.3">
      <c r="A1917">
        <v>187830</v>
      </c>
      <c r="B1917">
        <v>137206649</v>
      </c>
      <c r="C1917" t="s">
        <v>10006</v>
      </c>
      <c r="D1917" t="s">
        <v>10007</v>
      </c>
      <c r="E1917" t="s">
        <v>8703</v>
      </c>
      <c r="F1917" t="s">
        <v>844</v>
      </c>
      <c r="G1917" t="s">
        <v>172</v>
      </c>
      <c r="H1917" t="s">
        <v>173</v>
      </c>
      <c r="I1917" t="s">
        <v>34</v>
      </c>
      <c r="J1917" t="s">
        <v>272</v>
      </c>
      <c r="K1917" t="s">
        <v>41</v>
      </c>
      <c r="L1917" t="s">
        <v>10008</v>
      </c>
      <c r="M1917" t="s">
        <v>732</v>
      </c>
      <c r="N1917" t="s">
        <v>847</v>
      </c>
      <c r="O1917" t="s">
        <v>100</v>
      </c>
      <c r="P1917" t="s">
        <v>10009</v>
      </c>
      <c r="Q1917" t="s">
        <v>189</v>
      </c>
      <c r="R1917" t="s">
        <v>447</v>
      </c>
      <c r="S1917">
        <v>0.72</v>
      </c>
      <c r="T1917">
        <v>3915</v>
      </c>
      <c r="U1917">
        <v>0</v>
      </c>
      <c r="V1917">
        <v>3915</v>
      </c>
    </row>
    <row r="1918" spans="1:22" x14ac:dyDescent="0.3">
      <c r="A1918">
        <v>187830</v>
      </c>
      <c r="B1918">
        <v>137169501</v>
      </c>
      <c r="C1918" t="s">
        <v>10010</v>
      </c>
      <c r="D1918" t="s">
        <v>10011</v>
      </c>
      <c r="E1918" t="s">
        <v>8703</v>
      </c>
      <c r="F1918" t="s">
        <v>844</v>
      </c>
      <c r="G1918" t="s">
        <v>172</v>
      </c>
      <c r="H1918" t="s">
        <v>173</v>
      </c>
      <c r="I1918" t="s">
        <v>34</v>
      </c>
      <c r="J1918" t="s">
        <v>272</v>
      </c>
      <c r="K1918" t="s">
        <v>41</v>
      </c>
      <c r="L1918" t="s">
        <v>10012</v>
      </c>
      <c r="M1918" t="s">
        <v>10013</v>
      </c>
      <c r="N1918" t="s">
        <v>847</v>
      </c>
      <c r="O1918" t="s">
        <v>100</v>
      </c>
      <c r="P1918" t="s">
        <v>10014</v>
      </c>
      <c r="Q1918" t="s">
        <v>103</v>
      </c>
      <c r="R1918" t="s">
        <v>284</v>
      </c>
      <c r="S1918">
        <v>1.6</v>
      </c>
      <c r="T1918">
        <v>4168</v>
      </c>
      <c r="U1918">
        <v>0</v>
      </c>
      <c r="V1918">
        <v>4168</v>
      </c>
    </row>
    <row r="1919" spans="1:22" x14ac:dyDescent="0.3">
      <c r="A1919">
        <v>187830</v>
      </c>
      <c r="B1919">
        <v>137169502</v>
      </c>
      <c r="C1919" t="s">
        <v>10015</v>
      </c>
      <c r="D1919" t="s">
        <v>10016</v>
      </c>
      <c r="E1919" t="s">
        <v>8703</v>
      </c>
      <c r="F1919" t="s">
        <v>844</v>
      </c>
      <c r="G1919" t="s">
        <v>172</v>
      </c>
      <c r="H1919" t="s">
        <v>173</v>
      </c>
      <c r="I1919" t="s">
        <v>34</v>
      </c>
      <c r="J1919" t="s">
        <v>272</v>
      </c>
      <c r="K1919" t="s">
        <v>41</v>
      </c>
      <c r="L1919" t="s">
        <v>10017</v>
      </c>
      <c r="M1919" t="s">
        <v>10018</v>
      </c>
      <c r="N1919" t="s">
        <v>847</v>
      </c>
      <c r="O1919" t="s">
        <v>100</v>
      </c>
      <c r="P1919" t="s">
        <v>10019</v>
      </c>
      <c r="Q1919" t="s">
        <v>238</v>
      </c>
      <c r="R1919" t="s">
        <v>284</v>
      </c>
      <c r="S1919">
        <v>0.49</v>
      </c>
      <c r="T1919">
        <v>5789</v>
      </c>
      <c r="U1919">
        <v>0</v>
      </c>
      <c r="V1919">
        <v>5789</v>
      </c>
    </row>
    <row r="1920" spans="1:22" x14ac:dyDescent="0.3">
      <c r="A1920">
        <v>187830</v>
      </c>
      <c r="B1920">
        <v>136637659</v>
      </c>
      <c r="C1920" t="s">
        <v>10020</v>
      </c>
      <c r="D1920" t="s">
        <v>10021</v>
      </c>
      <c r="E1920" t="s">
        <v>8703</v>
      </c>
      <c r="F1920" t="s">
        <v>844</v>
      </c>
      <c r="G1920" t="s">
        <v>172</v>
      </c>
      <c r="H1920" t="s">
        <v>173</v>
      </c>
      <c r="I1920" t="s">
        <v>34</v>
      </c>
      <c r="J1920" t="s">
        <v>272</v>
      </c>
      <c r="K1920" t="s">
        <v>41</v>
      </c>
      <c r="L1920" t="s">
        <v>174</v>
      </c>
      <c r="M1920" t="s">
        <v>10022</v>
      </c>
      <c r="N1920" t="s">
        <v>847</v>
      </c>
      <c r="O1920" t="s">
        <v>100</v>
      </c>
      <c r="P1920" t="s">
        <v>10023</v>
      </c>
      <c r="Q1920" t="s">
        <v>258</v>
      </c>
      <c r="R1920" t="s">
        <v>9177</v>
      </c>
      <c r="S1920">
        <v>2.5499999999999998</v>
      </c>
      <c r="T1920">
        <v>7015</v>
      </c>
      <c r="U1920">
        <v>0</v>
      </c>
      <c r="V1920">
        <v>7015</v>
      </c>
    </row>
    <row r="1921" spans="1:22" x14ac:dyDescent="0.3">
      <c r="A1921">
        <v>187830</v>
      </c>
      <c r="B1921">
        <v>136826858</v>
      </c>
      <c r="C1921" t="s">
        <v>10024</v>
      </c>
      <c r="D1921" t="s">
        <v>10025</v>
      </c>
      <c r="E1921" t="s">
        <v>8703</v>
      </c>
      <c r="F1921" t="s">
        <v>844</v>
      </c>
      <c r="G1921" t="s">
        <v>172</v>
      </c>
      <c r="H1921" t="s">
        <v>173</v>
      </c>
      <c r="I1921" t="s">
        <v>34</v>
      </c>
      <c r="J1921" t="s">
        <v>272</v>
      </c>
      <c r="K1921" t="s">
        <v>41</v>
      </c>
      <c r="L1921" t="s">
        <v>10026</v>
      </c>
      <c r="M1921" t="s">
        <v>10027</v>
      </c>
      <c r="N1921" t="s">
        <v>847</v>
      </c>
      <c r="O1921" t="s">
        <v>100</v>
      </c>
      <c r="P1921" t="s">
        <v>10028</v>
      </c>
      <c r="Q1921" t="s">
        <v>102</v>
      </c>
      <c r="R1921" t="s">
        <v>132</v>
      </c>
      <c r="S1921">
        <v>2.23</v>
      </c>
      <c r="T1921">
        <v>4168</v>
      </c>
      <c r="U1921">
        <v>0</v>
      </c>
      <c r="V1921">
        <v>4168</v>
      </c>
    </row>
    <row r="1922" spans="1:22" x14ac:dyDescent="0.3">
      <c r="A1922">
        <v>187830</v>
      </c>
      <c r="B1922">
        <v>135986223</v>
      </c>
      <c r="C1922" t="s">
        <v>10029</v>
      </c>
      <c r="D1922" t="s">
        <v>10030</v>
      </c>
      <c r="E1922" t="s">
        <v>8703</v>
      </c>
      <c r="F1922" t="s">
        <v>844</v>
      </c>
      <c r="G1922" t="s">
        <v>172</v>
      </c>
      <c r="H1922" t="s">
        <v>173</v>
      </c>
      <c r="I1922" t="s">
        <v>34</v>
      </c>
      <c r="J1922" t="s">
        <v>272</v>
      </c>
      <c r="K1922" t="s">
        <v>41</v>
      </c>
      <c r="L1922" t="s">
        <v>10031</v>
      </c>
      <c r="M1922" t="s">
        <v>10032</v>
      </c>
      <c r="N1922" t="s">
        <v>847</v>
      </c>
      <c r="O1922" t="s">
        <v>100</v>
      </c>
      <c r="P1922" t="s">
        <v>10033</v>
      </c>
      <c r="Q1922" t="s">
        <v>102</v>
      </c>
      <c r="R1922" t="s">
        <v>611</v>
      </c>
      <c r="S1922">
        <v>2.5099999999999998</v>
      </c>
      <c r="T1922">
        <v>4168</v>
      </c>
      <c r="U1922">
        <v>0</v>
      </c>
      <c r="V1922">
        <v>4168</v>
      </c>
    </row>
    <row r="1923" spans="1:22" x14ac:dyDescent="0.3">
      <c r="A1923">
        <v>187830</v>
      </c>
      <c r="B1923">
        <v>136028789</v>
      </c>
      <c r="C1923" t="s">
        <v>10034</v>
      </c>
      <c r="D1923" t="s">
        <v>10035</v>
      </c>
      <c r="E1923" t="s">
        <v>8703</v>
      </c>
      <c r="F1923" t="s">
        <v>844</v>
      </c>
      <c r="G1923" t="s">
        <v>172</v>
      </c>
      <c r="H1923" t="s">
        <v>173</v>
      </c>
      <c r="I1923" t="s">
        <v>34</v>
      </c>
      <c r="J1923" t="s">
        <v>272</v>
      </c>
      <c r="K1923" t="s">
        <v>41</v>
      </c>
      <c r="L1923" t="s">
        <v>174</v>
      </c>
      <c r="M1923" t="s">
        <v>10036</v>
      </c>
      <c r="N1923" t="s">
        <v>847</v>
      </c>
      <c r="O1923" t="s">
        <v>100</v>
      </c>
      <c r="P1923" t="s">
        <v>10037</v>
      </c>
      <c r="Q1923" t="s">
        <v>250</v>
      </c>
      <c r="R1923" t="s">
        <v>488</v>
      </c>
      <c r="S1923">
        <v>1.1200000000000001</v>
      </c>
      <c r="T1923">
        <v>6381</v>
      </c>
      <c r="U1923">
        <v>0</v>
      </c>
      <c r="V1923">
        <v>6381</v>
      </c>
    </row>
    <row r="1924" spans="1:22" x14ac:dyDescent="0.3">
      <c r="A1924">
        <v>187830</v>
      </c>
      <c r="B1924">
        <v>135715534</v>
      </c>
      <c r="C1924" t="s">
        <v>10038</v>
      </c>
      <c r="D1924" t="s">
        <v>10039</v>
      </c>
      <c r="E1924" t="s">
        <v>8703</v>
      </c>
      <c r="F1924" t="s">
        <v>844</v>
      </c>
      <c r="G1924" t="s">
        <v>172</v>
      </c>
      <c r="H1924" t="s">
        <v>173</v>
      </c>
      <c r="I1924" t="s">
        <v>34</v>
      </c>
      <c r="J1924" t="s">
        <v>272</v>
      </c>
      <c r="K1924" t="s">
        <v>41</v>
      </c>
      <c r="L1924" t="s">
        <v>10040</v>
      </c>
      <c r="M1924" t="s">
        <v>10041</v>
      </c>
      <c r="N1924" t="s">
        <v>847</v>
      </c>
      <c r="O1924" t="s">
        <v>100</v>
      </c>
      <c r="P1924" t="s">
        <v>10042</v>
      </c>
      <c r="Q1924" t="s">
        <v>131</v>
      </c>
      <c r="R1924" t="s">
        <v>610</v>
      </c>
      <c r="S1924">
        <v>3.62</v>
      </c>
      <c r="T1924">
        <v>6998</v>
      </c>
      <c r="U1924">
        <v>0</v>
      </c>
      <c r="V1924">
        <v>6998</v>
      </c>
    </row>
    <row r="1925" spans="1:22" x14ac:dyDescent="0.3">
      <c r="A1925">
        <v>187830</v>
      </c>
      <c r="B1925">
        <v>136109033</v>
      </c>
      <c r="C1925" t="s">
        <v>10043</v>
      </c>
      <c r="D1925" t="s">
        <v>10044</v>
      </c>
      <c r="E1925" t="s">
        <v>8703</v>
      </c>
      <c r="F1925" t="s">
        <v>844</v>
      </c>
      <c r="G1925" t="s">
        <v>172</v>
      </c>
      <c r="H1925" t="s">
        <v>173</v>
      </c>
      <c r="I1925" t="s">
        <v>34</v>
      </c>
      <c r="J1925" t="s">
        <v>272</v>
      </c>
      <c r="K1925" t="s">
        <v>41</v>
      </c>
      <c r="L1925" t="s">
        <v>174</v>
      </c>
      <c r="M1925" t="s">
        <v>10045</v>
      </c>
      <c r="N1925" t="s">
        <v>847</v>
      </c>
      <c r="O1925" t="s">
        <v>100</v>
      </c>
      <c r="P1925" t="s">
        <v>10046</v>
      </c>
      <c r="Q1925" t="s">
        <v>104</v>
      </c>
      <c r="R1925" t="s">
        <v>9147</v>
      </c>
      <c r="S1925">
        <v>1.03</v>
      </c>
      <c r="T1925">
        <v>3915</v>
      </c>
      <c r="U1925">
        <v>0</v>
      </c>
      <c r="V1925">
        <v>3915</v>
      </c>
    </row>
    <row r="1926" spans="1:22" x14ac:dyDescent="0.3">
      <c r="A1926">
        <v>187830</v>
      </c>
      <c r="B1926">
        <v>136483564</v>
      </c>
      <c r="C1926" t="s">
        <v>10047</v>
      </c>
      <c r="D1926" t="s">
        <v>10048</v>
      </c>
      <c r="E1926" t="s">
        <v>8703</v>
      </c>
      <c r="F1926" t="s">
        <v>844</v>
      </c>
      <c r="G1926" t="s">
        <v>172</v>
      </c>
      <c r="H1926" t="s">
        <v>173</v>
      </c>
      <c r="I1926" t="s">
        <v>34</v>
      </c>
      <c r="J1926" t="s">
        <v>272</v>
      </c>
      <c r="K1926" t="s">
        <v>44</v>
      </c>
      <c r="L1926" t="s">
        <v>10049</v>
      </c>
      <c r="M1926" t="s">
        <v>10050</v>
      </c>
      <c r="N1926" t="s">
        <v>847</v>
      </c>
      <c r="O1926" t="s">
        <v>100</v>
      </c>
      <c r="P1926" t="s">
        <v>10051</v>
      </c>
      <c r="Q1926" t="s">
        <v>282</v>
      </c>
      <c r="R1926" t="s">
        <v>9459</v>
      </c>
      <c r="S1926">
        <v>2.46</v>
      </c>
      <c r="T1926">
        <v>6800</v>
      </c>
      <c r="U1926">
        <v>0</v>
      </c>
      <c r="V1926">
        <v>6800</v>
      </c>
    </row>
    <row r="1927" spans="1:22" x14ac:dyDescent="0.3">
      <c r="A1927">
        <v>187830</v>
      </c>
      <c r="B1927">
        <v>136109049</v>
      </c>
      <c r="C1927" t="s">
        <v>10052</v>
      </c>
      <c r="D1927" t="s">
        <v>10053</v>
      </c>
      <c r="E1927" t="s">
        <v>8703</v>
      </c>
      <c r="F1927" t="s">
        <v>844</v>
      </c>
      <c r="G1927" t="s">
        <v>172</v>
      </c>
      <c r="H1927" t="s">
        <v>173</v>
      </c>
      <c r="I1927" t="s">
        <v>34</v>
      </c>
      <c r="J1927" t="s">
        <v>272</v>
      </c>
      <c r="K1927" t="s">
        <v>41</v>
      </c>
      <c r="L1927" t="s">
        <v>174</v>
      </c>
      <c r="M1927" t="s">
        <v>10054</v>
      </c>
      <c r="N1927" t="s">
        <v>847</v>
      </c>
      <c r="O1927" t="s">
        <v>100</v>
      </c>
      <c r="P1927" t="s">
        <v>10055</v>
      </c>
      <c r="Q1927" t="s">
        <v>102</v>
      </c>
      <c r="R1927" t="s">
        <v>9147</v>
      </c>
      <c r="S1927">
        <v>0.68</v>
      </c>
      <c r="T1927">
        <v>3915</v>
      </c>
      <c r="U1927">
        <v>0</v>
      </c>
      <c r="V1927">
        <v>3915</v>
      </c>
    </row>
    <row r="1928" spans="1:22" x14ac:dyDescent="0.3">
      <c r="A1928">
        <v>187830</v>
      </c>
      <c r="B1928">
        <v>135715555</v>
      </c>
      <c r="C1928" t="s">
        <v>10056</v>
      </c>
      <c r="D1928" t="s">
        <v>10057</v>
      </c>
      <c r="E1928" t="s">
        <v>8703</v>
      </c>
      <c r="F1928" t="s">
        <v>844</v>
      </c>
      <c r="G1928" t="s">
        <v>172</v>
      </c>
      <c r="H1928" t="s">
        <v>173</v>
      </c>
      <c r="I1928" t="s">
        <v>34</v>
      </c>
      <c r="J1928" t="s">
        <v>272</v>
      </c>
      <c r="K1928" t="s">
        <v>44</v>
      </c>
      <c r="L1928" t="s">
        <v>775</v>
      </c>
      <c r="M1928" t="s">
        <v>10058</v>
      </c>
      <c r="N1928" t="s">
        <v>847</v>
      </c>
      <c r="O1928" t="s">
        <v>100</v>
      </c>
      <c r="P1928" t="s">
        <v>10059</v>
      </c>
      <c r="Q1928" t="s">
        <v>175</v>
      </c>
      <c r="R1928" t="s">
        <v>610</v>
      </c>
      <c r="S1928">
        <v>2.66</v>
      </c>
      <c r="T1928">
        <v>7326</v>
      </c>
      <c r="U1928">
        <v>0</v>
      </c>
      <c r="V1928">
        <v>7326</v>
      </c>
    </row>
    <row r="1929" spans="1:22" x14ac:dyDescent="0.3">
      <c r="A1929">
        <v>187830</v>
      </c>
      <c r="B1929">
        <v>135715580</v>
      </c>
      <c r="C1929" t="s">
        <v>10060</v>
      </c>
      <c r="D1929" t="s">
        <v>10061</v>
      </c>
      <c r="E1929" t="s">
        <v>8703</v>
      </c>
      <c r="F1929" t="s">
        <v>844</v>
      </c>
      <c r="G1929" t="s">
        <v>172</v>
      </c>
      <c r="H1929" t="s">
        <v>173</v>
      </c>
      <c r="I1929" t="s">
        <v>34</v>
      </c>
      <c r="J1929" t="s">
        <v>272</v>
      </c>
      <c r="K1929" t="s">
        <v>41</v>
      </c>
      <c r="L1929" t="s">
        <v>10062</v>
      </c>
      <c r="M1929" t="s">
        <v>10063</v>
      </c>
      <c r="N1929" t="s">
        <v>847</v>
      </c>
      <c r="O1929" t="s">
        <v>100</v>
      </c>
      <c r="P1929" t="s">
        <v>10064</v>
      </c>
      <c r="Q1929" t="s">
        <v>102</v>
      </c>
      <c r="R1929" t="s">
        <v>610</v>
      </c>
      <c r="S1929">
        <v>3.34</v>
      </c>
      <c r="T1929">
        <v>4537</v>
      </c>
      <c r="U1929">
        <v>0</v>
      </c>
      <c r="V1929">
        <v>4537</v>
      </c>
    </row>
    <row r="1930" spans="1:22" x14ac:dyDescent="0.3">
      <c r="A1930">
        <v>148303</v>
      </c>
      <c r="B1930">
        <v>135597838</v>
      </c>
      <c r="C1930" t="s">
        <v>10065</v>
      </c>
      <c r="D1930" t="s">
        <v>10066</v>
      </c>
      <c r="E1930" t="s">
        <v>10067</v>
      </c>
      <c r="F1930" t="s">
        <v>844</v>
      </c>
      <c r="G1930" t="s">
        <v>172</v>
      </c>
      <c r="H1930" t="s">
        <v>173</v>
      </c>
      <c r="I1930" t="s">
        <v>34</v>
      </c>
      <c r="J1930" t="s">
        <v>272</v>
      </c>
      <c r="K1930" t="s">
        <v>41</v>
      </c>
      <c r="L1930" t="s">
        <v>10068</v>
      </c>
      <c r="M1930" t="s">
        <v>10069</v>
      </c>
      <c r="N1930" t="s">
        <v>847</v>
      </c>
      <c r="O1930" t="s">
        <v>100</v>
      </c>
      <c r="P1930" t="s">
        <v>10070</v>
      </c>
      <c r="Q1930" t="s">
        <v>72</v>
      </c>
      <c r="R1930" t="s">
        <v>10071</v>
      </c>
      <c r="S1930">
        <v>2.77</v>
      </c>
      <c r="T1930">
        <v>8101</v>
      </c>
      <c r="U1930">
        <v>0</v>
      </c>
      <c r="V1930">
        <v>8101</v>
      </c>
    </row>
    <row r="1931" spans="1:22" x14ac:dyDescent="0.3">
      <c r="A1931">
        <v>148303</v>
      </c>
      <c r="B1931">
        <v>135474759</v>
      </c>
      <c r="C1931" t="s">
        <v>10072</v>
      </c>
      <c r="D1931" t="s">
        <v>10073</v>
      </c>
      <c r="E1931" t="s">
        <v>10067</v>
      </c>
      <c r="F1931" t="s">
        <v>844</v>
      </c>
      <c r="G1931" t="s">
        <v>172</v>
      </c>
      <c r="H1931" t="s">
        <v>173</v>
      </c>
      <c r="I1931" t="s">
        <v>34</v>
      </c>
      <c r="J1931" t="s">
        <v>272</v>
      </c>
      <c r="K1931" t="s">
        <v>41</v>
      </c>
      <c r="L1931" t="s">
        <v>174</v>
      </c>
      <c r="M1931" t="s">
        <v>10074</v>
      </c>
      <c r="N1931" t="s">
        <v>847</v>
      </c>
      <c r="O1931" t="s">
        <v>100</v>
      </c>
      <c r="P1931" t="s">
        <v>10075</v>
      </c>
      <c r="Q1931" t="s">
        <v>189</v>
      </c>
      <c r="R1931" t="s">
        <v>10076</v>
      </c>
      <c r="S1931">
        <v>1.51</v>
      </c>
      <c r="T1931">
        <v>4168</v>
      </c>
      <c r="U1931">
        <v>0</v>
      </c>
      <c r="V1931">
        <v>4168</v>
      </c>
    </row>
    <row r="1932" spans="1:22" x14ac:dyDescent="0.3">
      <c r="A1932">
        <v>148303</v>
      </c>
      <c r="B1932">
        <v>135436271</v>
      </c>
      <c r="C1932" t="s">
        <v>10077</v>
      </c>
      <c r="D1932" t="s">
        <v>10078</v>
      </c>
      <c r="E1932" t="s">
        <v>10067</v>
      </c>
      <c r="F1932" t="s">
        <v>844</v>
      </c>
      <c r="G1932" t="s">
        <v>172</v>
      </c>
      <c r="H1932" t="s">
        <v>173</v>
      </c>
      <c r="I1932" t="s">
        <v>34</v>
      </c>
      <c r="J1932" t="s">
        <v>272</v>
      </c>
      <c r="K1932" t="s">
        <v>41</v>
      </c>
      <c r="L1932" t="s">
        <v>174</v>
      </c>
      <c r="M1932" t="s">
        <v>10079</v>
      </c>
      <c r="N1932" t="s">
        <v>847</v>
      </c>
      <c r="O1932" t="s">
        <v>100</v>
      </c>
      <c r="P1932" t="s">
        <v>10080</v>
      </c>
      <c r="Q1932" t="s">
        <v>224</v>
      </c>
      <c r="R1932" t="s">
        <v>10081</v>
      </c>
      <c r="S1932">
        <v>1.55</v>
      </c>
      <c r="T1932">
        <v>8410</v>
      </c>
      <c r="U1932">
        <v>0</v>
      </c>
      <c r="V1932">
        <v>8410</v>
      </c>
    </row>
    <row r="1933" spans="1:22" x14ac:dyDescent="0.3">
      <c r="A1933">
        <v>148303</v>
      </c>
      <c r="B1933">
        <v>135689849</v>
      </c>
      <c r="C1933" t="s">
        <v>10082</v>
      </c>
      <c r="D1933" t="s">
        <v>10083</v>
      </c>
      <c r="E1933" t="s">
        <v>10067</v>
      </c>
      <c r="F1933" t="s">
        <v>844</v>
      </c>
      <c r="G1933" t="s">
        <v>172</v>
      </c>
      <c r="H1933" t="s">
        <v>173</v>
      </c>
      <c r="I1933" t="s">
        <v>34</v>
      </c>
      <c r="J1933" t="s">
        <v>272</v>
      </c>
      <c r="K1933" t="s">
        <v>41</v>
      </c>
      <c r="L1933" t="s">
        <v>174</v>
      </c>
      <c r="M1933" t="s">
        <v>10084</v>
      </c>
      <c r="N1933" t="s">
        <v>847</v>
      </c>
      <c r="O1933" t="s">
        <v>100</v>
      </c>
      <c r="P1933" t="s">
        <v>10085</v>
      </c>
      <c r="Q1933" t="s">
        <v>68</v>
      </c>
      <c r="R1933" t="s">
        <v>10086</v>
      </c>
      <c r="S1933">
        <v>7.53</v>
      </c>
      <c r="T1933">
        <v>9782</v>
      </c>
      <c r="U1933">
        <v>0</v>
      </c>
      <c r="V1933">
        <v>9782</v>
      </c>
    </row>
    <row r="1934" spans="1:22" x14ac:dyDescent="0.3">
      <c r="A1934">
        <v>148303</v>
      </c>
      <c r="B1934">
        <v>135448159</v>
      </c>
      <c r="C1934" t="s">
        <v>10087</v>
      </c>
      <c r="D1934" t="s">
        <v>10088</v>
      </c>
      <c r="E1934" t="s">
        <v>10067</v>
      </c>
      <c r="F1934" t="s">
        <v>844</v>
      </c>
      <c r="G1934" t="s">
        <v>172</v>
      </c>
      <c r="H1934" t="s">
        <v>173</v>
      </c>
      <c r="I1934" t="s">
        <v>34</v>
      </c>
      <c r="J1934" t="s">
        <v>272</v>
      </c>
      <c r="K1934" t="s">
        <v>41</v>
      </c>
      <c r="L1934" t="s">
        <v>174</v>
      </c>
      <c r="M1934" t="s">
        <v>10089</v>
      </c>
      <c r="N1934" t="s">
        <v>847</v>
      </c>
      <c r="O1934" t="s">
        <v>100</v>
      </c>
      <c r="P1934" t="s">
        <v>10090</v>
      </c>
      <c r="Q1934" t="s">
        <v>804</v>
      </c>
      <c r="R1934" t="s">
        <v>10091</v>
      </c>
      <c r="S1934">
        <v>5.71</v>
      </c>
      <c r="T1934">
        <v>11171</v>
      </c>
      <c r="U1934">
        <v>0</v>
      </c>
      <c r="V1934">
        <v>11171</v>
      </c>
    </row>
    <row r="1935" spans="1:22" x14ac:dyDescent="0.3">
      <c r="A1935">
        <v>148303</v>
      </c>
      <c r="B1935">
        <v>135572903</v>
      </c>
      <c r="C1935" t="s">
        <v>10092</v>
      </c>
      <c r="D1935" t="s">
        <v>10093</v>
      </c>
      <c r="E1935" t="s">
        <v>10067</v>
      </c>
      <c r="F1935" t="s">
        <v>844</v>
      </c>
      <c r="G1935" t="s">
        <v>172</v>
      </c>
      <c r="H1935" t="s">
        <v>173</v>
      </c>
      <c r="I1935" t="s">
        <v>34</v>
      </c>
      <c r="J1935" t="s">
        <v>272</v>
      </c>
      <c r="K1935" t="s">
        <v>41</v>
      </c>
      <c r="L1935" t="s">
        <v>174</v>
      </c>
      <c r="M1935" t="s">
        <v>10094</v>
      </c>
      <c r="N1935" t="s">
        <v>847</v>
      </c>
      <c r="O1935" t="s">
        <v>100</v>
      </c>
      <c r="P1935" t="s">
        <v>10095</v>
      </c>
      <c r="Q1935" t="s">
        <v>61</v>
      </c>
      <c r="R1935" t="s">
        <v>10096</v>
      </c>
      <c r="S1935">
        <v>8.27</v>
      </c>
      <c r="T1935">
        <v>11400</v>
      </c>
      <c r="U1935">
        <v>0</v>
      </c>
      <c r="V1935">
        <v>11400</v>
      </c>
    </row>
    <row r="1936" spans="1:22" x14ac:dyDescent="0.3">
      <c r="A1936">
        <v>148303</v>
      </c>
      <c r="B1936">
        <v>135555300</v>
      </c>
      <c r="C1936" t="s">
        <v>10097</v>
      </c>
      <c r="D1936" t="s">
        <v>10098</v>
      </c>
      <c r="E1936" t="s">
        <v>10067</v>
      </c>
      <c r="F1936" t="s">
        <v>844</v>
      </c>
      <c r="G1936" t="s">
        <v>172</v>
      </c>
      <c r="H1936" t="s">
        <v>173</v>
      </c>
      <c r="I1936" t="s">
        <v>34</v>
      </c>
      <c r="J1936" t="s">
        <v>272</v>
      </c>
      <c r="K1936" t="s">
        <v>41</v>
      </c>
      <c r="L1936" t="s">
        <v>174</v>
      </c>
      <c r="M1936" t="s">
        <v>10099</v>
      </c>
      <c r="N1936" t="s">
        <v>847</v>
      </c>
      <c r="O1936" t="s">
        <v>100</v>
      </c>
      <c r="P1936" t="s">
        <v>10100</v>
      </c>
      <c r="Q1936" t="s">
        <v>72</v>
      </c>
      <c r="R1936" t="s">
        <v>10101</v>
      </c>
      <c r="S1936">
        <v>10.6</v>
      </c>
      <c r="T1936">
        <v>11885</v>
      </c>
      <c r="U1936">
        <v>0</v>
      </c>
      <c r="V1936">
        <v>11885</v>
      </c>
    </row>
    <row r="1937" spans="1:22" x14ac:dyDescent="0.3">
      <c r="A1937">
        <v>148303</v>
      </c>
      <c r="B1937">
        <v>135532378</v>
      </c>
      <c r="C1937" t="s">
        <v>10102</v>
      </c>
      <c r="D1937" t="s">
        <v>10103</v>
      </c>
      <c r="E1937" t="s">
        <v>10067</v>
      </c>
      <c r="F1937" t="s">
        <v>844</v>
      </c>
      <c r="G1937" t="s">
        <v>172</v>
      </c>
      <c r="H1937" t="s">
        <v>173</v>
      </c>
      <c r="I1937" t="s">
        <v>34</v>
      </c>
      <c r="J1937" t="s">
        <v>272</v>
      </c>
      <c r="K1937" t="s">
        <v>41</v>
      </c>
      <c r="L1937" t="s">
        <v>174</v>
      </c>
      <c r="M1937" t="s">
        <v>10104</v>
      </c>
      <c r="N1937" t="s">
        <v>847</v>
      </c>
      <c r="O1937" t="s">
        <v>100</v>
      </c>
      <c r="P1937" t="s">
        <v>10105</v>
      </c>
      <c r="Q1937" t="s">
        <v>226</v>
      </c>
      <c r="R1937" t="s">
        <v>10106</v>
      </c>
      <c r="S1937">
        <v>6.84</v>
      </c>
      <c r="T1937">
        <v>9782</v>
      </c>
      <c r="U1937">
        <v>0</v>
      </c>
      <c r="V1937">
        <v>9782</v>
      </c>
    </row>
    <row r="1938" spans="1:22" x14ac:dyDescent="0.3">
      <c r="A1938">
        <v>148303</v>
      </c>
      <c r="B1938">
        <v>135556239</v>
      </c>
      <c r="C1938" t="s">
        <v>10107</v>
      </c>
      <c r="D1938" t="s">
        <v>10108</v>
      </c>
      <c r="E1938" t="s">
        <v>10067</v>
      </c>
      <c r="F1938" t="s">
        <v>844</v>
      </c>
      <c r="G1938" t="s">
        <v>172</v>
      </c>
      <c r="H1938" t="s">
        <v>173</v>
      </c>
      <c r="I1938" t="s">
        <v>34</v>
      </c>
      <c r="J1938" t="s">
        <v>272</v>
      </c>
      <c r="K1938" t="s">
        <v>41</v>
      </c>
      <c r="L1938" t="s">
        <v>174</v>
      </c>
      <c r="M1938" t="s">
        <v>10109</v>
      </c>
      <c r="N1938" t="s">
        <v>847</v>
      </c>
      <c r="O1938" t="s">
        <v>100</v>
      </c>
      <c r="P1938" t="s">
        <v>10110</v>
      </c>
      <c r="Q1938" t="s">
        <v>93</v>
      </c>
      <c r="R1938" t="s">
        <v>10111</v>
      </c>
      <c r="S1938">
        <v>2.66</v>
      </c>
      <c r="T1938">
        <v>6800</v>
      </c>
      <c r="U1938">
        <v>0</v>
      </c>
      <c r="V1938">
        <v>6800</v>
      </c>
    </row>
    <row r="1939" spans="1:22" x14ac:dyDescent="0.3">
      <c r="A1939">
        <v>148303</v>
      </c>
      <c r="B1939">
        <v>135528065</v>
      </c>
      <c r="C1939" t="s">
        <v>10112</v>
      </c>
      <c r="D1939" t="s">
        <v>10113</v>
      </c>
      <c r="E1939" t="s">
        <v>10067</v>
      </c>
      <c r="F1939" t="s">
        <v>844</v>
      </c>
      <c r="G1939" t="s">
        <v>172</v>
      </c>
      <c r="H1939" t="s">
        <v>173</v>
      </c>
      <c r="I1939" t="s">
        <v>34</v>
      </c>
      <c r="J1939" t="s">
        <v>272</v>
      </c>
      <c r="K1939" t="s">
        <v>41</v>
      </c>
      <c r="L1939" t="s">
        <v>174</v>
      </c>
      <c r="M1939" t="s">
        <v>10114</v>
      </c>
      <c r="N1939" t="s">
        <v>847</v>
      </c>
      <c r="O1939" t="s">
        <v>100</v>
      </c>
      <c r="P1939" t="s">
        <v>10115</v>
      </c>
      <c r="Q1939" t="s">
        <v>92</v>
      </c>
      <c r="R1939" t="s">
        <v>10116</v>
      </c>
      <c r="S1939">
        <v>4.0599999999999996</v>
      </c>
      <c r="T1939">
        <v>7224</v>
      </c>
      <c r="U1939">
        <v>0</v>
      </c>
      <c r="V1939">
        <v>7224</v>
      </c>
    </row>
    <row r="1940" spans="1:22" x14ac:dyDescent="0.3">
      <c r="A1940">
        <v>148303</v>
      </c>
      <c r="B1940">
        <v>135525330</v>
      </c>
      <c r="C1940" t="s">
        <v>10117</v>
      </c>
      <c r="D1940" t="s">
        <v>10118</v>
      </c>
      <c r="E1940" t="s">
        <v>10067</v>
      </c>
      <c r="F1940" t="s">
        <v>844</v>
      </c>
      <c r="G1940" t="s">
        <v>172</v>
      </c>
      <c r="H1940" t="s">
        <v>173</v>
      </c>
      <c r="I1940" t="s">
        <v>34</v>
      </c>
      <c r="J1940" t="s">
        <v>272</v>
      </c>
      <c r="K1940" t="s">
        <v>41</v>
      </c>
      <c r="L1940" t="s">
        <v>174</v>
      </c>
      <c r="M1940" t="s">
        <v>10119</v>
      </c>
      <c r="N1940" t="s">
        <v>847</v>
      </c>
      <c r="O1940" t="s">
        <v>100</v>
      </c>
      <c r="P1940" t="s">
        <v>10120</v>
      </c>
      <c r="Q1940" t="s">
        <v>210</v>
      </c>
      <c r="R1940" t="s">
        <v>829</v>
      </c>
      <c r="S1940">
        <v>9.3699999999999992</v>
      </c>
      <c r="T1940">
        <v>11400</v>
      </c>
      <c r="U1940">
        <v>0</v>
      </c>
      <c r="V1940">
        <v>11400</v>
      </c>
    </row>
    <row r="1941" spans="1:22" x14ac:dyDescent="0.3">
      <c r="A1941">
        <v>148303</v>
      </c>
      <c r="B1941">
        <v>135354323</v>
      </c>
      <c r="C1941" t="s">
        <v>10121</v>
      </c>
      <c r="D1941" t="s">
        <v>10122</v>
      </c>
      <c r="E1941" t="s">
        <v>10067</v>
      </c>
      <c r="F1941" t="s">
        <v>844</v>
      </c>
      <c r="G1941" t="s">
        <v>172</v>
      </c>
      <c r="H1941" t="s">
        <v>173</v>
      </c>
      <c r="I1941" t="s">
        <v>34</v>
      </c>
      <c r="J1941" t="s">
        <v>272</v>
      </c>
      <c r="K1941" t="s">
        <v>41</v>
      </c>
      <c r="L1941" t="s">
        <v>174</v>
      </c>
      <c r="M1941" t="s">
        <v>10123</v>
      </c>
      <c r="N1941" t="s">
        <v>847</v>
      </c>
      <c r="O1941" t="s">
        <v>100</v>
      </c>
      <c r="P1941" t="s">
        <v>10124</v>
      </c>
      <c r="Q1941" t="s">
        <v>58</v>
      </c>
      <c r="R1941" t="s">
        <v>10125</v>
      </c>
      <c r="S1941">
        <v>26.54</v>
      </c>
      <c r="T1941">
        <v>30029</v>
      </c>
      <c r="U1941">
        <v>0</v>
      </c>
      <c r="V1941">
        <v>30029</v>
      </c>
    </row>
    <row r="1942" spans="1:22" x14ac:dyDescent="0.3">
      <c r="A1942">
        <v>148303</v>
      </c>
      <c r="B1942">
        <v>135615292</v>
      </c>
      <c r="C1942" t="s">
        <v>10126</v>
      </c>
      <c r="D1942" t="s">
        <v>10127</v>
      </c>
      <c r="E1942" t="s">
        <v>10067</v>
      </c>
      <c r="F1942" t="s">
        <v>844</v>
      </c>
      <c r="G1942" t="s">
        <v>172</v>
      </c>
      <c r="H1942" t="s">
        <v>173</v>
      </c>
      <c r="I1942" t="s">
        <v>34</v>
      </c>
      <c r="J1942" t="s">
        <v>272</v>
      </c>
      <c r="K1942" t="s">
        <v>41</v>
      </c>
      <c r="L1942" t="s">
        <v>10128</v>
      </c>
      <c r="M1942" t="s">
        <v>10129</v>
      </c>
      <c r="N1942" t="s">
        <v>847</v>
      </c>
      <c r="O1942" t="s">
        <v>100</v>
      </c>
      <c r="P1942" t="s">
        <v>10130</v>
      </c>
      <c r="Q1942" t="s">
        <v>263</v>
      </c>
      <c r="R1942" t="s">
        <v>687</v>
      </c>
      <c r="S1942">
        <v>3.4</v>
      </c>
      <c r="T1942">
        <v>10944</v>
      </c>
      <c r="U1942">
        <v>0</v>
      </c>
      <c r="V1942">
        <v>10944</v>
      </c>
    </row>
    <row r="1943" spans="1:22" x14ac:dyDescent="0.3">
      <c r="A1943">
        <v>148303</v>
      </c>
      <c r="B1943">
        <v>135592636</v>
      </c>
      <c r="C1943" t="s">
        <v>10131</v>
      </c>
      <c r="D1943" t="s">
        <v>10132</v>
      </c>
      <c r="E1943" t="s">
        <v>10067</v>
      </c>
      <c r="F1943" t="s">
        <v>844</v>
      </c>
      <c r="G1943" t="s">
        <v>172</v>
      </c>
      <c r="H1943" t="s">
        <v>173</v>
      </c>
      <c r="I1943" t="s">
        <v>34</v>
      </c>
      <c r="J1943" t="s">
        <v>272</v>
      </c>
      <c r="K1943" t="s">
        <v>41</v>
      </c>
      <c r="L1943" t="s">
        <v>10133</v>
      </c>
      <c r="M1943" t="s">
        <v>10134</v>
      </c>
      <c r="N1943" t="s">
        <v>847</v>
      </c>
      <c r="O1943" t="s">
        <v>100</v>
      </c>
      <c r="P1943" t="s">
        <v>10135</v>
      </c>
      <c r="Q1943" t="s">
        <v>50</v>
      </c>
      <c r="R1943" t="s">
        <v>731</v>
      </c>
      <c r="S1943">
        <v>2.0099999999999998</v>
      </c>
      <c r="T1943">
        <v>8230</v>
      </c>
      <c r="U1943">
        <v>0</v>
      </c>
      <c r="V1943">
        <v>8230</v>
      </c>
    </row>
    <row r="1944" spans="1:22" x14ac:dyDescent="0.3">
      <c r="A1944">
        <v>148303</v>
      </c>
      <c r="B1944">
        <v>135711806</v>
      </c>
      <c r="C1944" t="s">
        <v>10136</v>
      </c>
      <c r="D1944" t="s">
        <v>10137</v>
      </c>
      <c r="E1944" t="s">
        <v>10067</v>
      </c>
      <c r="F1944" t="s">
        <v>844</v>
      </c>
      <c r="G1944" t="s">
        <v>172</v>
      </c>
      <c r="H1944" t="s">
        <v>173</v>
      </c>
      <c r="I1944" t="s">
        <v>34</v>
      </c>
      <c r="J1944" t="s">
        <v>272</v>
      </c>
      <c r="K1944" t="s">
        <v>41</v>
      </c>
      <c r="L1944" t="s">
        <v>174</v>
      </c>
      <c r="M1944" t="s">
        <v>10138</v>
      </c>
      <c r="N1944" t="s">
        <v>847</v>
      </c>
      <c r="O1944" t="s">
        <v>100</v>
      </c>
      <c r="P1944" t="s">
        <v>10139</v>
      </c>
      <c r="Q1944" t="s">
        <v>54</v>
      </c>
      <c r="R1944" t="s">
        <v>655</v>
      </c>
      <c r="S1944">
        <v>2.76</v>
      </c>
      <c r="T1944">
        <v>9906</v>
      </c>
      <c r="U1944">
        <v>0</v>
      </c>
      <c r="V1944">
        <v>9906</v>
      </c>
    </row>
    <row r="1945" spans="1:22" x14ac:dyDescent="0.3">
      <c r="A1945">
        <v>148303</v>
      </c>
      <c r="B1945">
        <v>135572510</v>
      </c>
      <c r="C1945" t="s">
        <v>10140</v>
      </c>
      <c r="D1945" t="s">
        <v>10141</v>
      </c>
      <c r="E1945" t="s">
        <v>10067</v>
      </c>
      <c r="F1945" t="s">
        <v>844</v>
      </c>
      <c r="G1945" t="s">
        <v>172</v>
      </c>
      <c r="H1945" t="s">
        <v>173</v>
      </c>
      <c r="I1945" t="s">
        <v>34</v>
      </c>
      <c r="J1945" t="s">
        <v>272</v>
      </c>
      <c r="K1945" t="s">
        <v>41</v>
      </c>
      <c r="L1945" t="s">
        <v>174</v>
      </c>
      <c r="M1945" t="s">
        <v>10142</v>
      </c>
      <c r="N1945" t="s">
        <v>847</v>
      </c>
      <c r="O1945" t="s">
        <v>100</v>
      </c>
      <c r="P1945" t="s">
        <v>10143</v>
      </c>
      <c r="Q1945" t="s">
        <v>54</v>
      </c>
      <c r="R1945" t="s">
        <v>10144</v>
      </c>
      <c r="S1945">
        <v>2.4700000000000002</v>
      </c>
      <c r="T1945">
        <v>9906</v>
      </c>
      <c r="U1945">
        <v>0</v>
      </c>
      <c r="V1945">
        <v>9906</v>
      </c>
    </row>
    <row r="1946" spans="1:22" x14ac:dyDescent="0.3">
      <c r="A1946">
        <v>148303</v>
      </c>
      <c r="B1946">
        <v>135710367</v>
      </c>
      <c r="C1946" t="s">
        <v>10145</v>
      </c>
      <c r="D1946" t="s">
        <v>10146</v>
      </c>
      <c r="E1946" t="s">
        <v>10067</v>
      </c>
      <c r="F1946" t="s">
        <v>844</v>
      </c>
      <c r="G1946" t="s">
        <v>172</v>
      </c>
      <c r="H1946" t="s">
        <v>173</v>
      </c>
      <c r="I1946" t="s">
        <v>34</v>
      </c>
      <c r="J1946" t="s">
        <v>272</v>
      </c>
      <c r="K1946" t="s">
        <v>41</v>
      </c>
      <c r="L1946" t="s">
        <v>174</v>
      </c>
      <c r="M1946" t="s">
        <v>10147</v>
      </c>
      <c r="N1946" t="s">
        <v>847</v>
      </c>
      <c r="O1946" t="s">
        <v>100</v>
      </c>
      <c r="P1946" t="s">
        <v>10148</v>
      </c>
      <c r="Q1946" t="s">
        <v>277</v>
      </c>
      <c r="R1946" t="s">
        <v>437</v>
      </c>
      <c r="S1946">
        <v>3.58</v>
      </c>
      <c r="T1946">
        <v>7943</v>
      </c>
      <c r="U1946">
        <v>0</v>
      </c>
      <c r="V1946">
        <v>7943</v>
      </c>
    </row>
    <row r="1947" spans="1:22" x14ac:dyDescent="0.3">
      <c r="A1947">
        <v>148303</v>
      </c>
      <c r="B1947">
        <v>135669834</v>
      </c>
      <c r="C1947" t="s">
        <v>10149</v>
      </c>
      <c r="D1947" t="s">
        <v>10150</v>
      </c>
      <c r="E1947" t="s">
        <v>10067</v>
      </c>
      <c r="F1947" t="s">
        <v>844</v>
      </c>
      <c r="G1947" t="s">
        <v>172</v>
      </c>
      <c r="H1947" t="s">
        <v>173</v>
      </c>
      <c r="I1947" t="s">
        <v>34</v>
      </c>
      <c r="J1947" t="s">
        <v>272</v>
      </c>
      <c r="K1947" t="s">
        <v>41</v>
      </c>
      <c r="L1947" t="s">
        <v>174</v>
      </c>
      <c r="M1947" t="s">
        <v>10151</v>
      </c>
      <c r="N1947" t="s">
        <v>847</v>
      </c>
      <c r="O1947" t="s">
        <v>100</v>
      </c>
      <c r="P1947" t="s">
        <v>10152</v>
      </c>
      <c r="Q1947" t="s">
        <v>61</v>
      </c>
      <c r="R1947" t="s">
        <v>10153</v>
      </c>
      <c r="S1947">
        <v>1.1399999999999999</v>
      </c>
      <c r="T1947">
        <v>8256</v>
      </c>
      <c r="U1947">
        <v>0</v>
      </c>
      <c r="V1947">
        <v>8256</v>
      </c>
    </row>
    <row r="1948" spans="1:22" x14ac:dyDescent="0.3">
      <c r="A1948">
        <v>148303</v>
      </c>
      <c r="B1948">
        <v>135698920</v>
      </c>
      <c r="C1948" t="s">
        <v>10154</v>
      </c>
      <c r="D1948" t="s">
        <v>10155</v>
      </c>
      <c r="E1948" t="s">
        <v>10067</v>
      </c>
      <c r="F1948" t="s">
        <v>844</v>
      </c>
      <c r="G1948" t="s">
        <v>172</v>
      </c>
      <c r="H1948" t="s">
        <v>173</v>
      </c>
      <c r="I1948" t="s">
        <v>34</v>
      </c>
      <c r="J1948" t="s">
        <v>272</v>
      </c>
      <c r="K1948" t="s">
        <v>41</v>
      </c>
      <c r="L1948" t="s">
        <v>174</v>
      </c>
      <c r="M1948" t="s">
        <v>10156</v>
      </c>
      <c r="N1948" t="s">
        <v>847</v>
      </c>
      <c r="O1948" t="s">
        <v>100</v>
      </c>
      <c r="P1948" t="s">
        <v>10157</v>
      </c>
      <c r="Q1948" t="s">
        <v>69</v>
      </c>
      <c r="R1948" t="s">
        <v>285</v>
      </c>
      <c r="S1948">
        <v>2.7</v>
      </c>
      <c r="T1948">
        <v>7945</v>
      </c>
      <c r="U1948">
        <v>0</v>
      </c>
      <c r="V1948">
        <v>7945</v>
      </c>
    </row>
    <row r="1949" spans="1:22" x14ac:dyDescent="0.3">
      <c r="A1949">
        <v>148303</v>
      </c>
      <c r="B1949">
        <v>135642832</v>
      </c>
      <c r="C1949" t="s">
        <v>10158</v>
      </c>
      <c r="D1949" t="s">
        <v>10159</v>
      </c>
      <c r="E1949" t="s">
        <v>10067</v>
      </c>
      <c r="F1949" t="s">
        <v>844</v>
      </c>
      <c r="G1949" t="s">
        <v>172</v>
      </c>
      <c r="H1949" t="s">
        <v>173</v>
      </c>
      <c r="I1949" t="s">
        <v>34</v>
      </c>
      <c r="J1949" t="s">
        <v>272</v>
      </c>
      <c r="K1949" t="s">
        <v>41</v>
      </c>
      <c r="L1949" t="s">
        <v>174</v>
      </c>
      <c r="M1949" t="s">
        <v>10160</v>
      </c>
      <c r="N1949" t="s">
        <v>847</v>
      </c>
      <c r="O1949" t="s">
        <v>100</v>
      </c>
      <c r="P1949" t="s">
        <v>10161</v>
      </c>
      <c r="Q1949" t="s">
        <v>76</v>
      </c>
      <c r="R1949" t="s">
        <v>10162</v>
      </c>
      <c r="S1949">
        <v>1.54</v>
      </c>
      <c r="T1949">
        <v>7945</v>
      </c>
      <c r="U1949">
        <v>0</v>
      </c>
      <c r="V1949">
        <v>7945</v>
      </c>
    </row>
    <row r="1950" spans="1:22" x14ac:dyDescent="0.3">
      <c r="A1950">
        <v>148303</v>
      </c>
      <c r="B1950">
        <v>135445200</v>
      </c>
      <c r="C1950" t="s">
        <v>10163</v>
      </c>
      <c r="D1950" t="s">
        <v>10164</v>
      </c>
      <c r="E1950" t="s">
        <v>10067</v>
      </c>
      <c r="F1950" t="s">
        <v>844</v>
      </c>
      <c r="G1950" t="s">
        <v>172</v>
      </c>
      <c r="H1950" t="s">
        <v>173</v>
      </c>
      <c r="I1950" t="s">
        <v>34</v>
      </c>
      <c r="J1950" t="s">
        <v>272</v>
      </c>
      <c r="K1950" t="s">
        <v>41</v>
      </c>
      <c r="L1950" t="s">
        <v>174</v>
      </c>
      <c r="M1950" t="s">
        <v>10165</v>
      </c>
      <c r="N1950" t="s">
        <v>847</v>
      </c>
      <c r="O1950" t="s">
        <v>100</v>
      </c>
      <c r="P1950" t="s">
        <v>10166</v>
      </c>
      <c r="Q1950" t="s">
        <v>230</v>
      </c>
      <c r="R1950" t="s">
        <v>10167</v>
      </c>
      <c r="S1950">
        <v>4.12</v>
      </c>
      <c r="T1950">
        <v>11171</v>
      </c>
      <c r="U1950">
        <v>0</v>
      </c>
      <c r="V1950">
        <v>11171</v>
      </c>
    </row>
    <row r="1951" spans="1:22" x14ac:dyDescent="0.3">
      <c r="A1951">
        <v>148303</v>
      </c>
      <c r="B1951">
        <v>135709653</v>
      </c>
      <c r="C1951" t="s">
        <v>10168</v>
      </c>
      <c r="D1951" t="s">
        <v>10169</v>
      </c>
      <c r="E1951" t="s">
        <v>10067</v>
      </c>
      <c r="F1951" t="s">
        <v>844</v>
      </c>
      <c r="G1951" t="s">
        <v>172</v>
      </c>
      <c r="H1951" t="s">
        <v>173</v>
      </c>
      <c r="I1951" t="s">
        <v>34</v>
      </c>
      <c r="J1951" t="s">
        <v>272</v>
      </c>
      <c r="K1951" t="s">
        <v>41</v>
      </c>
      <c r="L1951" t="s">
        <v>174</v>
      </c>
      <c r="M1951" t="s">
        <v>10170</v>
      </c>
      <c r="N1951" t="s">
        <v>847</v>
      </c>
      <c r="O1951" t="s">
        <v>100</v>
      </c>
      <c r="P1951" t="s">
        <v>10171</v>
      </c>
      <c r="Q1951" t="s">
        <v>60</v>
      </c>
      <c r="R1951" t="s">
        <v>800</v>
      </c>
      <c r="S1951">
        <v>1.95</v>
      </c>
      <c r="T1951">
        <v>8940</v>
      </c>
      <c r="U1951">
        <v>0</v>
      </c>
      <c r="V1951">
        <v>8940</v>
      </c>
    </row>
    <row r="1952" spans="1:22" x14ac:dyDescent="0.3">
      <c r="A1952">
        <v>148303</v>
      </c>
      <c r="B1952">
        <v>135667024</v>
      </c>
      <c r="C1952" t="s">
        <v>10172</v>
      </c>
      <c r="D1952" t="s">
        <v>10173</v>
      </c>
      <c r="E1952" t="s">
        <v>10067</v>
      </c>
      <c r="F1952" t="s">
        <v>844</v>
      </c>
      <c r="G1952" t="s">
        <v>172</v>
      </c>
      <c r="H1952" t="s">
        <v>173</v>
      </c>
      <c r="I1952" t="s">
        <v>34</v>
      </c>
      <c r="J1952" t="s">
        <v>272</v>
      </c>
      <c r="K1952" t="s">
        <v>41</v>
      </c>
      <c r="L1952" t="s">
        <v>174</v>
      </c>
      <c r="M1952" t="s">
        <v>10174</v>
      </c>
      <c r="N1952" t="s">
        <v>847</v>
      </c>
      <c r="O1952" t="s">
        <v>100</v>
      </c>
      <c r="P1952" t="s">
        <v>10175</v>
      </c>
      <c r="Q1952" t="s">
        <v>49</v>
      </c>
      <c r="R1952" t="s">
        <v>579</v>
      </c>
      <c r="S1952">
        <v>1.5</v>
      </c>
      <c r="T1952">
        <v>7289</v>
      </c>
      <c r="U1952">
        <v>0</v>
      </c>
      <c r="V1952">
        <v>7289</v>
      </c>
    </row>
    <row r="1953" spans="1:22" x14ac:dyDescent="0.3">
      <c r="A1953">
        <v>148303</v>
      </c>
      <c r="B1953">
        <v>137344549</v>
      </c>
      <c r="C1953" t="s">
        <v>10176</v>
      </c>
      <c r="D1953" t="s">
        <v>10177</v>
      </c>
      <c r="E1953" t="s">
        <v>10067</v>
      </c>
      <c r="F1953" t="s">
        <v>844</v>
      </c>
      <c r="G1953" t="s">
        <v>172</v>
      </c>
      <c r="H1953" t="s">
        <v>173</v>
      </c>
      <c r="I1953" t="s">
        <v>34</v>
      </c>
      <c r="J1953" t="s">
        <v>272</v>
      </c>
      <c r="K1953" t="s">
        <v>41</v>
      </c>
      <c r="L1953" t="s">
        <v>174</v>
      </c>
      <c r="M1953" t="s">
        <v>10178</v>
      </c>
      <c r="N1953" t="s">
        <v>847</v>
      </c>
      <c r="O1953" t="s">
        <v>100</v>
      </c>
      <c r="P1953" t="s">
        <v>10179</v>
      </c>
      <c r="Q1953" t="s">
        <v>55</v>
      </c>
      <c r="R1953" t="s">
        <v>10180</v>
      </c>
      <c r="S1953">
        <v>4.8099999999999996</v>
      </c>
      <c r="T1953">
        <v>10083</v>
      </c>
      <c r="U1953">
        <v>0</v>
      </c>
      <c r="V1953">
        <v>10083</v>
      </c>
    </row>
    <row r="1954" spans="1:22" x14ac:dyDescent="0.3">
      <c r="A1954">
        <v>148303</v>
      </c>
      <c r="B1954">
        <v>137314215</v>
      </c>
      <c r="C1954" t="s">
        <v>10181</v>
      </c>
      <c r="D1954" t="s">
        <v>10182</v>
      </c>
      <c r="E1954" t="s">
        <v>10067</v>
      </c>
      <c r="F1954" t="s">
        <v>844</v>
      </c>
      <c r="G1954" t="s">
        <v>172</v>
      </c>
      <c r="H1954" t="s">
        <v>173</v>
      </c>
      <c r="I1954" t="s">
        <v>34</v>
      </c>
      <c r="J1954" t="s">
        <v>272</v>
      </c>
      <c r="K1954" t="s">
        <v>41</v>
      </c>
      <c r="L1954" t="s">
        <v>174</v>
      </c>
      <c r="M1954" t="s">
        <v>10183</v>
      </c>
      <c r="N1954" t="s">
        <v>847</v>
      </c>
      <c r="O1954" t="s">
        <v>100</v>
      </c>
      <c r="P1954" t="s">
        <v>10184</v>
      </c>
      <c r="Q1954" t="s">
        <v>94</v>
      </c>
      <c r="R1954" t="s">
        <v>10185</v>
      </c>
      <c r="S1954">
        <v>3.22</v>
      </c>
      <c r="T1954">
        <v>7129</v>
      </c>
      <c r="U1954">
        <v>0</v>
      </c>
      <c r="V1954">
        <v>7129</v>
      </c>
    </row>
    <row r="1955" spans="1:22" x14ac:dyDescent="0.3">
      <c r="A1955">
        <v>148303</v>
      </c>
      <c r="B1955">
        <v>137244860</v>
      </c>
      <c r="C1955" t="s">
        <v>10186</v>
      </c>
      <c r="D1955" t="s">
        <v>10187</v>
      </c>
      <c r="E1955" t="s">
        <v>10067</v>
      </c>
      <c r="F1955" t="s">
        <v>844</v>
      </c>
      <c r="G1955" t="s">
        <v>172</v>
      </c>
      <c r="H1955" t="s">
        <v>173</v>
      </c>
      <c r="I1955" t="s">
        <v>34</v>
      </c>
      <c r="J1955" t="s">
        <v>272</v>
      </c>
      <c r="K1955" t="s">
        <v>41</v>
      </c>
      <c r="L1955" t="s">
        <v>174</v>
      </c>
      <c r="M1955" t="s">
        <v>10188</v>
      </c>
      <c r="N1955" t="s">
        <v>847</v>
      </c>
      <c r="O1955" t="s">
        <v>100</v>
      </c>
      <c r="P1955" t="s">
        <v>10189</v>
      </c>
      <c r="Q1955" t="s">
        <v>64</v>
      </c>
      <c r="R1955" t="s">
        <v>10190</v>
      </c>
      <c r="S1955">
        <v>4.1500000000000004</v>
      </c>
      <c r="T1955">
        <v>8964</v>
      </c>
      <c r="U1955">
        <v>0</v>
      </c>
      <c r="V1955">
        <v>8964</v>
      </c>
    </row>
    <row r="1956" spans="1:22" x14ac:dyDescent="0.3">
      <c r="A1956">
        <v>148303</v>
      </c>
      <c r="B1956">
        <v>137328005</v>
      </c>
      <c r="C1956" t="s">
        <v>10191</v>
      </c>
      <c r="D1956" t="s">
        <v>10192</v>
      </c>
      <c r="E1956" t="s">
        <v>10067</v>
      </c>
      <c r="F1956" t="s">
        <v>844</v>
      </c>
      <c r="G1956" t="s">
        <v>172</v>
      </c>
      <c r="H1956" t="s">
        <v>173</v>
      </c>
      <c r="I1956" t="s">
        <v>34</v>
      </c>
      <c r="J1956" t="s">
        <v>272</v>
      </c>
      <c r="K1956" t="s">
        <v>41</v>
      </c>
      <c r="L1956" t="s">
        <v>174</v>
      </c>
      <c r="M1956" t="s">
        <v>10193</v>
      </c>
      <c r="N1956" t="s">
        <v>847</v>
      </c>
      <c r="O1956" t="s">
        <v>100</v>
      </c>
      <c r="P1956" t="s">
        <v>10194</v>
      </c>
      <c r="Q1956" t="s">
        <v>72</v>
      </c>
      <c r="R1956" t="s">
        <v>546</v>
      </c>
      <c r="S1956">
        <v>1.35</v>
      </c>
      <c r="T1956">
        <v>7289</v>
      </c>
      <c r="U1956">
        <v>0</v>
      </c>
      <c r="V1956">
        <v>7289</v>
      </c>
    </row>
    <row r="1957" spans="1:22" x14ac:dyDescent="0.3">
      <c r="A1957">
        <v>148303</v>
      </c>
      <c r="B1957">
        <v>137261966</v>
      </c>
      <c r="C1957" t="s">
        <v>10195</v>
      </c>
      <c r="D1957" t="s">
        <v>10196</v>
      </c>
      <c r="E1957" t="s">
        <v>10067</v>
      </c>
      <c r="F1957" t="s">
        <v>844</v>
      </c>
      <c r="G1957" t="s">
        <v>172</v>
      </c>
      <c r="H1957" t="s">
        <v>173</v>
      </c>
      <c r="I1957" t="s">
        <v>34</v>
      </c>
      <c r="J1957" t="s">
        <v>272</v>
      </c>
      <c r="K1957" t="s">
        <v>41</v>
      </c>
      <c r="L1957" t="s">
        <v>174</v>
      </c>
      <c r="M1957" t="s">
        <v>10197</v>
      </c>
      <c r="N1957" t="s">
        <v>847</v>
      </c>
      <c r="O1957" t="s">
        <v>100</v>
      </c>
      <c r="P1957" t="s">
        <v>10198</v>
      </c>
      <c r="Q1957" t="s">
        <v>103</v>
      </c>
      <c r="R1957" t="s">
        <v>352</v>
      </c>
      <c r="S1957">
        <v>1.68</v>
      </c>
      <c r="T1957">
        <v>4168</v>
      </c>
      <c r="U1957">
        <v>0</v>
      </c>
      <c r="V1957">
        <v>4168</v>
      </c>
    </row>
    <row r="1958" spans="1:22" x14ac:dyDescent="0.3">
      <c r="A1958">
        <v>148303</v>
      </c>
      <c r="B1958">
        <v>137398483</v>
      </c>
      <c r="C1958" t="s">
        <v>10199</v>
      </c>
      <c r="D1958" t="s">
        <v>10200</v>
      </c>
      <c r="E1958" t="s">
        <v>10067</v>
      </c>
      <c r="F1958" t="s">
        <v>844</v>
      </c>
      <c r="G1958" t="s">
        <v>172</v>
      </c>
      <c r="H1958" t="s">
        <v>173</v>
      </c>
      <c r="I1958" t="s">
        <v>34</v>
      </c>
      <c r="J1958" t="s">
        <v>272</v>
      </c>
      <c r="K1958" t="s">
        <v>41</v>
      </c>
      <c r="L1958" t="s">
        <v>10201</v>
      </c>
      <c r="M1958" t="s">
        <v>10202</v>
      </c>
      <c r="N1958" t="s">
        <v>847</v>
      </c>
      <c r="O1958" t="s">
        <v>100</v>
      </c>
      <c r="P1958" t="s">
        <v>10203</v>
      </c>
      <c r="Q1958" t="s">
        <v>85</v>
      </c>
      <c r="R1958" t="s">
        <v>667</v>
      </c>
      <c r="S1958">
        <v>3.2</v>
      </c>
      <c r="T1958">
        <v>7297</v>
      </c>
      <c r="U1958">
        <v>0</v>
      </c>
      <c r="V1958">
        <v>7297</v>
      </c>
    </row>
    <row r="1959" spans="1:22" x14ac:dyDescent="0.3">
      <c r="A1959">
        <v>148303</v>
      </c>
      <c r="B1959">
        <v>137478142</v>
      </c>
      <c r="C1959" t="s">
        <v>10204</v>
      </c>
      <c r="D1959" t="s">
        <v>10205</v>
      </c>
      <c r="E1959" t="s">
        <v>10067</v>
      </c>
      <c r="F1959" t="s">
        <v>844</v>
      </c>
      <c r="G1959" t="s">
        <v>172</v>
      </c>
      <c r="H1959" t="s">
        <v>173</v>
      </c>
      <c r="I1959" t="s">
        <v>34</v>
      </c>
      <c r="J1959" t="s">
        <v>272</v>
      </c>
      <c r="K1959" t="s">
        <v>48</v>
      </c>
      <c r="L1959" t="s">
        <v>10206</v>
      </c>
      <c r="M1959" t="s">
        <v>10207</v>
      </c>
      <c r="N1959" t="s">
        <v>847</v>
      </c>
      <c r="O1959" t="s">
        <v>100</v>
      </c>
      <c r="P1959" t="s">
        <v>10208</v>
      </c>
      <c r="Q1959" t="s">
        <v>72</v>
      </c>
      <c r="R1959" t="s">
        <v>10209</v>
      </c>
      <c r="S1959">
        <v>3.17</v>
      </c>
      <c r="T1959">
        <v>8106</v>
      </c>
      <c r="U1959">
        <v>0</v>
      </c>
      <c r="V1959">
        <v>8106</v>
      </c>
    </row>
    <row r="1960" spans="1:22" x14ac:dyDescent="0.3">
      <c r="A1960">
        <v>148303</v>
      </c>
      <c r="B1960">
        <v>137209849</v>
      </c>
      <c r="C1960" t="s">
        <v>10210</v>
      </c>
      <c r="D1960" t="s">
        <v>10211</v>
      </c>
      <c r="E1960" t="s">
        <v>10067</v>
      </c>
      <c r="F1960" t="s">
        <v>844</v>
      </c>
      <c r="G1960" t="s">
        <v>172</v>
      </c>
      <c r="H1960" t="s">
        <v>173</v>
      </c>
      <c r="I1960" t="s">
        <v>34</v>
      </c>
      <c r="J1960" t="s">
        <v>272</v>
      </c>
      <c r="K1960" t="s">
        <v>41</v>
      </c>
      <c r="L1960" t="s">
        <v>174</v>
      </c>
      <c r="M1960" t="s">
        <v>10212</v>
      </c>
      <c r="N1960" t="s">
        <v>847</v>
      </c>
      <c r="O1960" t="s">
        <v>100</v>
      </c>
      <c r="P1960" t="s">
        <v>10213</v>
      </c>
      <c r="Q1960" t="s">
        <v>222</v>
      </c>
      <c r="R1960" t="s">
        <v>539</v>
      </c>
      <c r="S1960">
        <v>4.68</v>
      </c>
      <c r="T1960">
        <v>8439</v>
      </c>
      <c r="U1960">
        <v>0</v>
      </c>
      <c r="V1960">
        <v>8439</v>
      </c>
    </row>
    <row r="1961" spans="1:22" x14ac:dyDescent="0.3">
      <c r="A1961">
        <v>148303</v>
      </c>
      <c r="B1961">
        <v>137134031</v>
      </c>
      <c r="C1961" t="s">
        <v>10214</v>
      </c>
      <c r="D1961" t="s">
        <v>10215</v>
      </c>
      <c r="E1961" t="s">
        <v>10067</v>
      </c>
      <c r="F1961" t="s">
        <v>844</v>
      </c>
      <c r="G1961" t="s">
        <v>172</v>
      </c>
      <c r="H1961" t="s">
        <v>173</v>
      </c>
      <c r="I1961" t="s">
        <v>34</v>
      </c>
      <c r="J1961" t="s">
        <v>272</v>
      </c>
      <c r="K1961" t="s">
        <v>41</v>
      </c>
      <c r="L1961" t="s">
        <v>10216</v>
      </c>
      <c r="M1961" t="s">
        <v>10217</v>
      </c>
      <c r="N1961" t="s">
        <v>847</v>
      </c>
      <c r="O1961" t="s">
        <v>100</v>
      </c>
      <c r="P1961" t="s">
        <v>10218</v>
      </c>
      <c r="Q1961" t="s">
        <v>49</v>
      </c>
      <c r="R1961" t="s">
        <v>129</v>
      </c>
      <c r="S1961">
        <v>6.07</v>
      </c>
      <c r="T1961">
        <v>9948</v>
      </c>
      <c r="U1961">
        <v>0</v>
      </c>
      <c r="V1961">
        <v>9948</v>
      </c>
    </row>
    <row r="1962" spans="1:22" x14ac:dyDescent="0.3">
      <c r="A1962">
        <v>148303</v>
      </c>
      <c r="B1962">
        <v>137178179</v>
      </c>
      <c r="C1962" t="s">
        <v>10219</v>
      </c>
      <c r="D1962" t="s">
        <v>10220</v>
      </c>
      <c r="E1962" t="s">
        <v>10067</v>
      </c>
      <c r="F1962" t="s">
        <v>844</v>
      </c>
      <c r="G1962" t="s">
        <v>172</v>
      </c>
      <c r="H1962" t="s">
        <v>173</v>
      </c>
      <c r="I1962" t="s">
        <v>34</v>
      </c>
      <c r="J1962" t="s">
        <v>272</v>
      </c>
      <c r="K1962" t="s">
        <v>41</v>
      </c>
      <c r="L1962" t="s">
        <v>10221</v>
      </c>
      <c r="M1962" t="s">
        <v>10222</v>
      </c>
      <c r="N1962" t="s">
        <v>847</v>
      </c>
      <c r="O1962" t="s">
        <v>100</v>
      </c>
      <c r="P1962" t="s">
        <v>10223</v>
      </c>
      <c r="Q1962" t="s">
        <v>102</v>
      </c>
      <c r="R1962" t="s">
        <v>452</v>
      </c>
      <c r="S1962">
        <v>3.43</v>
      </c>
      <c r="T1962">
        <v>4537</v>
      </c>
      <c r="U1962">
        <v>0</v>
      </c>
      <c r="V1962">
        <v>4537</v>
      </c>
    </row>
    <row r="1963" spans="1:22" x14ac:dyDescent="0.3">
      <c r="A1963">
        <v>148303</v>
      </c>
      <c r="B1963">
        <v>135795986</v>
      </c>
      <c r="C1963" t="s">
        <v>10224</v>
      </c>
      <c r="D1963" t="s">
        <v>10225</v>
      </c>
      <c r="E1963" t="s">
        <v>10067</v>
      </c>
      <c r="F1963" t="s">
        <v>844</v>
      </c>
      <c r="G1963" t="s">
        <v>172</v>
      </c>
      <c r="H1963" t="s">
        <v>173</v>
      </c>
      <c r="I1963" t="s">
        <v>34</v>
      </c>
      <c r="J1963" t="s">
        <v>272</v>
      </c>
      <c r="K1963" t="s">
        <v>41</v>
      </c>
      <c r="L1963" t="s">
        <v>10226</v>
      </c>
      <c r="M1963" t="s">
        <v>10227</v>
      </c>
      <c r="N1963" t="s">
        <v>847</v>
      </c>
      <c r="O1963" t="s">
        <v>100</v>
      </c>
      <c r="P1963" t="s">
        <v>10228</v>
      </c>
      <c r="Q1963" t="s">
        <v>43</v>
      </c>
      <c r="R1963" t="s">
        <v>506</v>
      </c>
      <c r="S1963">
        <v>2.65</v>
      </c>
      <c r="T1963">
        <v>7945</v>
      </c>
      <c r="U1963">
        <v>0</v>
      </c>
      <c r="V1963">
        <v>7945</v>
      </c>
    </row>
    <row r="1964" spans="1:22" x14ac:dyDescent="0.3">
      <c r="A1964">
        <v>148303</v>
      </c>
      <c r="B1964">
        <v>137124162</v>
      </c>
      <c r="C1964" t="s">
        <v>10229</v>
      </c>
      <c r="D1964" t="s">
        <v>10230</v>
      </c>
      <c r="E1964" t="s">
        <v>10067</v>
      </c>
      <c r="F1964" t="s">
        <v>844</v>
      </c>
      <c r="G1964" t="s">
        <v>172</v>
      </c>
      <c r="H1964" t="s">
        <v>173</v>
      </c>
      <c r="I1964" t="s">
        <v>34</v>
      </c>
      <c r="J1964" t="s">
        <v>272</v>
      </c>
      <c r="K1964" t="s">
        <v>41</v>
      </c>
      <c r="L1964" t="s">
        <v>10231</v>
      </c>
      <c r="M1964" t="s">
        <v>10232</v>
      </c>
      <c r="N1964" t="s">
        <v>847</v>
      </c>
      <c r="O1964" t="s">
        <v>100</v>
      </c>
      <c r="P1964" t="s">
        <v>10233</v>
      </c>
      <c r="Q1964" t="s">
        <v>517</v>
      </c>
      <c r="R1964" t="s">
        <v>456</v>
      </c>
      <c r="S1964">
        <v>5.49</v>
      </c>
      <c r="T1964">
        <v>12338</v>
      </c>
      <c r="U1964">
        <v>0</v>
      </c>
      <c r="V1964">
        <v>12338</v>
      </c>
    </row>
    <row r="1965" spans="1:22" x14ac:dyDescent="0.3">
      <c r="A1965">
        <v>148303</v>
      </c>
      <c r="B1965">
        <v>137145880</v>
      </c>
      <c r="C1965" t="s">
        <v>10234</v>
      </c>
      <c r="D1965" t="s">
        <v>10235</v>
      </c>
      <c r="E1965" t="s">
        <v>10067</v>
      </c>
      <c r="F1965" t="s">
        <v>844</v>
      </c>
      <c r="G1965" t="s">
        <v>172</v>
      </c>
      <c r="H1965" t="s">
        <v>173</v>
      </c>
      <c r="I1965" t="s">
        <v>34</v>
      </c>
      <c r="J1965" t="s">
        <v>272</v>
      </c>
      <c r="K1965" t="s">
        <v>41</v>
      </c>
      <c r="L1965" t="s">
        <v>10236</v>
      </c>
      <c r="M1965" t="s">
        <v>10237</v>
      </c>
      <c r="N1965" t="s">
        <v>847</v>
      </c>
      <c r="O1965" t="s">
        <v>100</v>
      </c>
      <c r="P1965" t="s">
        <v>10238</v>
      </c>
      <c r="Q1965" t="s">
        <v>64</v>
      </c>
      <c r="R1965" t="s">
        <v>148</v>
      </c>
      <c r="S1965">
        <v>0.26</v>
      </c>
      <c r="T1965">
        <v>7734</v>
      </c>
      <c r="U1965">
        <v>0</v>
      </c>
      <c r="V1965">
        <v>7734</v>
      </c>
    </row>
    <row r="1966" spans="1:22" x14ac:dyDescent="0.3">
      <c r="A1966">
        <v>148303</v>
      </c>
      <c r="B1966">
        <v>137148431</v>
      </c>
      <c r="C1966" t="s">
        <v>10239</v>
      </c>
      <c r="D1966" t="s">
        <v>10240</v>
      </c>
      <c r="E1966" t="s">
        <v>10067</v>
      </c>
      <c r="F1966" t="s">
        <v>844</v>
      </c>
      <c r="G1966" t="s">
        <v>172</v>
      </c>
      <c r="H1966" t="s">
        <v>173</v>
      </c>
      <c r="I1966" t="s">
        <v>34</v>
      </c>
      <c r="J1966" t="s">
        <v>272</v>
      </c>
      <c r="K1966" t="s">
        <v>41</v>
      </c>
      <c r="L1966" t="s">
        <v>10241</v>
      </c>
      <c r="M1966" t="s">
        <v>10242</v>
      </c>
      <c r="N1966" t="s">
        <v>847</v>
      </c>
      <c r="O1966" t="s">
        <v>100</v>
      </c>
      <c r="P1966" t="s">
        <v>10243</v>
      </c>
      <c r="Q1966" t="s">
        <v>92</v>
      </c>
      <c r="R1966" t="s">
        <v>130</v>
      </c>
      <c r="S1966">
        <v>6.11</v>
      </c>
      <c r="T1966">
        <v>8930</v>
      </c>
      <c r="U1966">
        <v>0</v>
      </c>
      <c r="V1966">
        <v>8930</v>
      </c>
    </row>
    <row r="1967" spans="1:22" x14ac:dyDescent="0.3">
      <c r="A1967">
        <v>148303</v>
      </c>
      <c r="B1967">
        <v>137195626</v>
      </c>
      <c r="C1967" t="s">
        <v>10244</v>
      </c>
      <c r="D1967" t="s">
        <v>10245</v>
      </c>
      <c r="E1967" t="s">
        <v>10067</v>
      </c>
      <c r="F1967" t="s">
        <v>844</v>
      </c>
      <c r="G1967" t="s">
        <v>172</v>
      </c>
      <c r="H1967" t="s">
        <v>173</v>
      </c>
      <c r="I1967" t="s">
        <v>34</v>
      </c>
      <c r="J1967" t="s">
        <v>272</v>
      </c>
      <c r="K1967" t="s">
        <v>41</v>
      </c>
      <c r="L1967" t="s">
        <v>10246</v>
      </c>
      <c r="M1967" t="s">
        <v>10247</v>
      </c>
      <c r="N1967" t="s">
        <v>847</v>
      </c>
      <c r="O1967" t="s">
        <v>100</v>
      </c>
      <c r="P1967" t="s">
        <v>10248</v>
      </c>
      <c r="Q1967" t="s">
        <v>49</v>
      </c>
      <c r="R1967" t="s">
        <v>450</v>
      </c>
      <c r="S1967">
        <v>3.4</v>
      </c>
      <c r="T1967">
        <v>8106</v>
      </c>
      <c r="U1967">
        <v>0</v>
      </c>
      <c r="V1967">
        <v>8106</v>
      </c>
    </row>
    <row r="1968" spans="1:22" x14ac:dyDescent="0.3">
      <c r="A1968">
        <v>148303</v>
      </c>
      <c r="B1968">
        <v>136925537</v>
      </c>
      <c r="C1968" t="s">
        <v>10249</v>
      </c>
      <c r="D1968" t="s">
        <v>10250</v>
      </c>
      <c r="E1968" t="s">
        <v>10067</v>
      </c>
      <c r="F1968" t="s">
        <v>844</v>
      </c>
      <c r="G1968" t="s">
        <v>172</v>
      </c>
      <c r="H1968" t="s">
        <v>173</v>
      </c>
      <c r="I1968" t="s">
        <v>34</v>
      </c>
      <c r="J1968" t="s">
        <v>272</v>
      </c>
      <c r="K1968" t="s">
        <v>41</v>
      </c>
      <c r="L1968" t="s">
        <v>10251</v>
      </c>
      <c r="M1968" t="s">
        <v>10252</v>
      </c>
      <c r="N1968" t="s">
        <v>847</v>
      </c>
      <c r="O1968" t="s">
        <v>100</v>
      </c>
      <c r="P1968" t="s">
        <v>10253</v>
      </c>
      <c r="Q1968" t="s">
        <v>67</v>
      </c>
      <c r="R1968" t="s">
        <v>465</v>
      </c>
      <c r="S1968">
        <v>3.65</v>
      </c>
      <c r="T1968">
        <v>8305</v>
      </c>
      <c r="U1968">
        <v>0</v>
      </c>
      <c r="V1968">
        <v>8305</v>
      </c>
    </row>
    <row r="1969" spans="1:22" x14ac:dyDescent="0.3">
      <c r="A1969">
        <v>148303</v>
      </c>
      <c r="B1969">
        <v>137163106</v>
      </c>
      <c r="C1969" t="s">
        <v>10254</v>
      </c>
      <c r="D1969" t="s">
        <v>10255</v>
      </c>
      <c r="E1969" t="s">
        <v>10067</v>
      </c>
      <c r="F1969" t="s">
        <v>844</v>
      </c>
      <c r="G1969" t="s">
        <v>172</v>
      </c>
      <c r="H1969" t="s">
        <v>173</v>
      </c>
      <c r="I1969" t="s">
        <v>34</v>
      </c>
      <c r="J1969" t="s">
        <v>272</v>
      </c>
      <c r="K1969" t="s">
        <v>41</v>
      </c>
      <c r="L1969" t="s">
        <v>10256</v>
      </c>
      <c r="M1969" t="s">
        <v>10257</v>
      </c>
      <c r="N1969" t="s">
        <v>847</v>
      </c>
      <c r="O1969" t="s">
        <v>100</v>
      </c>
      <c r="P1969" t="s">
        <v>10258</v>
      </c>
      <c r="Q1969" t="s">
        <v>195</v>
      </c>
      <c r="R1969" t="s">
        <v>10259</v>
      </c>
      <c r="S1969">
        <v>3.54</v>
      </c>
      <c r="T1969">
        <v>4537</v>
      </c>
      <c r="U1969">
        <v>0</v>
      </c>
      <c r="V1969">
        <v>4537</v>
      </c>
    </row>
    <row r="1970" spans="1:22" x14ac:dyDescent="0.3">
      <c r="A1970">
        <v>148303</v>
      </c>
      <c r="B1970">
        <v>137175536</v>
      </c>
      <c r="C1970" t="s">
        <v>10260</v>
      </c>
      <c r="D1970" t="s">
        <v>10261</v>
      </c>
      <c r="E1970" t="s">
        <v>10067</v>
      </c>
      <c r="F1970" t="s">
        <v>844</v>
      </c>
      <c r="G1970" t="s">
        <v>172</v>
      </c>
      <c r="H1970" t="s">
        <v>173</v>
      </c>
      <c r="I1970" t="s">
        <v>34</v>
      </c>
      <c r="J1970" t="s">
        <v>272</v>
      </c>
      <c r="K1970" t="s">
        <v>41</v>
      </c>
      <c r="L1970" t="s">
        <v>10262</v>
      </c>
      <c r="M1970" t="s">
        <v>10263</v>
      </c>
      <c r="N1970" t="s">
        <v>847</v>
      </c>
      <c r="O1970" t="s">
        <v>100</v>
      </c>
      <c r="P1970" t="s">
        <v>10264</v>
      </c>
      <c r="Q1970" t="s">
        <v>71</v>
      </c>
      <c r="R1970" t="s">
        <v>10265</v>
      </c>
      <c r="S1970">
        <v>0.47</v>
      </c>
      <c r="T1970">
        <v>5964</v>
      </c>
      <c r="U1970">
        <v>0</v>
      </c>
      <c r="V1970">
        <v>5964</v>
      </c>
    </row>
    <row r="1971" spans="1:22" x14ac:dyDescent="0.3">
      <c r="A1971">
        <v>148303</v>
      </c>
      <c r="B1971">
        <v>136901819</v>
      </c>
      <c r="C1971" t="s">
        <v>10266</v>
      </c>
      <c r="D1971" t="s">
        <v>10267</v>
      </c>
      <c r="E1971" t="s">
        <v>10067</v>
      </c>
      <c r="F1971" t="s">
        <v>844</v>
      </c>
      <c r="G1971" t="s">
        <v>172</v>
      </c>
      <c r="H1971" t="s">
        <v>173</v>
      </c>
      <c r="I1971" t="s">
        <v>34</v>
      </c>
      <c r="J1971" t="s">
        <v>272</v>
      </c>
      <c r="K1971" t="s">
        <v>41</v>
      </c>
      <c r="L1971" t="s">
        <v>10268</v>
      </c>
      <c r="M1971" t="s">
        <v>10269</v>
      </c>
      <c r="N1971" t="s">
        <v>847</v>
      </c>
      <c r="O1971" t="s">
        <v>100</v>
      </c>
      <c r="P1971" t="s">
        <v>10270</v>
      </c>
      <c r="Q1971" t="s">
        <v>69</v>
      </c>
      <c r="R1971" t="s">
        <v>10271</v>
      </c>
      <c r="S1971">
        <v>12.36</v>
      </c>
      <c r="T1971">
        <v>11583</v>
      </c>
      <c r="U1971">
        <v>0</v>
      </c>
      <c r="V1971">
        <v>11583</v>
      </c>
    </row>
    <row r="1972" spans="1:22" x14ac:dyDescent="0.3">
      <c r="A1972">
        <v>148303</v>
      </c>
      <c r="B1972">
        <v>136916709</v>
      </c>
      <c r="C1972" t="s">
        <v>10272</v>
      </c>
      <c r="D1972" t="s">
        <v>10273</v>
      </c>
      <c r="E1972" t="s">
        <v>10067</v>
      </c>
      <c r="F1972" t="s">
        <v>844</v>
      </c>
      <c r="G1972" t="s">
        <v>172</v>
      </c>
      <c r="H1972" t="s">
        <v>173</v>
      </c>
      <c r="I1972" t="s">
        <v>34</v>
      </c>
      <c r="J1972" t="s">
        <v>272</v>
      </c>
      <c r="K1972" t="s">
        <v>46</v>
      </c>
      <c r="L1972" t="s">
        <v>10274</v>
      </c>
      <c r="M1972" t="s">
        <v>10275</v>
      </c>
      <c r="N1972" t="s">
        <v>847</v>
      </c>
      <c r="O1972" t="s">
        <v>100</v>
      </c>
      <c r="P1972" t="s">
        <v>10276</v>
      </c>
      <c r="Q1972" t="s">
        <v>63</v>
      </c>
      <c r="R1972" t="s">
        <v>10277</v>
      </c>
      <c r="S1972">
        <v>8.3800000000000008</v>
      </c>
      <c r="T1972">
        <v>10447</v>
      </c>
      <c r="U1972">
        <v>0</v>
      </c>
      <c r="V1972">
        <v>10447</v>
      </c>
    </row>
    <row r="1973" spans="1:22" x14ac:dyDescent="0.3">
      <c r="A1973">
        <v>148303</v>
      </c>
      <c r="B1973">
        <v>136908385</v>
      </c>
      <c r="C1973" t="s">
        <v>10278</v>
      </c>
      <c r="D1973" t="s">
        <v>10279</v>
      </c>
      <c r="E1973" t="s">
        <v>10067</v>
      </c>
      <c r="F1973" t="s">
        <v>844</v>
      </c>
      <c r="G1973" t="s">
        <v>172</v>
      </c>
      <c r="H1973" t="s">
        <v>173</v>
      </c>
      <c r="I1973" t="s">
        <v>34</v>
      </c>
      <c r="J1973" t="s">
        <v>272</v>
      </c>
      <c r="K1973" t="s">
        <v>41</v>
      </c>
      <c r="L1973" t="s">
        <v>10280</v>
      </c>
      <c r="M1973" t="s">
        <v>10281</v>
      </c>
      <c r="N1973" t="s">
        <v>847</v>
      </c>
      <c r="O1973" t="s">
        <v>100</v>
      </c>
      <c r="P1973" t="s">
        <v>10282</v>
      </c>
      <c r="Q1973" t="s">
        <v>109</v>
      </c>
      <c r="R1973" t="s">
        <v>10283</v>
      </c>
      <c r="S1973">
        <v>1.1499999999999999</v>
      </c>
      <c r="T1973">
        <v>8068</v>
      </c>
      <c r="U1973">
        <v>0</v>
      </c>
      <c r="V1973">
        <v>8068</v>
      </c>
    </row>
    <row r="1974" spans="1:22" x14ac:dyDescent="0.3">
      <c r="A1974">
        <v>148303</v>
      </c>
      <c r="B1974">
        <v>136936453</v>
      </c>
      <c r="C1974" t="s">
        <v>10284</v>
      </c>
      <c r="D1974" t="s">
        <v>10285</v>
      </c>
      <c r="E1974" t="s">
        <v>10067</v>
      </c>
      <c r="F1974" t="s">
        <v>844</v>
      </c>
      <c r="G1974" t="s">
        <v>172</v>
      </c>
      <c r="H1974" t="s">
        <v>173</v>
      </c>
      <c r="I1974" t="s">
        <v>34</v>
      </c>
      <c r="J1974" t="s">
        <v>272</v>
      </c>
      <c r="K1974" t="s">
        <v>41</v>
      </c>
      <c r="L1974" t="s">
        <v>10286</v>
      </c>
      <c r="M1974" t="s">
        <v>10287</v>
      </c>
      <c r="N1974" t="s">
        <v>847</v>
      </c>
      <c r="O1974" t="s">
        <v>100</v>
      </c>
      <c r="P1974" t="s">
        <v>10288</v>
      </c>
      <c r="Q1974" t="s">
        <v>249</v>
      </c>
      <c r="R1974" t="s">
        <v>10289</v>
      </c>
      <c r="S1974">
        <v>3.54</v>
      </c>
      <c r="T1974">
        <v>8106</v>
      </c>
      <c r="U1974">
        <v>0</v>
      </c>
      <c r="V1974">
        <v>8106</v>
      </c>
    </row>
    <row r="1975" spans="1:22" x14ac:dyDescent="0.3">
      <c r="A1975">
        <v>148303</v>
      </c>
      <c r="B1975">
        <v>136902754</v>
      </c>
      <c r="C1975" t="s">
        <v>10290</v>
      </c>
      <c r="D1975" t="s">
        <v>10291</v>
      </c>
      <c r="E1975" t="s">
        <v>10067</v>
      </c>
      <c r="F1975" t="s">
        <v>844</v>
      </c>
      <c r="G1975" t="s">
        <v>172</v>
      </c>
      <c r="H1975" t="s">
        <v>173</v>
      </c>
      <c r="I1975" t="s">
        <v>34</v>
      </c>
      <c r="J1975" t="s">
        <v>272</v>
      </c>
      <c r="K1975" t="s">
        <v>41</v>
      </c>
      <c r="L1975" t="s">
        <v>10292</v>
      </c>
      <c r="M1975" t="s">
        <v>10293</v>
      </c>
      <c r="N1975" t="s">
        <v>847</v>
      </c>
      <c r="O1975" t="s">
        <v>100</v>
      </c>
      <c r="P1975" t="s">
        <v>10294</v>
      </c>
      <c r="Q1975" t="s">
        <v>104</v>
      </c>
      <c r="R1975" t="s">
        <v>10295</v>
      </c>
      <c r="S1975">
        <v>2.4900000000000002</v>
      </c>
      <c r="T1975">
        <v>4168</v>
      </c>
      <c r="U1975">
        <v>0</v>
      </c>
      <c r="V1975">
        <v>4168</v>
      </c>
    </row>
    <row r="1976" spans="1:22" x14ac:dyDescent="0.3">
      <c r="A1976">
        <v>148303</v>
      </c>
      <c r="B1976">
        <v>137059521</v>
      </c>
      <c r="C1976" t="s">
        <v>10296</v>
      </c>
      <c r="D1976" t="s">
        <v>10297</v>
      </c>
      <c r="E1976" t="s">
        <v>10067</v>
      </c>
      <c r="F1976" t="s">
        <v>844</v>
      </c>
      <c r="G1976" t="s">
        <v>172</v>
      </c>
      <c r="H1976" t="s">
        <v>173</v>
      </c>
      <c r="I1976" t="s">
        <v>34</v>
      </c>
      <c r="J1976" t="s">
        <v>272</v>
      </c>
      <c r="K1976" t="s">
        <v>41</v>
      </c>
      <c r="L1976" t="s">
        <v>10298</v>
      </c>
      <c r="M1976" t="s">
        <v>10299</v>
      </c>
      <c r="N1976" t="s">
        <v>847</v>
      </c>
      <c r="O1976" t="s">
        <v>100</v>
      </c>
      <c r="P1976" t="s">
        <v>10300</v>
      </c>
      <c r="Q1976" t="s">
        <v>69</v>
      </c>
      <c r="R1976" t="s">
        <v>789</v>
      </c>
      <c r="S1976">
        <v>6.07</v>
      </c>
      <c r="T1976">
        <v>9782</v>
      </c>
      <c r="U1976">
        <v>0</v>
      </c>
      <c r="V1976">
        <v>9782</v>
      </c>
    </row>
    <row r="1977" spans="1:22" x14ac:dyDescent="0.3">
      <c r="A1977">
        <v>148303</v>
      </c>
      <c r="B1977">
        <v>137080518</v>
      </c>
      <c r="C1977" t="s">
        <v>10301</v>
      </c>
      <c r="D1977" t="s">
        <v>10302</v>
      </c>
      <c r="E1977" t="s">
        <v>10067</v>
      </c>
      <c r="F1977" t="s">
        <v>844</v>
      </c>
      <c r="G1977" t="s">
        <v>172</v>
      </c>
      <c r="H1977" t="s">
        <v>173</v>
      </c>
      <c r="I1977" t="s">
        <v>34</v>
      </c>
      <c r="J1977" t="s">
        <v>272</v>
      </c>
      <c r="K1977" t="s">
        <v>41</v>
      </c>
      <c r="L1977" t="s">
        <v>174</v>
      </c>
      <c r="M1977" t="s">
        <v>10303</v>
      </c>
      <c r="N1977" t="s">
        <v>847</v>
      </c>
      <c r="O1977" t="s">
        <v>100</v>
      </c>
      <c r="P1977" t="s">
        <v>10304</v>
      </c>
      <c r="Q1977" t="s">
        <v>49</v>
      </c>
      <c r="R1977" t="s">
        <v>461</v>
      </c>
      <c r="S1977">
        <v>3.58</v>
      </c>
      <c r="T1977">
        <v>8106</v>
      </c>
      <c r="U1977">
        <v>0</v>
      </c>
      <c r="V1977">
        <v>8106</v>
      </c>
    </row>
    <row r="1978" spans="1:22" x14ac:dyDescent="0.3">
      <c r="A1978">
        <v>148303</v>
      </c>
      <c r="B1978">
        <v>136962891</v>
      </c>
      <c r="C1978" t="s">
        <v>10305</v>
      </c>
      <c r="D1978" t="s">
        <v>10306</v>
      </c>
      <c r="E1978" t="s">
        <v>10067</v>
      </c>
      <c r="F1978" t="s">
        <v>844</v>
      </c>
      <c r="G1978" t="s">
        <v>172</v>
      </c>
      <c r="H1978" t="s">
        <v>173</v>
      </c>
      <c r="I1978" t="s">
        <v>34</v>
      </c>
      <c r="J1978" t="s">
        <v>272</v>
      </c>
      <c r="K1978" t="s">
        <v>41</v>
      </c>
      <c r="L1978" t="s">
        <v>10307</v>
      </c>
      <c r="M1978" t="s">
        <v>10308</v>
      </c>
      <c r="N1978" t="s">
        <v>847</v>
      </c>
      <c r="O1978" t="s">
        <v>100</v>
      </c>
      <c r="P1978" t="s">
        <v>10309</v>
      </c>
      <c r="Q1978" t="s">
        <v>55</v>
      </c>
      <c r="R1978" t="s">
        <v>10310</v>
      </c>
      <c r="S1978">
        <v>2.3199999999999998</v>
      </c>
      <c r="T1978">
        <v>9317</v>
      </c>
      <c r="U1978">
        <v>0</v>
      </c>
      <c r="V1978">
        <v>9317</v>
      </c>
    </row>
    <row r="1979" spans="1:22" x14ac:dyDescent="0.3">
      <c r="A1979">
        <v>148303</v>
      </c>
      <c r="B1979">
        <v>137005822</v>
      </c>
      <c r="C1979" t="s">
        <v>10311</v>
      </c>
      <c r="D1979" t="s">
        <v>10312</v>
      </c>
      <c r="E1979" t="s">
        <v>10067</v>
      </c>
      <c r="F1979" t="s">
        <v>844</v>
      </c>
      <c r="G1979" t="s">
        <v>172</v>
      </c>
      <c r="H1979" t="s">
        <v>173</v>
      </c>
      <c r="I1979" t="s">
        <v>34</v>
      </c>
      <c r="J1979" t="s">
        <v>272</v>
      </c>
      <c r="K1979" t="s">
        <v>41</v>
      </c>
      <c r="L1979" t="s">
        <v>10313</v>
      </c>
      <c r="M1979" t="s">
        <v>838</v>
      </c>
      <c r="N1979" t="s">
        <v>847</v>
      </c>
      <c r="O1979" t="s">
        <v>100</v>
      </c>
      <c r="P1979" t="s">
        <v>839</v>
      </c>
      <c r="Q1979" t="s">
        <v>109</v>
      </c>
      <c r="R1979" t="s">
        <v>10314</v>
      </c>
      <c r="S1979">
        <v>4.93</v>
      </c>
      <c r="T1979">
        <v>8849</v>
      </c>
      <c r="U1979">
        <v>0</v>
      </c>
      <c r="V1979">
        <v>8849</v>
      </c>
    </row>
    <row r="1980" spans="1:22" x14ac:dyDescent="0.3">
      <c r="A1980">
        <v>148303</v>
      </c>
      <c r="B1980">
        <v>136987855</v>
      </c>
      <c r="C1980" t="s">
        <v>10315</v>
      </c>
      <c r="D1980" t="s">
        <v>10316</v>
      </c>
      <c r="E1980" t="s">
        <v>10067</v>
      </c>
      <c r="F1980" t="s">
        <v>844</v>
      </c>
      <c r="G1980" t="s">
        <v>172</v>
      </c>
      <c r="H1980" t="s">
        <v>173</v>
      </c>
      <c r="I1980" t="s">
        <v>34</v>
      </c>
      <c r="J1980" t="s">
        <v>272</v>
      </c>
      <c r="K1980" t="s">
        <v>41</v>
      </c>
      <c r="L1980" t="s">
        <v>10317</v>
      </c>
      <c r="M1980" t="s">
        <v>10318</v>
      </c>
      <c r="N1980" t="s">
        <v>847</v>
      </c>
      <c r="O1980" t="s">
        <v>100</v>
      </c>
      <c r="P1980" t="s">
        <v>10319</v>
      </c>
      <c r="Q1980" t="s">
        <v>70</v>
      </c>
      <c r="R1980" t="s">
        <v>570</v>
      </c>
      <c r="S1980">
        <v>2.37</v>
      </c>
      <c r="T1980">
        <v>7326</v>
      </c>
      <c r="U1980">
        <v>0</v>
      </c>
      <c r="V1980">
        <v>7326</v>
      </c>
    </row>
    <row r="1981" spans="1:22" x14ac:dyDescent="0.3">
      <c r="A1981">
        <v>148303</v>
      </c>
      <c r="B1981">
        <v>137104632</v>
      </c>
      <c r="C1981" t="s">
        <v>10320</v>
      </c>
      <c r="D1981" t="s">
        <v>10321</v>
      </c>
      <c r="E1981" t="s">
        <v>10067</v>
      </c>
      <c r="F1981" t="s">
        <v>844</v>
      </c>
      <c r="G1981" t="s">
        <v>172</v>
      </c>
      <c r="H1981" t="s">
        <v>173</v>
      </c>
      <c r="I1981" t="s">
        <v>34</v>
      </c>
      <c r="J1981" t="s">
        <v>272</v>
      </c>
      <c r="K1981" t="s">
        <v>41</v>
      </c>
      <c r="L1981" t="s">
        <v>10322</v>
      </c>
      <c r="M1981" t="s">
        <v>10323</v>
      </c>
      <c r="N1981" t="s">
        <v>847</v>
      </c>
      <c r="O1981" t="s">
        <v>100</v>
      </c>
      <c r="P1981" t="s">
        <v>10324</v>
      </c>
      <c r="Q1981" t="s">
        <v>93</v>
      </c>
      <c r="R1981" t="s">
        <v>10325</v>
      </c>
      <c r="S1981">
        <v>2.37</v>
      </c>
      <c r="T1981">
        <v>6800</v>
      </c>
      <c r="U1981">
        <v>0</v>
      </c>
      <c r="V1981">
        <v>6800</v>
      </c>
    </row>
    <row r="1982" spans="1:22" x14ac:dyDescent="0.3">
      <c r="A1982">
        <v>148303</v>
      </c>
      <c r="B1982">
        <v>137063762</v>
      </c>
      <c r="C1982" t="s">
        <v>10326</v>
      </c>
      <c r="D1982" t="s">
        <v>10327</v>
      </c>
      <c r="E1982" t="s">
        <v>10067</v>
      </c>
      <c r="F1982" t="s">
        <v>844</v>
      </c>
      <c r="G1982" t="s">
        <v>172</v>
      </c>
      <c r="H1982" t="s">
        <v>173</v>
      </c>
      <c r="I1982" t="s">
        <v>34</v>
      </c>
      <c r="J1982" t="s">
        <v>272</v>
      </c>
      <c r="K1982" t="s">
        <v>41</v>
      </c>
      <c r="L1982" t="s">
        <v>10328</v>
      </c>
      <c r="M1982" t="s">
        <v>10329</v>
      </c>
      <c r="N1982" t="s">
        <v>847</v>
      </c>
      <c r="O1982" t="s">
        <v>100</v>
      </c>
      <c r="P1982" t="s">
        <v>10330</v>
      </c>
      <c r="Q1982" t="s">
        <v>87</v>
      </c>
      <c r="R1982" t="s">
        <v>670</v>
      </c>
      <c r="S1982">
        <v>8.2899999999999991</v>
      </c>
      <c r="T1982">
        <v>8930</v>
      </c>
      <c r="U1982">
        <v>0</v>
      </c>
      <c r="V1982">
        <v>8930</v>
      </c>
    </row>
    <row r="1983" spans="1:22" x14ac:dyDescent="0.3">
      <c r="A1983">
        <v>148303</v>
      </c>
      <c r="B1983">
        <v>137064963</v>
      </c>
      <c r="C1983" t="s">
        <v>10331</v>
      </c>
      <c r="D1983" t="s">
        <v>10332</v>
      </c>
      <c r="E1983" t="s">
        <v>10067</v>
      </c>
      <c r="F1983" t="s">
        <v>844</v>
      </c>
      <c r="G1983" t="s">
        <v>172</v>
      </c>
      <c r="H1983" t="s">
        <v>173</v>
      </c>
      <c r="I1983" t="s">
        <v>34</v>
      </c>
      <c r="J1983" t="s">
        <v>272</v>
      </c>
      <c r="K1983" t="s">
        <v>41</v>
      </c>
      <c r="L1983" t="s">
        <v>10333</v>
      </c>
      <c r="M1983" t="s">
        <v>10334</v>
      </c>
      <c r="N1983" t="s">
        <v>847</v>
      </c>
      <c r="O1983" t="s">
        <v>100</v>
      </c>
      <c r="P1983" t="s">
        <v>10335</v>
      </c>
      <c r="Q1983" t="s">
        <v>116</v>
      </c>
      <c r="R1983" t="s">
        <v>10336</v>
      </c>
      <c r="S1983">
        <v>3.14</v>
      </c>
      <c r="T1983">
        <v>4537</v>
      </c>
      <c r="U1983">
        <v>0</v>
      </c>
      <c r="V1983">
        <v>4537</v>
      </c>
    </row>
    <row r="1984" spans="1:22" x14ac:dyDescent="0.3">
      <c r="A1984">
        <v>148303</v>
      </c>
      <c r="B1984">
        <v>137125210</v>
      </c>
      <c r="C1984" t="s">
        <v>10337</v>
      </c>
      <c r="D1984" t="s">
        <v>10338</v>
      </c>
      <c r="E1984" t="s">
        <v>10067</v>
      </c>
      <c r="F1984" t="s">
        <v>844</v>
      </c>
      <c r="G1984" t="s">
        <v>172</v>
      </c>
      <c r="H1984" t="s">
        <v>173</v>
      </c>
      <c r="I1984" t="s">
        <v>34</v>
      </c>
      <c r="J1984" t="s">
        <v>272</v>
      </c>
      <c r="K1984" t="s">
        <v>41</v>
      </c>
      <c r="L1984" t="s">
        <v>10339</v>
      </c>
      <c r="M1984" t="s">
        <v>10340</v>
      </c>
      <c r="N1984" t="s">
        <v>847</v>
      </c>
      <c r="O1984" t="s">
        <v>100</v>
      </c>
      <c r="P1984" t="s">
        <v>10341</v>
      </c>
      <c r="Q1984" t="s">
        <v>81</v>
      </c>
      <c r="R1984" t="s">
        <v>455</v>
      </c>
      <c r="S1984">
        <v>4.16</v>
      </c>
      <c r="T1984">
        <v>11171</v>
      </c>
      <c r="U1984">
        <v>0</v>
      </c>
      <c r="V1984">
        <v>11171</v>
      </c>
    </row>
    <row r="1985" spans="1:22" x14ac:dyDescent="0.3">
      <c r="A1985">
        <v>148303</v>
      </c>
      <c r="B1985">
        <v>137134581</v>
      </c>
      <c r="C1985" t="s">
        <v>10342</v>
      </c>
      <c r="D1985" t="s">
        <v>10343</v>
      </c>
      <c r="E1985" t="s">
        <v>10067</v>
      </c>
      <c r="F1985" t="s">
        <v>844</v>
      </c>
      <c r="G1985" t="s">
        <v>172</v>
      </c>
      <c r="H1985" t="s">
        <v>173</v>
      </c>
      <c r="I1985" t="s">
        <v>34</v>
      </c>
      <c r="J1985" t="s">
        <v>272</v>
      </c>
      <c r="K1985" t="s">
        <v>41</v>
      </c>
      <c r="L1985" t="s">
        <v>10344</v>
      </c>
      <c r="M1985" t="s">
        <v>10345</v>
      </c>
      <c r="N1985" t="s">
        <v>847</v>
      </c>
      <c r="O1985" t="s">
        <v>100</v>
      </c>
      <c r="P1985" t="s">
        <v>10346</v>
      </c>
      <c r="Q1985" t="s">
        <v>103</v>
      </c>
      <c r="R1985" t="s">
        <v>454</v>
      </c>
      <c r="S1985">
        <v>5.68</v>
      </c>
      <c r="T1985">
        <v>4537</v>
      </c>
      <c r="U1985">
        <v>0</v>
      </c>
      <c r="V1985">
        <v>4537</v>
      </c>
    </row>
    <row r="1986" spans="1:22" x14ac:dyDescent="0.3">
      <c r="A1986">
        <v>148303</v>
      </c>
      <c r="B1986">
        <v>137094175</v>
      </c>
      <c r="C1986" t="s">
        <v>10347</v>
      </c>
      <c r="D1986" t="s">
        <v>10348</v>
      </c>
      <c r="E1986" t="s">
        <v>10067</v>
      </c>
      <c r="F1986" t="s">
        <v>844</v>
      </c>
      <c r="G1986" t="s">
        <v>172</v>
      </c>
      <c r="H1986" t="s">
        <v>173</v>
      </c>
      <c r="I1986" t="s">
        <v>34</v>
      </c>
      <c r="J1986" t="s">
        <v>272</v>
      </c>
      <c r="K1986" t="s">
        <v>41</v>
      </c>
      <c r="L1986" t="s">
        <v>10349</v>
      </c>
      <c r="M1986" t="s">
        <v>10350</v>
      </c>
      <c r="N1986" t="s">
        <v>847</v>
      </c>
      <c r="O1986" t="s">
        <v>100</v>
      </c>
      <c r="P1986" t="s">
        <v>10351</v>
      </c>
      <c r="Q1986" t="s">
        <v>65</v>
      </c>
      <c r="R1986" t="s">
        <v>10352</v>
      </c>
      <c r="S1986">
        <v>45.04</v>
      </c>
      <c r="T1986">
        <v>34760</v>
      </c>
      <c r="U1986">
        <v>0</v>
      </c>
      <c r="V1986">
        <v>34760</v>
      </c>
    </row>
    <row r="1987" spans="1:22" x14ac:dyDescent="0.3">
      <c r="A1987">
        <v>148303</v>
      </c>
      <c r="B1987">
        <v>137199880</v>
      </c>
      <c r="C1987" t="s">
        <v>10353</v>
      </c>
      <c r="D1987" t="s">
        <v>10354</v>
      </c>
      <c r="E1987" t="s">
        <v>10067</v>
      </c>
      <c r="F1987" t="s">
        <v>844</v>
      </c>
      <c r="G1987" t="s">
        <v>172</v>
      </c>
      <c r="H1987" t="s">
        <v>173</v>
      </c>
      <c r="I1987" t="s">
        <v>34</v>
      </c>
      <c r="J1987" t="s">
        <v>272</v>
      </c>
      <c r="K1987" t="s">
        <v>41</v>
      </c>
      <c r="L1987" t="s">
        <v>10355</v>
      </c>
      <c r="M1987" t="s">
        <v>10356</v>
      </c>
      <c r="N1987" t="s">
        <v>847</v>
      </c>
      <c r="O1987" t="s">
        <v>100</v>
      </c>
      <c r="P1987" t="s">
        <v>10357</v>
      </c>
      <c r="Q1987" t="s">
        <v>49</v>
      </c>
      <c r="R1987" t="s">
        <v>10358</v>
      </c>
      <c r="S1987">
        <v>2.5499999999999998</v>
      </c>
      <c r="T1987">
        <v>8101</v>
      </c>
      <c r="U1987">
        <v>0</v>
      </c>
      <c r="V1987">
        <v>8101</v>
      </c>
    </row>
    <row r="1988" spans="1:22" x14ac:dyDescent="0.3">
      <c r="A1988">
        <v>148303</v>
      </c>
      <c r="B1988">
        <v>136898997</v>
      </c>
      <c r="C1988" t="s">
        <v>10359</v>
      </c>
      <c r="D1988" t="s">
        <v>10360</v>
      </c>
      <c r="E1988" t="s">
        <v>10067</v>
      </c>
      <c r="F1988" t="s">
        <v>844</v>
      </c>
      <c r="G1988" t="s">
        <v>172</v>
      </c>
      <c r="H1988" t="s">
        <v>173</v>
      </c>
      <c r="I1988" t="s">
        <v>34</v>
      </c>
      <c r="J1988" t="s">
        <v>272</v>
      </c>
      <c r="K1988" t="s">
        <v>41</v>
      </c>
      <c r="L1988" t="s">
        <v>10361</v>
      </c>
      <c r="M1988" t="s">
        <v>5140</v>
      </c>
      <c r="N1988" t="s">
        <v>847</v>
      </c>
      <c r="O1988" t="s">
        <v>100</v>
      </c>
      <c r="P1988" t="s">
        <v>10362</v>
      </c>
      <c r="Q1988" t="s">
        <v>49</v>
      </c>
      <c r="R1988" t="s">
        <v>143</v>
      </c>
      <c r="S1988">
        <v>2.5099999999999998</v>
      </c>
      <c r="T1988">
        <v>8101</v>
      </c>
      <c r="U1988">
        <v>0</v>
      </c>
      <c r="V1988">
        <v>8101</v>
      </c>
    </row>
    <row r="1989" spans="1:22" x14ac:dyDescent="0.3">
      <c r="A1989">
        <v>148303</v>
      </c>
      <c r="B1989">
        <v>136933032</v>
      </c>
      <c r="C1989" t="s">
        <v>10363</v>
      </c>
      <c r="D1989" t="s">
        <v>10364</v>
      </c>
      <c r="E1989" t="s">
        <v>10067</v>
      </c>
      <c r="F1989" t="s">
        <v>844</v>
      </c>
      <c r="G1989" t="s">
        <v>172</v>
      </c>
      <c r="H1989" t="s">
        <v>173</v>
      </c>
      <c r="I1989" t="s">
        <v>34</v>
      </c>
      <c r="J1989" t="s">
        <v>272</v>
      </c>
      <c r="K1989" t="s">
        <v>41</v>
      </c>
      <c r="L1989" t="s">
        <v>10365</v>
      </c>
      <c r="M1989" t="s">
        <v>10366</v>
      </c>
      <c r="N1989" t="s">
        <v>847</v>
      </c>
      <c r="O1989" t="s">
        <v>100</v>
      </c>
      <c r="P1989" t="s">
        <v>10367</v>
      </c>
      <c r="Q1989" t="s">
        <v>57</v>
      </c>
      <c r="R1989" t="s">
        <v>10368</v>
      </c>
      <c r="S1989">
        <v>5.98</v>
      </c>
      <c r="T1989">
        <v>10722</v>
      </c>
      <c r="U1989">
        <v>0</v>
      </c>
      <c r="V1989">
        <v>10722</v>
      </c>
    </row>
    <row r="1990" spans="1:22" x14ac:dyDescent="0.3">
      <c r="A1990">
        <v>148303</v>
      </c>
      <c r="B1990">
        <v>137036108</v>
      </c>
      <c r="C1990" t="s">
        <v>10369</v>
      </c>
      <c r="D1990" t="s">
        <v>10370</v>
      </c>
      <c r="E1990" t="s">
        <v>10067</v>
      </c>
      <c r="F1990" t="s">
        <v>844</v>
      </c>
      <c r="G1990" t="s">
        <v>172</v>
      </c>
      <c r="H1990" t="s">
        <v>173</v>
      </c>
      <c r="I1990" t="s">
        <v>34</v>
      </c>
      <c r="J1990" t="s">
        <v>272</v>
      </c>
      <c r="K1990" t="s">
        <v>41</v>
      </c>
      <c r="L1990" t="s">
        <v>10371</v>
      </c>
      <c r="M1990" t="s">
        <v>10372</v>
      </c>
      <c r="N1990" t="s">
        <v>847</v>
      </c>
      <c r="O1990" t="s">
        <v>100</v>
      </c>
      <c r="P1990" t="s">
        <v>10373</v>
      </c>
      <c r="Q1990" t="s">
        <v>187</v>
      </c>
      <c r="R1990" t="s">
        <v>323</v>
      </c>
      <c r="S1990">
        <v>5.82</v>
      </c>
      <c r="T1990">
        <v>7297</v>
      </c>
      <c r="U1990">
        <v>0</v>
      </c>
      <c r="V1990">
        <v>7297</v>
      </c>
    </row>
    <row r="1991" spans="1:22" x14ac:dyDescent="0.3">
      <c r="A1991">
        <v>148303</v>
      </c>
      <c r="B1991">
        <v>136976403</v>
      </c>
      <c r="C1991" t="s">
        <v>10374</v>
      </c>
      <c r="D1991" t="s">
        <v>10375</v>
      </c>
      <c r="E1991" t="s">
        <v>10067</v>
      </c>
      <c r="F1991" t="s">
        <v>844</v>
      </c>
      <c r="G1991" t="s">
        <v>172</v>
      </c>
      <c r="H1991" t="s">
        <v>173</v>
      </c>
      <c r="I1991" t="s">
        <v>34</v>
      </c>
      <c r="J1991" t="s">
        <v>272</v>
      </c>
      <c r="K1991" t="s">
        <v>44</v>
      </c>
      <c r="L1991" t="s">
        <v>10376</v>
      </c>
      <c r="M1991" t="s">
        <v>10377</v>
      </c>
      <c r="N1991" t="s">
        <v>847</v>
      </c>
      <c r="O1991" t="s">
        <v>100</v>
      </c>
      <c r="P1991" t="s">
        <v>10378</v>
      </c>
      <c r="Q1991" t="s">
        <v>557</v>
      </c>
      <c r="R1991" t="s">
        <v>749</v>
      </c>
      <c r="S1991">
        <v>8.33</v>
      </c>
      <c r="T1991">
        <v>9948</v>
      </c>
      <c r="U1991">
        <v>0</v>
      </c>
      <c r="V1991">
        <v>9948</v>
      </c>
    </row>
    <row r="1992" spans="1:22" x14ac:dyDescent="0.3">
      <c r="A1992">
        <v>148303</v>
      </c>
      <c r="B1992">
        <v>137034021</v>
      </c>
      <c r="C1992" t="s">
        <v>10379</v>
      </c>
      <c r="D1992" t="s">
        <v>10380</v>
      </c>
      <c r="E1992" t="s">
        <v>10067</v>
      </c>
      <c r="F1992" t="s">
        <v>844</v>
      </c>
      <c r="G1992" t="s">
        <v>172</v>
      </c>
      <c r="H1992" t="s">
        <v>173</v>
      </c>
      <c r="I1992" t="s">
        <v>34</v>
      </c>
      <c r="J1992" t="s">
        <v>272</v>
      </c>
      <c r="K1992" t="s">
        <v>41</v>
      </c>
      <c r="L1992" t="s">
        <v>10381</v>
      </c>
      <c r="M1992" t="s">
        <v>10382</v>
      </c>
      <c r="N1992" t="s">
        <v>847</v>
      </c>
      <c r="O1992" t="s">
        <v>100</v>
      </c>
      <c r="P1992" t="s">
        <v>10383</v>
      </c>
      <c r="Q1992" t="s">
        <v>61</v>
      </c>
      <c r="R1992" t="s">
        <v>147</v>
      </c>
      <c r="S1992">
        <v>1.34</v>
      </c>
      <c r="T1992">
        <v>8256</v>
      </c>
      <c r="U1992">
        <v>0</v>
      </c>
      <c r="V1992">
        <v>8256</v>
      </c>
    </row>
    <row r="1993" spans="1:22" x14ac:dyDescent="0.3">
      <c r="A1993">
        <v>148303</v>
      </c>
      <c r="B1993">
        <v>137203640</v>
      </c>
      <c r="C1993" t="s">
        <v>10384</v>
      </c>
      <c r="D1993" t="s">
        <v>10385</v>
      </c>
      <c r="E1993" t="s">
        <v>10067</v>
      </c>
      <c r="F1993" t="s">
        <v>844</v>
      </c>
      <c r="G1993" t="s">
        <v>172</v>
      </c>
      <c r="H1993" t="s">
        <v>173</v>
      </c>
      <c r="I1993" t="s">
        <v>34</v>
      </c>
      <c r="J1993" t="s">
        <v>272</v>
      </c>
      <c r="K1993" t="s">
        <v>41</v>
      </c>
      <c r="L1993" t="s">
        <v>10386</v>
      </c>
      <c r="M1993" t="s">
        <v>10387</v>
      </c>
      <c r="N1993" t="s">
        <v>847</v>
      </c>
      <c r="O1993" t="s">
        <v>100</v>
      </c>
      <c r="P1993" t="s">
        <v>10388</v>
      </c>
      <c r="Q1993" t="s">
        <v>238</v>
      </c>
      <c r="R1993" t="s">
        <v>449</v>
      </c>
      <c r="S1993">
        <v>3.13</v>
      </c>
      <c r="T1993">
        <v>7297</v>
      </c>
      <c r="U1993">
        <v>0</v>
      </c>
      <c r="V1993">
        <v>7297</v>
      </c>
    </row>
    <row r="1994" spans="1:22" x14ac:dyDescent="0.3">
      <c r="A1994">
        <v>148303</v>
      </c>
      <c r="B1994">
        <v>136870646</v>
      </c>
      <c r="C1994" t="s">
        <v>10389</v>
      </c>
      <c r="D1994" t="s">
        <v>10390</v>
      </c>
      <c r="E1994" t="s">
        <v>10067</v>
      </c>
      <c r="F1994" t="s">
        <v>844</v>
      </c>
      <c r="G1994" t="s">
        <v>172</v>
      </c>
      <c r="H1994" t="s">
        <v>173</v>
      </c>
      <c r="I1994" t="s">
        <v>34</v>
      </c>
      <c r="J1994" t="s">
        <v>272</v>
      </c>
      <c r="K1994" t="s">
        <v>48</v>
      </c>
      <c r="L1994" t="s">
        <v>10391</v>
      </c>
      <c r="M1994" t="s">
        <v>10392</v>
      </c>
      <c r="N1994" t="s">
        <v>847</v>
      </c>
      <c r="O1994" t="s">
        <v>100</v>
      </c>
      <c r="P1994" t="s">
        <v>10393</v>
      </c>
      <c r="Q1994" t="s">
        <v>102</v>
      </c>
      <c r="R1994" t="s">
        <v>10394</v>
      </c>
      <c r="S1994">
        <v>3.34</v>
      </c>
      <c r="T1994">
        <v>4537</v>
      </c>
      <c r="U1994">
        <v>0</v>
      </c>
      <c r="V1994">
        <v>4537</v>
      </c>
    </row>
    <row r="1995" spans="1:22" x14ac:dyDescent="0.3">
      <c r="A1995">
        <v>148303</v>
      </c>
      <c r="B1995">
        <v>136873779</v>
      </c>
      <c r="C1995" t="s">
        <v>10395</v>
      </c>
      <c r="D1995" t="s">
        <v>10396</v>
      </c>
      <c r="E1995" t="s">
        <v>10067</v>
      </c>
      <c r="F1995" t="s">
        <v>844</v>
      </c>
      <c r="G1995" t="s">
        <v>172</v>
      </c>
      <c r="H1995" t="s">
        <v>173</v>
      </c>
      <c r="I1995" t="s">
        <v>34</v>
      </c>
      <c r="J1995" t="s">
        <v>272</v>
      </c>
      <c r="K1995" t="s">
        <v>41</v>
      </c>
      <c r="L1995" t="s">
        <v>10128</v>
      </c>
      <c r="M1995" t="s">
        <v>10129</v>
      </c>
      <c r="N1995" t="s">
        <v>847</v>
      </c>
      <c r="O1995" t="s">
        <v>100</v>
      </c>
      <c r="P1995" t="s">
        <v>10397</v>
      </c>
      <c r="Q1995" t="s">
        <v>263</v>
      </c>
      <c r="R1995" t="s">
        <v>10398</v>
      </c>
      <c r="S1995">
        <v>3.52</v>
      </c>
      <c r="T1995">
        <v>10944</v>
      </c>
      <c r="U1995">
        <v>0</v>
      </c>
      <c r="V1995">
        <v>10944</v>
      </c>
    </row>
    <row r="1996" spans="1:22" x14ac:dyDescent="0.3">
      <c r="A1996">
        <v>148303</v>
      </c>
      <c r="B1996">
        <v>136886619</v>
      </c>
      <c r="C1996" t="s">
        <v>10399</v>
      </c>
      <c r="D1996" t="s">
        <v>10400</v>
      </c>
      <c r="E1996" t="s">
        <v>10067</v>
      </c>
      <c r="F1996" t="s">
        <v>844</v>
      </c>
      <c r="G1996" t="s">
        <v>172</v>
      </c>
      <c r="H1996" t="s">
        <v>173</v>
      </c>
      <c r="I1996" t="s">
        <v>34</v>
      </c>
      <c r="J1996" t="s">
        <v>272</v>
      </c>
      <c r="K1996" t="s">
        <v>41</v>
      </c>
      <c r="L1996" t="s">
        <v>10401</v>
      </c>
      <c r="M1996" t="s">
        <v>10402</v>
      </c>
      <c r="N1996" t="s">
        <v>847</v>
      </c>
      <c r="O1996" t="s">
        <v>100</v>
      </c>
      <c r="P1996" t="s">
        <v>10403</v>
      </c>
      <c r="Q1996" t="s">
        <v>87</v>
      </c>
      <c r="R1996" t="s">
        <v>10404</v>
      </c>
      <c r="S1996">
        <v>2.4300000000000002</v>
      </c>
      <c r="T1996">
        <v>7015</v>
      </c>
      <c r="U1996">
        <v>0</v>
      </c>
      <c r="V1996">
        <v>7015</v>
      </c>
    </row>
    <row r="1997" spans="1:22" x14ac:dyDescent="0.3">
      <c r="A1997">
        <v>148303</v>
      </c>
      <c r="B1997">
        <v>136546704</v>
      </c>
      <c r="C1997" t="s">
        <v>10405</v>
      </c>
      <c r="D1997" t="s">
        <v>10406</v>
      </c>
      <c r="E1997" t="s">
        <v>10067</v>
      </c>
      <c r="F1997" t="s">
        <v>844</v>
      </c>
      <c r="G1997" t="s">
        <v>172</v>
      </c>
      <c r="H1997" t="s">
        <v>173</v>
      </c>
      <c r="I1997" t="s">
        <v>34</v>
      </c>
      <c r="J1997" t="s">
        <v>272</v>
      </c>
      <c r="K1997" t="s">
        <v>41</v>
      </c>
      <c r="L1997" t="s">
        <v>174</v>
      </c>
      <c r="M1997" t="s">
        <v>10407</v>
      </c>
      <c r="N1997" t="s">
        <v>847</v>
      </c>
      <c r="O1997" t="s">
        <v>100</v>
      </c>
      <c r="P1997" t="s">
        <v>10408</v>
      </c>
      <c r="Q1997" t="s">
        <v>43</v>
      </c>
      <c r="R1997" t="s">
        <v>10409</v>
      </c>
      <c r="S1997">
        <v>10.93</v>
      </c>
      <c r="T1997">
        <v>11583</v>
      </c>
      <c r="U1997">
        <v>0</v>
      </c>
      <c r="V1997">
        <v>11583</v>
      </c>
    </row>
    <row r="1998" spans="1:22" x14ac:dyDescent="0.3">
      <c r="A1998">
        <v>148303</v>
      </c>
      <c r="B1998">
        <v>136599288</v>
      </c>
      <c r="C1998" t="s">
        <v>10410</v>
      </c>
      <c r="D1998" t="s">
        <v>10411</v>
      </c>
      <c r="E1998" t="s">
        <v>10067</v>
      </c>
      <c r="F1998" t="s">
        <v>844</v>
      </c>
      <c r="G1998" t="s">
        <v>172</v>
      </c>
      <c r="H1998" t="s">
        <v>173</v>
      </c>
      <c r="I1998" t="s">
        <v>34</v>
      </c>
      <c r="J1998" t="s">
        <v>272</v>
      </c>
      <c r="K1998" t="s">
        <v>41</v>
      </c>
      <c r="L1998" t="s">
        <v>174</v>
      </c>
      <c r="M1998" t="s">
        <v>10412</v>
      </c>
      <c r="N1998" t="s">
        <v>847</v>
      </c>
      <c r="O1998" t="s">
        <v>100</v>
      </c>
      <c r="P1998" t="s">
        <v>10413</v>
      </c>
      <c r="Q1998" t="s">
        <v>84</v>
      </c>
      <c r="R1998" t="s">
        <v>10414</v>
      </c>
      <c r="S1998">
        <v>3.39</v>
      </c>
      <c r="T1998">
        <v>7129</v>
      </c>
      <c r="U1998">
        <v>0</v>
      </c>
      <c r="V1998">
        <v>7129</v>
      </c>
    </row>
    <row r="1999" spans="1:22" x14ac:dyDescent="0.3">
      <c r="A1999">
        <v>148303</v>
      </c>
      <c r="B1999">
        <v>136645288</v>
      </c>
      <c r="C1999" t="s">
        <v>10415</v>
      </c>
      <c r="D1999" t="s">
        <v>10416</v>
      </c>
      <c r="E1999" t="s">
        <v>10067</v>
      </c>
      <c r="F1999" t="s">
        <v>844</v>
      </c>
      <c r="G1999" t="s">
        <v>172</v>
      </c>
      <c r="H1999" t="s">
        <v>173</v>
      </c>
      <c r="I1999" t="s">
        <v>34</v>
      </c>
      <c r="J1999" t="s">
        <v>272</v>
      </c>
      <c r="K1999" t="s">
        <v>41</v>
      </c>
      <c r="L1999" t="s">
        <v>174</v>
      </c>
      <c r="M1999" t="s">
        <v>10417</v>
      </c>
      <c r="N1999" t="s">
        <v>847</v>
      </c>
      <c r="O1999" t="s">
        <v>100</v>
      </c>
      <c r="P1999" t="s">
        <v>10418</v>
      </c>
      <c r="Q1999" t="s">
        <v>169</v>
      </c>
      <c r="R1999" t="s">
        <v>10419</v>
      </c>
      <c r="S1999">
        <v>3.61</v>
      </c>
      <c r="T1999">
        <v>8849</v>
      </c>
      <c r="U1999">
        <v>0</v>
      </c>
      <c r="V1999">
        <v>8849</v>
      </c>
    </row>
    <row r="2000" spans="1:22" x14ac:dyDescent="0.3">
      <c r="A2000">
        <v>148303</v>
      </c>
      <c r="B2000">
        <v>136647370</v>
      </c>
      <c r="C2000" t="s">
        <v>10420</v>
      </c>
      <c r="D2000" t="s">
        <v>10421</v>
      </c>
      <c r="E2000" t="s">
        <v>10067</v>
      </c>
      <c r="F2000" t="s">
        <v>844</v>
      </c>
      <c r="G2000" t="s">
        <v>172</v>
      </c>
      <c r="H2000" t="s">
        <v>173</v>
      </c>
      <c r="I2000" t="s">
        <v>34</v>
      </c>
      <c r="J2000" t="s">
        <v>272</v>
      </c>
      <c r="K2000" t="s">
        <v>41</v>
      </c>
      <c r="L2000" t="s">
        <v>174</v>
      </c>
      <c r="M2000" t="s">
        <v>10422</v>
      </c>
      <c r="N2000" t="s">
        <v>847</v>
      </c>
      <c r="O2000" t="s">
        <v>100</v>
      </c>
      <c r="P2000" t="s">
        <v>10423</v>
      </c>
      <c r="Q2000" t="s">
        <v>84</v>
      </c>
      <c r="R2000" t="s">
        <v>10424</v>
      </c>
      <c r="S2000">
        <v>5.98</v>
      </c>
      <c r="T2000">
        <v>7129</v>
      </c>
      <c r="U2000">
        <v>0</v>
      </c>
      <c r="V2000">
        <v>7129</v>
      </c>
    </row>
    <row r="2001" spans="1:22" x14ac:dyDescent="0.3">
      <c r="A2001">
        <v>148303</v>
      </c>
      <c r="B2001">
        <v>136878155</v>
      </c>
      <c r="C2001" t="s">
        <v>10425</v>
      </c>
      <c r="D2001" t="s">
        <v>10426</v>
      </c>
      <c r="E2001" t="s">
        <v>10067</v>
      </c>
      <c r="F2001" t="s">
        <v>844</v>
      </c>
      <c r="G2001" t="s">
        <v>172</v>
      </c>
      <c r="H2001" t="s">
        <v>173</v>
      </c>
      <c r="I2001" t="s">
        <v>34</v>
      </c>
      <c r="J2001" t="s">
        <v>272</v>
      </c>
      <c r="K2001" t="s">
        <v>41</v>
      </c>
      <c r="L2001" t="s">
        <v>10427</v>
      </c>
      <c r="M2001" t="s">
        <v>10428</v>
      </c>
      <c r="N2001" t="s">
        <v>847</v>
      </c>
      <c r="O2001" t="s">
        <v>100</v>
      </c>
      <c r="P2001" t="s">
        <v>10429</v>
      </c>
      <c r="Q2001" t="s">
        <v>53</v>
      </c>
      <c r="R2001" t="s">
        <v>423</v>
      </c>
      <c r="S2001">
        <v>3.58</v>
      </c>
      <c r="T2001">
        <v>18881</v>
      </c>
      <c r="U2001">
        <v>0</v>
      </c>
      <c r="V2001">
        <v>18881</v>
      </c>
    </row>
    <row r="2002" spans="1:22" x14ac:dyDescent="0.3">
      <c r="A2002">
        <v>148303</v>
      </c>
      <c r="B2002">
        <v>136541334</v>
      </c>
      <c r="C2002" t="s">
        <v>10430</v>
      </c>
      <c r="D2002" t="s">
        <v>10431</v>
      </c>
      <c r="E2002" t="s">
        <v>10067</v>
      </c>
      <c r="F2002" t="s">
        <v>844</v>
      </c>
      <c r="G2002" t="s">
        <v>172</v>
      </c>
      <c r="H2002" t="s">
        <v>173</v>
      </c>
      <c r="I2002" t="s">
        <v>34</v>
      </c>
      <c r="J2002" t="s">
        <v>272</v>
      </c>
      <c r="K2002" t="s">
        <v>41</v>
      </c>
      <c r="L2002" t="s">
        <v>174</v>
      </c>
      <c r="M2002" t="s">
        <v>10432</v>
      </c>
      <c r="N2002" t="s">
        <v>847</v>
      </c>
      <c r="O2002" t="s">
        <v>100</v>
      </c>
      <c r="P2002" t="s">
        <v>10433</v>
      </c>
      <c r="Q2002" t="s">
        <v>255</v>
      </c>
      <c r="R2002" t="s">
        <v>793</v>
      </c>
      <c r="S2002">
        <v>3.17</v>
      </c>
      <c r="T2002">
        <v>12032</v>
      </c>
      <c r="U2002">
        <v>0</v>
      </c>
      <c r="V2002">
        <v>12032</v>
      </c>
    </row>
    <row r="2003" spans="1:22" x14ac:dyDescent="0.3">
      <c r="A2003">
        <v>148303</v>
      </c>
      <c r="B2003">
        <v>136530134</v>
      </c>
      <c r="C2003" t="s">
        <v>10434</v>
      </c>
      <c r="D2003" t="s">
        <v>10435</v>
      </c>
      <c r="E2003" t="s">
        <v>10067</v>
      </c>
      <c r="F2003" t="s">
        <v>844</v>
      </c>
      <c r="G2003" t="s">
        <v>172</v>
      </c>
      <c r="H2003" t="s">
        <v>173</v>
      </c>
      <c r="I2003" t="s">
        <v>34</v>
      </c>
      <c r="J2003" t="s">
        <v>272</v>
      </c>
      <c r="K2003" t="s">
        <v>41</v>
      </c>
      <c r="L2003" t="s">
        <v>174</v>
      </c>
      <c r="M2003" t="s">
        <v>10436</v>
      </c>
      <c r="N2003" t="s">
        <v>847</v>
      </c>
      <c r="O2003" t="s">
        <v>100</v>
      </c>
      <c r="P2003" t="s">
        <v>10437</v>
      </c>
      <c r="Q2003" t="s">
        <v>307</v>
      </c>
      <c r="R2003" t="s">
        <v>10438</v>
      </c>
      <c r="S2003">
        <v>10.41</v>
      </c>
      <c r="T2003">
        <v>17372</v>
      </c>
      <c r="U2003">
        <v>0</v>
      </c>
      <c r="V2003">
        <v>17372</v>
      </c>
    </row>
    <row r="2004" spans="1:22" x14ac:dyDescent="0.3">
      <c r="A2004">
        <v>148303</v>
      </c>
      <c r="B2004">
        <v>136591955</v>
      </c>
      <c r="C2004" t="s">
        <v>10439</v>
      </c>
      <c r="D2004" t="s">
        <v>10440</v>
      </c>
      <c r="E2004" t="s">
        <v>10067</v>
      </c>
      <c r="F2004" t="s">
        <v>844</v>
      </c>
      <c r="G2004" t="s">
        <v>172</v>
      </c>
      <c r="H2004" t="s">
        <v>173</v>
      </c>
      <c r="I2004" t="s">
        <v>34</v>
      </c>
      <c r="J2004" t="s">
        <v>272</v>
      </c>
      <c r="K2004" t="s">
        <v>41</v>
      </c>
      <c r="L2004" t="s">
        <v>174</v>
      </c>
      <c r="M2004" t="s">
        <v>10441</v>
      </c>
      <c r="N2004" t="s">
        <v>847</v>
      </c>
      <c r="O2004" t="s">
        <v>100</v>
      </c>
      <c r="P2004" t="s">
        <v>10442</v>
      </c>
      <c r="Q2004" t="s">
        <v>69</v>
      </c>
      <c r="R2004" t="s">
        <v>10443</v>
      </c>
      <c r="S2004">
        <v>4.91</v>
      </c>
      <c r="T2004">
        <v>8022</v>
      </c>
      <c r="U2004">
        <v>0</v>
      </c>
      <c r="V2004">
        <v>8022</v>
      </c>
    </row>
    <row r="2005" spans="1:22" x14ac:dyDescent="0.3">
      <c r="A2005">
        <v>148303</v>
      </c>
      <c r="B2005">
        <v>136645649</v>
      </c>
      <c r="C2005" t="s">
        <v>10444</v>
      </c>
      <c r="D2005" t="s">
        <v>10445</v>
      </c>
      <c r="E2005" t="s">
        <v>10067</v>
      </c>
      <c r="F2005" t="s">
        <v>844</v>
      </c>
      <c r="G2005" t="s">
        <v>172</v>
      </c>
      <c r="H2005" t="s">
        <v>173</v>
      </c>
      <c r="I2005" t="s">
        <v>34</v>
      </c>
      <c r="J2005" t="s">
        <v>272</v>
      </c>
      <c r="K2005" t="s">
        <v>41</v>
      </c>
      <c r="L2005" t="s">
        <v>174</v>
      </c>
      <c r="M2005" t="s">
        <v>10446</v>
      </c>
      <c r="N2005" t="s">
        <v>847</v>
      </c>
      <c r="O2005" t="s">
        <v>100</v>
      </c>
      <c r="P2005" t="s">
        <v>10447</v>
      </c>
      <c r="Q2005" t="s">
        <v>76</v>
      </c>
      <c r="R2005" t="s">
        <v>312</v>
      </c>
      <c r="S2005">
        <v>3.35</v>
      </c>
      <c r="T2005">
        <v>8022</v>
      </c>
      <c r="U2005">
        <v>0</v>
      </c>
      <c r="V2005">
        <v>8022</v>
      </c>
    </row>
    <row r="2006" spans="1:22" x14ac:dyDescent="0.3">
      <c r="A2006">
        <v>148303</v>
      </c>
      <c r="B2006">
        <v>136785815</v>
      </c>
      <c r="C2006" t="s">
        <v>10448</v>
      </c>
      <c r="D2006" t="s">
        <v>10449</v>
      </c>
      <c r="E2006" t="s">
        <v>10067</v>
      </c>
      <c r="F2006" t="s">
        <v>844</v>
      </c>
      <c r="G2006" t="s">
        <v>172</v>
      </c>
      <c r="H2006" t="s">
        <v>173</v>
      </c>
      <c r="I2006" t="s">
        <v>34</v>
      </c>
      <c r="J2006" t="s">
        <v>272</v>
      </c>
      <c r="K2006" t="s">
        <v>41</v>
      </c>
      <c r="L2006" t="s">
        <v>174</v>
      </c>
      <c r="M2006" t="s">
        <v>10450</v>
      </c>
      <c r="N2006" t="s">
        <v>847</v>
      </c>
      <c r="O2006" t="s">
        <v>100</v>
      </c>
      <c r="P2006" t="s">
        <v>10451</v>
      </c>
      <c r="Q2006" t="s">
        <v>83</v>
      </c>
      <c r="R2006" t="s">
        <v>10452</v>
      </c>
      <c r="S2006">
        <v>3.17</v>
      </c>
      <c r="T2006">
        <v>7129</v>
      </c>
      <c r="U2006">
        <v>0</v>
      </c>
      <c r="V2006">
        <v>7129</v>
      </c>
    </row>
    <row r="2007" spans="1:22" x14ac:dyDescent="0.3">
      <c r="A2007">
        <v>148303</v>
      </c>
      <c r="B2007">
        <v>136801811</v>
      </c>
      <c r="C2007" t="s">
        <v>10453</v>
      </c>
      <c r="D2007" t="s">
        <v>10454</v>
      </c>
      <c r="E2007" t="s">
        <v>10067</v>
      </c>
      <c r="F2007" t="s">
        <v>844</v>
      </c>
      <c r="G2007" t="s">
        <v>172</v>
      </c>
      <c r="H2007" t="s">
        <v>173</v>
      </c>
      <c r="I2007" t="s">
        <v>34</v>
      </c>
      <c r="J2007" t="s">
        <v>272</v>
      </c>
      <c r="K2007" t="s">
        <v>41</v>
      </c>
      <c r="L2007" t="s">
        <v>174</v>
      </c>
      <c r="M2007" t="s">
        <v>10455</v>
      </c>
      <c r="N2007" t="s">
        <v>847</v>
      </c>
      <c r="O2007" t="s">
        <v>100</v>
      </c>
      <c r="P2007" t="s">
        <v>10456</v>
      </c>
      <c r="Q2007" t="s">
        <v>109</v>
      </c>
      <c r="R2007" t="s">
        <v>10457</v>
      </c>
      <c r="S2007">
        <v>2.4700000000000002</v>
      </c>
      <c r="T2007">
        <v>8940</v>
      </c>
      <c r="U2007">
        <v>0</v>
      </c>
      <c r="V2007">
        <v>8940</v>
      </c>
    </row>
    <row r="2008" spans="1:22" x14ac:dyDescent="0.3">
      <c r="A2008">
        <v>148303</v>
      </c>
      <c r="B2008">
        <v>136569229</v>
      </c>
      <c r="C2008" t="s">
        <v>10458</v>
      </c>
      <c r="D2008" t="s">
        <v>10459</v>
      </c>
      <c r="E2008" t="s">
        <v>10067</v>
      </c>
      <c r="F2008" t="s">
        <v>844</v>
      </c>
      <c r="G2008" t="s">
        <v>172</v>
      </c>
      <c r="H2008" t="s">
        <v>173</v>
      </c>
      <c r="I2008" t="s">
        <v>34</v>
      </c>
      <c r="J2008" t="s">
        <v>272</v>
      </c>
      <c r="K2008" t="s">
        <v>41</v>
      </c>
      <c r="L2008" t="s">
        <v>174</v>
      </c>
      <c r="M2008" t="s">
        <v>10460</v>
      </c>
      <c r="N2008" t="s">
        <v>847</v>
      </c>
      <c r="O2008" t="s">
        <v>100</v>
      </c>
      <c r="P2008" t="s">
        <v>10461</v>
      </c>
      <c r="Q2008" t="s">
        <v>55</v>
      </c>
      <c r="R2008" t="s">
        <v>476</v>
      </c>
      <c r="S2008">
        <v>1.55</v>
      </c>
      <c r="T2008">
        <v>9317</v>
      </c>
      <c r="U2008">
        <v>0</v>
      </c>
      <c r="V2008">
        <v>9317</v>
      </c>
    </row>
    <row r="2009" spans="1:22" x14ac:dyDescent="0.3">
      <c r="A2009">
        <v>148303</v>
      </c>
      <c r="B2009">
        <v>136555203</v>
      </c>
      <c r="C2009" t="s">
        <v>10462</v>
      </c>
      <c r="D2009" t="s">
        <v>10463</v>
      </c>
      <c r="E2009" t="s">
        <v>10067</v>
      </c>
      <c r="F2009" t="s">
        <v>844</v>
      </c>
      <c r="G2009" t="s">
        <v>172</v>
      </c>
      <c r="H2009" t="s">
        <v>173</v>
      </c>
      <c r="I2009" t="s">
        <v>34</v>
      </c>
      <c r="J2009" t="s">
        <v>272</v>
      </c>
      <c r="K2009" t="s">
        <v>41</v>
      </c>
      <c r="L2009" t="s">
        <v>174</v>
      </c>
      <c r="M2009" t="s">
        <v>151</v>
      </c>
      <c r="N2009" t="s">
        <v>847</v>
      </c>
      <c r="O2009" t="s">
        <v>100</v>
      </c>
      <c r="P2009" t="s">
        <v>10464</v>
      </c>
      <c r="Q2009" t="s">
        <v>69</v>
      </c>
      <c r="R2009" t="s">
        <v>10465</v>
      </c>
      <c r="S2009">
        <v>3.64</v>
      </c>
      <c r="T2009">
        <v>8022</v>
      </c>
      <c r="U2009">
        <v>0</v>
      </c>
      <c r="V2009">
        <v>8022</v>
      </c>
    </row>
    <row r="2010" spans="1:22" x14ac:dyDescent="0.3">
      <c r="A2010">
        <v>148303</v>
      </c>
      <c r="B2010">
        <v>136586582</v>
      </c>
      <c r="C2010" t="s">
        <v>10466</v>
      </c>
      <c r="D2010" t="s">
        <v>10467</v>
      </c>
      <c r="E2010" t="s">
        <v>10067</v>
      </c>
      <c r="F2010" t="s">
        <v>844</v>
      </c>
      <c r="G2010" t="s">
        <v>172</v>
      </c>
      <c r="H2010" t="s">
        <v>173</v>
      </c>
      <c r="I2010" t="s">
        <v>34</v>
      </c>
      <c r="J2010" t="s">
        <v>272</v>
      </c>
      <c r="K2010" t="s">
        <v>41</v>
      </c>
      <c r="L2010" t="s">
        <v>174</v>
      </c>
      <c r="M2010" t="s">
        <v>10468</v>
      </c>
      <c r="N2010" t="s">
        <v>847</v>
      </c>
      <c r="O2010" t="s">
        <v>100</v>
      </c>
      <c r="P2010" t="s">
        <v>10469</v>
      </c>
      <c r="Q2010" t="s">
        <v>59</v>
      </c>
      <c r="R2010" t="s">
        <v>10470</v>
      </c>
      <c r="S2010">
        <v>5.91</v>
      </c>
      <c r="T2010">
        <v>8646</v>
      </c>
      <c r="U2010">
        <v>0</v>
      </c>
      <c r="V2010">
        <v>8646</v>
      </c>
    </row>
    <row r="2011" spans="1:22" x14ac:dyDescent="0.3">
      <c r="A2011">
        <v>148303</v>
      </c>
      <c r="B2011">
        <v>136559008</v>
      </c>
      <c r="C2011" t="s">
        <v>10471</v>
      </c>
      <c r="D2011" t="s">
        <v>10472</v>
      </c>
      <c r="E2011" t="s">
        <v>10067</v>
      </c>
      <c r="F2011" t="s">
        <v>844</v>
      </c>
      <c r="G2011" t="s">
        <v>172</v>
      </c>
      <c r="H2011" t="s">
        <v>173</v>
      </c>
      <c r="I2011" t="s">
        <v>34</v>
      </c>
      <c r="J2011" t="s">
        <v>272</v>
      </c>
      <c r="K2011" t="s">
        <v>41</v>
      </c>
      <c r="L2011" t="s">
        <v>174</v>
      </c>
      <c r="M2011" t="s">
        <v>10473</v>
      </c>
      <c r="N2011" t="s">
        <v>847</v>
      </c>
      <c r="O2011" t="s">
        <v>100</v>
      </c>
      <c r="P2011" t="s">
        <v>10474</v>
      </c>
      <c r="Q2011" t="s">
        <v>54</v>
      </c>
      <c r="R2011" t="s">
        <v>333</v>
      </c>
      <c r="S2011">
        <v>12.63</v>
      </c>
      <c r="T2011">
        <v>18503</v>
      </c>
      <c r="U2011">
        <v>0</v>
      </c>
      <c r="V2011">
        <v>18503</v>
      </c>
    </row>
    <row r="2012" spans="1:22" x14ac:dyDescent="0.3">
      <c r="A2012">
        <v>148303</v>
      </c>
      <c r="B2012">
        <v>136563663</v>
      </c>
      <c r="C2012" t="s">
        <v>10475</v>
      </c>
      <c r="D2012" t="s">
        <v>10476</v>
      </c>
      <c r="E2012" t="s">
        <v>10067</v>
      </c>
      <c r="F2012" t="s">
        <v>844</v>
      </c>
      <c r="G2012" t="s">
        <v>172</v>
      </c>
      <c r="H2012" t="s">
        <v>173</v>
      </c>
      <c r="I2012" t="s">
        <v>34</v>
      </c>
      <c r="J2012" t="s">
        <v>272</v>
      </c>
      <c r="K2012" t="s">
        <v>41</v>
      </c>
      <c r="L2012" t="s">
        <v>174</v>
      </c>
      <c r="M2012" t="s">
        <v>10477</v>
      </c>
      <c r="N2012" t="s">
        <v>847</v>
      </c>
      <c r="O2012" t="s">
        <v>100</v>
      </c>
      <c r="P2012" t="s">
        <v>10478</v>
      </c>
      <c r="Q2012" t="s">
        <v>69</v>
      </c>
      <c r="R2012" t="s">
        <v>10479</v>
      </c>
      <c r="S2012">
        <v>2.38</v>
      </c>
      <c r="T2012">
        <v>7945</v>
      </c>
      <c r="U2012">
        <v>0</v>
      </c>
      <c r="V2012">
        <v>7945</v>
      </c>
    </row>
    <row r="2013" spans="1:22" x14ac:dyDescent="0.3">
      <c r="A2013">
        <v>148303</v>
      </c>
      <c r="B2013">
        <v>136607411</v>
      </c>
      <c r="C2013" t="s">
        <v>10480</v>
      </c>
      <c r="D2013" t="s">
        <v>10481</v>
      </c>
      <c r="E2013" t="s">
        <v>10067</v>
      </c>
      <c r="F2013" t="s">
        <v>844</v>
      </c>
      <c r="G2013" t="s">
        <v>172</v>
      </c>
      <c r="H2013" t="s">
        <v>173</v>
      </c>
      <c r="I2013" t="s">
        <v>34</v>
      </c>
      <c r="J2013" t="s">
        <v>272</v>
      </c>
      <c r="K2013" t="s">
        <v>41</v>
      </c>
      <c r="L2013" t="s">
        <v>174</v>
      </c>
      <c r="M2013" t="s">
        <v>10482</v>
      </c>
      <c r="N2013" t="s">
        <v>847</v>
      </c>
      <c r="O2013" t="s">
        <v>100</v>
      </c>
      <c r="P2013" t="s">
        <v>10483</v>
      </c>
      <c r="Q2013" t="s">
        <v>250</v>
      </c>
      <c r="R2013" t="s">
        <v>729</v>
      </c>
      <c r="S2013">
        <v>3.22</v>
      </c>
      <c r="T2013">
        <v>7449</v>
      </c>
      <c r="U2013">
        <v>0</v>
      </c>
      <c r="V2013">
        <v>7449</v>
      </c>
    </row>
    <row r="2014" spans="1:22" x14ac:dyDescent="0.3">
      <c r="A2014">
        <v>148303</v>
      </c>
      <c r="B2014">
        <v>136596969</v>
      </c>
      <c r="C2014" t="s">
        <v>10484</v>
      </c>
      <c r="D2014" t="s">
        <v>10485</v>
      </c>
      <c r="E2014" t="s">
        <v>10067</v>
      </c>
      <c r="F2014" t="s">
        <v>844</v>
      </c>
      <c r="G2014" t="s">
        <v>172</v>
      </c>
      <c r="H2014" t="s">
        <v>173</v>
      </c>
      <c r="I2014" t="s">
        <v>34</v>
      </c>
      <c r="J2014" t="s">
        <v>272</v>
      </c>
      <c r="K2014" t="s">
        <v>41</v>
      </c>
      <c r="L2014" t="s">
        <v>174</v>
      </c>
      <c r="M2014" t="s">
        <v>10486</v>
      </c>
      <c r="N2014" t="s">
        <v>847</v>
      </c>
      <c r="O2014" t="s">
        <v>100</v>
      </c>
      <c r="P2014" t="s">
        <v>10487</v>
      </c>
      <c r="Q2014" t="s">
        <v>109</v>
      </c>
      <c r="R2014" t="s">
        <v>755</v>
      </c>
      <c r="S2014">
        <v>3.24</v>
      </c>
      <c r="T2014">
        <v>8849</v>
      </c>
      <c r="U2014">
        <v>0</v>
      </c>
      <c r="V2014">
        <v>8849</v>
      </c>
    </row>
    <row r="2015" spans="1:22" x14ac:dyDescent="0.3">
      <c r="A2015">
        <v>148303</v>
      </c>
      <c r="B2015">
        <v>136651253</v>
      </c>
      <c r="C2015" t="s">
        <v>10488</v>
      </c>
      <c r="D2015" t="s">
        <v>10489</v>
      </c>
      <c r="E2015" t="s">
        <v>10067</v>
      </c>
      <c r="F2015" t="s">
        <v>844</v>
      </c>
      <c r="G2015" t="s">
        <v>172</v>
      </c>
      <c r="H2015" t="s">
        <v>173</v>
      </c>
      <c r="I2015" t="s">
        <v>34</v>
      </c>
      <c r="J2015" t="s">
        <v>272</v>
      </c>
      <c r="K2015" t="s">
        <v>41</v>
      </c>
      <c r="L2015" t="s">
        <v>174</v>
      </c>
      <c r="M2015" t="s">
        <v>10490</v>
      </c>
      <c r="N2015" t="s">
        <v>847</v>
      </c>
      <c r="O2015" t="s">
        <v>100</v>
      </c>
      <c r="P2015" t="s">
        <v>10491</v>
      </c>
      <c r="Q2015" t="s">
        <v>61</v>
      </c>
      <c r="R2015" t="s">
        <v>10492</v>
      </c>
      <c r="S2015">
        <v>4.9400000000000004</v>
      </c>
      <c r="T2015">
        <v>8964</v>
      </c>
      <c r="U2015">
        <v>0</v>
      </c>
      <c r="V2015">
        <v>8964</v>
      </c>
    </row>
    <row r="2016" spans="1:22" x14ac:dyDescent="0.3">
      <c r="A2016">
        <v>148303</v>
      </c>
      <c r="B2016">
        <v>136782024</v>
      </c>
      <c r="C2016" t="s">
        <v>10493</v>
      </c>
      <c r="D2016" t="s">
        <v>10494</v>
      </c>
      <c r="E2016" t="s">
        <v>10067</v>
      </c>
      <c r="F2016" t="s">
        <v>844</v>
      </c>
      <c r="G2016" t="s">
        <v>172</v>
      </c>
      <c r="H2016" t="s">
        <v>173</v>
      </c>
      <c r="I2016" t="s">
        <v>34</v>
      </c>
      <c r="J2016" t="s">
        <v>272</v>
      </c>
      <c r="K2016" t="s">
        <v>41</v>
      </c>
      <c r="L2016" t="s">
        <v>174</v>
      </c>
      <c r="M2016" t="s">
        <v>10495</v>
      </c>
      <c r="N2016" t="s">
        <v>847</v>
      </c>
      <c r="O2016" t="s">
        <v>100</v>
      </c>
      <c r="P2016" t="s">
        <v>10496</v>
      </c>
      <c r="Q2016" t="s">
        <v>92</v>
      </c>
      <c r="R2016" t="s">
        <v>10497</v>
      </c>
      <c r="S2016">
        <v>2.27</v>
      </c>
      <c r="T2016">
        <v>7015</v>
      </c>
      <c r="U2016">
        <v>0</v>
      </c>
      <c r="V2016">
        <v>7015</v>
      </c>
    </row>
    <row r="2017" spans="1:22" x14ac:dyDescent="0.3">
      <c r="A2017">
        <v>148303</v>
      </c>
      <c r="B2017">
        <v>136854378</v>
      </c>
      <c r="C2017" t="s">
        <v>10498</v>
      </c>
      <c r="D2017" t="s">
        <v>10499</v>
      </c>
      <c r="E2017" t="s">
        <v>10067</v>
      </c>
      <c r="F2017" t="s">
        <v>844</v>
      </c>
      <c r="G2017" t="s">
        <v>172</v>
      </c>
      <c r="H2017" t="s">
        <v>173</v>
      </c>
      <c r="I2017" t="s">
        <v>34</v>
      </c>
      <c r="J2017" t="s">
        <v>272</v>
      </c>
      <c r="K2017" t="s">
        <v>41</v>
      </c>
      <c r="L2017" t="s">
        <v>10500</v>
      </c>
      <c r="M2017" t="s">
        <v>10501</v>
      </c>
      <c r="N2017" t="s">
        <v>847</v>
      </c>
      <c r="O2017" t="s">
        <v>100</v>
      </c>
      <c r="P2017" t="s">
        <v>10502</v>
      </c>
      <c r="Q2017" t="s">
        <v>59</v>
      </c>
      <c r="R2017" t="s">
        <v>329</v>
      </c>
      <c r="S2017">
        <v>3.17</v>
      </c>
      <c r="T2017">
        <v>8646</v>
      </c>
      <c r="U2017">
        <v>0</v>
      </c>
      <c r="V2017">
        <v>8646</v>
      </c>
    </row>
    <row r="2018" spans="1:22" x14ac:dyDescent="0.3">
      <c r="A2018">
        <v>148303</v>
      </c>
      <c r="B2018">
        <v>136762988</v>
      </c>
      <c r="C2018" t="s">
        <v>10503</v>
      </c>
      <c r="D2018" t="s">
        <v>10504</v>
      </c>
      <c r="E2018" t="s">
        <v>10067</v>
      </c>
      <c r="F2018" t="s">
        <v>844</v>
      </c>
      <c r="G2018" t="s">
        <v>172</v>
      </c>
      <c r="H2018" t="s">
        <v>173</v>
      </c>
      <c r="I2018" t="s">
        <v>34</v>
      </c>
      <c r="J2018" t="s">
        <v>272</v>
      </c>
      <c r="K2018" t="s">
        <v>41</v>
      </c>
      <c r="L2018" t="s">
        <v>174</v>
      </c>
      <c r="M2018" t="s">
        <v>10505</v>
      </c>
      <c r="N2018" t="s">
        <v>847</v>
      </c>
      <c r="O2018" t="s">
        <v>100</v>
      </c>
      <c r="P2018" t="s">
        <v>10506</v>
      </c>
      <c r="Q2018" t="s">
        <v>70</v>
      </c>
      <c r="R2018" t="s">
        <v>331</v>
      </c>
      <c r="S2018">
        <v>2.4900000000000002</v>
      </c>
      <c r="T2018">
        <v>7326</v>
      </c>
      <c r="U2018">
        <v>0</v>
      </c>
      <c r="V2018">
        <v>7326</v>
      </c>
    </row>
    <row r="2019" spans="1:22" x14ac:dyDescent="0.3">
      <c r="A2019">
        <v>148303</v>
      </c>
      <c r="B2019">
        <v>136821847</v>
      </c>
      <c r="C2019" t="s">
        <v>10507</v>
      </c>
      <c r="D2019" t="s">
        <v>10508</v>
      </c>
      <c r="E2019" t="s">
        <v>10067</v>
      </c>
      <c r="F2019" t="s">
        <v>844</v>
      </c>
      <c r="G2019" t="s">
        <v>172</v>
      </c>
      <c r="H2019" t="s">
        <v>173</v>
      </c>
      <c r="I2019" t="s">
        <v>34</v>
      </c>
      <c r="J2019" t="s">
        <v>272</v>
      </c>
      <c r="K2019" t="s">
        <v>41</v>
      </c>
      <c r="L2019" t="s">
        <v>174</v>
      </c>
      <c r="M2019" t="s">
        <v>10509</v>
      </c>
      <c r="N2019" t="s">
        <v>847</v>
      </c>
      <c r="O2019" t="s">
        <v>100</v>
      </c>
      <c r="P2019" t="s">
        <v>10510</v>
      </c>
      <c r="Q2019" t="s">
        <v>245</v>
      </c>
      <c r="R2019" t="s">
        <v>10511</v>
      </c>
      <c r="S2019">
        <v>12.04</v>
      </c>
      <c r="T2019">
        <v>11583</v>
      </c>
      <c r="U2019">
        <v>0</v>
      </c>
      <c r="V2019">
        <v>11583</v>
      </c>
    </row>
    <row r="2020" spans="1:22" x14ac:dyDescent="0.3">
      <c r="A2020">
        <v>148303</v>
      </c>
      <c r="B2020">
        <v>136794472</v>
      </c>
      <c r="C2020" t="s">
        <v>10512</v>
      </c>
      <c r="D2020" t="s">
        <v>10513</v>
      </c>
      <c r="E2020" t="s">
        <v>10067</v>
      </c>
      <c r="F2020" t="s">
        <v>844</v>
      </c>
      <c r="G2020" t="s">
        <v>172</v>
      </c>
      <c r="H2020" t="s">
        <v>173</v>
      </c>
      <c r="I2020" t="s">
        <v>34</v>
      </c>
      <c r="J2020" t="s">
        <v>272</v>
      </c>
      <c r="K2020" t="s">
        <v>41</v>
      </c>
      <c r="L2020" t="s">
        <v>174</v>
      </c>
      <c r="M2020" t="s">
        <v>10514</v>
      </c>
      <c r="N2020" t="s">
        <v>847</v>
      </c>
      <c r="O2020" t="s">
        <v>100</v>
      </c>
      <c r="P2020" t="s">
        <v>10515</v>
      </c>
      <c r="Q2020" t="s">
        <v>102</v>
      </c>
      <c r="R2020" t="s">
        <v>10516</v>
      </c>
      <c r="S2020">
        <v>3.27</v>
      </c>
      <c r="T2020">
        <v>4537</v>
      </c>
      <c r="U2020">
        <v>0</v>
      </c>
      <c r="V2020">
        <v>4537</v>
      </c>
    </row>
    <row r="2021" spans="1:22" x14ac:dyDescent="0.3">
      <c r="A2021">
        <v>148303</v>
      </c>
      <c r="B2021">
        <v>136588185</v>
      </c>
      <c r="C2021" t="s">
        <v>10517</v>
      </c>
      <c r="D2021" t="s">
        <v>10518</v>
      </c>
      <c r="E2021" t="s">
        <v>10067</v>
      </c>
      <c r="F2021" t="s">
        <v>844</v>
      </c>
      <c r="G2021" t="s">
        <v>172</v>
      </c>
      <c r="H2021" t="s">
        <v>173</v>
      </c>
      <c r="I2021" t="s">
        <v>34</v>
      </c>
      <c r="J2021" t="s">
        <v>272</v>
      </c>
      <c r="K2021" t="s">
        <v>41</v>
      </c>
      <c r="L2021" t="s">
        <v>174</v>
      </c>
      <c r="M2021" t="s">
        <v>10519</v>
      </c>
      <c r="N2021" t="s">
        <v>847</v>
      </c>
      <c r="O2021" t="s">
        <v>100</v>
      </c>
      <c r="P2021" t="s">
        <v>10520</v>
      </c>
      <c r="Q2021" t="s">
        <v>58</v>
      </c>
      <c r="R2021" t="s">
        <v>10521</v>
      </c>
      <c r="S2021">
        <v>3.15</v>
      </c>
      <c r="T2021">
        <v>11471</v>
      </c>
      <c r="U2021">
        <v>0</v>
      </c>
      <c r="V2021">
        <v>11471</v>
      </c>
    </row>
    <row r="2022" spans="1:22" x14ac:dyDescent="0.3">
      <c r="A2022">
        <v>148303</v>
      </c>
      <c r="B2022">
        <v>136600314</v>
      </c>
      <c r="C2022" t="s">
        <v>10522</v>
      </c>
      <c r="D2022" t="s">
        <v>10523</v>
      </c>
      <c r="E2022" t="s">
        <v>10067</v>
      </c>
      <c r="F2022" t="s">
        <v>844</v>
      </c>
      <c r="G2022" t="s">
        <v>172</v>
      </c>
      <c r="H2022" t="s">
        <v>173</v>
      </c>
      <c r="I2022" t="s">
        <v>34</v>
      </c>
      <c r="J2022" t="s">
        <v>272</v>
      </c>
      <c r="K2022" t="s">
        <v>41</v>
      </c>
      <c r="L2022" t="s">
        <v>174</v>
      </c>
      <c r="M2022" t="s">
        <v>10524</v>
      </c>
      <c r="N2022" t="s">
        <v>847</v>
      </c>
      <c r="O2022" t="s">
        <v>100</v>
      </c>
      <c r="P2022" t="s">
        <v>10525</v>
      </c>
      <c r="Q2022" t="s">
        <v>54</v>
      </c>
      <c r="R2022" t="s">
        <v>10526</v>
      </c>
      <c r="S2022">
        <v>5.98</v>
      </c>
      <c r="T2022">
        <v>10722</v>
      </c>
      <c r="U2022">
        <v>0</v>
      </c>
      <c r="V2022">
        <v>10722</v>
      </c>
    </row>
    <row r="2023" spans="1:22" x14ac:dyDescent="0.3">
      <c r="A2023">
        <v>148303</v>
      </c>
      <c r="B2023">
        <v>136617878</v>
      </c>
      <c r="C2023" t="s">
        <v>10527</v>
      </c>
      <c r="D2023" t="s">
        <v>10528</v>
      </c>
      <c r="E2023" t="s">
        <v>10067</v>
      </c>
      <c r="F2023" t="s">
        <v>844</v>
      </c>
      <c r="G2023" t="s">
        <v>172</v>
      </c>
      <c r="H2023" t="s">
        <v>173</v>
      </c>
      <c r="I2023" t="s">
        <v>34</v>
      </c>
      <c r="J2023" t="s">
        <v>272</v>
      </c>
      <c r="K2023" t="s">
        <v>41</v>
      </c>
      <c r="L2023" t="s">
        <v>174</v>
      </c>
      <c r="M2023" t="s">
        <v>10529</v>
      </c>
      <c r="N2023" t="s">
        <v>847</v>
      </c>
      <c r="O2023" t="s">
        <v>100</v>
      </c>
      <c r="P2023" t="s">
        <v>10530</v>
      </c>
      <c r="Q2023" t="s">
        <v>83</v>
      </c>
      <c r="R2023" t="s">
        <v>10531</v>
      </c>
      <c r="S2023">
        <v>3.5</v>
      </c>
      <c r="T2023">
        <v>7129</v>
      </c>
      <c r="U2023">
        <v>0</v>
      </c>
      <c r="V2023">
        <v>7129</v>
      </c>
    </row>
    <row r="2024" spans="1:22" x14ac:dyDescent="0.3">
      <c r="A2024">
        <v>148303</v>
      </c>
      <c r="B2024">
        <v>136605830</v>
      </c>
      <c r="C2024" t="s">
        <v>10532</v>
      </c>
      <c r="D2024" t="s">
        <v>10533</v>
      </c>
      <c r="E2024" t="s">
        <v>10067</v>
      </c>
      <c r="F2024" t="s">
        <v>844</v>
      </c>
      <c r="G2024" t="s">
        <v>172</v>
      </c>
      <c r="H2024" t="s">
        <v>173</v>
      </c>
      <c r="I2024" t="s">
        <v>34</v>
      </c>
      <c r="J2024" t="s">
        <v>272</v>
      </c>
      <c r="K2024" t="s">
        <v>41</v>
      </c>
      <c r="L2024" t="s">
        <v>174</v>
      </c>
      <c r="M2024" t="s">
        <v>10534</v>
      </c>
      <c r="N2024" t="s">
        <v>847</v>
      </c>
      <c r="O2024" t="s">
        <v>100</v>
      </c>
      <c r="P2024" t="s">
        <v>10535</v>
      </c>
      <c r="Q2024" t="s">
        <v>49</v>
      </c>
      <c r="R2024" t="s">
        <v>286</v>
      </c>
      <c r="S2024">
        <v>3.32</v>
      </c>
      <c r="T2024">
        <v>8106</v>
      </c>
      <c r="U2024">
        <v>0</v>
      </c>
      <c r="V2024">
        <v>8106</v>
      </c>
    </row>
    <row r="2025" spans="1:22" x14ac:dyDescent="0.3">
      <c r="A2025">
        <v>148303</v>
      </c>
      <c r="B2025">
        <v>136648183</v>
      </c>
      <c r="C2025" t="s">
        <v>10536</v>
      </c>
      <c r="D2025" t="s">
        <v>10537</v>
      </c>
      <c r="E2025" t="s">
        <v>10067</v>
      </c>
      <c r="F2025" t="s">
        <v>844</v>
      </c>
      <c r="G2025" t="s">
        <v>172</v>
      </c>
      <c r="H2025" t="s">
        <v>173</v>
      </c>
      <c r="I2025" t="s">
        <v>34</v>
      </c>
      <c r="J2025" t="s">
        <v>272</v>
      </c>
      <c r="K2025" t="s">
        <v>41</v>
      </c>
      <c r="L2025" t="s">
        <v>174</v>
      </c>
      <c r="M2025" t="s">
        <v>10538</v>
      </c>
      <c r="N2025" t="s">
        <v>847</v>
      </c>
      <c r="O2025" t="s">
        <v>100</v>
      </c>
      <c r="P2025" t="s">
        <v>10539</v>
      </c>
      <c r="Q2025" t="s">
        <v>114</v>
      </c>
      <c r="R2025" t="s">
        <v>10540</v>
      </c>
      <c r="S2025">
        <v>6.09</v>
      </c>
      <c r="T2025">
        <v>8930</v>
      </c>
      <c r="U2025">
        <v>0</v>
      </c>
      <c r="V2025">
        <v>8930</v>
      </c>
    </row>
    <row r="2026" spans="1:22" x14ac:dyDescent="0.3">
      <c r="A2026">
        <v>148303</v>
      </c>
      <c r="B2026">
        <v>136861922</v>
      </c>
      <c r="C2026" t="s">
        <v>10541</v>
      </c>
      <c r="D2026" t="s">
        <v>10542</v>
      </c>
      <c r="E2026" t="s">
        <v>10067</v>
      </c>
      <c r="F2026" t="s">
        <v>844</v>
      </c>
      <c r="G2026" t="s">
        <v>172</v>
      </c>
      <c r="H2026" t="s">
        <v>173</v>
      </c>
      <c r="I2026" t="s">
        <v>34</v>
      </c>
      <c r="J2026" t="s">
        <v>272</v>
      </c>
      <c r="K2026" t="s">
        <v>41</v>
      </c>
      <c r="L2026" t="s">
        <v>10543</v>
      </c>
      <c r="M2026" t="s">
        <v>521</v>
      </c>
      <c r="N2026" t="s">
        <v>847</v>
      </c>
      <c r="O2026" t="s">
        <v>100</v>
      </c>
      <c r="P2026" t="s">
        <v>10544</v>
      </c>
      <c r="Q2026" t="s">
        <v>94</v>
      </c>
      <c r="R2026" t="s">
        <v>10545</v>
      </c>
      <c r="S2026">
        <v>3.54</v>
      </c>
      <c r="T2026">
        <v>7129</v>
      </c>
      <c r="U2026">
        <v>0</v>
      </c>
      <c r="V2026">
        <v>7129</v>
      </c>
    </row>
    <row r="2027" spans="1:22" x14ac:dyDescent="0.3">
      <c r="A2027">
        <v>148303</v>
      </c>
      <c r="B2027">
        <v>136783999</v>
      </c>
      <c r="C2027" t="s">
        <v>10546</v>
      </c>
      <c r="D2027" t="s">
        <v>10547</v>
      </c>
      <c r="E2027" t="s">
        <v>10067</v>
      </c>
      <c r="F2027" t="s">
        <v>844</v>
      </c>
      <c r="G2027" t="s">
        <v>172</v>
      </c>
      <c r="H2027" t="s">
        <v>173</v>
      </c>
      <c r="I2027" t="s">
        <v>34</v>
      </c>
      <c r="J2027" t="s">
        <v>272</v>
      </c>
      <c r="K2027" t="s">
        <v>41</v>
      </c>
      <c r="L2027" t="s">
        <v>174</v>
      </c>
      <c r="M2027" t="s">
        <v>10548</v>
      </c>
      <c r="N2027" t="s">
        <v>847</v>
      </c>
      <c r="O2027" t="s">
        <v>100</v>
      </c>
      <c r="P2027" t="s">
        <v>10549</v>
      </c>
      <c r="Q2027" t="s">
        <v>68</v>
      </c>
      <c r="R2027" t="s">
        <v>10550</v>
      </c>
      <c r="S2027">
        <v>3.15</v>
      </c>
      <c r="T2027">
        <v>8022</v>
      </c>
      <c r="U2027">
        <v>0</v>
      </c>
      <c r="V2027">
        <v>8022</v>
      </c>
    </row>
    <row r="2028" spans="1:22" x14ac:dyDescent="0.3">
      <c r="A2028">
        <v>148303</v>
      </c>
      <c r="B2028">
        <v>136790369</v>
      </c>
      <c r="C2028" t="s">
        <v>10551</v>
      </c>
      <c r="D2028" t="s">
        <v>10552</v>
      </c>
      <c r="E2028" t="s">
        <v>10067</v>
      </c>
      <c r="F2028" t="s">
        <v>844</v>
      </c>
      <c r="G2028" t="s">
        <v>172</v>
      </c>
      <c r="H2028" t="s">
        <v>173</v>
      </c>
      <c r="I2028" t="s">
        <v>34</v>
      </c>
      <c r="J2028" t="s">
        <v>272</v>
      </c>
      <c r="K2028" t="s">
        <v>41</v>
      </c>
      <c r="L2028" t="s">
        <v>174</v>
      </c>
      <c r="M2028" t="s">
        <v>10553</v>
      </c>
      <c r="N2028" t="s">
        <v>847</v>
      </c>
      <c r="O2028" t="s">
        <v>100</v>
      </c>
      <c r="P2028" t="s">
        <v>10554</v>
      </c>
      <c r="Q2028" t="s">
        <v>69</v>
      </c>
      <c r="R2028" t="s">
        <v>710</v>
      </c>
      <c r="S2028">
        <v>2.4</v>
      </c>
      <c r="T2028">
        <v>7945</v>
      </c>
      <c r="U2028">
        <v>0</v>
      </c>
      <c r="V2028">
        <v>7945</v>
      </c>
    </row>
    <row r="2029" spans="1:22" x14ac:dyDescent="0.3">
      <c r="A2029">
        <v>148303</v>
      </c>
      <c r="B2029">
        <v>136804640</v>
      </c>
      <c r="C2029" t="s">
        <v>10555</v>
      </c>
      <c r="D2029" t="s">
        <v>10556</v>
      </c>
      <c r="E2029" t="s">
        <v>10067</v>
      </c>
      <c r="F2029" t="s">
        <v>844</v>
      </c>
      <c r="G2029" t="s">
        <v>172</v>
      </c>
      <c r="H2029" t="s">
        <v>173</v>
      </c>
      <c r="I2029" t="s">
        <v>34</v>
      </c>
      <c r="J2029" t="s">
        <v>272</v>
      </c>
      <c r="K2029" t="s">
        <v>41</v>
      </c>
      <c r="L2029" t="s">
        <v>174</v>
      </c>
      <c r="M2029" t="s">
        <v>10557</v>
      </c>
      <c r="N2029" t="s">
        <v>847</v>
      </c>
      <c r="O2029" t="s">
        <v>100</v>
      </c>
      <c r="P2029" t="s">
        <v>10558</v>
      </c>
      <c r="Q2029" t="s">
        <v>90</v>
      </c>
      <c r="R2029" t="s">
        <v>10559</v>
      </c>
      <c r="S2029">
        <v>1.1399999999999999</v>
      </c>
      <c r="T2029">
        <v>6064</v>
      </c>
      <c r="U2029">
        <v>0</v>
      </c>
      <c r="V2029">
        <v>6064</v>
      </c>
    </row>
    <row r="2030" spans="1:22" x14ac:dyDescent="0.3">
      <c r="A2030">
        <v>148303</v>
      </c>
      <c r="B2030">
        <v>136822673</v>
      </c>
      <c r="C2030" t="s">
        <v>10560</v>
      </c>
      <c r="D2030" t="s">
        <v>10561</v>
      </c>
      <c r="E2030" t="s">
        <v>10067</v>
      </c>
      <c r="F2030" t="s">
        <v>844</v>
      </c>
      <c r="G2030" t="s">
        <v>172</v>
      </c>
      <c r="H2030" t="s">
        <v>173</v>
      </c>
      <c r="I2030" t="s">
        <v>34</v>
      </c>
      <c r="J2030" t="s">
        <v>272</v>
      </c>
      <c r="K2030" t="s">
        <v>41</v>
      </c>
      <c r="L2030" t="s">
        <v>174</v>
      </c>
      <c r="M2030" t="s">
        <v>10562</v>
      </c>
      <c r="N2030" t="s">
        <v>847</v>
      </c>
      <c r="O2030" t="s">
        <v>100</v>
      </c>
      <c r="P2030" t="s">
        <v>10563</v>
      </c>
      <c r="Q2030" t="s">
        <v>93</v>
      </c>
      <c r="R2030" t="s">
        <v>10564</v>
      </c>
      <c r="S2030">
        <v>2.3199999999999998</v>
      </c>
      <c r="T2030">
        <v>6800</v>
      </c>
      <c r="U2030">
        <v>0</v>
      </c>
      <c r="V2030">
        <v>6800</v>
      </c>
    </row>
    <row r="2031" spans="1:22" x14ac:dyDescent="0.3">
      <c r="A2031">
        <v>148303</v>
      </c>
      <c r="B2031">
        <v>136596491</v>
      </c>
      <c r="C2031" t="s">
        <v>10565</v>
      </c>
      <c r="D2031" t="s">
        <v>10566</v>
      </c>
      <c r="E2031" t="s">
        <v>10067</v>
      </c>
      <c r="F2031" t="s">
        <v>844</v>
      </c>
      <c r="G2031" t="s">
        <v>172</v>
      </c>
      <c r="H2031" t="s">
        <v>173</v>
      </c>
      <c r="I2031" t="s">
        <v>34</v>
      </c>
      <c r="J2031" t="s">
        <v>272</v>
      </c>
      <c r="K2031" t="s">
        <v>41</v>
      </c>
      <c r="L2031" t="s">
        <v>174</v>
      </c>
      <c r="M2031" t="s">
        <v>10567</v>
      </c>
      <c r="N2031" t="s">
        <v>847</v>
      </c>
      <c r="O2031" t="s">
        <v>100</v>
      </c>
      <c r="P2031" t="s">
        <v>10568</v>
      </c>
      <c r="Q2031" t="s">
        <v>55</v>
      </c>
      <c r="R2031" t="s">
        <v>10569</v>
      </c>
      <c r="S2031">
        <v>3.1</v>
      </c>
      <c r="T2031">
        <v>10083</v>
      </c>
      <c r="U2031">
        <v>0</v>
      </c>
      <c r="V2031">
        <v>10083</v>
      </c>
    </row>
    <row r="2032" spans="1:22" x14ac:dyDescent="0.3">
      <c r="A2032">
        <v>148303</v>
      </c>
      <c r="B2032">
        <v>136596669</v>
      </c>
      <c r="C2032" t="s">
        <v>10570</v>
      </c>
      <c r="D2032" t="s">
        <v>10571</v>
      </c>
      <c r="E2032" t="s">
        <v>10067</v>
      </c>
      <c r="F2032" t="s">
        <v>844</v>
      </c>
      <c r="G2032" t="s">
        <v>172</v>
      </c>
      <c r="H2032" t="s">
        <v>173</v>
      </c>
      <c r="I2032" t="s">
        <v>34</v>
      </c>
      <c r="J2032" t="s">
        <v>272</v>
      </c>
      <c r="K2032" t="s">
        <v>41</v>
      </c>
      <c r="L2032" t="s">
        <v>174</v>
      </c>
      <c r="M2032" t="s">
        <v>10572</v>
      </c>
      <c r="N2032" t="s">
        <v>847</v>
      </c>
      <c r="O2032" t="s">
        <v>100</v>
      </c>
      <c r="P2032" t="s">
        <v>10573</v>
      </c>
      <c r="Q2032" t="s">
        <v>72</v>
      </c>
      <c r="R2032" t="s">
        <v>10574</v>
      </c>
      <c r="S2032">
        <v>6.27</v>
      </c>
      <c r="T2032">
        <v>9948</v>
      </c>
      <c r="U2032">
        <v>0</v>
      </c>
      <c r="V2032">
        <v>9948</v>
      </c>
    </row>
    <row r="2033" spans="1:22" x14ac:dyDescent="0.3">
      <c r="A2033">
        <v>148303</v>
      </c>
      <c r="B2033">
        <v>136622391</v>
      </c>
      <c r="C2033" t="s">
        <v>10575</v>
      </c>
      <c r="D2033" t="s">
        <v>10576</v>
      </c>
      <c r="E2033" t="s">
        <v>10067</v>
      </c>
      <c r="F2033" t="s">
        <v>844</v>
      </c>
      <c r="G2033" t="s">
        <v>172</v>
      </c>
      <c r="H2033" t="s">
        <v>173</v>
      </c>
      <c r="I2033" t="s">
        <v>34</v>
      </c>
      <c r="J2033" t="s">
        <v>272</v>
      </c>
      <c r="K2033" t="s">
        <v>41</v>
      </c>
      <c r="L2033" t="s">
        <v>174</v>
      </c>
      <c r="M2033" t="s">
        <v>10577</v>
      </c>
      <c r="N2033" t="s">
        <v>847</v>
      </c>
      <c r="O2033" t="s">
        <v>100</v>
      </c>
      <c r="P2033" t="s">
        <v>10578</v>
      </c>
      <c r="Q2033" t="s">
        <v>55</v>
      </c>
      <c r="R2033" t="s">
        <v>10579</v>
      </c>
      <c r="S2033">
        <v>1.27</v>
      </c>
      <c r="T2033">
        <v>8475</v>
      </c>
      <c r="U2033">
        <v>0</v>
      </c>
      <c r="V2033">
        <v>8475</v>
      </c>
    </row>
    <row r="2034" spans="1:22" x14ac:dyDescent="0.3">
      <c r="A2034">
        <v>148303</v>
      </c>
      <c r="B2034">
        <v>136587513</v>
      </c>
      <c r="C2034" t="s">
        <v>10580</v>
      </c>
      <c r="D2034" t="s">
        <v>10581</v>
      </c>
      <c r="E2034" t="s">
        <v>10067</v>
      </c>
      <c r="F2034" t="s">
        <v>844</v>
      </c>
      <c r="G2034" t="s">
        <v>172</v>
      </c>
      <c r="H2034" t="s">
        <v>173</v>
      </c>
      <c r="I2034" t="s">
        <v>34</v>
      </c>
      <c r="J2034" t="s">
        <v>272</v>
      </c>
      <c r="K2034" t="s">
        <v>41</v>
      </c>
      <c r="L2034" t="s">
        <v>174</v>
      </c>
      <c r="M2034" t="s">
        <v>10582</v>
      </c>
      <c r="N2034" t="s">
        <v>847</v>
      </c>
      <c r="O2034" t="s">
        <v>100</v>
      </c>
      <c r="P2034" t="s">
        <v>10583</v>
      </c>
      <c r="Q2034" t="s">
        <v>522</v>
      </c>
      <c r="R2034" t="s">
        <v>10584</v>
      </c>
      <c r="S2034">
        <v>3.54</v>
      </c>
      <c r="T2034">
        <v>8106</v>
      </c>
      <c r="U2034">
        <v>0</v>
      </c>
      <c r="V2034">
        <v>8106</v>
      </c>
    </row>
    <row r="2035" spans="1:22" x14ac:dyDescent="0.3">
      <c r="A2035">
        <v>148303</v>
      </c>
      <c r="B2035">
        <v>136582875</v>
      </c>
      <c r="C2035" t="s">
        <v>10585</v>
      </c>
      <c r="D2035" t="s">
        <v>10586</v>
      </c>
      <c r="E2035" t="s">
        <v>10067</v>
      </c>
      <c r="F2035" t="s">
        <v>844</v>
      </c>
      <c r="G2035" t="s">
        <v>172</v>
      </c>
      <c r="H2035" t="s">
        <v>173</v>
      </c>
      <c r="I2035" t="s">
        <v>34</v>
      </c>
      <c r="J2035" t="s">
        <v>272</v>
      </c>
      <c r="K2035" t="s">
        <v>41</v>
      </c>
      <c r="L2035" t="s">
        <v>174</v>
      </c>
      <c r="M2035" t="s">
        <v>10587</v>
      </c>
      <c r="N2035" t="s">
        <v>847</v>
      </c>
      <c r="O2035" t="s">
        <v>100</v>
      </c>
      <c r="P2035" t="s">
        <v>10588</v>
      </c>
      <c r="Q2035" t="s">
        <v>70</v>
      </c>
      <c r="R2035" t="s">
        <v>10589</v>
      </c>
      <c r="S2035">
        <v>1.54</v>
      </c>
      <c r="T2035">
        <v>7326</v>
      </c>
      <c r="U2035">
        <v>0</v>
      </c>
      <c r="V2035">
        <v>7326</v>
      </c>
    </row>
    <row r="2036" spans="1:22" x14ac:dyDescent="0.3">
      <c r="A2036">
        <v>148303</v>
      </c>
      <c r="B2036">
        <v>136599894</v>
      </c>
      <c r="C2036" t="s">
        <v>10590</v>
      </c>
      <c r="D2036" t="s">
        <v>10591</v>
      </c>
      <c r="E2036" t="s">
        <v>10067</v>
      </c>
      <c r="F2036" t="s">
        <v>844</v>
      </c>
      <c r="G2036" t="s">
        <v>172</v>
      </c>
      <c r="H2036" t="s">
        <v>173</v>
      </c>
      <c r="I2036" t="s">
        <v>34</v>
      </c>
      <c r="J2036" t="s">
        <v>272</v>
      </c>
      <c r="K2036" t="s">
        <v>41</v>
      </c>
      <c r="L2036" t="s">
        <v>174</v>
      </c>
      <c r="M2036" t="s">
        <v>10592</v>
      </c>
      <c r="N2036" t="s">
        <v>847</v>
      </c>
      <c r="O2036" t="s">
        <v>100</v>
      </c>
      <c r="P2036" t="s">
        <v>10593</v>
      </c>
      <c r="Q2036" t="s">
        <v>55</v>
      </c>
      <c r="R2036" t="s">
        <v>10594</v>
      </c>
      <c r="S2036">
        <v>1.77</v>
      </c>
      <c r="T2036">
        <v>9317</v>
      </c>
      <c r="U2036">
        <v>0</v>
      </c>
      <c r="V2036">
        <v>9317</v>
      </c>
    </row>
    <row r="2037" spans="1:22" x14ac:dyDescent="0.3">
      <c r="A2037">
        <v>148303</v>
      </c>
      <c r="B2037">
        <v>136847933</v>
      </c>
      <c r="C2037" t="s">
        <v>10595</v>
      </c>
      <c r="D2037" t="s">
        <v>10596</v>
      </c>
      <c r="E2037" t="s">
        <v>10067</v>
      </c>
      <c r="F2037" t="s">
        <v>844</v>
      </c>
      <c r="G2037" t="s">
        <v>172</v>
      </c>
      <c r="H2037" t="s">
        <v>173</v>
      </c>
      <c r="I2037" t="s">
        <v>34</v>
      </c>
      <c r="J2037" t="s">
        <v>272</v>
      </c>
      <c r="K2037" t="s">
        <v>44</v>
      </c>
      <c r="L2037" t="s">
        <v>10597</v>
      </c>
      <c r="M2037" t="s">
        <v>10598</v>
      </c>
      <c r="N2037" t="s">
        <v>847</v>
      </c>
      <c r="O2037" t="s">
        <v>100</v>
      </c>
      <c r="P2037" t="s">
        <v>10599</v>
      </c>
      <c r="Q2037" t="s">
        <v>109</v>
      </c>
      <c r="R2037" t="s">
        <v>678</v>
      </c>
      <c r="S2037">
        <v>2.4300000000000002</v>
      </c>
      <c r="T2037">
        <v>8940</v>
      </c>
      <c r="U2037">
        <v>0</v>
      </c>
      <c r="V2037">
        <v>8940</v>
      </c>
    </row>
    <row r="2038" spans="1:22" x14ac:dyDescent="0.3">
      <c r="A2038">
        <v>148303</v>
      </c>
      <c r="B2038">
        <v>136783641</v>
      </c>
      <c r="C2038" t="s">
        <v>10600</v>
      </c>
      <c r="D2038" t="s">
        <v>10601</v>
      </c>
      <c r="E2038" t="s">
        <v>10067</v>
      </c>
      <c r="F2038" t="s">
        <v>844</v>
      </c>
      <c r="G2038" t="s">
        <v>172</v>
      </c>
      <c r="H2038" t="s">
        <v>173</v>
      </c>
      <c r="I2038" t="s">
        <v>34</v>
      </c>
      <c r="J2038" t="s">
        <v>272</v>
      </c>
      <c r="K2038" t="s">
        <v>41</v>
      </c>
      <c r="L2038" t="s">
        <v>174</v>
      </c>
      <c r="M2038" t="s">
        <v>10602</v>
      </c>
      <c r="N2038" t="s">
        <v>847</v>
      </c>
      <c r="O2038" t="s">
        <v>100</v>
      </c>
      <c r="P2038" t="s">
        <v>10603</v>
      </c>
      <c r="Q2038" t="s">
        <v>43</v>
      </c>
      <c r="R2038" t="s">
        <v>10604</v>
      </c>
      <c r="S2038">
        <v>6.47</v>
      </c>
      <c r="T2038">
        <v>9782</v>
      </c>
      <c r="U2038">
        <v>0</v>
      </c>
      <c r="V2038">
        <v>9782</v>
      </c>
    </row>
    <row r="2039" spans="1:22" x14ac:dyDescent="0.3">
      <c r="A2039">
        <v>148303</v>
      </c>
      <c r="B2039">
        <v>136792961</v>
      </c>
      <c r="C2039" t="s">
        <v>10605</v>
      </c>
      <c r="D2039" t="s">
        <v>10606</v>
      </c>
      <c r="E2039" t="s">
        <v>10067</v>
      </c>
      <c r="F2039" t="s">
        <v>844</v>
      </c>
      <c r="G2039" t="s">
        <v>172</v>
      </c>
      <c r="H2039" t="s">
        <v>173</v>
      </c>
      <c r="I2039" t="s">
        <v>34</v>
      </c>
      <c r="J2039" t="s">
        <v>272</v>
      </c>
      <c r="K2039" t="s">
        <v>41</v>
      </c>
      <c r="L2039" t="s">
        <v>174</v>
      </c>
      <c r="M2039" t="s">
        <v>10607</v>
      </c>
      <c r="N2039" t="s">
        <v>847</v>
      </c>
      <c r="O2039" t="s">
        <v>100</v>
      </c>
      <c r="P2039" t="s">
        <v>10608</v>
      </c>
      <c r="Q2039" t="s">
        <v>121</v>
      </c>
      <c r="R2039" t="s">
        <v>10609</v>
      </c>
      <c r="S2039">
        <v>22.35</v>
      </c>
      <c r="T2039">
        <v>14954</v>
      </c>
      <c r="U2039">
        <v>0</v>
      </c>
      <c r="V2039">
        <v>14954</v>
      </c>
    </row>
    <row r="2040" spans="1:22" x14ac:dyDescent="0.3">
      <c r="A2040">
        <v>148303</v>
      </c>
      <c r="B2040">
        <v>136835853</v>
      </c>
      <c r="C2040" t="s">
        <v>10610</v>
      </c>
      <c r="D2040" t="s">
        <v>10611</v>
      </c>
      <c r="E2040" t="s">
        <v>10067</v>
      </c>
      <c r="F2040" t="s">
        <v>844</v>
      </c>
      <c r="G2040" t="s">
        <v>172</v>
      </c>
      <c r="H2040" t="s">
        <v>173</v>
      </c>
      <c r="I2040" t="s">
        <v>34</v>
      </c>
      <c r="J2040" t="s">
        <v>272</v>
      </c>
      <c r="K2040" t="s">
        <v>41</v>
      </c>
      <c r="L2040" t="s">
        <v>10612</v>
      </c>
      <c r="M2040" t="s">
        <v>10613</v>
      </c>
      <c r="N2040" t="s">
        <v>847</v>
      </c>
      <c r="O2040" t="s">
        <v>100</v>
      </c>
      <c r="P2040" t="s">
        <v>10614</v>
      </c>
      <c r="Q2040" t="s">
        <v>43</v>
      </c>
      <c r="R2040" t="s">
        <v>10615</v>
      </c>
      <c r="S2040">
        <v>3.37</v>
      </c>
      <c r="T2040">
        <v>8022</v>
      </c>
      <c r="U2040">
        <v>0</v>
      </c>
      <c r="V2040">
        <v>8022</v>
      </c>
    </row>
    <row r="2041" spans="1:22" x14ac:dyDescent="0.3">
      <c r="A2041">
        <v>148303</v>
      </c>
      <c r="B2041">
        <v>136863107</v>
      </c>
      <c r="C2041" t="s">
        <v>10616</v>
      </c>
      <c r="D2041" t="s">
        <v>10617</v>
      </c>
      <c r="E2041" t="s">
        <v>10067</v>
      </c>
      <c r="F2041" t="s">
        <v>844</v>
      </c>
      <c r="G2041" t="s">
        <v>172</v>
      </c>
      <c r="H2041" t="s">
        <v>173</v>
      </c>
      <c r="I2041" t="s">
        <v>34</v>
      </c>
      <c r="J2041" t="s">
        <v>272</v>
      </c>
      <c r="K2041" t="s">
        <v>41</v>
      </c>
      <c r="L2041" t="s">
        <v>10618</v>
      </c>
      <c r="M2041" t="s">
        <v>10619</v>
      </c>
      <c r="N2041" t="s">
        <v>847</v>
      </c>
      <c r="O2041" t="s">
        <v>100</v>
      </c>
      <c r="P2041" t="s">
        <v>10620</v>
      </c>
      <c r="Q2041" t="s">
        <v>216</v>
      </c>
      <c r="R2041" t="s">
        <v>580</v>
      </c>
      <c r="S2041">
        <v>3.17</v>
      </c>
      <c r="T2041">
        <v>7297</v>
      </c>
      <c r="U2041">
        <v>0</v>
      </c>
      <c r="V2041">
        <v>7297</v>
      </c>
    </row>
    <row r="2042" spans="1:22" x14ac:dyDescent="0.3">
      <c r="A2042">
        <v>148303</v>
      </c>
      <c r="B2042">
        <v>136858676</v>
      </c>
      <c r="C2042" t="s">
        <v>10621</v>
      </c>
      <c r="D2042" t="s">
        <v>10622</v>
      </c>
      <c r="E2042" t="s">
        <v>10067</v>
      </c>
      <c r="F2042" t="s">
        <v>844</v>
      </c>
      <c r="G2042" t="s">
        <v>172</v>
      </c>
      <c r="H2042" t="s">
        <v>173</v>
      </c>
      <c r="I2042" t="s">
        <v>34</v>
      </c>
      <c r="J2042" t="s">
        <v>272</v>
      </c>
      <c r="K2042" t="s">
        <v>41</v>
      </c>
      <c r="L2042" t="s">
        <v>10623</v>
      </c>
      <c r="M2042" t="s">
        <v>10624</v>
      </c>
      <c r="N2042" t="s">
        <v>847</v>
      </c>
      <c r="O2042" t="s">
        <v>100</v>
      </c>
      <c r="P2042" t="s">
        <v>10625</v>
      </c>
      <c r="Q2042" t="s">
        <v>70</v>
      </c>
      <c r="R2042" t="s">
        <v>10626</v>
      </c>
      <c r="S2042">
        <v>3.69</v>
      </c>
      <c r="T2042">
        <v>7449</v>
      </c>
      <c r="U2042">
        <v>0</v>
      </c>
      <c r="V2042">
        <v>7449</v>
      </c>
    </row>
    <row r="2043" spans="1:22" x14ac:dyDescent="0.3">
      <c r="A2043">
        <v>148303</v>
      </c>
      <c r="B2043">
        <v>136524584</v>
      </c>
      <c r="C2043" t="s">
        <v>10627</v>
      </c>
      <c r="D2043" t="s">
        <v>10628</v>
      </c>
      <c r="E2043" t="s">
        <v>10067</v>
      </c>
      <c r="F2043" t="s">
        <v>844</v>
      </c>
      <c r="G2043" t="s">
        <v>172</v>
      </c>
      <c r="H2043" t="s">
        <v>173</v>
      </c>
      <c r="I2043" t="s">
        <v>34</v>
      </c>
      <c r="J2043" t="s">
        <v>272</v>
      </c>
      <c r="K2043" t="s">
        <v>41</v>
      </c>
      <c r="L2043" t="s">
        <v>174</v>
      </c>
      <c r="M2043" t="s">
        <v>10629</v>
      </c>
      <c r="N2043" t="s">
        <v>847</v>
      </c>
      <c r="O2043" t="s">
        <v>100</v>
      </c>
      <c r="P2043" t="s">
        <v>10630</v>
      </c>
      <c r="Q2043" t="s">
        <v>76</v>
      </c>
      <c r="R2043" t="s">
        <v>668</v>
      </c>
      <c r="S2043">
        <v>1.58</v>
      </c>
      <c r="T2043">
        <v>7945</v>
      </c>
      <c r="U2043">
        <v>0</v>
      </c>
      <c r="V2043">
        <v>7945</v>
      </c>
    </row>
    <row r="2044" spans="1:22" x14ac:dyDescent="0.3">
      <c r="A2044">
        <v>148303</v>
      </c>
      <c r="B2044">
        <v>136522803</v>
      </c>
      <c r="C2044" t="s">
        <v>10631</v>
      </c>
      <c r="D2044" t="s">
        <v>10632</v>
      </c>
      <c r="E2044" t="s">
        <v>10067</v>
      </c>
      <c r="F2044" t="s">
        <v>844</v>
      </c>
      <c r="G2044" t="s">
        <v>172</v>
      </c>
      <c r="H2044" t="s">
        <v>173</v>
      </c>
      <c r="I2044" t="s">
        <v>34</v>
      </c>
      <c r="J2044" t="s">
        <v>272</v>
      </c>
      <c r="K2044" t="s">
        <v>41</v>
      </c>
      <c r="L2044" t="s">
        <v>174</v>
      </c>
      <c r="M2044" t="s">
        <v>10633</v>
      </c>
      <c r="N2044" t="s">
        <v>847</v>
      </c>
      <c r="O2044" t="s">
        <v>100</v>
      </c>
      <c r="P2044" t="s">
        <v>10634</v>
      </c>
      <c r="Q2044" t="s">
        <v>75</v>
      </c>
      <c r="R2044" t="s">
        <v>10635</v>
      </c>
      <c r="S2044">
        <v>3.65</v>
      </c>
      <c r="T2044">
        <v>7297</v>
      </c>
      <c r="U2044">
        <v>0</v>
      </c>
      <c r="V2044">
        <v>7297</v>
      </c>
    </row>
    <row r="2045" spans="1:22" x14ac:dyDescent="0.3">
      <c r="A2045">
        <v>148303</v>
      </c>
      <c r="B2045">
        <v>136550506</v>
      </c>
      <c r="C2045" t="s">
        <v>10636</v>
      </c>
      <c r="D2045" t="s">
        <v>10637</v>
      </c>
      <c r="E2045" t="s">
        <v>10067</v>
      </c>
      <c r="F2045" t="s">
        <v>844</v>
      </c>
      <c r="G2045" t="s">
        <v>172</v>
      </c>
      <c r="H2045" t="s">
        <v>173</v>
      </c>
      <c r="I2045" t="s">
        <v>34</v>
      </c>
      <c r="J2045" t="s">
        <v>272</v>
      </c>
      <c r="K2045" t="s">
        <v>41</v>
      </c>
      <c r="L2045" t="s">
        <v>174</v>
      </c>
      <c r="M2045" t="s">
        <v>10638</v>
      </c>
      <c r="N2045" t="s">
        <v>847</v>
      </c>
      <c r="O2045" t="s">
        <v>100</v>
      </c>
      <c r="P2045" t="s">
        <v>10639</v>
      </c>
      <c r="Q2045" t="s">
        <v>92</v>
      </c>
      <c r="R2045" t="s">
        <v>10640</v>
      </c>
      <c r="S2045">
        <v>3.58</v>
      </c>
      <c r="T2045">
        <v>7224</v>
      </c>
      <c r="U2045">
        <v>0</v>
      </c>
      <c r="V2045">
        <v>7224</v>
      </c>
    </row>
    <row r="2046" spans="1:22" x14ac:dyDescent="0.3">
      <c r="A2046">
        <v>148303</v>
      </c>
      <c r="B2046">
        <v>136704518</v>
      </c>
      <c r="C2046" t="s">
        <v>10641</v>
      </c>
      <c r="D2046" t="s">
        <v>10642</v>
      </c>
      <c r="E2046" t="s">
        <v>10067</v>
      </c>
      <c r="F2046" t="s">
        <v>844</v>
      </c>
      <c r="G2046" t="s">
        <v>172</v>
      </c>
      <c r="H2046" t="s">
        <v>173</v>
      </c>
      <c r="I2046" t="s">
        <v>34</v>
      </c>
      <c r="J2046" t="s">
        <v>272</v>
      </c>
      <c r="K2046" t="s">
        <v>41</v>
      </c>
      <c r="L2046" t="s">
        <v>10643</v>
      </c>
      <c r="M2046" t="s">
        <v>10644</v>
      </c>
      <c r="N2046" t="s">
        <v>847</v>
      </c>
      <c r="O2046" t="s">
        <v>100</v>
      </c>
      <c r="P2046" t="s">
        <v>10645</v>
      </c>
      <c r="Q2046" t="s">
        <v>226</v>
      </c>
      <c r="R2046" t="s">
        <v>10646</v>
      </c>
      <c r="S2046">
        <v>5.81</v>
      </c>
      <c r="T2046">
        <v>8022</v>
      </c>
      <c r="U2046">
        <v>0</v>
      </c>
      <c r="V2046">
        <v>8022</v>
      </c>
    </row>
    <row r="2047" spans="1:22" x14ac:dyDescent="0.3">
      <c r="A2047">
        <v>148303</v>
      </c>
      <c r="B2047">
        <v>136595347</v>
      </c>
      <c r="C2047" t="s">
        <v>10647</v>
      </c>
      <c r="D2047" t="s">
        <v>10648</v>
      </c>
      <c r="E2047" t="s">
        <v>10067</v>
      </c>
      <c r="F2047" t="s">
        <v>844</v>
      </c>
      <c r="G2047" t="s">
        <v>172</v>
      </c>
      <c r="H2047" t="s">
        <v>173</v>
      </c>
      <c r="I2047" t="s">
        <v>34</v>
      </c>
      <c r="J2047" t="s">
        <v>272</v>
      </c>
      <c r="K2047" t="s">
        <v>41</v>
      </c>
      <c r="L2047" t="s">
        <v>174</v>
      </c>
      <c r="M2047" t="s">
        <v>10649</v>
      </c>
      <c r="N2047" t="s">
        <v>847</v>
      </c>
      <c r="O2047" t="s">
        <v>100</v>
      </c>
      <c r="P2047" t="s">
        <v>10650</v>
      </c>
      <c r="Q2047" t="s">
        <v>81</v>
      </c>
      <c r="R2047" t="s">
        <v>10651</v>
      </c>
      <c r="S2047">
        <v>3.35</v>
      </c>
      <c r="T2047">
        <v>11171</v>
      </c>
      <c r="U2047">
        <v>0</v>
      </c>
      <c r="V2047">
        <v>11171</v>
      </c>
    </row>
    <row r="2048" spans="1:22" x14ac:dyDescent="0.3">
      <c r="A2048">
        <v>148303</v>
      </c>
      <c r="B2048">
        <v>136640296</v>
      </c>
      <c r="C2048" t="s">
        <v>10652</v>
      </c>
      <c r="D2048" t="s">
        <v>10653</v>
      </c>
      <c r="E2048" t="s">
        <v>10067</v>
      </c>
      <c r="F2048" t="s">
        <v>844</v>
      </c>
      <c r="G2048" t="s">
        <v>172</v>
      </c>
      <c r="H2048" t="s">
        <v>173</v>
      </c>
      <c r="I2048" t="s">
        <v>34</v>
      </c>
      <c r="J2048" t="s">
        <v>272</v>
      </c>
      <c r="K2048" t="s">
        <v>41</v>
      </c>
      <c r="L2048" t="s">
        <v>174</v>
      </c>
      <c r="M2048" t="s">
        <v>671</v>
      </c>
      <c r="N2048" t="s">
        <v>847</v>
      </c>
      <c r="O2048" t="s">
        <v>100</v>
      </c>
      <c r="P2048" t="s">
        <v>10654</v>
      </c>
      <c r="Q2048" t="s">
        <v>72</v>
      </c>
      <c r="R2048" t="s">
        <v>10655</v>
      </c>
      <c r="S2048">
        <v>2.89</v>
      </c>
      <c r="T2048">
        <v>8101</v>
      </c>
      <c r="U2048">
        <v>0</v>
      </c>
      <c r="V2048">
        <v>8101</v>
      </c>
    </row>
    <row r="2049" spans="1:22" x14ac:dyDescent="0.3">
      <c r="A2049">
        <v>148303</v>
      </c>
      <c r="B2049">
        <v>136754814</v>
      </c>
      <c r="C2049" t="s">
        <v>10656</v>
      </c>
      <c r="D2049" t="s">
        <v>10657</v>
      </c>
      <c r="E2049" t="s">
        <v>10067</v>
      </c>
      <c r="F2049" t="s">
        <v>844</v>
      </c>
      <c r="G2049" t="s">
        <v>172</v>
      </c>
      <c r="H2049" t="s">
        <v>173</v>
      </c>
      <c r="I2049" t="s">
        <v>34</v>
      </c>
      <c r="J2049" t="s">
        <v>272</v>
      </c>
      <c r="K2049" t="s">
        <v>41</v>
      </c>
      <c r="L2049" t="s">
        <v>174</v>
      </c>
      <c r="M2049" t="s">
        <v>10658</v>
      </c>
      <c r="N2049" t="s">
        <v>847</v>
      </c>
      <c r="O2049" t="s">
        <v>100</v>
      </c>
      <c r="P2049" t="s">
        <v>10659</v>
      </c>
      <c r="Q2049" t="s">
        <v>53</v>
      </c>
      <c r="R2049" t="s">
        <v>629</v>
      </c>
      <c r="S2049">
        <v>3.19</v>
      </c>
      <c r="T2049">
        <v>18881</v>
      </c>
      <c r="U2049">
        <v>0</v>
      </c>
      <c r="V2049">
        <v>18881</v>
      </c>
    </row>
    <row r="2050" spans="1:22" x14ac:dyDescent="0.3">
      <c r="A2050">
        <v>148303</v>
      </c>
      <c r="B2050">
        <v>136722139</v>
      </c>
      <c r="C2050" t="s">
        <v>10660</v>
      </c>
      <c r="D2050" t="s">
        <v>10661</v>
      </c>
      <c r="E2050" t="s">
        <v>10067</v>
      </c>
      <c r="F2050" t="s">
        <v>844</v>
      </c>
      <c r="G2050" t="s">
        <v>172</v>
      </c>
      <c r="H2050" t="s">
        <v>173</v>
      </c>
      <c r="I2050" t="s">
        <v>34</v>
      </c>
      <c r="J2050" t="s">
        <v>272</v>
      </c>
      <c r="K2050" t="s">
        <v>41</v>
      </c>
      <c r="L2050" t="s">
        <v>174</v>
      </c>
      <c r="M2050" t="s">
        <v>10662</v>
      </c>
      <c r="N2050" t="s">
        <v>847</v>
      </c>
      <c r="O2050" t="s">
        <v>100</v>
      </c>
      <c r="P2050" t="s">
        <v>10663</v>
      </c>
      <c r="Q2050" t="s">
        <v>68</v>
      </c>
      <c r="R2050" t="s">
        <v>10664</v>
      </c>
      <c r="S2050">
        <v>3.2</v>
      </c>
      <c r="T2050">
        <v>8022</v>
      </c>
      <c r="U2050">
        <v>0</v>
      </c>
      <c r="V2050">
        <v>8022</v>
      </c>
    </row>
    <row r="2051" spans="1:22" x14ac:dyDescent="0.3">
      <c r="A2051">
        <v>148303</v>
      </c>
      <c r="B2051">
        <v>136738406</v>
      </c>
      <c r="C2051" t="s">
        <v>10665</v>
      </c>
      <c r="D2051" t="s">
        <v>10666</v>
      </c>
      <c r="E2051" t="s">
        <v>10067</v>
      </c>
      <c r="F2051" t="s">
        <v>844</v>
      </c>
      <c r="G2051" t="s">
        <v>172</v>
      </c>
      <c r="H2051" t="s">
        <v>173</v>
      </c>
      <c r="I2051" t="s">
        <v>34</v>
      </c>
      <c r="J2051" t="s">
        <v>272</v>
      </c>
      <c r="K2051" t="s">
        <v>41</v>
      </c>
      <c r="L2051" t="s">
        <v>174</v>
      </c>
      <c r="M2051" t="s">
        <v>10667</v>
      </c>
      <c r="N2051" t="s">
        <v>847</v>
      </c>
      <c r="O2051" t="s">
        <v>100</v>
      </c>
      <c r="P2051" t="s">
        <v>10668</v>
      </c>
      <c r="Q2051" t="s">
        <v>52</v>
      </c>
      <c r="R2051" t="s">
        <v>10669</v>
      </c>
      <c r="S2051">
        <v>3.12</v>
      </c>
      <c r="T2051">
        <v>12587</v>
      </c>
      <c r="U2051">
        <v>0</v>
      </c>
      <c r="V2051">
        <v>12587</v>
      </c>
    </row>
    <row r="2052" spans="1:22" x14ac:dyDescent="0.3">
      <c r="A2052">
        <v>148303</v>
      </c>
      <c r="B2052">
        <v>136831471</v>
      </c>
      <c r="C2052" t="s">
        <v>10670</v>
      </c>
      <c r="D2052" t="s">
        <v>10671</v>
      </c>
      <c r="E2052" t="s">
        <v>10067</v>
      </c>
      <c r="F2052" t="s">
        <v>844</v>
      </c>
      <c r="G2052" t="s">
        <v>172</v>
      </c>
      <c r="H2052" t="s">
        <v>173</v>
      </c>
      <c r="I2052" t="s">
        <v>34</v>
      </c>
      <c r="J2052" t="s">
        <v>272</v>
      </c>
      <c r="K2052" t="s">
        <v>41</v>
      </c>
      <c r="L2052" t="s">
        <v>174</v>
      </c>
      <c r="M2052" t="s">
        <v>10672</v>
      </c>
      <c r="N2052" t="s">
        <v>847</v>
      </c>
      <c r="O2052" t="s">
        <v>100</v>
      </c>
      <c r="P2052" t="s">
        <v>10673</v>
      </c>
      <c r="Q2052" t="s">
        <v>246</v>
      </c>
      <c r="R2052" t="s">
        <v>396</v>
      </c>
      <c r="S2052">
        <v>5.82</v>
      </c>
      <c r="T2052">
        <v>12587</v>
      </c>
      <c r="U2052">
        <v>0</v>
      </c>
      <c r="V2052">
        <v>12587</v>
      </c>
    </row>
    <row r="2053" spans="1:22" x14ac:dyDescent="0.3">
      <c r="A2053">
        <v>148303</v>
      </c>
      <c r="B2053">
        <v>136596338</v>
      </c>
      <c r="C2053" t="s">
        <v>10674</v>
      </c>
      <c r="D2053" t="s">
        <v>10675</v>
      </c>
      <c r="E2053" t="s">
        <v>10067</v>
      </c>
      <c r="F2053" t="s">
        <v>844</v>
      </c>
      <c r="G2053" t="s">
        <v>172</v>
      </c>
      <c r="H2053" t="s">
        <v>173</v>
      </c>
      <c r="I2053" t="s">
        <v>34</v>
      </c>
      <c r="J2053" t="s">
        <v>272</v>
      </c>
      <c r="K2053" t="s">
        <v>41</v>
      </c>
      <c r="L2053" t="s">
        <v>174</v>
      </c>
      <c r="M2053" t="s">
        <v>10676</v>
      </c>
      <c r="N2053" t="s">
        <v>847</v>
      </c>
      <c r="O2053" t="s">
        <v>100</v>
      </c>
      <c r="P2053" t="s">
        <v>10677</v>
      </c>
      <c r="Q2053" t="s">
        <v>83</v>
      </c>
      <c r="R2053" t="s">
        <v>10678</v>
      </c>
      <c r="S2053">
        <v>10.58</v>
      </c>
      <c r="T2053">
        <v>10008</v>
      </c>
      <c r="U2053">
        <v>0</v>
      </c>
      <c r="V2053">
        <v>10008</v>
      </c>
    </row>
    <row r="2054" spans="1:22" x14ac:dyDescent="0.3">
      <c r="A2054">
        <v>148303</v>
      </c>
      <c r="B2054">
        <v>136700733</v>
      </c>
      <c r="C2054" t="s">
        <v>10679</v>
      </c>
      <c r="D2054" t="s">
        <v>10680</v>
      </c>
      <c r="E2054" t="s">
        <v>10067</v>
      </c>
      <c r="F2054" t="s">
        <v>844</v>
      </c>
      <c r="G2054" t="s">
        <v>172</v>
      </c>
      <c r="H2054" t="s">
        <v>173</v>
      </c>
      <c r="I2054" t="s">
        <v>34</v>
      </c>
      <c r="J2054" t="s">
        <v>272</v>
      </c>
      <c r="K2054" t="s">
        <v>41</v>
      </c>
      <c r="L2054" t="s">
        <v>10681</v>
      </c>
      <c r="M2054" t="s">
        <v>10682</v>
      </c>
      <c r="N2054" t="s">
        <v>847</v>
      </c>
      <c r="O2054" t="s">
        <v>100</v>
      </c>
      <c r="P2054" t="s">
        <v>10683</v>
      </c>
      <c r="Q2054" t="s">
        <v>70</v>
      </c>
      <c r="R2054" t="s">
        <v>10684</v>
      </c>
      <c r="S2054">
        <v>3.62</v>
      </c>
      <c r="T2054">
        <v>7449</v>
      </c>
      <c r="U2054">
        <v>0</v>
      </c>
      <c r="V2054">
        <v>7449</v>
      </c>
    </row>
    <row r="2055" spans="1:22" x14ac:dyDescent="0.3">
      <c r="A2055">
        <v>148303</v>
      </c>
      <c r="B2055">
        <v>136722270</v>
      </c>
      <c r="C2055" t="s">
        <v>10685</v>
      </c>
      <c r="D2055" t="s">
        <v>10686</v>
      </c>
      <c r="E2055" t="s">
        <v>10067</v>
      </c>
      <c r="F2055" t="s">
        <v>844</v>
      </c>
      <c r="G2055" t="s">
        <v>172</v>
      </c>
      <c r="H2055" t="s">
        <v>173</v>
      </c>
      <c r="I2055" t="s">
        <v>34</v>
      </c>
      <c r="J2055" t="s">
        <v>272</v>
      </c>
      <c r="K2055" t="s">
        <v>41</v>
      </c>
      <c r="L2055" t="s">
        <v>10687</v>
      </c>
      <c r="M2055" t="s">
        <v>467</v>
      </c>
      <c r="N2055" t="s">
        <v>847</v>
      </c>
      <c r="O2055" t="s">
        <v>100</v>
      </c>
      <c r="P2055" t="s">
        <v>10688</v>
      </c>
      <c r="Q2055" t="s">
        <v>86</v>
      </c>
      <c r="R2055" t="s">
        <v>471</v>
      </c>
      <c r="S2055">
        <v>2.34</v>
      </c>
      <c r="T2055">
        <v>6800</v>
      </c>
      <c r="U2055">
        <v>0</v>
      </c>
      <c r="V2055">
        <v>6800</v>
      </c>
    </row>
    <row r="2056" spans="1:22" x14ac:dyDescent="0.3">
      <c r="A2056">
        <v>148303</v>
      </c>
      <c r="B2056">
        <v>136731055</v>
      </c>
      <c r="C2056" t="s">
        <v>10689</v>
      </c>
      <c r="D2056" t="s">
        <v>10690</v>
      </c>
      <c r="E2056" t="s">
        <v>10067</v>
      </c>
      <c r="F2056" t="s">
        <v>844</v>
      </c>
      <c r="G2056" t="s">
        <v>172</v>
      </c>
      <c r="H2056" t="s">
        <v>173</v>
      </c>
      <c r="I2056" t="s">
        <v>34</v>
      </c>
      <c r="J2056" t="s">
        <v>272</v>
      </c>
      <c r="K2056" t="s">
        <v>41</v>
      </c>
      <c r="L2056" t="s">
        <v>773</v>
      </c>
      <c r="M2056" t="s">
        <v>10691</v>
      </c>
      <c r="N2056" t="s">
        <v>847</v>
      </c>
      <c r="O2056" t="s">
        <v>100</v>
      </c>
      <c r="P2056" t="s">
        <v>10692</v>
      </c>
      <c r="Q2056" t="s">
        <v>55</v>
      </c>
      <c r="R2056" t="s">
        <v>10693</v>
      </c>
      <c r="S2056">
        <v>3.59</v>
      </c>
      <c r="T2056">
        <v>10083</v>
      </c>
      <c r="U2056">
        <v>0</v>
      </c>
      <c r="V2056">
        <v>10083</v>
      </c>
    </row>
    <row r="2057" spans="1:22" x14ac:dyDescent="0.3">
      <c r="A2057">
        <v>148303</v>
      </c>
      <c r="B2057">
        <v>136865526</v>
      </c>
      <c r="C2057" t="s">
        <v>10694</v>
      </c>
      <c r="D2057" t="s">
        <v>10695</v>
      </c>
      <c r="E2057" t="s">
        <v>10067</v>
      </c>
      <c r="F2057" t="s">
        <v>844</v>
      </c>
      <c r="G2057" t="s">
        <v>172</v>
      </c>
      <c r="H2057" t="s">
        <v>173</v>
      </c>
      <c r="I2057" t="s">
        <v>34</v>
      </c>
      <c r="J2057" t="s">
        <v>272</v>
      </c>
      <c r="K2057" t="s">
        <v>41</v>
      </c>
      <c r="L2057" t="s">
        <v>10696</v>
      </c>
      <c r="M2057" t="s">
        <v>10697</v>
      </c>
      <c r="N2057" t="s">
        <v>847</v>
      </c>
      <c r="O2057" t="s">
        <v>100</v>
      </c>
      <c r="P2057" t="s">
        <v>10698</v>
      </c>
      <c r="Q2057" t="s">
        <v>59</v>
      </c>
      <c r="R2057" t="s">
        <v>10699</v>
      </c>
      <c r="S2057">
        <v>3.55</v>
      </c>
      <c r="T2057">
        <v>8646</v>
      </c>
      <c r="U2057">
        <v>0</v>
      </c>
      <c r="V2057">
        <v>8646</v>
      </c>
    </row>
    <row r="2058" spans="1:22" x14ac:dyDescent="0.3">
      <c r="A2058">
        <v>148303</v>
      </c>
      <c r="B2058">
        <v>136549405</v>
      </c>
      <c r="C2058" t="s">
        <v>10700</v>
      </c>
      <c r="D2058" t="s">
        <v>10701</v>
      </c>
      <c r="E2058" t="s">
        <v>10067</v>
      </c>
      <c r="F2058" t="s">
        <v>844</v>
      </c>
      <c r="G2058" t="s">
        <v>172</v>
      </c>
      <c r="H2058" t="s">
        <v>173</v>
      </c>
      <c r="I2058" t="s">
        <v>34</v>
      </c>
      <c r="J2058" t="s">
        <v>272</v>
      </c>
      <c r="K2058" t="s">
        <v>41</v>
      </c>
      <c r="L2058" t="s">
        <v>174</v>
      </c>
      <c r="M2058" t="s">
        <v>10702</v>
      </c>
      <c r="N2058" t="s">
        <v>847</v>
      </c>
      <c r="O2058" t="s">
        <v>100</v>
      </c>
      <c r="P2058" t="s">
        <v>10703</v>
      </c>
      <c r="Q2058" t="s">
        <v>224</v>
      </c>
      <c r="R2058" t="s">
        <v>10704</v>
      </c>
      <c r="S2058">
        <v>5.89</v>
      </c>
      <c r="T2058">
        <v>8439</v>
      </c>
      <c r="U2058">
        <v>0</v>
      </c>
      <c r="V2058">
        <v>8439</v>
      </c>
    </row>
    <row r="2059" spans="1:22" x14ac:dyDescent="0.3">
      <c r="A2059">
        <v>148303</v>
      </c>
      <c r="B2059">
        <v>136533300</v>
      </c>
      <c r="C2059" t="s">
        <v>10705</v>
      </c>
      <c r="D2059" t="s">
        <v>10706</v>
      </c>
      <c r="E2059" t="s">
        <v>10067</v>
      </c>
      <c r="F2059" t="s">
        <v>844</v>
      </c>
      <c r="G2059" t="s">
        <v>172</v>
      </c>
      <c r="H2059" t="s">
        <v>173</v>
      </c>
      <c r="I2059" t="s">
        <v>34</v>
      </c>
      <c r="J2059" t="s">
        <v>272</v>
      </c>
      <c r="K2059" t="s">
        <v>41</v>
      </c>
      <c r="L2059" t="s">
        <v>174</v>
      </c>
      <c r="M2059" t="s">
        <v>10707</v>
      </c>
      <c r="N2059" t="s">
        <v>847</v>
      </c>
      <c r="O2059" t="s">
        <v>100</v>
      </c>
      <c r="P2059" t="s">
        <v>10708</v>
      </c>
      <c r="Q2059" t="s">
        <v>55</v>
      </c>
      <c r="R2059" t="s">
        <v>10709</v>
      </c>
      <c r="S2059">
        <v>11</v>
      </c>
      <c r="T2059">
        <v>16572</v>
      </c>
      <c r="U2059">
        <v>0</v>
      </c>
      <c r="V2059">
        <v>16572</v>
      </c>
    </row>
    <row r="2060" spans="1:22" x14ac:dyDescent="0.3">
      <c r="A2060">
        <v>148303</v>
      </c>
      <c r="B2060">
        <v>136596038</v>
      </c>
      <c r="C2060" t="s">
        <v>10710</v>
      </c>
      <c r="D2060" t="s">
        <v>10711</v>
      </c>
      <c r="E2060" t="s">
        <v>10067</v>
      </c>
      <c r="F2060" t="s">
        <v>844</v>
      </c>
      <c r="G2060" t="s">
        <v>172</v>
      </c>
      <c r="H2060" t="s">
        <v>173</v>
      </c>
      <c r="I2060" t="s">
        <v>34</v>
      </c>
      <c r="J2060" t="s">
        <v>272</v>
      </c>
      <c r="K2060" t="s">
        <v>41</v>
      </c>
      <c r="L2060" t="s">
        <v>174</v>
      </c>
      <c r="M2060" t="s">
        <v>10712</v>
      </c>
      <c r="N2060" t="s">
        <v>847</v>
      </c>
      <c r="O2060" t="s">
        <v>100</v>
      </c>
      <c r="P2060" t="s">
        <v>10713</v>
      </c>
      <c r="Q2060" t="s">
        <v>74</v>
      </c>
      <c r="R2060" t="s">
        <v>10714</v>
      </c>
      <c r="S2060">
        <v>2.38</v>
      </c>
      <c r="T2060">
        <v>7945</v>
      </c>
      <c r="U2060">
        <v>0</v>
      </c>
      <c r="V2060">
        <v>7945</v>
      </c>
    </row>
    <row r="2061" spans="1:22" x14ac:dyDescent="0.3">
      <c r="A2061">
        <v>148303</v>
      </c>
      <c r="B2061">
        <v>136619864</v>
      </c>
      <c r="C2061" t="s">
        <v>10715</v>
      </c>
      <c r="D2061" t="s">
        <v>10716</v>
      </c>
      <c r="E2061" t="s">
        <v>10067</v>
      </c>
      <c r="F2061" t="s">
        <v>844</v>
      </c>
      <c r="G2061" t="s">
        <v>172</v>
      </c>
      <c r="H2061" t="s">
        <v>173</v>
      </c>
      <c r="I2061" t="s">
        <v>34</v>
      </c>
      <c r="J2061" t="s">
        <v>272</v>
      </c>
      <c r="K2061" t="s">
        <v>41</v>
      </c>
      <c r="L2061" t="s">
        <v>174</v>
      </c>
      <c r="M2061" t="s">
        <v>10717</v>
      </c>
      <c r="N2061" t="s">
        <v>847</v>
      </c>
      <c r="O2061" t="s">
        <v>100</v>
      </c>
      <c r="P2061" t="s">
        <v>10718</v>
      </c>
      <c r="Q2061" t="s">
        <v>50</v>
      </c>
      <c r="R2061" t="s">
        <v>426</v>
      </c>
      <c r="S2061">
        <v>1.47</v>
      </c>
      <c r="T2061">
        <v>7402</v>
      </c>
      <c r="U2061">
        <v>0</v>
      </c>
      <c r="V2061">
        <v>7402</v>
      </c>
    </row>
    <row r="2062" spans="1:22" x14ac:dyDescent="0.3">
      <c r="A2062">
        <v>148303</v>
      </c>
      <c r="B2062">
        <v>136625944</v>
      </c>
      <c r="C2062" t="s">
        <v>10719</v>
      </c>
      <c r="D2062" t="s">
        <v>10720</v>
      </c>
      <c r="E2062" t="s">
        <v>10067</v>
      </c>
      <c r="F2062" t="s">
        <v>844</v>
      </c>
      <c r="G2062" t="s">
        <v>172</v>
      </c>
      <c r="H2062" t="s">
        <v>173</v>
      </c>
      <c r="I2062" t="s">
        <v>34</v>
      </c>
      <c r="J2062" t="s">
        <v>272</v>
      </c>
      <c r="K2062" t="s">
        <v>41</v>
      </c>
      <c r="L2062" t="s">
        <v>174</v>
      </c>
      <c r="M2062" t="s">
        <v>10721</v>
      </c>
      <c r="N2062" t="s">
        <v>847</v>
      </c>
      <c r="O2062" t="s">
        <v>100</v>
      </c>
      <c r="P2062" t="s">
        <v>10722</v>
      </c>
      <c r="Q2062" t="s">
        <v>77</v>
      </c>
      <c r="R2062" t="s">
        <v>425</v>
      </c>
      <c r="S2062">
        <v>12.14</v>
      </c>
      <c r="T2062">
        <v>11583</v>
      </c>
      <c r="U2062">
        <v>0</v>
      </c>
      <c r="V2062">
        <v>11583</v>
      </c>
    </row>
    <row r="2063" spans="1:22" x14ac:dyDescent="0.3">
      <c r="A2063">
        <v>148303</v>
      </c>
      <c r="B2063">
        <v>136605267</v>
      </c>
      <c r="C2063" t="s">
        <v>10723</v>
      </c>
      <c r="D2063" t="s">
        <v>10724</v>
      </c>
      <c r="E2063" t="s">
        <v>10067</v>
      </c>
      <c r="F2063" t="s">
        <v>844</v>
      </c>
      <c r="G2063" t="s">
        <v>172</v>
      </c>
      <c r="H2063" t="s">
        <v>173</v>
      </c>
      <c r="I2063" t="s">
        <v>34</v>
      </c>
      <c r="J2063" t="s">
        <v>272</v>
      </c>
      <c r="K2063" t="s">
        <v>41</v>
      </c>
      <c r="L2063" t="s">
        <v>174</v>
      </c>
      <c r="M2063" t="s">
        <v>10725</v>
      </c>
      <c r="N2063" t="s">
        <v>847</v>
      </c>
      <c r="O2063" t="s">
        <v>100</v>
      </c>
      <c r="P2063" t="s">
        <v>10726</v>
      </c>
      <c r="Q2063" t="s">
        <v>58</v>
      </c>
      <c r="R2063" t="s">
        <v>10727</v>
      </c>
      <c r="S2063">
        <v>1.64</v>
      </c>
      <c r="T2063">
        <v>10598</v>
      </c>
      <c r="U2063">
        <v>0</v>
      </c>
      <c r="V2063">
        <v>10598</v>
      </c>
    </row>
    <row r="2064" spans="1:22" x14ac:dyDescent="0.3">
      <c r="A2064">
        <v>148303</v>
      </c>
      <c r="B2064">
        <v>136590291</v>
      </c>
      <c r="C2064" t="s">
        <v>10728</v>
      </c>
      <c r="D2064" t="s">
        <v>10729</v>
      </c>
      <c r="E2064" t="s">
        <v>10067</v>
      </c>
      <c r="F2064" t="s">
        <v>844</v>
      </c>
      <c r="G2064" t="s">
        <v>172</v>
      </c>
      <c r="H2064" t="s">
        <v>173</v>
      </c>
      <c r="I2064" t="s">
        <v>34</v>
      </c>
      <c r="J2064" t="s">
        <v>272</v>
      </c>
      <c r="K2064" t="s">
        <v>41</v>
      </c>
      <c r="L2064" t="s">
        <v>174</v>
      </c>
      <c r="M2064" t="s">
        <v>10730</v>
      </c>
      <c r="N2064" t="s">
        <v>847</v>
      </c>
      <c r="O2064" t="s">
        <v>100</v>
      </c>
      <c r="P2064" t="s">
        <v>10731</v>
      </c>
      <c r="Q2064" t="s">
        <v>168</v>
      </c>
      <c r="R2064" t="s">
        <v>10732</v>
      </c>
      <c r="S2064">
        <v>1.42</v>
      </c>
      <c r="T2064">
        <v>6125</v>
      </c>
      <c r="U2064">
        <v>0</v>
      </c>
      <c r="V2064">
        <v>6125</v>
      </c>
    </row>
    <row r="2065" spans="1:22" x14ac:dyDescent="0.3">
      <c r="A2065">
        <v>148303</v>
      </c>
      <c r="B2065">
        <v>136608918</v>
      </c>
      <c r="C2065" t="s">
        <v>10733</v>
      </c>
      <c r="D2065" t="s">
        <v>10734</v>
      </c>
      <c r="E2065" t="s">
        <v>10067</v>
      </c>
      <c r="F2065" t="s">
        <v>844</v>
      </c>
      <c r="G2065" t="s">
        <v>172</v>
      </c>
      <c r="H2065" t="s">
        <v>173</v>
      </c>
      <c r="I2065" t="s">
        <v>34</v>
      </c>
      <c r="J2065" t="s">
        <v>272</v>
      </c>
      <c r="K2065" t="s">
        <v>41</v>
      </c>
      <c r="L2065" t="s">
        <v>174</v>
      </c>
      <c r="M2065" t="s">
        <v>10735</v>
      </c>
      <c r="N2065" t="s">
        <v>847</v>
      </c>
      <c r="O2065" t="s">
        <v>100</v>
      </c>
      <c r="P2065" t="s">
        <v>10736</v>
      </c>
      <c r="Q2065" t="s">
        <v>50</v>
      </c>
      <c r="R2065" t="s">
        <v>640</v>
      </c>
      <c r="S2065">
        <v>1.61</v>
      </c>
      <c r="T2065">
        <v>8230</v>
      </c>
      <c r="U2065">
        <v>0</v>
      </c>
      <c r="V2065">
        <v>8230</v>
      </c>
    </row>
    <row r="2066" spans="1:22" x14ac:dyDescent="0.3">
      <c r="A2066">
        <v>148303</v>
      </c>
      <c r="B2066">
        <v>136706961</v>
      </c>
      <c r="C2066" t="s">
        <v>10737</v>
      </c>
      <c r="D2066" t="s">
        <v>10738</v>
      </c>
      <c r="E2066" t="s">
        <v>10067</v>
      </c>
      <c r="F2066" t="s">
        <v>844</v>
      </c>
      <c r="G2066" t="s">
        <v>172</v>
      </c>
      <c r="H2066" t="s">
        <v>173</v>
      </c>
      <c r="I2066" t="s">
        <v>34</v>
      </c>
      <c r="J2066" t="s">
        <v>272</v>
      </c>
      <c r="K2066" t="s">
        <v>41</v>
      </c>
      <c r="L2066" t="s">
        <v>10739</v>
      </c>
      <c r="M2066" t="s">
        <v>10740</v>
      </c>
      <c r="N2066" t="s">
        <v>847</v>
      </c>
      <c r="O2066" t="s">
        <v>100</v>
      </c>
      <c r="P2066" t="s">
        <v>10741</v>
      </c>
      <c r="Q2066" t="s">
        <v>234</v>
      </c>
      <c r="R2066" t="s">
        <v>805</v>
      </c>
      <c r="S2066">
        <v>6.72</v>
      </c>
      <c r="T2066">
        <v>9019</v>
      </c>
      <c r="U2066">
        <v>0</v>
      </c>
      <c r="V2066">
        <v>9019</v>
      </c>
    </row>
    <row r="2067" spans="1:22" x14ac:dyDescent="0.3">
      <c r="A2067">
        <v>148303</v>
      </c>
      <c r="B2067">
        <v>136512892</v>
      </c>
      <c r="C2067" t="s">
        <v>10742</v>
      </c>
      <c r="D2067" t="s">
        <v>10743</v>
      </c>
      <c r="E2067" t="s">
        <v>10067</v>
      </c>
      <c r="F2067" t="s">
        <v>844</v>
      </c>
      <c r="G2067" t="s">
        <v>172</v>
      </c>
      <c r="H2067" t="s">
        <v>173</v>
      </c>
      <c r="I2067" t="s">
        <v>34</v>
      </c>
      <c r="J2067" t="s">
        <v>272</v>
      </c>
      <c r="K2067" t="s">
        <v>41</v>
      </c>
      <c r="L2067" t="s">
        <v>174</v>
      </c>
      <c r="M2067" t="s">
        <v>223</v>
      </c>
      <c r="N2067" t="s">
        <v>847</v>
      </c>
      <c r="O2067" t="s">
        <v>100</v>
      </c>
      <c r="P2067" t="s">
        <v>10744</v>
      </c>
      <c r="Q2067" t="s">
        <v>72</v>
      </c>
      <c r="R2067" t="s">
        <v>823</v>
      </c>
      <c r="S2067">
        <v>11.31</v>
      </c>
      <c r="T2067">
        <v>11885</v>
      </c>
      <c r="U2067">
        <v>0</v>
      </c>
      <c r="V2067">
        <v>11885</v>
      </c>
    </row>
    <row r="2068" spans="1:22" x14ac:dyDescent="0.3">
      <c r="A2068">
        <v>148303</v>
      </c>
      <c r="B2068">
        <v>135496834</v>
      </c>
      <c r="C2068" t="s">
        <v>10745</v>
      </c>
      <c r="D2068" t="s">
        <v>10746</v>
      </c>
      <c r="E2068" t="s">
        <v>10067</v>
      </c>
      <c r="F2068" t="s">
        <v>844</v>
      </c>
      <c r="G2068" t="s">
        <v>172</v>
      </c>
      <c r="H2068" t="s">
        <v>173</v>
      </c>
      <c r="I2068" t="s">
        <v>34</v>
      </c>
      <c r="J2068" t="s">
        <v>272</v>
      </c>
      <c r="K2068" t="s">
        <v>41</v>
      </c>
      <c r="L2068" t="s">
        <v>10747</v>
      </c>
      <c r="M2068" t="s">
        <v>10748</v>
      </c>
      <c r="N2068" t="s">
        <v>847</v>
      </c>
      <c r="O2068" t="s">
        <v>100</v>
      </c>
      <c r="P2068" t="s">
        <v>10749</v>
      </c>
      <c r="Q2068" t="s">
        <v>102</v>
      </c>
      <c r="R2068" t="s">
        <v>10750</v>
      </c>
      <c r="S2068">
        <v>3.09</v>
      </c>
      <c r="T2068">
        <v>4537</v>
      </c>
      <c r="U2068">
        <v>0</v>
      </c>
      <c r="V2068">
        <v>4537</v>
      </c>
    </row>
    <row r="2069" spans="1:22" x14ac:dyDescent="0.3">
      <c r="A2069">
        <v>148303</v>
      </c>
      <c r="B2069">
        <v>136489406</v>
      </c>
      <c r="C2069" t="s">
        <v>10751</v>
      </c>
      <c r="D2069" t="s">
        <v>10752</v>
      </c>
      <c r="E2069" t="s">
        <v>10067</v>
      </c>
      <c r="F2069" t="s">
        <v>844</v>
      </c>
      <c r="G2069" t="s">
        <v>172</v>
      </c>
      <c r="H2069" t="s">
        <v>173</v>
      </c>
      <c r="I2069" t="s">
        <v>34</v>
      </c>
      <c r="J2069" t="s">
        <v>272</v>
      </c>
      <c r="K2069" t="s">
        <v>41</v>
      </c>
      <c r="L2069" t="s">
        <v>174</v>
      </c>
      <c r="M2069" t="s">
        <v>10753</v>
      </c>
      <c r="N2069" t="s">
        <v>847</v>
      </c>
      <c r="O2069" t="s">
        <v>100</v>
      </c>
      <c r="P2069" t="s">
        <v>10754</v>
      </c>
      <c r="Q2069" t="s">
        <v>49</v>
      </c>
      <c r="R2069" t="s">
        <v>706</v>
      </c>
      <c r="S2069">
        <v>8.91</v>
      </c>
      <c r="T2069">
        <v>9948</v>
      </c>
      <c r="U2069">
        <v>0</v>
      </c>
      <c r="V2069">
        <v>9948</v>
      </c>
    </row>
    <row r="2070" spans="1:22" x14ac:dyDescent="0.3">
      <c r="A2070">
        <v>148303</v>
      </c>
      <c r="B2070">
        <v>136406250</v>
      </c>
      <c r="C2070" t="s">
        <v>10755</v>
      </c>
      <c r="D2070" t="s">
        <v>10756</v>
      </c>
      <c r="E2070" t="s">
        <v>10067</v>
      </c>
      <c r="F2070" t="s">
        <v>844</v>
      </c>
      <c r="G2070" t="s">
        <v>172</v>
      </c>
      <c r="H2070" t="s">
        <v>173</v>
      </c>
      <c r="I2070" t="s">
        <v>34</v>
      </c>
      <c r="J2070" t="s">
        <v>272</v>
      </c>
      <c r="K2070" t="s">
        <v>41</v>
      </c>
      <c r="L2070" t="s">
        <v>174</v>
      </c>
      <c r="M2070" t="s">
        <v>10757</v>
      </c>
      <c r="N2070" t="s">
        <v>847</v>
      </c>
      <c r="O2070" t="s">
        <v>100</v>
      </c>
      <c r="P2070" t="s">
        <v>10758</v>
      </c>
      <c r="Q2070" t="s">
        <v>69</v>
      </c>
      <c r="R2070" t="s">
        <v>477</v>
      </c>
      <c r="S2070">
        <v>8.52</v>
      </c>
      <c r="T2070">
        <v>9782</v>
      </c>
      <c r="U2070">
        <v>0</v>
      </c>
      <c r="V2070">
        <v>9782</v>
      </c>
    </row>
    <row r="2071" spans="1:22" x14ac:dyDescent="0.3">
      <c r="A2071">
        <v>148303</v>
      </c>
      <c r="B2071">
        <v>136288769</v>
      </c>
      <c r="C2071" t="s">
        <v>10759</v>
      </c>
      <c r="D2071" t="s">
        <v>10760</v>
      </c>
      <c r="E2071" t="s">
        <v>10067</v>
      </c>
      <c r="F2071" t="s">
        <v>844</v>
      </c>
      <c r="G2071" t="s">
        <v>172</v>
      </c>
      <c r="H2071" t="s">
        <v>173</v>
      </c>
      <c r="I2071" t="s">
        <v>34</v>
      </c>
      <c r="J2071" t="s">
        <v>272</v>
      </c>
      <c r="K2071" t="s">
        <v>41</v>
      </c>
      <c r="L2071" t="s">
        <v>174</v>
      </c>
      <c r="M2071" t="s">
        <v>10237</v>
      </c>
      <c r="N2071" t="s">
        <v>847</v>
      </c>
      <c r="O2071" t="s">
        <v>100</v>
      </c>
      <c r="P2071" t="s">
        <v>10238</v>
      </c>
      <c r="Q2071" t="s">
        <v>64</v>
      </c>
      <c r="R2071" t="s">
        <v>479</v>
      </c>
      <c r="S2071">
        <v>2.97</v>
      </c>
      <c r="T2071">
        <v>9148</v>
      </c>
      <c r="U2071">
        <v>0</v>
      </c>
      <c r="V2071">
        <v>9148</v>
      </c>
    </row>
    <row r="2072" spans="1:22" x14ac:dyDescent="0.3">
      <c r="A2072">
        <v>148303</v>
      </c>
      <c r="B2072">
        <v>136311382</v>
      </c>
      <c r="C2072" t="s">
        <v>10761</v>
      </c>
      <c r="D2072" t="s">
        <v>10762</v>
      </c>
      <c r="E2072" t="s">
        <v>10067</v>
      </c>
      <c r="F2072" t="s">
        <v>844</v>
      </c>
      <c r="G2072" t="s">
        <v>172</v>
      </c>
      <c r="H2072" t="s">
        <v>173</v>
      </c>
      <c r="I2072" t="s">
        <v>34</v>
      </c>
      <c r="J2072" t="s">
        <v>272</v>
      </c>
      <c r="K2072" t="s">
        <v>41</v>
      </c>
      <c r="L2072" t="s">
        <v>174</v>
      </c>
      <c r="M2072" t="s">
        <v>10763</v>
      </c>
      <c r="N2072" t="s">
        <v>847</v>
      </c>
      <c r="O2072" t="s">
        <v>100</v>
      </c>
      <c r="P2072" t="s">
        <v>10764</v>
      </c>
      <c r="Q2072" t="s">
        <v>116</v>
      </c>
      <c r="R2072" t="s">
        <v>10765</v>
      </c>
      <c r="S2072">
        <v>1.76</v>
      </c>
      <c r="T2072">
        <v>4168</v>
      </c>
      <c r="U2072">
        <v>0</v>
      </c>
      <c r="V2072">
        <v>4168</v>
      </c>
    </row>
    <row r="2073" spans="1:22" x14ac:dyDescent="0.3">
      <c r="A2073">
        <v>148303</v>
      </c>
      <c r="B2073">
        <v>136393049</v>
      </c>
      <c r="C2073" t="s">
        <v>10766</v>
      </c>
      <c r="D2073" t="s">
        <v>10767</v>
      </c>
      <c r="E2073" t="s">
        <v>10067</v>
      </c>
      <c r="F2073" t="s">
        <v>844</v>
      </c>
      <c r="G2073" t="s">
        <v>172</v>
      </c>
      <c r="H2073" t="s">
        <v>173</v>
      </c>
      <c r="I2073" t="s">
        <v>34</v>
      </c>
      <c r="J2073" t="s">
        <v>272</v>
      </c>
      <c r="K2073" t="s">
        <v>41</v>
      </c>
      <c r="L2073" t="s">
        <v>174</v>
      </c>
      <c r="M2073" t="s">
        <v>10768</v>
      </c>
      <c r="N2073" t="s">
        <v>847</v>
      </c>
      <c r="O2073" t="s">
        <v>100</v>
      </c>
      <c r="P2073" t="s">
        <v>10769</v>
      </c>
      <c r="Q2073" t="s">
        <v>103</v>
      </c>
      <c r="R2073" t="s">
        <v>10770</v>
      </c>
      <c r="S2073">
        <v>1.77</v>
      </c>
      <c r="T2073">
        <v>4168</v>
      </c>
      <c r="U2073">
        <v>0</v>
      </c>
      <c r="V2073">
        <v>4168</v>
      </c>
    </row>
    <row r="2074" spans="1:22" x14ac:dyDescent="0.3">
      <c r="A2074">
        <v>148303</v>
      </c>
      <c r="B2074">
        <v>136380683</v>
      </c>
      <c r="C2074" t="s">
        <v>10771</v>
      </c>
      <c r="D2074" t="s">
        <v>10772</v>
      </c>
      <c r="E2074" t="s">
        <v>10067</v>
      </c>
      <c r="F2074" t="s">
        <v>844</v>
      </c>
      <c r="G2074" t="s">
        <v>172</v>
      </c>
      <c r="H2074" t="s">
        <v>173</v>
      </c>
      <c r="I2074" t="s">
        <v>34</v>
      </c>
      <c r="J2074" t="s">
        <v>272</v>
      </c>
      <c r="K2074" t="s">
        <v>41</v>
      </c>
      <c r="L2074" t="s">
        <v>174</v>
      </c>
      <c r="M2074" t="s">
        <v>466</v>
      </c>
      <c r="N2074" t="s">
        <v>847</v>
      </c>
      <c r="O2074" t="s">
        <v>100</v>
      </c>
      <c r="P2074" t="s">
        <v>10773</v>
      </c>
      <c r="Q2074" t="s">
        <v>90</v>
      </c>
      <c r="R2074" t="s">
        <v>10774</v>
      </c>
      <c r="S2074">
        <v>3.59</v>
      </c>
      <c r="T2074">
        <v>7224</v>
      </c>
      <c r="U2074">
        <v>0</v>
      </c>
      <c r="V2074">
        <v>7224</v>
      </c>
    </row>
    <row r="2075" spans="1:22" x14ac:dyDescent="0.3">
      <c r="A2075">
        <v>148303</v>
      </c>
      <c r="B2075">
        <v>136011461</v>
      </c>
      <c r="C2075" t="s">
        <v>10775</v>
      </c>
      <c r="D2075" t="s">
        <v>10776</v>
      </c>
      <c r="E2075" t="s">
        <v>10067</v>
      </c>
      <c r="F2075" t="s">
        <v>844</v>
      </c>
      <c r="G2075" t="s">
        <v>172</v>
      </c>
      <c r="H2075" t="s">
        <v>173</v>
      </c>
      <c r="I2075" t="s">
        <v>34</v>
      </c>
      <c r="J2075" t="s">
        <v>272</v>
      </c>
      <c r="K2075" t="s">
        <v>41</v>
      </c>
      <c r="L2075" t="s">
        <v>10777</v>
      </c>
      <c r="M2075" t="s">
        <v>10778</v>
      </c>
      <c r="N2075" t="s">
        <v>847</v>
      </c>
      <c r="O2075" t="s">
        <v>100</v>
      </c>
      <c r="P2075" t="s">
        <v>10779</v>
      </c>
      <c r="Q2075" t="s">
        <v>102</v>
      </c>
      <c r="R2075" t="s">
        <v>407</v>
      </c>
      <c r="S2075">
        <v>2.85</v>
      </c>
      <c r="T2075">
        <v>4168</v>
      </c>
      <c r="U2075">
        <v>0</v>
      </c>
      <c r="V2075">
        <v>4168</v>
      </c>
    </row>
    <row r="2076" spans="1:22" x14ac:dyDescent="0.3">
      <c r="A2076">
        <v>148303</v>
      </c>
      <c r="B2076">
        <v>136159696</v>
      </c>
      <c r="C2076" t="s">
        <v>10780</v>
      </c>
      <c r="D2076" t="s">
        <v>10781</v>
      </c>
      <c r="E2076" t="s">
        <v>10067</v>
      </c>
      <c r="F2076" t="s">
        <v>844</v>
      </c>
      <c r="G2076" t="s">
        <v>172</v>
      </c>
      <c r="H2076" t="s">
        <v>173</v>
      </c>
      <c r="I2076" t="s">
        <v>34</v>
      </c>
      <c r="J2076" t="s">
        <v>272</v>
      </c>
      <c r="K2076" t="s">
        <v>41</v>
      </c>
      <c r="L2076" t="s">
        <v>10782</v>
      </c>
      <c r="M2076" t="s">
        <v>10783</v>
      </c>
      <c r="N2076" t="s">
        <v>847</v>
      </c>
      <c r="O2076" t="s">
        <v>100</v>
      </c>
      <c r="P2076" t="s">
        <v>10784</v>
      </c>
      <c r="Q2076" t="s">
        <v>381</v>
      </c>
      <c r="R2076" t="s">
        <v>10785</v>
      </c>
      <c r="S2076">
        <v>7.85</v>
      </c>
      <c r="T2076">
        <v>10109</v>
      </c>
      <c r="U2076">
        <v>0</v>
      </c>
      <c r="V2076">
        <v>10109</v>
      </c>
    </row>
    <row r="2077" spans="1:22" x14ac:dyDescent="0.3">
      <c r="A2077">
        <v>148303</v>
      </c>
      <c r="B2077">
        <v>136140021</v>
      </c>
      <c r="C2077" t="s">
        <v>10786</v>
      </c>
      <c r="D2077" t="s">
        <v>10787</v>
      </c>
      <c r="E2077" t="s">
        <v>10067</v>
      </c>
      <c r="F2077" t="s">
        <v>844</v>
      </c>
      <c r="G2077" t="s">
        <v>172</v>
      </c>
      <c r="H2077" t="s">
        <v>173</v>
      </c>
      <c r="I2077" t="s">
        <v>34</v>
      </c>
      <c r="J2077" t="s">
        <v>272</v>
      </c>
      <c r="K2077" t="s">
        <v>41</v>
      </c>
      <c r="L2077" t="s">
        <v>10788</v>
      </c>
      <c r="M2077" t="s">
        <v>10789</v>
      </c>
      <c r="N2077" t="s">
        <v>847</v>
      </c>
      <c r="O2077" t="s">
        <v>100</v>
      </c>
      <c r="P2077" t="s">
        <v>10790</v>
      </c>
      <c r="Q2077" t="s">
        <v>103</v>
      </c>
      <c r="R2077" t="s">
        <v>485</v>
      </c>
      <c r="S2077">
        <v>2.74</v>
      </c>
      <c r="T2077">
        <v>4168</v>
      </c>
      <c r="U2077">
        <v>0</v>
      </c>
      <c r="V2077">
        <v>4168</v>
      </c>
    </row>
    <row r="2078" spans="1:22" x14ac:dyDescent="0.3">
      <c r="A2078">
        <v>148303</v>
      </c>
      <c r="B2078">
        <v>136415167</v>
      </c>
      <c r="C2078" t="s">
        <v>10791</v>
      </c>
      <c r="D2078" t="s">
        <v>10792</v>
      </c>
      <c r="E2078" t="s">
        <v>10067</v>
      </c>
      <c r="F2078" t="s">
        <v>844</v>
      </c>
      <c r="G2078" t="s">
        <v>172</v>
      </c>
      <c r="H2078" t="s">
        <v>173</v>
      </c>
      <c r="I2078" t="s">
        <v>34</v>
      </c>
      <c r="J2078" t="s">
        <v>272</v>
      </c>
      <c r="K2078" t="s">
        <v>41</v>
      </c>
      <c r="L2078" t="s">
        <v>174</v>
      </c>
      <c r="M2078" t="s">
        <v>10793</v>
      </c>
      <c r="N2078" t="s">
        <v>847</v>
      </c>
      <c r="O2078" t="s">
        <v>100</v>
      </c>
      <c r="P2078" t="s">
        <v>10794</v>
      </c>
      <c r="Q2078" t="s">
        <v>190</v>
      </c>
      <c r="R2078" t="s">
        <v>836</v>
      </c>
      <c r="S2078">
        <v>3.65</v>
      </c>
      <c r="T2078">
        <v>7129</v>
      </c>
      <c r="U2078">
        <v>0</v>
      </c>
      <c r="V2078">
        <v>7129</v>
      </c>
    </row>
    <row r="2079" spans="1:22" x14ac:dyDescent="0.3">
      <c r="A2079">
        <v>148303</v>
      </c>
      <c r="B2079">
        <v>136434916</v>
      </c>
      <c r="C2079" t="s">
        <v>10795</v>
      </c>
      <c r="D2079" t="s">
        <v>10796</v>
      </c>
      <c r="E2079" t="s">
        <v>10067</v>
      </c>
      <c r="F2079" t="s">
        <v>844</v>
      </c>
      <c r="G2079" t="s">
        <v>172</v>
      </c>
      <c r="H2079" t="s">
        <v>173</v>
      </c>
      <c r="I2079" t="s">
        <v>34</v>
      </c>
      <c r="J2079" t="s">
        <v>272</v>
      </c>
      <c r="K2079" t="s">
        <v>41</v>
      </c>
      <c r="L2079" t="s">
        <v>174</v>
      </c>
      <c r="M2079" t="s">
        <v>10797</v>
      </c>
      <c r="N2079" t="s">
        <v>847</v>
      </c>
      <c r="O2079" t="s">
        <v>100</v>
      </c>
      <c r="P2079" t="s">
        <v>10798</v>
      </c>
      <c r="Q2079" t="s">
        <v>401</v>
      </c>
      <c r="R2079" t="s">
        <v>10799</v>
      </c>
      <c r="S2079">
        <v>9.18</v>
      </c>
      <c r="T2079">
        <v>8930</v>
      </c>
      <c r="U2079">
        <v>0</v>
      </c>
      <c r="V2079">
        <v>8930</v>
      </c>
    </row>
    <row r="2080" spans="1:22" x14ac:dyDescent="0.3">
      <c r="A2080">
        <v>148303</v>
      </c>
      <c r="B2080">
        <v>136498976</v>
      </c>
      <c r="C2080" t="s">
        <v>10800</v>
      </c>
      <c r="D2080" t="s">
        <v>10801</v>
      </c>
      <c r="E2080" t="s">
        <v>10067</v>
      </c>
      <c r="F2080" t="s">
        <v>844</v>
      </c>
      <c r="G2080" t="s">
        <v>172</v>
      </c>
      <c r="H2080" t="s">
        <v>173</v>
      </c>
      <c r="I2080" t="s">
        <v>34</v>
      </c>
      <c r="J2080" t="s">
        <v>272</v>
      </c>
      <c r="K2080" t="s">
        <v>46</v>
      </c>
      <c r="L2080" t="s">
        <v>261</v>
      </c>
      <c r="M2080" t="s">
        <v>10802</v>
      </c>
      <c r="N2080" t="s">
        <v>847</v>
      </c>
      <c r="O2080" t="s">
        <v>100</v>
      </c>
      <c r="P2080" t="s">
        <v>10803</v>
      </c>
      <c r="Q2080" t="s">
        <v>52</v>
      </c>
      <c r="R2080" t="s">
        <v>10804</v>
      </c>
      <c r="S2080">
        <v>3.65</v>
      </c>
      <c r="T2080">
        <v>12587</v>
      </c>
      <c r="U2080">
        <v>0</v>
      </c>
      <c r="V2080">
        <v>12587</v>
      </c>
    </row>
    <row r="2081" spans="1:22" x14ac:dyDescent="0.3">
      <c r="A2081">
        <v>148303</v>
      </c>
      <c r="B2081">
        <v>136513200</v>
      </c>
      <c r="C2081" t="s">
        <v>10805</v>
      </c>
      <c r="D2081" t="s">
        <v>10806</v>
      </c>
      <c r="E2081" t="s">
        <v>10067</v>
      </c>
      <c r="F2081" t="s">
        <v>844</v>
      </c>
      <c r="G2081" t="s">
        <v>172</v>
      </c>
      <c r="H2081" t="s">
        <v>173</v>
      </c>
      <c r="I2081" t="s">
        <v>34</v>
      </c>
      <c r="J2081" t="s">
        <v>272</v>
      </c>
      <c r="K2081" t="s">
        <v>41</v>
      </c>
      <c r="L2081" t="s">
        <v>174</v>
      </c>
      <c r="M2081" t="s">
        <v>10807</v>
      </c>
      <c r="N2081" t="s">
        <v>847</v>
      </c>
      <c r="O2081" t="s">
        <v>100</v>
      </c>
      <c r="P2081" t="s">
        <v>10808</v>
      </c>
      <c r="Q2081" t="s">
        <v>106</v>
      </c>
      <c r="R2081" t="s">
        <v>783</v>
      </c>
      <c r="S2081">
        <v>5.83</v>
      </c>
      <c r="T2081">
        <v>4537</v>
      </c>
      <c r="U2081">
        <v>0</v>
      </c>
      <c r="V2081">
        <v>4537</v>
      </c>
    </row>
    <row r="2082" spans="1:22" x14ac:dyDescent="0.3">
      <c r="A2082">
        <v>148303</v>
      </c>
      <c r="B2082">
        <v>136502974</v>
      </c>
      <c r="C2082" t="s">
        <v>10809</v>
      </c>
      <c r="D2082" t="s">
        <v>10810</v>
      </c>
      <c r="E2082" t="s">
        <v>10067</v>
      </c>
      <c r="F2082" t="s">
        <v>844</v>
      </c>
      <c r="G2082" t="s">
        <v>172</v>
      </c>
      <c r="H2082" t="s">
        <v>173</v>
      </c>
      <c r="I2082" t="s">
        <v>34</v>
      </c>
      <c r="J2082" t="s">
        <v>272</v>
      </c>
      <c r="K2082" t="s">
        <v>41</v>
      </c>
      <c r="L2082" t="s">
        <v>174</v>
      </c>
      <c r="M2082" t="s">
        <v>10811</v>
      </c>
      <c r="N2082" t="s">
        <v>847</v>
      </c>
      <c r="O2082" t="s">
        <v>100</v>
      </c>
      <c r="P2082" t="s">
        <v>10812</v>
      </c>
      <c r="Q2082" t="s">
        <v>238</v>
      </c>
      <c r="R2082" t="s">
        <v>10813</v>
      </c>
      <c r="S2082">
        <v>1.22</v>
      </c>
      <c r="T2082">
        <v>6125</v>
      </c>
      <c r="U2082">
        <v>0</v>
      </c>
      <c r="V2082">
        <v>6125</v>
      </c>
    </row>
    <row r="2083" spans="1:22" x14ac:dyDescent="0.3">
      <c r="A2083">
        <v>148303</v>
      </c>
      <c r="B2083">
        <v>136491682</v>
      </c>
      <c r="C2083" t="s">
        <v>10814</v>
      </c>
      <c r="D2083" t="s">
        <v>10815</v>
      </c>
      <c r="E2083" t="s">
        <v>10067</v>
      </c>
      <c r="F2083" t="s">
        <v>844</v>
      </c>
      <c r="G2083" t="s">
        <v>172</v>
      </c>
      <c r="H2083" t="s">
        <v>173</v>
      </c>
      <c r="I2083" t="s">
        <v>34</v>
      </c>
      <c r="J2083" t="s">
        <v>272</v>
      </c>
      <c r="K2083" t="s">
        <v>41</v>
      </c>
      <c r="L2083" t="s">
        <v>174</v>
      </c>
      <c r="M2083" t="s">
        <v>10816</v>
      </c>
      <c r="N2083" t="s">
        <v>847</v>
      </c>
      <c r="O2083" t="s">
        <v>100</v>
      </c>
      <c r="P2083" t="s">
        <v>10817</v>
      </c>
      <c r="Q2083" t="s">
        <v>43</v>
      </c>
      <c r="R2083" t="s">
        <v>10818</v>
      </c>
      <c r="S2083">
        <v>8.77</v>
      </c>
      <c r="T2083">
        <v>9782</v>
      </c>
      <c r="U2083">
        <v>0</v>
      </c>
      <c r="V2083">
        <v>9782</v>
      </c>
    </row>
    <row r="2084" spans="1:22" x14ac:dyDescent="0.3">
      <c r="A2084">
        <v>148303</v>
      </c>
      <c r="B2084">
        <v>136519839</v>
      </c>
      <c r="C2084" t="s">
        <v>10819</v>
      </c>
      <c r="D2084" t="s">
        <v>10820</v>
      </c>
      <c r="E2084" t="s">
        <v>10067</v>
      </c>
      <c r="F2084" t="s">
        <v>844</v>
      </c>
      <c r="G2084" t="s">
        <v>172</v>
      </c>
      <c r="H2084" t="s">
        <v>173</v>
      </c>
      <c r="I2084" t="s">
        <v>34</v>
      </c>
      <c r="J2084" t="s">
        <v>272</v>
      </c>
      <c r="K2084" t="s">
        <v>41</v>
      </c>
      <c r="L2084" t="s">
        <v>174</v>
      </c>
      <c r="M2084" t="s">
        <v>10821</v>
      </c>
      <c r="N2084" t="s">
        <v>847</v>
      </c>
      <c r="O2084" t="s">
        <v>100</v>
      </c>
      <c r="P2084" t="s">
        <v>10822</v>
      </c>
      <c r="Q2084" t="s">
        <v>221</v>
      </c>
      <c r="R2084" t="s">
        <v>10823</v>
      </c>
      <c r="S2084">
        <v>1.02</v>
      </c>
      <c r="T2084">
        <v>5992</v>
      </c>
      <c r="U2084">
        <v>0</v>
      </c>
      <c r="V2084">
        <v>5992</v>
      </c>
    </row>
    <row r="2085" spans="1:22" x14ac:dyDescent="0.3">
      <c r="A2085">
        <v>148303</v>
      </c>
      <c r="B2085">
        <v>136402171</v>
      </c>
      <c r="C2085" t="s">
        <v>10824</v>
      </c>
      <c r="D2085" t="s">
        <v>10825</v>
      </c>
      <c r="E2085" t="s">
        <v>10067</v>
      </c>
      <c r="F2085" t="s">
        <v>844</v>
      </c>
      <c r="G2085" t="s">
        <v>172</v>
      </c>
      <c r="H2085" t="s">
        <v>173</v>
      </c>
      <c r="I2085" t="s">
        <v>34</v>
      </c>
      <c r="J2085" t="s">
        <v>272</v>
      </c>
      <c r="K2085" t="s">
        <v>41</v>
      </c>
      <c r="L2085" t="s">
        <v>174</v>
      </c>
      <c r="M2085" t="s">
        <v>10826</v>
      </c>
      <c r="N2085" t="s">
        <v>847</v>
      </c>
      <c r="O2085" t="s">
        <v>100</v>
      </c>
      <c r="P2085" t="s">
        <v>10827</v>
      </c>
      <c r="Q2085" t="s">
        <v>246</v>
      </c>
      <c r="R2085" t="s">
        <v>478</v>
      </c>
      <c r="S2085">
        <v>3.2</v>
      </c>
      <c r="T2085">
        <v>12587</v>
      </c>
      <c r="U2085">
        <v>0</v>
      </c>
      <c r="V2085">
        <v>12587</v>
      </c>
    </row>
    <row r="2086" spans="1:22" x14ac:dyDescent="0.3">
      <c r="A2086">
        <v>148303</v>
      </c>
      <c r="B2086">
        <v>136415597</v>
      </c>
      <c r="C2086" t="s">
        <v>10828</v>
      </c>
      <c r="D2086" t="s">
        <v>10829</v>
      </c>
      <c r="E2086" t="s">
        <v>10067</v>
      </c>
      <c r="F2086" t="s">
        <v>844</v>
      </c>
      <c r="G2086" t="s">
        <v>172</v>
      </c>
      <c r="H2086" t="s">
        <v>173</v>
      </c>
      <c r="I2086" t="s">
        <v>34</v>
      </c>
      <c r="J2086" t="s">
        <v>272</v>
      </c>
      <c r="K2086" t="s">
        <v>41</v>
      </c>
      <c r="L2086" t="s">
        <v>174</v>
      </c>
      <c r="M2086" t="s">
        <v>10830</v>
      </c>
      <c r="N2086" t="s">
        <v>847</v>
      </c>
      <c r="O2086" t="s">
        <v>100</v>
      </c>
      <c r="P2086" t="s">
        <v>10831</v>
      </c>
      <c r="Q2086" t="s">
        <v>54</v>
      </c>
      <c r="R2086" t="s">
        <v>824</v>
      </c>
      <c r="S2086">
        <v>3.26</v>
      </c>
      <c r="T2086">
        <v>10722</v>
      </c>
      <c r="U2086">
        <v>0</v>
      </c>
      <c r="V2086">
        <v>10722</v>
      </c>
    </row>
    <row r="2087" spans="1:22" x14ac:dyDescent="0.3">
      <c r="A2087">
        <v>148303</v>
      </c>
      <c r="B2087">
        <v>136313048</v>
      </c>
      <c r="C2087" t="s">
        <v>10832</v>
      </c>
      <c r="D2087" t="s">
        <v>10833</v>
      </c>
      <c r="E2087" t="s">
        <v>10067</v>
      </c>
      <c r="F2087" t="s">
        <v>844</v>
      </c>
      <c r="G2087" t="s">
        <v>172</v>
      </c>
      <c r="H2087" t="s">
        <v>173</v>
      </c>
      <c r="I2087" t="s">
        <v>34</v>
      </c>
      <c r="J2087" t="s">
        <v>272</v>
      </c>
      <c r="K2087" t="s">
        <v>41</v>
      </c>
      <c r="L2087" t="s">
        <v>174</v>
      </c>
      <c r="M2087" t="s">
        <v>10834</v>
      </c>
      <c r="N2087" t="s">
        <v>847</v>
      </c>
      <c r="O2087" t="s">
        <v>100</v>
      </c>
      <c r="P2087" t="s">
        <v>10835</v>
      </c>
      <c r="Q2087" t="s">
        <v>79</v>
      </c>
      <c r="R2087" t="s">
        <v>10836</v>
      </c>
      <c r="S2087">
        <v>1.76</v>
      </c>
      <c r="T2087">
        <v>8230</v>
      </c>
      <c r="U2087">
        <v>0</v>
      </c>
      <c r="V2087">
        <v>8230</v>
      </c>
    </row>
    <row r="2088" spans="1:22" x14ac:dyDescent="0.3">
      <c r="A2088">
        <v>148303</v>
      </c>
      <c r="B2088">
        <v>136487209</v>
      </c>
      <c r="C2088" t="s">
        <v>10837</v>
      </c>
      <c r="D2088" t="s">
        <v>10838</v>
      </c>
      <c r="E2088" t="s">
        <v>10067</v>
      </c>
      <c r="F2088" t="s">
        <v>844</v>
      </c>
      <c r="G2088" t="s">
        <v>172</v>
      </c>
      <c r="H2088" t="s">
        <v>173</v>
      </c>
      <c r="I2088" t="s">
        <v>34</v>
      </c>
      <c r="J2088" t="s">
        <v>272</v>
      </c>
      <c r="K2088" t="s">
        <v>41</v>
      </c>
      <c r="L2088" t="s">
        <v>174</v>
      </c>
      <c r="M2088" t="s">
        <v>10839</v>
      </c>
      <c r="N2088" t="s">
        <v>847</v>
      </c>
      <c r="O2088" t="s">
        <v>100</v>
      </c>
      <c r="P2088" t="s">
        <v>10840</v>
      </c>
      <c r="Q2088" t="s">
        <v>197</v>
      </c>
      <c r="R2088" t="s">
        <v>335</v>
      </c>
      <c r="S2088">
        <v>3.21</v>
      </c>
      <c r="T2088">
        <v>7224</v>
      </c>
      <c r="U2088">
        <v>0</v>
      </c>
      <c r="V2088">
        <v>7224</v>
      </c>
    </row>
    <row r="2089" spans="1:22" x14ac:dyDescent="0.3">
      <c r="A2089">
        <v>148303</v>
      </c>
      <c r="B2089">
        <v>136450757</v>
      </c>
      <c r="C2089" t="s">
        <v>10841</v>
      </c>
      <c r="D2089" t="s">
        <v>10842</v>
      </c>
      <c r="E2089" t="s">
        <v>10067</v>
      </c>
      <c r="F2089" t="s">
        <v>844</v>
      </c>
      <c r="G2089" t="s">
        <v>172</v>
      </c>
      <c r="H2089" t="s">
        <v>173</v>
      </c>
      <c r="I2089" t="s">
        <v>34</v>
      </c>
      <c r="J2089" t="s">
        <v>272</v>
      </c>
      <c r="K2089" t="s">
        <v>41</v>
      </c>
      <c r="L2089" t="s">
        <v>174</v>
      </c>
      <c r="M2089" t="s">
        <v>10843</v>
      </c>
      <c r="N2089" t="s">
        <v>847</v>
      </c>
      <c r="O2089" t="s">
        <v>100</v>
      </c>
      <c r="P2089" t="s">
        <v>10844</v>
      </c>
      <c r="Q2089" t="s">
        <v>49</v>
      </c>
      <c r="R2089" t="s">
        <v>673</v>
      </c>
      <c r="S2089">
        <v>4.2699999999999996</v>
      </c>
      <c r="T2089">
        <v>8106</v>
      </c>
      <c r="U2089">
        <v>0</v>
      </c>
      <c r="V2089">
        <v>8106</v>
      </c>
    </row>
    <row r="2090" spans="1:22" x14ac:dyDescent="0.3">
      <c r="A2090">
        <v>148303</v>
      </c>
      <c r="B2090">
        <v>136458702</v>
      </c>
      <c r="C2090" t="s">
        <v>10845</v>
      </c>
      <c r="D2090" t="s">
        <v>10846</v>
      </c>
      <c r="E2090" t="s">
        <v>10067</v>
      </c>
      <c r="F2090" t="s">
        <v>844</v>
      </c>
      <c r="G2090" t="s">
        <v>172</v>
      </c>
      <c r="H2090" t="s">
        <v>173</v>
      </c>
      <c r="I2090" t="s">
        <v>34</v>
      </c>
      <c r="J2090" t="s">
        <v>272</v>
      </c>
      <c r="K2090" t="s">
        <v>41</v>
      </c>
      <c r="L2090" t="s">
        <v>174</v>
      </c>
      <c r="M2090" t="s">
        <v>10847</v>
      </c>
      <c r="N2090" t="s">
        <v>847</v>
      </c>
      <c r="O2090" t="s">
        <v>100</v>
      </c>
      <c r="P2090" t="s">
        <v>10848</v>
      </c>
      <c r="Q2090" t="s">
        <v>189</v>
      </c>
      <c r="R2090" t="s">
        <v>10849</v>
      </c>
      <c r="S2090">
        <v>5.86</v>
      </c>
      <c r="T2090">
        <v>4537</v>
      </c>
      <c r="U2090">
        <v>0</v>
      </c>
      <c r="V2090">
        <v>4537</v>
      </c>
    </row>
    <row r="2091" spans="1:22" x14ac:dyDescent="0.3">
      <c r="A2091">
        <v>148303</v>
      </c>
      <c r="B2091">
        <v>136036481</v>
      </c>
      <c r="C2091" t="s">
        <v>10850</v>
      </c>
      <c r="D2091" t="s">
        <v>10851</v>
      </c>
      <c r="E2091" t="s">
        <v>10067</v>
      </c>
      <c r="F2091" t="s">
        <v>844</v>
      </c>
      <c r="G2091" t="s">
        <v>172</v>
      </c>
      <c r="H2091" t="s">
        <v>173</v>
      </c>
      <c r="I2091" t="s">
        <v>34</v>
      </c>
      <c r="J2091" t="s">
        <v>272</v>
      </c>
      <c r="K2091" t="s">
        <v>41</v>
      </c>
      <c r="L2091" t="s">
        <v>10852</v>
      </c>
      <c r="M2091" t="s">
        <v>10853</v>
      </c>
      <c r="N2091" t="s">
        <v>847</v>
      </c>
      <c r="O2091" t="s">
        <v>100</v>
      </c>
      <c r="P2091" t="s">
        <v>10854</v>
      </c>
      <c r="Q2091" t="s">
        <v>102</v>
      </c>
      <c r="R2091" t="s">
        <v>341</v>
      </c>
      <c r="S2091">
        <v>1.99</v>
      </c>
      <c r="T2091">
        <v>4168</v>
      </c>
      <c r="U2091">
        <v>0</v>
      </c>
      <c r="V2091">
        <v>4168</v>
      </c>
    </row>
    <row r="2092" spans="1:22" x14ac:dyDescent="0.3">
      <c r="A2092">
        <v>148303</v>
      </c>
      <c r="B2092">
        <v>136232313</v>
      </c>
      <c r="C2092" t="s">
        <v>10855</v>
      </c>
      <c r="D2092" t="s">
        <v>10856</v>
      </c>
      <c r="E2092" t="s">
        <v>10067</v>
      </c>
      <c r="F2092" t="s">
        <v>844</v>
      </c>
      <c r="G2092" t="s">
        <v>172</v>
      </c>
      <c r="H2092" t="s">
        <v>173</v>
      </c>
      <c r="I2092" t="s">
        <v>34</v>
      </c>
      <c r="J2092" t="s">
        <v>272</v>
      </c>
      <c r="K2092" t="s">
        <v>41</v>
      </c>
      <c r="L2092" t="s">
        <v>10857</v>
      </c>
      <c r="M2092" t="s">
        <v>10858</v>
      </c>
      <c r="N2092" t="s">
        <v>847</v>
      </c>
      <c r="O2092" t="s">
        <v>100</v>
      </c>
      <c r="P2092" t="s">
        <v>10859</v>
      </c>
      <c r="Q2092" t="s">
        <v>74</v>
      </c>
      <c r="R2092" t="s">
        <v>482</v>
      </c>
      <c r="S2092">
        <v>1.97</v>
      </c>
      <c r="T2092">
        <v>7945</v>
      </c>
      <c r="U2092">
        <v>0</v>
      </c>
      <c r="V2092">
        <v>7945</v>
      </c>
    </row>
    <row r="2093" spans="1:22" x14ac:dyDescent="0.3">
      <c r="A2093">
        <v>148303</v>
      </c>
      <c r="B2093">
        <v>136376043</v>
      </c>
      <c r="C2093" t="s">
        <v>10860</v>
      </c>
      <c r="D2093" t="s">
        <v>10861</v>
      </c>
      <c r="E2093" t="s">
        <v>10067</v>
      </c>
      <c r="F2093" t="s">
        <v>844</v>
      </c>
      <c r="G2093" t="s">
        <v>172</v>
      </c>
      <c r="H2093" t="s">
        <v>173</v>
      </c>
      <c r="I2093" t="s">
        <v>34</v>
      </c>
      <c r="J2093" t="s">
        <v>272</v>
      </c>
      <c r="K2093" t="s">
        <v>46</v>
      </c>
      <c r="L2093" t="s">
        <v>242</v>
      </c>
      <c r="M2093" t="s">
        <v>10862</v>
      </c>
      <c r="N2093" t="s">
        <v>847</v>
      </c>
      <c r="O2093" t="s">
        <v>100</v>
      </c>
      <c r="P2093" t="s">
        <v>10863</v>
      </c>
      <c r="Q2093" t="s">
        <v>97</v>
      </c>
      <c r="R2093" t="s">
        <v>806</v>
      </c>
      <c r="S2093">
        <v>1.62</v>
      </c>
      <c r="T2093">
        <v>7015</v>
      </c>
      <c r="U2093">
        <v>0</v>
      </c>
      <c r="V2093">
        <v>7015</v>
      </c>
    </row>
    <row r="2094" spans="1:22" x14ac:dyDescent="0.3">
      <c r="A2094">
        <v>148303</v>
      </c>
      <c r="B2094">
        <v>136490531</v>
      </c>
      <c r="C2094" t="s">
        <v>10864</v>
      </c>
      <c r="D2094" t="s">
        <v>10865</v>
      </c>
      <c r="E2094" t="s">
        <v>10067</v>
      </c>
      <c r="F2094" t="s">
        <v>844</v>
      </c>
      <c r="G2094" t="s">
        <v>172</v>
      </c>
      <c r="H2094" t="s">
        <v>173</v>
      </c>
      <c r="I2094" t="s">
        <v>34</v>
      </c>
      <c r="J2094" t="s">
        <v>272</v>
      </c>
      <c r="K2094" t="s">
        <v>41</v>
      </c>
      <c r="L2094" t="s">
        <v>174</v>
      </c>
      <c r="M2094" t="s">
        <v>10866</v>
      </c>
      <c r="N2094" t="s">
        <v>847</v>
      </c>
      <c r="O2094" t="s">
        <v>100</v>
      </c>
      <c r="P2094" t="s">
        <v>10867</v>
      </c>
      <c r="Q2094" t="s">
        <v>68</v>
      </c>
      <c r="R2094" t="s">
        <v>10868</v>
      </c>
      <c r="S2094">
        <v>3.33</v>
      </c>
      <c r="T2094">
        <v>8022</v>
      </c>
      <c r="U2094">
        <v>0</v>
      </c>
      <c r="V2094">
        <v>8022</v>
      </c>
    </row>
    <row r="2095" spans="1:22" x14ac:dyDescent="0.3">
      <c r="A2095">
        <v>148303</v>
      </c>
      <c r="B2095">
        <v>136510129</v>
      </c>
      <c r="C2095" t="s">
        <v>10869</v>
      </c>
      <c r="D2095" t="s">
        <v>10870</v>
      </c>
      <c r="E2095" t="s">
        <v>10067</v>
      </c>
      <c r="F2095" t="s">
        <v>844</v>
      </c>
      <c r="G2095" t="s">
        <v>172</v>
      </c>
      <c r="H2095" t="s">
        <v>173</v>
      </c>
      <c r="I2095" t="s">
        <v>34</v>
      </c>
      <c r="J2095" t="s">
        <v>272</v>
      </c>
      <c r="K2095" t="s">
        <v>41</v>
      </c>
      <c r="L2095" t="s">
        <v>174</v>
      </c>
      <c r="M2095" t="s">
        <v>10871</v>
      </c>
      <c r="N2095" t="s">
        <v>847</v>
      </c>
      <c r="O2095" t="s">
        <v>100</v>
      </c>
      <c r="P2095" t="s">
        <v>10872</v>
      </c>
      <c r="Q2095" t="s">
        <v>200</v>
      </c>
      <c r="R2095" t="s">
        <v>10873</v>
      </c>
      <c r="S2095">
        <v>1.1599999999999999</v>
      </c>
      <c r="T2095">
        <v>7146</v>
      </c>
      <c r="U2095">
        <v>0</v>
      </c>
      <c r="V2095">
        <v>7146</v>
      </c>
    </row>
    <row r="2096" spans="1:22" x14ac:dyDescent="0.3">
      <c r="A2096">
        <v>148303</v>
      </c>
      <c r="B2096">
        <v>136359906</v>
      </c>
      <c r="C2096" t="s">
        <v>10874</v>
      </c>
      <c r="D2096" t="s">
        <v>10875</v>
      </c>
      <c r="E2096" t="s">
        <v>10067</v>
      </c>
      <c r="F2096" t="s">
        <v>844</v>
      </c>
      <c r="G2096" t="s">
        <v>172</v>
      </c>
      <c r="H2096" t="s">
        <v>173</v>
      </c>
      <c r="I2096" t="s">
        <v>34</v>
      </c>
      <c r="J2096" t="s">
        <v>272</v>
      </c>
      <c r="K2096" t="s">
        <v>41</v>
      </c>
      <c r="L2096" t="s">
        <v>174</v>
      </c>
      <c r="M2096" t="s">
        <v>10876</v>
      </c>
      <c r="N2096" t="s">
        <v>847</v>
      </c>
      <c r="O2096" t="s">
        <v>100</v>
      </c>
      <c r="P2096" t="s">
        <v>10877</v>
      </c>
      <c r="Q2096" t="s">
        <v>90</v>
      </c>
      <c r="R2096" t="s">
        <v>10878</v>
      </c>
      <c r="S2096">
        <v>1.5</v>
      </c>
      <c r="T2096">
        <v>6064</v>
      </c>
      <c r="U2096">
        <v>0</v>
      </c>
      <c r="V2096">
        <v>6064</v>
      </c>
    </row>
    <row r="2097" spans="1:22" x14ac:dyDescent="0.3">
      <c r="A2097">
        <v>148303</v>
      </c>
      <c r="B2097">
        <v>136345856</v>
      </c>
      <c r="C2097" t="s">
        <v>10879</v>
      </c>
      <c r="D2097" t="s">
        <v>10880</v>
      </c>
      <c r="E2097" t="s">
        <v>10067</v>
      </c>
      <c r="F2097" t="s">
        <v>844</v>
      </c>
      <c r="G2097" t="s">
        <v>172</v>
      </c>
      <c r="H2097" t="s">
        <v>173</v>
      </c>
      <c r="I2097" t="s">
        <v>34</v>
      </c>
      <c r="J2097" t="s">
        <v>272</v>
      </c>
      <c r="K2097" t="s">
        <v>41</v>
      </c>
      <c r="L2097" t="s">
        <v>174</v>
      </c>
      <c r="M2097" t="s">
        <v>10881</v>
      </c>
      <c r="N2097" t="s">
        <v>847</v>
      </c>
      <c r="O2097" t="s">
        <v>100</v>
      </c>
      <c r="P2097" t="s">
        <v>10882</v>
      </c>
      <c r="Q2097" t="s">
        <v>76</v>
      </c>
      <c r="R2097" t="s">
        <v>709</v>
      </c>
      <c r="S2097">
        <v>1.4</v>
      </c>
      <c r="T2097">
        <v>7146</v>
      </c>
      <c r="U2097">
        <v>0</v>
      </c>
      <c r="V2097">
        <v>7146</v>
      </c>
    </row>
    <row r="2098" spans="1:22" x14ac:dyDescent="0.3">
      <c r="A2098">
        <v>148303</v>
      </c>
      <c r="B2098">
        <v>136344676</v>
      </c>
      <c r="C2098" t="s">
        <v>10883</v>
      </c>
      <c r="D2098" t="s">
        <v>10884</v>
      </c>
      <c r="E2098" t="s">
        <v>10067</v>
      </c>
      <c r="F2098" t="s">
        <v>844</v>
      </c>
      <c r="G2098" t="s">
        <v>172</v>
      </c>
      <c r="H2098" t="s">
        <v>173</v>
      </c>
      <c r="I2098" t="s">
        <v>34</v>
      </c>
      <c r="J2098" t="s">
        <v>272</v>
      </c>
      <c r="K2098" t="s">
        <v>41</v>
      </c>
      <c r="L2098" t="s">
        <v>174</v>
      </c>
      <c r="M2098" t="s">
        <v>10885</v>
      </c>
      <c r="N2098" t="s">
        <v>847</v>
      </c>
      <c r="O2098" t="s">
        <v>100</v>
      </c>
      <c r="P2098" t="s">
        <v>10886</v>
      </c>
      <c r="Q2098" t="s">
        <v>72</v>
      </c>
      <c r="R2098" t="s">
        <v>10887</v>
      </c>
      <c r="S2098">
        <v>2.85</v>
      </c>
      <c r="T2098">
        <v>8101</v>
      </c>
      <c r="U2098">
        <v>0</v>
      </c>
      <c r="V2098">
        <v>8101</v>
      </c>
    </row>
    <row r="2099" spans="1:22" x14ac:dyDescent="0.3">
      <c r="A2099">
        <v>148303</v>
      </c>
      <c r="B2099">
        <v>136467158</v>
      </c>
      <c r="C2099" t="s">
        <v>10888</v>
      </c>
      <c r="D2099" t="s">
        <v>10889</v>
      </c>
      <c r="E2099" t="s">
        <v>10067</v>
      </c>
      <c r="F2099" t="s">
        <v>844</v>
      </c>
      <c r="G2099" t="s">
        <v>172</v>
      </c>
      <c r="H2099" t="s">
        <v>173</v>
      </c>
      <c r="I2099" t="s">
        <v>34</v>
      </c>
      <c r="J2099" t="s">
        <v>272</v>
      </c>
      <c r="K2099" t="s">
        <v>41</v>
      </c>
      <c r="L2099" t="s">
        <v>174</v>
      </c>
      <c r="M2099" t="s">
        <v>10890</v>
      </c>
      <c r="N2099" t="s">
        <v>847</v>
      </c>
      <c r="O2099" t="s">
        <v>100</v>
      </c>
      <c r="P2099" t="s">
        <v>10891</v>
      </c>
      <c r="Q2099" t="s">
        <v>92</v>
      </c>
      <c r="R2099" t="s">
        <v>682</v>
      </c>
      <c r="S2099">
        <v>1.45</v>
      </c>
      <c r="T2099">
        <v>6064</v>
      </c>
      <c r="U2099">
        <v>0</v>
      </c>
      <c r="V2099">
        <v>6064</v>
      </c>
    </row>
    <row r="2100" spans="1:22" x14ac:dyDescent="0.3">
      <c r="A2100">
        <v>148303</v>
      </c>
      <c r="B2100">
        <v>136469411</v>
      </c>
      <c r="C2100" t="s">
        <v>10892</v>
      </c>
      <c r="D2100" t="s">
        <v>10893</v>
      </c>
      <c r="E2100" t="s">
        <v>10067</v>
      </c>
      <c r="F2100" t="s">
        <v>844</v>
      </c>
      <c r="G2100" t="s">
        <v>172</v>
      </c>
      <c r="H2100" t="s">
        <v>173</v>
      </c>
      <c r="I2100" t="s">
        <v>34</v>
      </c>
      <c r="J2100" t="s">
        <v>272</v>
      </c>
      <c r="K2100" t="s">
        <v>41</v>
      </c>
      <c r="L2100" t="s">
        <v>174</v>
      </c>
      <c r="M2100" t="s">
        <v>10894</v>
      </c>
      <c r="N2100" t="s">
        <v>847</v>
      </c>
      <c r="O2100" t="s">
        <v>100</v>
      </c>
      <c r="P2100" t="s">
        <v>10895</v>
      </c>
      <c r="Q2100" t="s">
        <v>71</v>
      </c>
      <c r="R2100" t="s">
        <v>10896</v>
      </c>
      <c r="S2100">
        <v>3.46</v>
      </c>
      <c r="T2100">
        <v>7449</v>
      </c>
      <c r="U2100">
        <v>0</v>
      </c>
      <c r="V2100">
        <v>7449</v>
      </c>
    </row>
    <row r="2101" spans="1:22" x14ac:dyDescent="0.3">
      <c r="A2101">
        <v>148303</v>
      </c>
      <c r="B2101">
        <v>136063433</v>
      </c>
      <c r="C2101" t="s">
        <v>10897</v>
      </c>
      <c r="D2101" t="s">
        <v>10898</v>
      </c>
      <c r="E2101" t="s">
        <v>10067</v>
      </c>
      <c r="F2101" t="s">
        <v>844</v>
      </c>
      <c r="G2101" t="s">
        <v>172</v>
      </c>
      <c r="H2101" t="s">
        <v>173</v>
      </c>
      <c r="I2101" t="s">
        <v>34</v>
      </c>
      <c r="J2101" t="s">
        <v>272</v>
      </c>
      <c r="K2101" t="s">
        <v>41</v>
      </c>
      <c r="L2101" t="s">
        <v>10899</v>
      </c>
      <c r="M2101" t="s">
        <v>10900</v>
      </c>
      <c r="N2101" t="s">
        <v>847</v>
      </c>
      <c r="O2101" t="s">
        <v>100</v>
      </c>
      <c r="P2101" t="s">
        <v>10901</v>
      </c>
      <c r="Q2101" t="s">
        <v>212</v>
      </c>
      <c r="R2101" t="s">
        <v>825</v>
      </c>
      <c r="S2101">
        <v>6.09</v>
      </c>
      <c r="T2101">
        <v>10447</v>
      </c>
      <c r="U2101">
        <v>0</v>
      </c>
      <c r="V2101">
        <v>10447</v>
      </c>
    </row>
    <row r="2102" spans="1:22" x14ac:dyDescent="0.3">
      <c r="A2102">
        <v>148303</v>
      </c>
      <c r="B2102">
        <v>136171614</v>
      </c>
      <c r="C2102" t="s">
        <v>10902</v>
      </c>
      <c r="D2102" t="s">
        <v>10903</v>
      </c>
      <c r="E2102" t="s">
        <v>10067</v>
      </c>
      <c r="F2102" t="s">
        <v>844</v>
      </c>
      <c r="G2102" t="s">
        <v>172</v>
      </c>
      <c r="H2102" t="s">
        <v>173</v>
      </c>
      <c r="I2102" t="s">
        <v>34</v>
      </c>
      <c r="J2102" t="s">
        <v>272</v>
      </c>
      <c r="K2102" t="s">
        <v>41</v>
      </c>
      <c r="L2102" t="s">
        <v>10904</v>
      </c>
      <c r="M2102" t="s">
        <v>10905</v>
      </c>
      <c r="N2102" t="s">
        <v>847</v>
      </c>
      <c r="O2102" t="s">
        <v>100</v>
      </c>
      <c r="P2102" t="s">
        <v>10906</v>
      </c>
      <c r="Q2102" t="s">
        <v>59</v>
      </c>
      <c r="R2102" t="s">
        <v>364</v>
      </c>
      <c r="S2102">
        <v>3.3</v>
      </c>
      <c r="T2102">
        <v>8646</v>
      </c>
      <c r="U2102">
        <v>0</v>
      </c>
      <c r="V2102">
        <v>8646</v>
      </c>
    </row>
    <row r="2103" spans="1:22" x14ac:dyDescent="0.3">
      <c r="A2103">
        <v>148303</v>
      </c>
      <c r="B2103">
        <v>136253617</v>
      </c>
      <c r="C2103" t="s">
        <v>10907</v>
      </c>
      <c r="D2103" t="s">
        <v>10908</v>
      </c>
      <c r="E2103" t="s">
        <v>10067</v>
      </c>
      <c r="F2103" t="s">
        <v>844</v>
      </c>
      <c r="G2103" t="s">
        <v>172</v>
      </c>
      <c r="H2103" t="s">
        <v>173</v>
      </c>
      <c r="I2103" t="s">
        <v>34</v>
      </c>
      <c r="J2103" t="s">
        <v>272</v>
      </c>
      <c r="K2103" t="s">
        <v>41</v>
      </c>
      <c r="L2103" t="s">
        <v>10909</v>
      </c>
      <c r="M2103" t="s">
        <v>10910</v>
      </c>
      <c r="N2103" t="s">
        <v>847</v>
      </c>
      <c r="O2103" t="s">
        <v>100</v>
      </c>
      <c r="P2103" t="s">
        <v>10911</v>
      </c>
      <c r="Q2103" t="s">
        <v>265</v>
      </c>
      <c r="R2103" t="s">
        <v>10912</v>
      </c>
      <c r="S2103">
        <v>7.21</v>
      </c>
      <c r="T2103">
        <v>13038</v>
      </c>
      <c r="U2103">
        <v>0</v>
      </c>
      <c r="V2103">
        <v>13038</v>
      </c>
    </row>
    <row r="2104" spans="1:22" x14ac:dyDescent="0.3">
      <c r="A2104">
        <v>148303</v>
      </c>
      <c r="B2104">
        <v>136260623</v>
      </c>
      <c r="C2104" t="s">
        <v>10913</v>
      </c>
      <c r="D2104" t="s">
        <v>10914</v>
      </c>
      <c r="E2104" t="s">
        <v>10067</v>
      </c>
      <c r="F2104" t="s">
        <v>844</v>
      </c>
      <c r="G2104" t="s">
        <v>172</v>
      </c>
      <c r="H2104" t="s">
        <v>173</v>
      </c>
      <c r="I2104" t="s">
        <v>34</v>
      </c>
      <c r="J2104" t="s">
        <v>272</v>
      </c>
      <c r="K2104" t="s">
        <v>41</v>
      </c>
      <c r="L2104" t="s">
        <v>10915</v>
      </c>
      <c r="M2104" t="s">
        <v>683</v>
      </c>
      <c r="N2104" t="s">
        <v>847</v>
      </c>
      <c r="O2104" t="s">
        <v>100</v>
      </c>
      <c r="P2104" t="s">
        <v>10916</v>
      </c>
      <c r="Q2104" t="s">
        <v>91</v>
      </c>
      <c r="R2104" t="s">
        <v>480</v>
      </c>
      <c r="S2104">
        <v>2.73</v>
      </c>
      <c r="T2104">
        <v>7087</v>
      </c>
      <c r="U2104">
        <v>0</v>
      </c>
      <c r="V2104">
        <v>7087</v>
      </c>
    </row>
    <row r="2105" spans="1:22" x14ac:dyDescent="0.3">
      <c r="A2105">
        <v>148303</v>
      </c>
      <c r="B2105">
        <v>136285482</v>
      </c>
      <c r="C2105" t="s">
        <v>10917</v>
      </c>
      <c r="D2105" t="s">
        <v>10918</v>
      </c>
      <c r="E2105" t="s">
        <v>10067</v>
      </c>
      <c r="F2105" t="s">
        <v>844</v>
      </c>
      <c r="G2105" t="s">
        <v>172</v>
      </c>
      <c r="H2105" t="s">
        <v>173</v>
      </c>
      <c r="I2105" t="s">
        <v>34</v>
      </c>
      <c r="J2105" t="s">
        <v>272</v>
      </c>
      <c r="K2105" t="s">
        <v>41</v>
      </c>
      <c r="L2105" t="s">
        <v>10919</v>
      </c>
      <c r="M2105" t="s">
        <v>10920</v>
      </c>
      <c r="N2105" t="s">
        <v>847</v>
      </c>
      <c r="O2105" t="s">
        <v>100</v>
      </c>
      <c r="P2105" t="s">
        <v>10921</v>
      </c>
      <c r="Q2105" t="s">
        <v>247</v>
      </c>
      <c r="R2105" t="s">
        <v>10922</v>
      </c>
      <c r="S2105">
        <v>8.69</v>
      </c>
      <c r="T2105">
        <v>13395</v>
      </c>
      <c r="U2105">
        <v>0</v>
      </c>
      <c r="V2105">
        <v>13395</v>
      </c>
    </row>
    <row r="2106" spans="1:22" x14ac:dyDescent="0.3">
      <c r="A2106">
        <v>148303</v>
      </c>
      <c r="B2106">
        <v>136025963</v>
      </c>
      <c r="C2106" t="s">
        <v>10923</v>
      </c>
      <c r="D2106" t="s">
        <v>10924</v>
      </c>
      <c r="E2106" t="s">
        <v>10067</v>
      </c>
      <c r="F2106" t="s">
        <v>844</v>
      </c>
      <c r="G2106" t="s">
        <v>172</v>
      </c>
      <c r="H2106" t="s">
        <v>173</v>
      </c>
      <c r="I2106" t="s">
        <v>34</v>
      </c>
      <c r="J2106" t="s">
        <v>272</v>
      </c>
      <c r="K2106" t="s">
        <v>44</v>
      </c>
      <c r="L2106" t="s">
        <v>10925</v>
      </c>
      <c r="M2106" t="s">
        <v>10926</v>
      </c>
      <c r="N2106" t="s">
        <v>847</v>
      </c>
      <c r="O2106" t="s">
        <v>100</v>
      </c>
      <c r="P2106" t="s">
        <v>10927</v>
      </c>
      <c r="Q2106" t="s">
        <v>103</v>
      </c>
      <c r="R2106" t="s">
        <v>403</v>
      </c>
      <c r="S2106">
        <v>2.88</v>
      </c>
      <c r="T2106">
        <v>4168</v>
      </c>
      <c r="U2106">
        <v>0</v>
      </c>
      <c r="V2106">
        <v>4168</v>
      </c>
    </row>
    <row r="2107" spans="1:22" x14ac:dyDescent="0.3">
      <c r="A2107">
        <v>148303</v>
      </c>
      <c r="B2107">
        <v>136315342</v>
      </c>
      <c r="C2107" t="s">
        <v>10928</v>
      </c>
      <c r="D2107" t="s">
        <v>10929</v>
      </c>
      <c r="E2107" t="s">
        <v>10067</v>
      </c>
      <c r="F2107" t="s">
        <v>844</v>
      </c>
      <c r="G2107" t="s">
        <v>172</v>
      </c>
      <c r="H2107" t="s">
        <v>173</v>
      </c>
      <c r="I2107" t="s">
        <v>34</v>
      </c>
      <c r="J2107" t="s">
        <v>272</v>
      </c>
      <c r="K2107" t="s">
        <v>41</v>
      </c>
      <c r="L2107" t="s">
        <v>10930</v>
      </c>
      <c r="M2107" t="s">
        <v>10931</v>
      </c>
      <c r="N2107" t="s">
        <v>847</v>
      </c>
      <c r="O2107" t="s">
        <v>100</v>
      </c>
      <c r="P2107" t="s">
        <v>10932</v>
      </c>
      <c r="Q2107" t="s">
        <v>49</v>
      </c>
      <c r="R2107" t="s">
        <v>10933</v>
      </c>
      <c r="S2107">
        <v>4.33</v>
      </c>
      <c r="T2107">
        <v>8106</v>
      </c>
      <c r="U2107">
        <v>0</v>
      </c>
      <c r="V2107">
        <v>8106</v>
      </c>
    </row>
    <row r="2108" spans="1:22" x14ac:dyDescent="0.3">
      <c r="A2108">
        <v>148303</v>
      </c>
      <c r="B2108">
        <v>136381686</v>
      </c>
      <c r="C2108" t="s">
        <v>10934</v>
      </c>
      <c r="D2108" t="s">
        <v>10935</v>
      </c>
      <c r="E2108" t="s">
        <v>10067</v>
      </c>
      <c r="F2108" t="s">
        <v>844</v>
      </c>
      <c r="G2108" t="s">
        <v>172</v>
      </c>
      <c r="H2108" t="s">
        <v>173</v>
      </c>
      <c r="I2108" t="s">
        <v>34</v>
      </c>
      <c r="J2108" t="s">
        <v>272</v>
      </c>
      <c r="K2108" t="s">
        <v>41</v>
      </c>
      <c r="L2108" t="s">
        <v>174</v>
      </c>
      <c r="M2108" t="s">
        <v>10936</v>
      </c>
      <c r="N2108" t="s">
        <v>847</v>
      </c>
      <c r="O2108" t="s">
        <v>100</v>
      </c>
      <c r="P2108" t="s">
        <v>10937</v>
      </c>
      <c r="Q2108" t="s">
        <v>399</v>
      </c>
      <c r="R2108" t="s">
        <v>10938</v>
      </c>
      <c r="S2108">
        <v>8.5500000000000007</v>
      </c>
      <c r="T2108">
        <v>25522</v>
      </c>
      <c r="U2108">
        <v>0</v>
      </c>
      <c r="V2108">
        <v>25522</v>
      </c>
    </row>
    <row r="2109" spans="1:22" x14ac:dyDescent="0.3">
      <c r="A2109">
        <v>148303</v>
      </c>
      <c r="B2109">
        <v>135723211</v>
      </c>
      <c r="C2109" t="s">
        <v>10939</v>
      </c>
      <c r="D2109" t="s">
        <v>10940</v>
      </c>
      <c r="E2109" t="s">
        <v>10067</v>
      </c>
      <c r="F2109" t="s">
        <v>844</v>
      </c>
      <c r="G2109" t="s">
        <v>172</v>
      </c>
      <c r="H2109" t="s">
        <v>173</v>
      </c>
      <c r="I2109" t="s">
        <v>34</v>
      </c>
      <c r="J2109" t="s">
        <v>272</v>
      </c>
      <c r="K2109" t="s">
        <v>41</v>
      </c>
      <c r="L2109" t="s">
        <v>174</v>
      </c>
      <c r="M2109" t="s">
        <v>10941</v>
      </c>
      <c r="N2109" t="s">
        <v>847</v>
      </c>
      <c r="O2109" t="s">
        <v>100</v>
      </c>
      <c r="P2109" t="s">
        <v>10942</v>
      </c>
      <c r="Q2109" t="s">
        <v>50</v>
      </c>
      <c r="R2109" t="s">
        <v>10943</v>
      </c>
      <c r="S2109">
        <v>8.9600000000000009</v>
      </c>
      <c r="T2109">
        <v>10109</v>
      </c>
      <c r="U2109">
        <v>0</v>
      </c>
      <c r="V2109">
        <v>10109</v>
      </c>
    </row>
    <row r="2110" spans="1:22" x14ac:dyDescent="0.3">
      <c r="A2110">
        <v>148303</v>
      </c>
      <c r="B2110">
        <v>135728755</v>
      </c>
      <c r="C2110" t="s">
        <v>10944</v>
      </c>
      <c r="D2110" t="s">
        <v>10945</v>
      </c>
      <c r="E2110" t="s">
        <v>10067</v>
      </c>
      <c r="F2110" t="s">
        <v>844</v>
      </c>
      <c r="G2110" t="s">
        <v>172</v>
      </c>
      <c r="H2110" t="s">
        <v>173</v>
      </c>
      <c r="I2110" t="s">
        <v>34</v>
      </c>
      <c r="J2110" t="s">
        <v>272</v>
      </c>
      <c r="K2110" t="s">
        <v>41</v>
      </c>
      <c r="L2110" t="s">
        <v>174</v>
      </c>
      <c r="M2110" t="s">
        <v>10946</v>
      </c>
      <c r="N2110" t="s">
        <v>847</v>
      </c>
      <c r="O2110" t="s">
        <v>100</v>
      </c>
      <c r="P2110" t="s">
        <v>10947</v>
      </c>
      <c r="Q2110" t="s">
        <v>71</v>
      </c>
      <c r="R2110" t="s">
        <v>176</v>
      </c>
      <c r="S2110">
        <v>2.69</v>
      </c>
      <c r="T2110">
        <v>7326</v>
      </c>
      <c r="U2110">
        <v>0</v>
      </c>
      <c r="V2110">
        <v>7326</v>
      </c>
    </row>
    <row r="2111" spans="1:22" x14ac:dyDescent="0.3">
      <c r="A2111">
        <v>148303</v>
      </c>
      <c r="B2111">
        <v>135729204</v>
      </c>
      <c r="C2111" t="s">
        <v>10948</v>
      </c>
      <c r="D2111" t="s">
        <v>10949</v>
      </c>
      <c r="E2111" t="s">
        <v>10067</v>
      </c>
      <c r="F2111" t="s">
        <v>844</v>
      </c>
      <c r="G2111" t="s">
        <v>172</v>
      </c>
      <c r="H2111" t="s">
        <v>173</v>
      </c>
      <c r="I2111" t="s">
        <v>34</v>
      </c>
      <c r="J2111" t="s">
        <v>272</v>
      </c>
      <c r="K2111" t="s">
        <v>41</v>
      </c>
      <c r="L2111" t="s">
        <v>174</v>
      </c>
      <c r="M2111" t="s">
        <v>10950</v>
      </c>
      <c r="N2111" t="s">
        <v>847</v>
      </c>
      <c r="O2111" t="s">
        <v>100</v>
      </c>
      <c r="P2111" t="s">
        <v>10951</v>
      </c>
      <c r="Q2111" t="s">
        <v>88</v>
      </c>
      <c r="R2111" t="s">
        <v>10952</v>
      </c>
      <c r="S2111">
        <v>5.88</v>
      </c>
      <c r="T2111">
        <v>6998</v>
      </c>
      <c r="U2111">
        <v>0</v>
      </c>
      <c r="V2111">
        <v>6998</v>
      </c>
    </row>
    <row r="2112" spans="1:22" x14ac:dyDescent="0.3">
      <c r="A2112">
        <v>148303</v>
      </c>
      <c r="B2112">
        <v>135730737</v>
      </c>
      <c r="C2112" t="s">
        <v>10953</v>
      </c>
      <c r="D2112" t="s">
        <v>10954</v>
      </c>
      <c r="E2112" t="s">
        <v>10067</v>
      </c>
      <c r="F2112" t="s">
        <v>844</v>
      </c>
      <c r="G2112" t="s">
        <v>172</v>
      </c>
      <c r="H2112" t="s">
        <v>173</v>
      </c>
      <c r="I2112" t="s">
        <v>34</v>
      </c>
      <c r="J2112" t="s">
        <v>272</v>
      </c>
      <c r="K2112" t="s">
        <v>41</v>
      </c>
      <c r="L2112" t="s">
        <v>174</v>
      </c>
      <c r="M2112" t="s">
        <v>10955</v>
      </c>
      <c r="N2112" t="s">
        <v>847</v>
      </c>
      <c r="O2112" t="s">
        <v>100</v>
      </c>
      <c r="P2112" t="s">
        <v>10956</v>
      </c>
      <c r="Q2112" t="s">
        <v>76</v>
      </c>
      <c r="R2112" t="s">
        <v>10957</v>
      </c>
      <c r="S2112">
        <v>5.85</v>
      </c>
      <c r="T2112">
        <v>8022</v>
      </c>
      <c r="U2112">
        <v>0</v>
      </c>
      <c r="V2112">
        <v>8022</v>
      </c>
    </row>
    <row r="2113" spans="1:22" x14ac:dyDescent="0.3">
      <c r="A2113">
        <v>148303</v>
      </c>
      <c r="B2113">
        <v>135742499</v>
      </c>
      <c r="C2113" t="s">
        <v>10958</v>
      </c>
      <c r="D2113" t="s">
        <v>10959</v>
      </c>
      <c r="E2113" t="s">
        <v>10067</v>
      </c>
      <c r="F2113" t="s">
        <v>844</v>
      </c>
      <c r="G2113" t="s">
        <v>172</v>
      </c>
      <c r="H2113" t="s">
        <v>173</v>
      </c>
      <c r="I2113" t="s">
        <v>34</v>
      </c>
      <c r="J2113" t="s">
        <v>272</v>
      </c>
      <c r="K2113" t="s">
        <v>41</v>
      </c>
      <c r="L2113" t="s">
        <v>174</v>
      </c>
      <c r="M2113" t="s">
        <v>10960</v>
      </c>
      <c r="N2113" t="s">
        <v>847</v>
      </c>
      <c r="O2113" t="s">
        <v>100</v>
      </c>
      <c r="P2113" t="s">
        <v>10961</v>
      </c>
      <c r="Q2113" t="s">
        <v>274</v>
      </c>
      <c r="R2113" t="s">
        <v>10962</v>
      </c>
      <c r="S2113">
        <v>1.36</v>
      </c>
      <c r="T2113">
        <v>6125</v>
      </c>
      <c r="U2113">
        <v>0</v>
      </c>
      <c r="V2113">
        <v>6125</v>
      </c>
    </row>
    <row r="2114" spans="1:22" x14ac:dyDescent="0.3">
      <c r="A2114">
        <v>148303</v>
      </c>
      <c r="B2114">
        <v>135743661</v>
      </c>
      <c r="C2114" t="s">
        <v>10963</v>
      </c>
      <c r="D2114" t="s">
        <v>10964</v>
      </c>
      <c r="E2114" t="s">
        <v>10067</v>
      </c>
      <c r="F2114" t="s">
        <v>844</v>
      </c>
      <c r="G2114" t="s">
        <v>172</v>
      </c>
      <c r="H2114" t="s">
        <v>173</v>
      </c>
      <c r="I2114" t="s">
        <v>34</v>
      </c>
      <c r="J2114" t="s">
        <v>272</v>
      </c>
      <c r="K2114" t="s">
        <v>41</v>
      </c>
      <c r="L2114" t="s">
        <v>174</v>
      </c>
      <c r="M2114" t="s">
        <v>10965</v>
      </c>
      <c r="N2114" t="s">
        <v>847</v>
      </c>
      <c r="O2114" t="s">
        <v>100</v>
      </c>
      <c r="P2114" t="s">
        <v>10966</v>
      </c>
      <c r="Q2114" t="s">
        <v>43</v>
      </c>
      <c r="R2114" t="s">
        <v>659</v>
      </c>
      <c r="S2114">
        <v>2.72</v>
      </c>
      <c r="T2114">
        <v>7945</v>
      </c>
      <c r="U2114">
        <v>0</v>
      </c>
      <c r="V2114">
        <v>7945</v>
      </c>
    </row>
    <row r="2115" spans="1:22" x14ac:dyDescent="0.3">
      <c r="A2115">
        <v>148303</v>
      </c>
      <c r="B2115">
        <v>135747919</v>
      </c>
      <c r="C2115" t="s">
        <v>10967</v>
      </c>
      <c r="D2115" t="s">
        <v>10968</v>
      </c>
      <c r="E2115" t="s">
        <v>10067</v>
      </c>
      <c r="F2115" t="s">
        <v>844</v>
      </c>
      <c r="G2115" t="s">
        <v>172</v>
      </c>
      <c r="H2115" t="s">
        <v>173</v>
      </c>
      <c r="I2115" t="s">
        <v>34</v>
      </c>
      <c r="J2115" t="s">
        <v>272</v>
      </c>
      <c r="K2115" t="s">
        <v>41</v>
      </c>
      <c r="L2115" t="s">
        <v>174</v>
      </c>
      <c r="M2115" t="s">
        <v>10969</v>
      </c>
      <c r="N2115" t="s">
        <v>847</v>
      </c>
      <c r="O2115" t="s">
        <v>100</v>
      </c>
      <c r="P2115" t="s">
        <v>10970</v>
      </c>
      <c r="Q2115" t="s">
        <v>274</v>
      </c>
      <c r="R2115" t="s">
        <v>10971</v>
      </c>
      <c r="S2115">
        <v>2.0499999999999998</v>
      </c>
      <c r="T2115">
        <v>7087</v>
      </c>
      <c r="U2115">
        <v>0</v>
      </c>
      <c r="V2115">
        <v>7087</v>
      </c>
    </row>
    <row r="2116" spans="1:22" x14ac:dyDescent="0.3">
      <c r="A2116">
        <v>148303</v>
      </c>
      <c r="B2116">
        <v>135748737</v>
      </c>
      <c r="C2116" t="s">
        <v>10972</v>
      </c>
      <c r="D2116" t="s">
        <v>10973</v>
      </c>
      <c r="E2116" t="s">
        <v>10067</v>
      </c>
      <c r="F2116" t="s">
        <v>844</v>
      </c>
      <c r="G2116" t="s">
        <v>172</v>
      </c>
      <c r="H2116" t="s">
        <v>173</v>
      </c>
      <c r="I2116" t="s">
        <v>34</v>
      </c>
      <c r="J2116" t="s">
        <v>272</v>
      </c>
      <c r="K2116" t="s">
        <v>41</v>
      </c>
      <c r="L2116" t="s">
        <v>174</v>
      </c>
      <c r="M2116" t="s">
        <v>10974</v>
      </c>
      <c r="N2116" t="s">
        <v>847</v>
      </c>
      <c r="O2116" t="s">
        <v>100</v>
      </c>
      <c r="P2116" t="s">
        <v>10975</v>
      </c>
      <c r="Q2116" t="s">
        <v>102</v>
      </c>
      <c r="R2116" t="s">
        <v>10976</v>
      </c>
      <c r="S2116">
        <v>3.15</v>
      </c>
      <c r="T2116">
        <v>4537</v>
      </c>
      <c r="U2116">
        <v>0</v>
      </c>
      <c r="V2116">
        <v>4537</v>
      </c>
    </row>
    <row r="2117" spans="1:22" x14ac:dyDescent="0.3">
      <c r="A2117">
        <v>148303</v>
      </c>
      <c r="B2117">
        <v>135752159</v>
      </c>
      <c r="C2117" t="s">
        <v>10977</v>
      </c>
      <c r="D2117" t="s">
        <v>10978</v>
      </c>
      <c r="E2117" t="s">
        <v>10067</v>
      </c>
      <c r="F2117" t="s">
        <v>844</v>
      </c>
      <c r="G2117" t="s">
        <v>172</v>
      </c>
      <c r="H2117" t="s">
        <v>173</v>
      </c>
      <c r="I2117" t="s">
        <v>34</v>
      </c>
      <c r="J2117" t="s">
        <v>272</v>
      </c>
      <c r="K2117" t="s">
        <v>41</v>
      </c>
      <c r="L2117" t="s">
        <v>174</v>
      </c>
      <c r="M2117" t="s">
        <v>10979</v>
      </c>
      <c r="N2117" t="s">
        <v>847</v>
      </c>
      <c r="O2117" t="s">
        <v>100</v>
      </c>
      <c r="P2117" t="s">
        <v>10980</v>
      </c>
      <c r="Q2117" t="s">
        <v>530</v>
      </c>
      <c r="R2117" t="s">
        <v>736</v>
      </c>
      <c r="S2117">
        <v>3.1</v>
      </c>
      <c r="T2117">
        <v>7297</v>
      </c>
      <c r="U2117">
        <v>0</v>
      </c>
      <c r="V2117">
        <v>7297</v>
      </c>
    </row>
    <row r="2118" spans="1:22" x14ac:dyDescent="0.3">
      <c r="A2118">
        <v>148303</v>
      </c>
      <c r="B2118">
        <v>135761241</v>
      </c>
      <c r="C2118" t="s">
        <v>10981</v>
      </c>
      <c r="D2118" t="s">
        <v>10982</v>
      </c>
      <c r="E2118" t="s">
        <v>10067</v>
      </c>
      <c r="F2118" t="s">
        <v>844</v>
      </c>
      <c r="G2118" t="s">
        <v>172</v>
      </c>
      <c r="H2118" t="s">
        <v>173</v>
      </c>
      <c r="I2118" t="s">
        <v>34</v>
      </c>
      <c r="J2118" t="s">
        <v>272</v>
      </c>
      <c r="K2118" t="s">
        <v>41</v>
      </c>
      <c r="L2118" t="s">
        <v>174</v>
      </c>
      <c r="M2118" t="s">
        <v>10983</v>
      </c>
      <c r="N2118" t="s">
        <v>847</v>
      </c>
      <c r="O2118" t="s">
        <v>100</v>
      </c>
      <c r="P2118" t="s">
        <v>10984</v>
      </c>
      <c r="Q2118" t="s">
        <v>215</v>
      </c>
      <c r="R2118" t="s">
        <v>10985</v>
      </c>
      <c r="S2118">
        <v>2.4</v>
      </c>
      <c r="T2118">
        <v>8410</v>
      </c>
      <c r="U2118">
        <v>0</v>
      </c>
      <c r="V2118">
        <v>8410</v>
      </c>
    </row>
    <row r="2119" spans="1:22" x14ac:dyDescent="0.3">
      <c r="A2119">
        <v>148303</v>
      </c>
      <c r="B2119">
        <v>135762021</v>
      </c>
      <c r="C2119" t="s">
        <v>10986</v>
      </c>
      <c r="D2119" t="s">
        <v>10987</v>
      </c>
      <c r="E2119" t="s">
        <v>10067</v>
      </c>
      <c r="F2119" t="s">
        <v>844</v>
      </c>
      <c r="G2119" t="s">
        <v>172</v>
      </c>
      <c r="H2119" t="s">
        <v>173</v>
      </c>
      <c r="I2119" t="s">
        <v>34</v>
      </c>
      <c r="J2119" t="s">
        <v>272</v>
      </c>
      <c r="K2119" t="s">
        <v>41</v>
      </c>
      <c r="L2119" t="s">
        <v>174</v>
      </c>
      <c r="M2119" t="s">
        <v>10988</v>
      </c>
      <c r="N2119" t="s">
        <v>847</v>
      </c>
      <c r="O2119" t="s">
        <v>100</v>
      </c>
      <c r="P2119" t="s">
        <v>10989</v>
      </c>
      <c r="Q2119" t="s">
        <v>96</v>
      </c>
      <c r="R2119" t="s">
        <v>699</v>
      </c>
      <c r="S2119">
        <v>3.42</v>
      </c>
      <c r="T2119">
        <v>10836</v>
      </c>
      <c r="U2119">
        <v>0</v>
      </c>
      <c r="V2119">
        <v>10836</v>
      </c>
    </row>
    <row r="2120" spans="1:22" x14ac:dyDescent="0.3">
      <c r="A2120">
        <v>148303</v>
      </c>
      <c r="B2120">
        <v>135767505</v>
      </c>
      <c r="C2120" t="s">
        <v>10990</v>
      </c>
      <c r="D2120" t="s">
        <v>10991</v>
      </c>
      <c r="E2120" t="s">
        <v>10067</v>
      </c>
      <c r="F2120" t="s">
        <v>844</v>
      </c>
      <c r="G2120" t="s">
        <v>172</v>
      </c>
      <c r="H2120" t="s">
        <v>173</v>
      </c>
      <c r="I2120" t="s">
        <v>34</v>
      </c>
      <c r="J2120" t="s">
        <v>272</v>
      </c>
      <c r="K2120" t="s">
        <v>41</v>
      </c>
      <c r="L2120" t="s">
        <v>174</v>
      </c>
      <c r="M2120" t="s">
        <v>10992</v>
      </c>
      <c r="N2120" t="s">
        <v>847</v>
      </c>
      <c r="O2120" t="s">
        <v>100</v>
      </c>
      <c r="P2120" t="s">
        <v>10993</v>
      </c>
      <c r="Q2120" t="s">
        <v>72</v>
      </c>
      <c r="R2120" t="s">
        <v>10994</v>
      </c>
      <c r="S2120">
        <v>3.23</v>
      </c>
      <c r="T2120">
        <v>8106</v>
      </c>
      <c r="U2120">
        <v>0</v>
      </c>
      <c r="V2120">
        <v>8106</v>
      </c>
    </row>
    <row r="2121" spans="1:22" x14ac:dyDescent="0.3">
      <c r="A2121">
        <v>148303</v>
      </c>
      <c r="B2121">
        <v>135768466</v>
      </c>
      <c r="C2121" t="s">
        <v>10995</v>
      </c>
      <c r="D2121" t="s">
        <v>10996</v>
      </c>
      <c r="E2121" t="s">
        <v>10067</v>
      </c>
      <c r="F2121" t="s">
        <v>844</v>
      </c>
      <c r="G2121" t="s">
        <v>172</v>
      </c>
      <c r="H2121" t="s">
        <v>173</v>
      </c>
      <c r="I2121" t="s">
        <v>34</v>
      </c>
      <c r="J2121" t="s">
        <v>272</v>
      </c>
      <c r="K2121" t="s">
        <v>41</v>
      </c>
      <c r="L2121" t="s">
        <v>174</v>
      </c>
      <c r="M2121" t="s">
        <v>10997</v>
      </c>
      <c r="N2121" t="s">
        <v>847</v>
      </c>
      <c r="O2121" t="s">
        <v>100</v>
      </c>
      <c r="P2121" t="s">
        <v>10998</v>
      </c>
      <c r="Q2121" t="s">
        <v>741</v>
      </c>
      <c r="R2121" t="s">
        <v>690</v>
      </c>
      <c r="S2121">
        <v>2.71</v>
      </c>
      <c r="T2121">
        <v>12958</v>
      </c>
      <c r="U2121">
        <v>0</v>
      </c>
      <c r="V2121">
        <v>12958</v>
      </c>
    </row>
    <row r="2122" spans="1:22" x14ac:dyDescent="0.3">
      <c r="A2122">
        <v>148303</v>
      </c>
      <c r="B2122">
        <v>135776943</v>
      </c>
      <c r="C2122" t="s">
        <v>10999</v>
      </c>
      <c r="D2122" t="s">
        <v>11000</v>
      </c>
      <c r="E2122" t="s">
        <v>10067</v>
      </c>
      <c r="F2122" t="s">
        <v>844</v>
      </c>
      <c r="G2122" t="s">
        <v>172</v>
      </c>
      <c r="H2122" t="s">
        <v>173</v>
      </c>
      <c r="I2122" t="s">
        <v>34</v>
      </c>
      <c r="J2122" t="s">
        <v>272</v>
      </c>
      <c r="K2122" t="s">
        <v>41</v>
      </c>
      <c r="L2122" t="s">
        <v>174</v>
      </c>
      <c r="M2122" t="s">
        <v>11001</v>
      </c>
      <c r="N2122" t="s">
        <v>847</v>
      </c>
      <c r="O2122" t="s">
        <v>100</v>
      </c>
      <c r="P2122" t="s">
        <v>11002</v>
      </c>
      <c r="Q2122" t="s">
        <v>63</v>
      </c>
      <c r="R2122" t="s">
        <v>510</v>
      </c>
      <c r="S2122">
        <v>3.23</v>
      </c>
      <c r="T2122">
        <v>8439</v>
      </c>
      <c r="U2122">
        <v>0</v>
      </c>
      <c r="V2122">
        <v>8439</v>
      </c>
    </row>
    <row r="2123" spans="1:22" x14ac:dyDescent="0.3">
      <c r="A2123">
        <v>148303</v>
      </c>
      <c r="B2123">
        <v>135787818</v>
      </c>
      <c r="C2123" t="s">
        <v>11003</v>
      </c>
      <c r="D2123" t="s">
        <v>11004</v>
      </c>
      <c r="E2123" t="s">
        <v>10067</v>
      </c>
      <c r="F2123" t="s">
        <v>844</v>
      </c>
      <c r="G2123" t="s">
        <v>172</v>
      </c>
      <c r="H2123" t="s">
        <v>173</v>
      </c>
      <c r="I2123" t="s">
        <v>34</v>
      </c>
      <c r="J2123" t="s">
        <v>272</v>
      </c>
      <c r="K2123" t="s">
        <v>41</v>
      </c>
      <c r="L2123" t="s">
        <v>174</v>
      </c>
      <c r="M2123" t="s">
        <v>11005</v>
      </c>
      <c r="N2123" t="s">
        <v>847</v>
      </c>
      <c r="O2123" t="s">
        <v>100</v>
      </c>
      <c r="P2123" t="s">
        <v>11006</v>
      </c>
      <c r="Q2123" t="s">
        <v>49</v>
      </c>
      <c r="R2123" t="s">
        <v>11007</v>
      </c>
      <c r="S2123">
        <v>2.0299999999999998</v>
      </c>
      <c r="T2123">
        <v>8101</v>
      </c>
      <c r="U2123">
        <v>0</v>
      </c>
      <c r="V2123">
        <v>8101</v>
      </c>
    </row>
    <row r="2124" spans="1:22" x14ac:dyDescent="0.3">
      <c r="A2124">
        <v>148303</v>
      </c>
      <c r="B2124">
        <v>135801756</v>
      </c>
      <c r="C2124" t="s">
        <v>11008</v>
      </c>
      <c r="D2124" t="s">
        <v>11009</v>
      </c>
      <c r="E2124" t="s">
        <v>10067</v>
      </c>
      <c r="F2124" t="s">
        <v>844</v>
      </c>
      <c r="G2124" t="s">
        <v>172</v>
      </c>
      <c r="H2124" t="s">
        <v>173</v>
      </c>
      <c r="I2124" t="s">
        <v>34</v>
      </c>
      <c r="J2124" t="s">
        <v>272</v>
      </c>
      <c r="K2124" t="s">
        <v>41</v>
      </c>
      <c r="L2124" t="s">
        <v>174</v>
      </c>
      <c r="M2124" t="s">
        <v>11010</v>
      </c>
      <c r="N2124" t="s">
        <v>847</v>
      </c>
      <c r="O2124" t="s">
        <v>100</v>
      </c>
      <c r="P2124" t="s">
        <v>11011</v>
      </c>
      <c r="Q2124" t="s">
        <v>72</v>
      </c>
      <c r="R2124" t="s">
        <v>771</v>
      </c>
      <c r="S2124">
        <v>1.5</v>
      </c>
      <c r="T2124">
        <v>7289</v>
      </c>
      <c r="U2124">
        <v>0</v>
      </c>
      <c r="V2124">
        <v>7289</v>
      </c>
    </row>
    <row r="2125" spans="1:22" x14ac:dyDescent="0.3">
      <c r="A2125">
        <v>148303</v>
      </c>
      <c r="B2125">
        <v>135839297</v>
      </c>
      <c r="C2125" t="s">
        <v>11012</v>
      </c>
      <c r="D2125" t="s">
        <v>11013</v>
      </c>
      <c r="E2125" t="s">
        <v>10067</v>
      </c>
      <c r="F2125" t="s">
        <v>844</v>
      </c>
      <c r="G2125" t="s">
        <v>172</v>
      </c>
      <c r="H2125" t="s">
        <v>173</v>
      </c>
      <c r="I2125" t="s">
        <v>34</v>
      </c>
      <c r="J2125" t="s">
        <v>272</v>
      </c>
      <c r="K2125" t="s">
        <v>41</v>
      </c>
      <c r="L2125" t="s">
        <v>174</v>
      </c>
      <c r="M2125" t="s">
        <v>11014</v>
      </c>
      <c r="N2125" t="s">
        <v>847</v>
      </c>
      <c r="O2125" t="s">
        <v>100</v>
      </c>
      <c r="P2125" t="s">
        <v>11015</v>
      </c>
      <c r="Q2125" t="s">
        <v>190</v>
      </c>
      <c r="R2125" t="s">
        <v>11016</v>
      </c>
      <c r="S2125">
        <v>2.66</v>
      </c>
      <c r="T2125">
        <v>6800</v>
      </c>
      <c r="U2125">
        <v>0</v>
      </c>
      <c r="V2125">
        <v>6800</v>
      </c>
    </row>
    <row r="2126" spans="1:22" x14ac:dyDescent="0.3">
      <c r="A2126">
        <v>148303</v>
      </c>
      <c r="B2126">
        <v>135846667</v>
      </c>
      <c r="C2126" t="s">
        <v>11017</v>
      </c>
      <c r="D2126" t="s">
        <v>11018</v>
      </c>
      <c r="E2126" t="s">
        <v>10067</v>
      </c>
      <c r="F2126" t="s">
        <v>844</v>
      </c>
      <c r="G2126" t="s">
        <v>172</v>
      </c>
      <c r="H2126" t="s">
        <v>173</v>
      </c>
      <c r="I2126" t="s">
        <v>34</v>
      </c>
      <c r="J2126" t="s">
        <v>272</v>
      </c>
      <c r="K2126" t="s">
        <v>41</v>
      </c>
      <c r="L2126" t="s">
        <v>174</v>
      </c>
      <c r="M2126" t="s">
        <v>11019</v>
      </c>
      <c r="N2126" t="s">
        <v>847</v>
      </c>
      <c r="O2126" t="s">
        <v>100</v>
      </c>
      <c r="P2126" t="s">
        <v>11020</v>
      </c>
      <c r="Q2126" t="s">
        <v>52</v>
      </c>
      <c r="R2126" t="s">
        <v>646</v>
      </c>
      <c r="S2126">
        <v>1.6</v>
      </c>
      <c r="T2126">
        <v>11717</v>
      </c>
      <c r="U2126">
        <v>0</v>
      </c>
      <c r="V2126">
        <v>11717</v>
      </c>
    </row>
    <row r="2127" spans="1:22" x14ac:dyDescent="0.3">
      <c r="A2127">
        <v>148303</v>
      </c>
      <c r="B2127">
        <v>135850905</v>
      </c>
      <c r="C2127" t="s">
        <v>11021</v>
      </c>
      <c r="D2127" t="s">
        <v>11022</v>
      </c>
      <c r="E2127" t="s">
        <v>10067</v>
      </c>
      <c r="F2127" t="s">
        <v>844</v>
      </c>
      <c r="G2127" t="s">
        <v>172</v>
      </c>
      <c r="H2127" t="s">
        <v>173</v>
      </c>
      <c r="I2127" t="s">
        <v>34</v>
      </c>
      <c r="J2127" t="s">
        <v>272</v>
      </c>
      <c r="K2127" t="s">
        <v>41</v>
      </c>
      <c r="L2127" t="s">
        <v>174</v>
      </c>
      <c r="M2127" t="s">
        <v>11023</v>
      </c>
      <c r="N2127" t="s">
        <v>847</v>
      </c>
      <c r="O2127" t="s">
        <v>100</v>
      </c>
      <c r="P2127" t="s">
        <v>11024</v>
      </c>
      <c r="Q2127" t="s">
        <v>241</v>
      </c>
      <c r="R2127" t="s">
        <v>11025</v>
      </c>
      <c r="S2127">
        <v>1.72</v>
      </c>
      <c r="T2127">
        <v>4168</v>
      </c>
      <c r="U2127">
        <v>0</v>
      </c>
      <c r="V2127">
        <v>4168</v>
      </c>
    </row>
    <row r="2128" spans="1:22" x14ac:dyDescent="0.3">
      <c r="A2128">
        <v>148303</v>
      </c>
      <c r="B2128">
        <v>136091135</v>
      </c>
      <c r="C2128" t="s">
        <v>11026</v>
      </c>
      <c r="D2128" t="s">
        <v>11027</v>
      </c>
      <c r="E2128" t="s">
        <v>10067</v>
      </c>
      <c r="F2128" t="s">
        <v>844</v>
      </c>
      <c r="G2128" t="s">
        <v>172</v>
      </c>
      <c r="H2128" t="s">
        <v>173</v>
      </c>
      <c r="I2128" t="s">
        <v>34</v>
      </c>
      <c r="J2128" t="s">
        <v>272</v>
      </c>
      <c r="K2128" t="s">
        <v>41</v>
      </c>
      <c r="L2128" t="s">
        <v>11028</v>
      </c>
      <c r="M2128" t="s">
        <v>11029</v>
      </c>
      <c r="N2128" t="s">
        <v>847</v>
      </c>
      <c r="O2128" t="s">
        <v>100</v>
      </c>
      <c r="P2128" t="s">
        <v>11030</v>
      </c>
      <c r="Q2128" t="s">
        <v>218</v>
      </c>
      <c r="R2128" t="s">
        <v>11031</v>
      </c>
      <c r="S2128">
        <v>4.9000000000000004</v>
      </c>
      <c r="T2128">
        <v>8439</v>
      </c>
      <c r="U2128">
        <v>0</v>
      </c>
      <c r="V2128">
        <v>8439</v>
      </c>
    </row>
    <row r="2129" spans="1:22" x14ac:dyDescent="0.3">
      <c r="A2129">
        <v>148303</v>
      </c>
      <c r="B2129">
        <v>136150041</v>
      </c>
      <c r="C2129" t="s">
        <v>11032</v>
      </c>
      <c r="D2129" t="s">
        <v>11033</v>
      </c>
      <c r="E2129" t="s">
        <v>10067</v>
      </c>
      <c r="F2129" t="s">
        <v>844</v>
      </c>
      <c r="G2129" t="s">
        <v>172</v>
      </c>
      <c r="H2129" t="s">
        <v>173</v>
      </c>
      <c r="I2129" t="s">
        <v>34</v>
      </c>
      <c r="J2129" t="s">
        <v>272</v>
      </c>
      <c r="K2129" t="s">
        <v>41</v>
      </c>
      <c r="L2129" t="s">
        <v>11034</v>
      </c>
      <c r="M2129" t="s">
        <v>11035</v>
      </c>
      <c r="N2129" t="s">
        <v>847</v>
      </c>
      <c r="O2129" t="s">
        <v>100</v>
      </c>
      <c r="P2129" t="s">
        <v>11036</v>
      </c>
      <c r="Q2129" t="s">
        <v>58</v>
      </c>
      <c r="R2129" t="s">
        <v>603</v>
      </c>
      <c r="S2129">
        <v>6.08</v>
      </c>
      <c r="T2129">
        <v>15000</v>
      </c>
      <c r="U2129">
        <v>0</v>
      </c>
      <c r="V2129">
        <v>15000</v>
      </c>
    </row>
    <row r="2130" spans="1:22" x14ac:dyDescent="0.3">
      <c r="A2130">
        <v>148303</v>
      </c>
      <c r="B2130">
        <v>136255077</v>
      </c>
      <c r="C2130" t="s">
        <v>11037</v>
      </c>
      <c r="D2130" t="s">
        <v>11038</v>
      </c>
      <c r="E2130" t="s">
        <v>10067</v>
      </c>
      <c r="F2130" t="s">
        <v>844</v>
      </c>
      <c r="G2130" t="s">
        <v>172</v>
      </c>
      <c r="H2130" t="s">
        <v>173</v>
      </c>
      <c r="I2130" t="s">
        <v>34</v>
      </c>
      <c r="J2130" t="s">
        <v>272</v>
      </c>
      <c r="K2130" t="s">
        <v>41</v>
      </c>
      <c r="L2130" t="s">
        <v>11039</v>
      </c>
      <c r="M2130" t="s">
        <v>11040</v>
      </c>
      <c r="N2130" t="s">
        <v>847</v>
      </c>
      <c r="O2130" t="s">
        <v>100</v>
      </c>
      <c r="P2130" t="s">
        <v>11041</v>
      </c>
      <c r="Q2130" t="s">
        <v>84</v>
      </c>
      <c r="R2130" t="s">
        <v>726</v>
      </c>
      <c r="S2130">
        <v>6.13</v>
      </c>
      <c r="T2130">
        <v>8855</v>
      </c>
      <c r="U2130">
        <v>0</v>
      </c>
      <c r="V2130">
        <v>8855</v>
      </c>
    </row>
    <row r="2131" spans="1:22" x14ac:dyDescent="0.3">
      <c r="A2131">
        <v>148303</v>
      </c>
      <c r="B2131">
        <v>136265441</v>
      </c>
      <c r="C2131" t="s">
        <v>11042</v>
      </c>
      <c r="D2131" t="s">
        <v>11043</v>
      </c>
      <c r="E2131" t="s">
        <v>10067</v>
      </c>
      <c r="F2131" t="s">
        <v>844</v>
      </c>
      <c r="G2131" t="s">
        <v>172</v>
      </c>
      <c r="H2131" t="s">
        <v>173</v>
      </c>
      <c r="I2131" t="s">
        <v>34</v>
      </c>
      <c r="J2131" t="s">
        <v>272</v>
      </c>
      <c r="K2131" t="s">
        <v>41</v>
      </c>
      <c r="L2131" t="s">
        <v>11044</v>
      </c>
      <c r="M2131" t="s">
        <v>11045</v>
      </c>
      <c r="N2131" t="s">
        <v>847</v>
      </c>
      <c r="O2131" t="s">
        <v>100</v>
      </c>
      <c r="P2131" t="s">
        <v>11046</v>
      </c>
      <c r="Q2131" t="s">
        <v>87</v>
      </c>
      <c r="R2131" t="s">
        <v>784</v>
      </c>
      <c r="S2131">
        <v>5.21</v>
      </c>
      <c r="T2131">
        <v>7224</v>
      </c>
      <c r="U2131">
        <v>0</v>
      </c>
      <c r="V2131">
        <v>7224</v>
      </c>
    </row>
    <row r="2132" spans="1:22" x14ac:dyDescent="0.3">
      <c r="A2132">
        <v>148303</v>
      </c>
      <c r="B2132">
        <v>136363992</v>
      </c>
      <c r="C2132" t="s">
        <v>11047</v>
      </c>
      <c r="D2132" t="s">
        <v>11048</v>
      </c>
      <c r="E2132" t="s">
        <v>10067</v>
      </c>
      <c r="F2132" t="s">
        <v>844</v>
      </c>
      <c r="G2132" t="s">
        <v>172</v>
      </c>
      <c r="H2132" t="s">
        <v>173</v>
      </c>
      <c r="I2132" t="s">
        <v>34</v>
      </c>
      <c r="J2132" t="s">
        <v>272</v>
      </c>
      <c r="K2132" t="s">
        <v>41</v>
      </c>
      <c r="L2132" t="s">
        <v>11049</v>
      </c>
      <c r="M2132" t="s">
        <v>11050</v>
      </c>
      <c r="N2132" t="s">
        <v>847</v>
      </c>
      <c r="O2132" t="s">
        <v>100</v>
      </c>
      <c r="P2132" t="s">
        <v>11051</v>
      </c>
      <c r="Q2132" t="s">
        <v>274</v>
      </c>
      <c r="R2132" t="s">
        <v>11052</v>
      </c>
      <c r="S2132">
        <v>8.7100000000000009</v>
      </c>
      <c r="T2132">
        <v>9019</v>
      </c>
      <c r="U2132">
        <v>0</v>
      </c>
      <c r="V2132">
        <v>9019</v>
      </c>
    </row>
    <row r="2133" spans="1:22" x14ac:dyDescent="0.3">
      <c r="A2133">
        <v>148303</v>
      </c>
      <c r="B2133">
        <v>136034924</v>
      </c>
      <c r="C2133" t="s">
        <v>11053</v>
      </c>
      <c r="D2133" t="s">
        <v>11054</v>
      </c>
      <c r="E2133" t="s">
        <v>10067</v>
      </c>
      <c r="F2133" t="s">
        <v>844</v>
      </c>
      <c r="G2133" t="s">
        <v>172</v>
      </c>
      <c r="H2133" t="s">
        <v>173</v>
      </c>
      <c r="I2133" t="s">
        <v>34</v>
      </c>
      <c r="J2133" t="s">
        <v>272</v>
      </c>
      <c r="K2133" t="s">
        <v>41</v>
      </c>
      <c r="L2133" t="s">
        <v>11055</v>
      </c>
      <c r="M2133" t="s">
        <v>11056</v>
      </c>
      <c r="N2133" t="s">
        <v>847</v>
      </c>
      <c r="O2133" t="s">
        <v>100</v>
      </c>
      <c r="P2133" t="s">
        <v>11057</v>
      </c>
      <c r="Q2133" t="s">
        <v>216</v>
      </c>
      <c r="R2133" t="s">
        <v>602</v>
      </c>
      <c r="S2133">
        <v>2.31</v>
      </c>
      <c r="T2133">
        <v>7087</v>
      </c>
      <c r="U2133">
        <v>0</v>
      </c>
      <c r="V2133">
        <v>7087</v>
      </c>
    </row>
    <row r="2134" spans="1:22" x14ac:dyDescent="0.3">
      <c r="A2134">
        <v>148303</v>
      </c>
      <c r="B2134">
        <v>136010720</v>
      </c>
      <c r="C2134" t="s">
        <v>11058</v>
      </c>
      <c r="D2134" t="s">
        <v>11059</v>
      </c>
      <c r="E2134" t="s">
        <v>10067</v>
      </c>
      <c r="F2134" t="s">
        <v>844</v>
      </c>
      <c r="G2134" t="s">
        <v>172</v>
      </c>
      <c r="H2134" t="s">
        <v>173</v>
      </c>
      <c r="I2134" t="s">
        <v>34</v>
      </c>
      <c r="J2134" t="s">
        <v>272</v>
      </c>
      <c r="K2134" t="s">
        <v>41</v>
      </c>
      <c r="L2134" t="s">
        <v>11060</v>
      </c>
      <c r="M2134" t="s">
        <v>11061</v>
      </c>
      <c r="N2134" t="s">
        <v>847</v>
      </c>
      <c r="O2134" t="s">
        <v>100</v>
      </c>
      <c r="P2134" t="s">
        <v>11062</v>
      </c>
      <c r="Q2134" t="s">
        <v>200</v>
      </c>
      <c r="R2134" t="s">
        <v>490</v>
      </c>
      <c r="S2134">
        <v>1.49</v>
      </c>
      <c r="T2134">
        <v>7146</v>
      </c>
      <c r="U2134">
        <v>0</v>
      </c>
      <c r="V2134">
        <v>7146</v>
      </c>
    </row>
    <row r="2135" spans="1:22" x14ac:dyDescent="0.3">
      <c r="A2135">
        <v>148303</v>
      </c>
      <c r="B2135">
        <v>136043422</v>
      </c>
      <c r="C2135" t="s">
        <v>11063</v>
      </c>
      <c r="D2135" t="s">
        <v>11064</v>
      </c>
      <c r="E2135" t="s">
        <v>10067</v>
      </c>
      <c r="F2135" t="s">
        <v>844</v>
      </c>
      <c r="G2135" t="s">
        <v>172</v>
      </c>
      <c r="H2135" t="s">
        <v>173</v>
      </c>
      <c r="I2135" t="s">
        <v>34</v>
      </c>
      <c r="J2135" t="s">
        <v>272</v>
      </c>
      <c r="K2135" t="s">
        <v>44</v>
      </c>
      <c r="L2135" t="s">
        <v>11065</v>
      </c>
      <c r="M2135" t="s">
        <v>11066</v>
      </c>
      <c r="N2135" t="s">
        <v>847</v>
      </c>
      <c r="O2135" t="s">
        <v>100</v>
      </c>
      <c r="P2135" t="s">
        <v>11067</v>
      </c>
      <c r="Q2135" t="s">
        <v>69</v>
      </c>
      <c r="R2135" t="s">
        <v>301</v>
      </c>
      <c r="S2135">
        <v>3.13</v>
      </c>
      <c r="T2135">
        <v>8022</v>
      </c>
      <c r="U2135">
        <v>0</v>
      </c>
      <c r="V2135">
        <v>8022</v>
      </c>
    </row>
    <row r="2136" spans="1:22" x14ac:dyDescent="0.3">
      <c r="A2136">
        <v>148303</v>
      </c>
      <c r="B2136">
        <v>136043792</v>
      </c>
      <c r="C2136" t="s">
        <v>11068</v>
      </c>
      <c r="D2136" t="s">
        <v>11069</v>
      </c>
      <c r="E2136" t="s">
        <v>10067</v>
      </c>
      <c r="F2136" t="s">
        <v>844</v>
      </c>
      <c r="G2136" t="s">
        <v>172</v>
      </c>
      <c r="H2136" t="s">
        <v>173</v>
      </c>
      <c r="I2136" t="s">
        <v>34</v>
      </c>
      <c r="J2136" t="s">
        <v>272</v>
      </c>
      <c r="K2136" t="s">
        <v>41</v>
      </c>
      <c r="L2136" t="s">
        <v>11070</v>
      </c>
      <c r="M2136" t="s">
        <v>11071</v>
      </c>
      <c r="N2136" t="s">
        <v>847</v>
      </c>
      <c r="O2136" t="s">
        <v>100</v>
      </c>
      <c r="P2136" t="s">
        <v>11072</v>
      </c>
      <c r="Q2136" t="s">
        <v>109</v>
      </c>
      <c r="R2136" t="s">
        <v>486</v>
      </c>
      <c r="S2136">
        <v>5.54</v>
      </c>
      <c r="T2136">
        <v>8849</v>
      </c>
      <c r="U2136">
        <v>0</v>
      </c>
      <c r="V2136">
        <v>8849</v>
      </c>
    </row>
    <row r="2137" spans="1:22" x14ac:dyDescent="0.3">
      <c r="A2137">
        <v>148303</v>
      </c>
      <c r="B2137">
        <v>136045302</v>
      </c>
      <c r="C2137" t="s">
        <v>11073</v>
      </c>
      <c r="D2137" t="s">
        <v>11074</v>
      </c>
      <c r="E2137" t="s">
        <v>10067</v>
      </c>
      <c r="F2137" t="s">
        <v>844</v>
      </c>
      <c r="G2137" t="s">
        <v>172</v>
      </c>
      <c r="H2137" t="s">
        <v>173</v>
      </c>
      <c r="I2137" t="s">
        <v>34</v>
      </c>
      <c r="J2137" t="s">
        <v>272</v>
      </c>
      <c r="K2137" t="s">
        <v>41</v>
      </c>
      <c r="L2137" t="s">
        <v>11075</v>
      </c>
      <c r="M2137" t="s">
        <v>11076</v>
      </c>
      <c r="N2137" t="s">
        <v>847</v>
      </c>
      <c r="O2137" t="s">
        <v>100</v>
      </c>
      <c r="P2137" t="s">
        <v>11077</v>
      </c>
      <c r="Q2137" t="s">
        <v>277</v>
      </c>
      <c r="R2137" t="s">
        <v>340</v>
      </c>
      <c r="S2137">
        <v>3.12</v>
      </c>
      <c r="T2137">
        <v>7943</v>
      </c>
      <c r="U2137">
        <v>0</v>
      </c>
      <c r="V2137">
        <v>7943</v>
      </c>
    </row>
    <row r="2138" spans="1:22" x14ac:dyDescent="0.3">
      <c r="A2138">
        <v>148303</v>
      </c>
      <c r="B2138">
        <v>136076874</v>
      </c>
      <c r="C2138" t="s">
        <v>11078</v>
      </c>
      <c r="D2138" t="s">
        <v>11079</v>
      </c>
      <c r="E2138" t="s">
        <v>10067</v>
      </c>
      <c r="F2138" t="s">
        <v>844</v>
      </c>
      <c r="G2138" t="s">
        <v>172</v>
      </c>
      <c r="H2138" t="s">
        <v>173</v>
      </c>
      <c r="I2138" t="s">
        <v>34</v>
      </c>
      <c r="J2138" t="s">
        <v>272</v>
      </c>
      <c r="K2138" t="s">
        <v>41</v>
      </c>
      <c r="L2138" t="s">
        <v>11080</v>
      </c>
      <c r="M2138" t="s">
        <v>11081</v>
      </c>
      <c r="N2138" t="s">
        <v>847</v>
      </c>
      <c r="O2138" t="s">
        <v>100</v>
      </c>
      <c r="P2138" t="s">
        <v>11082</v>
      </c>
      <c r="Q2138" t="s">
        <v>76</v>
      </c>
      <c r="R2138" t="s">
        <v>348</v>
      </c>
      <c r="S2138">
        <v>3.36</v>
      </c>
      <c r="T2138">
        <v>8022</v>
      </c>
      <c r="U2138">
        <v>0</v>
      </c>
      <c r="V2138">
        <v>8022</v>
      </c>
    </row>
    <row r="2139" spans="1:22" x14ac:dyDescent="0.3">
      <c r="A2139">
        <v>148303</v>
      </c>
      <c r="B2139">
        <v>136120381</v>
      </c>
      <c r="C2139" t="s">
        <v>11083</v>
      </c>
      <c r="D2139" t="s">
        <v>11084</v>
      </c>
      <c r="E2139" t="s">
        <v>10067</v>
      </c>
      <c r="F2139" t="s">
        <v>844</v>
      </c>
      <c r="G2139" t="s">
        <v>172</v>
      </c>
      <c r="H2139" t="s">
        <v>173</v>
      </c>
      <c r="I2139" t="s">
        <v>34</v>
      </c>
      <c r="J2139" t="s">
        <v>272</v>
      </c>
      <c r="K2139" t="s">
        <v>41</v>
      </c>
      <c r="L2139" t="s">
        <v>11085</v>
      </c>
      <c r="M2139" t="s">
        <v>11086</v>
      </c>
      <c r="N2139" t="s">
        <v>847</v>
      </c>
      <c r="O2139" t="s">
        <v>100</v>
      </c>
      <c r="P2139" t="s">
        <v>11087</v>
      </c>
      <c r="Q2139" t="s">
        <v>84</v>
      </c>
      <c r="R2139" t="s">
        <v>497</v>
      </c>
      <c r="S2139">
        <v>2.76</v>
      </c>
      <c r="T2139">
        <v>6800</v>
      </c>
      <c r="U2139">
        <v>0</v>
      </c>
      <c r="V2139">
        <v>6800</v>
      </c>
    </row>
    <row r="2140" spans="1:22" x14ac:dyDescent="0.3">
      <c r="A2140">
        <v>148303</v>
      </c>
      <c r="B2140">
        <v>136120499</v>
      </c>
      <c r="C2140" t="s">
        <v>11088</v>
      </c>
      <c r="D2140" t="s">
        <v>11089</v>
      </c>
      <c r="E2140" t="s">
        <v>10067</v>
      </c>
      <c r="F2140" t="s">
        <v>844</v>
      </c>
      <c r="G2140" t="s">
        <v>172</v>
      </c>
      <c r="H2140" t="s">
        <v>173</v>
      </c>
      <c r="I2140" t="s">
        <v>34</v>
      </c>
      <c r="J2140" t="s">
        <v>272</v>
      </c>
      <c r="K2140" t="s">
        <v>41</v>
      </c>
      <c r="L2140" t="s">
        <v>11090</v>
      </c>
      <c r="M2140" t="s">
        <v>11091</v>
      </c>
      <c r="N2140" t="s">
        <v>847</v>
      </c>
      <c r="O2140" t="s">
        <v>100</v>
      </c>
      <c r="P2140" t="s">
        <v>11092</v>
      </c>
      <c r="Q2140" t="s">
        <v>63</v>
      </c>
      <c r="R2140" t="s">
        <v>347</v>
      </c>
      <c r="S2140">
        <v>9.68</v>
      </c>
      <c r="T2140">
        <v>10447</v>
      </c>
      <c r="U2140">
        <v>0</v>
      </c>
      <c r="V2140">
        <v>10447</v>
      </c>
    </row>
    <row r="2141" spans="1:22" x14ac:dyDescent="0.3">
      <c r="A2141">
        <v>148303</v>
      </c>
      <c r="B2141">
        <v>136148359</v>
      </c>
      <c r="C2141" t="s">
        <v>11093</v>
      </c>
      <c r="D2141" t="s">
        <v>11094</v>
      </c>
      <c r="E2141" t="s">
        <v>10067</v>
      </c>
      <c r="F2141" t="s">
        <v>844</v>
      </c>
      <c r="G2141" t="s">
        <v>172</v>
      </c>
      <c r="H2141" t="s">
        <v>173</v>
      </c>
      <c r="I2141" t="s">
        <v>34</v>
      </c>
      <c r="J2141" t="s">
        <v>272</v>
      </c>
      <c r="K2141" t="s">
        <v>41</v>
      </c>
      <c r="L2141" t="s">
        <v>11095</v>
      </c>
      <c r="M2141" t="s">
        <v>11096</v>
      </c>
      <c r="N2141" t="s">
        <v>847</v>
      </c>
      <c r="O2141" t="s">
        <v>100</v>
      </c>
      <c r="P2141" t="s">
        <v>11097</v>
      </c>
      <c r="Q2141" t="s">
        <v>382</v>
      </c>
      <c r="R2141" t="s">
        <v>677</v>
      </c>
      <c r="S2141">
        <v>3.5</v>
      </c>
      <c r="T2141">
        <v>7224</v>
      </c>
      <c r="U2141">
        <v>0</v>
      </c>
      <c r="V2141">
        <v>7224</v>
      </c>
    </row>
    <row r="2142" spans="1:22" x14ac:dyDescent="0.3">
      <c r="A2142">
        <v>148303</v>
      </c>
      <c r="B2142">
        <v>136165548</v>
      </c>
      <c r="C2142" t="s">
        <v>11098</v>
      </c>
      <c r="D2142" t="s">
        <v>11099</v>
      </c>
      <c r="E2142" t="s">
        <v>10067</v>
      </c>
      <c r="F2142" t="s">
        <v>844</v>
      </c>
      <c r="G2142" t="s">
        <v>172</v>
      </c>
      <c r="H2142" t="s">
        <v>173</v>
      </c>
      <c r="I2142" t="s">
        <v>34</v>
      </c>
      <c r="J2142" t="s">
        <v>272</v>
      </c>
      <c r="K2142" t="s">
        <v>41</v>
      </c>
      <c r="L2142" t="s">
        <v>11100</v>
      </c>
      <c r="M2142" t="s">
        <v>11101</v>
      </c>
      <c r="N2142" t="s">
        <v>847</v>
      </c>
      <c r="O2142" t="s">
        <v>100</v>
      </c>
      <c r="P2142" t="s">
        <v>11102</v>
      </c>
      <c r="Q2142" t="s">
        <v>109</v>
      </c>
      <c r="R2142" t="s">
        <v>128</v>
      </c>
      <c r="S2142">
        <v>4.99</v>
      </c>
      <c r="T2142">
        <v>8849</v>
      </c>
      <c r="U2142">
        <v>0</v>
      </c>
      <c r="V2142">
        <v>8849</v>
      </c>
    </row>
    <row r="2143" spans="1:22" x14ac:dyDescent="0.3">
      <c r="A2143">
        <v>148303</v>
      </c>
      <c r="B2143">
        <v>136209152</v>
      </c>
      <c r="C2143" t="s">
        <v>11103</v>
      </c>
      <c r="D2143" t="s">
        <v>11104</v>
      </c>
      <c r="E2143" t="s">
        <v>10067</v>
      </c>
      <c r="F2143" t="s">
        <v>844</v>
      </c>
      <c r="G2143" t="s">
        <v>172</v>
      </c>
      <c r="H2143" t="s">
        <v>173</v>
      </c>
      <c r="I2143" t="s">
        <v>34</v>
      </c>
      <c r="J2143" t="s">
        <v>272</v>
      </c>
      <c r="K2143" t="s">
        <v>41</v>
      </c>
      <c r="L2143" t="s">
        <v>11105</v>
      </c>
      <c r="M2143" t="s">
        <v>11106</v>
      </c>
      <c r="N2143" t="s">
        <v>847</v>
      </c>
      <c r="O2143" t="s">
        <v>100</v>
      </c>
      <c r="P2143" t="s">
        <v>11107</v>
      </c>
      <c r="Q2143" t="s">
        <v>49</v>
      </c>
      <c r="R2143" t="s">
        <v>397</v>
      </c>
      <c r="S2143">
        <v>2.89</v>
      </c>
      <c r="T2143">
        <v>8101</v>
      </c>
      <c r="U2143">
        <v>0</v>
      </c>
      <c r="V2143">
        <v>8101</v>
      </c>
    </row>
    <row r="2144" spans="1:22" x14ac:dyDescent="0.3">
      <c r="A2144">
        <v>148303</v>
      </c>
      <c r="B2144">
        <v>136209796</v>
      </c>
      <c r="C2144" t="s">
        <v>11108</v>
      </c>
      <c r="D2144" t="s">
        <v>11109</v>
      </c>
      <c r="E2144" t="s">
        <v>10067</v>
      </c>
      <c r="F2144" t="s">
        <v>844</v>
      </c>
      <c r="G2144" t="s">
        <v>172</v>
      </c>
      <c r="H2144" t="s">
        <v>173</v>
      </c>
      <c r="I2144" t="s">
        <v>34</v>
      </c>
      <c r="J2144" t="s">
        <v>272</v>
      </c>
      <c r="K2144" t="s">
        <v>41</v>
      </c>
      <c r="L2144" t="s">
        <v>11110</v>
      </c>
      <c r="M2144" t="s">
        <v>11111</v>
      </c>
      <c r="N2144" t="s">
        <v>847</v>
      </c>
      <c r="O2144" t="s">
        <v>100</v>
      </c>
      <c r="P2144" t="s">
        <v>11112</v>
      </c>
      <c r="Q2144" t="s">
        <v>92</v>
      </c>
      <c r="R2144" t="s">
        <v>719</v>
      </c>
      <c r="S2144">
        <v>5.56</v>
      </c>
      <c r="T2144">
        <v>7224</v>
      </c>
      <c r="U2144">
        <v>0</v>
      </c>
      <c r="V2144">
        <v>7224</v>
      </c>
    </row>
    <row r="2145" spans="1:22" x14ac:dyDescent="0.3">
      <c r="A2145">
        <v>148303</v>
      </c>
      <c r="B2145">
        <v>135989415</v>
      </c>
      <c r="C2145" t="s">
        <v>11113</v>
      </c>
      <c r="D2145" t="s">
        <v>11114</v>
      </c>
      <c r="E2145" t="s">
        <v>10067</v>
      </c>
      <c r="F2145" t="s">
        <v>844</v>
      </c>
      <c r="G2145" t="s">
        <v>172</v>
      </c>
      <c r="H2145" t="s">
        <v>173</v>
      </c>
      <c r="I2145" t="s">
        <v>34</v>
      </c>
      <c r="J2145" t="s">
        <v>272</v>
      </c>
      <c r="K2145" t="s">
        <v>41</v>
      </c>
      <c r="L2145" t="s">
        <v>11115</v>
      </c>
      <c r="M2145" t="s">
        <v>11116</v>
      </c>
      <c r="N2145" t="s">
        <v>847</v>
      </c>
      <c r="O2145" t="s">
        <v>100</v>
      </c>
      <c r="P2145" t="s">
        <v>11117</v>
      </c>
      <c r="Q2145" t="s">
        <v>109</v>
      </c>
      <c r="R2145" t="s">
        <v>343</v>
      </c>
      <c r="S2145">
        <v>9.2899999999999991</v>
      </c>
      <c r="T2145">
        <v>11104</v>
      </c>
      <c r="U2145">
        <v>0</v>
      </c>
      <c r="V2145">
        <v>11104</v>
      </c>
    </row>
    <row r="2146" spans="1:22" x14ac:dyDescent="0.3">
      <c r="A2146">
        <v>148303</v>
      </c>
      <c r="B2146">
        <v>135994678</v>
      </c>
      <c r="C2146" t="s">
        <v>11118</v>
      </c>
      <c r="D2146" t="s">
        <v>11119</v>
      </c>
      <c r="E2146" t="s">
        <v>10067</v>
      </c>
      <c r="F2146" t="s">
        <v>844</v>
      </c>
      <c r="G2146" t="s">
        <v>172</v>
      </c>
      <c r="H2146" t="s">
        <v>173</v>
      </c>
      <c r="I2146" t="s">
        <v>34</v>
      </c>
      <c r="J2146" t="s">
        <v>272</v>
      </c>
      <c r="K2146" t="s">
        <v>41</v>
      </c>
      <c r="L2146" t="s">
        <v>11120</v>
      </c>
      <c r="M2146" t="s">
        <v>746</v>
      </c>
      <c r="N2146" t="s">
        <v>847</v>
      </c>
      <c r="O2146" t="s">
        <v>100</v>
      </c>
      <c r="P2146" t="s">
        <v>11121</v>
      </c>
      <c r="Q2146" t="s">
        <v>84</v>
      </c>
      <c r="R2146" t="s">
        <v>492</v>
      </c>
      <c r="S2146">
        <v>10.84</v>
      </c>
      <c r="T2146">
        <v>10008</v>
      </c>
      <c r="U2146">
        <v>0</v>
      </c>
      <c r="V2146">
        <v>10008</v>
      </c>
    </row>
    <row r="2147" spans="1:22" x14ac:dyDescent="0.3">
      <c r="A2147">
        <v>148303</v>
      </c>
      <c r="B2147">
        <v>136212398</v>
      </c>
      <c r="C2147" t="s">
        <v>11122</v>
      </c>
      <c r="D2147" t="s">
        <v>11123</v>
      </c>
      <c r="E2147" t="s">
        <v>10067</v>
      </c>
      <c r="F2147" t="s">
        <v>844</v>
      </c>
      <c r="G2147" t="s">
        <v>172</v>
      </c>
      <c r="H2147" t="s">
        <v>173</v>
      </c>
      <c r="I2147" t="s">
        <v>34</v>
      </c>
      <c r="J2147" t="s">
        <v>272</v>
      </c>
      <c r="K2147" t="s">
        <v>41</v>
      </c>
      <c r="L2147" t="s">
        <v>11124</v>
      </c>
      <c r="M2147" t="s">
        <v>11125</v>
      </c>
      <c r="N2147" t="s">
        <v>847</v>
      </c>
      <c r="O2147" t="s">
        <v>100</v>
      </c>
      <c r="P2147" t="s">
        <v>11126</v>
      </c>
      <c r="Q2147" t="s">
        <v>55</v>
      </c>
      <c r="R2147" t="s">
        <v>483</v>
      </c>
      <c r="S2147">
        <v>3.61</v>
      </c>
      <c r="T2147">
        <v>10083</v>
      </c>
      <c r="U2147">
        <v>0</v>
      </c>
      <c r="V2147">
        <v>10083</v>
      </c>
    </row>
    <row r="2148" spans="1:22" x14ac:dyDescent="0.3">
      <c r="A2148">
        <v>148303</v>
      </c>
      <c r="B2148">
        <v>136214318</v>
      </c>
      <c r="C2148" t="s">
        <v>11127</v>
      </c>
      <c r="D2148" t="s">
        <v>11128</v>
      </c>
      <c r="E2148" t="s">
        <v>10067</v>
      </c>
      <c r="F2148" t="s">
        <v>844</v>
      </c>
      <c r="G2148" t="s">
        <v>172</v>
      </c>
      <c r="H2148" t="s">
        <v>173</v>
      </c>
      <c r="I2148" t="s">
        <v>34</v>
      </c>
      <c r="J2148" t="s">
        <v>272</v>
      </c>
      <c r="K2148" t="s">
        <v>41</v>
      </c>
      <c r="L2148" t="s">
        <v>11129</v>
      </c>
      <c r="M2148" t="s">
        <v>11130</v>
      </c>
      <c r="N2148" t="s">
        <v>847</v>
      </c>
      <c r="O2148" t="s">
        <v>100</v>
      </c>
      <c r="P2148" t="s">
        <v>11131</v>
      </c>
      <c r="Q2148" t="s">
        <v>84</v>
      </c>
      <c r="R2148" t="s">
        <v>11132</v>
      </c>
      <c r="S2148">
        <v>3</v>
      </c>
      <c r="T2148">
        <v>6800</v>
      </c>
      <c r="U2148">
        <v>0</v>
      </c>
      <c r="V2148">
        <v>6800</v>
      </c>
    </row>
    <row r="2149" spans="1:22" x14ac:dyDescent="0.3">
      <c r="A2149">
        <v>148303</v>
      </c>
      <c r="B2149">
        <v>136234687</v>
      </c>
      <c r="C2149" t="s">
        <v>11133</v>
      </c>
      <c r="D2149" t="s">
        <v>11134</v>
      </c>
      <c r="E2149" t="s">
        <v>10067</v>
      </c>
      <c r="F2149" t="s">
        <v>844</v>
      </c>
      <c r="G2149" t="s">
        <v>172</v>
      </c>
      <c r="H2149" t="s">
        <v>173</v>
      </c>
      <c r="I2149" t="s">
        <v>34</v>
      </c>
      <c r="J2149" t="s">
        <v>272</v>
      </c>
      <c r="K2149" t="s">
        <v>41</v>
      </c>
      <c r="L2149" t="s">
        <v>11135</v>
      </c>
      <c r="M2149" t="s">
        <v>11136</v>
      </c>
      <c r="N2149" t="s">
        <v>847</v>
      </c>
      <c r="O2149" t="s">
        <v>100</v>
      </c>
      <c r="P2149" t="s">
        <v>11137</v>
      </c>
      <c r="Q2149" t="s">
        <v>87</v>
      </c>
      <c r="R2149" t="s">
        <v>601</v>
      </c>
      <c r="S2149">
        <v>2.78</v>
      </c>
      <c r="T2149">
        <v>7015</v>
      </c>
      <c r="U2149">
        <v>0</v>
      </c>
      <c r="V2149">
        <v>7015</v>
      </c>
    </row>
    <row r="2150" spans="1:22" x14ac:dyDescent="0.3">
      <c r="A2150">
        <v>148303</v>
      </c>
      <c r="B2150">
        <v>136239001</v>
      </c>
      <c r="C2150" t="s">
        <v>11138</v>
      </c>
      <c r="D2150" t="s">
        <v>11139</v>
      </c>
      <c r="E2150" t="s">
        <v>10067</v>
      </c>
      <c r="F2150" t="s">
        <v>844</v>
      </c>
      <c r="G2150" t="s">
        <v>172</v>
      </c>
      <c r="H2150" t="s">
        <v>173</v>
      </c>
      <c r="I2150" t="s">
        <v>34</v>
      </c>
      <c r="J2150" t="s">
        <v>272</v>
      </c>
      <c r="K2150" t="s">
        <v>41</v>
      </c>
      <c r="L2150" t="s">
        <v>11140</v>
      </c>
      <c r="M2150" t="s">
        <v>11141</v>
      </c>
      <c r="N2150" t="s">
        <v>847</v>
      </c>
      <c r="O2150" t="s">
        <v>100</v>
      </c>
      <c r="P2150" t="s">
        <v>11142</v>
      </c>
      <c r="Q2150" t="s">
        <v>57</v>
      </c>
      <c r="R2150" t="s">
        <v>481</v>
      </c>
      <c r="S2150">
        <v>4.82</v>
      </c>
      <c r="T2150">
        <v>10722</v>
      </c>
      <c r="U2150">
        <v>0</v>
      </c>
      <c r="V2150">
        <v>10722</v>
      </c>
    </row>
    <row r="2151" spans="1:22" x14ac:dyDescent="0.3">
      <c r="A2151">
        <v>148303</v>
      </c>
      <c r="B2151">
        <v>136249655</v>
      </c>
      <c r="C2151" t="s">
        <v>11143</v>
      </c>
      <c r="D2151" t="s">
        <v>11144</v>
      </c>
      <c r="E2151" t="s">
        <v>10067</v>
      </c>
      <c r="F2151" t="s">
        <v>844</v>
      </c>
      <c r="G2151" t="s">
        <v>172</v>
      </c>
      <c r="H2151" t="s">
        <v>173</v>
      </c>
      <c r="I2151" t="s">
        <v>34</v>
      </c>
      <c r="J2151" t="s">
        <v>272</v>
      </c>
      <c r="K2151" t="s">
        <v>41</v>
      </c>
      <c r="L2151" t="s">
        <v>11145</v>
      </c>
      <c r="M2151" t="s">
        <v>11146</v>
      </c>
      <c r="N2151" t="s">
        <v>847</v>
      </c>
      <c r="O2151" t="s">
        <v>100</v>
      </c>
      <c r="P2151" t="s">
        <v>11147</v>
      </c>
      <c r="Q2151" t="s">
        <v>63</v>
      </c>
      <c r="R2151" t="s">
        <v>11148</v>
      </c>
      <c r="S2151">
        <v>4.28</v>
      </c>
      <c r="T2151">
        <v>8439</v>
      </c>
      <c r="U2151">
        <v>0</v>
      </c>
      <c r="V2151">
        <v>8439</v>
      </c>
    </row>
    <row r="2152" spans="1:22" x14ac:dyDescent="0.3">
      <c r="A2152">
        <v>148303</v>
      </c>
      <c r="B2152">
        <v>136238245</v>
      </c>
      <c r="C2152" t="s">
        <v>11149</v>
      </c>
      <c r="D2152" t="s">
        <v>11150</v>
      </c>
      <c r="E2152" t="s">
        <v>10067</v>
      </c>
      <c r="F2152" t="s">
        <v>844</v>
      </c>
      <c r="G2152" t="s">
        <v>172</v>
      </c>
      <c r="H2152" t="s">
        <v>173</v>
      </c>
      <c r="I2152" t="s">
        <v>34</v>
      </c>
      <c r="J2152" t="s">
        <v>272</v>
      </c>
      <c r="K2152" t="s">
        <v>41</v>
      </c>
      <c r="L2152" t="s">
        <v>11151</v>
      </c>
      <c r="M2152" t="s">
        <v>11152</v>
      </c>
      <c r="N2152" t="s">
        <v>847</v>
      </c>
      <c r="O2152" t="s">
        <v>100</v>
      </c>
      <c r="P2152" t="s">
        <v>11153</v>
      </c>
      <c r="Q2152" t="s">
        <v>62</v>
      </c>
      <c r="R2152" t="s">
        <v>11154</v>
      </c>
      <c r="S2152">
        <v>12.24</v>
      </c>
      <c r="T2152">
        <v>15475</v>
      </c>
      <c r="U2152">
        <v>0</v>
      </c>
      <c r="V2152">
        <v>15475</v>
      </c>
    </row>
    <row r="2153" spans="1:22" x14ac:dyDescent="0.3">
      <c r="A2153">
        <v>148303</v>
      </c>
      <c r="B2153">
        <v>136303119</v>
      </c>
      <c r="C2153" t="s">
        <v>11155</v>
      </c>
      <c r="D2153" t="s">
        <v>11156</v>
      </c>
      <c r="E2153" t="s">
        <v>10067</v>
      </c>
      <c r="F2153" t="s">
        <v>844</v>
      </c>
      <c r="G2153" t="s">
        <v>172</v>
      </c>
      <c r="H2153" t="s">
        <v>173</v>
      </c>
      <c r="I2153" t="s">
        <v>34</v>
      </c>
      <c r="J2153" t="s">
        <v>272</v>
      </c>
      <c r="K2153" t="s">
        <v>41</v>
      </c>
      <c r="L2153" t="s">
        <v>11157</v>
      </c>
      <c r="M2153" t="s">
        <v>11158</v>
      </c>
      <c r="N2153" t="s">
        <v>847</v>
      </c>
      <c r="O2153" t="s">
        <v>100</v>
      </c>
      <c r="P2153" t="s">
        <v>11159</v>
      </c>
      <c r="Q2153" t="s">
        <v>84</v>
      </c>
      <c r="R2153" t="s">
        <v>600</v>
      </c>
      <c r="S2153">
        <v>3.11</v>
      </c>
      <c r="T2153">
        <v>7129</v>
      </c>
      <c r="U2153">
        <v>0</v>
      </c>
      <c r="V2153">
        <v>7129</v>
      </c>
    </row>
    <row r="2154" spans="1:22" x14ac:dyDescent="0.3">
      <c r="A2154">
        <v>148303</v>
      </c>
      <c r="B2154">
        <v>135864077</v>
      </c>
      <c r="C2154" t="s">
        <v>11160</v>
      </c>
      <c r="D2154" t="s">
        <v>11161</v>
      </c>
      <c r="E2154" t="s">
        <v>10067</v>
      </c>
      <c r="F2154" t="s">
        <v>844</v>
      </c>
      <c r="G2154" t="s">
        <v>172</v>
      </c>
      <c r="H2154" t="s">
        <v>173</v>
      </c>
      <c r="I2154" t="s">
        <v>34</v>
      </c>
      <c r="J2154" t="s">
        <v>272</v>
      </c>
      <c r="K2154" t="s">
        <v>41</v>
      </c>
      <c r="L2154" t="s">
        <v>174</v>
      </c>
      <c r="M2154" t="s">
        <v>11162</v>
      </c>
      <c r="N2154" t="s">
        <v>847</v>
      </c>
      <c r="O2154" t="s">
        <v>100</v>
      </c>
      <c r="P2154" t="s">
        <v>11163</v>
      </c>
      <c r="Q2154" t="s">
        <v>114</v>
      </c>
      <c r="R2154" t="s">
        <v>11164</v>
      </c>
      <c r="S2154">
        <v>2.71</v>
      </c>
      <c r="T2154">
        <v>7015</v>
      </c>
      <c r="U2154">
        <v>0</v>
      </c>
      <c r="V2154">
        <v>7015</v>
      </c>
    </row>
    <row r="2155" spans="1:22" x14ac:dyDescent="0.3">
      <c r="A2155">
        <v>148303</v>
      </c>
      <c r="B2155">
        <v>135871054</v>
      </c>
      <c r="C2155" t="s">
        <v>11165</v>
      </c>
      <c r="D2155" t="s">
        <v>11166</v>
      </c>
      <c r="E2155" t="s">
        <v>10067</v>
      </c>
      <c r="F2155" t="s">
        <v>844</v>
      </c>
      <c r="G2155" t="s">
        <v>172</v>
      </c>
      <c r="H2155" t="s">
        <v>173</v>
      </c>
      <c r="I2155" t="s">
        <v>34</v>
      </c>
      <c r="J2155" t="s">
        <v>272</v>
      </c>
      <c r="K2155" t="s">
        <v>41</v>
      </c>
      <c r="L2155" t="s">
        <v>174</v>
      </c>
      <c r="M2155" t="s">
        <v>11167</v>
      </c>
      <c r="N2155" t="s">
        <v>847</v>
      </c>
      <c r="O2155" t="s">
        <v>100</v>
      </c>
      <c r="P2155" t="s">
        <v>11168</v>
      </c>
      <c r="Q2155" t="s">
        <v>94</v>
      </c>
      <c r="R2155" t="s">
        <v>380</v>
      </c>
      <c r="S2155">
        <v>2.11</v>
      </c>
      <c r="T2155">
        <v>6800</v>
      </c>
      <c r="U2155">
        <v>0</v>
      </c>
      <c r="V2155">
        <v>6800</v>
      </c>
    </row>
    <row r="2156" spans="1:22" x14ac:dyDescent="0.3">
      <c r="A2156">
        <v>148303</v>
      </c>
      <c r="B2156">
        <v>135872437</v>
      </c>
      <c r="C2156" t="s">
        <v>11169</v>
      </c>
      <c r="D2156" t="s">
        <v>11170</v>
      </c>
      <c r="E2156" t="s">
        <v>10067</v>
      </c>
      <c r="F2156" t="s">
        <v>844</v>
      </c>
      <c r="G2156" t="s">
        <v>172</v>
      </c>
      <c r="H2156" t="s">
        <v>173</v>
      </c>
      <c r="I2156" t="s">
        <v>34</v>
      </c>
      <c r="J2156" t="s">
        <v>272</v>
      </c>
      <c r="K2156" t="s">
        <v>41</v>
      </c>
      <c r="L2156" t="s">
        <v>174</v>
      </c>
      <c r="M2156" t="s">
        <v>11171</v>
      </c>
      <c r="N2156" t="s">
        <v>847</v>
      </c>
      <c r="O2156" t="s">
        <v>100</v>
      </c>
      <c r="P2156" t="s">
        <v>11172</v>
      </c>
      <c r="Q2156" t="s">
        <v>105</v>
      </c>
      <c r="R2156" t="s">
        <v>11173</v>
      </c>
      <c r="S2156">
        <v>2.48</v>
      </c>
      <c r="T2156">
        <v>6708</v>
      </c>
      <c r="U2156">
        <v>0</v>
      </c>
      <c r="V2156">
        <v>6708</v>
      </c>
    </row>
    <row r="2157" spans="1:22" x14ac:dyDescent="0.3">
      <c r="A2157">
        <v>148303</v>
      </c>
      <c r="B2157">
        <v>135872787</v>
      </c>
      <c r="C2157" t="s">
        <v>11174</v>
      </c>
      <c r="D2157" t="s">
        <v>11175</v>
      </c>
      <c r="E2157" t="s">
        <v>10067</v>
      </c>
      <c r="F2157" t="s">
        <v>844</v>
      </c>
      <c r="G2157" t="s">
        <v>172</v>
      </c>
      <c r="H2157" t="s">
        <v>173</v>
      </c>
      <c r="I2157" t="s">
        <v>34</v>
      </c>
      <c r="J2157" t="s">
        <v>272</v>
      </c>
      <c r="K2157" t="s">
        <v>41</v>
      </c>
      <c r="L2157" t="s">
        <v>174</v>
      </c>
      <c r="M2157" t="s">
        <v>11176</v>
      </c>
      <c r="N2157" t="s">
        <v>847</v>
      </c>
      <c r="O2157" t="s">
        <v>100</v>
      </c>
      <c r="P2157" t="s">
        <v>11177</v>
      </c>
      <c r="Q2157" t="s">
        <v>237</v>
      </c>
      <c r="R2157" t="s">
        <v>300</v>
      </c>
      <c r="S2157">
        <v>3.49</v>
      </c>
      <c r="T2157">
        <v>6998</v>
      </c>
      <c r="U2157">
        <v>0</v>
      </c>
      <c r="V2157">
        <v>6998</v>
      </c>
    </row>
    <row r="2158" spans="1:22" x14ac:dyDescent="0.3">
      <c r="A2158">
        <v>148303</v>
      </c>
      <c r="B2158">
        <v>135880642</v>
      </c>
      <c r="C2158" t="s">
        <v>11178</v>
      </c>
      <c r="D2158" t="s">
        <v>11179</v>
      </c>
      <c r="E2158" t="s">
        <v>10067</v>
      </c>
      <c r="F2158" t="s">
        <v>844</v>
      </c>
      <c r="G2158" t="s">
        <v>172</v>
      </c>
      <c r="H2158" t="s">
        <v>173</v>
      </c>
      <c r="I2158" t="s">
        <v>34</v>
      </c>
      <c r="J2158" t="s">
        <v>272</v>
      </c>
      <c r="K2158" t="s">
        <v>41</v>
      </c>
      <c r="L2158" t="s">
        <v>174</v>
      </c>
      <c r="M2158" t="s">
        <v>11180</v>
      </c>
      <c r="N2158" t="s">
        <v>847</v>
      </c>
      <c r="O2158" t="s">
        <v>100</v>
      </c>
      <c r="P2158" t="s">
        <v>11181</v>
      </c>
      <c r="Q2158" t="s">
        <v>86</v>
      </c>
      <c r="R2158" t="s">
        <v>620</v>
      </c>
      <c r="S2158">
        <v>1.45</v>
      </c>
      <c r="T2158">
        <v>5992</v>
      </c>
      <c r="U2158">
        <v>0</v>
      </c>
      <c r="V2158">
        <v>5992</v>
      </c>
    </row>
    <row r="2159" spans="1:22" x14ac:dyDescent="0.3">
      <c r="A2159">
        <v>148303</v>
      </c>
      <c r="B2159">
        <v>135884995</v>
      </c>
      <c r="C2159" t="s">
        <v>11182</v>
      </c>
      <c r="D2159" t="s">
        <v>11183</v>
      </c>
      <c r="E2159" t="s">
        <v>10067</v>
      </c>
      <c r="F2159" t="s">
        <v>844</v>
      </c>
      <c r="G2159" t="s">
        <v>172</v>
      </c>
      <c r="H2159" t="s">
        <v>173</v>
      </c>
      <c r="I2159" t="s">
        <v>34</v>
      </c>
      <c r="J2159" t="s">
        <v>272</v>
      </c>
      <c r="K2159" t="s">
        <v>41</v>
      </c>
      <c r="L2159" t="s">
        <v>174</v>
      </c>
      <c r="M2159" t="s">
        <v>722</v>
      </c>
      <c r="N2159" t="s">
        <v>847</v>
      </c>
      <c r="O2159" t="s">
        <v>100</v>
      </c>
      <c r="P2159" t="s">
        <v>11184</v>
      </c>
      <c r="Q2159" t="s">
        <v>311</v>
      </c>
      <c r="R2159" t="s">
        <v>11185</v>
      </c>
      <c r="S2159">
        <v>2.38</v>
      </c>
      <c r="T2159">
        <v>6708</v>
      </c>
      <c r="U2159">
        <v>0</v>
      </c>
      <c r="V2159">
        <v>6708</v>
      </c>
    </row>
    <row r="2160" spans="1:22" x14ac:dyDescent="0.3">
      <c r="A2160">
        <v>148303</v>
      </c>
      <c r="B2160">
        <v>135889190</v>
      </c>
      <c r="C2160" t="s">
        <v>11186</v>
      </c>
      <c r="D2160" t="s">
        <v>11187</v>
      </c>
      <c r="E2160" t="s">
        <v>10067</v>
      </c>
      <c r="F2160" t="s">
        <v>844</v>
      </c>
      <c r="G2160" t="s">
        <v>172</v>
      </c>
      <c r="H2160" t="s">
        <v>173</v>
      </c>
      <c r="I2160" t="s">
        <v>34</v>
      </c>
      <c r="J2160" t="s">
        <v>272</v>
      </c>
      <c r="K2160" t="s">
        <v>41</v>
      </c>
      <c r="L2160" t="s">
        <v>174</v>
      </c>
      <c r="M2160" t="s">
        <v>11188</v>
      </c>
      <c r="N2160" t="s">
        <v>847</v>
      </c>
      <c r="O2160" t="s">
        <v>100</v>
      </c>
      <c r="P2160" t="s">
        <v>11189</v>
      </c>
      <c r="Q2160" t="s">
        <v>349</v>
      </c>
      <c r="R2160" t="s">
        <v>776</v>
      </c>
      <c r="S2160">
        <v>3.56</v>
      </c>
      <c r="T2160">
        <v>7224</v>
      </c>
      <c r="U2160">
        <v>0</v>
      </c>
      <c r="V2160">
        <v>7224</v>
      </c>
    </row>
    <row r="2161" spans="1:22" x14ac:dyDescent="0.3">
      <c r="A2161">
        <v>148303</v>
      </c>
      <c r="B2161">
        <v>135893316</v>
      </c>
      <c r="C2161" t="s">
        <v>11190</v>
      </c>
      <c r="D2161" t="s">
        <v>11191</v>
      </c>
      <c r="E2161" t="s">
        <v>10067</v>
      </c>
      <c r="F2161" t="s">
        <v>844</v>
      </c>
      <c r="G2161" t="s">
        <v>172</v>
      </c>
      <c r="H2161" t="s">
        <v>173</v>
      </c>
      <c r="I2161" t="s">
        <v>34</v>
      </c>
      <c r="J2161" t="s">
        <v>272</v>
      </c>
      <c r="K2161" t="s">
        <v>41</v>
      </c>
      <c r="L2161" t="s">
        <v>174</v>
      </c>
      <c r="M2161" t="s">
        <v>11192</v>
      </c>
      <c r="N2161" t="s">
        <v>847</v>
      </c>
      <c r="O2161" t="s">
        <v>100</v>
      </c>
      <c r="P2161" t="s">
        <v>11193</v>
      </c>
      <c r="Q2161" t="s">
        <v>191</v>
      </c>
      <c r="R2161" t="s">
        <v>11194</v>
      </c>
      <c r="S2161">
        <v>3.65</v>
      </c>
      <c r="T2161">
        <v>7943</v>
      </c>
      <c r="U2161">
        <v>0</v>
      </c>
      <c r="V2161">
        <v>7943</v>
      </c>
    </row>
    <row r="2162" spans="1:22" x14ac:dyDescent="0.3">
      <c r="A2162">
        <v>148303</v>
      </c>
      <c r="B2162">
        <v>135895399</v>
      </c>
      <c r="C2162" t="s">
        <v>11195</v>
      </c>
      <c r="D2162" t="s">
        <v>11196</v>
      </c>
      <c r="E2162" t="s">
        <v>10067</v>
      </c>
      <c r="F2162" t="s">
        <v>844</v>
      </c>
      <c r="G2162" t="s">
        <v>172</v>
      </c>
      <c r="H2162" t="s">
        <v>173</v>
      </c>
      <c r="I2162" t="s">
        <v>34</v>
      </c>
      <c r="J2162" t="s">
        <v>272</v>
      </c>
      <c r="K2162" t="s">
        <v>41</v>
      </c>
      <c r="L2162" t="s">
        <v>174</v>
      </c>
      <c r="M2162" t="s">
        <v>160</v>
      </c>
      <c r="N2162" t="s">
        <v>847</v>
      </c>
      <c r="O2162" t="s">
        <v>100</v>
      </c>
      <c r="P2162" t="s">
        <v>11197</v>
      </c>
      <c r="Q2162" t="s">
        <v>60</v>
      </c>
      <c r="R2162" t="s">
        <v>11198</v>
      </c>
      <c r="S2162">
        <v>2.4300000000000002</v>
      </c>
      <c r="T2162">
        <v>8940</v>
      </c>
      <c r="U2162">
        <v>0</v>
      </c>
      <c r="V2162">
        <v>8940</v>
      </c>
    </row>
    <row r="2163" spans="1:22" x14ac:dyDescent="0.3">
      <c r="A2163">
        <v>148303</v>
      </c>
      <c r="B2163">
        <v>135898233</v>
      </c>
      <c r="C2163" t="s">
        <v>11199</v>
      </c>
      <c r="D2163" t="s">
        <v>11200</v>
      </c>
      <c r="E2163" t="s">
        <v>10067</v>
      </c>
      <c r="F2163" t="s">
        <v>844</v>
      </c>
      <c r="G2163" t="s">
        <v>172</v>
      </c>
      <c r="H2163" t="s">
        <v>173</v>
      </c>
      <c r="I2163" t="s">
        <v>34</v>
      </c>
      <c r="J2163" t="s">
        <v>272</v>
      </c>
      <c r="K2163" t="s">
        <v>41</v>
      </c>
      <c r="L2163" t="s">
        <v>174</v>
      </c>
      <c r="M2163" t="s">
        <v>11201</v>
      </c>
      <c r="N2163" t="s">
        <v>847</v>
      </c>
      <c r="O2163" t="s">
        <v>100</v>
      </c>
      <c r="P2163" t="s">
        <v>11202</v>
      </c>
      <c r="Q2163" t="s">
        <v>50</v>
      </c>
      <c r="R2163" t="s">
        <v>807</v>
      </c>
      <c r="S2163">
        <v>1.52</v>
      </c>
      <c r="T2163">
        <v>8230</v>
      </c>
      <c r="U2163">
        <v>0</v>
      </c>
      <c r="V2163">
        <v>8230</v>
      </c>
    </row>
    <row r="2164" spans="1:22" x14ac:dyDescent="0.3">
      <c r="A2164">
        <v>148303</v>
      </c>
      <c r="B2164">
        <v>135917948</v>
      </c>
      <c r="C2164" t="s">
        <v>11203</v>
      </c>
      <c r="D2164" t="s">
        <v>11204</v>
      </c>
      <c r="E2164" t="s">
        <v>10067</v>
      </c>
      <c r="F2164" t="s">
        <v>844</v>
      </c>
      <c r="G2164" t="s">
        <v>172</v>
      </c>
      <c r="H2164" t="s">
        <v>173</v>
      </c>
      <c r="I2164" t="s">
        <v>34</v>
      </c>
      <c r="J2164" t="s">
        <v>272</v>
      </c>
      <c r="K2164" t="s">
        <v>41</v>
      </c>
      <c r="L2164" t="s">
        <v>174</v>
      </c>
      <c r="M2164" t="s">
        <v>11205</v>
      </c>
      <c r="N2164" t="s">
        <v>847</v>
      </c>
      <c r="O2164" t="s">
        <v>100</v>
      </c>
      <c r="P2164" t="s">
        <v>11206</v>
      </c>
      <c r="Q2164" t="s">
        <v>72</v>
      </c>
      <c r="R2164" t="s">
        <v>613</v>
      </c>
      <c r="S2164">
        <v>2.75</v>
      </c>
      <c r="T2164">
        <v>8101</v>
      </c>
      <c r="U2164">
        <v>0</v>
      </c>
      <c r="V2164">
        <v>8101</v>
      </c>
    </row>
    <row r="2165" spans="1:22" x14ac:dyDescent="0.3">
      <c r="A2165">
        <v>148303</v>
      </c>
      <c r="B2165">
        <v>135926178</v>
      </c>
      <c r="C2165" t="s">
        <v>11207</v>
      </c>
      <c r="D2165" t="s">
        <v>11208</v>
      </c>
      <c r="E2165" t="s">
        <v>10067</v>
      </c>
      <c r="F2165" t="s">
        <v>844</v>
      </c>
      <c r="G2165" t="s">
        <v>172</v>
      </c>
      <c r="H2165" t="s">
        <v>173</v>
      </c>
      <c r="I2165" t="s">
        <v>34</v>
      </c>
      <c r="J2165" t="s">
        <v>272</v>
      </c>
      <c r="K2165" t="s">
        <v>41</v>
      </c>
      <c r="L2165" t="s">
        <v>174</v>
      </c>
      <c r="M2165" t="s">
        <v>11209</v>
      </c>
      <c r="N2165" t="s">
        <v>847</v>
      </c>
      <c r="O2165" t="s">
        <v>100</v>
      </c>
      <c r="P2165" t="s">
        <v>11210</v>
      </c>
      <c r="Q2165" t="s">
        <v>214</v>
      </c>
      <c r="R2165" t="s">
        <v>11211</v>
      </c>
      <c r="S2165">
        <v>1.43</v>
      </c>
      <c r="T2165">
        <v>6064</v>
      </c>
      <c r="U2165">
        <v>0</v>
      </c>
      <c r="V2165">
        <v>6064</v>
      </c>
    </row>
    <row r="2166" spans="1:22" x14ac:dyDescent="0.3">
      <c r="A2166">
        <v>148303</v>
      </c>
      <c r="B2166">
        <v>135936250</v>
      </c>
      <c r="C2166" t="s">
        <v>11212</v>
      </c>
      <c r="D2166" t="s">
        <v>11213</v>
      </c>
      <c r="E2166" t="s">
        <v>10067</v>
      </c>
      <c r="F2166" t="s">
        <v>844</v>
      </c>
      <c r="G2166" t="s">
        <v>172</v>
      </c>
      <c r="H2166" t="s">
        <v>173</v>
      </c>
      <c r="I2166" t="s">
        <v>34</v>
      </c>
      <c r="J2166" t="s">
        <v>272</v>
      </c>
      <c r="K2166" t="s">
        <v>41</v>
      </c>
      <c r="L2166" t="s">
        <v>174</v>
      </c>
      <c r="M2166" t="s">
        <v>11214</v>
      </c>
      <c r="N2166" t="s">
        <v>847</v>
      </c>
      <c r="O2166" t="s">
        <v>100</v>
      </c>
      <c r="P2166" t="s">
        <v>11215</v>
      </c>
      <c r="Q2166" t="s">
        <v>69</v>
      </c>
      <c r="R2166" t="s">
        <v>495</v>
      </c>
      <c r="S2166">
        <v>5.82</v>
      </c>
      <c r="T2166">
        <v>8022</v>
      </c>
      <c r="U2166">
        <v>0</v>
      </c>
      <c r="V2166">
        <v>8022</v>
      </c>
    </row>
    <row r="2167" spans="1:22" x14ac:dyDescent="0.3">
      <c r="A2167">
        <v>148303</v>
      </c>
      <c r="B2167">
        <v>135947011</v>
      </c>
      <c r="C2167" t="s">
        <v>11216</v>
      </c>
      <c r="D2167" t="s">
        <v>11217</v>
      </c>
      <c r="E2167" t="s">
        <v>10067</v>
      </c>
      <c r="F2167" t="s">
        <v>844</v>
      </c>
      <c r="G2167" t="s">
        <v>172</v>
      </c>
      <c r="H2167" t="s">
        <v>173</v>
      </c>
      <c r="I2167" t="s">
        <v>34</v>
      </c>
      <c r="J2167" t="s">
        <v>272</v>
      </c>
      <c r="K2167" t="s">
        <v>41</v>
      </c>
      <c r="L2167" t="s">
        <v>174</v>
      </c>
      <c r="M2167" t="s">
        <v>11218</v>
      </c>
      <c r="N2167" t="s">
        <v>847</v>
      </c>
      <c r="O2167" t="s">
        <v>100</v>
      </c>
      <c r="P2167" t="s">
        <v>11219</v>
      </c>
      <c r="Q2167" t="s">
        <v>103</v>
      </c>
      <c r="R2167" t="s">
        <v>157</v>
      </c>
      <c r="S2167">
        <v>2.93</v>
      </c>
      <c r="T2167">
        <v>4168</v>
      </c>
      <c r="U2167">
        <v>0</v>
      </c>
      <c r="V2167">
        <v>4168</v>
      </c>
    </row>
    <row r="2168" spans="1:22" x14ac:dyDescent="0.3">
      <c r="A2168">
        <v>148303</v>
      </c>
      <c r="B2168">
        <v>135955783</v>
      </c>
      <c r="C2168" t="s">
        <v>11220</v>
      </c>
      <c r="D2168" t="s">
        <v>11221</v>
      </c>
      <c r="E2168" t="s">
        <v>10067</v>
      </c>
      <c r="F2168" t="s">
        <v>844</v>
      </c>
      <c r="G2168" t="s">
        <v>172</v>
      </c>
      <c r="H2168" t="s">
        <v>173</v>
      </c>
      <c r="I2168" t="s">
        <v>34</v>
      </c>
      <c r="J2168" t="s">
        <v>272</v>
      </c>
      <c r="K2168" t="s">
        <v>41</v>
      </c>
      <c r="L2168" t="s">
        <v>174</v>
      </c>
      <c r="M2168" t="s">
        <v>3504</v>
      </c>
      <c r="N2168" t="s">
        <v>847</v>
      </c>
      <c r="O2168" t="s">
        <v>100</v>
      </c>
      <c r="P2168" t="s">
        <v>11222</v>
      </c>
      <c r="Q2168" t="s">
        <v>72</v>
      </c>
      <c r="R2168" t="s">
        <v>289</v>
      </c>
      <c r="S2168">
        <v>3.04</v>
      </c>
      <c r="T2168">
        <v>8106</v>
      </c>
      <c r="U2168">
        <v>0</v>
      </c>
      <c r="V2168">
        <v>8106</v>
      </c>
    </row>
    <row r="2169" spans="1:22" x14ac:dyDescent="0.3">
      <c r="A2169">
        <v>148303</v>
      </c>
      <c r="B2169">
        <v>135961341</v>
      </c>
      <c r="C2169" t="s">
        <v>11223</v>
      </c>
      <c r="D2169" t="s">
        <v>11224</v>
      </c>
      <c r="E2169" t="s">
        <v>10067</v>
      </c>
      <c r="F2169" t="s">
        <v>844</v>
      </c>
      <c r="G2169" t="s">
        <v>172</v>
      </c>
      <c r="H2169" t="s">
        <v>173</v>
      </c>
      <c r="I2169" t="s">
        <v>34</v>
      </c>
      <c r="J2169" t="s">
        <v>272</v>
      </c>
      <c r="K2169" t="s">
        <v>41</v>
      </c>
      <c r="L2169" t="s">
        <v>174</v>
      </c>
      <c r="M2169" t="s">
        <v>11225</v>
      </c>
      <c r="N2169" t="s">
        <v>847</v>
      </c>
      <c r="O2169" t="s">
        <v>100</v>
      </c>
      <c r="P2169" t="s">
        <v>11226</v>
      </c>
      <c r="Q2169" t="s">
        <v>55</v>
      </c>
      <c r="R2169" t="s">
        <v>146</v>
      </c>
      <c r="S2169">
        <v>1.53</v>
      </c>
      <c r="T2169">
        <v>9317</v>
      </c>
      <c r="U2169">
        <v>0</v>
      </c>
      <c r="V2169">
        <v>9317</v>
      </c>
    </row>
    <row r="2170" spans="1:22" x14ac:dyDescent="0.3">
      <c r="A2170">
        <v>148303</v>
      </c>
      <c r="B2170">
        <v>135961523</v>
      </c>
      <c r="C2170" t="s">
        <v>11227</v>
      </c>
      <c r="D2170" t="s">
        <v>11228</v>
      </c>
      <c r="E2170" t="s">
        <v>10067</v>
      </c>
      <c r="F2170" t="s">
        <v>844</v>
      </c>
      <c r="G2170" t="s">
        <v>172</v>
      </c>
      <c r="H2170" t="s">
        <v>173</v>
      </c>
      <c r="I2170" t="s">
        <v>34</v>
      </c>
      <c r="J2170" t="s">
        <v>272</v>
      </c>
      <c r="K2170" t="s">
        <v>41</v>
      </c>
      <c r="L2170" t="s">
        <v>174</v>
      </c>
      <c r="M2170" t="s">
        <v>689</v>
      </c>
      <c r="N2170" t="s">
        <v>847</v>
      </c>
      <c r="O2170" t="s">
        <v>100</v>
      </c>
      <c r="P2170" t="s">
        <v>11229</v>
      </c>
      <c r="Q2170" t="s">
        <v>63</v>
      </c>
      <c r="R2170" t="s">
        <v>615</v>
      </c>
      <c r="S2170">
        <v>1.47</v>
      </c>
      <c r="T2170">
        <v>7552</v>
      </c>
      <c r="U2170">
        <v>0</v>
      </c>
      <c r="V2170">
        <v>7552</v>
      </c>
    </row>
    <row r="2171" spans="1:22" x14ac:dyDescent="0.3">
      <c r="A2171">
        <v>148303</v>
      </c>
      <c r="B2171">
        <v>135964388</v>
      </c>
      <c r="C2171" t="s">
        <v>11230</v>
      </c>
      <c r="D2171" t="s">
        <v>11231</v>
      </c>
      <c r="E2171" t="s">
        <v>10067</v>
      </c>
      <c r="F2171" t="s">
        <v>844</v>
      </c>
      <c r="G2171" t="s">
        <v>172</v>
      </c>
      <c r="H2171" t="s">
        <v>173</v>
      </c>
      <c r="I2171" t="s">
        <v>34</v>
      </c>
      <c r="J2171" t="s">
        <v>272</v>
      </c>
      <c r="K2171" t="s">
        <v>41</v>
      </c>
      <c r="L2171" t="s">
        <v>174</v>
      </c>
      <c r="M2171" t="s">
        <v>11232</v>
      </c>
      <c r="N2171" t="s">
        <v>847</v>
      </c>
      <c r="O2171" t="s">
        <v>100</v>
      </c>
      <c r="P2171" t="s">
        <v>11233</v>
      </c>
      <c r="Q2171" t="s">
        <v>61</v>
      </c>
      <c r="R2171" t="s">
        <v>767</v>
      </c>
      <c r="S2171">
        <v>2.48</v>
      </c>
      <c r="T2171">
        <v>9148</v>
      </c>
      <c r="U2171">
        <v>0</v>
      </c>
      <c r="V2171">
        <v>9148</v>
      </c>
    </row>
    <row r="2172" spans="1:22" x14ac:dyDescent="0.3">
      <c r="A2172">
        <v>148303</v>
      </c>
      <c r="B2172">
        <v>135967265</v>
      </c>
      <c r="C2172" t="s">
        <v>11234</v>
      </c>
      <c r="D2172" t="s">
        <v>11235</v>
      </c>
      <c r="E2172" t="s">
        <v>10067</v>
      </c>
      <c r="F2172" t="s">
        <v>844</v>
      </c>
      <c r="G2172" t="s">
        <v>172</v>
      </c>
      <c r="H2172" t="s">
        <v>173</v>
      </c>
      <c r="I2172" t="s">
        <v>34</v>
      </c>
      <c r="J2172" t="s">
        <v>272</v>
      </c>
      <c r="K2172" t="s">
        <v>41</v>
      </c>
      <c r="L2172" t="s">
        <v>174</v>
      </c>
      <c r="M2172" t="s">
        <v>11236</v>
      </c>
      <c r="N2172" t="s">
        <v>847</v>
      </c>
      <c r="O2172" t="s">
        <v>100</v>
      </c>
      <c r="P2172" t="s">
        <v>11237</v>
      </c>
      <c r="Q2172" t="s">
        <v>93</v>
      </c>
      <c r="R2172" t="s">
        <v>11238</v>
      </c>
      <c r="S2172">
        <v>1.68</v>
      </c>
      <c r="T2172">
        <v>6800</v>
      </c>
      <c r="U2172">
        <v>0</v>
      </c>
      <c r="V2172">
        <v>6800</v>
      </c>
    </row>
    <row r="2173" spans="1:22" x14ac:dyDescent="0.3">
      <c r="A2173">
        <v>148303</v>
      </c>
      <c r="B2173">
        <v>135974528</v>
      </c>
      <c r="C2173" t="s">
        <v>11239</v>
      </c>
      <c r="D2173" t="s">
        <v>11240</v>
      </c>
      <c r="E2173" t="s">
        <v>10067</v>
      </c>
      <c r="F2173" t="s">
        <v>844</v>
      </c>
      <c r="G2173" t="s">
        <v>172</v>
      </c>
      <c r="H2173" t="s">
        <v>173</v>
      </c>
      <c r="I2173" t="s">
        <v>34</v>
      </c>
      <c r="J2173" t="s">
        <v>272</v>
      </c>
      <c r="K2173" t="s">
        <v>41</v>
      </c>
      <c r="L2173" t="s">
        <v>174</v>
      </c>
      <c r="M2173" t="s">
        <v>11241</v>
      </c>
      <c r="N2173" t="s">
        <v>847</v>
      </c>
      <c r="O2173" t="s">
        <v>100</v>
      </c>
      <c r="P2173" t="s">
        <v>11242</v>
      </c>
      <c r="Q2173" t="s">
        <v>134</v>
      </c>
      <c r="R2173" t="s">
        <v>494</v>
      </c>
      <c r="S2173">
        <v>2.44</v>
      </c>
      <c r="T2173">
        <v>8230</v>
      </c>
      <c r="U2173">
        <v>0</v>
      </c>
      <c r="V2173">
        <v>8230</v>
      </c>
    </row>
    <row r="2174" spans="1:22" x14ac:dyDescent="0.3">
      <c r="A2174">
        <v>148303</v>
      </c>
      <c r="B2174">
        <v>135978730</v>
      </c>
      <c r="C2174" t="s">
        <v>11243</v>
      </c>
      <c r="D2174" t="s">
        <v>11244</v>
      </c>
      <c r="E2174" t="s">
        <v>10067</v>
      </c>
      <c r="F2174" t="s">
        <v>844</v>
      </c>
      <c r="G2174" t="s">
        <v>172</v>
      </c>
      <c r="H2174" t="s">
        <v>173</v>
      </c>
      <c r="I2174" t="s">
        <v>34</v>
      </c>
      <c r="J2174" t="s">
        <v>272</v>
      </c>
      <c r="K2174" t="s">
        <v>41</v>
      </c>
      <c r="L2174" t="s">
        <v>174</v>
      </c>
      <c r="M2174" t="s">
        <v>11245</v>
      </c>
      <c r="N2174" t="s">
        <v>847</v>
      </c>
      <c r="O2174" t="s">
        <v>100</v>
      </c>
      <c r="P2174" t="s">
        <v>11246</v>
      </c>
      <c r="Q2174" t="s">
        <v>64</v>
      </c>
      <c r="R2174" t="s">
        <v>666</v>
      </c>
      <c r="S2174">
        <v>8.31</v>
      </c>
      <c r="T2174">
        <v>11400</v>
      </c>
      <c r="U2174">
        <v>0</v>
      </c>
      <c r="V2174">
        <v>11400</v>
      </c>
    </row>
    <row r="2175" spans="1:22" x14ac:dyDescent="0.3">
      <c r="A2175">
        <v>148303</v>
      </c>
      <c r="B2175">
        <v>135978966</v>
      </c>
      <c r="C2175" t="s">
        <v>11247</v>
      </c>
      <c r="D2175" t="s">
        <v>11248</v>
      </c>
      <c r="E2175" t="s">
        <v>10067</v>
      </c>
      <c r="F2175" t="s">
        <v>844</v>
      </c>
      <c r="G2175" t="s">
        <v>172</v>
      </c>
      <c r="H2175" t="s">
        <v>173</v>
      </c>
      <c r="I2175" t="s">
        <v>34</v>
      </c>
      <c r="J2175" t="s">
        <v>272</v>
      </c>
      <c r="K2175" t="s">
        <v>41</v>
      </c>
      <c r="L2175" t="s">
        <v>174</v>
      </c>
      <c r="M2175" t="s">
        <v>11249</v>
      </c>
      <c r="N2175" t="s">
        <v>847</v>
      </c>
      <c r="O2175" t="s">
        <v>100</v>
      </c>
      <c r="P2175" t="s">
        <v>11250</v>
      </c>
      <c r="Q2175" t="s">
        <v>432</v>
      </c>
      <c r="R2175" t="s">
        <v>345</v>
      </c>
      <c r="S2175">
        <v>5.89</v>
      </c>
      <c r="T2175">
        <v>7449</v>
      </c>
      <c r="U2175">
        <v>0</v>
      </c>
      <c r="V2175">
        <v>7449</v>
      </c>
    </row>
    <row r="2176" spans="1:22" x14ac:dyDescent="0.3">
      <c r="A2176">
        <v>148303</v>
      </c>
      <c r="B2176">
        <v>135983407</v>
      </c>
      <c r="C2176" t="s">
        <v>11251</v>
      </c>
      <c r="D2176" t="s">
        <v>11252</v>
      </c>
      <c r="E2176" t="s">
        <v>10067</v>
      </c>
      <c r="F2176" t="s">
        <v>844</v>
      </c>
      <c r="G2176" t="s">
        <v>172</v>
      </c>
      <c r="H2176" t="s">
        <v>173</v>
      </c>
      <c r="I2176" t="s">
        <v>34</v>
      </c>
      <c r="J2176" t="s">
        <v>272</v>
      </c>
      <c r="K2176" t="s">
        <v>41</v>
      </c>
      <c r="L2176" t="s">
        <v>174</v>
      </c>
      <c r="M2176" t="s">
        <v>11253</v>
      </c>
      <c r="N2176" t="s">
        <v>847</v>
      </c>
      <c r="O2176" t="s">
        <v>100</v>
      </c>
      <c r="P2176" t="s">
        <v>11254</v>
      </c>
      <c r="Q2176" t="s">
        <v>214</v>
      </c>
      <c r="R2176" t="s">
        <v>178</v>
      </c>
      <c r="S2176">
        <v>3.22</v>
      </c>
      <c r="T2176">
        <v>7224</v>
      </c>
      <c r="U2176">
        <v>0</v>
      </c>
      <c r="V2176">
        <v>7224</v>
      </c>
    </row>
    <row r="2177" spans="1:22" x14ac:dyDescent="0.3">
      <c r="A2177">
        <v>148303</v>
      </c>
      <c r="B2177">
        <v>135985592</v>
      </c>
      <c r="C2177" t="s">
        <v>11255</v>
      </c>
      <c r="D2177" t="s">
        <v>11256</v>
      </c>
      <c r="E2177" t="s">
        <v>10067</v>
      </c>
      <c r="F2177" t="s">
        <v>844</v>
      </c>
      <c r="G2177" t="s">
        <v>172</v>
      </c>
      <c r="H2177" t="s">
        <v>173</v>
      </c>
      <c r="I2177" t="s">
        <v>34</v>
      </c>
      <c r="J2177" t="s">
        <v>272</v>
      </c>
      <c r="K2177" t="s">
        <v>41</v>
      </c>
      <c r="L2177" t="s">
        <v>174</v>
      </c>
      <c r="M2177" t="s">
        <v>11257</v>
      </c>
      <c r="N2177" t="s">
        <v>847</v>
      </c>
      <c r="O2177" t="s">
        <v>100</v>
      </c>
      <c r="P2177" t="s">
        <v>11258</v>
      </c>
      <c r="Q2177" t="s">
        <v>180</v>
      </c>
      <c r="R2177" t="s">
        <v>266</v>
      </c>
      <c r="S2177">
        <v>5.99</v>
      </c>
      <c r="T2177">
        <v>7449</v>
      </c>
      <c r="U2177">
        <v>0</v>
      </c>
      <c r="V2177">
        <v>7449</v>
      </c>
    </row>
    <row r="2178" spans="1:22" x14ac:dyDescent="0.3">
      <c r="A2178">
        <v>148303</v>
      </c>
      <c r="B2178">
        <v>135986850</v>
      </c>
      <c r="C2178" t="s">
        <v>11259</v>
      </c>
      <c r="D2178" t="s">
        <v>11260</v>
      </c>
      <c r="E2178" t="s">
        <v>10067</v>
      </c>
      <c r="F2178" t="s">
        <v>844</v>
      </c>
      <c r="G2178" t="s">
        <v>172</v>
      </c>
      <c r="H2178" t="s">
        <v>173</v>
      </c>
      <c r="I2178" t="s">
        <v>34</v>
      </c>
      <c r="J2178" t="s">
        <v>272</v>
      </c>
      <c r="K2178" t="s">
        <v>41</v>
      </c>
      <c r="L2178" t="s">
        <v>174</v>
      </c>
      <c r="M2178" t="s">
        <v>11261</v>
      </c>
      <c r="N2178" t="s">
        <v>847</v>
      </c>
      <c r="O2178" t="s">
        <v>100</v>
      </c>
      <c r="P2178" t="s">
        <v>11262</v>
      </c>
      <c r="Q2178" t="s">
        <v>246</v>
      </c>
      <c r="R2178" t="s">
        <v>11263</v>
      </c>
      <c r="S2178">
        <v>5.36</v>
      </c>
      <c r="T2178">
        <v>12587</v>
      </c>
      <c r="U2178">
        <v>0</v>
      </c>
      <c r="V2178">
        <v>12587</v>
      </c>
    </row>
    <row r="2179" spans="1:22" x14ac:dyDescent="0.3">
      <c r="A2179">
        <v>148303</v>
      </c>
      <c r="B2179">
        <v>136164802</v>
      </c>
      <c r="C2179" t="s">
        <v>11264</v>
      </c>
      <c r="D2179" t="s">
        <v>11265</v>
      </c>
      <c r="E2179" t="s">
        <v>10067</v>
      </c>
      <c r="F2179" t="s">
        <v>844</v>
      </c>
      <c r="G2179" t="s">
        <v>172</v>
      </c>
      <c r="H2179" t="s">
        <v>173</v>
      </c>
      <c r="I2179" t="s">
        <v>34</v>
      </c>
      <c r="J2179" t="s">
        <v>272</v>
      </c>
      <c r="K2179" t="s">
        <v>41</v>
      </c>
      <c r="L2179" t="s">
        <v>174</v>
      </c>
      <c r="M2179" t="s">
        <v>11266</v>
      </c>
      <c r="N2179" t="s">
        <v>847</v>
      </c>
      <c r="O2179" t="s">
        <v>100</v>
      </c>
      <c r="P2179" t="s">
        <v>11267</v>
      </c>
      <c r="Q2179" t="s">
        <v>92</v>
      </c>
      <c r="R2179" t="s">
        <v>484</v>
      </c>
      <c r="S2179">
        <v>1.42</v>
      </c>
      <c r="T2179">
        <v>6064</v>
      </c>
      <c r="U2179">
        <v>0</v>
      </c>
      <c r="V2179">
        <v>6064</v>
      </c>
    </row>
    <row r="2180" spans="1:22" x14ac:dyDescent="0.3">
      <c r="A2180">
        <v>148303</v>
      </c>
      <c r="B2180">
        <v>135709323</v>
      </c>
      <c r="C2180" t="s">
        <v>11268</v>
      </c>
      <c r="D2180" t="s">
        <v>11269</v>
      </c>
      <c r="E2180" t="s">
        <v>10067</v>
      </c>
      <c r="F2180" t="s">
        <v>844</v>
      </c>
      <c r="G2180" t="s">
        <v>172</v>
      </c>
      <c r="H2180" t="s">
        <v>173</v>
      </c>
      <c r="I2180" t="s">
        <v>34</v>
      </c>
      <c r="J2180" t="s">
        <v>272</v>
      </c>
      <c r="K2180" t="s">
        <v>41</v>
      </c>
      <c r="L2180" t="s">
        <v>11270</v>
      </c>
      <c r="M2180" t="s">
        <v>11271</v>
      </c>
      <c r="N2180" t="s">
        <v>847</v>
      </c>
      <c r="O2180" t="s">
        <v>100</v>
      </c>
      <c r="P2180" t="s">
        <v>11272</v>
      </c>
      <c r="Q2180" t="s">
        <v>67</v>
      </c>
      <c r="R2180" t="s">
        <v>11273</v>
      </c>
      <c r="S2180">
        <v>2.83</v>
      </c>
      <c r="T2180">
        <v>8230</v>
      </c>
      <c r="U2180">
        <v>0</v>
      </c>
      <c r="V2180">
        <v>8230</v>
      </c>
    </row>
    <row r="2181" spans="1:22" x14ac:dyDescent="0.3">
      <c r="A2181">
        <v>148303</v>
      </c>
      <c r="B2181">
        <v>135724822</v>
      </c>
      <c r="C2181" t="s">
        <v>11274</v>
      </c>
      <c r="D2181" t="s">
        <v>11275</v>
      </c>
      <c r="E2181" t="s">
        <v>10067</v>
      </c>
      <c r="F2181" t="s">
        <v>844</v>
      </c>
      <c r="G2181" t="s">
        <v>172</v>
      </c>
      <c r="H2181" t="s">
        <v>173</v>
      </c>
      <c r="I2181" t="s">
        <v>34</v>
      </c>
      <c r="J2181" t="s">
        <v>272</v>
      </c>
      <c r="K2181" t="s">
        <v>41</v>
      </c>
      <c r="L2181" t="s">
        <v>11276</v>
      </c>
      <c r="M2181" t="s">
        <v>11277</v>
      </c>
      <c r="N2181" t="s">
        <v>847</v>
      </c>
      <c r="O2181" t="s">
        <v>100</v>
      </c>
      <c r="P2181" t="s">
        <v>11278</v>
      </c>
      <c r="Q2181" t="s">
        <v>63</v>
      </c>
      <c r="R2181" t="s">
        <v>377</v>
      </c>
      <c r="S2181">
        <v>2.62</v>
      </c>
      <c r="T2181">
        <v>8410</v>
      </c>
      <c r="U2181">
        <v>0</v>
      </c>
      <c r="V2181">
        <v>8410</v>
      </c>
    </row>
    <row r="2182" spans="1:22" x14ac:dyDescent="0.3">
      <c r="A2182">
        <v>148303</v>
      </c>
      <c r="B2182">
        <v>135752183</v>
      </c>
      <c r="C2182" t="s">
        <v>11279</v>
      </c>
      <c r="D2182" t="s">
        <v>11280</v>
      </c>
      <c r="E2182" t="s">
        <v>10067</v>
      </c>
      <c r="F2182" t="s">
        <v>844</v>
      </c>
      <c r="G2182" t="s">
        <v>172</v>
      </c>
      <c r="H2182" t="s">
        <v>173</v>
      </c>
      <c r="I2182" t="s">
        <v>34</v>
      </c>
      <c r="J2182" t="s">
        <v>272</v>
      </c>
      <c r="K2182" t="s">
        <v>41</v>
      </c>
      <c r="L2182" t="s">
        <v>174</v>
      </c>
      <c r="M2182" t="s">
        <v>11281</v>
      </c>
      <c r="N2182" t="s">
        <v>847</v>
      </c>
      <c r="O2182" t="s">
        <v>100</v>
      </c>
      <c r="P2182" t="s">
        <v>11282</v>
      </c>
      <c r="Q2182" t="s">
        <v>72</v>
      </c>
      <c r="R2182" t="s">
        <v>736</v>
      </c>
      <c r="S2182">
        <v>2.82</v>
      </c>
      <c r="T2182">
        <v>8101</v>
      </c>
      <c r="U2182">
        <v>0</v>
      </c>
      <c r="V2182">
        <v>8101</v>
      </c>
    </row>
    <row r="2183" spans="1:22" x14ac:dyDescent="0.3">
      <c r="A2183">
        <v>148303</v>
      </c>
      <c r="B2183">
        <v>135753974</v>
      </c>
      <c r="C2183" t="s">
        <v>11283</v>
      </c>
      <c r="D2183" t="s">
        <v>11284</v>
      </c>
      <c r="E2183" t="s">
        <v>10067</v>
      </c>
      <c r="F2183" t="s">
        <v>844</v>
      </c>
      <c r="G2183" t="s">
        <v>172</v>
      </c>
      <c r="H2183" t="s">
        <v>173</v>
      </c>
      <c r="I2183" t="s">
        <v>34</v>
      </c>
      <c r="J2183" t="s">
        <v>272</v>
      </c>
      <c r="K2183" t="s">
        <v>41</v>
      </c>
      <c r="L2183" t="s">
        <v>174</v>
      </c>
      <c r="M2183" t="s">
        <v>11285</v>
      </c>
      <c r="N2183" t="s">
        <v>847</v>
      </c>
      <c r="O2183" t="s">
        <v>100</v>
      </c>
      <c r="P2183" t="s">
        <v>11286</v>
      </c>
      <c r="Q2183" t="s">
        <v>55</v>
      </c>
      <c r="R2183" t="s">
        <v>691</v>
      </c>
      <c r="S2183">
        <v>3.3</v>
      </c>
      <c r="T2183">
        <v>4537</v>
      </c>
      <c r="U2183">
        <v>0</v>
      </c>
      <c r="V2183">
        <v>4537</v>
      </c>
    </row>
    <row r="2184" spans="1:22" x14ac:dyDescent="0.3">
      <c r="A2184">
        <v>148303</v>
      </c>
      <c r="B2184">
        <v>135754172</v>
      </c>
      <c r="C2184" t="s">
        <v>11287</v>
      </c>
      <c r="D2184" t="s">
        <v>11288</v>
      </c>
      <c r="E2184" t="s">
        <v>10067</v>
      </c>
      <c r="F2184" t="s">
        <v>844</v>
      </c>
      <c r="G2184" t="s">
        <v>172</v>
      </c>
      <c r="H2184" t="s">
        <v>173</v>
      </c>
      <c r="I2184" t="s">
        <v>34</v>
      </c>
      <c r="J2184" t="s">
        <v>272</v>
      </c>
      <c r="K2184" t="s">
        <v>41</v>
      </c>
      <c r="L2184" t="s">
        <v>174</v>
      </c>
      <c r="M2184" t="s">
        <v>11289</v>
      </c>
      <c r="N2184" t="s">
        <v>847</v>
      </c>
      <c r="O2184" t="s">
        <v>100</v>
      </c>
      <c r="P2184" t="s">
        <v>11290</v>
      </c>
      <c r="Q2184" t="s">
        <v>60</v>
      </c>
      <c r="R2184" t="s">
        <v>11291</v>
      </c>
      <c r="S2184">
        <v>1.3</v>
      </c>
      <c r="T2184">
        <v>8068</v>
      </c>
      <c r="U2184">
        <v>0</v>
      </c>
      <c r="V2184">
        <v>8068</v>
      </c>
    </row>
    <row r="2185" spans="1:22" x14ac:dyDescent="0.3">
      <c r="A2185">
        <v>148303</v>
      </c>
      <c r="B2185">
        <v>135763240</v>
      </c>
      <c r="C2185" t="s">
        <v>11292</v>
      </c>
      <c r="D2185" t="s">
        <v>11293</v>
      </c>
      <c r="E2185" t="s">
        <v>10067</v>
      </c>
      <c r="F2185" t="s">
        <v>844</v>
      </c>
      <c r="G2185" t="s">
        <v>172</v>
      </c>
      <c r="H2185" t="s">
        <v>173</v>
      </c>
      <c r="I2185" t="s">
        <v>34</v>
      </c>
      <c r="J2185" t="s">
        <v>272</v>
      </c>
      <c r="K2185" t="s">
        <v>41</v>
      </c>
      <c r="L2185" t="s">
        <v>174</v>
      </c>
      <c r="M2185" t="s">
        <v>11294</v>
      </c>
      <c r="N2185" t="s">
        <v>847</v>
      </c>
      <c r="O2185" t="s">
        <v>100</v>
      </c>
      <c r="P2185" t="s">
        <v>11295</v>
      </c>
      <c r="Q2185" t="s">
        <v>754</v>
      </c>
      <c r="R2185" t="s">
        <v>692</v>
      </c>
      <c r="S2185">
        <v>0.06</v>
      </c>
      <c r="T2185">
        <v>7184</v>
      </c>
      <c r="U2185">
        <v>0</v>
      </c>
      <c r="V2185">
        <v>7184</v>
      </c>
    </row>
    <row r="2186" spans="1:22" x14ac:dyDescent="0.3">
      <c r="A2186">
        <v>148303</v>
      </c>
      <c r="B2186">
        <v>135805375</v>
      </c>
      <c r="C2186" t="s">
        <v>11296</v>
      </c>
      <c r="D2186" t="s">
        <v>11297</v>
      </c>
      <c r="E2186" t="s">
        <v>10067</v>
      </c>
      <c r="F2186" t="s">
        <v>844</v>
      </c>
      <c r="G2186" t="s">
        <v>172</v>
      </c>
      <c r="H2186" t="s">
        <v>173</v>
      </c>
      <c r="I2186" t="s">
        <v>34</v>
      </c>
      <c r="J2186" t="s">
        <v>272</v>
      </c>
      <c r="K2186" t="s">
        <v>41</v>
      </c>
      <c r="L2186" t="s">
        <v>174</v>
      </c>
      <c r="M2186" t="s">
        <v>11298</v>
      </c>
      <c r="N2186" t="s">
        <v>847</v>
      </c>
      <c r="O2186" t="s">
        <v>100</v>
      </c>
      <c r="P2186" t="s">
        <v>11299</v>
      </c>
      <c r="Q2186" t="s">
        <v>55</v>
      </c>
      <c r="R2186" t="s">
        <v>11300</v>
      </c>
      <c r="S2186">
        <v>3.7</v>
      </c>
      <c r="T2186">
        <v>10083</v>
      </c>
      <c r="U2186">
        <v>0</v>
      </c>
      <c r="V2186">
        <v>10083</v>
      </c>
    </row>
    <row r="2187" spans="1:22" x14ac:dyDescent="0.3">
      <c r="A2187">
        <v>148303</v>
      </c>
      <c r="B2187">
        <v>135815273</v>
      </c>
      <c r="C2187" t="s">
        <v>11301</v>
      </c>
      <c r="D2187" t="s">
        <v>11302</v>
      </c>
      <c r="E2187" t="s">
        <v>10067</v>
      </c>
      <c r="F2187" t="s">
        <v>844</v>
      </c>
      <c r="G2187" t="s">
        <v>172</v>
      </c>
      <c r="H2187" t="s">
        <v>173</v>
      </c>
      <c r="I2187" t="s">
        <v>34</v>
      </c>
      <c r="J2187" t="s">
        <v>272</v>
      </c>
      <c r="K2187" t="s">
        <v>41</v>
      </c>
      <c r="L2187" t="s">
        <v>174</v>
      </c>
      <c r="M2187" t="s">
        <v>11303</v>
      </c>
      <c r="N2187" t="s">
        <v>847</v>
      </c>
      <c r="O2187" t="s">
        <v>100</v>
      </c>
      <c r="P2187" t="s">
        <v>11304</v>
      </c>
      <c r="Q2187" t="s">
        <v>49</v>
      </c>
      <c r="R2187" t="s">
        <v>702</v>
      </c>
      <c r="S2187">
        <v>6.24</v>
      </c>
      <c r="T2187">
        <v>9948</v>
      </c>
      <c r="U2187">
        <v>0</v>
      </c>
      <c r="V2187">
        <v>9948</v>
      </c>
    </row>
    <row r="2188" spans="1:22" x14ac:dyDescent="0.3">
      <c r="A2188">
        <v>148303</v>
      </c>
      <c r="B2188">
        <v>135439191</v>
      </c>
      <c r="C2188" t="s">
        <v>11305</v>
      </c>
      <c r="D2188" t="s">
        <v>11306</v>
      </c>
      <c r="E2188" t="s">
        <v>10067</v>
      </c>
      <c r="F2188" t="s">
        <v>844</v>
      </c>
      <c r="G2188" t="s">
        <v>172</v>
      </c>
      <c r="H2188" t="s">
        <v>173</v>
      </c>
      <c r="I2188" t="s">
        <v>34</v>
      </c>
      <c r="J2188" t="s">
        <v>272</v>
      </c>
      <c r="K2188" t="s">
        <v>41</v>
      </c>
      <c r="L2188" t="s">
        <v>174</v>
      </c>
      <c r="M2188" t="s">
        <v>11307</v>
      </c>
      <c r="N2188" t="s">
        <v>847</v>
      </c>
      <c r="O2188" t="s">
        <v>100</v>
      </c>
      <c r="P2188" t="s">
        <v>11308</v>
      </c>
      <c r="Q2188" t="s">
        <v>55</v>
      </c>
      <c r="R2188" t="s">
        <v>11309</v>
      </c>
      <c r="S2188">
        <v>2.74</v>
      </c>
      <c r="T2188">
        <v>9317</v>
      </c>
      <c r="U2188">
        <v>0</v>
      </c>
      <c r="V2188">
        <v>9317</v>
      </c>
    </row>
    <row r="2189" spans="1:22" x14ac:dyDescent="0.3">
      <c r="A2189">
        <v>148303</v>
      </c>
      <c r="B2189">
        <v>135415510</v>
      </c>
      <c r="C2189" t="s">
        <v>11310</v>
      </c>
      <c r="D2189" t="s">
        <v>11311</v>
      </c>
      <c r="E2189" t="s">
        <v>10067</v>
      </c>
      <c r="F2189" t="s">
        <v>844</v>
      </c>
      <c r="G2189" t="s">
        <v>172</v>
      </c>
      <c r="H2189" t="s">
        <v>173</v>
      </c>
      <c r="I2189" t="s">
        <v>34</v>
      </c>
      <c r="J2189" t="s">
        <v>272</v>
      </c>
      <c r="K2189" t="s">
        <v>41</v>
      </c>
      <c r="L2189" t="s">
        <v>174</v>
      </c>
      <c r="M2189" t="s">
        <v>362</v>
      </c>
      <c r="N2189" t="s">
        <v>847</v>
      </c>
      <c r="O2189" t="s">
        <v>100</v>
      </c>
      <c r="P2189" t="s">
        <v>11312</v>
      </c>
      <c r="Q2189" t="s">
        <v>81</v>
      </c>
      <c r="R2189" t="s">
        <v>11313</v>
      </c>
      <c r="S2189">
        <v>2.69</v>
      </c>
      <c r="T2189">
        <v>10990</v>
      </c>
      <c r="U2189">
        <v>0</v>
      </c>
      <c r="V2189">
        <v>10990</v>
      </c>
    </row>
    <row r="2190" spans="1:22" x14ac:dyDescent="0.3">
      <c r="A2190">
        <v>148303</v>
      </c>
      <c r="B2190">
        <v>135516809</v>
      </c>
      <c r="C2190" t="s">
        <v>11314</v>
      </c>
      <c r="D2190" t="s">
        <v>11315</v>
      </c>
      <c r="E2190" t="s">
        <v>10067</v>
      </c>
      <c r="F2190" t="s">
        <v>844</v>
      </c>
      <c r="G2190" t="s">
        <v>172</v>
      </c>
      <c r="H2190" t="s">
        <v>173</v>
      </c>
      <c r="I2190" t="s">
        <v>34</v>
      </c>
      <c r="J2190" t="s">
        <v>272</v>
      </c>
      <c r="K2190" t="s">
        <v>41</v>
      </c>
      <c r="L2190" t="s">
        <v>11316</v>
      </c>
      <c r="M2190" t="s">
        <v>11317</v>
      </c>
      <c r="N2190" t="s">
        <v>847</v>
      </c>
      <c r="O2190" t="s">
        <v>100</v>
      </c>
      <c r="P2190" t="s">
        <v>11318</v>
      </c>
      <c r="Q2190" t="s">
        <v>58</v>
      </c>
      <c r="R2190" t="s">
        <v>11319</v>
      </c>
      <c r="S2190">
        <v>5.75</v>
      </c>
      <c r="T2190">
        <v>11471</v>
      </c>
      <c r="U2190">
        <v>0</v>
      </c>
      <c r="V2190">
        <v>11471</v>
      </c>
    </row>
    <row r="2191" spans="1:22" x14ac:dyDescent="0.3">
      <c r="A2191">
        <v>148303</v>
      </c>
      <c r="B2191">
        <v>135616658</v>
      </c>
      <c r="C2191" t="s">
        <v>11320</v>
      </c>
      <c r="D2191" t="s">
        <v>11321</v>
      </c>
      <c r="E2191" t="s">
        <v>10067</v>
      </c>
      <c r="F2191" t="s">
        <v>844</v>
      </c>
      <c r="G2191" t="s">
        <v>172</v>
      </c>
      <c r="H2191" t="s">
        <v>173</v>
      </c>
      <c r="I2191" t="s">
        <v>34</v>
      </c>
      <c r="J2191" t="s">
        <v>272</v>
      </c>
      <c r="K2191" t="s">
        <v>41</v>
      </c>
      <c r="L2191" t="s">
        <v>11322</v>
      </c>
      <c r="M2191" t="s">
        <v>11323</v>
      </c>
      <c r="N2191" t="s">
        <v>847</v>
      </c>
      <c r="O2191" t="s">
        <v>100</v>
      </c>
      <c r="P2191" t="s">
        <v>11324</v>
      </c>
      <c r="Q2191" t="s">
        <v>64</v>
      </c>
      <c r="R2191" t="s">
        <v>11325</v>
      </c>
      <c r="S2191">
        <v>2.71</v>
      </c>
      <c r="T2191">
        <v>9148</v>
      </c>
      <c r="U2191">
        <v>0</v>
      </c>
      <c r="V2191">
        <v>9148</v>
      </c>
    </row>
    <row r="2192" spans="1:22" x14ac:dyDescent="0.3">
      <c r="A2192">
        <v>148303</v>
      </c>
      <c r="B2192">
        <v>135606557</v>
      </c>
      <c r="C2192" t="s">
        <v>11326</v>
      </c>
      <c r="D2192" t="s">
        <v>11327</v>
      </c>
      <c r="E2192" t="s">
        <v>10067</v>
      </c>
      <c r="F2192" t="s">
        <v>844</v>
      </c>
      <c r="G2192" t="s">
        <v>172</v>
      </c>
      <c r="H2192" t="s">
        <v>173</v>
      </c>
      <c r="I2192" t="s">
        <v>34</v>
      </c>
      <c r="J2192" t="s">
        <v>272</v>
      </c>
      <c r="K2192" t="s">
        <v>41</v>
      </c>
      <c r="L2192" t="s">
        <v>11328</v>
      </c>
      <c r="M2192" t="s">
        <v>11329</v>
      </c>
      <c r="N2192" t="s">
        <v>847</v>
      </c>
      <c r="O2192" t="s">
        <v>100</v>
      </c>
      <c r="P2192" t="s">
        <v>11330</v>
      </c>
      <c r="Q2192" t="s">
        <v>246</v>
      </c>
      <c r="R2192" t="s">
        <v>11331</v>
      </c>
      <c r="S2192">
        <v>10.84</v>
      </c>
      <c r="T2192">
        <v>20837</v>
      </c>
      <c r="U2192">
        <v>0</v>
      </c>
      <c r="V2192">
        <v>20837</v>
      </c>
    </row>
    <row r="2193" spans="1:22" x14ac:dyDescent="0.3">
      <c r="A2193">
        <v>148303</v>
      </c>
      <c r="B2193">
        <v>135672631</v>
      </c>
      <c r="C2193" t="s">
        <v>11332</v>
      </c>
      <c r="D2193" t="s">
        <v>11333</v>
      </c>
      <c r="E2193" t="s">
        <v>10067</v>
      </c>
      <c r="F2193" t="s">
        <v>844</v>
      </c>
      <c r="G2193" t="s">
        <v>172</v>
      </c>
      <c r="H2193" t="s">
        <v>173</v>
      </c>
      <c r="I2193" t="s">
        <v>34</v>
      </c>
      <c r="J2193" t="s">
        <v>272</v>
      </c>
      <c r="K2193" t="s">
        <v>41</v>
      </c>
      <c r="L2193" t="s">
        <v>11334</v>
      </c>
      <c r="M2193" t="s">
        <v>11335</v>
      </c>
      <c r="N2193" t="s">
        <v>847</v>
      </c>
      <c r="O2193" t="s">
        <v>100</v>
      </c>
      <c r="P2193" t="s">
        <v>11336</v>
      </c>
      <c r="Q2193" t="s">
        <v>744</v>
      </c>
      <c r="R2193" t="s">
        <v>11337</v>
      </c>
      <c r="S2193">
        <v>2.79</v>
      </c>
      <c r="T2193">
        <v>13974</v>
      </c>
      <c r="U2193">
        <v>0</v>
      </c>
      <c r="V2193">
        <v>13974</v>
      </c>
    </row>
    <row r="2194" spans="1:22" x14ac:dyDescent="0.3">
      <c r="A2194">
        <v>148303</v>
      </c>
      <c r="B2194">
        <v>135641676</v>
      </c>
      <c r="C2194" t="s">
        <v>11338</v>
      </c>
      <c r="D2194" t="s">
        <v>11339</v>
      </c>
      <c r="E2194" t="s">
        <v>10067</v>
      </c>
      <c r="F2194" t="s">
        <v>844</v>
      </c>
      <c r="G2194" t="s">
        <v>172</v>
      </c>
      <c r="H2194" t="s">
        <v>173</v>
      </c>
      <c r="I2194" t="s">
        <v>34</v>
      </c>
      <c r="J2194" t="s">
        <v>272</v>
      </c>
      <c r="K2194" t="s">
        <v>41</v>
      </c>
      <c r="L2194" t="s">
        <v>11340</v>
      </c>
      <c r="M2194" t="s">
        <v>11341</v>
      </c>
      <c r="N2194" t="s">
        <v>847</v>
      </c>
      <c r="O2194" t="s">
        <v>100</v>
      </c>
      <c r="P2194" t="s">
        <v>11342</v>
      </c>
      <c r="Q2194" t="s">
        <v>72</v>
      </c>
      <c r="R2194" t="s">
        <v>11343</v>
      </c>
      <c r="S2194">
        <v>1.54</v>
      </c>
      <c r="T2194">
        <v>8101</v>
      </c>
      <c r="U2194">
        <v>0</v>
      </c>
      <c r="V2194">
        <v>8101</v>
      </c>
    </row>
    <row r="2195" spans="1:22" x14ac:dyDescent="0.3">
      <c r="A2195">
        <v>148303</v>
      </c>
      <c r="B2195">
        <v>135682599</v>
      </c>
      <c r="C2195" t="s">
        <v>11344</v>
      </c>
      <c r="D2195" t="s">
        <v>11345</v>
      </c>
      <c r="E2195" t="s">
        <v>10067</v>
      </c>
      <c r="F2195" t="s">
        <v>844</v>
      </c>
      <c r="G2195" t="s">
        <v>172</v>
      </c>
      <c r="H2195" t="s">
        <v>173</v>
      </c>
      <c r="I2195" t="s">
        <v>34</v>
      </c>
      <c r="J2195" t="s">
        <v>272</v>
      </c>
      <c r="K2195" t="s">
        <v>41</v>
      </c>
      <c r="L2195" t="s">
        <v>11346</v>
      </c>
      <c r="M2195" t="s">
        <v>11347</v>
      </c>
      <c r="N2195" t="s">
        <v>847</v>
      </c>
      <c r="O2195" t="s">
        <v>100</v>
      </c>
      <c r="P2195" t="s">
        <v>11348</v>
      </c>
      <c r="Q2195" t="s">
        <v>57</v>
      </c>
      <c r="R2195" t="s">
        <v>11349</v>
      </c>
      <c r="S2195">
        <v>2.89</v>
      </c>
      <c r="T2195">
        <v>9906</v>
      </c>
      <c r="U2195">
        <v>0</v>
      </c>
      <c r="V2195">
        <v>9906</v>
      </c>
    </row>
    <row r="2196" spans="1:22" x14ac:dyDescent="0.3">
      <c r="A2196">
        <v>148303</v>
      </c>
      <c r="B2196">
        <v>135454343</v>
      </c>
      <c r="C2196" t="s">
        <v>11350</v>
      </c>
      <c r="D2196" t="s">
        <v>11351</v>
      </c>
      <c r="E2196" t="s">
        <v>10067</v>
      </c>
      <c r="F2196" t="s">
        <v>844</v>
      </c>
      <c r="G2196" t="s">
        <v>172</v>
      </c>
      <c r="H2196" t="s">
        <v>173</v>
      </c>
      <c r="I2196" t="s">
        <v>34</v>
      </c>
      <c r="J2196" t="s">
        <v>272</v>
      </c>
      <c r="K2196" t="s">
        <v>41</v>
      </c>
      <c r="L2196" t="s">
        <v>174</v>
      </c>
      <c r="M2196" t="s">
        <v>11352</v>
      </c>
      <c r="N2196" t="s">
        <v>847</v>
      </c>
      <c r="O2196" t="s">
        <v>100</v>
      </c>
      <c r="P2196" t="s">
        <v>11353</v>
      </c>
      <c r="Q2196" t="s">
        <v>216</v>
      </c>
      <c r="R2196" t="s">
        <v>11354</v>
      </c>
      <c r="S2196">
        <v>2.74</v>
      </c>
      <c r="T2196">
        <v>7087</v>
      </c>
      <c r="U2196">
        <v>0</v>
      </c>
      <c r="V2196">
        <v>7087</v>
      </c>
    </row>
    <row r="2197" spans="1:22" x14ac:dyDescent="0.3">
      <c r="A2197">
        <v>148303</v>
      </c>
      <c r="B2197">
        <v>135699654</v>
      </c>
      <c r="C2197" t="s">
        <v>11355</v>
      </c>
      <c r="D2197" t="s">
        <v>11356</v>
      </c>
      <c r="E2197" t="s">
        <v>10067</v>
      </c>
      <c r="F2197" t="s">
        <v>844</v>
      </c>
      <c r="G2197" t="s">
        <v>172</v>
      </c>
      <c r="H2197" t="s">
        <v>173</v>
      </c>
      <c r="I2197" t="s">
        <v>34</v>
      </c>
      <c r="J2197" t="s">
        <v>272</v>
      </c>
      <c r="K2197" t="s">
        <v>41</v>
      </c>
      <c r="L2197" t="s">
        <v>11357</v>
      </c>
      <c r="M2197" t="s">
        <v>11358</v>
      </c>
      <c r="N2197" t="s">
        <v>847</v>
      </c>
      <c r="O2197" t="s">
        <v>100</v>
      </c>
      <c r="P2197" t="s">
        <v>11359</v>
      </c>
      <c r="Q2197" t="s">
        <v>60</v>
      </c>
      <c r="R2197" t="s">
        <v>693</v>
      </c>
      <c r="S2197">
        <v>2.95</v>
      </c>
      <c r="T2197">
        <v>8940</v>
      </c>
      <c r="U2197">
        <v>0</v>
      </c>
      <c r="V2197">
        <v>8940</v>
      </c>
    </row>
    <row r="2198" spans="1:22" x14ac:dyDescent="0.3">
      <c r="A2198">
        <v>148303</v>
      </c>
      <c r="B2198">
        <v>135441167</v>
      </c>
      <c r="C2198" t="s">
        <v>11360</v>
      </c>
      <c r="D2198" t="s">
        <v>11361</v>
      </c>
      <c r="E2198" t="s">
        <v>10067</v>
      </c>
      <c r="F2198" t="s">
        <v>844</v>
      </c>
      <c r="G2198" t="s">
        <v>172</v>
      </c>
      <c r="H2198" t="s">
        <v>173</v>
      </c>
      <c r="I2198" t="s">
        <v>34</v>
      </c>
      <c r="J2198" t="s">
        <v>272</v>
      </c>
      <c r="K2198" t="s">
        <v>41</v>
      </c>
      <c r="L2198" t="s">
        <v>174</v>
      </c>
      <c r="M2198" t="s">
        <v>11362</v>
      </c>
      <c r="N2198" t="s">
        <v>847</v>
      </c>
      <c r="O2198" t="s">
        <v>100</v>
      </c>
      <c r="P2198" t="s">
        <v>11363</v>
      </c>
      <c r="Q2198" t="s">
        <v>83</v>
      </c>
      <c r="R2198" t="s">
        <v>810</v>
      </c>
      <c r="S2198">
        <v>1.58</v>
      </c>
      <c r="T2198">
        <v>6800</v>
      </c>
      <c r="U2198">
        <v>0</v>
      </c>
      <c r="V2198">
        <v>6800</v>
      </c>
    </row>
    <row r="2199" spans="1:22" x14ac:dyDescent="0.3">
      <c r="A2199">
        <v>148303</v>
      </c>
      <c r="B2199">
        <v>135451140</v>
      </c>
      <c r="C2199" t="s">
        <v>11364</v>
      </c>
      <c r="D2199" t="s">
        <v>11365</v>
      </c>
      <c r="E2199" t="s">
        <v>10067</v>
      </c>
      <c r="F2199" t="s">
        <v>844</v>
      </c>
      <c r="G2199" t="s">
        <v>172</v>
      </c>
      <c r="H2199" t="s">
        <v>173</v>
      </c>
      <c r="I2199" t="s">
        <v>34</v>
      </c>
      <c r="J2199" t="s">
        <v>272</v>
      </c>
      <c r="K2199" t="s">
        <v>41</v>
      </c>
      <c r="L2199" t="s">
        <v>174</v>
      </c>
      <c r="M2199" t="s">
        <v>11366</v>
      </c>
      <c r="N2199" t="s">
        <v>847</v>
      </c>
      <c r="O2199" t="s">
        <v>100</v>
      </c>
      <c r="P2199" t="s">
        <v>11367</v>
      </c>
      <c r="Q2199" t="s">
        <v>103</v>
      </c>
      <c r="R2199" t="s">
        <v>11368</v>
      </c>
      <c r="S2199">
        <v>1.5</v>
      </c>
      <c r="T2199">
        <v>3915</v>
      </c>
      <c r="U2199">
        <v>0</v>
      </c>
      <c r="V2199">
        <v>3915</v>
      </c>
    </row>
    <row r="2200" spans="1:22" x14ac:dyDescent="0.3">
      <c r="A2200">
        <v>148303</v>
      </c>
      <c r="B2200">
        <v>135421338</v>
      </c>
      <c r="C2200" t="s">
        <v>11369</v>
      </c>
      <c r="D2200" t="s">
        <v>11370</v>
      </c>
      <c r="E2200" t="s">
        <v>10067</v>
      </c>
      <c r="F2200" t="s">
        <v>844</v>
      </c>
      <c r="G2200" t="s">
        <v>172</v>
      </c>
      <c r="H2200" t="s">
        <v>173</v>
      </c>
      <c r="I2200" t="s">
        <v>34</v>
      </c>
      <c r="J2200" t="s">
        <v>272</v>
      </c>
      <c r="K2200" t="s">
        <v>41</v>
      </c>
      <c r="L2200" t="s">
        <v>174</v>
      </c>
      <c r="M2200" t="s">
        <v>11371</v>
      </c>
      <c r="N2200" t="s">
        <v>847</v>
      </c>
      <c r="O2200" t="s">
        <v>100</v>
      </c>
      <c r="P2200" t="s">
        <v>11372</v>
      </c>
      <c r="Q2200" t="s">
        <v>72</v>
      </c>
      <c r="R2200" t="s">
        <v>11373</v>
      </c>
      <c r="S2200">
        <v>2.57</v>
      </c>
      <c r="T2200">
        <v>8101</v>
      </c>
      <c r="U2200">
        <v>0</v>
      </c>
      <c r="V2200">
        <v>8101</v>
      </c>
    </row>
    <row r="2201" spans="1:22" x14ac:dyDescent="0.3">
      <c r="A2201">
        <v>148303</v>
      </c>
      <c r="B2201">
        <v>135584649</v>
      </c>
      <c r="C2201" t="s">
        <v>11374</v>
      </c>
      <c r="D2201" t="s">
        <v>11375</v>
      </c>
      <c r="E2201" t="s">
        <v>10067</v>
      </c>
      <c r="F2201" t="s">
        <v>844</v>
      </c>
      <c r="G2201" t="s">
        <v>172</v>
      </c>
      <c r="H2201" t="s">
        <v>173</v>
      </c>
      <c r="I2201" t="s">
        <v>34</v>
      </c>
      <c r="J2201" t="s">
        <v>272</v>
      </c>
      <c r="K2201" t="s">
        <v>41</v>
      </c>
      <c r="L2201" t="s">
        <v>174</v>
      </c>
      <c r="M2201" t="s">
        <v>11376</v>
      </c>
      <c r="N2201" t="s">
        <v>847</v>
      </c>
      <c r="O2201" t="s">
        <v>100</v>
      </c>
      <c r="P2201" t="s">
        <v>11377</v>
      </c>
      <c r="Q2201" t="s">
        <v>55</v>
      </c>
      <c r="R2201" t="s">
        <v>11378</v>
      </c>
      <c r="S2201">
        <v>10.99</v>
      </c>
      <c r="T2201">
        <v>16572</v>
      </c>
      <c r="U2201">
        <v>0</v>
      </c>
      <c r="V2201">
        <v>16572</v>
      </c>
    </row>
    <row r="2202" spans="1:22" x14ac:dyDescent="0.3">
      <c r="A2202">
        <v>148303</v>
      </c>
      <c r="B2202">
        <v>135575661</v>
      </c>
      <c r="C2202" t="s">
        <v>11379</v>
      </c>
      <c r="D2202" t="s">
        <v>11380</v>
      </c>
      <c r="E2202" t="s">
        <v>10067</v>
      </c>
      <c r="F2202" t="s">
        <v>844</v>
      </c>
      <c r="G2202" t="s">
        <v>172</v>
      </c>
      <c r="H2202" t="s">
        <v>173</v>
      </c>
      <c r="I2202" t="s">
        <v>34</v>
      </c>
      <c r="J2202" t="s">
        <v>272</v>
      </c>
      <c r="K2202" t="s">
        <v>41</v>
      </c>
      <c r="L2202" t="s">
        <v>174</v>
      </c>
      <c r="M2202" t="s">
        <v>11381</v>
      </c>
      <c r="N2202" t="s">
        <v>847</v>
      </c>
      <c r="O2202" t="s">
        <v>100</v>
      </c>
      <c r="P2202" t="s">
        <v>11382</v>
      </c>
      <c r="Q2202" t="s">
        <v>54</v>
      </c>
      <c r="R2202" t="s">
        <v>11383</v>
      </c>
      <c r="S2202">
        <v>1.49</v>
      </c>
      <c r="T2202">
        <v>9009</v>
      </c>
      <c r="U2202">
        <v>0</v>
      </c>
      <c r="V2202">
        <v>9009</v>
      </c>
    </row>
    <row r="2203" spans="1:22" x14ac:dyDescent="0.3">
      <c r="A2203">
        <v>148303</v>
      </c>
      <c r="B2203">
        <v>135463890</v>
      </c>
      <c r="C2203" t="s">
        <v>11384</v>
      </c>
      <c r="D2203" t="s">
        <v>11385</v>
      </c>
      <c r="E2203" t="s">
        <v>10067</v>
      </c>
      <c r="F2203" t="s">
        <v>844</v>
      </c>
      <c r="G2203" t="s">
        <v>172</v>
      </c>
      <c r="H2203" t="s">
        <v>173</v>
      </c>
      <c r="I2203" t="s">
        <v>34</v>
      </c>
      <c r="J2203" t="s">
        <v>272</v>
      </c>
      <c r="K2203" t="s">
        <v>41</v>
      </c>
      <c r="L2203" t="s">
        <v>174</v>
      </c>
      <c r="M2203" t="s">
        <v>11386</v>
      </c>
      <c r="N2203" t="s">
        <v>847</v>
      </c>
      <c r="O2203" t="s">
        <v>100</v>
      </c>
      <c r="P2203" t="s">
        <v>11387</v>
      </c>
      <c r="Q2203" t="s">
        <v>55</v>
      </c>
      <c r="R2203" t="s">
        <v>11388</v>
      </c>
      <c r="S2203">
        <v>20.94</v>
      </c>
      <c r="T2203">
        <v>20932</v>
      </c>
      <c r="U2203">
        <v>0</v>
      </c>
      <c r="V2203">
        <v>20932</v>
      </c>
    </row>
    <row r="2204" spans="1:22" x14ac:dyDescent="0.3">
      <c r="A2204">
        <v>148303</v>
      </c>
      <c r="B2204">
        <v>135472634</v>
      </c>
      <c r="C2204" t="s">
        <v>11389</v>
      </c>
      <c r="D2204" t="s">
        <v>11390</v>
      </c>
      <c r="E2204" t="s">
        <v>10067</v>
      </c>
      <c r="F2204" t="s">
        <v>844</v>
      </c>
      <c r="G2204" t="s">
        <v>172</v>
      </c>
      <c r="H2204" t="s">
        <v>173</v>
      </c>
      <c r="I2204" t="s">
        <v>34</v>
      </c>
      <c r="J2204" t="s">
        <v>272</v>
      </c>
      <c r="K2204" t="s">
        <v>41</v>
      </c>
      <c r="L2204" t="s">
        <v>174</v>
      </c>
      <c r="M2204" t="s">
        <v>521</v>
      </c>
      <c r="N2204" t="s">
        <v>847</v>
      </c>
      <c r="O2204" t="s">
        <v>100</v>
      </c>
      <c r="P2204" t="s">
        <v>10544</v>
      </c>
      <c r="Q2204" t="s">
        <v>94</v>
      </c>
      <c r="R2204" t="s">
        <v>11391</v>
      </c>
      <c r="S2204">
        <v>4.79</v>
      </c>
      <c r="T2204">
        <v>7129</v>
      </c>
      <c r="U2204">
        <v>0</v>
      </c>
      <c r="V2204">
        <v>7129</v>
      </c>
    </row>
    <row r="2205" spans="1:22" x14ac:dyDescent="0.3">
      <c r="A2205">
        <v>148303</v>
      </c>
      <c r="B2205">
        <v>135444536</v>
      </c>
      <c r="C2205" t="s">
        <v>11392</v>
      </c>
      <c r="D2205" t="s">
        <v>11393</v>
      </c>
      <c r="E2205" t="s">
        <v>10067</v>
      </c>
      <c r="F2205" t="s">
        <v>844</v>
      </c>
      <c r="G2205" t="s">
        <v>172</v>
      </c>
      <c r="H2205" t="s">
        <v>173</v>
      </c>
      <c r="I2205" t="s">
        <v>34</v>
      </c>
      <c r="J2205" t="s">
        <v>272</v>
      </c>
      <c r="K2205" t="s">
        <v>41</v>
      </c>
      <c r="L2205" t="s">
        <v>174</v>
      </c>
      <c r="M2205" t="s">
        <v>11394</v>
      </c>
      <c r="N2205" t="s">
        <v>847</v>
      </c>
      <c r="O2205" t="s">
        <v>100</v>
      </c>
      <c r="P2205" t="s">
        <v>11395</v>
      </c>
      <c r="Q2205" t="s">
        <v>628</v>
      </c>
      <c r="R2205" t="s">
        <v>11396</v>
      </c>
      <c r="S2205">
        <v>2.89</v>
      </c>
      <c r="T2205">
        <v>6708</v>
      </c>
      <c r="U2205">
        <v>0</v>
      </c>
      <c r="V2205">
        <v>6708</v>
      </c>
    </row>
    <row r="2206" spans="1:22" x14ac:dyDescent="0.3">
      <c r="A2206">
        <v>148303</v>
      </c>
      <c r="B2206">
        <v>135550636</v>
      </c>
      <c r="C2206" t="s">
        <v>11397</v>
      </c>
      <c r="D2206" t="s">
        <v>11398</v>
      </c>
      <c r="E2206" t="s">
        <v>10067</v>
      </c>
      <c r="F2206" t="s">
        <v>844</v>
      </c>
      <c r="G2206" t="s">
        <v>172</v>
      </c>
      <c r="H2206" t="s">
        <v>173</v>
      </c>
      <c r="I2206" t="s">
        <v>34</v>
      </c>
      <c r="J2206" t="s">
        <v>272</v>
      </c>
      <c r="K2206" t="s">
        <v>41</v>
      </c>
      <c r="L2206" t="s">
        <v>174</v>
      </c>
      <c r="M2206" t="s">
        <v>11399</v>
      </c>
      <c r="N2206" t="s">
        <v>847</v>
      </c>
      <c r="O2206" t="s">
        <v>100</v>
      </c>
      <c r="P2206" t="s">
        <v>11400</v>
      </c>
      <c r="Q2206" t="s">
        <v>91</v>
      </c>
      <c r="R2206" t="s">
        <v>11401</v>
      </c>
      <c r="S2206">
        <v>5.3</v>
      </c>
      <c r="T2206">
        <v>7297</v>
      </c>
      <c r="U2206">
        <v>0</v>
      </c>
      <c r="V2206">
        <v>7297</v>
      </c>
    </row>
    <row r="2207" spans="1:22" x14ac:dyDescent="0.3">
      <c r="A2207">
        <v>148303</v>
      </c>
      <c r="B2207">
        <v>135551516</v>
      </c>
      <c r="C2207" t="s">
        <v>11402</v>
      </c>
      <c r="D2207" t="s">
        <v>11403</v>
      </c>
      <c r="E2207" t="s">
        <v>10067</v>
      </c>
      <c r="F2207" t="s">
        <v>844</v>
      </c>
      <c r="G2207" t="s">
        <v>172</v>
      </c>
      <c r="H2207" t="s">
        <v>173</v>
      </c>
      <c r="I2207" t="s">
        <v>34</v>
      </c>
      <c r="J2207" t="s">
        <v>272</v>
      </c>
      <c r="K2207" t="s">
        <v>41</v>
      </c>
      <c r="L2207" t="s">
        <v>174</v>
      </c>
      <c r="M2207" t="s">
        <v>11404</v>
      </c>
      <c r="N2207" t="s">
        <v>847</v>
      </c>
      <c r="O2207" t="s">
        <v>100</v>
      </c>
      <c r="P2207" t="s">
        <v>11405</v>
      </c>
      <c r="Q2207" t="s">
        <v>58</v>
      </c>
      <c r="R2207" t="s">
        <v>11406</v>
      </c>
      <c r="S2207">
        <v>3.34</v>
      </c>
      <c r="T2207">
        <v>11471</v>
      </c>
      <c r="U2207">
        <v>0</v>
      </c>
      <c r="V2207">
        <v>11471</v>
      </c>
    </row>
    <row r="2208" spans="1:22" x14ac:dyDescent="0.3">
      <c r="A2208">
        <v>148303</v>
      </c>
      <c r="B2208">
        <v>135568747</v>
      </c>
      <c r="C2208" t="s">
        <v>11407</v>
      </c>
      <c r="D2208" t="s">
        <v>11408</v>
      </c>
      <c r="E2208" t="s">
        <v>10067</v>
      </c>
      <c r="F2208" t="s">
        <v>844</v>
      </c>
      <c r="G2208" t="s">
        <v>172</v>
      </c>
      <c r="H2208" t="s">
        <v>173</v>
      </c>
      <c r="I2208" t="s">
        <v>34</v>
      </c>
      <c r="J2208" t="s">
        <v>272</v>
      </c>
      <c r="K2208" t="s">
        <v>41</v>
      </c>
      <c r="L2208" t="s">
        <v>174</v>
      </c>
      <c r="M2208" t="s">
        <v>11409</v>
      </c>
      <c r="N2208" t="s">
        <v>847</v>
      </c>
      <c r="O2208" t="s">
        <v>100</v>
      </c>
      <c r="P2208" t="s">
        <v>11410</v>
      </c>
      <c r="Q2208" t="s">
        <v>43</v>
      </c>
      <c r="R2208" t="s">
        <v>11411</v>
      </c>
      <c r="S2208">
        <v>23.08</v>
      </c>
      <c r="T2208">
        <v>17517</v>
      </c>
      <c r="U2208">
        <v>0</v>
      </c>
      <c r="V2208">
        <v>17517</v>
      </c>
    </row>
    <row r="2209" spans="1:22" x14ac:dyDescent="0.3">
      <c r="A2209">
        <v>148303</v>
      </c>
      <c r="B2209">
        <v>135596873</v>
      </c>
      <c r="C2209" t="s">
        <v>11412</v>
      </c>
      <c r="D2209" t="s">
        <v>11413</v>
      </c>
      <c r="E2209" t="s">
        <v>10067</v>
      </c>
      <c r="F2209" t="s">
        <v>844</v>
      </c>
      <c r="G2209" t="s">
        <v>172</v>
      </c>
      <c r="H2209" t="s">
        <v>173</v>
      </c>
      <c r="I2209" t="s">
        <v>34</v>
      </c>
      <c r="J2209" t="s">
        <v>272</v>
      </c>
      <c r="K2209" t="s">
        <v>41</v>
      </c>
      <c r="L2209" t="s">
        <v>11414</v>
      </c>
      <c r="M2209" t="s">
        <v>11415</v>
      </c>
      <c r="N2209" t="s">
        <v>847</v>
      </c>
      <c r="O2209" t="s">
        <v>100</v>
      </c>
      <c r="P2209" t="s">
        <v>11416</v>
      </c>
      <c r="Q2209" t="s">
        <v>222</v>
      </c>
      <c r="R2209" t="s">
        <v>11417</v>
      </c>
      <c r="S2209">
        <v>1.62</v>
      </c>
      <c r="T2209">
        <v>8410</v>
      </c>
      <c r="U2209">
        <v>0</v>
      </c>
      <c r="V2209">
        <v>8410</v>
      </c>
    </row>
    <row r="2210" spans="1:22" x14ac:dyDescent="0.3">
      <c r="A2210">
        <v>148303</v>
      </c>
      <c r="B2210">
        <v>135627400</v>
      </c>
      <c r="C2210" t="s">
        <v>11418</v>
      </c>
      <c r="D2210" t="s">
        <v>11419</v>
      </c>
      <c r="E2210" t="s">
        <v>10067</v>
      </c>
      <c r="F2210" t="s">
        <v>844</v>
      </c>
      <c r="G2210" t="s">
        <v>172</v>
      </c>
      <c r="H2210" t="s">
        <v>173</v>
      </c>
      <c r="I2210" t="s">
        <v>34</v>
      </c>
      <c r="J2210" t="s">
        <v>272</v>
      </c>
      <c r="K2210" t="s">
        <v>41</v>
      </c>
      <c r="L2210" t="s">
        <v>11420</v>
      </c>
      <c r="M2210" t="s">
        <v>11421</v>
      </c>
      <c r="N2210" t="s">
        <v>847</v>
      </c>
      <c r="O2210" t="s">
        <v>100</v>
      </c>
      <c r="P2210" t="s">
        <v>11422</v>
      </c>
      <c r="Q2210" t="s">
        <v>53</v>
      </c>
      <c r="R2210" t="s">
        <v>11423</v>
      </c>
      <c r="S2210">
        <v>11.9</v>
      </c>
      <c r="T2210">
        <v>31255</v>
      </c>
      <c r="U2210">
        <v>0</v>
      </c>
      <c r="V2210">
        <v>31255</v>
      </c>
    </row>
    <row r="2211" spans="1:22" x14ac:dyDescent="0.3">
      <c r="A2211">
        <v>186607</v>
      </c>
      <c r="B2211">
        <v>137252973</v>
      </c>
      <c r="C2211" t="s">
        <v>11424</v>
      </c>
      <c r="D2211" t="s">
        <v>11425</v>
      </c>
      <c r="E2211" t="s">
        <v>11426</v>
      </c>
      <c r="F2211" t="s">
        <v>844</v>
      </c>
      <c r="G2211" t="s">
        <v>164</v>
      </c>
      <c r="H2211" t="s">
        <v>165</v>
      </c>
      <c r="I2211" t="s">
        <v>34</v>
      </c>
      <c r="J2211" t="s">
        <v>166</v>
      </c>
      <c r="K2211" t="s">
        <v>41</v>
      </c>
      <c r="L2211" t="s">
        <v>11427</v>
      </c>
      <c r="M2211" t="s">
        <v>11428</v>
      </c>
      <c r="N2211" t="s">
        <v>11429</v>
      </c>
      <c r="O2211" t="s">
        <v>101</v>
      </c>
      <c r="P2211" t="s">
        <v>11430</v>
      </c>
      <c r="Q2211" t="s">
        <v>93</v>
      </c>
      <c r="R2211" t="s">
        <v>413</v>
      </c>
      <c r="S2211">
        <v>0.5</v>
      </c>
      <c r="T2211">
        <v>3299</v>
      </c>
      <c r="U2211">
        <v>0</v>
      </c>
      <c r="V2211">
        <v>3299</v>
      </c>
    </row>
    <row r="2212" spans="1:22" x14ac:dyDescent="0.3">
      <c r="A2212">
        <v>186607</v>
      </c>
      <c r="B2212">
        <v>136542164</v>
      </c>
      <c r="C2212" t="s">
        <v>11431</v>
      </c>
      <c r="D2212" t="s">
        <v>11432</v>
      </c>
      <c r="E2212" t="s">
        <v>11426</v>
      </c>
      <c r="F2212" t="s">
        <v>844</v>
      </c>
      <c r="G2212" t="s">
        <v>164</v>
      </c>
      <c r="H2212" t="s">
        <v>165</v>
      </c>
      <c r="I2212" t="s">
        <v>34</v>
      </c>
      <c r="J2212" t="s">
        <v>166</v>
      </c>
      <c r="K2212" t="s">
        <v>41</v>
      </c>
      <c r="L2212" t="s">
        <v>11433</v>
      </c>
      <c r="M2212" t="s">
        <v>11434</v>
      </c>
      <c r="N2212" t="s">
        <v>11429</v>
      </c>
      <c r="O2212" t="s">
        <v>101</v>
      </c>
      <c r="P2212" t="s">
        <v>7045</v>
      </c>
      <c r="Q2212" t="s">
        <v>264</v>
      </c>
      <c r="R2212" t="s">
        <v>11435</v>
      </c>
      <c r="S2212">
        <v>1</v>
      </c>
      <c r="T2212">
        <v>5759</v>
      </c>
      <c r="U2212">
        <v>0</v>
      </c>
      <c r="V2212">
        <v>5759</v>
      </c>
    </row>
    <row r="2213" spans="1:22" x14ac:dyDescent="0.3">
      <c r="A2213">
        <v>186607</v>
      </c>
      <c r="B2213">
        <v>137290944</v>
      </c>
      <c r="C2213" t="s">
        <v>11436</v>
      </c>
      <c r="D2213" t="s">
        <v>11437</v>
      </c>
      <c r="E2213" t="s">
        <v>11426</v>
      </c>
      <c r="F2213" t="s">
        <v>844</v>
      </c>
      <c r="G2213" t="s">
        <v>164</v>
      </c>
      <c r="H2213" t="s">
        <v>165</v>
      </c>
      <c r="I2213" t="s">
        <v>34</v>
      </c>
      <c r="J2213" t="s">
        <v>166</v>
      </c>
      <c r="K2213" t="s">
        <v>41</v>
      </c>
      <c r="L2213" t="s">
        <v>11438</v>
      </c>
      <c r="M2213" t="s">
        <v>11439</v>
      </c>
      <c r="N2213" t="s">
        <v>11429</v>
      </c>
      <c r="O2213" t="s">
        <v>101</v>
      </c>
      <c r="P2213" t="s">
        <v>11440</v>
      </c>
      <c r="Q2213" t="s">
        <v>55</v>
      </c>
      <c r="R2213" t="s">
        <v>550</v>
      </c>
      <c r="S2213">
        <v>0.5</v>
      </c>
      <c r="T2213">
        <v>4067</v>
      </c>
      <c r="U2213">
        <v>0</v>
      </c>
      <c r="V2213">
        <v>4067</v>
      </c>
    </row>
    <row r="2214" spans="1:22" x14ac:dyDescent="0.3">
      <c r="A2214">
        <v>186607</v>
      </c>
      <c r="B2214">
        <v>137252945</v>
      </c>
      <c r="C2214" t="s">
        <v>11441</v>
      </c>
      <c r="D2214" t="s">
        <v>11442</v>
      </c>
      <c r="E2214" t="s">
        <v>11426</v>
      </c>
      <c r="F2214" t="s">
        <v>844</v>
      </c>
      <c r="G2214" t="s">
        <v>164</v>
      </c>
      <c r="H2214" t="s">
        <v>165</v>
      </c>
      <c r="I2214" t="s">
        <v>34</v>
      </c>
      <c r="J2214" t="s">
        <v>166</v>
      </c>
      <c r="K2214" t="s">
        <v>41</v>
      </c>
      <c r="L2214" t="s">
        <v>11443</v>
      </c>
      <c r="M2214" t="s">
        <v>11444</v>
      </c>
      <c r="N2214" t="s">
        <v>11429</v>
      </c>
      <c r="O2214" t="s">
        <v>101</v>
      </c>
      <c r="P2214" t="s">
        <v>11445</v>
      </c>
      <c r="Q2214" t="s">
        <v>63</v>
      </c>
      <c r="R2214" t="s">
        <v>11446</v>
      </c>
      <c r="S2214">
        <v>0.5</v>
      </c>
      <c r="T2214">
        <v>3680</v>
      </c>
      <c r="U2214">
        <v>0</v>
      </c>
      <c r="V2214">
        <v>3680</v>
      </c>
    </row>
    <row r="2215" spans="1:22" x14ac:dyDescent="0.3">
      <c r="A2215">
        <v>186607</v>
      </c>
      <c r="B2215">
        <v>137122286</v>
      </c>
      <c r="C2215" t="s">
        <v>11447</v>
      </c>
      <c r="D2215" t="s">
        <v>11448</v>
      </c>
      <c r="E2215" t="s">
        <v>11426</v>
      </c>
      <c r="F2215" t="s">
        <v>844</v>
      </c>
      <c r="G2215" t="s">
        <v>164</v>
      </c>
      <c r="H2215" t="s">
        <v>165</v>
      </c>
      <c r="I2215" t="s">
        <v>34</v>
      </c>
      <c r="J2215" t="s">
        <v>166</v>
      </c>
      <c r="K2215" t="s">
        <v>41</v>
      </c>
      <c r="L2215" t="s">
        <v>11449</v>
      </c>
      <c r="M2215" t="s">
        <v>11450</v>
      </c>
      <c r="N2215" t="s">
        <v>11429</v>
      </c>
      <c r="O2215" t="s">
        <v>101</v>
      </c>
      <c r="P2215" t="s">
        <v>11451</v>
      </c>
      <c r="Q2215" t="s">
        <v>227</v>
      </c>
      <c r="R2215" t="s">
        <v>458</v>
      </c>
      <c r="S2215">
        <v>0.5</v>
      </c>
      <c r="T2215">
        <v>3680</v>
      </c>
      <c r="U2215">
        <v>0</v>
      </c>
      <c r="V2215">
        <v>3680</v>
      </c>
    </row>
    <row r="2216" spans="1:22" x14ac:dyDescent="0.3">
      <c r="A2216">
        <v>186607</v>
      </c>
      <c r="B2216">
        <v>136757039</v>
      </c>
      <c r="C2216" t="s">
        <v>11452</v>
      </c>
      <c r="D2216" t="s">
        <v>11453</v>
      </c>
      <c r="E2216" t="s">
        <v>11426</v>
      </c>
      <c r="F2216" t="s">
        <v>844</v>
      </c>
      <c r="G2216" t="s">
        <v>164</v>
      </c>
      <c r="H2216" t="s">
        <v>165</v>
      </c>
      <c r="I2216" t="s">
        <v>34</v>
      </c>
      <c r="J2216" t="s">
        <v>166</v>
      </c>
      <c r="K2216" t="s">
        <v>41</v>
      </c>
      <c r="L2216" t="s">
        <v>11454</v>
      </c>
      <c r="M2216" t="s">
        <v>11455</v>
      </c>
      <c r="N2216" t="s">
        <v>11429</v>
      </c>
      <c r="O2216" t="s">
        <v>101</v>
      </c>
      <c r="P2216" t="s">
        <v>11456</v>
      </c>
      <c r="Q2216" t="s">
        <v>246</v>
      </c>
      <c r="R2216" t="s">
        <v>469</v>
      </c>
      <c r="S2216">
        <v>4.92</v>
      </c>
      <c r="T2216">
        <v>8008</v>
      </c>
      <c r="U2216">
        <v>0</v>
      </c>
      <c r="V2216">
        <v>8008</v>
      </c>
    </row>
    <row r="2217" spans="1:22" x14ac:dyDescent="0.3">
      <c r="A2217">
        <v>186607</v>
      </c>
      <c r="B2217">
        <v>137359163</v>
      </c>
      <c r="C2217" t="s">
        <v>11457</v>
      </c>
      <c r="D2217" t="s">
        <v>11458</v>
      </c>
      <c r="E2217" t="s">
        <v>11426</v>
      </c>
      <c r="F2217" t="s">
        <v>844</v>
      </c>
      <c r="G2217" t="s">
        <v>164</v>
      </c>
      <c r="H2217" t="s">
        <v>165</v>
      </c>
      <c r="I2217" t="s">
        <v>34</v>
      </c>
      <c r="J2217" t="s">
        <v>166</v>
      </c>
      <c r="K2217" t="s">
        <v>41</v>
      </c>
      <c r="L2217" t="s">
        <v>11459</v>
      </c>
      <c r="M2217" t="s">
        <v>11460</v>
      </c>
      <c r="N2217" t="s">
        <v>11429</v>
      </c>
      <c r="O2217" t="s">
        <v>101</v>
      </c>
      <c r="P2217" t="s">
        <v>11461</v>
      </c>
      <c r="Q2217" t="s">
        <v>58</v>
      </c>
      <c r="R2217" t="s">
        <v>385</v>
      </c>
      <c r="S2217">
        <v>1</v>
      </c>
      <c r="T2217">
        <v>5759</v>
      </c>
      <c r="U2217">
        <v>0</v>
      </c>
      <c r="V2217">
        <v>5759</v>
      </c>
    </row>
    <row r="2218" spans="1:22" x14ac:dyDescent="0.3">
      <c r="A2218">
        <v>186607</v>
      </c>
      <c r="B2218">
        <v>137359168</v>
      </c>
      <c r="C2218" t="s">
        <v>11462</v>
      </c>
      <c r="D2218" t="s">
        <v>11463</v>
      </c>
      <c r="E2218" t="s">
        <v>11426</v>
      </c>
      <c r="F2218" t="s">
        <v>844</v>
      </c>
      <c r="G2218" t="s">
        <v>164</v>
      </c>
      <c r="H2218" t="s">
        <v>165</v>
      </c>
      <c r="I2218" t="s">
        <v>34</v>
      </c>
      <c r="J2218" t="s">
        <v>166</v>
      </c>
      <c r="K2218" t="s">
        <v>41</v>
      </c>
      <c r="L2218" t="s">
        <v>11464</v>
      </c>
      <c r="M2218" t="s">
        <v>768</v>
      </c>
      <c r="N2218" t="s">
        <v>11429</v>
      </c>
      <c r="O2218" t="s">
        <v>101</v>
      </c>
      <c r="P2218" t="s">
        <v>11465</v>
      </c>
      <c r="Q2218" t="s">
        <v>224</v>
      </c>
      <c r="R2218" t="s">
        <v>385</v>
      </c>
      <c r="S2218">
        <v>1</v>
      </c>
      <c r="T2218">
        <v>4067</v>
      </c>
      <c r="U2218">
        <v>0</v>
      </c>
      <c r="V2218">
        <v>4067</v>
      </c>
    </row>
    <row r="2219" spans="1:22" x14ac:dyDescent="0.3">
      <c r="A2219">
        <v>186607</v>
      </c>
      <c r="B2219">
        <v>137290899</v>
      </c>
      <c r="C2219" t="s">
        <v>11466</v>
      </c>
      <c r="D2219" t="s">
        <v>11467</v>
      </c>
      <c r="E2219" t="s">
        <v>11426</v>
      </c>
      <c r="F2219" t="s">
        <v>844</v>
      </c>
      <c r="G2219" t="s">
        <v>164</v>
      </c>
      <c r="H2219" t="s">
        <v>165</v>
      </c>
      <c r="I2219" t="s">
        <v>34</v>
      </c>
      <c r="J2219" t="s">
        <v>166</v>
      </c>
      <c r="K2219" t="s">
        <v>41</v>
      </c>
      <c r="L2219" t="s">
        <v>11468</v>
      </c>
      <c r="M2219" t="s">
        <v>11469</v>
      </c>
      <c r="N2219" t="s">
        <v>11429</v>
      </c>
      <c r="O2219" t="s">
        <v>101</v>
      </c>
      <c r="P2219" t="s">
        <v>11470</v>
      </c>
      <c r="Q2219" t="s">
        <v>55</v>
      </c>
      <c r="R2219" t="s">
        <v>550</v>
      </c>
      <c r="S2219">
        <v>0.5</v>
      </c>
      <c r="T2219">
        <v>4067</v>
      </c>
      <c r="U2219">
        <v>0</v>
      </c>
      <c r="V2219">
        <v>4067</v>
      </c>
    </row>
    <row r="2220" spans="1:22" x14ac:dyDescent="0.3">
      <c r="A2220">
        <v>186607</v>
      </c>
      <c r="B2220">
        <v>136997981</v>
      </c>
      <c r="C2220" t="s">
        <v>11471</v>
      </c>
      <c r="D2220" t="s">
        <v>11472</v>
      </c>
      <c r="E2220" t="s">
        <v>11426</v>
      </c>
      <c r="F2220" t="s">
        <v>844</v>
      </c>
      <c r="G2220" t="s">
        <v>164</v>
      </c>
      <c r="H2220" t="s">
        <v>165</v>
      </c>
      <c r="I2220" t="s">
        <v>34</v>
      </c>
      <c r="J2220" t="s">
        <v>166</v>
      </c>
      <c r="K2220" t="s">
        <v>41</v>
      </c>
      <c r="L2220" t="s">
        <v>11473</v>
      </c>
      <c r="M2220" t="s">
        <v>11474</v>
      </c>
      <c r="N2220" t="s">
        <v>11429</v>
      </c>
      <c r="O2220" t="s">
        <v>101</v>
      </c>
      <c r="P2220" t="s">
        <v>11475</v>
      </c>
      <c r="Q2220" t="s">
        <v>55</v>
      </c>
      <c r="R2220" t="s">
        <v>462</v>
      </c>
      <c r="S2220">
        <v>3.06</v>
      </c>
      <c r="T2220">
        <v>7484</v>
      </c>
      <c r="U2220">
        <v>0</v>
      </c>
      <c r="V2220">
        <v>7484</v>
      </c>
    </row>
    <row r="2221" spans="1:22" x14ac:dyDescent="0.3">
      <c r="A2221">
        <v>186607</v>
      </c>
      <c r="B2221">
        <v>137290927</v>
      </c>
      <c r="C2221" t="s">
        <v>11476</v>
      </c>
      <c r="D2221" t="s">
        <v>11477</v>
      </c>
      <c r="E2221" t="s">
        <v>11426</v>
      </c>
      <c r="F2221" t="s">
        <v>844</v>
      </c>
      <c r="G2221" t="s">
        <v>164</v>
      </c>
      <c r="H2221" t="s">
        <v>165</v>
      </c>
      <c r="I2221" t="s">
        <v>34</v>
      </c>
      <c r="J2221" t="s">
        <v>166</v>
      </c>
      <c r="K2221" t="s">
        <v>41</v>
      </c>
      <c r="L2221" t="s">
        <v>11478</v>
      </c>
      <c r="M2221" t="s">
        <v>11479</v>
      </c>
      <c r="N2221" t="s">
        <v>11429</v>
      </c>
      <c r="O2221" t="s">
        <v>101</v>
      </c>
      <c r="P2221" t="s">
        <v>11480</v>
      </c>
      <c r="Q2221" t="s">
        <v>49</v>
      </c>
      <c r="R2221" t="s">
        <v>550</v>
      </c>
      <c r="S2221">
        <v>0.5</v>
      </c>
      <c r="T2221">
        <v>3449</v>
      </c>
      <c r="U2221">
        <v>0</v>
      </c>
      <c r="V2221">
        <v>3449</v>
      </c>
    </row>
    <row r="2222" spans="1:22" x14ac:dyDescent="0.3">
      <c r="A2222">
        <v>186607</v>
      </c>
      <c r="B2222">
        <v>136328514</v>
      </c>
      <c r="C2222" t="s">
        <v>11481</v>
      </c>
      <c r="D2222" t="s">
        <v>11482</v>
      </c>
      <c r="E2222" t="s">
        <v>11426</v>
      </c>
      <c r="F2222" t="s">
        <v>844</v>
      </c>
      <c r="G2222" t="s">
        <v>164</v>
      </c>
      <c r="H2222" t="s">
        <v>165</v>
      </c>
      <c r="I2222" t="s">
        <v>34</v>
      </c>
      <c r="J2222" t="s">
        <v>166</v>
      </c>
      <c r="K2222" t="s">
        <v>41</v>
      </c>
      <c r="L2222" t="s">
        <v>11483</v>
      </c>
      <c r="M2222" t="s">
        <v>337</v>
      </c>
      <c r="N2222" t="s">
        <v>11429</v>
      </c>
      <c r="O2222" t="s">
        <v>101</v>
      </c>
      <c r="P2222" t="s">
        <v>11484</v>
      </c>
      <c r="Q2222" t="s">
        <v>264</v>
      </c>
      <c r="R2222" t="s">
        <v>11485</v>
      </c>
      <c r="S2222">
        <v>0.5</v>
      </c>
      <c r="T2222">
        <v>5367</v>
      </c>
      <c r="U2222">
        <v>0</v>
      </c>
      <c r="V2222">
        <v>5367</v>
      </c>
    </row>
    <row r="2223" spans="1:22" x14ac:dyDescent="0.3">
      <c r="A2223">
        <v>186607</v>
      </c>
      <c r="B2223">
        <v>137252994</v>
      </c>
      <c r="C2223" t="s">
        <v>11486</v>
      </c>
      <c r="D2223" t="s">
        <v>11487</v>
      </c>
      <c r="E2223" t="s">
        <v>11426</v>
      </c>
      <c r="F2223" t="s">
        <v>844</v>
      </c>
      <c r="G2223" t="s">
        <v>164</v>
      </c>
      <c r="H2223" t="s">
        <v>165</v>
      </c>
      <c r="I2223" t="s">
        <v>34</v>
      </c>
      <c r="J2223" t="s">
        <v>166</v>
      </c>
      <c r="K2223" t="s">
        <v>41</v>
      </c>
      <c r="L2223" t="s">
        <v>11488</v>
      </c>
      <c r="M2223" t="s">
        <v>11489</v>
      </c>
      <c r="N2223" t="s">
        <v>11429</v>
      </c>
      <c r="O2223" t="s">
        <v>101</v>
      </c>
      <c r="P2223" t="s">
        <v>11490</v>
      </c>
      <c r="Q2223" t="s">
        <v>58</v>
      </c>
      <c r="R2223" t="s">
        <v>413</v>
      </c>
      <c r="S2223">
        <v>0.5</v>
      </c>
      <c r="T2223">
        <v>4067</v>
      </c>
      <c r="U2223">
        <v>0</v>
      </c>
      <c r="V2223">
        <v>4067</v>
      </c>
    </row>
    <row r="2224" spans="1:22" x14ac:dyDescent="0.3">
      <c r="A2224">
        <v>186607</v>
      </c>
      <c r="B2224">
        <v>137206166</v>
      </c>
      <c r="C2224" t="s">
        <v>11491</v>
      </c>
      <c r="D2224" t="s">
        <v>11492</v>
      </c>
      <c r="E2224" t="s">
        <v>11426</v>
      </c>
      <c r="F2224" t="s">
        <v>844</v>
      </c>
      <c r="G2224" t="s">
        <v>164</v>
      </c>
      <c r="H2224" t="s">
        <v>165</v>
      </c>
      <c r="I2224" t="s">
        <v>34</v>
      </c>
      <c r="J2224" t="s">
        <v>166</v>
      </c>
      <c r="K2224" t="s">
        <v>280</v>
      </c>
      <c r="L2224" t="s">
        <v>281</v>
      </c>
      <c r="M2224" t="s">
        <v>11493</v>
      </c>
      <c r="N2224" t="s">
        <v>11429</v>
      </c>
      <c r="O2224" t="s">
        <v>101</v>
      </c>
      <c r="P2224" t="s">
        <v>11494</v>
      </c>
      <c r="Q2224" t="s">
        <v>75</v>
      </c>
      <c r="R2224" t="s">
        <v>448</v>
      </c>
      <c r="S2224">
        <v>0.5</v>
      </c>
      <c r="T2224">
        <v>6897</v>
      </c>
      <c r="U2224">
        <v>0</v>
      </c>
      <c r="V2224">
        <v>6897</v>
      </c>
    </row>
    <row r="2225" spans="1:22" x14ac:dyDescent="0.3">
      <c r="A2225">
        <v>186607</v>
      </c>
      <c r="B2225">
        <v>137290942</v>
      </c>
      <c r="C2225" t="s">
        <v>11495</v>
      </c>
      <c r="D2225" t="s">
        <v>11496</v>
      </c>
      <c r="E2225" t="s">
        <v>11426</v>
      </c>
      <c r="F2225" t="s">
        <v>844</v>
      </c>
      <c r="G2225" t="s">
        <v>164</v>
      </c>
      <c r="H2225" t="s">
        <v>165</v>
      </c>
      <c r="I2225" t="s">
        <v>34</v>
      </c>
      <c r="J2225" t="s">
        <v>166</v>
      </c>
      <c r="K2225" t="s">
        <v>41</v>
      </c>
      <c r="L2225" t="s">
        <v>11497</v>
      </c>
      <c r="M2225" t="s">
        <v>11498</v>
      </c>
      <c r="N2225" t="s">
        <v>11429</v>
      </c>
      <c r="O2225" t="s">
        <v>101</v>
      </c>
      <c r="P2225" t="s">
        <v>11499</v>
      </c>
      <c r="Q2225" t="s">
        <v>83</v>
      </c>
      <c r="R2225" t="s">
        <v>550</v>
      </c>
      <c r="S2225">
        <v>0.5</v>
      </c>
      <c r="T2225">
        <v>3299</v>
      </c>
      <c r="U2225">
        <v>0</v>
      </c>
      <c r="V2225">
        <v>3299</v>
      </c>
    </row>
    <row r="2226" spans="1:22" x14ac:dyDescent="0.3">
      <c r="A2226">
        <v>186607</v>
      </c>
      <c r="B2226">
        <v>137328748</v>
      </c>
      <c r="C2226" t="s">
        <v>11500</v>
      </c>
      <c r="D2226" t="s">
        <v>11501</v>
      </c>
      <c r="E2226" t="s">
        <v>11426</v>
      </c>
      <c r="F2226" t="s">
        <v>844</v>
      </c>
      <c r="G2226" t="s">
        <v>164</v>
      </c>
      <c r="H2226" t="s">
        <v>165</v>
      </c>
      <c r="I2226" t="s">
        <v>34</v>
      </c>
      <c r="J2226" t="s">
        <v>166</v>
      </c>
      <c r="K2226" t="s">
        <v>41</v>
      </c>
      <c r="L2226" t="s">
        <v>11502</v>
      </c>
      <c r="M2226" t="s">
        <v>11503</v>
      </c>
      <c r="N2226" t="s">
        <v>11429</v>
      </c>
      <c r="O2226" t="s">
        <v>101</v>
      </c>
      <c r="P2226" t="s">
        <v>11504</v>
      </c>
      <c r="Q2226" t="s">
        <v>43</v>
      </c>
      <c r="R2226" t="s">
        <v>11505</v>
      </c>
      <c r="S2226">
        <v>0.5</v>
      </c>
      <c r="T2226">
        <v>3680</v>
      </c>
      <c r="U2226">
        <v>0</v>
      </c>
      <c r="V2226">
        <v>3680</v>
      </c>
    </row>
    <row r="2227" spans="1:22" x14ac:dyDescent="0.3">
      <c r="A2227">
        <v>186607</v>
      </c>
      <c r="B2227">
        <v>137205982</v>
      </c>
      <c r="C2227" t="s">
        <v>11506</v>
      </c>
      <c r="D2227" t="s">
        <v>11507</v>
      </c>
      <c r="E2227" t="s">
        <v>11426</v>
      </c>
      <c r="F2227" t="s">
        <v>844</v>
      </c>
      <c r="G2227" t="s">
        <v>164</v>
      </c>
      <c r="H2227" t="s">
        <v>165</v>
      </c>
      <c r="I2227" t="s">
        <v>34</v>
      </c>
      <c r="J2227" t="s">
        <v>166</v>
      </c>
      <c r="K2227" t="s">
        <v>41</v>
      </c>
      <c r="L2227" t="s">
        <v>11508</v>
      </c>
      <c r="M2227" t="s">
        <v>11509</v>
      </c>
      <c r="N2227" t="s">
        <v>11429</v>
      </c>
      <c r="O2227" t="s">
        <v>101</v>
      </c>
      <c r="P2227" t="s">
        <v>11510</v>
      </c>
      <c r="Q2227" t="s">
        <v>175</v>
      </c>
      <c r="R2227" t="s">
        <v>448</v>
      </c>
      <c r="S2227">
        <v>1.35</v>
      </c>
      <c r="T2227">
        <v>4026</v>
      </c>
      <c r="U2227">
        <v>0</v>
      </c>
      <c r="V2227">
        <v>4026</v>
      </c>
    </row>
    <row r="2228" spans="1:22" x14ac:dyDescent="0.3">
      <c r="A2228">
        <v>186607</v>
      </c>
      <c r="B2228">
        <v>137359273</v>
      </c>
      <c r="C2228" t="s">
        <v>11511</v>
      </c>
      <c r="D2228" t="s">
        <v>11512</v>
      </c>
      <c r="E2228" t="s">
        <v>11426</v>
      </c>
      <c r="F2228" t="s">
        <v>844</v>
      </c>
      <c r="G2228" t="s">
        <v>164</v>
      </c>
      <c r="H2228" t="s">
        <v>165</v>
      </c>
      <c r="I2228" t="s">
        <v>34</v>
      </c>
      <c r="J2228" t="s">
        <v>166</v>
      </c>
      <c r="K2228" t="s">
        <v>41</v>
      </c>
      <c r="L2228" t="s">
        <v>11513</v>
      </c>
      <c r="M2228" t="s">
        <v>11514</v>
      </c>
      <c r="N2228" t="s">
        <v>11429</v>
      </c>
      <c r="O2228" t="s">
        <v>101</v>
      </c>
      <c r="P2228" t="s">
        <v>11515</v>
      </c>
      <c r="Q2228" t="s">
        <v>118</v>
      </c>
      <c r="R2228" t="s">
        <v>11516</v>
      </c>
      <c r="S2228">
        <v>0.5</v>
      </c>
      <c r="T2228">
        <v>3680</v>
      </c>
      <c r="U2228">
        <v>0</v>
      </c>
      <c r="V2228">
        <v>3680</v>
      </c>
    </row>
    <row r="2229" spans="1:22" x14ac:dyDescent="0.3">
      <c r="A2229">
        <v>186607</v>
      </c>
      <c r="B2229">
        <v>137328750</v>
      </c>
      <c r="C2229" t="s">
        <v>11517</v>
      </c>
      <c r="D2229" t="s">
        <v>11518</v>
      </c>
      <c r="E2229" t="s">
        <v>11426</v>
      </c>
      <c r="F2229" t="s">
        <v>844</v>
      </c>
      <c r="G2229" t="s">
        <v>164</v>
      </c>
      <c r="H2229" t="s">
        <v>165</v>
      </c>
      <c r="I2229" t="s">
        <v>34</v>
      </c>
      <c r="J2229" t="s">
        <v>166</v>
      </c>
      <c r="K2229" t="s">
        <v>41</v>
      </c>
      <c r="L2229" t="s">
        <v>11519</v>
      </c>
      <c r="M2229" t="s">
        <v>11520</v>
      </c>
      <c r="N2229" t="s">
        <v>11429</v>
      </c>
      <c r="O2229" t="s">
        <v>101</v>
      </c>
      <c r="P2229" t="s">
        <v>11521</v>
      </c>
      <c r="Q2229" t="s">
        <v>63</v>
      </c>
      <c r="R2229" t="s">
        <v>11505</v>
      </c>
      <c r="S2229">
        <v>0.5</v>
      </c>
      <c r="T2229">
        <v>3680</v>
      </c>
      <c r="U2229">
        <v>0</v>
      </c>
      <c r="V2229">
        <v>3680</v>
      </c>
    </row>
    <row r="2230" spans="1:22" x14ac:dyDescent="0.3">
      <c r="A2230">
        <v>186607</v>
      </c>
      <c r="B2230">
        <v>136889140</v>
      </c>
      <c r="C2230" t="s">
        <v>11522</v>
      </c>
      <c r="D2230" t="s">
        <v>11523</v>
      </c>
      <c r="E2230" t="s">
        <v>11426</v>
      </c>
      <c r="F2230" t="s">
        <v>844</v>
      </c>
      <c r="G2230" t="s">
        <v>164</v>
      </c>
      <c r="H2230" t="s">
        <v>165</v>
      </c>
      <c r="I2230" t="s">
        <v>34</v>
      </c>
      <c r="J2230" t="s">
        <v>166</v>
      </c>
      <c r="K2230" t="s">
        <v>41</v>
      </c>
      <c r="L2230" t="s">
        <v>11524</v>
      </c>
      <c r="M2230" t="s">
        <v>11525</v>
      </c>
      <c r="N2230" t="s">
        <v>11429</v>
      </c>
      <c r="O2230" t="s">
        <v>101</v>
      </c>
      <c r="P2230" t="s">
        <v>11526</v>
      </c>
      <c r="Q2230" t="s">
        <v>77</v>
      </c>
      <c r="R2230" t="s">
        <v>124</v>
      </c>
      <c r="S2230">
        <v>5.46</v>
      </c>
      <c r="T2230">
        <v>8642</v>
      </c>
      <c r="U2230">
        <v>0</v>
      </c>
      <c r="V2230">
        <v>8642</v>
      </c>
    </row>
    <row r="2231" spans="1:22" x14ac:dyDescent="0.3">
      <c r="A2231">
        <v>186607</v>
      </c>
      <c r="B2231">
        <v>137359174</v>
      </c>
      <c r="C2231" t="s">
        <v>11527</v>
      </c>
      <c r="D2231" t="s">
        <v>11528</v>
      </c>
      <c r="E2231" t="s">
        <v>11426</v>
      </c>
      <c r="F2231" t="s">
        <v>844</v>
      </c>
      <c r="G2231" t="s">
        <v>164</v>
      </c>
      <c r="H2231" t="s">
        <v>165</v>
      </c>
      <c r="I2231" t="s">
        <v>34</v>
      </c>
      <c r="J2231" t="s">
        <v>166</v>
      </c>
      <c r="K2231" t="s">
        <v>44</v>
      </c>
      <c r="L2231" t="s">
        <v>188</v>
      </c>
      <c r="M2231" t="s">
        <v>11529</v>
      </c>
      <c r="N2231" t="s">
        <v>11429</v>
      </c>
      <c r="O2231" t="s">
        <v>101</v>
      </c>
      <c r="P2231" t="s">
        <v>11530</v>
      </c>
      <c r="Q2231" t="s">
        <v>63</v>
      </c>
      <c r="R2231" t="s">
        <v>385</v>
      </c>
      <c r="S2231">
        <v>1</v>
      </c>
      <c r="T2231">
        <v>4067</v>
      </c>
      <c r="U2231">
        <v>0</v>
      </c>
      <c r="V2231">
        <v>4067</v>
      </c>
    </row>
    <row r="2232" spans="1:22" x14ac:dyDescent="0.3">
      <c r="A2232">
        <v>186607</v>
      </c>
      <c r="B2232">
        <v>137290947</v>
      </c>
      <c r="C2232" t="s">
        <v>11531</v>
      </c>
      <c r="D2232" t="s">
        <v>11532</v>
      </c>
      <c r="E2232" t="s">
        <v>11426</v>
      </c>
      <c r="F2232" t="s">
        <v>844</v>
      </c>
      <c r="G2232" t="s">
        <v>164</v>
      </c>
      <c r="H2232" t="s">
        <v>165</v>
      </c>
      <c r="I2232" t="s">
        <v>34</v>
      </c>
      <c r="J2232" t="s">
        <v>166</v>
      </c>
      <c r="K2232" t="s">
        <v>41</v>
      </c>
      <c r="L2232" t="s">
        <v>11533</v>
      </c>
      <c r="M2232" t="s">
        <v>11534</v>
      </c>
      <c r="N2232" t="s">
        <v>11429</v>
      </c>
      <c r="O2232" t="s">
        <v>101</v>
      </c>
      <c r="P2232" t="s">
        <v>11535</v>
      </c>
      <c r="Q2232" t="s">
        <v>69</v>
      </c>
      <c r="R2232" t="s">
        <v>550</v>
      </c>
      <c r="S2232">
        <v>0.5</v>
      </c>
      <c r="T2232">
        <v>3680</v>
      </c>
      <c r="U2232">
        <v>0</v>
      </c>
      <c r="V2232">
        <v>3680</v>
      </c>
    </row>
    <row r="2233" spans="1:22" x14ac:dyDescent="0.3">
      <c r="A2233">
        <v>186607</v>
      </c>
      <c r="B2233">
        <v>137290885</v>
      </c>
      <c r="C2233" t="s">
        <v>11536</v>
      </c>
      <c r="D2233" t="s">
        <v>11537</v>
      </c>
      <c r="E2233" t="s">
        <v>11426</v>
      </c>
      <c r="F2233" t="s">
        <v>844</v>
      </c>
      <c r="G2233" t="s">
        <v>164</v>
      </c>
      <c r="H2233" t="s">
        <v>165</v>
      </c>
      <c r="I2233" t="s">
        <v>34</v>
      </c>
      <c r="J2233" t="s">
        <v>166</v>
      </c>
      <c r="K2233" t="s">
        <v>41</v>
      </c>
      <c r="L2233" t="s">
        <v>192</v>
      </c>
      <c r="M2233" t="s">
        <v>11538</v>
      </c>
      <c r="N2233" t="s">
        <v>11429</v>
      </c>
      <c r="O2233" t="s">
        <v>101</v>
      </c>
      <c r="P2233" t="s">
        <v>11539</v>
      </c>
      <c r="Q2233" t="s">
        <v>93</v>
      </c>
      <c r="R2233" t="s">
        <v>550</v>
      </c>
      <c r="S2233">
        <v>1</v>
      </c>
      <c r="T2233">
        <v>3366</v>
      </c>
      <c r="U2233">
        <v>0</v>
      </c>
      <c r="V2233">
        <v>3366</v>
      </c>
    </row>
    <row r="2234" spans="1:22" x14ac:dyDescent="0.3">
      <c r="A2234">
        <v>186607</v>
      </c>
      <c r="B2234">
        <v>137252972</v>
      </c>
      <c r="C2234" t="s">
        <v>11540</v>
      </c>
      <c r="D2234" t="s">
        <v>11541</v>
      </c>
      <c r="E2234" t="s">
        <v>11426</v>
      </c>
      <c r="F2234" t="s">
        <v>844</v>
      </c>
      <c r="G2234" t="s">
        <v>164</v>
      </c>
      <c r="H2234" t="s">
        <v>165</v>
      </c>
      <c r="I2234" t="s">
        <v>34</v>
      </c>
      <c r="J2234" t="s">
        <v>166</v>
      </c>
      <c r="K2234" t="s">
        <v>41</v>
      </c>
      <c r="L2234" t="s">
        <v>11542</v>
      </c>
      <c r="M2234" t="s">
        <v>11543</v>
      </c>
      <c r="N2234" t="s">
        <v>11429</v>
      </c>
      <c r="O2234" t="s">
        <v>101</v>
      </c>
      <c r="P2234" t="s">
        <v>11544</v>
      </c>
      <c r="Q2234" t="s">
        <v>58</v>
      </c>
      <c r="R2234" t="s">
        <v>413</v>
      </c>
      <c r="S2234">
        <v>0.5</v>
      </c>
      <c r="T2234">
        <v>4067</v>
      </c>
      <c r="U2234">
        <v>0</v>
      </c>
      <c r="V2234">
        <v>4067</v>
      </c>
    </row>
    <row r="2235" spans="1:22" x14ac:dyDescent="0.3">
      <c r="A2235">
        <v>186607</v>
      </c>
      <c r="B2235">
        <v>137252960</v>
      </c>
      <c r="C2235" t="s">
        <v>11545</v>
      </c>
      <c r="D2235" t="s">
        <v>11546</v>
      </c>
      <c r="E2235" t="s">
        <v>11426</v>
      </c>
      <c r="F2235" t="s">
        <v>844</v>
      </c>
      <c r="G2235" t="s">
        <v>164</v>
      </c>
      <c r="H2235" t="s">
        <v>165</v>
      </c>
      <c r="I2235" t="s">
        <v>34</v>
      </c>
      <c r="J2235" t="s">
        <v>166</v>
      </c>
      <c r="K2235" t="s">
        <v>44</v>
      </c>
      <c r="L2235" t="s">
        <v>188</v>
      </c>
      <c r="M2235" t="s">
        <v>11547</v>
      </c>
      <c r="N2235" t="s">
        <v>11429</v>
      </c>
      <c r="O2235" t="s">
        <v>101</v>
      </c>
      <c r="P2235" t="s">
        <v>11548</v>
      </c>
      <c r="Q2235" t="s">
        <v>239</v>
      </c>
      <c r="R2235" t="s">
        <v>413</v>
      </c>
      <c r="S2235">
        <v>0.5</v>
      </c>
      <c r="T2235">
        <v>4067</v>
      </c>
      <c r="U2235">
        <v>0</v>
      </c>
      <c r="V2235">
        <v>4067</v>
      </c>
    </row>
    <row r="2236" spans="1:22" x14ac:dyDescent="0.3">
      <c r="A2236">
        <v>186607</v>
      </c>
      <c r="B2236">
        <v>137290951</v>
      </c>
      <c r="C2236" t="s">
        <v>11549</v>
      </c>
      <c r="D2236" t="s">
        <v>11550</v>
      </c>
      <c r="E2236" t="s">
        <v>11426</v>
      </c>
      <c r="F2236" t="s">
        <v>844</v>
      </c>
      <c r="G2236" t="s">
        <v>164</v>
      </c>
      <c r="H2236" t="s">
        <v>165</v>
      </c>
      <c r="I2236" t="s">
        <v>34</v>
      </c>
      <c r="J2236" t="s">
        <v>166</v>
      </c>
      <c r="K2236" t="s">
        <v>41</v>
      </c>
      <c r="L2236" t="s">
        <v>11551</v>
      </c>
      <c r="M2236" t="s">
        <v>11552</v>
      </c>
      <c r="N2236" t="s">
        <v>11429</v>
      </c>
      <c r="O2236" t="s">
        <v>101</v>
      </c>
      <c r="P2236" t="s">
        <v>11553</v>
      </c>
      <c r="Q2236" t="s">
        <v>60</v>
      </c>
      <c r="R2236" t="s">
        <v>550</v>
      </c>
      <c r="S2236">
        <v>0.5</v>
      </c>
      <c r="T2236">
        <v>3680</v>
      </c>
      <c r="U2236">
        <v>0</v>
      </c>
      <c r="V2236">
        <v>3680</v>
      </c>
    </row>
    <row r="2237" spans="1:22" x14ac:dyDescent="0.3">
      <c r="A2237">
        <v>186607</v>
      </c>
      <c r="B2237">
        <v>137328747</v>
      </c>
      <c r="C2237" t="s">
        <v>11554</v>
      </c>
      <c r="D2237" t="s">
        <v>11555</v>
      </c>
      <c r="E2237" t="s">
        <v>11426</v>
      </c>
      <c r="F2237" t="s">
        <v>844</v>
      </c>
      <c r="G2237" t="s">
        <v>164</v>
      </c>
      <c r="H2237" t="s">
        <v>165</v>
      </c>
      <c r="I2237" t="s">
        <v>34</v>
      </c>
      <c r="J2237" t="s">
        <v>166</v>
      </c>
      <c r="K2237" t="s">
        <v>41</v>
      </c>
      <c r="L2237" t="s">
        <v>11556</v>
      </c>
      <c r="M2237" t="s">
        <v>11557</v>
      </c>
      <c r="N2237" t="s">
        <v>11429</v>
      </c>
      <c r="O2237" t="s">
        <v>101</v>
      </c>
      <c r="P2237" t="s">
        <v>11558</v>
      </c>
      <c r="Q2237" t="s">
        <v>69</v>
      </c>
      <c r="R2237" t="s">
        <v>11505</v>
      </c>
      <c r="S2237">
        <v>1</v>
      </c>
      <c r="T2237">
        <v>3753</v>
      </c>
      <c r="U2237">
        <v>0</v>
      </c>
      <c r="V2237">
        <v>3753</v>
      </c>
    </row>
    <row r="2238" spans="1:22" x14ac:dyDescent="0.3">
      <c r="A2238">
        <v>186607</v>
      </c>
      <c r="B2238">
        <v>137290867</v>
      </c>
      <c r="C2238" t="s">
        <v>11559</v>
      </c>
      <c r="D2238" t="s">
        <v>11560</v>
      </c>
      <c r="E2238" t="s">
        <v>11426</v>
      </c>
      <c r="F2238" t="s">
        <v>844</v>
      </c>
      <c r="G2238" t="s">
        <v>164</v>
      </c>
      <c r="H2238" t="s">
        <v>165</v>
      </c>
      <c r="I2238" t="s">
        <v>34</v>
      </c>
      <c r="J2238" t="s">
        <v>166</v>
      </c>
      <c r="K2238" t="s">
        <v>41</v>
      </c>
      <c r="L2238" t="s">
        <v>11561</v>
      </c>
      <c r="M2238" t="s">
        <v>11562</v>
      </c>
      <c r="N2238" t="s">
        <v>11429</v>
      </c>
      <c r="O2238" t="s">
        <v>101</v>
      </c>
      <c r="P2238" t="s">
        <v>11563</v>
      </c>
      <c r="Q2238" t="s">
        <v>78</v>
      </c>
      <c r="R2238" t="s">
        <v>550</v>
      </c>
      <c r="S2238">
        <v>0.5</v>
      </c>
      <c r="T2238">
        <v>3449</v>
      </c>
      <c r="U2238">
        <v>0</v>
      </c>
      <c r="V2238">
        <v>3449</v>
      </c>
    </row>
    <row r="2239" spans="1:22" x14ac:dyDescent="0.3">
      <c r="A2239">
        <v>186607</v>
      </c>
      <c r="B2239">
        <v>137290955</v>
      </c>
      <c r="C2239" t="s">
        <v>11564</v>
      </c>
      <c r="D2239" t="s">
        <v>11565</v>
      </c>
      <c r="E2239" t="s">
        <v>11426</v>
      </c>
      <c r="F2239" t="s">
        <v>844</v>
      </c>
      <c r="G2239" t="s">
        <v>164</v>
      </c>
      <c r="H2239" t="s">
        <v>165</v>
      </c>
      <c r="I2239" t="s">
        <v>34</v>
      </c>
      <c r="J2239" t="s">
        <v>166</v>
      </c>
      <c r="K2239" t="s">
        <v>41</v>
      </c>
      <c r="L2239" t="s">
        <v>11566</v>
      </c>
      <c r="M2239" t="s">
        <v>11567</v>
      </c>
      <c r="N2239" t="s">
        <v>11429</v>
      </c>
      <c r="O2239" t="s">
        <v>101</v>
      </c>
      <c r="P2239" t="s">
        <v>11568</v>
      </c>
      <c r="Q2239" t="s">
        <v>74</v>
      </c>
      <c r="R2239" t="s">
        <v>550</v>
      </c>
      <c r="S2239">
        <v>1</v>
      </c>
      <c r="T2239">
        <v>3753</v>
      </c>
      <c r="U2239">
        <v>0</v>
      </c>
      <c r="V2239">
        <v>3753</v>
      </c>
    </row>
    <row r="2240" spans="1:22" x14ac:dyDescent="0.3">
      <c r="A2240">
        <v>186607</v>
      </c>
      <c r="B2240">
        <v>136682167</v>
      </c>
      <c r="C2240" t="s">
        <v>11569</v>
      </c>
      <c r="D2240" t="s">
        <v>11570</v>
      </c>
      <c r="E2240" t="s">
        <v>11426</v>
      </c>
      <c r="F2240" t="s">
        <v>844</v>
      </c>
      <c r="G2240" t="s">
        <v>164</v>
      </c>
      <c r="H2240" t="s">
        <v>165</v>
      </c>
      <c r="I2240" t="s">
        <v>34</v>
      </c>
      <c r="J2240" t="s">
        <v>166</v>
      </c>
      <c r="K2240" t="s">
        <v>41</v>
      </c>
      <c r="L2240" t="s">
        <v>11571</v>
      </c>
      <c r="M2240" t="s">
        <v>11572</v>
      </c>
      <c r="N2240" t="s">
        <v>11429</v>
      </c>
      <c r="O2240" t="s">
        <v>101</v>
      </c>
      <c r="P2240" t="s">
        <v>11573</v>
      </c>
      <c r="Q2240" t="s">
        <v>246</v>
      </c>
      <c r="R2240" t="s">
        <v>11574</v>
      </c>
      <c r="S2240">
        <v>2.0699999999999998</v>
      </c>
      <c r="T2240">
        <v>5759</v>
      </c>
      <c r="U2240">
        <v>0</v>
      </c>
      <c r="V2240">
        <v>5759</v>
      </c>
    </row>
    <row r="2241" spans="1:22" x14ac:dyDescent="0.3">
      <c r="A2241">
        <v>186607</v>
      </c>
      <c r="B2241">
        <v>137290937</v>
      </c>
      <c r="C2241" t="s">
        <v>11575</v>
      </c>
      <c r="D2241" t="s">
        <v>11576</v>
      </c>
      <c r="E2241" t="s">
        <v>11426</v>
      </c>
      <c r="F2241" t="s">
        <v>844</v>
      </c>
      <c r="G2241" t="s">
        <v>164</v>
      </c>
      <c r="H2241" t="s">
        <v>165</v>
      </c>
      <c r="I2241" t="s">
        <v>34</v>
      </c>
      <c r="J2241" t="s">
        <v>166</v>
      </c>
      <c r="K2241" t="s">
        <v>41</v>
      </c>
      <c r="L2241" t="s">
        <v>11577</v>
      </c>
      <c r="M2241" t="s">
        <v>11578</v>
      </c>
      <c r="N2241" t="s">
        <v>11429</v>
      </c>
      <c r="O2241" t="s">
        <v>101</v>
      </c>
      <c r="P2241" t="s">
        <v>11579</v>
      </c>
      <c r="Q2241" t="s">
        <v>69</v>
      </c>
      <c r="R2241" t="s">
        <v>550</v>
      </c>
      <c r="S2241">
        <v>1</v>
      </c>
      <c r="T2241">
        <v>3753</v>
      </c>
      <c r="U2241">
        <v>0</v>
      </c>
      <c r="V2241">
        <v>3753</v>
      </c>
    </row>
    <row r="2242" spans="1:22" x14ac:dyDescent="0.3">
      <c r="A2242">
        <v>186607</v>
      </c>
      <c r="B2242">
        <v>137290932</v>
      </c>
      <c r="C2242" t="s">
        <v>11580</v>
      </c>
      <c r="D2242" t="s">
        <v>11581</v>
      </c>
      <c r="E2242" t="s">
        <v>11426</v>
      </c>
      <c r="F2242" t="s">
        <v>844</v>
      </c>
      <c r="G2242" t="s">
        <v>164</v>
      </c>
      <c r="H2242" t="s">
        <v>165</v>
      </c>
      <c r="I2242" t="s">
        <v>34</v>
      </c>
      <c r="J2242" t="s">
        <v>166</v>
      </c>
      <c r="K2242" t="s">
        <v>41</v>
      </c>
      <c r="L2242" t="s">
        <v>11582</v>
      </c>
      <c r="M2242" t="s">
        <v>11583</v>
      </c>
      <c r="N2242" t="s">
        <v>11429</v>
      </c>
      <c r="O2242" t="s">
        <v>101</v>
      </c>
      <c r="P2242" t="s">
        <v>11584</v>
      </c>
      <c r="Q2242" t="s">
        <v>63</v>
      </c>
      <c r="R2242" t="s">
        <v>550</v>
      </c>
      <c r="S2242">
        <v>0.5</v>
      </c>
      <c r="T2242">
        <v>3680</v>
      </c>
      <c r="U2242">
        <v>0</v>
      </c>
      <c r="V2242">
        <v>3680</v>
      </c>
    </row>
    <row r="2243" spans="1:22" x14ac:dyDescent="0.3">
      <c r="A2243">
        <v>186607</v>
      </c>
      <c r="B2243">
        <v>137328743</v>
      </c>
      <c r="C2243" t="s">
        <v>11585</v>
      </c>
      <c r="D2243" t="s">
        <v>11586</v>
      </c>
      <c r="E2243" t="s">
        <v>11426</v>
      </c>
      <c r="F2243" t="s">
        <v>844</v>
      </c>
      <c r="G2243" t="s">
        <v>164</v>
      </c>
      <c r="H2243" t="s">
        <v>165</v>
      </c>
      <c r="I2243" t="s">
        <v>34</v>
      </c>
      <c r="J2243" t="s">
        <v>166</v>
      </c>
      <c r="K2243" t="s">
        <v>41</v>
      </c>
      <c r="L2243" t="s">
        <v>11587</v>
      </c>
      <c r="M2243" t="s">
        <v>11588</v>
      </c>
      <c r="N2243" t="s">
        <v>11429</v>
      </c>
      <c r="O2243" t="s">
        <v>101</v>
      </c>
      <c r="P2243" t="s">
        <v>11589</v>
      </c>
      <c r="Q2243" t="s">
        <v>78</v>
      </c>
      <c r="R2243" t="s">
        <v>11505</v>
      </c>
      <c r="S2243">
        <v>1.5</v>
      </c>
      <c r="T2243">
        <v>3784</v>
      </c>
      <c r="U2243">
        <v>0</v>
      </c>
      <c r="V2243">
        <v>3784</v>
      </c>
    </row>
    <row r="2244" spans="1:22" x14ac:dyDescent="0.3">
      <c r="A2244">
        <v>186607</v>
      </c>
      <c r="B2244">
        <v>137328756</v>
      </c>
      <c r="C2244" t="s">
        <v>11590</v>
      </c>
      <c r="D2244" t="s">
        <v>11591</v>
      </c>
      <c r="E2244" t="s">
        <v>11426</v>
      </c>
      <c r="F2244" t="s">
        <v>844</v>
      </c>
      <c r="G2244" t="s">
        <v>164</v>
      </c>
      <c r="H2244" t="s">
        <v>165</v>
      </c>
      <c r="I2244" t="s">
        <v>34</v>
      </c>
      <c r="J2244" t="s">
        <v>166</v>
      </c>
      <c r="K2244" t="s">
        <v>41</v>
      </c>
      <c r="L2244" t="s">
        <v>11592</v>
      </c>
      <c r="M2244" t="s">
        <v>11593</v>
      </c>
      <c r="N2244" t="s">
        <v>11429</v>
      </c>
      <c r="O2244" t="s">
        <v>101</v>
      </c>
      <c r="P2244" t="s">
        <v>11594</v>
      </c>
      <c r="Q2244" t="s">
        <v>72</v>
      </c>
      <c r="R2244" t="s">
        <v>11505</v>
      </c>
      <c r="S2244">
        <v>0.5</v>
      </c>
      <c r="T2244">
        <v>3449</v>
      </c>
      <c r="U2244">
        <v>0</v>
      </c>
      <c r="V2244">
        <v>3449</v>
      </c>
    </row>
    <row r="2245" spans="1:22" x14ac:dyDescent="0.3">
      <c r="A2245">
        <v>186607</v>
      </c>
      <c r="B2245">
        <v>137290950</v>
      </c>
      <c r="C2245" t="s">
        <v>11595</v>
      </c>
      <c r="D2245" t="s">
        <v>11596</v>
      </c>
      <c r="E2245" t="s">
        <v>11426</v>
      </c>
      <c r="F2245" t="s">
        <v>844</v>
      </c>
      <c r="G2245" t="s">
        <v>164</v>
      </c>
      <c r="H2245" t="s">
        <v>165</v>
      </c>
      <c r="I2245" t="s">
        <v>34</v>
      </c>
      <c r="J2245" t="s">
        <v>166</v>
      </c>
      <c r="K2245" t="s">
        <v>41</v>
      </c>
      <c r="L2245" t="s">
        <v>11597</v>
      </c>
      <c r="M2245" t="s">
        <v>11598</v>
      </c>
      <c r="N2245" t="s">
        <v>11429</v>
      </c>
      <c r="O2245" t="s">
        <v>101</v>
      </c>
      <c r="P2245" t="s">
        <v>11599</v>
      </c>
      <c r="Q2245" t="s">
        <v>63</v>
      </c>
      <c r="R2245" t="s">
        <v>550</v>
      </c>
      <c r="S2245">
        <v>0.5</v>
      </c>
      <c r="T2245">
        <v>3680</v>
      </c>
      <c r="U2245">
        <v>0</v>
      </c>
      <c r="V2245">
        <v>3680</v>
      </c>
    </row>
    <row r="2246" spans="1:22" x14ac:dyDescent="0.3">
      <c r="A2246">
        <v>186607</v>
      </c>
      <c r="B2246">
        <v>137290898</v>
      </c>
      <c r="C2246" t="s">
        <v>11600</v>
      </c>
      <c r="D2246" t="s">
        <v>11601</v>
      </c>
      <c r="E2246" t="s">
        <v>11426</v>
      </c>
      <c r="F2246" t="s">
        <v>844</v>
      </c>
      <c r="G2246" t="s">
        <v>164</v>
      </c>
      <c r="H2246" t="s">
        <v>165</v>
      </c>
      <c r="I2246" t="s">
        <v>34</v>
      </c>
      <c r="J2246" t="s">
        <v>166</v>
      </c>
      <c r="K2246" t="s">
        <v>41</v>
      </c>
      <c r="L2246" t="s">
        <v>11602</v>
      </c>
      <c r="M2246" t="s">
        <v>11603</v>
      </c>
      <c r="N2246" t="s">
        <v>11429</v>
      </c>
      <c r="O2246" t="s">
        <v>101</v>
      </c>
      <c r="P2246" t="s">
        <v>11604</v>
      </c>
      <c r="Q2246" t="s">
        <v>64</v>
      </c>
      <c r="R2246" t="s">
        <v>550</v>
      </c>
      <c r="S2246">
        <v>0.5</v>
      </c>
      <c r="T2246">
        <v>3680</v>
      </c>
      <c r="U2246">
        <v>0</v>
      </c>
      <c r="V2246">
        <v>3680</v>
      </c>
    </row>
    <row r="2247" spans="1:22" x14ac:dyDescent="0.3">
      <c r="A2247">
        <v>186607</v>
      </c>
      <c r="B2247">
        <v>136635743</v>
      </c>
      <c r="C2247" t="s">
        <v>11605</v>
      </c>
      <c r="D2247" t="s">
        <v>11606</v>
      </c>
      <c r="E2247" t="s">
        <v>11426</v>
      </c>
      <c r="F2247" t="s">
        <v>844</v>
      </c>
      <c r="G2247" t="s">
        <v>164</v>
      </c>
      <c r="H2247" t="s">
        <v>165</v>
      </c>
      <c r="I2247" t="s">
        <v>34</v>
      </c>
      <c r="J2247" t="s">
        <v>166</v>
      </c>
      <c r="K2247" t="s">
        <v>41</v>
      </c>
      <c r="L2247" t="s">
        <v>11607</v>
      </c>
      <c r="M2247" t="s">
        <v>11608</v>
      </c>
      <c r="N2247" t="s">
        <v>11429</v>
      </c>
      <c r="O2247" t="s">
        <v>101</v>
      </c>
      <c r="P2247" t="s">
        <v>11609</v>
      </c>
      <c r="Q2247" t="s">
        <v>52</v>
      </c>
      <c r="R2247" t="s">
        <v>11610</v>
      </c>
      <c r="S2247">
        <v>0.5</v>
      </c>
      <c r="T2247">
        <v>5367</v>
      </c>
      <c r="U2247">
        <v>0</v>
      </c>
      <c r="V2247">
        <v>5367</v>
      </c>
    </row>
    <row r="2248" spans="1:22" x14ac:dyDescent="0.3">
      <c r="A2248">
        <v>186607</v>
      </c>
      <c r="B2248">
        <v>137328746</v>
      </c>
      <c r="C2248" t="s">
        <v>11611</v>
      </c>
      <c r="D2248" t="s">
        <v>11612</v>
      </c>
      <c r="E2248" t="s">
        <v>11426</v>
      </c>
      <c r="F2248" t="s">
        <v>844</v>
      </c>
      <c r="G2248" t="s">
        <v>164</v>
      </c>
      <c r="H2248" t="s">
        <v>165</v>
      </c>
      <c r="I2248" t="s">
        <v>34</v>
      </c>
      <c r="J2248" t="s">
        <v>166</v>
      </c>
      <c r="K2248" t="s">
        <v>41</v>
      </c>
      <c r="L2248" t="s">
        <v>11613</v>
      </c>
      <c r="M2248" t="s">
        <v>11614</v>
      </c>
      <c r="N2248" t="s">
        <v>11429</v>
      </c>
      <c r="O2248" t="s">
        <v>101</v>
      </c>
      <c r="P2248" t="s">
        <v>11615</v>
      </c>
      <c r="Q2248" t="s">
        <v>97</v>
      </c>
      <c r="R2248" t="s">
        <v>11505</v>
      </c>
      <c r="S2248">
        <v>0.5</v>
      </c>
      <c r="T2248">
        <v>3299</v>
      </c>
      <c r="U2248">
        <v>0</v>
      </c>
      <c r="V2248">
        <v>3299</v>
      </c>
    </row>
    <row r="2249" spans="1:22" x14ac:dyDescent="0.3">
      <c r="A2249">
        <v>186607</v>
      </c>
      <c r="B2249">
        <v>137359173</v>
      </c>
      <c r="C2249" t="s">
        <v>11616</v>
      </c>
      <c r="D2249" t="s">
        <v>11617</v>
      </c>
      <c r="E2249" t="s">
        <v>11426</v>
      </c>
      <c r="F2249" t="s">
        <v>844</v>
      </c>
      <c r="G2249" t="s">
        <v>164</v>
      </c>
      <c r="H2249" t="s">
        <v>165</v>
      </c>
      <c r="I2249" t="s">
        <v>34</v>
      </c>
      <c r="J2249" t="s">
        <v>166</v>
      </c>
      <c r="K2249" t="s">
        <v>41</v>
      </c>
      <c r="L2249" t="s">
        <v>11618</v>
      </c>
      <c r="M2249" t="s">
        <v>11619</v>
      </c>
      <c r="N2249" t="s">
        <v>11429</v>
      </c>
      <c r="O2249" t="s">
        <v>101</v>
      </c>
      <c r="P2249" t="s">
        <v>11620</v>
      </c>
      <c r="Q2249" t="s">
        <v>71</v>
      </c>
      <c r="R2249" t="s">
        <v>385</v>
      </c>
      <c r="S2249">
        <v>0.5</v>
      </c>
      <c r="T2249">
        <v>3449</v>
      </c>
      <c r="U2249">
        <v>0</v>
      </c>
      <c r="V2249">
        <v>3449</v>
      </c>
    </row>
    <row r="2250" spans="1:22" x14ac:dyDescent="0.3">
      <c r="A2250">
        <v>186607</v>
      </c>
      <c r="B2250">
        <v>137169232</v>
      </c>
      <c r="C2250" t="s">
        <v>11621</v>
      </c>
      <c r="D2250" t="s">
        <v>11622</v>
      </c>
      <c r="E2250" t="s">
        <v>11426</v>
      </c>
      <c r="F2250" t="s">
        <v>844</v>
      </c>
      <c r="G2250" t="s">
        <v>164</v>
      </c>
      <c r="H2250" t="s">
        <v>165</v>
      </c>
      <c r="I2250" t="s">
        <v>34</v>
      </c>
      <c r="J2250" t="s">
        <v>166</v>
      </c>
      <c r="K2250" t="s">
        <v>41</v>
      </c>
      <c r="L2250" t="s">
        <v>11623</v>
      </c>
      <c r="M2250" t="s">
        <v>11624</v>
      </c>
      <c r="N2250" t="s">
        <v>11429</v>
      </c>
      <c r="O2250" t="s">
        <v>101</v>
      </c>
      <c r="P2250" t="s">
        <v>11625</v>
      </c>
      <c r="Q2250" t="s">
        <v>90</v>
      </c>
      <c r="R2250" t="s">
        <v>11626</v>
      </c>
      <c r="S2250">
        <v>0.5</v>
      </c>
      <c r="T2250">
        <v>3794</v>
      </c>
      <c r="U2250">
        <v>0</v>
      </c>
      <c r="V2250">
        <v>3794</v>
      </c>
    </row>
    <row r="2251" spans="1:22" x14ac:dyDescent="0.3">
      <c r="A2251">
        <v>186607</v>
      </c>
      <c r="B2251">
        <v>137290929</v>
      </c>
      <c r="C2251" t="s">
        <v>11627</v>
      </c>
      <c r="D2251" t="s">
        <v>11628</v>
      </c>
      <c r="E2251" t="s">
        <v>11426</v>
      </c>
      <c r="F2251" t="s">
        <v>844</v>
      </c>
      <c r="G2251" t="s">
        <v>164</v>
      </c>
      <c r="H2251" t="s">
        <v>165</v>
      </c>
      <c r="I2251" t="s">
        <v>34</v>
      </c>
      <c r="J2251" t="s">
        <v>166</v>
      </c>
      <c r="K2251" t="s">
        <v>41</v>
      </c>
      <c r="L2251" t="s">
        <v>11629</v>
      </c>
      <c r="M2251" t="s">
        <v>417</v>
      </c>
      <c r="N2251" t="s">
        <v>11429</v>
      </c>
      <c r="O2251" t="s">
        <v>101</v>
      </c>
      <c r="P2251" t="s">
        <v>11630</v>
      </c>
      <c r="Q2251" t="s">
        <v>71</v>
      </c>
      <c r="R2251" t="s">
        <v>550</v>
      </c>
      <c r="S2251">
        <v>0.5</v>
      </c>
      <c r="T2251">
        <v>3449</v>
      </c>
      <c r="U2251">
        <v>0</v>
      </c>
      <c r="V2251">
        <v>3449</v>
      </c>
    </row>
    <row r="2252" spans="1:22" x14ac:dyDescent="0.3">
      <c r="A2252">
        <v>186607</v>
      </c>
      <c r="B2252">
        <v>136757040</v>
      </c>
      <c r="C2252" t="s">
        <v>11631</v>
      </c>
      <c r="D2252" t="s">
        <v>11632</v>
      </c>
      <c r="E2252" t="s">
        <v>11426</v>
      </c>
      <c r="F2252" t="s">
        <v>844</v>
      </c>
      <c r="G2252" t="s">
        <v>164</v>
      </c>
      <c r="H2252" t="s">
        <v>165</v>
      </c>
      <c r="I2252" t="s">
        <v>34</v>
      </c>
      <c r="J2252" t="s">
        <v>166</v>
      </c>
      <c r="K2252" t="s">
        <v>41</v>
      </c>
      <c r="L2252" t="s">
        <v>11633</v>
      </c>
      <c r="M2252" t="s">
        <v>11634</v>
      </c>
      <c r="N2252" t="s">
        <v>11429</v>
      </c>
      <c r="O2252" t="s">
        <v>101</v>
      </c>
      <c r="P2252" t="s">
        <v>11635</v>
      </c>
      <c r="Q2252" t="s">
        <v>52</v>
      </c>
      <c r="R2252" t="s">
        <v>469</v>
      </c>
      <c r="S2252">
        <v>3.03</v>
      </c>
      <c r="T2252">
        <v>8008</v>
      </c>
      <c r="U2252">
        <v>0</v>
      </c>
      <c r="V2252">
        <v>8008</v>
      </c>
    </row>
    <row r="2253" spans="1:22" x14ac:dyDescent="0.3">
      <c r="A2253">
        <v>186607</v>
      </c>
      <c r="B2253">
        <v>137252974</v>
      </c>
      <c r="C2253" t="s">
        <v>11636</v>
      </c>
      <c r="D2253" t="s">
        <v>11637</v>
      </c>
      <c r="E2253" t="s">
        <v>11426</v>
      </c>
      <c r="F2253" t="s">
        <v>844</v>
      </c>
      <c r="G2253" t="s">
        <v>164</v>
      </c>
      <c r="H2253" t="s">
        <v>165</v>
      </c>
      <c r="I2253" t="s">
        <v>34</v>
      </c>
      <c r="J2253" t="s">
        <v>166</v>
      </c>
      <c r="K2253" t="s">
        <v>41</v>
      </c>
      <c r="L2253" t="s">
        <v>11638</v>
      </c>
      <c r="M2253" t="s">
        <v>11639</v>
      </c>
      <c r="N2253" t="s">
        <v>11429</v>
      </c>
      <c r="O2253" t="s">
        <v>101</v>
      </c>
      <c r="P2253" t="s">
        <v>11640</v>
      </c>
      <c r="Q2253" t="s">
        <v>70</v>
      </c>
      <c r="R2253" t="s">
        <v>413</v>
      </c>
      <c r="S2253">
        <v>1</v>
      </c>
      <c r="T2253">
        <v>3501</v>
      </c>
      <c r="U2253">
        <v>0</v>
      </c>
      <c r="V2253">
        <v>3501</v>
      </c>
    </row>
    <row r="2254" spans="1:22" x14ac:dyDescent="0.3">
      <c r="A2254">
        <v>186607</v>
      </c>
      <c r="B2254">
        <v>136939662</v>
      </c>
      <c r="C2254" t="s">
        <v>11641</v>
      </c>
      <c r="D2254" t="s">
        <v>11642</v>
      </c>
      <c r="E2254" t="s">
        <v>11426</v>
      </c>
      <c r="F2254" t="s">
        <v>844</v>
      </c>
      <c r="G2254" t="s">
        <v>164</v>
      </c>
      <c r="H2254" t="s">
        <v>165</v>
      </c>
      <c r="I2254" t="s">
        <v>34</v>
      </c>
      <c r="J2254" t="s">
        <v>166</v>
      </c>
      <c r="K2254" t="s">
        <v>41</v>
      </c>
      <c r="L2254" t="s">
        <v>11643</v>
      </c>
      <c r="M2254" t="s">
        <v>11644</v>
      </c>
      <c r="N2254" t="s">
        <v>11429</v>
      </c>
      <c r="O2254" t="s">
        <v>101</v>
      </c>
      <c r="P2254" t="s">
        <v>11645</v>
      </c>
      <c r="Q2254" t="s">
        <v>55</v>
      </c>
      <c r="R2254" t="s">
        <v>568</v>
      </c>
      <c r="S2254">
        <v>1.32</v>
      </c>
      <c r="T2254">
        <v>5198</v>
      </c>
      <c r="U2254">
        <v>0</v>
      </c>
      <c r="V2254">
        <v>5198</v>
      </c>
    </row>
    <row r="2255" spans="1:22" x14ac:dyDescent="0.3">
      <c r="A2255">
        <v>186607</v>
      </c>
      <c r="B2255">
        <v>136997903</v>
      </c>
      <c r="C2255" t="s">
        <v>11646</v>
      </c>
      <c r="D2255" t="s">
        <v>11647</v>
      </c>
      <c r="E2255" t="s">
        <v>11426</v>
      </c>
      <c r="F2255" t="s">
        <v>844</v>
      </c>
      <c r="G2255" t="s">
        <v>164</v>
      </c>
      <c r="H2255" t="s">
        <v>165</v>
      </c>
      <c r="I2255" t="s">
        <v>34</v>
      </c>
      <c r="J2255" t="s">
        <v>166</v>
      </c>
      <c r="K2255" t="s">
        <v>41</v>
      </c>
      <c r="L2255" t="s">
        <v>11648</v>
      </c>
      <c r="M2255" t="s">
        <v>11649</v>
      </c>
      <c r="N2255" t="s">
        <v>11429</v>
      </c>
      <c r="O2255" t="s">
        <v>101</v>
      </c>
      <c r="P2255" t="s">
        <v>11650</v>
      </c>
      <c r="Q2255" t="s">
        <v>84</v>
      </c>
      <c r="R2255" t="s">
        <v>753</v>
      </c>
      <c r="S2255">
        <v>0.5</v>
      </c>
      <c r="T2255">
        <v>3299</v>
      </c>
      <c r="U2255">
        <v>0</v>
      </c>
      <c r="V2255">
        <v>3299</v>
      </c>
    </row>
    <row r="2256" spans="1:22" x14ac:dyDescent="0.3">
      <c r="A2256">
        <v>186607</v>
      </c>
      <c r="B2256">
        <v>136939671</v>
      </c>
      <c r="C2256" t="s">
        <v>11651</v>
      </c>
      <c r="D2256" t="s">
        <v>11652</v>
      </c>
      <c r="E2256" t="s">
        <v>11426</v>
      </c>
      <c r="F2256" t="s">
        <v>844</v>
      </c>
      <c r="G2256" t="s">
        <v>164</v>
      </c>
      <c r="H2256" t="s">
        <v>165</v>
      </c>
      <c r="I2256" t="s">
        <v>34</v>
      </c>
      <c r="J2256" t="s">
        <v>166</v>
      </c>
      <c r="K2256" t="s">
        <v>41</v>
      </c>
      <c r="L2256" t="s">
        <v>11653</v>
      </c>
      <c r="M2256" t="s">
        <v>11654</v>
      </c>
      <c r="N2256" t="s">
        <v>11429</v>
      </c>
      <c r="O2256" t="s">
        <v>101</v>
      </c>
      <c r="P2256" t="s">
        <v>11655</v>
      </c>
      <c r="Q2256" t="s">
        <v>109</v>
      </c>
      <c r="R2256" t="s">
        <v>568</v>
      </c>
      <c r="S2256">
        <v>3.33</v>
      </c>
      <c r="T2256">
        <v>5376</v>
      </c>
      <c r="U2256">
        <v>0</v>
      </c>
      <c r="V2256">
        <v>5376</v>
      </c>
    </row>
    <row r="2257" spans="1:22" x14ac:dyDescent="0.3">
      <c r="A2257">
        <v>186607</v>
      </c>
      <c r="B2257">
        <v>136792700</v>
      </c>
      <c r="C2257" t="s">
        <v>11656</v>
      </c>
      <c r="D2257" t="s">
        <v>11657</v>
      </c>
      <c r="E2257" t="s">
        <v>11426</v>
      </c>
      <c r="F2257" t="s">
        <v>844</v>
      </c>
      <c r="G2257" t="s">
        <v>164</v>
      </c>
      <c r="H2257" t="s">
        <v>165</v>
      </c>
      <c r="I2257" t="s">
        <v>34</v>
      </c>
      <c r="J2257" t="s">
        <v>166</v>
      </c>
      <c r="K2257" t="s">
        <v>41</v>
      </c>
      <c r="L2257" t="s">
        <v>11658</v>
      </c>
      <c r="M2257" t="s">
        <v>11659</v>
      </c>
      <c r="N2257" t="s">
        <v>11429</v>
      </c>
      <c r="O2257" t="s">
        <v>101</v>
      </c>
      <c r="P2257" t="s">
        <v>11660</v>
      </c>
      <c r="Q2257" t="s">
        <v>52</v>
      </c>
      <c r="R2257" t="s">
        <v>837</v>
      </c>
      <c r="S2257">
        <v>0.5</v>
      </c>
      <c r="T2257">
        <v>5367</v>
      </c>
      <c r="U2257">
        <v>0</v>
      </c>
      <c r="V2257">
        <v>5367</v>
      </c>
    </row>
    <row r="2258" spans="1:22" x14ac:dyDescent="0.3">
      <c r="A2258">
        <v>186607</v>
      </c>
      <c r="B2258">
        <v>137205986</v>
      </c>
      <c r="C2258" t="s">
        <v>11661</v>
      </c>
      <c r="D2258" t="s">
        <v>11662</v>
      </c>
      <c r="E2258" t="s">
        <v>11426</v>
      </c>
      <c r="F2258" t="s">
        <v>844</v>
      </c>
      <c r="G2258" t="s">
        <v>164</v>
      </c>
      <c r="H2258" t="s">
        <v>165</v>
      </c>
      <c r="I2258" t="s">
        <v>34</v>
      </c>
      <c r="J2258" t="s">
        <v>166</v>
      </c>
      <c r="K2258" t="s">
        <v>41</v>
      </c>
      <c r="L2258" t="s">
        <v>11663</v>
      </c>
      <c r="M2258" t="s">
        <v>11664</v>
      </c>
      <c r="N2258" t="s">
        <v>11429</v>
      </c>
      <c r="O2258" t="s">
        <v>101</v>
      </c>
      <c r="P2258" t="s">
        <v>11665</v>
      </c>
      <c r="Q2258" t="s">
        <v>55</v>
      </c>
      <c r="R2258" t="s">
        <v>448</v>
      </c>
      <c r="S2258">
        <v>0.5</v>
      </c>
      <c r="T2258">
        <v>4067</v>
      </c>
      <c r="U2258">
        <v>0</v>
      </c>
      <c r="V2258">
        <v>4067</v>
      </c>
    </row>
    <row r="2259" spans="1:22" x14ac:dyDescent="0.3">
      <c r="A2259">
        <v>186607</v>
      </c>
      <c r="B2259">
        <v>137359181</v>
      </c>
      <c r="C2259" t="s">
        <v>11666</v>
      </c>
      <c r="D2259" t="s">
        <v>11667</v>
      </c>
      <c r="E2259" t="s">
        <v>11426</v>
      </c>
      <c r="F2259" t="s">
        <v>844</v>
      </c>
      <c r="G2259" t="s">
        <v>164</v>
      </c>
      <c r="H2259" t="s">
        <v>165</v>
      </c>
      <c r="I2259" t="s">
        <v>34</v>
      </c>
      <c r="J2259" t="s">
        <v>166</v>
      </c>
      <c r="K2259" t="s">
        <v>41</v>
      </c>
      <c r="L2259" t="s">
        <v>11668</v>
      </c>
      <c r="M2259" t="s">
        <v>11669</v>
      </c>
      <c r="N2259" t="s">
        <v>11429</v>
      </c>
      <c r="O2259" t="s">
        <v>101</v>
      </c>
      <c r="P2259" t="s">
        <v>11670</v>
      </c>
      <c r="Q2259" t="s">
        <v>827</v>
      </c>
      <c r="R2259" t="s">
        <v>385</v>
      </c>
      <c r="S2259">
        <v>0.5</v>
      </c>
      <c r="T2259">
        <v>4049</v>
      </c>
      <c r="U2259">
        <v>0</v>
      </c>
      <c r="V2259">
        <v>4049</v>
      </c>
    </row>
    <row r="2260" spans="1:22" x14ac:dyDescent="0.3">
      <c r="A2260">
        <v>186607</v>
      </c>
      <c r="B2260">
        <v>137169201</v>
      </c>
      <c r="C2260" t="s">
        <v>11671</v>
      </c>
      <c r="D2260" t="s">
        <v>11672</v>
      </c>
      <c r="E2260" t="s">
        <v>11426</v>
      </c>
      <c r="F2260" t="s">
        <v>844</v>
      </c>
      <c r="G2260" t="s">
        <v>164</v>
      </c>
      <c r="H2260" t="s">
        <v>165</v>
      </c>
      <c r="I2260" t="s">
        <v>34</v>
      </c>
      <c r="J2260" t="s">
        <v>166</v>
      </c>
      <c r="K2260" t="s">
        <v>41</v>
      </c>
      <c r="L2260" t="s">
        <v>11673</v>
      </c>
      <c r="M2260" t="s">
        <v>11674</v>
      </c>
      <c r="N2260" t="s">
        <v>11429</v>
      </c>
      <c r="O2260" t="s">
        <v>101</v>
      </c>
      <c r="P2260" t="s">
        <v>11675</v>
      </c>
      <c r="Q2260" t="s">
        <v>55</v>
      </c>
      <c r="R2260" t="s">
        <v>11626</v>
      </c>
      <c r="S2260">
        <v>0.5</v>
      </c>
      <c r="T2260">
        <v>4067</v>
      </c>
      <c r="U2260">
        <v>0</v>
      </c>
      <c r="V2260">
        <v>4067</v>
      </c>
    </row>
    <row r="2261" spans="1:22" x14ac:dyDescent="0.3">
      <c r="A2261">
        <v>186607</v>
      </c>
      <c r="B2261">
        <v>136997975</v>
      </c>
      <c r="C2261" t="s">
        <v>11676</v>
      </c>
      <c r="D2261" t="s">
        <v>11677</v>
      </c>
      <c r="E2261" t="s">
        <v>11426</v>
      </c>
      <c r="F2261" t="s">
        <v>844</v>
      </c>
      <c r="G2261" t="s">
        <v>164</v>
      </c>
      <c r="H2261" t="s">
        <v>165</v>
      </c>
      <c r="I2261" t="s">
        <v>34</v>
      </c>
      <c r="J2261" t="s">
        <v>166</v>
      </c>
      <c r="K2261" t="s">
        <v>41</v>
      </c>
      <c r="L2261" t="s">
        <v>11678</v>
      </c>
      <c r="M2261" t="s">
        <v>108</v>
      </c>
      <c r="N2261" t="s">
        <v>11429</v>
      </c>
      <c r="O2261" t="s">
        <v>101</v>
      </c>
      <c r="P2261" t="s">
        <v>11679</v>
      </c>
      <c r="Q2261" t="s">
        <v>55</v>
      </c>
      <c r="R2261" t="s">
        <v>462</v>
      </c>
      <c r="S2261">
        <v>2.48</v>
      </c>
      <c r="T2261">
        <v>5198</v>
      </c>
      <c r="U2261">
        <v>0</v>
      </c>
      <c r="V2261">
        <v>5198</v>
      </c>
    </row>
    <row r="2262" spans="1:22" x14ac:dyDescent="0.3">
      <c r="A2262">
        <v>186607</v>
      </c>
      <c r="B2262">
        <v>136997966</v>
      </c>
      <c r="C2262" t="s">
        <v>11680</v>
      </c>
      <c r="D2262" t="s">
        <v>11681</v>
      </c>
      <c r="E2262" t="s">
        <v>11426</v>
      </c>
      <c r="F2262" t="s">
        <v>844</v>
      </c>
      <c r="G2262" t="s">
        <v>164</v>
      </c>
      <c r="H2262" t="s">
        <v>165</v>
      </c>
      <c r="I2262" t="s">
        <v>34</v>
      </c>
      <c r="J2262" t="s">
        <v>166</v>
      </c>
      <c r="K2262" t="s">
        <v>41</v>
      </c>
      <c r="L2262" t="s">
        <v>11682</v>
      </c>
      <c r="M2262" t="s">
        <v>11683</v>
      </c>
      <c r="N2262" t="s">
        <v>11429</v>
      </c>
      <c r="O2262" t="s">
        <v>101</v>
      </c>
      <c r="P2262" t="s">
        <v>11684</v>
      </c>
      <c r="Q2262" t="s">
        <v>109</v>
      </c>
      <c r="R2262" t="s">
        <v>462</v>
      </c>
      <c r="S2262">
        <v>3.49</v>
      </c>
      <c r="T2262">
        <v>5376</v>
      </c>
      <c r="U2262">
        <v>0</v>
      </c>
      <c r="V2262">
        <v>5376</v>
      </c>
    </row>
    <row r="2263" spans="1:22" x14ac:dyDescent="0.3">
      <c r="A2263">
        <v>186607</v>
      </c>
      <c r="B2263">
        <v>137359159</v>
      </c>
      <c r="C2263" t="s">
        <v>11685</v>
      </c>
      <c r="D2263" t="s">
        <v>11686</v>
      </c>
      <c r="E2263" t="s">
        <v>11426</v>
      </c>
      <c r="F2263" t="s">
        <v>844</v>
      </c>
      <c r="G2263" t="s">
        <v>164</v>
      </c>
      <c r="H2263" t="s">
        <v>165</v>
      </c>
      <c r="I2263" t="s">
        <v>34</v>
      </c>
      <c r="J2263" t="s">
        <v>166</v>
      </c>
      <c r="K2263" t="s">
        <v>41</v>
      </c>
      <c r="L2263" t="s">
        <v>11687</v>
      </c>
      <c r="M2263" t="s">
        <v>11688</v>
      </c>
      <c r="N2263" t="s">
        <v>11429</v>
      </c>
      <c r="O2263" t="s">
        <v>101</v>
      </c>
      <c r="P2263" t="s">
        <v>11689</v>
      </c>
      <c r="Q2263" t="s">
        <v>83</v>
      </c>
      <c r="R2263" t="s">
        <v>385</v>
      </c>
      <c r="S2263">
        <v>0.5</v>
      </c>
      <c r="T2263">
        <v>3299</v>
      </c>
      <c r="U2263">
        <v>0</v>
      </c>
      <c r="V2263">
        <v>3299</v>
      </c>
    </row>
    <row r="2264" spans="1:22" x14ac:dyDescent="0.3">
      <c r="A2264">
        <v>186607</v>
      </c>
      <c r="B2264">
        <v>137252981</v>
      </c>
      <c r="C2264" t="s">
        <v>11690</v>
      </c>
      <c r="D2264" t="s">
        <v>11691</v>
      </c>
      <c r="E2264" t="s">
        <v>11426</v>
      </c>
      <c r="F2264" t="s">
        <v>844</v>
      </c>
      <c r="G2264" t="s">
        <v>164</v>
      </c>
      <c r="H2264" t="s">
        <v>165</v>
      </c>
      <c r="I2264" t="s">
        <v>34</v>
      </c>
      <c r="J2264" t="s">
        <v>166</v>
      </c>
      <c r="K2264" t="s">
        <v>41</v>
      </c>
      <c r="L2264" t="s">
        <v>11692</v>
      </c>
      <c r="M2264" t="s">
        <v>11693</v>
      </c>
      <c r="N2264" t="s">
        <v>11429</v>
      </c>
      <c r="O2264" t="s">
        <v>101</v>
      </c>
      <c r="P2264" t="s">
        <v>11694</v>
      </c>
      <c r="Q2264" t="s">
        <v>211</v>
      </c>
      <c r="R2264" t="s">
        <v>413</v>
      </c>
      <c r="S2264">
        <v>2.76</v>
      </c>
      <c r="T2264">
        <v>4067</v>
      </c>
      <c r="U2264">
        <v>0</v>
      </c>
      <c r="V2264">
        <v>4067</v>
      </c>
    </row>
    <row r="2265" spans="1:22" x14ac:dyDescent="0.3">
      <c r="A2265">
        <v>186607</v>
      </c>
      <c r="B2265">
        <v>136939676</v>
      </c>
      <c r="C2265" t="s">
        <v>11695</v>
      </c>
      <c r="D2265" t="s">
        <v>11696</v>
      </c>
      <c r="E2265" t="s">
        <v>11426</v>
      </c>
      <c r="F2265" t="s">
        <v>844</v>
      </c>
      <c r="G2265" t="s">
        <v>164</v>
      </c>
      <c r="H2265" t="s">
        <v>165</v>
      </c>
      <c r="I2265" t="s">
        <v>34</v>
      </c>
      <c r="J2265" t="s">
        <v>166</v>
      </c>
      <c r="K2265" t="s">
        <v>41</v>
      </c>
      <c r="L2265" t="s">
        <v>11697</v>
      </c>
      <c r="M2265" t="s">
        <v>11698</v>
      </c>
      <c r="N2265" t="s">
        <v>11429</v>
      </c>
      <c r="O2265" t="s">
        <v>101</v>
      </c>
      <c r="P2265" t="s">
        <v>11699</v>
      </c>
      <c r="Q2265" t="s">
        <v>55</v>
      </c>
      <c r="R2265" t="s">
        <v>568</v>
      </c>
      <c r="S2265">
        <v>1.95</v>
      </c>
      <c r="T2265">
        <v>5198</v>
      </c>
      <c r="U2265">
        <v>0</v>
      </c>
      <c r="V2265">
        <v>5198</v>
      </c>
    </row>
    <row r="2266" spans="1:22" x14ac:dyDescent="0.3">
      <c r="A2266">
        <v>186607</v>
      </c>
      <c r="B2266">
        <v>137252998</v>
      </c>
      <c r="C2266" t="s">
        <v>11700</v>
      </c>
      <c r="D2266" t="s">
        <v>11701</v>
      </c>
      <c r="E2266" t="s">
        <v>11426</v>
      </c>
      <c r="F2266" t="s">
        <v>844</v>
      </c>
      <c r="G2266" t="s">
        <v>164</v>
      </c>
      <c r="H2266" t="s">
        <v>165</v>
      </c>
      <c r="I2266" t="s">
        <v>34</v>
      </c>
      <c r="J2266" t="s">
        <v>166</v>
      </c>
      <c r="K2266" t="s">
        <v>41</v>
      </c>
      <c r="L2266" t="s">
        <v>11702</v>
      </c>
      <c r="M2266" t="s">
        <v>11703</v>
      </c>
      <c r="N2266" t="s">
        <v>11429</v>
      </c>
      <c r="O2266" t="s">
        <v>101</v>
      </c>
      <c r="P2266" t="s">
        <v>11704</v>
      </c>
      <c r="Q2266" t="s">
        <v>647</v>
      </c>
      <c r="R2266" t="s">
        <v>413</v>
      </c>
      <c r="S2266">
        <v>0.5</v>
      </c>
      <c r="T2266">
        <v>3680</v>
      </c>
      <c r="U2266">
        <v>0</v>
      </c>
      <c r="V2266">
        <v>3680</v>
      </c>
    </row>
    <row r="2267" spans="1:22" x14ac:dyDescent="0.3">
      <c r="A2267">
        <v>186607</v>
      </c>
      <c r="B2267">
        <v>137359275</v>
      </c>
      <c r="C2267" t="s">
        <v>11705</v>
      </c>
      <c r="D2267" t="s">
        <v>11706</v>
      </c>
      <c r="E2267" t="s">
        <v>11426</v>
      </c>
      <c r="F2267" t="s">
        <v>844</v>
      </c>
      <c r="G2267" t="s">
        <v>164</v>
      </c>
      <c r="H2267" t="s">
        <v>165</v>
      </c>
      <c r="I2267" t="s">
        <v>34</v>
      </c>
      <c r="J2267" t="s">
        <v>166</v>
      </c>
      <c r="K2267" t="s">
        <v>41</v>
      </c>
      <c r="L2267" t="s">
        <v>11707</v>
      </c>
      <c r="M2267" t="s">
        <v>11708</v>
      </c>
      <c r="N2267" t="s">
        <v>11429</v>
      </c>
      <c r="O2267" t="s">
        <v>101</v>
      </c>
      <c r="P2267" t="s">
        <v>11709</v>
      </c>
      <c r="Q2267" t="s">
        <v>211</v>
      </c>
      <c r="R2267" t="s">
        <v>11516</v>
      </c>
      <c r="S2267">
        <v>0.5</v>
      </c>
      <c r="T2267">
        <v>3680</v>
      </c>
      <c r="U2267">
        <v>0</v>
      </c>
      <c r="V2267">
        <v>3680</v>
      </c>
    </row>
    <row r="2268" spans="1:22" x14ac:dyDescent="0.3">
      <c r="A2268">
        <v>186607</v>
      </c>
      <c r="B2268">
        <v>137206016</v>
      </c>
      <c r="C2268" t="s">
        <v>11710</v>
      </c>
      <c r="D2268" t="s">
        <v>11711</v>
      </c>
      <c r="E2268" t="s">
        <v>11426</v>
      </c>
      <c r="F2268" t="s">
        <v>844</v>
      </c>
      <c r="G2268" t="s">
        <v>164</v>
      </c>
      <c r="H2268" t="s">
        <v>165</v>
      </c>
      <c r="I2268" t="s">
        <v>34</v>
      </c>
      <c r="J2268" t="s">
        <v>166</v>
      </c>
      <c r="K2268" t="s">
        <v>41</v>
      </c>
      <c r="L2268" t="s">
        <v>11712</v>
      </c>
      <c r="M2268" t="s">
        <v>11713</v>
      </c>
      <c r="N2268" t="s">
        <v>11429</v>
      </c>
      <c r="O2268" t="s">
        <v>101</v>
      </c>
      <c r="P2268" t="s">
        <v>11714</v>
      </c>
      <c r="Q2268" t="s">
        <v>49</v>
      </c>
      <c r="R2268" t="s">
        <v>448</v>
      </c>
      <c r="S2268">
        <v>3.68</v>
      </c>
      <c r="T2268">
        <v>4585</v>
      </c>
      <c r="U2268">
        <v>0</v>
      </c>
      <c r="V2268">
        <v>4585</v>
      </c>
    </row>
    <row r="2269" spans="1:22" x14ac:dyDescent="0.3">
      <c r="A2269">
        <v>186607</v>
      </c>
      <c r="B2269">
        <v>137252921</v>
      </c>
      <c r="C2269" t="s">
        <v>11715</v>
      </c>
      <c r="D2269" t="s">
        <v>11716</v>
      </c>
      <c r="E2269" t="s">
        <v>11426</v>
      </c>
      <c r="F2269" t="s">
        <v>844</v>
      </c>
      <c r="G2269" t="s">
        <v>164</v>
      </c>
      <c r="H2269" t="s">
        <v>165</v>
      </c>
      <c r="I2269" t="s">
        <v>34</v>
      </c>
      <c r="J2269" t="s">
        <v>166</v>
      </c>
      <c r="K2269" t="s">
        <v>41</v>
      </c>
      <c r="L2269" t="s">
        <v>11717</v>
      </c>
      <c r="M2269" t="s">
        <v>11718</v>
      </c>
      <c r="N2269" t="s">
        <v>11429</v>
      </c>
      <c r="O2269" t="s">
        <v>101</v>
      </c>
      <c r="P2269" t="s">
        <v>11719</v>
      </c>
      <c r="Q2269" t="s">
        <v>76</v>
      </c>
      <c r="R2269" t="s">
        <v>11446</v>
      </c>
      <c r="S2269">
        <v>1</v>
      </c>
      <c r="T2269">
        <v>3753</v>
      </c>
      <c r="U2269">
        <v>0</v>
      </c>
      <c r="V2269">
        <v>3753</v>
      </c>
    </row>
    <row r="2270" spans="1:22" x14ac:dyDescent="0.3">
      <c r="A2270">
        <v>186607</v>
      </c>
      <c r="B2270">
        <v>137359214</v>
      </c>
      <c r="C2270" t="s">
        <v>11720</v>
      </c>
      <c r="D2270" t="s">
        <v>11721</v>
      </c>
      <c r="E2270" t="s">
        <v>11426</v>
      </c>
      <c r="F2270" t="s">
        <v>844</v>
      </c>
      <c r="G2270" t="s">
        <v>164</v>
      </c>
      <c r="H2270" t="s">
        <v>165</v>
      </c>
      <c r="I2270" t="s">
        <v>34</v>
      </c>
      <c r="J2270" t="s">
        <v>166</v>
      </c>
      <c r="K2270" t="s">
        <v>41</v>
      </c>
      <c r="L2270" t="s">
        <v>11722</v>
      </c>
      <c r="M2270" t="s">
        <v>11723</v>
      </c>
      <c r="N2270" t="s">
        <v>11429</v>
      </c>
      <c r="O2270" t="s">
        <v>101</v>
      </c>
      <c r="P2270" t="s">
        <v>11724</v>
      </c>
      <c r="Q2270" t="s">
        <v>77</v>
      </c>
      <c r="R2270" t="s">
        <v>11516</v>
      </c>
      <c r="S2270">
        <v>0.5</v>
      </c>
      <c r="T2270">
        <v>7359</v>
      </c>
      <c r="U2270">
        <v>0</v>
      </c>
      <c r="V2270">
        <v>7359</v>
      </c>
    </row>
    <row r="2271" spans="1:22" x14ac:dyDescent="0.3">
      <c r="A2271">
        <v>186607</v>
      </c>
      <c r="B2271">
        <v>136792714</v>
      </c>
      <c r="C2271" t="s">
        <v>11725</v>
      </c>
      <c r="D2271" t="s">
        <v>11726</v>
      </c>
      <c r="E2271" t="s">
        <v>11426</v>
      </c>
      <c r="F2271" t="s">
        <v>844</v>
      </c>
      <c r="G2271" t="s">
        <v>164</v>
      </c>
      <c r="H2271" t="s">
        <v>165</v>
      </c>
      <c r="I2271" t="s">
        <v>34</v>
      </c>
      <c r="J2271" t="s">
        <v>166</v>
      </c>
      <c r="K2271" t="s">
        <v>41</v>
      </c>
      <c r="L2271" t="s">
        <v>11727</v>
      </c>
      <c r="M2271" t="s">
        <v>11728</v>
      </c>
      <c r="N2271" t="s">
        <v>11429</v>
      </c>
      <c r="O2271" t="s">
        <v>101</v>
      </c>
      <c r="P2271" t="s">
        <v>11729</v>
      </c>
      <c r="Q2271" t="s">
        <v>52</v>
      </c>
      <c r="R2271" t="s">
        <v>837</v>
      </c>
      <c r="S2271">
        <v>0.5</v>
      </c>
      <c r="T2271">
        <v>5367</v>
      </c>
      <c r="U2271">
        <v>0</v>
      </c>
      <c r="V2271">
        <v>5367</v>
      </c>
    </row>
    <row r="2272" spans="1:22" x14ac:dyDescent="0.3">
      <c r="A2272">
        <v>186607</v>
      </c>
      <c r="B2272">
        <v>137328758</v>
      </c>
      <c r="C2272" t="s">
        <v>11730</v>
      </c>
      <c r="D2272" t="s">
        <v>11731</v>
      </c>
      <c r="E2272" t="s">
        <v>11426</v>
      </c>
      <c r="F2272" t="s">
        <v>844</v>
      </c>
      <c r="G2272" t="s">
        <v>164</v>
      </c>
      <c r="H2272" t="s">
        <v>165</v>
      </c>
      <c r="I2272" t="s">
        <v>34</v>
      </c>
      <c r="J2272" t="s">
        <v>166</v>
      </c>
      <c r="K2272" t="s">
        <v>41</v>
      </c>
      <c r="L2272" t="s">
        <v>11732</v>
      </c>
      <c r="M2272" t="s">
        <v>11733</v>
      </c>
      <c r="N2272" t="s">
        <v>11429</v>
      </c>
      <c r="O2272" t="s">
        <v>101</v>
      </c>
      <c r="P2272" t="s">
        <v>11734</v>
      </c>
      <c r="Q2272" t="s">
        <v>60</v>
      </c>
      <c r="R2272" t="s">
        <v>11505</v>
      </c>
      <c r="S2272">
        <v>0.5</v>
      </c>
      <c r="T2272">
        <v>3680</v>
      </c>
      <c r="U2272">
        <v>0</v>
      </c>
      <c r="V2272">
        <v>3680</v>
      </c>
    </row>
    <row r="2273" spans="1:22" x14ac:dyDescent="0.3">
      <c r="A2273">
        <v>186607</v>
      </c>
      <c r="B2273">
        <v>137252908</v>
      </c>
      <c r="C2273" t="s">
        <v>11735</v>
      </c>
      <c r="D2273" t="s">
        <v>11736</v>
      </c>
      <c r="E2273" t="s">
        <v>11426</v>
      </c>
      <c r="F2273" t="s">
        <v>844</v>
      </c>
      <c r="G2273" t="s">
        <v>164</v>
      </c>
      <c r="H2273" t="s">
        <v>165</v>
      </c>
      <c r="I2273" t="s">
        <v>34</v>
      </c>
      <c r="J2273" t="s">
        <v>166</v>
      </c>
      <c r="K2273" t="s">
        <v>41</v>
      </c>
      <c r="L2273" t="s">
        <v>11737</v>
      </c>
      <c r="M2273" t="s">
        <v>11738</v>
      </c>
      <c r="N2273" t="s">
        <v>11429</v>
      </c>
      <c r="O2273" t="s">
        <v>101</v>
      </c>
      <c r="P2273" t="s">
        <v>11739</v>
      </c>
      <c r="Q2273" t="s">
        <v>55</v>
      </c>
      <c r="R2273" t="s">
        <v>11446</v>
      </c>
      <c r="S2273">
        <v>0.5</v>
      </c>
      <c r="T2273">
        <v>4067</v>
      </c>
      <c r="U2273">
        <v>0</v>
      </c>
      <c r="V2273">
        <v>4067</v>
      </c>
    </row>
    <row r="2274" spans="1:22" x14ac:dyDescent="0.3">
      <c r="A2274">
        <v>186607</v>
      </c>
      <c r="B2274">
        <v>137032999</v>
      </c>
      <c r="C2274" t="s">
        <v>11740</v>
      </c>
      <c r="D2274" t="s">
        <v>11741</v>
      </c>
      <c r="E2274" t="s">
        <v>11426</v>
      </c>
      <c r="F2274" t="s">
        <v>844</v>
      </c>
      <c r="G2274" t="s">
        <v>164</v>
      </c>
      <c r="H2274" t="s">
        <v>165</v>
      </c>
      <c r="I2274" t="s">
        <v>34</v>
      </c>
      <c r="J2274" t="s">
        <v>166</v>
      </c>
      <c r="K2274" t="s">
        <v>41</v>
      </c>
      <c r="L2274" t="s">
        <v>11742</v>
      </c>
      <c r="M2274" t="s">
        <v>11743</v>
      </c>
      <c r="N2274" t="s">
        <v>11429</v>
      </c>
      <c r="O2274" t="s">
        <v>101</v>
      </c>
      <c r="P2274" t="s">
        <v>11744</v>
      </c>
      <c r="Q2274" t="s">
        <v>91</v>
      </c>
      <c r="R2274" t="s">
        <v>11745</v>
      </c>
      <c r="S2274">
        <v>3.05</v>
      </c>
      <c r="T2274">
        <v>4366</v>
      </c>
      <c r="U2274">
        <v>0</v>
      </c>
      <c r="V2274">
        <v>4366</v>
      </c>
    </row>
    <row r="2275" spans="1:22" x14ac:dyDescent="0.3">
      <c r="A2275">
        <v>186607</v>
      </c>
      <c r="B2275">
        <v>137328782</v>
      </c>
      <c r="C2275" t="s">
        <v>11746</v>
      </c>
      <c r="D2275" t="s">
        <v>11747</v>
      </c>
      <c r="E2275" t="s">
        <v>11426</v>
      </c>
      <c r="F2275" t="s">
        <v>844</v>
      </c>
      <c r="G2275" t="s">
        <v>164</v>
      </c>
      <c r="H2275" t="s">
        <v>165</v>
      </c>
      <c r="I2275" t="s">
        <v>34</v>
      </c>
      <c r="J2275" t="s">
        <v>166</v>
      </c>
      <c r="K2275" t="s">
        <v>41</v>
      </c>
      <c r="L2275" t="s">
        <v>11748</v>
      </c>
      <c r="M2275" t="s">
        <v>11749</v>
      </c>
      <c r="N2275" t="s">
        <v>11429</v>
      </c>
      <c r="O2275" t="s">
        <v>101</v>
      </c>
      <c r="P2275" t="s">
        <v>11750</v>
      </c>
      <c r="Q2275" t="s">
        <v>50</v>
      </c>
      <c r="R2275" t="s">
        <v>11505</v>
      </c>
      <c r="S2275">
        <v>0.5</v>
      </c>
      <c r="T2275">
        <v>3680</v>
      </c>
      <c r="U2275">
        <v>0</v>
      </c>
      <c r="V2275">
        <v>3680</v>
      </c>
    </row>
    <row r="2276" spans="1:22" x14ac:dyDescent="0.3">
      <c r="A2276">
        <v>186607</v>
      </c>
      <c r="B2276">
        <v>137252980</v>
      </c>
      <c r="C2276" t="s">
        <v>11751</v>
      </c>
      <c r="D2276" t="s">
        <v>11752</v>
      </c>
      <c r="E2276" t="s">
        <v>11426</v>
      </c>
      <c r="F2276" t="s">
        <v>844</v>
      </c>
      <c r="G2276" t="s">
        <v>164</v>
      </c>
      <c r="H2276" t="s">
        <v>165</v>
      </c>
      <c r="I2276" t="s">
        <v>34</v>
      </c>
      <c r="J2276" t="s">
        <v>166</v>
      </c>
      <c r="K2276" t="s">
        <v>41</v>
      </c>
      <c r="L2276" t="s">
        <v>11753</v>
      </c>
      <c r="M2276" t="s">
        <v>11754</v>
      </c>
      <c r="N2276" t="s">
        <v>11429</v>
      </c>
      <c r="O2276" t="s">
        <v>101</v>
      </c>
      <c r="P2276" t="s">
        <v>11755</v>
      </c>
      <c r="Q2276" t="s">
        <v>70</v>
      </c>
      <c r="R2276" t="s">
        <v>413</v>
      </c>
      <c r="S2276">
        <v>1.98</v>
      </c>
      <c r="T2276">
        <v>3501</v>
      </c>
      <c r="U2276">
        <v>0</v>
      </c>
      <c r="V2276">
        <v>3501</v>
      </c>
    </row>
    <row r="2277" spans="1:22" x14ac:dyDescent="0.3">
      <c r="A2277">
        <v>186607</v>
      </c>
      <c r="B2277">
        <v>137252929</v>
      </c>
      <c r="C2277" t="s">
        <v>11756</v>
      </c>
      <c r="D2277" t="s">
        <v>11757</v>
      </c>
      <c r="E2277" t="s">
        <v>11426</v>
      </c>
      <c r="F2277" t="s">
        <v>844</v>
      </c>
      <c r="G2277" t="s">
        <v>164</v>
      </c>
      <c r="H2277" t="s">
        <v>165</v>
      </c>
      <c r="I2277" t="s">
        <v>34</v>
      </c>
      <c r="J2277" t="s">
        <v>166</v>
      </c>
      <c r="K2277" t="s">
        <v>41</v>
      </c>
      <c r="L2277" t="s">
        <v>11758</v>
      </c>
      <c r="M2277" t="s">
        <v>11759</v>
      </c>
      <c r="N2277" t="s">
        <v>11429</v>
      </c>
      <c r="O2277" t="s">
        <v>101</v>
      </c>
      <c r="P2277" t="s">
        <v>11760</v>
      </c>
      <c r="Q2277" t="s">
        <v>71</v>
      </c>
      <c r="R2277" t="s">
        <v>11446</v>
      </c>
      <c r="S2277">
        <v>0.5</v>
      </c>
      <c r="T2277">
        <v>3449</v>
      </c>
      <c r="U2277">
        <v>0</v>
      </c>
      <c r="V2277">
        <v>3449</v>
      </c>
    </row>
    <row r="2278" spans="1:22" x14ac:dyDescent="0.3">
      <c r="A2278">
        <v>186607</v>
      </c>
      <c r="B2278">
        <v>136889228</v>
      </c>
      <c r="C2278" t="s">
        <v>11761</v>
      </c>
      <c r="D2278" t="s">
        <v>11762</v>
      </c>
      <c r="E2278" t="s">
        <v>11426</v>
      </c>
      <c r="F2278" t="s">
        <v>844</v>
      </c>
      <c r="G2278" t="s">
        <v>164</v>
      </c>
      <c r="H2278" t="s">
        <v>165</v>
      </c>
      <c r="I2278" t="s">
        <v>34</v>
      </c>
      <c r="J2278" t="s">
        <v>166</v>
      </c>
      <c r="K2278" t="s">
        <v>41</v>
      </c>
      <c r="L2278" t="s">
        <v>11763</v>
      </c>
      <c r="M2278" t="s">
        <v>11764</v>
      </c>
      <c r="N2278" t="s">
        <v>11429</v>
      </c>
      <c r="O2278" t="s">
        <v>101</v>
      </c>
      <c r="P2278" t="s">
        <v>11765</v>
      </c>
      <c r="Q2278" t="s">
        <v>58</v>
      </c>
      <c r="R2278" t="s">
        <v>124</v>
      </c>
      <c r="S2278">
        <v>2.16</v>
      </c>
      <c r="T2278">
        <v>5759</v>
      </c>
      <c r="U2278">
        <v>0</v>
      </c>
      <c r="V2278">
        <v>5759</v>
      </c>
    </row>
    <row r="2279" spans="1:22" x14ac:dyDescent="0.3">
      <c r="A2279">
        <v>186607</v>
      </c>
      <c r="B2279">
        <v>137122185</v>
      </c>
      <c r="C2279" t="s">
        <v>11766</v>
      </c>
      <c r="D2279" t="s">
        <v>11767</v>
      </c>
      <c r="E2279" t="s">
        <v>11426</v>
      </c>
      <c r="F2279" t="s">
        <v>844</v>
      </c>
      <c r="G2279" t="s">
        <v>164</v>
      </c>
      <c r="H2279" t="s">
        <v>165</v>
      </c>
      <c r="I2279" t="s">
        <v>34</v>
      </c>
      <c r="J2279" t="s">
        <v>166</v>
      </c>
      <c r="K2279" t="s">
        <v>41</v>
      </c>
      <c r="L2279" t="s">
        <v>11768</v>
      </c>
      <c r="M2279" t="s">
        <v>140</v>
      </c>
      <c r="N2279" t="s">
        <v>11429</v>
      </c>
      <c r="O2279" t="s">
        <v>101</v>
      </c>
      <c r="P2279" t="s">
        <v>11769</v>
      </c>
      <c r="Q2279" t="s">
        <v>58</v>
      </c>
      <c r="R2279" t="s">
        <v>519</v>
      </c>
      <c r="S2279">
        <v>2.2200000000000002</v>
      </c>
      <c r="T2279">
        <v>5759</v>
      </c>
      <c r="U2279">
        <v>0</v>
      </c>
      <c r="V2279">
        <v>5759</v>
      </c>
    </row>
    <row r="2280" spans="1:22" x14ac:dyDescent="0.3">
      <c r="A2280">
        <v>186607</v>
      </c>
      <c r="B2280">
        <v>136682280</v>
      </c>
      <c r="C2280" t="s">
        <v>11770</v>
      </c>
      <c r="D2280" t="s">
        <v>11771</v>
      </c>
      <c r="E2280" t="s">
        <v>11426</v>
      </c>
      <c r="F2280" t="s">
        <v>844</v>
      </c>
      <c r="G2280" t="s">
        <v>164</v>
      </c>
      <c r="H2280" t="s">
        <v>165</v>
      </c>
      <c r="I2280" t="s">
        <v>34</v>
      </c>
      <c r="J2280" t="s">
        <v>166</v>
      </c>
      <c r="K2280" t="s">
        <v>41</v>
      </c>
      <c r="L2280" t="s">
        <v>11772</v>
      </c>
      <c r="M2280" t="s">
        <v>11773</v>
      </c>
      <c r="N2280" t="s">
        <v>11429</v>
      </c>
      <c r="O2280" t="s">
        <v>101</v>
      </c>
      <c r="P2280" t="s">
        <v>11774</v>
      </c>
      <c r="Q2280" t="s">
        <v>52</v>
      </c>
      <c r="R2280" t="s">
        <v>473</v>
      </c>
      <c r="S2280">
        <v>3.39</v>
      </c>
      <c r="T2280">
        <v>8008</v>
      </c>
      <c r="U2280">
        <v>0</v>
      </c>
      <c r="V2280">
        <v>8008</v>
      </c>
    </row>
    <row r="2281" spans="1:22" x14ac:dyDescent="0.3">
      <c r="A2281">
        <v>186607</v>
      </c>
      <c r="B2281">
        <v>136997957</v>
      </c>
      <c r="C2281" t="s">
        <v>11775</v>
      </c>
      <c r="D2281" t="s">
        <v>11776</v>
      </c>
      <c r="E2281" t="s">
        <v>11426</v>
      </c>
      <c r="F2281" t="s">
        <v>844</v>
      </c>
      <c r="G2281" t="s">
        <v>164</v>
      </c>
      <c r="H2281" t="s">
        <v>165</v>
      </c>
      <c r="I2281" t="s">
        <v>34</v>
      </c>
      <c r="J2281" t="s">
        <v>166</v>
      </c>
      <c r="K2281" t="s">
        <v>41</v>
      </c>
      <c r="L2281" t="s">
        <v>11777</v>
      </c>
      <c r="M2281" t="s">
        <v>11778</v>
      </c>
      <c r="N2281" t="s">
        <v>11429</v>
      </c>
      <c r="O2281" t="s">
        <v>101</v>
      </c>
      <c r="P2281" t="s">
        <v>11779</v>
      </c>
      <c r="Q2281" t="s">
        <v>84</v>
      </c>
      <c r="R2281" t="s">
        <v>462</v>
      </c>
      <c r="S2281">
        <v>2.2999999999999998</v>
      </c>
      <c r="T2281">
        <v>3366</v>
      </c>
      <c r="U2281">
        <v>0</v>
      </c>
      <c r="V2281">
        <v>3366</v>
      </c>
    </row>
    <row r="2282" spans="1:22" x14ac:dyDescent="0.3">
      <c r="A2282">
        <v>186607</v>
      </c>
      <c r="B2282">
        <v>137169217</v>
      </c>
      <c r="C2282" t="s">
        <v>11780</v>
      </c>
      <c r="D2282" t="s">
        <v>11781</v>
      </c>
      <c r="E2282" t="s">
        <v>11426</v>
      </c>
      <c r="F2282" t="s">
        <v>844</v>
      </c>
      <c r="G2282" t="s">
        <v>164</v>
      </c>
      <c r="H2282" t="s">
        <v>165</v>
      </c>
      <c r="I2282" t="s">
        <v>34</v>
      </c>
      <c r="J2282" t="s">
        <v>166</v>
      </c>
      <c r="K2282" t="s">
        <v>41</v>
      </c>
      <c r="L2282" t="s">
        <v>11782</v>
      </c>
      <c r="M2282" t="s">
        <v>11783</v>
      </c>
      <c r="N2282" t="s">
        <v>11429</v>
      </c>
      <c r="O2282" t="s">
        <v>101</v>
      </c>
      <c r="P2282" t="s">
        <v>11784</v>
      </c>
      <c r="Q2282" t="s">
        <v>57</v>
      </c>
      <c r="R2282" t="s">
        <v>11626</v>
      </c>
      <c r="S2282">
        <v>0.5</v>
      </c>
      <c r="T2282">
        <v>4067</v>
      </c>
      <c r="U2282">
        <v>0</v>
      </c>
      <c r="V2282">
        <v>4067</v>
      </c>
    </row>
    <row r="2283" spans="1:22" x14ac:dyDescent="0.3">
      <c r="A2283">
        <v>186607</v>
      </c>
      <c r="B2283">
        <v>137253006</v>
      </c>
      <c r="C2283" t="s">
        <v>11785</v>
      </c>
      <c r="D2283" t="s">
        <v>11786</v>
      </c>
      <c r="E2283" t="s">
        <v>11426</v>
      </c>
      <c r="F2283" t="s">
        <v>844</v>
      </c>
      <c r="G2283" t="s">
        <v>164</v>
      </c>
      <c r="H2283" t="s">
        <v>165</v>
      </c>
      <c r="I2283" t="s">
        <v>34</v>
      </c>
      <c r="J2283" t="s">
        <v>166</v>
      </c>
      <c r="K2283" t="s">
        <v>41</v>
      </c>
      <c r="L2283" t="s">
        <v>11787</v>
      </c>
      <c r="M2283" t="s">
        <v>11788</v>
      </c>
      <c r="N2283" t="s">
        <v>11429</v>
      </c>
      <c r="O2283" t="s">
        <v>101</v>
      </c>
      <c r="P2283" t="s">
        <v>11789</v>
      </c>
      <c r="Q2283" t="s">
        <v>74</v>
      </c>
      <c r="R2283" t="s">
        <v>413</v>
      </c>
      <c r="S2283">
        <v>1</v>
      </c>
      <c r="T2283">
        <v>3753</v>
      </c>
      <c r="U2283">
        <v>0</v>
      </c>
      <c r="V2283">
        <v>3753</v>
      </c>
    </row>
    <row r="2284" spans="1:22" x14ac:dyDescent="0.3">
      <c r="A2284">
        <v>186607</v>
      </c>
      <c r="B2284">
        <v>137252976</v>
      </c>
      <c r="C2284" t="s">
        <v>11790</v>
      </c>
      <c r="D2284" t="s">
        <v>11791</v>
      </c>
      <c r="E2284" t="s">
        <v>11426</v>
      </c>
      <c r="F2284" t="s">
        <v>844</v>
      </c>
      <c r="G2284" t="s">
        <v>164</v>
      </c>
      <c r="H2284" t="s">
        <v>165</v>
      </c>
      <c r="I2284" t="s">
        <v>34</v>
      </c>
      <c r="J2284" t="s">
        <v>166</v>
      </c>
      <c r="K2284" t="s">
        <v>41</v>
      </c>
      <c r="L2284" t="s">
        <v>11792</v>
      </c>
      <c r="M2284" t="s">
        <v>11793</v>
      </c>
      <c r="N2284" t="s">
        <v>11429</v>
      </c>
      <c r="O2284" t="s">
        <v>101</v>
      </c>
      <c r="P2284" t="s">
        <v>11794</v>
      </c>
      <c r="Q2284" t="s">
        <v>71</v>
      </c>
      <c r="R2284" t="s">
        <v>413</v>
      </c>
      <c r="S2284">
        <v>0.5</v>
      </c>
      <c r="T2284">
        <v>3449</v>
      </c>
      <c r="U2284">
        <v>0</v>
      </c>
      <c r="V2284">
        <v>3449</v>
      </c>
    </row>
    <row r="2285" spans="1:22" x14ac:dyDescent="0.3">
      <c r="A2285">
        <v>186607</v>
      </c>
      <c r="B2285">
        <v>137328773</v>
      </c>
      <c r="C2285" t="s">
        <v>11795</v>
      </c>
      <c r="D2285" t="s">
        <v>11796</v>
      </c>
      <c r="E2285" t="s">
        <v>11426</v>
      </c>
      <c r="F2285" t="s">
        <v>844</v>
      </c>
      <c r="G2285" t="s">
        <v>164</v>
      </c>
      <c r="H2285" t="s">
        <v>165</v>
      </c>
      <c r="I2285" t="s">
        <v>34</v>
      </c>
      <c r="J2285" t="s">
        <v>166</v>
      </c>
      <c r="K2285" t="s">
        <v>41</v>
      </c>
      <c r="L2285" t="s">
        <v>11797</v>
      </c>
      <c r="M2285" t="s">
        <v>11798</v>
      </c>
      <c r="N2285" t="s">
        <v>11429</v>
      </c>
      <c r="O2285" t="s">
        <v>101</v>
      </c>
      <c r="P2285" t="s">
        <v>11799</v>
      </c>
      <c r="Q2285" t="s">
        <v>72</v>
      </c>
      <c r="R2285" t="s">
        <v>11505</v>
      </c>
      <c r="S2285">
        <v>0.5</v>
      </c>
      <c r="T2285">
        <v>3449</v>
      </c>
      <c r="U2285">
        <v>0</v>
      </c>
      <c r="V2285">
        <v>3449</v>
      </c>
    </row>
    <row r="2286" spans="1:22" x14ac:dyDescent="0.3">
      <c r="A2286">
        <v>186607</v>
      </c>
      <c r="B2286">
        <v>137205985</v>
      </c>
      <c r="C2286" t="s">
        <v>11800</v>
      </c>
      <c r="D2286" t="s">
        <v>11801</v>
      </c>
      <c r="E2286" t="s">
        <v>11426</v>
      </c>
      <c r="F2286" t="s">
        <v>844</v>
      </c>
      <c r="G2286" t="s">
        <v>164</v>
      </c>
      <c r="H2286" t="s">
        <v>165</v>
      </c>
      <c r="I2286" t="s">
        <v>34</v>
      </c>
      <c r="J2286" t="s">
        <v>166</v>
      </c>
      <c r="K2286" t="s">
        <v>41</v>
      </c>
      <c r="L2286" t="s">
        <v>11802</v>
      </c>
      <c r="M2286" t="s">
        <v>11803</v>
      </c>
      <c r="N2286" t="s">
        <v>11429</v>
      </c>
      <c r="O2286" t="s">
        <v>101</v>
      </c>
      <c r="P2286" t="s">
        <v>11804</v>
      </c>
      <c r="Q2286" t="s">
        <v>72</v>
      </c>
      <c r="R2286" t="s">
        <v>448</v>
      </c>
      <c r="S2286">
        <v>0.5</v>
      </c>
      <c r="T2286">
        <v>3449</v>
      </c>
      <c r="U2286">
        <v>0</v>
      </c>
      <c r="V2286">
        <v>3449</v>
      </c>
    </row>
    <row r="2287" spans="1:22" x14ac:dyDescent="0.3">
      <c r="A2287">
        <v>186607</v>
      </c>
      <c r="B2287">
        <v>136889164</v>
      </c>
      <c r="C2287" t="s">
        <v>11805</v>
      </c>
      <c r="D2287" t="s">
        <v>11806</v>
      </c>
      <c r="E2287" t="s">
        <v>11426</v>
      </c>
      <c r="F2287" t="s">
        <v>844</v>
      </c>
      <c r="G2287" t="s">
        <v>164</v>
      </c>
      <c r="H2287" t="s">
        <v>165</v>
      </c>
      <c r="I2287" t="s">
        <v>34</v>
      </c>
      <c r="J2287" t="s">
        <v>166</v>
      </c>
      <c r="K2287" t="s">
        <v>41</v>
      </c>
      <c r="L2287" t="s">
        <v>11807</v>
      </c>
      <c r="M2287" t="s">
        <v>11808</v>
      </c>
      <c r="N2287" t="s">
        <v>11429</v>
      </c>
      <c r="O2287" t="s">
        <v>101</v>
      </c>
      <c r="P2287" t="s">
        <v>11809</v>
      </c>
      <c r="Q2287" t="s">
        <v>55</v>
      </c>
      <c r="R2287" t="s">
        <v>124</v>
      </c>
      <c r="S2287">
        <v>2.0299999999999998</v>
      </c>
      <c r="T2287">
        <v>5198</v>
      </c>
      <c r="U2287">
        <v>0</v>
      </c>
      <c r="V2287">
        <v>5198</v>
      </c>
    </row>
    <row r="2288" spans="1:22" x14ac:dyDescent="0.3">
      <c r="A2288">
        <v>186607</v>
      </c>
      <c r="B2288">
        <v>136889209</v>
      </c>
      <c r="C2288" t="s">
        <v>11810</v>
      </c>
      <c r="D2288" t="s">
        <v>11811</v>
      </c>
      <c r="E2288" t="s">
        <v>11426</v>
      </c>
      <c r="F2288" t="s">
        <v>844</v>
      </c>
      <c r="G2288" t="s">
        <v>164</v>
      </c>
      <c r="H2288" t="s">
        <v>165</v>
      </c>
      <c r="I2288" t="s">
        <v>34</v>
      </c>
      <c r="J2288" t="s">
        <v>166</v>
      </c>
      <c r="K2288" t="s">
        <v>41</v>
      </c>
      <c r="L2288" t="s">
        <v>11812</v>
      </c>
      <c r="M2288" t="s">
        <v>11813</v>
      </c>
      <c r="N2288" t="s">
        <v>11429</v>
      </c>
      <c r="O2288" t="s">
        <v>101</v>
      </c>
      <c r="P2288" t="s">
        <v>11814</v>
      </c>
      <c r="Q2288" t="s">
        <v>55</v>
      </c>
      <c r="R2288" t="s">
        <v>124</v>
      </c>
      <c r="S2288">
        <v>2.02</v>
      </c>
      <c r="T2288">
        <v>5198</v>
      </c>
      <c r="U2288">
        <v>0</v>
      </c>
      <c r="V2288">
        <v>5198</v>
      </c>
    </row>
    <row r="2289" spans="1:22" x14ac:dyDescent="0.3">
      <c r="A2289">
        <v>186607</v>
      </c>
      <c r="B2289">
        <v>137252934</v>
      </c>
      <c r="C2289" t="s">
        <v>11815</v>
      </c>
      <c r="D2289" t="s">
        <v>11816</v>
      </c>
      <c r="E2289" t="s">
        <v>11426</v>
      </c>
      <c r="F2289" t="s">
        <v>844</v>
      </c>
      <c r="G2289" t="s">
        <v>164</v>
      </c>
      <c r="H2289" t="s">
        <v>165</v>
      </c>
      <c r="I2289" t="s">
        <v>34</v>
      </c>
      <c r="J2289" t="s">
        <v>166</v>
      </c>
      <c r="K2289" t="s">
        <v>41</v>
      </c>
      <c r="L2289" t="s">
        <v>11817</v>
      </c>
      <c r="M2289" t="s">
        <v>11818</v>
      </c>
      <c r="N2289" t="s">
        <v>11429</v>
      </c>
      <c r="O2289" t="s">
        <v>101</v>
      </c>
      <c r="P2289" t="s">
        <v>11819</v>
      </c>
      <c r="Q2289" t="s">
        <v>43</v>
      </c>
      <c r="R2289" t="s">
        <v>11446</v>
      </c>
      <c r="S2289">
        <v>0.5</v>
      </c>
      <c r="T2289">
        <v>3680</v>
      </c>
      <c r="U2289">
        <v>0</v>
      </c>
      <c r="V2289">
        <v>3680</v>
      </c>
    </row>
    <row r="2290" spans="1:22" x14ac:dyDescent="0.3">
      <c r="A2290">
        <v>186607</v>
      </c>
      <c r="B2290">
        <v>137359210</v>
      </c>
      <c r="C2290" t="s">
        <v>11820</v>
      </c>
      <c r="D2290" t="s">
        <v>11821</v>
      </c>
      <c r="E2290" t="s">
        <v>11426</v>
      </c>
      <c r="F2290" t="s">
        <v>844</v>
      </c>
      <c r="G2290" t="s">
        <v>164</v>
      </c>
      <c r="H2290" t="s">
        <v>165</v>
      </c>
      <c r="I2290" t="s">
        <v>34</v>
      </c>
      <c r="J2290" t="s">
        <v>166</v>
      </c>
      <c r="K2290" t="s">
        <v>41</v>
      </c>
      <c r="L2290" t="s">
        <v>11822</v>
      </c>
      <c r="M2290" t="s">
        <v>11823</v>
      </c>
      <c r="N2290" t="s">
        <v>11429</v>
      </c>
      <c r="O2290" t="s">
        <v>101</v>
      </c>
      <c r="P2290" t="s">
        <v>11824</v>
      </c>
      <c r="Q2290" t="s">
        <v>72</v>
      </c>
      <c r="R2290" t="s">
        <v>11516</v>
      </c>
      <c r="S2290">
        <v>0.5</v>
      </c>
      <c r="T2290">
        <v>3449</v>
      </c>
      <c r="U2290">
        <v>0</v>
      </c>
      <c r="V2290">
        <v>3449</v>
      </c>
    </row>
    <row r="2291" spans="1:22" x14ac:dyDescent="0.3">
      <c r="A2291">
        <v>186607</v>
      </c>
      <c r="B2291">
        <v>137252977</v>
      </c>
      <c r="C2291" t="s">
        <v>11825</v>
      </c>
      <c r="D2291" t="s">
        <v>11826</v>
      </c>
      <c r="E2291" t="s">
        <v>11426</v>
      </c>
      <c r="F2291" t="s">
        <v>844</v>
      </c>
      <c r="G2291" t="s">
        <v>164</v>
      </c>
      <c r="H2291" t="s">
        <v>165</v>
      </c>
      <c r="I2291" t="s">
        <v>34</v>
      </c>
      <c r="J2291" t="s">
        <v>166</v>
      </c>
      <c r="K2291" t="s">
        <v>41</v>
      </c>
      <c r="L2291" t="s">
        <v>11827</v>
      </c>
      <c r="M2291" t="s">
        <v>11828</v>
      </c>
      <c r="N2291" t="s">
        <v>11429</v>
      </c>
      <c r="O2291" t="s">
        <v>101</v>
      </c>
      <c r="P2291" t="s">
        <v>11829</v>
      </c>
      <c r="Q2291" t="s">
        <v>64</v>
      </c>
      <c r="R2291" t="s">
        <v>413</v>
      </c>
      <c r="S2291">
        <v>0.5</v>
      </c>
      <c r="T2291">
        <v>3680</v>
      </c>
      <c r="U2291">
        <v>0</v>
      </c>
      <c r="V2291">
        <v>3680</v>
      </c>
    </row>
    <row r="2292" spans="1:22" x14ac:dyDescent="0.3">
      <c r="A2292">
        <v>186607</v>
      </c>
      <c r="B2292">
        <v>137253005</v>
      </c>
      <c r="C2292" t="s">
        <v>11830</v>
      </c>
      <c r="D2292" t="s">
        <v>11831</v>
      </c>
      <c r="E2292" t="s">
        <v>11426</v>
      </c>
      <c r="F2292" t="s">
        <v>844</v>
      </c>
      <c r="G2292" t="s">
        <v>164</v>
      </c>
      <c r="H2292" t="s">
        <v>165</v>
      </c>
      <c r="I2292" t="s">
        <v>34</v>
      </c>
      <c r="J2292" t="s">
        <v>166</v>
      </c>
      <c r="K2292" t="s">
        <v>41</v>
      </c>
      <c r="L2292" t="s">
        <v>11832</v>
      </c>
      <c r="M2292" t="s">
        <v>11833</v>
      </c>
      <c r="N2292" t="s">
        <v>11429</v>
      </c>
      <c r="O2292" t="s">
        <v>101</v>
      </c>
      <c r="P2292" t="s">
        <v>11834</v>
      </c>
      <c r="Q2292" t="s">
        <v>68</v>
      </c>
      <c r="R2292" t="s">
        <v>413</v>
      </c>
      <c r="S2292">
        <v>0.5</v>
      </c>
      <c r="T2292">
        <v>3680</v>
      </c>
      <c r="U2292">
        <v>0</v>
      </c>
      <c r="V2292">
        <v>3680</v>
      </c>
    </row>
    <row r="2293" spans="1:22" x14ac:dyDescent="0.3">
      <c r="A2293">
        <v>186607</v>
      </c>
      <c r="B2293">
        <v>137359270</v>
      </c>
      <c r="C2293" t="s">
        <v>11835</v>
      </c>
      <c r="D2293" t="s">
        <v>11836</v>
      </c>
      <c r="E2293" t="s">
        <v>11426</v>
      </c>
      <c r="F2293" t="s">
        <v>844</v>
      </c>
      <c r="G2293" t="s">
        <v>164</v>
      </c>
      <c r="H2293" t="s">
        <v>165</v>
      </c>
      <c r="I2293" t="s">
        <v>34</v>
      </c>
      <c r="J2293" t="s">
        <v>166</v>
      </c>
      <c r="K2293" t="s">
        <v>41</v>
      </c>
      <c r="L2293" t="s">
        <v>11837</v>
      </c>
      <c r="M2293" t="s">
        <v>11838</v>
      </c>
      <c r="N2293" t="s">
        <v>11429</v>
      </c>
      <c r="O2293" t="s">
        <v>101</v>
      </c>
      <c r="P2293" t="s">
        <v>11839</v>
      </c>
      <c r="Q2293" t="s">
        <v>49</v>
      </c>
      <c r="R2293" t="s">
        <v>11516</v>
      </c>
      <c r="S2293">
        <v>0.5</v>
      </c>
      <c r="T2293">
        <v>3449</v>
      </c>
      <c r="U2293">
        <v>0</v>
      </c>
      <c r="V2293">
        <v>3449</v>
      </c>
    </row>
    <row r="2294" spans="1:22" x14ac:dyDescent="0.3">
      <c r="A2294">
        <v>186607</v>
      </c>
      <c r="B2294">
        <v>137169218</v>
      </c>
      <c r="C2294" t="s">
        <v>11840</v>
      </c>
      <c r="D2294" t="s">
        <v>11841</v>
      </c>
      <c r="E2294" t="s">
        <v>11426</v>
      </c>
      <c r="F2294" t="s">
        <v>844</v>
      </c>
      <c r="G2294" t="s">
        <v>164</v>
      </c>
      <c r="H2294" t="s">
        <v>165</v>
      </c>
      <c r="I2294" t="s">
        <v>34</v>
      </c>
      <c r="J2294" t="s">
        <v>166</v>
      </c>
      <c r="K2294" t="s">
        <v>41</v>
      </c>
      <c r="L2294" t="s">
        <v>11842</v>
      </c>
      <c r="M2294" t="s">
        <v>11843</v>
      </c>
      <c r="N2294" t="s">
        <v>11429</v>
      </c>
      <c r="O2294" t="s">
        <v>101</v>
      </c>
      <c r="P2294" t="s">
        <v>11844</v>
      </c>
      <c r="Q2294" t="s">
        <v>54</v>
      </c>
      <c r="R2294" t="s">
        <v>11626</v>
      </c>
      <c r="S2294">
        <v>0.5</v>
      </c>
      <c r="T2294">
        <v>4067</v>
      </c>
      <c r="U2294">
        <v>0</v>
      </c>
      <c r="V2294">
        <v>4067</v>
      </c>
    </row>
    <row r="2295" spans="1:22" x14ac:dyDescent="0.3">
      <c r="A2295">
        <v>186607</v>
      </c>
      <c r="B2295">
        <v>137328763</v>
      </c>
      <c r="C2295" t="s">
        <v>11845</v>
      </c>
      <c r="D2295" t="s">
        <v>11846</v>
      </c>
      <c r="E2295" t="s">
        <v>11426</v>
      </c>
      <c r="F2295" t="s">
        <v>844</v>
      </c>
      <c r="G2295" t="s">
        <v>164</v>
      </c>
      <c r="H2295" t="s">
        <v>165</v>
      </c>
      <c r="I2295" t="s">
        <v>34</v>
      </c>
      <c r="J2295" t="s">
        <v>166</v>
      </c>
      <c r="K2295" t="s">
        <v>41</v>
      </c>
      <c r="L2295" t="s">
        <v>11847</v>
      </c>
      <c r="M2295" t="s">
        <v>11848</v>
      </c>
      <c r="N2295" t="s">
        <v>11429</v>
      </c>
      <c r="O2295" t="s">
        <v>101</v>
      </c>
      <c r="P2295" t="s">
        <v>11849</v>
      </c>
      <c r="Q2295" t="s">
        <v>49</v>
      </c>
      <c r="R2295" t="s">
        <v>11505</v>
      </c>
      <c r="S2295">
        <v>0.5</v>
      </c>
      <c r="T2295">
        <v>3449</v>
      </c>
      <c r="U2295">
        <v>0</v>
      </c>
      <c r="V2295">
        <v>3449</v>
      </c>
    </row>
    <row r="2296" spans="1:22" x14ac:dyDescent="0.3">
      <c r="A2296">
        <v>186607</v>
      </c>
      <c r="B2296">
        <v>137169227</v>
      </c>
      <c r="C2296" t="s">
        <v>11850</v>
      </c>
      <c r="D2296" t="s">
        <v>11851</v>
      </c>
      <c r="E2296" t="s">
        <v>11426</v>
      </c>
      <c r="F2296" t="s">
        <v>844</v>
      </c>
      <c r="G2296" t="s">
        <v>164</v>
      </c>
      <c r="H2296" t="s">
        <v>165</v>
      </c>
      <c r="I2296" t="s">
        <v>34</v>
      </c>
      <c r="J2296" t="s">
        <v>166</v>
      </c>
      <c r="K2296" t="s">
        <v>41</v>
      </c>
      <c r="L2296" t="s">
        <v>11852</v>
      </c>
      <c r="M2296" t="s">
        <v>11853</v>
      </c>
      <c r="N2296" t="s">
        <v>11429</v>
      </c>
      <c r="O2296" t="s">
        <v>101</v>
      </c>
      <c r="P2296" t="s">
        <v>11854</v>
      </c>
      <c r="Q2296" t="s">
        <v>109</v>
      </c>
      <c r="R2296" t="s">
        <v>11626</v>
      </c>
      <c r="S2296">
        <v>0.5</v>
      </c>
      <c r="T2296">
        <v>3680</v>
      </c>
      <c r="U2296">
        <v>0</v>
      </c>
      <c r="V2296">
        <v>3680</v>
      </c>
    </row>
    <row r="2297" spans="1:22" x14ac:dyDescent="0.3">
      <c r="A2297">
        <v>186607</v>
      </c>
      <c r="B2297">
        <v>137328783</v>
      </c>
      <c r="C2297" t="s">
        <v>11855</v>
      </c>
      <c r="D2297" t="s">
        <v>11856</v>
      </c>
      <c r="E2297" t="s">
        <v>11426</v>
      </c>
      <c r="F2297" t="s">
        <v>844</v>
      </c>
      <c r="G2297" t="s">
        <v>164</v>
      </c>
      <c r="H2297" t="s">
        <v>165</v>
      </c>
      <c r="I2297" t="s">
        <v>34</v>
      </c>
      <c r="J2297" t="s">
        <v>166</v>
      </c>
      <c r="K2297" t="s">
        <v>41</v>
      </c>
      <c r="L2297" t="s">
        <v>11857</v>
      </c>
      <c r="M2297" t="s">
        <v>11858</v>
      </c>
      <c r="N2297" t="s">
        <v>11429</v>
      </c>
      <c r="O2297" t="s">
        <v>101</v>
      </c>
      <c r="P2297" t="s">
        <v>11859</v>
      </c>
      <c r="Q2297" t="s">
        <v>60</v>
      </c>
      <c r="R2297" t="s">
        <v>11505</v>
      </c>
      <c r="S2297">
        <v>1</v>
      </c>
      <c r="T2297">
        <v>4346</v>
      </c>
      <c r="U2297">
        <v>0</v>
      </c>
      <c r="V2297">
        <v>4346</v>
      </c>
    </row>
    <row r="2298" spans="1:22" x14ac:dyDescent="0.3">
      <c r="A2298">
        <v>186607</v>
      </c>
      <c r="B2298">
        <v>137122221</v>
      </c>
      <c r="C2298" t="s">
        <v>11860</v>
      </c>
      <c r="D2298" t="s">
        <v>11861</v>
      </c>
      <c r="E2298" t="s">
        <v>11426</v>
      </c>
      <c r="F2298" t="s">
        <v>844</v>
      </c>
      <c r="G2298" t="s">
        <v>164</v>
      </c>
      <c r="H2298" t="s">
        <v>165</v>
      </c>
      <c r="I2298" t="s">
        <v>34</v>
      </c>
      <c r="J2298" t="s">
        <v>166</v>
      </c>
      <c r="K2298" t="s">
        <v>41</v>
      </c>
      <c r="L2298" t="s">
        <v>11862</v>
      </c>
      <c r="M2298" t="s">
        <v>11863</v>
      </c>
      <c r="N2298" t="s">
        <v>11429</v>
      </c>
      <c r="O2298" t="s">
        <v>101</v>
      </c>
      <c r="P2298" t="s">
        <v>11864</v>
      </c>
      <c r="Q2298" t="s">
        <v>55</v>
      </c>
      <c r="R2298" t="s">
        <v>458</v>
      </c>
      <c r="S2298">
        <v>2.16</v>
      </c>
      <c r="T2298">
        <v>5198</v>
      </c>
      <c r="U2298">
        <v>0</v>
      </c>
      <c r="V2298">
        <v>5198</v>
      </c>
    </row>
    <row r="2299" spans="1:22" x14ac:dyDescent="0.3">
      <c r="A2299">
        <v>186607</v>
      </c>
      <c r="B2299">
        <v>137252932</v>
      </c>
      <c r="C2299" t="s">
        <v>11865</v>
      </c>
      <c r="D2299" t="s">
        <v>11866</v>
      </c>
      <c r="E2299" t="s">
        <v>11426</v>
      </c>
      <c r="F2299" t="s">
        <v>844</v>
      </c>
      <c r="G2299" t="s">
        <v>164</v>
      </c>
      <c r="H2299" t="s">
        <v>165</v>
      </c>
      <c r="I2299" t="s">
        <v>34</v>
      </c>
      <c r="J2299" t="s">
        <v>166</v>
      </c>
      <c r="K2299" t="s">
        <v>41</v>
      </c>
      <c r="L2299" t="s">
        <v>11867</v>
      </c>
      <c r="M2299" t="s">
        <v>11868</v>
      </c>
      <c r="N2299" t="s">
        <v>11429</v>
      </c>
      <c r="O2299" t="s">
        <v>101</v>
      </c>
      <c r="P2299" t="s">
        <v>11869</v>
      </c>
      <c r="Q2299" t="s">
        <v>200</v>
      </c>
      <c r="R2299" t="s">
        <v>11446</v>
      </c>
      <c r="S2299">
        <v>0.5</v>
      </c>
      <c r="T2299">
        <v>3680</v>
      </c>
      <c r="U2299">
        <v>0</v>
      </c>
      <c r="V2299">
        <v>3680</v>
      </c>
    </row>
    <row r="2300" spans="1:22" x14ac:dyDescent="0.3">
      <c r="A2300">
        <v>186607</v>
      </c>
      <c r="B2300">
        <v>137328775</v>
      </c>
      <c r="C2300" t="s">
        <v>11870</v>
      </c>
      <c r="D2300" t="s">
        <v>11871</v>
      </c>
      <c r="E2300" t="s">
        <v>11426</v>
      </c>
      <c r="F2300" t="s">
        <v>844</v>
      </c>
      <c r="G2300" t="s">
        <v>164</v>
      </c>
      <c r="H2300" t="s">
        <v>165</v>
      </c>
      <c r="I2300" t="s">
        <v>34</v>
      </c>
      <c r="J2300" t="s">
        <v>166</v>
      </c>
      <c r="K2300" t="s">
        <v>41</v>
      </c>
      <c r="L2300" t="s">
        <v>11872</v>
      </c>
      <c r="M2300" t="s">
        <v>11873</v>
      </c>
      <c r="N2300" t="s">
        <v>11429</v>
      </c>
      <c r="O2300" t="s">
        <v>101</v>
      </c>
      <c r="P2300" t="s">
        <v>11874</v>
      </c>
      <c r="Q2300" t="s">
        <v>84</v>
      </c>
      <c r="R2300" t="s">
        <v>11505</v>
      </c>
      <c r="S2300">
        <v>0.5</v>
      </c>
      <c r="T2300">
        <v>3299</v>
      </c>
      <c r="U2300">
        <v>0</v>
      </c>
      <c r="V2300">
        <v>3299</v>
      </c>
    </row>
    <row r="2301" spans="1:22" x14ac:dyDescent="0.3">
      <c r="A2301">
        <v>186607</v>
      </c>
      <c r="B2301">
        <v>137328767</v>
      </c>
      <c r="C2301" t="s">
        <v>11875</v>
      </c>
      <c r="D2301" t="s">
        <v>11876</v>
      </c>
      <c r="E2301" t="s">
        <v>11426</v>
      </c>
      <c r="F2301" t="s">
        <v>844</v>
      </c>
      <c r="G2301" t="s">
        <v>164</v>
      </c>
      <c r="H2301" t="s">
        <v>165</v>
      </c>
      <c r="I2301" t="s">
        <v>34</v>
      </c>
      <c r="J2301" t="s">
        <v>166</v>
      </c>
      <c r="K2301" t="s">
        <v>41</v>
      </c>
      <c r="L2301" t="s">
        <v>11877</v>
      </c>
      <c r="M2301" t="s">
        <v>11878</v>
      </c>
      <c r="N2301" t="s">
        <v>11429</v>
      </c>
      <c r="O2301" t="s">
        <v>101</v>
      </c>
      <c r="P2301" t="s">
        <v>11879</v>
      </c>
      <c r="Q2301" t="s">
        <v>72</v>
      </c>
      <c r="R2301" t="s">
        <v>11505</v>
      </c>
      <c r="S2301">
        <v>1</v>
      </c>
      <c r="T2301">
        <v>3784</v>
      </c>
      <c r="U2301">
        <v>0</v>
      </c>
      <c r="V2301">
        <v>3784</v>
      </c>
    </row>
    <row r="2302" spans="1:22" x14ac:dyDescent="0.3">
      <c r="A2302">
        <v>186607</v>
      </c>
      <c r="B2302">
        <v>137252918</v>
      </c>
      <c r="C2302" t="s">
        <v>11880</v>
      </c>
      <c r="D2302" t="s">
        <v>11881</v>
      </c>
      <c r="E2302" t="s">
        <v>11426</v>
      </c>
      <c r="F2302" t="s">
        <v>844</v>
      </c>
      <c r="G2302" t="s">
        <v>164</v>
      </c>
      <c r="H2302" t="s">
        <v>165</v>
      </c>
      <c r="I2302" t="s">
        <v>34</v>
      </c>
      <c r="J2302" t="s">
        <v>166</v>
      </c>
      <c r="K2302" t="s">
        <v>41</v>
      </c>
      <c r="L2302" t="s">
        <v>11882</v>
      </c>
      <c r="M2302" t="s">
        <v>11883</v>
      </c>
      <c r="N2302" t="s">
        <v>11429</v>
      </c>
      <c r="O2302" t="s">
        <v>101</v>
      </c>
      <c r="P2302" t="s">
        <v>11884</v>
      </c>
      <c r="Q2302" t="s">
        <v>92</v>
      </c>
      <c r="R2302" t="s">
        <v>11446</v>
      </c>
      <c r="S2302">
        <v>0.5</v>
      </c>
      <c r="T2302">
        <v>3299</v>
      </c>
      <c r="U2302">
        <v>0</v>
      </c>
      <c r="V2302">
        <v>3299</v>
      </c>
    </row>
    <row r="2303" spans="1:22" x14ac:dyDescent="0.3">
      <c r="A2303">
        <v>186607</v>
      </c>
      <c r="B2303">
        <v>137084828</v>
      </c>
      <c r="C2303" t="s">
        <v>11885</v>
      </c>
      <c r="D2303" t="s">
        <v>11886</v>
      </c>
      <c r="E2303" t="s">
        <v>11426</v>
      </c>
      <c r="F2303" t="s">
        <v>844</v>
      </c>
      <c r="G2303" t="s">
        <v>164</v>
      </c>
      <c r="H2303" t="s">
        <v>165</v>
      </c>
      <c r="I2303" t="s">
        <v>34</v>
      </c>
      <c r="J2303" t="s">
        <v>166</v>
      </c>
      <c r="K2303" t="s">
        <v>41</v>
      </c>
      <c r="L2303" t="s">
        <v>11887</v>
      </c>
      <c r="M2303" t="s">
        <v>11888</v>
      </c>
      <c r="N2303" t="s">
        <v>11429</v>
      </c>
      <c r="O2303" t="s">
        <v>101</v>
      </c>
      <c r="P2303" t="s">
        <v>11889</v>
      </c>
      <c r="Q2303" t="s">
        <v>118</v>
      </c>
      <c r="R2303" t="s">
        <v>11890</v>
      </c>
      <c r="S2303">
        <v>2.17</v>
      </c>
      <c r="T2303">
        <v>4346</v>
      </c>
      <c r="U2303">
        <v>0</v>
      </c>
      <c r="V2303">
        <v>4346</v>
      </c>
    </row>
    <row r="2304" spans="1:22" x14ac:dyDescent="0.3">
      <c r="A2304">
        <v>186607</v>
      </c>
      <c r="B2304">
        <v>137252937</v>
      </c>
      <c r="C2304" t="s">
        <v>11891</v>
      </c>
      <c r="D2304" t="s">
        <v>11892</v>
      </c>
      <c r="E2304" t="s">
        <v>11426</v>
      </c>
      <c r="F2304" t="s">
        <v>844</v>
      </c>
      <c r="G2304" t="s">
        <v>164</v>
      </c>
      <c r="H2304" t="s">
        <v>165</v>
      </c>
      <c r="I2304" t="s">
        <v>34</v>
      </c>
      <c r="J2304" t="s">
        <v>166</v>
      </c>
      <c r="K2304" t="s">
        <v>41</v>
      </c>
      <c r="L2304" t="s">
        <v>11893</v>
      </c>
      <c r="M2304" t="s">
        <v>11894</v>
      </c>
      <c r="N2304" t="s">
        <v>11429</v>
      </c>
      <c r="O2304" t="s">
        <v>101</v>
      </c>
      <c r="P2304" t="s">
        <v>11895</v>
      </c>
      <c r="Q2304" t="s">
        <v>60</v>
      </c>
      <c r="R2304" t="s">
        <v>11446</v>
      </c>
      <c r="S2304">
        <v>0.5</v>
      </c>
      <c r="T2304">
        <v>3680</v>
      </c>
      <c r="U2304">
        <v>0</v>
      </c>
      <c r="V2304">
        <v>3680</v>
      </c>
    </row>
    <row r="2305" spans="1:22" x14ac:dyDescent="0.3">
      <c r="A2305">
        <v>186607</v>
      </c>
      <c r="B2305">
        <v>137253000</v>
      </c>
      <c r="C2305" t="s">
        <v>11896</v>
      </c>
      <c r="D2305" t="s">
        <v>11897</v>
      </c>
      <c r="E2305" t="s">
        <v>11426</v>
      </c>
      <c r="F2305" t="s">
        <v>844</v>
      </c>
      <c r="G2305" t="s">
        <v>164</v>
      </c>
      <c r="H2305" t="s">
        <v>165</v>
      </c>
      <c r="I2305" t="s">
        <v>34</v>
      </c>
      <c r="J2305" t="s">
        <v>166</v>
      </c>
      <c r="K2305" t="s">
        <v>41</v>
      </c>
      <c r="L2305" t="s">
        <v>11898</v>
      </c>
      <c r="M2305" t="s">
        <v>11899</v>
      </c>
      <c r="N2305" t="s">
        <v>11429</v>
      </c>
      <c r="O2305" t="s">
        <v>101</v>
      </c>
      <c r="P2305" t="s">
        <v>11900</v>
      </c>
      <c r="Q2305" t="s">
        <v>87</v>
      </c>
      <c r="R2305" t="s">
        <v>413</v>
      </c>
      <c r="S2305">
        <v>0.5</v>
      </c>
      <c r="T2305">
        <v>3299</v>
      </c>
      <c r="U2305">
        <v>0</v>
      </c>
      <c r="V2305">
        <v>3299</v>
      </c>
    </row>
    <row r="2306" spans="1:22" x14ac:dyDescent="0.3">
      <c r="A2306">
        <v>186607</v>
      </c>
      <c r="B2306">
        <v>137252951</v>
      </c>
      <c r="C2306" t="s">
        <v>11901</v>
      </c>
      <c r="D2306" t="s">
        <v>11902</v>
      </c>
      <c r="E2306" t="s">
        <v>11426</v>
      </c>
      <c r="F2306" t="s">
        <v>844</v>
      </c>
      <c r="G2306" t="s">
        <v>164</v>
      </c>
      <c r="H2306" t="s">
        <v>165</v>
      </c>
      <c r="I2306" t="s">
        <v>34</v>
      </c>
      <c r="J2306" t="s">
        <v>166</v>
      </c>
      <c r="K2306" t="s">
        <v>41</v>
      </c>
      <c r="L2306" t="s">
        <v>11903</v>
      </c>
      <c r="M2306" t="s">
        <v>11904</v>
      </c>
      <c r="N2306" t="s">
        <v>11429</v>
      </c>
      <c r="O2306" t="s">
        <v>101</v>
      </c>
      <c r="P2306" t="s">
        <v>11905</v>
      </c>
      <c r="Q2306" t="s">
        <v>69</v>
      </c>
      <c r="R2306" t="s">
        <v>11446</v>
      </c>
      <c r="S2306">
        <v>0.5</v>
      </c>
      <c r="T2306">
        <v>3680</v>
      </c>
      <c r="U2306">
        <v>0</v>
      </c>
      <c r="V2306">
        <v>3680</v>
      </c>
    </row>
    <row r="2307" spans="1:22" x14ac:dyDescent="0.3">
      <c r="A2307">
        <v>186607</v>
      </c>
      <c r="B2307">
        <v>137328766</v>
      </c>
      <c r="C2307" t="s">
        <v>11906</v>
      </c>
      <c r="D2307" t="s">
        <v>11907</v>
      </c>
      <c r="E2307" t="s">
        <v>11426</v>
      </c>
      <c r="F2307" t="s">
        <v>844</v>
      </c>
      <c r="G2307" t="s">
        <v>164</v>
      </c>
      <c r="H2307" t="s">
        <v>165</v>
      </c>
      <c r="I2307" t="s">
        <v>34</v>
      </c>
      <c r="J2307" t="s">
        <v>166</v>
      </c>
      <c r="K2307" t="s">
        <v>41</v>
      </c>
      <c r="L2307" t="s">
        <v>11908</v>
      </c>
      <c r="M2307" t="s">
        <v>11909</v>
      </c>
      <c r="N2307" t="s">
        <v>11429</v>
      </c>
      <c r="O2307" t="s">
        <v>101</v>
      </c>
      <c r="P2307" t="s">
        <v>11910</v>
      </c>
      <c r="Q2307" t="s">
        <v>84</v>
      </c>
      <c r="R2307" t="s">
        <v>11505</v>
      </c>
      <c r="S2307">
        <v>0.5</v>
      </c>
      <c r="T2307">
        <v>3299</v>
      </c>
      <c r="U2307">
        <v>0</v>
      </c>
      <c r="V2307">
        <v>3299</v>
      </c>
    </row>
    <row r="2308" spans="1:22" x14ac:dyDescent="0.3">
      <c r="A2308">
        <v>186607</v>
      </c>
      <c r="B2308">
        <v>137252948</v>
      </c>
      <c r="C2308" t="s">
        <v>11911</v>
      </c>
      <c r="D2308" t="s">
        <v>11912</v>
      </c>
      <c r="E2308" t="s">
        <v>11426</v>
      </c>
      <c r="F2308" t="s">
        <v>844</v>
      </c>
      <c r="G2308" t="s">
        <v>164</v>
      </c>
      <c r="H2308" t="s">
        <v>165</v>
      </c>
      <c r="I2308" t="s">
        <v>34</v>
      </c>
      <c r="J2308" t="s">
        <v>166</v>
      </c>
      <c r="K2308" t="s">
        <v>41</v>
      </c>
      <c r="L2308" t="s">
        <v>11913</v>
      </c>
      <c r="M2308" t="s">
        <v>11914</v>
      </c>
      <c r="N2308" t="s">
        <v>11429</v>
      </c>
      <c r="O2308" t="s">
        <v>101</v>
      </c>
      <c r="P2308" t="s">
        <v>11915</v>
      </c>
      <c r="Q2308" t="s">
        <v>60</v>
      </c>
      <c r="R2308" t="s">
        <v>11446</v>
      </c>
      <c r="S2308">
        <v>0.5</v>
      </c>
      <c r="T2308">
        <v>3680</v>
      </c>
      <c r="U2308">
        <v>0</v>
      </c>
      <c r="V2308">
        <v>3680</v>
      </c>
    </row>
    <row r="2309" spans="1:22" x14ac:dyDescent="0.3">
      <c r="A2309">
        <v>186607</v>
      </c>
      <c r="B2309">
        <v>137033004</v>
      </c>
      <c r="C2309" t="s">
        <v>11916</v>
      </c>
      <c r="D2309" t="s">
        <v>11917</v>
      </c>
      <c r="E2309" t="s">
        <v>11426</v>
      </c>
      <c r="F2309" t="s">
        <v>844</v>
      </c>
      <c r="G2309" t="s">
        <v>164</v>
      </c>
      <c r="H2309" t="s">
        <v>165</v>
      </c>
      <c r="I2309" t="s">
        <v>34</v>
      </c>
      <c r="J2309" t="s">
        <v>166</v>
      </c>
      <c r="K2309" t="s">
        <v>41</v>
      </c>
      <c r="L2309" t="s">
        <v>11918</v>
      </c>
      <c r="M2309" t="s">
        <v>11919</v>
      </c>
      <c r="N2309" t="s">
        <v>11429</v>
      </c>
      <c r="O2309" t="s">
        <v>101</v>
      </c>
      <c r="P2309" t="s">
        <v>11920</v>
      </c>
      <c r="Q2309" t="s">
        <v>63</v>
      </c>
      <c r="R2309" t="s">
        <v>11745</v>
      </c>
      <c r="S2309">
        <v>2.65</v>
      </c>
      <c r="T2309">
        <v>4067</v>
      </c>
      <c r="U2309">
        <v>0</v>
      </c>
      <c r="V2309">
        <v>4067</v>
      </c>
    </row>
    <row r="2310" spans="1:22" x14ac:dyDescent="0.3">
      <c r="A2310">
        <v>186607</v>
      </c>
      <c r="B2310">
        <v>137252992</v>
      </c>
      <c r="C2310" t="s">
        <v>11921</v>
      </c>
      <c r="D2310" t="s">
        <v>11922</v>
      </c>
      <c r="E2310" t="s">
        <v>11426</v>
      </c>
      <c r="F2310" t="s">
        <v>844</v>
      </c>
      <c r="G2310" t="s">
        <v>164</v>
      </c>
      <c r="H2310" t="s">
        <v>165</v>
      </c>
      <c r="I2310" t="s">
        <v>34</v>
      </c>
      <c r="J2310" t="s">
        <v>166</v>
      </c>
      <c r="K2310" t="s">
        <v>41</v>
      </c>
      <c r="L2310" t="s">
        <v>11923</v>
      </c>
      <c r="M2310" t="s">
        <v>11924</v>
      </c>
      <c r="N2310" t="s">
        <v>11429</v>
      </c>
      <c r="O2310" t="s">
        <v>101</v>
      </c>
      <c r="P2310" t="s">
        <v>11925</v>
      </c>
      <c r="Q2310" t="s">
        <v>190</v>
      </c>
      <c r="R2310" t="s">
        <v>413</v>
      </c>
      <c r="S2310">
        <v>1</v>
      </c>
      <c r="T2310">
        <v>3366</v>
      </c>
      <c r="U2310">
        <v>0</v>
      </c>
      <c r="V2310">
        <v>3366</v>
      </c>
    </row>
    <row r="2311" spans="1:22" x14ac:dyDescent="0.3">
      <c r="A2311">
        <v>186607</v>
      </c>
      <c r="B2311">
        <v>137252931</v>
      </c>
      <c r="C2311" t="s">
        <v>11926</v>
      </c>
      <c r="D2311" t="s">
        <v>11927</v>
      </c>
      <c r="E2311" t="s">
        <v>11426</v>
      </c>
      <c r="F2311" t="s">
        <v>844</v>
      </c>
      <c r="G2311" t="s">
        <v>164</v>
      </c>
      <c r="H2311" t="s">
        <v>165</v>
      </c>
      <c r="I2311" t="s">
        <v>34</v>
      </c>
      <c r="J2311" t="s">
        <v>166</v>
      </c>
      <c r="K2311" t="s">
        <v>41</v>
      </c>
      <c r="L2311" t="s">
        <v>11928</v>
      </c>
      <c r="M2311" t="s">
        <v>11929</v>
      </c>
      <c r="N2311" t="s">
        <v>11429</v>
      </c>
      <c r="O2311" t="s">
        <v>101</v>
      </c>
      <c r="P2311" t="s">
        <v>11930</v>
      </c>
      <c r="Q2311" t="s">
        <v>71</v>
      </c>
      <c r="R2311" t="s">
        <v>11446</v>
      </c>
      <c r="S2311">
        <v>0.5</v>
      </c>
      <c r="T2311">
        <v>3449</v>
      </c>
      <c r="U2311">
        <v>0</v>
      </c>
      <c r="V2311">
        <v>3449</v>
      </c>
    </row>
    <row r="2312" spans="1:22" x14ac:dyDescent="0.3">
      <c r="A2312">
        <v>186607</v>
      </c>
      <c r="B2312">
        <v>137252913</v>
      </c>
      <c r="C2312" t="s">
        <v>11931</v>
      </c>
      <c r="D2312" t="s">
        <v>11932</v>
      </c>
      <c r="E2312" t="s">
        <v>11426</v>
      </c>
      <c r="F2312" t="s">
        <v>844</v>
      </c>
      <c r="G2312" t="s">
        <v>164</v>
      </c>
      <c r="H2312" t="s">
        <v>165</v>
      </c>
      <c r="I2312" t="s">
        <v>34</v>
      </c>
      <c r="J2312" t="s">
        <v>166</v>
      </c>
      <c r="K2312" t="s">
        <v>41</v>
      </c>
      <c r="L2312" t="s">
        <v>11933</v>
      </c>
      <c r="M2312" t="s">
        <v>11934</v>
      </c>
      <c r="N2312" t="s">
        <v>11429</v>
      </c>
      <c r="O2312" t="s">
        <v>101</v>
      </c>
      <c r="P2312" t="s">
        <v>11935</v>
      </c>
      <c r="Q2312" t="s">
        <v>234</v>
      </c>
      <c r="R2312" t="s">
        <v>11446</v>
      </c>
      <c r="S2312">
        <v>0.5</v>
      </c>
      <c r="T2312">
        <v>3299</v>
      </c>
      <c r="U2312">
        <v>0</v>
      </c>
      <c r="V2312">
        <v>3299</v>
      </c>
    </row>
    <row r="2313" spans="1:22" x14ac:dyDescent="0.3">
      <c r="A2313">
        <v>186607</v>
      </c>
      <c r="B2313">
        <v>137359250</v>
      </c>
      <c r="C2313" t="s">
        <v>11936</v>
      </c>
      <c r="D2313" t="s">
        <v>11937</v>
      </c>
      <c r="E2313" t="s">
        <v>11426</v>
      </c>
      <c r="F2313" t="s">
        <v>844</v>
      </c>
      <c r="G2313" t="s">
        <v>164</v>
      </c>
      <c r="H2313" t="s">
        <v>165</v>
      </c>
      <c r="I2313" t="s">
        <v>34</v>
      </c>
      <c r="J2313" t="s">
        <v>166</v>
      </c>
      <c r="K2313" t="s">
        <v>41</v>
      </c>
      <c r="L2313" t="s">
        <v>11938</v>
      </c>
      <c r="M2313" t="s">
        <v>11939</v>
      </c>
      <c r="N2313" t="s">
        <v>11429</v>
      </c>
      <c r="O2313" t="s">
        <v>101</v>
      </c>
      <c r="P2313" t="s">
        <v>11940</v>
      </c>
      <c r="Q2313" t="s">
        <v>92</v>
      </c>
      <c r="R2313" t="s">
        <v>11516</v>
      </c>
      <c r="S2313">
        <v>0.5</v>
      </c>
      <c r="T2313">
        <v>3299</v>
      </c>
      <c r="U2313">
        <v>0</v>
      </c>
      <c r="V2313">
        <v>3299</v>
      </c>
    </row>
    <row r="2314" spans="1:22" x14ac:dyDescent="0.3">
      <c r="A2314">
        <v>186607</v>
      </c>
      <c r="B2314">
        <v>137084761</v>
      </c>
      <c r="C2314" t="s">
        <v>11941</v>
      </c>
      <c r="D2314" t="s">
        <v>11942</v>
      </c>
      <c r="E2314" t="s">
        <v>11426</v>
      </c>
      <c r="F2314" t="s">
        <v>844</v>
      </c>
      <c r="G2314" t="s">
        <v>164</v>
      </c>
      <c r="H2314" t="s">
        <v>165</v>
      </c>
      <c r="I2314" t="s">
        <v>34</v>
      </c>
      <c r="J2314" t="s">
        <v>166</v>
      </c>
      <c r="K2314" t="s">
        <v>41</v>
      </c>
      <c r="L2314" t="s">
        <v>11943</v>
      </c>
      <c r="M2314" t="s">
        <v>11944</v>
      </c>
      <c r="N2314" t="s">
        <v>11429</v>
      </c>
      <c r="O2314" t="s">
        <v>101</v>
      </c>
      <c r="P2314" t="s">
        <v>11945</v>
      </c>
      <c r="Q2314" t="s">
        <v>109</v>
      </c>
      <c r="R2314" t="s">
        <v>11946</v>
      </c>
      <c r="S2314">
        <v>2.29</v>
      </c>
      <c r="T2314">
        <v>4346</v>
      </c>
      <c r="U2314">
        <v>0</v>
      </c>
      <c r="V2314">
        <v>4346</v>
      </c>
    </row>
    <row r="2315" spans="1:22" x14ac:dyDescent="0.3">
      <c r="A2315">
        <v>186607</v>
      </c>
      <c r="B2315">
        <v>137252979</v>
      </c>
      <c r="C2315" t="s">
        <v>11947</v>
      </c>
      <c r="D2315" t="s">
        <v>11948</v>
      </c>
      <c r="E2315" t="s">
        <v>11426</v>
      </c>
      <c r="F2315" t="s">
        <v>844</v>
      </c>
      <c r="G2315" t="s">
        <v>164</v>
      </c>
      <c r="H2315" t="s">
        <v>165</v>
      </c>
      <c r="I2315" t="s">
        <v>34</v>
      </c>
      <c r="J2315" t="s">
        <v>166</v>
      </c>
      <c r="K2315" t="s">
        <v>41</v>
      </c>
      <c r="L2315" t="s">
        <v>11949</v>
      </c>
      <c r="M2315" t="s">
        <v>11950</v>
      </c>
      <c r="N2315" t="s">
        <v>11429</v>
      </c>
      <c r="O2315" t="s">
        <v>101</v>
      </c>
      <c r="P2315" t="s">
        <v>11951</v>
      </c>
      <c r="Q2315" t="s">
        <v>49</v>
      </c>
      <c r="R2315" t="s">
        <v>413</v>
      </c>
      <c r="S2315">
        <v>0.5</v>
      </c>
      <c r="T2315">
        <v>3449</v>
      </c>
      <c r="U2315">
        <v>0</v>
      </c>
      <c r="V2315">
        <v>3449</v>
      </c>
    </row>
    <row r="2316" spans="1:22" x14ac:dyDescent="0.3">
      <c r="A2316">
        <v>186607</v>
      </c>
      <c r="B2316">
        <v>136997979</v>
      </c>
      <c r="C2316" t="s">
        <v>11952</v>
      </c>
      <c r="D2316" t="s">
        <v>11953</v>
      </c>
      <c r="E2316" t="s">
        <v>11426</v>
      </c>
      <c r="F2316" t="s">
        <v>844</v>
      </c>
      <c r="G2316" t="s">
        <v>164</v>
      </c>
      <c r="H2316" t="s">
        <v>165</v>
      </c>
      <c r="I2316" t="s">
        <v>34</v>
      </c>
      <c r="J2316" t="s">
        <v>166</v>
      </c>
      <c r="K2316" t="s">
        <v>41</v>
      </c>
      <c r="L2316" t="s">
        <v>11954</v>
      </c>
      <c r="M2316" t="s">
        <v>11955</v>
      </c>
      <c r="N2316" t="s">
        <v>11429</v>
      </c>
      <c r="O2316" t="s">
        <v>101</v>
      </c>
      <c r="P2316" t="s">
        <v>11956</v>
      </c>
      <c r="Q2316" t="s">
        <v>55</v>
      </c>
      <c r="R2316" t="s">
        <v>462</v>
      </c>
      <c r="S2316">
        <v>2.11</v>
      </c>
      <c r="T2316">
        <v>5198</v>
      </c>
      <c r="U2316">
        <v>0</v>
      </c>
      <c r="V2316">
        <v>5198</v>
      </c>
    </row>
    <row r="2317" spans="1:22" x14ac:dyDescent="0.3">
      <c r="A2317">
        <v>186607</v>
      </c>
      <c r="B2317">
        <v>137252985</v>
      </c>
      <c r="C2317" t="s">
        <v>11957</v>
      </c>
      <c r="D2317" t="s">
        <v>11958</v>
      </c>
      <c r="E2317" t="s">
        <v>11426</v>
      </c>
      <c r="F2317" t="s">
        <v>844</v>
      </c>
      <c r="G2317" t="s">
        <v>164</v>
      </c>
      <c r="H2317" t="s">
        <v>165</v>
      </c>
      <c r="I2317" t="s">
        <v>34</v>
      </c>
      <c r="J2317" t="s">
        <v>166</v>
      </c>
      <c r="K2317" t="s">
        <v>41</v>
      </c>
      <c r="L2317" t="s">
        <v>11959</v>
      </c>
      <c r="M2317" t="s">
        <v>11960</v>
      </c>
      <c r="N2317" t="s">
        <v>11429</v>
      </c>
      <c r="O2317" t="s">
        <v>101</v>
      </c>
      <c r="P2317" t="s">
        <v>11961</v>
      </c>
      <c r="Q2317" t="s">
        <v>49</v>
      </c>
      <c r="R2317" t="s">
        <v>413</v>
      </c>
      <c r="S2317">
        <v>0.5</v>
      </c>
      <c r="T2317">
        <v>3449</v>
      </c>
      <c r="U2317">
        <v>0</v>
      </c>
      <c r="V2317">
        <v>3449</v>
      </c>
    </row>
    <row r="2318" spans="1:22" x14ac:dyDescent="0.3">
      <c r="A2318">
        <v>186607</v>
      </c>
      <c r="B2318">
        <v>137359230</v>
      </c>
      <c r="C2318" t="s">
        <v>11962</v>
      </c>
      <c r="D2318" t="s">
        <v>11963</v>
      </c>
      <c r="E2318" t="s">
        <v>11426</v>
      </c>
      <c r="F2318" t="s">
        <v>844</v>
      </c>
      <c r="G2318" t="s">
        <v>164</v>
      </c>
      <c r="H2318" t="s">
        <v>165</v>
      </c>
      <c r="I2318" t="s">
        <v>34</v>
      </c>
      <c r="J2318" t="s">
        <v>166</v>
      </c>
      <c r="K2318" t="s">
        <v>41</v>
      </c>
      <c r="L2318" t="s">
        <v>11964</v>
      </c>
      <c r="M2318" t="s">
        <v>11965</v>
      </c>
      <c r="N2318" t="s">
        <v>11429</v>
      </c>
      <c r="O2318" t="s">
        <v>101</v>
      </c>
      <c r="P2318" t="s">
        <v>11966</v>
      </c>
      <c r="Q2318" t="s">
        <v>83</v>
      </c>
      <c r="R2318" t="s">
        <v>11516</v>
      </c>
      <c r="S2318">
        <v>0.5</v>
      </c>
      <c r="T2318">
        <v>3299</v>
      </c>
      <c r="U2318">
        <v>0</v>
      </c>
      <c r="V2318">
        <v>3299</v>
      </c>
    </row>
    <row r="2319" spans="1:22" x14ac:dyDescent="0.3">
      <c r="A2319">
        <v>186607</v>
      </c>
      <c r="B2319">
        <v>137328764</v>
      </c>
      <c r="C2319" t="s">
        <v>11967</v>
      </c>
      <c r="D2319" t="s">
        <v>11968</v>
      </c>
      <c r="E2319" t="s">
        <v>11426</v>
      </c>
      <c r="F2319" t="s">
        <v>844</v>
      </c>
      <c r="G2319" t="s">
        <v>164</v>
      </c>
      <c r="H2319" t="s">
        <v>165</v>
      </c>
      <c r="I2319" t="s">
        <v>34</v>
      </c>
      <c r="J2319" t="s">
        <v>166</v>
      </c>
      <c r="K2319" t="s">
        <v>41</v>
      </c>
      <c r="L2319" t="s">
        <v>11969</v>
      </c>
      <c r="M2319" t="s">
        <v>11970</v>
      </c>
      <c r="N2319" t="s">
        <v>11429</v>
      </c>
      <c r="O2319" t="s">
        <v>101</v>
      </c>
      <c r="P2319" t="s">
        <v>11971</v>
      </c>
      <c r="Q2319" t="s">
        <v>71</v>
      </c>
      <c r="R2319" t="s">
        <v>11505</v>
      </c>
      <c r="S2319">
        <v>0.5</v>
      </c>
      <c r="T2319">
        <v>3449</v>
      </c>
      <c r="U2319">
        <v>0</v>
      </c>
      <c r="V2319">
        <v>3449</v>
      </c>
    </row>
    <row r="2320" spans="1:22" x14ac:dyDescent="0.3">
      <c r="A2320">
        <v>186607</v>
      </c>
      <c r="B2320">
        <v>136997939</v>
      </c>
      <c r="C2320" t="s">
        <v>11972</v>
      </c>
      <c r="D2320" t="s">
        <v>11973</v>
      </c>
      <c r="E2320" t="s">
        <v>11426</v>
      </c>
      <c r="F2320" t="s">
        <v>844</v>
      </c>
      <c r="G2320" t="s">
        <v>164</v>
      </c>
      <c r="H2320" t="s">
        <v>165</v>
      </c>
      <c r="I2320" t="s">
        <v>34</v>
      </c>
      <c r="J2320" t="s">
        <v>166</v>
      </c>
      <c r="K2320" t="s">
        <v>41</v>
      </c>
      <c r="L2320" t="s">
        <v>11974</v>
      </c>
      <c r="M2320" t="s">
        <v>11975</v>
      </c>
      <c r="N2320" t="s">
        <v>11429</v>
      </c>
      <c r="O2320" t="s">
        <v>101</v>
      </c>
      <c r="P2320" t="s">
        <v>11976</v>
      </c>
      <c r="Q2320" t="s">
        <v>76</v>
      </c>
      <c r="R2320" t="s">
        <v>753</v>
      </c>
      <c r="S2320">
        <v>1.92</v>
      </c>
      <c r="T2320">
        <v>3753</v>
      </c>
      <c r="U2320">
        <v>0</v>
      </c>
      <c r="V2320">
        <v>3753</v>
      </c>
    </row>
    <row r="2321" spans="1:22" x14ac:dyDescent="0.3">
      <c r="A2321">
        <v>186607</v>
      </c>
      <c r="B2321">
        <v>137252910</v>
      </c>
      <c r="C2321" t="s">
        <v>11977</v>
      </c>
      <c r="D2321" t="s">
        <v>11978</v>
      </c>
      <c r="E2321" t="s">
        <v>11426</v>
      </c>
      <c r="F2321" t="s">
        <v>844</v>
      </c>
      <c r="G2321" t="s">
        <v>164</v>
      </c>
      <c r="H2321" t="s">
        <v>165</v>
      </c>
      <c r="I2321" t="s">
        <v>34</v>
      </c>
      <c r="J2321" t="s">
        <v>166</v>
      </c>
      <c r="K2321" t="s">
        <v>41</v>
      </c>
      <c r="L2321" t="s">
        <v>11979</v>
      </c>
      <c r="M2321" t="s">
        <v>11980</v>
      </c>
      <c r="N2321" t="s">
        <v>11429</v>
      </c>
      <c r="O2321" t="s">
        <v>101</v>
      </c>
      <c r="P2321" t="s">
        <v>11981</v>
      </c>
      <c r="Q2321" t="s">
        <v>43</v>
      </c>
      <c r="R2321" t="s">
        <v>11446</v>
      </c>
      <c r="S2321">
        <v>0.5</v>
      </c>
      <c r="T2321">
        <v>3680</v>
      </c>
      <c r="U2321">
        <v>0</v>
      </c>
      <c r="V2321">
        <v>3680</v>
      </c>
    </row>
    <row r="2322" spans="1:22" x14ac:dyDescent="0.3">
      <c r="A2322">
        <v>186607</v>
      </c>
      <c r="B2322">
        <v>137359164</v>
      </c>
      <c r="C2322" t="s">
        <v>11982</v>
      </c>
      <c r="D2322" t="s">
        <v>11983</v>
      </c>
      <c r="E2322" t="s">
        <v>11426</v>
      </c>
      <c r="F2322" t="s">
        <v>844</v>
      </c>
      <c r="G2322" t="s">
        <v>164</v>
      </c>
      <c r="H2322" t="s">
        <v>165</v>
      </c>
      <c r="I2322" t="s">
        <v>34</v>
      </c>
      <c r="J2322" t="s">
        <v>166</v>
      </c>
      <c r="K2322" t="s">
        <v>41</v>
      </c>
      <c r="L2322" t="s">
        <v>11984</v>
      </c>
      <c r="M2322" t="s">
        <v>11985</v>
      </c>
      <c r="N2322" t="s">
        <v>11429</v>
      </c>
      <c r="O2322" t="s">
        <v>101</v>
      </c>
      <c r="P2322" t="s">
        <v>11986</v>
      </c>
      <c r="Q2322" t="s">
        <v>68</v>
      </c>
      <c r="R2322" t="s">
        <v>385</v>
      </c>
      <c r="S2322">
        <v>0.5</v>
      </c>
      <c r="T2322">
        <v>3680</v>
      </c>
      <c r="U2322">
        <v>0</v>
      </c>
      <c r="V2322">
        <v>3680</v>
      </c>
    </row>
    <row r="2323" spans="1:22" x14ac:dyDescent="0.3">
      <c r="A2323">
        <v>186607</v>
      </c>
      <c r="B2323">
        <v>137252943</v>
      </c>
      <c r="C2323" t="s">
        <v>11987</v>
      </c>
      <c r="D2323" t="s">
        <v>11988</v>
      </c>
      <c r="E2323" t="s">
        <v>11426</v>
      </c>
      <c r="F2323" t="s">
        <v>844</v>
      </c>
      <c r="G2323" t="s">
        <v>164</v>
      </c>
      <c r="H2323" t="s">
        <v>165</v>
      </c>
      <c r="I2323" t="s">
        <v>34</v>
      </c>
      <c r="J2323" t="s">
        <v>166</v>
      </c>
      <c r="K2323" t="s">
        <v>41</v>
      </c>
      <c r="L2323" t="s">
        <v>11989</v>
      </c>
      <c r="M2323" t="s">
        <v>11990</v>
      </c>
      <c r="N2323" t="s">
        <v>11429</v>
      </c>
      <c r="O2323" t="s">
        <v>101</v>
      </c>
      <c r="P2323" t="s">
        <v>11991</v>
      </c>
      <c r="Q2323" t="s">
        <v>83</v>
      </c>
      <c r="R2323" t="s">
        <v>11446</v>
      </c>
      <c r="S2323">
        <v>1</v>
      </c>
      <c r="T2323">
        <v>3366</v>
      </c>
      <c r="U2323">
        <v>0</v>
      </c>
      <c r="V2323">
        <v>3366</v>
      </c>
    </row>
    <row r="2324" spans="1:22" x14ac:dyDescent="0.3">
      <c r="A2324">
        <v>186607</v>
      </c>
      <c r="B2324">
        <v>137205972</v>
      </c>
      <c r="C2324" t="s">
        <v>11992</v>
      </c>
      <c r="D2324" t="s">
        <v>11993</v>
      </c>
      <c r="E2324" t="s">
        <v>11426</v>
      </c>
      <c r="F2324" t="s">
        <v>844</v>
      </c>
      <c r="G2324" t="s">
        <v>164</v>
      </c>
      <c r="H2324" t="s">
        <v>165</v>
      </c>
      <c r="I2324" t="s">
        <v>34</v>
      </c>
      <c r="J2324" t="s">
        <v>166</v>
      </c>
      <c r="K2324" t="s">
        <v>41</v>
      </c>
      <c r="L2324" t="s">
        <v>11994</v>
      </c>
      <c r="M2324" t="s">
        <v>11995</v>
      </c>
      <c r="N2324" t="s">
        <v>11429</v>
      </c>
      <c r="O2324" t="s">
        <v>101</v>
      </c>
      <c r="P2324" t="s">
        <v>11996</v>
      </c>
      <c r="Q2324" t="s">
        <v>194</v>
      </c>
      <c r="R2324" t="s">
        <v>448</v>
      </c>
      <c r="S2324">
        <v>0.5</v>
      </c>
      <c r="T2324">
        <v>3680</v>
      </c>
      <c r="U2324">
        <v>0</v>
      </c>
      <c r="V2324">
        <v>3680</v>
      </c>
    </row>
    <row r="2325" spans="1:22" x14ac:dyDescent="0.3">
      <c r="A2325">
        <v>186607</v>
      </c>
      <c r="B2325">
        <v>137252901</v>
      </c>
      <c r="C2325" t="s">
        <v>11997</v>
      </c>
      <c r="D2325" t="s">
        <v>11998</v>
      </c>
      <c r="E2325" t="s">
        <v>11426</v>
      </c>
      <c r="F2325" t="s">
        <v>844</v>
      </c>
      <c r="G2325" t="s">
        <v>164</v>
      </c>
      <c r="H2325" t="s">
        <v>165</v>
      </c>
      <c r="I2325" t="s">
        <v>34</v>
      </c>
      <c r="J2325" t="s">
        <v>166</v>
      </c>
      <c r="K2325" t="s">
        <v>41</v>
      </c>
      <c r="L2325" t="s">
        <v>11999</v>
      </c>
      <c r="M2325" t="s">
        <v>12000</v>
      </c>
      <c r="N2325" t="s">
        <v>11429</v>
      </c>
      <c r="O2325" t="s">
        <v>101</v>
      </c>
      <c r="P2325" t="s">
        <v>12001</v>
      </c>
      <c r="Q2325" t="s">
        <v>49</v>
      </c>
      <c r="R2325" t="s">
        <v>11446</v>
      </c>
      <c r="S2325">
        <v>0.5</v>
      </c>
      <c r="T2325">
        <v>3449</v>
      </c>
      <c r="U2325">
        <v>0</v>
      </c>
      <c r="V2325">
        <v>3449</v>
      </c>
    </row>
    <row r="2326" spans="1:22" x14ac:dyDescent="0.3">
      <c r="A2326">
        <v>186607</v>
      </c>
      <c r="B2326">
        <v>137328774</v>
      </c>
      <c r="C2326" t="s">
        <v>12002</v>
      </c>
      <c r="D2326" t="s">
        <v>12003</v>
      </c>
      <c r="E2326" t="s">
        <v>11426</v>
      </c>
      <c r="F2326" t="s">
        <v>844</v>
      </c>
      <c r="G2326" t="s">
        <v>164</v>
      </c>
      <c r="H2326" t="s">
        <v>165</v>
      </c>
      <c r="I2326" t="s">
        <v>34</v>
      </c>
      <c r="J2326" t="s">
        <v>166</v>
      </c>
      <c r="K2326" t="s">
        <v>41</v>
      </c>
      <c r="L2326" t="s">
        <v>12004</v>
      </c>
      <c r="M2326" t="s">
        <v>12005</v>
      </c>
      <c r="N2326" t="s">
        <v>11429</v>
      </c>
      <c r="O2326" t="s">
        <v>101</v>
      </c>
      <c r="P2326" t="s">
        <v>12006</v>
      </c>
      <c r="Q2326" t="s">
        <v>72</v>
      </c>
      <c r="R2326" t="s">
        <v>11505</v>
      </c>
      <c r="S2326">
        <v>1</v>
      </c>
      <c r="T2326">
        <v>3784</v>
      </c>
      <c r="U2326">
        <v>0</v>
      </c>
      <c r="V2326">
        <v>3784</v>
      </c>
    </row>
    <row r="2327" spans="1:22" x14ac:dyDescent="0.3">
      <c r="A2327">
        <v>186607</v>
      </c>
      <c r="B2327">
        <v>137033001</v>
      </c>
      <c r="C2327" t="s">
        <v>12007</v>
      </c>
      <c r="D2327" t="s">
        <v>12008</v>
      </c>
      <c r="E2327" t="s">
        <v>11426</v>
      </c>
      <c r="F2327" t="s">
        <v>844</v>
      </c>
      <c r="G2327" t="s">
        <v>164</v>
      </c>
      <c r="H2327" t="s">
        <v>165</v>
      </c>
      <c r="I2327" t="s">
        <v>34</v>
      </c>
      <c r="J2327" t="s">
        <v>166</v>
      </c>
      <c r="K2327" t="s">
        <v>41</v>
      </c>
      <c r="L2327" t="s">
        <v>12009</v>
      </c>
      <c r="M2327" t="s">
        <v>12010</v>
      </c>
      <c r="N2327" t="s">
        <v>11429</v>
      </c>
      <c r="O2327" t="s">
        <v>101</v>
      </c>
      <c r="P2327" t="s">
        <v>12011</v>
      </c>
      <c r="Q2327" t="s">
        <v>63</v>
      </c>
      <c r="R2327" t="s">
        <v>11745</v>
      </c>
      <c r="S2327">
        <v>2.36</v>
      </c>
      <c r="T2327">
        <v>4067</v>
      </c>
      <c r="U2327">
        <v>0</v>
      </c>
      <c r="V2327">
        <v>4067</v>
      </c>
    </row>
    <row r="2328" spans="1:22" x14ac:dyDescent="0.3">
      <c r="A2328">
        <v>186607</v>
      </c>
      <c r="B2328">
        <v>137252968</v>
      </c>
      <c r="C2328" t="s">
        <v>12012</v>
      </c>
      <c r="D2328" t="s">
        <v>12013</v>
      </c>
      <c r="E2328" t="s">
        <v>11426</v>
      </c>
      <c r="F2328" t="s">
        <v>844</v>
      </c>
      <c r="G2328" t="s">
        <v>164</v>
      </c>
      <c r="H2328" t="s">
        <v>165</v>
      </c>
      <c r="I2328" t="s">
        <v>34</v>
      </c>
      <c r="J2328" t="s">
        <v>166</v>
      </c>
      <c r="K2328" t="s">
        <v>41</v>
      </c>
      <c r="L2328" t="s">
        <v>12014</v>
      </c>
      <c r="M2328" t="s">
        <v>12015</v>
      </c>
      <c r="N2328" t="s">
        <v>11429</v>
      </c>
      <c r="O2328" t="s">
        <v>101</v>
      </c>
      <c r="P2328" t="s">
        <v>12016</v>
      </c>
      <c r="Q2328" t="s">
        <v>63</v>
      </c>
      <c r="R2328" t="s">
        <v>413</v>
      </c>
      <c r="S2328">
        <v>1</v>
      </c>
      <c r="T2328">
        <v>4067</v>
      </c>
      <c r="U2328">
        <v>0</v>
      </c>
      <c r="V2328">
        <v>4067</v>
      </c>
    </row>
    <row r="2329" spans="1:22" x14ac:dyDescent="0.3">
      <c r="A2329">
        <v>186607</v>
      </c>
      <c r="B2329">
        <v>137252957</v>
      </c>
      <c r="C2329" t="s">
        <v>12017</v>
      </c>
      <c r="D2329" t="s">
        <v>12018</v>
      </c>
      <c r="E2329" t="s">
        <v>11426</v>
      </c>
      <c r="F2329" t="s">
        <v>844</v>
      </c>
      <c r="G2329" t="s">
        <v>164</v>
      </c>
      <c r="H2329" t="s">
        <v>165</v>
      </c>
      <c r="I2329" t="s">
        <v>34</v>
      </c>
      <c r="J2329" t="s">
        <v>166</v>
      </c>
      <c r="K2329" t="s">
        <v>41</v>
      </c>
      <c r="L2329" t="s">
        <v>12019</v>
      </c>
      <c r="M2329" t="s">
        <v>12020</v>
      </c>
      <c r="N2329" t="s">
        <v>11429</v>
      </c>
      <c r="O2329" t="s">
        <v>101</v>
      </c>
      <c r="P2329" t="s">
        <v>12021</v>
      </c>
      <c r="Q2329" t="s">
        <v>83</v>
      </c>
      <c r="R2329" t="s">
        <v>11446</v>
      </c>
      <c r="S2329">
        <v>0.5</v>
      </c>
      <c r="T2329">
        <v>3299</v>
      </c>
      <c r="U2329">
        <v>0</v>
      </c>
      <c r="V2329">
        <v>3299</v>
      </c>
    </row>
    <row r="2330" spans="1:22" x14ac:dyDescent="0.3">
      <c r="A2330">
        <v>186607</v>
      </c>
      <c r="B2330">
        <v>136997992</v>
      </c>
      <c r="C2330" t="s">
        <v>12022</v>
      </c>
      <c r="D2330" t="s">
        <v>12023</v>
      </c>
      <c r="E2330" t="s">
        <v>11426</v>
      </c>
      <c r="F2330" t="s">
        <v>844</v>
      </c>
      <c r="G2330" t="s">
        <v>164</v>
      </c>
      <c r="H2330" t="s">
        <v>165</v>
      </c>
      <c r="I2330" t="s">
        <v>34</v>
      </c>
      <c r="J2330" t="s">
        <v>166</v>
      </c>
      <c r="K2330" t="s">
        <v>41</v>
      </c>
      <c r="L2330" t="s">
        <v>12024</v>
      </c>
      <c r="M2330" t="s">
        <v>12025</v>
      </c>
      <c r="N2330" t="s">
        <v>11429</v>
      </c>
      <c r="O2330" t="s">
        <v>101</v>
      </c>
      <c r="P2330" t="s">
        <v>12026</v>
      </c>
      <c r="Q2330" t="s">
        <v>109</v>
      </c>
      <c r="R2330" t="s">
        <v>462</v>
      </c>
      <c r="S2330">
        <v>8.17</v>
      </c>
      <c r="T2330">
        <v>6888</v>
      </c>
      <c r="U2330">
        <v>0</v>
      </c>
      <c r="V2330">
        <v>6888</v>
      </c>
    </row>
    <row r="2331" spans="1:22" x14ac:dyDescent="0.3">
      <c r="A2331">
        <v>186607</v>
      </c>
      <c r="B2331">
        <v>136826194</v>
      </c>
      <c r="C2331" t="s">
        <v>12027</v>
      </c>
      <c r="D2331" t="s">
        <v>12028</v>
      </c>
      <c r="E2331" t="s">
        <v>11426</v>
      </c>
      <c r="F2331" t="s">
        <v>844</v>
      </c>
      <c r="G2331" t="s">
        <v>164</v>
      </c>
      <c r="H2331" t="s">
        <v>165</v>
      </c>
      <c r="I2331" t="s">
        <v>34</v>
      </c>
      <c r="J2331" t="s">
        <v>166</v>
      </c>
      <c r="K2331" t="s">
        <v>41</v>
      </c>
      <c r="L2331" t="s">
        <v>12029</v>
      </c>
      <c r="M2331" t="s">
        <v>12030</v>
      </c>
      <c r="N2331" t="s">
        <v>11429</v>
      </c>
      <c r="O2331" t="s">
        <v>101</v>
      </c>
      <c r="P2331" t="s">
        <v>12031</v>
      </c>
      <c r="Q2331" t="s">
        <v>60</v>
      </c>
      <c r="R2331" t="s">
        <v>679</v>
      </c>
      <c r="S2331">
        <v>1</v>
      </c>
      <c r="T2331">
        <v>4346</v>
      </c>
      <c r="U2331">
        <v>0</v>
      </c>
      <c r="V2331">
        <v>4346</v>
      </c>
    </row>
    <row r="2332" spans="1:22" x14ac:dyDescent="0.3">
      <c r="A2332">
        <v>186607</v>
      </c>
      <c r="B2332">
        <v>137253002</v>
      </c>
      <c r="C2332" t="s">
        <v>12032</v>
      </c>
      <c r="D2332" t="s">
        <v>12033</v>
      </c>
      <c r="E2332" t="s">
        <v>11426</v>
      </c>
      <c r="F2332" t="s">
        <v>844</v>
      </c>
      <c r="G2332" t="s">
        <v>164</v>
      </c>
      <c r="H2332" t="s">
        <v>165</v>
      </c>
      <c r="I2332" t="s">
        <v>34</v>
      </c>
      <c r="J2332" t="s">
        <v>166</v>
      </c>
      <c r="K2332" t="s">
        <v>41</v>
      </c>
      <c r="L2332" t="s">
        <v>12034</v>
      </c>
      <c r="M2332" t="s">
        <v>12035</v>
      </c>
      <c r="N2332" t="s">
        <v>11429</v>
      </c>
      <c r="O2332" t="s">
        <v>101</v>
      </c>
      <c r="P2332" t="s">
        <v>12036</v>
      </c>
      <c r="Q2332" t="s">
        <v>652</v>
      </c>
      <c r="R2332" t="s">
        <v>413</v>
      </c>
      <c r="S2332">
        <v>0.5</v>
      </c>
      <c r="T2332">
        <v>3680</v>
      </c>
      <c r="U2332">
        <v>0</v>
      </c>
      <c r="V2332">
        <v>3680</v>
      </c>
    </row>
    <row r="2333" spans="1:22" x14ac:dyDescent="0.3">
      <c r="A2333">
        <v>186607</v>
      </c>
      <c r="B2333">
        <v>137359219</v>
      </c>
      <c r="C2333" t="s">
        <v>12037</v>
      </c>
      <c r="D2333" t="s">
        <v>12038</v>
      </c>
      <c r="E2333" t="s">
        <v>11426</v>
      </c>
      <c r="F2333" t="s">
        <v>844</v>
      </c>
      <c r="G2333" t="s">
        <v>164</v>
      </c>
      <c r="H2333" t="s">
        <v>165</v>
      </c>
      <c r="I2333" t="s">
        <v>34</v>
      </c>
      <c r="J2333" t="s">
        <v>166</v>
      </c>
      <c r="K2333" t="s">
        <v>41</v>
      </c>
      <c r="L2333" t="s">
        <v>12039</v>
      </c>
      <c r="M2333" t="s">
        <v>12040</v>
      </c>
      <c r="N2333" t="s">
        <v>11429</v>
      </c>
      <c r="O2333" t="s">
        <v>101</v>
      </c>
      <c r="P2333" t="s">
        <v>12041</v>
      </c>
      <c r="Q2333" t="s">
        <v>43</v>
      </c>
      <c r="R2333" t="s">
        <v>11516</v>
      </c>
      <c r="S2333">
        <v>1</v>
      </c>
      <c r="T2333">
        <v>3753</v>
      </c>
      <c r="U2333">
        <v>0</v>
      </c>
      <c r="V2333">
        <v>3753</v>
      </c>
    </row>
    <row r="2334" spans="1:22" x14ac:dyDescent="0.3">
      <c r="A2334">
        <v>186607</v>
      </c>
      <c r="B2334">
        <v>137252988</v>
      </c>
      <c r="C2334" t="s">
        <v>12042</v>
      </c>
      <c r="D2334" t="s">
        <v>12043</v>
      </c>
      <c r="E2334" t="s">
        <v>11426</v>
      </c>
      <c r="F2334" t="s">
        <v>844</v>
      </c>
      <c r="G2334" t="s">
        <v>164</v>
      </c>
      <c r="H2334" t="s">
        <v>165</v>
      </c>
      <c r="I2334" t="s">
        <v>34</v>
      </c>
      <c r="J2334" t="s">
        <v>166</v>
      </c>
      <c r="K2334" t="s">
        <v>41</v>
      </c>
      <c r="L2334" t="s">
        <v>12044</v>
      </c>
      <c r="M2334" t="s">
        <v>12045</v>
      </c>
      <c r="N2334" t="s">
        <v>11429</v>
      </c>
      <c r="O2334" t="s">
        <v>101</v>
      </c>
      <c r="P2334" t="s">
        <v>12046</v>
      </c>
      <c r="Q2334" t="s">
        <v>64</v>
      </c>
      <c r="R2334" t="s">
        <v>413</v>
      </c>
      <c r="S2334">
        <v>0.5</v>
      </c>
      <c r="T2334">
        <v>3680</v>
      </c>
      <c r="U2334">
        <v>0</v>
      </c>
      <c r="V2334">
        <v>3680</v>
      </c>
    </row>
    <row r="2335" spans="1:22" x14ac:dyDescent="0.3">
      <c r="A2335">
        <v>186607</v>
      </c>
      <c r="B2335">
        <v>137252912</v>
      </c>
      <c r="C2335" t="s">
        <v>12047</v>
      </c>
      <c r="D2335" t="s">
        <v>12048</v>
      </c>
      <c r="E2335" t="s">
        <v>11426</v>
      </c>
      <c r="F2335" t="s">
        <v>844</v>
      </c>
      <c r="G2335" t="s">
        <v>164</v>
      </c>
      <c r="H2335" t="s">
        <v>165</v>
      </c>
      <c r="I2335" t="s">
        <v>34</v>
      </c>
      <c r="J2335" t="s">
        <v>166</v>
      </c>
      <c r="K2335" t="s">
        <v>41</v>
      </c>
      <c r="L2335" t="s">
        <v>12049</v>
      </c>
      <c r="M2335" t="s">
        <v>414</v>
      </c>
      <c r="N2335" t="s">
        <v>11429</v>
      </c>
      <c r="O2335" t="s">
        <v>101</v>
      </c>
      <c r="P2335" t="s">
        <v>12050</v>
      </c>
      <c r="Q2335" t="s">
        <v>64</v>
      </c>
      <c r="R2335" t="s">
        <v>11446</v>
      </c>
      <c r="S2335">
        <v>0.5</v>
      </c>
      <c r="T2335">
        <v>3680</v>
      </c>
      <c r="U2335">
        <v>0</v>
      </c>
      <c r="V2335">
        <v>3680</v>
      </c>
    </row>
    <row r="2336" spans="1:22" x14ac:dyDescent="0.3">
      <c r="A2336">
        <v>186607</v>
      </c>
      <c r="B2336">
        <v>136889142</v>
      </c>
      <c r="C2336" t="s">
        <v>12051</v>
      </c>
      <c r="D2336" t="s">
        <v>12052</v>
      </c>
      <c r="E2336" t="s">
        <v>11426</v>
      </c>
      <c r="F2336" t="s">
        <v>844</v>
      </c>
      <c r="G2336" t="s">
        <v>164</v>
      </c>
      <c r="H2336" t="s">
        <v>165</v>
      </c>
      <c r="I2336" t="s">
        <v>34</v>
      </c>
      <c r="J2336" t="s">
        <v>166</v>
      </c>
      <c r="K2336" t="s">
        <v>41</v>
      </c>
      <c r="L2336" t="s">
        <v>12053</v>
      </c>
      <c r="M2336" t="s">
        <v>12054</v>
      </c>
      <c r="N2336" t="s">
        <v>11429</v>
      </c>
      <c r="O2336" t="s">
        <v>101</v>
      </c>
      <c r="P2336" t="s">
        <v>12055</v>
      </c>
      <c r="Q2336" t="s">
        <v>55</v>
      </c>
      <c r="R2336" t="s">
        <v>124</v>
      </c>
      <c r="S2336">
        <v>2.37</v>
      </c>
      <c r="T2336">
        <v>5198</v>
      </c>
      <c r="U2336">
        <v>0</v>
      </c>
      <c r="V2336">
        <v>5198</v>
      </c>
    </row>
    <row r="2337" spans="1:22" x14ac:dyDescent="0.3">
      <c r="A2337">
        <v>186607</v>
      </c>
      <c r="B2337">
        <v>137252899</v>
      </c>
      <c r="C2337" t="s">
        <v>12056</v>
      </c>
      <c r="D2337" t="s">
        <v>12057</v>
      </c>
      <c r="E2337" t="s">
        <v>11426</v>
      </c>
      <c r="F2337" t="s">
        <v>844</v>
      </c>
      <c r="G2337" t="s">
        <v>164</v>
      </c>
      <c r="H2337" t="s">
        <v>165</v>
      </c>
      <c r="I2337" t="s">
        <v>34</v>
      </c>
      <c r="J2337" t="s">
        <v>166</v>
      </c>
      <c r="K2337" t="s">
        <v>41</v>
      </c>
      <c r="L2337" t="s">
        <v>12058</v>
      </c>
      <c r="M2337" t="s">
        <v>12059</v>
      </c>
      <c r="N2337" t="s">
        <v>11429</v>
      </c>
      <c r="O2337" t="s">
        <v>101</v>
      </c>
      <c r="P2337" t="s">
        <v>12060</v>
      </c>
      <c r="Q2337" t="s">
        <v>63</v>
      </c>
      <c r="R2337" t="s">
        <v>11446</v>
      </c>
      <c r="S2337">
        <v>0.5</v>
      </c>
      <c r="T2337">
        <v>3680</v>
      </c>
      <c r="U2337">
        <v>0</v>
      </c>
      <c r="V2337">
        <v>3680</v>
      </c>
    </row>
    <row r="2338" spans="1:22" x14ac:dyDescent="0.3">
      <c r="A2338">
        <v>186607</v>
      </c>
      <c r="B2338">
        <v>137252894</v>
      </c>
      <c r="C2338" t="s">
        <v>12061</v>
      </c>
      <c r="D2338" t="s">
        <v>12062</v>
      </c>
      <c r="E2338" t="s">
        <v>11426</v>
      </c>
      <c r="F2338" t="s">
        <v>844</v>
      </c>
      <c r="G2338" t="s">
        <v>164</v>
      </c>
      <c r="H2338" t="s">
        <v>165</v>
      </c>
      <c r="I2338" t="s">
        <v>34</v>
      </c>
      <c r="J2338" t="s">
        <v>166</v>
      </c>
      <c r="K2338" t="s">
        <v>41</v>
      </c>
      <c r="L2338" t="s">
        <v>12063</v>
      </c>
      <c r="M2338" t="s">
        <v>12064</v>
      </c>
      <c r="N2338" t="s">
        <v>11429</v>
      </c>
      <c r="O2338" t="s">
        <v>101</v>
      </c>
      <c r="P2338" t="s">
        <v>12065</v>
      </c>
      <c r="Q2338" t="s">
        <v>43</v>
      </c>
      <c r="R2338" t="s">
        <v>11446</v>
      </c>
      <c r="S2338">
        <v>0.5</v>
      </c>
      <c r="T2338">
        <v>3680</v>
      </c>
      <c r="U2338">
        <v>0</v>
      </c>
      <c r="V2338">
        <v>3680</v>
      </c>
    </row>
    <row r="2339" spans="1:22" x14ac:dyDescent="0.3">
      <c r="A2339">
        <v>186607</v>
      </c>
      <c r="B2339">
        <v>137328778</v>
      </c>
      <c r="C2339" t="s">
        <v>12066</v>
      </c>
      <c r="D2339" t="s">
        <v>12067</v>
      </c>
      <c r="E2339" t="s">
        <v>11426</v>
      </c>
      <c r="F2339" t="s">
        <v>844</v>
      </c>
      <c r="G2339" t="s">
        <v>164</v>
      </c>
      <c r="H2339" t="s">
        <v>165</v>
      </c>
      <c r="I2339" t="s">
        <v>34</v>
      </c>
      <c r="J2339" t="s">
        <v>166</v>
      </c>
      <c r="K2339" t="s">
        <v>41</v>
      </c>
      <c r="L2339" t="s">
        <v>12068</v>
      </c>
      <c r="M2339" t="s">
        <v>12069</v>
      </c>
      <c r="N2339" t="s">
        <v>11429</v>
      </c>
      <c r="O2339" t="s">
        <v>101</v>
      </c>
      <c r="P2339" t="s">
        <v>12070</v>
      </c>
      <c r="Q2339" t="s">
        <v>50</v>
      </c>
      <c r="R2339" t="s">
        <v>11505</v>
      </c>
      <c r="S2339">
        <v>0.5</v>
      </c>
      <c r="T2339">
        <v>3680</v>
      </c>
      <c r="U2339">
        <v>0</v>
      </c>
      <c r="V2339">
        <v>3680</v>
      </c>
    </row>
    <row r="2340" spans="1:22" x14ac:dyDescent="0.3">
      <c r="A2340">
        <v>186607</v>
      </c>
      <c r="B2340">
        <v>137359221</v>
      </c>
      <c r="C2340" t="s">
        <v>12071</v>
      </c>
      <c r="D2340" t="s">
        <v>12072</v>
      </c>
      <c r="E2340" t="s">
        <v>11426</v>
      </c>
      <c r="F2340" t="s">
        <v>844</v>
      </c>
      <c r="G2340" t="s">
        <v>164</v>
      </c>
      <c r="H2340" t="s">
        <v>165</v>
      </c>
      <c r="I2340" t="s">
        <v>34</v>
      </c>
      <c r="J2340" t="s">
        <v>166</v>
      </c>
      <c r="K2340" t="s">
        <v>41</v>
      </c>
      <c r="L2340" t="s">
        <v>12073</v>
      </c>
      <c r="M2340" t="s">
        <v>12074</v>
      </c>
      <c r="N2340" t="s">
        <v>11429</v>
      </c>
      <c r="O2340" t="s">
        <v>101</v>
      </c>
      <c r="P2340" t="s">
        <v>12075</v>
      </c>
      <c r="Q2340" t="s">
        <v>190</v>
      </c>
      <c r="R2340" t="s">
        <v>11516</v>
      </c>
      <c r="S2340">
        <v>0.5</v>
      </c>
      <c r="T2340">
        <v>3299</v>
      </c>
      <c r="U2340">
        <v>0</v>
      </c>
      <c r="V2340">
        <v>3299</v>
      </c>
    </row>
    <row r="2341" spans="1:22" x14ac:dyDescent="0.3">
      <c r="A2341">
        <v>186607</v>
      </c>
      <c r="B2341">
        <v>137122250</v>
      </c>
      <c r="C2341" t="s">
        <v>12076</v>
      </c>
      <c r="D2341" t="s">
        <v>12077</v>
      </c>
      <c r="E2341" t="s">
        <v>11426</v>
      </c>
      <c r="F2341" t="s">
        <v>844</v>
      </c>
      <c r="G2341" t="s">
        <v>164</v>
      </c>
      <c r="H2341" t="s">
        <v>165</v>
      </c>
      <c r="I2341" t="s">
        <v>34</v>
      </c>
      <c r="J2341" t="s">
        <v>166</v>
      </c>
      <c r="K2341" t="s">
        <v>41</v>
      </c>
      <c r="L2341" t="s">
        <v>12078</v>
      </c>
      <c r="M2341" t="s">
        <v>12079</v>
      </c>
      <c r="N2341" t="s">
        <v>11429</v>
      </c>
      <c r="O2341" t="s">
        <v>101</v>
      </c>
      <c r="P2341" t="s">
        <v>12080</v>
      </c>
      <c r="Q2341" t="s">
        <v>63</v>
      </c>
      <c r="R2341" t="s">
        <v>458</v>
      </c>
      <c r="S2341">
        <v>2.31</v>
      </c>
      <c r="T2341">
        <v>4067</v>
      </c>
      <c r="U2341">
        <v>0</v>
      </c>
      <c r="V2341">
        <v>4067</v>
      </c>
    </row>
    <row r="2342" spans="1:22" x14ac:dyDescent="0.3">
      <c r="A2342">
        <v>186607</v>
      </c>
      <c r="B2342">
        <v>137084798</v>
      </c>
      <c r="C2342" t="s">
        <v>12081</v>
      </c>
      <c r="D2342" t="s">
        <v>12082</v>
      </c>
      <c r="E2342" t="s">
        <v>11426</v>
      </c>
      <c r="F2342" t="s">
        <v>844</v>
      </c>
      <c r="G2342" t="s">
        <v>164</v>
      </c>
      <c r="H2342" t="s">
        <v>165</v>
      </c>
      <c r="I2342" t="s">
        <v>34</v>
      </c>
      <c r="J2342" t="s">
        <v>166</v>
      </c>
      <c r="K2342" t="s">
        <v>41</v>
      </c>
      <c r="L2342" t="s">
        <v>12083</v>
      </c>
      <c r="M2342" t="s">
        <v>12084</v>
      </c>
      <c r="N2342" t="s">
        <v>11429</v>
      </c>
      <c r="O2342" t="s">
        <v>101</v>
      </c>
      <c r="P2342" t="s">
        <v>12085</v>
      </c>
      <c r="Q2342" t="s">
        <v>224</v>
      </c>
      <c r="R2342" t="s">
        <v>11890</v>
      </c>
      <c r="S2342">
        <v>2.48</v>
      </c>
      <c r="T2342">
        <v>4067</v>
      </c>
      <c r="U2342">
        <v>0</v>
      </c>
      <c r="V2342">
        <v>4067</v>
      </c>
    </row>
    <row r="2343" spans="1:22" x14ac:dyDescent="0.3">
      <c r="A2343">
        <v>186607</v>
      </c>
      <c r="B2343">
        <v>137032985</v>
      </c>
      <c r="C2343" t="s">
        <v>12086</v>
      </c>
      <c r="D2343" t="s">
        <v>12087</v>
      </c>
      <c r="E2343" t="s">
        <v>11426</v>
      </c>
      <c r="F2343" t="s">
        <v>844</v>
      </c>
      <c r="G2343" t="s">
        <v>164</v>
      </c>
      <c r="H2343" t="s">
        <v>165</v>
      </c>
      <c r="I2343" t="s">
        <v>34</v>
      </c>
      <c r="J2343" t="s">
        <v>166</v>
      </c>
      <c r="K2343" t="s">
        <v>41</v>
      </c>
      <c r="L2343" t="s">
        <v>12088</v>
      </c>
      <c r="M2343" t="s">
        <v>12089</v>
      </c>
      <c r="N2343" t="s">
        <v>11429</v>
      </c>
      <c r="O2343" t="s">
        <v>101</v>
      </c>
      <c r="P2343" t="s">
        <v>12090</v>
      </c>
      <c r="Q2343" t="s">
        <v>118</v>
      </c>
      <c r="R2343" t="s">
        <v>138</v>
      </c>
      <c r="S2343">
        <v>4.24</v>
      </c>
      <c r="T2343">
        <v>5376</v>
      </c>
      <c r="U2343">
        <v>0</v>
      </c>
      <c r="V2343">
        <v>5376</v>
      </c>
    </row>
    <row r="2344" spans="1:22" x14ac:dyDescent="0.3">
      <c r="A2344">
        <v>186607</v>
      </c>
      <c r="B2344">
        <v>137252922</v>
      </c>
      <c r="C2344" t="s">
        <v>12091</v>
      </c>
      <c r="D2344" t="s">
        <v>12092</v>
      </c>
      <c r="E2344" t="s">
        <v>11426</v>
      </c>
      <c r="F2344" t="s">
        <v>844</v>
      </c>
      <c r="G2344" t="s">
        <v>164</v>
      </c>
      <c r="H2344" t="s">
        <v>165</v>
      </c>
      <c r="I2344" t="s">
        <v>34</v>
      </c>
      <c r="J2344" t="s">
        <v>166</v>
      </c>
      <c r="K2344" t="s">
        <v>41</v>
      </c>
      <c r="L2344" t="s">
        <v>12093</v>
      </c>
      <c r="M2344" t="s">
        <v>12094</v>
      </c>
      <c r="N2344" t="s">
        <v>11429</v>
      </c>
      <c r="O2344" t="s">
        <v>101</v>
      </c>
      <c r="P2344" t="s">
        <v>12095</v>
      </c>
      <c r="Q2344" t="s">
        <v>77</v>
      </c>
      <c r="R2344" t="s">
        <v>11446</v>
      </c>
      <c r="S2344">
        <v>0.5</v>
      </c>
      <c r="T2344">
        <v>7359</v>
      </c>
      <c r="U2344">
        <v>0</v>
      </c>
      <c r="V2344">
        <v>7359</v>
      </c>
    </row>
    <row r="2345" spans="1:22" x14ac:dyDescent="0.3">
      <c r="A2345">
        <v>186607</v>
      </c>
      <c r="B2345">
        <v>137328787</v>
      </c>
      <c r="C2345" t="s">
        <v>12096</v>
      </c>
      <c r="D2345" t="s">
        <v>12097</v>
      </c>
      <c r="E2345" t="s">
        <v>11426</v>
      </c>
      <c r="F2345" t="s">
        <v>844</v>
      </c>
      <c r="G2345" t="s">
        <v>164</v>
      </c>
      <c r="H2345" t="s">
        <v>165</v>
      </c>
      <c r="I2345" t="s">
        <v>34</v>
      </c>
      <c r="J2345" t="s">
        <v>166</v>
      </c>
      <c r="K2345" t="s">
        <v>41</v>
      </c>
      <c r="L2345" t="s">
        <v>12098</v>
      </c>
      <c r="M2345" t="s">
        <v>12099</v>
      </c>
      <c r="N2345" t="s">
        <v>11429</v>
      </c>
      <c r="O2345" t="s">
        <v>101</v>
      </c>
      <c r="P2345" t="s">
        <v>12100</v>
      </c>
      <c r="Q2345" t="s">
        <v>43</v>
      </c>
      <c r="R2345" t="s">
        <v>11505</v>
      </c>
      <c r="S2345">
        <v>0.5</v>
      </c>
      <c r="T2345">
        <v>3680</v>
      </c>
      <c r="U2345">
        <v>0</v>
      </c>
      <c r="V2345">
        <v>3680</v>
      </c>
    </row>
    <row r="2346" spans="1:22" x14ac:dyDescent="0.3">
      <c r="A2346">
        <v>186607</v>
      </c>
      <c r="B2346">
        <v>136939683</v>
      </c>
      <c r="C2346" t="s">
        <v>12101</v>
      </c>
      <c r="D2346" t="s">
        <v>12102</v>
      </c>
      <c r="E2346" t="s">
        <v>11426</v>
      </c>
      <c r="F2346" t="s">
        <v>844</v>
      </c>
      <c r="G2346" t="s">
        <v>164</v>
      </c>
      <c r="H2346" t="s">
        <v>165</v>
      </c>
      <c r="I2346" t="s">
        <v>34</v>
      </c>
      <c r="J2346" t="s">
        <v>166</v>
      </c>
      <c r="K2346" t="s">
        <v>41</v>
      </c>
      <c r="L2346" t="s">
        <v>12103</v>
      </c>
      <c r="M2346" t="s">
        <v>762</v>
      </c>
      <c r="N2346" t="s">
        <v>11429</v>
      </c>
      <c r="O2346" t="s">
        <v>101</v>
      </c>
      <c r="P2346" t="s">
        <v>12104</v>
      </c>
      <c r="Q2346" t="s">
        <v>54</v>
      </c>
      <c r="R2346" t="s">
        <v>568</v>
      </c>
      <c r="S2346">
        <v>4.05</v>
      </c>
      <c r="T2346">
        <v>8008</v>
      </c>
      <c r="U2346">
        <v>0</v>
      </c>
      <c r="V2346">
        <v>8008</v>
      </c>
    </row>
    <row r="2347" spans="1:22" x14ac:dyDescent="0.3">
      <c r="A2347">
        <v>186607</v>
      </c>
      <c r="B2347">
        <v>136921117</v>
      </c>
      <c r="C2347" t="s">
        <v>12105</v>
      </c>
      <c r="D2347" t="s">
        <v>12106</v>
      </c>
      <c r="E2347" t="s">
        <v>11426</v>
      </c>
      <c r="F2347" t="s">
        <v>844</v>
      </c>
      <c r="G2347" t="s">
        <v>164</v>
      </c>
      <c r="H2347" t="s">
        <v>165</v>
      </c>
      <c r="I2347" t="s">
        <v>34</v>
      </c>
      <c r="J2347" t="s">
        <v>166</v>
      </c>
      <c r="K2347" t="s">
        <v>41</v>
      </c>
      <c r="L2347" t="s">
        <v>12107</v>
      </c>
      <c r="M2347" t="s">
        <v>12108</v>
      </c>
      <c r="N2347" t="s">
        <v>11429</v>
      </c>
      <c r="O2347" t="s">
        <v>101</v>
      </c>
      <c r="P2347" t="s">
        <v>12109</v>
      </c>
      <c r="Q2347" t="s">
        <v>89</v>
      </c>
      <c r="R2347" t="s">
        <v>12110</v>
      </c>
      <c r="S2347">
        <v>2.57</v>
      </c>
      <c r="T2347">
        <v>3366</v>
      </c>
      <c r="U2347">
        <v>0</v>
      </c>
      <c r="V2347">
        <v>3366</v>
      </c>
    </row>
    <row r="2348" spans="1:22" x14ac:dyDescent="0.3">
      <c r="A2348">
        <v>186607</v>
      </c>
      <c r="B2348">
        <v>137122180</v>
      </c>
      <c r="C2348" t="s">
        <v>12111</v>
      </c>
      <c r="D2348" t="s">
        <v>12112</v>
      </c>
      <c r="E2348" t="s">
        <v>11426</v>
      </c>
      <c r="F2348" t="s">
        <v>844</v>
      </c>
      <c r="G2348" t="s">
        <v>164</v>
      </c>
      <c r="H2348" t="s">
        <v>165</v>
      </c>
      <c r="I2348" t="s">
        <v>34</v>
      </c>
      <c r="J2348" t="s">
        <v>166</v>
      </c>
      <c r="K2348" t="s">
        <v>41</v>
      </c>
      <c r="L2348" t="s">
        <v>12113</v>
      </c>
      <c r="M2348" t="s">
        <v>12114</v>
      </c>
      <c r="N2348" t="s">
        <v>11429</v>
      </c>
      <c r="O2348" t="s">
        <v>101</v>
      </c>
      <c r="P2348" t="s">
        <v>12115</v>
      </c>
      <c r="Q2348" t="s">
        <v>69</v>
      </c>
      <c r="R2348" t="s">
        <v>519</v>
      </c>
      <c r="S2348">
        <v>3.08</v>
      </c>
      <c r="T2348">
        <v>4456</v>
      </c>
      <c r="U2348">
        <v>0</v>
      </c>
      <c r="V2348">
        <v>4456</v>
      </c>
    </row>
    <row r="2349" spans="1:22" x14ac:dyDescent="0.3">
      <c r="A2349">
        <v>186607</v>
      </c>
      <c r="B2349">
        <v>136997991</v>
      </c>
      <c r="C2349" t="s">
        <v>12116</v>
      </c>
      <c r="D2349" t="s">
        <v>12117</v>
      </c>
      <c r="E2349" t="s">
        <v>11426</v>
      </c>
      <c r="F2349" t="s">
        <v>844</v>
      </c>
      <c r="G2349" t="s">
        <v>164</v>
      </c>
      <c r="H2349" t="s">
        <v>165</v>
      </c>
      <c r="I2349" t="s">
        <v>34</v>
      </c>
      <c r="J2349" t="s">
        <v>166</v>
      </c>
      <c r="K2349" t="s">
        <v>41</v>
      </c>
      <c r="L2349" t="s">
        <v>12118</v>
      </c>
      <c r="M2349" t="s">
        <v>12119</v>
      </c>
      <c r="N2349" t="s">
        <v>11429</v>
      </c>
      <c r="O2349" t="s">
        <v>101</v>
      </c>
      <c r="P2349" t="s">
        <v>12120</v>
      </c>
      <c r="Q2349" t="s">
        <v>68</v>
      </c>
      <c r="R2349" t="s">
        <v>462</v>
      </c>
      <c r="S2349">
        <v>3.04</v>
      </c>
      <c r="T2349">
        <v>4456</v>
      </c>
      <c r="U2349">
        <v>0</v>
      </c>
      <c r="V2349">
        <v>4456</v>
      </c>
    </row>
    <row r="2350" spans="1:22" x14ac:dyDescent="0.3">
      <c r="A2350">
        <v>186607</v>
      </c>
      <c r="B2350">
        <v>137205998</v>
      </c>
      <c r="C2350" t="s">
        <v>12121</v>
      </c>
      <c r="D2350" t="s">
        <v>12122</v>
      </c>
      <c r="E2350" t="s">
        <v>11426</v>
      </c>
      <c r="F2350" t="s">
        <v>844</v>
      </c>
      <c r="G2350" t="s">
        <v>164</v>
      </c>
      <c r="H2350" t="s">
        <v>165</v>
      </c>
      <c r="I2350" t="s">
        <v>34</v>
      </c>
      <c r="J2350" t="s">
        <v>166</v>
      </c>
      <c r="K2350" t="s">
        <v>41</v>
      </c>
      <c r="L2350" t="s">
        <v>12123</v>
      </c>
      <c r="M2350" t="s">
        <v>12124</v>
      </c>
      <c r="N2350" t="s">
        <v>11429</v>
      </c>
      <c r="O2350" t="s">
        <v>101</v>
      </c>
      <c r="P2350" t="s">
        <v>12125</v>
      </c>
      <c r="Q2350" t="s">
        <v>63</v>
      </c>
      <c r="R2350" t="s">
        <v>448</v>
      </c>
      <c r="S2350">
        <v>0.5</v>
      </c>
      <c r="T2350">
        <v>3680</v>
      </c>
      <c r="U2350">
        <v>0</v>
      </c>
      <c r="V2350">
        <v>3680</v>
      </c>
    </row>
    <row r="2351" spans="1:22" x14ac:dyDescent="0.3">
      <c r="A2351">
        <v>186607</v>
      </c>
      <c r="B2351">
        <v>137084856</v>
      </c>
      <c r="C2351" t="s">
        <v>12126</v>
      </c>
      <c r="D2351" t="s">
        <v>12127</v>
      </c>
      <c r="E2351" t="s">
        <v>11426</v>
      </c>
      <c r="F2351" t="s">
        <v>844</v>
      </c>
      <c r="G2351" t="s">
        <v>164</v>
      </c>
      <c r="H2351" t="s">
        <v>165</v>
      </c>
      <c r="I2351" t="s">
        <v>34</v>
      </c>
      <c r="J2351" t="s">
        <v>166</v>
      </c>
      <c r="K2351" t="s">
        <v>41</v>
      </c>
      <c r="L2351" t="s">
        <v>12128</v>
      </c>
      <c r="M2351" t="s">
        <v>12129</v>
      </c>
      <c r="N2351" t="s">
        <v>11429</v>
      </c>
      <c r="O2351" t="s">
        <v>101</v>
      </c>
      <c r="P2351" t="s">
        <v>12130</v>
      </c>
      <c r="Q2351" t="s">
        <v>54</v>
      </c>
      <c r="R2351" t="s">
        <v>11890</v>
      </c>
      <c r="S2351">
        <v>2</v>
      </c>
      <c r="T2351">
        <v>5759</v>
      </c>
      <c r="U2351">
        <v>0</v>
      </c>
      <c r="V2351">
        <v>5759</v>
      </c>
    </row>
    <row r="2352" spans="1:22" x14ac:dyDescent="0.3">
      <c r="A2352">
        <v>186607</v>
      </c>
      <c r="B2352">
        <v>137206000</v>
      </c>
      <c r="C2352" t="s">
        <v>12131</v>
      </c>
      <c r="D2352" t="s">
        <v>12132</v>
      </c>
      <c r="E2352" t="s">
        <v>11426</v>
      </c>
      <c r="F2352" t="s">
        <v>844</v>
      </c>
      <c r="G2352" t="s">
        <v>164</v>
      </c>
      <c r="H2352" t="s">
        <v>165</v>
      </c>
      <c r="I2352" t="s">
        <v>34</v>
      </c>
      <c r="J2352" t="s">
        <v>166</v>
      </c>
      <c r="K2352" t="s">
        <v>41</v>
      </c>
      <c r="L2352" t="s">
        <v>12133</v>
      </c>
      <c r="M2352" t="s">
        <v>12134</v>
      </c>
      <c r="N2352" t="s">
        <v>11429</v>
      </c>
      <c r="O2352" t="s">
        <v>101</v>
      </c>
      <c r="P2352" t="s">
        <v>12135</v>
      </c>
      <c r="Q2352" t="s">
        <v>63</v>
      </c>
      <c r="R2352" t="s">
        <v>448</v>
      </c>
      <c r="S2352">
        <v>0.5</v>
      </c>
      <c r="T2352">
        <v>3680</v>
      </c>
      <c r="U2352">
        <v>0</v>
      </c>
      <c r="V2352">
        <v>3680</v>
      </c>
    </row>
    <row r="2353" spans="1:22" x14ac:dyDescent="0.3">
      <c r="A2353">
        <v>186607</v>
      </c>
      <c r="B2353">
        <v>137122314</v>
      </c>
      <c r="C2353" t="s">
        <v>12136</v>
      </c>
      <c r="D2353" t="s">
        <v>12137</v>
      </c>
      <c r="E2353" t="s">
        <v>11426</v>
      </c>
      <c r="F2353" t="s">
        <v>844</v>
      </c>
      <c r="G2353" t="s">
        <v>164</v>
      </c>
      <c r="H2353" t="s">
        <v>165</v>
      </c>
      <c r="I2353" t="s">
        <v>34</v>
      </c>
      <c r="J2353" t="s">
        <v>166</v>
      </c>
      <c r="K2353" t="s">
        <v>41</v>
      </c>
      <c r="L2353" t="s">
        <v>12138</v>
      </c>
      <c r="M2353" t="s">
        <v>12139</v>
      </c>
      <c r="N2353" t="s">
        <v>11429</v>
      </c>
      <c r="O2353" t="s">
        <v>101</v>
      </c>
      <c r="P2353" t="s">
        <v>12140</v>
      </c>
      <c r="Q2353" t="s">
        <v>43</v>
      </c>
      <c r="R2353" t="s">
        <v>458</v>
      </c>
      <c r="S2353">
        <v>0.5</v>
      </c>
      <c r="T2353">
        <v>3680</v>
      </c>
      <c r="U2353">
        <v>0</v>
      </c>
      <c r="V2353">
        <v>3680</v>
      </c>
    </row>
    <row r="2354" spans="1:22" x14ac:dyDescent="0.3">
      <c r="A2354">
        <v>186607</v>
      </c>
      <c r="B2354">
        <v>137084817</v>
      </c>
      <c r="C2354" t="s">
        <v>12141</v>
      </c>
      <c r="D2354" t="s">
        <v>12142</v>
      </c>
      <c r="E2354" t="s">
        <v>11426</v>
      </c>
      <c r="F2354" t="s">
        <v>844</v>
      </c>
      <c r="G2354" t="s">
        <v>164</v>
      </c>
      <c r="H2354" t="s">
        <v>165</v>
      </c>
      <c r="I2354" t="s">
        <v>34</v>
      </c>
      <c r="J2354" t="s">
        <v>166</v>
      </c>
      <c r="K2354" t="s">
        <v>41</v>
      </c>
      <c r="L2354" t="s">
        <v>12143</v>
      </c>
      <c r="M2354" t="s">
        <v>12144</v>
      </c>
      <c r="N2354" t="s">
        <v>11429</v>
      </c>
      <c r="O2354" t="s">
        <v>101</v>
      </c>
      <c r="P2354" t="s">
        <v>12145</v>
      </c>
      <c r="Q2354" t="s">
        <v>63</v>
      </c>
      <c r="R2354" t="s">
        <v>11890</v>
      </c>
      <c r="S2354">
        <v>2.19</v>
      </c>
      <c r="T2354">
        <v>4067</v>
      </c>
      <c r="U2354">
        <v>0</v>
      </c>
      <c r="V2354">
        <v>4067</v>
      </c>
    </row>
    <row r="2355" spans="1:22" x14ac:dyDescent="0.3">
      <c r="A2355">
        <v>186607</v>
      </c>
      <c r="B2355">
        <v>137122316</v>
      </c>
      <c r="C2355" t="s">
        <v>12146</v>
      </c>
      <c r="D2355" t="s">
        <v>12147</v>
      </c>
      <c r="E2355" t="s">
        <v>11426</v>
      </c>
      <c r="F2355" t="s">
        <v>844</v>
      </c>
      <c r="G2355" t="s">
        <v>164</v>
      </c>
      <c r="H2355" t="s">
        <v>165</v>
      </c>
      <c r="I2355" t="s">
        <v>34</v>
      </c>
      <c r="J2355" t="s">
        <v>166</v>
      </c>
      <c r="K2355" t="s">
        <v>41</v>
      </c>
      <c r="L2355" t="s">
        <v>12148</v>
      </c>
      <c r="M2355" t="s">
        <v>12149</v>
      </c>
      <c r="N2355" t="s">
        <v>11429</v>
      </c>
      <c r="O2355" t="s">
        <v>101</v>
      </c>
      <c r="P2355" t="s">
        <v>12150</v>
      </c>
      <c r="Q2355" t="s">
        <v>60</v>
      </c>
      <c r="R2355" t="s">
        <v>458</v>
      </c>
      <c r="S2355">
        <v>1</v>
      </c>
      <c r="T2355">
        <v>4346</v>
      </c>
      <c r="U2355">
        <v>0</v>
      </c>
      <c r="V2355">
        <v>4346</v>
      </c>
    </row>
    <row r="2356" spans="1:22" x14ac:dyDescent="0.3">
      <c r="A2356">
        <v>186607</v>
      </c>
      <c r="B2356">
        <v>137122238</v>
      </c>
      <c r="C2356" t="s">
        <v>12151</v>
      </c>
      <c r="D2356" t="s">
        <v>12152</v>
      </c>
      <c r="E2356" t="s">
        <v>11426</v>
      </c>
      <c r="F2356" t="s">
        <v>844</v>
      </c>
      <c r="G2356" t="s">
        <v>164</v>
      </c>
      <c r="H2356" t="s">
        <v>165</v>
      </c>
      <c r="I2356" t="s">
        <v>34</v>
      </c>
      <c r="J2356" t="s">
        <v>166</v>
      </c>
      <c r="K2356" t="s">
        <v>41</v>
      </c>
      <c r="L2356" t="s">
        <v>12153</v>
      </c>
      <c r="M2356" t="s">
        <v>12154</v>
      </c>
      <c r="N2356" t="s">
        <v>11429</v>
      </c>
      <c r="O2356" t="s">
        <v>101</v>
      </c>
      <c r="P2356" t="s">
        <v>12155</v>
      </c>
      <c r="Q2356" t="s">
        <v>85</v>
      </c>
      <c r="R2356" t="s">
        <v>458</v>
      </c>
      <c r="S2356">
        <v>2.0099999999999998</v>
      </c>
      <c r="T2356">
        <v>3366</v>
      </c>
      <c r="U2356">
        <v>0</v>
      </c>
      <c r="V2356">
        <v>3366</v>
      </c>
    </row>
    <row r="2357" spans="1:22" x14ac:dyDescent="0.3">
      <c r="A2357">
        <v>186607</v>
      </c>
      <c r="B2357">
        <v>137169204</v>
      </c>
      <c r="C2357" t="s">
        <v>12156</v>
      </c>
      <c r="D2357" t="s">
        <v>12157</v>
      </c>
      <c r="E2357" t="s">
        <v>11426</v>
      </c>
      <c r="F2357" t="s">
        <v>844</v>
      </c>
      <c r="G2357" t="s">
        <v>164</v>
      </c>
      <c r="H2357" t="s">
        <v>165</v>
      </c>
      <c r="I2357" t="s">
        <v>34</v>
      </c>
      <c r="J2357" t="s">
        <v>166</v>
      </c>
      <c r="K2357" t="s">
        <v>41</v>
      </c>
      <c r="L2357" t="s">
        <v>12158</v>
      </c>
      <c r="M2357" t="s">
        <v>12159</v>
      </c>
      <c r="N2357" t="s">
        <v>11429</v>
      </c>
      <c r="O2357" t="s">
        <v>101</v>
      </c>
      <c r="P2357" t="s">
        <v>12160</v>
      </c>
      <c r="Q2357" t="s">
        <v>71</v>
      </c>
      <c r="R2357" t="s">
        <v>11626</v>
      </c>
      <c r="S2357">
        <v>0.5</v>
      </c>
      <c r="T2357">
        <v>3449</v>
      </c>
      <c r="U2357">
        <v>0</v>
      </c>
      <c r="V2357">
        <v>3449</v>
      </c>
    </row>
    <row r="2358" spans="1:22" x14ac:dyDescent="0.3">
      <c r="A2358">
        <v>186607</v>
      </c>
      <c r="B2358">
        <v>137169212</v>
      </c>
      <c r="C2358" t="s">
        <v>12161</v>
      </c>
      <c r="D2358" t="s">
        <v>12162</v>
      </c>
      <c r="E2358" t="s">
        <v>11426</v>
      </c>
      <c r="F2358" t="s">
        <v>844</v>
      </c>
      <c r="G2358" t="s">
        <v>164</v>
      </c>
      <c r="H2358" t="s">
        <v>165</v>
      </c>
      <c r="I2358" t="s">
        <v>34</v>
      </c>
      <c r="J2358" t="s">
        <v>166</v>
      </c>
      <c r="K2358" t="s">
        <v>41</v>
      </c>
      <c r="L2358" t="s">
        <v>12163</v>
      </c>
      <c r="M2358" t="s">
        <v>12164</v>
      </c>
      <c r="N2358" t="s">
        <v>11429</v>
      </c>
      <c r="O2358" t="s">
        <v>101</v>
      </c>
      <c r="P2358" t="s">
        <v>12165</v>
      </c>
      <c r="Q2358" t="s">
        <v>63</v>
      </c>
      <c r="R2358" t="s">
        <v>11626</v>
      </c>
      <c r="S2358">
        <v>1</v>
      </c>
      <c r="T2358">
        <v>4067</v>
      </c>
      <c r="U2358">
        <v>0</v>
      </c>
      <c r="V2358">
        <v>4067</v>
      </c>
    </row>
    <row r="2359" spans="1:22" x14ac:dyDescent="0.3">
      <c r="A2359">
        <v>186607</v>
      </c>
      <c r="B2359">
        <v>137084818</v>
      </c>
      <c r="C2359" t="s">
        <v>12166</v>
      </c>
      <c r="D2359" t="s">
        <v>12167</v>
      </c>
      <c r="E2359" t="s">
        <v>11426</v>
      </c>
      <c r="F2359" t="s">
        <v>844</v>
      </c>
      <c r="G2359" t="s">
        <v>164</v>
      </c>
      <c r="H2359" t="s">
        <v>165</v>
      </c>
      <c r="I2359" t="s">
        <v>34</v>
      </c>
      <c r="J2359" t="s">
        <v>166</v>
      </c>
      <c r="K2359" t="s">
        <v>41</v>
      </c>
      <c r="L2359" t="s">
        <v>12168</v>
      </c>
      <c r="M2359" t="s">
        <v>12169</v>
      </c>
      <c r="N2359" t="s">
        <v>11429</v>
      </c>
      <c r="O2359" t="s">
        <v>101</v>
      </c>
      <c r="P2359" t="s">
        <v>12170</v>
      </c>
      <c r="Q2359" t="s">
        <v>93</v>
      </c>
      <c r="R2359" t="s">
        <v>11890</v>
      </c>
      <c r="S2359">
        <v>1.17</v>
      </c>
      <c r="T2359">
        <v>3366</v>
      </c>
      <c r="U2359">
        <v>0</v>
      </c>
      <c r="V2359">
        <v>3366</v>
      </c>
    </row>
    <row r="2360" spans="1:22" x14ac:dyDescent="0.3">
      <c r="A2360">
        <v>186607</v>
      </c>
      <c r="B2360">
        <v>137084821</v>
      </c>
      <c r="C2360" t="s">
        <v>12171</v>
      </c>
      <c r="D2360" t="s">
        <v>12172</v>
      </c>
      <c r="E2360" t="s">
        <v>11426</v>
      </c>
      <c r="F2360" t="s">
        <v>844</v>
      </c>
      <c r="G2360" t="s">
        <v>164</v>
      </c>
      <c r="H2360" t="s">
        <v>165</v>
      </c>
      <c r="I2360" t="s">
        <v>34</v>
      </c>
      <c r="J2360" t="s">
        <v>166</v>
      </c>
      <c r="K2360" t="s">
        <v>41</v>
      </c>
      <c r="L2360" t="s">
        <v>12173</v>
      </c>
      <c r="M2360" t="s">
        <v>12174</v>
      </c>
      <c r="N2360" t="s">
        <v>11429</v>
      </c>
      <c r="O2360" t="s">
        <v>101</v>
      </c>
      <c r="P2360" t="s">
        <v>12175</v>
      </c>
      <c r="Q2360" t="s">
        <v>54</v>
      </c>
      <c r="R2360" t="s">
        <v>11890</v>
      </c>
      <c r="S2360">
        <v>2.42</v>
      </c>
      <c r="T2360">
        <v>5759</v>
      </c>
      <c r="U2360">
        <v>0</v>
      </c>
      <c r="V2360">
        <v>5759</v>
      </c>
    </row>
    <row r="2361" spans="1:22" x14ac:dyDescent="0.3">
      <c r="A2361">
        <v>186607</v>
      </c>
      <c r="B2361">
        <v>137205987</v>
      </c>
      <c r="C2361" t="s">
        <v>12176</v>
      </c>
      <c r="D2361" t="s">
        <v>12177</v>
      </c>
      <c r="E2361" t="s">
        <v>11426</v>
      </c>
      <c r="F2361" t="s">
        <v>844</v>
      </c>
      <c r="G2361" t="s">
        <v>164</v>
      </c>
      <c r="H2361" t="s">
        <v>165</v>
      </c>
      <c r="I2361" t="s">
        <v>34</v>
      </c>
      <c r="J2361" t="s">
        <v>166</v>
      </c>
      <c r="K2361" t="s">
        <v>41</v>
      </c>
      <c r="L2361" t="s">
        <v>555</v>
      </c>
      <c r="M2361" t="s">
        <v>12178</v>
      </c>
      <c r="N2361" t="s">
        <v>11429</v>
      </c>
      <c r="O2361" t="s">
        <v>101</v>
      </c>
      <c r="P2361" t="s">
        <v>12179</v>
      </c>
      <c r="Q2361" t="s">
        <v>83</v>
      </c>
      <c r="R2361" t="s">
        <v>448</v>
      </c>
      <c r="S2361">
        <v>0.5</v>
      </c>
      <c r="T2361">
        <v>3299</v>
      </c>
      <c r="U2361">
        <v>0</v>
      </c>
      <c r="V2361">
        <v>3299</v>
      </c>
    </row>
    <row r="2362" spans="1:22" x14ac:dyDescent="0.3">
      <c r="A2362">
        <v>186607</v>
      </c>
      <c r="B2362">
        <v>137084813</v>
      </c>
      <c r="C2362" t="s">
        <v>12180</v>
      </c>
      <c r="D2362" t="s">
        <v>12181</v>
      </c>
      <c r="E2362" t="s">
        <v>11426</v>
      </c>
      <c r="F2362" t="s">
        <v>844</v>
      </c>
      <c r="G2362" t="s">
        <v>164</v>
      </c>
      <c r="H2362" t="s">
        <v>165</v>
      </c>
      <c r="I2362" t="s">
        <v>34</v>
      </c>
      <c r="J2362" t="s">
        <v>166</v>
      </c>
      <c r="K2362" t="s">
        <v>41</v>
      </c>
      <c r="L2362" t="s">
        <v>12182</v>
      </c>
      <c r="M2362" t="s">
        <v>12183</v>
      </c>
      <c r="N2362" t="s">
        <v>11429</v>
      </c>
      <c r="O2362" t="s">
        <v>101</v>
      </c>
      <c r="P2362" t="s">
        <v>12184</v>
      </c>
      <c r="Q2362" t="s">
        <v>754</v>
      </c>
      <c r="R2362" t="s">
        <v>11890</v>
      </c>
      <c r="S2362">
        <v>2.39</v>
      </c>
      <c r="T2362">
        <v>4067</v>
      </c>
      <c r="U2362">
        <v>0</v>
      </c>
      <c r="V2362">
        <v>4067</v>
      </c>
    </row>
    <row r="2363" spans="1:22" x14ac:dyDescent="0.3">
      <c r="A2363">
        <v>186607</v>
      </c>
      <c r="B2363">
        <v>137206007</v>
      </c>
      <c r="C2363" t="s">
        <v>12185</v>
      </c>
      <c r="D2363" t="s">
        <v>12186</v>
      </c>
      <c r="E2363" t="s">
        <v>11426</v>
      </c>
      <c r="F2363" t="s">
        <v>844</v>
      </c>
      <c r="G2363" t="s">
        <v>164</v>
      </c>
      <c r="H2363" t="s">
        <v>165</v>
      </c>
      <c r="I2363" t="s">
        <v>34</v>
      </c>
      <c r="J2363" t="s">
        <v>166</v>
      </c>
      <c r="K2363" t="s">
        <v>41</v>
      </c>
      <c r="L2363" t="s">
        <v>12187</v>
      </c>
      <c r="M2363" t="s">
        <v>12188</v>
      </c>
      <c r="N2363" t="s">
        <v>11429</v>
      </c>
      <c r="O2363" t="s">
        <v>101</v>
      </c>
      <c r="P2363" t="s">
        <v>12189</v>
      </c>
      <c r="Q2363" t="s">
        <v>50</v>
      </c>
      <c r="R2363" t="s">
        <v>448</v>
      </c>
      <c r="S2363">
        <v>0.5</v>
      </c>
      <c r="T2363">
        <v>3680</v>
      </c>
      <c r="U2363">
        <v>0</v>
      </c>
      <c r="V2363">
        <v>3680</v>
      </c>
    </row>
    <row r="2364" spans="1:22" x14ac:dyDescent="0.3">
      <c r="A2364">
        <v>186607</v>
      </c>
      <c r="B2364">
        <v>137169235</v>
      </c>
      <c r="C2364" t="s">
        <v>12190</v>
      </c>
      <c r="D2364" t="s">
        <v>12191</v>
      </c>
      <c r="E2364" t="s">
        <v>11426</v>
      </c>
      <c r="F2364" t="s">
        <v>844</v>
      </c>
      <c r="G2364" t="s">
        <v>164</v>
      </c>
      <c r="H2364" t="s">
        <v>165</v>
      </c>
      <c r="I2364" t="s">
        <v>34</v>
      </c>
      <c r="J2364" t="s">
        <v>166</v>
      </c>
      <c r="K2364" t="s">
        <v>41</v>
      </c>
      <c r="L2364" t="s">
        <v>12192</v>
      </c>
      <c r="M2364" t="s">
        <v>12193</v>
      </c>
      <c r="N2364" t="s">
        <v>11429</v>
      </c>
      <c r="O2364" t="s">
        <v>101</v>
      </c>
      <c r="P2364" t="s">
        <v>12194</v>
      </c>
      <c r="Q2364" t="s">
        <v>69</v>
      </c>
      <c r="R2364" t="s">
        <v>11626</v>
      </c>
      <c r="S2364">
        <v>0.5</v>
      </c>
      <c r="T2364">
        <v>3680</v>
      </c>
      <c r="U2364">
        <v>0</v>
      </c>
      <c r="V2364">
        <v>3680</v>
      </c>
    </row>
    <row r="2365" spans="1:22" x14ac:dyDescent="0.3">
      <c r="A2365">
        <v>186607</v>
      </c>
      <c r="B2365">
        <v>137084830</v>
      </c>
      <c r="C2365" t="s">
        <v>12195</v>
      </c>
      <c r="D2365" t="s">
        <v>12196</v>
      </c>
      <c r="E2365" t="s">
        <v>11426</v>
      </c>
      <c r="F2365" t="s">
        <v>844</v>
      </c>
      <c r="G2365" t="s">
        <v>164</v>
      </c>
      <c r="H2365" t="s">
        <v>165</v>
      </c>
      <c r="I2365" t="s">
        <v>34</v>
      </c>
      <c r="J2365" t="s">
        <v>166</v>
      </c>
      <c r="K2365" t="s">
        <v>41</v>
      </c>
      <c r="L2365" t="s">
        <v>12197</v>
      </c>
      <c r="M2365" t="s">
        <v>12198</v>
      </c>
      <c r="N2365" t="s">
        <v>11429</v>
      </c>
      <c r="O2365" t="s">
        <v>101</v>
      </c>
      <c r="P2365" t="s">
        <v>12199</v>
      </c>
      <c r="Q2365" t="s">
        <v>89</v>
      </c>
      <c r="R2365" t="s">
        <v>11890</v>
      </c>
      <c r="S2365">
        <v>5.09</v>
      </c>
      <c r="T2365">
        <v>3797</v>
      </c>
      <c r="U2365">
        <v>0</v>
      </c>
      <c r="V2365">
        <v>3797</v>
      </c>
    </row>
    <row r="2366" spans="1:22" x14ac:dyDescent="0.3">
      <c r="A2366">
        <v>186607</v>
      </c>
      <c r="B2366">
        <v>137206002</v>
      </c>
      <c r="C2366" t="s">
        <v>12200</v>
      </c>
      <c r="D2366" t="s">
        <v>12201</v>
      </c>
      <c r="E2366" t="s">
        <v>11426</v>
      </c>
      <c r="F2366" t="s">
        <v>844</v>
      </c>
      <c r="G2366" t="s">
        <v>164</v>
      </c>
      <c r="H2366" t="s">
        <v>165</v>
      </c>
      <c r="I2366" t="s">
        <v>34</v>
      </c>
      <c r="J2366" t="s">
        <v>166</v>
      </c>
      <c r="K2366" t="s">
        <v>41</v>
      </c>
      <c r="L2366" t="s">
        <v>12202</v>
      </c>
      <c r="M2366" t="s">
        <v>12203</v>
      </c>
      <c r="N2366" t="s">
        <v>11429</v>
      </c>
      <c r="O2366" t="s">
        <v>101</v>
      </c>
      <c r="P2366" t="s">
        <v>12204</v>
      </c>
      <c r="Q2366" t="s">
        <v>71</v>
      </c>
      <c r="R2366" t="s">
        <v>448</v>
      </c>
      <c r="S2366">
        <v>0.5</v>
      </c>
      <c r="T2366">
        <v>3449</v>
      </c>
      <c r="U2366">
        <v>0</v>
      </c>
      <c r="V2366">
        <v>3449</v>
      </c>
    </row>
    <row r="2367" spans="1:22" x14ac:dyDescent="0.3">
      <c r="A2367">
        <v>186607</v>
      </c>
      <c r="B2367">
        <v>136921088</v>
      </c>
      <c r="C2367" t="s">
        <v>12205</v>
      </c>
      <c r="D2367" t="s">
        <v>12206</v>
      </c>
      <c r="E2367" t="s">
        <v>11426</v>
      </c>
      <c r="F2367" t="s">
        <v>844</v>
      </c>
      <c r="G2367" t="s">
        <v>164</v>
      </c>
      <c r="H2367" t="s">
        <v>165</v>
      </c>
      <c r="I2367" t="s">
        <v>34</v>
      </c>
      <c r="J2367" t="s">
        <v>166</v>
      </c>
      <c r="K2367" t="s">
        <v>41</v>
      </c>
      <c r="L2367" t="s">
        <v>12207</v>
      </c>
      <c r="M2367" t="s">
        <v>12208</v>
      </c>
      <c r="N2367" t="s">
        <v>11429</v>
      </c>
      <c r="O2367" t="s">
        <v>101</v>
      </c>
      <c r="P2367" t="s">
        <v>12209</v>
      </c>
      <c r="Q2367" t="s">
        <v>109</v>
      </c>
      <c r="R2367" t="s">
        <v>12110</v>
      </c>
      <c r="S2367">
        <v>2.64</v>
      </c>
      <c r="T2367">
        <v>4346</v>
      </c>
      <c r="U2367">
        <v>0</v>
      </c>
      <c r="V2367">
        <v>4346</v>
      </c>
    </row>
    <row r="2368" spans="1:22" x14ac:dyDescent="0.3">
      <c r="A2368">
        <v>186607</v>
      </c>
      <c r="B2368">
        <v>137122334</v>
      </c>
      <c r="C2368" t="s">
        <v>12210</v>
      </c>
      <c r="D2368" t="s">
        <v>12211</v>
      </c>
      <c r="E2368" t="s">
        <v>11426</v>
      </c>
      <c r="F2368" t="s">
        <v>844</v>
      </c>
      <c r="G2368" t="s">
        <v>164</v>
      </c>
      <c r="H2368" t="s">
        <v>165</v>
      </c>
      <c r="I2368" t="s">
        <v>34</v>
      </c>
      <c r="J2368" t="s">
        <v>166</v>
      </c>
      <c r="K2368" t="s">
        <v>41</v>
      </c>
      <c r="L2368" t="s">
        <v>12212</v>
      </c>
      <c r="M2368" t="s">
        <v>12213</v>
      </c>
      <c r="N2368" t="s">
        <v>11429</v>
      </c>
      <c r="O2368" t="s">
        <v>101</v>
      </c>
      <c r="P2368" t="s">
        <v>12214</v>
      </c>
      <c r="Q2368" t="s">
        <v>60</v>
      </c>
      <c r="R2368" t="s">
        <v>458</v>
      </c>
      <c r="S2368">
        <v>0.5</v>
      </c>
      <c r="T2368">
        <v>3680</v>
      </c>
      <c r="U2368">
        <v>0</v>
      </c>
      <c r="V2368">
        <v>3680</v>
      </c>
    </row>
    <row r="2369" spans="1:22" x14ac:dyDescent="0.3">
      <c r="A2369">
        <v>186607</v>
      </c>
      <c r="B2369">
        <v>136792708</v>
      </c>
      <c r="C2369" t="s">
        <v>12215</v>
      </c>
      <c r="D2369" t="s">
        <v>12216</v>
      </c>
      <c r="E2369" t="s">
        <v>11426</v>
      </c>
      <c r="F2369" t="s">
        <v>844</v>
      </c>
      <c r="G2369" t="s">
        <v>164</v>
      </c>
      <c r="H2369" t="s">
        <v>165</v>
      </c>
      <c r="I2369" t="s">
        <v>34</v>
      </c>
      <c r="J2369" t="s">
        <v>166</v>
      </c>
      <c r="K2369" t="s">
        <v>41</v>
      </c>
      <c r="L2369" t="s">
        <v>12217</v>
      </c>
      <c r="M2369" t="s">
        <v>12218</v>
      </c>
      <c r="N2369" t="s">
        <v>11429</v>
      </c>
      <c r="O2369" t="s">
        <v>101</v>
      </c>
      <c r="P2369" t="s">
        <v>12219</v>
      </c>
      <c r="Q2369" t="s">
        <v>87</v>
      </c>
      <c r="R2369" t="s">
        <v>837</v>
      </c>
      <c r="S2369">
        <v>0.5</v>
      </c>
      <c r="T2369">
        <v>3299</v>
      </c>
      <c r="U2369">
        <v>0</v>
      </c>
      <c r="V2369">
        <v>3299</v>
      </c>
    </row>
    <row r="2370" spans="1:22" x14ac:dyDescent="0.3">
      <c r="A2370">
        <v>186607</v>
      </c>
      <c r="B2370">
        <v>136997983</v>
      </c>
      <c r="C2370" t="s">
        <v>12220</v>
      </c>
      <c r="D2370" t="s">
        <v>12221</v>
      </c>
      <c r="E2370" t="s">
        <v>11426</v>
      </c>
      <c r="F2370" t="s">
        <v>844</v>
      </c>
      <c r="G2370" t="s">
        <v>164</v>
      </c>
      <c r="H2370" t="s">
        <v>165</v>
      </c>
      <c r="I2370" t="s">
        <v>34</v>
      </c>
      <c r="J2370" t="s">
        <v>166</v>
      </c>
      <c r="K2370" t="s">
        <v>41</v>
      </c>
      <c r="L2370" t="s">
        <v>12222</v>
      </c>
      <c r="M2370" t="s">
        <v>12223</v>
      </c>
      <c r="N2370" t="s">
        <v>11429</v>
      </c>
      <c r="O2370" t="s">
        <v>101</v>
      </c>
      <c r="P2370" t="s">
        <v>12224</v>
      </c>
      <c r="Q2370" t="s">
        <v>49</v>
      </c>
      <c r="R2370" t="s">
        <v>462</v>
      </c>
      <c r="S2370">
        <v>3.4</v>
      </c>
      <c r="T2370">
        <v>4585</v>
      </c>
      <c r="U2370">
        <v>0</v>
      </c>
      <c r="V2370">
        <v>4585</v>
      </c>
    </row>
    <row r="2371" spans="1:22" x14ac:dyDescent="0.3">
      <c r="A2371">
        <v>186607</v>
      </c>
      <c r="B2371">
        <v>136889146</v>
      </c>
      <c r="C2371" t="s">
        <v>12225</v>
      </c>
      <c r="D2371" t="s">
        <v>12226</v>
      </c>
      <c r="E2371" t="s">
        <v>11426</v>
      </c>
      <c r="F2371" t="s">
        <v>844</v>
      </c>
      <c r="G2371" t="s">
        <v>164</v>
      </c>
      <c r="H2371" t="s">
        <v>165</v>
      </c>
      <c r="I2371" t="s">
        <v>34</v>
      </c>
      <c r="J2371" t="s">
        <v>166</v>
      </c>
      <c r="K2371" t="s">
        <v>41</v>
      </c>
      <c r="L2371" t="s">
        <v>12227</v>
      </c>
      <c r="M2371" t="s">
        <v>12228</v>
      </c>
      <c r="N2371" t="s">
        <v>11429</v>
      </c>
      <c r="O2371" t="s">
        <v>101</v>
      </c>
      <c r="P2371" t="s">
        <v>12229</v>
      </c>
      <c r="Q2371" t="s">
        <v>205</v>
      </c>
      <c r="R2371" t="s">
        <v>124</v>
      </c>
      <c r="S2371">
        <v>2.5099999999999998</v>
      </c>
      <c r="T2371">
        <v>3501</v>
      </c>
      <c r="U2371">
        <v>0</v>
      </c>
      <c r="V2371">
        <v>3501</v>
      </c>
    </row>
    <row r="2372" spans="1:22" x14ac:dyDescent="0.3">
      <c r="A2372">
        <v>186607</v>
      </c>
      <c r="B2372">
        <v>137169200</v>
      </c>
      <c r="C2372" t="s">
        <v>12230</v>
      </c>
      <c r="D2372" t="s">
        <v>12231</v>
      </c>
      <c r="E2372" t="s">
        <v>11426</v>
      </c>
      <c r="F2372" t="s">
        <v>844</v>
      </c>
      <c r="G2372" t="s">
        <v>164</v>
      </c>
      <c r="H2372" t="s">
        <v>165</v>
      </c>
      <c r="I2372" t="s">
        <v>34</v>
      </c>
      <c r="J2372" t="s">
        <v>166</v>
      </c>
      <c r="K2372" t="s">
        <v>41</v>
      </c>
      <c r="L2372" t="s">
        <v>12232</v>
      </c>
      <c r="M2372" t="s">
        <v>12233</v>
      </c>
      <c r="N2372" t="s">
        <v>11429</v>
      </c>
      <c r="O2372" t="s">
        <v>101</v>
      </c>
      <c r="P2372" t="s">
        <v>12234</v>
      </c>
      <c r="Q2372" t="s">
        <v>231</v>
      </c>
      <c r="R2372" t="s">
        <v>11626</v>
      </c>
      <c r="S2372">
        <v>0.5</v>
      </c>
      <c r="T2372">
        <v>3299</v>
      </c>
      <c r="U2372">
        <v>0</v>
      </c>
      <c r="V2372">
        <v>3299</v>
      </c>
    </row>
    <row r="2373" spans="1:22" x14ac:dyDescent="0.3">
      <c r="A2373">
        <v>186607</v>
      </c>
      <c r="B2373">
        <v>137169260</v>
      </c>
      <c r="C2373" t="s">
        <v>12235</v>
      </c>
      <c r="D2373" t="s">
        <v>12236</v>
      </c>
      <c r="E2373" t="s">
        <v>11426</v>
      </c>
      <c r="F2373" t="s">
        <v>844</v>
      </c>
      <c r="G2373" t="s">
        <v>164</v>
      </c>
      <c r="H2373" t="s">
        <v>165</v>
      </c>
      <c r="I2373" t="s">
        <v>34</v>
      </c>
      <c r="J2373" t="s">
        <v>166</v>
      </c>
      <c r="K2373" t="s">
        <v>41</v>
      </c>
      <c r="L2373" t="s">
        <v>12237</v>
      </c>
      <c r="M2373" t="s">
        <v>12238</v>
      </c>
      <c r="N2373" t="s">
        <v>11429</v>
      </c>
      <c r="O2373" t="s">
        <v>101</v>
      </c>
      <c r="P2373" t="s">
        <v>12239</v>
      </c>
      <c r="Q2373" t="s">
        <v>84</v>
      </c>
      <c r="R2373" t="s">
        <v>11626</v>
      </c>
      <c r="S2373">
        <v>0.5</v>
      </c>
      <c r="T2373">
        <v>3299</v>
      </c>
      <c r="U2373">
        <v>0</v>
      </c>
      <c r="V2373">
        <v>3299</v>
      </c>
    </row>
    <row r="2374" spans="1:22" x14ac:dyDescent="0.3">
      <c r="A2374">
        <v>186607</v>
      </c>
      <c r="B2374">
        <v>137169261</v>
      </c>
      <c r="C2374" t="s">
        <v>12240</v>
      </c>
      <c r="D2374" t="s">
        <v>12241</v>
      </c>
      <c r="E2374" t="s">
        <v>11426</v>
      </c>
      <c r="F2374" t="s">
        <v>844</v>
      </c>
      <c r="G2374" t="s">
        <v>164</v>
      </c>
      <c r="H2374" t="s">
        <v>165</v>
      </c>
      <c r="I2374" t="s">
        <v>34</v>
      </c>
      <c r="J2374" t="s">
        <v>166</v>
      </c>
      <c r="K2374" t="s">
        <v>41</v>
      </c>
      <c r="L2374" t="s">
        <v>12242</v>
      </c>
      <c r="M2374" t="s">
        <v>12243</v>
      </c>
      <c r="N2374" t="s">
        <v>11429</v>
      </c>
      <c r="O2374" t="s">
        <v>101</v>
      </c>
      <c r="P2374" t="s">
        <v>12244</v>
      </c>
      <c r="Q2374" t="s">
        <v>581</v>
      </c>
      <c r="R2374" t="s">
        <v>11626</v>
      </c>
      <c r="S2374">
        <v>0.5</v>
      </c>
      <c r="T2374">
        <v>4489</v>
      </c>
      <c r="U2374">
        <v>0</v>
      </c>
      <c r="V2374">
        <v>4489</v>
      </c>
    </row>
    <row r="2375" spans="1:22" x14ac:dyDescent="0.3">
      <c r="A2375">
        <v>186607</v>
      </c>
      <c r="B2375">
        <v>137205995</v>
      </c>
      <c r="C2375" t="s">
        <v>12245</v>
      </c>
      <c r="D2375" t="s">
        <v>12246</v>
      </c>
      <c r="E2375" t="s">
        <v>11426</v>
      </c>
      <c r="F2375" t="s">
        <v>844</v>
      </c>
      <c r="G2375" t="s">
        <v>164</v>
      </c>
      <c r="H2375" t="s">
        <v>165</v>
      </c>
      <c r="I2375" t="s">
        <v>34</v>
      </c>
      <c r="J2375" t="s">
        <v>166</v>
      </c>
      <c r="K2375" t="s">
        <v>41</v>
      </c>
      <c r="L2375" t="s">
        <v>12247</v>
      </c>
      <c r="M2375" t="s">
        <v>12248</v>
      </c>
      <c r="N2375" t="s">
        <v>11429</v>
      </c>
      <c r="O2375" t="s">
        <v>101</v>
      </c>
      <c r="P2375" t="s">
        <v>12249</v>
      </c>
      <c r="Q2375" t="s">
        <v>63</v>
      </c>
      <c r="R2375" t="s">
        <v>448</v>
      </c>
      <c r="S2375">
        <v>0.5</v>
      </c>
      <c r="T2375">
        <v>3680</v>
      </c>
      <c r="U2375">
        <v>0</v>
      </c>
      <c r="V2375">
        <v>3680</v>
      </c>
    </row>
    <row r="2376" spans="1:22" x14ac:dyDescent="0.3">
      <c r="A2376">
        <v>186607</v>
      </c>
      <c r="B2376">
        <v>137206004</v>
      </c>
      <c r="C2376" t="s">
        <v>12250</v>
      </c>
      <c r="D2376" t="s">
        <v>12251</v>
      </c>
      <c r="E2376" t="s">
        <v>11426</v>
      </c>
      <c r="F2376" t="s">
        <v>844</v>
      </c>
      <c r="G2376" t="s">
        <v>164</v>
      </c>
      <c r="H2376" t="s">
        <v>165</v>
      </c>
      <c r="I2376" t="s">
        <v>34</v>
      </c>
      <c r="J2376" t="s">
        <v>166</v>
      </c>
      <c r="K2376" t="s">
        <v>41</v>
      </c>
      <c r="L2376" t="s">
        <v>12252</v>
      </c>
      <c r="M2376" t="s">
        <v>12253</v>
      </c>
      <c r="N2376" t="s">
        <v>11429</v>
      </c>
      <c r="O2376" t="s">
        <v>101</v>
      </c>
      <c r="P2376" t="s">
        <v>12254</v>
      </c>
      <c r="Q2376" t="s">
        <v>63</v>
      </c>
      <c r="R2376" t="s">
        <v>448</v>
      </c>
      <c r="S2376">
        <v>1</v>
      </c>
      <c r="T2376">
        <v>4067</v>
      </c>
      <c r="U2376">
        <v>0</v>
      </c>
      <c r="V2376">
        <v>4067</v>
      </c>
    </row>
    <row r="2377" spans="1:22" x14ac:dyDescent="0.3">
      <c r="A2377">
        <v>186607</v>
      </c>
      <c r="B2377">
        <v>136998002</v>
      </c>
      <c r="C2377" t="s">
        <v>12255</v>
      </c>
      <c r="D2377" t="s">
        <v>12256</v>
      </c>
      <c r="E2377" t="s">
        <v>11426</v>
      </c>
      <c r="F2377" t="s">
        <v>844</v>
      </c>
      <c r="G2377" t="s">
        <v>164</v>
      </c>
      <c r="H2377" t="s">
        <v>165</v>
      </c>
      <c r="I2377" t="s">
        <v>34</v>
      </c>
      <c r="J2377" t="s">
        <v>166</v>
      </c>
      <c r="K2377" t="s">
        <v>41</v>
      </c>
      <c r="L2377" t="s">
        <v>12257</v>
      </c>
      <c r="M2377" t="s">
        <v>12258</v>
      </c>
      <c r="N2377" t="s">
        <v>11429</v>
      </c>
      <c r="O2377" t="s">
        <v>101</v>
      </c>
      <c r="P2377" t="s">
        <v>12259</v>
      </c>
      <c r="Q2377" t="s">
        <v>57</v>
      </c>
      <c r="R2377" t="s">
        <v>462</v>
      </c>
      <c r="S2377">
        <v>2.96</v>
      </c>
      <c r="T2377">
        <v>5476</v>
      </c>
      <c r="U2377">
        <v>0</v>
      </c>
      <c r="V2377">
        <v>5476</v>
      </c>
    </row>
    <row r="2378" spans="1:22" x14ac:dyDescent="0.3">
      <c r="A2378">
        <v>186607</v>
      </c>
      <c r="B2378">
        <v>137169220</v>
      </c>
      <c r="C2378" t="s">
        <v>12260</v>
      </c>
      <c r="D2378" t="s">
        <v>12261</v>
      </c>
      <c r="E2378" t="s">
        <v>11426</v>
      </c>
      <c r="F2378" t="s">
        <v>844</v>
      </c>
      <c r="G2378" t="s">
        <v>164</v>
      </c>
      <c r="H2378" t="s">
        <v>165</v>
      </c>
      <c r="I2378" t="s">
        <v>34</v>
      </c>
      <c r="J2378" t="s">
        <v>166</v>
      </c>
      <c r="K2378" t="s">
        <v>41</v>
      </c>
      <c r="L2378" t="s">
        <v>12262</v>
      </c>
      <c r="M2378" t="s">
        <v>12263</v>
      </c>
      <c r="N2378" t="s">
        <v>11429</v>
      </c>
      <c r="O2378" t="s">
        <v>101</v>
      </c>
      <c r="P2378" t="s">
        <v>12264</v>
      </c>
      <c r="Q2378" t="s">
        <v>63</v>
      </c>
      <c r="R2378" t="s">
        <v>11626</v>
      </c>
      <c r="S2378">
        <v>0.5</v>
      </c>
      <c r="T2378">
        <v>3680</v>
      </c>
      <c r="U2378">
        <v>0</v>
      </c>
      <c r="V2378">
        <v>3680</v>
      </c>
    </row>
    <row r="2379" spans="1:22" x14ac:dyDescent="0.3">
      <c r="A2379">
        <v>186607</v>
      </c>
      <c r="B2379">
        <v>137122240</v>
      </c>
      <c r="C2379" t="s">
        <v>12265</v>
      </c>
      <c r="D2379" t="s">
        <v>12266</v>
      </c>
      <c r="E2379" t="s">
        <v>11426</v>
      </c>
      <c r="F2379" t="s">
        <v>844</v>
      </c>
      <c r="G2379" t="s">
        <v>164</v>
      </c>
      <c r="H2379" t="s">
        <v>165</v>
      </c>
      <c r="I2379" t="s">
        <v>34</v>
      </c>
      <c r="J2379" t="s">
        <v>166</v>
      </c>
      <c r="K2379" t="s">
        <v>41</v>
      </c>
      <c r="L2379" t="s">
        <v>12267</v>
      </c>
      <c r="M2379" t="s">
        <v>818</v>
      </c>
      <c r="N2379" t="s">
        <v>11429</v>
      </c>
      <c r="O2379" t="s">
        <v>101</v>
      </c>
      <c r="P2379" t="s">
        <v>12268</v>
      </c>
      <c r="Q2379" t="s">
        <v>205</v>
      </c>
      <c r="R2379" t="s">
        <v>458</v>
      </c>
      <c r="S2379">
        <v>2.78</v>
      </c>
      <c r="T2379">
        <v>3501</v>
      </c>
      <c r="U2379">
        <v>0</v>
      </c>
      <c r="V2379">
        <v>3501</v>
      </c>
    </row>
    <row r="2380" spans="1:22" x14ac:dyDescent="0.3">
      <c r="A2380">
        <v>186607</v>
      </c>
      <c r="B2380">
        <v>136921079</v>
      </c>
      <c r="C2380" t="s">
        <v>12269</v>
      </c>
      <c r="D2380" t="s">
        <v>12270</v>
      </c>
      <c r="E2380" t="s">
        <v>11426</v>
      </c>
      <c r="F2380" t="s">
        <v>844</v>
      </c>
      <c r="G2380" t="s">
        <v>164</v>
      </c>
      <c r="H2380" t="s">
        <v>165</v>
      </c>
      <c r="I2380" t="s">
        <v>34</v>
      </c>
      <c r="J2380" t="s">
        <v>166</v>
      </c>
      <c r="K2380" t="s">
        <v>41</v>
      </c>
      <c r="L2380" t="s">
        <v>12271</v>
      </c>
      <c r="M2380" t="s">
        <v>12272</v>
      </c>
      <c r="N2380" t="s">
        <v>11429</v>
      </c>
      <c r="O2380" t="s">
        <v>101</v>
      </c>
      <c r="P2380" t="s">
        <v>12273</v>
      </c>
      <c r="Q2380" t="s">
        <v>57</v>
      </c>
      <c r="R2380" t="s">
        <v>12110</v>
      </c>
      <c r="S2380">
        <v>3.62</v>
      </c>
      <c r="T2380">
        <v>7749</v>
      </c>
      <c r="U2380">
        <v>0</v>
      </c>
      <c r="V2380">
        <v>7749</v>
      </c>
    </row>
    <row r="2381" spans="1:22" x14ac:dyDescent="0.3">
      <c r="A2381">
        <v>186607</v>
      </c>
      <c r="B2381">
        <v>136921122</v>
      </c>
      <c r="C2381" t="s">
        <v>12274</v>
      </c>
      <c r="D2381" t="s">
        <v>12275</v>
      </c>
      <c r="E2381" t="s">
        <v>11426</v>
      </c>
      <c r="F2381" t="s">
        <v>844</v>
      </c>
      <c r="G2381" t="s">
        <v>164</v>
      </c>
      <c r="H2381" t="s">
        <v>165</v>
      </c>
      <c r="I2381" t="s">
        <v>34</v>
      </c>
      <c r="J2381" t="s">
        <v>166</v>
      </c>
      <c r="K2381" t="s">
        <v>41</v>
      </c>
      <c r="L2381" t="s">
        <v>12276</v>
      </c>
      <c r="M2381" t="s">
        <v>12277</v>
      </c>
      <c r="N2381" t="s">
        <v>11429</v>
      </c>
      <c r="O2381" t="s">
        <v>101</v>
      </c>
      <c r="P2381" t="s">
        <v>12278</v>
      </c>
      <c r="Q2381" t="s">
        <v>57</v>
      </c>
      <c r="R2381" t="s">
        <v>12110</v>
      </c>
      <c r="S2381">
        <v>5.68</v>
      </c>
      <c r="T2381">
        <v>7749</v>
      </c>
      <c r="U2381">
        <v>0</v>
      </c>
      <c r="V2381">
        <v>7749</v>
      </c>
    </row>
    <row r="2382" spans="1:22" x14ac:dyDescent="0.3">
      <c r="A2382">
        <v>186607</v>
      </c>
      <c r="B2382">
        <v>137169196</v>
      </c>
      <c r="C2382" t="s">
        <v>12279</v>
      </c>
      <c r="D2382" t="s">
        <v>12280</v>
      </c>
      <c r="E2382" t="s">
        <v>11426</v>
      </c>
      <c r="F2382" t="s">
        <v>844</v>
      </c>
      <c r="G2382" t="s">
        <v>164</v>
      </c>
      <c r="H2382" t="s">
        <v>165</v>
      </c>
      <c r="I2382" t="s">
        <v>34</v>
      </c>
      <c r="J2382" t="s">
        <v>166</v>
      </c>
      <c r="K2382" t="s">
        <v>41</v>
      </c>
      <c r="L2382" t="s">
        <v>12281</v>
      </c>
      <c r="M2382" t="s">
        <v>12282</v>
      </c>
      <c r="N2382" t="s">
        <v>11429</v>
      </c>
      <c r="O2382" t="s">
        <v>101</v>
      </c>
      <c r="P2382" t="s">
        <v>12283</v>
      </c>
      <c r="Q2382" t="s">
        <v>77</v>
      </c>
      <c r="R2382" t="s">
        <v>11626</v>
      </c>
      <c r="S2382">
        <v>0.5</v>
      </c>
      <c r="T2382">
        <v>7359</v>
      </c>
      <c r="U2382">
        <v>0</v>
      </c>
      <c r="V2382">
        <v>7359</v>
      </c>
    </row>
    <row r="2383" spans="1:22" x14ac:dyDescent="0.3">
      <c r="A2383">
        <v>186607</v>
      </c>
      <c r="B2383">
        <v>137169237</v>
      </c>
      <c r="C2383" t="s">
        <v>12284</v>
      </c>
      <c r="D2383" t="s">
        <v>12285</v>
      </c>
      <c r="E2383" t="s">
        <v>11426</v>
      </c>
      <c r="F2383" t="s">
        <v>844</v>
      </c>
      <c r="G2383" t="s">
        <v>164</v>
      </c>
      <c r="H2383" t="s">
        <v>165</v>
      </c>
      <c r="I2383" t="s">
        <v>34</v>
      </c>
      <c r="J2383" t="s">
        <v>166</v>
      </c>
      <c r="K2383" t="s">
        <v>41</v>
      </c>
      <c r="L2383" t="s">
        <v>12286</v>
      </c>
      <c r="M2383" t="s">
        <v>12287</v>
      </c>
      <c r="N2383" t="s">
        <v>11429</v>
      </c>
      <c r="O2383" t="s">
        <v>101</v>
      </c>
      <c r="P2383" t="s">
        <v>12288</v>
      </c>
      <c r="Q2383" t="s">
        <v>64</v>
      </c>
      <c r="R2383" t="s">
        <v>11626</v>
      </c>
      <c r="S2383">
        <v>0.5</v>
      </c>
      <c r="T2383">
        <v>3680</v>
      </c>
      <c r="U2383">
        <v>0</v>
      </c>
      <c r="V2383">
        <v>3680</v>
      </c>
    </row>
    <row r="2384" spans="1:22" x14ac:dyDescent="0.3">
      <c r="A2384">
        <v>186607</v>
      </c>
      <c r="B2384">
        <v>137122313</v>
      </c>
      <c r="C2384" t="s">
        <v>12289</v>
      </c>
      <c r="D2384" t="s">
        <v>12290</v>
      </c>
      <c r="E2384" t="s">
        <v>11426</v>
      </c>
      <c r="F2384" t="s">
        <v>844</v>
      </c>
      <c r="G2384" t="s">
        <v>164</v>
      </c>
      <c r="H2384" t="s">
        <v>165</v>
      </c>
      <c r="I2384" t="s">
        <v>34</v>
      </c>
      <c r="J2384" t="s">
        <v>166</v>
      </c>
      <c r="K2384" t="s">
        <v>41</v>
      </c>
      <c r="L2384" t="s">
        <v>5166</v>
      </c>
      <c r="M2384" t="s">
        <v>12291</v>
      </c>
      <c r="N2384" t="s">
        <v>11429</v>
      </c>
      <c r="O2384" t="s">
        <v>101</v>
      </c>
      <c r="P2384" t="s">
        <v>12292</v>
      </c>
      <c r="Q2384" t="s">
        <v>97</v>
      </c>
      <c r="R2384" t="s">
        <v>458</v>
      </c>
      <c r="S2384">
        <v>0.5</v>
      </c>
      <c r="T2384">
        <v>3299</v>
      </c>
      <c r="U2384">
        <v>0</v>
      </c>
      <c r="V2384">
        <v>3299</v>
      </c>
    </row>
    <row r="2385" spans="1:22" x14ac:dyDescent="0.3">
      <c r="A2385">
        <v>186607</v>
      </c>
      <c r="B2385">
        <v>136997918</v>
      </c>
      <c r="C2385" t="s">
        <v>12293</v>
      </c>
      <c r="D2385" t="s">
        <v>12294</v>
      </c>
      <c r="E2385" t="s">
        <v>11426</v>
      </c>
      <c r="F2385" t="s">
        <v>844</v>
      </c>
      <c r="G2385" t="s">
        <v>164</v>
      </c>
      <c r="H2385" t="s">
        <v>165</v>
      </c>
      <c r="I2385" t="s">
        <v>34</v>
      </c>
      <c r="J2385" t="s">
        <v>166</v>
      </c>
      <c r="K2385" t="s">
        <v>41</v>
      </c>
      <c r="L2385" t="s">
        <v>12295</v>
      </c>
      <c r="M2385" t="s">
        <v>12296</v>
      </c>
      <c r="N2385" t="s">
        <v>11429</v>
      </c>
      <c r="O2385" t="s">
        <v>101</v>
      </c>
      <c r="P2385" t="s">
        <v>12297</v>
      </c>
      <c r="Q2385" t="s">
        <v>55</v>
      </c>
      <c r="R2385" t="s">
        <v>753</v>
      </c>
      <c r="S2385">
        <v>1</v>
      </c>
      <c r="T2385">
        <v>5198</v>
      </c>
      <c r="U2385">
        <v>0</v>
      </c>
      <c r="V2385">
        <v>5198</v>
      </c>
    </row>
    <row r="2386" spans="1:22" x14ac:dyDescent="0.3">
      <c r="A2386">
        <v>186607</v>
      </c>
      <c r="B2386">
        <v>137206105</v>
      </c>
      <c r="C2386" t="s">
        <v>12298</v>
      </c>
      <c r="D2386" t="s">
        <v>12299</v>
      </c>
      <c r="E2386" t="s">
        <v>11426</v>
      </c>
      <c r="F2386" t="s">
        <v>844</v>
      </c>
      <c r="G2386" t="s">
        <v>164</v>
      </c>
      <c r="H2386" t="s">
        <v>165</v>
      </c>
      <c r="I2386" t="s">
        <v>34</v>
      </c>
      <c r="J2386" t="s">
        <v>166</v>
      </c>
      <c r="K2386" t="s">
        <v>41</v>
      </c>
      <c r="L2386" t="s">
        <v>12300</v>
      </c>
      <c r="M2386" t="s">
        <v>12301</v>
      </c>
      <c r="N2386" t="s">
        <v>11429</v>
      </c>
      <c r="O2386" t="s">
        <v>101</v>
      </c>
      <c r="P2386" t="s">
        <v>12302</v>
      </c>
      <c r="Q2386" t="s">
        <v>83</v>
      </c>
      <c r="R2386" t="s">
        <v>448</v>
      </c>
      <c r="S2386">
        <v>0.5</v>
      </c>
      <c r="T2386">
        <v>3299</v>
      </c>
      <c r="U2386">
        <v>0</v>
      </c>
      <c r="V2386">
        <v>3299</v>
      </c>
    </row>
    <row r="2387" spans="1:22" x14ac:dyDescent="0.3">
      <c r="A2387">
        <v>186607</v>
      </c>
      <c r="B2387">
        <v>137206069</v>
      </c>
      <c r="C2387" t="s">
        <v>12303</v>
      </c>
      <c r="D2387" t="s">
        <v>12304</v>
      </c>
      <c r="E2387" t="s">
        <v>11426</v>
      </c>
      <c r="F2387" t="s">
        <v>844</v>
      </c>
      <c r="G2387" t="s">
        <v>164</v>
      </c>
      <c r="H2387" t="s">
        <v>165</v>
      </c>
      <c r="I2387" t="s">
        <v>34</v>
      </c>
      <c r="J2387" t="s">
        <v>166</v>
      </c>
      <c r="K2387" t="s">
        <v>41</v>
      </c>
      <c r="L2387" t="s">
        <v>12305</v>
      </c>
      <c r="M2387" t="s">
        <v>12306</v>
      </c>
      <c r="N2387" t="s">
        <v>11429</v>
      </c>
      <c r="O2387" t="s">
        <v>101</v>
      </c>
      <c r="P2387" t="s">
        <v>12307</v>
      </c>
      <c r="Q2387" t="s">
        <v>94</v>
      </c>
      <c r="R2387" t="s">
        <v>448</v>
      </c>
      <c r="S2387">
        <v>0.5</v>
      </c>
      <c r="T2387">
        <v>3299</v>
      </c>
      <c r="U2387">
        <v>0</v>
      </c>
      <c r="V2387">
        <v>3299</v>
      </c>
    </row>
    <row r="2388" spans="1:22" x14ac:dyDescent="0.3">
      <c r="A2388">
        <v>186607</v>
      </c>
      <c r="B2388">
        <v>137206146</v>
      </c>
      <c r="C2388" t="s">
        <v>12308</v>
      </c>
      <c r="D2388" t="s">
        <v>12309</v>
      </c>
      <c r="E2388" t="s">
        <v>11426</v>
      </c>
      <c r="F2388" t="s">
        <v>844</v>
      </c>
      <c r="G2388" t="s">
        <v>164</v>
      </c>
      <c r="H2388" t="s">
        <v>165</v>
      </c>
      <c r="I2388" t="s">
        <v>34</v>
      </c>
      <c r="J2388" t="s">
        <v>166</v>
      </c>
      <c r="K2388" t="s">
        <v>41</v>
      </c>
      <c r="L2388" t="s">
        <v>12310</v>
      </c>
      <c r="M2388" t="s">
        <v>12311</v>
      </c>
      <c r="N2388" t="s">
        <v>11429</v>
      </c>
      <c r="O2388" t="s">
        <v>101</v>
      </c>
      <c r="P2388" t="s">
        <v>12312</v>
      </c>
      <c r="Q2388" t="s">
        <v>200</v>
      </c>
      <c r="R2388" t="s">
        <v>448</v>
      </c>
      <c r="S2388">
        <v>0.5</v>
      </c>
      <c r="T2388">
        <v>3680</v>
      </c>
      <c r="U2388">
        <v>0</v>
      </c>
      <c r="V2388">
        <v>3680</v>
      </c>
    </row>
    <row r="2389" spans="1:22" x14ac:dyDescent="0.3">
      <c r="A2389">
        <v>186607</v>
      </c>
      <c r="B2389">
        <v>136939699</v>
      </c>
      <c r="C2389" t="s">
        <v>12313</v>
      </c>
      <c r="D2389" t="s">
        <v>12314</v>
      </c>
      <c r="E2389" t="s">
        <v>11426</v>
      </c>
      <c r="F2389" t="s">
        <v>844</v>
      </c>
      <c r="G2389" t="s">
        <v>164</v>
      </c>
      <c r="H2389" t="s">
        <v>165</v>
      </c>
      <c r="I2389" t="s">
        <v>34</v>
      </c>
      <c r="J2389" t="s">
        <v>166</v>
      </c>
      <c r="K2389" t="s">
        <v>41</v>
      </c>
      <c r="L2389" t="s">
        <v>12315</v>
      </c>
      <c r="M2389" t="s">
        <v>12316</v>
      </c>
      <c r="N2389" t="s">
        <v>11429</v>
      </c>
      <c r="O2389" t="s">
        <v>101</v>
      </c>
      <c r="P2389" t="s">
        <v>12317</v>
      </c>
      <c r="Q2389" t="s">
        <v>121</v>
      </c>
      <c r="R2389" t="s">
        <v>568</v>
      </c>
      <c r="S2389">
        <v>2.25</v>
      </c>
      <c r="T2389">
        <v>4173</v>
      </c>
      <c r="U2389">
        <v>0</v>
      </c>
      <c r="V2389">
        <v>4173</v>
      </c>
    </row>
    <row r="2390" spans="1:22" x14ac:dyDescent="0.3">
      <c r="A2390">
        <v>186607</v>
      </c>
      <c r="B2390">
        <v>136272315</v>
      </c>
      <c r="C2390" t="s">
        <v>12318</v>
      </c>
      <c r="D2390" t="s">
        <v>12319</v>
      </c>
      <c r="E2390" t="s">
        <v>11426</v>
      </c>
      <c r="F2390" t="s">
        <v>844</v>
      </c>
      <c r="G2390" t="s">
        <v>164</v>
      </c>
      <c r="H2390" t="s">
        <v>165</v>
      </c>
      <c r="I2390" t="s">
        <v>34</v>
      </c>
      <c r="J2390" t="s">
        <v>166</v>
      </c>
      <c r="K2390" t="s">
        <v>41</v>
      </c>
      <c r="L2390" t="s">
        <v>12320</v>
      </c>
      <c r="M2390" t="s">
        <v>12321</v>
      </c>
      <c r="N2390" t="s">
        <v>11429</v>
      </c>
      <c r="O2390" t="s">
        <v>101</v>
      </c>
      <c r="P2390" t="s">
        <v>12322</v>
      </c>
      <c r="Q2390" t="s">
        <v>52</v>
      </c>
      <c r="R2390" t="s">
        <v>12323</v>
      </c>
      <c r="S2390">
        <v>0.5</v>
      </c>
      <c r="T2390">
        <v>5367</v>
      </c>
      <c r="U2390">
        <v>0</v>
      </c>
      <c r="V2390">
        <v>5367</v>
      </c>
    </row>
    <row r="2391" spans="1:22" x14ac:dyDescent="0.3">
      <c r="A2391">
        <v>186607</v>
      </c>
      <c r="B2391">
        <v>137206226</v>
      </c>
      <c r="C2391" t="s">
        <v>12324</v>
      </c>
      <c r="D2391" t="s">
        <v>12325</v>
      </c>
      <c r="E2391" t="s">
        <v>11426</v>
      </c>
      <c r="F2391" t="s">
        <v>844</v>
      </c>
      <c r="G2391" t="s">
        <v>164</v>
      </c>
      <c r="H2391" t="s">
        <v>165</v>
      </c>
      <c r="I2391" t="s">
        <v>34</v>
      </c>
      <c r="J2391" t="s">
        <v>166</v>
      </c>
      <c r="K2391" t="s">
        <v>41</v>
      </c>
      <c r="L2391" t="s">
        <v>12326</v>
      </c>
      <c r="M2391" t="s">
        <v>12327</v>
      </c>
      <c r="N2391" t="s">
        <v>11429</v>
      </c>
      <c r="O2391" t="s">
        <v>101</v>
      </c>
      <c r="P2391" t="s">
        <v>12328</v>
      </c>
      <c r="Q2391" t="s">
        <v>85</v>
      </c>
      <c r="R2391" t="s">
        <v>448</v>
      </c>
      <c r="S2391">
        <v>0.5</v>
      </c>
      <c r="T2391">
        <v>3299</v>
      </c>
      <c r="U2391">
        <v>0</v>
      </c>
      <c r="V2391">
        <v>3299</v>
      </c>
    </row>
    <row r="2392" spans="1:22" x14ac:dyDescent="0.3">
      <c r="A2392">
        <v>186607</v>
      </c>
      <c r="B2392">
        <v>137169205</v>
      </c>
      <c r="C2392" t="s">
        <v>12329</v>
      </c>
      <c r="D2392" t="s">
        <v>12330</v>
      </c>
      <c r="E2392" t="s">
        <v>11426</v>
      </c>
      <c r="F2392" t="s">
        <v>844</v>
      </c>
      <c r="G2392" t="s">
        <v>164</v>
      </c>
      <c r="H2392" t="s">
        <v>165</v>
      </c>
      <c r="I2392" t="s">
        <v>34</v>
      </c>
      <c r="J2392" t="s">
        <v>166</v>
      </c>
      <c r="K2392" t="s">
        <v>41</v>
      </c>
      <c r="L2392" t="s">
        <v>12331</v>
      </c>
      <c r="M2392" t="s">
        <v>12332</v>
      </c>
      <c r="N2392" t="s">
        <v>11429</v>
      </c>
      <c r="O2392" t="s">
        <v>101</v>
      </c>
      <c r="P2392" t="s">
        <v>12333</v>
      </c>
      <c r="Q2392" t="s">
        <v>302</v>
      </c>
      <c r="R2392" t="s">
        <v>11626</v>
      </c>
      <c r="S2392">
        <v>0.5</v>
      </c>
      <c r="T2392">
        <v>3680</v>
      </c>
      <c r="U2392">
        <v>0</v>
      </c>
      <c r="V2392">
        <v>3680</v>
      </c>
    </row>
    <row r="2393" spans="1:22" x14ac:dyDescent="0.3">
      <c r="A2393">
        <v>186607</v>
      </c>
      <c r="B2393">
        <v>136997904</v>
      </c>
      <c r="C2393" t="s">
        <v>12334</v>
      </c>
      <c r="D2393" t="s">
        <v>12335</v>
      </c>
      <c r="E2393" t="s">
        <v>11426</v>
      </c>
      <c r="F2393" t="s">
        <v>844</v>
      </c>
      <c r="G2393" t="s">
        <v>164</v>
      </c>
      <c r="H2393" t="s">
        <v>165</v>
      </c>
      <c r="I2393" t="s">
        <v>34</v>
      </c>
      <c r="J2393" t="s">
        <v>166</v>
      </c>
      <c r="K2393" t="s">
        <v>41</v>
      </c>
      <c r="L2393" t="s">
        <v>12336</v>
      </c>
      <c r="M2393" t="s">
        <v>12337</v>
      </c>
      <c r="N2393" t="s">
        <v>11429</v>
      </c>
      <c r="O2393" t="s">
        <v>101</v>
      </c>
      <c r="P2393" t="s">
        <v>12338</v>
      </c>
      <c r="Q2393" t="s">
        <v>55</v>
      </c>
      <c r="R2393" t="s">
        <v>753</v>
      </c>
      <c r="S2393">
        <v>0.5</v>
      </c>
      <c r="T2393">
        <v>4067</v>
      </c>
      <c r="U2393">
        <v>0</v>
      </c>
      <c r="V2393">
        <v>4067</v>
      </c>
    </row>
    <row r="2394" spans="1:22" x14ac:dyDescent="0.3">
      <c r="A2394">
        <v>186607</v>
      </c>
      <c r="B2394">
        <v>136939681</v>
      </c>
      <c r="C2394" t="s">
        <v>12339</v>
      </c>
      <c r="D2394" t="s">
        <v>12340</v>
      </c>
      <c r="E2394" t="s">
        <v>11426</v>
      </c>
      <c r="F2394" t="s">
        <v>844</v>
      </c>
      <c r="G2394" t="s">
        <v>164</v>
      </c>
      <c r="H2394" t="s">
        <v>165</v>
      </c>
      <c r="I2394" t="s">
        <v>34</v>
      </c>
      <c r="J2394" t="s">
        <v>166</v>
      </c>
      <c r="K2394" t="s">
        <v>41</v>
      </c>
      <c r="L2394" t="s">
        <v>12341</v>
      </c>
      <c r="M2394" t="s">
        <v>12342</v>
      </c>
      <c r="N2394" t="s">
        <v>11429</v>
      </c>
      <c r="O2394" t="s">
        <v>101</v>
      </c>
      <c r="P2394" t="s">
        <v>12343</v>
      </c>
      <c r="Q2394" t="s">
        <v>89</v>
      </c>
      <c r="R2394" t="s">
        <v>568</v>
      </c>
      <c r="S2394">
        <v>4.42</v>
      </c>
      <c r="T2394">
        <v>3797</v>
      </c>
      <c r="U2394">
        <v>0</v>
      </c>
      <c r="V2394">
        <v>3797</v>
      </c>
    </row>
    <row r="2395" spans="1:22" x14ac:dyDescent="0.3">
      <c r="A2395">
        <v>186607</v>
      </c>
      <c r="B2395">
        <v>136997999</v>
      </c>
      <c r="C2395" t="s">
        <v>12344</v>
      </c>
      <c r="D2395" t="s">
        <v>12345</v>
      </c>
      <c r="E2395" t="s">
        <v>11426</v>
      </c>
      <c r="F2395" t="s">
        <v>844</v>
      </c>
      <c r="G2395" t="s">
        <v>164</v>
      </c>
      <c r="H2395" t="s">
        <v>165</v>
      </c>
      <c r="I2395" t="s">
        <v>34</v>
      </c>
      <c r="J2395" t="s">
        <v>166</v>
      </c>
      <c r="K2395" t="s">
        <v>41</v>
      </c>
      <c r="L2395" t="s">
        <v>12346</v>
      </c>
      <c r="M2395" t="s">
        <v>12347</v>
      </c>
      <c r="N2395" t="s">
        <v>11429</v>
      </c>
      <c r="O2395" t="s">
        <v>101</v>
      </c>
      <c r="P2395" t="s">
        <v>12348</v>
      </c>
      <c r="Q2395" t="s">
        <v>77</v>
      </c>
      <c r="R2395" t="s">
        <v>462</v>
      </c>
      <c r="S2395">
        <v>0.5</v>
      </c>
      <c r="T2395">
        <v>7359</v>
      </c>
      <c r="U2395">
        <v>0</v>
      </c>
      <c r="V2395">
        <v>7359</v>
      </c>
    </row>
    <row r="2396" spans="1:22" x14ac:dyDescent="0.3">
      <c r="A2396">
        <v>186607</v>
      </c>
      <c r="B2396">
        <v>136921102</v>
      </c>
      <c r="C2396" t="s">
        <v>12349</v>
      </c>
      <c r="D2396" t="s">
        <v>12350</v>
      </c>
      <c r="E2396" t="s">
        <v>11426</v>
      </c>
      <c r="F2396" t="s">
        <v>844</v>
      </c>
      <c r="G2396" t="s">
        <v>164</v>
      </c>
      <c r="H2396" t="s">
        <v>165</v>
      </c>
      <c r="I2396" t="s">
        <v>34</v>
      </c>
      <c r="J2396" t="s">
        <v>166</v>
      </c>
      <c r="K2396" t="s">
        <v>41</v>
      </c>
      <c r="L2396" t="s">
        <v>12351</v>
      </c>
      <c r="M2396" t="s">
        <v>12352</v>
      </c>
      <c r="N2396" t="s">
        <v>11429</v>
      </c>
      <c r="O2396" t="s">
        <v>101</v>
      </c>
      <c r="P2396" t="s">
        <v>12353</v>
      </c>
      <c r="Q2396" t="s">
        <v>94</v>
      </c>
      <c r="R2396" t="s">
        <v>12110</v>
      </c>
      <c r="S2396">
        <v>2.2200000000000002</v>
      </c>
      <c r="T2396">
        <v>3366</v>
      </c>
      <c r="U2396">
        <v>0</v>
      </c>
      <c r="V2396">
        <v>3366</v>
      </c>
    </row>
    <row r="2397" spans="1:22" x14ac:dyDescent="0.3">
      <c r="A2397">
        <v>186607</v>
      </c>
      <c r="B2397">
        <v>137084851</v>
      </c>
      <c r="C2397" t="s">
        <v>12354</v>
      </c>
      <c r="D2397" t="s">
        <v>12355</v>
      </c>
      <c r="E2397" t="s">
        <v>11426</v>
      </c>
      <c r="F2397" t="s">
        <v>844</v>
      </c>
      <c r="G2397" t="s">
        <v>164</v>
      </c>
      <c r="H2397" t="s">
        <v>165</v>
      </c>
      <c r="I2397" t="s">
        <v>34</v>
      </c>
      <c r="J2397" t="s">
        <v>166</v>
      </c>
      <c r="K2397" t="s">
        <v>41</v>
      </c>
      <c r="L2397" t="s">
        <v>12356</v>
      </c>
      <c r="M2397" t="s">
        <v>12357</v>
      </c>
      <c r="N2397" t="s">
        <v>11429</v>
      </c>
      <c r="O2397" t="s">
        <v>101</v>
      </c>
      <c r="P2397" t="s">
        <v>12358</v>
      </c>
      <c r="Q2397" t="s">
        <v>84</v>
      </c>
      <c r="R2397" t="s">
        <v>11890</v>
      </c>
      <c r="S2397">
        <v>2.14</v>
      </c>
      <c r="T2397">
        <v>3366</v>
      </c>
      <c r="U2397">
        <v>0</v>
      </c>
      <c r="V2397">
        <v>3366</v>
      </c>
    </row>
    <row r="2398" spans="1:22" x14ac:dyDescent="0.3">
      <c r="A2398">
        <v>186607</v>
      </c>
      <c r="B2398">
        <v>137084775</v>
      </c>
      <c r="C2398" t="s">
        <v>12359</v>
      </c>
      <c r="D2398" t="s">
        <v>12360</v>
      </c>
      <c r="E2398" t="s">
        <v>11426</v>
      </c>
      <c r="F2398" t="s">
        <v>844</v>
      </c>
      <c r="G2398" t="s">
        <v>164</v>
      </c>
      <c r="H2398" t="s">
        <v>165</v>
      </c>
      <c r="I2398" t="s">
        <v>34</v>
      </c>
      <c r="J2398" t="s">
        <v>166</v>
      </c>
      <c r="K2398" t="s">
        <v>41</v>
      </c>
      <c r="L2398" t="s">
        <v>12361</v>
      </c>
      <c r="M2398" t="s">
        <v>12362</v>
      </c>
      <c r="N2398" t="s">
        <v>11429</v>
      </c>
      <c r="O2398" t="s">
        <v>101</v>
      </c>
      <c r="P2398" t="s">
        <v>12363</v>
      </c>
      <c r="Q2398" t="s">
        <v>190</v>
      </c>
      <c r="R2398" t="s">
        <v>11890</v>
      </c>
      <c r="S2398">
        <v>4.6500000000000004</v>
      </c>
      <c r="T2398">
        <v>3797</v>
      </c>
      <c r="U2398">
        <v>0</v>
      </c>
      <c r="V2398">
        <v>3797</v>
      </c>
    </row>
    <row r="2399" spans="1:22" x14ac:dyDescent="0.3">
      <c r="A2399">
        <v>186607</v>
      </c>
      <c r="B2399">
        <v>136997948</v>
      </c>
      <c r="C2399" t="s">
        <v>12364</v>
      </c>
      <c r="D2399" t="s">
        <v>12365</v>
      </c>
      <c r="E2399" t="s">
        <v>11426</v>
      </c>
      <c r="F2399" t="s">
        <v>844</v>
      </c>
      <c r="G2399" t="s">
        <v>164</v>
      </c>
      <c r="H2399" t="s">
        <v>165</v>
      </c>
      <c r="I2399" t="s">
        <v>34</v>
      </c>
      <c r="J2399" t="s">
        <v>166</v>
      </c>
      <c r="K2399" t="s">
        <v>41</v>
      </c>
      <c r="L2399" t="s">
        <v>12366</v>
      </c>
      <c r="M2399" t="s">
        <v>12367</v>
      </c>
      <c r="N2399" t="s">
        <v>11429</v>
      </c>
      <c r="O2399" t="s">
        <v>101</v>
      </c>
      <c r="P2399" t="s">
        <v>12368</v>
      </c>
      <c r="Q2399" t="s">
        <v>60</v>
      </c>
      <c r="R2399" t="s">
        <v>462</v>
      </c>
      <c r="S2399">
        <v>3</v>
      </c>
      <c r="T2399">
        <v>4346</v>
      </c>
      <c r="U2399">
        <v>0</v>
      </c>
      <c r="V2399">
        <v>4346</v>
      </c>
    </row>
    <row r="2400" spans="1:22" x14ac:dyDescent="0.3">
      <c r="A2400">
        <v>186607</v>
      </c>
      <c r="B2400">
        <v>136997944</v>
      </c>
      <c r="C2400" t="s">
        <v>12369</v>
      </c>
      <c r="D2400" t="s">
        <v>12370</v>
      </c>
      <c r="E2400" t="s">
        <v>11426</v>
      </c>
      <c r="F2400" t="s">
        <v>844</v>
      </c>
      <c r="G2400" t="s">
        <v>164</v>
      </c>
      <c r="H2400" t="s">
        <v>165</v>
      </c>
      <c r="I2400" t="s">
        <v>34</v>
      </c>
      <c r="J2400" t="s">
        <v>166</v>
      </c>
      <c r="K2400" t="s">
        <v>41</v>
      </c>
      <c r="L2400" t="s">
        <v>12371</v>
      </c>
      <c r="M2400" t="s">
        <v>12372</v>
      </c>
      <c r="N2400" t="s">
        <v>11429</v>
      </c>
      <c r="O2400" t="s">
        <v>101</v>
      </c>
      <c r="P2400" t="s">
        <v>12373</v>
      </c>
      <c r="Q2400" t="s">
        <v>92</v>
      </c>
      <c r="R2400" t="s">
        <v>462</v>
      </c>
      <c r="S2400">
        <v>4.53</v>
      </c>
      <c r="T2400">
        <v>3797</v>
      </c>
      <c r="U2400">
        <v>0</v>
      </c>
      <c r="V2400">
        <v>3797</v>
      </c>
    </row>
    <row r="2401" spans="1:22" x14ac:dyDescent="0.3">
      <c r="A2401">
        <v>186607</v>
      </c>
      <c r="B2401">
        <v>136939678</v>
      </c>
      <c r="C2401" t="s">
        <v>12374</v>
      </c>
      <c r="D2401" t="s">
        <v>12375</v>
      </c>
      <c r="E2401" t="s">
        <v>11426</v>
      </c>
      <c r="F2401" t="s">
        <v>844</v>
      </c>
      <c r="G2401" t="s">
        <v>164</v>
      </c>
      <c r="H2401" t="s">
        <v>165</v>
      </c>
      <c r="I2401" t="s">
        <v>34</v>
      </c>
      <c r="J2401" t="s">
        <v>166</v>
      </c>
      <c r="K2401" t="s">
        <v>41</v>
      </c>
      <c r="L2401" t="s">
        <v>12376</v>
      </c>
      <c r="M2401" t="s">
        <v>12377</v>
      </c>
      <c r="N2401" t="s">
        <v>11429</v>
      </c>
      <c r="O2401" t="s">
        <v>101</v>
      </c>
      <c r="P2401" t="s">
        <v>12378</v>
      </c>
      <c r="Q2401" t="s">
        <v>84</v>
      </c>
      <c r="R2401" t="s">
        <v>568</v>
      </c>
      <c r="S2401">
        <v>2.17</v>
      </c>
      <c r="T2401">
        <v>3366</v>
      </c>
      <c r="U2401">
        <v>0</v>
      </c>
      <c r="V2401">
        <v>3366</v>
      </c>
    </row>
    <row r="2402" spans="1:22" x14ac:dyDescent="0.3">
      <c r="A2402">
        <v>186607</v>
      </c>
      <c r="B2402">
        <v>136889196</v>
      </c>
      <c r="C2402" t="s">
        <v>12379</v>
      </c>
      <c r="D2402" t="s">
        <v>12380</v>
      </c>
      <c r="E2402" t="s">
        <v>11426</v>
      </c>
      <c r="F2402" t="s">
        <v>844</v>
      </c>
      <c r="G2402" t="s">
        <v>164</v>
      </c>
      <c r="H2402" t="s">
        <v>165</v>
      </c>
      <c r="I2402" t="s">
        <v>34</v>
      </c>
      <c r="J2402" t="s">
        <v>166</v>
      </c>
      <c r="K2402" t="s">
        <v>41</v>
      </c>
      <c r="L2402" t="s">
        <v>12381</v>
      </c>
      <c r="M2402" t="s">
        <v>12382</v>
      </c>
      <c r="N2402" t="s">
        <v>11429</v>
      </c>
      <c r="O2402" t="s">
        <v>101</v>
      </c>
      <c r="P2402" t="s">
        <v>12383</v>
      </c>
      <c r="Q2402" t="s">
        <v>49</v>
      </c>
      <c r="R2402" t="s">
        <v>124</v>
      </c>
      <c r="S2402">
        <v>2.4700000000000002</v>
      </c>
      <c r="T2402">
        <v>3784</v>
      </c>
      <c r="U2402">
        <v>0</v>
      </c>
      <c r="V2402">
        <v>3784</v>
      </c>
    </row>
    <row r="2403" spans="1:22" x14ac:dyDescent="0.3">
      <c r="A2403">
        <v>186607</v>
      </c>
      <c r="B2403">
        <v>136997910</v>
      </c>
      <c r="C2403" t="s">
        <v>12384</v>
      </c>
      <c r="D2403" t="s">
        <v>12385</v>
      </c>
      <c r="E2403" t="s">
        <v>11426</v>
      </c>
      <c r="F2403" t="s">
        <v>844</v>
      </c>
      <c r="G2403" t="s">
        <v>164</v>
      </c>
      <c r="H2403" t="s">
        <v>165</v>
      </c>
      <c r="I2403" t="s">
        <v>34</v>
      </c>
      <c r="J2403" t="s">
        <v>166</v>
      </c>
      <c r="K2403" t="s">
        <v>41</v>
      </c>
      <c r="L2403" t="s">
        <v>12386</v>
      </c>
      <c r="M2403" t="s">
        <v>12387</v>
      </c>
      <c r="N2403" t="s">
        <v>11429</v>
      </c>
      <c r="O2403" t="s">
        <v>101</v>
      </c>
      <c r="P2403" t="s">
        <v>12388</v>
      </c>
      <c r="Q2403" t="s">
        <v>54</v>
      </c>
      <c r="R2403" t="s">
        <v>753</v>
      </c>
      <c r="S2403">
        <v>0.5</v>
      </c>
      <c r="T2403">
        <v>4067</v>
      </c>
      <c r="U2403">
        <v>0</v>
      </c>
      <c r="V2403">
        <v>4067</v>
      </c>
    </row>
    <row r="2404" spans="1:22" x14ac:dyDescent="0.3">
      <c r="A2404">
        <v>186607</v>
      </c>
      <c r="B2404">
        <v>137122210</v>
      </c>
      <c r="C2404" t="s">
        <v>12389</v>
      </c>
      <c r="D2404" t="s">
        <v>12390</v>
      </c>
      <c r="E2404" t="s">
        <v>11426</v>
      </c>
      <c r="F2404" t="s">
        <v>844</v>
      </c>
      <c r="G2404" t="s">
        <v>164</v>
      </c>
      <c r="H2404" t="s">
        <v>165</v>
      </c>
      <c r="I2404" t="s">
        <v>34</v>
      </c>
      <c r="J2404" t="s">
        <v>166</v>
      </c>
      <c r="K2404" t="s">
        <v>41</v>
      </c>
      <c r="L2404" t="s">
        <v>12391</v>
      </c>
      <c r="M2404" t="s">
        <v>12392</v>
      </c>
      <c r="N2404" t="s">
        <v>11429</v>
      </c>
      <c r="O2404" t="s">
        <v>101</v>
      </c>
      <c r="P2404" t="s">
        <v>12393</v>
      </c>
      <c r="Q2404" t="s">
        <v>84</v>
      </c>
      <c r="R2404" t="s">
        <v>519</v>
      </c>
      <c r="S2404">
        <v>2.2599999999999998</v>
      </c>
      <c r="T2404">
        <v>3366</v>
      </c>
      <c r="U2404">
        <v>0</v>
      </c>
      <c r="V2404">
        <v>3366</v>
      </c>
    </row>
    <row r="2405" spans="1:22" x14ac:dyDescent="0.3">
      <c r="A2405">
        <v>186607</v>
      </c>
      <c r="B2405">
        <v>136889199</v>
      </c>
      <c r="C2405" t="s">
        <v>12394</v>
      </c>
      <c r="D2405" t="s">
        <v>12395</v>
      </c>
      <c r="E2405" t="s">
        <v>11426</v>
      </c>
      <c r="F2405" t="s">
        <v>844</v>
      </c>
      <c r="G2405" t="s">
        <v>164</v>
      </c>
      <c r="H2405" t="s">
        <v>165</v>
      </c>
      <c r="I2405" t="s">
        <v>34</v>
      </c>
      <c r="J2405" t="s">
        <v>166</v>
      </c>
      <c r="K2405" t="s">
        <v>41</v>
      </c>
      <c r="L2405" t="s">
        <v>12396</v>
      </c>
      <c r="M2405" t="s">
        <v>12397</v>
      </c>
      <c r="N2405" t="s">
        <v>11429</v>
      </c>
      <c r="O2405" t="s">
        <v>101</v>
      </c>
      <c r="P2405" t="s">
        <v>12398</v>
      </c>
      <c r="Q2405" t="s">
        <v>59</v>
      </c>
      <c r="R2405" t="s">
        <v>124</v>
      </c>
      <c r="S2405">
        <v>3.26</v>
      </c>
      <c r="T2405">
        <v>4852</v>
      </c>
      <c r="U2405">
        <v>0</v>
      </c>
      <c r="V2405">
        <v>4852</v>
      </c>
    </row>
    <row r="2406" spans="1:22" x14ac:dyDescent="0.3">
      <c r="A2406">
        <v>186607</v>
      </c>
      <c r="B2406">
        <v>137084825</v>
      </c>
      <c r="C2406" t="s">
        <v>12399</v>
      </c>
      <c r="D2406" t="s">
        <v>12400</v>
      </c>
      <c r="E2406" t="s">
        <v>11426</v>
      </c>
      <c r="F2406" t="s">
        <v>844</v>
      </c>
      <c r="G2406" t="s">
        <v>164</v>
      </c>
      <c r="H2406" t="s">
        <v>165</v>
      </c>
      <c r="I2406" t="s">
        <v>34</v>
      </c>
      <c r="J2406" t="s">
        <v>166</v>
      </c>
      <c r="K2406" t="s">
        <v>41</v>
      </c>
      <c r="L2406" t="s">
        <v>12401</v>
      </c>
      <c r="M2406" t="s">
        <v>12402</v>
      </c>
      <c r="N2406" t="s">
        <v>11429</v>
      </c>
      <c r="O2406" t="s">
        <v>101</v>
      </c>
      <c r="P2406" t="s">
        <v>12403</v>
      </c>
      <c r="Q2406" t="s">
        <v>206</v>
      </c>
      <c r="R2406" t="s">
        <v>11890</v>
      </c>
      <c r="S2406">
        <v>4.24</v>
      </c>
      <c r="T2406">
        <v>4456</v>
      </c>
      <c r="U2406">
        <v>0</v>
      </c>
      <c r="V2406">
        <v>4456</v>
      </c>
    </row>
    <row r="2407" spans="1:22" x14ac:dyDescent="0.3">
      <c r="A2407">
        <v>186607</v>
      </c>
      <c r="B2407">
        <v>137084786</v>
      </c>
      <c r="C2407" t="s">
        <v>12404</v>
      </c>
      <c r="D2407" t="s">
        <v>12405</v>
      </c>
      <c r="E2407" t="s">
        <v>11426</v>
      </c>
      <c r="F2407" t="s">
        <v>844</v>
      </c>
      <c r="G2407" t="s">
        <v>164</v>
      </c>
      <c r="H2407" t="s">
        <v>165</v>
      </c>
      <c r="I2407" t="s">
        <v>34</v>
      </c>
      <c r="J2407" t="s">
        <v>166</v>
      </c>
      <c r="K2407" t="s">
        <v>41</v>
      </c>
      <c r="L2407" t="s">
        <v>12406</v>
      </c>
      <c r="M2407" t="s">
        <v>12407</v>
      </c>
      <c r="N2407" t="s">
        <v>11429</v>
      </c>
      <c r="O2407" t="s">
        <v>101</v>
      </c>
      <c r="P2407" t="s">
        <v>12408</v>
      </c>
      <c r="Q2407" t="s">
        <v>72</v>
      </c>
      <c r="R2407" t="s">
        <v>11890</v>
      </c>
      <c r="S2407">
        <v>2.75</v>
      </c>
      <c r="T2407">
        <v>3784</v>
      </c>
      <c r="U2407">
        <v>0</v>
      </c>
      <c r="V2407">
        <v>3784</v>
      </c>
    </row>
    <row r="2408" spans="1:22" x14ac:dyDescent="0.3">
      <c r="A2408">
        <v>186607</v>
      </c>
      <c r="B2408">
        <v>136889157</v>
      </c>
      <c r="C2408" t="s">
        <v>12409</v>
      </c>
      <c r="D2408" t="s">
        <v>12410</v>
      </c>
      <c r="E2408" t="s">
        <v>11426</v>
      </c>
      <c r="F2408" t="s">
        <v>844</v>
      </c>
      <c r="G2408" t="s">
        <v>164</v>
      </c>
      <c r="H2408" t="s">
        <v>165</v>
      </c>
      <c r="I2408" t="s">
        <v>34</v>
      </c>
      <c r="J2408" t="s">
        <v>166</v>
      </c>
      <c r="K2408" t="s">
        <v>41</v>
      </c>
      <c r="L2408" t="s">
        <v>12411</v>
      </c>
      <c r="M2408" t="s">
        <v>12412</v>
      </c>
      <c r="N2408" t="s">
        <v>11429</v>
      </c>
      <c r="O2408" t="s">
        <v>101</v>
      </c>
      <c r="P2408" t="s">
        <v>12413</v>
      </c>
      <c r="Q2408" t="s">
        <v>97</v>
      </c>
      <c r="R2408" t="s">
        <v>124</v>
      </c>
      <c r="S2408">
        <v>3.46</v>
      </c>
      <c r="T2408">
        <v>3797</v>
      </c>
      <c r="U2408">
        <v>0</v>
      </c>
      <c r="V2408">
        <v>3797</v>
      </c>
    </row>
    <row r="2409" spans="1:22" x14ac:dyDescent="0.3">
      <c r="A2409">
        <v>186607</v>
      </c>
      <c r="B2409">
        <v>137084823</v>
      </c>
      <c r="C2409" t="s">
        <v>12414</v>
      </c>
      <c r="D2409" t="s">
        <v>12415</v>
      </c>
      <c r="E2409" t="s">
        <v>11426</v>
      </c>
      <c r="F2409" t="s">
        <v>844</v>
      </c>
      <c r="G2409" t="s">
        <v>164</v>
      </c>
      <c r="H2409" t="s">
        <v>165</v>
      </c>
      <c r="I2409" t="s">
        <v>34</v>
      </c>
      <c r="J2409" t="s">
        <v>166</v>
      </c>
      <c r="K2409" t="s">
        <v>41</v>
      </c>
      <c r="L2409" t="s">
        <v>12416</v>
      </c>
      <c r="M2409" t="s">
        <v>12417</v>
      </c>
      <c r="N2409" t="s">
        <v>11429</v>
      </c>
      <c r="O2409" t="s">
        <v>101</v>
      </c>
      <c r="P2409" t="s">
        <v>12418</v>
      </c>
      <c r="Q2409" t="s">
        <v>69</v>
      </c>
      <c r="R2409" t="s">
        <v>11890</v>
      </c>
      <c r="S2409">
        <v>2.87</v>
      </c>
      <c r="T2409">
        <v>3753</v>
      </c>
      <c r="U2409">
        <v>0</v>
      </c>
      <c r="V2409">
        <v>3753</v>
      </c>
    </row>
    <row r="2410" spans="1:22" x14ac:dyDescent="0.3">
      <c r="A2410">
        <v>186607</v>
      </c>
      <c r="B2410">
        <v>137084800</v>
      </c>
      <c r="C2410" t="s">
        <v>12419</v>
      </c>
      <c r="D2410" t="s">
        <v>12420</v>
      </c>
      <c r="E2410" t="s">
        <v>11426</v>
      </c>
      <c r="F2410" t="s">
        <v>844</v>
      </c>
      <c r="G2410" t="s">
        <v>164</v>
      </c>
      <c r="H2410" t="s">
        <v>165</v>
      </c>
      <c r="I2410" t="s">
        <v>34</v>
      </c>
      <c r="J2410" t="s">
        <v>166</v>
      </c>
      <c r="K2410" t="s">
        <v>41</v>
      </c>
      <c r="L2410" t="s">
        <v>12421</v>
      </c>
      <c r="M2410" t="s">
        <v>12422</v>
      </c>
      <c r="N2410" t="s">
        <v>11429</v>
      </c>
      <c r="O2410" t="s">
        <v>101</v>
      </c>
      <c r="P2410" t="s">
        <v>12423</v>
      </c>
      <c r="Q2410" t="s">
        <v>72</v>
      </c>
      <c r="R2410" t="s">
        <v>11890</v>
      </c>
      <c r="S2410">
        <v>2.2400000000000002</v>
      </c>
      <c r="T2410">
        <v>3784</v>
      </c>
      <c r="U2410">
        <v>0</v>
      </c>
      <c r="V2410">
        <v>3784</v>
      </c>
    </row>
    <row r="2411" spans="1:22" x14ac:dyDescent="0.3">
      <c r="A2411">
        <v>186607</v>
      </c>
      <c r="B2411">
        <v>136921138</v>
      </c>
      <c r="C2411" t="s">
        <v>12424</v>
      </c>
      <c r="D2411" t="s">
        <v>12425</v>
      </c>
      <c r="E2411" t="s">
        <v>11426</v>
      </c>
      <c r="F2411" t="s">
        <v>844</v>
      </c>
      <c r="G2411" t="s">
        <v>164</v>
      </c>
      <c r="H2411" t="s">
        <v>165</v>
      </c>
      <c r="I2411" t="s">
        <v>34</v>
      </c>
      <c r="J2411" t="s">
        <v>166</v>
      </c>
      <c r="K2411" t="s">
        <v>41</v>
      </c>
      <c r="L2411" t="s">
        <v>12426</v>
      </c>
      <c r="M2411" t="s">
        <v>12427</v>
      </c>
      <c r="N2411" t="s">
        <v>11429</v>
      </c>
      <c r="O2411" t="s">
        <v>101</v>
      </c>
      <c r="P2411" t="s">
        <v>12428</v>
      </c>
      <c r="Q2411" t="s">
        <v>69</v>
      </c>
      <c r="R2411" t="s">
        <v>12110</v>
      </c>
      <c r="S2411">
        <v>3.44</v>
      </c>
      <c r="T2411">
        <v>4456</v>
      </c>
      <c r="U2411">
        <v>0</v>
      </c>
      <c r="V2411">
        <v>4456</v>
      </c>
    </row>
    <row r="2412" spans="1:22" x14ac:dyDescent="0.3">
      <c r="A2412">
        <v>186607</v>
      </c>
      <c r="B2412">
        <v>136939667</v>
      </c>
      <c r="C2412" t="s">
        <v>12429</v>
      </c>
      <c r="D2412" t="s">
        <v>12430</v>
      </c>
      <c r="E2412" t="s">
        <v>11426</v>
      </c>
      <c r="F2412" t="s">
        <v>844</v>
      </c>
      <c r="G2412" t="s">
        <v>164</v>
      </c>
      <c r="H2412" t="s">
        <v>165</v>
      </c>
      <c r="I2412" t="s">
        <v>34</v>
      </c>
      <c r="J2412" t="s">
        <v>166</v>
      </c>
      <c r="K2412" t="s">
        <v>41</v>
      </c>
      <c r="L2412" t="s">
        <v>12431</v>
      </c>
      <c r="M2412" t="s">
        <v>12432</v>
      </c>
      <c r="N2412" t="s">
        <v>11429</v>
      </c>
      <c r="O2412" t="s">
        <v>101</v>
      </c>
      <c r="P2412" t="s">
        <v>12433</v>
      </c>
      <c r="Q2412" t="s">
        <v>74</v>
      </c>
      <c r="R2412" t="s">
        <v>568</v>
      </c>
      <c r="S2412">
        <v>3.57</v>
      </c>
      <c r="T2412">
        <v>4456</v>
      </c>
      <c r="U2412">
        <v>0</v>
      </c>
      <c r="V2412">
        <v>4456</v>
      </c>
    </row>
    <row r="2413" spans="1:22" x14ac:dyDescent="0.3">
      <c r="A2413">
        <v>186607</v>
      </c>
      <c r="B2413">
        <v>136997925</v>
      </c>
      <c r="C2413" t="s">
        <v>12434</v>
      </c>
      <c r="D2413" t="s">
        <v>12435</v>
      </c>
      <c r="E2413" t="s">
        <v>11426</v>
      </c>
      <c r="F2413" t="s">
        <v>844</v>
      </c>
      <c r="G2413" t="s">
        <v>164</v>
      </c>
      <c r="H2413" t="s">
        <v>165</v>
      </c>
      <c r="I2413" t="s">
        <v>34</v>
      </c>
      <c r="J2413" t="s">
        <v>166</v>
      </c>
      <c r="K2413" t="s">
        <v>41</v>
      </c>
      <c r="L2413" t="s">
        <v>12436</v>
      </c>
      <c r="M2413" t="s">
        <v>12437</v>
      </c>
      <c r="N2413" t="s">
        <v>11429</v>
      </c>
      <c r="O2413" t="s">
        <v>101</v>
      </c>
      <c r="P2413" t="s">
        <v>12438</v>
      </c>
      <c r="Q2413" t="s">
        <v>741</v>
      </c>
      <c r="R2413" t="s">
        <v>753</v>
      </c>
      <c r="S2413">
        <v>1</v>
      </c>
      <c r="T2413">
        <v>4067</v>
      </c>
      <c r="U2413">
        <v>0</v>
      </c>
      <c r="V2413">
        <v>4067</v>
      </c>
    </row>
    <row r="2414" spans="1:22" x14ac:dyDescent="0.3">
      <c r="A2414">
        <v>186607</v>
      </c>
      <c r="B2414">
        <v>136998000</v>
      </c>
      <c r="C2414" t="s">
        <v>12439</v>
      </c>
      <c r="D2414" t="s">
        <v>12440</v>
      </c>
      <c r="E2414" t="s">
        <v>11426</v>
      </c>
      <c r="F2414" t="s">
        <v>844</v>
      </c>
      <c r="G2414" t="s">
        <v>164</v>
      </c>
      <c r="H2414" t="s">
        <v>165</v>
      </c>
      <c r="I2414" t="s">
        <v>34</v>
      </c>
      <c r="J2414" t="s">
        <v>166</v>
      </c>
      <c r="K2414" t="s">
        <v>41</v>
      </c>
      <c r="L2414" t="s">
        <v>12441</v>
      </c>
      <c r="M2414" t="s">
        <v>12442</v>
      </c>
      <c r="N2414" t="s">
        <v>11429</v>
      </c>
      <c r="O2414" t="s">
        <v>101</v>
      </c>
      <c r="P2414" t="s">
        <v>12443</v>
      </c>
      <c r="Q2414" t="s">
        <v>84</v>
      </c>
      <c r="R2414" t="s">
        <v>462</v>
      </c>
      <c r="S2414">
        <v>3.71</v>
      </c>
      <c r="T2414">
        <v>3797</v>
      </c>
      <c r="U2414">
        <v>0</v>
      </c>
      <c r="V2414">
        <v>3797</v>
      </c>
    </row>
    <row r="2415" spans="1:22" x14ac:dyDescent="0.3">
      <c r="A2415">
        <v>186607</v>
      </c>
      <c r="B2415">
        <v>136921127</v>
      </c>
      <c r="C2415" t="s">
        <v>12444</v>
      </c>
      <c r="D2415" t="s">
        <v>12445</v>
      </c>
      <c r="E2415" t="s">
        <v>11426</v>
      </c>
      <c r="F2415" t="s">
        <v>844</v>
      </c>
      <c r="G2415" t="s">
        <v>164</v>
      </c>
      <c r="H2415" t="s">
        <v>165</v>
      </c>
      <c r="I2415" t="s">
        <v>34</v>
      </c>
      <c r="J2415" t="s">
        <v>166</v>
      </c>
      <c r="K2415" t="s">
        <v>41</v>
      </c>
      <c r="L2415" t="s">
        <v>12446</v>
      </c>
      <c r="M2415" t="s">
        <v>12447</v>
      </c>
      <c r="N2415" t="s">
        <v>11429</v>
      </c>
      <c r="O2415" t="s">
        <v>101</v>
      </c>
      <c r="P2415" t="s">
        <v>12448</v>
      </c>
      <c r="Q2415" t="s">
        <v>83</v>
      </c>
      <c r="R2415" t="s">
        <v>12110</v>
      </c>
      <c r="S2415">
        <v>4.9000000000000004</v>
      </c>
      <c r="T2415">
        <v>3797</v>
      </c>
      <c r="U2415">
        <v>0</v>
      </c>
      <c r="V2415">
        <v>3797</v>
      </c>
    </row>
    <row r="2416" spans="1:22" x14ac:dyDescent="0.3">
      <c r="A2416">
        <v>186607</v>
      </c>
      <c r="B2416">
        <v>136889171</v>
      </c>
      <c r="C2416" t="s">
        <v>12449</v>
      </c>
      <c r="D2416" t="s">
        <v>12450</v>
      </c>
      <c r="E2416" t="s">
        <v>11426</v>
      </c>
      <c r="F2416" t="s">
        <v>844</v>
      </c>
      <c r="G2416" t="s">
        <v>164</v>
      </c>
      <c r="H2416" t="s">
        <v>165</v>
      </c>
      <c r="I2416" t="s">
        <v>34</v>
      </c>
      <c r="J2416" t="s">
        <v>166</v>
      </c>
      <c r="K2416" t="s">
        <v>41</v>
      </c>
      <c r="L2416" t="s">
        <v>12451</v>
      </c>
      <c r="M2416" t="s">
        <v>12452</v>
      </c>
      <c r="N2416" t="s">
        <v>11429</v>
      </c>
      <c r="O2416" t="s">
        <v>101</v>
      </c>
      <c r="P2416" t="s">
        <v>12453</v>
      </c>
      <c r="Q2416" t="s">
        <v>70</v>
      </c>
      <c r="R2416" t="s">
        <v>124</v>
      </c>
      <c r="S2416">
        <v>2.06</v>
      </c>
      <c r="T2416">
        <v>3501</v>
      </c>
      <c r="U2416">
        <v>0</v>
      </c>
      <c r="V2416">
        <v>3501</v>
      </c>
    </row>
    <row r="2417" spans="1:22" x14ac:dyDescent="0.3">
      <c r="A2417">
        <v>186607</v>
      </c>
      <c r="B2417">
        <v>136997893</v>
      </c>
      <c r="C2417" t="s">
        <v>12454</v>
      </c>
      <c r="D2417" t="s">
        <v>12455</v>
      </c>
      <c r="E2417" t="s">
        <v>11426</v>
      </c>
      <c r="F2417" t="s">
        <v>844</v>
      </c>
      <c r="G2417" t="s">
        <v>164</v>
      </c>
      <c r="H2417" t="s">
        <v>165</v>
      </c>
      <c r="I2417" t="s">
        <v>34</v>
      </c>
      <c r="J2417" t="s">
        <v>166</v>
      </c>
      <c r="K2417" t="s">
        <v>41</v>
      </c>
      <c r="L2417" t="s">
        <v>12456</v>
      </c>
      <c r="M2417" t="s">
        <v>12457</v>
      </c>
      <c r="N2417" t="s">
        <v>11429</v>
      </c>
      <c r="O2417" t="s">
        <v>101</v>
      </c>
      <c r="P2417" t="s">
        <v>12458</v>
      </c>
      <c r="Q2417" t="s">
        <v>55</v>
      </c>
      <c r="R2417" t="s">
        <v>753</v>
      </c>
      <c r="S2417">
        <v>1</v>
      </c>
      <c r="T2417">
        <v>5198</v>
      </c>
      <c r="U2417">
        <v>0</v>
      </c>
      <c r="V2417">
        <v>5198</v>
      </c>
    </row>
    <row r="2418" spans="1:22" x14ac:dyDescent="0.3">
      <c r="A2418">
        <v>186607</v>
      </c>
      <c r="B2418">
        <v>136859969</v>
      </c>
      <c r="C2418" t="s">
        <v>12459</v>
      </c>
      <c r="D2418" t="s">
        <v>12460</v>
      </c>
      <c r="E2418" t="s">
        <v>11426</v>
      </c>
      <c r="F2418" t="s">
        <v>844</v>
      </c>
      <c r="G2418" t="s">
        <v>164</v>
      </c>
      <c r="H2418" t="s">
        <v>165</v>
      </c>
      <c r="I2418" t="s">
        <v>34</v>
      </c>
      <c r="J2418" t="s">
        <v>166</v>
      </c>
      <c r="K2418" t="s">
        <v>41</v>
      </c>
      <c r="L2418" t="s">
        <v>12461</v>
      </c>
      <c r="M2418" t="s">
        <v>12462</v>
      </c>
      <c r="N2418" t="s">
        <v>11429</v>
      </c>
      <c r="O2418" t="s">
        <v>101</v>
      </c>
      <c r="P2418" t="s">
        <v>12463</v>
      </c>
      <c r="Q2418" t="s">
        <v>65</v>
      </c>
      <c r="R2418" t="s">
        <v>650</v>
      </c>
      <c r="S2418">
        <v>0.5</v>
      </c>
      <c r="T2418">
        <v>3680</v>
      </c>
      <c r="U2418">
        <v>0</v>
      </c>
      <c r="V2418">
        <v>3680</v>
      </c>
    </row>
    <row r="2419" spans="1:22" x14ac:dyDescent="0.3">
      <c r="A2419">
        <v>186607</v>
      </c>
      <c r="B2419">
        <v>137033043</v>
      </c>
      <c r="C2419" t="s">
        <v>12464</v>
      </c>
      <c r="D2419" t="s">
        <v>12465</v>
      </c>
      <c r="E2419" t="s">
        <v>11426</v>
      </c>
      <c r="F2419" t="s">
        <v>844</v>
      </c>
      <c r="G2419" t="s">
        <v>164</v>
      </c>
      <c r="H2419" t="s">
        <v>165</v>
      </c>
      <c r="I2419" t="s">
        <v>34</v>
      </c>
      <c r="J2419" t="s">
        <v>166</v>
      </c>
      <c r="K2419" t="s">
        <v>41</v>
      </c>
      <c r="L2419" t="s">
        <v>12466</v>
      </c>
      <c r="M2419" t="s">
        <v>12467</v>
      </c>
      <c r="N2419" t="s">
        <v>11429</v>
      </c>
      <c r="O2419" t="s">
        <v>101</v>
      </c>
      <c r="P2419" t="s">
        <v>12468</v>
      </c>
      <c r="Q2419" t="s">
        <v>216</v>
      </c>
      <c r="R2419" t="s">
        <v>11745</v>
      </c>
      <c r="S2419">
        <v>5.0199999999999996</v>
      </c>
      <c r="T2419">
        <v>3797</v>
      </c>
      <c r="U2419">
        <v>0</v>
      </c>
      <c r="V2419">
        <v>3797</v>
      </c>
    </row>
    <row r="2420" spans="1:22" x14ac:dyDescent="0.3">
      <c r="A2420">
        <v>186607</v>
      </c>
      <c r="B2420">
        <v>137122241</v>
      </c>
      <c r="C2420" t="s">
        <v>12469</v>
      </c>
      <c r="D2420" t="s">
        <v>12470</v>
      </c>
      <c r="E2420" t="s">
        <v>11426</v>
      </c>
      <c r="F2420" t="s">
        <v>844</v>
      </c>
      <c r="G2420" t="s">
        <v>164</v>
      </c>
      <c r="H2420" t="s">
        <v>165</v>
      </c>
      <c r="I2420" t="s">
        <v>34</v>
      </c>
      <c r="J2420" t="s">
        <v>166</v>
      </c>
      <c r="K2420" t="s">
        <v>41</v>
      </c>
      <c r="L2420" t="s">
        <v>12471</v>
      </c>
      <c r="M2420" t="s">
        <v>12472</v>
      </c>
      <c r="N2420" t="s">
        <v>11429</v>
      </c>
      <c r="O2420" t="s">
        <v>101</v>
      </c>
      <c r="P2420" t="s">
        <v>12473</v>
      </c>
      <c r="Q2420" t="s">
        <v>69</v>
      </c>
      <c r="R2420" t="s">
        <v>458</v>
      </c>
      <c r="S2420">
        <v>2.42</v>
      </c>
      <c r="T2420">
        <v>3753</v>
      </c>
      <c r="U2420">
        <v>0</v>
      </c>
      <c r="V2420">
        <v>3753</v>
      </c>
    </row>
    <row r="2421" spans="1:22" x14ac:dyDescent="0.3">
      <c r="A2421">
        <v>186607</v>
      </c>
      <c r="B2421">
        <v>136921085</v>
      </c>
      <c r="C2421" t="s">
        <v>12474</v>
      </c>
      <c r="D2421" t="s">
        <v>12475</v>
      </c>
      <c r="E2421" t="s">
        <v>11426</v>
      </c>
      <c r="F2421" t="s">
        <v>844</v>
      </c>
      <c r="G2421" t="s">
        <v>164</v>
      </c>
      <c r="H2421" t="s">
        <v>165</v>
      </c>
      <c r="I2421" t="s">
        <v>34</v>
      </c>
      <c r="J2421" t="s">
        <v>166</v>
      </c>
      <c r="K2421" t="s">
        <v>41</v>
      </c>
      <c r="L2421" t="s">
        <v>12476</v>
      </c>
      <c r="M2421" t="s">
        <v>12477</v>
      </c>
      <c r="N2421" t="s">
        <v>11429</v>
      </c>
      <c r="O2421" t="s">
        <v>101</v>
      </c>
      <c r="P2421" t="s">
        <v>12478</v>
      </c>
      <c r="Q2421" t="s">
        <v>66</v>
      </c>
      <c r="R2421" t="s">
        <v>12110</v>
      </c>
      <c r="S2421">
        <v>0.5</v>
      </c>
      <c r="T2421">
        <v>3680</v>
      </c>
      <c r="U2421">
        <v>0</v>
      </c>
      <c r="V2421">
        <v>3680</v>
      </c>
    </row>
    <row r="2422" spans="1:22" x14ac:dyDescent="0.3">
      <c r="A2422">
        <v>186607</v>
      </c>
      <c r="B2422">
        <v>136921113</v>
      </c>
      <c r="C2422" t="s">
        <v>12479</v>
      </c>
      <c r="D2422" t="s">
        <v>12480</v>
      </c>
      <c r="E2422" t="s">
        <v>11426</v>
      </c>
      <c r="F2422" t="s">
        <v>844</v>
      </c>
      <c r="G2422" t="s">
        <v>164</v>
      </c>
      <c r="H2422" t="s">
        <v>165</v>
      </c>
      <c r="I2422" t="s">
        <v>34</v>
      </c>
      <c r="J2422" t="s">
        <v>166</v>
      </c>
      <c r="K2422" t="s">
        <v>41</v>
      </c>
      <c r="L2422" t="s">
        <v>12481</v>
      </c>
      <c r="M2422" t="s">
        <v>12482</v>
      </c>
      <c r="N2422" t="s">
        <v>11429</v>
      </c>
      <c r="O2422" t="s">
        <v>101</v>
      </c>
      <c r="P2422" t="s">
        <v>12483</v>
      </c>
      <c r="Q2422" t="s">
        <v>92</v>
      </c>
      <c r="R2422" t="s">
        <v>12110</v>
      </c>
      <c r="S2422">
        <v>2.0499999999999998</v>
      </c>
      <c r="T2422">
        <v>3366</v>
      </c>
      <c r="U2422">
        <v>0</v>
      </c>
      <c r="V2422">
        <v>3366</v>
      </c>
    </row>
    <row r="2423" spans="1:22" x14ac:dyDescent="0.3">
      <c r="A2423">
        <v>186607</v>
      </c>
      <c r="B2423">
        <v>136921131</v>
      </c>
      <c r="C2423" t="s">
        <v>12484</v>
      </c>
      <c r="D2423" t="s">
        <v>12485</v>
      </c>
      <c r="E2423" t="s">
        <v>11426</v>
      </c>
      <c r="F2423" t="s">
        <v>844</v>
      </c>
      <c r="G2423" t="s">
        <v>164</v>
      </c>
      <c r="H2423" t="s">
        <v>165</v>
      </c>
      <c r="I2423" t="s">
        <v>34</v>
      </c>
      <c r="J2423" t="s">
        <v>166</v>
      </c>
      <c r="K2423" t="s">
        <v>41</v>
      </c>
      <c r="L2423" t="s">
        <v>12486</v>
      </c>
      <c r="M2423" t="s">
        <v>12487</v>
      </c>
      <c r="N2423" t="s">
        <v>11429</v>
      </c>
      <c r="O2423" t="s">
        <v>101</v>
      </c>
      <c r="P2423" t="s">
        <v>12488</v>
      </c>
      <c r="Q2423" t="s">
        <v>71</v>
      </c>
      <c r="R2423" t="s">
        <v>12110</v>
      </c>
      <c r="S2423">
        <v>4.87</v>
      </c>
      <c r="T2423">
        <v>4322</v>
      </c>
      <c r="U2423">
        <v>0</v>
      </c>
      <c r="V2423">
        <v>4322</v>
      </c>
    </row>
    <row r="2424" spans="1:22" x14ac:dyDescent="0.3">
      <c r="A2424">
        <v>186607</v>
      </c>
      <c r="B2424">
        <v>137033018</v>
      </c>
      <c r="C2424" t="s">
        <v>12489</v>
      </c>
      <c r="D2424" t="s">
        <v>12490</v>
      </c>
      <c r="E2424" t="s">
        <v>11426</v>
      </c>
      <c r="F2424" t="s">
        <v>844</v>
      </c>
      <c r="G2424" t="s">
        <v>164</v>
      </c>
      <c r="H2424" t="s">
        <v>165</v>
      </c>
      <c r="I2424" t="s">
        <v>34</v>
      </c>
      <c r="J2424" t="s">
        <v>166</v>
      </c>
      <c r="K2424" t="s">
        <v>41</v>
      </c>
      <c r="L2424" t="s">
        <v>213</v>
      </c>
      <c r="M2424" t="s">
        <v>12491</v>
      </c>
      <c r="N2424" t="s">
        <v>11429</v>
      </c>
      <c r="O2424" t="s">
        <v>101</v>
      </c>
      <c r="P2424" t="s">
        <v>12492</v>
      </c>
      <c r="Q2424" t="s">
        <v>83</v>
      </c>
      <c r="R2424" t="s">
        <v>11745</v>
      </c>
      <c r="S2424">
        <v>0.5</v>
      </c>
      <c r="T2424">
        <v>3299</v>
      </c>
      <c r="U2424">
        <v>0</v>
      </c>
      <c r="V2424">
        <v>3299</v>
      </c>
    </row>
    <row r="2425" spans="1:22" x14ac:dyDescent="0.3">
      <c r="A2425">
        <v>186607</v>
      </c>
      <c r="B2425">
        <v>136921093</v>
      </c>
      <c r="C2425" t="s">
        <v>12493</v>
      </c>
      <c r="D2425" t="s">
        <v>12494</v>
      </c>
      <c r="E2425" t="s">
        <v>11426</v>
      </c>
      <c r="F2425" t="s">
        <v>844</v>
      </c>
      <c r="G2425" t="s">
        <v>164</v>
      </c>
      <c r="H2425" t="s">
        <v>165</v>
      </c>
      <c r="I2425" t="s">
        <v>34</v>
      </c>
      <c r="J2425" t="s">
        <v>166</v>
      </c>
      <c r="K2425" t="s">
        <v>41</v>
      </c>
      <c r="L2425" t="s">
        <v>12495</v>
      </c>
      <c r="M2425" t="s">
        <v>12496</v>
      </c>
      <c r="N2425" t="s">
        <v>11429</v>
      </c>
      <c r="O2425" t="s">
        <v>101</v>
      </c>
      <c r="P2425" t="s">
        <v>12497</v>
      </c>
      <c r="Q2425" t="s">
        <v>92</v>
      </c>
      <c r="R2425" t="s">
        <v>12110</v>
      </c>
      <c r="S2425">
        <v>2.15</v>
      </c>
      <c r="T2425">
        <v>3366</v>
      </c>
      <c r="U2425">
        <v>0</v>
      </c>
      <c r="V2425">
        <v>3366</v>
      </c>
    </row>
    <row r="2426" spans="1:22" x14ac:dyDescent="0.3">
      <c r="A2426">
        <v>186607</v>
      </c>
      <c r="B2426">
        <v>137033023</v>
      </c>
      <c r="C2426" t="s">
        <v>12498</v>
      </c>
      <c r="D2426" t="s">
        <v>12499</v>
      </c>
      <c r="E2426" t="s">
        <v>11426</v>
      </c>
      <c r="F2426" t="s">
        <v>844</v>
      </c>
      <c r="G2426" t="s">
        <v>164</v>
      </c>
      <c r="H2426" t="s">
        <v>165</v>
      </c>
      <c r="I2426" t="s">
        <v>34</v>
      </c>
      <c r="J2426" t="s">
        <v>166</v>
      </c>
      <c r="K2426" t="s">
        <v>41</v>
      </c>
      <c r="L2426" t="s">
        <v>12500</v>
      </c>
      <c r="M2426" t="s">
        <v>12501</v>
      </c>
      <c r="N2426" t="s">
        <v>11429</v>
      </c>
      <c r="O2426" t="s">
        <v>101</v>
      </c>
      <c r="P2426" t="s">
        <v>12502</v>
      </c>
      <c r="Q2426" t="s">
        <v>190</v>
      </c>
      <c r="R2426" t="s">
        <v>11745</v>
      </c>
      <c r="S2426">
        <v>4.54</v>
      </c>
      <c r="T2426">
        <v>3797</v>
      </c>
      <c r="U2426">
        <v>0</v>
      </c>
      <c r="V2426">
        <v>3797</v>
      </c>
    </row>
    <row r="2427" spans="1:22" x14ac:dyDescent="0.3">
      <c r="A2427">
        <v>186607</v>
      </c>
      <c r="B2427">
        <v>137033029</v>
      </c>
      <c r="C2427" t="s">
        <v>12503</v>
      </c>
      <c r="D2427" t="s">
        <v>12504</v>
      </c>
      <c r="E2427" t="s">
        <v>11426</v>
      </c>
      <c r="F2427" t="s">
        <v>844</v>
      </c>
      <c r="G2427" t="s">
        <v>164</v>
      </c>
      <c r="H2427" t="s">
        <v>165</v>
      </c>
      <c r="I2427" t="s">
        <v>34</v>
      </c>
      <c r="J2427" t="s">
        <v>166</v>
      </c>
      <c r="K2427" t="s">
        <v>41</v>
      </c>
      <c r="L2427" t="s">
        <v>12505</v>
      </c>
      <c r="M2427" t="s">
        <v>12506</v>
      </c>
      <c r="N2427" t="s">
        <v>11429</v>
      </c>
      <c r="O2427" t="s">
        <v>101</v>
      </c>
      <c r="P2427" t="s">
        <v>12507</v>
      </c>
      <c r="Q2427" t="s">
        <v>43</v>
      </c>
      <c r="R2427" t="s">
        <v>11745</v>
      </c>
      <c r="S2427">
        <v>4.71</v>
      </c>
      <c r="T2427">
        <v>4322</v>
      </c>
      <c r="U2427">
        <v>0</v>
      </c>
      <c r="V2427">
        <v>4322</v>
      </c>
    </row>
    <row r="2428" spans="1:22" x14ac:dyDescent="0.3">
      <c r="A2428">
        <v>186607</v>
      </c>
      <c r="B2428">
        <v>137084785</v>
      </c>
      <c r="C2428" t="s">
        <v>12508</v>
      </c>
      <c r="D2428" t="s">
        <v>12509</v>
      </c>
      <c r="E2428" t="s">
        <v>11426</v>
      </c>
      <c r="F2428" t="s">
        <v>844</v>
      </c>
      <c r="G2428" t="s">
        <v>164</v>
      </c>
      <c r="H2428" t="s">
        <v>165</v>
      </c>
      <c r="I2428" t="s">
        <v>34</v>
      </c>
      <c r="J2428" t="s">
        <v>166</v>
      </c>
      <c r="K2428" t="s">
        <v>41</v>
      </c>
      <c r="L2428" t="s">
        <v>12510</v>
      </c>
      <c r="M2428" t="s">
        <v>12511</v>
      </c>
      <c r="N2428" t="s">
        <v>11429</v>
      </c>
      <c r="O2428" t="s">
        <v>101</v>
      </c>
      <c r="P2428" t="s">
        <v>12512</v>
      </c>
      <c r="Q2428" t="s">
        <v>97</v>
      </c>
      <c r="R2428" t="s">
        <v>11890</v>
      </c>
      <c r="S2428">
        <v>2.13</v>
      </c>
      <c r="T2428">
        <v>3366</v>
      </c>
      <c r="U2428">
        <v>0</v>
      </c>
      <c r="V2428">
        <v>3366</v>
      </c>
    </row>
    <row r="2429" spans="1:22" x14ac:dyDescent="0.3">
      <c r="A2429">
        <v>186607</v>
      </c>
      <c r="B2429">
        <v>136997935</v>
      </c>
      <c r="C2429" t="s">
        <v>12513</v>
      </c>
      <c r="D2429" t="s">
        <v>12514</v>
      </c>
      <c r="E2429" t="s">
        <v>11426</v>
      </c>
      <c r="F2429" t="s">
        <v>844</v>
      </c>
      <c r="G2429" t="s">
        <v>164</v>
      </c>
      <c r="H2429" t="s">
        <v>165</v>
      </c>
      <c r="I2429" t="s">
        <v>34</v>
      </c>
      <c r="J2429" t="s">
        <v>166</v>
      </c>
      <c r="K2429" t="s">
        <v>41</v>
      </c>
      <c r="L2429" t="s">
        <v>12515</v>
      </c>
      <c r="M2429" t="s">
        <v>12516</v>
      </c>
      <c r="N2429" t="s">
        <v>11429</v>
      </c>
      <c r="O2429" t="s">
        <v>101</v>
      </c>
      <c r="P2429" t="s">
        <v>12517</v>
      </c>
      <c r="Q2429" t="s">
        <v>83</v>
      </c>
      <c r="R2429" t="s">
        <v>753</v>
      </c>
      <c r="S2429">
        <v>2.57</v>
      </c>
      <c r="T2429">
        <v>3366</v>
      </c>
      <c r="U2429">
        <v>0</v>
      </c>
      <c r="V2429">
        <v>3366</v>
      </c>
    </row>
    <row r="2430" spans="1:22" x14ac:dyDescent="0.3">
      <c r="A2430">
        <v>186607</v>
      </c>
      <c r="B2430">
        <v>137084836</v>
      </c>
      <c r="C2430" t="s">
        <v>12518</v>
      </c>
      <c r="D2430" t="s">
        <v>12519</v>
      </c>
      <c r="E2430" t="s">
        <v>11426</v>
      </c>
      <c r="F2430" t="s">
        <v>844</v>
      </c>
      <c r="G2430" t="s">
        <v>164</v>
      </c>
      <c r="H2430" t="s">
        <v>165</v>
      </c>
      <c r="I2430" t="s">
        <v>34</v>
      </c>
      <c r="J2430" t="s">
        <v>166</v>
      </c>
      <c r="K2430" t="s">
        <v>41</v>
      </c>
      <c r="L2430" t="s">
        <v>12520</v>
      </c>
      <c r="M2430" t="s">
        <v>12521</v>
      </c>
      <c r="N2430" t="s">
        <v>11429</v>
      </c>
      <c r="O2430" t="s">
        <v>101</v>
      </c>
      <c r="P2430" t="s">
        <v>12522</v>
      </c>
      <c r="Q2430" t="s">
        <v>90</v>
      </c>
      <c r="R2430" t="s">
        <v>11890</v>
      </c>
      <c r="S2430">
        <v>2.34</v>
      </c>
      <c r="T2430">
        <v>3870</v>
      </c>
      <c r="U2430">
        <v>0</v>
      </c>
      <c r="V2430">
        <v>3870</v>
      </c>
    </row>
    <row r="2431" spans="1:22" x14ac:dyDescent="0.3">
      <c r="A2431">
        <v>186607</v>
      </c>
      <c r="B2431">
        <v>137122202</v>
      </c>
      <c r="C2431" t="s">
        <v>12523</v>
      </c>
      <c r="D2431" t="s">
        <v>12524</v>
      </c>
      <c r="E2431" t="s">
        <v>11426</v>
      </c>
      <c r="F2431" t="s">
        <v>844</v>
      </c>
      <c r="G2431" t="s">
        <v>164</v>
      </c>
      <c r="H2431" t="s">
        <v>165</v>
      </c>
      <c r="I2431" t="s">
        <v>34</v>
      </c>
      <c r="J2431" t="s">
        <v>166</v>
      </c>
      <c r="K2431" t="s">
        <v>41</v>
      </c>
      <c r="L2431" t="s">
        <v>12525</v>
      </c>
      <c r="M2431" t="s">
        <v>12526</v>
      </c>
      <c r="N2431" t="s">
        <v>11429</v>
      </c>
      <c r="O2431" t="s">
        <v>101</v>
      </c>
      <c r="P2431" t="s">
        <v>12527</v>
      </c>
      <c r="Q2431" t="s">
        <v>49</v>
      </c>
      <c r="R2431" t="s">
        <v>519</v>
      </c>
      <c r="S2431">
        <v>4.5599999999999996</v>
      </c>
      <c r="T2431">
        <v>4585</v>
      </c>
      <c r="U2431">
        <v>0</v>
      </c>
      <c r="V2431">
        <v>4585</v>
      </c>
    </row>
    <row r="2432" spans="1:22" x14ac:dyDescent="0.3">
      <c r="A2432">
        <v>186607</v>
      </c>
      <c r="B2432">
        <v>137122417</v>
      </c>
      <c r="C2432" t="s">
        <v>12528</v>
      </c>
      <c r="D2432" t="s">
        <v>12529</v>
      </c>
      <c r="E2432" t="s">
        <v>11426</v>
      </c>
      <c r="F2432" t="s">
        <v>844</v>
      </c>
      <c r="G2432" t="s">
        <v>164</v>
      </c>
      <c r="H2432" t="s">
        <v>165</v>
      </c>
      <c r="I2432" t="s">
        <v>34</v>
      </c>
      <c r="J2432" t="s">
        <v>166</v>
      </c>
      <c r="K2432" t="s">
        <v>41</v>
      </c>
      <c r="L2432" t="s">
        <v>12530</v>
      </c>
      <c r="M2432" t="s">
        <v>12531</v>
      </c>
      <c r="N2432" t="s">
        <v>11429</v>
      </c>
      <c r="O2432" t="s">
        <v>101</v>
      </c>
      <c r="P2432" t="s">
        <v>12532</v>
      </c>
      <c r="Q2432" t="s">
        <v>93</v>
      </c>
      <c r="R2432" t="s">
        <v>458</v>
      </c>
      <c r="S2432">
        <v>2.0499999999999998</v>
      </c>
      <c r="T2432">
        <v>3366</v>
      </c>
      <c r="U2432">
        <v>0</v>
      </c>
      <c r="V2432">
        <v>3366</v>
      </c>
    </row>
    <row r="2433" spans="1:22" x14ac:dyDescent="0.3">
      <c r="A2433">
        <v>186607</v>
      </c>
      <c r="B2433">
        <v>136939693</v>
      </c>
      <c r="C2433" t="s">
        <v>12533</v>
      </c>
      <c r="D2433" t="s">
        <v>12534</v>
      </c>
      <c r="E2433" t="s">
        <v>11426</v>
      </c>
      <c r="F2433" t="s">
        <v>844</v>
      </c>
      <c r="G2433" t="s">
        <v>164</v>
      </c>
      <c r="H2433" t="s">
        <v>165</v>
      </c>
      <c r="I2433" t="s">
        <v>34</v>
      </c>
      <c r="J2433" t="s">
        <v>166</v>
      </c>
      <c r="K2433" t="s">
        <v>41</v>
      </c>
      <c r="L2433" t="s">
        <v>12535</v>
      </c>
      <c r="M2433" t="s">
        <v>12536</v>
      </c>
      <c r="N2433" t="s">
        <v>11429</v>
      </c>
      <c r="O2433" t="s">
        <v>101</v>
      </c>
      <c r="P2433" t="s">
        <v>12537</v>
      </c>
      <c r="Q2433" t="s">
        <v>190</v>
      </c>
      <c r="R2433" t="s">
        <v>568</v>
      </c>
      <c r="S2433">
        <v>2.75</v>
      </c>
      <c r="T2433">
        <v>3366</v>
      </c>
      <c r="U2433">
        <v>0</v>
      </c>
      <c r="V2433">
        <v>3366</v>
      </c>
    </row>
    <row r="2434" spans="1:22" x14ac:dyDescent="0.3">
      <c r="A2434">
        <v>186607</v>
      </c>
      <c r="B2434">
        <v>137122168</v>
      </c>
      <c r="C2434" t="s">
        <v>12538</v>
      </c>
      <c r="D2434" t="s">
        <v>12539</v>
      </c>
      <c r="E2434" t="s">
        <v>11426</v>
      </c>
      <c r="F2434" t="s">
        <v>844</v>
      </c>
      <c r="G2434" t="s">
        <v>164</v>
      </c>
      <c r="H2434" t="s">
        <v>165</v>
      </c>
      <c r="I2434" t="s">
        <v>34</v>
      </c>
      <c r="J2434" t="s">
        <v>166</v>
      </c>
      <c r="K2434" t="s">
        <v>41</v>
      </c>
      <c r="L2434" t="s">
        <v>12540</v>
      </c>
      <c r="M2434" t="s">
        <v>181</v>
      </c>
      <c r="N2434" t="s">
        <v>11429</v>
      </c>
      <c r="O2434" t="s">
        <v>101</v>
      </c>
      <c r="P2434" t="s">
        <v>12541</v>
      </c>
      <c r="Q2434" t="s">
        <v>84</v>
      </c>
      <c r="R2434" t="s">
        <v>519</v>
      </c>
      <c r="S2434">
        <v>0.5</v>
      </c>
      <c r="T2434">
        <v>3299</v>
      </c>
      <c r="U2434">
        <v>0</v>
      </c>
      <c r="V2434">
        <v>3299</v>
      </c>
    </row>
    <row r="2435" spans="1:22" x14ac:dyDescent="0.3">
      <c r="A2435">
        <v>186607</v>
      </c>
      <c r="B2435">
        <v>136921087</v>
      </c>
      <c r="C2435" t="s">
        <v>12542</v>
      </c>
      <c r="D2435" t="s">
        <v>12543</v>
      </c>
      <c r="E2435" t="s">
        <v>11426</v>
      </c>
      <c r="F2435" t="s">
        <v>844</v>
      </c>
      <c r="G2435" t="s">
        <v>164</v>
      </c>
      <c r="H2435" t="s">
        <v>165</v>
      </c>
      <c r="I2435" t="s">
        <v>34</v>
      </c>
      <c r="J2435" t="s">
        <v>166</v>
      </c>
      <c r="K2435" t="s">
        <v>41</v>
      </c>
      <c r="L2435" t="s">
        <v>12544</v>
      </c>
      <c r="M2435" t="s">
        <v>357</v>
      </c>
      <c r="N2435" t="s">
        <v>11429</v>
      </c>
      <c r="O2435" t="s">
        <v>101</v>
      </c>
      <c r="P2435" t="s">
        <v>358</v>
      </c>
      <c r="Q2435" t="s">
        <v>72</v>
      </c>
      <c r="R2435" t="s">
        <v>12110</v>
      </c>
      <c r="S2435">
        <v>3.46</v>
      </c>
      <c r="T2435">
        <v>4585</v>
      </c>
      <c r="U2435">
        <v>0</v>
      </c>
      <c r="V2435">
        <v>4585</v>
      </c>
    </row>
    <row r="2436" spans="1:22" x14ac:dyDescent="0.3">
      <c r="A2436">
        <v>186607</v>
      </c>
      <c r="B2436">
        <v>137033017</v>
      </c>
      <c r="C2436" t="s">
        <v>12545</v>
      </c>
      <c r="D2436" t="s">
        <v>12546</v>
      </c>
      <c r="E2436" t="s">
        <v>11426</v>
      </c>
      <c r="F2436" t="s">
        <v>844</v>
      </c>
      <c r="G2436" t="s">
        <v>164</v>
      </c>
      <c r="H2436" t="s">
        <v>165</v>
      </c>
      <c r="I2436" t="s">
        <v>34</v>
      </c>
      <c r="J2436" t="s">
        <v>166</v>
      </c>
      <c r="K2436" t="s">
        <v>41</v>
      </c>
      <c r="L2436" t="s">
        <v>12547</v>
      </c>
      <c r="M2436" t="s">
        <v>12548</v>
      </c>
      <c r="N2436" t="s">
        <v>11429</v>
      </c>
      <c r="O2436" t="s">
        <v>101</v>
      </c>
      <c r="P2436" t="s">
        <v>12549</v>
      </c>
      <c r="Q2436" t="s">
        <v>59</v>
      </c>
      <c r="R2436" t="s">
        <v>11745</v>
      </c>
      <c r="S2436">
        <v>2.38</v>
      </c>
      <c r="T2436">
        <v>4067</v>
      </c>
      <c r="U2436">
        <v>0</v>
      </c>
      <c r="V2436">
        <v>4067</v>
      </c>
    </row>
    <row r="2437" spans="1:22" x14ac:dyDescent="0.3">
      <c r="A2437">
        <v>186607</v>
      </c>
      <c r="B2437">
        <v>136939700</v>
      </c>
      <c r="C2437" t="s">
        <v>12550</v>
      </c>
      <c r="D2437" t="s">
        <v>12551</v>
      </c>
      <c r="E2437" t="s">
        <v>11426</v>
      </c>
      <c r="F2437" t="s">
        <v>844</v>
      </c>
      <c r="G2437" t="s">
        <v>164</v>
      </c>
      <c r="H2437" t="s">
        <v>165</v>
      </c>
      <c r="I2437" t="s">
        <v>34</v>
      </c>
      <c r="J2437" t="s">
        <v>166</v>
      </c>
      <c r="K2437" t="s">
        <v>41</v>
      </c>
      <c r="L2437" t="s">
        <v>12552</v>
      </c>
      <c r="M2437" t="s">
        <v>12553</v>
      </c>
      <c r="N2437" t="s">
        <v>11429</v>
      </c>
      <c r="O2437" t="s">
        <v>101</v>
      </c>
      <c r="P2437" t="s">
        <v>12554</v>
      </c>
      <c r="Q2437" t="s">
        <v>190</v>
      </c>
      <c r="R2437" t="s">
        <v>568</v>
      </c>
      <c r="S2437">
        <v>4.09</v>
      </c>
      <c r="T2437">
        <v>3797</v>
      </c>
      <c r="U2437">
        <v>0</v>
      </c>
      <c r="V2437">
        <v>3797</v>
      </c>
    </row>
    <row r="2438" spans="1:22" x14ac:dyDescent="0.3">
      <c r="A2438">
        <v>186607</v>
      </c>
      <c r="B2438">
        <v>136508782</v>
      </c>
      <c r="C2438" t="s">
        <v>12555</v>
      </c>
      <c r="D2438" t="s">
        <v>12556</v>
      </c>
      <c r="E2438" t="s">
        <v>11426</v>
      </c>
      <c r="F2438" t="s">
        <v>844</v>
      </c>
      <c r="G2438" t="s">
        <v>164</v>
      </c>
      <c r="H2438" t="s">
        <v>165</v>
      </c>
      <c r="I2438" t="s">
        <v>34</v>
      </c>
      <c r="J2438" t="s">
        <v>166</v>
      </c>
      <c r="K2438" t="s">
        <v>41</v>
      </c>
      <c r="L2438" t="s">
        <v>12557</v>
      </c>
      <c r="M2438" t="s">
        <v>12558</v>
      </c>
      <c r="N2438" t="s">
        <v>11429</v>
      </c>
      <c r="O2438" t="s">
        <v>101</v>
      </c>
      <c r="P2438" t="s">
        <v>12559</v>
      </c>
      <c r="Q2438" t="s">
        <v>209</v>
      </c>
      <c r="R2438" t="s">
        <v>12560</v>
      </c>
      <c r="S2438">
        <v>0.5</v>
      </c>
      <c r="T2438">
        <v>4067</v>
      </c>
      <c r="U2438">
        <v>0</v>
      </c>
      <c r="V2438">
        <v>4067</v>
      </c>
    </row>
    <row r="2439" spans="1:22" x14ac:dyDescent="0.3">
      <c r="A2439">
        <v>186607</v>
      </c>
      <c r="B2439">
        <v>137032994</v>
      </c>
      <c r="C2439" t="s">
        <v>12561</v>
      </c>
      <c r="D2439" t="s">
        <v>12562</v>
      </c>
      <c r="E2439" t="s">
        <v>11426</v>
      </c>
      <c r="F2439" t="s">
        <v>844</v>
      </c>
      <c r="G2439" t="s">
        <v>164</v>
      </c>
      <c r="H2439" t="s">
        <v>165</v>
      </c>
      <c r="I2439" t="s">
        <v>34</v>
      </c>
      <c r="J2439" t="s">
        <v>166</v>
      </c>
      <c r="K2439" t="s">
        <v>41</v>
      </c>
      <c r="L2439" t="s">
        <v>12563</v>
      </c>
      <c r="M2439" t="s">
        <v>12564</v>
      </c>
      <c r="N2439" t="s">
        <v>11429</v>
      </c>
      <c r="O2439" t="s">
        <v>101</v>
      </c>
      <c r="P2439" t="s">
        <v>12565</v>
      </c>
      <c r="Q2439" t="s">
        <v>84</v>
      </c>
      <c r="R2439" t="s">
        <v>11745</v>
      </c>
      <c r="S2439">
        <v>2.39</v>
      </c>
      <c r="T2439">
        <v>3366</v>
      </c>
      <c r="U2439">
        <v>0</v>
      </c>
      <c r="V2439">
        <v>3366</v>
      </c>
    </row>
    <row r="2440" spans="1:22" x14ac:dyDescent="0.3">
      <c r="A2440">
        <v>186607</v>
      </c>
      <c r="B2440">
        <v>136107707</v>
      </c>
      <c r="C2440" t="s">
        <v>12566</v>
      </c>
      <c r="D2440" t="s">
        <v>12567</v>
      </c>
      <c r="E2440" t="s">
        <v>11426</v>
      </c>
      <c r="F2440" t="s">
        <v>844</v>
      </c>
      <c r="G2440" t="s">
        <v>164</v>
      </c>
      <c r="H2440" t="s">
        <v>165</v>
      </c>
      <c r="I2440" t="s">
        <v>34</v>
      </c>
      <c r="J2440" t="s">
        <v>166</v>
      </c>
      <c r="K2440" t="s">
        <v>41</v>
      </c>
      <c r="L2440" t="s">
        <v>12568</v>
      </c>
      <c r="M2440" t="s">
        <v>12569</v>
      </c>
      <c r="N2440" t="s">
        <v>11429</v>
      </c>
      <c r="O2440" t="s">
        <v>101</v>
      </c>
      <c r="P2440" t="s">
        <v>12570</v>
      </c>
      <c r="Q2440" t="s">
        <v>52</v>
      </c>
      <c r="R2440" t="s">
        <v>369</v>
      </c>
      <c r="S2440">
        <v>1</v>
      </c>
      <c r="T2440">
        <v>5759</v>
      </c>
      <c r="U2440">
        <v>0</v>
      </c>
      <c r="V2440">
        <v>5759</v>
      </c>
    </row>
    <row r="2441" spans="1:22" x14ac:dyDescent="0.3">
      <c r="A2441">
        <v>186607</v>
      </c>
      <c r="B2441">
        <v>136889192</v>
      </c>
      <c r="C2441" t="s">
        <v>12571</v>
      </c>
      <c r="D2441" t="s">
        <v>12572</v>
      </c>
      <c r="E2441" t="s">
        <v>11426</v>
      </c>
      <c r="F2441" t="s">
        <v>844</v>
      </c>
      <c r="G2441" t="s">
        <v>164</v>
      </c>
      <c r="H2441" t="s">
        <v>165</v>
      </c>
      <c r="I2441" t="s">
        <v>34</v>
      </c>
      <c r="J2441" t="s">
        <v>166</v>
      </c>
      <c r="K2441" t="s">
        <v>41</v>
      </c>
      <c r="L2441" t="s">
        <v>12573</v>
      </c>
      <c r="M2441" t="s">
        <v>12574</v>
      </c>
      <c r="N2441" t="s">
        <v>11429</v>
      </c>
      <c r="O2441" t="s">
        <v>101</v>
      </c>
      <c r="P2441" t="s">
        <v>12575</v>
      </c>
      <c r="Q2441" t="s">
        <v>83</v>
      </c>
      <c r="R2441" t="s">
        <v>124</v>
      </c>
      <c r="S2441">
        <v>6.65</v>
      </c>
      <c r="T2441">
        <v>5198</v>
      </c>
      <c r="U2441">
        <v>0</v>
      </c>
      <c r="V2441">
        <v>5198</v>
      </c>
    </row>
    <row r="2442" spans="1:22" x14ac:dyDescent="0.3">
      <c r="A2442">
        <v>186607</v>
      </c>
      <c r="B2442">
        <v>137122175</v>
      </c>
      <c r="C2442" t="s">
        <v>12576</v>
      </c>
      <c r="D2442" t="s">
        <v>12577</v>
      </c>
      <c r="E2442" t="s">
        <v>11426</v>
      </c>
      <c r="F2442" t="s">
        <v>844</v>
      </c>
      <c r="G2442" t="s">
        <v>164</v>
      </c>
      <c r="H2442" t="s">
        <v>165</v>
      </c>
      <c r="I2442" t="s">
        <v>34</v>
      </c>
      <c r="J2442" t="s">
        <v>166</v>
      </c>
      <c r="K2442" t="s">
        <v>41</v>
      </c>
      <c r="L2442" t="s">
        <v>12578</v>
      </c>
      <c r="M2442" t="s">
        <v>12579</v>
      </c>
      <c r="N2442" t="s">
        <v>11429</v>
      </c>
      <c r="O2442" t="s">
        <v>101</v>
      </c>
      <c r="P2442" t="s">
        <v>12580</v>
      </c>
      <c r="Q2442" t="s">
        <v>190</v>
      </c>
      <c r="R2442" t="s">
        <v>519</v>
      </c>
      <c r="S2442">
        <v>3.06</v>
      </c>
      <c r="T2442">
        <v>3797</v>
      </c>
      <c r="U2442">
        <v>0</v>
      </c>
      <c r="V2442">
        <v>3797</v>
      </c>
    </row>
    <row r="2443" spans="1:22" x14ac:dyDescent="0.3">
      <c r="A2443">
        <v>186607</v>
      </c>
      <c r="B2443">
        <v>136997920</v>
      </c>
      <c r="C2443" t="s">
        <v>12581</v>
      </c>
      <c r="D2443" t="s">
        <v>12582</v>
      </c>
      <c r="E2443" t="s">
        <v>11426</v>
      </c>
      <c r="F2443" t="s">
        <v>844</v>
      </c>
      <c r="G2443" t="s">
        <v>164</v>
      </c>
      <c r="H2443" t="s">
        <v>165</v>
      </c>
      <c r="I2443" t="s">
        <v>34</v>
      </c>
      <c r="J2443" t="s">
        <v>166</v>
      </c>
      <c r="K2443" t="s">
        <v>41</v>
      </c>
      <c r="L2443" t="s">
        <v>12583</v>
      </c>
      <c r="M2443" t="s">
        <v>12584</v>
      </c>
      <c r="N2443" t="s">
        <v>11429</v>
      </c>
      <c r="O2443" t="s">
        <v>101</v>
      </c>
      <c r="P2443" t="s">
        <v>12585</v>
      </c>
      <c r="Q2443" t="s">
        <v>55</v>
      </c>
      <c r="R2443" t="s">
        <v>753</v>
      </c>
      <c r="S2443">
        <v>0.5</v>
      </c>
      <c r="T2443">
        <v>4067</v>
      </c>
      <c r="U2443">
        <v>0</v>
      </c>
      <c r="V2443">
        <v>4067</v>
      </c>
    </row>
    <row r="2444" spans="1:22" x14ac:dyDescent="0.3">
      <c r="A2444">
        <v>186607</v>
      </c>
      <c r="B2444">
        <v>136921128</v>
      </c>
      <c r="C2444" t="s">
        <v>12586</v>
      </c>
      <c r="D2444" t="s">
        <v>12587</v>
      </c>
      <c r="E2444" t="s">
        <v>11426</v>
      </c>
      <c r="F2444" t="s">
        <v>844</v>
      </c>
      <c r="G2444" t="s">
        <v>164</v>
      </c>
      <c r="H2444" t="s">
        <v>165</v>
      </c>
      <c r="I2444" t="s">
        <v>34</v>
      </c>
      <c r="J2444" t="s">
        <v>166</v>
      </c>
      <c r="K2444" t="s">
        <v>41</v>
      </c>
      <c r="L2444" t="s">
        <v>12588</v>
      </c>
      <c r="M2444" t="s">
        <v>12589</v>
      </c>
      <c r="N2444" t="s">
        <v>11429</v>
      </c>
      <c r="O2444" t="s">
        <v>101</v>
      </c>
      <c r="P2444" t="s">
        <v>12590</v>
      </c>
      <c r="Q2444" t="s">
        <v>68</v>
      </c>
      <c r="R2444" t="s">
        <v>12110</v>
      </c>
      <c r="S2444">
        <v>2.0699999999999998</v>
      </c>
      <c r="T2444">
        <v>3753</v>
      </c>
      <c r="U2444">
        <v>0</v>
      </c>
      <c r="V2444">
        <v>3753</v>
      </c>
    </row>
    <row r="2445" spans="1:22" x14ac:dyDescent="0.3">
      <c r="A2445">
        <v>186607</v>
      </c>
      <c r="B2445">
        <v>136939696</v>
      </c>
      <c r="C2445" t="s">
        <v>12591</v>
      </c>
      <c r="D2445" t="s">
        <v>12592</v>
      </c>
      <c r="E2445" t="s">
        <v>11426</v>
      </c>
      <c r="F2445" t="s">
        <v>844</v>
      </c>
      <c r="G2445" t="s">
        <v>164</v>
      </c>
      <c r="H2445" t="s">
        <v>165</v>
      </c>
      <c r="I2445" t="s">
        <v>34</v>
      </c>
      <c r="J2445" t="s">
        <v>166</v>
      </c>
      <c r="K2445" t="s">
        <v>41</v>
      </c>
      <c r="L2445" t="s">
        <v>12593</v>
      </c>
      <c r="M2445" t="s">
        <v>12594</v>
      </c>
      <c r="N2445" t="s">
        <v>11429</v>
      </c>
      <c r="O2445" t="s">
        <v>101</v>
      </c>
      <c r="P2445" t="s">
        <v>12595</v>
      </c>
      <c r="Q2445" t="s">
        <v>84</v>
      </c>
      <c r="R2445" t="s">
        <v>568</v>
      </c>
      <c r="S2445">
        <v>3.06</v>
      </c>
      <c r="T2445">
        <v>3797</v>
      </c>
      <c r="U2445">
        <v>0</v>
      </c>
      <c r="V2445">
        <v>3797</v>
      </c>
    </row>
    <row r="2446" spans="1:22" x14ac:dyDescent="0.3">
      <c r="A2446">
        <v>186607</v>
      </c>
      <c r="B2446">
        <v>136889214</v>
      </c>
      <c r="C2446" t="s">
        <v>12596</v>
      </c>
      <c r="D2446" t="s">
        <v>12597</v>
      </c>
      <c r="E2446" t="s">
        <v>11426</v>
      </c>
      <c r="F2446" t="s">
        <v>844</v>
      </c>
      <c r="G2446" t="s">
        <v>164</v>
      </c>
      <c r="H2446" t="s">
        <v>165</v>
      </c>
      <c r="I2446" t="s">
        <v>34</v>
      </c>
      <c r="J2446" t="s">
        <v>166</v>
      </c>
      <c r="K2446" t="s">
        <v>41</v>
      </c>
      <c r="L2446" t="s">
        <v>12598</v>
      </c>
      <c r="M2446" t="s">
        <v>12599</v>
      </c>
      <c r="N2446" t="s">
        <v>11429</v>
      </c>
      <c r="O2446" t="s">
        <v>101</v>
      </c>
      <c r="P2446" t="s">
        <v>12600</v>
      </c>
      <c r="Q2446" t="s">
        <v>68</v>
      </c>
      <c r="R2446" t="s">
        <v>124</v>
      </c>
      <c r="S2446">
        <v>4.7300000000000004</v>
      </c>
      <c r="T2446">
        <v>4456</v>
      </c>
      <c r="U2446">
        <v>0</v>
      </c>
      <c r="V2446">
        <v>4456</v>
      </c>
    </row>
    <row r="2447" spans="1:22" x14ac:dyDescent="0.3">
      <c r="A2447">
        <v>186607</v>
      </c>
      <c r="B2447">
        <v>136997945</v>
      </c>
      <c r="C2447" t="s">
        <v>12601</v>
      </c>
      <c r="D2447" t="s">
        <v>12602</v>
      </c>
      <c r="E2447" t="s">
        <v>11426</v>
      </c>
      <c r="F2447" t="s">
        <v>844</v>
      </c>
      <c r="G2447" t="s">
        <v>164</v>
      </c>
      <c r="H2447" t="s">
        <v>165</v>
      </c>
      <c r="I2447" t="s">
        <v>34</v>
      </c>
      <c r="J2447" t="s">
        <v>166</v>
      </c>
      <c r="K2447" t="s">
        <v>41</v>
      </c>
      <c r="L2447" t="s">
        <v>12603</v>
      </c>
      <c r="M2447" t="s">
        <v>12604</v>
      </c>
      <c r="N2447" t="s">
        <v>11429</v>
      </c>
      <c r="O2447" t="s">
        <v>101</v>
      </c>
      <c r="P2447" t="s">
        <v>12605</v>
      </c>
      <c r="Q2447" t="s">
        <v>79</v>
      </c>
      <c r="R2447" t="s">
        <v>462</v>
      </c>
      <c r="S2447">
        <v>3.15</v>
      </c>
      <c r="T2447">
        <v>5734</v>
      </c>
      <c r="U2447">
        <v>0</v>
      </c>
      <c r="V2447">
        <v>5734</v>
      </c>
    </row>
    <row r="2448" spans="1:22" x14ac:dyDescent="0.3">
      <c r="A2448">
        <v>186607</v>
      </c>
      <c r="B2448">
        <v>137084756</v>
      </c>
      <c r="C2448" t="s">
        <v>12606</v>
      </c>
      <c r="D2448" t="s">
        <v>12607</v>
      </c>
      <c r="E2448" t="s">
        <v>11426</v>
      </c>
      <c r="F2448" t="s">
        <v>844</v>
      </c>
      <c r="G2448" t="s">
        <v>164</v>
      </c>
      <c r="H2448" t="s">
        <v>165</v>
      </c>
      <c r="I2448" t="s">
        <v>34</v>
      </c>
      <c r="J2448" t="s">
        <v>166</v>
      </c>
      <c r="K2448" t="s">
        <v>41</v>
      </c>
      <c r="L2448" t="s">
        <v>12608</v>
      </c>
      <c r="M2448" t="s">
        <v>12609</v>
      </c>
      <c r="N2448" t="s">
        <v>11429</v>
      </c>
      <c r="O2448" t="s">
        <v>101</v>
      </c>
      <c r="P2448" t="s">
        <v>12610</v>
      </c>
      <c r="Q2448" t="s">
        <v>94</v>
      </c>
      <c r="R2448" t="s">
        <v>11946</v>
      </c>
      <c r="S2448">
        <v>2.33</v>
      </c>
      <c r="T2448">
        <v>3366</v>
      </c>
      <c r="U2448">
        <v>0</v>
      </c>
      <c r="V2448">
        <v>3366</v>
      </c>
    </row>
    <row r="2449" spans="1:22" x14ac:dyDescent="0.3">
      <c r="A2449">
        <v>186607</v>
      </c>
      <c r="B2449">
        <v>137122187</v>
      </c>
      <c r="C2449" t="s">
        <v>12611</v>
      </c>
      <c r="D2449" t="s">
        <v>12612</v>
      </c>
      <c r="E2449" t="s">
        <v>11426</v>
      </c>
      <c r="F2449" t="s">
        <v>844</v>
      </c>
      <c r="G2449" t="s">
        <v>164</v>
      </c>
      <c r="H2449" t="s">
        <v>165</v>
      </c>
      <c r="I2449" t="s">
        <v>34</v>
      </c>
      <c r="J2449" t="s">
        <v>166</v>
      </c>
      <c r="K2449" t="s">
        <v>41</v>
      </c>
      <c r="L2449" t="s">
        <v>12613</v>
      </c>
      <c r="M2449" t="s">
        <v>12614</v>
      </c>
      <c r="N2449" t="s">
        <v>11429</v>
      </c>
      <c r="O2449" t="s">
        <v>101</v>
      </c>
      <c r="P2449" t="s">
        <v>12615</v>
      </c>
      <c r="Q2449" t="s">
        <v>43</v>
      </c>
      <c r="R2449" t="s">
        <v>519</v>
      </c>
      <c r="S2449">
        <v>2.64</v>
      </c>
      <c r="T2449">
        <v>3753</v>
      </c>
      <c r="U2449">
        <v>0</v>
      </c>
      <c r="V2449">
        <v>3753</v>
      </c>
    </row>
    <row r="2450" spans="1:22" x14ac:dyDescent="0.3">
      <c r="A2450">
        <v>186607</v>
      </c>
      <c r="B2450">
        <v>137122165</v>
      </c>
      <c r="C2450" t="s">
        <v>12616</v>
      </c>
      <c r="D2450" t="s">
        <v>12617</v>
      </c>
      <c r="E2450" t="s">
        <v>11426</v>
      </c>
      <c r="F2450" t="s">
        <v>844</v>
      </c>
      <c r="G2450" t="s">
        <v>164</v>
      </c>
      <c r="H2450" t="s">
        <v>165</v>
      </c>
      <c r="I2450" t="s">
        <v>34</v>
      </c>
      <c r="J2450" t="s">
        <v>166</v>
      </c>
      <c r="K2450" t="s">
        <v>41</v>
      </c>
      <c r="L2450" t="s">
        <v>12618</v>
      </c>
      <c r="M2450" t="s">
        <v>12619</v>
      </c>
      <c r="N2450" t="s">
        <v>11429</v>
      </c>
      <c r="O2450" t="s">
        <v>101</v>
      </c>
      <c r="P2450" t="s">
        <v>12620</v>
      </c>
      <c r="Q2450" t="s">
        <v>72</v>
      </c>
      <c r="R2450" t="s">
        <v>519</v>
      </c>
      <c r="S2450">
        <v>2.11</v>
      </c>
      <c r="T2450">
        <v>3784</v>
      </c>
      <c r="U2450">
        <v>0</v>
      </c>
      <c r="V2450">
        <v>3784</v>
      </c>
    </row>
    <row r="2451" spans="1:22" x14ac:dyDescent="0.3">
      <c r="A2451">
        <v>186607</v>
      </c>
      <c r="B2451">
        <v>137033015</v>
      </c>
      <c r="C2451" t="s">
        <v>12621</v>
      </c>
      <c r="D2451" t="s">
        <v>12622</v>
      </c>
      <c r="E2451" t="s">
        <v>11426</v>
      </c>
      <c r="F2451" t="s">
        <v>844</v>
      </c>
      <c r="G2451" t="s">
        <v>164</v>
      </c>
      <c r="H2451" t="s">
        <v>165</v>
      </c>
      <c r="I2451" t="s">
        <v>34</v>
      </c>
      <c r="J2451" t="s">
        <v>166</v>
      </c>
      <c r="K2451" t="s">
        <v>41</v>
      </c>
      <c r="L2451" t="s">
        <v>12623</v>
      </c>
      <c r="M2451" t="s">
        <v>12624</v>
      </c>
      <c r="N2451" t="s">
        <v>11429</v>
      </c>
      <c r="O2451" t="s">
        <v>101</v>
      </c>
      <c r="P2451" t="s">
        <v>12625</v>
      </c>
      <c r="Q2451" t="s">
        <v>84</v>
      </c>
      <c r="R2451" t="s">
        <v>11745</v>
      </c>
      <c r="S2451">
        <v>2.38</v>
      </c>
      <c r="T2451">
        <v>3366</v>
      </c>
      <c r="U2451">
        <v>0</v>
      </c>
      <c r="V2451">
        <v>3366</v>
      </c>
    </row>
    <row r="2452" spans="1:22" x14ac:dyDescent="0.3">
      <c r="A2452">
        <v>186607</v>
      </c>
      <c r="B2452">
        <v>136997941</v>
      </c>
      <c r="C2452" t="s">
        <v>12626</v>
      </c>
      <c r="D2452" t="s">
        <v>12627</v>
      </c>
      <c r="E2452" t="s">
        <v>11426</v>
      </c>
      <c r="F2452" t="s">
        <v>844</v>
      </c>
      <c r="G2452" t="s">
        <v>164</v>
      </c>
      <c r="H2452" t="s">
        <v>165</v>
      </c>
      <c r="I2452" t="s">
        <v>34</v>
      </c>
      <c r="J2452" t="s">
        <v>166</v>
      </c>
      <c r="K2452" t="s">
        <v>41</v>
      </c>
      <c r="L2452" t="s">
        <v>12628</v>
      </c>
      <c r="M2452" t="s">
        <v>12629</v>
      </c>
      <c r="N2452" t="s">
        <v>11429</v>
      </c>
      <c r="O2452" t="s">
        <v>101</v>
      </c>
      <c r="P2452" t="s">
        <v>12630</v>
      </c>
      <c r="Q2452" t="s">
        <v>92</v>
      </c>
      <c r="R2452" t="s">
        <v>753</v>
      </c>
      <c r="S2452">
        <v>2.14</v>
      </c>
      <c r="T2452">
        <v>3366</v>
      </c>
      <c r="U2452">
        <v>0</v>
      </c>
      <c r="V2452">
        <v>3366</v>
      </c>
    </row>
    <row r="2453" spans="1:22" x14ac:dyDescent="0.3">
      <c r="A2453">
        <v>186607</v>
      </c>
      <c r="B2453">
        <v>136889177</v>
      </c>
      <c r="C2453" t="s">
        <v>12631</v>
      </c>
      <c r="D2453" t="s">
        <v>12632</v>
      </c>
      <c r="E2453" t="s">
        <v>11426</v>
      </c>
      <c r="F2453" t="s">
        <v>844</v>
      </c>
      <c r="G2453" t="s">
        <v>164</v>
      </c>
      <c r="H2453" t="s">
        <v>165</v>
      </c>
      <c r="I2453" t="s">
        <v>34</v>
      </c>
      <c r="J2453" t="s">
        <v>166</v>
      </c>
      <c r="K2453" t="s">
        <v>41</v>
      </c>
      <c r="L2453" t="s">
        <v>12633</v>
      </c>
      <c r="M2453" t="s">
        <v>12634</v>
      </c>
      <c r="N2453" t="s">
        <v>11429</v>
      </c>
      <c r="O2453" t="s">
        <v>101</v>
      </c>
      <c r="P2453" t="s">
        <v>12635</v>
      </c>
      <c r="Q2453" t="s">
        <v>92</v>
      </c>
      <c r="R2453" t="s">
        <v>124</v>
      </c>
      <c r="S2453">
        <v>2.11</v>
      </c>
      <c r="T2453">
        <v>3366</v>
      </c>
      <c r="U2453">
        <v>0</v>
      </c>
      <c r="V2453">
        <v>3366</v>
      </c>
    </row>
    <row r="2454" spans="1:22" x14ac:dyDescent="0.3">
      <c r="A2454">
        <v>186607</v>
      </c>
      <c r="B2454">
        <v>137033019</v>
      </c>
      <c r="C2454" t="s">
        <v>12636</v>
      </c>
      <c r="D2454" t="s">
        <v>12637</v>
      </c>
      <c r="E2454" t="s">
        <v>11426</v>
      </c>
      <c r="F2454" t="s">
        <v>844</v>
      </c>
      <c r="G2454" t="s">
        <v>164</v>
      </c>
      <c r="H2454" t="s">
        <v>165</v>
      </c>
      <c r="I2454" t="s">
        <v>34</v>
      </c>
      <c r="J2454" t="s">
        <v>166</v>
      </c>
      <c r="K2454" t="s">
        <v>41</v>
      </c>
      <c r="L2454" t="s">
        <v>12638</v>
      </c>
      <c r="M2454" t="s">
        <v>12639</v>
      </c>
      <c r="N2454" t="s">
        <v>11429</v>
      </c>
      <c r="O2454" t="s">
        <v>101</v>
      </c>
      <c r="P2454" t="s">
        <v>12640</v>
      </c>
      <c r="Q2454" t="s">
        <v>71</v>
      </c>
      <c r="R2454" t="s">
        <v>11745</v>
      </c>
      <c r="S2454">
        <v>0.5</v>
      </c>
      <c r="T2454">
        <v>3449</v>
      </c>
      <c r="U2454">
        <v>0</v>
      </c>
      <c r="V2454">
        <v>3449</v>
      </c>
    </row>
    <row r="2455" spans="1:22" x14ac:dyDescent="0.3">
      <c r="A2455">
        <v>186607</v>
      </c>
      <c r="B2455">
        <v>137033042</v>
      </c>
      <c r="C2455" t="s">
        <v>12641</v>
      </c>
      <c r="D2455" t="s">
        <v>12642</v>
      </c>
      <c r="E2455" t="s">
        <v>11426</v>
      </c>
      <c r="F2455" t="s">
        <v>844</v>
      </c>
      <c r="G2455" t="s">
        <v>164</v>
      </c>
      <c r="H2455" t="s">
        <v>165</v>
      </c>
      <c r="I2455" t="s">
        <v>34</v>
      </c>
      <c r="J2455" t="s">
        <v>166</v>
      </c>
      <c r="K2455" t="s">
        <v>41</v>
      </c>
      <c r="L2455" t="s">
        <v>12643</v>
      </c>
      <c r="M2455" t="s">
        <v>12644</v>
      </c>
      <c r="N2455" t="s">
        <v>11429</v>
      </c>
      <c r="O2455" t="s">
        <v>101</v>
      </c>
      <c r="P2455" t="s">
        <v>12645</v>
      </c>
      <c r="Q2455" t="s">
        <v>61</v>
      </c>
      <c r="R2455" t="s">
        <v>11745</v>
      </c>
      <c r="S2455">
        <v>2.36</v>
      </c>
      <c r="T2455">
        <v>4067</v>
      </c>
      <c r="U2455">
        <v>0</v>
      </c>
      <c r="V2455">
        <v>4067</v>
      </c>
    </row>
    <row r="2456" spans="1:22" x14ac:dyDescent="0.3">
      <c r="A2456">
        <v>186607</v>
      </c>
      <c r="B2456">
        <v>136921082</v>
      </c>
      <c r="C2456" t="s">
        <v>12646</v>
      </c>
      <c r="D2456" t="s">
        <v>12647</v>
      </c>
      <c r="E2456" t="s">
        <v>11426</v>
      </c>
      <c r="F2456" t="s">
        <v>844</v>
      </c>
      <c r="G2456" t="s">
        <v>164</v>
      </c>
      <c r="H2456" t="s">
        <v>165</v>
      </c>
      <c r="I2456" t="s">
        <v>34</v>
      </c>
      <c r="J2456" t="s">
        <v>166</v>
      </c>
      <c r="K2456" t="s">
        <v>41</v>
      </c>
      <c r="L2456" t="s">
        <v>12648</v>
      </c>
      <c r="M2456" t="s">
        <v>12649</v>
      </c>
      <c r="N2456" t="s">
        <v>11429</v>
      </c>
      <c r="O2456" t="s">
        <v>101</v>
      </c>
      <c r="P2456" t="s">
        <v>12650</v>
      </c>
      <c r="Q2456" t="s">
        <v>137</v>
      </c>
      <c r="R2456" t="s">
        <v>12110</v>
      </c>
      <c r="S2456">
        <v>4.97</v>
      </c>
      <c r="T2456">
        <v>5686</v>
      </c>
      <c r="U2456">
        <v>0</v>
      </c>
      <c r="V2456">
        <v>5686</v>
      </c>
    </row>
    <row r="2457" spans="1:22" x14ac:dyDescent="0.3">
      <c r="A2457">
        <v>186607</v>
      </c>
      <c r="B2457">
        <v>136939669</v>
      </c>
      <c r="C2457" t="s">
        <v>12651</v>
      </c>
      <c r="D2457" t="s">
        <v>12652</v>
      </c>
      <c r="E2457" t="s">
        <v>11426</v>
      </c>
      <c r="F2457" t="s">
        <v>844</v>
      </c>
      <c r="G2457" t="s">
        <v>164</v>
      </c>
      <c r="H2457" t="s">
        <v>165</v>
      </c>
      <c r="I2457" t="s">
        <v>34</v>
      </c>
      <c r="J2457" t="s">
        <v>166</v>
      </c>
      <c r="K2457" t="s">
        <v>41</v>
      </c>
      <c r="L2457" t="s">
        <v>12653</v>
      </c>
      <c r="M2457" t="s">
        <v>12654</v>
      </c>
      <c r="N2457" t="s">
        <v>11429</v>
      </c>
      <c r="O2457" t="s">
        <v>101</v>
      </c>
      <c r="P2457" t="s">
        <v>12655</v>
      </c>
      <c r="Q2457" t="s">
        <v>190</v>
      </c>
      <c r="R2457" t="s">
        <v>568</v>
      </c>
      <c r="S2457">
        <v>1.97</v>
      </c>
      <c r="T2457">
        <v>3366</v>
      </c>
      <c r="U2457">
        <v>0</v>
      </c>
      <c r="V2457">
        <v>3366</v>
      </c>
    </row>
    <row r="2458" spans="1:22" x14ac:dyDescent="0.3">
      <c r="A2458">
        <v>186607</v>
      </c>
      <c r="B2458">
        <v>136998004</v>
      </c>
      <c r="C2458" t="s">
        <v>12656</v>
      </c>
      <c r="D2458" t="s">
        <v>12657</v>
      </c>
      <c r="E2458" t="s">
        <v>11426</v>
      </c>
      <c r="F2458" t="s">
        <v>844</v>
      </c>
      <c r="G2458" t="s">
        <v>164</v>
      </c>
      <c r="H2458" t="s">
        <v>165</v>
      </c>
      <c r="I2458" t="s">
        <v>34</v>
      </c>
      <c r="J2458" t="s">
        <v>166</v>
      </c>
      <c r="K2458" t="s">
        <v>41</v>
      </c>
      <c r="L2458" t="s">
        <v>12658</v>
      </c>
      <c r="M2458" t="s">
        <v>12659</v>
      </c>
      <c r="N2458" t="s">
        <v>11429</v>
      </c>
      <c r="O2458" t="s">
        <v>101</v>
      </c>
      <c r="P2458" t="s">
        <v>12660</v>
      </c>
      <c r="Q2458" t="s">
        <v>69</v>
      </c>
      <c r="R2458" t="s">
        <v>462</v>
      </c>
      <c r="S2458">
        <v>3.1</v>
      </c>
      <c r="T2458">
        <v>4456</v>
      </c>
      <c r="U2458">
        <v>0</v>
      </c>
      <c r="V2458">
        <v>4456</v>
      </c>
    </row>
    <row r="2459" spans="1:22" x14ac:dyDescent="0.3">
      <c r="A2459">
        <v>186607</v>
      </c>
      <c r="B2459">
        <v>136635690</v>
      </c>
      <c r="C2459" t="s">
        <v>12661</v>
      </c>
      <c r="D2459" t="s">
        <v>12662</v>
      </c>
      <c r="E2459" t="s">
        <v>11426</v>
      </c>
      <c r="F2459" t="s">
        <v>844</v>
      </c>
      <c r="G2459" t="s">
        <v>164</v>
      </c>
      <c r="H2459" t="s">
        <v>165</v>
      </c>
      <c r="I2459" t="s">
        <v>34</v>
      </c>
      <c r="J2459" t="s">
        <v>166</v>
      </c>
      <c r="K2459" t="s">
        <v>41</v>
      </c>
      <c r="L2459" t="s">
        <v>12663</v>
      </c>
      <c r="M2459" t="s">
        <v>12664</v>
      </c>
      <c r="N2459" t="s">
        <v>11429</v>
      </c>
      <c r="O2459" t="s">
        <v>101</v>
      </c>
      <c r="P2459" t="s">
        <v>12665</v>
      </c>
      <c r="Q2459" t="s">
        <v>246</v>
      </c>
      <c r="R2459" t="s">
        <v>11610</v>
      </c>
      <c r="S2459">
        <v>0.5</v>
      </c>
      <c r="T2459">
        <v>5367</v>
      </c>
      <c r="U2459">
        <v>0</v>
      </c>
      <c r="V2459">
        <v>5367</v>
      </c>
    </row>
    <row r="2460" spans="1:22" x14ac:dyDescent="0.3">
      <c r="A2460">
        <v>186607</v>
      </c>
      <c r="B2460">
        <v>136921119</v>
      </c>
      <c r="C2460" t="s">
        <v>12666</v>
      </c>
      <c r="D2460" t="s">
        <v>12667</v>
      </c>
      <c r="E2460" t="s">
        <v>11426</v>
      </c>
      <c r="F2460" t="s">
        <v>844</v>
      </c>
      <c r="G2460" t="s">
        <v>164</v>
      </c>
      <c r="H2460" t="s">
        <v>165</v>
      </c>
      <c r="I2460" t="s">
        <v>34</v>
      </c>
      <c r="J2460" t="s">
        <v>166</v>
      </c>
      <c r="K2460" t="s">
        <v>41</v>
      </c>
      <c r="L2460" t="s">
        <v>12668</v>
      </c>
      <c r="M2460" t="s">
        <v>12669</v>
      </c>
      <c r="N2460" t="s">
        <v>11429</v>
      </c>
      <c r="O2460" t="s">
        <v>101</v>
      </c>
      <c r="P2460" t="s">
        <v>12670</v>
      </c>
      <c r="Q2460" t="s">
        <v>49</v>
      </c>
      <c r="R2460" t="s">
        <v>12110</v>
      </c>
      <c r="S2460">
        <v>2.14</v>
      </c>
      <c r="T2460">
        <v>3784</v>
      </c>
      <c r="U2460">
        <v>0</v>
      </c>
      <c r="V2460">
        <v>3784</v>
      </c>
    </row>
    <row r="2461" spans="1:22" x14ac:dyDescent="0.3">
      <c r="A2461">
        <v>186607</v>
      </c>
      <c r="B2461">
        <v>137033037</v>
      </c>
      <c r="C2461" t="s">
        <v>12671</v>
      </c>
      <c r="D2461" t="s">
        <v>12672</v>
      </c>
      <c r="E2461" t="s">
        <v>11426</v>
      </c>
      <c r="F2461" t="s">
        <v>844</v>
      </c>
      <c r="G2461" t="s">
        <v>164</v>
      </c>
      <c r="H2461" t="s">
        <v>165</v>
      </c>
      <c r="I2461" t="s">
        <v>34</v>
      </c>
      <c r="J2461" t="s">
        <v>166</v>
      </c>
      <c r="K2461" t="s">
        <v>41</v>
      </c>
      <c r="L2461" t="s">
        <v>12673</v>
      </c>
      <c r="M2461" t="s">
        <v>12674</v>
      </c>
      <c r="N2461" t="s">
        <v>11429</v>
      </c>
      <c r="O2461" t="s">
        <v>101</v>
      </c>
      <c r="P2461" t="s">
        <v>12675</v>
      </c>
      <c r="Q2461" t="s">
        <v>92</v>
      </c>
      <c r="R2461" t="s">
        <v>11745</v>
      </c>
      <c r="S2461">
        <v>4.66</v>
      </c>
      <c r="T2461">
        <v>3797</v>
      </c>
      <c r="U2461">
        <v>0</v>
      </c>
      <c r="V2461">
        <v>3797</v>
      </c>
    </row>
    <row r="2462" spans="1:22" x14ac:dyDescent="0.3">
      <c r="A2462">
        <v>186607</v>
      </c>
      <c r="B2462">
        <v>137084849</v>
      </c>
      <c r="C2462" t="s">
        <v>12676</v>
      </c>
      <c r="D2462" t="s">
        <v>12677</v>
      </c>
      <c r="E2462" t="s">
        <v>11426</v>
      </c>
      <c r="F2462" t="s">
        <v>844</v>
      </c>
      <c r="G2462" t="s">
        <v>164</v>
      </c>
      <c r="H2462" t="s">
        <v>165</v>
      </c>
      <c r="I2462" t="s">
        <v>34</v>
      </c>
      <c r="J2462" t="s">
        <v>166</v>
      </c>
      <c r="K2462" t="s">
        <v>41</v>
      </c>
      <c r="L2462" t="s">
        <v>12678</v>
      </c>
      <c r="M2462" t="s">
        <v>12679</v>
      </c>
      <c r="N2462" t="s">
        <v>11429</v>
      </c>
      <c r="O2462" t="s">
        <v>101</v>
      </c>
      <c r="P2462" t="s">
        <v>12680</v>
      </c>
      <c r="Q2462" t="s">
        <v>43</v>
      </c>
      <c r="R2462" t="s">
        <v>11890</v>
      </c>
      <c r="S2462">
        <v>0.8</v>
      </c>
      <c r="T2462">
        <v>3753</v>
      </c>
      <c r="U2462">
        <v>0</v>
      </c>
      <c r="V2462">
        <v>3753</v>
      </c>
    </row>
    <row r="2463" spans="1:22" x14ac:dyDescent="0.3">
      <c r="A2463">
        <v>186607</v>
      </c>
      <c r="B2463">
        <v>136107699</v>
      </c>
      <c r="C2463" t="s">
        <v>12681</v>
      </c>
      <c r="D2463" t="s">
        <v>12682</v>
      </c>
      <c r="E2463" t="s">
        <v>11426</v>
      </c>
      <c r="F2463" t="s">
        <v>844</v>
      </c>
      <c r="G2463" t="s">
        <v>164</v>
      </c>
      <c r="H2463" t="s">
        <v>165</v>
      </c>
      <c r="I2463" t="s">
        <v>34</v>
      </c>
      <c r="J2463" t="s">
        <v>166</v>
      </c>
      <c r="K2463" t="s">
        <v>41</v>
      </c>
      <c r="L2463" t="s">
        <v>12683</v>
      </c>
      <c r="M2463" t="s">
        <v>12684</v>
      </c>
      <c r="N2463" t="s">
        <v>11429</v>
      </c>
      <c r="O2463" t="s">
        <v>101</v>
      </c>
      <c r="P2463" t="s">
        <v>12685</v>
      </c>
      <c r="Q2463" t="s">
        <v>52</v>
      </c>
      <c r="R2463" t="s">
        <v>369</v>
      </c>
      <c r="S2463">
        <v>0.5</v>
      </c>
      <c r="T2463">
        <v>5367</v>
      </c>
      <c r="U2463">
        <v>0</v>
      </c>
      <c r="V2463">
        <v>5367</v>
      </c>
    </row>
    <row r="2464" spans="1:22" x14ac:dyDescent="0.3">
      <c r="A2464">
        <v>186607</v>
      </c>
      <c r="B2464">
        <v>137084815</v>
      </c>
      <c r="C2464" t="s">
        <v>12686</v>
      </c>
      <c r="D2464" t="s">
        <v>12687</v>
      </c>
      <c r="E2464" t="s">
        <v>11426</v>
      </c>
      <c r="F2464" t="s">
        <v>844</v>
      </c>
      <c r="G2464" t="s">
        <v>164</v>
      </c>
      <c r="H2464" t="s">
        <v>165</v>
      </c>
      <c r="I2464" t="s">
        <v>34</v>
      </c>
      <c r="J2464" t="s">
        <v>166</v>
      </c>
      <c r="K2464" t="s">
        <v>41</v>
      </c>
      <c r="L2464" t="s">
        <v>12688</v>
      </c>
      <c r="M2464" t="s">
        <v>12689</v>
      </c>
      <c r="N2464" t="s">
        <v>11429</v>
      </c>
      <c r="O2464" t="s">
        <v>101</v>
      </c>
      <c r="P2464" t="s">
        <v>12690</v>
      </c>
      <c r="Q2464" t="s">
        <v>50</v>
      </c>
      <c r="R2464" t="s">
        <v>11890</v>
      </c>
      <c r="S2464">
        <v>2.2000000000000002</v>
      </c>
      <c r="T2464">
        <v>3784</v>
      </c>
      <c r="U2464">
        <v>0</v>
      </c>
      <c r="V2464">
        <v>3784</v>
      </c>
    </row>
    <row r="2465" spans="1:22" x14ac:dyDescent="0.3">
      <c r="A2465">
        <v>186607</v>
      </c>
      <c r="B2465">
        <v>136939666</v>
      </c>
      <c r="C2465" t="s">
        <v>12691</v>
      </c>
      <c r="D2465" t="s">
        <v>12692</v>
      </c>
      <c r="E2465" t="s">
        <v>11426</v>
      </c>
      <c r="F2465" t="s">
        <v>844</v>
      </c>
      <c r="G2465" t="s">
        <v>164</v>
      </c>
      <c r="H2465" t="s">
        <v>165</v>
      </c>
      <c r="I2465" t="s">
        <v>34</v>
      </c>
      <c r="J2465" t="s">
        <v>166</v>
      </c>
      <c r="K2465" t="s">
        <v>41</v>
      </c>
      <c r="L2465" t="s">
        <v>12693</v>
      </c>
      <c r="M2465" t="s">
        <v>12694</v>
      </c>
      <c r="N2465" t="s">
        <v>11429</v>
      </c>
      <c r="O2465" t="s">
        <v>101</v>
      </c>
      <c r="P2465" t="s">
        <v>12695</v>
      </c>
      <c r="Q2465" t="s">
        <v>98</v>
      </c>
      <c r="R2465" t="s">
        <v>568</v>
      </c>
      <c r="S2465">
        <v>2.14</v>
      </c>
      <c r="T2465">
        <v>3366</v>
      </c>
      <c r="U2465">
        <v>0</v>
      </c>
      <c r="V2465">
        <v>3366</v>
      </c>
    </row>
    <row r="2466" spans="1:22" x14ac:dyDescent="0.3">
      <c r="A2466">
        <v>186607</v>
      </c>
      <c r="B2466">
        <v>136792758</v>
      </c>
      <c r="C2466" t="s">
        <v>12696</v>
      </c>
      <c r="D2466" t="s">
        <v>12697</v>
      </c>
      <c r="E2466" t="s">
        <v>11426</v>
      </c>
      <c r="F2466" t="s">
        <v>844</v>
      </c>
      <c r="G2466" t="s">
        <v>164</v>
      </c>
      <c r="H2466" t="s">
        <v>165</v>
      </c>
      <c r="I2466" t="s">
        <v>34</v>
      </c>
      <c r="J2466" t="s">
        <v>166</v>
      </c>
      <c r="K2466" t="s">
        <v>41</v>
      </c>
      <c r="L2466" t="s">
        <v>12698</v>
      </c>
      <c r="M2466" t="s">
        <v>12699</v>
      </c>
      <c r="N2466" t="s">
        <v>11429</v>
      </c>
      <c r="O2466" t="s">
        <v>101</v>
      </c>
      <c r="P2466" t="s">
        <v>12700</v>
      </c>
      <c r="Q2466" t="s">
        <v>58</v>
      </c>
      <c r="R2466" t="s">
        <v>12701</v>
      </c>
      <c r="S2466">
        <v>0.5</v>
      </c>
      <c r="T2466">
        <v>4067</v>
      </c>
      <c r="U2466">
        <v>0</v>
      </c>
      <c r="V2466">
        <v>4067</v>
      </c>
    </row>
    <row r="2467" spans="1:22" x14ac:dyDescent="0.3">
      <c r="A2467">
        <v>186607</v>
      </c>
      <c r="B2467">
        <v>136997891</v>
      </c>
      <c r="C2467" t="s">
        <v>12702</v>
      </c>
      <c r="D2467" t="s">
        <v>12703</v>
      </c>
      <c r="E2467" t="s">
        <v>11426</v>
      </c>
      <c r="F2467" t="s">
        <v>844</v>
      </c>
      <c r="G2467" t="s">
        <v>164</v>
      </c>
      <c r="H2467" t="s">
        <v>165</v>
      </c>
      <c r="I2467" t="s">
        <v>34</v>
      </c>
      <c r="J2467" t="s">
        <v>166</v>
      </c>
      <c r="K2467" t="s">
        <v>41</v>
      </c>
      <c r="L2467" t="s">
        <v>12704</v>
      </c>
      <c r="M2467" t="s">
        <v>12705</v>
      </c>
      <c r="N2467" t="s">
        <v>11429</v>
      </c>
      <c r="O2467" t="s">
        <v>101</v>
      </c>
      <c r="P2467" t="s">
        <v>12706</v>
      </c>
      <c r="Q2467" t="s">
        <v>72</v>
      </c>
      <c r="R2467" t="s">
        <v>753</v>
      </c>
      <c r="S2467">
        <v>0.5</v>
      </c>
      <c r="T2467">
        <v>3449</v>
      </c>
      <c r="U2467">
        <v>0</v>
      </c>
      <c r="V2467">
        <v>3449</v>
      </c>
    </row>
    <row r="2468" spans="1:22" x14ac:dyDescent="0.3">
      <c r="A2468">
        <v>186607</v>
      </c>
      <c r="B2468">
        <v>136997898</v>
      </c>
      <c r="C2468" t="s">
        <v>12707</v>
      </c>
      <c r="D2468" t="s">
        <v>12708</v>
      </c>
      <c r="E2468" t="s">
        <v>11426</v>
      </c>
      <c r="F2468" t="s">
        <v>844</v>
      </c>
      <c r="G2468" t="s">
        <v>164</v>
      </c>
      <c r="H2468" t="s">
        <v>165</v>
      </c>
      <c r="I2468" t="s">
        <v>34</v>
      </c>
      <c r="J2468" t="s">
        <v>166</v>
      </c>
      <c r="K2468" t="s">
        <v>41</v>
      </c>
      <c r="L2468" t="s">
        <v>12709</v>
      </c>
      <c r="M2468" t="s">
        <v>12710</v>
      </c>
      <c r="N2468" t="s">
        <v>11429</v>
      </c>
      <c r="O2468" t="s">
        <v>101</v>
      </c>
      <c r="P2468" t="s">
        <v>12711</v>
      </c>
      <c r="Q2468" t="s">
        <v>72</v>
      </c>
      <c r="R2468" t="s">
        <v>753</v>
      </c>
      <c r="S2468">
        <v>1</v>
      </c>
      <c r="T2468">
        <v>3784</v>
      </c>
      <c r="U2468">
        <v>0</v>
      </c>
      <c r="V2468">
        <v>3784</v>
      </c>
    </row>
    <row r="2469" spans="1:22" x14ac:dyDescent="0.3">
      <c r="A2469">
        <v>186607</v>
      </c>
      <c r="B2469">
        <v>136635729</v>
      </c>
      <c r="C2469" t="s">
        <v>12712</v>
      </c>
      <c r="D2469" t="s">
        <v>12713</v>
      </c>
      <c r="E2469" t="s">
        <v>11426</v>
      </c>
      <c r="F2469" t="s">
        <v>844</v>
      </c>
      <c r="G2469" t="s">
        <v>164</v>
      </c>
      <c r="H2469" t="s">
        <v>165</v>
      </c>
      <c r="I2469" t="s">
        <v>34</v>
      </c>
      <c r="J2469" t="s">
        <v>166</v>
      </c>
      <c r="K2469" t="s">
        <v>41</v>
      </c>
      <c r="L2469" t="s">
        <v>12714</v>
      </c>
      <c r="M2469" t="s">
        <v>12715</v>
      </c>
      <c r="N2469" t="s">
        <v>11429</v>
      </c>
      <c r="O2469" t="s">
        <v>101</v>
      </c>
      <c r="P2469" t="s">
        <v>12716</v>
      </c>
      <c r="Q2469" t="s">
        <v>246</v>
      </c>
      <c r="R2469" t="s">
        <v>11610</v>
      </c>
      <c r="S2469">
        <v>0.5</v>
      </c>
      <c r="T2469">
        <v>5367</v>
      </c>
      <c r="U2469">
        <v>0</v>
      </c>
      <c r="V2469">
        <v>5367</v>
      </c>
    </row>
    <row r="2470" spans="1:22" x14ac:dyDescent="0.3">
      <c r="A2470">
        <v>186607</v>
      </c>
      <c r="B2470">
        <v>136939709</v>
      </c>
      <c r="C2470" t="s">
        <v>12717</v>
      </c>
      <c r="D2470" t="s">
        <v>12718</v>
      </c>
      <c r="E2470" t="s">
        <v>11426</v>
      </c>
      <c r="F2470" t="s">
        <v>844</v>
      </c>
      <c r="G2470" t="s">
        <v>164</v>
      </c>
      <c r="H2470" t="s">
        <v>165</v>
      </c>
      <c r="I2470" t="s">
        <v>34</v>
      </c>
      <c r="J2470" t="s">
        <v>166</v>
      </c>
      <c r="K2470" t="s">
        <v>41</v>
      </c>
      <c r="L2470" t="s">
        <v>12719</v>
      </c>
      <c r="M2470" t="s">
        <v>12720</v>
      </c>
      <c r="N2470" t="s">
        <v>11429</v>
      </c>
      <c r="O2470" t="s">
        <v>101</v>
      </c>
      <c r="P2470" t="s">
        <v>12721</v>
      </c>
      <c r="Q2470" t="s">
        <v>71</v>
      </c>
      <c r="R2470" t="s">
        <v>568</v>
      </c>
      <c r="S2470">
        <v>0.5</v>
      </c>
      <c r="T2470">
        <v>3449</v>
      </c>
      <c r="U2470">
        <v>0</v>
      </c>
      <c r="V2470">
        <v>3449</v>
      </c>
    </row>
    <row r="2471" spans="1:22" x14ac:dyDescent="0.3">
      <c r="A2471">
        <v>186607</v>
      </c>
      <c r="B2471">
        <v>136997924</v>
      </c>
      <c r="C2471" t="s">
        <v>12722</v>
      </c>
      <c r="D2471" t="s">
        <v>12723</v>
      </c>
      <c r="E2471" t="s">
        <v>11426</v>
      </c>
      <c r="F2471" t="s">
        <v>844</v>
      </c>
      <c r="G2471" t="s">
        <v>164</v>
      </c>
      <c r="H2471" t="s">
        <v>165</v>
      </c>
      <c r="I2471" t="s">
        <v>34</v>
      </c>
      <c r="J2471" t="s">
        <v>166</v>
      </c>
      <c r="K2471" t="s">
        <v>41</v>
      </c>
      <c r="L2471" t="s">
        <v>12724</v>
      </c>
      <c r="M2471" t="s">
        <v>12725</v>
      </c>
      <c r="N2471" t="s">
        <v>11429</v>
      </c>
      <c r="O2471" t="s">
        <v>101</v>
      </c>
      <c r="P2471" t="s">
        <v>12726</v>
      </c>
      <c r="Q2471" t="s">
        <v>69</v>
      </c>
      <c r="R2471" t="s">
        <v>753</v>
      </c>
      <c r="S2471">
        <v>1</v>
      </c>
      <c r="T2471">
        <v>3753</v>
      </c>
      <c r="U2471">
        <v>0</v>
      </c>
      <c r="V2471">
        <v>3753</v>
      </c>
    </row>
    <row r="2472" spans="1:22" x14ac:dyDescent="0.3">
      <c r="A2472">
        <v>186607</v>
      </c>
      <c r="B2472">
        <v>136997932</v>
      </c>
      <c r="C2472" t="s">
        <v>12727</v>
      </c>
      <c r="D2472" t="s">
        <v>12728</v>
      </c>
      <c r="E2472" t="s">
        <v>11426</v>
      </c>
      <c r="F2472" t="s">
        <v>844</v>
      </c>
      <c r="G2472" t="s">
        <v>164</v>
      </c>
      <c r="H2472" t="s">
        <v>165</v>
      </c>
      <c r="I2472" t="s">
        <v>34</v>
      </c>
      <c r="J2472" t="s">
        <v>166</v>
      </c>
      <c r="K2472" t="s">
        <v>41</v>
      </c>
      <c r="L2472" t="s">
        <v>12729</v>
      </c>
      <c r="M2472" t="s">
        <v>12730</v>
      </c>
      <c r="N2472" t="s">
        <v>11429</v>
      </c>
      <c r="O2472" t="s">
        <v>101</v>
      </c>
      <c r="P2472" t="s">
        <v>12731</v>
      </c>
      <c r="Q2472" t="s">
        <v>49</v>
      </c>
      <c r="R2472" t="s">
        <v>753</v>
      </c>
      <c r="S2472">
        <v>0.5</v>
      </c>
      <c r="T2472">
        <v>3449</v>
      </c>
      <c r="U2472">
        <v>0</v>
      </c>
      <c r="V2472">
        <v>3449</v>
      </c>
    </row>
    <row r="2473" spans="1:22" x14ac:dyDescent="0.3">
      <c r="A2473">
        <v>186607</v>
      </c>
      <c r="B2473">
        <v>136997912</v>
      </c>
      <c r="C2473" t="s">
        <v>12732</v>
      </c>
      <c r="D2473" t="s">
        <v>12733</v>
      </c>
      <c r="E2473" t="s">
        <v>11426</v>
      </c>
      <c r="F2473" t="s">
        <v>844</v>
      </c>
      <c r="G2473" t="s">
        <v>164</v>
      </c>
      <c r="H2473" t="s">
        <v>165</v>
      </c>
      <c r="I2473" t="s">
        <v>34</v>
      </c>
      <c r="J2473" t="s">
        <v>166</v>
      </c>
      <c r="K2473" t="s">
        <v>41</v>
      </c>
      <c r="L2473" t="s">
        <v>12734</v>
      </c>
      <c r="M2473" t="s">
        <v>545</v>
      </c>
      <c r="N2473" t="s">
        <v>11429</v>
      </c>
      <c r="O2473" t="s">
        <v>101</v>
      </c>
      <c r="P2473" t="s">
        <v>12735</v>
      </c>
      <c r="Q2473" t="s">
        <v>63</v>
      </c>
      <c r="R2473" t="s">
        <v>753</v>
      </c>
      <c r="S2473">
        <v>1</v>
      </c>
      <c r="T2473">
        <v>4067</v>
      </c>
      <c r="U2473">
        <v>0</v>
      </c>
      <c r="V2473">
        <v>4067</v>
      </c>
    </row>
    <row r="2474" spans="1:22" x14ac:dyDescent="0.3">
      <c r="A2474">
        <v>186607</v>
      </c>
      <c r="B2474">
        <v>136939701</v>
      </c>
      <c r="C2474" t="s">
        <v>12736</v>
      </c>
      <c r="D2474" t="s">
        <v>12737</v>
      </c>
      <c r="E2474" t="s">
        <v>11426</v>
      </c>
      <c r="F2474" t="s">
        <v>844</v>
      </c>
      <c r="G2474" t="s">
        <v>164</v>
      </c>
      <c r="H2474" t="s">
        <v>165</v>
      </c>
      <c r="I2474" t="s">
        <v>34</v>
      </c>
      <c r="J2474" t="s">
        <v>166</v>
      </c>
      <c r="K2474" t="s">
        <v>41</v>
      </c>
      <c r="L2474" t="s">
        <v>12738</v>
      </c>
      <c r="M2474" t="s">
        <v>12739</v>
      </c>
      <c r="N2474" t="s">
        <v>11429</v>
      </c>
      <c r="O2474" t="s">
        <v>101</v>
      </c>
      <c r="P2474" t="s">
        <v>12740</v>
      </c>
      <c r="Q2474" t="s">
        <v>190</v>
      </c>
      <c r="R2474" t="s">
        <v>568</v>
      </c>
      <c r="S2474">
        <v>1</v>
      </c>
      <c r="T2474">
        <v>3366</v>
      </c>
      <c r="U2474">
        <v>0</v>
      </c>
      <c r="V2474">
        <v>3366</v>
      </c>
    </row>
    <row r="2475" spans="1:22" x14ac:dyDescent="0.3">
      <c r="A2475">
        <v>186607</v>
      </c>
      <c r="B2475">
        <v>136826115</v>
      </c>
      <c r="C2475" t="s">
        <v>12741</v>
      </c>
      <c r="D2475" t="s">
        <v>12742</v>
      </c>
      <c r="E2475" t="s">
        <v>11426</v>
      </c>
      <c r="F2475" t="s">
        <v>844</v>
      </c>
      <c r="G2475" t="s">
        <v>164</v>
      </c>
      <c r="H2475" t="s">
        <v>165</v>
      </c>
      <c r="I2475" t="s">
        <v>34</v>
      </c>
      <c r="J2475" t="s">
        <v>166</v>
      </c>
      <c r="K2475" t="s">
        <v>41</v>
      </c>
      <c r="L2475" t="s">
        <v>12743</v>
      </c>
      <c r="M2475" t="s">
        <v>12744</v>
      </c>
      <c r="N2475" t="s">
        <v>11429</v>
      </c>
      <c r="O2475" t="s">
        <v>101</v>
      </c>
      <c r="P2475" t="s">
        <v>12745</v>
      </c>
      <c r="Q2475" t="s">
        <v>239</v>
      </c>
      <c r="R2475" t="s">
        <v>679</v>
      </c>
      <c r="S2475">
        <v>0.5</v>
      </c>
      <c r="T2475">
        <v>4067</v>
      </c>
      <c r="U2475">
        <v>0</v>
      </c>
      <c r="V2475">
        <v>4067</v>
      </c>
    </row>
    <row r="2476" spans="1:22" x14ac:dyDescent="0.3">
      <c r="A2476">
        <v>186607</v>
      </c>
      <c r="B2476">
        <v>135983365</v>
      </c>
      <c r="C2476" t="s">
        <v>12746</v>
      </c>
      <c r="D2476" t="s">
        <v>12747</v>
      </c>
      <c r="E2476" t="s">
        <v>11426</v>
      </c>
      <c r="F2476" t="s">
        <v>844</v>
      </c>
      <c r="G2476" t="s">
        <v>164</v>
      </c>
      <c r="H2476" t="s">
        <v>165</v>
      </c>
      <c r="I2476" t="s">
        <v>34</v>
      </c>
      <c r="J2476" t="s">
        <v>166</v>
      </c>
      <c r="K2476" t="s">
        <v>41</v>
      </c>
      <c r="L2476" t="s">
        <v>12748</v>
      </c>
      <c r="M2476" t="s">
        <v>12749</v>
      </c>
      <c r="N2476" t="s">
        <v>11429</v>
      </c>
      <c r="O2476" t="s">
        <v>101</v>
      </c>
      <c r="P2476" t="s">
        <v>12750</v>
      </c>
      <c r="Q2476" t="s">
        <v>264</v>
      </c>
      <c r="R2476" t="s">
        <v>178</v>
      </c>
      <c r="S2476">
        <v>1</v>
      </c>
      <c r="T2476">
        <v>5759</v>
      </c>
      <c r="U2476">
        <v>0</v>
      </c>
      <c r="V2476">
        <v>5759</v>
      </c>
    </row>
    <row r="2477" spans="1:22" x14ac:dyDescent="0.3">
      <c r="A2477">
        <v>186607</v>
      </c>
      <c r="B2477">
        <v>136997927</v>
      </c>
      <c r="C2477" t="s">
        <v>12751</v>
      </c>
      <c r="D2477" t="s">
        <v>12752</v>
      </c>
      <c r="E2477" t="s">
        <v>11426</v>
      </c>
      <c r="F2477" t="s">
        <v>844</v>
      </c>
      <c r="G2477" t="s">
        <v>164</v>
      </c>
      <c r="H2477" t="s">
        <v>165</v>
      </c>
      <c r="I2477" t="s">
        <v>34</v>
      </c>
      <c r="J2477" t="s">
        <v>166</v>
      </c>
      <c r="K2477" t="s">
        <v>41</v>
      </c>
      <c r="L2477" t="s">
        <v>12753</v>
      </c>
      <c r="M2477" t="s">
        <v>12754</v>
      </c>
      <c r="N2477" t="s">
        <v>11429</v>
      </c>
      <c r="O2477" t="s">
        <v>101</v>
      </c>
      <c r="P2477" t="s">
        <v>12755</v>
      </c>
      <c r="Q2477" t="s">
        <v>69</v>
      </c>
      <c r="R2477" t="s">
        <v>753</v>
      </c>
      <c r="S2477">
        <v>0.5</v>
      </c>
      <c r="T2477">
        <v>3680</v>
      </c>
      <c r="U2477">
        <v>0</v>
      </c>
      <c r="V2477">
        <v>3680</v>
      </c>
    </row>
    <row r="2478" spans="1:22" x14ac:dyDescent="0.3">
      <c r="A2478">
        <v>186607</v>
      </c>
      <c r="B2478">
        <v>136997928</v>
      </c>
      <c r="C2478" t="s">
        <v>12756</v>
      </c>
      <c r="D2478" t="s">
        <v>12757</v>
      </c>
      <c r="E2478" t="s">
        <v>11426</v>
      </c>
      <c r="F2478" t="s">
        <v>844</v>
      </c>
      <c r="G2478" t="s">
        <v>164</v>
      </c>
      <c r="H2478" t="s">
        <v>165</v>
      </c>
      <c r="I2478" t="s">
        <v>34</v>
      </c>
      <c r="J2478" t="s">
        <v>166</v>
      </c>
      <c r="K2478" t="s">
        <v>41</v>
      </c>
      <c r="L2478" t="s">
        <v>12758</v>
      </c>
      <c r="M2478" t="s">
        <v>12759</v>
      </c>
      <c r="N2478" t="s">
        <v>11429</v>
      </c>
      <c r="O2478" t="s">
        <v>101</v>
      </c>
      <c r="P2478" t="s">
        <v>12760</v>
      </c>
      <c r="Q2478" t="s">
        <v>78</v>
      </c>
      <c r="R2478" t="s">
        <v>753</v>
      </c>
      <c r="S2478">
        <v>0.5</v>
      </c>
      <c r="T2478">
        <v>3449</v>
      </c>
      <c r="U2478">
        <v>0</v>
      </c>
      <c r="V2478">
        <v>3449</v>
      </c>
    </row>
    <row r="2479" spans="1:22" x14ac:dyDescent="0.3">
      <c r="A2479">
        <v>186607</v>
      </c>
      <c r="B2479">
        <v>136939714</v>
      </c>
      <c r="C2479" t="s">
        <v>12761</v>
      </c>
      <c r="D2479" t="s">
        <v>12762</v>
      </c>
      <c r="E2479" t="s">
        <v>11426</v>
      </c>
      <c r="F2479" t="s">
        <v>844</v>
      </c>
      <c r="G2479" t="s">
        <v>164</v>
      </c>
      <c r="H2479" t="s">
        <v>165</v>
      </c>
      <c r="I2479" t="s">
        <v>34</v>
      </c>
      <c r="J2479" t="s">
        <v>166</v>
      </c>
      <c r="K2479" t="s">
        <v>41</v>
      </c>
      <c r="L2479" t="s">
        <v>12763</v>
      </c>
      <c r="M2479" t="s">
        <v>12764</v>
      </c>
      <c r="N2479" t="s">
        <v>11429</v>
      </c>
      <c r="O2479" t="s">
        <v>101</v>
      </c>
      <c r="P2479" t="s">
        <v>12765</v>
      </c>
      <c r="Q2479" t="s">
        <v>84</v>
      </c>
      <c r="R2479" t="s">
        <v>568</v>
      </c>
      <c r="S2479">
        <v>0.5</v>
      </c>
      <c r="T2479">
        <v>3299</v>
      </c>
      <c r="U2479">
        <v>0</v>
      </c>
      <c r="V2479">
        <v>3299</v>
      </c>
    </row>
    <row r="2480" spans="1:22" x14ac:dyDescent="0.3">
      <c r="A2480">
        <v>186607</v>
      </c>
      <c r="B2480">
        <v>136997889</v>
      </c>
      <c r="C2480" t="s">
        <v>12766</v>
      </c>
      <c r="D2480" t="s">
        <v>12767</v>
      </c>
      <c r="E2480" t="s">
        <v>11426</v>
      </c>
      <c r="F2480" t="s">
        <v>844</v>
      </c>
      <c r="G2480" t="s">
        <v>164</v>
      </c>
      <c r="H2480" t="s">
        <v>165</v>
      </c>
      <c r="I2480" t="s">
        <v>34</v>
      </c>
      <c r="J2480" t="s">
        <v>166</v>
      </c>
      <c r="K2480" t="s">
        <v>41</v>
      </c>
      <c r="L2480" t="s">
        <v>12768</v>
      </c>
      <c r="M2480" t="s">
        <v>12769</v>
      </c>
      <c r="N2480" t="s">
        <v>11429</v>
      </c>
      <c r="O2480" t="s">
        <v>101</v>
      </c>
      <c r="P2480" t="s">
        <v>12770</v>
      </c>
      <c r="Q2480" t="s">
        <v>77</v>
      </c>
      <c r="R2480" t="s">
        <v>753</v>
      </c>
      <c r="S2480">
        <v>0.5</v>
      </c>
      <c r="T2480">
        <v>7359</v>
      </c>
      <c r="U2480">
        <v>0</v>
      </c>
      <c r="V2480">
        <v>7359</v>
      </c>
    </row>
    <row r="2481" spans="1:22" x14ac:dyDescent="0.3">
      <c r="A2481">
        <v>186607</v>
      </c>
      <c r="B2481">
        <v>136997906</v>
      </c>
      <c r="C2481" t="s">
        <v>12771</v>
      </c>
      <c r="D2481" t="s">
        <v>12772</v>
      </c>
      <c r="E2481" t="s">
        <v>11426</v>
      </c>
      <c r="F2481" t="s">
        <v>844</v>
      </c>
      <c r="G2481" t="s">
        <v>164</v>
      </c>
      <c r="H2481" t="s">
        <v>165</v>
      </c>
      <c r="I2481" t="s">
        <v>34</v>
      </c>
      <c r="J2481" t="s">
        <v>166</v>
      </c>
      <c r="K2481" t="s">
        <v>41</v>
      </c>
      <c r="L2481" t="s">
        <v>12773</v>
      </c>
      <c r="M2481" t="s">
        <v>12774</v>
      </c>
      <c r="N2481" t="s">
        <v>11429</v>
      </c>
      <c r="O2481" t="s">
        <v>101</v>
      </c>
      <c r="P2481" t="s">
        <v>12775</v>
      </c>
      <c r="Q2481" t="s">
        <v>59</v>
      </c>
      <c r="R2481" t="s">
        <v>753</v>
      </c>
      <c r="S2481">
        <v>1</v>
      </c>
      <c r="T2481">
        <v>4067</v>
      </c>
      <c r="U2481">
        <v>0</v>
      </c>
      <c r="V2481">
        <v>4067</v>
      </c>
    </row>
    <row r="2482" spans="1:22" x14ac:dyDescent="0.3">
      <c r="A2482">
        <v>186607</v>
      </c>
      <c r="B2482">
        <v>136997929</v>
      </c>
      <c r="C2482" t="s">
        <v>12776</v>
      </c>
      <c r="D2482" t="s">
        <v>12777</v>
      </c>
      <c r="E2482" t="s">
        <v>11426</v>
      </c>
      <c r="F2482" t="s">
        <v>844</v>
      </c>
      <c r="G2482" t="s">
        <v>164</v>
      </c>
      <c r="H2482" t="s">
        <v>165</v>
      </c>
      <c r="I2482" t="s">
        <v>34</v>
      </c>
      <c r="J2482" t="s">
        <v>166</v>
      </c>
      <c r="K2482" t="s">
        <v>41</v>
      </c>
      <c r="L2482" t="s">
        <v>12778</v>
      </c>
      <c r="M2482" t="s">
        <v>12779</v>
      </c>
      <c r="N2482" t="s">
        <v>11429</v>
      </c>
      <c r="O2482" t="s">
        <v>101</v>
      </c>
      <c r="P2482" t="s">
        <v>12780</v>
      </c>
      <c r="Q2482" t="s">
        <v>96</v>
      </c>
      <c r="R2482" t="s">
        <v>753</v>
      </c>
      <c r="S2482">
        <v>0.5</v>
      </c>
      <c r="T2482">
        <v>3794</v>
      </c>
      <c r="U2482">
        <v>0</v>
      </c>
      <c r="V2482">
        <v>3794</v>
      </c>
    </row>
    <row r="2483" spans="1:22" x14ac:dyDescent="0.3">
      <c r="A2483">
        <v>186607</v>
      </c>
      <c r="B2483">
        <v>136939718</v>
      </c>
      <c r="C2483" t="s">
        <v>12781</v>
      </c>
      <c r="D2483" t="s">
        <v>12782</v>
      </c>
      <c r="E2483" t="s">
        <v>11426</v>
      </c>
      <c r="F2483" t="s">
        <v>844</v>
      </c>
      <c r="G2483" t="s">
        <v>164</v>
      </c>
      <c r="H2483" t="s">
        <v>165</v>
      </c>
      <c r="I2483" t="s">
        <v>34</v>
      </c>
      <c r="J2483" t="s">
        <v>166</v>
      </c>
      <c r="K2483" t="s">
        <v>41</v>
      </c>
      <c r="L2483" t="s">
        <v>12783</v>
      </c>
      <c r="M2483" t="s">
        <v>12784</v>
      </c>
      <c r="N2483" t="s">
        <v>11429</v>
      </c>
      <c r="O2483" t="s">
        <v>101</v>
      </c>
      <c r="P2483" t="s">
        <v>12785</v>
      </c>
      <c r="Q2483" t="s">
        <v>72</v>
      </c>
      <c r="R2483" t="s">
        <v>568</v>
      </c>
      <c r="S2483">
        <v>0.5</v>
      </c>
      <c r="T2483">
        <v>3449</v>
      </c>
      <c r="U2483">
        <v>0</v>
      </c>
      <c r="V2483">
        <v>3449</v>
      </c>
    </row>
    <row r="2484" spans="1:22" x14ac:dyDescent="0.3">
      <c r="A2484">
        <v>186607</v>
      </c>
      <c r="B2484">
        <v>136939708</v>
      </c>
      <c r="C2484" t="s">
        <v>12786</v>
      </c>
      <c r="D2484" t="s">
        <v>12787</v>
      </c>
      <c r="E2484" t="s">
        <v>11426</v>
      </c>
      <c r="F2484" t="s">
        <v>844</v>
      </c>
      <c r="G2484" t="s">
        <v>164</v>
      </c>
      <c r="H2484" t="s">
        <v>165</v>
      </c>
      <c r="I2484" t="s">
        <v>34</v>
      </c>
      <c r="J2484" t="s">
        <v>166</v>
      </c>
      <c r="K2484" t="s">
        <v>41</v>
      </c>
      <c r="L2484" t="s">
        <v>12788</v>
      </c>
      <c r="M2484" t="s">
        <v>12789</v>
      </c>
      <c r="N2484" t="s">
        <v>11429</v>
      </c>
      <c r="O2484" t="s">
        <v>101</v>
      </c>
      <c r="P2484" t="s">
        <v>12790</v>
      </c>
      <c r="Q2484" t="s">
        <v>200</v>
      </c>
      <c r="R2484" t="s">
        <v>568</v>
      </c>
      <c r="S2484">
        <v>1</v>
      </c>
      <c r="T2484">
        <v>3753</v>
      </c>
      <c r="U2484">
        <v>0</v>
      </c>
      <c r="V2484">
        <v>3753</v>
      </c>
    </row>
    <row r="2485" spans="1:22" x14ac:dyDescent="0.3">
      <c r="A2485">
        <v>186607</v>
      </c>
      <c r="B2485">
        <v>136939719</v>
      </c>
      <c r="C2485" t="s">
        <v>12791</v>
      </c>
      <c r="D2485" t="s">
        <v>12792</v>
      </c>
      <c r="E2485" t="s">
        <v>11426</v>
      </c>
      <c r="F2485" t="s">
        <v>844</v>
      </c>
      <c r="G2485" t="s">
        <v>164</v>
      </c>
      <c r="H2485" t="s">
        <v>165</v>
      </c>
      <c r="I2485" t="s">
        <v>34</v>
      </c>
      <c r="J2485" t="s">
        <v>166</v>
      </c>
      <c r="K2485" t="s">
        <v>41</v>
      </c>
      <c r="L2485" t="s">
        <v>12793</v>
      </c>
      <c r="M2485" t="s">
        <v>12794</v>
      </c>
      <c r="N2485" t="s">
        <v>11429</v>
      </c>
      <c r="O2485" t="s">
        <v>101</v>
      </c>
      <c r="P2485" t="s">
        <v>12795</v>
      </c>
      <c r="Q2485" t="s">
        <v>69</v>
      </c>
      <c r="R2485" t="s">
        <v>12796</v>
      </c>
      <c r="S2485">
        <v>0.5</v>
      </c>
      <c r="T2485">
        <v>3680</v>
      </c>
      <c r="U2485">
        <v>0</v>
      </c>
      <c r="V2485">
        <v>3680</v>
      </c>
    </row>
    <row r="2486" spans="1:22" x14ac:dyDescent="0.3">
      <c r="A2486">
        <v>186607</v>
      </c>
      <c r="B2486">
        <v>136939721</v>
      </c>
      <c r="C2486" t="s">
        <v>12797</v>
      </c>
      <c r="D2486" t="s">
        <v>12798</v>
      </c>
      <c r="E2486" t="s">
        <v>11426</v>
      </c>
      <c r="F2486" t="s">
        <v>844</v>
      </c>
      <c r="G2486" t="s">
        <v>164</v>
      </c>
      <c r="H2486" t="s">
        <v>165</v>
      </c>
      <c r="I2486" t="s">
        <v>34</v>
      </c>
      <c r="J2486" t="s">
        <v>166</v>
      </c>
      <c r="K2486" t="s">
        <v>41</v>
      </c>
      <c r="L2486" t="s">
        <v>12799</v>
      </c>
      <c r="M2486" t="s">
        <v>12800</v>
      </c>
      <c r="N2486" t="s">
        <v>11429</v>
      </c>
      <c r="O2486" t="s">
        <v>101</v>
      </c>
      <c r="P2486" t="s">
        <v>12801</v>
      </c>
      <c r="Q2486" t="s">
        <v>69</v>
      </c>
      <c r="R2486" t="s">
        <v>12796</v>
      </c>
      <c r="S2486">
        <v>1</v>
      </c>
      <c r="T2486">
        <v>3753</v>
      </c>
      <c r="U2486">
        <v>0</v>
      </c>
      <c r="V2486">
        <v>3753</v>
      </c>
    </row>
    <row r="2487" spans="1:22" x14ac:dyDescent="0.3">
      <c r="A2487">
        <v>186607</v>
      </c>
      <c r="B2487">
        <v>136364571</v>
      </c>
      <c r="C2487" t="s">
        <v>12802</v>
      </c>
      <c r="D2487" t="s">
        <v>12803</v>
      </c>
      <c r="E2487" t="s">
        <v>11426</v>
      </c>
      <c r="F2487" t="s">
        <v>844</v>
      </c>
      <c r="G2487" t="s">
        <v>164</v>
      </c>
      <c r="H2487" t="s">
        <v>165</v>
      </c>
      <c r="I2487" t="s">
        <v>34</v>
      </c>
      <c r="J2487" t="s">
        <v>166</v>
      </c>
      <c r="K2487" t="s">
        <v>41</v>
      </c>
      <c r="L2487" t="s">
        <v>12804</v>
      </c>
      <c r="M2487" t="s">
        <v>12805</v>
      </c>
      <c r="N2487" t="s">
        <v>11429</v>
      </c>
      <c r="O2487" t="s">
        <v>101</v>
      </c>
      <c r="P2487" t="s">
        <v>12806</v>
      </c>
      <c r="Q2487" t="s">
        <v>52</v>
      </c>
      <c r="R2487" t="s">
        <v>758</v>
      </c>
      <c r="S2487">
        <v>1</v>
      </c>
      <c r="T2487">
        <v>5759</v>
      </c>
      <c r="U2487">
        <v>0</v>
      </c>
      <c r="V2487">
        <v>5759</v>
      </c>
    </row>
    <row r="2488" spans="1:22" x14ac:dyDescent="0.3">
      <c r="A2488">
        <v>186607</v>
      </c>
      <c r="B2488">
        <v>136792740</v>
      </c>
      <c r="C2488" t="s">
        <v>12807</v>
      </c>
      <c r="D2488" t="s">
        <v>12808</v>
      </c>
      <c r="E2488" t="s">
        <v>11426</v>
      </c>
      <c r="F2488" t="s">
        <v>844</v>
      </c>
      <c r="G2488" t="s">
        <v>164</v>
      </c>
      <c r="H2488" t="s">
        <v>165</v>
      </c>
      <c r="I2488" t="s">
        <v>34</v>
      </c>
      <c r="J2488" t="s">
        <v>166</v>
      </c>
      <c r="K2488" t="s">
        <v>41</v>
      </c>
      <c r="L2488" t="s">
        <v>12809</v>
      </c>
      <c r="M2488" t="s">
        <v>12810</v>
      </c>
      <c r="N2488" t="s">
        <v>11429</v>
      </c>
      <c r="O2488" t="s">
        <v>101</v>
      </c>
      <c r="P2488" t="s">
        <v>12811</v>
      </c>
      <c r="Q2488" t="s">
        <v>58</v>
      </c>
      <c r="R2488" t="s">
        <v>12701</v>
      </c>
      <c r="S2488">
        <v>0.5</v>
      </c>
      <c r="T2488">
        <v>4067</v>
      </c>
      <c r="U2488">
        <v>0</v>
      </c>
      <c r="V2488">
        <v>4067</v>
      </c>
    </row>
    <row r="2489" spans="1:22" x14ac:dyDescent="0.3">
      <c r="A2489">
        <v>186607</v>
      </c>
      <c r="B2489">
        <v>136826142</v>
      </c>
      <c r="C2489" t="s">
        <v>12812</v>
      </c>
      <c r="D2489" t="s">
        <v>12813</v>
      </c>
      <c r="E2489" t="s">
        <v>11426</v>
      </c>
      <c r="F2489" t="s">
        <v>844</v>
      </c>
      <c r="G2489" t="s">
        <v>164</v>
      </c>
      <c r="H2489" t="s">
        <v>165</v>
      </c>
      <c r="I2489" t="s">
        <v>34</v>
      </c>
      <c r="J2489" t="s">
        <v>166</v>
      </c>
      <c r="K2489" t="s">
        <v>41</v>
      </c>
      <c r="L2489" t="s">
        <v>12814</v>
      </c>
      <c r="M2489" t="s">
        <v>12815</v>
      </c>
      <c r="N2489" t="s">
        <v>11429</v>
      </c>
      <c r="O2489" t="s">
        <v>101</v>
      </c>
      <c r="P2489" t="s">
        <v>12816</v>
      </c>
      <c r="Q2489" t="s">
        <v>69</v>
      </c>
      <c r="R2489" t="s">
        <v>679</v>
      </c>
      <c r="S2489">
        <v>0.5</v>
      </c>
      <c r="T2489">
        <v>3680</v>
      </c>
      <c r="U2489">
        <v>0</v>
      </c>
      <c r="V2489">
        <v>3680</v>
      </c>
    </row>
    <row r="2490" spans="1:22" x14ac:dyDescent="0.3">
      <c r="A2490">
        <v>186607</v>
      </c>
      <c r="B2490">
        <v>136826082</v>
      </c>
      <c r="C2490" t="s">
        <v>12817</v>
      </c>
      <c r="D2490" t="s">
        <v>12818</v>
      </c>
      <c r="E2490" t="s">
        <v>11426</v>
      </c>
      <c r="F2490" t="s">
        <v>844</v>
      </c>
      <c r="G2490" t="s">
        <v>164</v>
      </c>
      <c r="H2490" t="s">
        <v>165</v>
      </c>
      <c r="I2490" t="s">
        <v>34</v>
      </c>
      <c r="J2490" t="s">
        <v>166</v>
      </c>
      <c r="K2490" t="s">
        <v>41</v>
      </c>
      <c r="L2490" t="s">
        <v>12819</v>
      </c>
      <c r="M2490" t="s">
        <v>12820</v>
      </c>
      <c r="N2490" t="s">
        <v>11429</v>
      </c>
      <c r="O2490" t="s">
        <v>101</v>
      </c>
      <c r="P2490" t="s">
        <v>12821</v>
      </c>
      <c r="Q2490" t="s">
        <v>57</v>
      </c>
      <c r="R2490" t="s">
        <v>679</v>
      </c>
      <c r="S2490">
        <v>0.5</v>
      </c>
      <c r="T2490">
        <v>4067</v>
      </c>
      <c r="U2490">
        <v>0</v>
      </c>
      <c r="V2490">
        <v>4067</v>
      </c>
    </row>
    <row r="2491" spans="1:22" x14ac:dyDescent="0.3">
      <c r="A2491">
        <v>186607</v>
      </c>
      <c r="B2491">
        <v>136635650</v>
      </c>
      <c r="C2491" t="s">
        <v>12822</v>
      </c>
      <c r="D2491" t="s">
        <v>12823</v>
      </c>
      <c r="E2491" t="s">
        <v>11426</v>
      </c>
      <c r="F2491" t="s">
        <v>844</v>
      </c>
      <c r="G2491" t="s">
        <v>164</v>
      </c>
      <c r="H2491" t="s">
        <v>165</v>
      </c>
      <c r="I2491" t="s">
        <v>34</v>
      </c>
      <c r="J2491" t="s">
        <v>166</v>
      </c>
      <c r="K2491" t="s">
        <v>41</v>
      </c>
      <c r="L2491" t="s">
        <v>12824</v>
      </c>
      <c r="M2491" t="s">
        <v>355</v>
      </c>
      <c r="N2491" t="s">
        <v>11429</v>
      </c>
      <c r="O2491" t="s">
        <v>101</v>
      </c>
      <c r="P2491" t="s">
        <v>356</v>
      </c>
      <c r="Q2491" t="s">
        <v>229</v>
      </c>
      <c r="R2491" t="s">
        <v>11610</v>
      </c>
      <c r="S2491">
        <v>0.5</v>
      </c>
      <c r="T2491">
        <v>3680</v>
      </c>
      <c r="U2491">
        <v>0</v>
      </c>
      <c r="V2491">
        <v>3680</v>
      </c>
    </row>
    <row r="2492" spans="1:22" x14ac:dyDescent="0.3">
      <c r="A2492">
        <v>186607</v>
      </c>
      <c r="B2492">
        <v>136826149</v>
      </c>
      <c r="C2492" t="s">
        <v>12825</v>
      </c>
      <c r="D2492" t="s">
        <v>12826</v>
      </c>
      <c r="E2492" t="s">
        <v>11426</v>
      </c>
      <c r="F2492" t="s">
        <v>844</v>
      </c>
      <c r="G2492" t="s">
        <v>164</v>
      </c>
      <c r="H2492" t="s">
        <v>165</v>
      </c>
      <c r="I2492" t="s">
        <v>34</v>
      </c>
      <c r="J2492" t="s">
        <v>166</v>
      </c>
      <c r="K2492" t="s">
        <v>41</v>
      </c>
      <c r="L2492" t="s">
        <v>12827</v>
      </c>
      <c r="M2492" t="s">
        <v>12828</v>
      </c>
      <c r="N2492" t="s">
        <v>11429</v>
      </c>
      <c r="O2492" t="s">
        <v>101</v>
      </c>
      <c r="P2492" t="s">
        <v>12829</v>
      </c>
      <c r="Q2492" t="s">
        <v>109</v>
      </c>
      <c r="R2492" t="s">
        <v>679</v>
      </c>
      <c r="S2492">
        <v>0.5</v>
      </c>
      <c r="T2492">
        <v>3680</v>
      </c>
      <c r="U2492">
        <v>0</v>
      </c>
      <c r="V2492">
        <v>3680</v>
      </c>
    </row>
    <row r="2493" spans="1:22" x14ac:dyDescent="0.3">
      <c r="A2493">
        <v>186607</v>
      </c>
      <c r="B2493">
        <v>136859958</v>
      </c>
      <c r="C2493" t="s">
        <v>12830</v>
      </c>
      <c r="D2493" t="s">
        <v>12831</v>
      </c>
      <c r="E2493" t="s">
        <v>11426</v>
      </c>
      <c r="F2493" t="s">
        <v>844</v>
      </c>
      <c r="G2493" t="s">
        <v>164</v>
      </c>
      <c r="H2493" t="s">
        <v>165</v>
      </c>
      <c r="I2493" t="s">
        <v>34</v>
      </c>
      <c r="J2493" t="s">
        <v>166</v>
      </c>
      <c r="K2493" t="s">
        <v>41</v>
      </c>
      <c r="L2493" t="s">
        <v>12832</v>
      </c>
      <c r="M2493" t="s">
        <v>12833</v>
      </c>
      <c r="N2493" t="s">
        <v>11429</v>
      </c>
      <c r="O2493" t="s">
        <v>101</v>
      </c>
      <c r="P2493" t="s">
        <v>12834</v>
      </c>
      <c r="Q2493" t="s">
        <v>55</v>
      </c>
      <c r="R2493" t="s">
        <v>650</v>
      </c>
      <c r="S2493">
        <v>0.5</v>
      </c>
      <c r="T2493">
        <v>4067</v>
      </c>
      <c r="U2493">
        <v>0</v>
      </c>
      <c r="V2493">
        <v>4067</v>
      </c>
    </row>
    <row r="2494" spans="1:22" x14ac:dyDescent="0.3">
      <c r="A2494">
        <v>186607</v>
      </c>
      <c r="B2494">
        <v>136826122</v>
      </c>
      <c r="C2494" t="s">
        <v>12835</v>
      </c>
      <c r="D2494" t="s">
        <v>12836</v>
      </c>
      <c r="E2494" t="s">
        <v>11426</v>
      </c>
      <c r="F2494" t="s">
        <v>844</v>
      </c>
      <c r="G2494" t="s">
        <v>164</v>
      </c>
      <c r="H2494" t="s">
        <v>165</v>
      </c>
      <c r="I2494" t="s">
        <v>34</v>
      </c>
      <c r="J2494" t="s">
        <v>166</v>
      </c>
      <c r="K2494" t="s">
        <v>41</v>
      </c>
      <c r="L2494" t="s">
        <v>12837</v>
      </c>
      <c r="M2494" t="s">
        <v>12838</v>
      </c>
      <c r="N2494" t="s">
        <v>11429</v>
      </c>
      <c r="O2494" t="s">
        <v>101</v>
      </c>
      <c r="P2494" t="s">
        <v>12839</v>
      </c>
      <c r="Q2494" t="s">
        <v>190</v>
      </c>
      <c r="R2494" t="s">
        <v>679</v>
      </c>
      <c r="S2494">
        <v>1</v>
      </c>
      <c r="T2494">
        <v>3366</v>
      </c>
      <c r="U2494">
        <v>0</v>
      </c>
      <c r="V2494">
        <v>3366</v>
      </c>
    </row>
    <row r="2495" spans="1:22" x14ac:dyDescent="0.3">
      <c r="A2495">
        <v>186607</v>
      </c>
      <c r="B2495">
        <v>136724116</v>
      </c>
      <c r="C2495" t="s">
        <v>12840</v>
      </c>
      <c r="D2495" t="s">
        <v>12841</v>
      </c>
      <c r="E2495" t="s">
        <v>11426</v>
      </c>
      <c r="F2495" t="s">
        <v>844</v>
      </c>
      <c r="G2495" t="s">
        <v>164</v>
      </c>
      <c r="H2495" t="s">
        <v>165</v>
      </c>
      <c r="I2495" t="s">
        <v>34</v>
      </c>
      <c r="J2495" t="s">
        <v>166</v>
      </c>
      <c r="K2495" t="s">
        <v>41</v>
      </c>
      <c r="L2495" t="s">
        <v>12842</v>
      </c>
      <c r="M2495" t="s">
        <v>12843</v>
      </c>
      <c r="N2495" t="s">
        <v>11429</v>
      </c>
      <c r="O2495" t="s">
        <v>101</v>
      </c>
      <c r="P2495" t="s">
        <v>12844</v>
      </c>
      <c r="Q2495" t="s">
        <v>239</v>
      </c>
      <c r="R2495" t="s">
        <v>12845</v>
      </c>
      <c r="S2495">
        <v>3.74</v>
      </c>
      <c r="T2495">
        <v>7749</v>
      </c>
      <c r="U2495">
        <v>0</v>
      </c>
      <c r="V2495">
        <v>7749</v>
      </c>
    </row>
    <row r="2496" spans="1:22" x14ac:dyDescent="0.3">
      <c r="A2496">
        <v>186607</v>
      </c>
      <c r="B2496">
        <v>136859965</v>
      </c>
      <c r="C2496" t="s">
        <v>12846</v>
      </c>
      <c r="D2496" t="s">
        <v>12847</v>
      </c>
      <c r="E2496" t="s">
        <v>11426</v>
      </c>
      <c r="F2496" t="s">
        <v>844</v>
      </c>
      <c r="G2496" t="s">
        <v>164</v>
      </c>
      <c r="H2496" t="s">
        <v>165</v>
      </c>
      <c r="I2496" t="s">
        <v>34</v>
      </c>
      <c r="J2496" t="s">
        <v>166</v>
      </c>
      <c r="K2496" t="s">
        <v>41</v>
      </c>
      <c r="L2496" t="s">
        <v>12848</v>
      </c>
      <c r="M2496" t="s">
        <v>12849</v>
      </c>
      <c r="N2496" t="s">
        <v>11429</v>
      </c>
      <c r="O2496" t="s">
        <v>101</v>
      </c>
      <c r="P2496" t="s">
        <v>12850</v>
      </c>
      <c r="Q2496" t="s">
        <v>55</v>
      </c>
      <c r="R2496" t="s">
        <v>650</v>
      </c>
      <c r="S2496">
        <v>0.5</v>
      </c>
      <c r="T2496">
        <v>4067</v>
      </c>
      <c r="U2496">
        <v>0</v>
      </c>
      <c r="V2496">
        <v>4067</v>
      </c>
    </row>
    <row r="2497" spans="1:22" x14ac:dyDescent="0.3">
      <c r="A2497">
        <v>186607</v>
      </c>
      <c r="B2497">
        <v>136826110</v>
      </c>
      <c r="C2497" t="s">
        <v>12851</v>
      </c>
      <c r="D2497" t="s">
        <v>12852</v>
      </c>
      <c r="E2497" t="s">
        <v>11426</v>
      </c>
      <c r="F2497" t="s">
        <v>844</v>
      </c>
      <c r="G2497" t="s">
        <v>164</v>
      </c>
      <c r="H2497" t="s">
        <v>165</v>
      </c>
      <c r="I2497" t="s">
        <v>34</v>
      </c>
      <c r="J2497" t="s">
        <v>166</v>
      </c>
      <c r="K2497" t="s">
        <v>41</v>
      </c>
      <c r="L2497" t="s">
        <v>12853</v>
      </c>
      <c r="M2497" t="s">
        <v>12854</v>
      </c>
      <c r="N2497" t="s">
        <v>11429</v>
      </c>
      <c r="O2497" t="s">
        <v>101</v>
      </c>
      <c r="P2497" t="s">
        <v>12855</v>
      </c>
      <c r="Q2497" t="s">
        <v>55</v>
      </c>
      <c r="R2497" t="s">
        <v>679</v>
      </c>
      <c r="S2497">
        <v>1</v>
      </c>
      <c r="T2497">
        <v>5198</v>
      </c>
      <c r="U2497">
        <v>0</v>
      </c>
      <c r="V2497">
        <v>5198</v>
      </c>
    </row>
    <row r="2498" spans="1:22" x14ac:dyDescent="0.3">
      <c r="A2498">
        <v>186607</v>
      </c>
      <c r="B2498">
        <v>135504226</v>
      </c>
      <c r="C2498" t="s">
        <v>12856</v>
      </c>
      <c r="D2498" t="s">
        <v>12857</v>
      </c>
      <c r="E2498" t="s">
        <v>11426</v>
      </c>
      <c r="F2498" t="s">
        <v>844</v>
      </c>
      <c r="G2498" t="s">
        <v>172</v>
      </c>
      <c r="H2498" t="s">
        <v>173</v>
      </c>
      <c r="I2498" t="s">
        <v>34</v>
      </c>
      <c r="J2498" t="s">
        <v>272</v>
      </c>
      <c r="K2498" t="s">
        <v>41</v>
      </c>
      <c r="L2498" t="s">
        <v>174</v>
      </c>
      <c r="M2498" t="s">
        <v>12858</v>
      </c>
      <c r="N2498" t="s">
        <v>11429</v>
      </c>
      <c r="O2498" t="s">
        <v>101</v>
      </c>
      <c r="P2498" t="s">
        <v>12859</v>
      </c>
      <c r="Q2498" t="s">
        <v>113</v>
      </c>
      <c r="R2498" t="s">
        <v>12860</v>
      </c>
      <c r="S2498">
        <v>2.5099999999999998</v>
      </c>
      <c r="T2498">
        <v>6800</v>
      </c>
      <c r="U2498">
        <v>0</v>
      </c>
      <c r="V2498">
        <v>6800</v>
      </c>
    </row>
    <row r="2499" spans="1:22" x14ac:dyDescent="0.3">
      <c r="A2499">
        <v>186607</v>
      </c>
      <c r="B2499">
        <v>136792761</v>
      </c>
      <c r="C2499" t="s">
        <v>12861</v>
      </c>
      <c r="D2499" t="s">
        <v>12862</v>
      </c>
      <c r="E2499" t="s">
        <v>11426</v>
      </c>
      <c r="F2499" t="s">
        <v>844</v>
      </c>
      <c r="G2499" t="s">
        <v>164</v>
      </c>
      <c r="H2499" t="s">
        <v>165</v>
      </c>
      <c r="I2499" t="s">
        <v>34</v>
      </c>
      <c r="J2499" t="s">
        <v>166</v>
      </c>
      <c r="K2499" t="s">
        <v>41</v>
      </c>
      <c r="L2499" t="s">
        <v>12863</v>
      </c>
      <c r="M2499" t="s">
        <v>12864</v>
      </c>
      <c r="N2499" t="s">
        <v>11429</v>
      </c>
      <c r="O2499" t="s">
        <v>101</v>
      </c>
      <c r="P2499" t="s">
        <v>12865</v>
      </c>
      <c r="Q2499" t="s">
        <v>109</v>
      </c>
      <c r="R2499" t="s">
        <v>12701</v>
      </c>
      <c r="S2499">
        <v>0.5</v>
      </c>
      <c r="T2499">
        <v>3680</v>
      </c>
      <c r="U2499">
        <v>0</v>
      </c>
      <c r="V2499">
        <v>3680</v>
      </c>
    </row>
    <row r="2500" spans="1:22" x14ac:dyDescent="0.3">
      <c r="A2500">
        <v>186607</v>
      </c>
      <c r="B2500">
        <v>136826079</v>
      </c>
      <c r="C2500" t="s">
        <v>12866</v>
      </c>
      <c r="D2500" t="s">
        <v>12867</v>
      </c>
      <c r="E2500" t="s">
        <v>11426</v>
      </c>
      <c r="F2500" t="s">
        <v>844</v>
      </c>
      <c r="G2500" t="s">
        <v>164</v>
      </c>
      <c r="H2500" t="s">
        <v>165</v>
      </c>
      <c r="I2500" t="s">
        <v>34</v>
      </c>
      <c r="J2500" t="s">
        <v>166</v>
      </c>
      <c r="K2500" t="s">
        <v>41</v>
      </c>
      <c r="L2500" t="s">
        <v>12868</v>
      </c>
      <c r="M2500" t="s">
        <v>12869</v>
      </c>
      <c r="N2500" t="s">
        <v>11429</v>
      </c>
      <c r="O2500" t="s">
        <v>101</v>
      </c>
      <c r="P2500" t="s">
        <v>12870</v>
      </c>
      <c r="Q2500" t="s">
        <v>55</v>
      </c>
      <c r="R2500" t="s">
        <v>679</v>
      </c>
      <c r="S2500">
        <v>0.5</v>
      </c>
      <c r="T2500">
        <v>4067</v>
      </c>
      <c r="U2500">
        <v>0</v>
      </c>
      <c r="V2500">
        <v>4067</v>
      </c>
    </row>
    <row r="2501" spans="1:22" x14ac:dyDescent="0.3">
      <c r="A2501">
        <v>186607</v>
      </c>
      <c r="B2501">
        <v>136635556</v>
      </c>
      <c r="C2501" t="s">
        <v>12871</v>
      </c>
      <c r="D2501" t="s">
        <v>12872</v>
      </c>
      <c r="E2501" t="s">
        <v>11426</v>
      </c>
      <c r="F2501" t="s">
        <v>844</v>
      </c>
      <c r="G2501" t="s">
        <v>164</v>
      </c>
      <c r="H2501" t="s">
        <v>165</v>
      </c>
      <c r="I2501" t="s">
        <v>34</v>
      </c>
      <c r="J2501" t="s">
        <v>166</v>
      </c>
      <c r="K2501" t="s">
        <v>45</v>
      </c>
      <c r="L2501" t="s">
        <v>12873</v>
      </c>
      <c r="M2501" t="s">
        <v>12874</v>
      </c>
      <c r="N2501" t="s">
        <v>11429</v>
      </c>
      <c r="O2501" t="s">
        <v>101</v>
      </c>
      <c r="P2501" t="s">
        <v>12875</v>
      </c>
      <c r="Q2501" t="s">
        <v>168</v>
      </c>
      <c r="R2501" t="s">
        <v>12876</v>
      </c>
      <c r="S2501">
        <v>1.79</v>
      </c>
      <c r="T2501">
        <v>3366</v>
      </c>
      <c r="U2501">
        <v>0</v>
      </c>
      <c r="V2501">
        <v>3366</v>
      </c>
    </row>
    <row r="2502" spans="1:22" x14ac:dyDescent="0.3">
      <c r="A2502">
        <v>186607</v>
      </c>
      <c r="B2502">
        <v>136792742</v>
      </c>
      <c r="C2502" t="s">
        <v>12877</v>
      </c>
      <c r="D2502" t="s">
        <v>12878</v>
      </c>
      <c r="E2502" t="s">
        <v>11426</v>
      </c>
      <c r="F2502" t="s">
        <v>844</v>
      </c>
      <c r="G2502" t="s">
        <v>164</v>
      </c>
      <c r="H2502" t="s">
        <v>165</v>
      </c>
      <c r="I2502" t="s">
        <v>34</v>
      </c>
      <c r="J2502" t="s">
        <v>166</v>
      </c>
      <c r="K2502" t="s">
        <v>41</v>
      </c>
      <c r="L2502" t="s">
        <v>12879</v>
      </c>
      <c r="M2502" t="s">
        <v>12880</v>
      </c>
      <c r="N2502" t="s">
        <v>11429</v>
      </c>
      <c r="O2502" t="s">
        <v>101</v>
      </c>
      <c r="P2502" t="s">
        <v>12881</v>
      </c>
      <c r="Q2502" t="s">
        <v>63</v>
      </c>
      <c r="R2502" t="s">
        <v>12701</v>
      </c>
      <c r="S2502">
        <v>0.5</v>
      </c>
      <c r="T2502">
        <v>3680</v>
      </c>
      <c r="U2502">
        <v>0</v>
      </c>
      <c r="V2502">
        <v>3680</v>
      </c>
    </row>
    <row r="2503" spans="1:22" x14ac:dyDescent="0.3">
      <c r="A2503">
        <v>186607</v>
      </c>
      <c r="B2503">
        <v>136859929</v>
      </c>
      <c r="C2503" t="s">
        <v>12882</v>
      </c>
      <c r="D2503" t="s">
        <v>12883</v>
      </c>
      <c r="E2503" t="s">
        <v>11426</v>
      </c>
      <c r="F2503" t="s">
        <v>844</v>
      </c>
      <c r="G2503" t="s">
        <v>164</v>
      </c>
      <c r="H2503" t="s">
        <v>165</v>
      </c>
      <c r="I2503" t="s">
        <v>34</v>
      </c>
      <c r="J2503" t="s">
        <v>166</v>
      </c>
      <c r="K2503" t="s">
        <v>41</v>
      </c>
      <c r="L2503" t="s">
        <v>12884</v>
      </c>
      <c r="M2503" t="s">
        <v>12885</v>
      </c>
      <c r="N2503" t="s">
        <v>11429</v>
      </c>
      <c r="O2503" t="s">
        <v>101</v>
      </c>
      <c r="P2503" t="s">
        <v>12886</v>
      </c>
      <c r="Q2503" t="s">
        <v>55</v>
      </c>
      <c r="R2503" t="s">
        <v>12887</v>
      </c>
      <c r="S2503">
        <v>0.5</v>
      </c>
      <c r="T2503">
        <v>4067</v>
      </c>
      <c r="U2503">
        <v>0</v>
      </c>
      <c r="V2503">
        <v>4067</v>
      </c>
    </row>
    <row r="2504" spans="1:22" x14ac:dyDescent="0.3">
      <c r="A2504">
        <v>186607</v>
      </c>
      <c r="B2504">
        <v>136508765</v>
      </c>
      <c r="C2504" t="s">
        <v>12888</v>
      </c>
      <c r="D2504" t="s">
        <v>12889</v>
      </c>
      <c r="E2504" t="s">
        <v>11426</v>
      </c>
      <c r="F2504" t="s">
        <v>844</v>
      </c>
      <c r="G2504" t="s">
        <v>164</v>
      </c>
      <c r="H2504" t="s">
        <v>165</v>
      </c>
      <c r="I2504" t="s">
        <v>34</v>
      </c>
      <c r="J2504" t="s">
        <v>166</v>
      </c>
      <c r="K2504" t="s">
        <v>41</v>
      </c>
      <c r="L2504" t="s">
        <v>12890</v>
      </c>
      <c r="M2504" t="s">
        <v>12891</v>
      </c>
      <c r="N2504" t="s">
        <v>11429</v>
      </c>
      <c r="O2504" t="s">
        <v>101</v>
      </c>
      <c r="P2504" t="s">
        <v>12892</v>
      </c>
      <c r="Q2504" t="s">
        <v>741</v>
      </c>
      <c r="R2504" t="s">
        <v>12560</v>
      </c>
      <c r="S2504">
        <v>0.5</v>
      </c>
      <c r="T2504">
        <v>3680</v>
      </c>
      <c r="U2504">
        <v>0</v>
      </c>
      <c r="V2504">
        <v>3680</v>
      </c>
    </row>
    <row r="2505" spans="1:22" x14ac:dyDescent="0.3">
      <c r="A2505">
        <v>186607</v>
      </c>
      <c r="B2505">
        <v>136635698</v>
      </c>
      <c r="C2505" t="s">
        <v>12893</v>
      </c>
      <c r="D2505" t="s">
        <v>12894</v>
      </c>
      <c r="E2505" t="s">
        <v>11426</v>
      </c>
      <c r="F2505" t="s">
        <v>844</v>
      </c>
      <c r="G2505" t="s">
        <v>164</v>
      </c>
      <c r="H2505" t="s">
        <v>165</v>
      </c>
      <c r="I2505" t="s">
        <v>34</v>
      </c>
      <c r="J2505" t="s">
        <v>166</v>
      </c>
      <c r="K2505" t="s">
        <v>41</v>
      </c>
      <c r="L2505" t="s">
        <v>12895</v>
      </c>
      <c r="M2505" t="s">
        <v>12896</v>
      </c>
      <c r="N2505" t="s">
        <v>11429</v>
      </c>
      <c r="O2505" t="s">
        <v>101</v>
      </c>
      <c r="P2505" t="s">
        <v>12897</v>
      </c>
      <c r="Q2505" t="s">
        <v>118</v>
      </c>
      <c r="R2505" t="s">
        <v>11610</v>
      </c>
      <c r="S2505">
        <v>0.5</v>
      </c>
      <c r="T2505">
        <v>3680</v>
      </c>
      <c r="U2505">
        <v>0</v>
      </c>
      <c r="V2505">
        <v>3680</v>
      </c>
    </row>
    <row r="2506" spans="1:22" x14ac:dyDescent="0.3">
      <c r="A2506">
        <v>186607</v>
      </c>
      <c r="B2506">
        <v>136826105</v>
      </c>
      <c r="C2506" t="s">
        <v>12898</v>
      </c>
      <c r="D2506" t="s">
        <v>12899</v>
      </c>
      <c r="E2506" t="s">
        <v>11426</v>
      </c>
      <c r="F2506" t="s">
        <v>844</v>
      </c>
      <c r="G2506" t="s">
        <v>164</v>
      </c>
      <c r="H2506" t="s">
        <v>165</v>
      </c>
      <c r="I2506" t="s">
        <v>34</v>
      </c>
      <c r="J2506" t="s">
        <v>166</v>
      </c>
      <c r="K2506" t="s">
        <v>41</v>
      </c>
      <c r="L2506" t="s">
        <v>12900</v>
      </c>
      <c r="M2506" t="s">
        <v>12901</v>
      </c>
      <c r="N2506" t="s">
        <v>11429</v>
      </c>
      <c r="O2506" t="s">
        <v>101</v>
      </c>
      <c r="P2506" t="s">
        <v>12902</v>
      </c>
      <c r="Q2506" t="s">
        <v>59</v>
      </c>
      <c r="R2506" t="s">
        <v>679</v>
      </c>
      <c r="S2506">
        <v>0.5</v>
      </c>
      <c r="T2506">
        <v>3680</v>
      </c>
      <c r="U2506">
        <v>0</v>
      </c>
      <c r="V2506">
        <v>3680</v>
      </c>
    </row>
    <row r="2507" spans="1:22" x14ac:dyDescent="0.3">
      <c r="A2507">
        <v>186607</v>
      </c>
      <c r="B2507">
        <v>136682258</v>
      </c>
      <c r="C2507" t="s">
        <v>12903</v>
      </c>
      <c r="D2507" t="s">
        <v>12904</v>
      </c>
      <c r="E2507" t="s">
        <v>11426</v>
      </c>
      <c r="F2507" t="s">
        <v>844</v>
      </c>
      <c r="G2507" t="s">
        <v>164</v>
      </c>
      <c r="H2507" t="s">
        <v>165</v>
      </c>
      <c r="I2507" t="s">
        <v>34</v>
      </c>
      <c r="J2507" t="s">
        <v>166</v>
      </c>
      <c r="K2507" t="s">
        <v>41</v>
      </c>
      <c r="L2507" t="s">
        <v>12905</v>
      </c>
      <c r="M2507" t="s">
        <v>12906</v>
      </c>
      <c r="N2507" t="s">
        <v>11429</v>
      </c>
      <c r="O2507" t="s">
        <v>101</v>
      </c>
      <c r="P2507" t="s">
        <v>12907</v>
      </c>
      <c r="Q2507" t="s">
        <v>190</v>
      </c>
      <c r="R2507" t="s">
        <v>11574</v>
      </c>
      <c r="S2507">
        <v>2.2799999999999998</v>
      </c>
      <c r="T2507">
        <v>3366</v>
      </c>
      <c r="U2507">
        <v>0</v>
      </c>
      <c r="V2507">
        <v>3366</v>
      </c>
    </row>
    <row r="2508" spans="1:22" x14ac:dyDescent="0.3">
      <c r="A2508">
        <v>186607</v>
      </c>
      <c r="B2508">
        <v>136792716</v>
      </c>
      <c r="C2508" t="s">
        <v>12908</v>
      </c>
      <c r="D2508" t="s">
        <v>12909</v>
      </c>
      <c r="E2508" t="s">
        <v>11426</v>
      </c>
      <c r="F2508" t="s">
        <v>844</v>
      </c>
      <c r="G2508" t="s">
        <v>164</v>
      </c>
      <c r="H2508" t="s">
        <v>165</v>
      </c>
      <c r="I2508" t="s">
        <v>34</v>
      </c>
      <c r="J2508" t="s">
        <v>166</v>
      </c>
      <c r="K2508" t="s">
        <v>41</v>
      </c>
      <c r="L2508" t="s">
        <v>12910</v>
      </c>
      <c r="M2508" t="s">
        <v>703</v>
      </c>
      <c r="N2508" t="s">
        <v>11429</v>
      </c>
      <c r="O2508" t="s">
        <v>101</v>
      </c>
      <c r="P2508" t="s">
        <v>12911</v>
      </c>
      <c r="Q2508" t="s">
        <v>79</v>
      </c>
      <c r="R2508" t="s">
        <v>837</v>
      </c>
      <c r="S2508">
        <v>0.5</v>
      </c>
      <c r="T2508">
        <v>4601</v>
      </c>
      <c r="U2508">
        <v>0</v>
      </c>
      <c r="V2508">
        <v>4601</v>
      </c>
    </row>
    <row r="2509" spans="1:22" x14ac:dyDescent="0.3">
      <c r="A2509">
        <v>186607</v>
      </c>
      <c r="B2509">
        <v>136826160</v>
      </c>
      <c r="C2509" t="s">
        <v>12912</v>
      </c>
      <c r="D2509" t="s">
        <v>12913</v>
      </c>
      <c r="E2509" t="s">
        <v>11426</v>
      </c>
      <c r="F2509" t="s">
        <v>844</v>
      </c>
      <c r="G2509" t="s">
        <v>164</v>
      </c>
      <c r="H2509" t="s">
        <v>165</v>
      </c>
      <c r="I2509" t="s">
        <v>34</v>
      </c>
      <c r="J2509" t="s">
        <v>166</v>
      </c>
      <c r="K2509" t="s">
        <v>41</v>
      </c>
      <c r="L2509" t="s">
        <v>12914</v>
      </c>
      <c r="M2509" t="s">
        <v>12915</v>
      </c>
      <c r="N2509" t="s">
        <v>11429</v>
      </c>
      <c r="O2509" t="s">
        <v>101</v>
      </c>
      <c r="P2509" t="s">
        <v>12916</v>
      </c>
      <c r="Q2509" t="s">
        <v>63</v>
      </c>
      <c r="R2509" t="s">
        <v>679</v>
      </c>
      <c r="S2509">
        <v>0.5</v>
      </c>
      <c r="T2509">
        <v>3680</v>
      </c>
      <c r="U2509">
        <v>0</v>
      </c>
      <c r="V2509">
        <v>3680</v>
      </c>
    </row>
    <row r="2510" spans="1:22" x14ac:dyDescent="0.3">
      <c r="A2510">
        <v>186607</v>
      </c>
      <c r="B2510">
        <v>136826091</v>
      </c>
      <c r="C2510" t="s">
        <v>12917</v>
      </c>
      <c r="D2510" t="s">
        <v>12918</v>
      </c>
      <c r="E2510" t="s">
        <v>11426</v>
      </c>
      <c r="F2510" t="s">
        <v>844</v>
      </c>
      <c r="G2510" t="s">
        <v>164</v>
      </c>
      <c r="H2510" t="s">
        <v>165</v>
      </c>
      <c r="I2510" t="s">
        <v>34</v>
      </c>
      <c r="J2510" t="s">
        <v>166</v>
      </c>
      <c r="K2510" t="s">
        <v>41</v>
      </c>
      <c r="L2510" t="s">
        <v>12919</v>
      </c>
      <c r="M2510" t="s">
        <v>12920</v>
      </c>
      <c r="N2510" t="s">
        <v>11429</v>
      </c>
      <c r="O2510" t="s">
        <v>101</v>
      </c>
      <c r="P2510" t="s">
        <v>12921</v>
      </c>
      <c r="Q2510" t="s">
        <v>354</v>
      </c>
      <c r="R2510" t="s">
        <v>679</v>
      </c>
      <c r="S2510">
        <v>0.5</v>
      </c>
      <c r="T2510">
        <v>3680</v>
      </c>
      <c r="U2510">
        <v>0</v>
      </c>
      <c r="V2510">
        <v>3680</v>
      </c>
    </row>
    <row r="2511" spans="1:22" x14ac:dyDescent="0.3">
      <c r="A2511">
        <v>186607</v>
      </c>
      <c r="B2511">
        <v>136027668</v>
      </c>
      <c r="C2511" t="s">
        <v>12922</v>
      </c>
      <c r="D2511" t="s">
        <v>12923</v>
      </c>
      <c r="E2511" t="s">
        <v>11426</v>
      </c>
      <c r="F2511" t="s">
        <v>844</v>
      </c>
      <c r="G2511" t="s">
        <v>164</v>
      </c>
      <c r="H2511" t="s">
        <v>165</v>
      </c>
      <c r="I2511" t="s">
        <v>34</v>
      </c>
      <c r="J2511" t="s">
        <v>166</v>
      </c>
      <c r="K2511" t="s">
        <v>41</v>
      </c>
      <c r="L2511" t="s">
        <v>12924</v>
      </c>
      <c r="M2511" t="s">
        <v>12925</v>
      </c>
      <c r="N2511" t="s">
        <v>11429</v>
      </c>
      <c r="O2511" t="s">
        <v>101</v>
      </c>
      <c r="P2511" t="s">
        <v>12926</v>
      </c>
      <c r="Q2511" t="s">
        <v>246</v>
      </c>
      <c r="R2511" t="s">
        <v>489</v>
      </c>
      <c r="S2511">
        <v>0.5</v>
      </c>
      <c r="T2511">
        <v>5367</v>
      </c>
      <c r="U2511">
        <v>0</v>
      </c>
      <c r="V2511">
        <v>5367</v>
      </c>
    </row>
    <row r="2512" spans="1:22" x14ac:dyDescent="0.3">
      <c r="A2512">
        <v>186607</v>
      </c>
      <c r="B2512">
        <v>136826101</v>
      </c>
      <c r="C2512" t="s">
        <v>12927</v>
      </c>
      <c r="D2512" t="s">
        <v>12928</v>
      </c>
      <c r="E2512" t="s">
        <v>11426</v>
      </c>
      <c r="F2512" t="s">
        <v>844</v>
      </c>
      <c r="G2512" t="s">
        <v>164</v>
      </c>
      <c r="H2512" t="s">
        <v>165</v>
      </c>
      <c r="I2512" t="s">
        <v>34</v>
      </c>
      <c r="J2512" t="s">
        <v>166</v>
      </c>
      <c r="K2512" t="s">
        <v>41</v>
      </c>
      <c r="L2512" t="s">
        <v>12929</v>
      </c>
      <c r="M2512" t="s">
        <v>12930</v>
      </c>
      <c r="N2512" t="s">
        <v>11429</v>
      </c>
      <c r="O2512" t="s">
        <v>101</v>
      </c>
      <c r="P2512" t="s">
        <v>12931</v>
      </c>
      <c r="Q2512" t="s">
        <v>212</v>
      </c>
      <c r="R2512" t="s">
        <v>679</v>
      </c>
      <c r="S2512">
        <v>0.5</v>
      </c>
      <c r="T2512">
        <v>3680</v>
      </c>
      <c r="U2512">
        <v>0</v>
      </c>
      <c r="V2512">
        <v>3680</v>
      </c>
    </row>
    <row r="2513" spans="1:22" x14ac:dyDescent="0.3">
      <c r="A2513">
        <v>186607</v>
      </c>
      <c r="B2513">
        <v>136724152</v>
      </c>
      <c r="C2513" t="s">
        <v>12932</v>
      </c>
      <c r="D2513" t="s">
        <v>12933</v>
      </c>
      <c r="E2513" t="s">
        <v>11426</v>
      </c>
      <c r="F2513" t="s">
        <v>844</v>
      </c>
      <c r="G2513" t="s">
        <v>164</v>
      </c>
      <c r="H2513" t="s">
        <v>165</v>
      </c>
      <c r="I2513" t="s">
        <v>34</v>
      </c>
      <c r="J2513" t="s">
        <v>166</v>
      </c>
      <c r="K2513" t="s">
        <v>41</v>
      </c>
      <c r="L2513" t="s">
        <v>12934</v>
      </c>
      <c r="M2513" t="s">
        <v>12935</v>
      </c>
      <c r="N2513" t="s">
        <v>11429</v>
      </c>
      <c r="O2513" t="s">
        <v>101</v>
      </c>
      <c r="P2513" t="s">
        <v>12936</v>
      </c>
      <c r="Q2513" t="s">
        <v>55</v>
      </c>
      <c r="R2513" t="s">
        <v>12845</v>
      </c>
      <c r="S2513">
        <v>1.64</v>
      </c>
      <c r="T2513">
        <v>5198</v>
      </c>
      <c r="U2513">
        <v>0</v>
      </c>
      <c r="V2513">
        <v>5198</v>
      </c>
    </row>
    <row r="2514" spans="1:22" x14ac:dyDescent="0.3">
      <c r="A2514">
        <v>186607</v>
      </c>
      <c r="B2514">
        <v>136792721</v>
      </c>
      <c r="C2514" t="s">
        <v>12937</v>
      </c>
      <c r="D2514" t="s">
        <v>12938</v>
      </c>
      <c r="E2514" t="s">
        <v>11426</v>
      </c>
      <c r="F2514" t="s">
        <v>844</v>
      </c>
      <c r="G2514" t="s">
        <v>164</v>
      </c>
      <c r="H2514" t="s">
        <v>165</v>
      </c>
      <c r="I2514" t="s">
        <v>34</v>
      </c>
      <c r="J2514" t="s">
        <v>166</v>
      </c>
      <c r="K2514" t="s">
        <v>41</v>
      </c>
      <c r="L2514" t="s">
        <v>12939</v>
      </c>
      <c r="M2514" t="s">
        <v>12940</v>
      </c>
      <c r="N2514" t="s">
        <v>11429</v>
      </c>
      <c r="O2514" t="s">
        <v>101</v>
      </c>
      <c r="P2514" t="s">
        <v>12941</v>
      </c>
      <c r="Q2514" t="s">
        <v>84</v>
      </c>
      <c r="R2514" t="s">
        <v>12701</v>
      </c>
      <c r="S2514">
        <v>0.5</v>
      </c>
      <c r="T2514">
        <v>3299</v>
      </c>
      <c r="U2514">
        <v>0</v>
      </c>
      <c r="V2514">
        <v>3299</v>
      </c>
    </row>
    <row r="2515" spans="1:22" x14ac:dyDescent="0.3">
      <c r="A2515">
        <v>186607</v>
      </c>
      <c r="B2515">
        <v>136635658</v>
      </c>
      <c r="C2515" t="s">
        <v>12942</v>
      </c>
      <c r="D2515" t="s">
        <v>12943</v>
      </c>
      <c r="E2515" t="s">
        <v>11426</v>
      </c>
      <c r="F2515" t="s">
        <v>844</v>
      </c>
      <c r="G2515" t="s">
        <v>164</v>
      </c>
      <c r="H2515" t="s">
        <v>165</v>
      </c>
      <c r="I2515" t="s">
        <v>34</v>
      </c>
      <c r="J2515" t="s">
        <v>166</v>
      </c>
      <c r="K2515" t="s">
        <v>41</v>
      </c>
      <c r="L2515" t="s">
        <v>12944</v>
      </c>
      <c r="M2515" t="s">
        <v>12945</v>
      </c>
      <c r="N2515" t="s">
        <v>11429</v>
      </c>
      <c r="O2515" t="s">
        <v>101</v>
      </c>
      <c r="P2515" t="s">
        <v>12946</v>
      </c>
      <c r="Q2515" t="s">
        <v>55</v>
      </c>
      <c r="R2515" t="s">
        <v>11610</v>
      </c>
      <c r="S2515">
        <v>0.5</v>
      </c>
      <c r="T2515">
        <v>4067</v>
      </c>
      <c r="U2515">
        <v>0</v>
      </c>
      <c r="V2515">
        <v>4067</v>
      </c>
    </row>
    <row r="2516" spans="1:22" x14ac:dyDescent="0.3">
      <c r="A2516">
        <v>186607</v>
      </c>
      <c r="B2516">
        <v>136826139</v>
      </c>
      <c r="C2516" t="s">
        <v>12947</v>
      </c>
      <c r="D2516" t="s">
        <v>12948</v>
      </c>
      <c r="E2516" t="s">
        <v>11426</v>
      </c>
      <c r="F2516" t="s">
        <v>844</v>
      </c>
      <c r="G2516" t="s">
        <v>164</v>
      </c>
      <c r="H2516" t="s">
        <v>165</v>
      </c>
      <c r="I2516" t="s">
        <v>34</v>
      </c>
      <c r="J2516" t="s">
        <v>166</v>
      </c>
      <c r="K2516" t="s">
        <v>41</v>
      </c>
      <c r="L2516" t="s">
        <v>12949</v>
      </c>
      <c r="M2516" t="s">
        <v>12950</v>
      </c>
      <c r="N2516" t="s">
        <v>11429</v>
      </c>
      <c r="O2516" t="s">
        <v>101</v>
      </c>
      <c r="P2516" t="s">
        <v>12951</v>
      </c>
      <c r="Q2516" t="s">
        <v>227</v>
      </c>
      <c r="R2516" t="s">
        <v>679</v>
      </c>
      <c r="S2516">
        <v>0.5</v>
      </c>
      <c r="T2516">
        <v>3680</v>
      </c>
      <c r="U2516">
        <v>0</v>
      </c>
      <c r="V2516">
        <v>3680</v>
      </c>
    </row>
    <row r="2517" spans="1:22" x14ac:dyDescent="0.3">
      <c r="A2517">
        <v>186607</v>
      </c>
      <c r="B2517">
        <v>136792711</v>
      </c>
      <c r="C2517" t="s">
        <v>12952</v>
      </c>
      <c r="D2517" t="s">
        <v>12953</v>
      </c>
      <c r="E2517" t="s">
        <v>11426</v>
      </c>
      <c r="F2517" t="s">
        <v>844</v>
      </c>
      <c r="G2517" t="s">
        <v>164</v>
      </c>
      <c r="H2517" t="s">
        <v>165</v>
      </c>
      <c r="I2517" t="s">
        <v>34</v>
      </c>
      <c r="J2517" t="s">
        <v>166</v>
      </c>
      <c r="K2517" t="s">
        <v>41</v>
      </c>
      <c r="L2517" t="s">
        <v>12954</v>
      </c>
      <c r="M2517" t="s">
        <v>12955</v>
      </c>
      <c r="N2517" t="s">
        <v>11429</v>
      </c>
      <c r="O2517" t="s">
        <v>101</v>
      </c>
      <c r="P2517" t="s">
        <v>12956</v>
      </c>
      <c r="Q2517" t="s">
        <v>84</v>
      </c>
      <c r="R2517" t="s">
        <v>837</v>
      </c>
      <c r="S2517">
        <v>0.5</v>
      </c>
      <c r="T2517">
        <v>3299</v>
      </c>
      <c r="U2517">
        <v>0</v>
      </c>
      <c r="V2517">
        <v>3299</v>
      </c>
    </row>
    <row r="2518" spans="1:22" x14ac:dyDescent="0.3">
      <c r="A2518">
        <v>186607</v>
      </c>
      <c r="B2518">
        <v>136826148</v>
      </c>
      <c r="C2518" t="s">
        <v>12957</v>
      </c>
      <c r="D2518" t="s">
        <v>12958</v>
      </c>
      <c r="E2518" t="s">
        <v>11426</v>
      </c>
      <c r="F2518" t="s">
        <v>844</v>
      </c>
      <c r="G2518" t="s">
        <v>164</v>
      </c>
      <c r="H2518" t="s">
        <v>165</v>
      </c>
      <c r="I2518" t="s">
        <v>34</v>
      </c>
      <c r="J2518" t="s">
        <v>166</v>
      </c>
      <c r="K2518" t="s">
        <v>41</v>
      </c>
      <c r="L2518" t="s">
        <v>12959</v>
      </c>
      <c r="M2518" t="s">
        <v>12960</v>
      </c>
      <c r="N2518" t="s">
        <v>11429</v>
      </c>
      <c r="O2518" t="s">
        <v>101</v>
      </c>
      <c r="P2518" t="s">
        <v>12961</v>
      </c>
      <c r="Q2518" t="s">
        <v>70</v>
      </c>
      <c r="R2518" t="s">
        <v>679</v>
      </c>
      <c r="S2518">
        <v>0.5</v>
      </c>
      <c r="T2518">
        <v>3449</v>
      </c>
      <c r="U2518">
        <v>0</v>
      </c>
      <c r="V2518">
        <v>3449</v>
      </c>
    </row>
    <row r="2519" spans="1:22" x14ac:dyDescent="0.3">
      <c r="A2519">
        <v>186607</v>
      </c>
      <c r="B2519">
        <v>136483357</v>
      </c>
      <c r="C2519" t="s">
        <v>12962</v>
      </c>
      <c r="D2519" t="s">
        <v>12963</v>
      </c>
      <c r="E2519" t="s">
        <v>11426</v>
      </c>
      <c r="F2519" t="s">
        <v>844</v>
      </c>
      <c r="G2519" t="s">
        <v>164</v>
      </c>
      <c r="H2519" t="s">
        <v>165</v>
      </c>
      <c r="I2519" t="s">
        <v>34</v>
      </c>
      <c r="J2519" t="s">
        <v>166</v>
      </c>
      <c r="K2519" t="s">
        <v>41</v>
      </c>
      <c r="L2519" t="s">
        <v>12964</v>
      </c>
      <c r="M2519" t="s">
        <v>12965</v>
      </c>
      <c r="N2519" t="s">
        <v>11429</v>
      </c>
      <c r="O2519" t="s">
        <v>101</v>
      </c>
      <c r="P2519" t="s">
        <v>12966</v>
      </c>
      <c r="Q2519" t="s">
        <v>199</v>
      </c>
      <c r="R2519" t="s">
        <v>12967</v>
      </c>
      <c r="S2519">
        <v>1</v>
      </c>
      <c r="T2519">
        <v>4067</v>
      </c>
      <c r="U2519">
        <v>0</v>
      </c>
      <c r="V2519">
        <v>4067</v>
      </c>
    </row>
    <row r="2520" spans="1:22" x14ac:dyDescent="0.3">
      <c r="A2520">
        <v>186607</v>
      </c>
      <c r="B2520">
        <v>136757044</v>
      </c>
      <c r="C2520" t="s">
        <v>12968</v>
      </c>
      <c r="D2520" t="s">
        <v>12969</v>
      </c>
      <c r="E2520" t="s">
        <v>11426</v>
      </c>
      <c r="F2520" t="s">
        <v>844</v>
      </c>
      <c r="G2520" t="s">
        <v>164</v>
      </c>
      <c r="H2520" t="s">
        <v>165</v>
      </c>
      <c r="I2520" t="s">
        <v>34</v>
      </c>
      <c r="J2520" t="s">
        <v>166</v>
      </c>
      <c r="K2520" t="s">
        <v>41</v>
      </c>
      <c r="L2520" t="s">
        <v>12970</v>
      </c>
      <c r="M2520" t="s">
        <v>12971</v>
      </c>
      <c r="N2520" t="s">
        <v>11429</v>
      </c>
      <c r="O2520" t="s">
        <v>101</v>
      </c>
      <c r="P2520" t="s">
        <v>12972</v>
      </c>
      <c r="Q2520" t="s">
        <v>55</v>
      </c>
      <c r="R2520" t="s">
        <v>469</v>
      </c>
      <c r="S2520">
        <v>2.27</v>
      </c>
      <c r="T2520">
        <v>5198</v>
      </c>
      <c r="U2520">
        <v>0</v>
      </c>
      <c r="V2520">
        <v>5198</v>
      </c>
    </row>
    <row r="2521" spans="1:22" x14ac:dyDescent="0.3">
      <c r="A2521">
        <v>186607</v>
      </c>
      <c r="B2521">
        <v>136859970</v>
      </c>
      <c r="C2521" t="s">
        <v>12973</v>
      </c>
      <c r="D2521" t="s">
        <v>12974</v>
      </c>
      <c r="E2521" t="s">
        <v>11426</v>
      </c>
      <c r="F2521" t="s">
        <v>844</v>
      </c>
      <c r="G2521" t="s">
        <v>164</v>
      </c>
      <c r="H2521" t="s">
        <v>165</v>
      </c>
      <c r="I2521" t="s">
        <v>34</v>
      </c>
      <c r="J2521" t="s">
        <v>166</v>
      </c>
      <c r="K2521" t="s">
        <v>41</v>
      </c>
      <c r="L2521" t="s">
        <v>12975</v>
      </c>
      <c r="M2521" t="s">
        <v>12976</v>
      </c>
      <c r="N2521" t="s">
        <v>11429</v>
      </c>
      <c r="O2521" t="s">
        <v>101</v>
      </c>
      <c r="P2521" t="s">
        <v>12977</v>
      </c>
      <c r="Q2521" t="s">
        <v>76</v>
      </c>
      <c r="R2521" t="s">
        <v>650</v>
      </c>
      <c r="S2521">
        <v>0.5</v>
      </c>
      <c r="T2521">
        <v>3680</v>
      </c>
      <c r="U2521">
        <v>0</v>
      </c>
      <c r="V2521">
        <v>3680</v>
      </c>
    </row>
    <row r="2522" spans="1:22" x14ac:dyDescent="0.3">
      <c r="A2522">
        <v>186607</v>
      </c>
      <c r="B2522">
        <v>136826136</v>
      </c>
      <c r="C2522" t="s">
        <v>12978</v>
      </c>
      <c r="D2522" t="s">
        <v>12979</v>
      </c>
      <c r="E2522" t="s">
        <v>11426</v>
      </c>
      <c r="F2522" t="s">
        <v>844</v>
      </c>
      <c r="G2522" t="s">
        <v>164</v>
      </c>
      <c r="H2522" t="s">
        <v>165</v>
      </c>
      <c r="I2522" t="s">
        <v>34</v>
      </c>
      <c r="J2522" t="s">
        <v>166</v>
      </c>
      <c r="K2522" t="s">
        <v>41</v>
      </c>
      <c r="L2522" t="s">
        <v>12980</v>
      </c>
      <c r="M2522" t="s">
        <v>12981</v>
      </c>
      <c r="N2522" t="s">
        <v>11429</v>
      </c>
      <c r="O2522" t="s">
        <v>101</v>
      </c>
      <c r="P2522" t="s">
        <v>12982</v>
      </c>
      <c r="Q2522" t="s">
        <v>70</v>
      </c>
      <c r="R2522" t="s">
        <v>679</v>
      </c>
      <c r="S2522">
        <v>0.5</v>
      </c>
      <c r="T2522">
        <v>3449</v>
      </c>
      <c r="U2522">
        <v>0</v>
      </c>
      <c r="V2522">
        <v>3449</v>
      </c>
    </row>
    <row r="2523" spans="1:22" x14ac:dyDescent="0.3">
      <c r="A2523">
        <v>186607</v>
      </c>
      <c r="B2523">
        <v>136859964</v>
      </c>
      <c r="C2523" t="s">
        <v>12983</v>
      </c>
      <c r="D2523" t="s">
        <v>12984</v>
      </c>
      <c r="E2523" t="s">
        <v>11426</v>
      </c>
      <c r="F2523" t="s">
        <v>844</v>
      </c>
      <c r="G2523" t="s">
        <v>164</v>
      </c>
      <c r="H2523" t="s">
        <v>165</v>
      </c>
      <c r="I2523" t="s">
        <v>34</v>
      </c>
      <c r="J2523" t="s">
        <v>166</v>
      </c>
      <c r="K2523" t="s">
        <v>41</v>
      </c>
      <c r="L2523" t="s">
        <v>12985</v>
      </c>
      <c r="M2523" t="s">
        <v>12986</v>
      </c>
      <c r="N2523" t="s">
        <v>11429</v>
      </c>
      <c r="O2523" t="s">
        <v>101</v>
      </c>
      <c r="P2523" t="s">
        <v>12987</v>
      </c>
      <c r="Q2523" t="s">
        <v>190</v>
      </c>
      <c r="R2523" t="s">
        <v>650</v>
      </c>
      <c r="S2523">
        <v>0.5</v>
      </c>
      <c r="T2523">
        <v>3299</v>
      </c>
      <c r="U2523">
        <v>0</v>
      </c>
      <c r="V2523">
        <v>3299</v>
      </c>
    </row>
    <row r="2524" spans="1:22" x14ac:dyDescent="0.3">
      <c r="A2524">
        <v>186607</v>
      </c>
      <c r="B2524">
        <v>135712118</v>
      </c>
      <c r="C2524" t="s">
        <v>12988</v>
      </c>
      <c r="D2524" t="s">
        <v>12989</v>
      </c>
      <c r="E2524" t="s">
        <v>11426</v>
      </c>
      <c r="F2524" t="s">
        <v>844</v>
      </c>
      <c r="G2524" t="s">
        <v>172</v>
      </c>
      <c r="H2524" t="s">
        <v>173</v>
      </c>
      <c r="I2524" t="s">
        <v>34</v>
      </c>
      <c r="J2524" t="s">
        <v>272</v>
      </c>
      <c r="K2524" t="s">
        <v>41</v>
      </c>
      <c r="L2524" t="s">
        <v>174</v>
      </c>
      <c r="M2524" t="s">
        <v>12990</v>
      </c>
      <c r="N2524" t="s">
        <v>11429</v>
      </c>
      <c r="O2524" t="s">
        <v>101</v>
      </c>
      <c r="P2524" t="s">
        <v>12991</v>
      </c>
      <c r="Q2524" t="s">
        <v>197</v>
      </c>
      <c r="R2524" t="s">
        <v>12992</v>
      </c>
      <c r="S2524">
        <v>4.1100000000000003</v>
      </c>
      <c r="T2524">
        <v>7224</v>
      </c>
      <c r="U2524">
        <v>0</v>
      </c>
      <c r="V2524">
        <v>7224</v>
      </c>
    </row>
    <row r="2525" spans="1:22" x14ac:dyDescent="0.3">
      <c r="A2525">
        <v>186607</v>
      </c>
      <c r="B2525">
        <v>135905472</v>
      </c>
      <c r="C2525" t="s">
        <v>12993</v>
      </c>
      <c r="D2525" t="s">
        <v>12994</v>
      </c>
      <c r="E2525" t="s">
        <v>11426</v>
      </c>
      <c r="F2525" t="s">
        <v>844</v>
      </c>
      <c r="G2525" t="s">
        <v>164</v>
      </c>
      <c r="H2525" t="s">
        <v>165</v>
      </c>
      <c r="I2525" t="s">
        <v>34</v>
      </c>
      <c r="J2525" t="s">
        <v>166</v>
      </c>
      <c r="K2525" t="s">
        <v>41</v>
      </c>
      <c r="L2525" t="s">
        <v>12995</v>
      </c>
      <c r="M2525" t="s">
        <v>415</v>
      </c>
      <c r="N2525" t="s">
        <v>11429</v>
      </c>
      <c r="O2525" t="s">
        <v>101</v>
      </c>
      <c r="P2525" t="s">
        <v>12996</v>
      </c>
      <c r="Q2525" t="s">
        <v>52</v>
      </c>
      <c r="R2525" t="s">
        <v>498</v>
      </c>
      <c r="S2525">
        <v>1</v>
      </c>
      <c r="T2525">
        <v>5759</v>
      </c>
      <c r="U2525">
        <v>0</v>
      </c>
      <c r="V2525">
        <v>5759</v>
      </c>
    </row>
    <row r="2526" spans="1:22" x14ac:dyDescent="0.3">
      <c r="A2526">
        <v>186607</v>
      </c>
      <c r="B2526">
        <v>136724117</v>
      </c>
      <c r="C2526" t="s">
        <v>12997</v>
      </c>
      <c r="D2526" t="s">
        <v>12998</v>
      </c>
      <c r="E2526" t="s">
        <v>11426</v>
      </c>
      <c r="F2526" t="s">
        <v>844</v>
      </c>
      <c r="G2526" t="s">
        <v>164</v>
      </c>
      <c r="H2526" t="s">
        <v>165</v>
      </c>
      <c r="I2526" t="s">
        <v>34</v>
      </c>
      <c r="J2526" t="s">
        <v>166</v>
      </c>
      <c r="K2526" t="s">
        <v>41</v>
      </c>
      <c r="L2526" t="s">
        <v>12999</v>
      </c>
      <c r="M2526" t="s">
        <v>13000</v>
      </c>
      <c r="N2526" t="s">
        <v>11429</v>
      </c>
      <c r="O2526" t="s">
        <v>101</v>
      </c>
      <c r="P2526" t="s">
        <v>13001</v>
      </c>
      <c r="Q2526" t="s">
        <v>190</v>
      </c>
      <c r="R2526" t="s">
        <v>12845</v>
      </c>
      <c r="S2526">
        <v>2.0299999999999998</v>
      </c>
      <c r="T2526">
        <v>3366</v>
      </c>
      <c r="U2526">
        <v>0</v>
      </c>
      <c r="V2526">
        <v>3366</v>
      </c>
    </row>
    <row r="2527" spans="1:22" x14ac:dyDescent="0.3">
      <c r="A2527">
        <v>186607</v>
      </c>
      <c r="B2527">
        <v>136792738</v>
      </c>
      <c r="C2527" t="s">
        <v>13002</v>
      </c>
      <c r="D2527" t="s">
        <v>13003</v>
      </c>
      <c r="E2527" t="s">
        <v>11426</v>
      </c>
      <c r="F2527" t="s">
        <v>844</v>
      </c>
      <c r="G2527" t="s">
        <v>164</v>
      </c>
      <c r="H2527" t="s">
        <v>165</v>
      </c>
      <c r="I2527" t="s">
        <v>34</v>
      </c>
      <c r="J2527" t="s">
        <v>166</v>
      </c>
      <c r="K2527" t="s">
        <v>41</v>
      </c>
      <c r="L2527" t="s">
        <v>13004</v>
      </c>
      <c r="M2527" t="s">
        <v>13005</v>
      </c>
      <c r="N2527" t="s">
        <v>11429</v>
      </c>
      <c r="O2527" t="s">
        <v>101</v>
      </c>
      <c r="P2527" t="s">
        <v>13006</v>
      </c>
      <c r="Q2527" t="s">
        <v>71</v>
      </c>
      <c r="R2527" t="s">
        <v>12701</v>
      </c>
      <c r="S2527">
        <v>0.5</v>
      </c>
      <c r="T2527">
        <v>3449</v>
      </c>
      <c r="U2527">
        <v>0</v>
      </c>
      <c r="V2527">
        <v>3449</v>
      </c>
    </row>
    <row r="2528" spans="1:22" x14ac:dyDescent="0.3">
      <c r="A2528">
        <v>186607</v>
      </c>
      <c r="B2528">
        <v>136724092</v>
      </c>
      <c r="C2528" t="s">
        <v>13007</v>
      </c>
      <c r="D2528" t="s">
        <v>13008</v>
      </c>
      <c r="E2528" t="s">
        <v>11426</v>
      </c>
      <c r="F2528" t="s">
        <v>844</v>
      </c>
      <c r="G2528" t="s">
        <v>164</v>
      </c>
      <c r="H2528" t="s">
        <v>165</v>
      </c>
      <c r="I2528" t="s">
        <v>34</v>
      </c>
      <c r="J2528" t="s">
        <v>166</v>
      </c>
      <c r="K2528" t="s">
        <v>41</v>
      </c>
      <c r="L2528" t="s">
        <v>9428</v>
      </c>
      <c r="M2528" t="s">
        <v>13009</v>
      </c>
      <c r="N2528" t="s">
        <v>11429</v>
      </c>
      <c r="O2528" t="s">
        <v>101</v>
      </c>
      <c r="P2528" t="s">
        <v>13010</v>
      </c>
      <c r="Q2528" t="s">
        <v>55</v>
      </c>
      <c r="R2528" t="s">
        <v>13011</v>
      </c>
      <c r="S2528">
        <v>3.65</v>
      </c>
      <c r="T2528">
        <v>7484</v>
      </c>
      <c r="U2528">
        <v>0</v>
      </c>
      <c r="V2528">
        <v>7484</v>
      </c>
    </row>
    <row r="2529" spans="1:22" x14ac:dyDescent="0.3">
      <c r="A2529">
        <v>186607</v>
      </c>
      <c r="B2529">
        <v>136792710</v>
      </c>
      <c r="C2529" t="s">
        <v>13012</v>
      </c>
      <c r="D2529" t="s">
        <v>13013</v>
      </c>
      <c r="E2529" t="s">
        <v>11426</v>
      </c>
      <c r="F2529" t="s">
        <v>844</v>
      </c>
      <c r="G2529" t="s">
        <v>164</v>
      </c>
      <c r="H2529" t="s">
        <v>165</v>
      </c>
      <c r="I2529" t="s">
        <v>34</v>
      </c>
      <c r="J2529" t="s">
        <v>166</v>
      </c>
      <c r="K2529" t="s">
        <v>41</v>
      </c>
      <c r="L2529" t="s">
        <v>13014</v>
      </c>
      <c r="M2529" t="s">
        <v>13015</v>
      </c>
      <c r="N2529" t="s">
        <v>11429</v>
      </c>
      <c r="O2529" t="s">
        <v>101</v>
      </c>
      <c r="P2529" t="s">
        <v>13016</v>
      </c>
      <c r="Q2529" t="s">
        <v>55</v>
      </c>
      <c r="R2529" t="s">
        <v>837</v>
      </c>
      <c r="S2529">
        <v>2</v>
      </c>
      <c r="T2529">
        <v>5198</v>
      </c>
      <c r="U2529">
        <v>0</v>
      </c>
      <c r="V2529">
        <v>5198</v>
      </c>
    </row>
    <row r="2530" spans="1:22" x14ac:dyDescent="0.3">
      <c r="A2530">
        <v>186607</v>
      </c>
      <c r="B2530">
        <v>136757045</v>
      </c>
      <c r="C2530" t="s">
        <v>13017</v>
      </c>
      <c r="D2530" t="s">
        <v>13018</v>
      </c>
      <c r="E2530" t="s">
        <v>11426</v>
      </c>
      <c r="F2530" t="s">
        <v>844</v>
      </c>
      <c r="G2530" t="s">
        <v>164</v>
      </c>
      <c r="H2530" t="s">
        <v>165</v>
      </c>
      <c r="I2530" t="s">
        <v>34</v>
      </c>
      <c r="J2530" t="s">
        <v>166</v>
      </c>
      <c r="K2530" t="s">
        <v>41</v>
      </c>
      <c r="L2530" t="s">
        <v>13019</v>
      </c>
      <c r="M2530" t="s">
        <v>13020</v>
      </c>
      <c r="N2530" t="s">
        <v>11429</v>
      </c>
      <c r="O2530" t="s">
        <v>101</v>
      </c>
      <c r="P2530" t="s">
        <v>13021</v>
      </c>
      <c r="Q2530" t="s">
        <v>55</v>
      </c>
      <c r="R2530" t="s">
        <v>469</v>
      </c>
      <c r="S2530">
        <v>1.74</v>
      </c>
      <c r="T2530">
        <v>5198</v>
      </c>
      <c r="U2530">
        <v>0</v>
      </c>
      <c r="V2530">
        <v>5198</v>
      </c>
    </row>
    <row r="2531" spans="1:22" x14ac:dyDescent="0.3">
      <c r="A2531">
        <v>186607</v>
      </c>
      <c r="B2531">
        <v>136826192</v>
      </c>
      <c r="C2531" t="s">
        <v>13022</v>
      </c>
      <c r="D2531" t="s">
        <v>13023</v>
      </c>
      <c r="E2531" t="s">
        <v>11426</v>
      </c>
      <c r="F2531" t="s">
        <v>844</v>
      </c>
      <c r="G2531" t="s">
        <v>164</v>
      </c>
      <c r="H2531" t="s">
        <v>165</v>
      </c>
      <c r="I2531" t="s">
        <v>34</v>
      </c>
      <c r="J2531" t="s">
        <v>166</v>
      </c>
      <c r="K2531" t="s">
        <v>41</v>
      </c>
      <c r="L2531" t="s">
        <v>13024</v>
      </c>
      <c r="M2531" t="s">
        <v>13025</v>
      </c>
      <c r="N2531" t="s">
        <v>11429</v>
      </c>
      <c r="O2531" t="s">
        <v>101</v>
      </c>
      <c r="P2531" t="s">
        <v>13026</v>
      </c>
      <c r="Q2531" t="s">
        <v>89</v>
      </c>
      <c r="R2531" t="s">
        <v>679</v>
      </c>
      <c r="S2531">
        <v>0.5</v>
      </c>
      <c r="T2531">
        <v>3299</v>
      </c>
      <c r="U2531">
        <v>0</v>
      </c>
      <c r="V2531">
        <v>3299</v>
      </c>
    </row>
    <row r="2532" spans="1:22" x14ac:dyDescent="0.3">
      <c r="A2532">
        <v>186607</v>
      </c>
      <c r="B2532">
        <v>136859962</v>
      </c>
      <c r="C2532" t="s">
        <v>13027</v>
      </c>
      <c r="D2532" t="s">
        <v>13028</v>
      </c>
      <c r="E2532" t="s">
        <v>11426</v>
      </c>
      <c r="F2532" t="s">
        <v>844</v>
      </c>
      <c r="G2532" t="s">
        <v>164</v>
      </c>
      <c r="H2532" t="s">
        <v>165</v>
      </c>
      <c r="I2532" t="s">
        <v>34</v>
      </c>
      <c r="J2532" t="s">
        <v>166</v>
      </c>
      <c r="K2532" t="s">
        <v>41</v>
      </c>
      <c r="L2532" t="s">
        <v>13029</v>
      </c>
      <c r="M2532" t="s">
        <v>13030</v>
      </c>
      <c r="N2532" t="s">
        <v>11429</v>
      </c>
      <c r="O2532" t="s">
        <v>101</v>
      </c>
      <c r="P2532" t="s">
        <v>13031</v>
      </c>
      <c r="Q2532" t="s">
        <v>72</v>
      </c>
      <c r="R2532" t="s">
        <v>650</v>
      </c>
      <c r="S2532">
        <v>0.5</v>
      </c>
      <c r="T2532">
        <v>3449</v>
      </c>
      <c r="U2532">
        <v>0</v>
      </c>
      <c r="V2532">
        <v>3449</v>
      </c>
    </row>
    <row r="2533" spans="1:22" x14ac:dyDescent="0.3">
      <c r="A2533">
        <v>186607</v>
      </c>
      <c r="B2533">
        <v>136724103</v>
      </c>
      <c r="C2533" t="s">
        <v>13032</v>
      </c>
      <c r="D2533" t="s">
        <v>13033</v>
      </c>
      <c r="E2533" t="s">
        <v>11426</v>
      </c>
      <c r="F2533" t="s">
        <v>844</v>
      </c>
      <c r="G2533" t="s">
        <v>164</v>
      </c>
      <c r="H2533" t="s">
        <v>165</v>
      </c>
      <c r="I2533" t="s">
        <v>34</v>
      </c>
      <c r="J2533" t="s">
        <v>166</v>
      </c>
      <c r="K2533" t="s">
        <v>41</v>
      </c>
      <c r="L2533" t="s">
        <v>13034</v>
      </c>
      <c r="M2533" t="s">
        <v>13035</v>
      </c>
      <c r="N2533" t="s">
        <v>11429</v>
      </c>
      <c r="O2533" t="s">
        <v>101</v>
      </c>
      <c r="P2533" t="s">
        <v>13036</v>
      </c>
      <c r="Q2533" t="s">
        <v>211</v>
      </c>
      <c r="R2533" t="s">
        <v>12845</v>
      </c>
      <c r="S2533">
        <v>3.63</v>
      </c>
      <c r="T2533">
        <v>4852</v>
      </c>
      <c r="U2533">
        <v>0</v>
      </c>
      <c r="V2533">
        <v>4852</v>
      </c>
    </row>
    <row r="2534" spans="1:22" x14ac:dyDescent="0.3">
      <c r="A2534">
        <v>186607</v>
      </c>
      <c r="B2534">
        <v>136635779</v>
      </c>
      <c r="C2534" t="s">
        <v>13037</v>
      </c>
      <c r="D2534" t="s">
        <v>13038</v>
      </c>
      <c r="E2534" t="s">
        <v>11426</v>
      </c>
      <c r="F2534" t="s">
        <v>844</v>
      </c>
      <c r="G2534" t="s">
        <v>164</v>
      </c>
      <c r="H2534" t="s">
        <v>165</v>
      </c>
      <c r="I2534" t="s">
        <v>34</v>
      </c>
      <c r="J2534" t="s">
        <v>166</v>
      </c>
      <c r="K2534" t="s">
        <v>41</v>
      </c>
      <c r="L2534" t="s">
        <v>13039</v>
      </c>
      <c r="M2534" t="s">
        <v>13040</v>
      </c>
      <c r="N2534" t="s">
        <v>11429</v>
      </c>
      <c r="O2534" t="s">
        <v>101</v>
      </c>
      <c r="P2534" t="s">
        <v>13041</v>
      </c>
      <c r="Q2534" t="s">
        <v>55</v>
      </c>
      <c r="R2534" t="s">
        <v>13042</v>
      </c>
      <c r="S2534">
        <v>0.5</v>
      </c>
      <c r="T2534">
        <v>4067</v>
      </c>
      <c r="U2534">
        <v>0</v>
      </c>
      <c r="V2534">
        <v>4067</v>
      </c>
    </row>
    <row r="2535" spans="1:22" x14ac:dyDescent="0.3">
      <c r="A2535">
        <v>186607</v>
      </c>
      <c r="B2535">
        <v>136859967</v>
      </c>
      <c r="C2535" t="s">
        <v>13043</v>
      </c>
      <c r="D2535" t="s">
        <v>13044</v>
      </c>
      <c r="E2535" t="s">
        <v>11426</v>
      </c>
      <c r="F2535" t="s">
        <v>844</v>
      </c>
      <c r="G2535" t="s">
        <v>164</v>
      </c>
      <c r="H2535" t="s">
        <v>165</v>
      </c>
      <c r="I2535" t="s">
        <v>34</v>
      </c>
      <c r="J2535" t="s">
        <v>166</v>
      </c>
      <c r="K2535" t="s">
        <v>41</v>
      </c>
      <c r="L2535" t="s">
        <v>13045</v>
      </c>
      <c r="M2535" t="s">
        <v>13046</v>
      </c>
      <c r="N2535" t="s">
        <v>11429</v>
      </c>
      <c r="O2535" t="s">
        <v>101</v>
      </c>
      <c r="P2535" t="s">
        <v>13047</v>
      </c>
      <c r="Q2535" t="s">
        <v>69</v>
      </c>
      <c r="R2535" t="s">
        <v>650</v>
      </c>
      <c r="S2535">
        <v>0.5</v>
      </c>
      <c r="T2535">
        <v>3680</v>
      </c>
      <c r="U2535">
        <v>0</v>
      </c>
      <c r="V2535">
        <v>3680</v>
      </c>
    </row>
    <row r="2536" spans="1:22" x14ac:dyDescent="0.3">
      <c r="A2536">
        <v>186607</v>
      </c>
      <c r="B2536">
        <v>136860007</v>
      </c>
      <c r="C2536" t="s">
        <v>13048</v>
      </c>
      <c r="D2536" t="s">
        <v>13049</v>
      </c>
      <c r="E2536" t="s">
        <v>11426</v>
      </c>
      <c r="F2536" t="s">
        <v>844</v>
      </c>
      <c r="G2536" t="s">
        <v>164</v>
      </c>
      <c r="H2536" t="s">
        <v>165</v>
      </c>
      <c r="I2536" t="s">
        <v>34</v>
      </c>
      <c r="J2536" t="s">
        <v>166</v>
      </c>
      <c r="K2536" t="s">
        <v>41</v>
      </c>
      <c r="L2536" t="s">
        <v>13050</v>
      </c>
      <c r="M2536" t="s">
        <v>13051</v>
      </c>
      <c r="N2536" t="s">
        <v>11429</v>
      </c>
      <c r="O2536" t="s">
        <v>101</v>
      </c>
      <c r="P2536" t="s">
        <v>13052</v>
      </c>
      <c r="Q2536" t="s">
        <v>49</v>
      </c>
      <c r="R2536" t="s">
        <v>650</v>
      </c>
      <c r="S2536">
        <v>0.5</v>
      </c>
      <c r="T2536">
        <v>3449</v>
      </c>
      <c r="U2536">
        <v>0</v>
      </c>
      <c r="V2536">
        <v>3449</v>
      </c>
    </row>
    <row r="2537" spans="1:22" x14ac:dyDescent="0.3">
      <c r="A2537">
        <v>186607</v>
      </c>
      <c r="B2537">
        <v>136635795</v>
      </c>
      <c r="C2537" t="s">
        <v>13053</v>
      </c>
      <c r="D2537" t="s">
        <v>13054</v>
      </c>
      <c r="E2537" t="s">
        <v>11426</v>
      </c>
      <c r="F2537" t="s">
        <v>844</v>
      </c>
      <c r="G2537" t="s">
        <v>164</v>
      </c>
      <c r="H2537" t="s">
        <v>165</v>
      </c>
      <c r="I2537" t="s">
        <v>34</v>
      </c>
      <c r="J2537" t="s">
        <v>166</v>
      </c>
      <c r="K2537" t="s">
        <v>41</v>
      </c>
      <c r="L2537" t="s">
        <v>13055</v>
      </c>
      <c r="M2537" t="s">
        <v>13056</v>
      </c>
      <c r="N2537" t="s">
        <v>11429</v>
      </c>
      <c r="O2537" t="s">
        <v>101</v>
      </c>
      <c r="P2537" t="s">
        <v>13057</v>
      </c>
      <c r="Q2537" t="s">
        <v>84</v>
      </c>
      <c r="R2537" t="s">
        <v>13042</v>
      </c>
      <c r="S2537">
        <v>2.08</v>
      </c>
      <c r="T2537">
        <v>3366</v>
      </c>
      <c r="U2537">
        <v>0</v>
      </c>
      <c r="V2537">
        <v>3366</v>
      </c>
    </row>
    <row r="2538" spans="1:22" x14ac:dyDescent="0.3">
      <c r="A2538">
        <v>186607</v>
      </c>
      <c r="B2538">
        <v>136724110</v>
      </c>
      <c r="C2538" t="s">
        <v>13058</v>
      </c>
      <c r="D2538" t="s">
        <v>13059</v>
      </c>
      <c r="E2538" t="s">
        <v>11426</v>
      </c>
      <c r="F2538" t="s">
        <v>844</v>
      </c>
      <c r="G2538" t="s">
        <v>164</v>
      </c>
      <c r="H2538" t="s">
        <v>165</v>
      </c>
      <c r="I2538" t="s">
        <v>34</v>
      </c>
      <c r="J2538" t="s">
        <v>166</v>
      </c>
      <c r="K2538" t="s">
        <v>41</v>
      </c>
      <c r="L2538" t="s">
        <v>13060</v>
      </c>
      <c r="M2538" t="s">
        <v>13061</v>
      </c>
      <c r="N2538" t="s">
        <v>11429</v>
      </c>
      <c r="O2538" t="s">
        <v>101</v>
      </c>
      <c r="P2538" t="s">
        <v>13062</v>
      </c>
      <c r="Q2538" t="s">
        <v>89</v>
      </c>
      <c r="R2538" t="s">
        <v>12845</v>
      </c>
      <c r="S2538">
        <v>2.0299999999999998</v>
      </c>
      <c r="T2538">
        <v>3366</v>
      </c>
      <c r="U2538">
        <v>0</v>
      </c>
      <c r="V2538">
        <v>3366</v>
      </c>
    </row>
    <row r="2539" spans="1:22" x14ac:dyDescent="0.3">
      <c r="A2539">
        <v>186607</v>
      </c>
      <c r="B2539">
        <v>136859936</v>
      </c>
      <c r="C2539" t="s">
        <v>13063</v>
      </c>
      <c r="D2539" t="s">
        <v>13064</v>
      </c>
      <c r="E2539" t="s">
        <v>11426</v>
      </c>
      <c r="F2539" t="s">
        <v>844</v>
      </c>
      <c r="G2539" t="s">
        <v>164</v>
      </c>
      <c r="H2539" t="s">
        <v>165</v>
      </c>
      <c r="I2539" t="s">
        <v>34</v>
      </c>
      <c r="J2539" t="s">
        <v>166</v>
      </c>
      <c r="K2539" t="s">
        <v>41</v>
      </c>
      <c r="L2539" t="s">
        <v>13065</v>
      </c>
      <c r="M2539" t="s">
        <v>13066</v>
      </c>
      <c r="N2539" t="s">
        <v>11429</v>
      </c>
      <c r="O2539" t="s">
        <v>101</v>
      </c>
      <c r="P2539" t="s">
        <v>13067</v>
      </c>
      <c r="Q2539" t="s">
        <v>84</v>
      </c>
      <c r="R2539" t="s">
        <v>650</v>
      </c>
      <c r="S2539">
        <v>1</v>
      </c>
      <c r="T2539">
        <v>3366</v>
      </c>
      <c r="U2539">
        <v>0</v>
      </c>
      <c r="V2539">
        <v>3366</v>
      </c>
    </row>
    <row r="2540" spans="1:22" x14ac:dyDescent="0.3">
      <c r="A2540">
        <v>186607</v>
      </c>
      <c r="B2540">
        <v>136826072</v>
      </c>
      <c r="C2540" t="s">
        <v>13068</v>
      </c>
      <c r="D2540" t="s">
        <v>13069</v>
      </c>
      <c r="E2540" t="s">
        <v>11426</v>
      </c>
      <c r="F2540" t="s">
        <v>844</v>
      </c>
      <c r="G2540" t="s">
        <v>164</v>
      </c>
      <c r="H2540" t="s">
        <v>165</v>
      </c>
      <c r="I2540" t="s">
        <v>34</v>
      </c>
      <c r="J2540" t="s">
        <v>166</v>
      </c>
      <c r="K2540" t="s">
        <v>41</v>
      </c>
      <c r="L2540" t="s">
        <v>13070</v>
      </c>
      <c r="M2540" t="s">
        <v>13071</v>
      </c>
      <c r="N2540" t="s">
        <v>11429</v>
      </c>
      <c r="O2540" t="s">
        <v>101</v>
      </c>
      <c r="P2540" t="s">
        <v>13072</v>
      </c>
      <c r="Q2540" t="s">
        <v>64</v>
      </c>
      <c r="R2540" t="s">
        <v>47</v>
      </c>
      <c r="S2540">
        <v>0.5</v>
      </c>
      <c r="T2540">
        <v>3680</v>
      </c>
      <c r="U2540">
        <v>0</v>
      </c>
      <c r="V2540">
        <v>3680</v>
      </c>
    </row>
    <row r="2541" spans="1:22" x14ac:dyDescent="0.3">
      <c r="A2541">
        <v>186607</v>
      </c>
      <c r="B2541">
        <v>136859982</v>
      </c>
      <c r="C2541" t="s">
        <v>13073</v>
      </c>
      <c r="D2541" t="s">
        <v>13074</v>
      </c>
      <c r="E2541" t="s">
        <v>11426</v>
      </c>
      <c r="F2541" t="s">
        <v>844</v>
      </c>
      <c r="G2541" t="s">
        <v>164</v>
      </c>
      <c r="H2541" t="s">
        <v>165</v>
      </c>
      <c r="I2541" t="s">
        <v>34</v>
      </c>
      <c r="J2541" t="s">
        <v>166</v>
      </c>
      <c r="K2541" t="s">
        <v>41</v>
      </c>
      <c r="L2541" t="s">
        <v>13075</v>
      </c>
      <c r="M2541" t="s">
        <v>13076</v>
      </c>
      <c r="N2541" t="s">
        <v>11429</v>
      </c>
      <c r="O2541" t="s">
        <v>101</v>
      </c>
      <c r="P2541" t="s">
        <v>13077</v>
      </c>
      <c r="Q2541" t="s">
        <v>117</v>
      </c>
      <c r="R2541" t="s">
        <v>650</v>
      </c>
      <c r="S2541">
        <v>0.5</v>
      </c>
      <c r="T2541">
        <v>3680</v>
      </c>
      <c r="U2541">
        <v>0</v>
      </c>
      <c r="V2541">
        <v>3680</v>
      </c>
    </row>
    <row r="2542" spans="1:22" x14ac:dyDescent="0.3">
      <c r="A2542">
        <v>186607</v>
      </c>
      <c r="B2542">
        <v>136724124</v>
      </c>
      <c r="C2542" t="s">
        <v>13078</v>
      </c>
      <c r="D2542" t="s">
        <v>13079</v>
      </c>
      <c r="E2542" t="s">
        <v>11426</v>
      </c>
      <c r="F2542" t="s">
        <v>844</v>
      </c>
      <c r="G2542" t="s">
        <v>164</v>
      </c>
      <c r="H2542" t="s">
        <v>165</v>
      </c>
      <c r="I2542" t="s">
        <v>34</v>
      </c>
      <c r="J2542" t="s">
        <v>166</v>
      </c>
      <c r="K2542" t="s">
        <v>41</v>
      </c>
      <c r="L2542" t="s">
        <v>13080</v>
      </c>
      <c r="M2542" t="s">
        <v>13081</v>
      </c>
      <c r="N2542" t="s">
        <v>11429</v>
      </c>
      <c r="O2542" t="s">
        <v>101</v>
      </c>
      <c r="P2542" t="s">
        <v>13082</v>
      </c>
      <c r="Q2542" t="s">
        <v>63</v>
      </c>
      <c r="R2542" t="s">
        <v>12845</v>
      </c>
      <c r="S2542">
        <v>2.36</v>
      </c>
      <c r="T2542">
        <v>4067</v>
      </c>
      <c r="U2542">
        <v>0</v>
      </c>
      <c r="V2542">
        <v>4067</v>
      </c>
    </row>
    <row r="2543" spans="1:22" x14ac:dyDescent="0.3">
      <c r="A2543">
        <v>186607</v>
      </c>
      <c r="B2543">
        <v>136635652</v>
      </c>
      <c r="C2543" t="s">
        <v>13083</v>
      </c>
      <c r="D2543" t="s">
        <v>13084</v>
      </c>
      <c r="E2543" t="s">
        <v>11426</v>
      </c>
      <c r="F2543" t="s">
        <v>844</v>
      </c>
      <c r="G2543" t="s">
        <v>164</v>
      </c>
      <c r="H2543" t="s">
        <v>165</v>
      </c>
      <c r="I2543" t="s">
        <v>34</v>
      </c>
      <c r="J2543" t="s">
        <v>166</v>
      </c>
      <c r="K2543" t="s">
        <v>41</v>
      </c>
      <c r="L2543" t="s">
        <v>13085</v>
      </c>
      <c r="M2543" t="s">
        <v>13086</v>
      </c>
      <c r="N2543" t="s">
        <v>11429</v>
      </c>
      <c r="O2543" t="s">
        <v>101</v>
      </c>
      <c r="P2543" t="s">
        <v>13087</v>
      </c>
      <c r="Q2543" t="s">
        <v>57</v>
      </c>
      <c r="R2543" t="s">
        <v>11610</v>
      </c>
      <c r="S2543">
        <v>0.5</v>
      </c>
      <c r="T2543">
        <v>4067</v>
      </c>
      <c r="U2543">
        <v>0</v>
      </c>
      <c r="V2543">
        <v>4067</v>
      </c>
    </row>
    <row r="2544" spans="1:22" x14ac:dyDescent="0.3">
      <c r="A2544">
        <v>186607</v>
      </c>
      <c r="B2544">
        <v>136826127</v>
      </c>
      <c r="C2544" t="s">
        <v>13088</v>
      </c>
      <c r="D2544" t="s">
        <v>13089</v>
      </c>
      <c r="E2544" t="s">
        <v>11426</v>
      </c>
      <c r="F2544" t="s">
        <v>844</v>
      </c>
      <c r="G2544" t="s">
        <v>164</v>
      </c>
      <c r="H2544" t="s">
        <v>165</v>
      </c>
      <c r="I2544" t="s">
        <v>34</v>
      </c>
      <c r="J2544" t="s">
        <v>166</v>
      </c>
      <c r="K2544" t="s">
        <v>41</v>
      </c>
      <c r="L2544" t="s">
        <v>13090</v>
      </c>
      <c r="M2544" t="s">
        <v>13091</v>
      </c>
      <c r="N2544" t="s">
        <v>11429</v>
      </c>
      <c r="O2544" t="s">
        <v>101</v>
      </c>
      <c r="P2544" t="s">
        <v>13092</v>
      </c>
      <c r="Q2544" t="s">
        <v>628</v>
      </c>
      <c r="R2544" t="s">
        <v>679</v>
      </c>
      <c r="S2544">
        <v>0.5</v>
      </c>
      <c r="T2544">
        <v>5019</v>
      </c>
      <c r="U2544">
        <v>0</v>
      </c>
      <c r="V2544">
        <v>5019</v>
      </c>
    </row>
    <row r="2545" spans="1:22" x14ac:dyDescent="0.3">
      <c r="A2545">
        <v>186607</v>
      </c>
      <c r="B2545">
        <v>136724101</v>
      </c>
      <c r="C2545" t="s">
        <v>13093</v>
      </c>
      <c r="D2545" t="s">
        <v>13094</v>
      </c>
      <c r="E2545" t="s">
        <v>11426</v>
      </c>
      <c r="F2545" t="s">
        <v>844</v>
      </c>
      <c r="G2545" t="s">
        <v>164</v>
      </c>
      <c r="H2545" t="s">
        <v>165</v>
      </c>
      <c r="I2545" t="s">
        <v>34</v>
      </c>
      <c r="J2545" t="s">
        <v>166</v>
      </c>
      <c r="K2545" t="s">
        <v>41</v>
      </c>
      <c r="L2545" t="s">
        <v>13095</v>
      </c>
      <c r="M2545" t="s">
        <v>13096</v>
      </c>
      <c r="N2545" t="s">
        <v>11429</v>
      </c>
      <c r="O2545" t="s">
        <v>101</v>
      </c>
      <c r="P2545" t="s">
        <v>13097</v>
      </c>
      <c r="Q2545" t="s">
        <v>206</v>
      </c>
      <c r="R2545" t="s">
        <v>13011</v>
      </c>
      <c r="S2545">
        <v>2.2400000000000002</v>
      </c>
      <c r="T2545">
        <v>3753</v>
      </c>
      <c r="U2545">
        <v>0</v>
      </c>
      <c r="V2545">
        <v>3753</v>
      </c>
    </row>
    <row r="2546" spans="1:22" x14ac:dyDescent="0.3">
      <c r="A2546">
        <v>186607</v>
      </c>
      <c r="B2546">
        <v>136508742</v>
      </c>
      <c r="C2546" t="s">
        <v>13098</v>
      </c>
      <c r="D2546" t="s">
        <v>13099</v>
      </c>
      <c r="E2546" t="s">
        <v>11426</v>
      </c>
      <c r="F2546" t="s">
        <v>844</v>
      </c>
      <c r="G2546" t="s">
        <v>164</v>
      </c>
      <c r="H2546" t="s">
        <v>165</v>
      </c>
      <c r="I2546" t="s">
        <v>34</v>
      </c>
      <c r="J2546" t="s">
        <v>166</v>
      </c>
      <c r="K2546" t="s">
        <v>41</v>
      </c>
      <c r="L2546" t="s">
        <v>13100</v>
      </c>
      <c r="M2546" t="s">
        <v>13101</v>
      </c>
      <c r="N2546" t="s">
        <v>11429</v>
      </c>
      <c r="O2546" t="s">
        <v>101</v>
      </c>
      <c r="P2546" t="s">
        <v>13102</v>
      </c>
      <c r="Q2546" t="s">
        <v>55</v>
      </c>
      <c r="R2546" t="s">
        <v>12560</v>
      </c>
      <c r="S2546">
        <v>0.5</v>
      </c>
      <c r="T2546">
        <v>4067</v>
      </c>
      <c r="U2546">
        <v>0</v>
      </c>
      <c r="V2546">
        <v>4067</v>
      </c>
    </row>
    <row r="2547" spans="1:22" x14ac:dyDescent="0.3">
      <c r="A2547">
        <v>186607</v>
      </c>
      <c r="B2547">
        <v>136792713</v>
      </c>
      <c r="C2547" t="s">
        <v>13103</v>
      </c>
      <c r="D2547" t="s">
        <v>13104</v>
      </c>
      <c r="E2547" t="s">
        <v>11426</v>
      </c>
      <c r="F2547" t="s">
        <v>844</v>
      </c>
      <c r="G2547" t="s">
        <v>164</v>
      </c>
      <c r="H2547" t="s">
        <v>165</v>
      </c>
      <c r="I2547" t="s">
        <v>34</v>
      </c>
      <c r="J2547" t="s">
        <v>166</v>
      </c>
      <c r="K2547" t="s">
        <v>41</v>
      </c>
      <c r="L2547" t="s">
        <v>13105</v>
      </c>
      <c r="M2547" t="s">
        <v>13106</v>
      </c>
      <c r="N2547" t="s">
        <v>11429</v>
      </c>
      <c r="O2547" t="s">
        <v>101</v>
      </c>
      <c r="P2547" t="s">
        <v>13107</v>
      </c>
      <c r="Q2547" t="s">
        <v>92</v>
      </c>
      <c r="R2547" t="s">
        <v>837</v>
      </c>
      <c r="S2547">
        <v>0.5</v>
      </c>
      <c r="T2547">
        <v>3299</v>
      </c>
      <c r="U2547">
        <v>0</v>
      </c>
      <c r="V2547">
        <v>3299</v>
      </c>
    </row>
    <row r="2548" spans="1:22" x14ac:dyDescent="0.3">
      <c r="A2548">
        <v>186607</v>
      </c>
      <c r="B2548">
        <v>136859992</v>
      </c>
      <c r="C2548" t="s">
        <v>13108</v>
      </c>
      <c r="D2548" t="s">
        <v>13109</v>
      </c>
      <c r="E2548" t="s">
        <v>11426</v>
      </c>
      <c r="F2548" t="s">
        <v>844</v>
      </c>
      <c r="G2548" t="s">
        <v>164</v>
      </c>
      <c r="H2548" t="s">
        <v>165</v>
      </c>
      <c r="I2548" t="s">
        <v>34</v>
      </c>
      <c r="J2548" t="s">
        <v>166</v>
      </c>
      <c r="K2548" t="s">
        <v>41</v>
      </c>
      <c r="L2548" t="s">
        <v>13110</v>
      </c>
      <c r="M2548" t="s">
        <v>502</v>
      </c>
      <c r="N2548" t="s">
        <v>11429</v>
      </c>
      <c r="O2548" t="s">
        <v>101</v>
      </c>
      <c r="P2548" t="s">
        <v>13111</v>
      </c>
      <c r="Q2548" t="s">
        <v>78</v>
      </c>
      <c r="R2548" t="s">
        <v>650</v>
      </c>
      <c r="S2548">
        <v>0.5</v>
      </c>
      <c r="T2548">
        <v>3449</v>
      </c>
      <c r="U2548">
        <v>0</v>
      </c>
      <c r="V2548">
        <v>3449</v>
      </c>
    </row>
    <row r="2549" spans="1:22" x14ac:dyDescent="0.3">
      <c r="A2549">
        <v>186607</v>
      </c>
      <c r="B2549">
        <v>136826159</v>
      </c>
      <c r="C2549" t="s">
        <v>13112</v>
      </c>
      <c r="D2549" t="s">
        <v>13113</v>
      </c>
      <c r="E2549" t="s">
        <v>11426</v>
      </c>
      <c r="F2549" t="s">
        <v>844</v>
      </c>
      <c r="G2549" t="s">
        <v>164</v>
      </c>
      <c r="H2549" t="s">
        <v>165</v>
      </c>
      <c r="I2549" t="s">
        <v>34</v>
      </c>
      <c r="J2549" t="s">
        <v>166</v>
      </c>
      <c r="K2549" t="s">
        <v>41</v>
      </c>
      <c r="L2549" t="s">
        <v>13114</v>
      </c>
      <c r="M2549" t="s">
        <v>13115</v>
      </c>
      <c r="N2549" t="s">
        <v>11429</v>
      </c>
      <c r="O2549" t="s">
        <v>101</v>
      </c>
      <c r="P2549" t="s">
        <v>13116</v>
      </c>
      <c r="Q2549" t="s">
        <v>60</v>
      </c>
      <c r="R2549" t="s">
        <v>679</v>
      </c>
      <c r="S2549">
        <v>0.5</v>
      </c>
      <c r="T2549">
        <v>3680</v>
      </c>
      <c r="U2549">
        <v>0</v>
      </c>
      <c r="V2549">
        <v>3680</v>
      </c>
    </row>
    <row r="2550" spans="1:22" x14ac:dyDescent="0.3">
      <c r="A2550">
        <v>186607</v>
      </c>
      <c r="B2550">
        <v>136859984</v>
      </c>
      <c r="C2550" t="s">
        <v>13117</v>
      </c>
      <c r="D2550" t="s">
        <v>13118</v>
      </c>
      <c r="E2550" t="s">
        <v>11426</v>
      </c>
      <c r="F2550" t="s">
        <v>844</v>
      </c>
      <c r="G2550" t="s">
        <v>164</v>
      </c>
      <c r="H2550" t="s">
        <v>165</v>
      </c>
      <c r="I2550" t="s">
        <v>34</v>
      </c>
      <c r="J2550" t="s">
        <v>166</v>
      </c>
      <c r="K2550" t="s">
        <v>41</v>
      </c>
      <c r="L2550" t="s">
        <v>13119</v>
      </c>
      <c r="M2550" t="s">
        <v>13120</v>
      </c>
      <c r="N2550" t="s">
        <v>11429</v>
      </c>
      <c r="O2550" t="s">
        <v>101</v>
      </c>
      <c r="P2550" t="s">
        <v>13121</v>
      </c>
      <c r="Q2550" t="s">
        <v>69</v>
      </c>
      <c r="R2550" t="s">
        <v>650</v>
      </c>
      <c r="S2550">
        <v>0.5</v>
      </c>
      <c r="T2550">
        <v>3680</v>
      </c>
      <c r="U2550">
        <v>0</v>
      </c>
      <c r="V2550">
        <v>3680</v>
      </c>
    </row>
    <row r="2551" spans="1:22" x14ac:dyDescent="0.3">
      <c r="A2551">
        <v>186607</v>
      </c>
      <c r="B2551">
        <v>136440690</v>
      </c>
      <c r="C2551" t="s">
        <v>13122</v>
      </c>
      <c r="D2551" t="s">
        <v>13123</v>
      </c>
      <c r="E2551" t="s">
        <v>11426</v>
      </c>
      <c r="F2551" t="s">
        <v>844</v>
      </c>
      <c r="G2551" t="s">
        <v>164</v>
      </c>
      <c r="H2551" t="s">
        <v>165</v>
      </c>
      <c r="I2551" t="s">
        <v>34</v>
      </c>
      <c r="J2551" t="s">
        <v>166</v>
      </c>
      <c r="K2551" t="s">
        <v>41</v>
      </c>
      <c r="L2551" t="s">
        <v>13124</v>
      </c>
      <c r="M2551" t="s">
        <v>13125</v>
      </c>
      <c r="N2551" t="s">
        <v>11429</v>
      </c>
      <c r="O2551" t="s">
        <v>101</v>
      </c>
      <c r="P2551" t="s">
        <v>13126</v>
      </c>
      <c r="Q2551" t="s">
        <v>246</v>
      </c>
      <c r="R2551" t="s">
        <v>704</v>
      </c>
      <c r="S2551">
        <v>0.5</v>
      </c>
      <c r="T2551">
        <v>5367</v>
      </c>
      <c r="U2551">
        <v>0</v>
      </c>
      <c r="V2551">
        <v>5367</v>
      </c>
    </row>
    <row r="2552" spans="1:22" x14ac:dyDescent="0.3">
      <c r="A2552">
        <v>186607</v>
      </c>
      <c r="B2552">
        <v>136826085</v>
      </c>
      <c r="C2552" t="s">
        <v>13127</v>
      </c>
      <c r="D2552" t="s">
        <v>13128</v>
      </c>
      <c r="E2552" t="s">
        <v>11426</v>
      </c>
      <c r="F2552" t="s">
        <v>844</v>
      </c>
      <c r="G2552" t="s">
        <v>164</v>
      </c>
      <c r="H2552" t="s">
        <v>165</v>
      </c>
      <c r="I2552" t="s">
        <v>34</v>
      </c>
      <c r="J2552" t="s">
        <v>166</v>
      </c>
      <c r="K2552" t="s">
        <v>41</v>
      </c>
      <c r="L2552" t="s">
        <v>13129</v>
      </c>
      <c r="M2552" t="s">
        <v>13130</v>
      </c>
      <c r="N2552" t="s">
        <v>11429</v>
      </c>
      <c r="O2552" t="s">
        <v>101</v>
      </c>
      <c r="P2552" t="s">
        <v>13131</v>
      </c>
      <c r="Q2552" t="s">
        <v>78</v>
      </c>
      <c r="R2552" t="s">
        <v>679</v>
      </c>
      <c r="S2552">
        <v>0.5</v>
      </c>
      <c r="T2552">
        <v>3449</v>
      </c>
      <c r="U2552">
        <v>0</v>
      </c>
      <c r="V2552">
        <v>3449</v>
      </c>
    </row>
    <row r="2553" spans="1:22" x14ac:dyDescent="0.3">
      <c r="A2553">
        <v>186607</v>
      </c>
      <c r="B2553">
        <v>136682222</v>
      </c>
      <c r="C2553" t="s">
        <v>13132</v>
      </c>
      <c r="D2553" t="s">
        <v>13133</v>
      </c>
      <c r="E2553" t="s">
        <v>11426</v>
      </c>
      <c r="F2553" t="s">
        <v>844</v>
      </c>
      <c r="G2553" t="s">
        <v>164</v>
      </c>
      <c r="H2553" t="s">
        <v>165</v>
      </c>
      <c r="I2553" t="s">
        <v>34</v>
      </c>
      <c r="J2553" t="s">
        <v>166</v>
      </c>
      <c r="K2553" t="s">
        <v>41</v>
      </c>
      <c r="L2553" t="s">
        <v>13134</v>
      </c>
      <c r="M2553" t="s">
        <v>13135</v>
      </c>
      <c r="N2553" t="s">
        <v>11429</v>
      </c>
      <c r="O2553" t="s">
        <v>101</v>
      </c>
      <c r="P2553" t="s">
        <v>13136</v>
      </c>
      <c r="Q2553" t="s">
        <v>54</v>
      </c>
      <c r="R2553" t="s">
        <v>11574</v>
      </c>
      <c r="S2553">
        <v>3.37</v>
      </c>
      <c r="T2553">
        <v>8008</v>
      </c>
      <c r="U2553">
        <v>0</v>
      </c>
      <c r="V2553">
        <v>8008</v>
      </c>
    </row>
    <row r="2554" spans="1:22" x14ac:dyDescent="0.3">
      <c r="A2554">
        <v>186607</v>
      </c>
      <c r="B2554">
        <v>136635575</v>
      </c>
      <c r="C2554" t="s">
        <v>13137</v>
      </c>
      <c r="D2554" t="s">
        <v>13138</v>
      </c>
      <c r="E2554" t="s">
        <v>11426</v>
      </c>
      <c r="F2554" t="s">
        <v>844</v>
      </c>
      <c r="G2554" t="s">
        <v>164</v>
      </c>
      <c r="H2554" t="s">
        <v>165</v>
      </c>
      <c r="I2554" t="s">
        <v>34</v>
      </c>
      <c r="J2554" t="s">
        <v>166</v>
      </c>
      <c r="K2554" t="s">
        <v>41</v>
      </c>
      <c r="L2554" t="s">
        <v>13139</v>
      </c>
      <c r="M2554" t="s">
        <v>13140</v>
      </c>
      <c r="N2554" t="s">
        <v>11429</v>
      </c>
      <c r="O2554" t="s">
        <v>101</v>
      </c>
      <c r="P2554" t="s">
        <v>13141</v>
      </c>
      <c r="Q2554" t="s">
        <v>109</v>
      </c>
      <c r="R2554" t="s">
        <v>12876</v>
      </c>
      <c r="S2554">
        <v>0.5</v>
      </c>
      <c r="T2554">
        <v>3680</v>
      </c>
      <c r="U2554">
        <v>0</v>
      </c>
      <c r="V2554">
        <v>3680</v>
      </c>
    </row>
    <row r="2555" spans="1:22" x14ac:dyDescent="0.3">
      <c r="A2555">
        <v>186607</v>
      </c>
      <c r="B2555">
        <v>136826180</v>
      </c>
      <c r="C2555" t="s">
        <v>13142</v>
      </c>
      <c r="D2555" t="s">
        <v>13143</v>
      </c>
      <c r="E2555" t="s">
        <v>11426</v>
      </c>
      <c r="F2555" t="s">
        <v>844</v>
      </c>
      <c r="G2555" t="s">
        <v>164</v>
      </c>
      <c r="H2555" t="s">
        <v>165</v>
      </c>
      <c r="I2555" t="s">
        <v>34</v>
      </c>
      <c r="J2555" t="s">
        <v>166</v>
      </c>
      <c r="K2555" t="s">
        <v>41</v>
      </c>
      <c r="L2555" t="s">
        <v>13144</v>
      </c>
      <c r="M2555" t="s">
        <v>13145</v>
      </c>
      <c r="N2555" t="s">
        <v>11429</v>
      </c>
      <c r="O2555" t="s">
        <v>101</v>
      </c>
      <c r="P2555" t="s">
        <v>13146</v>
      </c>
      <c r="Q2555" t="s">
        <v>43</v>
      </c>
      <c r="R2555" t="s">
        <v>679</v>
      </c>
      <c r="S2555">
        <v>1.5</v>
      </c>
      <c r="T2555">
        <v>3753</v>
      </c>
      <c r="U2555">
        <v>0</v>
      </c>
      <c r="V2555">
        <v>3753</v>
      </c>
    </row>
    <row r="2556" spans="1:22" x14ac:dyDescent="0.3">
      <c r="A2556">
        <v>186607</v>
      </c>
      <c r="B2556">
        <v>136859927</v>
      </c>
      <c r="C2556" t="s">
        <v>13147</v>
      </c>
      <c r="D2556" t="s">
        <v>13148</v>
      </c>
      <c r="E2556" t="s">
        <v>11426</v>
      </c>
      <c r="F2556" t="s">
        <v>844</v>
      </c>
      <c r="G2556" t="s">
        <v>164</v>
      </c>
      <c r="H2556" t="s">
        <v>165</v>
      </c>
      <c r="I2556" t="s">
        <v>34</v>
      </c>
      <c r="J2556" t="s">
        <v>166</v>
      </c>
      <c r="K2556" t="s">
        <v>41</v>
      </c>
      <c r="L2556" t="s">
        <v>13149</v>
      </c>
      <c r="M2556" t="s">
        <v>13150</v>
      </c>
      <c r="N2556" t="s">
        <v>11429</v>
      </c>
      <c r="O2556" t="s">
        <v>101</v>
      </c>
      <c r="P2556" t="s">
        <v>13151</v>
      </c>
      <c r="Q2556" t="s">
        <v>83</v>
      </c>
      <c r="R2556" t="s">
        <v>12887</v>
      </c>
      <c r="S2556">
        <v>0.5</v>
      </c>
      <c r="T2556">
        <v>3299</v>
      </c>
      <c r="U2556">
        <v>0</v>
      </c>
      <c r="V2556">
        <v>3299</v>
      </c>
    </row>
    <row r="2557" spans="1:22" x14ac:dyDescent="0.3">
      <c r="A2557">
        <v>186607</v>
      </c>
      <c r="B2557">
        <v>136724131</v>
      </c>
      <c r="C2557" t="s">
        <v>13152</v>
      </c>
      <c r="D2557" t="s">
        <v>13153</v>
      </c>
      <c r="E2557" t="s">
        <v>11426</v>
      </c>
      <c r="F2557" t="s">
        <v>844</v>
      </c>
      <c r="G2557" t="s">
        <v>164</v>
      </c>
      <c r="H2557" t="s">
        <v>165</v>
      </c>
      <c r="I2557" t="s">
        <v>34</v>
      </c>
      <c r="J2557" t="s">
        <v>166</v>
      </c>
      <c r="K2557" t="s">
        <v>44</v>
      </c>
      <c r="L2557" t="s">
        <v>188</v>
      </c>
      <c r="M2557" t="s">
        <v>13154</v>
      </c>
      <c r="N2557" t="s">
        <v>11429</v>
      </c>
      <c r="O2557" t="s">
        <v>101</v>
      </c>
      <c r="P2557" t="s">
        <v>13155</v>
      </c>
      <c r="Q2557" t="s">
        <v>211</v>
      </c>
      <c r="R2557" t="s">
        <v>12845</v>
      </c>
      <c r="S2557">
        <v>3.13</v>
      </c>
      <c r="T2557">
        <v>4852</v>
      </c>
      <c r="U2557">
        <v>0</v>
      </c>
      <c r="V2557">
        <v>4852</v>
      </c>
    </row>
    <row r="2558" spans="1:22" x14ac:dyDescent="0.3">
      <c r="A2558">
        <v>186607</v>
      </c>
      <c r="B2558">
        <v>136635659</v>
      </c>
      <c r="C2558" t="s">
        <v>13156</v>
      </c>
      <c r="D2558" t="s">
        <v>13157</v>
      </c>
      <c r="E2558" t="s">
        <v>11426</v>
      </c>
      <c r="F2558" t="s">
        <v>844</v>
      </c>
      <c r="G2558" t="s">
        <v>164</v>
      </c>
      <c r="H2558" t="s">
        <v>165</v>
      </c>
      <c r="I2558" t="s">
        <v>34</v>
      </c>
      <c r="J2558" t="s">
        <v>166</v>
      </c>
      <c r="K2558" t="s">
        <v>44</v>
      </c>
      <c r="L2558" t="s">
        <v>188</v>
      </c>
      <c r="M2558" t="s">
        <v>622</v>
      </c>
      <c r="N2558" t="s">
        <v>11429</v>
      </c>
      <c r="O2558" t="s">
        <v>101</v>
      </c>
      <c r="P2558" t="s">
        <v>13158</v>
      </c>
      <c r="Q2558" t="s">
        <v>55</v>
      </c>
      <c r="R2558" t="s">
        <v>11610</v>
      </c>
      <c r="S2558">
        <v>0.5</v>
      </c>
      <c r="T2558">
        <v>4067</v>
      </c>
      <c r="U2558">
        <v>0</v>
      </c>
      <c r="V2558">
        <v>4067</v>
      </c>
    </row>
    <row r="2559" spans="1:22" x14ac:dyDescent="0.3">
      <c r="A2559">
        <v>186607</v>
      </c>
      <c r="B2559">
        <v>136792747</v>
      </c>
      <c r="C2559" t="s">
        <v>13159</v>
      </c>
      <c r="D2559" t="s">
        <v>13160</v>
      </c>
      <c r="E2559" t="s">
        <v>11426</v>
      </c>
      <c r="F2559" t="s">
        <v>844</v>
      </c>
      <c r="G2559" t="s">
        <v>164</v>
      </c>
      <c r="H2559" t="s">
        <v>165</v>
      </c>
      <c r="I2559" t="s">
        <v>34</v>
      </c>
      <c r="J2559" t="s">
        <v>166</v>
      </c>
      <c r="K2559" t="s">
        <v>41</v>
      </c>
      <c r="L2559" t="s">
        <v>13161</v>
      </c>
      <c r="M2559" t="s">
        <v>13162</v>
      </c>
      <c r="N2559" t="s">
        <v>11429</v>
      </c>
      <c r="O2559" t="s">
        <v>101</v>
      </c>
      <c r="P2559" t="s">
        <v>13163</v>
      </c>
      <c r="Q2559" t="s">
        <v>76</v>
      </c>
      <c r="R2559" t="s">
        <v>12701</v>
      </c>
      <c r="S2559">
        <v>0.5</v>
      </c>
      <c r="T2559">
        <v>3680</v>
      </c>
      <c r="U2559">
        <v>0</v>
      </c>
      <c r="V2559">
        <v>3680</v>
      </c>
    </row>
    <row r="2560" spans="1:22" x14ac:dyDescent="0.3">
      <c r="A2560">
        <v>186607</v>
      </c>
      <c r="B2560">
        <v>136542189</v>
      </c>
      <c r="C2560" t="s">
        <v>13164</v>
      </c>
      <c r="D2560" t="s">
        <v>13165</v>
      </c>
      <c r="E2560" t="s">
        <v>11426</v>
      </c>
      <c r="F2560" t="s">
        <v>844</v>
      </c>
      <c r="G2560" t="s">
        <v>164</v>
      </c>
      <c r="H2560" t="s">
        <v>165</v>
      </c>
      <c r="I2560" t="s">
        <v>34</v>
      </c>
      <c r="J2560" t="s">
        <v>166</v>
      </c>
      <c r="K2560" t="s">
        <v>41</v>
      </c>
      <c r="L2560" t="s">
        <v>13166</v>
      </c>
      <c r="M2560" t="s">
        <v>13167</v>
      </c>
      <c r="N2560" t="s">
        <v>11429</v>
      </c>
      <c r="O2560" t="s">
        <v>101</v>
      </c>
      <c r="P2560" t="s">
        <v>13168</v>
      </c>
      <c r="Q2560" t="s">
        <v>55</v>
      </c>
      <c r="R2560" t="s">
        <v>13169</v>
      </c>
      <c r="S2560">
        <v>0.5</v>
      </c>
      <c r="T2560">
        <v>4067</v>
      </c>
      <c r="U2560">
        <v>0</v>
      </c>
      <c r="V2560">
        <v>4067</v>
      </c>
    </row>
    <row r="2561" spans="1:22" x14ac:dyDescent="0.3">
      <c r="A2561">
        <v>186607</v>
      </c>
      <c r="B2561">
        <v>136859947</v>
      </c>
      <c r="C2561" t="s">
        <v>13170</v>
      </c>
      <c r="D2561" t="s">
        <v>13171</v>
      </c>
      <c r="E2561" t="s">
        <v>11426</v>
      </c>
      <c r="F2561" t="s">
        <v>844</v>
      </c>
      <c r="G2561" t="s">
        <v>164</v>
      </c>
      <c r="H2561" t="s">
        <v>165</v>
      </c>
      <c r="I2561" t="s">
        <v>34</v>
      </c>
      <c r="J2561" t="s">
        <v>166</v>
      </c>
      <c r="K2561" t="s">
        <v>44</v>
      </c>
      <c r="L2561" t="s">
        <v>188</v>
      </c>
      <c r="M2561" t="s">
        <v>13172</v>
      </c>
      <c r="N2561" t="s">
        <v>11429</v>
      </c>
      <c r="O2561" t="s">
        <v>101</v>
      </c>
      <c r="P2561" t="s">
        <v>13173</v>
      </c>
      <c r="Q2561" t="s">
        <v>83</v>
      </c>
      <c r="R2561" t="s">
        <v>650</v>
      </c>
      <c r="S2561">
        <v>0.5</v>
      </c>
      <c r="T2561">
        <v>3299</v>
      </c>
      <c r="U2561">
        <v>0</v>
      </c>
      <c r="V2561">
        <v>3299</v>
      </c>
    </row>
    <row r="2562" spans="1:22" x14ac:dyDescent="0.3">
      <c r="A2562">
        <v>186607</v>
      </c>
      <c r="B2562">
        <v>136859961</v>
      </c>
      <c r="C2562" t="s">
        <v>13174</v>
      </c>
      <c r="D2562" t="s">
        <v>13175</v>
      </c>
      <c r="E2562" t="s">
        <v>11426</v>
      </c>
      <c r="F2562" t="s">
        <v>844</v>
      </c>
      <c r="G2562" t="s">
        <v>164</v>
      </c>
      <c r="H2562" t="s">
        <v>165</v>
      </c>
      <c r="I2562" t="s">
        <v>34</v>
      </c>
      <c r="J2562" t="s">
        <v>166</v>
      </c>
      <c r="K2562" t="s">
        <v>41</v>
      </c>
      <c r="L2562" t="s">
        <v>13176</v>
      </c>
      <c r="M2562" t="s">
        <v>13177</v>
      </c>
      <c r="N2562" t="s">
        <v>11429</v>
      </c>
      <c r="O2562" t="s">
        <v>101</v>
      </c>
      <c r="P2562" t="s">
        <v>13178</v>
      </c>
      <c r="Q2562" t="s">
        <v>68</v>
      </c>
      <c r="R2562" t="s">
        <v>650</v>
      </c>
      <c r="S2562">
        <v>0.5</v>
      </c>
      <c r="T2562">
        <v>3680</v>
      </c>
      <c r="U2562">
        <v>0</v>
      </c>
      <c r="V2562">
        <v>3680</v>
      </c>
    </row>
    <row r="2563" spans="1:22" x14ac:dyDescent="0.3">
      <c r="A2563">
        <v>186607</v>
      </c>
      <c r="B2563">
        <v>136826168</v>
      </c>
      <c r="C2563" t="s">
        <v>13179</v>
      </c>
      <c r="D2563" t="s">
        <v>13180</v>
      </c>
      <c r="E2563" t="s">
        <v>11426</v>
      </c>
      <c r="F2563" t="s">
        <v>844</v>
      </c>
      <c r="G2563" t="s">
        <v>164</v>
      </c>
      <c r="H2563" t="s">
        <v>165</v>
      </c>
      <c r="I2563" t="s">
        <v>34</v>
      </c>
      <c r="J2563" t="s">
        <v>166</v>
      </c>
      <c r="K2563" t="s">
        <v>41</v>
      </c>
      <c r="L2563" t="s">
        <v>567</v>
      </c>
      <c r="M2563" t="s">
        <v>13181</v>
      </c>
      <c r="N2563" t="s">
        <v>11429</v>
      </c>
      <c r="O2563" t="s">
        <v>101</v>
      </c>
      <c r="P2563" t="s">
        <v>13182</v>
      </c>
      <c r="Q2563" t="s">
        <v>83</v>
      </c>
      <c r="R2563" t="s">
        <v>679</v>
      </c>
      <c r="S2563">
        <v>1</v>
      </c>
      <c r="T2563">
        <v>3366</v>
      </c>
      <c r="U2563">
        <v>0</v>
      </c>
      <c r="V2563">
        <v>3366</v>
      </c>
    </row>
    <row r="2564" spans="1:22" x14ac:dyDescent="0.3">
      <c r="A2564">
        <v>186607</v>
      </c>
      <c r="B2564">
        <v>136792771</v>
      </c>
      <c r="C2564" t="s">
        <v>13183</v>
      </c>
      <c r="D2564" t="s">
        <v>13184</v>
      </c>
      <c r="E2564" t="s">
        <v>11426</v>
      </c>
      <c r="F2564" t="s">
        <v>844</v>
      </c>
      <c r="G2564" t="s">
        <v>164</v>
      </c>
      <c r="H2564" t="s">
        <v>165</v>
      </c>
      <c r="I2564" t="s">
        <v>34</v>
      </c>
      <c r="J2564" t="s">
        <v>166</v>
      </c>
      <c r="K2564" t="s">
        <v>41</v>
      </c>
      <c r="L2564" t="s">
        <v>13185</v>
      </c>
      <c r="M2564" t="s">
        <v>13186</v>
      </c>
      <c r="N2564" t="s">
        <v>11429</v>
      </c>
      <c r="O2564" t="s">
        <v>101</v>
      </c>
      <c r="P2564" t="s">
        <v>13187</v>
      </c>
      <c r="Q2564" t="s">
        <v>83</v>
      </c>
      <c r="R2564" t="s">
        <v>12701</v>
      </c>
      <c r="S2564">
        <v>0.5</v>
      </c>
      <c r="T2564">
        <v>3299</v>
      </c>
      <c r="U2564">
        <v>0</v>
      </c>
      <c r="V2564">
        <v>3299</v>
      </c>
    </row>
    <row r="2565" spans="1:22" x14ac:dyDescent="0.3">
      <c r="A2565">
        <v>186607</v>
      </c>
      <c r="B2565">
        <v>136792732</v>
      </c>
      <c r="C2565" t="s">
        <v>13188</v>
      </c>
      <c r="D2565" t="s">
        <v>13189</v>
      </c>
      <c r="E2565" t="s">
        <v>11426</v>
      </c>
      <c r="F2565" t="s">
        <v>844</v>
      </c>
      <c r="G2565" t="s">
        <v>164</v>
      </c>
      <c r="H2565" t="s">
        <v>165</v>
      </c>
      <c r="I2565" t="s">
        <v>34</v>
      </c>
      <c r="J2565" t="s">
        <v>166</v>
      </c>
      <c r="K2565" t="s">
        <v>41</v>
      </c>
      <c r="L2565" t="s">
        <v>13190</v>
      </c>
      <c r="M2565" t="s">
        <v>13191</v>
      </c>
      <c r="N2565" t="s">
        <v>11429</v>
      </c>
      <c r="O2565" t="s">
        <v>101</v>
      </c>
      <c r="P2565" t="s">
        <v>13192</v>
      </c>
      <c r="Q2565" t="s">
        <v>92</v>
      </c>
      <c r="R2565" t="s">
        <v>12701</v>
      </c>
      <c r="S2565">
        <v>0.5</v>
      </c>
      <c r="T2565">
        <v>3299</v>
      </c>
      <c r="U2565">
        <v>0</v>
      </c>
      <c r="V2565">
        <v>3299</v>
      </c>
    </row>
    <row r="2566" spans="1:22" x14ac:dyDescent="0.3">
      <c r="A2566">
        <v>186607</v>
      </c>
      <c r="B2566">
        <v>136859937</v>
      </c>
      <c r="C2566" t="s">
        <v>13193</v>
      </c>
      <c r="D2566" t="s">
        <v>13194</v>
      </c>
      <c r="E2566" t="s">
        <v>11426</v>
      </c>
      <c r="F2566" t="s">
        <v>844</v>
      </c>
      <c r="G2566" t="s">
        <v>164</v>
      </c>
      <c r="H2566" t="s">
        <v>165</v>
      </c>
      <c r="I2566" t="s">
        <v>34</v>
      </c>
      <c r="J2566" t="s">
        <v>166</v>
      </c>
      <c r="K2566" t="s">
        <v>41</v>
      </c>
      <c r="L2566" t="s">
        <v>13195</v>
      </c>
      <c r="M2566" t="s">
        <v>573</v>
      </c>
      <c r="N2566" t="s">
        <v>11429</v>
      </c>
      <c r="O2566" t="s">
        <v>101</v>
      </c>
      <c r="P2566" t="s">
        <v>13196</v>
      </c>
      <c r="Q2566" t="s">
        <v>204</v>
      </c>
      <c r="R2566" t="s">
        <v>650</v>
      </c>
      <c r="S2566">
        <v>2</v>
      </c>
      <c r="T2566">
        <v>3366</v>
      </c>
      <c r="U2566">
        <v>0</v>
      </c>
      <c r="V2566">
        <v>3366</v>
      </c>
    </row>
    <row r="2567" spans="1:22" x14ac:dyDescent="0.3">
      <c r="A2567">
        <v>186607</v>
      </c>
      <c r="B2567">
        <v>136826134</v>
      </c>
      <c r="C2567" t="s">
        <v>13197</v>
      </c>
      <c r="D2567" t="s">
        <v>13198</v>
      </c>
      <c r="E2567" t="s">
        <v>11426</v>
      </c>
      <c r="F2567" t="s">
        <v>844</v>
      </c>
      <c r="G2567" t="s">
        <v>164</v>
      </c>
      <c r="H2567" t="s">
        <v>165</v>
      </c>
      <c r="I2567" t="s">
        <v>34</v>
      </c>
      <c r="J2567" t="s">
        <v>166</v>
      </c>
      <c r="K2567" t="s">
        <v>41</v>
      </c>
      <c r="L2567" t="s">
        <v>13199</v>
      </c>
      <c r="M2567" t="s">
        <v>13200</v>
      </c>
      <c r="N2567" t="s">
        <v>11429</v>
      </c>
      <c r="O2567" t="s">
        <v>101</v>
      </c>
      <c r="P2567" t="s">
        <v>13201</v>
      </c>
      <c r="Q2567" t="s">
        <v>49</v>
      </c>
      <c r="R2567" t="s">
        <v>679</v>
      </c>
      <c r="S2567">
        <v>0.5</v>
      </c>
      <c r="T2567">
        <v>3449</v>
      </c>
      <c r="U2567">
        <v>0</v>
      </c>
      <c r="V2567">
        <v>3449</v>
      </c>
    </row>
    <row r="2568" spans="1:22" x14ac:dyDescent="0.3">
      <c r="A2568">
        <v>186607</v>
      </c>
      <c r="B2568">
        <v>136792733</v>
      </c>
      <c r="C2568" t="s">
        <v>13202</v>
      </c>
      <c r="D2568" t="s">
        <v>13203</v>
      </c>
      <c r="E2568" t="s">
        <v>11426</v>
      </c>
      <c r="F2568" t="s">
        <v>844</v>
      </c>
      <c r="G2568" t="s">
        <v>164</v>
      </c>
      <c r="H2568" t="s">
        <v>165</v>
      </c>
      <c r="I2568" t="s">
        <v>34</v>
      </c>
      <c r="J2568" t="s">
        <v>166</v>
      </c>
      <c r="K2568" t="s">
        <v>41</v>
      </c>
      <c r="L2568" t="s">
        <v>13204</v>
      </c>
      <c r="M2568" t="s">
        <v>13205</v>
      </c>
      <c r="N2568" t="s">
        <v>11429</v>
      </c>
      <c r="O2568" t="s">
        <v>101</v>
      </c>
      <c r="P2568" t="s">
        <v>13206</v>
      </c>
      <c r="Q2568" t="s">
        <v>64</v>
      </c>
      <c r="R2568" t="s">
        <v>12701</v>
      </c>
      <c r="S2568">
        <v>0.5</v>
      </c>
      <c r="T2568">
        <v>3680</v>
      </c>
      <c r="U2568">
        <v>0</v>
      </c>
      <c r="V2568">
        <v>3680</v>
      </c>
    </row>
    <row r="2569" spans="1:22" x14ac:dyDescent="0.3">
      <c r="A2569">
        <v>186607</v>
      </c>
      <c r="B2569">
        <v>136792772</v>
      </c>
      <c r="C2569" t="s">
        <v>13207</v>
      </c>
      <c r="D2569" t="s">
        <v>13208</v>
      </c>
      <c r="E2569" t="s">
        <v>11426</v>
      </c>
      <c r="F2569" t="s">
        <v>844</v>
      </c>
      <c r="G2569" t="s">
        <v>164</v>
      </c>
      <c r="H2569" t="s">
        <v>165</v>
      </c>
      <c r="I2569" t="s">
        <v>34</v>
      </c>
      <c r="J2569" t="s">
        <v>166</v>
      </c>
      <c r="K2569" t="s">
        <v>41</v>
      </c>
      <c r="L2569" t="s">
        <v>13209</v>
      </c>
      <c r="M2569" t="s">
        <v>13210</v>
      </c>
      <c r="N2569" t="s">
        <v>11429</v>
      </c>
      <c r="O2569" t="s">
        <v>101</v>
      </c>
      <c r="P2569" t="s">
        <v>13211</v>
      </c>
      <c r="Q2569" t="s">
        <v>69</v>
      </c>
      <c r="R2569" t="s">
        <v>12701</v>
      </c>
      <c r="S2569">
        <v>0.5</v>
      </c>
      <c r="T2569">
        <v>3680</v>
      </c>
      <c r="U2569">
        <v>0</v>
      </c>
      <c r="V2569">
        <v>3680</v>
      </c>
    </row>
    <row r="2570" spans="1:22" x14ac:dyDescent="0.3">
      <c r="A2570">
        <v>186607</v>
      </c>
      <c r="B2570">
        <v>136792707</v>
      </c>
      <c r="C2570" t="s">
        <v>13212</v>
      </c>
      <c r="D2570" t="s">
        <v>13213</v>
      </c>
      <c r="E2570" t="s">
        <v>11426</v>
      </c>
      <c r="F2570" t="s">
        <v>844</v>
      </c>
      <c r="G2570" t="s">
        <v>164</v>
      </c>
      <c r="H2570" t="s">
        <v>165</v>
      </c>
      <c r="I2570" t="s">
        <v>34</v>
      </c>
      <c r="J2570" t="s">
        <v>166</v>
      </c>
      <c r="K2570" t="s">
        <v>41</v>
      </c>
      <c r="L2570" t="s">
        <v>13214</v>
      </c>
      <c r="M2570" t="s">
        <v>13215</v>
      </c>
      <c r="N2570" t="s">
        <v>11429</v>
      </c>
      <c r="O2570" t="s">
        <v>101</v>
      </c>
      <c r="P2570" t="s">
        <v>13216</v>
      </c>
      <c r="Q2570" t="s">
        <v>216</v>
      </c>
      <c r="R2570" t="s">
        <v>837</v>
      </c>
      <c r="S2570">
        <v>0.5</v>
      </c>
      <c r="T2570">
        <v>3299</v>
      </c>
      <c r="U2570">
        <v>0</v>
      </c>
      <c r="V2570">
        <v>3299</v>
      </c>
    </row>
    <row r="2571" spans="1:22" x14ac:dyDescent="0.3">
      <c r="A2571">
        <v>186607</v>
      </c>
      <c r="B2571">
        <v>136859940</v>
      </c>
      <c r="C2571" t="s">
        <v>13217</v>
      </c>
      <c r="D2571" t="s">
        <v>13218</v>
      </c>
      <c r="E2571" t="s">
        <v>11426</v>
      </c>
      <c r="F2571" t="s">
        <v>844</v>
      </c>
      <c r="G2571" t="s">
        <v>164</v>
      </c>
      <c r="H2571" t="s">
        <v>165</v>
      </c>
      <c r="I2571" t="s">
        <v>34</v>
      </c>
      <c r="J2571" t="s">
        <v>166</v>
      </c>
      <c r="K2571" t="s">
        <v>41</v>
      </c>
      <c r="L2571" t="s">
        <v>13219</v>
      </c>
      <c r="M2571" t="s">
        <v>13220</v>
      </c>
      <c r="N2571" t="s">
        <v>11429</v>
      </c>
      <c r="O2571" t="s">
        <v>101</v>
      </c>
      <c r="P2571" t="s">
        <v>13221</v>
      </c>
      <c r="Q2571" t="s">
        <v>69</v>
      </c>
      <c r="R2571" t="s">
        <v>650</v>
      </c>
      <c r="S2571">
        <v>0.5</v>
      </c>
      <c r="T2571">
        <v>3680</v>
      </c>
      <c r="U2571">
        <v>0</v>
      </c>
      <c r="V2571">
        <v>3680</v>
      </c>
    </row>
    <row r="2572" spans="1:22" x14ac:dyDescent="0.3">
      <c r="A2572">
        <v>186607</v>
      </c>
      <c r="B2572">
        <v>136792727</v>
      </c>
      <c r="C2572" t="s">
        <v>13222</v>
      </c>
      <c r="D2572" t="s">
        <v>13223</v>
      </c>
      <c r="E2572" t="s">
        <v>11426</v>
      </c>
      <c r="F2572" t="s">
        <v>844</v>
      </c>
      <c r="G2572" t="s">
        <v>164</v>
      </c>
      <c r="H2572" t="s">
        <v>165</v>
      </c>
      <c r="I2572" t="s">
        <v>34</v>
      </c>
      <c r="J2572" t="s">
        <v>166</v>
      </c>
      <c r="K2572" t="s">
        <v>41</v>
      </c>
      <c r="L2572" t="s">
        <v>13224</v>
      </c>
      <c r="M2572" t="s">
        <v>13225</v>
      </c>
      <c r="N2572" t="s">
        <v>11429</v>
      </c>
      <c r="O2572" t="s">
        <v>101</v>
      </c>
      <c r="P2572" t="s">
        <v>13226</v>
      </c>
      <c r="Q2572" t="s">
        <v>49</v>
      </c>
      <c r="R2572" t="s">
        <v>12701</v>
      </c>
      <c r="S2572">
        <v>1.5</v>
      </c>
      <c r="T2572">
        <v>3784</v>
      </c>
      <c r="U2572">
        <v>0</v>
      </c>
      <c r="V2572">
        <v>3784</v>
      </c>
    </row>
    <row r="2573" spans="1:22" x14ac:dyDescent="0.3">
      <c r="A2573">
        <v>186607</v>
      </c>
      <c r="B2573">
        <v>136860001</v>
      </c>
      <c r="C2573" t="s">
        <v>13227</v>
      </c>
      <c r="D2573" t="s">
        <v>13228</v>
      </c>
      <c r="E2573" t="s">
        <v>11426</v>
      </c>
      <c r="F2573" t="s">
        <v>844</v>
      </c>
      <c r="G2573" t="s">
        <v>164</v>
      </c>
      <c r="H2573" t="s">
        <v>165</v>
      </c>
      <c r="I2573" t="s">
        <v>34</v>
      </c>
      <c r="J2573" t="s">
        <v>166</v>
      </c>
      <c r="K2573" t="s">
        <v>41</v>
      </c>
      <c r="L2573" t="s">
        <v>13229</v>
      </c>
      <c r="M2573" t="s">
        <v>13230</v>
      </c>
      <c r="N2573" t="s">
        <v>11429</v>
      </c>
      <c r="O2573" t="s">
        <v>101</v>
      </c>
      <c r="P2573" t="s">
        <v>13231</v>
      </c>
      <c r="Q2573" t="s">
        <v>84</v>
      </c>
      <c r="R2573" t="s">
        <v>650</v>
      </c>
      <c r="S2573">
        <v>1</v>
      </c>
      <c r="T2573">
        <v>3366</v>
      </c>
      <c r="U2573">
        <v>0</v>
      </c>
      <c r="V2573">
        <v>3366</v>
      </c>
    </row>
    <row r="2574" spans="1:22" x14ac:dyDescent="0.3">
      <c r="A2574">
        <v>186607</v>
      </c>
      <c r="B2574">
        <v>136724106</v>
      </c>
      <c r="C2574" t="s">
        <v>13232</v>
      </c>
      <c r="D2574" t="s">
        <v>13233</v>
      </c>
      <c r="E2574" t="s">
        <v>11426</v>
      </c>
      <c r="F2574" t="s">
        <v>844</v>
      </c>
      <c r="G2574" t="s">
        <v>164</v>
      </c>
      <c r="H2574" t="s">
        <v>165</v>
      </c>
      <c r="I2574" t="s">
        <v>34</v>
      </c>
      <c r="J2574" t="s">
        <v>166</v>
      </c>
      <c r="K2574" t="s">
        <v>41</v>
      </c>
      <c r="L2574" t="s">
        <v>13234</v>
      </c>
      <c r="M2574" t="s">
        <v>13235</v>
      </c>
      <c r="N2574" t="s">
        <v>11429</v>
      </c>
      <c r="O2574" t="s">
        <v>101</v>
      </c>
      <c r="P2574" t="s">
        <v>13236</v>
      </c>
      <c r="Q2574" t="s">
        <v>59</v>
      </c>
      <c r="R2574" t="s">
        <v>12845</v>
      </c>
      <c r="S2574">
        <v>2.11</v>
      </c>
      <c r="T2574">
        <v>4067</v>
      </c>
      <c r="U2574">
        <v>0</v>
      </c>
      <c r="V2574">
        <v>4067</v>
      </c>
    </row>
    <row r="2575" spans="1:22" x14ac:dyDescent="0.3">
      <c r="A2575">
        <v>186607</v>
      </c>
      <c r="B2575">
        <v>136826106</v>
      </c>
      <c r="C2575" t="s">
        <v>13237</v>
      </c>
      <c r="D2575" t="s">
        <v>13238</v>
      </c>
      <c r="E2575" t="s">
        <v>11426</v>
      </c>
      <c r="F2575" t="s">
        <v>844</v>
      </c>
      <c r="G2575" t="s">
        <v>164</v>
      </c>
      <c r="H2575" t="s">
        <v>165</v>
      </c>
      <c r="I2575" t="s">
        <v>34</v>
      </c>
      <c r="J2575" t="s">
        <v>166</v>
      </c>
      <c r="K2575" t="s">
        <v>41</v>
      </c>
      <c r="L2575" t="s">
        <v>13239</v>
      </c>
      <c r="M2575" t="s">
        <v>13240</v>
      </c>
      <c r="N2575" t="s">
        <v>11429</v>
      </c>
      <c r="O2575" t="s">
        <v>101</v>
      </c>
      <c r="P2575" t="s">
        <v>13241</v>
      </c>
      <c r="Q2575" t="s">
        <v>97</v>
      </c>
      <c r="R2575" t="s">
        <v>679</v>
      </c>
      <c r="S2575">
        <v>0.5</v>
      </c>
      <c r="T2575">
        <v>3299</v>
      </c>
      <c r="U2575">
        <v>0</v>
      </c>
      <c r="V2575">
        <v>3299</v>
      </c>
    </row>
    <row r="2576" spans="1:22" x14ac:dyDescent="0.3">
      <c r="A2576">
        <v>186607</v>
      </c>
      <c r="B2576">
        <v>136682279</v>
      </c>
      <c r="C2576" t="s">
        <v>13242</v>
      </c>
      <c r="D2576" t="s">
        <v>13243</v>
      </c>
      <c r="E2576" t="s">
        <v>11426</v>
      </c>
      <c r="F2576" t="s">
        <v>844</v>
      </c>
      <c r="G2576" t="s">
        <v>164</v>
      </c>
      <c r="H2576" t="s">
        <v>165</v>
      </c>
      <c r="I2576" t="s">
        <v>34</v>
      </c>
      <c r="J2576" t="s">
        <v>166</v>
      </c>
      <c r="K2576" t="s">
        <v>41</v>
      </c>
      <c r="L2576" t="s">
        <v>13244</v>
      </c>
      <c r="M2576" t="s">
        <v>139</v>
      </c>
      <c r="N2576" t="s">
        <v>11429</v>
      </c>
      <c r="O2576" t="s">
        <v>101</v>
      </c>
      <c r="P2576" t="s">
        <v>13245</v>
      </c>
      <c r="Q2576" t="s">
        <v>224</v>
      </c>
      <c r="R2576" t="s">
        <v>473</v>
      </c>
      <c r="S2576">
        <v>3.44</v>
      </c>
      <c r="T2576">
        <v>5111</v>
      </c>
      <c r="U2576">
        <v>0</v>
      </c>
      <c r="V2576">
        <v>5111</v>
      </c>
    </row>
    <row r="2577" spans="1:22" x14ac:dyDescent="0.3">
      <c r="A2577">
        <v>186607</v>
      </c>
      <c r="B2577">
        <v>136635704</v>
      </c>
      <c r="C2577" t="s">
        <v>13246</v>
      </c>
      <c r="D2577" t="s">
        <v>13247</v>
      </c>
      <c r="E2577" t="s">
        <v>11426</v>
      </c>
      <c r="F2577" t="s">
        <v>844</v>
      </c>
      <c r="G2577" t="s">
        <v>164</v>
      </c>
      <c r="H2577" t="s">
        <v>165</v>
      </c>
      <c r="I2577" t="s">
        <v>34</v>
      </c>
      <c r="J2577" t="s">
        <v>166</v>
      </c>
      <c r="K2577" t="s">
        <v>41</v>
      </c>
      <c r="L2577" t="s">
        <v>13248</v>
      </c>
      <c r="M2577" t="s">
        <v>13249</v>
      </c>
      <c r="N2577" t="s">
        <v>11429</v>
      </c>
      <c r="O2577" t="s">
        <v>101</v>
      </c>
      <c r="P2577" t="s">
        <v>13250</v>
      </c>
      <c r="Q2577" t="s">
        <v>58</v>
      </c>
      <c r="R2577" t="s">
        <v>11610</v>
      </c>
      <c r="S2577">
        <v>0.5</v>
      </c>
      <c r="T2577">
        <v>4067</v>
      </c>
      <c r="U2577">
        <v>0</v>
      </c>
      <c r="V2577">
        <v>4067</v>
      </c>
    </row>
    <row r="2578" spans="1:22" x14ac:dyDescent="0.3">
      <c r="A2578">
        <v>186607</v>
      </c>
      <c r="B2578">
        <v>136635778</v>
      </c>
      <c r="C2578" t="s">
        <v>13251</v>
      </c>
      <c r="D2578" t="s">
        <v>13252</v>
      </c>
      <c r="E2578" t="s">
        <v>11426</v>
      </c>
      <c r="F2578" t="s">
        <v>844</v>
      </c>
      <c r="G2578" t="s">
        <v>164</v>
      </c>
      <c r="H2578" t="s">
        <v>165</v>
      </c>
      <c r="I2578" t="s">
        <v>34</v>
      </c>
      <c r="J2578" t="s">
        <v>166</v>
      </c>
      <c r="K2578" t="s">
        <v>41</v>
      </c>
      <c r="L2578" t="s">
        <v>13253</v>
      </c>
      <c r="M2578" t="s">
        <v>13254</v>
      </c>
      <c r="N2578" t="s">
        <v>11429</v>
      </c>
      <c r="O2578" t="s">
        <v>101</v>
      </c>
      <c r="P2578" t="s">
        <v>13255</v>
      </c>
      <c r="Q2578" t="s">
        <v>58</v>
      </c>
      <c r="R2578" t="s">
        <v>13042</v>
      </c>
      <c r="S2578">
        <v>3.71</v>
      </c>
      <c r="T2578">
        <v>8538</v>
      </c>
      <c r="U2578">
        <v>0</v>
      </c>
      <c r="V2578">
        <v>8538</v>
      </c>
    </row>
    <row r="2579" spans="1:22" x14ac:dyDescent="0.3">
      <c r="A2579">
        <v>186607</v>
      </c>
      <c r="B2579">
        <v>136826100</v>
      </c>
      <c r="C2579" t="s">
        <v>13256</v>
      </c>
      <c r="D2579" t="s">
        <v>13257</v>
      </c>
      <c r="E2579" t="s">
        <v>11426</v>
      </c>
      <c r="F2579" t="s">
        <v>844</v>
      </c>
      <c r="G2579" t="s">
        <v>164</v>
      </c>
      <c r="H2579" t="s">
        <v>165</v>
      </c>
      <c r="I2579" t="s">
        <v>34</v>
      </c>
      <c r="J2579" t="s">
        <v>166</v>
      </c>
      <c r="K2579" t="s">
        <v>41</v>
      </c>
      <c r="L2579" t="s">
        <v>13258</v>
      </c>
      <c r="M2579" t="s">
        <v>13259</v>
      </c>
      <c r="N2579" t="s">
        <v>11429</v>
      </c>
      <c r="O2579" t="s">
        <v>101</v>
      </c>
      <c r="P2579" t="s">
        <v>13260</v>
      </c>
      <c r="Q2579" t="s">
        <v>43</v>
      </c>
      <c r="R2579" t="s">
        <v>679</v>
      </c>
      <c r="S2579">
        <v>0.5</v>
      </c>
      <c r="T2579">
        <v>3680</v>
      </c>
      <c r="U2579">
        <v>0</v>
      </c>
      <c r="V2579">
        <v>3680</v>
      </c>
    </row>
    <row r="2580" spans="1:22" x14ac:dyDescent="0.3">
      <c r="A2580">
        <v>186607</v>
      </c>
      <c r="B2580">
        <v>136542143</v>
      </c>
      <c r="C2580" t="s">
        <v>13261</v>
      </c>
      <c r="D2580" t="s">
        <v>13262</v>
      </c>
      <c r="E2580" t="s">
        <v>11426</v>
      </c>
      <c r="F2580" t="s">
        <v>844</v>
      </c>
      <c r="G2580" t="s">
        <v>164</v>
      </c>
      <c r="H2580" t="s">
        <v>165</v>
      </c>
      <c r="I2580" t="s">
        <v>34</v>
      </c>
      <c r="J2580" t="s">
        <v>166</v>
      </c>
      <c r="K2580" t="s">
        <v>41</v>
      </c>
      <c r="L2580" t="s">
        <v>13263</v>
      </c>
      <c r="M2580" t="s">
        <v>13264</v>
      </c>
      <c r="N2580" t="s">
        <v>11429</v>
      </c>
      <c r="O2580" t="s">
        <v>101</v>
      </c>
      <c r="P2580" t="s">
        <v>13265</v>
      </c>
      <c r="Q2580" t="s">
        <v>55</v>
      </c>
      <c r="R2580" t="s">
        <v>11435</v>
      </c>
      <c r="S2580">
        <v>1</v>
      </c>
      <c r="T2580">
        <v>5198</v>
      </c>
      <c r="U2580">
        <v>0</v>
      </c>
      <c r="V2580">
        <v>5198</v>
      </c>
    </row>
    <row r="2581" spans="1:22" x14ac:dyDescent="0.3">
      <c r="A2581">
        <v>186607</v>
      </c>
      <c r="B2581">
        <v>136635606</v>
      </c>
      <c r="C2581" t="s">
        <v>13266</v>
      </c>
      <c r="D2581" t="s">
        <v>13267</v>
      </c>
      <c r="E2581" t="s">
        <v>11426</v>
      </c>
      <c r="F2581" t="s">
        <v>844</v>
      </c>
      <c r="G2581" t="s">
        <v>164</v>
      </c>
      <c r="H2581" t="s">
        <v>165</v>
      </c>
      <c r="I2581" t="s">
        <v>34</v>
      </c>
      <c r="J2581" t="s">
        <v>166</v>
      </c>
      <c r="K2581" t="s">
        <v>41</v>
      </c>
      <c r="L2581" t="s">
        <v>13268</v>
      </c>
      <c r="M2581" t="s">
        <v>13269</v>
      </c>
      <c r="N2581" t="s">
        <v>11429</v>
      </c>
      <c r="O2581" t="s">
        <v>101</v>
      </c>
      <c r="P2581" t="s">
        <v>13270</v>
      </c>
      <c r="Q2581" t="s">
        <v>58</v>
      </c>
      <c r="R2581" t="s">
        <v>12876</v>
      </c>
      <c r="S2581">
        <v>0.5</v>
      </c>
      <c r="T2581">
        <v>4067</v>
      </c>
      <c r="U2581">
        <v>0</v>
      </c>
      <c r="V2581">
        <v>4067</v>
      </c>
    </row>
    <row r="2582" spans="1:22" x14ac:dyDescent="0.3">
      <c r="A2582">
        <v>186607</v>
      </c>
      <c r="B2582">
        <v>136757079</v>
      </c>
      <c r="C2582" t="s">
        <v>13271</v>
      </c>
      <c r="D2582" t="s">
        <v>13272</v>
      </c>
      <c r="E2582" t="s">
        <v>11426</v>
      </c>
      <c r="F2582" t="s">
        <v>844</v>
      </c>
      <c r="G2582" t="s">
        <v>164</v>
      </c>
      <c r="H2582" t="s">
        <v>165</v>
      </c>
      <c r="I2582" t="s">
        <v>34</v>
      </c>
      <c r="J2582" t="s">
        <v>166</v>
      </c>
      <c r="K2582" t="s">
        <v>41</v>
      </c>
      <c r="L2582" t="s">
        <v>13273</v>
      </c>
      <c r="M2582" t="s">
        <v>13274</v>
      </c>
      <c r="N2582" t="s">
        <v>11429</v>
      </c>
      <c r="O2582" t="s">
        <v>101</v>
      </c>
      <c r="P2582" t="s">
        <v>13275</v>
      </c>
      <c r="Q2582" t="s">
        <v>190</v>
      </c>
      <c r="R2582" t="s">
        <v>469</v>
      </c>
      <c r="S2582">
        <v>1.99</v>
      </c>
      <c r="T2582">
        <v>3366</v>
      </c>
      <c r="U2582">
        <v>0</v>
      </c>
      <c r="V2582">
        <v>3366</v>
      </c>
    </row>
    <row r="2583" spans="1:22" x14ac:dyDescent="0.3">
      <c r="A2583">
        <v>186607</v>
      </c>
      <c r="B2583">
        <v>136682180</v>
      </c>
      <c r="C2583" t="s">
        <v>13276</v>
      </c>
      <c r="D2583" t="s">
        <v>13277</v>
      </c>
      <c r="E2583" t="s">
        <v>11426</v>
      </c>
      <c r="F2583" t="s">
        <v>844</v>
      </c>
      <c r="G2583" t="s">
        <v>164</v>
      </c>
      <c r="H2583" t="s">
        <v>165</v>
      </c>
      <c r="I2583" t="s">
        <v>34</v>
      </c>
      <c r="J2583" t="s">
        <v>166</v>
      </c>
      <c r="K2583" t="s">
        <v>44</v>
      </c>
      <c r="L2583" t="s">
        <v>188</v>
      </c>
      <c r="M2583" t="s">
        <v>13278</v>
      </c>
      <c r="N2583" t="s">
        <v>11429</v>
      </c>
      <c r="O2583" t="s">
        <v>101</v>
      </c>
      <c r="P2583" t="s">
        <v>13279</v>
      </c>
      <c r="Q2583" t="s">
        <v>190</v>
      </c>
      <c r="R2583" t="s">
        <v>11574</v>
      </c>
      <c r="S2583">
        <v>1.88</v>
      </c>
      <c r="T2583">
        <v>3366</v>
      </c>
      <c r="U2583">
        <v>0</v>
      </c>
      <c r="V2583">
        <v>3366</v>
      </c>
    </row>
    <row r="2584" spans="1:22" x14ac:dyDescent="0.3">
      <c r="A2584">
        <v>186607</v>
      </c>
      <c r="B2584">
        <v>136792780</v>
      </c>
      <c r="C2584" t="s">
        <v>13280</v>
      </c>
      <c r="D2584" t="s">
        <v>13281</v>
      </c>
      <c r="E2584" t="s">
        <v>11426</v>
      </c>
      <c r="F2584" t="s">
        <v>844</v>
      </c>
      <c r="G2584" t="s">
        <v>164</v>
      </c>
      <c r="H2584" t="s">
        <v>165</v>
      </c>
      <c r="I2584" t="s">
        <v>34</v>
      </c>
      <c r="J2584" t="s">
        <v>166</v>
      </c>
      <c r="K2584" t="s">
        <v>41</v>
      </c>
      <c r="L2584" t="s">
        <v>13282</v>
      </c>
      <c r="M2584" t="s">
        <v>634</v>
      </c>
      <c r="N2584" t="s">
        <v>11429</v>
      </c>
      <c r="O2584" t="s">
        <v>101</v>
      </c>
      <c r="P2584" t="s">
        <v>13283</v>
      </c>
      <c r="Q2584" t="s">
        <v>240</v>
      </c>
      <c r="R2584" t="s">
        <v>12701</v>
      </c>
      <c r="S2584">
        <v>0.5</v>
      </c>
      <c r="T2584">
        <v>5152</v>
      </c>
      <c r="U2584">
        <v>0</v>
      </c>
      <c r="V2584">
        <v>5152</v>
      </c>
    </row>
    <row r="2585" spans="1:22" x14ac:dyDescent="0.3">
      <c r="A2585">
        <v>186607</v>
      </c>
      <c r="B2585">
        <v>136483386</v>
      </c>
      <c r="C2585" t="s">
        <v>13284</v>
      </c>
      <c r="D2585" t="s">
        <v>13285</v>
      </c>
      <c r="E2585" t="s">
        <v>11426</v>
      </c>
      <c r="F2585" t="s">
        <v>844</v>
      </c>
      <c r="G2585" t="s">
        <v>164</v>
      </c>
      <c r="H2585" t="s">
        <v>165</v>
      </c>
      <c r="I2585" t="s">
        <v>34</v>
      </c>
      <c r="J2585" t="s">
        <v>166</v>
      </c>
      <c r="K2585" t="s">
        <v>41</v>
      </c>
      <c r="L2585" t="s">
        <v>13286</v>
      </c>
      <c r="M2585" t="s">
        <v>13287</v>
      </c>
      <c r="N2585" t="s">
        <v>11429</v>
      </c>
      <c r="O2585" t="s">
        <v>101</v>
      </c>
      <c r="P2585" t="s">
        <v>13288</v>
      </c>
      <c r="Q2585" t="s">
        <v>55</v>
      </c>
      <c r="R2585" t="s">
        <v>12967</v>
      </c>
      <c r="S2585">
        <v>0.5</v>
      </c>
      <c r="T2585">
        <v>4067</v>
      </c>
      <c r="U2585">
        <v>0</v>
      </c>
      <c r="V2585">
        <v>4067</v>
      </c>
    </row>
    <row r="2586" spans="1:22" x14ac:dyDescent="0.3">
      <c r="A2586">
        <v>186607</v>
      </c>
      <c r="B2586">
        <v>136792739</v>
      </c>
      <c r="C2586" t="s">
        <v>13289</v>
      </c>
      <c r="D2586" t="s">
        <v>13290</v>
      </c>
      <c r="E2586" t="s">
        <v>11426</v>
      </c>
      <c r="F2586" t="s">
        <v>844</v>
      </c>
      <c r="G2586" t="s">
        <v>164</v>
      </c>
      <c r="H2586" t="s">
        <v>165</v>
      </c>
      <c r="I2586" t="s">
        <v>34</v>
      </c>
      <c r="J2586" t="s">
        <v>166</v>
      </c>
      <c r="K2586" t="s">
        <v>41</v>
      </c>
      <c r="L2586" t="s">
        <v>13291</v>
      </c>
      <c r="M2586" t="s">
        <v>13292</v>
      </c>
      <c r="N2586" t="s">
        <v>11429</v>
      </c>
      <c r="O2586" t="s">
        <v>101</v>
      </c>
      <c r="P2586" t="s">
        <v>13293</v>
      </c>
      <c r="Q2586" t="s">
        <v>87</v>
      </c>
      <c r="R2586" t="s">
        <v>12701</v>
      </c>
      <c r="S2586">
        <v>1</v>
      </c>
      <c r="T2586">
        <v>3366</v>
      </c>
      <c r="U2586">
        <v>0</v>
      </c>
      <c r="V2586">
        <v>3366</v>
      </c>
    </row>
    <row r="2587" spans="1:22" x14ac:dyDescent="0.3">
      <c r="A2587">
        <v>186607</v>
      </c>
      <c r="B2587">
        <v>136859986</v>
      </c>
      <c r="C2587" t="s">
        <v>13294</v>
      </c>
      <c r="D2587" t="s">
        <v>13295</v>
      </c>
      <c r="E2587" t="s">
        <v>11426</v>
      </c>
      <c r="F2587" t="s">
        <v>844</v>
      </c>
      <c r="G2587" t="s">
        <v>164</v>
      </c>
      <c r="H2587" t="s">
        <v>165</v>
      </c>
      <c r="I2587" t="s">
        <v>34</v>
      </c>
      <c r="J2587" t="s">
        <v>166</v>
      </c>
      <c r="K2587" t="s">
        <v>41</v>
      </c>
      <c r="L2587" t="s">
        <v>13296</v>
      </c>
      <c r="M2587" t="s">
        <v>13297</v>
      </c>
      <c r="N2587" t="s">
        <v>11429</v>
      </c>
      <c r="O2587" t="s">
        <v>101</v>
      </c>
      <c r="P2587" t="s">
        <v>13298</v>
      </c>
      <c r="Q2587" t="s">
        <v>71</v>
      </c>
      <c r="R2587" t="s">
        <v>650</v>
      </c>
      <c r="S2587">
        <v>0.5</v>
      </c>
      <c r="T2587">
        <v>3449</v>
      </c>
      <c r="U2587">
        <v>0</v>
      </c>
      <c r="V2587">
        <v>3449</v>
      </c>
    </row>
    <row r="2588" spans="1:22" x14ac:dyDescent="0.3">
      <c r="A2588">
        <v>186607</v>
      </c>
      <c r="B2588">
        <v>136859951</v>
      </c>
      <c r="C2588" t="s">
        <v>13299</v>
      </c>
      <c r="D2588" t="s">
        <v>13300</v>
      </c>
      <c r="E2588" t="s">
        <v>11426</v>
      </c>
      <c r="F2588" t="s">
        <v>844</v>
      </c>
      <c r="G2588" t="s">
        <v>164</v>
      </c>
      <c r="H2588" t="s">
        <v>165</v>
      </c>
      <c r="I2588" t="s">
        <v>34</v>
      </c>
      <c r="J2588" t="s">
        <v>166</v>
      </c>
      <c r="K2588" t="s">
        <v>41</v>
      </c>
      <c r="L2588" t="s">
        <v>13301</v>
      </c>
      <c r="M2588" t="s">
        <v>13302</v>
      </c>
      <c r="N2588" t="s">
        <v>11429</v>
      </c>
      <c r="O2588" t="s">
        <v>101</v>
      </c>
      <c r="P2588" t="s">
        <v>13303</v>
      </c>
      <c r="Q2588" t="s">
        <v>69</v>
      </c>
      <c r="R2588" t="s">
        <v>650</v>
      </c>
      <c r="S2588">
        <v>0.5</v>
      </c>
      <c r="T2588">
        <v>3680</v>
      </c>
      <c r="U2588">
        <v>0</v>
      </c>
      <c r="V2588">
        <v>3680</v>
      </c>
    </row>
    <row r="2589" spans="1:22" x14ac:dyDescent="0.3">
      <c r="A2589">
        <v>186607</v>
      </c>
      <c r="B2589">
        <v>135848972</v>
      </c>
      <c r="C2589" t="s">
        <v>13304</v>
      </c>
      <c r="D2589" t="s">
        <v>13305</v>
      </c>
      <c r="E2589" t="s">
        <v>11426</v>
      </c>
      <c r="F2589" t="s">
        <v>844</v>
      </c>
      <c r="G2589" t="s">
        <v>164</v>
      </c>
      <c r="H2589" t="s">
        <v>165</v>
      </c>
      <c r="I2589" t="s">
        <v>34</v>
      </c>
      <c r="J2589" t="s">
        <v>166</v>
      </c>
      <c r="K2589" t="s">
        <v>41</v>
      </c>
      <c r="L2589" t="s">
        <v>13306</v>
      </c>
      <c r="M2589" t="s">
        <v>13307</v>
      </c>
      <c r="N2589" t="s">
        <v>11429</v>
      </c>
      <c r="O2589" t="s">
        <v>101</v>
      </c>
      <c r="P2589" t="s">
        <v>13308</v>
      </c>
      <c r="Q2589" t="s">
        <v>52</v>
      </c>
      <c r="R2589" t="s">
        <v>501</v>
      </c>
      <c r="S2589">
        <v>1</v>
      </c>
      <c r="T2589">
        <v>5759</v>
      </c>
      <c r="U2589">
        <v>0</v>
      </c>
      <c r="V2589">
        <v>5759</v>
      </c>
    </row>
    <row r="2590" spans="1:22" x14ac:dyDescent="0.3">
      <c r="A2590">
        <v>186607</v>
      </c>
      <c r="B2590">
        <v>136826150</v>
      </c>
      <c r="C2590" t="s">
        <v>13309</v>
      </c>
      <c r="D2590" t="s">
        <v>13310</v>
      </c>
      <c r="E2590" t="s">
        <v>11426</v>
      </c>
      <c r="F2590" t="s">
        <v>844</v>
      </c>
      <c r="G2590" t="s">
        <v>164</v>
      </c>
      <c r="H2590" t="s">
        <v>165</v>
      </c>
      <c r="I2590" t="s">
        <v>34</v>
      </c>
      <c r="J2590" t="s">
        <v>166</v>
      </c>
      <c r="K2590" t="s">
        <v>41</v>
      </c>
      <c r="L2590" t="s">
        <v>13311</v>
      </c>
      <c r="M2590" t="s">
        <v>13312</v>
      </c>
      <c r="N2590" t="s">
        <v>11429</v>
      </c>
      <c r="O2590" t="s">
        <v>101</v>
      </c>
      <c r="P2590" t="s">
        <v>13313</v>
      </c>
      <c r="Q2590" t="s">
        <v>92</v>
      </c>
      <c r="R2590" t="s">
        <v>679</v>
      </c>
      <c r="S2590">
        <v>0.5</v>
      </c>
      <c r="T2590">
        <v>3299</v>
      </c>
      <c r="U2590">
        <v>0</v>
      </c>
      <c r="V2590">
        <v>3299</v>
      </c>
    </row>
    <row r="2591" spans="1:22" x14ac:dyDescent="0.3">
      <c r="A2591">
        <v>186607</v>
      </c>
      <c r="B2591">
        <v>136724139</v>
      </c>
      <c r="C2591" t="s">
        <v>13314</v>
      </c>
      <c r="D2591" t="s">
        <v>13315</v>
      </c>
      <c r="E2591" t="s">
        <v>11426</v>
      </c>
      <c r="F2591" t="s">
        <v>844</v>
      </c>
      <c r="G2591" t="s">
        <v>164</v>
      </c>
      <c r="H2591" t="s">
        <v>165</v>
      </c>
      <c r="I2591" t="s">
        <v>34</v>
      </c>
      <c r="J2591" t="s">
        <v>166</v>
      </c>
      <c r="K2591" t="s">
        <v>41</v>
      </c>
      <c r="L2591" t="s">
        <v>13316</v>
      </c>
      <c r="M2591" t="s">
        <v>809</v>
      </c>
      <c r="N2591" t="s">
        <v>11429</v>
      </c>
      <c r="O2591" t="s">
        <v>101</v>
      </c>
      <c r="P2591" t="s">
        <v>13317</v>
      </c>
      <c r="Q2591" t="s">
        <v>205</v>
      </c>
      <c r="R2591" t="s">
        <v>12845</v>
      </c>
      <c r="S2591">
        <v>2.27</v>
      </c>
      <c r="T2591">
        <v>3501</v>
      </c>
      <c r="U2591">
        <v>0</v>
      </c>
      <c r="V2591">
        <v>3501</v>
      </c>
    </row>
    <row r="2592" spans="1:22" x14ac:dyDescent="0.3">
      <c r="A2592">
        <v>186607</v>
      </c>
      <c r="B2592">
        <v>136635583</v>
      </c>
      <c r="C2592" t="s">
        <v>13318</v>
      </c>
      <c r="D2592" t="s">
        <v>13319</v>
      </c>
      <c r="E2592" t="s">
        <v>11426</v>
      </c>
      <c r="F2592" t="s">
        <v>844</v>
      </c>
      <c r="G2592" t="s">
        <v>164</v>
      </c>
      <c r="H2592" t="s">
        <v>165</v>
      </c>
      <c r="I2592" t="s">
        <v>34</v>
      </c>
      <c r="J2592" t="s">
        <v>166</v>
      </c>
      <c r="K2592" t="s">
        <v>41</v>
      </c>
      <c r="L2592" t="s">
        <v>13320</v>
      </c>
      <c r="M2592" t="s">
        <v>13321</v>
      </c>
      <c r="N2592" t="s">
        <v>11429</v>
      </c>
      <c r="O2592" t="s">
        <v>101</v>
      </c>
      <c r="P2592" t="s">
        <v>13322</v>
      </c>
      <c r="Q2592" t="s">
        <v>54</v>
      </c>
      <c r="R2592" t="s">
        <v>12876</v>
      </c>
      <c r="S2592">
        <v>0.5</v>
      </c>
      <c r="T2592">
        <v>4067</v>
      </c>
      <c r="U2592">
        <v>0</v>
      </c>
      <c r="V2592">
        <v>4067</v>
      </c>
    </row>
    <row r="2593" spans="1:22" x14ac:dyDescent="0.3">
      <c r="A2593">
        <v>186607</v>
      </c>
      <c r="B2593">
        <v>136724137</v>
      </c>
      <c r="C2593" t="s">
        <v>13323</v>
      </c>
      <c r="D2593" t="s">
        <v>13324</v>
      </c>
      <c r="E2593" t="s">
        <v>11426</v>
      </c>
      <c r="F2593" t="s">
        <v>844</v>
      </c>
      <c r="G2593" t="s">
        <v>164</v>
      </c>
      <c r="H2593" t="s">
        <v>165</v>
      </c>
      <c r="I2593" t="s">
        <v>34</v>
      </c>
      <c r="J2593" t="s">
        <v>166</v>
      </c>
      <c r="K2593" t="s">
        <v>41</v>
      </c>
      <c r="L2593" t="s">
        <v>13325</v>
      </c>
      <c r="M2593" t="s">
        <v>13326</v>
      </c>
      <c r="N2593" t="s">
        <v>11429</v>
      </c>
      <c r="O2593" t="s">
        <v>101</v>
      </c>
      <c r="P2593" t="s">
        <v>13327</v>
      </c>
      <c r="Q2593" t="s">
        <v>84</v>
      </c>
      <c r="R2593" t="s">
        <v>12845</v>
      </c>
      <c r="S2593">
        <v>2.2200000000000002</v>
      </c>
      <c r="T2593">
        <v>3366</v>
      </c>
      <c r="U2593">
        <v>0</v>
      </c>
      <c r="V2593">
        <v>3366</v>
      </c>
    </row>
    <row r="2594" spans="1:22" x14ac:dyDescent="0.3">
      <c r="A2594">
        <v>186607</v>
      </c>
      <c r="B2594">
        <v>136508772</v>
      </c>
      <c r="C2594" t="s">
        <v>13328</v>
      </c>
      <c r="D2594" t="s">
        <v>13329</v>
      </c>
      <c r="E2594" t="s">
        <v>11426</v>
      </c>
      <c r="F2594" t="s">
        <v>844</v>
      </c>
      <c r="G2594" t="s">
        <v>164</v>
      </c>
      <c r="H2594" t="s">
        <v>165</v>
      </c>
      <c r="I2594" t="s">
        <v>34</v>
      </c>
      <c r="J2594" t="s">
        <v>166</v>
      </c>
      <c r="K2594" t="s">
        <v>41</v>
      </c>
      <c r="L2594" t="s">
        <v>13330</v>
      </c>
      <c r="M2594" t="s">
        <v>13331</v>
      </c>
      <c r="N2594" t="s">
        <v>11429</v>
      </c>
      <c r="O2594" t="s">
        <v>101</v>
      </c>
      <c r="P2594" t="s">
        <v>13332</v>
      </c>
      <c r="Q2594" t="s">
        <v>190</v>
      </c>
      <c r="R2594" t="s">
        <v>12560</v>
      </c>
      <c r="S2594">
        <v>0.5</v>
      </c>
      <c r="T2594">
        <v>3299</v>
      </c>
      <c r="U2594">
        <v>0</v>
      </c>
      <c r="V2594">
        <v>3299</v>
      </c>
    </row>
    <row r="2595" spans="1:22" x14ac:dyDescent="0.3">
      <c r="A2595">
        <v>186607</v>
      </c>
      <c r="B2595">
        <v>136682216</v>
      </c>
      <c r="C2595" t="s">
        <v>13333</v>
      </c>
      <c r="D2595" t="s">
        <v>13334</v>
      </c>
      <c r="E2595" t="s">
        <v>11426</v>
      </c>
      <c r="F2595" t="s">
        <v>844</v>
      </c>
      <c r="G2595" t="s">
        <v>164</v>
      </c>
      <c r="H2595" t="s">
        <v>165</v>
      </c>
      <c r="I2595" t="s">
        <v>34</v>
      </c>
      <c r="J2595" t="s">
        <v>166</v>
      </c>
      <c r="K2595" t="s">
        <v>41</v>
      </c>
      <c r="L2595" t="s">
        <v>13335</v>
      </c>
      <c r="M2595" t="s">
        <v>13336</v>
      </c>
      <c r="N2595" t="s">
        <v>11429</v>
      </c>
      <c r="O2595" t="s">
        <v>101</v>
      </c>
      <c r="P2595" t="s">
        <v>13337</v>
      </c>
      <c r="Q2595" t="s">
        <v>63</v>
      </c>
      <c r="R2595" t="s">
        <v>11574</v>
      </c>
      <c r="S2595">
        <v>3.62</v>
      </c>
      <c r="T2595">
        <v>5111</v>
      </c>
      <c r="U2595">
        <v>0</v>
      </c>
      <c r="V2595">
        <v>5111</v>
      </c>
    </row>
    <row r="2596" spans="1:22" x14ac:dyDescent="0.3">
      <c r="A2596">
        <v>186607</v>
      </c>
      <c r="B2596">
        <v>136757082</v>
      </c>
      <c r="C2596" t="s">
        <v>13338</v>
      </c>
      <c r="D2596" t="s">
        <v>13339</v>
      </c>
      <c r="E2596" t="s">
        <v>11426</v>
      </c>
      <c r="F2596" t="s">
        <v>844</v>
      </c>
      <c r="G2596" t="s">
        <v>164</v>
      </c>
      <c r="H2596" t="s">
        <v>165</v>
      </c>
      <c r="I2596" t="s">
        <v>34</v>
      </c>
      <c r="J2596" t="s">
        <v>166</v>
      </c>
      <c r="K2596" t="s">
        <v>41</v>
      </c>
      <c r="L2596" t="s">
        <v>13340</v>
      </c>
      <c r="M2596" t="s">
        <v>13341</v>
      </c>
      <c r="N2596" t="s">
        <v>11429</v>
      </c>
      <c r="O2596" t="s">
        <v>101</v>
      </c>
      <c r="P2596" t="s">
        <v>13342</v>
      </c>
      <c r="Q2596" t="s">
        <v>61</v>
      </c>
      <c r="R2596" t="s">
        <v>469</v>
      </c>
      <c r="S2596">
        <v>1.89</v>
      </c>
      <c r="T2596">
        <v>4067</v>
      </c>
      <c r="U2596">
        <v>0</v>
      </c>
      <c r="V2596">
        <v>4067</v>
      </c>
    </row>
    <row r="2597" spans="1:22" x14ac:dyDescent="0.3">
      <c r="A2597">
        <v>186607</v>
      </c>
      <c r="B2597">
        <v>136635689</v>
      </c>
      <c r="C2597" t="s">
        <v>13343</v>
      </c>
      <c r="D2597" t="s">
        <v>13344</v>
      </c>
      <c r="E2597" t="s">
        <v>11426</v>
      </c>
      <c r="F2597" t="s">
        <v>844</v>
      </c>
      <c r="G2597" t="s">
        <v>164</v>
      </c>
      <c r="H2597" t="s">
        <v>165</v>
      </c>
      <c r="I2597" t="s">
        <v>34</v>
      </c>
      <c r="J2597" t="s">
        <v>166</v>
      </c>
      <c r="K2597" t="s">
        <v>41</v>
      </c>
      <c r="L2597" t="s">
        <v>3610</v>
      </c>
      <c r="M2597" t="s">
        <v>13345</v>
      </c>
      <c r="N2597" t="s">
        <v>11429</v>
      </c>
      <c r="O2597" t="s">
        <v>101</v>
      </c>
      <c r="P2597" t="s">
        <v>13346</v>
      </c>
      <c r="Q2597" t="s">
        <v>54</v>
      </c>
      <c r="R2597" t="s">
        <v>11610</v>
      </c>
      <c r="S2597">
        <v>0.5</v>
      </c>
      <c r="T2597">
        <v>4067</v>
      </c>
      <c r="U2597">
        <v>0</v>
      </c>
      <c r="V2597">
        <v>4067</v>
      </c>
    </row>
    <row r="2598" spans="1:22" x14ac:dyDescent="0.3">
      <c r="A2598">
        <v>186607</v>
      </c>
      <c r="B2598">
        <v>136682253</v>
      </c>
      <c r="C2598" t="s">
        <v>13347</v>
      </c>
      <c r="D2598" t="s">
        <v>13348</v>
      </c>
      <c r="E2598" t="s">
        <v>11426</v>
      </c>
      <c r="F2598" t="s">
        <v>844</v>
      </c>
      <c r="G2598" t="s">
        <v>164</v>
      </c>
      <c r="H2598" t="s">
        <v>165</v>
      </c>
      <c r="I2598" t="s">
        <v>34</v>
      </c>
      <c r="J2598" t="s">
        <v>166</v>
      </c>
      <c r="K2598" t="s">
        <v>41</v>
      </c>
      <c r="L2598" t="s">
        <v>13349</v>
      </c>
      <c r="M2598" t="s">
        <v>13350</v>
      </c>
      <c r="N2598" t="s">
        <v>11429</v>
      </c>
      <c r="O2598" t="s">
        <v>101</v>
      </c>
      <c r="P2598" t="s">
        <v>13351</v>
      </c>
      <c r="Q2598" t="s">
        <v>64</v>
      </c>
      <c r="R2598" t="s">
        <v>11574</v>
      </c>
      <c r="S2598">
        <v>1.97</v>
      </c>
      <c r="T2598">
        <v>4067</v>
      </c>
      <c r="U2598">
        <v>0</v>
      </c>
      <c r="V2598">
        <v>4067</v>
      </c>
    </row>
    <row r="2599" spans="1:22" x14ac:dyDescent="0.3">
      <c r="A2599">
        <v>186607</v>
      </c>
      <c r="B2599">
        <v>136724144</v>
      </c>
      <c r="C2599" t="s">
        <v>13352</v>
      </c>
      <c r="D2599" t="s">
        <v>13353</v>
      </c>
      <c r="E2599" t="s">
        <v>11426</v>
      </c>
      <c r="F2599" t="s">
        <v>844</v>
      </c>
      <c r="G2599" t="s">
        <v>164</v>
      </c>
      <c r="H2599" t="s">
        <v>165</v>
      </c>
      <c r="I2599" t="s">
        <v>34</v>
      </c>
      <c r="J2599" t="s">
        <v>166</v>
      </c>
      <c r="K2599" t="s">
        <v>41</v>
      </c>
      <c r="L2599" t="s">
        <v>13354</v>
      </c>
      <c r="M2599" t="s">
        <v>13355</v>
      </c>
      <c r="N2599" t="s">
        <v>11429</v>
      </c>
      <c r="O2599" t="s">
        <v>101</v>
      </c>
      <c r="P2599" t="s">
        <v>13356</v>
      </c>
      <c r="Q2599" t="s">
        <v>83</v>
      </c>
      <c r="R2599" t="s">
        <v>12845</v>
      </c>
      <c r="S2599">
        <v>9.01</v>
      </c>
      <c r="T2599">
        <v>5198</v>
      </c>
      <c r="U2599">
        <v>0</v>
      </c>
      <c r="V2599">
        <v>5198</v>
      </c>
    </row>
    <row r="2600" spans="1:22" x14ac:dyDescent="0.3">
      <c r="A2600">
        <v>186607</v>
      </c>
      <c r="B2600">
        <v>136757052</v>
      </c>
      <c r="C2600" t="s">
        <v>13357</v>
      </c>
      <c r="D2600" t="s">
        <v>13358</v>
      </c>
      <c r="E2600" t="s">
        <v>11426</v>
      </c>
      <c r="F2600" t="s">
        <v>844</v>
      </c>
      <c r="G2600" t="s">
        <v>164</v>
      </c>
      <c r="H2600" t="s">
        <v>165</v>
      </c>
      <c r="I2600" t="s">
        <v>34</v>
      </c>
      <c r="J2600" t="s">
        <v>166</v>
      </c>
      <c r="K2600" t="s">
        <v>41</v>
      </c>
      <c r="L2600" t="s">
        <v>13359</v>
      </c>
      <c r="M2600" t="s">
        <v>13360</v>
      </c>
      <c r="N2600" t="s">
        <v>11429</v>
      </c>
      <c r="O2600" t="s">
        <v>101</v>
      </c>
      <c r="P2600" t="s">
        <v>13361</v>
      </c>
      <c r="Q2600" t="s">
        <v>200</v>
      </c>
      <c r="R2600" t="s">
        <v>469</v>
      </c>
      <c r="S2600">
        <v>2.3199999999999998</v>
      </c>
      <c r="T2600">
        <v>3753</v>
      </c>
      <c r="U2600">
        <v>0</v>
      </c>
      <c r="V2600">
        <v>3753</v>
      </c>
    </row>
    <row r="2601" spans="1:22" x14ac:dyDescent="0.3">
      <c r="A2601">
        <v>186607</v>
      </c>
      <c r="B2601">
        <v>136682199</v>
      </c>
      <c r="C2601" t="s">
        <v>13362</v>
      </c>
      <c r="D2601" t="s">
        <v>13363</v>
      </c>
      <c r="E2601" t="s">
        <v>11426</v>
      </c>
      <c r="F2601" t="s">
        <v>844</v>
      </c>
      <c r="G2601" t="s">
        <v>164</v>
      </c>
      <c r="H2601" t="s">
        <v>165</v>
      </c>
      <c r="I2601" t="s">
        <v>34</v>
      </c>
      <c r="J2601" t="s">
        <v>166</v>
      </c>
      <c r="K2601" t="s">
        <v>41</v>
      </c>
      <c r="L2601" t="s">
        <v>13364</v>
      </c>
      <c r="M2601" t="s">
        <v>13365</v>
      </c>
      <c r="N2601" t="s">
        <v>11429</v>
      </c>
      <c r="O2601" t="s">
        <v>101</v>
      </c>
      <c r="P2601" t="s">
        <v>13366</v>
      </c>
      <c r="Q2601" t="s">
        <v>61</v>
      </c>
      <c r="R2601" t="s">
        <v>11574</v>
      </c>
      <c r="S2601">
        <v>2.17</v>
      </c>
      <c r="T2601">
        <v>4067</v>
      </c>
      <c r="U2601">
        <v>0</v>
      </c>
      <c r="V2601">
        <v>4067</v>
      </c>
    </row>
    <row r="2602" spans="1:22" x14ac:dyDescent="0.3">
      <c r="A2602">
        <v>186607</v>
      </c>
      <c r="B2602">
        <v>136508791</v>
      </c>
      <c r="C2602" t="s">
        <v>13367</v>
      </c>
      <c r="D2602" t="s">
        <v>13368</v>
      </c>
      <c r="E2602" t="s">
        <v>11426</v>
      </c>
      <c r="F2602" t="s">
        <v>844</v>
      </c>
      <c r="G2602" t="s">
        <v>164</v>
      </c>
      <c r="H2602" t="s">
        <v>165</v>
      </c>
      <c r="I2602" t="s">
        <v>34</v>
      </c>
      <c r="J2602" t="s">
        <v>166</v>
      </c>
      <c r="K2602" t="s">
        <v>41</v>
      </c>
      <c r="L2602" t="s">
        <v>13369</v>
      </c>
      <c r="M2602" t="s">
        <v>13370</v>
      </c>
      <c r="N2602" t="s">
        <v>11429</v>
      </c>
      <c r="O2602" t="s">
        <v>101</v>
      </c>
      <c r="P2602" t="s">
        <v>13371</v>
      </c>
      <c r="Q2602" t="s">
        <v>71</v>
      </c>
      <c r="R2602" t="s">
        <v>12560</v>
      </c>
      <c r="S2602">
        <v>1</v>
      </c>
      <c r="T2602">
        <v>3501</v>
      </c>
      <c r="U2602">
        <v>0</v>
      </c>
      <c r="V2602">
        <v>3501</v>
      </c>
    </row>
    <row r="2603" spans="1:22" x14ac:dyDescent="0.3">
      <c r="A2603">
        <v>186607</v>
      </c>
      <c r="B2603">
        <v>136483391</v>
      </c>
      <c r="C2603" t="s">
        <v>13372</v>
      </c>
      <c r="D2603" t="s">
        <v>13373</v>
      </c>
      <c r="E2603" t="s">
        <v>11426</v>
      </c>
      <c r="F2603" t="s">
        <v>844</v>
      </c>
      <c r="G2603" t="s">
        <v>164</v>
      </c>
      <c r="H2603" t="s">
        <v>165</v>
      </c>
      <c r="I2603" t="s">
        <v>34</v>
      </c>
      <c r="J2603" t="s">
        <v>166</v>
      </c>
      <c r="K2603" t="s">
        <v>41</v>
      </c>
      <c r="L2603" t="s">
        <v>13374</v>
      </c>
      <c r="M2603" t="s">
        <v>661</v>
      </c>
      <c r="N2603" t="s">
        <v>11429</v>
      </c>
      <c r="O2603" t="s">
        <v>101</v>
      </c>
      <c r="P2603" t="s">
        <v>13375</v>
      </c>
      <c r="Q2603" t="s">
        <v>55</v>
      </c>
      <c r="R2603" t="s">
        <v>12967</v>
      </c>
      <c r="S2603">
        <v>1</v>
      </c>
      <c r="T2603">
        <v>5198</v>
      </c>
      <c r="U2603">
        <v>0</v>
      </c>
      <c r="V2603">
        <v>5198</v>
      </c>
    </row>
    <row r="2604" spans="1:22" x14ac:dyDescent="0.3">
      <c r="A2604">
        <v>186607</v>
      </c>
      <c r="B2604">
        <v>136724107</v>
      </c>
      <c r="C2604" t="s">
        <v>13376</v>
      </c>
      <c r="D2604" t="s">
        <v>13377</v>
      </c>
      <c r="E2604" t="s">
        <v>11426</v>
      </c>
      <c r="F2604" t="s">
        <v>844</v>
      </c>
      <c r="G2604" t="s">
        <v>164</v>
      </c>
      <c r="H2604" t="s">
        <v>165</v>
      </c>
      <c r="I2604" t="s">
        <v>34</v>
      </c>
      <c r="J2604" t="s">
        <v>166</v>
      </c>
      <c r="K2604" t="s">
        <v>41</v>
      </c>
      <c r="L2604" t="s">
        <v>13378</v>
      </c>
      <c r="M2604" t="s">
        <v>13379</v>
      </c>
      <c r="N2604" t="s">
        <v>11429</v>
      </c>
      <c r="O2604" t="s">
        <v>101</v>
      </c>
      <c r="P2604" t="s">
        <v>13380</v>
      </c>
      <c r="Q2604" t="s">
        <v>83</v>
      </c>
      <c r="R2604" t="s">
        <v>12845</v>
      </c>
      <c r="S2604">
        <v>2.31</v>
      </c>
      <c r="T2604">
        <v>3366</v>
      </c>
      <c r="U2604">
        <v>0</v>
      </c>
      <c r="V2604">
        <v>3366</v>
      </c>
    </row>
    <row r="2605" spans="1:22" x14ac:dyDescent="0.3">
      <c r="A2605">
        <v>186607</v>
      </c>
      <c r="B2605">
        <v>136635557</v>
      </c>
      <c r="C2605" t="s">
        <v>13381</v>
      </c>
      <c r="D2605" t="s">
        <v>13382</v>
      </c>
      <c r="E2605" t="s">
        <v>11426</v>
      </c>
      <c r="F2605" t="s">
        <v>844</v>
      </c>
      <c r="G2605" t="s">
        <v>164</v>
      </c>
      <c r="H2605" t="s">
        <v>165</v>
      </c>
      <c r="I2605" t="s">
        <v>34</v>
      </c>
      <c r="J2605" t="s">
        <v>166</v>
      </c>
      <c r="K2605" t="s">
        <v>41</v>
      </c>
      <c r="L2605" t="s">
        <v>13383</v>
      </c>
      <c r="M2605" t="s">
        <v>13384</v>
      </c>
      <c r="N2605" t="s">
        <v>11429</v>
      </c>
      <c r="O2605" t="s">
        <v>101</v>
      </c>
      <c r="P2605" t="s">
        <v>13385</v>
      </c>
      <c r="Q2605" t="s">
        <v>54</v>
      </c>
      <c r="R2605" t="s">
        <v>12876</v>
      </c>
      <c r="S2605">
        <v>1.5</v>
      </c>
      <c r="T2605">
        <v>5759</v>
      </c>
      <c r="U2605">
        <v>0</v>
      </c>
      <c r="V2605">
        <v>5759</v>
      </c>
    </row>
    <row r="2606" spans="1:22" x14ac:dyDescent="0.3">
      <c r="A2606">
        <v>186607</v>
      </c>
      <c r="B2606">
        <v>136724150</v>
      </c>
      <c r="C2606" t="s">
        <v>13386</v>
      </c>
      <c r="D2606" t="s">
        <v>13387</v>
      </c>
      <c r="E2606" t="s">
        <v>11426</v>
      </c>
      <c r="F2606" t="s">
        <v>844</v>
      </c>
      <c r="G2606" t="s">
        <v>164</v>
      </c>
      <c r="H2606" t="s">
        <v>165</v>
      </c>
      <c r="I2606" t="s">
        <v>34</v>
      </c>
      <c r="J2606" t="s">
        <v>166</v>
      </c>
      <c r="K2606" t="s">
        <v>41</v>
      </c>
      <c r="L2606" t="s">
        <v>13388</v>
      </c>
      <c r="M2606" t="s">
        <v>13389</v>
      </c>
      <c r="N2606" t="s">
        <v>11429</v>
      </c>
      <c r="O2606" t="s">
        <v>101</v>
      </c>
      <c r="P2606" t="s">
        <v>13390</v>
      </c>
      <c r="Q2606" t="s">
        <v>72</v>
      </c>
      <c r="R2606" t="s">
        <v>12845</v>
      </c>
      <c r="S2606">
        <v>3</v>
      </c>
      <c r="T2606">
        <v>3784</v>
      </c>
      <c r="U2606">
        <v>0</v>
      </c>
      <c r="V2606">
        <v>3784</v>
      </c>
    </row>
    <row r="2607" spans="1:22" x14ac:dyDescent="0.3">
      <c r="A2607">
        <v>186607</v>
      </c>
      <c r="B2607">
        <v>136757048</v>
      </c>
      <c r="C2607" t="s">
        <v>13391</v>
      </c>
      <c r="D2607" t="s">
        <v>13392</v>
      </c>
      <c r="E2607" t="s">
        <v>11426</v>
      </c>
      <c r="F2607" t="s">
        <v>844</v>
      </c>
      <c r="G2607" t="s">
        <v>164</v>
      </c>
      <c r="H2607" t="s">
        <v>165</v>
      </c>
      <c r="I2607" t="s">
        <v>34</v>
      </c>
      <c r="J2607" t="s">
        <v>166</v>
      </c>
      <c r="K2607" t="s">
        <v>41</v>
      </c>
      <c r="L2607" t="s">
        <v>13393</v>
      </c>
      <c r="M2607" t="s">
        <v>715</v>
      </c>
      <c r="N2607" t="s">
        <v>11429</v>
      </c>
      <c r="O2607" t="s">
        <v>101</v>
      </c>
      <c r="P2607" t="s">
        <v>13394</v>
      </c>
      <c r="Q2607" t="s">
        <v>71</v>
      </c>
      <c r="R2607" t="s">
        <v>469</v>
      </c>
      <c r="S2607">
        <v>1.98</v>
      </c>
      <c r="T2607">
        <v>3501</v>
      </c>
      <c r="U2607">
        <v>0</v>
      </c>
      <c r="V2607">
        <v>3501</v>
      </c>
    </row>
    <row r="2608" spans="1:22" x14ac:dyDescent="0.3">
      <c r="A2608">
        <v>186607</v>
      </c>
      <c r="B2608">
        <v>136272396</v>
      </c>
      <c r="C2608" t="s">
        <v>13395</v>
      </c>
      <c r="D2608" t="s">
        <v>13396</v>
      </c>
      <c r="E2608" t="s">
        <v>11426</v>
      </c>
      <c r="F2608" t="s">
        <v>844</v>
      </c>
      <c r="G2608" t="s">
        <v>164</v>
      </c>
      <c r="H2608" t="s">
        <v>165</v>
      </c>
      <c r="I2608" t="s">
        <v>34</v>
      </c>
      <c r="J2608" t="s">
        <v>166</v>
      </c>
      <c r="K2608" t="s">
        <v>41</v>
      </c>
      <c r="L2608" t="s">
        <v>13397</v>
      </c>
      <c r="M2608" t="s">
        <v>13398</v>
      </c>
      <c r="N2608" t="s">
        <v>11429</v>
      </c>
      <c r="O2608" t="s">
        <v>101</v>
      </c>
      <c r="P2608" t="s">
        <v>13399</v>
      </c>
      <c r="Q2608" t="s">
        <v>57</v>
      </c>
      <c r="R2608" t="s">
        <v>338</v>
      </c>
      <c r="S2608">
        <v>1</v>
      </c>
      <c r="T2608">
        <v>5476</v>
      </c>
      <c r="U2608">
        <v>0</v>
      </c>
      <c r="V2608">
        <v>5476</v>
      </c>
    </row>
    <row r="2609" spans="1:22" x14ac:dyDescent="0.3">
      <c r="A2609">
        <v>186607</v>
      </c>
      <c r="B2609">
        <v>136559683</v>
      </c>
      <c r="C2609" t="s">
        <v>13400</v>
      </c>
      <c r="D2609" t="s">
        <v>13401</v>
      </c>
      <c r="E2609" t="s">
        <v>11426</v>
      </c>
      <c r="F2609" t="s">
        <v>844</v>
      </c>
      <c r="G2609" t="s">
        <v>164</v>
      </c>
      <c r="H2609" t="s">
        <v>165</v>
      </c>
      <c r="I2609" t="s">
        <v>34</v>
      </c>
      <c r="J2609" t="s">
        <v>166</v>
      </c>
      <c r="K2609" t="s">
        <v>41</v>
      </c>
      <c r="L2609" t="s">
        <v>13402</v>
      </c>
      <c r="M2609" t="s">
        <v>13403</v>
      </c>
      <c r="N2609" t="s">
        <v>11429</v>
      </c>
      <c r="O2609" t="s">
        <v>101</v>
      </c>
      <c r="P2609" t="s">
        <v>13404</v>
      </c>
      <c r="Q2609" t="s">
        <v>58</v>
      </c>
      <c r="R2609" t="s">
        <v>13405</v>
      </c>
      <c r="S2609">
        <v>1</v>
      </c>
      <c r="T2609">
        <v>5759</v>
      </c>
      <c r="U2609">
        <v>0</v>
      </c>
      <c r="V2609">
        <v>5759</v>
      </c>
    </row>
    <row r="2610" spans="1:22" x14ac:dyDescent="0.3">
      <c r="A2610">
        <v>186607</v>
      </c>
      <c r="B2610">
        <v>136682182</v>
      </c>
      <c r="C2610" t="s">
        <v>13406</v>
      </c>
      <c r="D2610" t="s">
        <v>13407</v>
      </c>
      <c r="E2610" t="s">
        <v>11426</v>
      </c>
      <c r="F2610" t="s">
        <v>844</v>
      </c>
      <c r="G2610" t="s">
        <v>164</v>
      </c>
      <c r="H2610" t="s">
        <v>165</v>
      </c>
      <c r="I2610" t="s">
        <v>34</v>
      </c>
      <c r="J2610" t="s">
        <v>166</v>
      </c>
      <c r="K2610" t="s">
        <v>41</v>
      </c>
      <c r="L2610" t="s">
        <v>13408</v>
      </c>
      <c r="M2610" t="s">
        <v>13409</v>
      </c>
      <c r="N2610" t="s">
        <v>11429</v>
      </c>
      <c r="O2610" t="s">
        <v>101</v>
      </c>
      <c r="P2610" t="s">
        <v>13410</v>
      </c>
      <c r="Q2610" t="s">
        <v>60</v>
      </c>
      <c r="R2610" t="s">
        <v>11574</v>
      </c>
      <c r="S2610">
        <v>1.96</v>
      </c>
      <c r="T2610">
        <v>4346</v>
      </c>
      <c r="U2610">
        <v>0</v>
      </c>
      <c r="V2610">
        <v>4346</v>
      </c>
    </row>
    <row r="2611" spans="1:22" x14ac:dyDescent="0.3">
      <c r="A2611">
        <v>186607</v>
      </c>
      <c r="B2611">
        <v>136635621</v>
      </c>
      <c r="C2611" t="s">
        <v>13411</v>
      </c>
      <c r="D2611" t="s">
        <v>13412</v>
      </c>
      <c r="E2611" t="s">
        <v>11426</v>
      </c>
      <c r="F2611" t="s">
        <v>844</v>
      </c>
      <c r="G2611" t="s">
        <v>164</v>
      </c>
      <c r="H2611" t="s">
        <v>165</v>
      </c>
      <c r="I2611" t="s">
        <v>34</v>
      </c>
      <c r="J2611" t="s">
        <v>166</v>
      </c>
      <c r="K2611" t="s">
        <v>41</v>
      </c>
      <c r="L2611" t="s">
        <v>13413</v>
      </c>
      <c r="M2611" t="s">
        <v>13414</v>
      </c>
      <c r="N2611" t="s">
        <v>11429</v>
      </c>
      <c r="O2611" t="s">
        <v>101</v>
      </c>
      <c r="P2611" t="s">
        <v>13415</v>
      </c>
      <c r="Q2611" t="s">
        <v>315</v>
      </c>
      <c r="R2611" t="s">
        <v>12876</v>
      </c>
      <c r="S2611">
        <v>0.5</v>
      </c>
      <c r="T2611">
        <v>3680</v>
      </c>
      <c r="U2611">
        <v>0</v>
      </c>
      <c r="V2611">
        <v>3680</v>
      </c>
    </row>
    <row r="2612" spans="1:22" x14ac:dyDescent="0.3">
      <c r="A2612">
        <v>186607</v>
      </c>
      <c r="B2612">
        <v>136682172</v>
      </c>
      <c r="C2612" t="s">
        <v>13416</v>
      </c>
      <c r="D2612" t="s">
        <v>13417</v>
      </c>
      <c r="E2612" t="s">
        <v>11426</v>
      </c>
      <c r="F2612" t="s">
        <v>844</v>
      </c>
      <c r="G2612" t="s">
        <v>164</v>
      </c>
      <c r="H2612" t="s">
        <v>165</v>
      </c>
      <c r="I2612" t="s">
        <v>34</v>
      </c>
      <c r="J2612" t="s">
        <v>166</v>
      </c>
      <c r="K2612" t="s">
        <v>41</v>
      </c>
      <c r="L2612" t="s">
        <v>13418</v>
      </c>
      <c r="M2612" t="s">
        <v>13419</v>
      </c>
      <c r="N2612" t="s">
        <v>11429</v>
      </c>
      <c r="O2612" t="s">
        <v>101</v>
      </c>
      <c r="P2612" t="s">
        <v>13420</v>
      </c>
      <c r="Q2612" t="s">
        <v>93</v>
      </c>
      <c r="R2612" t="s">
        <v>11574</v>
      </c>
      <c r="S2612">
        <v>2.06</v>
      </c>
      <c r="T2612">
        <v>3366</v>
      </c>
      <c r="U2612">
        <v>0</v>
      </c>
      <c r="V2612">
        <v>3366</v>
      </c>
    </row>
    <row r="2613" spans="1:22" x14ac:dyDescent="0.3">
      <c r="A2613">
        <v>186607</v>
      </c>
      <c r="B2613">
        <v>136682157</v>
      </c>
      <c r="C2613" t="s">
        <v>13421</v>
      </c>
      <c r="D2613" t="s">
        <v>13422</v>
      </c>
      <c r="E2613" t="s">
        <v>11426</v>
      </c>
      <c r="F2613" t="s">
        <v>844</v>
      </c>
      <c r="G2613" t="s">
        <v>164</v>
      </c>
      <c r="H2613" t="s">
        <v>165</v>
      </c>
      <c r="I2613" t="s">
        <v>34</v>
      </c>
      <c r="J2613" t="s">
        <v>166</v>
      </c>
      <c r="K2613" t="s">
        <v>41</v>
      </c>
      <c r="L2613" t="s">
        <v>13423</v>
      </c>
      <c r="M2613" t="s">
        <v>13424</v>
      </c>
      <c r="N2613" t="s">
        <v>11429</v>
      </c>
      <c r="O2613" t="s">
        <v>101</v>
      </c>
      <c r="P2613" t="s">
        <v>13425</v>
      </c>
      <c r="Q2613" t="s">
        <v>71</v>
      </c>
      <c r="R2613" t="s">
        <v>11574</v>
      </c>
      <c r="S2613">
        <v>2.09</v>
      </c>
      <c r="T2613">
        <v>3501</v>
      </c>
      <c r="U2613">
        <v>0</v>
      </c>
      <c r="V2613">
        <v>3501</v>
      </c>
    </row>
    <row r="2614" spans="1:22" x14ac:dyDescent="0.3">
      <c r="A2614">
        <v>186607</v>
      </c>
      <c r="B2614">
        <v>136682217</v>
      </c>
      <c r="C2614" t="s">
        <v>13426</v>
      </c>
      <c r="D2614" t="s">
        <v>13427</v>
      </c>
      <c r="E2614" t="s">
        <v>11426</v>
      </c>
      <c r="F2614" t="s">
        <v>844</v>
      </c>
      <c r="G2614" t="s">
        <v>164</v>
      </c>
      <c r="H2614" t="s">
        <v>165</v>
      </c>
      <c r="I2614" t="s">
        <v>34</v>
      </c>
      <c r="J2614" t="s">
        <v>166</v>
      </c>
      <c r="K2614" t="s">
        <v>41</v>
      </c>
      <c r="L2614" t="s">
        <v>13428</v>
      </c>
      <c r="M2614" t="s">
        <v>13429</v>
      </c>
      <c r="N2614" t="s">
        <v>11429</v>
      </c>
      <c r="O2614" t="s">
        <v>101</v>
      </c>
      <c r="P2614" t="s">
        <v>13430</v>
      </c>
      <c r="Q2614" t="s">
        <v>90</v>
      </c>
      <c r="R2614" t="s">
        <v>11574</v>
      </c>
      <c r="S2614">
        <v>5.2</v>
      </c>
      <c r="T2614">
        <v>4366</v>
      </c>
      <c r="U2614">
        <v>0</v>
      </c>
      <c r="V2614">
        <v>4366</v>
      </c>
    </row>
    <row r="2615" spans="1:22" x14ac:dyDescent="0.3">
      <c r="A2615">
        <v>186607</v>
      </c>
      <c r="B2615">
        <v>135504220</v>
      </c>
      <c r="C2615" t="s">
        <v>13431</v>
      </c>
      <c r="D2615" t="s">
        <v>13432</v>
      </c>
      <c r="E2615" t="s">
        <v>11426</v>
      </c>
      <c r="F2615" t="s">
        <v>844</v>
      </c>
      <c r="G2615" t="s">
        <v>172</v>
      </c>
      <c r="H2615" t="s">
        <v>173</v>
      </c>
      <c r="I2615" t="s">
        <v>34</v>
      </c>
      <c r="J2615" t="s">
        <v>272</v>
      </c>
      <c r="K2615" t="s">
        <v>41</v>
      </c>
      <c r="L2615" t="s">
        <v>174</v>
      </c>
      <c r="M2615" t="s">
        <v>13433</v>
      </c>
      <c r="N2615" t="s">
        <v>11429</v>
      </c>
      <c r="O2615" t="s">
        <v>101</v>
      </c>
      <c r="P2615" t="s">
        <v>13434</v>
      </c>
      <c r="Q2615" t="s">
        <v>102</v>
      </c>
      <c r="R2615" t="s">
        <v>12860</v>
      </c>
      <c r="S2615">
        <v>2.36</v>
      </c>
      <c r="T2615">
        <v>4168</v>
      </c>
      <c r="U2615">
        <v>0</v>
      </c>
      <c r="V2615">
        <v>4168</v>
      </c>
    </row>
    <row r="2616" spans="1:22" x14ac:dyDescent="0.3">
      <c r="A2616">
        <v>186607</v>
      </c>
      <c r="B2616">
        <v>136635747</v>
      </c>
      <c r="C2616" t="s">
        <v>13435</v>
      </c>
      <c r="D2616" t="s">
        <v>13436</v>
      </c>
      <c r="E2616" t="s">
        <v>11426</v>
      </c>
      <c r="F2616" t="s">
        <v>844</v>
      </c>
      <c r="G2616" t="s">
        <v>164</v>
      </c>
      <c r="H2616" t="s">
        <v>165</v>
      </c>
      <c r="I2616" t="s">
        <v>34</v>
      </c>
      <c r="J2616" t="s">
        <v>166</v>
      </c>
      <c r="K2616" t="s">
        <v>41</v>
      </c>
      <c r="L2616" t="s">
        <v>13437</v>
      </c>
      <c r="M2616" t="s">
        <v>13438</v>
      </c>
      <c r="N2616" t="s">
        <v>11429</v>
      </c>
      <c r="O2616" t="s">
        <v>101</v>
      </c>
      <c r="P2616" t="s">
        <v>13439</v>
      </c>
      <c r="Q2616" t="s">
        <v>43</v>
      </c>
      <c r="R2616" t="s">
        <v>11610</v>
      </c>
      <c r="S2616">
        <v>0.5</v>
      </c>
      <c r="T2616">
        <v>3680</v>
      </c>
      <c r="U2616">
        <v>0</v>
      </c>
      <c r="V2616">
        <v>3680</v>
      </c>
    </row>
    <row r="2617" spans="1:22" x14ac:dyDescent="0.3">
      <c r="A2617">
        <v>186607</v>
      </c>
      <c r="B2617">
        <v>136107613</v>
      </c>
      <c r="C2617" t="s">
        <v>13440</v>
      </c>
      <c r="D2617" t="s">
        <v>13441</v>
      </c>
      <c r="E2617" t="s">
        <v>11426</v>
      </c>
      <c r="F2617" t="s">
        <v>844</v>
      </c>
      <c r="G2617" t="s">
        <v>164</v>
      </c>
      <c r="H2617" t="s">
        <v>165</v>
      </c>
      <c r="I2617" t="s">
        <v>34</v>
      </c>
      <c r="J2617" t="s">
        <v>166</v>
      </c>
      <c r="K2617" t="s">
        <v>41</v>
      </c>
      <c r="L2617" t="s">
        <v>13442</v>
      </c>
      <c r="M2617" t="s">
        <v>13443</v>
      </c>
      <c r="N2617" t="s">
        <v>11429</v>
      </c>
      <c r="O2617" t="s">
        <v>101</v>
      </c>
      <c r="P2617" t="s">
        <v>13444</v>
      </c>
      <c r="Q2617" t="s">
        <v>55</v>
      </c>
      <c r="R2617" t="s">
        <v>369</v>
      </c>
      <c r="S2617">
        <v>0.5</v>
      </c>
      <c r="T2617">
        <v>4067</v>
      </c>
      <c r="U2617">
        <v>0</v>
      </c>
      <c r="V2617">
        <v>4067</v>
      </c>
    </row>
    <row r="2618" spans="1:22" x14ac:dyDescent="0.3">
      <c r="A2618">
        <v>186607</v>
      </c>
      <c r="B2618">
        <v>136635691</v>
      </c>
      <c r="C2618" t="s">
        <v>13445</v>
      </c>
      <c r="D2618" t="s">
        <v>13446</v>
      </c>
      <c r="E2618" t="s">
        <v>11426</v>
      </c>
      <c r="F2618" t="s">
        <v>844</v>
      </c>
      <c r="G2618" t="s">
        <v>164</v>
      </c>
      <c r="H2618" t="s">
        <v>165</v>
      </c>
      <c r="I2618" t="s">
        <v>34</v>
      </c>
      <c r="J2618" t="s">
        <v>166</v>
      </c>
      <c r="K2618" t="s">
        <v>41</v>
      </c>
      <c r="L2618" t="s">
        <v>13447</v>
      </c>
      <c r="M2618" t="s">
        <v>13448</v>
      </c>
      <c r="N2618" t="s">
        <v>11429</v>
      </c>
      <c r="O2618" t="s">
        <v>101</v>
      </c>
      <c r="P2618" t="s">
        <v>13449</v>
      </c>
      <c r="Q2618" t="s">
        <v>302</v>
      </c>
      <c r="R2618" t="s">
        <v>11610</v>
      </c>
      <c r="S2618">
        <v>0.5</v>
      </c>
      <c r="T2618">
        <v>3680</v>
      </c>
      <c r="U2618">
        <v>0</v>
      </c>
      <c r="V2618">
        <v>3680</v>
      </c>
    </row>
    <row r="2619" spans="1:22" x14ac:dyDescent="0.3">
      <c r="A2619">
        <v>186607</v>
      </c>
      <c r="B2619">
        <v>136724105</v>
      </c>
      <c r="C2619" t="s">
        <v>13450</v>
      </c>
      <c r="D2619" t="s">
        <v>13451</v>
      </c>
      <c r="E2619" t="s">
        <v>11426</v>
      </c>
      <c r="F2619" t="s">
        <v>844</v>
      </c>
      <c r="G2619" t="s">
        <v>164</v>
      </c>
      <c r="H2619" t="s">
        <v>165</v>
      </c>
      <c r="I2619" t="s">
        <v>34</v>
      </c>
      <c r="J2619" t="s">
        <v>166</v>
      </c>
      <c r="K2619" t="s">
        <v>41</v>
      </c>
      <c r="L2619" t="s">
        <v>13452</v>
      </c>
      <c r="M2619" t="s">
        <v>13453</v>
      </c>
      <c r="N2619" t="s">
        <v>11429</v>
      </c>
      <c r="O2619" t="s">
        <v>101</v>
      </c>
      <c r="P2619" t="s">
        <v>13454</v>
      </c>
      <c r="Q2619" t="s">
        <v>69</v>
      </c>
      <c r="R2619" t="s">
        <v>12845</v>
      </c>
      <c r="S2619">
        <v>2.14</v>
      </c>
      <c r="T2619">
        <v>3753</v>
      </c>
      <c r="U2619">
        <v>0</v>
      </c>
      <c r="V2619">
        <v>3753</v>
      </c>
    </row>
    <row r="2620" spans="1:22" x14ac:dyDescent="0.3">
      <c r="A2620">
        <v>186607</v>
      </c>
      <c r="B2620">
        <v>136107714</v>
      </c>
      <c r="C2620" t="s">
        <v>13455</v>
      </c>
      <c r="D2620" t="s">
        <v>13456</v>
      </c>
      <c r="E2620" t="s">
        <v>11426</v>
      </c>
      <c r="F2620" t="s">
        <v>844</v>
      </c>
      <c r="G2620" t="s">
        <v>164</v>
      </c>
      <c r="H2620" t="s">
        <v>165</v>
      </c>
      <c r="I2620" t="s">
        <v>34</v>
      </c>
      <c r="J2620" t="s">
        <v>166</v>
      </c>
      <c r="K2620" t="s">
        <v>41</v>
      </c>
      <c r="L2620" t="s">
        <v>13457</v>
      </c>
      <c r="M2620" t="s">
        <v>13458</v>
      </c>
      <c r="N2620" t="s">
        <v>11429</v>
      </c>
      <c r="O2620" t="s">
        <v>101</v>
      </c>
      <c r="P2620" t="s">
        <v>13459</v>
      </c>
      <c r="Q2620" t="s">
        <v>275</v>
      </c>
      <c r="R2620" t="s">
        <v>369</v>
      </c>
      <c r="S2620">
        <v>1</v>
      </c>
      <c r="T2620">
        <v>3366</v>
      </c>
      <c r="U2620">
        <v>0</v>
      </c>
      <c r="V2620">
        <v>3366</v>
      </c>
    </row>
    <row r="2621" spans="1:22" x14ac:dyDescent="0.3">
      <c r="A2621">
        <v>186607</v>
      </c>
      <c r="B2621">
        <v>136635546</v>
      </c>
      <c r="C2621" t="s">
        <v>13460</v>
      </c>
      <c r="D2621" t="s">
        <v>13461</v>
      </c>
      <c r="E2621" t="s">
        <v>11426</v>
      </c>
      <c r="F2621" t="s">
        <v>844</v>
      </c>
      <c r="G2621" t="s">
        <v>164</v>
      </c>
      <c r="H2621" t="s">
        <v>165</v>
      </c>
      <c r="I2621" t="s">
        <v>34</v>
      </c>
      <c r="J2621" t="s">
        <v>166</v>
      </c>
      <c r="K2621" t="s">
        <v>41</v>
      </c>
      <c r="L2621" t="s">
        <v>13462</v>
      </c>
      <c r="M2621" t="s">
        <v>13463</v>
      </c>
      <c r="N2621" t="s">
        <v>11429</v>
      </c>
      <c r="O2621" t="s">
        <v>101</v>
      </c>
      <c r="P2621" t="s">
        <v>13464</v>
      </c>
      <c r="Q2621" t="s">
        <v>55</v>
      </c>
      <c r="R2621" t="s">
        <v>12876</v>
      </c>
      <c r="S2621">
        <v>3.54</v>
      </c>
      <c r="T2621">
        <v>7484</v>
      </c>
      <c r="U2621">
        <v>0</v>
      </c>
      <c r="V2621">
        <v>7484</v>
      </c>
    </row>
    <row r="2622" spans="1:22" x14ac:dyDescent="0.3">
      <c r="A2622">
        <v>186607</v>
      </c>
      <c r="B2622">
        <v>136757070</v>
      </c>
      <c r="C2622" t="s">
        <v>13465</v>
      </c>
      <c r="D2622" t="s">
        <v>13466</v>
      </c>
      <c r="E2622" t="s">
        <v>11426</v>
      </c>
      <c r="F2622" t="s">
        <v>844</v>
      </c>
      <c r="G2622" t="s">
        <v>164</v>
      </c>
      <c r="H2622" t="s">
        <v>165</v>
      </c>
      <c r="I2622" t="s">
        <v>34</v>
      </c>
      <c r="J2622" t="s">
        <v>166</v>
      </c>
      <c r="K2622" t="s">
        <v>41</v>
      </c>
      <c r="L2622" t="s">
        <v>13467</v>
      </c>
      <c r="M2622" t="s">
        <v>13468</v>
      </c>
      <c r="N2622" t="s">
        <v>11429</v>
      </c>
      <c r="O2622" t="s">
        <v>101</v>
      </c>
      <c r="P2622" t="s">
        <v>13469</v>
      </c>
      <c r="Q2622" t="s">
        <v>60</v>
      </c>
      <c r="R2622" t="s">
        <v>469</v>
      </c>
      <c r="S2622">
        <v>2.15</v>
      </c>
      <c r="T2622">
        <v>4346</v>
      </c>
      <c r="U2622">
        <v>0</v>
      </c>
      <c r="V2622">
        <v>4346</v>
      </c>
    </row>
    <row r="2623" spans="1:22" x14ac:dyDescent="0.3">
      <c r="A2623">
        <v>186607</v>
      </c>
      <c r="B2623">
        <v>136542156</v>
      </c>
      <c r="C2623" t="s">
        <v>13470</v>
      </c>
      <c r="D2623" t="s">
        <v>13471</v>
      </c>
      <c r="E2623" t="s">
        <v>11426</v>
      </c>
      <c r="F2623" t="s">
        <v>844</v>
      </c>
      <c r="G2623" t="s">
        <v>164</v>
      </c>
      <c r="H2623" t="s">
        <v>165</v>
      </c>
      <c r="I2623" t="s">
        <v>34</v>
      </c>
      <c r="J2623" t="s">
        <v>166</v>
      </c>
      <c r="K2623" t="s">
        <v>41</v>
      </c>
      <c r="L2623" t="s">
        <v>13472</v>
      </c>
      <c r="M2623" t="s">
        <v>13473</v>
      </c>
      <c r="N2623" t="s">
        <v>11429</v>
      </c>
      <c r="O2623" t="s">
        <v>101</v>
      </c>
      <c r="P2623" t="s">
        <v>13474</v>
      </c>
      <c r="Q2623" t="s">
        <v>60</v>
      </c>
      <c r="R2623" t="s">
        <v>11435</v>
      </c>
      <c r="S2623">
        <v>1</v>
      </c>
      <c r="T2623">
        <v>4346</v>
      </c>
      <c r="U2623">
        <v>0</v>
      </c>
      <c r="V2623">
        <v>4346</v>
      </c>
    </row>
    <row r="2624" spans="1:22" x14ac:dyDescent="0.3">
      <c r="A2624">
        <v>186607</v>
      </c>
      <c r="B2624">
        <v>136757037</v>
      </c>
      <c r="C2624" t="s">
        <v>13475</v>
      </c>
      <c r="D2624" t="s">
        <v>13476</v>
      </c>
      <c r="E2624" t="s">
        <v>11426</v>
      </c>
      <c r="F2624" t="s">
        <v>844</v>
      </c>
      <c r="G2624" t="s">
        <v>164</v>
      </c>
      <c r="H2624" t="s">
        <v>165</v>
      </c>
      <c r="I2624" t="s">
        <v>34</v>
      </c>
      <c r="J2624" t="s">
        <v>166</v>
      </c>
      <c r="K2624" t="s">
        <v>41</v>
      </c>
      <c r="L2624" t="s">
        <v>13477</v>
      </c>
      <c r="M2624" t="s">
        <v>13478</v>
      </c>
      <c r="N2624" t="s">
        <v>11429</v>
      </c>
      <c r="O2624" t="s">
        <v>101</v>
      </c>
      <c r="P2624" t="s">
        <v>13479</v>
      </c>
      <c r="Q2624" t="s">
        <v>63</v>
      </c>
      <c r="R2624" t="s">
        <v>469</v>
      </c>
      <c r="S2624">
        <v>2.95</v>
      </c>
      <c r="T2624">
        <v>4067</v>
      </c>
      <c r="U2624">
        <v>0</v>
      </c>
      <c r="V2624">
        <v>4067</v>
      </c>
    </row>
    <row r="2625" spans="1:22" x14ac:dyDescent="0.3">
      <c r="A2625">
        <v>186607</v>
      </c>
      <c r="B2625">
        <v>136198316</v>
      </c>
      <c r="C2625" t="s">
        <v>13480</v>
      </c>
      <c r="D2625" t="s">
        <v>13481</v>
      </c>
      <c r="E2625" t="s">
        <v>11426</v>
      </c>
      <c r="F2625" t="s">
        <v>844</v>
      </c>
      <c r="G2625" t="s">
        <v>164</v>
      </c>
      <c r="H2625" t="s">
        <v>165</v>
      </c>
      <c r="I2625" t="s">
        <v>34</v>
      </c>
      <c r="J2625" t="s">
        <v>166</v>
      </c>
      <c r="K2625" t="s">
        <v>41</v>
      </c>
      <c r="L2625" t="s">
        <v>13482</v>
      </c>
      <c r="M2625" t="s">
        <v>13483</v>
      </c>
      <c r="N2625" t="s">
        <v>11429</v>
      </c>
      <c r="O2625" t="s">
        <v>101</v>
      </c>
      <c r="P2625" t="s">
        <v>13484</v>
      </c>
      <c r="Q2625" t="s">
        <v>614</v>
      </c>
      <c r="R2625" t="s">
        <v>339</v>
      </c>
      <c r="S2625">
        <v>1.5</v>
      </c>
      <c r="T2625">
        <v>5476</v>
      </c>
      <c r="U2625">
        <v>0</v>
      </c>
      <c r="V2625">
        <v>5476</v>
      </c>
    </row>
    <row r="2626" spans="1:22" x14ac:dyDescent="0.3">
      <c r="A2626">
        <v>186607</v>
      </c>
      <c r="B2626">
        <v>136508783</v>
      </c>
      <c r="C2626" t="s">
        <v>13485</v>
      </c>
      <c r="D2626" t="s">
        <v>13486</v>
      </c>
      <c r="E2626" t="s">
        <v>11426</v>
      </c>
      <c r="F2626" t="s">
        <v>844</v>
      </c>
      <c r="G2626" t="s">
        <v>164</v>
      </c>
      <c r="H2626" t="s">
        <v>165</v>
      </c>
      <c r="I2626" t="s">
        <v>34</v>
      </c>
      <c r="J2626" t="s">
        <v>166</v>
      </c>
      <c r="K2626" t="s">
        <v>41</v>
      </c>
      <c r="L2626" t="s">
        <v>13487</v>
      </c>
      <c r="M2626" t="s">
        <v>13488</v>
      </c>
      <c r="N2626" t="s">
        <v>11429</v>
      </c>
      <c r="O2626" t="s">
        <v>101</v>
      </c>
      <c r="P2626" t="s">
        <v>13489</v>
      </c>
      <c r="Q2626" t="s">
        <v>55</v>
      </c>
      <c r="R2626" t="s">
        <v>12560</v>
      </c>
      <c r="S2626">
        <v>0.5</v>
      </c>
      <c r="T2626">
        <v>4067</v>
      </c>
      <c r="U2626">
        <v>0</v>
      </c>
      <c r="V2626">
        <v>4067</v>
      </c>
    </row>
    <row r="2627" spans="1:22" x14ac:dyDescent="0.3">
      <c r="A2627">
        <v>186607</v>
      </c>
      <c r="B2627">
        <v>136412761</v>
      </c>
      <c r="C2627" t="s">
        <v>13490</v>
      </c>
      <c r="D2627" t="s">
        <v>13491</v>
      </c>
      <c r="E2627" t="s">
        <v>11426</v>
      </c>
      <c r="F2627" t="s">
        <v>844</v>
      </c>
      <c r="G2627" t="s">
        <v>164</v>
      </c>
      <c r="H2627" t="s">
        <v>165</v>
      </c>
      <c r="I2627" t="s">
        <v>34</v>
      </c>
      <c r="J2627" t="s">
        <v>166</v>
      </c>
      <c r="K2627" t="s">
        <v>41</v>
      </c>
      <c r="L2627" t="s">
        <v>13492</v>
      </c>
      <c r="M2627" t="s">
        <v>13493</v>
      </c>
      <c r="N2627" t="s">
        <v>11429</v>
      </c>
      <c r="O2627" t="s">
        <v>101</v>
      </c>
      <c r="P2627" t="s">
        <v>13494</v>
      </c>
      <c r="Q2627" t="s">
        <v>65</v>
      </c>
      <c r="R2627" t="s">
        <v>13495</v>
      </c>
      <c r="S2627">
        <v>0.5</v>
      </c>
      <c r="T2627">
        <v>3680</v>
      </c>
      <c r="U2627">
        <v>0</v>
      </c>
      <c r="V2627">
        <v>3680</v>
      </c>
    </row>
    <row r="2628" spans="1:22" x14ac:dyDescent="0.3">
      <c r="A2628">
        <v>186607</v>
      </c>
      <c r="B2628">
        <v>136724153</v>
      </c>
      <c r="C2628" t="s">
        <v>13496</v>
      </c>
      <c r="D2628" t="s">
        <v>13497</v>
      </c>
      <c r="E2628" t="s">
        <v>11426</v>
      </c>
      <c r="F2628" t="s">
        <v>844</v>
      </c>
      <c r="G2628" t="s">
        <v>164</v>
      </c>
      <c r="H2628" t="s">
        <v>165</v>
      </c>
      <c r="I2628" t="s">
        <v>34</v>
      </c>
      <c r="J2628" t="s">
        <v>166</v>
      </c>
      <c r="K2628" t="s">
        <v>44</v>
      </c>
      <c r="L2628" t="s">
        <v>188</v>
      </c>
      <c r="M2628" t="s">
        <v>13498</v>
      </c>
      <c r="N2628" t="s">
        <v>11429</v>
      </c>
      <c r="O2628" t="s">
        <v>101</v>
      </c>
      <c r="P2628" t="s">
        <v>13499</v>
      </c>
      <c r="Q2628" t="s">
        <v>49</v>
      </c>
      <c r="R2628" t="s">
        <v>12845</v>
      </c>
      <c r="S2628">
        <v>3.96</v>
      </c>
      <c r="T2628">
        <v>4585</v>
      </c>
      <c r="U2628">
        <v>0</v>
      </c>
      <c r="V2628">
        <v>4585</v>
      </c>
    </row>
    <row r="2629" spans="1:22" x14ac:dyDescent="0.3">
      <c r="A2629">
        <v>186607</v>
      </c>
      <c r="B2629">
        <v>136757058</v>
      </c>
      <c r="C2629" t="s">
        <v>13500</v>
      </c>
      <c r="D2629" t="s">
        <v>13501</v>
      </c>
      <c r="E2629" t="s">
        <v>11426</v>
      </c>
      <c r="F2629" t="s">
        <v>844</v>
      </c>
      <c r="G2629" t="s">
        <v>164</v>
      </c>
      <c r="H2629" t="s">
        <v>165</v>
      </c>
      <c r="I2629" t="s">
        <v>34</v>
      </c>
      <c r="J2629" t="s">
        <v>166</v>
      </c>
      <c r="K2629" t="s">
        <v>41</v>
      </c>
      <c r="L2629" t="s">
        <v>13502</v>
      </c>
      <c r="M2629" t="s">
        <v>13503</v>
      </c>
      <c r="N2629" t="s">
        <v>11429</v>
      </c>
      <c r="O2629" t="s">
        <v>101</v>
      </c>
      <c r="P2629" t="s">
        <v>13504</v>
      </c>
      <c r="Q2629" t="s">
        <v>76</v>
      </c>
      <c r="R2629" t="s">
        <v>469</v>
      </c>
      <c r="S2629">
        <v>4.28</v>
      </c>
      <c r="T2629">
        <v>4456</v>
      </c>
      <c r="U2629">
        <v>0</v>
      </c>
      <c r="V2629">
        <v>4456</v>
      </c>
    </row>
    <row r="2630" spans="1:22" x14ac:dyDescent="0.3">
      <c r="A2630">
        <v>186607</v>
      </c>
      <c r="B2630">
        <v>136635809</v>
      </c>
      <c r="C2630" t="s">
        <v>13505</v>
      </c>
      <c r="D2630" t="s">
        <v>13506</v>
      </c>
      <c r="E2630" t="s">
        <v>11426</v>
      </c>
      <c r="F2630" t="s">
        <v>844</v>
      </c>
      <c r="G2630" t="s">
        <v>164</v>
      </c>
      <c r="H2630" t="s">
        <v>165</v>
      </c>
      <c r="I2630" t="s">
        <v>34</v>
      </c>
      <c r="J2630" t="s">
        <v>166</v>
      </c>
      <c r="K2630" t="s">
        <v>41</v>
      </c>
      <c r="L2630" t="s">
        <v>13507</v>
      </c>
      <c r="M2630" t="s">
        <v>13508</v>
      </c>
      <c r="N2630" t="s">
        <v>11429</v>
      </c>
      <c r="O2630" t="s">
        <v>101</v>
      </c>
      <c r="P2630" t="s">
        <v>13509</v>
      </c>
      <c r="Q2630" t="s">
        <v>76</v>
      </c>
      <c r="R2630" t="s">
        <v>13042</v>
      </c>
      <c r="S2630">
        <v>0.5</v>
      </c>
      <c r="T2630">
        <v>3680</v>
      </c>
      <c r="U2630">
        <v>0</v>
      </c>
      <c r="V2630">
        <v>3680</v>
      </c>
    </row>
    <row r="2631" spans="1:22" x14ac:dyDescent="0.3">
      <c r="A2631">
        <v>186607</v>
      </c>
      <c r="B2631">
        <v>136724104</v>
      </c>
      <c r="C2631" t="s">
        <v>13510</v>
      </c>
      <c r="D2631" t="s">
        <v>13511</v>
      </c>
      <c r="E2631" t="s">
        <v>11426</v>
      </c>
      <c r="F2631" t="s">
        <v>844</v>
      </c>
      <c r="G2631" t="s">
        <v>164</v>
      </c>
      <c r="H2631" t="s">
        <v>165</v>
      </c>
      <c r="I2631" t="s">
        <v>34</v>
      </c>
      <c r="J2631" t="s">
        <v>166</v>
      </c>
      <c r="K2631" t="s">
        <v>41</v>
      </c>
      <c r="L2631" t="s">
        <v>13512</v>
      </c>
      <c r="M2631" t="s">
        <v>13513</v>
      </c>
      <c r="N2631" t="s">
        <v>11429</v>
      </c>
      <c r="O2631" t="s">
        <v>101</v>
      </c>
      <c r="P2631" t="s">
        <v>13514</v>
      </c>
      <c r="Q2631" t="s">
        <v>84</v>
      </c>
      <c r="R2631" t="s">
        <v>12845</v>
      </c>
      <c r="S2631">
        <v>5.07</v>
      </c>
      <c r="T2631">
        <v>3797</v>
      </c>
      <c r="U2631">
        <v>0</v>
      </c>
      <c r="V2631">
        <v>3797</v>
      </c>
    </row>
    <row r="2632" spans="1:22" x14ac:dyDescent="0.3">
      <c r="A2632">
        <v>186607</v>
      </c>
      <c r="B2632">
        <v>136635706</v>
      </c>
      <c r="C2632" t="s">
        <v>13515</v>
      </c>
      <c r="D2632" t="s">
        <v>13516</v>
      </c>
      <c r="E2632" t="s">
        <v>11426</v>
      </c>
      <c r="F2632" t="s">
        <v>844</v>
      </c>
      <c r="G2632" t="s">
        <v>164</v>
      </c>
      <c r="H2632" t="s">
        <v>165</v>
      </c>
      <c r="I2632" t="s">
        <v>34</v>
      </c>
      <c r="J2632" t="s">
        <v>166</v>
      </c>
      <c r="K2632" t="s">
        <v>41</v>
      </c>
      <c r="L2632" t="s">
        <v>13517</v>
      </c>
      <c r="M2632" t="s">
        <v>13518</v>
      </c>
      <c r="N2632" t="s">
        <v>11429</v>
      </c>
      <c r="O2632" t="s">
        <v>101</v>
      </c>
      <c r="P2632" t="s">
        <v>13519</v>
      </c>
      <c r="Q2632" t="s">
        <v>67</v>
      </c>
      <c r="R2632" t="s">
        <v>11610</v>
      </c>
      <c r="S2632">
        <v>0.5</v>
      </c>
      <c r="T2632">
        <v>3680</v>
      </c>
      <c r="U2632">
        <v>0</v>
      </c>
      <c r="V2632">
        <v>3680</v>
      </c>
    </row>
    <row r="2633" spans="1:22" x14ac:dyDescent="0.3">
      <c r="A2633">
        <v>186607</v>
      </c>
      <c r="B2633">
        <v>136483355</v>
      </c>
      <c r="C2633" t="s">
        <v>13520</v>
      </c>
      <c r="D2633" t="s">
        <v>13521</v>
      </c>
      <c r="E2633" t="s">
        <v>11426</v>
      </c>
      <c r="F2633" t="s">
        <v>844</v>
      </c>
      <c r="G2633" t="s">
        <v>164</v>
      </c>
      <c r="H2633" t="s">
        <v>165</v>
      </c>
      <c r="I2633" t="s">
        <v>34</v>
      </c>
      <c r="J2633" t="s">
        <v>166</v>
      </c>
      <c r="K2633" t="s">
        <v>41</v>
      </c>
      <c r="L2633" t="s">
        <v>13522</v>
      </c>
      <c r="M2633" t="s">
        <v>13523</v>
      </c>
      <c r="N2633" t="s">
        <v>11429</v>
      </c>
      <c r="O2633" t="s">
        <v>101</v>
      </c>
      <c r="P2633" t="s">
        <v>13524</v>
      </c>
      <c r="Q2633" t="s">
        <v>54</v>
      </c>
      <c r="R2633" t="s">
        <v>12967</v>
      </c>
      <c r="S2633">
        <v>0.5</v>
      </c>
      <c r="T2633">
        <v>4067</v>
      </c>
      <c r="U2633">
        <v>0</v>
      </c>
      <c r="V2633">
        <v>4067</v>
      </c>
    </row>
    <row r="2634" spans="1:22" x14ac:dyDescent="0.3">
      <c r="A2634">
        <v>186607</v>
      </c>
      <c r="B2634">
        <v>136682270</v>
      </c>
      <c r="C2634" t="s">
        <v>13525</v>
      </c>
      <c r="D2634" t="s">
        <v>13526</v>
      </c>
      <c r="E2634" t="s">
        <v>11426</v>
      </c>
      <c r="F2634" t="s">
        <v>844</v>
      </c>
      <c r="G2634" t="s">
        <v>164</v>
      </c>
      <c r="H2634" t="s">
        <v>165</v>
      </c>
      <c r="I2634" t="s">
        <v>34</v>
      </c>
      <c r="J2634" t="s">
        <v>166</v>
      </c>
      <c r="K2634" t="s">
        <v>41</v>
      </c>
      <c r="L2634" t="s">
        <v>13527</v>
      </c>
      <c r="M2634" t="s">
        <v>13528</v>
      </c>
      <c r="N2634" t="s">
        <v>11429</v>
      </c>
      <c r="O2634" t="s">
        <v>101</v>
      </c>
      <c r="P2634" t="s">
        <v>13529</v>
      </c>
      <c r="Q2634" t="s">
        <v>85</v>
      </c>
      <c r="R2634" t="s">
        <v>11574</v>
      </c>
      <c r="S2634">
        <v>2.33</v>
      </c>
      <c r="T2634">
        <v>3366</v>
      </c>
      <c r="U2634">
        <v>0</v>
      </c>
      <c r="V2634">
        <v>3366</v>
      </c>
    </row>
    <row r="2635" spans="1:22" x14ac:dyDescent="0.3">
      <c r="A2635">
        <v>186607</v>
      </c>
      <c r="B2635">
        <v>136635733</v>
      </c>
      <c r="C2635" t="s">
        <v>13530</v>
      </c>
      <c r="D2635" t="s">
        <v>13531</v>
      </c>
      <c r="E2635" t="s">
        <v>11426</v>
      </c>
      <c r="F2635" t="s">
        <v>844</v>
      </c>
      <c r="G2635" t="s">
        <v>164</v>
      </c>
      <c r="H2635" t="s">
        <v>165</v>
      </c>
      <c r="I2635" t="s">
        <v>34</v>
      </c>
      <c r="J2635" t="s">
        <v>166</v>
      </c>
      <c r="K2635" t="s">
        <v>41</v>
      </c>
      <c r="L2635" t="s">
        <v>13532</v>
      </c>
      <c r="M2635" t="s">
        <v>13533</v>
      </c>
      <c r="N2635" t="s">
        <v>11429</v>
      </c>
      <c r="O2635" t="s">
        <v>101</v>
      </c>
      <c r="P2635" t="s">
        <v>13534</v>
      </c>
      <c r="Q2635" t="s">
        <v>54</v>
      </c>
      <c r="R2635" t="s">
        <v>11610</v>
      </c>
      <c r="S2635">
        <v>0.5</v>
      </c>
      <c r="T2635">
        <v>4067</v>
      </c>
      <c r="U2635">
        <v>0</v>
      </c>
      <c r="V2635">
        <v>4067</v>
      </c>
    </row>
    <row r="2636" spans="1:22" x14ac:dyDescent="0.3">
      <c r="A2636">
        <v>186607</v>
      </c>
      <c r="B2636">
        <v>136757076</v>
      </c>
      <c r="C2636" t="s">
        <v>13535</v>
      </c>
      <c r="D2636" t="s">
        <v>13536</v>
      </c>
      <c r="E2636" t="s">
        <v>11426</v>
      </c>
      <c r="F2636" t="s">
        <v>844</v>
      </c>
      <c r="G2636" t="s">
        <v>164</v>
      </c>
      <c r="H2636" t="s">
        <v>165</v>
      </c>
      <c r="I2636" t="s">
        <v>34</v>
      </c>
      <c r="J2636" t="s">
        <v>166</v>
      </c>
      <c r="K2636" t="s">
        <v>41</v>
      </c>
      <c r="L2636" t="s">
        <v>13537</v>
      </c>
      <c r="M2636" t="s">
        <v>13538</v>
      </c>
      <c r="N2636" t="s">
        <v>11429</v>
      </c>
      <c r="O2636" t="s">
        <v>101</v>
      </c>
      <c r="P2636" t="s">
        <v>13539</v>
      </c>
      <c r="Q2636" t="s">
        <v>70</v>
      </c>
      <c r="R2636" t="s">
        <v>469</v>
      </c>
      <c r="S2636">
        <v>1.9</v>
      </c>
      <c r="T2636">
        <v>3501</v>
      </c>
      <c r="U2636">
        <v>0</v>
      </c>
      <c r="V2636">
        <v>3501</v>
      </c>
    </row>
    <row r="2637" spans="1:22" x14ac:dyDescent="0.3">
      <c r="A2637">
        <v>186607</v>
      </c>
      <c r="B2637">
        <v>136559699</v>
      </c>
      <c r="C2637" t="s">
        <v>13540</v>
      </c>
      <c r="D2637" t="s">
        <v>13541</v>
      </c>
      <c r="E2637" t="s">
        <v>11426</v>
      </c>
      <c r="F2637" t="s">
        <v>844</v>
      </c>
      <c r="G2637" t="s">
        <v>164</v>
      </c>
      <c r="H2637" t="s">
        <v>165</v>
      </c>
      <c r="I2637" t="s">
        <v>34</v>
      </c>
      <c r="J2637" t="s">
        <v>166</v>
      </c>
      <c r="K2637" t="s">
        <v>41</v>
      </c>
      <c r="L2637" t="s">
        <v>13542</v>
      </c>
      <c r="M2637" t="s">
        <v>13543</v>
      </c>
      <c r="N2637" t="s">
        <v>11429</v>
      </c>
      <c r="O2637" t="s">
        <v>101</v>
      </c>
      <c r="P2637" t="s">
        <v>13544</v>
      </c>
      <c r="Q2637" t="s">
        <v>74</v>
      </c>
      <c r="R2637" t="s">
        <v>13405</v>
      </c>
      <c r="S2637">
        <v>0.5</v>
      </c>
      <c r="T2637">
        <v>3680</v>
      </c>
      <c r="U2637">
        <v>0</v>
      </c>
      <c r="V2637">
        <v>3680</v>
      </c>
    </row>
    <row r="2638" spans="1:22" x14ac:dyDescent="0.3">
      <c r="A2638">
        <v>186607</v>
      </c>
      <c r="B2638">
        <v>136724155</v>
      </c>
      <c r="C2638" t="s">
        <v>13545</v>
      </c>
      <c r="D2638" t="s">
        <v>13546</v>
      </c>
      <c r="E2638" t="s">
        <v>11426</v>
      </c>
      <c r="F2638" t="s">
        <v>844</v>
      </c>
      <c r="G2638" t="s">
        <v>164</v>
      </c>
      <c r="H2638" t="s">
        <v>165</v>
      </c>
      <c r="I2638" t="s">
        <v>34</v>
      </c>
      <c r="J2638" t="s">
        <v>166</v>
      </c>
      <c r="K2638" t="s">
        <v>41</v>
      </c>
      <c r="L2638" t="s">
        <v>13547</v>
      </c>
      <c r="M2638" t="s">
        <v>13548</v>
      </c>
      <c r="N2638" t="s">
        <v>11429</v>
      </c>
      <c r="O2638" t="s">
        <v>101</v>
      </c>
      <c r="P2638" t="s">
        <v>13549</v>
      </c>
      <c r="Q2638" t="s">
        <v>63</v>
      </c>
      <c r="R2638" t="s">
        <v>12845</v>
      </c>
      <c r="S2638">
        <v>2.5</v>
      </c>
      <c r="T2638">
        <v>4067</v>
      </c>
      <c r="U2638">
        <v>0</v>
      </c>
      <c r="V2638">
        <v>4067</v>
      </c>
    </row>
    <row r="2639" spans="1:22" x14ac:dyDescent="0.3">
      <c r="A2639">
        <v>186607</v>
      </c>
      <c r="B2639">
        <v>135983224</v>
      </c>
      <c r="C2639" t="s">
        <v>13550</v>
      </c>
      <c r="D2639" t="s">
        <v>13551</v>
      </c>
      <c r="E2639" t="s">
        <v>11426</v>
      </c>
      <c r="F2639" t="s">
        <v>844</v>
      </c>
      <c r="G2639" t="s">
        <v>164</v>
      </c>
      <c r="H2639" t="s">
        <v>165</v>
      </c>
      <c r="I2639" t="s">
        <v>34</v>
      </c>
      <c r="J2639" t="s">
        <v>166</v>
      </c>
      <c r="K2639" t="s">
        <v>41</v>
      </c>
      <c r="L2639" t="s">
        <v>13552</v>
      </c>
      <c r="M2639" t="s">
        <v>13553</v>
      </c>
      <c r="N2639" t="s">
        <v>11429</v>
      </c>
      <c r="O2639" t="s">
        <v>101</v>
      </c>
      <c r="P2639" t="s">
        <v>13554</v>
      </c>
      <c r="Q2639" t="s">
        <v>203</v>
      </c>
      <c r="R2639" t="s">
        <v>344</v>
      </c>
      <c r="S2639">
        <v>1</v>
      </c>
      <c r="T2639">
        <v>3753</v>
      </c>
      <c r="U2639">
        <v>0</v>
      </c>
      <c r="V2639">
        <v>3753</v>
      </c>
    </row>
    <row r="2640" spans="1:22" x14ac:dyDescent="0.3">
      <c r="A2640">
        <v>186607</v>
      </c>
      <c r="B2640">
        <v>136682145</v>
      </c>
      <c r="C2640" t="s">
        <v>13555</v>
      </c>
      <c r="D2640" t="s">
        <v>13556</v>
      </c>
      <c r="E2640" t="s">
        <v>11426</v>
      </c>
      <c r="F2640" t="s">
        <v>844</v>
      </c>
      <c r="G2640" t="s">
        <v>164</v>
      </c>
      <c r="H2640" t="s">
        <v>165</v>
      </c>
      <c r="I2640" t="s">
        <v>34</v>
      </c>
      <c r="J2640" t="s">
        <v>166</v>
      </c>
      <c r="K2640" t="s">
        <v>41</v>
      </c>
      <c r="L2640" t="s">
        <v>13557</v>
      </c>
      <c r="M2640" t="s">
        <v>13558</v>
      </c>
      <c r="N2640" t="s">
        <v>11429</v>
      </c>
      <c r="O2640" t="s">
        <v>101</v>
      </c>
      <c r="P2640" t="s">
        <v>13559</v>
      </c>
      <c r="Q2640" t="s">
        <v>69</v>
      </c>
      <c r="R2640" t="s">
        <v>11574</v>
      </c>
      <c r="S2640">
        <v>3.76</v>
      </c>
      <c r="T2640">
        <v>4456</v>
      </c>
      <c r="U2640">
        <v>0</v>
      </c>
      <c r="V2640">
        <v>4456</v>
      </c>
    </row>
    <row r="2641" spans="1:22" x14ac:dyDescent="0.3">
      <c r="A2641">
        <v>186607</v>
      </c>
      <c r="B2641">
        <v>136635763</v>
      </c>
      <c r="C2641" t="s">
        <v>13560</v>
      </c>
      <c r="D2641" t="s">
        <v>13561</v>
      </c>
      <c r="E2641" t="s">
        <v>11426</v>
      </c>
      <c r="F2641" t="s">
        <v>844</v>
      </c>
      <c r="G2641" t="s">
        <v>164</v>
      </c>
      <c r="H2641" t="s">
        <v>165</v>
      </c>
      <c r="I2641" t="s">
        <v>34</v>
      </c>
      <c r="J2641" t="s">
        <v>166</v>
      </c>
      <c r="K2641" t="s">
        <v>41</v>
      </c>
      <c r="L2641" t="s">
        <v>13562</v>
      </c>
      <c r="M2641" t="s">
        <v>13563</v>
      </c>
      <c r="N2641" t="s">
        <v>11429</v>
      </c>
      <c r="O2641" t="s">
        <v>101</v>
      </c>
      <c r="P2641" t="s">
        <v>13564</v>
      </c>
      <c r="Q2641" t="s">
        <v>84</v>
      </c>
      <c r="R2641" t="s">
        <v>13042</v>
      </c>
      <c r="S2641">
        <v>0.5</v>
      </c>
      <c r="T2641">
        <v>3299</v>
      </c>
      <c r="U2641">
        <v>0</v>
      </c>
      <c r="V2641">
        <v>3299</v>
      </c>
    </row>
    <row r="2642" spans="1:22" x14ac:dyDescent="0.3">
      <c r="A2642">
        <v>186607</v>
      </c>
      <c r="B2642">
        <v>136724141</v>
      </c>
      <c r="C2642" t="s">
        <v>13565</v>
      </c>
      <c r="D2642" t="s">
        <v>13566</v>
      </c>
      <c r="E2642" t="s">
        <v>11426</v>
      </c>
      <c r="F2642" t="s">
        <v>844</v>
      </c>
      <c r="G2642" t="s">
        <v>164</v>
      </c>
      <c r="H2642" t="s">
        <v>165</v>
      </c>
      <c r="I2642" t="s">
        <v>34</v>
      </c>
      <c r="J2642" t="s">
        <v>166</v>
      </c>
      <c r="K2642" t="s">
        <v>41</v>
      </c>
      <c r="L2642" t="s">
        <v>13567</v>
      </c>
      <c r="M2642" t="s">
        <v>183</v>
      </c>
      <c r="N2642" t="s">
        <v>11429</v>
      </c>
      <c r="O2642" t="s">
        <v>101</v>
      </c>
      <c r="P2642" t="s">
        <v>13568</v>
      </c>
      <c r="Q2642" t="s">
        <v>190</v>
      </c>
      <c r="R2642" t="s">
        <v>12845</v>
      </c>
      <c r="S2642">
        <v>4.59</v>
      </c>
      <c r="T2642">
        <v>3797</v>
      </c>
      <c r="U2642">
        <v>0</v>
      </c>
      <c r="V2642">
        <v>3797</v>
      </c>
    </row>
    <row r="2643" spans="1:22" x14ac:dyDescent="0.3">
      <c r="A2643">
        <v>186607</v>
      </c>
      <c r="B2643">
        <v>135554104</v>
      </c>
      <c r="C2643" t="s">
        <v>13569</v>
      </c>
      <c r="D2643" t="s">
        <v>13570</v>
      </c>
      <c r="E2643" t="s">
        <v>11426</v>
      </c>
      <c r="F2643" t="s">
        <v>844</v>
      </c>
      <c r="G2643" t="s">
        <v>172</v>
      </c>
      <c r="H2643" t="s">
        <v>173</v>
      </c>
      <c r="I2643" t="s">
        <v>34</v>
      </c>
      <c r="J2643" t="s">
        <v>272</v>
      </c>
      <c r="K2643" t="s">
        <v>41</v>
      </c>
      <c r="L2643" t="s">
        <v>174</v>
      </c>
      <c r="M2643" t="s">
        <v>13571</v>
      </c>
      <c r="N2643" t="s">
        <v>11429</v>
      </c>
      <c r="O2643" t="s">
        <v>101</v>
      </c>
      <c r="P2643" t="s">
        <v>13572</v>
      </c>
      <c r="Q2643" t="s">
        <v>180</v>
      </c>
      <c r="R2643" t="s">
        <v>13573</v>
      </c>
      <c r="S2643">
        <v>3.87</v>
      </c>
      <c r="T2643">
        <v>7449</v>
      </c>
      <c r="U2643">
        <v>0</v>
      </c>
      <c r="V2643">
        <v>7449</v>
      </c>
    </row>
    <row r="2644" spans="1:22" x14ac:dyDescent="0.3">
      <c r="A2644">
        <v>186607</v>
      </c>
      <c r="B2644">
        <v>136483388</v>
      </c>
      <c r="C2644" t="s">
        <v>13574</v>
      </c>
      <c r="D2644" t="s">
        <v>13575</v>
      </c>
      <c r="E2644" t="s">
        <v>11426</v>
      </c>
      <c r="F2644" t="s">
        <v>844</v>
      </c>
      <c r="G2644" t="s">
        <v>164</v>
      </c>
      <c r="H2644" t="s">
        <v>165</v>
      </c>
      <c r="I2644" t="s">
        <v>34</v>
      </c>
      <c r="J2644" t="s">
        <v>166</v>
      </c>
      <c r="K2644" t="s">
        <v>41</v>
      </c>
      <c r="L2644" t="s">
        <v>13576</v>
      </c>
      <c r="M2644" t="s">
        <v>13577</v>
      </c>
      <c r="N2644" t="s">
        <v>11429</v>
      </c>
      <c r="O2644" t="s">
        <v>101</v>
      </c>
      <c r="P2644" t="s">
        <v>13578</v>
      </c>
      <c r="Q2644" t="s">
        <v>109</v>
      </c>
      <c r="R2644" t="s">
        <v>12967</v>
      </c>
      <c r="S2644">
        <v>0.5</v>
      </c>
      <c r="T2644">
        <v>3680</v>
      </c>
      <c r="U2644">
        <v>0</v>
      </c>
      <c r="V2644">
        <v>3680</v>
      </c>
    </row>
    <row r="2645" spans="1:22" x14ac:dyDescent="0.3">
      <c r="A2645">
        <v>186607</v>
      </c>
      <c r="B2645">
        <v>136508767</v>
      </c>
      <c r="C2645" t="s">
        <v>13579</v>
      </c>
      <c r="D2645" t="s">
        <v>13580</v>
      </c>
      <c r="E2645" t="s">
        <v>11426</v>
      </c>
      <c r="F2645" t="s">
        <v>844</v>
      </c>
      <c r="G2645" t="s">
        <v>164</v>
      </c>
      <c r="H2645" t="s">
        <v>165</v>
      </c>
      <c r="I2645" t="s">
        <v>34</v>
      </c>
      <c r="J2645" t="s">
        <v>166</v>
      </c>
      <c r="K2645" t="s">
        <v>41</v>
      </c>
      <c r="L2645" t="s">
        <v>13581</v>
      </c>
      <c r="M2645" t="s">
        <v>13582</v>
      </c>
      <c r="N2645" t="s">
        <v>11429</v>
      </c>
      <c r="O2645" t="s">
        <v>101</v>
      </c>
      <c r="P2645" t="s">
        <v>13583</v>
      </c>
      <c r="Q2645" t="s">
        <v>55</v>
      </c>
      <c r="R2645" t="s">
        <v>12560</v>
      </c>
      <c r="S2645">
        <v>0.5</v>
      </c>
      <c r="T2645">
        <v>4067</v>
      </c>
      <c r="U2645">
        <v>0</v>
      </c>
      <c r="V2645">
        <v>4067</v>
      </c>
    </row>
    <row r="2646" spans="1:22" x14ac:dyDescent="0.3">
      <c r="A2646">
        <v>186607</v>
      </c>
      <c r="B2646">
        <v>136652985</v>
      </c>
      <c r="C2646" t="s">
        <v>13584</v>
      </c>
      <c r="D2646" t="s">
        <v>13585</v>
      </c>
      <c r="E2646" t="s">
        <v>11426</v>
      </c>
      <c r="F2646" t="s">
        <v>844</v>
      </c>
      <c r="G2646" t="s">
        <v>164</v>
      </c>
      <c r="H2646" t="s">
        <v>165</v>
      </c>
      <c r="I2646" t="s">
        <v>34</v>
      </c>
      <c r="J2646" t="s">
        <v>166</v>
      </c>
      <c r="K2646" t="s">
        <v>41</v>
      </c>
      <c r="L2646" t="s">
        <v>13586</v>
      </c>
      <c r="M2646" t="s">
        <v>13587</v>
      </c>
      <c r="N2646" t="s">
        <v>11429</v>
      </c>
      <c r="O2646" t="s">
        <v>101</v>
      </c>
      <c r="P2646" t="s">
        <v>13588</v>
      </c>
      <c r="Q2646" t="s">
        <v>209</v>
      </c>
      <c r="R2646" t="s">
        <v>13589</v>
      </c>
      <c r="S2646">
        <v>1</v>
      </c>
      <c r="T2646">
        <v>5759</v>
      </c>
      <c r="U2646">
        <v>0</v>
      </c>
      <c r="V2646">
        <v>5759</v>
      </c>
    </row>
    <row r="2647" spans="1:22" x14ac:dyDescent="0.3">
      <c r="A2647">
        <v>186607</v>
      </c>
      <c r="B2647">
        <v>136757046</v>
      </c>
      <c r="C2647" t="s">
        <v>13590</v>
      </c>
      <c r="D2647" t="s">
        <v>13591</v>
      </c>
      <c r="E2647" t="s">
        <v>11426</v>
      </c>
      <c r="F2647" t="s">
        <v>844</v>
      </c>
      <c r="G2647" t="s">
        <v>164</v>
      </c>
      <c r="H2647" t="s">
        <v>165</v>
      </c>
      <c r="I2647" t="s">
        <v>34</v>
      </c>
      <c r="J2647" t="s">
        <v>166</v>
      </c>
      <c r="K2647" t="s">
        <v>41</v>
      </c>
      <c r="L2647" t="s">
        <v>13592</v>
      </c>
      <c r="M2647" t="s">
        <v>13593</v>
      </c>
      <c r="N2647" t="s">
        <v>11429</v>
      </c>
      <c r="O2647" t="s">
        <v>101</v>
      </c>
      <c r="P2647" t="s">
        <v>13594</v>
      </c>
      <c r="Q2647" t="s">
        <v>94</v>
      </c>
      <c r="R2647" t="s">
        <v>469</v>
      </c>
      <c r="S2647">
        <v>2.21</v>
      </c>
      <c r="T2647">
        <v>3366</v>
      </c>
      <c r="U2647">
        <v>0</v>
      </c>
      <c r="V2647">
        <v>3366</v>
      </c>
    </row>
    <row r="2648" spans="1:22" x14ac:dyDescent="0.3">
      <c r="A2648">
        <v>186607</v>
      </c>
      <c r="B2648">
        <v>136724136</v>
      </c>
      <c r="C2648" t="s">
        <v>13595</v>
      </c>
      <c r="D2648" t="s">
        <v>13596</v>
      </c>
      <c r="E2648" t="s">
        <v>11426</v>
      </c>
      <c r="F2648" t="s">
        <v>844</v>
      </c>
      <c r="G2648" t="s">
        <v>164</v>
      </c>
      <c r="H2648" t="s">
        <v>165</v>
      </c>
      <c r="I2648" t="s">
        <v>34</v>
      </c>
      <c r="J2648" t="s">
        <v>166</v>
      </c>
      <c r="K2648" t="s">
        <v>41</v>
      </c>
      <c r="L2648" t="s">
        <v>13597</v>
      </c>
      <c r="M2648" t="s">
        <v>13598</v>
      </c>
      <c r="N2648" t="s">
        <v>11429</v>
      </c>
      <c r="O2648" t="s">
        <v>101</v>
      </c>
      <c r="P2648" t="s">
        <v>13599</v>
      </c>
      <c r="Q2648" t="s">
        <v>85</v>
      </c>
      <c r="R2648" t="s">
        <v>12845</v>
      </c>
      <c r="S2648">
        <v>2.91</v>
      </c>
      <c r="T2648">
        <v>3366</v>
      </c>
      <c r="U2648">
        <v>0</v>
      </c>
      <c r="V2648">
        <v>3366</v>
      </c>
    </row>
    <row r="2649" spans="1:22" x14ac:dyDescent="0.3">
      <c r="A2649">
        <v>186607</v>
      </c>
      <c r="B2649">
        <v>136542175</v>
      </c>
      <c r="C2649" t="s">
        <v>13600</v>
      </c>
      <c r="D2649" t="s">
        <v>13601</v>
      </c>
      <c r="E2649" t="s">
        <v>11426</v>
      </c>
      <c r="F2649" t="s">
        <v>844</v>
      </c>
      <c r="G2649" t="s">
        <v>164</v>
      </c>
      <c r="H2649" t="s">
        <v>165</v>
      </c>
      <c r="I2649" t="s">
        <v>34</v>
      </c>
      <c r="J2649" t="s">
        <v>166</v>
      </c>
      <c r="K2649" t="s">
        <v>41</v>
      </c>
      <c r="L2649" t="s">
        <v>13602</v>
      </c>
      <c r="M2649" t="s">
        <v>13603</v>
      </c>
      <c r="N2649" t="s">
        <v>11429</v>
      </c>
      <c r="O2649" t="s">
        <v>101</v>
      </c>
      <c r="P2649" t="s">
        <v>13604</v>
      </c>
      <c r="Q2649" t="s">
        <v>240</v>
      </c>
      <c r="R2649" t="s">
        <v>13169</v>
      </c>
      <c r="S2649">
        <v>0.5</v>
      </c>
      <c r="T2649">
        <v>5152</v>
      </c>
      <c r="U2649">
        <v>0</v>
      </c>
      <c r="V2649">
        <v>5152</v>
      </c>
    </row>
    <row r="2650" spans="1:22" x14ac:dyDescent="0.3">
      <c r="A2650">
        <v>186607</v>
      </c>
      <c r="B2650">
        <v>136483382</v>
      </c>
      <c r="C2650" t="s">
        <v>13605</v>
      </c>
      <c r="D2650" t="s">
        <v>13606</v>
      </c>
      <c r="E2650" t="s">
        <v>11426</v>
      </c>
      <c r="F2650" t="s">
        <v>844</v>
      </c>
      <c r="G2650" t="s">
        <v>164</v>
      </c>
      <c r="H2650" t="s">
        <v>165</v>
      </c>
      <c r="I2650" t="s">
        <v>34</v>
      </c>
      <c r="J2650" t="s">
        <v>166</v>
      </c>
      <c r="K2650" t="s">
        <v>41</v>
      </c>
      <c r="L2650" t="s">
        <v>13607</v>
      </c>
      <c r="M2650" t="s">
        <v>13608</v>
      </c>
      <c r="N2650" t="s">
        <v>11429</v>
      </c>
      <c r="O2650" t="s">
        <v>101</v>
      </c>
      <c r="P2650" t="s">
        <v>13609</v>
      </c>
      <c r="Q2650" t="s">
        <v>77</v>
      </c>
      <c r="R2650" t="s">
        <v>12967</v>
      </c>
      <c r="S2650">
        <v>1</v>
      </c>
      <c r="T2650">
        <v>7506</v>
      </c>
      <c r="U2650">
        <v>0</v>
      </c>
      <c r="V2650">
        <v>7506</v>
      </c>
    </row>
    <row r="2651" spans="1:22" x14ac:dyDescent="0.3">
      <c r="A2651">
        <v>186607</v>
      </c>
      <c r="B2651">
        <v>136635717</v>
      </c>
      <c r="C2651" t="s">
        <v>13610</v>
      </c>
      <c r="D2651" t="s">
        <v>13611</v>
      </c>
      <c r="E2651" t="s">
        <v>11426</v>
      </c>
      <c r="F2651" t="s">
        <v>844</v>
      </c>
      <c r="G2651" t="s">
        <v>164</v>
      </c>
      <c r="H2651" t="s">
        <v>165</v>
      </c>
      <c r="I2651" t="s">
        <v>34</v>
      </c>
      <c r="J2651" t="s">
        <v>166</v>
      </c>
      <c r="K2651" t="s">
        <v>41</v>
      </c>
      <c r="L2651" t="s">
        <v>13612</v>
      </c>
      <c r="M2651" t="s">
        <v>13613</v>
      </c>
      <c r="N2651" t="s">
        <v>11429</v>
      </c>
      <c r="O2651" t="s">
        <v>101</v>
      </c>
      <c r="P2651" t="s">
        <v>13614</v>
      </c>
      <c r="Q2651" t="s">
        <v>72</v>
      </c>
      <c r="R2651" t="s">
        <v>11610</v>
      </c>
      <c r="S2651">
        <v>1</v>
      </c>
      <c r="T2651">
        <v>3784</v>
      </c>
      <c r="U2651">
        <v>0</v>
      </c>
      <c r="V2651">
        <v>3784</v>
      </c>
    </row>
    <row r="2652" spans="1:22" x14ac:dyDescent="0.3">
      <c r="A2652">
        <v>186607</v>
      </c>
      <c r="B2652">
        <v>136559700</v>
      </c>
      <c r="C2652" t="s">
        <v>13615</v>
      </c>
      <c r="D2652" t="s">
        <v>13616</v>
      </c>
      <c r="E2652" t="s">
        <v>11426</v>
      </c>
      <c r="F2652" t="s">
        <v>844</v>
      </c>
      <c r="G2652" t="s">
        <v>164</v>
      </c>
      <c r="H2652" t="s">
        <v>165</v>
      </c>
      <c r="I2652" t="s">
        <v>34</v>
      </c>
      <c r="J2652" t="s">
        <v>166</v>
      </c>
      <c r="K2652" t="s">
        <v>41</v>
      </c>
      <c r="L2652" t="s">
        <v>13617</v>
      </c>
      <c r="M2652" t="s">
        <v>13618</v>
      </c>
      <c r="N2652" t="s">
        <v>11429</v>
      </c>
      <c r="O2652" t="s">
        <v>101</v>
      </c>
      <c r="P2652" t="s">
        <v>13619</v>
      </c>
      <c r="Q2652" t="s">
        <v>93</v>
      </c>
      <c r="R2652" t="s">
        <v>13405</v>
      </c>
      <c r="S2652">
        <v>0.5</v>
      </c>
      <c r="T2652">
        <v>3299</v>
      </c>
      <c r="U2652">
        <v>0</v>
      </c>
      <c r="V2652">
        <v>3299</v>
      </c>
    </row>
    <row r="2653" spans="1:22" x14ac:dyDescent="0.3">
      <c r="A2653">
        <v>186607</v>
      </c>
      <c r="B2653">
        <v>136635601</v>
      </c>
      <c r="C2653" t="s">
        <v>13620</v>
      </c>
      <c r="D2653" t="s">
        <v>13621</v>
      </c>
      <c r="E2653" t="s">
        <v>11426</v>
      </c>
      <c r="F2653" t="s">
        <v>844</v>
      </c>
      <c r="G2653" t="s">
        <v>164</v>
      </c>
      <c r="H2653" t="s">
        <v>165</v>
      </c>
      <c r="I2653" t="s">
        <v>34</v>
      </c>
      <c r="J2653" t="s">
        <v>166</v>
      </c>
      <c r="K2653" t="s">
        <v>41</v>
      </c>
      <c r="L2653" t="s">
        <v>13622</v>
      </c>
      <c r="M2653" t="s">
        <v>13623</v>
      </c>
      <c r="N2653" t="s">
        <v>11429</v>
      </c>
      <c r="O2653" t="s">
        <v>101</v>
      </c>
      <c r="P2653" t="s">
        <v>13624</v>
      </c>
      <c r="Q2653" t="s">
        <v>68</v>
      </c>
      <c r="R2653" t="s">
        <v>12876</v>
      </c>
      <c r="S2653">
        <v>1</v>
      </c>
      <c r="T2653">
        <v>3753</v>
      </c>
      <c r="U2653">
        <v>0</v>
      </c>
      <c r="V2653">
        <v>3753</v>
      </c>
    </row>
    <row r="2654" spans="1:22" x14ac:dyDescent="0.3">
      <c r="A2654">
        <v>186607</v>
      </c>
      <c r="B2654">
        <v>136483364</v>
      </c>
      <c r="C2654" t="s">
        <v>13625</v>
      </c>
      <c r="D2654" t="s">
        <v>13626</v>
      </c>
      <c r="E2654" t="s">
        <v>11426</v>
      </c>
      <c r="F2654" t="s">
        <v>844</v>
      </c>
      <c r="G2654" t="s">
        <v>164</v>
      </c>
      <c r="H2654" t="s">
        <v>165</v>
      </c>
      <c r="I2654" t="s">
        <v>34</v>
      </c>
      <c r="J2654" t="s">
        <v>166</v>
      </c>
      <c r="K2654" t="s">
        <v>41</v>
      </c>
      <c r="L2654" t="s">
        <v>13627</v>
      </c>
      <c r="M2654" t="s">
        <v>13628</v>
      </c>
      <c r="N2654" t="s">
        <v>11429</v>
      </c>
      <c r="O2654" t="s">
        <v>101</v>
      </c>
      <c r="P2654" t="s">
        <v>13629</v>
      </c>
      <c r="Q2654" t="s">
        <v>61</v>
      </c>
      <c r="R2654" t="s">
        <v>12967</v>
      </c>
      <c r="S2654">
        <v>0.5</v>
      </c>
      <c r="T2654">
        <v>3680</v>
      </c>
      <c r="U2654">
        <v>0</v>
      </c>
      <c r="V2654">
        <v>3680</v>
      </c>
    </row>
    <row r="2655" spans="1:22" x14ac:dyDescent="0.3">
      <c r="A2655">
        <v>186607</v>
      </c>
      <c r="B2655">
        <v>136483367</v>
      </c>
      <c r="C2655" t="s">
        <v>13630</v>
      </c>
      <c r="D2655" t="s">
        <v>13631</v>
      </c>
      <c r="E2655" t="s">
        <v>11426</v>
      </c>
      <c r="F2655" t="s">
        <v>844</v>
      </c>
      <c r="G2655" t="s">
        <v>164</v>
      </c>
      <c r="H2655" t="s">
        <v>165</v>
      </c>
      <c r="I2655" t="s">
        <v>34</v>
      </c>
      <c r="J2655" t="s">
        <v>166</v>
      </c>
      <c r="K2655" t="s">
        <v>41</v>
      </c>
      <c r="L2655" t="s">
        <v>13632</v>
      </c>
      <c r="M2655" t="s">
        <v>276</v>
      </c>
      <c r="N2655" t="s">
        <v>11429</v>
      </c>
      <c r="O2655" t="s">
        <v>101</v>
      </c>
      <c r="P2655" t="s">
        <v>13633</v>
      </c>
      <c r="Q2655" t="s">
        <v>64</v>
      </c>
      <c r="R2655" t="s">
        <v>12967</v>
      </c>
      <c r="S2655">
        <v>0.5</v>
      </c>
      <c r="T2655">
        <v>3680</v>
      </c>
      <c r="U2655">
        <v>0</v>
      </c>
      <c r="V2655">
        <v>3680</v>
      </c>
    </row>
    <row r="2656" spans="1:22" x14ac:dyDescent="0.3">
      <c r="A2656">
        <v>186607</v>
      </c>
      <c r="B2656">
        <v>136542193</v>
      </c>
      <c r="C2656" t="s">
        <v>13634</v>
      </c>
      <c r="D2656" t="s">
        <v>13635</v>
      </c>
      <c r="E2656" t="s">
        <v>11426</v>
      </c>
      <c r="F2656" t="s">
        <v>844</v>
      </c>
      <c r="G2656" t="s">
        <v>164</v>
      </c>
      <c r="H2656" t="s">
        <v>165</v>
      </c>
      <c r="I2656" t="s">
        <v>34</v>
      </c>
      <c r="J2656" t="s">
        <v>166</v>
      </c>
      <c r="K2656" t="s">
        <v>41</v>
      </c>
      <c r="L2656" t="s">
        <v>13636</v>
      </c>
      <c r="M2656" t="s">
        <v>13637</v>
      </c>
      <c r="N2656" t="s">
        <v>11429</v>
      </c>
      <c r="O2656" t="s">
        <v>101</v>
      </c>
      <c r="P2656" t="s">
        <v>13638</v>
      </c>
      <c r="Q2656" t="s">
        <v>190</v>
      </c>
      <c r="R2656" t="s">
        <v>13169</v>
      </c>
      <c r="S2656">
        <v>1</v>
      </c>
      <c r="T2656">
        <v>3366</v>
      </c>
      <c r="U2656">
        <v>0</v>
      </c>
      <c r="V2656">
        <v>3366</v>
      </c>
    </row>
    <row r="2657" spans="1:22" x14ac:dyDescent="0.3">
      <c r="A2657">
        <v>186607</v>
      </c>
      <c r="B2657">
        <v>136542173</v>
      </c>
      <c r="C2657" t="s">
        <v>13639</v>
      </c>
      <c r="D2657" t="s">
        <v>13640</v>
      </c>
      <c r="E2657" t="s">
        <v>11426</v>
      </c>
      <c r="F2657" t="s">
        <v>844</v>
      </c>
      <c r="G2657" t="s">
        <v>164</v>
      </c>
      <c r="H2657" t="s">
        <v>165</v>
      </c>
      <c r="I2657" t="s">
        <v>34</v>
      </c>
      <c r="J2657" t="s">
        <v>166</v>
      </c>
      <c r="K2657" t="s">
        <v>41</v>
      </c>
      <c r="L2657" t="s">
        <v>13641</v>
      </c>
      <c r="M2657" t="s">
        <v>13642</v>
      </c>
      <c r="N2657" t="s">
        <v>11429</v>
      </c>
      <c r="O2657" t="s">
        <v>101</v>
      </c>
      <c r="P2657" t="s">
        <v>13643</v>
      </c>
      <c r="Q2657" t="s">
        <v>83</v>
      </c>
      <c r="R2657" t="s">
        <v>13169</v>
      </c>
      <c r="S2657">
        <v>0.5</v>
      </c>
      <c r="T2657">
        <v>3299</v>
      </c>
      <c r="U2657">
        <v>0</v>
      </c>
      <c r="V2657">
        <v>3299</v>
      </c>
    </row>
    <row r="2658" spans="1:22" x14ac:dyDescent="0.3">
      <c r="A2658">
        <v>186607</v>
      </c>
      <c r="B2658">
        <v>136635776</v>
      </c>
      <c r="C2658" t="s">
        <v>13644</v>
      </c>
      <c r="D2658" t="s">
        <v>13645</v>
      </c>
      <c r="E2658" t="s">
        <v>11426</v>
      </c>
      <c r="F2658" t="s">
        <v>844</v>
      </c>
      <c r="G2658" t="s">
        <v>164</v>
      </c>
      <c r="H2658" t="s">
        <v>165</v>
      </c>
      <c r="I2658" t="s">
        <v>34</v>
      </c>
      <c r="J2658" t="s">
        <v>166</v>
      </c>
      <c r="K2658" t="s">
        <v>41</v>
      </c>
      <c r="L2658" t="s">
        <v>13646</v>
      </c>
      <c r="M2658" t="s">
        <v>13647</v>
      </c>
      <c r="N2658" t="s">
        <v>11429</v>
      </c>
      <c r="O2658" t="s">
        <v>101</v>
      </c>
      <c r="P2658" t="s">
        <v>13648</v>
      </c>
      <c r="Q2658" t="s">
        <v>69</v>
      </c>
      <c r="R2658" t="s">
        <v>13042</v>
      </c>
      <c r="S2658">
        <v>0.5</v>
      </c>
      <c r="T2658">
        <v>3680</v>
      </c>
      <c r="U2658">
        <v>0</v>
      </c>
      <c r="V2658">
        <v>3680</v>
      </c>
    </row>
    <row r="2659" spans="1:22" x14ac:dyDescent="0.3">
      <c r="A2659">
        <v>186607</v>
      </c>
      <c r="B2659">
        <v>136508769</v>
      </c>
      <c r="C2659" t="s">
        <v>13649</v>
      </c>
      <c r="D2659" t="s">
        <v>13650</v>
      </c>
      <c r="E2659" t="s">
        <v>11426</v>
      </c>
      <c r="F2659" t="s">
        <v>844</v>
      </c>
      <c r="G2659" t="s">
        <v>164</v>
      </c>
      <c r="H2659" t="s">
        <v>165</v>
      </c>
      <c r="I2659" t="s">
        <v>34</v>
      </c>
      <c r="J2659" t="s">
        <v>166</v>
      </c>
      <c r="K2659" t="s">
        <v>41</v>
      </c>
      <c r="L2659" t="s">
        <v>436</v>
      </c>
      <c r="M2659" t="s">
        <v>13651</v>
      </c>
      <c r="N2659" t="s">
        <v>11429</v>
      </c>
      <c r="O2659" t="s">
        <v>101</v>
      </c>
      <c r="P2659" t="s">
        <v>13652</v>
      </c>
      <c r="Q2659" t="s">
        <v>84</v>
      </c>
      <c r="R2659" t="s">
        <v>12560</v>
      </c>
      <c r="S2659">
        <v>0.5</v>
      </c>
      <c r="T2659">
        <v>3299</v>
      </c>
      <c r="U2659">
        <v>0</v>
      </c>
      <c r="V2659">
        <v>3299</v>
      </c>
    </row>
    <row r="2660" spans="1:22" x14ac:dyDescent="0.3">
      <c r="A2660">
        <v>186607</v>
      </c>
      <c r="B2660">
        <v>136635565</v>
      </c>
      <c r="C2660" t="s">
        <v>13653</v>
      </c>
      <c r="D2660" t="s">
        <v>13654</v>
      </c>
      <c r="E2660" t="s">
        <v>11426</v>
      </c>
      <c r="F2660" t="s">
        <v>844</v>
      </c>
      <c r="G2660" t="s">
        <v>164</v>
      </c>
      <c r="H2660" t="s">
        <v>165</v>
      </c>
      <c r="I2660" t="s">
        <v>34</v>
      </c>
      <c r="J2660" t="s">
        <v>166</v>
      </c>
      <c r="K2660" t="s">
        <v>41</v>
      </c>
      <c r="L2660" t="s">
        <v>13655</v>
      </c>
      <c r="M2660" t="s">
        <v>13656</v>
      </c>
      <c r="N2660" t="s">
        <v>11429</v>
      </c>
      <c r="O2660" t="s">
        <v>101</v>
      </c>
      <c r="P2660" t="s">
        <v>13657</v>
      </c>
      <c r="Q2660" t="s">
        <v>49</v>
      </c>
      <c r="R2660" t="s">
        <v>12876</v>
      </c>
      <c r="S2660">
        <v>1</v>
      </c>
      <c r="T2660">
        <v>3784</v>
      </c>
      <c r="U2660">
        <v>0</v>
      </c>
      <c r="V2660">
        <v>3784</v>
      </c>
    </row>
    <row r="2661" spans="1:22" x14ac:dyDescent="0.3">
      <c r="A2661">
        <v>186607</v>
      </c>
      <c r="B2661">
        <v>136635637</v>
      </c>
      <c r="C2661" t="s">
        <v>13658</v>
      </c>
      <c r="D2661" t="s">
        <v>13659</v>
      </c>
      <c r="E2661" t="s">
        <v>11426</v>
      </c>
      <c r="F2661" t="s">
        <v>844</v>
      </c>
      <c r="G2661" t="s">
        <v>164</v>
      </c>
      <c r="H2661" t="s">
        <v>165</v>
      </c>
      <c r="I2661" t="s">
        <v>34</v>
      </c>
      <c r="J2661" t="s">
        <v>166</v>
      </c>
      <c r="K2661" t="s">
        <v>41</v>
      </c>
      <c r="L2661" t="s">
        <v>13660</v>
      </c>
      <c r="M2661" t="s">
        <v>13661</v>
      </c>
      <c r="N2661" t="s">
        <v>11429</v>
      </c>
      <c r="O2661" t="s">
        <v>101</v>
      </c>
      <c r="P2661" t="s">
        <v>13662</v>
      </c>
      <c r="Q2661" t="s">
        <v>72</v>
      </c>
      <c r="R2661" t="s">
        <v>11610</v>
      </c>
      <c r="S2661">
        <v>0.5</v>
      </c>
      <c r="T2661">
        <v>3449</v>
      </c>
      <c r="U2661">
        <v>0</v>
      </c>
      <c r="V2661">
        <v>3449</v>
      </c>
    </row>
    <row r="2662" spans="1:22" x14ac:dyDescent="0.3">
      <c r="A2662">
        <v>186607</v>
      </c>
      <c r="B2662">
        <v>136635804</v>
      </c>
      <c r="C2662" t="s">
        <v>13663</v>
      </c>
      <c r="D2662" t="s">
        <v>13664</v>
      </c>
      <c r="E2662" t="s">
        <v>11426</v>
      </c>
      <c r="F2662" t="s">
        <v>844</v>
      </c>
      <c r="G2662" t="s">
        <v>164</v>
      </c>
      <c r="H2662" t="s">
        <v>165</v>
      </c>
      <c r="I2662" t="s">
        <v>34</v>
      </c>
      <c r="J2662" t="s">
        <v>166</v>
      </c>
      <c r="K2662" t="s">
        <v>41</v>
      </c>
      <c r="L2662" t="s">
        <v>3952</v>
      </c>
      <c r="M2662" t="s">
        <v>13665</v>
      </c>
      <c r="N2662" t="s">
        <v>11429</v>
      </c>
      <c r="O2662" t="s">
        <v>101</v>
      </c>
      <c r="P2662" t="s">
        <v>13666</v>
      </c>
      <c r="Q2662" t="s">
        <v>70</v>
      </c>
      <c r="R2662" t="s">
        <v>13042</v>
      </c>
      <c r="S2662">
        <v>3.6</v>
      </c>
      <c r="T2662">
        <v>4322</v>
      </c>
      <c r="U2662">
        <v>0</v>
      </c>
      <c r="V2662">
        <v>4322</v>
      </c>
    </row>
    <row r="2663" spans="1:22" x14ac:dyDescent="0.3">
      <c r="A2663">
        <v>186607</v>
      </c>
      <c r="B2663">
        <v>136635677</v>
      </c>
      <c r="C2663" t="s">
        <v>13667</v>
      </c>
      <c r="D2663" t="s">
        <v>13668</v>
      </c>
      <c r="E2663" t="s">
        <v>11426</v>
      </c>
      <c r="F2663" t="s">
        <v>844</v>
      </c>
      <c r="G2663" t="s">
        <v>164</v>
      </c>
      <c r="H2663" t="s">
        <v>165</v>
      </c>
      <c r="I2663" t="s">
        <v>34</v>
      </c>
      <c r="J2663" t="s">
        <v>166</v>
      </c>
      <c r="K2663" t="s">
        <v>41</v>
      </c>
      <c r="L2663" t="s">
        <v>13669</v>
      </c>
      <c r="M2663" t="s">
        <v>13670</v>
      </c>
      <c r="N2663" t="s">
        <v>11429</v>
      </c>
      <c r="O2663" t="s">
        <v>101</v>
      </c>
      <c r="P2663" t="s">
        <v>13671</v>
      </c>
      <c r="Q2663" t="s">
        <v>61</v>
      </c>
      <c r="R2663" t="s">
        <v>11610</v>
      </c>
      <c r="S2663">
        <v>0.5</v>
      </c>
      <c r="T2663">
        <v>3680</v>
      </c>
      <c r="U2663">
        <v>0</v>
      </c>
      <c r="V2663">
        <v>3680</v>
      </c>
    </row>
    <row r="2664" spans="1:22" x14ac:dyDescent="0.3">
      <c r="A2664">
        <v>186607</v>
      </c>
      <c r="B2664">
        <v>136483373</v>
      </c>
      <c r="C2664" t="s">
        <v>13672</v>
      </c>
      <c r="D2664" t="s">
        <v>13673</v>
      </c>
      <c r="E2664" t="s">
        <v>11426</v>
      </c>
      <c r="F2664" t="s">
        <v>844</v>
      </c>
      <c r="G2664" t="s">
        <v>164</v>
      </c>
      <c r="H2664" t="s">
        <v>165</v>
      </c>
      <c r="I2664" t="s">
        <v>34</v>
      </c>
      <c r="J2664" t="s">
        <v>166</v>
      </c>
      <c r="K2664" t="s">
        <v>41</v>
      </c>
      <c r="L2664" t="s">
        <v>13674</v>
      </c>
      <c r="M2664" t="s">
        <v>13675</v>
      </c>
      <c r="N2664" t="s">
        <v>11429</v>
      </c>
      <c r="O2664" t="s">
        <v>101</v>
      </c>
      <c r="P2664" t="s">
        <v>13676</v>
      </c>
      <c r="Q2664" t="s">
        <v>70</v>
      </c>
      <c r="R2664" t="s">
        <v>12967</v>
      </c>
      <c r="S2664">
        <v>1</v>
      </c>
      <c r="T2664">
        <v>3501</v>
      </c>
      <c r="U2664">
        <v>0</v>
      </c>
      <c r="V2664">
        <v>3501</v>
      </c>
    </row>
    <row r="2665" spans="1:22" x14ac:dyDescent="0.3">
      <c r="A2665">
        <v>186607</v>
      </c>
      <c r="B2665">
        <v>136635604</v>
      </c>
      <c r="C2665" t="s">
        <v>13677</v>
      </c>
      <c r="D2665" t="s">
        <v>13678</v>
      </c>
      <c r="E2665" t="s">
        <v>11426</v>
      </c>
      <c r="F2665" t="s">
        <v>844</v>
      </c>
      <c r="G2665" t="s">
        <v>164</v>
      </c>
      <c r="H2665" t="s">
        <v>165</v>
      </c>
      <c r="I2665" t="s">
        <v>34</v>
      </c>
      <c r="J2665" t="s">
        <v>166</v>
      </c>
      <c r="K2665" t="s">
        <v>41</v>
      </c>
      <c r="L2665" t="s">
        <v>13679</v>
      </c>
      <c r="M2665" t="s">
        <v>13680</v>
      </c>
      <c r="N2665" t="s">
        <v>11429</v>
      </c>
      <c r="O2665" t="s">
        <v>101</v>
      </c>
      <c r="P2665" t="s">
        <v>13681</v>
      </c>
      <c r="Q2665" t="s">
        <v>49</v>
      </c>
      <c r="R2665" t="s">
        <v>12876</v>
      </c>
      <c r="S2665">
        <v>1</v>
      </c>
      <c r="T2665">
        <v>3784</v>
      </c>
      <c r="U2665">
        <v>0</v>
      </c>
      <c r="V2665">
        <v>3784</v>
      </c>
    </row>
    <row r="2666" spans="1:22" x14ac:dyDescent="0.3">
      <c r="A2666">
        <v>186607</v>
      </c>
      <c r="B2666">
        <v>136559707</v>
      </c>
      <c r="C2666" t="s">
        <v>13682</v>
      </c>
      <c r="D2666" t="s">
        <v>13683</v>
      </c>
      <c r="E2666" t="s">
        <v>11426</v>
      </c>
      <c r="F2666" t="s">
        <v>844</v>
      </c>
      <c r="G2666" t="s">
        <v>164</v>
      </c>
      <c r="H2666" t="s">
        <v>165</v>
      </c>
      <c r="I2666" t="s">
        <v>34</v>
      </c>
      <c r="J2666" t="s">
        <v>166</v>
      </c>
      <c r="K2666" t="s">
        <v>41</v>
      </c>
      <c r="L2666" t="s">
        <v>13684</v>
      </c>
      <c r="M2666" t="s">
        <v>13685</v>
      </c>
      <c r="N2666" t="s">
        <v>11429</v>
      </c>
      <c r="O2666" t="s">
        <v>101</v>
      </c>
      <c r="P2666" t="s">
        <v>13686</v>
      </c>
      <c r="Q2666" t="s">
        <v>69</v>
      </c>
      <c r="R2666" t="s">
        <v>13687</v>
      </c>
      <c r="S2666">
        <v>0.5</v>
      </c>
      <c r="T2666">
        <v>3680</v>
      </c>
      <c r="U2666">
        <v>0</v>
      </c>
      <c r="V2666">
        <v>3680</v>
      </c>
    </row>
    <row r="2667" spans="1:22" x14ac:dyDescent="0.3">
      <c r="A2667">
        <v>186607</v>
      </c>
      <c r="B2667">
        <v>136483358</v>
      </c>
      <c r="C2667" t="s">
        <v>13688</v>
      </c>
      <c r="D2667" t="s">
        <v>13689</v>
      </c>
      <c r="E2667" t="s">
        <v>11426</v>
      </c>
      <c r="F2667" t="s">
        <v>844</v>
      </c>
      <c r="G2667" t="s">
        <v>164</v>
      </c>
      <c r="H2667" t="s">
        <v>165</v>
      </c>
      <c r="I2667" t="s">
        <v>34</v>
      </c>
      <c r="J2667" t="s">
        <v>166</v>
      </c>
      <c r="K2667" t="s">
        <v>41</v>
      </c>
      <c r="L2667" t="s">
        <v>13690</v>
      </c>
      <c r="M2667" t="s">
        <v>13691</v>
      </c>
      <c r="N2667" t="s">
        <v>11429</v>
      </c>
      <c r="O2667" t="s">
        <v>101</v>
      </c>
      <c r="P2667" t="s">
        <v>13692</v>
      </c>
      <c r="Q2667" t="s">
        <v>70</v>
      </c>
      <c r="R2667" t="s">
        <v>12967</v>
      </c>
      <c r="S2667">
        <v>0.5</v>
      </c>
      <c r="T2667">
        <v>3449</v>
      </c>
      <c r="U2667">
        <v>0</v>
      </c>
      <c r="V2667">
        <v>3449</v>
      </c>
    </row>
    <row r="2668" spans="1:22" x14ac:dyDescent="0.3">
      <c r="A2668">
        <v>186607</v>
      </c>
      <c r="B2668">
        <v>136559709</v>
      </c>
      <c r="C2668" t="s">
        <v>13693</v>
      </c>
      <c r="D2668" t="s">
        <v>13694</v>
      </c>
      <c r="E2668" t="s">
        <v>11426</v>
      </c>
      <c r="F2668" t="s">
        <v>844</v>
      </c>
      <c r="G2668" t="s">
        <v>164</v>
      </c>
      <c r="H2668" t="s">
        <v>165</v>
      </c>
      <c r="I2668" t="s">
        <v>34</v>
      </c>
      <c r="J2668" t="s">
        <v>166</v>
      </c>
      <c r="K2668" t="s">
        <v>41</v>
      </c>
      <c r="L2668" t="s">
        <v>13695</v>
      </c>
      <c r="M2668" t="s">
        <v>13696</v>
      </c>
      <c r="N2668" t="s">
        <v>11429</v>
      </c>
      <c r="O2668" t="s">
        <v>101</v>
      </c>
      <c r="P2668" t="s">
        <v>13697</v>
      </c>
      <c r="Q2668" t="s">
        <v>87</v>
      </c>
      <c r="R2668" t="s">
        <v>13687</v>
      </c>
      <c r="S2668">
        <v>0.5</v>
      </c>
      <c r="T2668">
        <v>3299</v>
      </c>
      <c r="U2668">
        <v>0</v>
      </c>
      <c r="V2668">
        <v>3299</v>
      </c>
    </row>
    <row r="2669" spans="1:22" x14ac:dyDescent="0.3">
      <c r="A2669">
        <v>186607</v>
      </c>
      <c r="B2669">
        <v>136635714</v>
      </c>
      <c r="C2669" t="s">
        <v>13698</v>
      </c>
      <c r="D2669" t="s">
        <v>13699</v>
      </c>
      <c r="E2669" t="s">
        <v>11426</v>
      </c>
      <c r="F2669" t="s">
        <v>844</v>
      </c>
      <c r="G2669" t="s">
        <v>164</v>
      </c>
      <c r="H2669" t="s">
        <v>165</v>
      </c>
      <c r="I2669" t="s">
        <v>34</v>
      </c>
      <c r="J2669" t="s">
        <v>166</v>
      </c>
      <c r="K2669" t="s">
        <v>41</v>
      </c>
      <c r="L2669" t="s">
        <v>13700</v>
      </c>
      <c r="M2669" t="s">
        <v>13701</v>
      </c>
      <c r="N2669" t="s">
        <v>11429</v>
      </c>
      <c r="O2669" t="s">
        <v>101</v>
      </c>
      <c r="P2669" t="s">
        <v>13702</v>
      </c>
      <c r="Q2669" t="s">
        <v>74</v>
      </c>
      <c r="R2669" t="s">
        <v>11610</v>
      </c>
      <c r="S2669">
        <v>0.5</v>
      </c>
      <c r="T2669">
        <v>3680</v>
      </c>
      <c r="U2669">
        <v>0</v>
      </c>
      <c r="V2669">
        <v>3680</v>
      </c>
    </row>
    <row r="2670" spans="1:22" x14ac:dyDescent="0.3">
      <c r="A2670">
        <v>186607</v>
      </c>
      <c r="B2670">
        <v>136542194</v>
      </c>
      <c r="C2670" t="s">
        <v>13703</v>
      </c>
      <c r="D2670" t="s">
        <v>13704</v>
      </c>
      <c r="E2670" t="s">
        <v>11426</v>
      </c>
      <c r="F2670" t="s">
        <v>844</v>
      </c>
      <c r="G2670" t="s">
        <v>164</v>
      </c>
      <c r="H2670" t="s">
        <v>165</v>
      </c>
      <c r="I2670" t="s">
        <v>34</v>
      </c>
      <c r="J2670" t="s">
        <v>166</v>
      </c>
      <c r="K2670" t="s">
        <v>41</v>
      </c>
      <c r="L2670" t="s">
        <v>13705</v>
      </c>
      <c r="M2670" t="s">
        <v>13706</v>
      </c>
      <c r="N2670" t="s">
        <v>11429</v>
      </c>
      <c r="O2670" t="s">
        <v>101</v>
      </c>
      <c r="P2670" t="s">
        <v>13707</v>
      </c>
      <c r="Q2670" t="s">
        <v>84</v>
      </c>
      <c r="R2670" t="s">
        <v>13169</v>
      </c>
      <c r="S2670">
        <v>1</v>
      </c>
      <c r="T2670">
        <v>3366</v>
      </c>
      <c r="U2670">
        <v>0</v>
      </c>
      <c r="V2670">
        <v>3366</v>
      </c>
    </row>
    <row r="2671" spans="1:22" x14ac:dyDescent="0.3">
      <c r="A2671">
        <v>186607</v>
      </c>
      <c r="B2671">
        <v>136635588</v>
      </c>
      <c r="C2671" t="s">
        <v>13708</v>
      </c>
      <c r="D2671" t="s">
        <v>13709</v>
      </c>
      <c r="E2671" t="s">
        <v>11426</v>
      </c>
      <c r="F2671" t="s">
        <v>844</v>
      </c>
      <c r="G2671" t="s">
        <v>164</v>
      </c>
      <c r="H2671" t="s">
        <v>165</v>
      </c>
      <c r="I2671" t="s">
        <v>34</v>
      </c>
      <c r="J2671" t="s">
        <v>166</v>
      </c>
      <c r="K2671" t="s">
        <v>41</v>
      </c>
      <c r="L2671" t="s">
        <v>13710</v>
      </c>
      <c r="M2671" t="s">
        <v>13711</v>
      </c>
      <c r="N2671" t="s">
        <v>11429</v>
      </c>
      <c r="O2671" t="s">
        <v>101</v>
      </c>
      <c r="P2671" t="s">
        <v>13712</v>
      </c>
      <c r="Q2671" t="s">
        <v>92</v>
      </c>
      <c r="R2671" t="s">
        <v>12876</v>
      </c>
      <c r="S2671">
        <v>0.5</v>
      </c>
      <c r="T2671">
        <v>3299</v>
      </c>
      <c r="U2671">
        <v>0</v>
      </c>
      <c r="V2671">
        <v>3299</v>
      </c>
    </row>
    <row r="2672" spans="1:22" x14ac:dyDescent="0.3">
      <c r="A2672">
        <v>186607</v>
      </c>
      <c r="B2672">
        <v>136635550</v>
      </c>
      <c r="C2672" t="s">
        <v>13713</v>
      </c>
      <c r="D2672" t="s">
        <v>13714</v>
      </c>
      <c r="E2672" t="s">
        <v>11426</v>
      </c>
      <c r="F2672" t="s">
        <v>844</v>
      </c>
      <c r="G2672" t="s">
        <v>164</v>
      </c>
      <c r="H2672" t="s">
        <v>165</v>
      </c>
      <c r="I2672" t="s">
        <v>34</v>
      </c>
      <c r="J2672" t="s">
        <v>166</v>
      </c>
      <c r="K2672" t="s">
        <v>41</v>
      </c>
      <c r="L2672" t="s">
        <v>13715</v>
      </c>
      <c r="M2672" t="s">
        <v>13716</v>
      </c>
      <c r="N2672" t="s">
        <v>11429</v>
      </c>
      <c r="O2672" t="s">
        <v>101</v>
      </c>
      <c r="P2672" t="s">
        <v>13717</v>
      </c>
      <c r="Q2672" t="s">
        <v>64</v>
      </c>
      <c r="R2672" t="s">
        <v>12876</v>
      </c>
      <c r="S2672">
        <v>1.96</v>
      </c>
      <c r="T2672">
        <v>4067</v>
      </c>
      <c r="U2672">
        <v>0</v>
      </c>
      <c r="V2672">
        <v>4067</v>
      </c>
    </row>
    <row r="2673" spans="1:22" x14ac:dyDescent="0.3">
      <c r="A2673">
        <v>186607</v>
      </c>
      <c r="B2673">
        <v>136559695</v>
      </c>
      <c r="C2673" t="s">
        <v>13718</v>
      </c>
      <c r="D2673" t="s">
        <v>13719</v>
      </c>
      <c r="E2673" t="s">
        <v>11426</v>
      </c>
      <c r="F2673" t="s">
        <v>844</v>
      </c>
      <c r="G2673" t="s">
        <v>164</v>
      </c>
      <c r="H2673" t="s">
        <v>165</v>
      </c>
      <c r="I2673" t="s">
        <v>34</v>
      </c>
      <c r="J2673" t="s">
        <v>166</v>
      </c>
      <c r="K2673" t="s">
        <v>41</v>
      </c>
      <c r="L2673" t="s">
        <v>13720</v>
      </c>
      <c r="M2673" t="s">
        <v>13721</v>
      </c>
      <c r="N2673" t="s">
        <v>11429</v>
      </c>
      <c r="O2673" t="s">
        <v>101</v>
      </c>
      <c r="P2673" t="s">
        <v>13722</v>
      </c>
      <c r="Q2673" t="s">
        <v>49</v>
      </c>
      <c r="R2673" t="s">
        <v>13405</v>
      </c>
      <c r="S2673">
        <v>0.5</v>
      </c>
      <c r="T2673">
        <v>3449</v>
      </c>
      <c r="U2673">
        <v>0</v>
      </c>
      <c r="V2673">
        <v>3449</v>
      </c>
    </row>
    <row r="2674" spans="1:22" x14ac:dyDescent="0.3">
      <c r="A2674">
        <v>186607</v>
      </c>
      <c r="B2674">
        <v>136542184</v>
      </c>
      <c r="C2674" t="s">
        <v>13723</v>
      </c>
      <c r="D2674" t="s">
        <v>13724</v>
      </c>
      <c r="E2674" t="s">
        <v>11426</v>
      </c>
      <c r="F2674" t="s">
        <v>844</v>
      </c>
      <c r="G2674" t="s">
        <v>164</v>
      </c>
      <c r="H2674" t="s">
        <v>165</v>
      </c>
      <c r="I2674" t="s">
        <v>34</v>
      </c>
      <c r="J2674" t="s">
        <v>166</v>
      </c>
      <c r="K2674" t="s">
        <v>41</v>
      </c>
      <c r="L2674" t="s">
        <v>13725</v>
      </c>
      <c r="M2674" t="s">
        <v>13726</v>
      </c>
      <c r="N2674" t="s">
        <v>11429</v>
      </c>
      <c r="O2674" t="s">
        <v>101</v>
      </c>
      <c r="P2674" t="s">
        <v>13727</v>
      </c>
      <c r="Q2674" t="s">
        <v>63</v>
      </c>
      <c r="R2674" t="s">
        <v>13169</v>
      </c>
      <c r="S2674">
        <v>0.5</v>
      </c>
      <c r="T2674">
        <v>3680</v>
      </c>
      <c r="U2674">
        <v>0</v>
      </c>
      <c r="V2674">
        <v>3680</v>
      </c>
    </row>
    <row r="2675" spans="1:22" x14ac:dyDescent="0.3">
      <c r="A2675">
        <v>186607</v>
      </c>
      <c r="B2675">
        <v>136272391</v>
      </c>
      <c r="C2675" t="s">
        <v>13728</v>
      </c>
      <c r="D2675" t="s">
        <v>13729</v>
      </c>
      <c r="E2675" t="s">
        <v>11426</v>
      </c>
      <c r="F2675" t="s">
        <v>844</v>
      </c>
      <c r="G2675" t="s">
        <v>164</v>
      </c>
      <c r="H2675" t="s">
        <v>165</v>
      </c>
      <c r="I2675" t="s">
        <v>34</v>
      </c>
      <c r="J2675" t="s">
        <v>166</v>
      </c>
      <c r="K2675" t="s">
        <v>41</v>
      </c>
      <c r="L2675" t="s">
        <v>13730</v>
      </c>
      <c r="M2675" t="s">
        <v>13731</v>
      </c>
      <c r="N2675" t="s">
        <v>11429</v>
      </c>
      <c r="O2675" t="s">
        <v>101</v>
      </c>
      <c r="P2675" t="s">
        <v>13732</v>
      </c>
      <c r="Q2675" t="s">
        <v>63</v>
      </c>
      <c r="R2675" t="s">
        <v>338</v>
      </c>
      <c r="S2675">
        <v>0.5</v>
      </c>
      <c r="T2675">
        <v>3680</v>
      </c>
      <c r="U2675">
        <v>0</v>
      </c>
      <c r="V2675">
        <v>3680</v>
      </c>
    </row>
    <row r="2676" spans="1:22" x14ac:dyDescent="0.3">
      <c r="A2676">
        <v>186607</v>
      </c>
      <c r="B2676">
        <v>136635724</v>
      </c>
      <c r="C2676" t="s">
        <v>13733</v>
      </c>
      <c r="D2676" t="s">
        <v>13734</v>
      </c>
      <c r="E2676" t="s">
        <v>11426</v>
      </c>
      <c r="F2676" t="s">
        <v>844</v>
      </c>
      <c r="G2676" t="s">
        <v>164</v>
      </c>
      <c r="H2676" t="s">
        <v>165</v>
      </c>
      <c r="I2676" t="s">
        <v>34</v>
      </c>
      <c r="J2676" t="s">
        <v>166</v>
      </c>
      <c r="K2676" t="s">
        <v>41</v>
      </c>
      <c r="L2676" t="s">
        <v>13735</v>
      </c>
      <c r="M2676" t="s">
        <v>13736</v>
      </c>
      <c r="N2676" t="s">
        <v>11429</v>
      </c>
      <c r="O2676" t="s">
        <v>101</v>
      </c>
      <c r="P2676" t="s">
        <v>13737</v>
      </c>
      <c r="Q2676" t="s">
        <v>78</v>
      </c>
      <c r="R2676" t="s">
        <v>11610</v>
      </c>
      <c r="S2676">
        <v>0.5</v>
      </c>
      <c r="T2676">
        <v>3449</v>
      </c>
      <c r="U2676">
        <v>0</v>
      </c>
      <c r="V2676">
        <v>3449</v>
      </c>
    </row>
    <row r="2677" spans="1:22" x14ac:dyDescent="0.3">
      <c r="A2677">
        <v>186607</v>
      </c>
      <c r="B2677">
        <v>136508752</v>
      </c>
      <c r="C2677" t="s">
        <v>13738</v>
      </c>
      <c r="D2677" t="s">
        <v>13739</v>
      </c>
      <c r="E2677" t="s">
        <v>11426</v>
      </c>
      <c r="F2677" t="s">
        <v>844</v>
      </c>
      <c r="G2677" t="s">
        <v>164</v>
      </c>
      <c r="H2677" t="s">
        <v>165</v>
      </c>
      <c r="I2677" t="s">
        <v>34</v>
      </c>
      <c r="J2677" t="s">
        <v>166</v>
      </c>
      <c r="K2677" t="s">
        <v>41</v>
      </c>
      <c r="L2677" t="s">
        <v>13740</v>
      </c>
      <c r="M2677" t="s">
        <v>13741</v>
      </c>
      <c r="N2677" t="s">
        <v>11429</v>
      </c>
      <c r="O2677" t="s">
        <v>101</v>
      </c>
      <c r="P2677" t="s">
        <v>13742</v>
      </c>
      <c r="Q2677" t="s">
        <v>72</v>
      </c>
      <c r="R2677" t="s">
        <v>12560</v>
      </c>
      <c r="S2677">
        <v>0.5</v>
      </c>
      <c r="T2677">
        <v>3449</v>
      </c>
      <c r="U2677">
        <v>0</v>
      </c>
      <c r="V2677">
        <v>3449</v>
      </c>
    </row>
    <row r="2678" spans="1:22" x14ac:dyDescent="0.3">
      <c r="A2678">
        <v>186607</v>
      </c>
      <c r="B2678">
        <v>136635571</v>
      </c>
      <c r="C2678" t="s">
        <v>13743</v>
      </c>
      <c r="D2678" t="s">
        <v>13744</v>
      </c>
      <c r="E2678" t="s">
        <v>11426</v>
      </c>
      <c r="F2678" t="s">
        <v>844</v>
      </c>
      <c r="G2678" t="s">
        <v>164</v>
      </c>
      <c r="H2678" t="s">
        <v>165</v>
      </c>
      <c r="I2678" t="s">
        <v>34</v>
      </c>
      <c r="J2678" t="s">
        <v>166</v>
      </c>
      <c r="K2678" t="s">
        <v>41</v>
      </c>
      <c r="L2678" t="s">
        <v>13745</v>
      </c>
      <c r="M2678" t="s">
        <v>13746</v>
      </c>
      <c r="N2678" t="s">
        <v>11429</v>
      </c>
      <c r="O2678" t="s">
        <v>101</v>
      </c>
      <c r="P2678" t="s">
        <v>13747</v>
      </c>
      <c r="Q2678" t="s">
        <v>200</v>
      </c>
      <c r="R2678" t="s">
        <v>12876</v>
      </c>
      <c r="S2678">
        <v>0.5</v>
      </c>
      <c r="T2678">
        <v>3680</v>
      </c>
      <c r="U2678">
        <v>0</v>
      </c>
      <c r="V2678">
        <v>3680</v>
      </c>
    </row>
    <row r="2679" spans="1:22" x14ac:dyDescent="0.3">
      <c r="A2679">
        <v>186607</v>
      </c>
      <c r="B2679">
        <v>136635686</v>
      </c>
      <c r="C2679" t="s">
        <v>13748</v>
      </c>
      <c r="D2679" t="s">
        <v>13749</v>
      </c>
      <c r="E2679" t="s">
        <v>11426</v>
      </c>
      <c r="F2679" t="s">
        <v>844</v>
      </c>
      <c r="G2679" t="s">
        <v>164</v>
      </c>
      <c r="H2679" t="s">
        <v>165</v>
      </c>
      <c r="I2679" t="s">
        <v>34</v>
      </c>
      <c r="J2679" t="s">
        <v>166</v>
      </c>
      <c r="K2679" t="s">
        <v>41</v>
      </c>
      <c r="L2679" t="s">
        <v>13750</v>
      </c>
      <c r="M2679" t="s">
        <v>13751</v>
      </c>
      <c r="N2679" t="s">
        <v>11429</v>
      </c>
      <c r="O2679" t="s">
        <v>101</v>
      </c>
      <c r="P2679" t="s">
        <v>13752</v>
      </c>
      <c r="Q2679" t="s">
        <v>72</v>
      </c>
      <c r="R2679" t="s">
        <v>11610</v>
      </c>
      <c r="S2679">
        <v>0.5</v>
      </c>
      <c r="T2679">
        <v>3449</v>
      </c>
      <c r="U2679">
        <v>0</v>
      </c>
      <c r="V2679">
        <v>3449</v>
      </c>
    </row>
    <row r="2680" spans="1:22" x14ac:dyDescent="0.3">
      <c r="A2680">
        <v>186607</v>
      </c>
      <c r="B2680">
        <v>136542149</v>
      </c>
      <c r="C2680" t="s">
        <v>13753</v>
      </c>
      <c r="D2680" t="s">
        <v>13754</v>
      </c>
      <c r="E2680" t="s">
        <v>11426</v>
      </c>
      <c r="F2680" t="s">
        <v>844</v>
      </c>
      <c r="G2680" t="s">
        <v>164</v>
      </c>
      <c r="H2680" t="s">
        <v>165</v>
      </c>
      <c r="I2680" t="s">
        <v>34</v>
      </c>
      <c r="J2680" t="s">
        <v>166</v>
      </c>
      <c r="K2680" t="s">
        <v>41</v>
      </c>
      <c r="L2680" t="s">
        <v>13755</v>
      </c>
      <c r="M2680" t="s">
        <v>13756</v>
      </c>
      <c r="N2680" t="s">
        <v>11429</v>
      </c>
      <c r="O2680" t="s">
        <v>101</v>
      </c>
      <c r="P2680" t="s">
        <v>13757</v>
      </c>
      <c r="Q2680" t="s">
        <v>83</v>
      </c>
      <c r="R2680" t="s">
        <v>11435</v>
      </c>
      <c r="S2680">
        <v>0.5</v>
      </c>
      <c r="T2680">
        <v>3299</v>
      </c>
      <c r="U2680">
        <v>0</v>
      </c>
      <c r="V2680">
        <v>3299</v>
      </c>
    </row>
    <row r="2681" spans="1:22" x14ac:dyDescent="0.3">
      <c r="A2681">
        <v>186607</v>
      </c>
      <c r="B2681">
        <v>136635570</v>
      </c>
      <c r="C2681" t="s">
        <v>13758</v>
      </c>
      <c r="D2681" t="s">
        <v>13759</v>
      </c>
      <c r="E2681" t="s">
        <v>11426</v>
      </c>
      <c r="F2681" t="s">
        <v>844</v>
      </c>
      <c r="G2681" t="s">
        <v>164</v>
      </c>
      <c r="H2681" t="s">
        <v>165</v>
      </c>
      <c r="I2681" t="s">
        <v>34</v>
      </c>
      <c r="J2681" t="s">
        <v>166</v>
      </c>
      <c r="K2681" t="s">
        <v>41</v>
      </c>
      <c r="L2681" t="s">
        <v>13760</v>
      </c>
      <c r="M2681" t="s">
        <v>13761</v>
      </c>
      <c r="N2681" t="s">
        <v>11429</v>
      </c>
      <c r="O2681" t="s">
        <v>101</v>
      </c>
      <c r="P2681" t="s">
        <v>13762</v>
      </c>
      <c r="Q2681" t="s">
        <v>90</v>
      </c>
      <c r="R2681" t="s">
        <v>12876</v>
      </c>
      <c r="S2681">
        <v>0.5</v>
      </c>
      <c r="T2681">
        <v>3794</v>
      </c>
      <c r="U2681">
        <v>0</v>
      </c>
      <c r="V2681">
        <v>3794</v>
      </c>
    </row>
    <row r="2682" spans="1:22" x14ac:dyDescent="0.3">
      <c r="A2682">
        <v>186607</v>
      </c>
      <c r="B2682">
        <v>136635751</v>
      </c>
      <c r="C2682" t="s">
        <v>13763</v>
      </c>
      <c r="D2682" t="s">
        <v>13764</v>
      </c>
      <c r="E2682" t="s">
        <v>11426</v>
      </c>
      <c r="F2682" t="s">
        <v>844</v>
      </c>
      <c r="G2682" t="s">
        <v>164</v>
      </c>
      <c r="H2682" t="s">
        <v>165</v>
      </c>
      <c r="I2682" t="s">
        <v>34</v>
      </c>
      <c r="J2682" t="s">
        <v>166</v>
      </c>
      <c r="K2682" t="s">
        <v>41</v>
      </c>
      <c r="L2682" t="s">
        <v>13765</v>
      </c>
      <c r="M2682" t="s">
        <v>13766</v>
      </c>
      <c r="N2682" t="s">
        <v>11429</v>
      </c>
      <c r="O2682" t="s">
        <v>101</v>
      </c>
      <c r="P2682" t="s">
        <v>13767</v>
      </c>
      <c r="Q2682" t="s">
        <v>84</v>
      </c>
      <c r="R2682" t="s">
        <v>11610</v>
      </c>
      <c r="S2682">
        <v>0.5</v>
      </c>
      <c r="T2682">
        <v>3299</v>
      </c>
      <c r="U2682">
        <v>0</v>
      </c>
      <c r="V2682">
        <v>3299</v>
      </c>
    </row>
    <row r="2683" spans="1:22" x14ac:dyDescent="0.3">
      <c r="A2683">
        <v>186607</v>
      </c>
      <c r="B2683">
        <v>136635722</v>
      </c>
      <c r="C2683" t="s">
        <v>13768</v>
      </c>
      <c r="D2683" t="s">
        <v>13769</v>
      </c>
      <c r="E2683" t="s">
        <v>11426</v>
      </c>
      <c r="F2683" t="s">
        <v>844</v>
      </c>
      <c r="G2683" t="s">
        <v>164</v>
      </c>
      <c r="H2683" t="s">
        <v>165</v>
      </c>
      <c r="I2683" t="s">
        <v>34</v>
      </c>
      <c r="J2683" t="s">
        <v>166</v>
      </c>
      <c r="K2683" t="s">
        <v>41</v>
      </c>
      <c r="L2683" t="s">
        <v>13770</v>
      </c>
      <c r="M2683" t="s">
        <v>13771</v>
      </c>
      <c r="N2683" t="s">
        <v>11429</v>
      </c>
      <c r="O2683" t="s">
        <v>101</v>
      </c>
      <c r="P2683" t="s">
        <v>13772</v>
      </c>
      <c r="Q2683" t="s">
        <v>64</v>
      </c>
      <c r="R2683" t="s">
        <v>11610</v>
      </c>
      <c r="S2683">
        <v>0.5</v>
      </c>
      <c r="T2683">
        <v>3680</v>
      </c>
      <c r="U2683">
        <v>0</v>
      </c>
      <c r="V2683">
        <v>3680</v>
      </c>
    </row>
    <row r="2684" spans="1:22" x14ac:dyDescent="0.3">
      <c r="A2684">
        <v>186607</v>
      </c>
      <c r="B2684">
        <v>136508775</v>
      </c>
      <c r="C2684" t="s">
        <v>13773</v>
      </c>
      <c r="D2684" t="s">
        <v>13774</v>
      </c>
      <c r="E2684" t="s">
        <v>11426</v>
      </c>
      <c r="F2684" t="s">
        <v>844</v>
      </c>
      <c r="G2684" t="s">
        <v>164</v>
      </c>
      <c r="H2684" t="s">
        <v>165</v>
      </c>
      <c r="I2684" t="s">
        <v>34</v>
      </c>
      <c r="J2684" t="s">
        <v>166</v>
      </c>
      <c r="K2684" t="s">
        <v>41</v>
      </c>
      <c r="L2684" t="s">
        <v>13775</v>
      </c>
      <c r="M2684" t="s">
        <v>13776</v>
      </c>
      <c r="N2684" t="s">
        <v>11429</v>
      </c>
      <c r="O2684" t="s">
        <v>101</v>
      </c>
      <c r="P2684" t="s">
        <v>13777</v>
      </c>
      <c r="Q2684" t="s">
        <v>63</v>
      </c>
      <c r="R2684" t="s">
        <v>12560</v>
      </c>
      <c r="S2684">
        <v>0.5</v>
      </c>
      <c r="T2684">
        <v>3680</v>
      </c>
      <c r="U2684">
        <v>0</v>
      </c>
      <c r="V2684">
        <v>3680</v>
      </c>
    </row>
    <row r="2685" spans="1:22" x14ac:dyDescent="0.3">
      <c r="A2685">
        <v>186607</v>
      </c>
      <c r="B2685">
        <v>136508755</v>
      </c>
      <c r="C2685" t="s">
        <v>13778</v>
      </c>
      <c r="D2685" t="s">
        <v>13779</v>
      </c>
      <c r="E2685" t="s">
        <v>11426</v>
      </c>
      <c r="F2685" t="s">
        <v>844</v>
      </c>
      <c r="G2685" t="s">
        <v>164</v>
      </c>
      <c r="H2685" t="s">
        <v>165</v>
      </c>
      <c r="I2685" t="s">
        <v>34</v>
      </c>
      <c r="J2685" t="s">
        <v>166</v>
      </c>
      <c r="K2685" t="s">
        <v>41</v>
      </c>
      <c r="L2685" t="s">
        <v>213</v>
      </c>
      <c r="M2685" t="s">
        <v>13780</v>
      </c>
      <c r="N2685" t="s">
        <v>11429</v>
      </c>
      <c r="O2685" t="s">
        <v>101</v>
      </c>
      <c r="P2685" t="s">
        <v>13781</v>
      </c>
      <c r="Q2685" t="s">
        <v>83</v>
      </c>
      <c r="R2685" t="s">
        <v>12560</v>
      </c>
      <c r="S2685">
        <v>1.5</v>
      </c>
      <c r="T2685">
        <v>3366</v>
      </c>
      <c r="U2685">
        <v>0</v>
      </c>
      <c r="V2685">
        <v>3366</v>
      </c>
    </row>
    <row r="2686" spans="1:22" x14ac:dyDescent="0.3">
      <c r="A2686">
        <v>186607</v>
      </c>
      <c r="B2686">
        <v>136508776</v>
      </c>
      <c r="C2686" t="s">
        <v>13782</v>
      </c>
      <c r="D2686" t="s">
        <v>13783</v>
      </c>
      <c r="E2686" t="s">
        <v>11426</v>
      </c>
      <c r="F2686" t="s">
        <v>844</v>
      </c>
      <c r="G2686" t="s">
        <v>164</v>
      </c>
      <c r="H2686" t="s">
        <v>165</v>
      </c>
      <c r="I2686" t="s">
        <v>34</v>
      </c>
      <c r="J2686" t="s">
        <v>166</v>
      </c>
      <c r="K2686" t="s">
        <v>41</v>
      </c>
      <c r="L2686" t="s">
        <v>13784</v>
      </c>
      <c r="M2686" t="s">
        <v>13785</v>
      </c>
      <c r="N2686" t="s">
        <v>11429</v>
      </c>
      <c r="O2686" t="s">
        <v>101</v>
      </c>
      <c r="P2686" t="s">
        <v>13786</v>
      </c>
      <c r="Q2686" t="s">
        <v>49</v>
      </c>
      <c r="R2686" t="s">
        <v>12560</v>
      </c>
      <c r="S2686">
        <v>0.5</v>
      </c>
      <c r="T2686">
        <v>3449</v>
      </c>
      <c r="U2686">
        <v>0</v>
      </c>
      <c r="V2686">
        <v>3449</v>
      </c>
    </row>
    <row r="2687" spans="1:22" x14ac:dyDescent="0.3">
      <c r="A2687">
        <v>186607</v>
      </c>
      <c r="B2687">
        <v>136508768</v>
      </c>
      <c r="C2687" t="s">
        <v>13787</v>
      </c>
      <c r="D2687" t="s">
        <v>13788</v>
      </c>
      <c r="E2687" t="s">
        <v>11426</v>
      </c>
      <c r="F2687" t="s">
        <v>844</v>
      </c>
      <c r="G2687" t="s">
        <v>164</v>
      </c>
      <c r="H2687" t="s">
        <v>165</v>
      </c>
      <c r="I2687" t="s">
        <v>34</v>
      </c>
      <c r="J2687" t="s">
        <v>166</v>
      </c>
      <c r="K2687" t="s">
        <v>41</v>
      </c>
      <c r="L2687" t="s">
        <v>13789</v>
      </c>
      <c r="M2687" t="s">
        <v>13790</v>
      </c>
      <c r="N2687" t="s">
        <v>11429</v>
      </c>
      <c r="O2687" t="s">
        <v>101</v>
      </c>
      <c r="P2687" t="s">
        <v>13791</v>
      </c>
      <c r="Q2687" t="s">
        <v>214</v>
      </c>
      <c r="R2687" t="s">
        <v>12560</v>
      </c>
      <c r="S2687">
        <v>1.5</v>
      </c>
      <c r="T2687">
        <v>3366</v>
      </c>
      <c r="U2687">
        <v>0</v>
      </c>
      <c r="V2687">
        <v>3366</v>
      </c>
    </row>
    <row r="2688" spans="1:22" x14ac:dyDescent="0.3">
      <c r="A2688">
        <v>186607</v>
      </c>
      <c r="B2688">
        <v>136542155</v>
      </c>
      <c r="C2688" t="s">
        <v>13792</v>
      </c>
      <c r="D2688" t="s">
        <v>13793</v>
      </c>
      <c r="E2688" t="s">
        <v>11426</v>
      </c>
      <c r="F2688" t="s">
        <v>844</v>
      </c>
      <c r="G2688" t="s">
        <v>164</v>
      </c>
      <c r="H2688" t="s">
        <v>165</v>
      </c>
      <c r="I2688" t="s">
        <v>34</v>
      </c>
      <c r="J2688" t="s">
        <v>166</v>
      </c>
      <c r="K2688" t="s">
        <v>41</v>
      </c>
      <c r="L2688" t="s">
        <v>13794</v>
      </c>
      <c r="M2688" t="s">
        <v>13795</v>
      </c>
      <c r="N2688" t="s">
        <v>11429</v>
      </c>
      <c r="O2688" t="s">
        <v>101</v>
      </c>
      <c r="P2688" t="s">
        <v>13796</v>
      </c>
      <c r="Q2688" t="s">
        <v>60</v>
      </c>
      <c r="R2688" t="s">
        <v>11435</v>
      </c>
      <c r="S2688">
        <v>0.5</v>
      </c>
      <c r="T2688">
        <v>3680</v>
      </c>
      <c r="U2688">
        <v>0</v>
      </c>
      <c r="V2688">
        <v>3680</v>
      </c>
    </row>
    <row r="2689" spans="1:22" x14ac:dyDescent="0.3">
      <c r="A2689">
        <v>186607</v>
      </c>
      <c r="B2689">
        <v>136272328</v>
      </c>
      <c r="C2689" t="s">
        <v>13797</v>
      </c>
      <c r="D2689" t="s">
        <v>13798</v>
      </c>
      <c r="E2689" t="s">
        <v>11426</v>
      </c>
      <c r="F2689" t="s">
        <v>844</v>
      </c>
      <c r="G2689" t="s">
        <v>164</v>
      </c>
      <c r="H2689" t="s">
        <v>165</v>
      </c>
      <c r="I2689" t="s">
        <v>34</v>
      </c>
      <c r="J2689" t="s">
        <v>166</v>
      </c>
      <c r="K2689" t="s">
        <v>41</v>
      </c>
      <c r="L2689" t="s">
        <v>13799</v>
      </c>
      <c r="M2689" t="s">
        <v>13800</v>
      </c>
      <c r="N2689" t="s">
        <v>11429</v>
      </c>
      <c r="O2689" t="s">
        <v>101</v>
      </c>
      <c r="P2689" t="s">
        <v>13801</v>
      </c>
      <c r="Q2689" t="s">
        <v>58</v>
      </c>
      <c r="R2689" t="s">
        <v>12323</v>
      </c>
      <c r="S2689">
        <v>1</v>
      </c>
      <c r="T2689">
        <v>5759</v>
      </c>
      <c r="U2689">
        <v>0</v>
      </c>
      <c r="V2689">
        <v>5759</v>
      </c>
    </row>
    <row r="2690" spans="1:22" x14ac:dyDescent="0.3">
      <c r="A2690">
        <v>186607</v>
      </c>
      <c r="B2690">
        <v>136635787</v>
      </c>
      <c r="C2690" t="s">
        <v>13802</v>
      </c>
      <c r="D2690" t="s">
        <v>13803</v>
      </c>
      <c r="E2690" t="s">
        <v>11426</v>
      </c>
      <c r="F2690" t="s">
        <v>844</v>
      </c>
      <c r="G2690" t="s">
        <v>164</v>
      </c>
      <c r="H2690" t="s">
        <v>165</v>
      </c>
      <c r="I2690" t="s">
        <v>34</v>
      </c>
      <c r="J2690" t="s">
        <v>166</v>
      </c>
      <c r="K2690" t="s">
        <v>41</v>
      </c>
      <c r="L2690" t="s">
        <v>13804</v>
      </c>
      <c r="M2690" t="s">
        <v>13805</v>
      </c>
      <c r="N2690" t="s">
        <v>11429</v>
      </c>
      <c r="O2690" t="s">
        <v>101</v>
      </c>
      <c r="P2690" t="s">
        <v>13806</v>
      </c>
      <c r="Q2690" t="s">
        <v>69</v>
      </c>
      <c r="R2690" t="s">
        <v>13042</v>
      </c>
      <c r="S2690">
        <v>7.28</v>
      </c>
      <c r="T2690">
        <v>5759</v>
      </c>
      <c r="U2690">
        <v>0</v>
      </c>
      <c r="V2690">
        <v>5759</v>
      </c>
    </row>
    <row r="2691" spans="1:22" x14ac:dyDescent="0.3">
      <c r="A2691">
        <v>186607</v>
      </c>
      <c r="B2691">
        <v>136635644</v>
      </c>
      <c r="C2691" t="s">
        <v>13807</v>
      </c>
      <c r="D2691" t="s">
        <v>13808</v>
      </c>
      <c r="E2691" t="s">
        <v>11426</v>
      </c>
      <c r="F2691" t="s">
        <v>844</v>
      </c>
      <c r="G2691" t="s">
        <v>164</v>
      </c>
      <c r="H2691" t="s">
        <v>165</v>
      </c>
      <c r="I2691" t="s">
        <v>34</v>
      </c>
      <c r="J2691" t="s">
        <v>166</v>
      </c>
      <c r="K2691" t="s">
        <v>41</v>
      </c>
      <c r="L2691" t="s">
        <v>13809</v>
      </c>
      <c r="M2691" t="s">
        <v>13810</v>
      </c>
      <c r="N2691" t="s">
        <v>11429</v>
      </c>
      <c r="O2691" t="s">
        <v>101</v>
      </c>
      <c r="P2691" t="s">
        <v>13811</v>
      </c>
      <c r="Q2691" t="s">
        <v>60</v>
      </c>
      <c r="R2691" t="s">
        <v>11610</v>
      </c>
      <c r="S2691">
        <v>0.5</v>
      </c>
      <c r="T2691">
        <v>3680</v>
      </c>
      <c r="U2691">
        <v>0</v>
      </c>
      <c r="V2691">
        <v>3680</v>
      </c>
    </row>
    <row r="2692" spans="1:22" x14ac:dyDescent="0.3">
      <c r="A2692">
        <v>186607</v>
      </c>
      <c r="B2692">
        <v>136508773</v>
      </c>
      <c r="C2692" t="s">
        <v>13812</v>
      </c>
      <c r="D2692" t="s">
        <v>13813</v>
      </c>
      <c r="E2692" t="s">
        <v>11426</v>
      </c>
      <c r="F2692" t="s">
        <v>844</v>
      </c>
      <c r="G2692" t="s">
        <v>164</v>
      </c>
      <c r="H2692" t="s">
        <v>165</v>
      </c>
      <c r="I2692" t="s">
        <v>34</v>
      </c>
      <c r="J2692" t="s">
        <v>166</v>
      </c>
      <c r="K2692" t="s">
        <v>41</v>
      </c>
      <c r="L2692" t="s">
        <v>13814</v>
      </c>
      <c r="M2692" t="s">
        <v>13815</v>
      </c>
      <c r="N2692" t="s">
        <v>11429</v>
      </c>
      <c r="O2692" t="s">
        <v>101</v>
      </c>
      <c r="P2692" t="s">
        <v>13816</v>
      </c>
      <c r="Q2692" t="s">
        <v>64</v>
      </c>
      <c r="R2692" t="s">
        <v>12560</v>
      </c>
      <c r="S2692">
        <v>0.5</v>
      </c>
      <c r="T2692">
        <v>3680</v>
      </c>
      <c r="U2692">
        <v>0</v>
      </c>
      <c r="V2692">
        <v>3680</v>
      </c>
    </row>
    <row r="2693" spans="1:22" x14ac:dyDescent="0.3">
      <c r="A2693">
        <v>186607</v>
      </c>
      <c r="B2693">
        <v>136635623</v>
      </c>
      <c r="C2693" t="s">
        <v>13817</v>
      </c>
      <c r="D2693" t="s">
        <v>13818</v>
      </c>
      <c r="E2693" t="s">
        <v>11426</v>
      </c>
      <c r="F2693" t="s">
        <v>844</v>
      </c>
      <c r="G2693" t="s">
        <v>164</v>
      </c>
      <c r="H2693" t="s">
        <v>165</v>
      </c>
      <c r="I2693" t="s">
        <v>34</v>
      </c>
      <c r="J2693" t="s">
        <v>166</v>
      </c>
      <c r="K2693" t="s">
        <v>41</v>
      </c>
      <c r="L2693" t="s">
        <v>13819</v>
      </c>
      <c r="M2693" t="s">
        <v>13820</v>
      </c>
      <c r="N2693" t="s">
        <v>11429</v>
      </c>
      <c r="O2693" t="s">
        <v>101</v>
      </c>
      <c r="P2693" t="s">
        <v>13821</v>
      </c>
      <c r="Q2693" t="s">
        <v>219</v>
      </c>
      <c r="R2693" t="s">
        <v>12876</v>
      </c>
      <c r="S2693">
        <v>0.5</v>
      </c>
      <c r="T2693">
        <v>3680</v>
      </c>
      <c r="U2693">
        <v>0</v>
      </c>
      <c r="V2693">
        <v>3680</v>
      </c>
    </row>
    <row r="2694" spans="1:22" x14ac:dyDescent="0.3">
      <c r="A2694">
        <v>186607</v>
      </c>
      <c r="B2694">
        <v>136635671</v>
      </c>
      <c r="C2694" t="s">
        <v>13822</v>
      </c>
      <c r="D2694" t="s">
        <v>13823</v>
      </c>
      <c r="E2694" t="s">
        <v>11426</v>
      </c>
      <c r="F2694" t="s">
        <v>844</v>
      </c>
      <c r="G2694" t="s">
        <v>164</v>
      </c>
      <c r="H2694" t="s">
        <v>165</v>
      </c>
      <c r="I2694" t="s">
        <v>34</v>
      </c>
      <c r="J2694" t="s">
        <v>166</v>
      </c>
      <c r="K2694" t="s">
        <v>41</v>
      </c>
      <c r="L2694" t="s">
        <v>13824</v>
      </c>
      <c r="M2694" t="s">
        <v>13825</v>
      </c>
      <c r="N2694" t="s">
        <v>11429</v>
      </c>
      <c r="O2694" t="s">
        <v>101</v>
      </c>
      <c r="P2694" t="s">
        <v>13826</v>
      </c>
      <c r="Q2694" t="s">
        <v>79</v>
      </c>
      <c r="R2694" t="s">
        <v>11610</v>
      </c>
      <c r="S2694">
        <v>0.5</v>
      </c>
      <c r="T2694">
        <v>4601</v>
      </c>
      <c r="U2694">
        <v>0</v>
      </c>
      <c r="V2694">
        <v>4601</v>
      </c>
    </row>
    <row r="2695" spans="1:22" x14ac:dyDescent="0.3">
      <c r="A2695">
        <v>186607</v>
      </c>
      <c r="B2695">
        <v>136542162</v>
      </c>
      <c r="C2695" t="s">
        <v>13827</v>
      </c>
      <c r="D2695" t="s">
        <v>13828</v>
      </c>
      <c r="E2695" t="s">
        <v>11426</v>
      </c>
      <c r="F2695" t="s">
        <v>844</v>
      </c>
      <c r="G2695" t="s">
        <v>164</v>
      </c>
      <c r="H2695" t="s">
        <v>165</v>
      </c>
      <c r="I2695" t="s">
        <v>34</v>
      </c>
      <c r="J2695" t="s">
        <v>166</v>
      </c>
      <c r="K2695" t="s">
        <v>41</v>
      </c>
      <c r="L2695" t="s">
        <v>13829</v>
      </c>
      <c r="M2695" t="s">
        <v>13830</v>
      </c>
      <c r="N2695" t="s">
        <v>11429</v>
      </c>
      <c r="O2695" t="s">
        <v>101</v>
      </c>
      <c r="P2695" t="s">
        <v>13831</v>
      </c>
      <c r="Q2695" t="s">
        <v>84</v>
      </c>
      <c r="R2695" t="s">
        <v>11435</v>
      </c>
      <c r="S2695">
        <v>0.5</v>
      </c>
      <c r="T2695">
        <v>3299</v>
      </c>
      <c r="U2695">
        <v>0</v>
      </c>
      <c r="V2695">
        <v>3299</v>
      </c>
    </row>
    <row r="2696" spans="1:22" x14ac:dyDescent="0.3">
      <c r="A2696">
        <v>186607</v>
      </c>
      <c r="B2696">
        <v>136542174</v>
      </c>
      <c r="C2696" t="s">
        <v>13832</v>
      </c>
      <c r="D2696" t="s">
        <v>13833</v>
      </c>
      <c r="E2696" t="s">
        <v>11426</v>
      </c>
      <c r="F2696" t="s">
        <v>844</v>
      </c>
      <c r="G2696" t="s">
        <v>164</v>
      </c>
      <c r="H2696" t="s">
        <v>165</v>
      </c>
      <c r="I2696" t="s">
        <v>34</v>
      </c>
      <c r="J2696" t="s">
        <v>166</v>
      </c>
      <c r="K2696" t="s">
        <v>41</v>
      </c>
      <c r="L2696" t="s">
        <v>13834</v>
      </c>
      <c r="M2696" t="s">
        <v>13835</v>
      </c>
      <c r="N2696" t="s">
        <v>11429</v>
      </c>
      <c r="O2696" t="s">
        <v>101</v>
      </c>
      <c r="P2696" t="s">
        <v>13836</v>
      </c>
      <c r="Q2696" t="s">
        <v>72</v>
      </c>
      <c r="R2696" t="s">
        <v>13169</v>
      </c>
      <c r="S2696">
        <v>0.5</v>
      </c>
      <c r="T2696">
        <v>3449</v>
      </c>
      <c r="U2696">
        <v>0</v>
      </c>
      <c r="V2696">
        <v>3449</v>
      </c>
    </row>
    <row r="2697" spans="1:22" x14ac:dyDescent="0.3">
      <c r="A2697">
        <v>186607</v>
      </c>
      <c r="B2697">
        <v>136653045</v>
      </c>
      <c r="C2697" t="s">
        <v>13837</v>
      </c>
      <c r="D2697" t="s">
        <v>13838</v>
      </c>
      <c r="E2697" t="s">
        <v>11426</v>
      </c>
      <c r="F2697" t="s">
        <v>844</v>
      </c>
      <c r="G2697" t="s">
        <v>164</v>
      </c>
      <c r="H2697" t="s">
        <v>165</v>
      </c>
      <c r="I2697" t="s">
        <v>34</v>
      </c>
      <c r="J2697" t="s">
        <v>166</v>
      </c>
      <c r="K2697" t="s">
        <v>41</v>
      </c>
      <c r="L2697" t="s">
        <v>13839</v>
      </c>
      <c r="M2697" t="s">
        <v>13840</v>
      </c>
      <c r="N2697" t="s">
        <v>11429</v>
      </c>
      <c r="O2697" t="s">
        <v>101</v>
      </c>
      <c r="P2697" t="s">
        <v>13841</v>
      </c>
      <c r="Q2697" t="s">
        <v>49</v>
      </c>
      <c r="R2697" t="s">
        <v>13842</v>
      </c>
      <c r="S2697">
        <v>1</v>
      </c>
      <c r="T2697">
        <v>3784</v>
      </c>
      <c r="U2697">
        <v>0</v>
      </c>
      <c r="V2697">
        <v>3784</v>
      </c>
    </row>
    <row r="2698" spans="1:22" x14ac:dyDescent="0.3">
      <c r="A2698">
        <v>186607</v>
      </c>
      <c r="B2698">
        <v>136559697</v>
      </c>
      <c r="C2698" t="s">
        <v>13843</v>
      </c>
      <c r="D2698" t="s">
        <v>13844</v>
      </c>
      <c r="E2698" t="s">
        <v>11426</v>
      </c>
      <c r="F2698" t="s">
        <v>844</v>
      </c>
      <c r="G2698" t="s">
        <v>164</v>
      </c>
      <c r="H2698" t="s">
        <v>165</v>
      </c>
      <c r="I2698" t="s">
        <v>34</v>
      </c>
      <c r="J2698" t="s">
        <v>166</v>
      </c>
      <c r="K2698" t="s">
        <v>41</v>
      </c>
      <c r="L2698" t="s">
        <v>13845</v>
      </c>
      <c r="M2698" t="s">
        <v>13846</v>
      </c>
      <c r="N2698" t="s">
        <v>11429</v>
      </c>
      <c r="O2698" t="s">
        <v>101</v>
      </c>
      <c r="P2698" t="s">
        <v>13847</v>
      </c>
      <c r="Q2698" t="s">
        <v>93</v>
      </c>
      <c r="R2698" t="s">
        <v>13405</v>
      </c>
      <c r="S2698">
        <v>0.5</v>
      </c>
      <c r="T2698">
        <v>3299</v>
      </c>
      <c r="U2698">
        <v>0</v>
      </c>
      <c r="V2698">
        <v>3299</v>
      </c>
    </row>
    <row r="2699" spans="1:22" x14ac:dyDescent="0.3">
      <c r="A2699">
        <v>186607</v>
      </c>
      <c r="B2699">
        <v>136635777</v>
      </c>
      <c r="C2699" t="s">
        <v>13848</v>
      </c>
      <c r="D2699" t="s">
        <v>13849</v>
      </c>
      <c r="E2699" t="s">
        <v>11426</v>
      </c>
      <c r="F2699" t="s">
        <v>844</v>
      </c>
      <c r="G2699" t="s">
        <v>164</v>
      </c>
      <c r="H2699" t="s">
        <v>165</v>
      </c>
      <c r="I2699" t="s">
        <v>34</v>
      </c>
      <c r="J2699" t="s">
        <v>166</v>
      </c>
      <c r="K2699" t="s">
        <v>41</v>
      </c>
      <c r="L2699" t="s">
        <v>13850</v>
      </c>
      <c r="M2699" t="s">
        <v>13851</v>
      </c>
      <c r="N2699" t="s">
        <v>11429</v>
      </c>
      <c r="O2699" t="s">
        <v>101</v>
      </c>
      <c r="P2699" t="s">
        <v>13852</v>
      </c>
      <c r="Q2699" t="s">
        <v>43</v>
      </c>
      <c r="R2699" t="s">
        <v>13042</v>
      </c>
      <c r="S2699">
        <v>2.11</v>
      </c>
      <c r="T2699">
        <v>3753</v>
      </c>
      <c r="U2699">
        <v>0</v>
      </c>
      <c r="V2699">
        <v>3753</v>
      </c>
    </row>
    <row r="2700" spans="1:22" x14ac:dyDescent="0.3">
      <c r="A2700">
        <v>186607</v>
      </c>
      <c r="B2700">
        <v>136635796</v>
      </c>
      <c r="C2700" t="s">
        <v>13853</v>
      </c>
      <c r="D2700" t="s">
        <v>13854</v>
      </c>
      <c r="E2700" t="s">
        <v>11426</v>
      </c>
      <c r="F2700" t="s">
        <v>844</v>
      </c>
      <c r="G2700" t="s">
        <v>164</v>
      </c>
      <c r="H2700" t="s">
        <v>165</v>
      </c>
      <c r="I2700" t="s">
        <v>34</v>
      </c>
      <c r="J2700" t="s">
        <v>166</v>
      </c>
      <c r="K2700" t="s">
        <v>41</v>
      </c>
      <c r="L2700" t="s">
        <v>13855</v>
      </c>
      <c r="M2700" t="s">
        <v>13856</v>
      </c>
      <c r="N2700" t="s">
        <v>11429</v>
      </c>
      <c r="O2700" t="s">
        <v>101</v>
      </c>
      <c r="P2700" t="s">
        <v>13857</v>
      </c>
      <c r="Q2700" t="s">
        <v>68</v>
      </c>
      <c r="R2700" t="s">
        <v>13042</v>
      </c>
      <c r="S2700">
        <v>2.23</v>
      </c>
      <c r="T2700">
        <v>3753</v>
      </c>
      <c r="U2700">
        <v>0</v>
      </c>
      <c r="V2700">
        <v>3753</v>
      </c>
    </row>
    <row r="2701" spans="1:22" x14ac:dyDescent="0.3">
      <c r="A2701">
        <v>186607</v>
      </c>
      <c r="B2701">
        <v>136635672</v>
      </c>
      <c r="C2701" t="s">
        <v>13858</v>
      </c>
      <c r="D2701" t="s">
        <v>13859</v>
      </c>
      <c r="E2701" t="s">
        <v>11426</v>
      </c>
      <c r="F2701" t="s">
        <v>844</v>
      </c>
      <c r="G2701" t="s">
        <v>164</v>
      </c>
      <c r="H2701" t="s">
        <v>165</v>
      </c>
      <c r="I2701" t="s">
        <v>34</v>
      </c>
      <c r="J2701" t="s">
        <v>166</v>
      </c>
      <c r="K2701" t="s">
        <v>41</v>
      </c>
      <c r="L2701" t="s">
        <v>13860</v>
      </c>
      <c r="M2701" t="s">
        <v>13861</v>
      </c>
      <c r="N2701" t="s">
        <v>11429</v>
      </c>
      <c r="O2701" t="s">
        <v>101</v>
      </c>
      <c r="P2701" t="s">
        <v>13862</v>
      </c>
      <c r="Q2701" t="s">
        <v>63</v>
      </c>
      <c r="R2701" t="s">
        <v>11610</v>
      </c>
      <c r="S2701">
        <v>0.5</v>
      </c>
      <c r="T2701">
        <v>3680</v>
      </c>
      <c r="U2701">
        <v>0</v>
      </c>
      <c r="V2701">
        <v>3680</v>
      </c>
    </row>
    <row r="2702" spans="1:22" x14ac:dyDescent="0.3">
      <c r="A2702">
        <v>186607</v>
      </c>
      <c r="B2702">
        <v>136508762</v>
      </c>
      <c r="C2702" t="s">
        <v>13863</v>
      </c>
      <c r="D2702" t="s">
        <v>13864</v>
      </c>
      <c r="E2702" t="s">
        <v>11426</v>
      </c>
      <c r="F2702" t="s">
        <v>844</v>
      </c>
      <c r="G2702" t="s">
        <v>164</v>
      </c>
      <c r="H2702" t="s">
        <v>165</v>
      </c>
      <c r="I2702" t="s">
        <v>34</v>
      </c>
      <c r="J2702" t="s">
        <v>166</v>
      </c>
      <c r="K2702" t="s">
        <v>41</v>
      </c>
      <c r="L2702" t="s">
        <v>13865</v>
      </c>
      <c r="M2702" t="s">
        <v>13866</v>
      </c>
      <c r="N2702" t="s">
        <v>11429</v>
      </c>
      <c r="O2702" t="s">
        <v>101</v>
      </c>
      <c r="P2702" t="s">
        <v>13867</v>
      </c>
      <c r="Q2702" t="s">
        <v>60</v>
      </c>
      <c r="R2702" t="s">
        <v>12560</v>
      </c>
      <c r="S2702">
        <v>1</v>
      </c>
      <c r="T2702">
        <v>4346</v>
      </c>
      <c r="U2702">
        <v>0</v>
      </c>
      <c r="V2702">
        <v>4346</v>
      </c>
    </row>
    <row r="2703" spans="1:22" x14ac:dyDescent="0.3">
      <c r="A2703">
        <v>186607</v>
      </c>
      <c r="B2703">
        <v>136635744</v>
      </c>
      <c r="C2703" t="s">
        <v>13868</v>
      </c>
      <c r="D2703" t="s">
        <v>13869</v>
      </c>
      <c r="E2703" t="s">
        <v>11426</v>
      </c>
      <c r="F2703" t="s">
        <v>844</v>
      </c>
      <c r="G2703" t="s">
        <v>164</v>
      </c>
      <c r="H2703" t="s">
        <v>165</v>
      </c>
      <c r="I2703" t="s">
        <v>34</v>
      </c>
      <c r="J2703" t="s">
        <v>166</v>
      </c>
      <c r="K2703" t="s">
        <v>41</v>
      </c>
      <c r="L2703" t="s">
        <v>13870</v>
      </c>
      <c r="M2703" t="s">
        <v>13871</v>
      </c>
      <c r="N2703" t="s">
        <v>11429</v>
      </c>
      <c r="O2703" t="s">
        <v>101</v>
      </c>
      <c r="P2703" t="s">
        <v>13872</v>
      </c>
      <c r="Q2703" t="s">
        <v>74</v>
      </c>
      <c r="R2703" t="s">
        <v>11610</v>
      </c>
      <c r="S2703">
        <v>0.5</v>
      </c>
      <c r="T2703">
        <v>3680</v>
      </c>
      <c r="U2703">
        <v>0</v>
      </c>
      <c r="V2703">
        <v>3680</v>
      </c>
    </row>
    <row r="2704" spans="1:22" x14ac:dyDescent="0.3">
      <c r="A2704">
        <v>186607</v>
      </c>
      <c r="B2704">
        <v>136559682</v>
      </c>
      <c r="C2704" t="s">
        <v>13873</v>
      </c>
      <c r="D2704" t="s">
        <v>13874</v>
      </c>
      <c r="E2704" t="s">
        <v>11426</v>
      </c>
      <c r="F2704" t="s">
        <v>844</v>
      </c>
      <c r="G2704" t="s">
        <v>164</v>
      </c>
      <c r="H2704" t="s">
        <v>165</v>
      </c>
      <c r="I2704" t="s">
        <v>34</v>
      </c>
      <c r="J2704" t="s">
        <v>166</v>
      </c>
      <c r="K2704" t="s">
        <v>41</v>
      </c>
      <c r="L2704" t="s">
        <v>13875</v>
      </c>
      <c r="M2704" t="s">
        <v>13876</v>
      </c>
      <c r="N2704" t="s">
        <v>11429</v>
      </c>
      <c r="O2704" t="s">
        <v>101</v>
      </c>
      <c r="P2704" t="s">
        <v>13877</v>
      </c>
      <c r="Q2704" t="s">
        <v>83</v>
      </c>
      <c r="R2704" t="s">
        <v>13405</v>
      </c>
      <c r="S2704">
        <v>0.5</v>
      </c>
      <c r="T2704">
        <v>3299</v>
      </c>
      <c r="U2704">
        <v>0</v>
      </c>
      <c r="V2704">
        <v>3299</v>
      </c>
    </row>
    <row r="2705" spans="1:22" x14ac:dyDescent="0.3">
      <c r="A2705">
        <v>186607</v>
      </c>
      <c r="B2705">
        <v>136635741</v>
      </c>
      <c r="C2705" t="s">
        <v>13878</v>
      </c>
      <c r="D2705" t="s">
        <v>13879</v>
      </c>
      <c r="E2705" t="s">
        <v>11426</v>
      </c>
      <c r="F2705" t="s">
        <v>844</v>
      </c>
      <c r="G2705" t="s">
        <v>164</v>
      </c>
      <c r="H2705" t="s">
        <v>165</v>
      </c>
      <c r="I2705" t="s">
        <v>34</v>
      </c>
      <c r="J2705" t="s">
        <v>166</v>
      </c>
      <c r="K2705" t="s">
        <v>41</v>
      </c>
      <c r="L2705" t="s">
        <v>13880</v>
      </c>
      <c r="M2705" t="s">
        <v>13881</v>
      </c>
      <c r="N2705" t="s">
        <v>11429</v>
      </c>
      <c r="O2705" t="s">
        <v>101</v>
      </c>
      <c r="P2705" t="s">
        <v>13882</v>
      </c>
      <c r="Q2705" t="s">
        <v>60</v>
      </c>
      <c r="R2705" t="s">
        <v>11610</v>
      </c>
      <c r="S2705">
        <v>1</v>
      </c>
      <c r="T2705">
        <v>4346</v>
      </c>
      <c r="U2705">
        <v>0</v>
      </c>
      <c r="V2705">
        <v>4346</v>
      </c>
    </row>
    <row r="2706" spans="1:22" x14ac:dyDescent="0.3">
      <c r="A2706">
        <v>186607</v>
      </c>
      <c r="B2706">
        <v>136635716</v>
      </c>
      <c r="C2706" t="s">
        <v>13883</v>
      </c>
      <c r="D2706" t="s">
        <v>13884</v>
      </c>
      <c r="E2706" t="s">
        <v>11426</v>
      </c>
      <c r="F2706" t="s">
        <v>844</v>
      </c>
      <c r="G2706" t="s">
        <v>164</v>
      </c>
      <c r="H2706" t="s">
        <v>165</v>
      </c>
      <c r="I2706" t="s">
        <v>34</v>
      </c>
      <c r="J2706" t="s">
        <v>166</v>
      </c>
      <c r="K2706" t="s">
        <v>41</v>
      </c>
      <c r="L2706" t="s">
        <v>13885</v>
      </c>
      <c r="M2706" t="s">
        <v>13886</v>
      </c>
      <c r="N2706" t="s">
        <v>11429</v>
      </c>
      <c r="O2706" t="s">
        <v>101</v>
      </c>
      <c r="P2706" t="s">
        <v>13887</v>
      </c>
      <c r="Q2706" t="s">
        <v>49</v>
      </c>
      <c r="R2706" t="s">
        <v>11610</v>
      </c>
      <c r="S2706">
        <v>1</v>
      </c>
      <c r="T2706">
        <v>3784</v>
      </c>
      <c r="U2706">
        <v>0</v>
      </c>
      <c r="V2706">
        <v>3784</v>
      </c>
    </row>
    <row r="2707" spans="1:22" x14ac:dyDescent="0.3">
      <c r="A2707">
        <v>186607</v>
      </c>
      <c r="B2707">
        <v>136559693</v>
      </c>
      <c r="C2707" t="s">
        <v>13888</v>
      </c>
      <c r="D2707" t="s">
        <v>13889</v>
      </c>
      <c r="E2707" t="s">
        <v>11426</v>
      </c>
      <c r="F2707" t="s">
        <v>844</v>
      </c>
      <c r="G2707" t="s">
        <v>164</v>
      </c>
      <c r="H2707" t="s">
        <v>165</v>
      </c>
      <c r="I2707" t="s">
        <v>34</v>
      </c>
      <c r="J2707" t="s">
        <v>166</v>
      </c>
      <c r="K2707" t="s">
        <v>41</v>
      </c>
      <c r="L2707" t="s">
        <v>13890</v>
      </c>
      <c r="M2707" t="s">
        <v>13891</v>
      </c>
      <c r="N2707" t="s">
        <v>11429</v>
      </c>
      <c r="O2707" t="s">
        <v>101</v>
      </c>
      <c r="P2707" t="s">
        <v>13892</v>
      </c>
      <c r="Q2707" t="s">
        <v>63</v>
      </c>
      <c r="R2707" t="s">
        <v>13405</v>
      </c>
      <c r="S2707">
        <v>1</v>
      </c>
      <c r="T2707">
        <v>4067</v>
      </c>
      <c r="U2707">
        <v>0</v>
      </c>
      <c r="V2707">
        <v>4067</v>
      </c>
    </row>
    <row r="2708" spans="1:22" x14ac:dyDescent="0.3">
      <c r="A2708">
        <v>186607</v>
      </c>
      <c r="B2708">
        <v>136542188</v>
      </c>
      <c r="C2708" t="s">
        <v>13893</v>
      </c>
      <c r="D2708" t="s">
        <v>13894</v>
      </c>
      <c r="E2708" t="s">
        <v>11426</v>
      </c>
      <c r="F2708" t="s">
        <v>844</v>
      </c>
      <c r="G2708" t="s">
        <v>164</v>
      </c>
      <c r="H2708" t="s">
        <v>165</v>
      </c>
      <c r="I2708" t="s">
        <v>34</v>
      </c>
      <c r="J2708" t="s">
        <v>166</v>
      </c>
      <c r="K2708" t="s">
        <v>41</v>
      </c>
      <c r="L2708" t="s">
        <v>12753</v>
      </c>
      <c r="M2708" t="s">
        <v>13895</v>
      </c>
      <c r="N2708" t="s">
        <v>11429</v>
      </c>
      <c r="O2708" t="s">
        <v>101</v>
      </c>
      <c r="P2708" t="s">
        <v>13896</v>
      </c>
      <c r="Q2708" t="s">
        <v>69</v>
      </c>
      <c r="R2708" t="s">
        <v>13169</v>
      </c>
      <c r="S2708">
        <v>1</v>
      </c>
      <c r="T2708">
        <v>3753</v>
      </c>
      <c r="U2708">
        <v>0</v>
      </c>
      <c r="V2708">
        <v>3753</v>
      </c>
    </row>
    <row r="2709" spans="1:22" x14ac:dyDescent="0.3">
      <c r="A2709">
        <v>186607</v>
      </c>
      <c r="B2709">
        <v>136635655</v>
      </c>
      <c r="C2709" t="s">
        <v>13897</v>
      </c>
      <c r="D2709" t="s">
        <v>13898</v>
      </c>
      <c r="E2709" t="s">
        <v>11426</v>
      </c>
      <c r="F2709" t="s">
        <v>844</v>
      </c>
      <c r="G2709" t="s">
        <v>164</v>
      </c>
      <c r="H2709" t="s">
        <v>165</v>
      </c>
      <c r="I2709" t="s">
        <v>34</v>
      </c>
      <c r="J2709" t="s">
        <v>166</v>
      </c>
      <c r="K2709" t="s">
        <v>41</v>
      </c>
      <c r="L2709" t="s">
        <v>13899</v>
      </c>
      <c r="M2709" t="s">
        <v>13900</v>
      </c>
      <c r="N2709" t="s">
        <v>11429</v>
      </c>
      <c r="O2709" t="s">
        <v>101</v>
      </c>
      <c r="P2709" t="s">
        <v>13901</v>
      </c>
      <c r="Q2709" t="s">
        <v>97</v>
      </c>
      <c r="R2709" t="s">
        <v>11610</v>
      </c>
      <c r="S2709">
        <v>0.5</v>
      </c>
      <c r="T2709">
        <v>3299</v>
      </c>
      <c r="U2709">
        <v>0</v>
      </c>
      <c r="V2709">
        <v>3299</v>
      </c>
    </row>
    <row r="2710" spans="1:22" x14ac:dyDescent="0.3">
      <c r="A2710">
        <v>186607</v>
      </c>
      <c r="B2710">
        <v>136483390</v>
      </c>
      <c r="C2710" t="s">
        <v>13902</v>
      </c>
      <c r="D2710" t="s">
        <v>13903</v>
      </c>
      <c r="E2710" t="s">
        <v>11426</v>
      </c>
      <c r="F2710" t="s">
        <v>844</v>
      </c>
      <c r="G2710" t="s">
        <v>164</v>
      </c>
      <c r="H2710" t="s">
        <v>165</v>
      </c>
      <c r="I2710" t="s">
        <v>34</v>
      </c>
      <c r="J2710" t="s">
        <v>166</v>
      </c>
      <c r="K2710" t="s">
        <v>41</v>
      </c>
      <c r="L2710" t="s">
        <v>13904</v>
      </c>
      <c r="M2710" t="s">
        <v>13905</v>
      </c>
      <c r="N2710" t="s">
        <v>11429</v>
      </c>
      <c r="O2710" t="s">
        <v>101</v>
      </c>
      <c r="P2710" t="s">
        <v>13906</v>
      </c>
      <c r="Q2710" t="s">
        <v>200</v>
      </c>
      <c r="R2710" t="s">
        <v>12967</v>
      </c>
      <c r="S2710">
        <v>0.5</v>
      </c>
      <c r="T2710">
        <v>3680</v>
      </c>
      <c r="U2710">
        <v>0</v>
      </c>
      <c r="V2710">
        <v>3680</v>
      </c>
    </row>
    <row r="2711" spans="1:22" x14ac:dyDescent="0.3">
      <c r="A2711">
        <v>186607</v>
      </c>
      <c r="B2711">
        <v>136483363</v>
      </c>
      <c r="C2711" t="s">
        <v>13907</v>
      </c>
      <c r="D2711" t="s">
        <v>13908</v>
      </c>
      <c r="E2711" t="s">
        <v>11426</v>
      </c>
      <c r="F2711" t="s">
        <v>844</v>
      </c>
      <c r="G2711" t="s">
        <v>164</v>
      </c>
      <c r="H2711" t="s">
        <v>165</v>
      </c>
      <c r="I2711" t="s">
        <v>34</v>
      </c>
      <c r="J2711" t="s">
        <v>166</v>
      </c>
      <c r="K2711" t="s">
        <v>41</v>
      </c>
      <c r="L2711" t="s">
        <v>13909</v>
      </c>
      <c r="M2711" t="s">
        <v>13910</v>
      </c>
      <c r="N2711" t="s">
        <v>11429</v>
      </c>
      <c r="O2711" t="s">
        <v>101</v>
      </c>
      <c r="P2711" t="s">
        <v>13911</v>
      </c>
      <c r="Q2711" t="s">
        <v>49</v>
      </c>
      <c r="R2711" t="s">
        <v>12967</v>
      </c>
      <c r="S2711">
        <v>0.5</v>
      </c>
      <c r="T2711">
        <v>3449</v>
      </c>
      <c r="U2711">
        <v>0</v>
      </c>
      <c r="V2711">
        <v>3449</v>
      </c>
    </row>
    <row r="2712" spans="1:22" x14ac:dyDescent="0.3">
      <c r="A2712">
        <v>186607</v>
      </c>
      <c r="B2712">
        <v>136635564</v>
      </c>
      <c r="C2712" t="s">
        <v>13912</v>
      </c>
      <c r="D2712" t="s">
        <v>13913</v>
      </c>
      <c r="E2712" t="s">
        <v>11426</v>
      </c>
      <c r="F2712" t="s">
        <v>844</v>
      </c>
      <c r="G2712" t="s">
        <v>164</v>
      </c>
      <c r="H2712" t="s">
        <v>165</v>
      </c>
      <c r="I2712" t="s">
        <v>34</v>
      </c>
      <c r="J2712" t="s">
        <v>166</v>
      </c>
      <c r="K2712" t="s">
        <v>41</v>
      </c>
      <c r="L2712" t="s">
        <v>13914</v>
      </c>
      <c r="M2712" t="s">
        <v>13915</v>
      </c>
      <c r="N2712" t="s">
        <v>11429</v>
      </c>
      <c r="O2712" t="s">
        <v>101</v>
      </c>
      <c r="P2712" t="s">
        <v>13916</v>
      </c>
      <c r="Q2712" t="s">
        <v>84</v>
      </c>
      <c r="R2712" t="s">
        <v>12876</v>
      </c>
      <c r="S2712">
        <v>0.5</v>
      </c>
      <c r="T2712">
        <v>3299</v>
      </c>
      <c r="U2712">
        <v>0</v>
      </c>
      <c r="V2712">
        <v>3299</v>
      </c>
    </row>
    <row r="2713" spans="1:22" x14ac:dyDescent="0.3">
      <c r="A2713">
        <v>186607</v>
      </c>
      <c r="B2713">
        <v>136483351</v>
      </c>
      <c r="C2713" t="s">
        <v>13917</v>
      </c>
      <c r="D2713" t="s">
        <v>13918</v>
      </c>
      <c r="E2713" t="s">
        <v>11426</v>
      </c>
      <c r="F2713" t="s">
        <v>844</v>
      </c>
      <c r="G2713" t="s">
        <v>164</v>
      </c>
      <c r="H2713" t="s">
        <v>165</v>
      </c>
      <c r="I2713" t="s">
        <v>34</v>
      </c>
      <c r="J2713" t="s">
        <v>166</v>
      </c>
      <c r="K2713" t="s">
        <v>41</v>
      </c>
      <c r="L2713" t="s">
        <v>198</v>
      </c>
      <c r="M2713" t="s">
        <v>13919</v>
      </c>
      <c r="N2713" t="s">
        <v>11429</v>
      </c>
      <c r="O2713" t="s">
        <v>101</v>
      </c>
      <c r="P2713" t="s">
        <v>13920</v>
      </c>
      <c r="Q2713" t="s">
        <v>63</v>
      </c>
      <c r="R2713" t="s">
        <v>12967</v>
      </c>
      <c r="S2713">
        <v>0.5</v>
      </c>
      <c r="T2713">
        <v>3680</v>
      </c>
      <c r="U2713">
        <v>0</v>
      </c>
      <c r="V2713">
        <v>3680</v>
      </c>
    </row>
    <row r="2714" spans="1:22" x14ac:dyDescent="0.3">
      <c r="A2714">
        <v>186607</v>
      </c>
      <c r="B2714">
        <v>136635675</v>
      </c>
      <c r="C2714" t="s">
        <v>13921</v>
      </c>
      <c r="D2714" t="s">
        <v>13922</v>
      </c>
      <c r="E2714" t="s">
        <v>11426</v>
      </c>
      <c r="F2714" t="s">
        <v>844</v>
      </c>
      <c r="G2714" t="s">
        <v>164</v>
      </c>
      <c r="H2714" t="s">
        <v>165</v>
      </c>
      <c r="I2714" t="s">
        <v>34</v>
      </c>
      <c r="J2714" t="s">
        <v>166</v>
      </c>
      <c r="K2714" t="s">
        <v>41</v>
      </c>
      <c r="L2714" t="s">
        <v>13923</v>
      </c>
      <c r="M2714" t="s">
        <v>13924</v>
      </c>
      <c r="N2714" t="s">
        <v>11429</v>
      </c>
      <c r="O2714" t="s">
        <v>101</v>
      </c>
      <c r="P2714" t="s">
        <v>13925</v>
      </c>
      <c r="Q2714" t="s">
        <v>63</v>
      </c>
      <c r="R2714" t="s">
        <v>11610</v>
      </c>
      <c r="S2714">
        <v>1</v>
      </c>
      <c r="T2714">
        <v>4067</v>
      </c>
      <c r="U2714">
        <v>0</v>
      </c>
      <c r="V2714">
        <v>4067</v>
      </c>
    </row>
    <row r="2715" spans="1:22" x14ac:dyDescent="0.3">
      <c r="A2715">
        <v>186607</v>
      </c>
      <c r="B2715">
        <v>136635806</v>
      </c>
      <c r="C2715" t="s">
        <v>13926</v>
      </c>
      <c r="D2715" t="s">
        <v>13927</v>
      </c>
      <c r="E2715" t="s">
        <v>11426</v>
      </c>
      <c r="F2715" t="s">
        <v>844</v>
      </c>
      <c r="G2715" t="s">
        <v>164</v>
      </c>
      <c r="H2715" t="s">
        <v>165</v>
      </c>
      <c r="I2715" t="s">
        <v>34</v>
      </c>
      <c r="J2715" t="s">
        <v>166</v>
      </c>
      <c r="K2715" t="s">
        <v>41</v>
      </c>
      <c r="L2715" t="s">
        <v>13928</v>
      </c>
      <c r="M2715" t="s">
        <v>13929</v>
      </c>
      <c r="N2715" t="s">
        <v>11429</v>
      </c>
      <c r="O2715" t="s">
        <v>101</v>
      </c>
      <c r="P2715" t="s">
        <v>13930</v>
      </c>
      <c r="Q2715" t="s">
        <v>83</v>
      </c>
      <c r="R2715" t="s">
        <v>13042</v>
      </c>
      <c r="S2715">
        <v>0.5</v>
      </c>
      <c r="T2715">
        <v>3299</v>
      </c>
      <c r="U2715">
        <v>0</v>
      </c>
      <c r="V2715">
        <v>3299</v>
      </c>
    </row>
    <row r="2716" spans="1:22" x14ac:dyDescent="0.3">
      <c r="A2716">
        <v>186607</v>
      </c>
      <c r="B2716">
        <v>136559705</v>
      </c>
      <c r="C2716" t="s">
        <v>13931</v>
      </c>
      <c r="D2716" t="s">
        <v>13932</v>
      </c>
      <c r="E2716" t="s">
        <v>11426</v>
      </c>
      <c r="F2716" t="s">
        <v>844</v>
      </c>
      <c r="G2716" t="s">
        <v>164</v>
      </c>
      <c r="H2716" t="s">
        <v>165</v>
      </c>
      <c r="I2716" t="s">
        <v>34</v>
      </c>
      <c r="J2716" t="s">
        <v>166</v>
      </c>
      <c r="K2716" t="s">
        <v>41</v>
      </c>
      <c r="L2716" t="s">
        <v>13933</v>
      </c>
      <c r="M2716" t="s">
        <v>320</v>
      </c>
      <c r="N2716" t="s">
        <v>11429</v>
      </c>
      <c r="O2716" t="s">
        <v>101</v>
      </c>
      <c r="P2716" t="s">
        <v>13934</v>
      </c>
      <c r="Q2716" t="s">
        <v>72</v>
      </c>
      <c r="R2716" t="s">
        <v>13687</v>
      </c>
      <c r="S2716">
        <v>0.5</v>
      </c>
      <c r="T2716">
        <v>3449</v>
      </c>
      <c r="U2716">
        <v>0</v>
      </c>
      <c r="V2716">
        <v>3449</v>
      </c>
    </row>
    <row r="2717" spans="1:22" x14ac:dyDescent="0.3">
      <c r="A2717">
        <v>186607</v>
      </c>
      <c r="B2717">
        <v>136559696</v>
      </c>
      <c r="C2717" t="s">
        <v>13935</v>
      </c>
      <c r="D2717" t="s">
        <v>13936</v>
      </c>
      <c r="E2717" t="s">
        <v>11426</v>
      </c>
      <c r="F2717" t="s">
        <v>844</v>
      </c>
      <c r="G2717" t="s">
        <v>164</v>
      </c>
      <c r="H2717" t="s">
        <v>165</v>
      </c>
      <c r="I2717" t="s">
        <v>34</v>
      </c>
      <c r="J2717" t="s">
        <v>166</v>
      </c>
      <c r="K2717" t="s">
        <v>41</v>
      </c>
      <c r="L2717" t="s">
        <v>13937</v>
      </c>
      <c r="M2717" t="s">
        <v>13938</v>
      </c>
      <c r="N2717" t="s">
        <v>11429</v>
      </c>
      <c r="O2717" t="s">
        <v>101</v>
      </c>
      <c r="P2717" t="s">
        <v>13939</v>
      </c>
      <c r="Q2717" t="s">
        <v>63</v>
      </c>
      <c r="R2717" t="s">
        <v>13405</v>
      </c>
      <c r="S2717">
        <v>0.5</v>
      </c>
      <c r="T2717">
        <v>3680</v>
      </c>
      <c r="U2717">
        <v>0</v>
      </c>
      <c r="V2717">
        <v>3680</v>
      </c>
    </row>
    <row r="2718" spans="1:22" x14ac:dyDescent="0.3">
      <c r="A2718">
        <v>186607</v>
      </c>
      <c r="B2718">
        <v>136483384</v>
      </c>
      <c r="C2718" t="s">
        <v>13940</v>
      </c>
      <c r="D2718" t="s">
        <v>13941</v>
      </c>
      <c r="E2718" t="s">
        <v>11426</v>
      </c>
      <c r="F2718" t="s">
        <v>844</v>
      </c>
      <c r="G2718" t="s">
        <v>164</v>
      </c>
      <c r="H2718" t="s">
        <v>165</v>
      </c>
      <c r="I2718" t="s">
        <v>34</v>
      </c>
      <c r="J2718" t="s">
        <v>166</v>
      </c>
      <c r="K2718" t="s">
        <v>41</v>
      </c>
      <c r="L2718" t="s">
        <v>13942</v>
      </c>
      <c r="M2718" t="s">
        <v>13943</v>
      </c>
      <c r="N2718" t="s">
        <v>11429</v>
      </c>
      <c r="O2718" t="s">
        <v>101</v>
      </c>
      <c r="P2718" t="s">
        <v>13944</v>
      </c>
      <c r="Q2718" t="s">
        <v>72</v>
      </c>
      <c r="R2718" t="s">
        <v>12967</v>
      </c>
      <c r="S2718">
        <v>0.5</v>
      </c>
      <c r="T2718">
        <v>3449</v>
      </c>
      <c r="U2718">
        <v>0</v>
      </c>
      <c r="V2718">
        <v>3449</v>
      </c>
    </row>
    <row r="2719" spans="1:22" x14ac:dyDescent="0.3">
      <c r="A2719">
        <v>186607</v>
      </c>
      <c r="B2719">
        <v>136542168</v>
      </c>
      <c r="C2719" t="s">
        <v>13945</v>
      </c>
      <c r="D2719" t="s">
        <v>13946</v>
      </c>
      <c r="E2719" t="s">
        <v>11426</v>
      </c>
      <c r="F2719" t="s">
        <v>844</v>
      </c>
      <c r="G2719" t="s">
        <v>164</v>
      </c>
      <c r="H2719" t="s">
        <v>165</v>
      </c>
      <c r="I2719" t="s">
        <v>34</v>
      </c>
      <c r="J2719" t="s">
        <v>166</v>
      </c>
      <c r="K2719" t="s">
        <v>41</v>
      </c>
      <c r="L2719" t="s">
        <v>13947</v>
      </c>
      <c r="M2719" t="s">
        <v>13948</v>
      </c>
      <c r="N2719" t="s">
        <v>11429</v>
      </c>
      <c r="O2719" t="s">
        <v>101</v>
      </c>
      <c r="P2719" t="s">
        <v>13949</v>
      </c>
      <c r="Q2719" t="s">
        <v>87</v>
      </c>
      <c r="R2719" t="s">
        <v>11435</v>
      </c>
      <c r="S2719">
        <v>0.5</v>
      </c>
      <c r="T2719">
        <v>3299</v>
      </c>
      <c r="U2719">
        <v>0</v>
      </c>
      <c r="V2719">
        <v>3299</v>
      </c>
    </row>
    <row r="2720" spans="1:22" x14ac:dyDescent="0.3">
      <c r="A2720">
        <v>186607</v>
      </c>
      <c r="B2720">
        <v>136635582</v>
      </c>
      <c r="C2720" t="s">
        <v>13950</v>
      </c>
      <c r="D2720" t="s">
        <v>13951</v>
      </c>
      <c r="E2720" t="s">
        <v>11426</v>
      </c>
      <c r="F2720" t="s">
        <v>844</v>
      </c>
      <c r="G2720" t="s">
        <v>164</v>
      </c>
      <c r="H2720" t="s">
        <v>165</v>
      </c>
      <c r="I2720" t="s">
        <v>34</v>
      </c>
      <c r="J2720" t="s">
        <v>166</v>
      </c>
      <c r="K2720" t="s">
        <v>41</v>
      </c>
      <c r="L2720" t="s">
        <v>13952</v>
      </c>
      <c r="M2720" t="s">
        <v>13953</v>
      </c>
      <c r="N2720" t="s">
        <v>11429</v>
      </c>
      <c r="O2720" t="s">
        <v>101</v>
      </c>
      <c r="P2720" t="s">
        <v>13954</v>
      </c>
      <c r="Q2720" t="s">
        <v>72</v>
      </c>
      <c r="R2720" t="s">
        <v>12876</v>
      </c>
      <c r="S2720">
        <v>1</v>
      </c>
      <c r="T2720">
        <v>3784</v>
      </c>
      <c r="U2720">
        <v>0</v>
      </c>
      <c r="V2720">
        <v>3784</v>
      </c>
    </row>
    <row r="2721" spans="1:22" x14ac:dyDescent="0.3">
      <c r="A2721">
        <v>186607</v>
      </c>
      <c r="B2721">
        <v>136635793</v>
      </c>
      <c r="C2721" t="s">
        <v>13955</v>
      </c>
      <c r="D2721" t="s">
        <v>13956</v>
      </c>
      <c r="E2721" t="s">
        <v>11426</v>
      </c>
      <c r="F2721" t="s">
        <v>844</v>
      </c>
      <c r="G2721" t="s">
        <v>164</v>
      </c>
      <c r="H2721" t="s">
        <v>165</v>
      </c>
      <c r="I2721" t="s">
        <v>34</v>
      </c>
      <c r="J2721" t="s">
        <v>166</v>
      </c>
      <c r="K2721" t="s">
        <v>41</v>
      </c>
      <c r="L2721" t="s">
        <v>13957</v>
      </c>
      <c r="M2721" t="s">
        <v>13958</v>
      </c>
      <c r="N2721" t="s">
        <v>11429</v>
      </c>
      <c r="O2721" t="s">
        <v>101</v>
      </c>
      <c r="P2721" t="s">
        <v>13959</v>
      </c>
      <c r="Q2721" t="s">
        <v>187</v>
      </c>
      <c r="R2721" t="s">
        <v>13042</v>
      </c>
      <c r="S2721">
        <v>0.5</v>
      </c>
      <c r="T2721">
        <v>3449</v>
      </c>
      <c r="U2721">
        <v>0</v>
      </c>
      <c r="V2721">
        <v>3449</v>
      </c>
    </row>
    <row r="2722" spans="1:22" x14ac:dyDescent="0.3">
      <c r="A2722">
        <v>186607</v>
      </c>
      <c r="B2722">
        <v>136635807</v>
      </c>
      <c r="C2722" t="s">
        <v>13960</v>
      </c>
      <c r="D2722" t="s">
        <v>13961</v>
      </c>
      <c r="E2722" t="s">
        <v>11426</v>
      </c>
      <c r="F2722" t="s">
        <v>844</v>
      </c>
      <c r="G2722" t="s">
        <v>164</v>
      </c>
      <c r="H2722" t="s">
        <v>165</v>
      </c>
      <c r="I2722" t="s">
        <v>34</v>
      </c>
      <c r="J2722" t="s">
        <v>166</v>
      </c>
      <c r="K2722" t="s">
        <v>41</v>
      </c>
      <c r="L2722" t="s">
        <v>13962</v>
      </c>
      <c r="M2722" t="s">
        <v>13963</v>
      </c>
      <c r="N2722" t="s">
        <v>11429</v>
      </c>
      <c r="O2722" t="s">
        <v>101</v>
      </c>
      <c r="P2722" t="s">
        <v>13964</v>
      </c>
      <c r="Q2722" t="s">
        <v>84</v>
      </c>
      <c r="R2722" t="s">
        <v>13042</v>
      </c>
      <c r="S2722">
        <v>0.5</v>
      </c>
      <c r="T2722">
        <v>3299</v>
      </c>
      <c r="U2722">
        <v>0</v>
      </c>
      <c r="V2722">
        <v>3299</v>
      </c>
    </row>
    <row r="2723" spans="1:22" x14ac:dyDescent="0.3">
      <c r="A2723">
        <v>186607</v>
      </c>
      <c r="B2723">
        <v>135790725</v>
      </c>
      <c r="C2723" t="s">
        <v>13965</v>
      </c>
      <c r="D2723" t="s">
        <v>13966</v>
      </c>
      <c r="E2723" t="s">
        <v>11426</v>
      </c>
      <c r="F2723" t="s">
        <v>844</v>
      </c>
      <c r="G2723" t="s">
        <v>164</v>
      </c>
      <c r="H2723" t="s">
        <v>165</v>
      </c>
      <c r="I2723" t="s">
        <v>34</v>
      </c>
      <c r="J2723" t="s">
        <v>166</v>
      </c>
      <c r="K2723" t="s">
        <v>41</v>
      </c>
      <c r="L2723" t="s">
        <v>13967</v>
      </c>
      <c r="M2723" t="s">
        <v>13968</v>
      </c>
      <c r="N2723" t="s">
        <v>11429</v>
      </c>
      <c r="O2723" t="s">
        <v>101</v>
      </c>
      <c r="P2723" t="s">
        <v>13969</v>
      </c>
      <c r="Q2723" t="s">
        <v>52</v>
      </c>
      <c r="R2723" t="s">
        <v>509</v>
      </c>
      <c r="S2723">
        <v>2.87</v>
      </c>
      <c r="T2723">
        <v>5759</v>
      </c>
      <c r="U2723">
        <v>0</v>
      </c>
      <c r="V2723">
        <v>5759</v>
      </c>
    </row>
    <row r="2724" spans="1:22" x14ac:dyDescent="0.3">
      <c r="A2724">
        <v>186607</v>
      </c>
      <c r="B2724">
        <v>136635680</v>
      </c>
      <c r="C2724" t="s">
        <v>13970</v>
      </c>
      <c r="D2724" t="s">
        <v>13971</v>
      </c>
      <c r="E2724" t="s">
        <v>11426</v>
      </c>
      <c r="F2724" t="s">
        <v>844</v>
      </c>
      <c r="G2724" t="s">
        <v>164</v>
      </c>
      <c r="H2724" t="s">
        <v>165</v>
      </c>
      <c r="I2724" t="s">
        <v>34</v>
      </c>
      <c r="J2724" t="s">
        <v>166</v>
      </c>
      <c r="K2724" t="s">
        <v>41</v>
      </c>
      <c r="L2724" t="s">
        <v>13972</v>
      </c>
      <c r="M2724" t="s">
        <v>13973</v>
      </c>
      <c r="N2724" t="s">
        <v>11429</v>
      </c>
      <c r="O2724" t="s">
        <v>101</v>
      </c>
      <c r="P2724" t="s">
        <v>13974</v>
      </c>
      <c r="Q2724" t="s">
        <v>84</v>
      </c>
      <c r="R2724" t="s">
        <v>11610</v>
      </c>
      <c r="S2724">
        <v>0.5</v>
      </c>
      <c r="T2724">
        <v>3299</v>
      </c>
      <c r="U2724">
        <v>0</v>
      </c>
      <c r="V2724">
        <v>3299</v>
      </c>
    </row>
    <row r="2725" spans="1:22" x14ac:dyDescent="0.3">
      <c r="A2725">
        <v>186607</v>
      </c>
      <c r="B2725">
        <v>135449111</v>
      </c>
      <c r="C2725" t="s">
        <v>13975</v>
      </c>
      <c r="D2725" t="s">
        <v>13976</v>
      </c>
      <c r="E2725" t="s">
        <v>11426</v>
      </c>
      <c r="F2725" t="s">
        <v>844</v>
      </c>
      <c r="G2725" t="s">
        <v>172</v>
      </c>
      <c r="H2725" t="s">
        <v>173</v>
      </c>
      <c r="I2725" t="s">
        <v>34</v>
      </c>
      <c r="J2725" t="s">
        <v>272</v>
      </c>
      <c r="K2725" t="s">
        <v>41</v>
      </c>
      <c r="L2725" t="s">
        <v>174</v>
      </c>
      <c r="M2725" t="s">
        <v>13977</v>
      </c>
      <c r="N2725" t="s">
        <v>11429</v>
      </c>
      <c r="O2725" t="s">
        <v>101</v>
      </c>
      <c r="P2725" t="s">
        <v>13978</v>
      </c>
      <c r="Q2725" t="s">
        <v>401</v>
      </c>
      <c r="R2725" t="s">
        <v>13979</v>
      </c>
      <c r="S2725">
        <v>2.61</v>
      </c>
      <c r="T2725">
        <v>7015</v>
      </c>
      <c r="U2725">
        <v>0</v>
      </c>
      <c r="V2725">
        <v>7015</v>
      </c>
    </row>
    <row r="2726" spans="1:22" x14ac:dyDescent="0.3">
      <c r="A2726">
        <v>186607</v>
      </c>
      <c r="B2726">
        <v>136508781</v>
      </c>
      <c r="C2726" t="s">
        <v>13980</v>
      </c>
      <c r="D2726" t="s">
        <v>13981</v>
      </c>
      <c r="E2726" t="s">
        <v>11426</v>
      </c>
      <c r="F2726" t="s">
        <v>844</v>
      </c>
      <c r="G2726" t="s">
        <v>164</v>
      </c>
      <c r="H2726" t="s">
        <v>165</v>
      </c>
      <c r="I2726" t="s">
        <v>34</v>
      </c>
      <c r="J2726" t="s">
        <v>166</v>
      </c>
      <c r="K2726" t="s">
        <v>41</v>
      </c>
      <c r="L2726" t="s">
        <v>13982</v>
      </c>
      <c r="M2726" t="s">
        <v>13983</v>
      </c>
      <c r="N2726" t="s">
        <v>11429</v>
      </c>
      <c r="O2726" t="s">
        <v>101</v>
      </c>
      <c r="P2726" t="s">
        <v>13984</v>
      </c>
      <c r="Q2726" t="s">
        <v>69</v>
      </c>
      <c r="R2726" t="s">
        <v>12560</v>
      </c>
      <c r="S2726">
        <v>0.5</v>
      </c>
      <c r="T2726">
        <v>3680</v>
      </c>
      <c r="U2726">
        <v>0</v>
      </c>
      <c r="V2726">
        <v>3680</v>
      </c>
    </row>
    <row r="2727" spans="1:22" x14ac:dyDescent="0.3">
      <c r="A2727">
        <v>186607</v>
      </c>
      <c r="B2727">
        <v>136635803</v>
      </c>
      <c r="C2727" t="s">
        <v>13985</v>
      </c>
      <c r="D2727" t="s">
        <v>13986</v>
      </c>
      <c r="E2727" t="s">
        <v>11426</v>
      </c>
      <c r="F2727" t="s">
        <v>844</v>
      </c>
      <c r="G2727" t="s">
        <v>164</v>
      </c>
      <c r="H2727" t="s">
        <v>165</v>
      </c>
      <c r="I2727" t="s">
        <v>34</v>
      </c>
      <c r="J2727" t="s">
        <v>166</v>
      </c>
      <c r="K2727" t="s">
        <v>41</v>
      </c>
      <c r="L2727" t="s">
        <v>13987</v>
      </c>
      <c r="M2727" t="s">
        <v>13988</v>
      </c>
      <c r="N2727" t="s">
        <v>11429</v>
      </c>
      <c r="O2727" t="s">
        <v>101</v>
      </c>
      <c r="P2727" t="s">
        <v>13989</v>
      </c>
      <c r="Q2727" t="s">
        <v>234</v>
      </c>
      <c r="R2727" t="s">
        <v>13042</v>
      </c>
      <c r="S2727">
        <v>0.5</v>
      </c>
      <c r="T2727">
        <v>3299</v>
      </c>
      <c r="U2727">
        <v>0</v>
      </c>
      <c r="V2727">
        <v>3299</v>
      </c>
    </row>
    <row r="2728" spans="1:22" x14ac:dyDescent="0.3">
      <c r="A2728">
        <v>186607</v>
      </c>
      <c r="B2728">
        <v>136635697</v>
      </c>
      <c r="C2728" t="s">
        <v>13990</v>
      </c>
      <c r="D2728" t="s">
        <v>13991</v>
      </c>
      <c r="E2728" t="s">
        <v>11426</v>
      </c>
      <c r="F2728" t="s">
        <v>844</v>
      </c>
      <c r="G2728" t="s">
        <v>164</v>
      </c>
      <c r="H2728" t="s">
        <v>165</v>
      </c>
      <c r="I2728" t="s">
        <v>34</v>
      </c>
      <c r="J2728" t="s">
        <v>166</v>
      </c>
      <c r="K2728" t="s">
        <v>41</v>
      </c>
      <c r="L2728" t="s">
        <v>13992</v>
      </c>
      <c r="M2728" t="s">
        <v>536</v>
      </c>
      <c r="N2728" t="s">
        <v>11429</v>
      </c>
      <c r="O2728" t="s">
        <v>101</v>
      </c>
      <c r="P2728" t="s">
        <v>13993</v>
      </c>
      <c r="Q2728" t="s">
        <v>71</v>
      </c>
      <c r="R2728" t="s">
        <v>11610</v>
      </c>
      <c r="S2728">
        <v>0.5</v>
      </c>
      <c r="T2728">
        <v>3449</v>
      </c>
      <c r="U2728">
        <v>0</v>
      </c>
      <c r="V2728">
        <v>3449</v>
      </c>
    </row>
    <row r="2729" spans="1:22" x14ac:dyDescent="0.3">
      <c r="A2729">
        <v>186607</v>
      </c>
      <c r="B2729">
        <v>136635634</v>
      </c>
      <c r="C2729" t="s">
        <v>13994</v>
      </c>
      <c r="D2729" t="s">
        <v>13995</v>
      </c>
      <c r="E2729" t="s">
        <v>11426</v>
      </c>
      <c r="F2729" t="s">
        <v>844</v>
      </c>
      <c r="G2729" t="s">
        <v>164</v>
      </c>
      <c r="H2729" t="s">
        <v>165</v>
      </c>
      <c r="I2729" t="s">
        <v>34</v>
      </c>
      <c r="J2729" t="s">
        <v>166</v>
      </c>
      <c r="K2729" t="s">
        <v>41</v>
      </c>
      <c r="L2729" t="s">
        <v>13996</v>
      </c>
      <c r="M2729" t="s">
        <v>13997</v>
      </c>
      <c r="N2729" t="s">
        <v>11429</v>
      </c>
      <c r="O2729" t="s">
        <v>101</v>
      </c>
      <c r="P2729" t="s">
        <v>13998</v>
      </c>
      <c r="Q2729" t="s">
        <v>72</v>
      </c>
      <c r="R2729" t="s">
        <v>11610</v>
      </c>
      <c r="S2729">
        <v>0.5</v>
      </c>
      <c r="T2729">
        <v>3449</v>
      </c>
      <c r="U2729">
        <v>0</v>
      </c>
      <c r="V2729">
        <v>3449</v>
      </c>
    </row>
    <row r="2730" spans="1:22" x14ac:dyDescent="0.3">
      <c r="A2730">
        <v>186607</v>
      </c>
      <c r="B2730">
        <v>136635563</v>
      </c>
      <c r="C2730" t="s">
        <v>13999</v>
      </c>
      <c r="D2730" t="s">
        <v>14000</v>
      </c>
      <c r="E2730" t="s">
        <v>11426</v>
      </c>
      <c r="F2730" t="s">
        <v>844</v>
      </c>
      <c r="G2730" t="s">
        <v>164</v>
      </c>
      <c r="H2730" t="s">
        <v>165</v>
      </c>
      <c r="I2730" t="s">
        <v>34</v>
      </c>
      <c r="J2730" t="s">
        <v>166</v>
      </c>
      <c r="K2730" t="s">
        <v>41</v>
      </c>
      <c r="L2730" t="s">
        <v>14001</v>
      </c>
      <c r="M2730" t="s">
        <v>14002</v>
      </c>
      <c r="N2730" t="s">
        <v>11429</v>
      </c>
      <c r="O2730" t="s">
        <v>101</v>
      </c>
      <c r="P2730" t="s">
        <v>14003</v>
      </c>
      <c r="Q2730" t="s">
        <v>83</v>
      </c>
      <c r="R2730" t="s">
        <v>12876</v>
      </c>
      <c r="S2730">
        <v>1</v>
      </c>
      <c r="T2730">
        <v>3366</v>
      </c>
      <c r="U2730">
        <v>0</v>
      </c>
      <c r="V2730">
        <v>3366</v>
      </c>
    </row>
    <row r="2731" spans="1:22" x14ac:dyDescent="0.3">
      <c r="A2731">
        <v>186607</v>
      </c>
      <c r="B2731">
        <v>136635562</v>
      </c>
      <c r="C2731" t="s">
        <v>14004</v>
      </c>
      <c r="D2731" t="s">
        <v>14005</v>
      </c>
      <c r="E2731" t="s">
        <v>11426</v>
      </c>
      <c r="F2731" t="s">
        <v>844</v>
      </c>
      <c r="G2731" t="s">
        <v>164</v>
      </c>
      <c r="H2731" t="s">
        <v>165</v>
      </c>
      <c r="I2731" t="s">
        <v>34</v>
      </c>
      <c r="J2731" t="s">
        <v>166</v>
      </c>
      <c r="K2731" t="s">
        <v>41</v>
      </c>
      <c r="L2731" t="s">
        <v>14006</v>
      </c>
      <c r="M2731" t="s">
        <v>14007</v>
      </c>
      <c r="N2731" t="s">
        <v>11429</v>
      </c>
      <c r="O2731" t="s">
        <v>101</v>
      </c>
      <c r="P2731" t="s">
        <v>14008</v>
      </c>
      <c r="Q2731" t="s">
        <v>87</v>
      </c>
      <c r="R2731" t="s">
        <v>12876</v>
      </c>
      <c r="S2731">
        <v>0.5</v>
      </c>
      <c r="T2731">
        <v>3299</v>
      </c>
      <c r="U2731">
        <v>0</v>
      </c>
      <c r="V2731">
        <v>3299</v>
      </c>
    </row>
    <row r="2732" spans="1:22" x14ac:dyDescent="0.3">
      <c r="A2732">
        <v>186607</v>
      </c>
      <c r="B2732">
        <v>136635609</v>
      </c>
      <c r="C2732" t="s">
        <v>14009</v>
      </c>
      <c r="D2732" t="s">
        <v>14010</v>
      </c>
      <c r="E2732" t="s">
        <v>11426</v>
      </c>
      <c r="F2732" t="s">
        <v>844</v>
      </c>
      <c r="G2732" t="s">
        <v>164</v>
      </c>
      <c r="H2732" t="s">
        <v>165</v>
      </c>
      <c r="I2732" t="s">
        <v>34</v>
      </c>
      <c r="J2732" t="s">
        <v>166</v>
      </c>
      <c r="K2732" t="s">
        <v>41</v>
      </c>
      <c r="L2732" t="s">
        <v>14011</v>
      </c>
      <c r="M2732" t="s">
        <v>14012</v>
      </c>
      <c r="N2732" t="s">
        <v>11429</v>
      </c>
      <c r="O2732" t="s">
        <v>101</v>
      </c>
      <c r="P2732" t="s">
        <v>14013</v>
      </c>
      <c r="Q2732" t="s">
        <v>94</v>
      </c>
      <c r="R2732" t="s">
        <v>12876</v>
      </c>
      <c r="S2732">
        <v>0.5</v>
      </c>
      <c r="T2732">
        <v>3299</v>
      </c>
      <c r="U2732">
        <v>0</v>
      </c>
      <c r="V2732">
        <v>3299</v>
      </c>
    </row>
    <row r="2733" spans="1:22" x14ac:dyDescent="0.3">
      <c r="A2733">
        <v>186607</v>
      </c>
      <c r="B2733">
        <v>135849004</v>
      </c>
      <c r="C2733" t="s">
        <v>14014</v>
      </c>
      <c r="D2733" t="s">
        <v>14015</v>
      </c>
      <c r="E2733" t="s">
        <v>11426</v>
      </c>
      <c r="F2733" t="s">
        <v>844</v>
      </c>
      <c r="G2733" t="s">
        <v>164</v>
      </c>
      <c r="H2733" t="s">
        <v>165</v>
      </c>
      <c r="I2733" t="s">
        <v>34</v>
      </c>
      <c r="J2733" t="s">
        <v>166</v>
      </c>
      <c r="K2733" t="s">
        <v>41</v>
      </c>
      <c r="L2733" t="s">
        <v>14016</v>
      </c>
      <c r="M2733" t="s">
        <v>14017</v>
      </c>
      <c r="N2733" t="s">
        <v>11429</v>
      </c>
      <c r="O2733" t="s">
        <v>101</v>
      </c>
      <c r="P2733" t="s">
        <v>14018</v>
      </c>
      <c r="Q2733" t="s">
        <v>246</v>
      </c>
      <c r="R2733" t="s">
        <v>501</v>
      </c>
      <c r="S2733">
        <v>0.5</v>
      </c>
      <c r="T2733">
        <v>5367</v>
      </c>
      <c r="U2733">
        <v>0</v>
      </c>
      <c r="V2733">
        <v>5367</v>
      </c>
    </row>
    <row r="2734" spans="1:22" x14ac:dyDescent="0.3">
      <c r="A2734">
        <v>186607</v>
      </c>
      <c r="B2734">
        <v>136328503</v>
      </c>
      <c r="C2734" t="s">
        <v>14019</v>
      </c>
      <c r="D2734" t="s">
        <v>14020</v>
      </c>
      <c r="E2734" t="s">
        <v>11426</v>
      </c>
      <c r="F2734" t="s">
        <v>844</v>
      </c>
      <c r="G2734" t="s">
        <v>164</v>
      </c>
      <c r="H2734" t="s">
        <v>165</v>
      </c>
      <c r="I2734" t="s">
        <v>34</v>
      </c>
      <c r="J2734" t="s">
        <v>166</v>
      </c>
      <c r="K2734" t="s">
        <v>41</v>
      </c>
      <c r="L2734" t="s">
        <v>14021</v>
      </c>
      <c r="M2734" t="s">
        <v>14022</v>
      </c>
      <c r="N2734" t="s">
        <v>11429</v>
      </c>
      <c r="O2734" t="s">
        <v>101</v>
      </c>
      <c r="P2734" t="s">
        <v>14023</v>
      </c>
      <c r="Q2734" t="s">
        <v>85</v>
      </c>
      <c r="R2734" t="s">
        <v>11485</v>
      </c>
      <c r="S2734">
        <v>0.5</v>
      </c>
      <c r="T2734">
        <v>3299</v>
      </c>
      <c r="U2734">
        <v>0</v>
      </c>
      <c r="V2734">
        <v>3299</v>
      </c>
    </row>
    <row r="2735" spans="1:22" x14ac:dyDescent="0.3">
      <c r="A2735">
        <v>186607</v>
      </c>
      <c r="B2735">
        <v>135711888</v>
      </c>
      <c r="C2735" t="s">
        <v>14024</v>
      </c>
      <c r="D2735" t="s">
        <v>14025</v>
      </c>
      <c r="E2735" t="s">
        <v>11426</v>
      </c>
      <c r="F2735" t="s">
        <v>844</v>
      </c>
      <c r="G2735" t="s">
        <v>164</v>
      </c>
      <c r="H2735" t="s">
        <v>165</v>
      </c>
      <c r="I2735" t="s">
        <v>34</v>
      </c>
      <c r="J2735" t="s">
        <v>166</v>
      </c>
      <c r="K2735" t="s">
        <v>41</v>
      </c>
      <c r="L2735" t="s">
        <v>14026</v>
      </c>
      <c r="M2735" t="s">
        <v>14027</v>
      </c>
      <c r="N2735" t="s">
        <v>11429</v>
      </c>
      <c r="O2735" t="s">
        <v>101</v>
      </c>
      <c r="P2735" t="s">
        <v>14028</v>
      </c>
      <c r="Q2735" t="s">
        <v>52</v>
      </c>
      <c r="R2735" t="s">
        <v>655</v>
      </c>
      <c r="S2735">
        <v>3.08</v>
      </c>
      <c r="T2735">
        <v>8008</v>
      </c>
      <c r="U2735">
        <v>0</v>
      </c>
      <c r="V2735">
        <v>8008</v>
      </c>
    </row>
    <row r="2736" spans="1:22" x14ac:dyDescent="0.3">
      <c r="A2736">
        <v>186607</v>
      </c>
      <c r="B2736">
        <v>135712157</v>
      </c>
      <c r="C2736" t="s">
        <v>14029</v>
      </c>
      <c r="D2736" t="s">
        <v>14030</v>
      </c>
      <c r="E2736" t="s">
        <v>11426</v>
      </c>
      <c r="F2736" t="s">
        <v>844</v>
      </c>
      <c r="G2736" t="s">
        <v>172</v>
      </c>
      <c r="H2736" t="s">
        <v>173</v>
      </c>
      <c r="I2736" t="s">
        <v>34</v>
      </c>
      <c r="J2736" t="s">
        <v>272</v>
      </c>
      <c r="K2736" t="s">
        <v>41</v>
      </c>
      <c r="L2736" t="s">
        <v>174</v>
      </c>
      <c r="M2736" t="s">
        <v>14031</v>
      </c>
      <c r="N2736" t="s">
        <v>11429</v>
      </c>
      <c r="O2736" t="s">
        <v>101</v>
      </c>
      <c r="P2736" t="s">
        <v>14032</v>
      </c>
      <c r="Q2736" t="s">
        <v>189</v>
      </c>
      <c r="R2736" t="s">
        <v>12992</v>
      </c>
      <c r="S2736">
        <v>2.73</v>
      </c>
      <c r="T2736">
        <v>4168</v>
      </c>
      <c r="U2736">
        <v>0</v>
      </c>
      <c r="V2736">
        <v>4168</v>
      </c>
    </row>
    <row r="2737" spans="1:22" x14ac:dyDescent="0.3">
      <c r="A2737">
        <v>186607</v>
      </c>
      <c r="B2737">
        <v>135790600</v>
      </c>
      <c r="C2737" t="s">
        <v>14033</v>
      </c>
      <c r="D2737" t="s">
        <v>14034</v>
      </c>
      <c r="E2737" t="s">
        <v>11426</v>
      </c>
      <c r="F2737" t="s">
        <v>844</v>
      </c>
      <c r="G2737" t="s">
        <v>164</v>
      </c>
      <c r="H2737" t="s">
        <v>165</v>
      </c>
      <c r="I2737" t="s">
        <v>34</v>
      </c>
      <c r="J2737" t="s">
        <v>166</v>
      </c>
      <c r="K2737" t="s">
        <v>41</v>
      </c>
      <c r="L2737" t="s">
        <v>14035</v>
      </c>
      <c r="M2737" t="s">
        <v>14036</v>
      </c>
      <c r="N2737" t="s">
        <v>11429</v>
      </c>
      <c r="O2737" t="s">
        <v>101</v>
      </c>
      <c r="P2737" t="s">
        <v>14037</v>
      </c>
      <c r="Q2737" t="s">
        <v>246</v>
      </c>
      <c r="R2737" t="s">
        <v>770</v>
      </c>
      <c r="S2737">
        <v>3.43</v>
      </c>
      <c r="T2737">
        <v>8008</v>
      </c>
      <c r="U2737">
        <v>0</v>
      </c>
      <c r="V2737">
        <v>8008</v>
      </c>
    </row>
    <row r="2738" spans="1:22" x14ac:dyDescent="0.3">
      <c r="A2738">
        <v>186607</v>
      </c>
      <c r="B2738">
        <v>136635783</v>
      </c>
      <c r="C2738" t="s">
        <v>14038</v>
      </c>
      <c r="D2738" t="s">
        <v>14039</v>
      </c>
      <c r="E2738" t="s">
        <v>11426</v>
      </c>
      <c r="F2738" t="s">
        <v>844</v>
      </c>
      <c r="G2738" t="s">
        <v>164</v>
      </c>
      <c r="H2738" t="s">
        <v>165</v>
      </c>
      <c r="I2738" t="s">
        <v>34</v>
      </c>
      <c r="J2738" t="s">
        <v>166</v>
      </c>
      <c r="K2738" t="s">
        <v>41</v>
      </c>
      <c r="L2738" t="s">
        <v>561</v>
      </c>
      <c r="M2738" t="s">
        <v>14040</v>
      </c>
      <c r="N2738" t="s">
        <v>11429</v>
      </c>
      <c r="O2738" t="s">
        <v>101</v>
      </c>
      <c r="P2738" t="s">
        <v>14041</v>
      </c>
      <c r="Q2738" t="s">
        <v>91</v>
      </c>
      <c r="R2738" t="s">
        <v>13042</v>
      </c>
      <c r="S2738">
        <v>0.5</v>
      </c>
      <c r="T2738">
        <v>3794</v>
      </c>
      <c r="U2738">
        <v>0</v>
      </c>
      <c r="V2738">
        <v>3794</v>
      </c>
    </row>
    <row r="2739" spans="1:22" x14ac:dyDescent="0.3">
      <c r="A2739">
        <v>186607</v>
      </c>
      <c r="B2739">
        <v>136542187</v>
      </c>
      <c r="C2739" t="s">
        <v>14042</v>
      </c>
      <c r="D2739" t="s">
        <v>14043</v>
      </c>
      <c r="E2739" t="s">
        <v>11426</v>
      </c>
      <c r="F2739" t="s">
        <v>844</v>
      </c>
      <c r="G2739" t="s">
        <v>164</v>
      </c>
      <c r="H2739" t="s">
        <v>165</v>
      </c>
      <c r="I2739" t="s">
        <v>34</v>
      </c>
      <c r="J2739" t="s">
        <v>166</v>
      </c>
      <c r="K2739" t="s">
        <v>41</v>
      </c>
      <c r="L2739" t="s">
        <v>186</v>
      </c>
      <c r="M2739" t="s">
        <v>14044</v>
      </c>
      <c r="N2739" t="s">
        <v>11429</v>
      </c>
      <c r="O2739" t="s">
        <v>101</v>
      </c>
      <c r="P2739" t="s">
        <v>14045</v>
      </c>
      <c r="Q2739" t="s">
        <v>68</v>
      </c>
      <c r="R2739" t="s">
        <v>13169</v>
      </c>
      <c r="S2739">
        <v>0.5</v>
      </c>
      <c r="T2739">
        <v>3680</v>
      </c>
      <c r="U2739">
        <v>0</v>
      </c>
      <c r="V2739">
        <v>3680</v>
      </c>
    </row>
    <row r="2740" spans="1:22" x14ac:dyDescent="0.3">
      <c r="A2740">
        <v>186607</v>
      </c>
      <c r="B2740">
        <v>136483392</v>
      </c>
      <c r="C2740" t="s">
        <v>14046</v>
      </c>
      <c r="D2740" t="s">
        <v>14047</v>
      </c>
      <c r="E2740" t="s">
        <v>11426</v>
      </c>
      <c r="F2740" t="s">
        <v>844</v>
      </c>
      <c r="G2740" t="s">
        <v>164</v>
      </c>
      <c r="H2740" t="s">
        <v>165</v>
      </c>
      <c r="I2740" t="s">
        <v>34</v>
      </c>
      <c r="J2740" t="s">
        <v>166</v>
      </c>
      <c r="K2740" t="s">
        <v>41</v>
      </c>
      <c r="L2740" t="s">
        <v>14048</v>
      </c>
      <c r="M2740" t="s">
        <v>14049</v>
      </c>
      <c r="N2740" t="s">
        <v>11429</v>
      </c>
      <c r="O2740" t="s">
        <v>101</v>
      </c>
      <c r="P2740" t="s">
        <v>14050</v>
      </c>
      <c r="Q2740" t="s">
        <v>94</v>
      </c>
      <c r="R2740" t="s">
        <v>12967</v>
      </c>
      <c r="S2740">
        <v>1</v>
      </c>
      <c r="T2740">
        <v>3366</v>
      </c>
      <c r="U2740">
        <v>0</v>
      </c>
      <c r="V2740">
        <v>3366</v>
      </c>
    </row>
    <row r="2741" spans="1:22" x14ac:dyDescent="0.3">
      <c r="A2741">
        <v>186607</v>
      </c>
      <c r="B2741">
        <v>136508758</v>
      </c>
      <c r="C2741" t="s">
        <v>14051</v>
      </c>
      <c r="D2741" t="s">
        <v>14052</v>
      </c>
      <c r="E2741" t="s">
        <v>11426</v>
      </c>
      <c r="F2741" t="s">
        <v>844</v>
      </c>
      <c r="G2741" t="s">
        <v>164</v>
      </c>
      <c r="H2741" t="s">
        <v>165</v>
      </c>
      <c r="I2741" t="s">
        <v>34</v>
      </c>
      <c r="J2741" t="s">
        <v>166</v>
      </c>
      <c r="K2741" t="s">
        <v>41</v>
      </c>
      <c r="L2741" t="s">
        <v>14053</v>
      </c>
      <c r="M2741" t="s">
        <v>14054</v>
      </c>
      <c r="N2741" t="s">
        <v>11429</v>
      </c>
      <c r="O2741" t="s">
        <v>101</v>
      </c>
      <c r="P2741" t="s">
        <v>14055</v>
      </c>
      <c r="Q2741" t="s">
        <v>97</v>
      </c>
      <c r="R2741" t="s">
        <v>12560</v>
      </c>
      <c r="S2741">
        <v>1</v>
      </c>
      <c r="T2741">
        <v>3366</v>
      </c>
      <c r="U2741">
        <v>0</v>
      </c>
      <c r="V2741">
        <v>3366</v>
      </c>
    </row>
    <row r="2742" spans="1:22" x14ac:dyDescent="0.3">
      <c r="A2742">
        <v>186607</v>
      </c>
      <c r="B2742">
        <v>136107702</v>
      </c>
      <c r="C2742" t="s">
        <v>14056</v>
      </c>
      <c r="D2742" t="s">
        <v>14057</v>
      </c>
      <c r="E2742" t="s">
        <v>11426</v>
      </c>
      <c r="F2742" t="s">
        <v>844</v>
      </c>
      <c r="G2742" t="s">
        <v>164</v>
      </c>
      <c r="H2742" t="s">
        <v>165</v>
      </c>
      <c r="I2742" t="s">
        <v>34</v>
      </c>
      <c r="J2742" t="s">
        <v>166</v>
      </c>
      <c r="K2742" t="s">
        <v>41</v>
      </c>
      <c r="L2742" t="s">
        <v>14058</v>
      </c>
      <c r="M2742" t="s">
        <v>14059</v>
      </c>
      <c r="N2742" t="s">
        <v>11429</v>
      </c>
      <c r="O2742" t="s">
        <v>101</v>
      </c>
      <c r="P2742" t="s">
        <v>14060</v>
      </c>
      <c r="Q2742" t="s">
        <v>72</v>
      </c>
      <c r="R2742" t="s">
        <v>369</v>
      </c>
      <c r="S2742">
        <v>0.5</v>
      </c>
      <c r="T2742">
        <v>3449</v>
      </c>
      <c r="U2742">
        <v>0</v>
      </c>
      <c r="V2742">
        <v>3449</v>
      </c>
    </row>
    <row r="2743" spans="1:22" x14ac:dyDescent="0.3">
      <c r="A2743">
        <v>186607</v>
      </c>
      <c r="B2743">
        <v>136027709</v>
      </c>
      <c r="C2743" t="s">
        <v>14061</v>
      </c>
      <c r="D2743" t="s">
        <v>14062</v>
      </c>
      <c r="E2743" t="s">
        <v>11426</v>
      </c>
      <c r="F2743" t="s">
        <v>844</v>
      </c>
      <c r="G2743" t="s">
        <v>164</v>
      </c>
      <c r="H2743" t="s">
        <v>165</v>
      </c>
      <c r="I2743" t="s">
        <v>34</v>
      </c>
      <c r="J2743" t="s">
        <v>166</v>
      </c>
      <c r="K2743" t="s">
        <v>41</v>
      </c>
      <c r="L2743" t="s">
        <v>14063</v>
      </c>
      <c r="M2743" t="s">
        <v>14064</v>
      </c>
      <c r="N2743" t="s">
        <v>11429</v>
      </c>
      <c r="O2743" t="s">
        <v>101</v>
      </c>
      <c r="P2743" t="s">
        <v>14065</v>
      </c>
      <c r="Q2743" t="s">
        <v>60</v>
      </c>
      <c r="R2743" t="s">
        <v>489</v>
      </c>
      <c r="S2743">
        <v>1</v>
      </c>
      <c r="T2743">
        <v>4346</v>
      </c>
      <c r="U2743">
        <v>0</v>
      </c>
      <c r="V2743">
        <v>4346</v>
      </c>
    </row>
    <row r="2744" spans="1:22" x14ac:dyDescent="0.3">
      <c r="A2744">
        <v>186607</v>
      </c>
      <c r="B2744">
        <v>136272332</v>
      </c>
      <c r="C2744" t="s">
        <v>14066</v>
      </c>
      <c r="D2744" t="s">
        <v>14067</v>
      </c>
      <c r="E2744" t="s">
        <v>11426</v>
      </c>
      <c r="F2744" t="s">
        <v>844</v>
      </c>
      <c r="G2744" t="s">
        <v>164</v>
      </c>
      <c r="H2744" t="s">
        <v>165</v>
      </c>
      <c r="I2744" t="s">
        <v>34</v>
      </c>
      <c r="J2744" t="s">
        <v>166</v>
      </c>
      <c r="K2744" t="s">
        <v>41</v>
      </c>
      <c r="L2744" t="s">
        <v>14068</v>
      </c>
      <c r="M2744" t="s">
        <v>14069</v>
      </c>
      <c r="N2744" t="s">
        <v>11429</v>
      </c>
      <c r="O2744" t="s">
        <v>101</v>
      </c>
      <c r="P2744" t="s">
        <v>14070</v>
      </c>
      <c r="Q2744" t="s">
        <v>63</v>
      </c>
      <c r="R2744" t="s">
        <v>12323</v>
      </c>
      <c r="S2744">
        <v>1</v>
      </c>
      <c r="T2744">
        <v>4067</v>
      </c>
      <c r="U2744">
        <v>0</v>
      </c>
      <c r="V2744">
        <v>4067</v>
      </c>
    </row>
    <row r="2745" spans="1:22" x14ac:dyDescent="0.3">
      <c r="A2745">
        <v>186607</v>
      </c>
      <c r="B2745">
        <v>136272312</v>
      </c>
      <c r="C2745" t="s">
        <v>14071</v>
      </c>
      <c r="D2745" t="s">
        <v>14072</v>
      </c>
      <c r="E2745" t="s">
        <v>11426</v>
      </c>
      <c r="F2745" t="s">
        <v>844</v>
      </c>
      <c r="G2745" t="s">
        <v>164</v>
      </c>
      <c r="H2745" t="s">
        <v>165</v>
      </c>
      <c r="I2745" t="s">
        <v>34</v>
      </c>
      <c r="J2745" t="s">
        <v>166</v>
      </c>
      <c r="K2745" t="s">
        <v>41</v>
      </c>
      <c r="L2745" t="s">
        <v>14073</v>
      </c>
      <c r="M2745" t="s">
        <v>14074</v>
      </c>
      <c r="N2745" t="s">
        <v>11429</v>
      </c>
      <c r="O2745" t="s">
        <v>101</v>
      </c>
      <c r="P2745" t="s">
        <v>14075</v>
      </c>
      <c r="Q2745" t="s">
        <v>206</v>
      </c>
      <c r="R2745" t="s">
        <v>12323</v>
      </c>
      <c r="S2745">
        <v>0.5</v>
      </c>
      <c r="T2745">
        <v>3680</v>
      </c>
      <c r="U2745">
        <v>0</v>
      </c>
      <c r="V2745">
        <v>3680</v>
      </c>
    </row>
    <row r="2746" spans="1:22" x14ac:dyDescent="0.3">
      <c r="A2746">
        <v>186607</v>
      </c>
      <c r="B2746">
        <v>136272362</v>
      </c>
      <c r="C2746" t="s">
        <v>14076</v>
      </c>
      <c r="D2746" t="s">
        <v>14077</v>
      </c>
      <c r="E2746" t="s">
        <v>11426</v>
      </c>
      <c r="F2746" t="s">
        <v>844</v>
      </c>
      <c r="G2746" t="s">
        <v>164</v>
      </c>
      <c r="H2746" t="s">
        <v>165</v>
      </c>
      <c r="I2746" t="s">
        <v>34</v>
      </c>
      <c r="J2746" t="s">
        <v>166</v>
      </c>
      <c r="K2746" t="s">
        <v>41</v>
      </c>
      <c r="L2746" t="s">
        <v>14078</v>
      </c>
      <c r="M2746" t="s">
        <v>14079</v>
      </c>
      <c r="N2746" t="s">
        <v>11429</v>
      </c>
      <c r="O2746" t="s">
        <v>101</v>
      </c>
      <c r="P2746" t="s">
        <v>14080</v>
      </c>
      <c r="Q2746" t="s">
        <v>94</v>
      </c>
      <c r="R2746" t="s">
        <v>12323</v>
      </c>
      <c r="S2746">
        <v>0.5</v>
      </c>
      <c r="T2746">
        <v>3299</v>
      </c>
      <c r="U2746">
        <v>0</v>
      </c>
      <c r="V2746">
        <v>3299</v>
      </c>
    </row>
    <row r="2747" spans="1:22" x14ac:dyDescent="0.3">
      <c r="A2747">
        <v>186607</v>
      </c>
      <c r="B2747">
        <v>136328455</v>
      </c>
      <c r="C2747" t="s">
        <v>14081</v>
      </c>
      <c r="D2747" t="s">
        <v>14082</v>
      </c>
      <c r="E2747" t="s">
        <v>11426</v>
      </c>
      <c r="F2747" t="s">
        <v>844</v>
      </c>
      <c r="G2747" t="s">
        <v>164</v>
      </c>
      <c r="H2747" t="s">
        <v>165</v>
      </c>
      <c r="I2747" t="s">
        <v>34</v>
      </c>
      <c r="J2747" t="s">
        <v>166</v>
      </c>
      <c r="K2747" t="s">
        <v>41</v>
      </c>
      <c r="L2747" t="s">
        <v>14083</v>
      </c>
      <c r="M2747" t="s">
        <v>14084</v>
      </c>
      <c r="N2747" t="s">
        <v>11429</v>
      </c>
      <c r="O2747" t="s">
        <v>101</v>
      </c>
      <c r="P2747" t="s">
        <v>14085</v>
      </c>
      <c r="Q2747" t="s">
        <v>628</v>
      </c>
      <c r="R2747" t="s">
        <v>14086</v>
      </c>
      <c r="S2747">
        <v>1</v>
      </c>
      <c r="T2747">
        <v>5131</v>
      </c>
      <c r="U2747">
        <v>0</v>
      </c>
      <c r="V2747">
        <v>5131</v>
      </c>
    </row>
    <row r="2748" spans="1:22" x14ac:dyDescent="0.3">
      <c r="A2748">
        <v>186607</v>
      </c>
      <c r="B2748">
        <v>136272319</v>
      </c>
      <c r="C2748" t="s">
        <v>14087</v>
      </c>
      <c r="D2748" t="s">
        <v>14088</v>
      </c>
      <c r="E2748" t="s">
        <v>11426</v>
      </c>
      <c r="F2748" t="s">
        <v>844</v>
      </c>
      <c r="G2748" t="s">
        <v>164</v>
      </c>
      <c r="H2748" t="s">
        <v>165</v>
      </c>
      <c r="I2748" t="s">
        <v>34</v>
      </c>
      <c r="J2748" t="s">
        <v>166</v>
      </c>
      <c r="K2748" t="s">
        <v>41</v>
      </c>
      <c r="L2748" t="s">
        <v>14089</v>
      </c>
      <c r="M2748" t="s">
        <v>412</v>
      </c>
      <c r="N2748" t="s">
        <v>11429</v>
      </c>
      <c r="O2748" t="s">
        <v>101</v>
      </c>
      <c r="P2748" t="s">
        <v>14090</v>
      </c>
      <c r="Q2748" t="s">
        <v>60</v>
      </c>
      <c r="R2748" t="s">
        <v>12323</v>
      </c>
      <c r="S2748">
        <v>0.5</v>
      </c>
      <c r="T2748">
        <v>3680</v>
      </c>
      <c r="U2748">
        <v>0</v>
      </c>
      <c r="V2748">
        <v>3680</v>
      </c>
    </row>
    <row r="2749" spans="1:22" x14ac:dyDescent="0.3">
      <c r="A2749">
        <v>186607</v>
      </c>
      <c r="B2749">
        <v>136272338</v>
      </c>
      <c r="C2749" t="s">
        <v>14091</v>
      </c>
      <c r="D2749" t="s">
        <v>14092</v>
      </c>
      <c r="E2749" t="s">
        <v>11426</v>
      </c>
      <c r="F2749" t="s">
        <v>844</v>
      </c>
      <c r="G2749" t="s">
        <v>164</v>
      </c>
      <c r="H2749" t="s">
        <v>165</v>
      </c>
      <c r="I2749" t="s">
        <v>34</v>
      </c>
      <c r="J2749" t="s">
        <v>166</v>
      </c>
      <c r="K2749" t="s">
        <v>41</v>
      </c>
      <c r="L2749" t="s">
        <v>14093</v>
      </c>
      <c r="M2749" t="s">
        <v>150</v>
      </c>
      <c r="N2749" t="s">
        <v>11429</v>
      </c>
      <c r="O2749" t="s">
        <v>101</v>
      </c>
      <c r="P2749" t="s">
        <v>14094</v>
      </c>
      <c r="Q2749" t="s">
        <v>72</v>
      </c>
      <c r="R2749" t="s">
        <v>12323</v>
      </c>
      <c r="S2749">
        <v>0.5</v>
      </c>
      <c r="T2749">
        <v>3449</v>
      </c>
      <c r="U2749">
        <v>0</v>
      </c>
      <c r="V2749">
        <v>3449</v>
      </c>
    </row>
    <row r="2750" spans="1:22" x14ac:dyDescent="0.3">
      <c r="A2750">
        <v>186607</v>
      </c>
      <c r="B2750">
        <v>135983188</v>
      </c>
      <c r="C2750" t="s">
        <v>14095</v>
      </c>
      <c r="D2750" t="s">
        <v>14096</v>
      </c>
      <c r="E2750" t="s">
        <v>11426</v>
      </c>
      <c r="F2750" t="s">
        <v>844</v>
      </c>
      <c r="G2750" t="s">
        <v>164</v>
      </c>
      <c r="H2750" t="s">
        <v>165</v>
      </c>
      <c r="I2750" t="s">
        <v>34</v>
      </c>
      <c r="J2750" t="s">
        <v>166</v>
      </c>
      <c r="K2750" t="s">
        <v>41</v>
      </c>
      <c r="L2750" t="s">
        <v>14097</v>
      </c>
      <c r="M2750" t="s">
        <v>14098</v>
      </c>
      <c r="N2750" t="s">
        <v>11429</v>
      </c>
      <c r="O2750" t="s">
        <v>101</v>
      </c>
      <c r="P2750" t="s">
        <v>14099</v>
      </c>
      <c r="Q2750" t="s">
        <v>58</v>
      </c>
      <c r="R2750" t="s">
        <v>344</v>
      </c>
      <c r="S2750">
        <v>1</v>
      </c>
      <c r="T2750">
        <v>5759</v>
      </c>
      <c r="U2750">
        <v>0</v>
      </c>
      <c r="V2750">
        <v>5759</v>
      </c>
    </row>
    <row r="2751" spans="1:22" x14ac:dyDescent="0.3">
      <c r="A2751">
        <v>186607</v>
      </c>
      <c r="B2751">
        <v>136107718</v>
      </c>
      <c r="C2751" t="s">
        <v>14100</v>
      </c>
      <c r="D2751" t="s">
        <v>14101</v>
      </c>
      <c r="E2751" t="s">
        <v>11426</v>
      </c>
      <c r="F2751" t="s">
        <v>844</v>
      </c>
      <c r="G2751" t="s">
        <v>164</v>
      </c>
      <c r="H2751" t="s">
        <v>165</v>
      </c>
      <c r="I2751" t="s">
        <v>34</v>
      </c>
      <c r="J2751" t="s">
        <v>166</v>
      </c>
      <c r="K2751" t="s">
        <v>41</v>
      </c>
      <c r="L2751" t="s">
        <v>14102</v>
      </c>
      <c r="M2751" t="s">
        <v>14103</v>
      </c>
      <c r="N2751" t="s">
        <v>11429</v>
      </c>
      <c r="O2751" t="s">
        <v>101</v>
      </c>
      <c r="P2751" t="s">
        <v>14104</v>
      </c>
      <c r="Q2751" t="s">
        <v>43</v>
      </c>
      <c r="R2751" t="s">
        <v>369</v>
      </c>
      <c r="S2751">
        <v>1</v>
      </c>
      <c r="T2751">
        <v>3753</v>
      </c>
      <c r="U2751">
        <v>0</v>
      </c>
      <c r="V2751">
        <v>3753</v>
      </c>
    </row>
    <row r="2752" spans="1:22" x14ac:dyDescent="0.3">
      <c r="A2752">
        <v>186607</v>
      </c>
      <c r="B2752">
        <v>135790622</v>
      </c>
      <c r="C2752" t="s">
        <v>14105</v>
      </c>
      <c r="D2752" t="s">
        <v>14106</v>
      </c>
      <c r="E2752" t="s">
        <v>11426</v>
      </c>
      <c r="F2752" t="s">
        <v>844</v>
      </c>
      <c r="G2752" t="s">
        <v>164</v>
      </c>
      <c r="H2752" t="s">
        <v>165</v>
      </c>
      <c r="I2752" t="s">
        <v>34</v>
      </c>
      <c r="J2752" t="s">
        <v>166</v>
      </c>
      <c r="K2752" t="s">
        <v>41</v>
      </c>
      <c r="L2752" t="s">
        <v>408</v>
      </c>
      <c r="M2752" t="s">
        <v>14107</v>
      </c>
      <c r="N2752" t="s">
        <v>11429</v>
      </c>
      <c r="O2752" t="s">
        <v>101</v>
      </c>
      <c r="P2752" t="s">
        <v>14108</v>
      </c>
      <c r="Q2752" t="s">
        <v>68</v>
      </c>
      <c r="R2752" t="s">
        <v>770</v>
      </c>
      <c r="S2752">
        <v>4.22</v>
      </c>
      <c r="T2752">
        <v>4456</v>
      </c>
      <c r="U2752">
        <v>0</v>
      </c>
      <c r="V2752">
        <v>4456</v>
      </c>
    </row>
    <row r="2753" spans="1:22" x14ac:dyDescent="0.3">
      <c r="A2753">
        <v>186607</v>
      </c>
      <c r="B2753">
        <v>136198225</v>
      </c>
      <c r="C2753" t="s">
        <v>14109</v>
      </c>
      <c r="D2753" t="s">
        <v>14110</v>
      </c>
      <c r="E2753" t="s">
        <v>11426</v>
      </c>
      <c r="F2753" t="s">
        <v>844</v>
      </c>
      <c r="G2753" t="s">
        <v>164</v>
      </c>
      <c r="H2753" t="s">
        <v>165</v>
      </c>
      <c r="I2753" t="s">
        <v>34</v>
      </c>
      <c r="J2753" t="s">
        <v>166</v>
      </c>
      <c r="K2753" t="s">
        <v>41</v>
      </c>
      <c r="L2753" t="s">
        <v>14111</v>
      </c>
      <c r="M2753" t="s">
        <v>14112</v>
      </c>
      <c r="N2753" t="s">
        <v>11429</v>
      </c>
      <c r="O2753" t="s">
        <v>101</v>
      </c>
      <c r="P2753" t="s">
        <v>14113</v>
      </c>
      <c r="Q2753" t="s">
        <v>71</v>
      </c>
      <c r="R2753" t="s">
        <v>339</v>
      </c>
      <c r="S2753">
        <v>1.5</v>
      </c>
      <c r="T2753">
        <v>3501</v>
      </c>
      <c r="U2753">
        <v>0</v>
      </c>
      <c r="V2753">
        <v>3501</v>
      </c>
    </row>
    <row r="2754" spans="1:22" x14ac:dyDescent="0.3">
      <c r="A2754">
        <v>186607</v>
      </c>
      <c r="B2754">
        <v>136272265</v>
      </c>
      <c r="C2754" t="s">
        <v>14114</v>
      </c>
      <c r="D2754" t="s">
        <v>14115</v>
      </c>
      <c r="E2754" t="s">
        <v>11426</v>
      </c>
      <c r="F2754" t="s">
        <v>844</v>
      </c>
      <c r="G2754" t="s">
        <v>164</v>
      </c>
      <c r="H2754" t="s">
        <v>165</v>
      </c>
      <c r="I2754" t="s">
        <v>34</v>
      </c>
      <c r="J2754" t="s">
        <v>166</v>
      </c>
      <c r="K2754" t="s">
        <v>41</v>
      </c>
      <c r="L2754" t="s">
        <v>14116</v>
      </c>
      <c r="M2754" t="s">
        <v>14117</v>
      </c>
      <c r="N2754" t="s">
        <v>11429</v>
      </c>
      <c r="O2754" t="s">
        <v>101</v>
      </c>
      <c r="P2754" t="s">
        <v>14118</v>
      </c>
      <c r="Q2754" t="s">
        <v>58</v>
      </c>
      <c r="R2754" t="s">
        <v>12323</v>
      </c>
      <c r="S2754">
        <v>1</v>
      </c>
      <c r="T2754">
        <v>5759</v>
      </c>
      <c r="U2754">
        <v>0</v>
      </c>
      <c r="V2754">
        <v>5759</v>
      </c>
    </row>
    <row r="2755" spans="1:22" x14ac:dyDescent="0.3">
      <c r="A2755">
        <v>186607</v>
      </c>
      <c r="B2755">
        <v>136328457</v>
      </c>
      <c r="C2755" t="s">
        <v>14119</v>
      </c>
      <c r="D2755" t="s">
        <v>14120</v>
      </c>
      <c r="E2755" t="s">
        <v>11426</v>
      </c>
      <c r="F2755" t="s">
        <v>844</v>
      </c>
      <c r="G2755" t="s">
        <v>164</v>
      </c>
      <c r="H2755" t="s">
        <v>165</v>
      </c>
      <c r="I2755" t="s">
        <v>34</v>
      </c>
      <c r="J2755" t="s">
        <v>166</v>
      </c>
      <c r="K2755" t="s">
        <v>41</v>
      </c>
      <c r="L2755" t="s">
        <v>14121</v>
      </c>
      <c r="M2755" t="s">
        <v>733</v>
      </c>
      <c r="N2755" t="s">
        <v>11429</v>
      </c>
      <c r="O2755" t="s">
        <v>101</v>
      </c>
      <c r="P2755" t="s">
        <v>14122</v>
      </c>
      <c r="Q2755" t="s">
        <v>61</v>
      </c>
      <c r="R2755" t="s">
        <v>14086</v>
      </c>
      <c r="S2755">
        <v>1</v>
      </c>
      <c r="T2755">
        <v>4067</v>
      </c>
      <c r="U2755">
        <v>0</v>
      </c>
      <c r="V2755">
        <v>4067</v>
      </c>
    </row>
    <row r="2756" spans="1:22" x14ac:dyDescent="0.3">
      <c r="A2756">
        <v>186607</v>
      </c>
      <c r="B2756">
        <v>136272339</v>
      </c>
      <c r="C2756" t="s">
        <v>14123</v>
      </c>
      <c r="D2756" t="s">
        <v>14124</v>
      </c>
      <c r="E2756" t="s">
        <v>11426</v>
      </c>
      <c r="F2756" t="s">
        <v>844</v>
      </c>
      <c r="G2756" t="s">
        <v>164</v>
      </c>
      <c r="H2756" t="s">
        <v>165</v>
      </c>
      <c r="I2756" t="s">
        <v>34</v>
      </c>
      <c r="J2756" t="s">
        <v>166</v>
      </c>
      <c r="K2756" t="s">
        <v>41</v>
      </c>
      <c r="L2756" t="s">
        <v>11959</v>
      </c>
      <c r="M2756" t="s">
        <v>11960</v>
      </c>
      <c r="N2756" t="s">
        <v>11429</v>
      </c>
      <c r="O2756" t="s">
        <v>101</v>
      </c>
      <c r="P2756" t="s">
        <v>11961</v>
      </c>
      <c r="Q2756" t="s">
        <v>49</v>
      </c>
      <c r="R2756" t="s">
        <v>12323</v>
      </c>
      <c r="S2756">
        <v>0.5</v>
      </c>
      <c r="T2756">
        <v>3449</v>
      </c>
      <c r="U2756">
        <v>0</v>
      </c>
      <c r="V2756">
        <v>3449</v>
      </c>
    </row>
    <row r="2757" spans="1:22" x14ac:dyDescent="0.3">
      <c r="A2757">
        <v>186607</v>
      </c>
      <c r="B2757">
        <v>136328474</v>
      </c>
      <c r="C2757" t="s">
        <v>14125</v>
      </c>
      <c r="D2757" t="s">
        <v>14126</v>
      </c>
      <c r="E2757" t="s">
        <v>11426</v>
      </c>
      <c r="F2757" t="s">
        <v>844</v>
      </c>
      <c r="G2757" t="s">
        <v>164</v>
      </c>
      <c r="H2757" t="s">
        <v>165</v>
      </c>
      <c r="I2757" t="s">
        <v>34</v>
      </c>
      <c r="J2757" t="s">
        <v>166</v>
      </c>
      <c r="K2757" t="s">
        <v>41</v>
      </c>
      <c r="L2757" t="s">
        <v>14127</v>
      </c>
      <c r="M2757" t="s">
        <v>14128</v>
      </c>
      <c r="N2757" t="s">
        <v>11429</v>
      </c>
      <c r="O2757" t="s">
        <v>101</v>
      </c>
      <c r="P2757" t="s">
        <v>14129</v>
      </c>
      <c r="Q2757" t="s">
        <v>58</v>
      </c>
      <c r="R2757" t="s">
        <v>14086</v>
      </c>
      <c r="S2757">
        <v>0.5</v>
      </c>
      <c r="T2757">
        <v>4067</v>
      </c>
      <c r="U2757">
        <v>0</v>
      </c>
      <c r="V2757">
        <v>4067</v>
      </c>
    </row>
    <row r="2758" spans="1:22" x14ac:dyDescent="0.3">
      <c r="A2758">
        <v>186607</v>
      </c>
      <c r="B2758">
        <v>136107712</v>
      </c>
      <c r="C2758" t="s">
        <v>14130</v>
      </c>
      <c r="D2758" t="s">
        <v>14131</v>
      </c>
      <c r="E2758" t="s">
        <v>11426</v>
      </c>
      <c r="F2758" t="s">
        <v>844</v>
      </c>
      <c r="G2758" t="s">
        <v>164</v>
      </c>
      <c r="H2758" t="s">
        <v>165</v>
      </c>
      <c r="I2758" t="s">
        <v>34</v>
      </c>
      <c r="J2758" t="s">
        <v>166</v>
      </c>
      <c r="K2758" t="s">
        <v>41</v>
      </c>
      <c r="L2758" t="s">
        <v>14132</v>
      </c>
      <c r="M2758" t="s">
        <v>298</v>
      </c>
      <c r="N2758" t="s">
        <v>11429</v>
      </c>
      <c r="O2758" t="s">
        <v>101</v>
      </c>
      <c r="P2758" t="s">
        <v>14133</v>
      </c>
      <c r="Q2758" t="s">
        <v>97</v>
      </c>
      <c r="R2758" t="s">
        <v>369</v>
      </c>
      <c r="S2758">
        <v>1</v>
      </c>
      <c r="T2758">
        <v>3366</v>
      </c>
      <c r="U2758">
        <v>0</v>
      </c>
      <c r="V2758">
        <v>3366</v>
      </c>
    </row>
    <row r="2759" spans="1:22" x14ac:dyDescent="0.3">
      <c r="A2759">
        <v>186607</v>
      </c>
      <c r="B2759">
        <v>135905396</v>
      </c>
      <c r="C2759" t="s">
        <v>14134</v>
      </c>
      <c r="D2759" t="s">
        <v>14135</v>
      </c>
      <c r="E2759" t="s">
        <v>11426</v>
      </c>
      <c r="F2759" t="s">
        <v>844</v>
      </c>
      <c r="G2759" t="s">
        <v>164</v>
      </c>
      <c r="H2759" t="s">
        <v>165</v>
      </c>
      <c r="I2759" t="s">
        <v>34</v>
      </c>
      <c r="J2759" t="s">
        <v>166</v>
      </c>
      <c r="K2759" t="s">
        <v>41</v>
      </c>
      <c r="L2759" t="s">
        <v>14136</v>
      </c>
      <c r="M2759" t="s">
        <v>14137</v>
      </c>
      <c r="N2759" t="s">
        <v>11429</v>
      </c>
      <c r="O2759" t="s">
        <v>101</v>
      </c>
      <c r="P2759" t="s">
        <v>14138</v>
      </c>
      <c r="Q2759" t="s">
        <v>57</v>
      </c>
      <c r="R2759" t="s">
        <v>498</v>
      </c>
      <c r="S2759">
        <v>0.5</v>
      </c>
      <c r="T2759">
        <v>4067</v>
      </c>
      <c r="U2759">
        <v>0</v>
      </c>
      <c r="V2759">
        <v>4067</v>
      </c>
    </row>
    <row r="2760" spans="1:22" x14ac:dyDescent="0.3">
      <c r="A2760">
        <v>186607</v>
      </c>
      <c r="B2760">
        <v>136328458</v>
      </c>
      <c r="C2760" t="s">
        <v>14139</v>
      </c>
      <c r="D2760" t="s">
        <v>14140</v>
      </c>
      <c r="E2760" t="s">
        <v>11426</v>
      </c>
      <c r="F2760" t="s">
        <v>844</v>
      </c>
      <c r="G2760" t="s">
        <v>164</v>
      </c>
      <c r="H2760" t="s">
        <v>165</v>
      </c>
      <c r="I2760" t="s">
        <v>34</v>
      </c>
      <c r="J2760" t="s">
        <v>166</v>
      </c>
      <c r="K2760" t="s">
        <v>41</v>
      </c>
      <c r="L2760" t="s">
        <v>14141</v>
      </c>
      <c r="M2760" t="s">
        <v>14142</v>
      </c>
      <c r="N2760" t="s">
        <v>11429</v>
      </c>
      <c r="O2760" t="s">
        <v>101</v>
      </c>
      <c r="P2760" t="s">
        <v>14143</v>
      </c>
      <c r="Q2760" t="s">
        <v>90</v>
      </c>
      <c r="R2760" t="s">
        <v>14086</v>
      </c>
      <c r="S2760">
        <v>1</v>
      </c>
      <c r="T2760">
        <v>3870</v>
      </c>
      <c r="U2760">
        <v>0</v>
      </c>
      <c r="V2760">
        <v>3870</v>
      </c>
    </row>
    <row r="2761" spans="1:22" x14ac:dyDescent="0.3">
      <c r="A2761">
        <v>186607</v>
      </c>
      <c r="B2761">
        <v>135905428</v>
      </c>
      <c r="C2761" t="s">
        <v>14144</v>
      </c>
      <c r="D2761" t="s">
        <v>14145</v>
      </c>
      <c r="E2761" t="s">
        <v>11426</v>
      </c>
      <c r="F2761" t="s">
        <v>844</v>
      </c>
      <c r="G2761" t="s">
        <v>164</v>
      </c>
      <c r="H2761" t="s">
        <v>165</v>
      </c>
      <c r="I2761" t="s">
        <v>34</v>
      </c>
      <c r="J2761" t="s">
        <v>166</v>
      </c>
      <c r="K2761" t="s">
        <v>41</v>
      </c>
      <c r="L2761" t="s">
        <v>14146</v>
      </c>
      <c r="M2761" t="s">
        <v>14147</v>
      </c>
      <c r="N2761" t="s">
        <v>11429</v>
      </c>
      <c r="O2761" t="s">
        <v>101</v>
      </c>
      <c r="P2761" t="s">
        <v>14148</v>
      </c>
      <c r="Q2761" t="s">
        <v>246</v>
      </c>
      <c r="R2761" t="s">
        <v>498</v>
      </c>
      <c r="S2761">
        <v>0.5</v>
      </c>
      <c r="T2761">
        <v>5367</v>
      </c>
      <c r="U2761">
        <v>0</v>
      </c>
      <c r="V2761">
        <v>5367</v>
      </c>
    </row>
    <row r="2762" spans="1:22" x14ac:dyDescent="0.3">
      <c r="A2762">
        <v>186607</v>
      </c>
      <c r="B2762">
        <v>136272310</v>
      </c>
      <c r="C2762" t="s">
        <v>14149</v>
      </c>
      <c r="D2762" t="s">
        <v>14150</v>
      </c>
      <c r="E2762" t="s">
        <v>11426</v>
      </c>
      <c r="F2762" t="s">
        <v>844</v>
      </c>
      <c r="G2762" t="s">
        <v>164</v>
      </c>
      <c r="H2762" t="s">
        <v>165</v>
      </c>
      <c r="I2762" t="s">
        <v>34</v>
      </c>
      <c r="J2762" t="s">
        <v>166</v>
      </c>
      <c r="K2762" t="s">
        <v>41</v>
      </c>
      <c r="L2762" t="s">
        <v>14151</v>
      </c>
      <c r="M2762" t="s">
        <v>14152</v>
      </c>
      <c r="N2762" t="s">
        <v>11429</v>
      </c>
      <c r="O2762" t="s">
        <v>101</v>
      </c>
      <c r="P2762" t="s">
        <v>14153</v>
      </c>
      <c r="Q2762" t="s">
        <v>43</v>
      </c>
      <c r="R2762" t="s">
        <v>12323</v>
      </c>
      <c r="S2762">
        <v>1</v>
      </c>
      <c r="T2762">
        <v>3753</v>
      </c>
      <c r="U2762">
        <v>0</v>
      </c>
      <c r="V2762">
        <v>3753</v>
      </c>
    </row>
    <row r="2763" spans="1:22" x14ac:dyDescent="0.3">
      <c r="A2763">
        <v>186607</v>
      </c>
      <c r="B2763">
        <v>136272308</v>
      </c>
      <c r="C2763" t="s">
        <v>14154</v>
      </c>
      <c r="D2763" t="s">
        <v>14155</v>
      </c>
      <c r="E2763" t="s">
        <v>11426</v>
      </c>
      <c r="F2763" t="s">
        <v>844</v>
      </c>
      <c r="G2763" t="s">
        <v>164</v>
      </c>
      <c r="H2763" t="s">
        <v>165</v>
      </c>
      <c r="I2763" t="s">
        <v>34</v>
      </c>
      <c r="J2763" t="s">
        <v>166</v>
      </c>
      <c r="K2763" t="s">
        <v>41</v>
      </c>
      <c r="L2763" t="s">
        <v>14156</v>
      </c>
      <c r="M2763" t="s">
        <v>14157</v>
      </c>
      <c r="N2763" t="s">
        <v>11429</v>
      </c>
      <c r="O2763" t="s">
        <v>101</v>
      </c>
      <c r="P2763" t="s">
        <v>14158</v>
      </c>
      <c r="Q2763" t="s">
        <v>91</v>
      </c>
      <c r="R2763" t="s">
        <v>12323</v>
      </c>
      <c r="S2763">
        <v>1.5</v>
      </c>
      <c r="T2763">
        <v>3870</v>
      </c>
      <c r="U2763">
        <v>0</v>
      </c>
      <c r="V2763">
        <v>3870</v>
      </c>
    </row>
    <row r="2764" spans="1:22" x14ac:dyDescent="0.3">
      <c r="A2764">
        <v>186607</v>
      </c>
      <c r="B2764">
        <v>135848997</v>
      </c>
      <c r="C2764" t="s">
        <v>14159</v>
      </c>
      <c r="D2764" t="s">
        <v>14160</v>
      </c>
      <c r="E2764" t="s">
        <v>11426</v>
      </c>
      <c r="F2764" t="s">
        <v>844</v>
      </c>
      <c r="G2764" t="s">
        <v>164</v>
      </c>
      <c r="H2764" t="s">
        <v>165</v>
      </c>
      <c r="I2764" t="s">
        <v>34</v>
      </c>
      <c r="J2764" t="s">
        <v>166</v>
      </c>
      <c r="K2764" t="s">
        <v>41</v>
      </c>
      <c r="L2764" t="s">
        <v>14161</v>
      </c>
      <c r="M2764" t="s">
        <v>14162</v>
      </c>
      <c r="N2764" t="s">
        <v>11429</v>
      </c>
      <c r="O2764" t="s">
        <v>101</v>
      </c>
      <c r="P2764" t="s">
        <v>14163</v>
      </c>
      <c r="Q2764" t="s">
        <v>65</v>
      </c>
      <c r="R2764" t="s">
        <v>501</v>
      </c>
      <c r="S2764">
        <v>1</v>
      </c>
      <c r="T2764">
        <v>4067</v>
      </c>
      <c r="U2764">
        <v>0</v>
      </c>
      <c r="V2764">
        <v>4067</v>
      </c>
    </row>
    <row r="2765" spans="1:22" x14ac:dyDescent="0.3">
      <c r="A2765">
        <v>186607</v>
      </c>
      <c r="B2765">
        <v>136107551</v>
      </c>
      <c r="C2765" t="s">
        <v>14164</v>
      </c>
      <c r="D2765" t="s">
        <v>14165</v>
      </c>
      <c r="E2765" t="s">
        <v>11426</v>
      </c>
      <c r="F2765" t="s">
        <v>844</v>
      </c>
      <c r="G2765" t="s">
        <v>164</v>
      </c>
      <c r="H2765" t="s">
        <v>165</v>
      </c>
      <c r="I2765" t="s">
        <v>34</v>
      </c>
      <c r="J2765" t="s">
        <v>166</v>
      </c>
      <c r="K2765" t="s">
        <v>41</v>
      </c>
      <c r="L2765" t="s">
        <v>14166</v>
      </c>
      <c r="M2765" t="s">
        <v>14167</v>
      </c>
      <c r="N2765" t="s">
        <v>11429</v>
      </c>
      <c r="O2765" t="s">
        <v>101</v>
      </c>
      <c r="P2765" t="s">
        <v>14168</v>
      </c>
      <c r="Q2765" t="s">
        <v>55</v>
      </c>
      <c r="R2765" t="s">
        <v>369</v>
      </c>
      <c r="S2765">
        <v>1</v>
      </c>
      <c r="T2765">
        <v>5198</v>
      </c>
      <c r="U2765">
        <v>0</v>
      </c>
      <c r="V2765">
        <v>5198</v>
      </c>
    </row>
    <row r="2766" spans="1:22" x14ac:dyDescent="0.3">
      <c r="A2766">
        <v>186607</v>
      </c>
      <c r="B2766">
        <v>136440711</v>
      </c>
      <c r="C2766" t="s">
        <v>14169</v>
      </c>
      <c r="D2766" t="s">
        <v>14170</v>
      </c>
      <c r="E2766" t="s">
        <v>11426</v>
      </c>
      <c r="F2766" t="s">
        <v>844</v>
      </c>
      <c r="G2766" t="s">
        <v>164</v>
      </c>
      <c r="H2766" t="s">
        <v>165</v>
      </c>
      <c r="I2766" t="s">
        <v>34</v>
      </c>
      <c r="J2766" t="s">
        <v>166</v>
      </c>
      <c r="K2766" t="s">
        <v>41</v>
      </c>
      <c r="L2766" t="s">
        <v>14171</v>
      </c>
      <c r="M2766" t="s">
        <v>14172</v>
      </c>
      <c r="N2766" t="s">
        <v>11429</v>
      </c>
      <c r="O2766" t="s">
        <v>101</v>
      </c>
      <c r="P2766" t="s">
        <v>14173</v>
      </c>
      <c r="Q2766" t="s">
        <v>93</v>
      </c>
      <c r="R2766" t="s">
        <v>704</v>
      </c>
      <c r="S2766">
        <v>0.5</v>
      </c>
      <c r="T2766">
        <v>3299</v>
      </c>
      <c r="U2766">
        <v>0</v>
      </c>
      <c r="V2766">
        <v>3299</v>
      </c>
    </row>
    <row r="2767" spans="1:22" x14ac:dyDescent="0.3">
      <c r="A2767">
        <v>186607</v>
      </c>
      <c r="B2767">
        <v>136198435</v>
      </c>
      <c r="C2767" t="s">
        <v>14174</v>
      </c>
      <c r="D2767" t="s">
        <v>14175</v>
      </c>
      <c r="E2767" t="s">
        <v>11426</v>
      </c>
      <c r="F2767" t="s">
        <v>844</v>
      </c>
      <c r="G2767" t="s">
        <v>164</v>
      </c>
      <c r="H2767" t="s">
        <v>165</v>
      </c>
      <c r="I2767" t="s">
        <v>34</v>
      </c>
      <c r="J2767" t="s">
        <v>166</v>
      </c>
      <c r="K2767" t="s">
        <v>41</v>
      </c>
      <c r="L2767" t="s">
        <v>14176</v>
      </c>
      <c r="M2767" t="s">
        <v>14177</v>
      </c>
      <c r="N2767" t="s">
        <v>11429</v>
      </c>
      <c r="O2767" t="s">
        <v>101</v>
      </c>
      <c r="P2767" t="s">
        <v>14178</v>
      </c>
      <c r="Q2767" t="s">
        <v>57</v>
      </c>
      <c r="R2767" t="s">
        <v>718</v>
      </c>
      <c r="S2767">
        <v>1</v>
      </c>
      <c r="T2767">
        <v>5476</v>
      </c>
      <c r="U2767">
        <v>0</v>
      </c>
      <c r="V2767">
        <v>5476</v>
      </c>
    </row>
    <row r="2768" spans="1:22" x14ac:dyDescent="0.3">
      <c r="A2768">
        <v>186607</v>
      </c>
      <c r="B2768">
        <v>136272350</v>
      </c>
      <c r="C2768" t="s">
        <v>14179</v>
      </c>
      <c r="D2768" t="s">
        <v>14180</v>
      </c>
      <c r="E2768" t="s">
        <v>11426</v>
      </c>
      <c r="F2768" t="s">
        <v>844</v>
      </c>
      <c r="G2768" t="s">
        <v>164</v>
      </c>
      <c r="H2768" t="s">
        <v>165</v>
      </c>
      <c r="I2768" t="s">
        <v>34</v>
      </c>
      <c r="J2768" t="s">
        <v>166</v>
      </c>
      <c r="K2768" t="s">
        <v>41</v>
      </c>
      <c r="L2768" t="s">
        <v>14181</v>
      </c>
      <c r="M2768" t="s">
        <v>14182</v>
      </c>
      <c r="N2768" t="s">
        <v>11429</v>
      </c>
      <c r="O2768" t="s">
        <v>101</v>
      </c>
      <c r="P2768" t="s">
        <v>14183</v>
      </c>
      <c r="Q2768" t="s">
        <v>64</v>
      </c>
      <c r="R2768" t="s">
        <v>12323</v>
      </c>
      <c r="S2768">
        <v>1</v>
      </c>
      <c r="T2768">
        <v>4067</v>
      </c>
      <c r="U2768">
        <v>0</v>
      </c>
      <c r="V2768">
        <v>4067</v>
      </c>
    </row>
    <row r="2769" spans="1:22" x14ac:dyDescent="0.3">
      <c r="A2769">
        <v>186607</v>
      </c>
      <c r="B2769">
        <v>136272314</v>
      </c>
      <c r="C2769" t="s">
        <v>14184</v>
      </c>
      <c r="D2769" t="s">
        <v>14185</v>
      </c>
      <c r="E2769" t="s">
        <v>11426</v>
      </c>
      <c r="F2769" t="s">
        <v>844</v>
      </c>
      <c r="G2769" t="s">
        <v>164</v>
      </c>
      <c r="H2769" t="s">
        <v>165</v>
      </c>
      <c r="I2769" t="s">
        <v>34</v>
      </c>
      <c r="J2769" t="s">
        <v>166</v>
      </c>
      <c r="K2769" t="s">
        <v>41</v>
      </c>
      <c r="L2769" t="s">
        <v>14186</v>
      </c>
      <c r="M2769" t="s">
        <v>14187</v>
      </c>
      <c r="N2769" t="s">
        <v>11429</v>
      </c>
      <c r="O2769" t="s">
        <v>101</v>
      </c>
      <c r="P2769" t="s">
        <v>14188</v>
      </c>
      <c r="Q2769" t="s">
        <v>315</v>
      </c>
      <c r="R2769" t="s">
        <v>12323</v>
      </c>
      <c r="S2769">
        <v>1</v>
      </c>
      <c r="T2769">
        <v>3784</v>
      </c>
      <c r="U2769">
        <v>0</v>
      </c>
      <c r="V2769">
        <v>3784</v>
      </c>
    </row>
    <row r="2770" spans="1:22" x14ac:dyDescent="0.3">
      <c r="A2770">
        <v>186607</v>
      </c>
      <c r="B2770">
        <v>136272307</v>
      </c>
      <c r="C2770" t="s">
        <v>14189</v>
      </c>
      <c r="D2770" t="s">
        <v>14190</v>
      </c>
      <c r="E2770" t="s">
        <v>11426</v>
      </c>
      <c r="F2770" t="s">
        <v>844</v>
      </c>
      <c r="G2770" t="s">
        <v>164</v>
      </c>
      <c r="H2770" t="s">
        <v>165</v>
      </c>
      <c r="I2770" t="s">
        <v>34</v>
      </c>
      <c r="J2770" t="s">
        <v>166</v>
      </c>
      <c r="K2770" t="s">
        <v>41</v>
      </c>
      <c r="L2770" t="s">
        <v>14191</v>
      </c>
      <c r="M2770" t="s">
        <v>14192</v>
      </c>
      <c r="N2770" t="s">
        <v>11429</v>
      </c>
      <c r="O2770" t="s">
        <v>101</v>
      </c>
      <c r="P2770" t="s">
        <v>14193</v>
      </c>
      <c r="Q2770" t="s">
        <v>206</v>
      </c>
      <c r="R2770" t="s">
        <v>12323</v>
      </c>
      <c r="S2770">
        <v>1</v>
      </c>
      <c r="T2770">
        <v>3753</v>
      </c>
      <c r="U2770">
        <v>0</v>
      </c>
      <c r="V2770">
        <v>3753</v>
      </c>
    </row>
    <row r="2771" spans="1:22" x14ac:dyDescent="0.3">
      <c r="A2771">
        <v>186607</v>
      </c>
      <c r="B2771">
        <v>136272380</v>
      </c>
      <c r="C2771" t="s">
        <v>14194</v>
      </c>
      <c r="D2771" t="s">
        <v>14195</v>
      </c>
      <c r="E2771" t="s">
        <v>11426</v>
      </c>
      <c r="F2771" t="s">
        <v>844</v>
      </c>
      <c r="G2771" t="s">
        <v>164</v>
      </c>
      <c r="H2771" t="s">
        <v>165</v>
      </c>
      <c r="I2771" t="s">
        <v>34</v>
      </c>
      <c r="J2771" t="s">
        <v>166</v>
      </c>
      <c r="K2771" t="s">
        <v>41</v>
      </c>
      <c r="L2771" t="s">
        <v>14196</v>
      </c>
      <c r="M2771" t="s">
        <v>14197</v>
      </c>
      <c r="N2771" t="s">
        <v>11429</v>
      </c>
      <c r="O2771" t="s">
        <v>101</v>
      </c>
      <c r="P2771" t="s">
        <v>14198</v>
      </c>
      <c r="Q2771" t="s">
        <v>84</v>
      </c>
      <c r="R2771" t="s">
        <v>12323</v>
      </c>
      <c r="S2771">
        <v>1</v>
      </c>
      <c r="T2771">
        <v>3366</v>
      </c>
      <c r="U2771">
        <v>0</v>
      </c>
      <c r="V2771">
        <v>3366</v>
      </c>
    </row>
    <row r="2772" spans="1:22" x14ac:dyDescent="0.3">
      <c r="A2772">
        <v>186607</v>
      </c>
      <c r="B2772">
        <v>136272320</v>
      </c>
      <c r="C2772" t="s">
        <v>14199</v>
      </c>
      <c r="D2772" t="s">
        <v>14200</v>
      </c>
      <c r="E2772" t="s">
        <v>11426</v>
      </c>
      <c r="F2772" t="s">
        <v>844</v>
      </c>
      <c r="G2772" t="s">
        <v>164</v>
      </c>
      <c r="H2772" t="s">
        <v>165</v>
      </c>
      <c r="I2772" t="s">
        <v>34</v>
      </c>
      <c r="J2772" t="s">
        <v>166</v>
      </c>
      <c r="K2772" t="s">
        <v>41</v>
      </c>
      <c r="L2772" t="s">
        <v>14201</v>
      </c>
      <c r="M2772" t="s">
        <v>14202</v>
      </c>
      <c r="N2772" t="s">
        <v>11429</v>
      </c>
      <c r="O2772" t="s">
        <v>101</v>
      </c>
      <c r="P2772" t="s">
        <v>14203</v>
      </c>
      <c r="Q2772" t="s">
        <v>92</v>
      </c>
      <c r="R2772" t="s">
        <v>12323</v>
      </c>
      <c r="S2772">
        <v>1.5</v>
      </c>
      <c r="T2772">
        <v>3366</v>
      </c>
      <c r="U2772">
        <v>0</v>
      </c>
      <c r="V2772">
        <v>3366</v>
      </c>
    </row>
    <row r="2773" spans="1:22" x14ac:dyDescent="0.3">
      <c r="A2773">
        <v>186607</v>
      </c>
      <c r="B2773">
        <v>136272374</v>
      </c>
      <c r="C2773" t="s">
        <v>14204</v>
      </c>
      <c r="D2773" t="s">
        <v>14205</v>
      </c>
      <c r="E2773" t="s">
        <v>11426</v>
      </c>
      <c r="F2773" t="s">
        <v>844</v>
      </c>
      <c r="G2773" t="s">
        <v>164</v>
      </c>
      <c r="H2773" t="s">
        <v>165</v>
      </c>
      <c r="I2773" t="s">
        <v>34</v>
      </c>
      <c r="J2773" t="s">
        <v>166</v>
      </c>
      <c r="K2773" t="s">
        <v>41</v>
      </c>
      <c r="L2773" t="s">
        <v>14206</v>
      </c>
      <c r="M2773" t="s">
        <v>14207</v>
      </c>
      <c r="N2773" t="s">
        <v>11429</v>
      </c>
      <c r="O2773" t="s">
        <v>101</v>
      </c>
      <c r="P2773" t="s">
        <v>14208</v>
      </c>
      <c r="Q2773" t="s">
        <v>97</v>
      </c>
      <c r="R2773" t="s">
        <v>12323</v>
      </c>
      <c r="S2773">
        <v>3</v>
      </c>
      <c r="T2773">
        <v>3366</v>
      </c>
      <c r="U2773">
        <v>0</v>
      </c>
      <c r="V2773">
        <v>3366</v>
      </c>
    </row>
    <row r="2774" spans="1:22" x14ac:dyDescent="0.3">
      <c r="A2774">
        <v>186607</v>
      </c>
      <c r="B2774">
        <v>136328475</v>
      </c>
      <c r="C2774" t="s">
        <v>14209</v>
      </c>
      <c r="D2774" t="s">
        <v>14210</v>
      </c>
      <c r="E2774" t="s">
        <v>11426</v>
      </c>
      <c r="F2774" t="s">
        <v>844</v>
      </c>
      <c r="G2774" t="s">
        <v>164</v>
      </c>
      <c r="H2774" t="s">
        <v>165</v>
      </c>
      <c r="I2774" t="s">
        <v>34</v>
      </c>
      <c r="J2774" t="s">
        <v>166</v>
      </c>
      <c r="K2774" t="s">
        <v>41</v>
      </c>
      <c r="L2774" t="s">
        <v>14211</v>
      </c>
      <c r="M2774" t="s">
        <v>14212</v>
      </c>
      <c r="N2774" t="s">
        <v>11429</v>
      </c>
      <c r="O2774" t="s">
        <v>101</v>
      </c>
      <c r="P2774" t="s">
        <v>14213</v>
      </c>
      <c r="Q2774" t="s">
        <v>58</v>
      </c>
      <c r="R2774" t="s">
        <v>14086</v>
      </c>
      <c r="S2774">
        <v>0.5</v>
      </c>
      <c r="T2774">
        <v>4067</v>
      </c>
      <c r="U2774">
        <v>0</v>
      </c>
      <c r="V2774">
        <v>4067</v>
      </c>
    </row>
    <row r="2775" spans="1:22" x14ac:dyDescent="0.3">
      <c r="A2775">
        <v>186607</v>
      </c>
      <c r="B2775">
        <v>136272333</v>
      </c>
      <c r="C2775" t="s">
        <v>14214</v>
      </c>
      <c r="D2775" t="s">
        <v>14215</v>
      </c>
      <c r="E2775" t="s">
        <v>11426</v>
      </c>
      <c r="F2775" t="s">
        <v>844</v>
      </c>
      <c r="G2775" t="s">
        <v>164</v>
      </c>
      <c r="H2775" t="s">
        <v>165</v>
      </c>
      <c r="I2775" t="s">
        <v>34</v>
      </c>
      <c r="J2775" t="s">
        <v>166</v>
      </c>
      <c r="K2775" t="s">
        <v>41</v>
      </c>
      <c r="L2775" t="s">
        <v>14216</v>
      </c>
      <c r="M2775" t="s">
        <v>14217</v>
      </c>
      <c r="N2775" t="s">
        <v>11429</v>
      </c>
      <c r="O2775" t="s">
        <v>101</v>
      </c>
      <c r="P2775" t="s">
        <v>14218</v>
      </c>
      <c r="Q2775" t="s">
        <v>84</v>
      </c>
      <c r="R2775" t="s">
        <v>12323</v>
      </c>
      <c r="S2775">
        <v>0.5</v>
      </c>
      <c r="T2775">
        <v>3299</v>
      </c>
      <c r="U2775">
        <v>0</v>
      </c>
      <c r="V2775">
        <v>3299</v>
      </c>
    </row>
    <row r="2776" spans="1:22" x14ac:dyDescent="0.3">
      <c r="A2776">
        <v>186607</v>
      </c>
      <c r="B2776">
        <v>136107705</v>
      </c>
      <c r="C2776" t="s">
        <v>14219</v>
      </c>
      <c r="D2776" t="s">
        <v>14220</v>
      </c>
      <c r="E2776" t="s">
        <v>11426</v>
      </c>
      <c r="F2776" t="s">
        <v>844</v>
      </c>
      <c r="G2776" t="s">
        <v>164</v>
      </c>
      <c r="H2776" t="s">
        <v>165</v>
      </c>
      <c r="I2776" t="s">
        <v>34</v>
      </c>
      <c r="J2776" t="s">
        <v>166</v>
      </c>
      <c r="K2776" t="s">
        <v>41</v>
      </c>
      <c r="L2776" t="s">
        <v>14221</v>
      </c>
      <c r="M2776" t="s">
        <v>14222</v>
      </c>
      <c r="N2776" t="s">
        <v>11429</v>
      </c>
      <c r="O2776" t="s">
        <v>101</v>
      </c>
      <c r="P2776" t="s">
        <v>14223</v>
      </c>
      <c r="Q2776" t="s">
        <v>50</v>
      </c>
      <c r="R2776" t="s">
        <v>369</v>
      </c>
      <c r="S2776">
        <v>0.5</v>
      </c>
      <c r="T2776">
        <v>3680</v>
      </c>
      <c r="U2776">
        <v>0</v>
      </c>
      <c r="V2776">
        <v>3680</v>
      </c>
    </row>
    <row r="2777" spans="1:22" x14ac:dyDescent="0.3">
      <c r="A2777">
        <v>186607</v>
      </c>
      <c r="B2777">
        <v>136328463</v>
      </c>
      <c r="C2777" t="s">
        <v>14224</v>
      </c>
      <c r="D2777" t="s">
        <v>14225</v>
      </c>
      <c r="E2777" t="s">
        <v>11426</v>
      </c>
      <c r="F2777" t="s">
        <v>844</v>
      </c>
      <c r="G2777" t="s">
        <v>164</v>
      </c>
      <c r="H2777" t="s">
        <v>165</v>
      </c>
      <c r="I2777" t="s">
        <v>34</v>
      </c>
      <c r="J2777" t="s">
        <v>166</v>
      </c>
      <c r="K2777" t="s">
        <v>41</v>
      </c>
      <c r="L2777" t="s">
        <v>14226</v>
      </c>
      <c r="M2777" t="s">
        <v>14227</v>
      </c>
      <c r="N2777" t="s">
        <v>11429</v>
      </c>
      <c r="O2777" t="s">
        <v>101</v>
      </c>
      <c r="P2777" t="s">
        <v>14228</v>
      </c>
      <c r="Q2777" t="s">
        <v>92</v>
      </c>
      <c r="R2777" t="s">
        <v>14086</v>
      </c>
      <c r="S2777">
        <v>1</v>
      </c>
      <c r="T2777">
        <v>3366</v>
      </c>
      <c r="U2777">
        <v>0</v>
      </c>
      <c r="V2777">
        <v>3366</v>
      </c>
    </row>
    <row r="2778" spans="1:22" x14ac:dyDescent="0.3">
      <c r="A2778">
        <v>186607</v>
      </c>
      <c r="B2778">
        <v>136107717</v>
      </c>
      <c r="C2778" t="s">
        <v>14229</v>
      </c>
      <c r="D2778" t="s">
        <v>14230</v>
      </c>
      <c r="E2778" t="s">
        <v>11426</v>
      </c>
      <c r="F2778" t="s">
        <v>844</v>
      </c>
      <c r="G2778" t="s">
        <v>164</v>
      </c>
      <c r="H2778" t="s">
        <v>165</v>
      </c>
      <c r="I2778" t="s">
        <v>34</v>
      </c>
      <c r="J2778" t="s">
        <v>166</v>
      </c>
      <c r="K2778" t="s">
        <v>41</v>
      </c>
      <c r="L2778" t="s">
        <v>14231</v>
      </c>
      <c r="M2778" t="s">
        <v>14232</v>
      </c>
      <c r="N2778" t="s">
        <v>11429</v>
      </c>
      <c r="O2778" t="s">
        <v>101</v>
      </c>
      <c r="P2778" t="s">
        <v>14233</v>
      </c>
      <c r="Q2778" t="s">
        <v>216</v>
      </c>
      <c r="R2778" t="s">
        <v>369</v>
      </c>
      <c r="S2778">
        <v>1</v>
      </c>
      <c r="T2778">
        <v>3366</v>
      </c>
      <c r="U2778">
        <v>0</v>
      </c>
      <c r="V2778">
        <v>3366</v>
      </c>
    </row>
    <row r="2779" spans="1:22" x14ac:dyDescent="0.3">
      <c r="A2779">
        <v>186607</v>
      </c>
      <c r="B2779">
        <v>135905434</v>
      </c>
      <c r="C2779" t="s">
        <v>14234</v>
      </c>
      <c r="D2779" t="s">
        <v>14235</v>
      </c>
      <c r="E2779" t="s">
        <v>11426</v>
      </c>
      <c r="F2779" t="s">
        <v>844</v>
      </c>
      <c r="G2779" t="s">
        <v>164</v>
      </c>
      <c r="H2779" t="s">
        <v>165</v>
      </c>
      <c r="I2779" t="s">
        <v>34</v>
      </c>
      <c r="J2779" t="s">
        <v>166</v>
      </c>
      <c r="K2779" t="s">
        <v>41</v>
      </c>
      <c r="L2779" t="s">
        <v>14236</v>
      </c>
      <c r="M2779" t="s">
        <v>14237</v>
      </c>
      <c r="N2779" t="s">
        <v>11429</v>
      </c>
      <c r="O2779" t="s">
        <v>101</v>
      </c>
      <c r="P2779" t="s">
        <v>14238</v>
      </c>
      <c r="Q2779" t="s">
        <v>203</v>
      </c>
      <c r="R2779" t="s">
        <v>498</v>
      </c>
      <c r="S2779">
        <v>1</v>
      </c>
      <c r="T2779">
        <v>3753</v>
      </c>
      <c r="U2779">
        <v>0</v>
      </c>
      <c r="V2779">
        <v>3753</v>
      </c>
    </row>
    <row r="2780" spans="1:22" x14ac:dyDescent="0.3">
      <c r="A2780">
        <v>186607</v>
      </c>
      <c r="B2780">
        <v>136107670</v>
      </c>
      <c r="C2780" t="s">
        <v>14239</v>
      </c>
      <c r="D2780" t="s">
        <v>14240</v>
      </c>
      <c r="E2780" t="s">
        <v>11426</v>
      </c>
      <c r="F2780" t="s">
        <v>844</v>
      </c>
      <c r="G2780" t="s">
        <v>164</v>
      </c>
      <c r="H2780" t="s">
        <v>165</v>
      </c>
      <c r="I2780" t="s">
        <v>34</v>
      </c>
      <c r="J2780" t="s">
        <v>166</v>
      </c>
      <c r="K2780" t="s">
        <v>41</v>
      </c>
      <c r="L2780" t="s">
        <v>14241</v>
      </c>
      <c r="M2780" t="s">
        <v>14242</v>
      </c>
      <c r="N2780" t="s">
        <v>11429</v>
      </c>
      <c r="O2780" t="s">
        <v>101</v>
      </c>
      <c r="P2780" t="s">
        <v>14243</v>
      </c>
      <c r="Q2780" t="s">
        <v>54</v>
      </c>
      <c r="R2780" t="s">
        <v>369</v>
      </c>
      <c r="S2780">
        <v>1</v>
      </c>
      <c r="T2780">
        <v>5759</v>
      </c>
      <c r="U2780">
        <v>0</v>
      </c>
      <c r="V2780">
        <v>5759</v>
      </c>
    </row>
    <row r="2781" spans="1:22" x14ac:dyDescent="0.3">
      <c r="A2781">
        <v>186607</v>
      </c>
      <c r="B2781">
        <v>136412777</v>
      </c>
      <c r="C2781" t="s">
        <v>14244</v>
      </c>
      <c r="D2781" t="s">
        <v>14245</v>
      </c>
      <c r="E2781" t="s">
        <v>11426</v>
      </c>
      <c r="F2781" t="s">
        <v>844</v>
      </c>
      <c r="G2781" t="s">
        <v>164</v>
      </c>
      <c r="H2781" t="s">
        <v>165</v>
      </c>
      <c r="I2781" t="s">
        <v>34</v>
      </c>
      <c r="J2781" t="s">
        <v>166</v>
      </c>
      <c r="K2781" t="s">
        <v>41</v>
      </c>
      <c r="L2781" t="s">
        <v>217</v>
      </c>
      <c r="M2781" t="s">
        <v>14246</v>
      </c>
      <c r="N2781" t="s">
        <v>11429</v>
      </c>
      <c r="O2781" t="s">
        <v>101</v>
      </c>
      <c r="P2781" t="s">
        <v>14247</v>
      </c>
      <c r="Q2781" t="s">
        <v>93</v>
      </c>
      <c r="R2781" t="s">
        <v>13495</v>
      </c>
      <c r="S2781">
        <v>0.5</v>
      </c>
      <c r="T2781">
        <v>3299</v>
      </c>
      <c r="U2781">
        <v>0</v>
      </c>
      <c r="V2781">
        <v>3299</v>
      </c>
    </row>
    <row r="2782" spans="1:22" x14ac:dyDescent="0.3">
      <c r="A2782">
        <v>186607</v>
      </c>
      <c r="B2782">
        <v>136198233</v>
      </c>
      <c r="C2782" t="s">
        <v>14248</v>
      </c>
      <c r="D2782" t="s">
        <v>14249</v>
      </c>
      <c r="E2782" t="s">
        <v>11426</v>
      </c>
      <c r="F2782" t="s">
        <v>844</v>
      </c>
      <c r="G2782" t="s">
        <v>164</v>
      </c>
      <c r="H2782" t="s">
        <v>165</v>
      </c>
      <c r="I2782" t="s">
        <v>34</v>
      </c>
      <c r="J2782" t="s">
        <v>166</v>
      </c>
      <c r="K2782" t="s">
        <v>41</v>
      </c>
      <c r="L2782" t="s">
        <v>14250</v>
      </c>
      <c r="M2782" t="s">
        <v>14251</v>
      </c>
      <c r="N2782" t="s">
        <v>11429</v>
      </c>
      <c r="O2782" t="s">
        <v>101</v>
      </c>
      <c r="P2782" t="s">
        <v>14252</v>
      </c>
      <c r="Q2782" t="s">
        <v>55</v>
      </c>
      <c r="R2782" t="s">
        <v>339</v>
      </c>
      <c r="S2782">
        <v>0.5</v>
      </c>
      <c r="T2782">
        <v>4067</v>
      </c>
      <c r="U2782">
        <v>0</v>
      </c>
      <c r="V2782">
        <v>4067</v>
      </c>
    </row>
    <row r="2783" spans="1:22" x14ac:dyDescent="0.3">
      <c r="A2783">
        <v>186607</v>
      </c>
      <c r="B2783">
        <v>136364623</v>
      </c>
      <c r="C2783" t="s">
        <v>14253</v>
      </c>
      <c r="D2783" t="s">
        <v>14254</v>
      </c>
      <c r="E2783" t="s">
        <v>11426</v>
      </c>
      <c r="F2783" t="s">
        <v>844</v>
      </c>
      <c r="G2783" t="s">
        <v>164</v>
      </c>
      <c r="H2783" t="s">
        <v>165</v>
      </c>
      <c r="I2783" t="s">
        <v>34</v>
      </c>
      <c r="J2783" t="s">
        <v>166</v>
      </c>
      <c r="K2783" t="s">
        <v>41</v>
      </c>
      <c r="L2783" t="s">
        <v>14255</v>
      </c>
      <c r="M2783" t="s">
        <v>14256</v>
      </c>
      <c r="N2783" t="s">
        <v>11429</v>
      </c>
      <c r="O2783" t="s">
        <v>101</v>
      </c>
      <c r="P2783" t="s">
        <v>14257</v>
      </c>
      <c r="Q2783" t="s">
        <v>190</v>
      </c>
      <c r="R2783" t="s">
        <v>788</v>
      </c>
      <c r="S2783">
        <v>0.5</v>
      </c>
      <c r="T2783">
        <v>3299</v>
      </c>
      <c r="U2783">
        <v>0</v>
      </c>
      <c r="V2783">
        <v>3299</v>
      </c>
    </row>
    <row r="2784" spans="1:22" x14ac:dyDescent="0.3">
      <c r="A2784">
        <v>186607</v>
      </c>
      <c r="B2784">
        <v>136027749</v>
      </c>
      <c r="C2784" t="s">
        <v>14258</v>
      </c>
      <c r="D2784" t="s">
        <v>14259</v>
      </c>
      <c r="E2784" t="s">
        <v>11426</v>
      </c>
      <c r="F2784" t="s">
        <v>844</v>
      </c>
      <c r="G2784" t="s">
        <v>164</v>
      </c>
      <c r="H2784" t="s">
        <v>165</v>
      </c>
      <c r="I2784" t="s">
        <v>34</v>
      </c>
      <c r="J2784" t="s">
        <v>166</v>
      </c>
      <c r="K2784" t="s">
        <v>41</v>
      </c>
      <c r="L2784" t="s">
        <v>14260</v>
      </c>
      <c r="M2784" t="s">
        <v>14261</v>
      </c>
      <c r="N2784" t="s">
        <v>11429</v>
      </c>
      <c r="O2784" t="s">
        <v>101</v>
      </c>
      <c r="P2784" t="s">
        <v>14262</v>
      </c>
      <c r="Q2784" t="s">
        <v>54</v>
      </c>
      <c r="R2784" t="s">
        <v>489</v>
      </c>
      <c r="S2784">
        <v>1</v>
      </c>
      <c r="T2784">
        <v>5759</v>
      </c>
      <c r="U2784">
        <v>0</v>
      </c>
      <c r="V2784">
        <v>5759</v>
      </c>
    </row>
    <row r="2785" spans="1:22" x14ac:dyDescent="0.3">
      <c r="A2785">
        <v>186607</v>
      </c>
      <c r="B2785">
        <v>136027651</v>
      </c>
      <c r="C2785" t="s">
        <v>14263</v>
      </c>
      <c r="D2785" t="s">
        <v>14264</v>
      </c>
      <c r="E2785" t="s">
        <v>11426</v>
      </c>
      <c r="F2785" t="s">
        <v>844</v>
      </c>
      <c r="G2785" t="s">
        <v>164</v>
      </c>
      <c r="H2785" t="s">
        <v>165</v>
      </c>
      <c r="I2785" t="s">
        <v>34</v>
      </c>
      <c r="J2785" t="s">
        <v>166</v>
      </c>
      <c r="K2785" t="s">
        <v>41</v>
      </c>
      <c r="L2785" t="s">
        <v>14265</v>
      </c>
      <c r="M2785" t="s">
        <v>14266</v>
      </c>
      <c r="N2785" t="s">
        <v>11429</v>
      </c>
      <c r="O2785" t="s">
        <v>101</v>
      </c>
      <c r="P2785" t="s">
        <v>14267</v>
      </c>
      <c r="Q2785" t="s">
        <v>55</v>
      </c>
      <c r="R2785" t="s">
        <v>489</v>
      </c>
      <c r="S2785">
        <v>1</v>
      </c>
      <c r="T2785">
        <v>5198</v>
      </c>
      <c r="U2785">
        <v>0</v>
      </c>
      <c r="V2785">
        <v>5198</v>
      </c>
    </row>
    <row r="2786" spans="1:22" x14ac:dyDescent="0.3">
      <c r="A2786">
        <v>186607</v>
      </c>
      <c r="B2786">
        <v>136364570</v>
      </c>
      <c r="C2786" t="s">
        <v>14268</v>
      </c>
      <c r="D2786" t="s">
        <v>14269</v>
      </c>
      <c r="E2786" t="s">
        <v>11426</v>
      </c>
      <c r="F2786" t="s">
        <v>844</v>
      </c>
      <c r="G2786" t="s">
        <v>164</v>
      </c>
      <c r="H2786" t="s">
        <v>165</v>
      </c>
      <c r="I2786" t="s">
        <v>34</v>
      </c>
      <c r="J2786" t="s">
        <v>166</v>
      </c>
      <c r="K2786" t="s">
        <v>41</v>
      </c>
      <c r="L2786" t="s">
        <v>14270</v>
      </c>
      <c r="M2786" t="s">
        <v>559</v>
      </c>
      <c r="N2786" t="s">
        <v>11429</v>
      </c>
      <c r="O2786" t="s">
        <v>101</v>
      </c>
      <c r="P2786" t="s">
        <v>14271</v>
      </c>
      <c r="Q2786" t="s">
        <v>224</v>
      </c>
      <c r="R2786" t="s">
        <v>758</v>
      </c>
      <c r="S2786">
        <v>1</v>
      </c>
      <c r="T2786">
        <v>4067</v>
      </c>
      <c r="U2786">
        <v>0</v>
      </c>
      <c r="V2786">
        <v>4067</v>
      </c>
    </row>
    <row r="2787" spans="1:22" x14ac:dyDescent="0.3">
      <c r="A2787">
        <v>186607</v>
      </c>
      <c r="B2787">
        <v>136107560</v>
      </c>
      <c r="C2787" t="s">
        <v>14272</v>
      </c>
      <c r="D2787" t="s">
        <v>14273</v>
      </c>
      <c r="E2787" t="s">
        <v>11426</v>
      </c>
      <c r="F2787" t="s">
        <v>844</v>
      </c>
      <c r="G2787" t="s">
        <v>164</v>
      </c>
      <c r="H2787" t="s">
        <v>165</v>
      </c>
      <c r="I2787" t="s">
        <v>34</v>
      </c>
      <c r="J2787" t="s">
        <v>166</v>
      </c>
      <c r="K2787" t="s">
        <v>41</v>
      </c>
      <c r="L2787" t="s">
        <v>14274</v>
      </c>
      <c r="M2787" t="s">
        <v>14275</v>
      </c>
      <c r="N2787" t="s">
        <v>11429</v>
      </c>
      <c r="O2787" t="s">
        <v>101</v>
      </c>
      <c r="P2787" t="s">
        <v>14276</v>
      </c>
      <c r="Q2787" t="s">
        <v>211</v>
      </c>
      <c r="R2787" t="s">
        <v>369</v>
      </c>
      <c r="S2787">
        <v>1</v>
      </c>
      <c r="T2787">
        <v>4067</v>
      </c>
      <c r="U2787">
        <v>0</v>
      </c>
      <c r="V2787">
        <v>4067</v>
      </c>
    </row>
    <row r="2788" spans="1:22" x14ac:dyDescent="0.3">
      <c r="A2788">
        <v>186607</v>
      </c>
      <c r="B2788">
        <v>136027697</v>
      </c>
      <c r="C2788" t="s">
        <v>14277</v>
      </c>
      <c r="D2788" t="s">
        <v>14278</v>
      </c>
      <c r="E2788" t="s">
        <v>11426</v>
      </c>
      <c r="F2788" t="s">
        <v>844</v>
      </c>
      <c r="G2788" t="s">
        <v>164</v>
      </c>
      <c r="H2788" t="s">
        <v>165</v>
      </c>
      <c r="I2788" t="s">
        <v>34</v>
      </c>
      <c r="J2788" t="s">
        <v>166</v>
      </c>
      <c r="K2788" t="s">
        <v>41</v>
      </c>
      <c r="L2788" t="s">
        <v>408</v>
      </c>
      <c r="M2788" t="s">
        <v>14279</v>
      </c>
      <c r="N2788" t="s">
        <v>11429</v>
      </c>
      <c r="O2788" t="s">
        <v>101</v>
      </c>
      <c r="P2788" t="s">
        <v>14280</v>
      </c>
      <c r="Q2788" t="s">
        <v>109</v>
      </c>
      <c r="R2788" t="s">
        <v>489</v>
      </c>
      <c r="S2788">
        <v>0.5</v>
      </c>
      <c r="T2788">
        <v>3680</v>
      </c>
      <c r="U2788">
        <v>0</v>
      </c>
      <c r="V2788">
        <v>3680</v>
      </c>
    </row>
    <row r="2789" spans="1:22" x14ac:dyDescent="0.3">
      <c r="A2789">
        <v>186607</v>
      </c>
      <c r="B2789">
        <v>136440698</v>
      </c>
      <c r="C2789" t="s">
        <v>14281</v>
      </c>
      <c r="D2789" t="s">
        <v>14282</v>
      </c>
      <c r="E2789" t="s">
        <v>11426</v>
      </c>
      <c r="F2789" t="s">
        <v>844</v>
      </c>
      <c r="G2789" t="s">
        <v>164</v>
      </c>
      <c r="H2789" t="s">
        <v>165</v>
      </c>
      <c r="I2789" t="s">
        <v>34</v>
      </c>
      <c r="J2789" t="s">
        <v>166</v>
      </c>
      <c r="K2789" t="s">
        <v>41</v>
      </c>
      <c r="L2789" t="s">
        <v>14283</v>
      </c>
      <c r="M2789" t="s">
        <v>14284</v>
      </c>
      <c r="N2789" t="s">
        <v>11429</v>
      </c>
      <c r="O2789" t="s">
        <v>101</v>
      </c>
      <c r="P2789" t="s">
        <v>14285</v>
      </c>
      <c r="Q2789" t="s">
        <v>60</v>
      </c>
      <c r="R2789" t="s">
        <v>704</v>
      </c>
      <c r="S2789">
        <v>0.5</v>
      </c>
      <c r="T2789">
        <v>3680</v>
      </c>
      <c r="U2789">
        <v>0</v>
      </c>
      <c r="V2789">
        <v>3680</v>
      </c>
    </row>
    <row r="2790" spans="1:22" x14ac:dyDescent="0.3">
      <c r="A2790">
        <v>186607</v>
      </c>
      <c r="B2790">
        <v>136272224</v>
      </c>
      <c r="C2790" t="s">
        <v>14286</v>
      </c>
      <c r="D2790" t="s">
        <v>14287</v>
      </c>
      <c r="E2790" t="s">
        <v>11426</v>
      </c>
      <c r="F2790" t="s">
        <v>844</v>
      </c>
      <c r="G2790" t="s">
        <v>164</v>
      </c>
      <c r="H2790" t="s">
        <v>165</v>
      </c>
      <c r="I2790" t="s">
        <v>34</v>
      </c>
      <c r="J2790" t="s">
        <v>166</v>
      </c>
      <c r="K2790" t="s">
        <v>41</v>
      </c>
      <c r="L2790" t="s">
        <v>14288</v>
      </c>
      <c r="M2790" t="s">
        <v>14289</v>
      </c>
      <c r="N2790" t="s">
        <v>11429</v>
      </c>
      <c r="O2790" t="s">
        <v>101</v>
      </c>
      <c r="P2790" t="s">
        <v>14290</v>
      </c>
      <c r="Q2790" t="s">
        <v>209</v>
      </c>
      <c r="R2790" t="s">
        <v>12323</v>
      </c>
      <c r="S2790">
        <v>0.5</v>
      </c>
      <c r="T2790">
        <v>4067</v>
      </c>
      <c r="U2790">
        <v>0</v>
      </c>
      <c r="V2790">
        <v>4067</v>
      </c>
    </row>
    <row r="2791" spans="1:22" x14ac:dyDescent="0.3">
      <c r="A2791">
        <v>186607</v>
      </c>
      <c r="B2791">
        <v>136272243</v>
      </c>
      <c r="C2791" t="s">
        <v>14291</v>
      </c>
      <c r="D2791" t="s">
        <v>14292</v>
      </c>
      <c r="E2791" t="s">
        <v>11426</v>
      </c>
      <c r="F2791" t="s">
        <v>844</v>
      </c>
      <c r="G2791" t="s">
        <v>164</v>
      </c>
      <c r="H2791" t="s">
        <v>165</v>
      </c>
      <c r="I2791" t="s">
        <v>34</v>
      </c>
      <c r="J2791" t="s">
        <v>166</v>
      </c>
      <c r="K2791" t="s">
        <v>41</v>
      </c>
      <c r="L2791" t="s">
        <v>14293</v>
      </c>
      <c r="M2791" t="s">
        <v>14294</v>
      </c>
      <c r="N2791" t="s">
        <v>11429</v>
      </c>
      <c r="O2791" t="s">
        <v>101</v>
      </c>
      <c r="P2791" t="s">
        <v>14295</v>
      </c>
      <c r="Q2791" t="s">
        <v>218</v>
      </c>
      <c r="R2791" t="s">
        <v>12323</v>
      </c>
      <c r="S2791">
        <v>1</v>
      </c>
      <c r="T2791">
        <v>4881</v>
      </c>
      <c r="U2791">
        <v>0</v>
      </c>
      <c r="V2791">
        <v>4881</v>
      </c>
    </row>
    <row r="2792" spans="1:22" x14ac:dyDescent="0.3">
      <c r="A2792">
        <v>186607</v>
      </c>
      <c r="B2792">
        <v>136364501</v>
      </c>
      <c r="C2792" t="s">
        <v>14296</v>
      </c>
      <c r="D2792" t="s">
        <v>14297</v>
      </c>
      <c r="E2792" t="s">
        <v>11426</v>
      </c>
      <c r="F2792" t="s">
        <v>844</v>
      </c>
      <c r="G2792" t="s">
        <v>164</v>
      </c>
      <c r="H2792" t="s">
        <v>165</v>
      </c>
      <c r="I2792" t="s">
        <v>34</v>
      </c>
      <c r="J2792" t="s">
        <v>166</v>
      </c>
      <c r="K2792" t="s">
        <v>41</v>
      </c>
      <c r="L2792" t="s">
        <v>14298</v>
      </c>
      <c r="M2792" t="s">
        <v>14299</v>
      </c>
      <c r="N2792" t="s">
        <v>11429</v>
      </c>
      <c r="O2792" t="s">
        <v>101</v>
      </c>
      <c r="P2792" t="s">
        <v>14300</v>
      </c>
      <c r="Q2792" t="s">
        <v>78</v>
      </c>
      <c r="R2792" t="s">
        <v>758</v>
      </c>
      <c r="S2792">
        <v>0.5</v>
      </c>
      <c r="T2792">
        <v>3449</v>
      </c>
      <c r="U2792">
        <v>0</v>
      </c>
      <c r="V2792">
        <v>3449</v>
      </c>
    </row>
    <row r="2793" spans="1:22" x14ac:dyDescent="0.3">
      <c r="A2793">
        <v>186607</v>
      </c>
      <c r="B2793">
        <v>136364546</v>
      </c>
      <c r="C2793" t="s">
        <v>14301</v>
      </c>
      <c r="D2793" t="s">
        <v>14302</v>
      </c>
      <c r="E2793" t="s">
        <v>11426</v>
      </c>
      <c r="F2793" t="s">
        <v>844</v>
      </c>
      <c r="G2793" t="s">
        <v>164</v>
      </c>
      <c r="H2793" t="s">
        <v>165</v>
      </c>
      <c r="I2793" t="s">
        <v>34</v>
      </c>
      <c r="J2793" t="s">
        <v>166</v>
      </c>
      <c r="K2793" t="s">
        <v>41</v>
      </c>
      <c r="L2793" t="s">
        <v>14303</v>
      </c>
      <c r="M2793" t="s">
        <v>14304</v>
      </c>
      <c r="N2793" t="s">
        <v>11429</v>
      </c>
      <c r="O2793" t="s">
        <v>101</v>
      </c>
      <c r="P2793" t="s">
        <v>14305</v>
      </c>
      <c r="Q2793" t="s">
        <v>55</v>
      </c>
      <c r="R2793" t="s">
        <v>758</v>
      </c>
      <c r="S2793">
        <v>1</v>
      </c>
      <c r="T2793">
        <v>5198</v>
      </c>
      <c r="U2793">
        <v>0</v>
      </c>
      <c r="V2793">
        <v>5198</v>
      </c>
    </row>
    <row r="2794" spans="1:22" x14ac:dyDescent="0.3">
      <c r="A2794">
        <v>186607</v>
      </c>
      <c r="B2794">
        <v>136272236</v>
      </c>
      <c r="C2794" t="s">
        <v>14306</v>
      </c>
      <c r="D2794" t="s">
        <v>14307</v>
      </c>
      <c r="E2794" t="s">
        <v>11426</v>
      </c>
      <c r="F2794" t="s">
        <v>844</v>
      </c>
      <c r="G2794" t="s">
        <v>164</v>
      </c>
      <c r="H2794" t="s">
        <v>165</v>
      </c>
      <c r="I2794" t="s">
        <v>34</v>
      </c>
      <c r="J2794" t="s">
        <v>166</v>
      </c>
      <c r="K2794" t="s">
        <v>41</v>
      </c>
      <c r="L2794" t="s">
        <v>14308</v>
      </c>
      <c r="M2794" t="s">
        <v>14309</v>
      </c>
      <c r="N2794" t="s">
        <v>11429</v>
      </c>
      <c r="O2794" t="s">
        <v>101</v>
      </c>
      <c r="P2794" t="s">
        <v>14310</v>
      </c>
      <c r="Q2794" t="s">
        <v>218</v>
      </c>
      <c r="R2794" t="s">
        <v>12323</v>
      </c>
      <c r="S2794">
        <v>0.5</v>
      </c>
      <c r="T2794">
        <v>4415</v>
      </c>
      <c r="U2794">
        <v>0</v>
      </c>
      <c r="V2794">
        <v>4415</v>
      </c>
    </row>
    <row r="2795" spans="1:22" x14ac:dyDescent="0.3">
      <c r="A2795">
        <v>186607</v>
      </c>
      <c r="B2795">
        <v>136328571</v>
      </c>
      <c r="C2795" t="s">
        <v>14311</v>
      </c>
      <c r="D2795" t="s">
        <v>14312</v>
      </c>
      <c r="E2795" t="s">
        <v>11426</v>
      </c>
      <c r="F2795" t="s">
        <v>844</v>
      </c>
      <c r="G2795" t="s">
        <v>164</v>
      </c>
      <c r="H2795" t="s">
        <v>165</v>
      </c>
      <c r="I2795" t="s">
        <v>34</v>
      </c>
      <c r="J2795" t="s">
        <v>166</v>
      </c>
      <c r="K2795" t="s">
        <v>41</v>
      </c>
      <c r="L2795" t="s">
        <v>14313</v>
      </c>
      <c r="M2795" t="s">
        <v>14314</v>
      </c>
      <c r="N2795" t="s">
        <v>11429</v>
      </c>
      <c r="O2795" t="s">
        <v>101</v>
      </c>
      <c r="P2795" t="s">
        <v>14315</v>
      </c>
      <c r="Q2795" t="s">
        <v>93</v>
      </c>
      <c r="R2795" t="s">
        <v>11485</v>
      </c>
      <c r="S2795">
        <v>1.5</v>
      </c>
      <c r="T2795">
        <v>3366</v>
      </c>
      <c r="U2795">
        <v>0</v>
      </c>
      <c r="V2795">
        <v>3366</v>
      </c>
    </row>
    <row r="2796" spans="1:22" x14ac:dyDescent="0.3">
      <c r="A2796">
        <v>186607</v>
      </c>
      <c r="B2796">
        <v>136198531</v>
      </c>
      <c r="C2796" t="s">
        <v>14316</v>
      </c>
      <c r="D2796" t="s">
        <v>14317</v>
      </c>
      <c r="E2796" t="s">
        <v>11426</v>
      </c>
      <c r="F2796" t="s">
        <v>844</v>
      </c>
      <c r="G2796" t="s">
        <v>164</v>
      </c>
      <c r="H2796" t="s">
        <v>165</v>
      </c>
      <c r="I2796" t="s">
        <v>34</v>
      </c>
      <c r="J2796" t="s">
        <v>166</v>
      </c>
      <c r="K2796" t="s">
        <v>41</v>
      </c>
      <c r="L2796" t="s">
        <v>14318</v>
      </c>
      <c r="M2796" t="s">
        <v>14319</v>
      </c>
      <c r="N2796" t="s">
        <v>11429</v>
      </c>
      <c r="O2796" t="s">
        <v>101</v>
      </c>
      <c r="P2796" t="s">
        <v>14320</v>
      </c>
      <c r="Q2796" t="s">
        <v>121</v>
      </c>
      <c r="R2796" t="s">
        <v>718</v>
      </c>
      <c r="S2796">
        <v>1</v>
      </c>
      <c r="T2796">
        <v>4173</v>
      </c>
      <c r="U2796">
        <v>0</v>
      </c>
      <c r="V2796">
        <v>4173</v>
      </c>
    </row>
    <row r="2797" spans="1:22" x14ac:dyDescent="0.3">
      <c r="A2797">
        <v>186607</v>
      </c>
      <c r="B2797">
        <v>136328466</v>
      </c>
      <c r="C2797" t="s">
        <v>14321</v>
      </c>
      <c r="D2797" t="s">
        <v>14322</v>
      </c>
      <c r="E2797" t="s">
        <v>11426</v>
      </c>
      <c r="F2797" t="s">
        <v>844</v>
      </c>
      <c r="G2797" t="s">
        <v>164</v>
      </c>
      <c r="H2797" t="s">
        <v>165</v>
      </c>
      <c r="I2797" t="s">
        <v>34</v>
      </c>
      <c r="J2797" t="s">
        <v>166</v>
      </c>
      <c r="K2797" t="s">
        <v>41</v>
      </c>
      <c r="L2797" t="s">
        <v>14323</v>
      </c>
      <c r="M2797" t="s">
        <v>14324</v>
      </c>
      <c r="N2797" t="s">
        <v>11429</v>
      </c>
      <c r="O2797" t="s">
        <v>101</v>
      </c>
      <c r="P2797" t="s">
        <v>14325</v>
      </c>
      <c r="Q2797" t="s">
        <v>58</v>
      </c>
      <c r="R2797" t="s">
        <v>14086</v>
      </c>
      <c r="S2797">
        <v>1</v>
      </c>
      <c r="T2797">
        <v>5759</v>
      </c>
      <c r="U2797">
        <v>0</v>
      </c>
      <c r="V2797">
        <v>5759</v>
      </c>
    </row>
    <row r="2798" spans="1:22" x14ac:dyDescent="0.3">
      <c r="A2798">
        <v>186607</v>
      </c>
      <c r="B2798">
        <v>136198375</v>
      </c>
      <c r="C2798" t="s">
        <v>14326</v>
      </c>
      <c r="D2798" t="s">
        <v>14327</v>
      </c>
      <c r="E2798" t="s">
        <v>11426</v>
      </c>
      <c r="F2798" t="s">
        <v>844</v>
      </c>
      <c r="G2798" t="s">
        <v>164</v>
      </c>
      <c r="H2798" t="s">
        <v>165</v>
      </c>
      <c r="I2798" t="s">
        <v>34</v>
      </c>
      <c r="J2798" t="s">
        <v>166</v>
      </c>
      <c r="K2798" t="s">
        <v>41</v>
      </c>
      <c r="L2798" t="s">
        <v>14328</v>
      </c>
      <c r="M2798" t="s">
        <v>14329</v>
      </c>
      <c r="N2798" t="s">
        <v>11429</v>
      </c>
      <c r="O2798" t="s">
        <v>101</v>
      </c>
      <c r="P2798" t="s">
        <v>14330</v>
      </c>
      <c r="Q2798" t="s">
        <v>94</v>
      </c>
      <c r="R2798" t="s">
        <v>339</v>
      </c>
      <c r="S2798">
        <v>1</v>
      </c>
      <c r="T2798">
        <v>3366</v>
      </c>
      <c r="U2798">
        <v>0</v>
      </c>
      <c r="V2798">
        <v>3366</v>
      </c>
    </row>
    <row r="2799" spans="1:22" x14ac:dyDescent="0.3">
      <c r="A2799">
        <v>186607</v>
      </c>
      <c r="B2799">
        <v>136412714</v>
      </c>
      <c r="C2799" t="s">
        <v>14331</v>
      </c>
      <c r="D2799" t="s">
        <v>14332</v>
      </c>
      <c r="E2799" t="s">
        <v>11426</v>
      </c>
      <c r="F2799" t="s">
        <v>844</v>
      </c>
      <c r="G2799" t="s">
        <v>164</v>
      </c>
      <c r="H2799" t="s">
        <v>165</v>
      </c>
      <c r="I2799" t="s">
        <v>34</v>
      </c>
      <c r="J2799" t="s">
        <v>166</v>
      </c>
      <c r="K2799" t="s">
        <v>41</v>
      </c>
      <c r="L2799" t="s">
        <v>14333</v>
      </c>
      <c r="M2799" t="s">
        <v>14334</v>
      </c>
      <c r="N2799" t="s">
        <v>11429</v>
      </c>
      <c r="O2799" t="s">
        <v>101</v>
      </c>
      <c r="P2799" t="s">
        <v>14335</v>
      </c>
      <c r="Q2799" t="s">
        <v>55</v>
      </c>
      <c r="R2799" t="s">
        <v>430</v>
      </c>
      <c r="S2799">
        <v>0.5</v>
      </c>
      <c r="T2799">
        <v>4067</v>
      </c>
      <c r="U2799">
        <v>0</v>
      </c>
      <c r="V2799">
        <v>4067</v>
      </c>
    </row>
    <row r="2800" spans="1:22" x14ac:dyDescent="0.3">
      <c r="A2800">
        <v>186607</v>
      </c>
      <c r="B2800">
        <v>136272177</v>
      </c>
      <c r="C2800" t="s">
        <v>14336</v>
      </c>
      <c r="D2800" t="s">
        <v>14337</v>
      </c>
      <c r="E2800" t="s">
        <v>11426</v>
      </c>
      <c r="F2800" t="s">
        <v>844</v>
      </c>
      <c r="G2800" t="s">
        <v>164</v>
      </c>
      <c r="H2800" t="s">
        <v>165</v>
      </c>
      <c r="I2800" t="s">
        <v>34</v>
      </c>
      <c r="J2800" t="s">
        <v>166</v>
      </c>
      <c r="K2800" t="s">
        <v>41</v>
      </c>
      <c r="L2800" t="s">
        <v>14338</v>
      </c>
      <c r="M2800" t="s">
        <v>6670</v>
      </c>
      <c r="N2800" t="s">
        <v>11429</v>
      </c>
      <c r="O2800" t="s">
        <v>101</v>
      </c>
      <c r="P2800" t="s">
        <v>14339</v>
      </c>
      <c r="Q2800" t="s">
        <v>58</v>
      </c>
      <c r="R2800" t="s">
        <v>779</v>
      </c>
      <c r="S2800">
        <v>1</v>
      </c>
      <c r="T2800">
        <v>5759</v>
      </c>
      <c r="U2800">
        <v>0</v>
      </c>
      <c r="V2800">
        <v>5759</v>
      </c>
    </row>
    <row r="2801" spans="1:22" x14ac:dyDescent="0.3">
      <c r="A2801">
        <v>186607</v>
      </c>
      <c r="B2801">
        <v>135667125</v>
      </c>
      <c r="C2801" t="s">
        <v>14340</v>
      </c>
      <c r="D2801" t="s">
        <v>14341</v>
      </c>
      <c r="E2801" t="s">
        <v>11426</v>
      </c>
      <c r="F2801" t="s">
        <v>844</v>
      </c>
      <c r="G2801" t="s">
        <v>164</v>
      </c>
      <c r="H2801" t="s">
        <v>165</v>
      </c>
      <c r="I2801" t="s">
        <v>34</v>
      </c>
      <c r="J2801" t="s">
        <v>166</v>
      </c>
      <c r="K2801" t="s">
        <v>41</v>
      </c>
      <c r="L2801" t="s">
        <v>14342</v>
      </c>
      <c r="M2801" t="s">
        <v>14343</v>
      </c>
      <c r="N2801" t="s">
        <v>11429</v>
      </c>
      <c r="O2801" t="s">
        <v>101</v>
      </c>
      <c r="P2801" t="s">
        <v>14344</v>
      </c>
      <c r="Q2801" t="s">
        <v>246</v>
      </c>
      <c r="R2801" t="s">
        <v>840</v>
      </c>
      <c r="S2801">
        <v>3.28</v>
      </c>
      <c r="T2801">
        <v>8008</v>
      </c>
      <c r="U2801">
        <v>0</v>
      </c>
      <c r="V2801">
        <v>8008</v>
      </c>
    </row>
    <row r="2802" spans="1:22" x14ac:dyDescent="0.3">
      <c r="A2802">
        <v>186607</v>
      </c>
      <c r="B2802">
        <v>136107614</v>
      </c>
      <c r="C2802" t="s">
        <v>14345</v>
      </c>
      <c r="D2802" t="s">
        <v>14346</v>
      </c>
      <c r="E2802" t="s">
        <v>11426</v>
      </c>
      <c r="F2802" t="s">
        <v>844</v>
      </c>
      <c r="G2802" t="s">
        <v>164</v>
      </c>
      <c r="H2802" t="s">
        <v>165</v>
      </c>
      <c r="I2802" t="s">
        <v>34</v>
      </c>
      <c r="J2802" t="s">
        <v>166</v>
      </c>
      <c r="K2802" t="s">
        <v>41</v>
      </c>
      <c r="L2802" t="s">
        <v>14347</v>
      </c>
      <c r="M2802" t="s">
        <v>14348</v>
      </c>
      <c r="N2802" t="s">
        <v>11429</v>
      </c>
      <c r="O2802" t="s">
        <v>101</v>
      </c>
      <c r="P2802" t="s">
        <v>14349</v>
      </c>
      <c r="Q2802" t="s">
        <v>54</v>
      </c>
      <c r="R2802" t="s">
        <v>369</v>
      </c>
      <c r="S2802">
        <v>1</v>
      </c>
      <c r="T2802">
        <v>5759</v>
      </c>
      <c r="U2802">
        <v>0</v>
      </c>
      <c r="V2802">
        <v>5759</v>
      </c>
    </row>
    <row r="2803" spans="1:22" x14ac:dyDescent="0.3">
      <c r="A2803">
        <v>186607</v>
      </c>
      <c r="B2803">
        <v>136027702</v>
      </c>
      <c r="C2803" t="s">
        <v>14350</v>
      </c>
      <c r="D2803" t="s">
        <v>14351</v>
      </c>
      <c r="E2803" t="s">
        <v>11426</v>
      </c>
      <c r="F2803" t="s">
        <v>844</v>
      </c>
      <c r="G2803" t="s">
        <v>164</v>
      </c>
      <c r="H2803" t="s">
        <v>165</v>
      </c>
      <c r="I2803" t="s">
        <v>34</v>
      </c>
      <c r="J2803" t="s">
        <v>166</v>
      </c>
      <c r="K2803" t="s">
        <v>41</v>
      </c>
      <c r="L2803" t="s">
        <v>14352</v>
      </c>
      <c r="M2803" t="s">
        <v>14353</v>
      </c>
      <c r="N2803" t="s">
        <v>11429</v>
      </c>
      <c r="O2803" t="s">
        <v>101</v>
      </c>
      <c r="P2803" t="s">
        <v>14354</v>
      </c>
      <c r="Q2803" t="s">
        <v>273</v>
      </c>
      <c r="R2803" t="s">
        <v>489</v>
      </c>
      <c r="S2803">
        <v>1</v>
      </c>
      <c r="T2803">
        <v>3753</v>
      </c>
      <c r="U2803">
        <v>0</v>
      </c>
      <c r="V2803">
        <v>3753</v>
      </c>
    </row>
    <row r="2804" spans="1:22" x14ac:dyDescent="0.3">
      <c r="A2804">
        <v>186607</v>
      </c>
      <c r="B2804">
        <v>136440683</v>
      </c>
      <c r="C2804" t="s">
        <v>14355</v>
      </c>
      <c r="D2804" t="s">
        <v>14356</v>
      </c>
      <c r="E2804" t="s">
        <v>11426</v>
      </c>
      <c r="F2804" t="s">
        <v>844</v>
      </c>
      <c r="G2804" t="s">
        <v>164</v>
      </c>
      <c r="H2804" t="s">
        <v>165</v>
      </c>
      <c r="I2804" t="s">
        <v>34</v>
      </c>
      <c r="J2804" t="s">
        <v>166</v>
      </c>
      <c r="K2804" t="s">
        <v>41</v>
      </c>
      <c r="L2804" t="s">
        <v>14357</v>
      </c>
      <c r="M2804" t="s">
        <v>14358</v>
      </c>
      <c r="N2804" t="s">
        <v>11429</v>
      </c>
      <c r="O2804" t="s">
        <v>101</v>
      </c>
      <c r="P2804" t="s">
        <v>14359</v>
      </c>
      <c r="Q2804" t="s">
        <v>85</v>
      </c>
      <c r="R2804" t="s">
        <v>704</v>
      </c>
      <c r="S2804">
        <v>0.5</v>
      </c>
      <c r="T2804">
        <v>3299</v>
      </c>
      <c r="U2804">
        <v>0</v>
      </c>
      <c r="V2804">
        <v>3299</v>
      </c>
    </row>
    <row r="2805" spans="1:22" x14ac:dyDescent="0.3">
      <c r="A2805">
        <v>186607</v>
      </c>
      <c r="B2805">
        <v>136440670</v>
      </c>
      <c r="C2805" t="s">
        <v>14360</v>
      </c>
      <c r="D2805" t="s">
        <v>14361</v>
      </c>
      <c r="E2805" t="s">
        <v>11426</v>
      </c>
      <c r="F2805" t="s">
        <v>844</v>
      </c>
      <c r="G2805" t="s">
        <v>164</v>
      </c>
      <c r="H2805" t="s">
        <v>165</v>
      </c>
      <c r="I2805" t="s">
        <v>34</v>
      </c>
      <c r="J2805" t="s">
        <v>166</v>
      </c>
      <c r="K2805" t="s">
        <v>41</v>
      </c>
      <c r="L2805" t="s">
        <v>14362</v>
      </c>
      <c r="M2805" t="s">
        <v>14363</v>
      </c>
      <c r="N2805" t="s">
        <v>11429</v>
      </c>
      <c r="O2805" t="s">
        <v>101</v>
      </c>
      <c r="P2805" t="s">
        <v>14364</v>
      </c>
      <c r="Q2805" t="s">
        <v>55</v>
      </c>
      <c r="R2805" t="s">
        <v>704</v>
      </c>
      <c r="S2805">
        <v>0.5</v>
      </c>
      <c r="T2805">
        <v>4067</v>
      </c>
      <c r="U2805">
        <v>0</v>
      </c>
      <c r="V2805">
        <v>4067</v>
      </c>
    </row>
    <row r="2806" spans="1:22" x14ac:dyDescent="0.3">
      <c r="A2806">
        <v>186607</v>
      </c>
      <c r="B2806">
        <v>136272196</v>
      </c>
      <c r="C2806" t="s">
        <v>14365</v>
      </c>
      <c r="D2806" t="s">
        <v>14366</v>
      </c>
      <c r="E2806" t="s">
        <v>11426</v>
      </c>
      <c r="F2806" t="s">
        <v>844</v>
      </c>
      <c r="G2806" t="s">
        <v>164</v>
      </c>
      <c r="H2806" t="s">
        <v>165</v>
      </c>
      <c r="I2806" t="s">
        <v>34</v>
      </c>
      <c r="J2806" t="s">
        <v>166</v>
      </c>
      <c r="K2806" t="s">
        <v>41</v>
      </c>
      <c r="L2806" t="s">
        <v>14367</v>
      </c>
      <c r="M2806" t="s">
        <v>14368</v>
      </c>
      <c r="N2806" t="s">
        <v>11429</v>
      </c>
      <c r="O2806" t="s">
        <v>101</v>
      </c>
      <c r="P2806" t="s">
        <v>14369</v>
      </c>
      <c r="Q2806" t="s">
        <v>70</v>
      </c>
      <c r="R2806" t="s">
        <v>12323</v>
      </c>
      <c r="S2806">
        <v>1.5</v>
      </c>
      <c r="T2806">
        <v>3501</v>
      </c>
      <c r="U2806">
        <v>0</v>
      </c>
      <c r="V2806">
        <v>3501</v>
      </c>
    </row>
    <row r="2807" spans="1:22" x14ac:dyDescent="0.3">
      <c r="A2807">
        <v>186607</v>
      </c>
      <c r="B2807">
        <v>136272275</v>
      </c>
      <c r="C2807" t="s">
        <v>14370</v>
      </c>
      <c r="D2807" t="s">
        <v>14371</v>
      </c>
      <c r="E2807" t="s">
        <v>11426</v>
      </c>
      <c r="F2807" t="s">
        <v>844</v>
      </c>
      <c r="G2807" t="s">
        <v>164</v>
      </c>
      <c r="H2807" t="s">
        <v>165</v>
      </c>
      <c r="I2807" t="s">
        <v>34</v>
      </c>
      <c r="J2807" t="s">
        <v>166</v>
      </c>
      <c r="K2807" t="s">
        <v>41</v>
      </c>
      <c r="L2807" t="s">
        <v>14372</v>
      </c>
      <c r="M2807" t="s">
        <v>14373</v>
      </c>
      <c r="N2807" t="s">
        <v>11429</v>
      </c>
      <c r="O2807" t="s">
        <v>101</v>
      </c>
      <c r="P2807" t="s">
        <v>14374</v>
      </c>
      <c r="Q2807" t="s">
        <v>60</v>
      </c>
      <c r="R2807" t="s">
        <v>12323</v>
      </c>
      <c r="S2807">
        <v>1</v>
      </c>
      <c r="T2807">
        <v>4346</v>
      </c>
      <c r="U2807">
        <v>0</v>
      </c>
      <c r="V2807">
        <v>4346</v>
      </c>
    </row>
    <row r="2808" spans="1:22" x14ac:dyDescent="0.3">
      <c r="A2808">
        <v>186607</v>
      </c>
      <c r="B2808">
        <v>136107633</v>
      </c>
      <c r="C2808" t="s">
        <v>14375</v>
      </c>
      <c r="D2808" t="s">
        <v>14376</v>
      </c>
      <c r="E2808" t="s">
        <v>11426</v>
      </c>
      <c r="F2808" t="s">
        <v>844</v>
      </c>
      <c r="G2808" t="s">
        <v>164</v>
      </c>
      <c r="H2808" t="s">
        <v>165</v>
      </c>
      <c r="I2808" t="s">
        <v>34</v>
      </c>
      <c r="J2808" t="s">
        <v>166</v>
      </c>
      <c r="K2808" t="s">
        <v>41</v>
      </c>
      <c r="L2808" t="s">
        <v>14377</v>
      </c>
      <c r="M2808" t="s">
        <v>14378</v>
      </c>
      <c r="N2808" t="s">
        <v>11429</v>
      </c>
      <c r="O2808" t="s">
        <v>101</v>
      </c>
      <c r="P2808" t="s">
        <v>14379</v>
      </c>
      <c r="Q2808" t="s">
        <v>110</v>
      </c>
      <c r="R2808" t="s">
        <v>369</v>
      </c>
      <c r="S2808">
        <v>2</v>
      </c>
      <c r="T2808">
        <v>7506</v>
      </c>
      <c r="U2808">
        <v>0</v>
      </c>
      <c r="V2808">
        <v>7506</v>
      </c>
    </row>
    <row r="2809" spans="1:22" x14ac:dyDescent="0.3">
      <c r="A2809">
        <v>186607</v>
      </c>
      <c r="B2809">
        <v>136198237</v>
      </c>
      <c r="C2809" t="s">
        <v>14380</v>
      </c>
      <c r="D2809" t="s">
        <v>14381</v>
      </c>
      <c r="E2809" t="s">
        <v>11426</v>
      </c>
      <c r="F2809" t="s">
        <v>844</v>
      </c>
      <c r="G2809" t="s">
        <v>164</v>
      </c>
      <c r="H2809" t="s">
        <v>165</v>
      </c>
      <c r="I2809" t="s">
        <v>34</v>
      </c>
      <c r="J2809" t="s">
        <v>166</v>
      </c>
      <c r="K2809" t="s">
        <v>41</v>
      </c>
      <c r="L2809" t="s">
        <v>14382</v>
      </c>
      <c r="M2809" t="s">
        <v>14383</v>
      </c>
      <c r="N2809" t="s">
        <v>11429</v>
      </c>
      <c r="O2809" t="s">
        <v>101</v>
      </c>
      <c r="P2809" t="s">
        <v>14384</v>
      </c>
      <c r="Q2809" t="s">
        <v>57</v>
      </c>
      <c r="R2809" t="s">
        <v>339</v>
      </c>
      <c r="S2809">
        <v>1.5</v>
      </c>
      <c r="T2809">
        <v>5476</v>
      </c>
      <c r="U2809">
        <v>0</v>
      </c>
      <c r="V2809">
        <v>5476</v>
      </c>
    </row>
    <row r="2810" spans="1:22" x14ac:dyDescent="0.3">
      <c r="A2810">
        <v>186607</v>
      </c>
      <c r="B2810">
        <v>136107565</v>
      </c>
      <c r="C2810" t="s">
        <v>14385</v>
      </c>
      <c r="D2810" t="s">
        <v>14386</v>
      </c>
      <c r="E2810" t="s">
        <v>11426</v>
      </c>
      <c r="F2810" t="s">
        <v>844</v>
      </c>
      <c r="G2810" t="s">
        <v>164</v>
      </c>
      <c r="H2810" t="s">
        <v>165</v>
      </c>
      <c r="I2810" t="s">
        <v>34</v>
      </c>
      <c r="J2810" t="s">
        <v>166</v>
      </c>
      <c r="K2810" t="s">
        <v>41</v>
      </c>
      <c r="L2810" t="s">
        <v>14387</v>
      </c>
      <c r="M2810" t="s">
        <v>14388</v>
      </c>
      <c r="N2810" t="s">
        <v>11429</v>
      </c>
      <c r="O2810" t="s">
        <v>101</v>
      </c>
      <c r="P2810" t="s">
        <v>14389</v>
      </c>
      <c r="Q2810" t="s">
        <v>57</v>
      </c>
      <c r="R2810" t="s">
        <v>369</v>
      </c>
      <c r="S2810">
        <v>1</v>
      </c>
      <c r="T2810">
        <v>5476</v>
      </c>
      <c r="U2810">
        <v>0</v>
      </c>
      <c r="V2810">
        <v>5476</v>
      </c>
    </row>
    <row r="2811" spans="1:22" x14ac:dyDescent="0.3">
      <c r="A2811">
        <v>186607</v>
      </c>
      <c r="B2811">
        <v>136107599</v>
      </c>
      <c r="C2811" t="s">
        <v>14390</v>
      </c>
      <c r="D2811" t="s">
        <v>14391</v>
      </c>
      <c r="E2811" t="s">
        <v>11426</v>
      </c>
      <c r="F2811" t="s">
        <v>844</v>
      </c>
      <c r="G2811" t="s">
        <v>164</v>
      </c>
      <c r="H2811" t="s">
        <v>165</v>
      </c>
      <c r="I2811" t="s">
        <v>34</v>
      </c>
      <c r="J2811" t="s">
        <v>166</v>
      </c>
      <c r="K2811" t="s">
        <v>41</v>
      </c>
      <c r="L2811" t="s">
        <v>14392</v>
      </c>
      <c r="M2811" t="s">
        <v>14393</v>
      </c>
      <c r="N2811" t="s">
        <v>11429</v>
      </c>
      <c r="O2811" t="s">
        <v>101</v>
      </c>
      <c r="P2811" t="s">
        <v>14394</v>
      </c>
      <c r="Q2811" t="s">
        <v>57</v>
      </c>
      <c r="R2811" t="s">
        <v>369</v>
      </c>
      <c r="S2811">
        <v>1</v>
      </c>
      <c r="T2811">
        <v>5476</v>
      </c>
      <c r="U2811">
        <v>0</v>
      </c>
      <c r="V2811">
        <v>5476</v>
      </c>
    </row>
    <row r="2812" spans="1:22" x14ac:dyDescent="0.3">
      <c r="A2812">
        <v>186607</v>
      </c>
      <c r="B2812">
        <v>136198496</v>
      </c>
      <c r="C2812" t="s">
        <v>14395</v>
      </c>
      <c r="D2812" t="s">
        <v>14396</v>
      </c>
      <c r="E2812" t="s">
        <v>11426</v>
      </c>
      <c r="F2812" t="s">
        <v>844</v>
      </c>
      <c r="G2812" t="s">
        <v>164</v>
      </c>
      <c r="H2812" t="s">
        <v>165</v>
      </c>
      <c r="I2812" t="s">
        <v>34</v>
      </c>
      <c r="J2812" t="s">
        <v>166</v>
      </c>
      <c r="K2812" t="s">
        <v>41</v>
      </c>
      <c r="L2812" t="s">
        <v>14397</v>
      </c>
      <c r="M2812" t="s">
        <v>14398</v>
      </c>
      <c r="N2812" t="s">
        <v>11429</v>
      </c>
      <c r="O2812" t="s">
        <v>101</v>
      </c>
      <c r="P2812" t="s">
        <v>14399</v>
      </c>
      <c r="Q2812" t="s">
        <v>58</v>
      </c>
      <c r="R2812" t="s">
        <v>718</v>
      </c>
      <c r="S2812">
        <v>1.5</v>
      </c>
      <c r="T2812">
        <v>5759</v>
      </c>
      <c r="U2812">
        <v>0</v>
      </c>
      <c r="V2812">
        <v>5759</v>
      </c>
    </row>
    <row r="2813" spans="1:22" x14ac:dyDescent="0.3">
      <c r="A2813">
        <v>186607</v>
      </c>
      <c r="B2813">
        <v>136328549</v>
      </c>
      <c r="C2813" t="s">
        <v>14400</v>
      </c>
      <c r="D2813" t="s">
        <v>14401</v>
      </c>
      <c r="E2813" t="s">
        <v>11426</v>
      </c>
      <c r="F2813" t="s">
        <v>844</v>
      </c>
      <c r="G2813" t="s">
        <v>164</v>
      </c>
      <c r="H2813" t="s">
        <v>165</v>
      </c>
      <c r="I2813" t="s">
        <v>34</v>
      </c>
      <c r="J2813" t="s">
        <v>166</v>
      </c>
      <c r="K2813" t="s">
        <v>41</v>
      </c>
      <c r="L2813" t="s">
        <v>14402</v>
      </c>
      <c r="M2813" t="s">
        <v>14403</v>
      </c>
      <c r="N2813" t="s">
        <v>11429</v>
      </c>
      <c r="O2813" t="s">
        <v>101</v>
      </c>
      <c r="P2813" t="s">
        <v>14404</v>
      </c>
      <c r="Q2813" t="s">
        <v>274</v>
      </c>
      <c r="R2813" t="s">
        <v>11485</v>
      </c>
      <c r="S2813">
        <v>1.5</v>
      </c>
      <c r="T2813">
        <v>3366</v>
      </c>
      <c r="U2813">
        <v>0</v>
      </c>
      <c r="V2813">
        <v>3366</v>
      </c>
    </row>
    <row r="2814" spans="1:22" x14ac:dyDescent="0.3">
      <c r="A2814">
        <v>186607</v>
      </c>
      <c r="B2814">
        <v>136364509</v>
      </c>
      <c r="C2814" t="s">
        <v>14405</v>
      </c>
      <c r="D2814" t="s">
        <v>14406</v>
      </c>
      <c r="E2814" t="s">
        <v>11426</v>
      </c>
      <c r="F2814" t="s">
        <v>844</v>
      </c>
      <c r="G2814" t="s">
        <v>164</v>
      </c>
      <c r="H2814" t="s">
        <v>165</v>
      </c>
      <c r="I2814" t="s">
        <v>34</v>
      </c>
      <c r="J2814" t="s">
        <v>166</v>
      </c>
      <c r="K2814" t="s">
        <v>41</v>
      </c>
      <c r="L2814" t="s">
        <v>14407</v>
      </c>
      <c r="M2814" t="s">
        <v>14408</v>
      </c>
      <c r="N2814" t="s">
        <v>11429</v>
      </c>
      <c r="O2814" t="s">
        <v>101</v>
      </c>
      <c r="P2814" t="s">
        <v>14409</v>
      </c>
      <c r="Q2814" t="s">
        <v>169</v>
      </c>
      <c r="R2814" t="s">
        <v>758</v>
      </c>
      <c r="S2814">
        <v>1</v>
      </c>
      <c r="T2814">
        <v>4346</v>
      </c>
      <c r="U2814">
        <v>0</v>
      </c>
      <c r="V2814">
        <v>4346</v>
      </c>
    </row>
    <row r="2815" spans="1:22" x14ac:dyDescent="0.3">
      <c r="A2815">
        <v>186607</v>
      </c>
      <c r="B2815">
        <v>136364606</v>
      </c>
      <c r="C2815" t="s">
        <v>14410</v>
      </c>
      <c r="D2815" t="s">
        <v>14411</v>
      </c>
      <c r="E2815" t="s">
        <v>11426</v>
      </c>
      <c r="F2815" t="s">
        <v>844</v>
      </c>
      <c r="G2815" t="s">
        <v>164</v>
      </c>
      <c r="H2815" t="s">
        <v>165</v>
      </c>
      <c r="I2815" t="s">
        <v>34</v>
      </c>
      <c r="J2815" t="s">
        <v>166</v>
      </c>
      <c r="K2815" t="s">
        <v>41</v>
      </c>
      <c r="L2815" t="s">
        <v>14412</v>
      </c>
      <c r="M2815" t="s">
        <v>14413</v>
      </c>
      <c r="N2815" t="s">
        <v>11429</v>
      </c>
      <c r="O2815" t="s">
        <v>101</v>
      </c>
      <c r="P2815" t="s">
        <v>14414</v>
      </c>
      <c r="Q2815" t="s">
        <v>58</v>
      </c>
      <c r="R2815" t="s">
        <v>788</v>
      </c>
      <c r="S2815">
        <v>0.5</v>
      </c>
      <c r="T2815">
        <v>4067</v>
      </c>
      <c r="U2815">
        <v>0</v>
      </c>
      <c r="V2815">
        <v>4067</v>
      </c>
    </row>
    <row r="2816" spans="1:22" x14ac:dyDescent="0.3">
      <c r="A2816">
        <v>186607</v>
      </c>
      <c r="B2816">
        <v>136412716</v>
      </c>
      <c r="C2816" t="s">
        <v>14415</v>
      </c>
      <c r="D2816" t="s">
        <v>14416</v>
      </c>
      <c r="E2816" t="s">
        <v>11426</v>
      </c>
      <c r="F2816" t="s">
        <v>844</v>
      </c>
      <c r="G2816" t="s">
        <v>164</v>
      </c>
      <c r="H2816" t="s">
        <v>165</v>
      </c>
      <c r="I2816" t="s">
        <v>34</v>
      </c>
      <c r="J2816" t="s">
        <v>166</v>
      </c>
      <c r="K2816" t="s">
        <v>41</v>
      </c>
      <c r="L2816" t="s">
        <v>14417</v>
      </c>
      <c r="M2816" t="s">
        <v>14418</v>
      </c>
      <c r="N2816" t="s">
        <v>11429</v>
      </c>
      <c r="O2816" t="s">
        <v>101</v>
      </c>
      <c r="P2816" t="s">
        <v>14419</v>
      </c>
      <c r="Q2816" t="s">
        <v>92</v>
      </c>
      <c r="R2816" t="s">
        <v>430</v>
      </c>
      <c r="S2816">
        <v>1</v>
      </c>
      <c r="T2816">
        <v>3366</v>
      </c>
      <c r="U2816">
        <v>0</v>
      </c>
      <c r="V2816">
        <v>3366</v>
      </c>
    </row>
    <row r="2817" spans="1:22" x14ac:dyDescent="0.3">
      <c r="A2817">
        <v>186607</v>
      </c>
      <c r="B2817">
        <v>136272237</v>
      </c>
      <c r="C2817" t="s">
        <v>14420</v>
      </c>
      <c r="D2817" t="s">
        <v>14421</v>
      </c>
      <c r="E2817" t="s">
        <v>11426</v>
      </c>
      <c r="F2817" t="s">
        <v>844</v>
      </c>
      <c r="G2817" t="s">
        <v>164</v>
      </c>
      <c r="H2817" t="s">
        <v>165</v>
      </c>
      <c r="I2817" t="s">
        <v>34</v>
      </c>
      <c r="J2817" t="s">
        <v>166</v>
      </c>
      <c r="K2817" t="s">
        <v>41</v>
      </c>
      <c r="L2817" t="s">
        <v>14422</v>
      </c>
      <c r="M2817" t="s">
        <v>14423</v>
      </c>
      <c r="N2817" t="s">
        <v>11429</v>
      </c>
      <c r="O2817" t="s">
        <v>101</v>
      </c>
      <c r="P2817" t="s">
        <v>14424</v>
      </c>
      <c r="Q2817" t="s">
        <v>63</v>
      </c>
      <c r="R2817" t="s">
        <v>12323</v>
      </c>
      <c r="S2817">
        <v>1</v>
      </c>
      <c r="T2817">
        <v>4067</v>
      </c>
      <c r="U2817">
        <v>0</v>
      </c>
      <c r="V2817">
        <v>4067</v>
      </c>
    </row>
    <row r="2818" spans="1:22" x14ac:dyDescent="0.3">
      <c r="A2818">
        <v>186607</v>
      </c>
      <c r="B2818">
        <v>136107556</v>
      </c>
      <c r="C2818" t="s">
        <v>14425</v>
      </c>
      <c r="D2818" t="s">
        <v>14426</v>
      </c>
      <c r="E2818" t="s">
        <v>11426</v>
      </c>
      <c r="F2818" t="s">
        <v>844</v>
      </c>
      <c r="G2818" t="s">
        <v>164</v>
      </c>
      <c r="H2818" t="s">
        <v>165</v>
      </c>
      <c r="I2818" t="s">
        <v>34</v>
      </c>
      <c r="J2818" t="s">
        <v>166</v>
      </c>
      <c r="K2818" t="s">
        <v>41</v>
      </c>
      <c r="L2818" t="s">
        <v>14427</v>
      </c>
      <c r="M2818" t="s">
        <v>14428</v>
      </c>
      <c r="N2818" t="s">
        <v>11429</v>
      </c>
      <c r="O2818" t="s">
        <v>101</v>
      </c>
      <c r="P2818" t="s">
        <v>14429</v>
      </c>
      <c r="Q2818" t="s">
        <v>55</v>
      </c>
      <c r="R2818" t="s">
        <v>369</v>
      </c>
      <c r="S2818">
        <v>1</v>
      </c>
      <c r="T2818">
        <v>5198</v>
      </c>
      <c r="U2818">
        <v>0</v>
      </c>
      <c r="V2818">
        <v>5198</v>
      </c>
    </row>
    <row r="2819" spans="1:22" x14ac:dyDescent="0.3">
      <c r="A2819">
        <v>186607</v>
      </c>
      <c r="B2819">
        <v>136198269</v>
      </c>
      <c r="C2819" t="s">
        <v>14430</v>
      </c>
      <c r="D2819" t="s">
        <v>14431</v>
      </c>
      <c r="E2819" t="s">
        <v>11426</v>
      </c>
      <c r="F2819" t="s">
        <v>844</v>
      </c>
      <c r="G2819" t="s">
        <v>164</v>
      </c>
      <c r="H2819" t="s">
        <v>165</v>
      </c>
      <c r="I2819" t="s">
        <v>34</v>
      </c>
      <c r="J2819" t="s">
        <v>166</v>
      </c>
      <c r="K2819" t="s">
        <v>41</v>
      </c>
      <c r="L2819" t="s">
        <v>14432</v>
      </c>
      <c r="M2819" t="s">
        <v>14433</v>
      </c>
      <c r="N2819" t="s">
        <v>11429</v>
      </c>
      <c r="O2819" t="s">
        <v>101</v>
      </c>
      <c r="P2819" t="s">
        <v>14434</v>
      </c>
      <c r="Q2819" t="s">
        <v>224</v>
      </c>
      <c r="R2819" t="s">
        <v>339</v>
      </c>
      <c r="S2819">
        <v>1.5</v>
      </c>
      <c r="T2819">
        <v>4067</v>
      </c>
      <c r="U2819">
        <v>0</v>
      </c>
      <c r="V2819">
        <v>4067</v>
      </c>
    </row>
    <row r="2820" spans="1:22" x14ac:dyDescent="0.3">
      <c r="A2820">
        <v>186607</v>
      </c>
      <c r="B2820">
        <v>136328495</v>
      </c>
      <c r="C2820" t="s">
        <v>14435</v>
      </c>
      <c r="D2820" t="s">
        <v>14436</v>
      </c>
      <c r="E2820" t="s">
        <v>11426</v>
      </c>
      <c r="F2820" t="s">
        <v>844</v>
      </c>
      <c r="G2820" t="s">
        <v>164</v>
      </c>
      <c r="H2820" t="s">
        <v>165</v>
      </c>
      <c r="I2820" t="s">
        <v>34</v>
      </c>
      <c r="J2820" t="s">
        <v>166</v>
      </c>
      <c r="K2820" t="s">
        <v>41</v>
      </c>
      <c r="L2820" t="s">
        <v>14437</v>
      </c>
      <c r="M2820" t="s">
        <v>14438</v>
      </c>
      <c r="N2820" t="s">
        <v>11429</v>
      </c>
      <c r="O2820" t="s">
        <v>101</v>
      </c>
      <c r="P2820" t="s">
        <v>14439</v>
      </c>
      <c r="Q2820" t="s">
        <v>50</v>
      </c>
      <c r="R2820" t="s">
        <v>14086</v>
      </c>
      <c r="S2820">
        <v>0.5</v>
      </c>
      <c r="T2820">
        <v>3680</v>
      </c>
      <c r="U2820">
        <v>0</v>
      </c>
      <c r="V2820">
        <v>3680</v>
      </c>
    </row>
    <row r="2821" spans="1:22" x14ac:dyDescent="0.3">
      <c r="A2821">
        <v>186607</v>
      </c>
      <c r="B2821">
        <v>136027768</v>
      </c>
      <c r="C2821" t="s">
        <v>14440</v>
      </c>
      <c r="D2821" t="s">
        <v>14441</v>
      </c>
      <c r="E2821" t="s">
        <v>11426</v>
      </c>
      <c r="F2821" t="s">
        <v>844</v>
      </c>
      <c r="G2821" t="s">
        <v>164</v>
      </c>
      <c r="H2821" t="s">
        <v>165</v>
      </c>
      <c r="I2821" t="s">
        <v>34</v>
      </c>
      <c r="J2821" t="s">
        <v>166</v>
      </c>
      <c r="K2821" t="s">
        <v>41</v>
      </c>
      <c r="L2821" t="s">
        <v>14442</v>
      </c>
      <c r="M2821" t="s">
        <v>14443</v>
      </c>
      <c r="N2821" t="s">
        <v>11429</v>
      </c>
      <c r="O2821" t="s">
        <v>101</v>
      </c>
      <c r="P2821" t="s">
        <v>14444</v>
      </c>
      <c r="Q2821" t="s">
        <v>54</v>
      </c>
      <c r="R2821" t="s">
        <v>489</v>
      </c>
      <c r="S2821">
        <v>1</v>
      </c>
      <c r="T2821">
        <v>5759</v>
      </c>
      <c r="U2821">
        <v>0</v>
      </c>
      <c r="V2821">
        <v>5759</v>
      </c>
    </row>
    <row r="2822" spans="1:22" x14ac:dyDescent="0.3">
      <c r="A2822">
        <v>186607</v>
      </c>
      <c r="B2822">
        <v>136107535</v>
      </c>
      <c r="C2822" t="s">
        <v>14445</v>
      </c>
      <c r="D2822" t="s">
        <v>14446</v>
      </c>
      <c r="E2822" t="s">
        <v>11426</v>
      </c>
      <c r="F2822" t="s">
        <v>844</v>
      </c>
      <c r="G2822" t="s">
        <v>164</v>
      </c>
      <c r="H2822" t="s">
        <v>165</v>
      </c>
      <c r="I2822" t="s">
        <v>34</v>
      </c>
      <c r="J2822" t="s">
        <v>166</v>
      </c>
      <c r="K2822" t="s">
        <v>41</v>
      </c>
      <c r="L2822" t="s">
        <v>14447</v>
      </c>
      <c r="M2822" t="s">
        <v>14448</v>
      </c>
      <c r="N2822" t="s">
        <v>11429</v>
      </c>
      <c r="O2822" t="s">
        <v>101</v>
      </c>
      <c r="P2822" t="s">
        <v>14449</v>
      </c>
      <c r="Q2822" t="s">
        <v>55</v>
      </c>
      <c r="R2822" t="s">
        <v>369</v>
      </c>
      <c r="S2822">
        <v>0.5</v>
      </c>
      <c r="T2822">
        <v>4067</v>
      </c>
      <c r="U2822">
        <v>0</v>
      </c>
      <c r="V2822">
        <v>4067</v>
      </c>
    </row>
    <row r="2823" spans="1:22" x14ac:dyDescent="0.3">
      <c r="A2823">
        <v>186607</v>
      </c>
      <c r="B2823">
        <v>136198250</v>
      </c>
      <c r="C2823" t="s">
        <v>14450</v>
      </c>
      <c r="D2823" t="s">
        <v>14451</v>
      </c>
      <c r="E2823" t="s">
        <v>11426</v>
      </c>
      <c r="F2823" t="s">
        <v>844</v>
      </c>
      <c r="G2823" t="s">
        <v>164</v>
      </c>
      <c r="H2823" t="s">
        <v>165</v>
      </c>
      <c r="I2823" t="s">
        <v>34</v>
      </c>
      <c r="J2823" t="s">
        <v>166</v>
      </c>
      <c r="K2823" t="s">
        <v>41</v>
      </c>
      <c r="L2823" t="s">
        <v>14452</v>
      </c>
      <c r="M2823" t="s">
        <v>14453</v>
      </c>
      <c r="N2823" t="s">
        <v>11429</v>
      </c>
      <c r="O2823" t="s">
        <v>101</v>
      </c>
      <c r="P2823" t="s">
        <v>14454</v>
      </c>
      <c r="Q2823" t="s">
        <v>190</v>
      </c>
      <c r="R2823" t="s">
        <v>339</v>
      </c>
      <c r="S2823">
        <v>1</v>
      </c>
      <c r="T2823">
        <v>3366</v>
      </c>
      <c r="U2823">
        <v>0</v>
      </c>
      <c r="V2823">
        <v>3366</v>
      </c>
    </row>
    <row r="2824" spans="1:22" x14ac:dyDescent="0.3">
      <c r="A2824">
        <v>186607</v>
      </c>
      <c r="B2824">
        <v>136328508</v>
      </c>
      <c r="C2824" t="s">
        <v>14455</v>
      </c>
      <c r="D2824" t="s">
        <v>14456</v>
      </c>
      <c r="E2824" t="s">
        <v>11426</v>
      </c>
      <c r="F2824" t="s">
        <v>844</v>
      </c>
      <c r="G2824" t="s">
        <v>164</v>
      </c>
      <c r="H2824" t="s">
        <v>165</v>
      </c>
      <c r="I2824" t="s">
        <v>34</v>
      </c>
      <c r="J2824" t="s">
        <v>166</v>
      </c>
      <c r="K2824" t="s">
        <v>41</v>
      </c>
      <c r="L2824" t="s">
        <v>14457</v>
      </c>
      <c r="M2824" t="s">
        <v>14458</v>
      </c>
      <c r="N2824" t="s">
        <v>11429</v>
      </c>
      <c r="O2824" t="s">
        <v>101</v>
      </c>
      <c r="P2824" t="s">
        <v>14459</v>
      </c>
      <c r="Q2824" t="s">
        <v>55</v>
      </c>
      <c r="R2824" t="s">
        <v>11485</v>
      </c>
      <c r="S2824">
        <v>0.5</v>
      </c>
      <c r="T2824">
        <v>4067</v>
      </c>
      <c r="U2824">
        <v>0</v>
      </c>
      <c r="V2824">
        <v>4067</v>
      </c>
    </row>
    <row r="2825" spans="1:22" x14ac:dyDescent="0.3">
      <c r="A2825">
        <v>186607</v>
      </c>
      <c r="B2825">
        <v>136440654</v>
      </c>
      <c r="C2825" t="s">
        <v>14460</v>
      </c>
      <c r="D2825" t="s">
        <v>14461</v>
      </c>
      <c r="E2825" t="s">
        <v>11426</v>
      </c>
      <c r="F2825" t="s">
        <v>844</v>
      </c>
      <c r="G2825" t="s">
        <v>164</v>
      </c>
      <c r="H2825" t="s">
        <v>165</v>
      </c>
      <c r="I2825" t="s">
        <v>34</v>
      </c>
      <c r="J2825" t="s">
        <v>166</v>
      </c>
      <c r="K2825" t="s">
        <v>41</v>
      </c>
      <c r="L2825" t="s">
        <v>14462</v>
      </c>
      <c r="M2825" t="s">
        <v>14463</v>
      </c>
      <c r="N2825" t="s">
        <v>11429</v>
      </c>
      <c r="O2825" t="s">
        <v>101</v>
      </c>
      <c r="P2825" t="s">
        <v>14464</v>
      </c>
      <c r="Q2825" t="s">
        <v>92</v>
      </c>
      <c r="R2825" t="s">
        <v>704</v>
      </c>
      <c r="S2825">
        <v>0.5</v>
      </c>
      <c r="T2825">
        <v>3299</v>
      </c>
      <c r="U2825">
        <v>0</v>
      </c>
      <c r="V2825">
        <v>3299</v>
      </c>
    </row>
    <row r="2826" spans="1:22" x14ac:dyDescent="0.3">
      <c r="A2826">
        <v>186607</v>
      </c>
      <c r="B2826">
        <v>135554099</v>
      </c>
      <c r="C2826" t="s">
        <v>14465</v>
      </c>
      <c r="D2826" t="s">
        <v>14466</v>
      </c>
      <c r="E2826" t="s">
        <v>11426</v>
      </c>
      <c r="F2826" t="s">
        <v>844</v>
      </c>
      <c r="G2826" t="s">
        <v>164</v>
      </c>
      <c r="H2826" t="s">
        <v>165</v>
      </c>
      <c r="I2826" t="s">
        <v>34</v>
      </c>
      <c r="J2826" t="s">
        <v>166</v>
      </c>
      <c r="K2826" t="s">
        <v>41</v>
      </c>
      <c r="L2826" t="s">
        <v>14467</v>
      </c>
      <c r="M2826" t="s">
        <v>14468</v>
      </c>
      <c r="N2826" t="s">
        <v>11429</v>
      </c>
      <c r="O2826" t="s">
        <v>101</v>
      </c>
      <c r="P2826" t="s">
        <v>14469</v>
      </c>
      <c r="Q2826" t="s">
        <v>246</v>
      </c>
      <c r="R2826" t="s">
        <v>13573</v>
      </c>
      <c r="S2826">
        <v>2.19</v>
      </c>
      <c r="T2826">
        <v>5759</v>
      </c>
      <c r="U2826">
        <v>0</v>
      </c>
      <c r="V2826">
        <v>5759</v>
      </c>
    </row>
    <row r="2827" spans="1:22" x14ac:dyDescent="0.3">
      <c r="A2827">
        <v>186607</v>
      </c>
      <c r="B2827">
        <v>136027718</v>
      </c>
      <c r="C2827" t="s">
        <v>14470</v>
      </c>
      <c r="D2827" t="s">
        <v>14471</v>
      </c>
      <c r="E2827" t="s">
        <v>11426</v>
      </c>
      <c r="F2827" t="s">
        <v>844</v>
      </c>
      <c r="G2827" t="s">
        <v>164</v>
      </c>
      <c r="H2827" t="s">
        <v>165</v>
      </c>
      <c r="I2827" t="s">
        <v>34</v>
      </c>
      <c r="J2827" t="s">
        <v>166</v>
      </c>
      <c r="K2827" t="s">
        <v>41</v>
      </c>
      <c r="L2827" t="s">
        <v>14472</v>
      </c>
      <c r="M2827" t="s">
        <v>552</v>
      </c>
      <c r="N2827" t="s">
        <v>11429</v>
      </c>
      <c r="O2827" t="s">
        <v>101</v>
      </c>
      <c r="P2827" t="s">
        <v>14473</v>
      </c>
      <c r="Q2827" t="s">
        <v>98</v>
      </c>
      <c r="R2827" t="s">
        <v>489</v>
      </c>
      <c r="S2827">
        <v>1</v>
      </c>
      <c r="T2827">
        <v>3366</v>
      </c>
      <c r="U2827">
        <v>0</v>
      </c>
      <c r="V2827">
        <v>3366</v>
      </c>
    </row>
    <row r="2828" spans="1:22" x14ac:dyDescent="0.3">
      <c r="A2828">
        <v>186607</v>
      </c>
      <c r="B2828">
        <v>136272252</v>
      </c>
      <c r="C2828" t="s">
        <v>14474</v>
      </c>
      <c r="D2828" t="s">
        <v>14475</v>
      </c>
      <c r="E2828" t="s">
        <v>11426</v>
      </c>
      <c r="F2828" t="s">
        <v>844</v>
      </c>
      <c r="G2828" t="s">
        <v>164</v>
      </c>
      <c r="H2828" t="s">
        <v>165</v>
      </c>
      <c r="I2828" t="s">
        <v>34</v>
      </c>
      <c r="J2828" t="s">
        <v>166</v>
      </c>
      <c r="K2828" t="s">
        <v>41</v>
      </c>
      <c r="L2828" t="s">
        <v>14476</v>
      </c>
      <c r="M2828" t="s">
        <v>14477</v>
      </c>
      <c r="N2828" t="s">
        <v>11429</v>
      </c>
      <c r="O2828" t="s">
        <v>101</v>
      </c>
      <c r="P2828" t="s">
        <v>14478</v>
      </c>
      <c r="Q2828" t="s">
        <v>55</v>
      </c>
      <c r="R2828" t="s">
        <v>12323</v>
      </c>
      <c r="S2828">
        <v>1</v>
      </c>
      <c r="T2828">
        <v>5198</v>
      </c>
      <c r="U2828">
        <v>0</v>
      </c>
      <c r="V2828">
        <v>5198</v>
      </c>
    </row>
    <row r="2829" spans="1:22" x14ac:dyDescent="0.3">
      <c r="A2829">
        <v>186607</v>
      </c>
      <c r="B2829">
        <v>136272181</v>
      </c>
      <c r="C2829" t="s">
        <v>14479</v>
      </c>
      <c r="D2829" t="s">
        <v>14480</v>
      </c>
      <c r="E2829" t="s">
        <v>11426</v>
      </c>
      <c r="F2829" t="s">
        <v>844</v>
      </c>
      <c r="G2829" t="s">
        <v>164</v>
      </c>
      <c r="H2829" t="s">
        <v>165</v>
      </c>
      <c r="I2829" t="s">
        <v>34</v>
      </c>
      <c r="J2829" t="s">
        <v>166</v>
      </c>
      <c r="K2829" t="s">
        <v>41</v>
      </c>
      <c r="L2829" t="s">
        <v>14481</v>
      </c>
      <c r="M2829" t="s">
        <v>14482</v>
      </c>
      <c r="N2829" t="s">
        <v>11429</v>
      </c>
      <c r="O2829" t="s">
        <v>101</v>
      </c>
      <c r="P2829" t="s">
        <v>14483</v>
      </c>
      <c r="Q2829" t="s">
        <v>55</v>
      </c>
      <c r="R2829" t="s">
        <v>12323</v>
      </c>
      <c r="S2829">
        <v>1</v>
      </c>
      <c r="T2829">
        <v>5198</v>
      </c>
      <c r="U2829">
        <v>0</v>
      </c>
      <c r="V2829">
        <v>5198</v>
      </c>
    </row>
    <row r="2830" spans="1:22" x14ac:dyDescent="0.3">
      <c r="A2830">
        <v>186607</v>
      </c>
      <c r="B2830">
        <v>136027746</v>
      </c>
      <c r="C2830" t="s">
        <v>14484</v>
      </c>
      <c r="D2830" t="s">
        <v>14485</v>
      </c>
      <c r="E2830" t="s">
        <v>11426</v>
      </c>
      <c r="F2830" t="s">
        <v>844</v>
      </c>
      <c r="G2830" t="s">
        <v>164</v>
      </c>
      <c r="H2830" t="s">
        <v>165</v>
      </c>
      <c r="I2830" t="s">
        <v>34</v>
      </c>
      <c r="J2830" t="s">
        <v>166</v>
      </c>
      <c r="K2830" t="s">
        <v>41</v>
      </c>
      <c r="L2830" t="s">
        <v>14481</v>
      </c>
      <c r="M2830" t="s">
        <v>14486</v>
      </c>
      <c r="N2830" t="s">
        <v>11429</v>
      </c>
      <c r="O2830" t="s">
        <v>101</v>
      </c>
      <c r="P2830" t="s">
        <v>14487</v>
      </c>
      <c r="Q2830" t="s">
        <v>55</v>
      </c>
      <c r="R2830" t="s">
        <v>489</v>
      </c>
      <c r="S2830">
        <v>1</v>
      </c>
      <c r="T2830">
        <v>5198</v>
      </c>
      <c r="U2830">
        <v>0</v>
      </c>
      <c r="V2830">
        <v>5198</v>
      </c>
    </row>
    <row r="2831" spans="1:22" x14ac:dyDescent="0.3">
      <c r="A2831">
        <v>186607</v>
      </c>
      <c r="B2831">
        <v>136107518</v>
      </c>
      <c r="C2831" t="s">
        <v>14488</v>
      </c>
      <c r="D2831" t="s">
        <v>14489</v>
      </c>
      <c r="E2831" t="s">
        <v>11426</v>
      </c>
      <c r="F2831" t="s">
        <v>844</v>
      </c>
      <c r="G2831" t="s">
        <v>164</v>
      </c>
      <c r="H2831" t="s">
        <v>165</v>
      </c>
      <c r="I2831" t="s">
        <v>34</v>
      </c>
      <c r="J2831" t="s">
        <v>166</v>
      </c>
      <c r="K2831" t="s">
        <v>41</v>
      </c>
      <c r="L2831" t="s">
        <v>14490</v>
      </c>
      <c r="M2831" t="s">
        <v>14491</v>
      </c>
      <c r="N2831" t="s">
        <v>11429</v>
      </c>
      <c r="O2831" t="s">
        <v>101</v>
      </c>
      <c r="P2831" t="s">
        <v>14492</v>
      </c>
      <c r="Q2831" t="s">
        <v>98</v>
      </c>
      <c r="R2831" t="s">
        <v>369</v>
      </c>
      <c r="S2831">
        <v>0.5</v>
      </c>
      <c r="T2831">
        <v>3299</v>
      </c>
      <c r="U2831">
        <v>0</v>
      </c>
      <c r="V2831">
        <v>3299</v>
      </c>
    </row>
    <row r="2832" spans="1:22" x14ac:dyDescent="0.3">
      <c r="A2832">
        <v>186607</v>
      </c>
      <c r="B2832">
        <v>136412780</v>
      </c>
      <c r="C2832" t="s">
        <v>14493</v>
      </c>
      <c r="D2832" t="s">
        <v>14494</v>
      </c>
      <c r="E2832" t="s">
        <v>11426</v>
      </c>
      <c r="F2832" t="s">
        <v>844</v>
      </c>
      <c r="G2832" t="s">
        <v>164</v>
      </c>
      <c r="H2832" t="s">
        <v>165</v>
      </c>
      <c r="I2832" t="s">
        <v>34</v>
      </c>
      <c r="J2832" t="s">
        <v>166</v>
      </c>
      <c r="K2832" t="s">
        <v>41</v>
      </c>
      <c r="L2832" t="s">
        <v>14495</v>
      </c>
      <c r="M2832" t="s">
        <v>14496</v>
      </c>
      <c r="N2832" t="s">
        <v>11429</v>
      </c>
      <c r="O2832" t="s">
        <v>101</v>
      </c>
      <c r="P2832" t="s">
        <v>14497</v>
      </c>
      <c r="Q2832" t="s">
        <v>109</v>
      </c>
      <c r="R2832" t="s">
        <v>13495</v>
      </c>
      <c r="S2832">
        <v>0.5</v>
      </c>
      <c r="T2832">
        <v>3680</v>
      </c>
      <c r="U2832">
        <v>0</v>
      </c>
      <c r="V2832">
        <v>3680</v>
      </c>
    </row>
    <row r="2833" spans="1:22" x14ac:dyDescent="0.3">
      <c r="A2833">
        <v>186607</v>
      </c>
      <c r="B2833">
        <v>136027688</v>
      </c>
      <c r="C2833" t="s">
        <v>14498</v>
      </c>
      <c r="D2833" t="s">
        <v>14499</v>
      </c>
      <c r="E2833" t="s">
        <v>11426</v>
      </c>
      <c r="F2833" t="s">
        <v>844</v>
      </c>
      <c r="G2833" t="s">
        <v>164</v>
      </c>
      <c r="H2833" t="s">
        <v>165</v>
      </c>
      <c r="I2833" t="s">
        <v>34</v>
      </c>
      <c r="J2833" t="s">
        <v>166</v>
      </c>
      <c r="K2833" t="s">
        <v>41</v>
      </c>
      <c r="L2833" t="s">
        <v>14500</v>
      </c>
      <c r="M2833" t="s">
        <v>14501</v>
      </c>
      <c r="N2833" t="s">
        <v>11429</v>
      </c>
      <c r="O2833" t="s">
        <v>101</v>
      </c>
      <c r="P2833" t="s">
        <v>14502</v>
      </c>
      <c r="Q2833" t="s">
        <v>60</v>
      </c>
      <c r="R2833" t="s">
        <v>489</v>
      </c>
      <c r="S2833">
        <v>1</v>
      </c>
      <c r="T2833">
        <v>4346</v>
      </c>
      <c r="U2833">
        <v>0</v>
      </c>
      <c r="V2833">
        <v>4346</v>
      </c>
    </row>
    <row r="2834" spans="1:22" x14ac:dyDescent="0.3">
      <c r="A2834">
        <v>186607</v>
      </c>
      <c r="B2834">
        <v>136412759</v>
      </c>
      <c r="C2834" t="s">
        <v>14503</v>
      </c>
      <c r="D2834" t="s">
        <v>14504</v>
      </c>
      <c r="E2834" t="s">
        <v>11426</v>
      </c>
      <c r="F2834" t="s">
        <v>844</v>
      </c>
      <c r="G2834" t="s">
        <v>164</v>
      </c>
      <c r="H2834" t="s">
        <v>165</v>
      </c>
      <c r="I2834" t="s">
        <v>34</v>
      </c>
      <c r="J2834" t="s">
        <v>166</v>
      </c>
      <c r="K2834" t="s">
        <v>41</v>
      </c>
      <c r="L2834" t="s">
        <v>14505</v>
      </c>
      <c r="M2834" t="s">
        <v>14506</v>
      </c>
      <c r="N2834" t="s">
        <v>11429</v>
      </c>
      <c r="O2834" t="s">
        <v>101</v>
      </c>
      <c r="P2834" t="s">
        <v>14507</v>
      </c>
      <c r="Q2834" t="s">
        <v>60</v>
      </c>
      <c r="R2834" t="s">
        <v>13495</v>
      </c>
      <c r="S2834">
        <v>0.5</v>
      </c>
      <c r="T2834">
        <v>3680</v>
      </c>
      <c r="U2834">
        <v>0</v>
      </c>
      <c r="V2834">
        <v>3680</v>
      </c>
    </row>
    <row r="2835" spans="1:22" x14ac:dyDescent="0.3">
      <c r="A2835">
        <v>186607</v>
      </c>
      <c r="B2835">
        <v>135983204</v>
      </c>
      <c r="C2835" t="s">
        <v>14508</v>
      </c>
      <c r="D2835" t="s">
        <v>14509</v>
      </c>
      <c r="E2835" t="s">
        <v>11426</v>
      </c>
      <c r="F2835" t="s">
        <v>844</v>
      </c>
      <c r="G2835" t="s">
        <v>164</v>
      </c>
      <c r="H2835" t="s">
        <v>165</v>
      </c>
      <c r="I2835" t="s">
        <v>34</v>
      </c>
      <c r="J2835" t="s">
        <v>166</v>
      </c>
      <c r="K2835" t="s">
        <v>41</v>
      </c>
      <c r="L2835" t="s">
        <v>14510</v>
      </c>
      <c r="M2835" t="s">
        <v>14511</v>
      </c>
      <c r="N2835" t="s">
        <v>11429</v>
      </c>
      <c r="O2835" t="s">
        <v>101</v>
      </c>
      <c r="P2835" t="s">
        <v>14512</v>
      </c>
      <c r="Q2835" t="s">
        <v>614</v>
      </c>
      <c r="R2835" t="s">
        <v>344</v>
      </c>
      <c r="S2835">
        <v>1</v>
      </c>
      <c r="T2835">
        <v>5476</v>
      </c>
      <c r="U2835">
        <v>0</v>
      </c>
      <c r="V2835">
        <v>5476</v>
      </c>
    </row>
    <row r="2836" spans="1:22" x14ac:dyDescent="0.3">
      <c r="A2836">
        <v>186607</v>
      </c>
      <c r="B2836">
        <v>136272273</v>
      </c>
      <c r="C2836" t="s">
        <v>14513</v>
      </c>
      <c r="D2836" t="s">
        <v>14514</v>
      </c>
      <c r="E2836" t="s">
        <v>11426</v>
      </c>
      <c r="F2836" t="s">
        <v>844</v>
      </c>
      <c r="G2836" t="s">
        <v>164</v>
      </c>
      <c r="H2836" t="s">
        <v>165</v>
      </c>
      <c r="I2836" t="s">
        <v>34</v>
      </c>
      <c r="J2836" t="s">
        <v>166</v>
      </c>
      <c r="K2836" t="s">
        <v>41</v>
      </c>
      <c r="L2836" t="s">
        <v>14515</v>
      </c>
      <c r="M2836" t="s">
        <v>14516</v>
      </c>
      <c r="N2836" t="s">
        <v>11429</v>
      </c>
      <c r="O2836" t="s">
        <v>101</v>
      </c>
      <c r="P2836" t="s">
        <v>14517</v>
      </c>
      <c r="Q2836" t="s">
        <v>90</v>
      </c>
      <c r="R2836" t="s">
        <v>12323</v>
      </c>
      <c r="S2836">
        <v>1</v>
      </c>
      <c r="T2836">
        <v>3870</v>
      </c>
      <c r="U2836">
        <v>0</v>
      </c>
      <c r="V2836">
        <v>3870</v>
      </c>
    </row>
    <row r="2837" spans="1:22" x14ac:dyDescent="0.3">
      <c r="A2837">
        <v>186607</v>
      </c>
      <c r="B2837">
        <v>136328469</v>
      </c>
      <c r="C2837" t="s">
        <v>14518</v>
      </c>
      <c r="D2837" t="s">
        <v>14519</v>
      </c>
      <c r="E2837" t="s">
        <v>11426</v>
      </c>
      <c r="F2837" t="s">
        <v>844</v>
      </c>
      <c r="G2837" t="s">
        <v>164</v>
      </c>
      <c r="H2837" t="s">
        <v>165</v>
      </c>
      <c r="I2837" t="s">
        <v>34</v>
      </c>
      <c r="J2837" t="s">
        <v>166</v>
      </c>
      <c r="K2837" t="s">
        <v>41</v>
      </c>
      <c r="L2837" t="s">
        <v>14520</v>
      </c>
      <c r="M2837" t="s">
        <v>14521</v>
      </c>
      <c r="N2837" t="s">
        <v>11429</v>
      </c>
      <c r="O2837" t="s">
        <v>101</v>
      </c>
      <c r="P2837" t="s">
        <v>14522</v>
      </c>
      <c r="Q2837" t="s">
        <v>90</v>
      </c>
      <c r="R2837" t="s">
        <v>14086</v>
      </c>
      <c r="S2837">
        <v>1</v>
      </c>
      <c r="T2837">
        <v>3870</v>
      </c>
      <c r="U2837">
        <v>0</v>
      </c>
      <c r="V2837">
        <v>3870</v>
      </c>
    </row>
    <row r="2838" spans="1:22" x14ac:dyDescent="0.3">
      <c r="A2838">
        <v>186607</v>
      </c>
      <c r="B2838">
        <v>136272222</v>
      </c>
      <c r="C2838" t="s">
        <v>14523</v>
      </c>
      <c r="D2838" t="s">
        <v>14524</v>
      </c>
      <c r="E2838" t="s">
        <v>11426</v>
      </c>
      <c r="F2838" t="s">
        <v>844</v>
      </c>
      <c r="G2838" t="s">
        <v>164</v>
      </c>
      <c r="H2838" t="s">
        <v>165</v>
      </c>
      <c r="I2838" t="s">
        <v>34</v>
      </c>
      <c r="J2838" t="s">
        <v>166</v>
      </c>
      <c r="K2838" t="s">
        <v>41</v>
      </c>
      <c r="L2838" t="s">
        <v>14525</v>
      </c>
      <c r="M2838" t="s">
        <v>14526</v>
      </c>
      <c r="N2838" t="s">
        <v>11429</v>
      </c>
      <c r="O2838" t="s">
        <v>101</v>
      </c>
      <c r="P2838" t="s">
        <v>14527</v>
      </c>
      <c r="Q2838" t="s">
        <v>60</v>
      </c>
      <c r="R2838" t="s">
        <v>12323</v>
      </c>
      <c r="S2838">
        <v>1</v>
      </c>
      <c r="T2838">
        <v>4346</v>
      </c>
      <c r="U2838">
        <v>0</v>
      </c>
      <c r="V2838">
        <v>4346</v>
      </c>
    </row>
    <row r="2839" spans="1:22" x14ac:dyDescent="0.3">
      <c r="A2839">
        <v>186607</v>
      </c>
      <c r="B2839">
        <v>136328510</v>
      </c>
      <c r="C2839" t="s">
        <v>14528</v>
      </c>
      <c r="D2839" t="s">
        <v>14529</v>
      </c>
      <c r="E2839" t="s">
        <v>11426</v>
      </c>
      <c r="F2839" t="s">
        <v>844</v>
      </c>
      <c r="G2839" t="s">
        <v>164</v>
      </c>
      <c r="H2839" t="s">
        <v>165</v>
      </c>
      <c r="I2839" t="s">
        <v>34</v>
      </c>
      <c r="J2839" t="s">
        <v>166</v>
      </c>
      <c r="K2839" t="s">
        <v>41</v>
      </c>
      <c r="L2839" t="s">
        <v>14530</v>
      </c>
      <c r="M2839" t="s">
        <v>14531</v>
      </c>
      <c r="N2839" t="s">
        <v>11429</v>
      </c>
      <c r="O2839" t="s">
        <v>101</v>
      </c>
      <c r="P2839" t="s">
        <v>14532</v>
      </c>
      <c r="Q2839" t="s">
        <v>811</v>
      </c>
      <c r="R2839" t="s">
        <v>11485</v>
      </c>
      <c r="S2839">
        <v>0.5</v>
      </c>
      <c r="T2839">
        <v>3680</v>
      </c>
      <c r="U2839">
        <v>0</v>
      </c>
      <c r="V2839">
        <v>3680</v>
      </c>
    </row>
    <row r="2840" spans="1:22" x14ac:dyDescent="0.3">
      <c r="A2840">
        <v>186607</v>
      </c>
      <c r="B2840">
        <v>136198490</v>
      </c>
      <c r="C2840" t="s">
        <v>14533</v>
      </c>
      <c r="D2840" t="s">
        <v>14534</v>
      </c>
      <c r="E2840" t="s">
        <v>11426</v>
      </c>
      <c r="F2840" t="s">
        <v>844</v>
      </c>
      <c r="G2840" t="s">
        <v>164</v>
      </c>
      <c r="H2840" t="s">
        <v>165</v>
      </c>
      <c r="I2840" t="s">
        <v>34</v>
      </c>
      <c r="J2840" t="s">
        <v>166</v>
      </c>
      <c r="K2840" t="s">
        <v>41</v>
      </c>
      <c r="L2840" t="s">
        <v>14535</v>
      </c>
      <c r="M2840" t="s">
        <v>14536</v>
      </c>
      <c r="N2840" t="s">
        <v>11429</v>
      </c>
      <c r="O2840" t="s">
        <v>101</v>
      </c>
      <c r="P2840" t="s">
        <v>14537</v>
      </c>
      <c r="Q2840" t="s">
        <v>109</v>
      </c>
      <c r="R2840" t="s">
        <v>718</v>
      </c>
      <c r="S2840">
        <v>1</v>
      </c>
      <c r="T2840">
        <v>4346</v>
      </c>
      <c r="U2840">
        <v>0</v>
      </c>
      <c r="V2840">
        <v>4346</v>
      </c>
    </row>
    <row r="2841" spans="1:22" x14ac:dyDescent="0.3">
      <c r="A2841">
        <v>186607</v>
      </c>
      <c r="B2841">
        <v>136328491</v>
      </c>
      <c r="C2841" t="s">
        <v>14538</v>
      </c>
      <c r="D2841" t="s">
        <v>14539</v>
      </c>
      <c r="E2841" t="s">
        <v>11426</v>
      </c>
      <c r="F2841" t="s">
        <v>844</v>
      </c>
      <c r="G2841" t="s">
        <v>164</v>
      </c>
      <c r="H2841" t="s">
        <v>165</v>
      </c>
      <c r="I2841" t="s">
        <v>34</v>
      </c>
      <c r="J2841" t="s">
        <v>166</v>
      </c>
      <c r="K2841" t="s">
        <v>41</v>
      </c>
      <c r="L2841" t="s">
        <v>14540</v>
      </c>
      <c r="M2841" t="s">
        <v>14541</v>
      </c>
      <c r="N2841" t="s">
        <v>11429</v>
      </c>
      <c r="O2841" t="s">
        <v>101</v>
      </c>
      <c r="P2841" t="s">
        <v>14542</v>
      </c>
      <c r="Q2841" t="s">
        <v>210</v>
      </c>
      <c r="R2841" t="s">
        <v>14086</v>
      </c>
      <c r="S2841">
        <v>1</v>
      </c>
      <c r="T2841">
        <v>4346</v>
      </c>
      <c r="U2841">
        <v>0</v>
      </c>
      <c r="V2841">
        <v>4346</v>
      </c>
    </row>
    <row r="2842" spans="1:22" x14ac:dyDescent="0.3">
      <c r="A2842">
        <v>186607</v>
      </c>
      <c r="B2842">
        <v>136412713</v>
      </c>
      <c r="C2842" t="s">
        <v>14543</v>
      </c>
      <c r="D2842" t="s">
        <v>14544</v>
      </c>
      <c r="E2842" t="s">
        <v>11426</v>
      </c>
      <c r="F2842" t="s">
        <v>844</v>
      </c>
      <c r="G2842" t="s">
        <v>164</v>
      </c>
      <c r="H2842" t="s">
        <v>165</v>
      </c>
      <c r="I2842" t="s">
        <v>34</v>
      </c>
      <c r="J2842" t="s">
        <v>166</v>
      </c>
      <c r="K2842" t="s">
        <v>41</v>
      </c>
      <c r="L2842" t="s">
        <v>14545</v>
      </c>
      <c r="M2842" t="s">
        <v>14546</v>
      </c>
      <c r="N2842" t="s">
        <v>11429</v>
      </c>
      <c r="O2842" t="s">
        <v>101</v>
      </c>
      <c r="P2842" t="s">
        <v>14547</v>
      </c>
      <c r="Q2842" t="s">
        <v>109</v>
      </c>
      <c r="R2842" t="s">
        <v>430</v>
      </c>
      <c r="S2842">
        <v>0.5</v>
      </c>
      <c r="T2842">
        <v>3680</v>
      </c>
      <c r="U2842">
        <v>0</v>
      </c>
      <c r="V2842">
        <v>3680</v>
      </c>
    </row>
    <row r="2843" spans="1:22" x14ac:dyDescent="0.3">
      <c r="A2843">
        <v>186607</v>
      </c>
      <c r="B2843">
        <v>136107498</v>
      </c>
      <c r="C2843" t="s">
        <v>14548</v>
      </c>
      <c r="D2843" t="s">
        <v>14549</v>
      </c>
      <c r="E2843" t="s">
        <v>11426</v>
      </c>
      <c r="F2843" t="s">
        <v>844</v>
      </c>
      <c r="G2843" t="s">
        <v>164</v>
      </c>
      <c r="H2843" t="s">
        <v>165</v>
      </c>
      <c r="I2843" t="s">
        <v>34</v>
      </c>
      <c r="J2843" t="s">
        <v>166</v>
      </c>
      <c r="K2843" t="s">
        <v>41</v>
      </c>
      <c r="L2843" t="s">
        <v>14550</v>
      </c>
      <c r="M2843" t="s">
        <v>14551</v>
      </c>
      <c r="N2843" t="s">
        <v>11429</v>
      </c>
      <c r="O2843" t="s">
        <v>101</v>
      </c>
      <c r="P2843" t="s">
        <v>14552</v>
      </c>
      <c r="Q2843" t="s">
        <v>60</v>
      </c>
      <c r="R2843" t="s">
        <v>369</v>
      </c>
      <c r="S2843">
        <v>1</v>
      </c>
      <c r="T2843">
        <v>4346</v>
      </c>
      <c r="U2843">
        <v>0</v>
      </c>
      <c r="V2843">
        <v>4346</v>
      </c>
    </row>
    <row r="2844" spans="1:22" x14ac:dyDescent="0.3">
      <c r="A2844">
        <v>186607</v>
      </c>
      <c r="B2844">
        <v>136272191</v>
      </c>
      <c r="C2844" t="s">
        <v>14553</v>
      </c>
      <c r="D2844" t="s">
        <v>14554</v>
      </c>
      <c r="E2844" t="s">
        <v>11426</v>
      </c>
      <c r="F2844" t="s">
        <v>844</v>
      </c>
      <c r="G2844" t="s">
        <v>164</v>
      </c>
      <c r="H2844" t="s">
        <v>165</v>
      </c>
      <c r="I2844" t="s">
        <v>34</v>
      </c>
      <c r="J2844" t="s">
        <v>166</v>
      </c>
      <c r="K2844" t="s">
        <v>41</v>
      </c>
      <c r="L2844" t="s">
        <v>14555</v>
      </c>
      <c r="M2844" t="s">
        <v>14556</v>
      </c>
      <c r="N2844" t="s">
        <v>11429</v>
      </c>
      <c r="O2844" t="s">
        <v>101</v>
      </c>
      <c r="P2844" t="s">
        <v>14557</v>
      </c>
      <c r="Q2844" t="s">
        <v>92</v>
      </c>
      <c r="R2844" t="s">
        <v>12323</v>
      </c>
      <c r="S2844">
        <v>0.5</v>
      </c>
      <c r="T2844">
        <v>3299</v>
      </c>
      <c r="U2844">
        <v>0</v>
      </c>
      <c r="V2844">
        <v>3299</v>
      </c>
    </row>
    <row r="2845" spans="1:22" x14ac:dyDescent="0.3">
      <c r="A2845">
        <v>186607</v>
      </c>
      <c r="B2845">
        <v>136364540</v>
      </c>
      <c r="C2845" t="s">
        <v>14558</v>
      </c>
      <c r="D2845" t="s">
        <v>14559</v>
      </c>
      <c r="E2845" t="s">
        <v>11426</v>
      </c>
      <c r="F2845" t="s">
        <v>844</v>
      </c>
      <c r="G2845" t="s">
        <v>164</v>
      </c>
      <c r="H2845" t="s">
        <v>165</v>
      </c>
      <c r="I2845" t="s">
        <v>34</v>
      </c>
      <c r="J2845" t="s">
        <v>166</v>
      </c>
      <c r="K2845" t="s">
        <v>41</v>
      </c>
      <c r="L2845" t="s">
        <v>14560</v>
      </c>
      <c r="M2845" t="s">
        <v>14561</v>
      </c>
      <c r="N2845" t="s">
        <v>11429</v>
      </c>
      <c r="O2845" t="s">
        <v>101</v>
      </c>
      <c r="P2845" t="s">
        <v>14562</v>
      </c>
      <c r="Q2845" t="s">
        <v>60</v>
      </c>
      <c r="R2845" t="s">
        <v>758</v>
      </c>
      <c r="S2845">
        <v>0.5</v>
      </c>
      <c r="T2845">
        <v>3680</v>
      </c>
      <c r="U2845">
        <v>0</v>
      </c>
      <c r="V2845">
        <v>3680</v>
      </c>
    </row>
    <row r="2846" spans="1:22" x14ac:dyDescent="0.3">
      <c r="A2846">
        <v>186607</v>
      </c>
      <c r="B2846">
        <v>136027640</v>
      </c>
      <c r="C2846" t="s">
        <v>14563</v>
      </c>
      <c r="D2846" t="s">
        <v>14564</v>
      </c>
      <c r="E2846" t="s">
        <v>11426</v>
      </c>
      <c r="F2846" t="s">
        <v>844</v>
      </c>
      <c r="G2846" t="s">
        <v>164</v>
      </c>
      <c r="H2846" t="s">
        <v>165</v>
      </c>
      <c r="I2846" t="s">
        <v>34</v>
      </c>
      <c r="J2846" t="s">
        <v>166</v>
      </c>
      <c r="K2846" t="s">
        <v>41</v>
      </c>
      <c r="L2846" t="s">
        <v>14565</v>
      </c>
      <c r="M2846" t="s">
        <v>14566</v>
      </c>
      <c r="N2846" t="s">
        <v>11429</v>
      </c>
      <c r="O2846" t="s">
        <v>101</v>
      </c>
      <c r="P2846" t="s">
        <v>14567</v>
      </c>
      <c r="Q2846" t="s">
        <v>89</v>
      </c>
      <c r="R2846" t="s">
        <v>489</v>
      </c>
      <c r="S2846">
        <v>0.5</v>
      </c>
      <c r="T2846">
        <v>3299</v>
      </c>
      <c r="U2846">
        <v>0</v>
      </c>
      <c r="V2846">
        <v>3299</v>
      </c>
    </row>
    <row r="2847" spans="1:22" x14ac:dyDescent="0.3">
      <c r="A2847">
        <v>186607</v>
      </c>
      <c r="B2847">
        <v>136198459</v>
      </c>
      <c r="C2847" t="s">
        <v>14568</v>
      </c>
      <c r="D2847" t="s">
        <v>14569</v>
      </c>
      <c r="E2847" t="s">
        <v>11426</v>
      </c>
      <c r="F2847" t="s">
        <v>844</v>
      </c>
      <c r="G2847" t="s">
        <v>164</v>
      </c>
      <c r="H2847" t="s">
        <v>165</v>
      </c>
      <c r="I2847" t="s">
        <v>34</v>
      </c>
      <c r="J2847" t="s">
        <v>166</v>
      </c>
      <c r="K2847" t="s">
        <v>41</v>
      </c>
      <c r="L2847" t="s">
        <v>14570</v>
      </c>
      <c r="M2847" t="s">
        <v>14571</v>
      </c>
      <c r="N2847" t="s">
        <v>11429</v>
      </c>
      <c r="O2847" t="s">
        <v>101</v>
      </c>
      <c r="P2847" t="s">
        <v>14572</v>
      </c>
      <c r="Q2847" t="s">
        <v>54</v>
      </c>
      <c r="R2847" t="s">
        <v>718</v>
      </c>
      <c r="S2847">
        <v>0.5</v>
      </c>
      <c r="T2847">
        <v>4067</v>
      </c>
      <c r="U2847">
        <v>0</v>
      </c>
      <c r="V2847">
        <v>4067</v>
      </c>
    </row>
    <row r="2848" spans="1:22" x14ac:dyDescent="0.3">
      <c r="A2848">
        <v>186607</v>
      </c>
      <c r="B2848">
        <v>136328558</v>
      </c>
      <c r="C2848" t="s">
        <v>14573</v>
      </c>
      <c r="D2848" t="s">
        <v>14574</v>
      </c>
      <c r="E2848" t="s">
        <v>11426</v>
      </c>
      <c r="F2848" t="s">
        <v>844</v>
      </c>
      <c r="G2848" t="s">
        <v>164</v>
      </c>
      <c r="H2848" t="s">
        <v>165</v>
      </c>
      <c r="I2848" t="s">
        <v>34</v>
      </c>
      <c r="J2848" t="s">
        <v>166</v>
      </c>
      <c r="K2848" t="s">
        <v>41</v>
      </c>
      <c r="L2848" t="s">
        <v>14575</v>
      </c>
      <c r="M2848" t="s">
        <v>14576</v>
      </c>
      <c r="N2848" t="s">
        <v>11429</v>
      </c>
      <c r="O2848" t="s">
        <v>101</v>
      </c>
      <c r="P2848" t="s">
        <v>14577</v>
      </c>
      <c r="Q2848" t="s">
        <v>315</v>
      </c>
      <c r="R2848" t="s">
        <v>11485</v>
      </c>
      <c r="S2848">
        <v>1</v>
      </c>
      <c r="T2848">
        <v>3784</v>
      </c>
      <c r="U2848">
        <v>0</v>
      </c>
      <c r="V2848">
        <v>3784</v>
      </c>
    </row>
    <row r="2849" spans="1:22" x14ac:dyDescent="0.3">
      <c r="A2849">
        <v>186607</v>
      </c>
      <c r="B2849">
        <v>136027769</v>
      </c>
      <c r="C2849" t="s">
        <v>14578</v>
      </c>
      <c r="D2849" t="s">
        <v>14579</v>
      </c>
      <c r="E2849" t="s">
        <v>11426</v>
      </c>
      <c r="F2849" t="s">
        <v>844</v>
      </c>
      <c r="G2849" t="s">
        <v>164</v>
      </c>
      <c r="H2849" t="s">
        <v>165</v>
      </c>
      <c r="I2849" t="s">
        <v>34</v>
      </c>
      <c r="J2849" t="s">
        <v>166</v>
      </c>
      <c r="K2849" t="s">
        <v>41</v>
      </c>
      <c r="L2849" t="s">
        <v>14580</v>
      </c>
      <c r="M2849" t="s">
        <v>14581</v>
      </c>
      <c r="N2849" t="s">
        <v>11429</v>
      </c>
      <c r="O2849" t="s">
        <v>101</v>
      </c>
      <c r="P2849" t="s">
        <v>14582</v>
      </c>
      <c r="Q2849" t="s">
        <v>69</v>
      </c>
      <c r="R2849" t="s">
        <v>489</v>
      </c>
      <c r="S2849">
        <v>0.5</v>
      </c>
      <c r="T2849">
        <v>3680</v>
      </c>
      <c r="U2849">
        <v>0</v>
      </c>
      <c r="V2849">
        <v>3680</v>
      </c>
    </row>
    <row r="2850" spans="1:22" x14ac:dyDescent="0.3">
      <c r="A2850">
        <v>186607</v>
      </c>
      <c r="B2850">
        <v>135985208</v>
      </c>
      <c r="C2850" t="s">
        <v>14583</v>
      </c>
      <c r="D2850" t="s">
        <v>14584</v>
      </c>
      <c r="E2850" t="s">
        <v>11426</v>
      </c>
      <c r="F2850" t="s">
        <v>844</v>
      </c>
      <c r="G2850" t="s">
        <v>164</v>
      </c>
      <c r="H2850" t="s">
        <v>165</v>
      </c>
      <c r="I2850" t="s">
        <v>34</v>
      </c>
      <c r="J2850" t="s">
        <v>166</v>
      </c>
      <c r="K2850" t="s">
        <v>41</v>
      </c>
      <c r="L2850" t="s">
        <v>14585</v>
      </c>
      <c r="M2850" t="s">
        <v>14586</v>
      </c>
      <c r="N2850" t="s">
        <v>11429</v>
      </c>
      <c r="O2850" t="s">
        <v>101</v>
      </c>
      <c r="P2850" t="s">
        <v>14587</v>
      </c>
      <c r="Q2850" t="s">
        <v>63</v>
      </c>
      <c r="R2850" t="s">
        <v>493</v>
      </c>
      <c r="S2850">
        <v>1</v>
      </c>
      <c r="T2850">
        <v>4067</v>
      </c>
      <c r="U2850">
        <v>0</v>
      </c>
      <c r="V2850">
        <v>4067</v>
      </c>
    </row>
    <row r="2851" spans="1:22" x14ac:dyDescent="0.3">
      <c r="A2851">
        <v>186607</v>
      </c>
      <c r="B2851">
        <v>136272186</v>
      </c>
      <c r="C2851" t="s">
        <v>14588</v>
      </c>
      <c r="D2851" t="s">
        <v>14589</v>
      </c>
      <c r="E2851" t="s">
        <v>11426</v>
      </c>
      <c r="F2851" t="s">
        <v>844</v>
      </c>
      <c r="G2851" t="s">
        <v>164</v>
      </c>
      <c r="H2851" t="s">
        <v>165</v>
      </c>
      <c r="I2851" t="s">
        <v>34</v>
      </c>
      <c r="J2851" t="s">
        <v>166</v>
      </c>
      <c r="K2851" t="s">
        <v>41</v>
      </c>
      <c r="L2851" t="s">
        <v>14590</v>
      </c>
      <c r="M2851" t="s">
        <v>14591</v>
      </c>
      <c r="N2851" t="s">
        <v>11429</v>
      </c>
      <c r="O2851" t="s">
        <v>101</v>
      </c>
      <c r="P2851" t="s">
        <v>14592</v>
      </c>
      <c r="Q2851" t="s">
        <v>215</v>
      </c>
      <c r="R2851" t="s">
        <v>12323</v>
      </c>
      <c r="S2851">
        <v>1.5</v>
      </c>
      <c r="T2851">
        <v>4067</v>
      </c>
      <c r="U2851">
        <v>0</v>
      </c>
      <c r="V2851">
        <v>4067</v>
      </c>
    </row>
    <row r="2852" spans="1:22" x14ac:dyDescent="0.3">
      <c r="A2852">
        <v>186607</v>
      </c>
      <c r="B2852">
        <v>136328553</v>
      </c>
      <c r="C2852" t="s">
        <v>14593</v>
      </c>
      <c r="D2852" t="s">
        <v>14594</v>
      </c>
      <c r="E2852" t="s">
        <v>11426</v>
      </c>
      <c r="F2852" t="s">
        <v>844</v>
      </c>
      <c r="G2852" t="s">
        <v>164</v>
      </c>
      <c r="H2852" t="s">
        <v>165</v>
      </c>
      <c r="I2852" t="s">
        <v>34</v>
      </c>
      <c r="J2852" t="s">
        <v>166</v>
      </c>
      <c r="K2852" t="s">
        <v>41</v>
      </c>
      <c r="L2852" t="s">
        <v>14595</v>
      </c>
      <c r="M2852" t="s">
        <v>14596</v>
      </c>
      <c r="N2852" t="s">
        <v>11429</v>
      </c>
      <c r="O2852" t="s">
        <v>101</v>
      </c>
      <c r="P2852" t="s">
        <v>14597</v>
      </c>
      <c r="Q2852" t="s">
        <v>82</v>
      </c>
      <c r="R2852" t="s">
        <v>11485</v>
      </c>
      <c r="S2852">
        <v>1</v>
      </c>
      <c r="T2852">
        <v>3329.84</v>
      </c>
      <c r="U2852">
        <v>0</v>
      </c>
      <c r="V2852">
        <v>3329.84</v>
      </c>
    </row>
    <row r="2853" spans="1:22" x14ac:dyDescent="0.3">
      <c r="A2853">
        <v>186607</v>
      </c>
      <c r="B2853">
        <v>136107688</v>
      </c>
      <c r="C2853" t="s">
        <v>14598</v>
      </c>
      <c r="D2853" t="s">
        <v>14599</v>
      </c>
      <c r="E2853" t="s">
        <v>11426</v>
      </c>
      <c r="F2853" t="s">
        <v>844</v>
      </c>
      <c r="G2853" t="s">
        <v>164</v>
      </c>
      <c r="H2853" t="s">
        <v>165</v>
      </c>
      <c r="I2853" t="s">
        <v>34</v>
      </c>
      <c r="J2853" t="s">
        <v>166</v>
      </c>
      <c r="K2853" t="s">
        <v>41</v>
      </c>
      <c r="L2853" t="s">
        <v>14600</v>
      </c>
      <c r="M2853" t="s">
        <v>14601</v>
      </c>
      <c r="N2853" t="s">
        <v>11429</v>
      </c>
      <c r="O2853" t="s">
        <v>101</v>
      </c>
      <c r="P2853" t="s">
        <v>14602</v>
      </c>
      <c r="Q2853" t="s">
        <v>90</v>
      </c>
      <c r="R2853" t="s">
        <v>369</v>
      </c>
      <c r="S2853">
        <v>0.5</v>
      </c>
      <c r="T2853">
        <v>3794</v>
      </c>
      <c r="U2853">
        <v>0</v>
      </c>
      <c r="V2853">
        <v>3794</v>
      </c>
    </row>
    <row r="2854" spans="1:22" x14ac:dyDescent="0.3">
      <c r="A2854">
        <v>186607</v>
      </c>
      <c r="B2854">
        <v>136107668</v>
      </c>
      <c r="C2854" t="s">
        <v>14603</v>
      </c>
      <c r="D2854" t="s">
        <v>14604</v>
      </c>
      <c r="E2854" t="s">
        <v>11426</v>
      </c>
      <c r="F2854" t="s">
        <v>844</v>
      </c>
      <c r="G2854" t="s">
        <v>164</v>
      </c>
      <c r="H2854" t="s">
        <v>165</v>
      </c>
      <c r="I2854" t="s">
        <v>34</v>
      </c>
      <c r="J2854" t="s">
        <v>166</v>
      </c>
      <c r="K2854" t="s">
        <v>41</v>
      </c>
      <c r="L2854" t="s">
        <v>14605</v>
      </c>
      <c r="M2854" t="s">
        <v>14606</v>
      </c>
      <c r="N2854" t="s">
        <v>11429</v>
      </c>
      <c r="O2854" t="s">
        <v>101</v>
      </c>
      <c r="P2854" t="s">
        <v>14607</v>
      </c>
      <c r="Q2854" t="s">
        <v>76</v>
      </c>
      <c r="R2854" t="s">
        <v>369</v>
      </c>
      <c r="S2854">
        <v>1</v>
      </c>
      <c r="T2854">
        <v>3753</v>
      </c>
      <c r="U2854">
        <v>0</v>
      </c>
      <c r="V2854">
        <v>3753</v>
      </c>
    </row>
    <row r="2855" spans="1:22" x14ac:dyDescent="0.3">
      <c r="A2855">
        <v>186607</v>
      </c>
      <c r="B2855">
        <v>136412737</v>
      </c>
      <c r="C2855" t="s">
        <v>14608</v>
      </c>
      <c r="D2855" t="s">
        <v>14609</v>
      </c>
      <c r="E2855" t="s">
        <v>11426</v>
      </c>
      <c r="F2855" t="s">
        <v>844</v>
      </c>
      <c r="G2855" t="s">
        <v>164</v>
      </c>
      <c r="H2855" t="s">
        <v>165</v>
      </c>
      <c r="I2855" t="s">
        <v>34</v>
      </c>
      <c r="J2855" t="s">
        <v>166</v>
      </c>
      <c r="K2855" t="s">
        <v>41</v>
      </c>
      <c r="L2855" t="s">
        <v>14610</v>
      </c>
      <c r="M2855" t="s">
        <v>14611</v>
      </c>
      <c r="N2855" t="s">
        <v>11429</v>
      </c>
      <c r="O2855" t="s">
        <v>101</v>
      </c>
      <c r="P2855" t="s">
        <v>14612</v>
      </c>
      <c r="Q2855" t="s">
        <v>49</v>
      </c>
      <c r="R2855" t="s">
        <v>430</v>
      </c>
      <c r="S2855">
        <v>0.5</v>
      </c>
      <c r="T2855">
        <v>3449</v>
      </c>
      <c r="U2855">
        <v>0</v>
      </c>
      <c r="V2855">
        <v>3449</v>
      </c>
    </row>
    <row r="2856" spans="1:22" x14ac:dyDescent="0.3">
      <c r="A2856">
        <v>186607</v>
      </c>
      <c r="B2856">
        <v>136198341</v>
      </c>
      <c r="C2856" t="s">
        <v>14613</v>
      </c>
      <c r="D2856" t="s">
        <v>14614</v>
      </c>
      <c r="E2856" t="s">
        <v>11426</v>
      </c>
      <c r="F2856" t="s">
        <v>844</v>
      </c>
      <c r="G2856" t="s">
        <v>164</v>
      </c>
      <c r="H2856" t="s">
        <v>165</v>
      </c>
      <c r="I2856" t="s">
        <v>34</v>
      </c>
      <c r="J2856" t="s">
        <v>166</v>
      </c>
      <c r="K2856" t="s">
        <v>41</v>
      </c>
      <c r="L2856" t="s">
        <v>14615</v>
      </c>
      <c r="M2856" t="s">
        <v>14616</v>
      </c>
      <c r="N2856" t="s">
        <v>11429</v>
      </c>
      <c r="O2856" t="s">
        <v>101</v>
      </c>
      <c r="P2856" t="s">
        <v>14617</v>
      </c>
      <c r="Q2856" t="s">
        <v>63</v>
      </c>
      <c r="R2856" t="s">
        <v>339</v>
      </c>
      <c r="S2856">
        <v>1</v>
      </c>
      <c r="T2856">
        <v>4067</v>
      </c>
      <c r="U2856">
        <v>0</v>
      </c>
      <c r="V2856">
        <v>4067</v>
      </c>
    </row>
    <row r="2857" spans="1:22" x14ac:dyDescent="0.3">
      <c r="A2857">
        <v>186607</v>
      </c>
      <c r="B2857">
        <v>136198255</v>
      </c>
      <c r="C2857" t="s">
        <v>14618</v>
      </c>
      <c r="D2857" t="s">
        <v>14619</v>
      </c>
      <c r="E2857" t="s">
        <v>11426</v>
      </c>
      <c r="F2857" t="s">
        <v>844</v>
      </c>
      <c r="G2857" t="s">
        <v>164</v>
      </c>
      <c r="H2857" t="s">
        <v>165</v>
      </c>
      <c r="I2857" t="s">
        <v>34</v>
      </c>
      <c r="J2857" t="s">
        <v>166</v>
      </c>
      <c r="K2857" t="s">
        <v>41</v>
      </c>
      <c r="L2857" t="s">
        <v>14620</v>
      </c>
      <c r="M2857" t="s">
        <v>14621</v>
      </c>
      <c r="N2857" t="s">
        <v>11429</v>
      </c>
      <c r="O2857" t="s">
        <v>101</v>
      </c>
      <c r="P2857" t="s">
        <v>14622</v>
      </c>
      <c r="Q2857" t="s">
        <v>49</v>
      </c>
      <c r="R2857" t="s">
        <v>339</v>
      </c>
      <c r="S2857">
        <v>0.5</v>
      </c>
      <c r="T2857">
        <v>3449</v>
      </c>
      <c r="U2857">
        <v>0</v>
      </c>
      <c r="V2857">
        <v>3449</v>
      </c>
    </row>
    <row r="2858" spans="1:22" x14ac:dyDescent="0.3">
      <c r="A2858">
        <v>186607</v>
      </c>
      <c r="B2858">
        <v>136027785</v>
      </c>
      <c r="C2858" t="s">
        <v>14623</v>
      </c>
      <c r="D2858" t="s">
        <v>14624</v>
      </c>
      <c r="E2858" t="s">
        <v>11426</v>
      </c>
      <c r="F2858" t="s">
        <v>844</v>
      </c>
      <c r="G2858" t="s">
        <v>164</v>
      </c>
      <c r="H2858" t="s">
        <v>165</v>
      </c>
      <c r="I2858" t="s">
        <v>34</v>
      </c>
      <c r="J2858" t="s">
        <v>166</v>
      </c>
      <c r="K2858" t="s">
        <v>41</v>
      </c>
      <c r="L2858" t="s">
        <v>14625</v>
      </c>
      <c r="M2858" t="s">
        <v>14626</v>
      </c>
      <c r="N2858" t="s">
        <v>11429</v>
      </c>
      <c r="O2858" t="s">
        <v>101</v>
      </c>
      <c r="P2858" t="s">
        <v>14627</v>
      </c>
      <c r="Q2858" t="s">
        <v>60</v>
      </c>
      <c r="R2858" t="s">
        <v>489</v>
      </c>
      <c r="S2858">
        <v>0.5</v>
      </c>
      <c r="T2858">
        <v>3680</v>
      </c>
      <c r="U2858">
        <v>0</v>
      </c>
      <c r="V2858">
        <v>3680</v>
      </c>
    </row>
    <row r="2859" spans="1:22" x14ac:dyDescent="0.3">
      <c r="A2859">
        <v>186607</v>
      </c>
      <c r="B2859">
        <v>136027723</v>
      </c>
      <c r="C2859" t="s">
        <v>14628</v>
      </c>
      <c r="D2859" t="s">
        <v>14629</v>
      </c>
      <c r="E2859" t="s">
        <v>11426</v>
      </c>
      <c r="F2859" t="s">
        <v>844</v>
      </c>
      <c r="G2859" t="s">
        <v>164</v>
      </c>
      <c r="H2859" t="s">
        <v>165</v>
      </c>
      <c r="I2859" t="s">
        <v>34</v>
      </c>
      <c r="J2859" t="s">
        <v>166</v>
      </c>
      <c r="K2859" t="s">
        <v>41</v>
      </c>
      <c r="L2859" t="s">
        <v>14630</v>
      </c>
      <c r="M2859" t="s">
        <v>14631</v>
      </c>
      <c r="N2859" t="s">
        <v>11429</v>
      </c>
      <c r="O2859" t="s">
        <v>101</v>
      </c>
      <c r="P2859" t="s">
        <v>14632</v>
      </c>
      <c r="Q2859" t="s">
        <v>84</v>
      </c>
      <c r="R2859" t="s">
        <v>489</v>
      </c>
      <c r="S2859">
        <v>0.5</v>
      </c>
      <c r="T2859">
        <v>3299</v>
      </c>
      <c r="U2859">
        <v>0</v>
      </c>
      <c r="V2859">
        <v>3299</v>
      </c>
    </row>
    <row r="2860" spans="1:22" x14ac:dyDescent="0.3">
      <c r="A2860">
        <v>186607</v>
      </c>
      <c r="B2860">
        <v>136107637</v>
      </c>
      <c r="C2860" t="s">
        <v>14633</v>
      </c>
      <c r="D2860" t="s">
        <v>14634</v>
      </c>
      <c r="E2860" t="s">
        <v>11426</v>
      </c>
      <c r="F2860" t="s">
        <v>844</v>
      </c>
      <c r="G2860" t="s">
        <v>164</v>
      </c>
      <c r="H2860" t="s">
        <v>165</v>
      </c>
      <c r="I2860" t="s">
        <v>34</v>
      </c>
      <c r="J2860" t="s">
        <v>166</v>
      </c>
      <c r="K2860" t="s">
        <v>41</v>
      </c>
      <c r="L2860" t="s">
        <v>14635</v>
      </c>
      <c r="M2860" t="s">
        <v>14636</v>
      </c>
      <c r="N2860" t="s">
        <v>11429</v>
      </c>
      <c r="O2860" t="s">
        <v>101</v>
      </c>
      <c r="P2860" t="s">
        <v>14637</v>
      </c>
      <c r="Q2860" t="s">
        <v>61</v>
      </c>
      <c r="R2860" t="s">
        <v>369</v>
      </c>
      <c r="S2860">
        <v>1</v>
      </c>
      <c r="T2860">
        <v>4067</v>
      </c>
      <c r="U2860">
        <v>0</v>
      </c>
      <c r="V2860">
        <v>4067</v>
      </c>
    </row>
    <row r="2861" spans="1:22" x14ac:dyDescent="0.3">
      <c r="A2861">
        <v>186607</v>
      </c>
      <c r="B2861">
        <v>136364619</v>
      </c>
      <c r="C2861" t="s">
        <v>14638</v>
      </c>
      <c r="D2861" t="s">
        <v>14639</v>
      </c>
      <c r="E2861" t="s">
        <v>11426</v>
      </c>
      <c r="F2861" t="s">
        <v>844</v>
      </c>
      <c r="G2861" t="s">
        <v>164</v>
      </c>
      <c r="H2861" t="s">
        <v>165</v>
      </c>
      <c r="I2861" t="s">
        <v>34</v>
      </c>
      <c r="J2861" t="s">
        <v>166</v>
      </c>
      <c r="K2861" t="s">
        <v>41</v>
      </c>
      <c r="L2861" t="s">
        <v>14640</v>
      </c>
      <c r="M2861" t="s">
        <v>14641</v>
      </c>
      <c r="N2861" t="s">
        <v>11429</v>
      </c>
      <c r="O2861" t="s">
        <v>101</v>
      </c>
      <c r="P2861" t="s">
        <v>14642</v>
      </c>
      <c r="Q2861" t="s">
        <v>94</v>
      </c>
      <c r="R2861" t="s">
        <v>788</v>
      </c>
      <c r="S2861">
        <v>0.5</v>
      </c>
      <c r="T2861">
        <v>3299</v>
      </c>
      <c r="U2861">
        <v>0</v>
      </c>
      <c r="V2861">
        <v>3299</v>
      </c>
    </row>
    <row r="2862" spans="1:22" x14ac:dyDescent="0.3">
      <c r="A2862">
        <v>186607</v>
      </c>
      <c r="B2862">
        <v>136107594</v>
      </c>
      <c r="C2862" t="s">
        <v>14643</v>
      </c>
      <c r="D2862" t="s">
        <v>14644</v>
      </c>
      <c r="E2862" t="s">
        <v>11426</v>
      </c>
      <c r="F2862" t="s">
        <v>844</v>
      </c>
      <c r="G2862" t="s">
        <v>164</v>
      </c>
      <c r="H2862" t="s">
        <v>165</v>
      </c>
      <c r="I2862" t="s">
        <v>34</v>
      </c>
      <c r="J2862" t="s">
        <v>166</v>
      </c>
      <c r="K2862" t="s">
        <v>41</v>
      </c>
      <c r="L2862" t="s">
        <v>14645</v>
      </c>
      <c r="M2862" t="s">
        <v>14646</v>
      </c>
      <c r="N2862" t="s">
        <v>11429</v>
      </c>
      <c r="O2862" t="s">
        <v>101</v>
      </c>
      <c r="P2862" t="s">
        <v>14647</v>
      </c>
      <c r="Q2862" t="s">
        <v>60</v>
      </c>
      <c r="R2862" t="s">
        <v>369</v>
      </c>
      <c r="S2862">
        <v>1</v>
      </c>
      <c r="T2862">
        <v>4346</v>
      </c>
      <c r="U2862">
        <v>0</v>
      </c>
      <c r="V2862">
        <v>4346</v>
      </c>
    </row>
    <row r="2863" spans="1:22" x14ac:dyDescent="0.3">
      <c r="A2863">
        <v>186607</v>
      </c>
      <c r="B2863">
        <v>136107638</v>
      </c>
      <c r="C2863" t="s">
        <v>14648</v>
      </c>
      <c r="D2863" t="s">
        <v>14649</v>
      </c>
      <c r="E2863" t="s">
        <v>11426</v>
      </c>
      <c r="F2863" t="s">
        <v>844</v>
      </c>
      <c r="G2863" t="s">
        <v>164</v>
      </c>
      <c r="H2863" t="s">
        <v>165</v>
      </c>
      <c r="I2863" t="s">
        <v>34</v>
      </c>
      <c r="J2863" t="s">
        <v>166</v>
      </c>
      <c r="K2863" t="s">
        <v>41</v>
      </c>
      <c r="L2863" t="s">
        <v>14650</v>
      </c>
      <c r="M2863" t="s">
        <v>14651</v>
      </c>
      <c r="N2863" t="s">
        <v>11429</v>
      </c>
      <c r="O2863" t="s">
        <v>101</v>
      </c>
      <c r="P2863" t="s">
        <v>14652</v>
      </c>
      <c r="Q2863" t="s">
        <v>69</v>
      </c>
      <c r="R2863" t="s">
        <v>369</v>
      </c>
      <c r="S2863">
        <v>1</v>
      </c>
      <c r="T2863">
        <v>3753</v>
      </c>
      <c r="U2863">
        <v>0</v>
      </c>
      <c r="V2863">
        <v>3753</v>
      </c>
    </row>
    <row r="2864" spans="1:22" x14ac:dyDescent="0.3">
      <c r="A2864">
        <v>186607</v>
      </c>
      <c r="B2864">
        <v>136412763</v>
      </c>
      <c r="C2864" t="s">
        <v>14653</v>
      </c>
      <c r="D2864" t="s">
        <v>14654</v>
      </c>
      <c r="E2864" t="s">
        <v>11426</v>
      </c>
      <c r="F2864" t="s">
        <v>844</v>
      </c>
      <c r="G2864" t="s">
        <v>164</v>
      </c>
      <c r="H2864" t="s">
        <v>165</v>
      </c>
      <c r="I2864" t="s">
        <v>34</v>
      </c>
      <c r="J2864" t="s">
        <v>166</v>
      </c>
      <c r="K2864" t="s">
        <v>41</v>
      </c>
      <c r="L2864" t="s">
        <v>14655</v>
      </c>
      <c r="M2864" t="s">
        <v>14656</v>
      </c>
      <c r="N2864" t="s">
        <v>11429</v>
      </c>
      <c r="O2864" t="s">
        <v>101</v>
      </c>
      <c r="P2864" t="s">
        <v>14657</v>
      </c>
      <c r="Q2864" t="s">
        <v>76</v>
      </c>
      <c r="R2864" t="s">
        <v>13495</v>
      </c>
      <c r="S2864">
        <v>0.5</v>
      </c>
      <c r="T2864">
        <v>3680</v>
      </c>
      <c r="U2864">
        <v>0</v>
      </c>
      <c r="V2864">
        <v>3680</v>
      </c>
    </row>
    <row r="2865" spans="1:22" x14ac:dyDescent="0.3">
      <c r="A2865">
        <v>186607</v>
      </c>
      <c r="B2865">
        <v>136272183</v>
      </c>
      <c r="C2865" t="s">
        <v>14658</v>
      </c>
      <c r="D2865" t="s">
        <v>14659</v>
      </c>
      <c r="E2865" t="s">
        <v>11426</v>
      </c>
      <c r="F2865" t="s">
        <v>844</v>
      </c>
      <c r="G2865" t="s">
        <v>164</v>
      </c>
      <c r="H2865" t="s">
        <v>165</v>
      </c>
      <c r="I2865" t="s">
        <v>34</v>
      </c>
      <c r="J2865" t="s">
        <v>166</v>
      </c>
      <c r="K2865" t="s">
        <v>41</v>
      </c>
      <c r="L2865" t="s">
        <v>14660</v>
      </c>
      <c r="M2865" t="s">
        <v>816</v>
      </c>
      <c r="N2865" t="s">
        <v>11429</v>
      </c>
      <c r="O2865" t="s">
        <v>101</v>
      </c>
      <c r="P2865" t="s">
        <v>14661</v>
      </c>
      <c r="Q2865" t="s">
        <v>59</v>
      </c>
      <c r="R2865" t="s">
        <v>12323</v>
      </c>
      <c r="S2865">
        <v>0.5</v>
      </c>
      <c r="T2865">
        <v>3680</v>
      </c>
      <c r="U2865">
        <v>0</v>
      </c>
      <c r="V2865">
        <v>3680</v>
      </c>
    </row>
    <row r="2866" spans="1:22" x14ac:dyDescent="0.3">
      <c r="A2866">
        <v>186607</v>
      </c>
      <c r="B2866">
        <v>136328511</v>
      </c>
      <c r="C2866" t="s">
        <v>14662</v>
      </c>
      <c r="D2866" t="s">
        <v>14663</v>
      </c>
      <c r="E2866" t="s">
        <v>11426</v>
      </c>
      <c r="F2866" t="s">
        <v>844</v>
      </c>
      <c r="G2866" t="s">
        <v>164</v>
      </c>
      <c r="H2866" t="s">
        <v>165</v>
      </c>
      <c r="I2866" t="s">
        <v>34</v>
      </c>
      <c r="J2866" t="s">
        <v>166</v>
      </c>
      <c r="K2866" t="s">
        <v>41</v>
      </c>
      <c r="L2866" t="s">
        <v>14664</v>
      </c>
      <c r="M2866" t="s">
        <v>14665</v>
      </c>
      <c r="N2866" t="s">
        <v>11429</v>
      </c>
      <c r="O2866" t="s">
        <v>101</v>
      </c>
      <c r="P2866" t="s">
        <v>14666</v>
      </c>
      <c r="Q2866" t="s">
        <v>76</v>
      </c>
      <c r="R2866" t="s">
        <v>11485</v>
      </c>
      <c r="S2866">
        <v>1</v>
      </c>
      <c r="T2866">
        <v>3753</v>
      </c>
      <c r="U2866">
        <v>0</v>
      </c>
      <c r="V2866">
        <v>3753</v>
      </c>
    </row>
    <row r="2867" spans="1:22" x14ac:dyDescent="0.3">
      <c r="A2867">
        <v>186607</v>
      </c>
      <c r="B2867">
        <v>136198337</v>
      </c>
      <c r="C2867" t="s">
        <v>14667</v>
      </c>
      <c r="D2867" t="s">
        <v>14668</v>
      </c>
      <c r="E2867" t="s">
        <v>11426</v>
      </c>
      <c r="F2867" t="s">
        <v>844</v>
      </c>
      <c r="G2867" t="s">
        <v>164</v>
      </c>
      <c r="H2867" t="s">
        <v>165</v>
      </c>
      <c r="I2867" t="s">
        <v>34</v>
      </c>
      <c r="J2867" t="s">
        <v>166</v>
      </c>
      <c r="K2867" t="s">
        <v>41</v>
      </c>
      <c r="L2867" t="s">
        <v>14669</v>
      </c>
      <c r="M2867" t="s">
        <v>14670</v>
      </c>
      <c r="N2867" t="s">
        <v>11429</v>
      </c>
      <c r="O2867" t="s">
        <v>101</v>
      </c>
      <c r="P2867" t="s">
        <v>14671</v>
      </c>
      <c r="Q2867" t="s">
        <v>49</v>
      </c>
      <c r="R2867" t="s">
        <v>339</v>
      </c>
      <c r="S2867">
        <v>1</v>
      </c>
      <c r="T2867">
        <v>3784</v>
      </c>
      <c r="U2867">
        <v>0</v>
      </c>
      <c r="V2867">
        <v>3784</v>
      </c>
    </row>
    <row r="2868" spans="1:22" x14ac:dyDescent="0.3">
      <c r="A2868">
        <v>186607</v>
      </c>
      <c r="B2868">
        <v>136107591</v>
      </c>
      <c r="C2868" t="s">
        <v>14672</v>
      </c>
      <c r="D2868" t="s">
        <v>14673</v>
      </c>
      <c r="E2868" t="s">
        <v>11426</v>
      </c>
      <c r="F2868" t="s">
        <v>844</v>
      </c>
      <c r="G2868" t="s">
        <v>164</v>
      </c>
      <c r="H2868" t="s">
        <v>165</v>
      </c>
      <c r="I2868" t="s">
        <v>34</v>
      </c>
      <c r="J2868" t="s">
        <v>166</v>
      </c>
      <c r="K2868" t="s">
        <v>41</v>
      </c>
      <c r="L2868" t="s">
        <v>14674</v>
      </c>
      <c r="M2868" t="s">
        <v>14675</v>
      </c>
      <c r="N2868" t="s">
        <v>11429</v>
      </c>
      <c r="O2868" t="s">
        <v>101</v>
      </c>
      <c r="P2868" t="s">
        <v>14676</v>
      </c>
      <c r="Q2868" t="s">
        <v>76</v>
      </c>
      <c r="R2868" t="s">
        <v>369</v>
      </c>
      <c r="S2868">
        <v>1</v>
      </c>
      <c r="T2868">
        <v>3753</v>
      </c>
      <c r="U2868">
        <v>0</v>
      </c>
      <c r="V2868">
        <v>3753</v>
      </c>
    </row>
    <row r="2869" spans="1:22" x14ac:dyDescent="0.3">
      <c r="A2869">
        <v>186607</v>
      </c>
      <c r="B2869">
        <v>136198247</v>
      </c>
      <c r="C2869" t="s">
        <v>14677</v>
      </c>
      <c r="D2869" t="s">
        <v>14678</v>
      </c>
      <c r="E2869" t="s">
        <v>11426</v>
      </c>
      <c r="F2869" t="s">
        <v>844</v>
      </c>
      <c r="G2869" t="s">
        <v>164</v>
      </c>
      <c r="H2869" t="s">
        <v>165</v>
      </c>
      <c r="I2869" t="s">
        <v>34</v>
      </c>
      <c r="J2869" t="s">
        <v>166</v>
      </c>
      <c r="K2869" t="s">
        <v>41</v>
      </c>
      <c r="L2869" t="s">
        <v>14679</v>
      </c>
      <c r="M2869" t="s">
        <v>14680</v>
      </c>
      <c r="N2869" t="s">
        <v>11429</v>
      </c>
      <c r="O2869" t="s">
        <v>101</v>
      </c>
      <c r="P2869" t="s">
        <v>14681</v>
      </c>
      <c r="Q2869" t="s">
        <v>71</v>
      </c>
      <c r="R2869" t="s">
        <v>339</v>
      </c>
      <c r="S2869">
        <v>1</v>
      </c>
      <c r="T2869">
        <v>3501</v>
      </c>
      <c r="U2869">
        <v>0</v>
      </c>
      <c r="V2869">
        <v>3501</v>
      </c>
    </row>
    <row r="2870" spans="1:22" x14ac:dyDescent="0.3">
      <c r="A2870">
        <v>186607</v>
      </c>
      <c r="B2870">
        <v>136272194</v>
      </c>
      <c r="C2870" t="s">
        <v>14682</v>
      </c>
      <c r="D2870" t="s">
        <v>14683</v>
      </c>
      <c r="E2870" t="s">
        <v>11426</v>
      </c>
      <c r="F2870" t="s">
        <v>844</v>
      </c>
      <c r="G2870" t="s">
        <v>164</v>
      </c>
      <c r="H2870" t="s">
        <v>165</v>
      </c>
      <c r="I2870" t="s">
        <v>34</v>
      </c>
      <c r="J2870" t="s">
        <v>166</v>
      </c>
      <c r="K2870" t="s">
        <v>41</v>
      </c>
      <c r="L2870" t="s">
        <v>14684</v>
      </c>
      <c r="M2870" t="s">
        <v>14685</v>
      </c>
      <c r="N2870" t="s">
        <v>11429</v>
      </c>
      <c r="O2870" t="s">
        <v>101</v>
      </c>
      <c r="P2870" t="s">
        <v>14686</v>
      </c>
      <c r="Q2870" t="s">
        <v>308</v>
      </c>
      <c r="R2870" t="s">
        <v>12323</v>
      </c>
      <c r="S2870">
        <v>1</v>
      </c>
      <c r="T2870">
        <v>3753</v>
      </c>
      <c r="U2870">
        <v>0</v>
      </c>
      <c r="V2870">
        <v>3753</v>
      </c>
    </row>
    <row r="2871" spans="1:22" x14ac:dyDescent="0.3">
      <c r="A2871">
        <v>186607</v>
      </c>
      <c r="B2871">
        <v>136198400</v>
      </c>
      <c r="C2871" t="s">
        <v>14687</v>
      </c>
      <c r="D2871" t="s">
        <v>14688</v>
      </c>
      <c r="E2871" t="s">
        <v>11426</v>
      </c>
      <c r="F2871" t="s">
        <v>844</v>
      </c>
      <c r="G2871" t="s">
        <v>164</v>
      </c>
      <c r="H2871" t="s">
        <v>165</v>
      </c>
      <c r="I2871" t="s">
        <v>34</v>
      </c>
      <c r="J2871" t="s">
        <v>166</v>
      </c>
      <c r="K2871" t="s">
        <v>41</v>
      </c>
      <c r="L2871" t="s">
        <v>14689</v>
      </c>
      <c r="M2871" t="s">
        <v>159</v>
      </c>
      <c r="N2871" t="s">
        <v>11429</v>
      </c>
      <c r="O2871" t="s">
        <v>101</v>
      </c>
      <c r="P2871" t="s">
        <v>14690</v>
      </c>
      <c r="Q2871" t="s">
        <v>60</v>
      </c>
      <c r="R2871" t="s">
        <v>718</v>
      </c>
      <c r="S2871">
        <v>0.5</v>
      </c>
      <c r="T2871">
        <v>3680</v>
      </c>
      <c r="U2871">
        <v>0</v>
      </c>
      <c r="V2871">
        <v>3680</v>
      </c>
    </row>
    <row r="2872" spans="1:22" x14ac:dyDescent="0.3">
      <c r="A2872">
        <v>186607</v>
      </c>
      <c r="B2872">
        <v>136107506</v>
      </c>
      <c r="C2872" t="s">
        <v>14691</v>
      </c>
      <c r="D2872" t="s">
        <v>14692</v>
      </c>
      <c r="E2872" t="s">
        <v>11426</v>
      </c>
      <c r="F2872" t="s">
        <v>844</v>
      </c>
      <c r="G2872" t="s">
        <v>164</v>
      </c>
      <c r="H2872" t="s">
        <v>165</v>
      </c>
      <c r="I2872" t="s">
        <v>34</v>
      </c>
      <c r="J2872" t="s">
        <v>166</v>
      </c>
      <c r="K2872" t="s">
        <v>41</v>
      </c>
      <c r="L2872" t="s">
        <v>14693</v>
      </c>
      <c r="M2872" t="s">
        <v>14694</v>
      </c>
      <c r="N2872" t="s">
        <v>11429</v>
      </c>
      <c r="O2872" t="s">
        <v>101</v>
      </c>
      <c r="P2872" t="s">
        <v>14695</v>
      </c>
      <c r="Q2872" t="s">
        <v>63</v>
      </c>
      <c r="R2872" t="s">
        <v>369</v>
      </c>
      <c r="S2872">
        <v>1</v>
      </c>
      <c r="T2872">
        <v>4067</v>
      </c>
      <c r="U2872">
        <v>0</v>
      </c>
      <c r="V2872">
        <v>4067</v>
      </c>
    </row>
    <row r="2873" spans="1:22" x14ac:dyDescent="0.3">
      <c r="A2873">
        <v>186607</v>
      </c>
      <c r="B2873">
        <v>136198476</v>
      </c>
      <c r="C2873" t="s">
        <v>14696</v>
      </c>
      <c r="D2873" t="s">
        <v>14697</v>
      </c>
      <c r="E2873" t="s">
        <v>11426</v>
      </c>
      <c r="F2873" t="s">
        <v>844</v>
      </c>
      <c r="G2873" t="s">
        <v>164</v>
      </c>
      <c r="H2873" t="s">
        <v>165</v>
      </c>
      <c r="I2873" t="s">
        <v>34</v>
      </c>
      <c r="J2873" t="s">
        <v>166</v>
      </c>
      <c r="K2873" t="s">
        <v>41</v>
      </c>
      <c r="L2873" t="s">
        <v>14698</v>
      </c>
      <c r="M2873" t="s">
        <v>14699</v>
      </c>
      <c r="N2873" t="s">
        <v>11429</v>
      </c>
      <c r="O2873" t="s">
        <v>101</v>
      </c>
      <c r="P2873" t="s">
        <v>14700</v>
      </c>
      <c r="Q2873" t="s">
        <v>69</v>
      </c>
      <c r="R2873" t="s">
        <v>718</v>
      </c>
      <c r="S2873">
        <v>0.5</v>
      </c>
      <c r="T2873">
        <v>3680</v>
      </c>
      <c r="U2873">
        <v>0</v>
      </c>
      <c r="V2873">
        <v>3680</v>
      </c>
    </row>
    <row r="2874" spans="1:22" x14ac:dyDescent="0.3">
      <c r="A2874">
        <v>186607</v>
      </c>
      <c r="B2874">
        <v>136198296</v>
      </c>
      <c r="C2874" t="s">
        <v>14701</v>
      </c>
      <c r="D2874" t="s">
        <v>14702</v>
      </c>
      <c r="E2874" t="s">
        <v>11426</v>
      </c>
      <c r="F2874" t="s">
        <v>844</v>
      </c>
      <c r="G2874" t="s">
        <v>164</v>
      </c>
      <c r="H2874" t="s">
        <v>165</v>
      </c>
      <c r="I2874" t="s">
        <v>34</v>
      </c>
      <c r="J2874" t="s">
        <v>166</v>
      </c>
      <c r="K2874" t="s">
        <v>41</v>
      </c>
      <c r="L2874" t="s">
        <v>14703</v>
      </c>
      <c r="M2874" t="s">
        <v>491</v>
      </c>
      <c r="N2874" t="s">
        <v>11429</v>
      </c>
      <c r="O2874" t="s">
        <v>101</v>
      </c>
      <c r="P2874" t="s">
        <v>14704</v>
      </c>
      <c r="Q2874" t="s">
        <v>84</v>
      </c>
      <c r="R2874" t="s">
        <v>339</v>
      </c>
      <c r="S2874">
        <v>1</v>
      </c>
      <c r="T2874">
        <v>3366</v>
      </c>
      <c r="U2874">
        <v>0</v>
      </c>
      <c r="V2874">
        <v>3366</v>
      </c>
    </row>
    <row r="2875" spans="1:22" x14ac:dyDescent="0.3">
      <c r="A2875">
        <v>186607</v>
      </c>
      <c r="B2875">
        <v>136107737</v>
      </c>
      <c r="C2875" t="s">
        <v>14705</v>
      </c>
      <c r="D2875" t="s">
        <v>14706</v>
      </c>
      <c r="E2875" t="s">
        <v>11426</v>
      </c>
      <c r="F2875" t="s">
        <v>844</v>
      </c>
      <c r="G2875" t="s">
        <v>164</v>
      </c>
      <c r="H2875" t="s">
        <v>165</v>
      </c>
      <c r="I2875" t="s">
        <v>34</v>
      </c>
      <c r="J2875" t="s">
        <v>166</v>
      </c>
      <c r="K2875" t="s">
        <v>41</v>
      </c>
      <c r="L2875" t="s">
        <v>14707</v>
      </c>
      <c r="M2875" t="s">
        <v>14708</v>
      </c>
      <c r="N2875" t="s">
        <v>11429</v>
      </c>
      <c r="O2875" t="s">
        <v>101</v>
      </c>
      <c r="P2875" t="s">
        <v>14709</v>
      </c>
      <c r="Q2875" t="s">
        <v>59</v>
      </c>
      <c r="R2875" t="s">
        <v>369</v>
      </c>
      <c r="S2875">
        <v>1</v>
      </c>
      <c r="T2875">
        <v>4067</v>
      </c>
      <c r="U2875">
        <v>0</v>
      </c>
      <c r="V2875">
        <v>4067</v>
      </c>
    </row>
    <row r="2876" spans="1:22" x14ac:dyDescent="0.3">
      <c r="A2876">
        <v>186607</v>
      </c>
      <c r="B2876">
        <v>136107636</v>
      </c>
      <c r="C2876" t="s">
        <v>14710</v>
      </c>
      <c r="D2876" t="s">
        <v>14711</v>
      </c>
      <c r="E2876" t="s">
        <v>11426</v>
      </c>
      <c r="F2876" t="s">
        <v>844</v>
      </c>
      <c r="G2876" t="s">
        <v>164</v>
      </c>
      <c r="H2876" t="s">
        <v>165</v>
      </c>
      <c r="I2876" t="s">
        <v>34</v>
      </c>
      <c r="J2876" t="s">
        <v>166</v>
      </c>
      <c r="K2876" t="s">
        <v>41</v>
      </c>
      <c r="L2876" t="s">
        <v>14712</v>
      </c>
      <c r="M2876" t="s">
        <v>14713</v>
      </c>
      <c r="N2876" t="s">
        <v>11429</v>
      </c>
      <c r="O2876" t="s">
        <v>101</v>
      </c>
      <c r="P2876" t="s">
        <v>14714</v>
      </c>
      <c r="Q2876" t="s">
        <v>354</v>
      </c>
      <c r="R2876" t="s">
        <v>369</v>
      </c>
      <c r="S2876">
        <v>1</v>
      </c>
      <c r="T2876">
        <v>4067</v>
      </c>
      <c r="U2876">
        <v>0</v>
      </c>
      <c r="V2876">
        <v>4067</v>
      </c>
    </row>
    <row r="2877" spans="1:22" x14ac:dyDescent="0.3">
      <c r="A2877">
        <v>186607</v>
      </c>
      <c r="B2877">
        <v>135712201</v>
      </c>
      <c r="C2877" t="s">
        <v>14715</v>
      </c>
      <c r="D2877" t="s">
        <v>14716</v>
      </c>
      <c r="E2877" t="s">
        <v>11426</v>
      </c>
      <c r="F2877" t="s">
        <v>844</v>
      </c>
      <c r="G2877" t="s">
        <v>164</v>
      </c>
      <c r="H2877" t="s">
        <v>165</v>
      </c>
      <c r="I2877" t="s">
        <v>34</v>
      </c>
      <c r="J2877" t="s">
        <v>166</v>
      </c>
      <c r="K2877" t="s">
        <v>41</v>
      </c>
      <c r="L2877" t="s">
        <v>14717</v>
      </c>
      <c r="M2877" t="s">
        <v>14718</v>
      </c>
      <c r="N2877" t="s">
        <v>11429</v>
      </c>
      <c r="O2877" t="s">
        <v>101</v>
      </c>
      <c r="P2877" t="s">
        <v>14719</v>
      </c>
      <c r="Q2877" t="s">
        <v>72</v>
      </c>
      <c r="R2877" t="s">
        <v>404</v>
      </c>
      <c r="S2877">
        <v>1.5</v>
      </c>
      <c r="T2877">
        <v>3784</v>
      </c>
      <c r="U2877">
        <v>0</v>
      </c>
      <c r="V2877">
        <v>3784</v>
      </c>
    </row>
    <row r="2878" spans="1:22" x14ac:dyDescent="0.3">
      <c r="A2878">
        <v>186607</v>
      </c>
      <c r="B2878">
        <v>136364615</v>
      </c>
      <c r="C2878" t="s">
        <v>14720</v>
      </c>
      <c r="D2878" t="s">
        <v>14721</v>
      </c>
      <c r="E2878" t="s">
        <v>11426</v>
      </c>
      <c r="F2878" t="s">
        <v>844</v>
      </c>
      <c r="G2878" t="s">
        <v>164</v>
      </c>
      <c r="H2878" t="s">
        <v>165</v>
      </c>
      <c r="I2878" t="s">
        <v>34</v>
      </c>
      <c r="J2878" t="s">
        <v>166</v>
      </c>
      <c r="K2878" t="s">
        <v>41</v>
      </c>
      <c r="L2878" t="s">
        <v>14722</v>
      </c>
      <c r="M2878" t="s">
        <v>14723</v>
      </c>
      <c r="N2878" t="s">
        <v>11429</v>
      </c>
      <c r="O2878" t="s">
        <v>101</v>
      </c>
      <c r="P2878" t="s">
        <v>14724</v>
      </c>
      <c r="Q2878" t="s">
        <v>222</v>
      </c>
      <c r="R2878" t="s">
        <v>788</v>
      </c>
      <c r="S2878">
        <v>1</v>
      </c>
      <c r="T2878">
        <v>4067</v>
      </c>
      <c r="U2878">
        <v>0</v>
      </c>
      <c r="V2878">
        <v>4067</v>
      </c>
    </row>
    <row r="2879" spans="1:22" x14ac:dyDescent="0.3">
      <c r="A2879">
        <v>186607</v>
      </c>
      <c r="B2879">
        <v>136412781</v>
      </c>
      <c r="C2879" t="s">
        <v>14725</v>
      </c>
      <c r="D2879" t="s">
        <v>14726</v>
      </c>
      <c r="E2879" t="s">
        <v>11426</v>
      </c>
      <c r="F2879" t="s">
        <v>844</v>
      </c>
      <c r="G2879" t="s">
        <v>164</v>
      </c>
      <c r="H2879" t="s">
        <v>165</v>
      </c>
      <c r="I2879" t="s">
        <v>34</v>
      </c>
      <c r="J2879" t="s">
        <v>166</v>
      </c>
      <c r="K2879" t="s">
        <v>41</v>
      </c>
      <c r="L2879" t="s">
        <v>14727</v>
      </c>
      <c r="M2879" t="s">
        <v>12574</v>
      </c>
      <c r="N2879" t="s">
        <v>11429</v>
      </c>
      <c r="O2879" t="s">
        <v>101</v>
      </c>
      <c r="P2879" t="s">
        <v>14728</v>
      </c>
      <c r="Q2879" t="s">
        <v>83</v>
      </c>
      <c r="R2879" t="s">
        <v>13495</v>
      </c>
      <c r="S2879">
        <v>1</v>
      </c>
      <c r="T2879">
        <v>3366</v>
      </c>
      <c r="U2879">
        <v>0</v>
      </c>
      <c r="V2879">
        <v>3366</v>
      </c>
    </row>
    <row r="2880" spans="1:22" x14ac:dyDescent="0.3">
      <c r="A2880">
        <v>186607</v>
      </c>
      <c r="B2880">
        <v>136107649</v>
      </c>
      <c r="C2880" t="s">
        <v>14729</v>
      </c>
      <c r="D2880" t="s">
        <v>14730</v>
      </c>
      <c r="E2880" t="s">
        <v>11426</v>
      </c>
      <c r="F2880" t="s">
        <v>844</v>
      </c>
      <c r="G2880" t="s">
        <v>164</v>
      </c>
      <c r="H2880" t="s">
        <v>165</v>
      </c>
      <c r="I2880" t="s">
        <v>34</v>
      </c>
      <c r="J2880" t="s">
        <v>166</v>
      </c>
      <c r="K2880" t="s">
        <v>41</v>
      </c>
      <c r="L2880" t="s">
        <v>14731</v>
      </c>
      <c r="M2880" t="s">
        <v>14732</v>
      </c>
      <c r="N2880" t="s">
        <v>11429</v>
      </c>
      <c r="O2880" t="s">
        <v>101</v>
      </c>
      <c r="P2880" t="s">
        <v>14733</v>
      </c>
      <c r="Q2880" t="s">
        <v>64</v>
      </c>
      <c r="R2880" t="s">
        <v>369</v>
      </c>
      <c r="S2880">
        <v>1</v>
      </c>
      <c r="T2880">
        <v>4067</v>
      </c>
      <c r="U2880">
        <v>0</v>
      </c>
      <c r="V2880">
        <v>4067</v>
      </c>
    </row>
    <row r="2881" spans="1:22" x14ac:dyDescent="0.3">
      <c r="A2881">
        <v>186607</v>
      </c>
      <c r="B2881">
        <v>136027727</v>
      </c>
      <c r="C2881" t="s">
        <v>14734</v>
      </c>
      <c r="D2881" t="s">
        <v>14735</v>
      </c>
      <c r="E2881" t="s">
        <v>11426</v>
      </c>
      <c r="F2881" t="s">
        <v>844</v>
      </c>
      <c r="G2881" t="s">
        <v>164</v>
      </c>
      <c r="H2881" t="s">
        <v>165</v>
      </c>
      <c r="I2881" t="s">
        <v>34</v>
      </c>
      <c r="J2881" t="s">
        <v>166</v>
      </c>
      <c r="K2881" t="s">
        <v>41</v>
      </c>
      <c r="L2881" t="s">
        <v>371</v>
      </c>
      <c r="M2881" t="s">
        <v>14736</v>
      </c>
      <c r="N2881" t="s">
        <v>11429</v>
      </c>
      <c r="O2881" t="s">
        <v>101</v>
      </c>
      <c r="P2881" t="s">
        <v>14737</v>
      </c>
      <c r="Q2881" t="s">
        <v>69</v>
      </c>
      <c r="R2881" t="s">
        <v>489</v>
      </c>
      <c r="S2881">
        <v>1</v>
      </c>
      <c r="T2881">
        <v>3753</v>
      </c>
      <c r="U2881">
        <v>0</v>
      </c>
      <c r="V2881">
        <v>3753</v>
      </c>
    </row>
    <row r="2882" spans="1:22" x14ac:dyDescent="0.3">
      <c r="A2882">
        <v>186607</v>
      </c>
      <c r="B2882">
        <v>136198519</v>
      </c>
      <c r="C2882" t="s">
        <v>14738</v>
      </c>
      <c r="D2882" t="s">
        <v>14739</v>
      </c>
      <c r="E2882" t="s">
        <v>11426</v>
      </c>
      <c r="F2882" t="s">
        <v>844</v>
      </c>
      <c r="G2882" t="s">
        <v>164</v>
      </c>
      <c r="H2882" t="s">
        <v>165</v>
      </c>
      <c r="I2882" t="s">
        <v>34</v>
      </c>
      <c r="J2882" t="s">
        <v>166</v>
      </c>
      <c r="K2882" t="s">
        <v>41</v>
      </c>
      <c r="L2882" t="s">
        <v>14740</v>
      </c>
      <c r="M2882" t="s">
        <v>14741</v>
      </c>
      <c r="N2882" t="s">
        <v>11429</v>
      </c>
      <c r="O2882" t="s">
        <v>101</v>
      </c>
      <c r="P2882" t="s">
        <v>14742</v>
      </c>
      <c r="Q2882" t="s">
        <v>84</v>
      </c>
      <c r="R2882" t="s">
        <v>718</v>
      </c>
      <c r="S2882">
        <v>1</v>
      </c>
      <c r="T2882">
        <v>3366</v>
      </c>
      <c r="U2882">
        <v>0</v>
      </c>
      <c r="V2882">
        <v>3366</v>
      </c>
    </row>
    <row r="2883" spans="1:22" x14ac:dyDescent="0.3">
      <c r="A2883">
        <v>186607</v>
      </c>
      <c r="B2883">
        <v>136328559</v>
      </c>
      <c r="C2883" t="s">
        <v>14743</v>
      </c>
      <c r="D2883" t="s">
        <v>14744</v>
      </c>
      <c r="E2883" t="s">
        <v>11426</v>
      </c>
      <c r="F2883" t="s">
        <v>844</v>
      </c>
      <c r="G2883" t="s">
        <v>164</v>
      </c>
      <c r="H2883" t="s">
        <v>165</v>
      </c>
      <c r="I2883" t="s">
        <v>34</v>
      </c>
      <c r="J2883" t="s">
        <v>166</v>
      </c>
      <c r="K2883" t="s">
        <v>41</v>
      </c>
      <c r="L2883" t="s">
        <v>14745</v>
      </c>
      <c r="M2883" t="s">
        <v>14746</v>
      </c>
      <c r="N2883" t="s">
        <v>11429</v>
      </c>
      <c r="O2883" t="s">
        <v>101</v>
      </c>
      <c r="P2883" t="s">
        <v>14747</v>
      </c>
      <c r="Q2883" t="s">
        <v>83</v>
      </c>
      <c r="R2883" t="s">
        <v>11485</v>
      </c>
      <c r="S2883">
        <v>2</v>
      </c>
      <c r="T2883">
        <v>3366</v>
      </c>
      <c r="U2883">
        <v>0</v>
      </c>
      <c r="V2883">
        <v>3366</v>
      </c>
    </row>
    <row r="2884" spans="1:22" x14ac:dyDescent="0.3">
      <c r="A2884">
        <v>186607</v>
      </c>
      <c r="B2884">
        <v>136364549</v>
      </c>
      <c r="C2884" t="s">
        <v>14748</v>
      </c>
      <c r="D2884" t="s">
        <v>14749</v>
      </c>
      <c r="E2884" t="s">
        <v>11426</v>
      </c>
      <c r="F2884" t="s">
        <v>844</v>
      </c>
      <c r="G2884" t="s">
        <v>164</v>
      </c>
      <c r="H2884" t="s">
        <v>165</v>
      </c>
      <c r="I2884" t="s">
        <v>34</v>
      </c>
      <c r="J2884" t="s">
        <v>166</v>
      </c>
      <c r="K2884" t="s">
        <v>41</v>
      </c>
      <c r="L2884" t="s">
        <v>14750</v>
      </c>
      <c r="M2884" t="s">
        <v>14751</v>
      </c>
      <c r="N2884" t="s">
        <v>11429</v>
      </c>
      <c r="O2884" t="s">
        <v>101</v>
      </c>
      <c r="P2884" t="s">
        <v>14752</v>
      </c>
      <c r="Q2884" t="s">
        <v>84</v>
      </c>
      <c r="R2884" t="s">
        <v>758</v>
      </c>
      <c r="S2884">
        <v>0.5</v>
      </c>
      <c r="T2884">
        <v>3299</v>
      </c>
      <c r="U2884">
        <v>0</v>
      </c>
      <c r="V2884">
        <v>3299</v>
      </c>
    </row>
    <row r="2885" spans="1:22" x14ac:dyDescent="0.3">
      <c r="A2885">
        <v>186607</v>
      </c>
      <c r="B2885">
        <v>136440672</v>
      </c>
      <c r="C2885" t="s">
        <v>14753</v>
      </c>
      <c r="D2885" t="s">
        <v>14754</v>
      </c>
      <c r="E2885" t="s">
        <v>11426</v>
      </c>
      <c r="F2885" t="s">
        <v>844</v>
      </c>
      <c r="G2885" t="s">
        <v>164</v>
      </c>
      <c r="H2885" t="s">
        <v>165</v>
      </c>
      <c r="I2885" t="s">
        <v>34</v>
      </c>
      <c r="J2885" t="s">
        <v>166</v>
      </c>
      <c r="K2885" t="s">
        <v>41</v>
      </c>
      <c r="L2885" t="s">
        <v>540</v>
      </c>
      <c r="M2885" t="s">
        <v>14755</v>
      </c>
      <c r="N2885" t="s">
        <v>11429</v>
      </c>
      <c r="O2885" t="s">
        <v>101</v>
      </c>
      <c r="P2885" t="s">
        <v>14756</v>
      </c>
      <c r="Q2885" t="s">
        <v>61</v>
      </c>
      <c r="R2885" t="s">
        <v>704</v>
      </c>
      <c r="S2885">
        <v>0.5</v>
      </c>
      <c r="T2885">
        <v>3680</v>
      </c>
      <c r="U2885">
        <v>0</v>
      </c>
      <c r="V2885">
        <v>3680</v>
      </c>
    </row>
    <row r="2886" spans="1:22" x14ac:dyDescent="0.3">
      <c r="A2886">
        <v>186607</v>
      </c>
      <c r="B2886">
        <v>136107578</v>
      </c>
      <c r="C2886" t="s">
        <v>14757</v>
      </c>
      <c r="D2886" t="s">
        <v>14758</v>
      </c>
      <c r="E2886" t="s">
        <v>11426</v>
      </c>
      <c r="F2886" t="s">
        <v>844</v>
      </c>
      <c r="G2886" t="s">
        <v>164</v>
      </c>
      <c r="H2886" t="s">
        <v>165</v>
      </c>
      <c r="I2886" t="s">
        <v>34</v>
      </c>
      <c r="J2886" t="s">
        <v>166</v>
      </c>
      <c r="K2886" t="s">
        <v>41</v>
      </c>
      <c r="L2886" t="s">
        <v>14759</v>
      </c>
      <c r="M2886" t="s">
        <v>14760</v>
      </c>
      <c r="N2886" t="s">
        <v>11429</v>
      </c>
      <c r="O2886" t="s">
        <v>101</v>
      </c>
      <c r="P2886" t="s">
        <v>14761</v>
      </c>
      <c r="Q2886" t="s">
        <v>68</v>
      </c>
      <c r="R2886" t="s">
        <v>369</v>
      </c>
      <c r="S2886">
        <v>0.5</v>
      </c>
      <c r="T2886">
        <v>3680</v>
      </c>
      <c r="U2886">
        <v>0</v>
      </c>
      <c r="V2886">
        <v>3680</v>
      </c>
    </row>
    <row r="2887" spans="1:22" x14ac:dyDescent="0.3">
      <c r="A2887">
        <v>186607</v>
      </c>
      <c r="B2887">
        <v>136027647</v>
      </c>
      <c r="C2887" t="s">
        <v>14762</v>
      </c>
      <c r="D2887" t="s">
        <v>14763</v>
      </c>
      <c r="E2887" t="s">
        <v>11426</v>
      </c>
      <c r="F2887" t="s">
        <v>844</v>
      </c>
      <c r="G2887" t="s">
        <v>164</v>
      </c>
      <c r="H2887" t="s">
        <v>165</v>
      </c>
      <c r="I2887" t="s">
        <v>34</v>
      </c>
      <c r="J2887" t="s">
        <v>166</v>
      </c>
      <c r="K2887" t="s">
        <v>41</v>
      </c>
      <c r="L2887" t="s">
        <v>14764</v>
      </c>
      <c r="M2887" t="s">
        <v>14765</v>
      </c>
      <c r="N2887" t="s">
        <v>11429</v>
      </c>
      <c r="O2887" t="s">
        <v>101</v>
      </c>
      <c r="P2887" t="s">
        <v>14766</v>
      </c>
      <c r="Q2887" t="s">
        <v>92</v>
      </c>
      <c r="R2887" t="s">
        <v>489</v>
      </c>
      <c r="S2887">
        <v>0.5</v>
      </c>
      <c r="T2887">
        <v>3299</v>
      </c>
      <c r="U2887">
        <v>0</v>
      </c>
      <c r="V2887">
        <v>3299</v>
      </c>
    </row>
    <row r="2888" spans="1:22" x14ac:dyDescent="0.3">
      <c r="A2888">
        <v>186607</v>
      </c>
      <c r="B2888">
        <v>136027775</v>
      </c>
      <c r="C2888" t="s">
        <v>14767</v>
      </c>
      <c r="D2888" t="s">
        <v>14768</v>
      </c>
      <c r="E2888" t="s">
        <v>11426</v>
      </c>
      <c r="F2888" t="s">
        <v>844</v>
      </c>
      <c r="G2888" t="s">
        <v>164</v>
      </c>
      <c r="H2888" t="s">
        <v>165</v>
      </c>
      <c r="I2888" t="s">
        <v>34</v>
      </c>
      <c r="J2888" t="s">
        <v>166</v>
      </c>
      <c r="K2888" t="s">
        <v>41</v>
      </c>
      <c r="L2888" t="s">
        <v>14769</v>
      </c>
      <c r="M2888" t="s">
        <v>359</v>
      </c>
      <c r="N2888" t="s">
        <v>11429</v>
      </c>
      <c r="O2888" t="s">
        <v>101</v>
      </c>
      <c r="P2888" t="s">
        <v>553</v>
      </c>
      <c r="Q2888" t="s">
        <v>60</v>
      </c>
      <c r="R2888" t="s">
        <v>489</v>
      </c>
      <c r="S2888">
        <v>0.5</v>
      </c>
      <c r="T2888">
        <v>3680</v>
      </c>
      <c r="U2888">
        <v>0</v>
      </c>
      <c r="V2888">
        <v>3680</v>
      </c>
    </row>
    <row r="2889" spans="1:22" x14ac:dyDescent="0.3">
      <c r="A2889">
        <v>186607</v>
      </c>
      <c r="B2889">
        <v>136272218</v>
      </c>
      <c r="C2889" t="s">
        <v>14770</v>
      </c>
      <c r="D2889" t="s">
        <v>14771</v>
      </c>
      <c r="E2889" t="s">
        <v>11426</v>
      </c>
      <c r="F2889" t="s">
        <v>844</v>
      </c>
      <c r="G2889" t="s">
        <v>164</v>
      </c>
      <c r="H2889" t="s">
        <v>165</v>
      </c>
      <c r="I2889" t="s">
        <v>34</v>
      </c>
      <c r="J2889" t="s">
        <v>166</v>
      </c>
      <c r="K2889" t="s">
        <v>41</v>
      </c>
      <c r="L2889" t="s">
        <v>14772</v>
      </c>
      <c r="M2889" t="s">
        <v>14773</v>
      </c>
      <c r="N2889" t="s">
        <v>11429</v>
      </c>
      <c r="O2889" t="s">
        <v>101</v>
      </c>
      <c r="P2889" t="s">
        <v>14774</v>
      </c>
      <c r="Q2889" t="s">
        <v>92</v>
      </c>
      <c r="R2889" t="s">
        <v>12323</v>
      </c>
      <c r="S2889">
        <v>1</v>
      </c>
      <c r="T2889">
        <v>3366</v>
      </c>
      <c r="U2889">
        <v>0</v>
      </c>
      <c r="V2889">
        <v>3366</v>
      </c>
    </row>
    <row r="2890" spans="1:22" x14ac:dyDescent="0.3">
      <c r="A2890">
        <v>186607</v>
      </c>
      <c r="B2890">
        <v>136027766</v>
      </c>
      <c r="C2890" t="s">
        <v>14775</v>
      </c>
      <c r="D2890" t="s">
        <v>14776</v>
      </c>
      <c r="E2890" t="s">
        <v>11426</v>
      </c>
      <c r="F2890" t="s">
        <v>844</v>
      </c>
      <c r="G2890" t="s">
        <v>164</v>
      </c>
      <c r="H2890" t="s">
        <v>165</v>
      </c>
      <c r="I2890" t="s">
        <v>34</v>
      </c>
      <c r="J2890" t="s">
        <v>166</v>
      </c>
      <c r="K2890" t="s">
        <v>41</v>
      </c>
      <c r="L2890" t="s">
        <v>14777</v>
      </c>
      <c r="M2890" t="s">
        <v>14778</v>
      </c>
      <c r="N2890" t="s">
        <v>11429</v>
      </c>
      <c r="O2890" t="s">
        <v>101</v>
      </c>
      <c r="P2890" t="s">
        <v>14779</v>
      </c>
      <c r="Q2890" t="s">
        <v>200</v>
      </c>
      <c r="R2890" t="s">
        <v>489</v>
      </c>
      <c r="S2890">
        <v>1</v>
      </c>
      <c r="T2890">
        <v>3753</v>
      </c>
      <c r="U2890">
        <v>0</v>
      </c>
      <c r="V2890">
        <v>3753</v>
      </c>
    </row>
    <row r="2891" spans="1:22" x14ac:dyDescent="0.3">
      <c r="A2891">
        <v>186607</v>
      </c>
      <c r="B2891">
        <v>136272249</v>
      </c>
      <c r="C2891" t="s">
        <v>14780</v>
      </c>
      <c r="D2891" t="s">
        <v>14781</v>
      </c>
      <c r="E2891" t="s">
        <v>11426</v>
      </c>
      <c r="F2891" t="s">
        <v>844</v>
      </c>
      <c r="G2891" t="s">
        <v>164</v>
      </c>
      <c r="H2891" t="s">
        <v>165</v>
      </c>
      <c r="I2891" t="s">
        <v>34</v>
      </c>
      <c r="J2891" t="s">
        <v>166</v>
      </c>
      <c r="K2891" t="s">
        <v>41</v>
      </c>
      <c r="L2891" t="s">
        <v>14782</v>
      </c>
      <c r="M2891" t="s">
        <v>742</v>
      </c>
      <c r="N2891" t="s">
        <v>11429</v>
      </c>
      <c r="O2891" t="s">
        <v>101</v>
      </c>
      <c r="P2891" t="s">
        <v>14783</v>
      </c>
      <c r="Q2891" t="s">
        <v>64</v>
      </c>
      <c r="R2891" t="s">
        <v>12323</v>
      </c>
      <c r="S2891">
        <v>0.5</v>
      </c>
      <c r="T2891">
        <v>3680</v>
      </c>
      <c r="U2891">
        <v>0</v>
      </c>
      <c r="V2891">
        <v>3680</v>
      </c>
    </row>
    <row r="2892" spans="1:22" x14ac:dyDescent="0.3">
      <c r="A2892">
        <v>186607</v>
      </c>
      <c r="B2892">
        <v>136440687</v>
      </c>
      <c r="C2892" t="s">
        <v>14784</v>
      </c>
      <c r="D2892" t="s">
        <v>14785</v>
      </c>
      <c r="E2892" t="s">
        <v>11426</v>
      </c>
      <c r="F2892" t="s">
        <v>844</v>
      </c>
      <c r="G2892" t="s">
        <v>164</v>
      </c>
      <c r="H2892" t="s">
        <v>165</v>
      </c>
      <c r="I2892" t="s">
        <v>34</v>
      </c>
      <c r="J2892" t="s">
        <v>166</v>
      </c>
      <c r="K2892" t="s">
        <v>41</v>
      </c>
      <c r="L2892" t="s">
        <v>14786</v>
      </c>
      <c r="M2892" t="s">
        <v>14787</v>
      </c>
      <c r="N2892" t="s">
        <v>11429</v>
      </c>
      <c r="O2892" t="s">
        <v>101</v>
      </c>
      <c r="P2892" t="s">
        <v>14788</v>
      </c>
      <c r="Q2892" t="s">
        <v>71</v>
      </c>
      <c r="R2892" t="s">
        <v>704</v>
      </c>
      <c r="S2892">
        <v>0.5</v>
      </c>
      <c r="T2892">
        <v>3449</v>
      </c>
      <c r="U2892">
        <v>0</v>
      </c>
      <c r="V2892">
        <v>3449</v>
      </c>
    </row>
    <row r="2893" spans="1:22" x14ac:dyDescent="0.3">
      <c r="A2893">
        <v>186607</v>
      </c>
      <c r="B2893">
        <v>136107658</v>
      </c>
      <c r="C2893" t="s">
        <v>14789</v>
      </c>
      <c r="D2893" t="s">
        <v>14790</v>
      </c>
      <c r="E2893" t="s">
        <v>11426</v>
      </c>
      <c r="F2893" t="s">
        <v>844</v>
      </c>
      <c r="G2893" t="s">
        <v>164</v>
      </c>
      <c r="H2893" t="s">
        <v>165</v>
      </c>
      <c r="I2893" t="s">
        <v>34</v>
      </c>
      <c r="J2893" t="s">
        <v>166</v>
      </c>
      <c r="K2893" t="s">
        <v>41</v>
      </c>
      <c r="L2893" t="s">
        <v>14791</v>
      </c>
      <c r="M2893" t="s">
        <v>14792</v>
      </c>
      <c r="N2893" t="s">
        <v>11429</v>
      </c>
      <c r="O2893" t="s">
        <v>101</v>
      </c>
      <c r="P2893" t="s">
        <v>14793</v>
      </c>
      <c r="Q2893" t="s">
        <v>61</v>
      </c>
      <c r="R2893" t="s">
        <v>369</v>
      </c>
      <c r="S2893">
        <v>1</v>
      </c>
      <c r="T2893">
        <v>4067</v>
      </c>
      <c r="U2893">
        <v>0</v>
      </c>
      <c r="V2893">
        <v>4067</v>
      </c>
    </row>
    <row r="2894" spans="1:22" x14ac:dyDescent="0.3">
      <c r="A2894">
        <v>186607</v>
      </c>
      <c r="B2894">
        <v>136107611</v>
      </c>
      <c r="C2894" t="s">
        <v>14794</v>
      </c>
      <c r="D2894" t="s">
        <v>14795</v>
      </c>
      <c r="E2894" t="s">
        <v>11426</v>
      </c>
      <c r="F2894" t="s">
        <v>844</v>
      </c>
      <c r="G2894" t="s">
        <v>164</v>
      </c>
      <c r="H2894" t="s">
        <v>165</v>
      </c>
      <c r="I2894" t="s">
        <v>34</v>
      </c>
      <c r="J2894" t="s">
        <v>166</v>
      </c>
      <c r="K2894" t="s">
        <v>41</v>
      </c>
      <c r="L2894" t="s">
        <v>14796</v>
      </c>
      <c r="M2894" t="s">
        <v>14797</v>
      </c>
      <c r="N2894" t="s">
        <v>11429</v>
      </c>
      <c r="O2894" t="s">
        <v>101</v>
      </c>
      <c r="P2894" t="s">
        <v>14798</v>
      </c>
      <c r="Q2894" t="s">
        <v>69</v>
      </c>
      <c r="R2894" t="s">
        <v>369</v>
      </c>
      <c r="S2894">
        <v>1</v>
      </c>
      <c r="T2894">
        <v>3753</v>
      </c>
      <c r="U2894">
        <v>0</v>
      </c>
      <c r="V2894">
        <v>3753</v>
      </c>
    </row>
    <row r="2895" spans="1:22" x14ac:dyDescent="0.3">
      <c r="A2895">
        <v>186607</v>
      </c>
      <c r="B2895">
        <v>136027659</v>
      </c>
      <c r="C2895" t="s">
        <v>14799</v>
      </c>
      <c r="D2895" t="s">
        <v>14800</v>
      </c>
      <c r="E2895" t="s">
        <v>11426</v>
      </c>
      <c r="F2895" t="s">
        <v>844</v>
      </c>
      <c r="G2895" t="s">
        <v>164</v>
      </c>
      <c r="H2895" t="s">
        <v>165</v>
      </c>
      <c r="I2895" t="s">
        <v>34</v>
      </c>
      <c r="J2895" t="s">
        <v>166</v>
      </c>
      <c r="K2895" t="s">
        <v>41</v>
      </c>
      <c r="L2895" t="s">
        <v>14801</v>
      </c>
      <c r="M2895" t="s">
        <v>14802</v>
      </c>
      <c r="N2895" t="s">
        <v>11429</v>
      </c>
      <c r="O2895" t="s">
        <v>101</v>
      </c>
      <c r="P2895" t="s">
        <v>14803</v>
      </c>
      <c r="Q2895" t="s">
        <v>204</v>
      </c>
      <c r="R2895" t="s">
        <v>489</v>
      </c>
      <c r="S2895">
        <v>1</v>
      </c>
      <c r="T2895">
        <v>3366</v>
      </c>
      <c r="U2895">
        <v>0</v>
      </c>
      <c r="V2895">
        <v>3366</v>
      </c>
    </row>
    <row r="2896" spans="1:22" x14ac:dyDescent="0.3">
      <c r="A2896">
        <v>186607</v>
      </c>
      <c r="B2896">
        <v>136364508</v>
      </c>
      <c r="C2896" t="s">
        <v>14804</v>
      </c>
      <c r="D2896" t="s">
        <v>14805</v>
      </c>
      <c r="E2896" t="s">
        <v>11426</v>
      </c>
      <c r="F2896" t="s">
        <v>844</v>
      </c>
      <c r="G2896" t="s">
        <v>164</v>
      </c>
      <c r="H2896" t="s">
        <v>165</v>
      </c>
      <c r="I2896" t="s">
        <v>34</v>
      </c>
      <c r="J2896" t="s">
        <v>166</v>
      </c>
      <c r="K2896" t="s">
        <v>41</v>
      </c>
      <c r="L2896" t="s">
        <v>14806</v>
      </c>
      <c r="M2896" t="s">
        <v>14807</v>
      </c>
      <c r="N2896" t="s">
        <v>11429</v>
      </c>
      <c r="O2896" t="s">
        <v>101</v>
      </c>
      <c r="P2896" t="s">
        <v>14808</v>
      </c>
      <c r="Q2896" t="s">
        <v>69</v>
      </c>
      <c r="R2896" t="s">
        <v>758</v>
      </c>
      <c r="S2896">
        <v>2</v>
      </c>
      <c r="T2896">
        <v>3753</v>
      </c>
      <c r="U2896">
        <v>0</v>
      </c>
      <c r="V2896">
        <v>3753</v>
      </c>
    </row>
    <row r="2897" spans="1:22" x14ac:dyDescent="0.3">
      <c r="A2897">
        <v>186607</v>
      </c>
      <c r="B2897">
        <v>136272229</v>
      </c>
      <c r="C2897" t="s">
        <v>14809</v>
      </c>
      <c r="D2897" t="s">
        <v>14810</v>
      </c>
      <c r="E2897" t="s">
        <v>11426</v>
      </c>
      <c r="F2897" t="s">
        <v>844</v>
      </c>
      <c r="G2897" t="s">
        <v>164</v>
      </c>
      <c r="H2897" t="s">
        <v>165</v>
      </c>
      <c r="I2897" t="s">
        <v>34</v>
      </c>
      <c r="J2897" t="s">
        <v>166</v>
      </c>
      <c r="K2897" t="s">
        <v>41</v>
      </c>
      <c r="L2897" t="s">
        <v>14811</v>
      </c>
      <c r="M2897" t="s">
        <v>14812</v>
      </c>
      <c r="N2897" t="s">
        <v>11429</v>
      </c>
      <c r="O2897" t="s">
        <v>101</v>
      </c>
      <c r="P2897" t="s">
        <v>14813</v>
      </c>
      <c r="Q2897" t="s">
        <v>87</v>
      </c>
      <c r="R2897" t="s">
        <v>12323</v>
      </c>
      <c r="S2897">
        <v>1</v>
      </c>
      <c r="T2897">
        <v>3366</v>
      </c>
      <c r="U2897">
        <v>0</v>
      </c>
      <c r="V2897">
        <v>3366</v>
      </c>
    </row>
    <row r="2898" spans="1:22" x14ac:dyDescent="0.3">
      <c r="A2898">
        <v>186607</v>
      </c>
      <c r="B2898">
        <v>136364499</v>
      </c>
      <c r="C2898" t="s">
        <v>14814</v>
      </c>
      <c r="D2898" t="s">
        <v>14815</v>
      </c>
      <c r="E2898" t="s">
        <v>11426</v>
      </c>
      <c r="F2898" t="s">
        <v>844</v>
      </c>
      <c r="G2898" t="s">
        <v>164</v>
      </c>
      <c r="H2898" t="s">
        <v>165</v>
      </c>
      <c r="I2898" t="s">
        <v>34</v>
      </c>
      <c r="J2898" t="s">
        <v>166</v>
      </c>
      <c r="K2898" t="s">
        <v>41</v>
      </c>
      <c r="L2898" t="s">
        <v>14816</v>
      </c>
      <c r="M2898" t="s">
        <v>14817</v>
      </c>
      <c r="N2898" t="s">
        <v>11429</v>
      </c>
      <c r="O2898" t="s">
        <v>101</v>
      </c>
      <c r="P2898" t="s">
        <v>14818</v>
      </c>
      <c r="Q2898" t="s">
        <v>200</v>
      </c>
      <c r="R2898" t="s">
        <v>758</v>
      </c>
      <c r="S2898">
        <v>1</v>
      </c>
      <c r="T2898">
        <v>3753</v>
      </c>
      <c r="U2898">
        <v>0</v>
      </c>
      <c r="V2898">
        <v>3753</v>
      </c>
    </row>
    <row r="2899" spans="1:22" x14ac:dyDescent="0.3">
      <c r="A2899">
        <v>186607</v>
      </c>
      <c r="B2899">
        <v>136027706</v>
      </c>
      <c r="C2899" t="s">
        <v>14819</v>
      </c>
      <c r="D2899" t="s">
        <v>14820</v>
      </c>
      <c r="E2899" t="s">
        <v>11426</v>
      </c>
      <c r="F2899" t="s">
        <v>844</v>
      </c>
      <c r="G2899" t="s">
        <v>164</v>
      </c>
      <c r="H2899" t="s">
        <v>165</v>
      </c>
      <c r="I2899" t="s">
        <v>34</v>
      </c>
      <c r="J2899" t="s">
        <v>166</v>
      </c>
      <c r="K2899" t="s">
        <v>41</v>
      </c>
      <c r="L2899" t="s">
        <v>14821</v>
      </c>
      <c r="M2899" t="s">
        <v>14822</v>
      </c>
      <c r="N2899" t="s">
        <v>11429</v>
      </c>
      <c r="O2899" t="s">
        <v>101</v>
      </c>
      <c r="P2899" t="s">
        <v>14823</v>
      </c>
      <c r="Q2899" t="s">
        <v>69</v>
      </c>
      <c r="R2899" t="s">
        <v>489</v>
      </c>
      <c r="S2899">
        <v>1</v>
      </c>
      <c r="T2899">
        <v>3753</v>
      </c>
      <c r="U2899">
        <v>0</v>
      </c>
      <c r="V2899">
        <v>3753</v>
      </c>
    </row>
    <row r="2900" spans="1:22" x14ac:dyDescent="0.3">
      <c r="A2900">
        <v>186607</v>
      </c>
      <c r="B2900">
        <v>136198446</v>
      </c>
      <c r="C2900" t="s">
        <v>14824</v>
      </c>
      <c r="D2900" t="s">
        <v>14825</v>
      </c>
      <c r="E2900" t="s">
        <v>11426</v>
      </c>
      <c r="F2900" t="s">
        <v>844</v>
      </c>
      <c r="G2900" t="s">
        <v>164</v>
      </c>
      <c r="H2900" t="s">
        <v>165</v>
      </c>
      <c r="I2900" t="s">
        <v>34</v>
      </c>
      <c r="J2900" t="s">
        <v>166</v>
      </c>
      <c r="K2900" t="s">
        <v>41</v>
      </c>
      <c r="L2900" t="s">
        <v>14826</v>
      </c>
      <c r="M2900" t="s">
        <v>14827</v>
      </c>
      <c r="N2900" t="s">
        <v>11429</v>
      </c>
      <c r="O2900" t="s">
        <v>101</v>
      </c>
      <c r="P2900" t="s">
        <v>14828</v>
      </c>
      <c r="Q2900" t="s">
        <v>84</v>
      </c>
      <c r="R2900" t="s">
        <v>718</v>
      </c>
      <c r="S2900">
        <v>1.5</v>
      </c>
      <c r="T2900">
        <v>3366</v>
      </c>
      <c r="U2900">
        <v>0</v>
      </c>
      <c r="V2900">
        <v>3366</v>
      </c>
    </row>
    <row r="2901" spans="1:22" x14ac:dyDescent="0.3">
      <c r="A2901">
        <v>186607</v>
      </c>
      <c r="B2901">
        <v>136027729</v>
      </c>
      <c r="C2901" t="s">
        <v>14829</v>
      </c>
      <c r="D2901" t="s">
        <v>14830</v>
      </c>
      <c r="E2901" t="s">
        <v>11426</v>
      </c>
      <c r="F2901" t="s">
        <v>844</v>
      </c>
      <c r="G2901" t="s">
        <v>164</v>
      </c>
      <c r="H2901" t="s">
        <v>165</v>
      </c>
      <c r="I2901" t="s">
        <v>34</v>
      </c>
      <c r="J2901" t="s">
        <v>166</v>
      </c>
      <c r="K2901" t="s">
        <v>41</v>
      </c>
      <c r="L2901" t="s">
        <v>14831</v>
      </c>
      <c r="M2901" t="s">
        <v>14832</v>
      </c>
      <c r="N2901" t="s">
        <v>11429</v>
      </c>
      <c r="O2901" t="s">
        <v>101</v>
      </c>
      <c r="P2901" t="s">
        <v>14833</v>
      </c>
      <c r="Q2901" t="s">
        <v>83</v>
      </c>
      <c r="R2901" t="s">
        <v>489</v>
      </c>
      <c r="S2901">
        <v>1</v>
      </c>
      <c r="T2901">
        <v>3366</v>
      </c>
      <c r="U2901">
        <v>0</v>
      </c>
      <c r="V2901">
        <v>3366</v>
      </c>
    </row>
    <row r="2902" spans="1:22" x14ac:dyDescent="0.3">
      <c r="A2902">
        <v>186607</v>
      </c>
      <c r="B2902">
        <v>136412729</v>
      </c>
      <c r="C2902" t="s">
        <v>14834</v>
      </c>
      <c r="D2902" t="s">
        <v>14835</v>
      </c>
      <c r="E2902" t="s">
        <v>11426</v>
      </c>
      <c r="F2902" t="s">
        <v>844</v>
      </c>
      <c r="G2902" t="s">
        <v>164</v>
      </c>
      <c r="H2902" t="s">
        <v>165</v>
      </c>
      <c r="I2902" t="s">
        <v>34</v>
      </c>
      <c r="J2902" t="s">
        <v>166</v>
      </c>
      <c r="K2902" t="s">
        <v>41</v>
      </c>
      <c r="L2902" t="s">
        <v>14836</v>
      </c>
      <c r="M2902" t="s">
        <v>14837</v>
      </c>
      <c r="N2902" t="s">
        <v>11429</v>
      </c>
      <c r="O2902" t="s">
        <v>101</v>
      </c>
      <c r="P2902" t="s">
        <v>14838</v>
      </c>
      <c r="Q2902" t="s">
        <v>72</v>
      </c>
      <c r="R2902" t="s">
        <v>430</v>
      </c>
      <c r="S2902">
        <v>1</v>
      </c>
      <c r="T2902">
        <v>3784</v>
      </c>
      <c r="U2902">
        <v>0</v>
      </c>
      <c r="V2902">
        <v>3784</v>
      </c>
    </row>
    <row r="2903" spans="1:22" x14ac:dyDescent="0.3">
      <c r="A2903">
        <v>186607</v>
      </c>
      <c r="B2903">
        <v>136027777</v>
      </c>
      <c r="C2903" t="s">
        <v>14839</v>
      </c>
      <c r="D2903" t="s">
        <v>14840</v>
      </c>
      <c r="E2903" t="s">
        <v>11426</v>
      </c>
      <c r="F2903" t="s">
        <v>844</v>
      </c>
      <c r="G2903" t="s">
        <v>164</v>
      </c>
      <c r="H2903" t="s">
        <v>165</v>
      </c>
      <c r="I2903" t="s">
        <v>34</v>
      </c>
      <c r="J2903" t="s">
        <v>166</v>
      </c>
      <c r="K2903" t="s">
        <v>41</v>
      </c>
      <c r="L2903" t="s">
        <v>14841</v>
      </c>
      <c r="M2903" t="s">
        <v>14842</v>
      </c>
      <c r="N2903" t="s">
        <v>11429</v>
      </c>
      <c r="O2903" t="s">
        <v>101</v>
      </c>
      <c r="P2903" t="s">
        <v>14843</v>
      </c>
      <c r="Q2903" t="s">
        <v>84</v>
      </c>
      <c r="R2903" t="s">
        <v>489</v>
      </c>
      <c r="S2903">
        <v>0.5</v>
      </c>
      <c r="T2903">
        <v>3299</v>
      </c>
      <c r="U2903">
        <v>0</v>
      </c>
      <c r="V2903">
        <v>3299</v>
      </c>
    </row>
    <row r="2904" spans="1:22" x14ac:dyDescent="0.3">
      <c r="A2904">
        <v>186607</v>
      </c>
      <c r="B2904">
        <v>136198249</v>
      </c>
      <c r="C2904" t="s">
        <v>14844</v>
      </c>
      <c r="D2904" t="s">
        <v>14845</v>
      </c>
      <c r="E2904" t="s">
        <v>11426</v>
      </c>
      <c r="F2904" t="s">
        <v>844</v>
      </c>
      <c r="G2904" t="s">
        <v>164</v>
      </c>
      <c r="H2904" t="s">
        <v>165</v>
      </c>
      <c r="I2904" t="s">
        <v>34</v>
      </c>
      <c r="J2904" t="s">
        <v>166</v>
      </c>
      <c r="K2904" t="s">
        <v>41</v>
      </c>
      <c r="L2904" t="s">
        <v>14846</v>
      </c>
      <c r="M2904" t="s">
        <v>14847</v>
      </c>
      <c r="N2904" t="s">
        <v>11429</v>
      </c>
      <c r="O2904" t="s">
        <v>101</v>
      </c>
      <c r="P2904" t="s">
        <v>14848</v>
      </c>
      <c r="Q2904" t="s">
        <v>194</v>
      </c>
      <c r="R2904" t="s">
        <v>339</v>
      </c>
      <c r="S2904">
        <v>0.5</v>
      </c>
      <c r="T2904">
        <v>3680</v>
      </c>
      <c r="U2904">
        <v>0</v>
      </c>
      <c r="V2904">
        <v>3680</v>
      </c>
    </row>
    <row r="2905" spans="1:22" x14ac:dyDescent="0.3">
      <c r="A2905">
        <v>186607</v>
      </c>
      <c r="B2905">
        <v>136198348</v>
      </c>
      <c r="C2905" t="s">
        <v>14849</v>
      </c>
      <c r="D2905" t="s">
        <v>14850</v>
      </c>
      <c r="E2905" t="s">
        <v>11426</v>
      </c>
      <c r="F2905" t="s">
        <v>844</v>
      </c>
      <c r="G2905" t="s">
        <v>164</v>
      </c>
      <c r="H2905" t="s">
        <v>165</v>
      </c>
      <c r="I2905" t="s">
        <v>34</v>
      </c>
      <c r="J2905" t="s">
        <v>166</v>
      </c>
      <c r="K2905" t="s">
        <v>41</v>
      </c>
      <c r="L2905" t="s">
        <v>14851</v>
      </c>
      <c r="M2905" t="s">
        <v>14852</v>
      </c>
      <c r="N2905" t="s">
        <v>11429</v>
      </c>
      <c r="O2905" t="s">
        <v>101</v>
      </c>
      <c r="P2905" t="s">
        <v>14853</v>
      </c>
      <c r="Q2905" t="s">
        <v>92</v>
      </c>
      <c r="R2905" t="s">
        <v>339</v>
      </c>
      <c r="S2905">
        <v>1</v>
      </c>
      <c r="T2905">
        <v>3366</v>
      </c>
      <c r="U2905">
        <v>0</v>
      </c>
      <c r="V2905">
        <v>3366</v>
      </c>
    </row>
    <row r="2906" spans="1:22" x14ac:dyDescent="0.3">
      <c r="A2906">
        <v>186607</v>
      </c>
      <c r="B2906">
        <v>136272210</v>
      </c>
      <c r="C2906" t="s">
        <v>14854</v>
      </c>
      <c r="D2906" t="s">
        <v>14855</v>
      </c>
      <c r="E2906" t="s">
        <v>11426</v>
      </c>
      <c r="F2906" t="s">
        <v>844</v>
      </c>
      <c r="G2906" t="s">
        <v>164</v>
      </c>
      <c r="H2906" t="s">
        <v>165</v>
      </c>
      <c r="I2906" t="s">
        <v>34</v>
      </c>
      <c r="J2906" t="s">
        <v>166</v>
      </c>
      <c r="K2906" t="s">
        <v>41</v>
      </c>
      <c r="L2906" t="s">
        <v>14856</v>
      </c>
      <c r="M2906" t="s">
        <v>14857</v>
      </c>
      <c r="N2906" t="s">
        <v>11429</v>
      </c>
      <c r="O2906" t="s">
        <v>101</v>
      </c>
      <c r="P2906" t="s">
        <v>14858</v>
      </c>
      <c r="Q2906" t="s">
        <v>74</v>
      </c>
      <c r="R2906" t="s">
        <v>12323</v>
      </c>
      <c r="S2906">
        <v>1</v>
      </c>
      <c r="T2906">
        <v>3753</v>
      </c>
      <c r="U2906">
        <v>0</v>
      </c>
      <c r="V2906">
        <v>3753</v>
      </c>
    </row>
    <row r="2907" spans="1:22" x14ac:dyDescent="0.3">
      <c r="A2907">
        <v>186607</v>
      </c>
      <c r="B2907">
        <v>135472663</v>
      </c>
      <c r="C2907" t="s">
        <v>14859</v>
      </c>
      <c r="D2907" t="s">
        <v>14860</v>
      </c>
      <c r="E2907" t="s">
        <v>11426</v>
      </c>
      <c r="F2907" t="s">
        <v>844</v>
      </c>
      <c r="G2907" t="s">
        <v>172</v>
      </c>
      <c r="H2907" t="s">
        <v>173</v>
      </c>
      <c r="I2907" t="s">
        <v>34</v>
      </c>
      <c r="J2907" t="s">
        <v>272</v>
      </c>
      <c r="K2907" t="s">
        <v>41</v>
      </c>
      <c r="L2907" t="s">
        <v>174</v>
      </c>
      <c r="M2907" t="s">
        <v>14861</v>
      </c>
      <c r="N2907" t="s">
        <v>11429</v>
      </c>
      <c r="O2907" t="s">
        <v>101</v>
      </c>
      <c r="P2907" t="s">
        <v>14862</v>
      </c>
      <c r="Q2907" t="s">
        <v>314</v>
      </c>
      <c r="R2907" t="s">
        <v>14863</v>
      </c>
      <c r="S2907">
        <v>3.96</v>
      </c>
      <c r="T2907">
        <v>7297</v>
      </c>
      <c r="U2907">
        <v>0</v>
      </c>
      <c r="V2907">
        <v>7297</v>
      </c>
    </row>
    <row r="2908" spans="1:22" x14ac:dyDescent="0.3">
      <c r="A2908">
        <v>186607</v>
      </c>
      <c r="B2908">
        <v>136412726</v>
      </c>
      <c r="C2908" t="s">
        <v>14864</v>
      </c>
      <c r="D2908" t="s">
        <v>14865</v>
      </c>
      <c r="E2908" t="s">
        <v>11426</v>
      </c>
      <c r="F2908" t="s">
        <v>844</v>
      </c>
      <c r="G2908" t="s">
        <v>164</v>
      </c>
      <c r="H2908" t="s">
        <v>165</v>
      </c>
      <c r="I2908" t="s">
        <v>34</v>
      </c>
      <c r="J2908" t="s">
        <v>166</v>
      </c>
      <c r="K2908" t="s">
        <v>41</v>
      </c>
      <c r="L2908" t="s">
        <v>14866</v>
      </c>
      <c r="M2908" t="s">
        <v>14867</v>
      </c>
      <c r="N2908" t="s">
        <v>11429</v>
      </c>
      <c r="O2908" t="s">
        <v>101</v>
      </c>
      <c r="P2908" t="s">
        <v>14868</v>
      </c>
      <c r="Q2908" t="s">
        <v>76</v>
      </c>
      <c r="R2908" t="s">
        <v>430</v>
      </c>
      <c r="S2908">
        <v>0.5</v>
      </c>
      <c r="T2908">
        <v>3680</v>
      </c>
      <c r="U2908">
        <v>0</v>
      </c>
      <c r="V2908">
        <v>3680</v>
      </c>
    </row>
    <row r="2909" spans="1:22" x14ac:dyDescent="0.3">
      <c r="A2909">
        <v>186607</v>
      </c>
      <c r="B2909">
        <v>136272284</v>
      </c>
      <c r="C2909" t="s">
        <v>14869</v>
      </c>
      <c r="D2909" t="s">
        <v>14870</v>
      </c>
      <c r="E2909" t="s">
        <v>11426</v>
      </c>
      <c r="F2909" t="s">
        <v>844</v>
      </c>
      <c r="G2909" t="s">
        <v>164</v>
      </c>
      <c r="H2909" t="s">
        <v>165</v>
      </c>
      <c r="I2909" t="s">
        <v>34</v>
      </c>
      <c r="J2909" t="s">
        <v>166</v>
      </c>
      <c r="K2909" t="s">
        <v>41</v>
      </c>
      <c r="L2909" t="s">
        <v>14871</v>
      </c>
      <c r="M2909" t="s">
        <v>14872</v>
      </c>
      <c r="N2909" t="s">
        <v>11429</v>
      </c>
      <c r="O2909" t="s">
        <v>101</v>
      </c>
      <c r="P2909" t="s">
        <v>14873</v>
      </c>
      <c r="Q2909" t="s">
        <v>69</v>
      </c>
      <c r="R2909" t="s">
        <v>12323</v>
      </c>
      <c r="S2909">
        <v>1</v>
      </c>
      <c r="T2909">
        <v>3753</v>
      </c>
      <c r="U2909">
        <v>0</v>
      </c>
      <c r="V2909">
        <v>3753</v>
      </c>
    </row>
    <row r="2910" spans="1:22" x14ac:dyDescent="0.3">
      <c r="A2910">
        <v>186607</v>
      </c>
      <c r="B2910">
        <v>136328489</v>
      </c>
      <c r="C2910" t="s">
        <v>14874</v>
      </c>
      <c r="D2910" t="s">
        <v>14875</v>
      </c>
      <c r="E2910" t="s">
        <v>11426</v>
      </c>
      <c r="F2910" t="s">
        <v>844</v>
      </c>
      <c r="G2910" t="s">
        <v>164</v>
      </c>
      <c r="H2910" t="s">
        <v>165</v>
      </c>
      <c r="I2910" t="s">
        <v>34</v>
      </c>
      <c r="J2910" t="s">
        <v>166</v>
      </c>
      <c r="K2910" t="s">
        <v>41</v>
      </c>
      <c r="L2910" t="s">
        <v>14876</v>
      </c>
      <c r="M2910" t="s">
        <v>14877</v>
      </c>
      <c r="N2910" t="s">
        <v>11429</v>
      </c>
      <c r="O2910" t="s">
        <v>101</v>
      </c>
      <c r="P2910" t="s">
        <v>14878</v>
      </c>
      <c r="Q2910" t="s">
        <v>190</v>
      </c>
      <c r="R2910" t="s">
        <v>14086</v>
      </c>
      <c r="S2910">
        <v>0.5</v>
      </c>
      <c r="T2910">
        <v>3299</v>
      </c>
      <c r="U2910">
        <v>0</v>
      </c>
      <c r="V2910">
        <v>3299</v>
      </c>
    </row>
    <row r="2911" spans="1:22" x14ac:dyDescent="0.3">
      <c r="A2911">
        <v>186607</v>
      </c>
      <c r="B2911">
        <v>136198443</v>
      </c>
      <c r="C2911" t="s">
        <v>14879</v>
      </c>
      <c r="D2911" t="s">
        <v>14880</v>
      </c>
      <c r="E2911" t="s">
        <v>11426</v>
      </c>
      <c r="F2911" t="s">
        <v>844</v>
      </c>
      <c r="G2911" t="s">
        <v>164</v>
      </c>
      <c r="H2911" t="s">
        <v>165</v>
      </c>
      <c r="I2911" t="s">
        <v>34</v>
      </c>
      <c r="J2911" t="s">
        <v>166</v>
      </c>
      <c r="K2911" t="s">
        <v>41</v>
      </c>
      <c r="L2911" t="s">
        <v>604</v>
      </c>
      <c r="M2911" t="s">
        <v>14881</v>
      </c>
      <c r="N2911" t="s">
        <v>11429</v>
      </c>
      <c r="O2911" t="s">
        <v>101</v>
      </c>
      <c r="P2911" t="s">
        <v>14882</v>
      </c>
      <c r="Q2911" t="s">
        <v>49</v>
      </c>
      <c r="R2911" t="s">
        <v>718</v>
      </c>
      <c r="S2911">
        <v>1</v>
      </c>
      <c r="T2911">
        <v>3784</v>
      </c>
      <c r="U2911">
        <v>0</v>
      </c>
      <c r="V2911">
        <v>3784</v>
      </c>
    </row>
    <row r="2912" spans="1:22" x14ac:dyDescent="0.3">
      <c r="A2912">
        <v>186607</v>
      </c>
      <c r="B2912">
        <v>136364538</v>
      </c>
      <c r="C2912" t="s">
        <v>14883</v>
      </c>
      <c r="D2912" t="s">
        <v>14884</v>
      </c>
      <c r="E2912" t="s">
        <v>11426</v>
      </c>
      <c r="F2912" t="s">
        <v>844</v>
      </c>
      <c r="G2912" t="s">
        <v>164</v>
      </c>
      <c r="H2912" t="s">
        <v>165</v>
      </c>
      <c r="I2912" t="s">
        <v>34</v>
      </c>
      <c r="J2912" t="s">
        <v>166</v>
      </c>
      <c r="K2912" t="s">
        <v>41</v>
      </c>
      <c r="L2912" t="s">
        <v>14885</v>
      </c>
      <c r="M2912" t="s">
        <v>14886</v>
      </c>
      <c r="N2912" t="s">
        <v>11429</v>
      </c>
      <c r="O2912" t="s">
        <v>101</v>
      </c>
      <c r="P2912" t="s">
        <v>14887</v>
      </c>
      <c r="Q2912" t="s">
        <v>43</v>
      </c>
      <c r="R2912" t="s">
        <v>758</v>
      </c>
      <c r="S2912">
        <v>1</v>
      </c>
      <c r="T2912">
        <v>3753</v>
      </c>
      <c r="U2912">
        <v>0</v>
      </c>
      <c r="V2912">
        <v>3753</v>
      </c>
    </row>
    <row r="2913" spans="1:22" x14ac:dyDescent="0.3">
      <c r="A2913">
        <v>186607</v>
      </c>
      <c r="B2913">
        <v>136412765</v>
      </c>
      <c r="C2913" t="s">
        <v>14888</v>
      </c>
      <c r="D2913" t="s">
        <v>14889</v>
      </c>
      <c r="E2913" t="s">
        <v>11426</v>
      </c>
      <c r="F2913" t="s">
        <v>844</v>
      </c>
      <c r="G2913" t="s">
        <v>164</v>
      </c>
      <c r="H2913" t="s">
        <v>165</v>
      </c>
      <c r="I2913" t="s">
        <v>34</v>
      </c>
      <c r="J2913" t="s">
        <v>166</v>
      </c>
      <c r="K2913" t="s">
        <v>41</v>
      </c>
      <c r="L2913" t="s">
        <v>14890</v>
      </c>
      <c r="M2913" t="s">
        <v>14891</v>
      </c>
      <c r="N2913" t="s">
        <v>11429</v>
      </c>
      <c r="O2913" t="s">
        <v>101</v>
      </c>
      <c r="P2913" t="s">
        <v>14892</v>
      </c>
      <c r="Q2913" t="s">
        <v>69</v>
      </c>
      <c r="R2913" t="s">
        <v>13495</v>
      </c>
      <c r="S2913">
        <v>0.5</v>
      </c>
      <c r="T2913">
        <v>3680</v>
      </c>
      <c r="U2913">
        <v>0</v>
      </c>
      <c r="V2913">
        <v>3680</v>
      </c>
    </row>
    <row r="2914" spans="1:22" x14ac:dyDescent="0.3">
      <c r="A2914">
        <v>186607</v>
      </c>
      <c r="B2914">
        <v>136198485</v>
      </c>
      <c r="C2914" t="s">
        <v>14893</v>
      </c>
      <c r="D2914" t="s">
        <v>14894</v>
      </c>
      <c r="E2914" t="s">
        <v>11426</v>
      </c>
      <c r="F2914" t="s">
        <v>844</v>
      </c>
      <c r="G2914" t="s">
        <v>164</v>
      </c>
      <c r="H2914" t="s">
        <v>165</v>
      </c>
      <c r="I2914" t="s">
        <v>34</v>
      </c>
      <c r="J2914" t="s">
        <v>166</v>
      </c>
      <c r="K2914" t="s">
        <v>41</v>
      </c>
      <c r="L2914" t="s">
        <v>14895</v>
      </c>
      <c r="M2914" t="s">
        <v>395</v>
      </c>
      <c r="N2914" t="s">
        <v>11429</v>
      </c>
      <c r="O2914" t="s">
        <v>101</v>
      </c>
      <c r="P2914" t="s">
        <v>14896</v>
      </c>
      <c r="Q2914" t="s">
        <v>92</v>
      </c>
      <c r="R2914" t="s">
        <v>718</v>
      </c>
      <c r="S2914">
        <v>1</v>
      </c>
      <c r="T2914">
        <v>3366</v>
      </c>
      <c r="U2914">
        <v>0</v>
      </c>
      <c r="V2914">
        <v>3366</v>
      </c>
    </row>
    <row r="2915" spans="1:22" x14ac:dyDescent="0.3">
      <c r="A2915">
        <v>186607</v>
      </c>
      <c r="B2915">
        <v>136440655</v>
      </c>
      <c r="C2915" t="s">
        <v>14897</v>
      </c>
      <c r="D2915" t="s">
        <v>14898</v>
      </c>
      <c r="E2915" t="s">
        <v>11426</v>
      </c>
      <c r="F2915" t="s">
        <v>844</v>
      </c>
      <c r="G2915" t="s">
        <v>164</v>
      </c>
      <c r="H2915" t="s">
        <v>165</v>
      </c>
      <c r="I2915" t="s">
        <v>34</v>
      </c>
      <c r="J2915" t="s">
        <v>166</v>
      </c>
      <c r="K2915" t="s">
        <v>41</v>
      </c>
      <c r="L2915" t="s">
        <v>14899</v>
      </c>
      <c r="M2915" t="s">
        <v>14900</v>
      </c>
      <c r="N2915" t="s">
        <v>11429</v>
      </c>
      <c r="O2915" t="s">
        <v>101</v>
      </c>
      <c r="P2915" t="s">
        <v>14901</v>
      </c>
      <c r="Q2915" t="s">
        <v>83</v>
      </c>
      <c r="R2915" t="s">
        <v>704</v>
      </c>
      <c r="S2915">
        <v>1</v>
      </c>
      <c r="T2915">
        <v>3366</v>
      </c>
      <c r="U2915">
        <v>0</v>
      </c>
      <c r="V2915">
        <v>3366</v>
      </c>
    </row>
    <row r="2916" spans="1:22" x14ac:dyDescent="0.3">
      <c r="A2916">
        <v>186607</v>
      </c>
      <c r="B2916">
        <v>136027710</v>
      </c>
      <c r="C2916" t="s">
        <v>14902</v>
      </c>
      <c r="D2916" t="s">
        <v>14903</v>
      </c>
      <c r="E2916" t="s">
        <v>11426</v>
      </c>
      <c r="F2916" t="s">
        <v>844</v>
      </c>
      <c r="G2916" t="s">
        <v>164</v>
      </c>
      <c r="H2916" t="s">
        <v>165</v>
      </c>
      <c r="I2916" t="s">
        <v>34</v>
      </c>
      <c r="J2916" t="s">
        <v>166</v>
      </c>
      <c r="K2916" t="s">
        <v>41</v>
      </c>
      <c r="L2916" t="s">
        <v>14904</v>
      </c>
      <c r="M2916" t="s">
        <v>14905</v>
      </c>
      <c r="N2916" t="s">
        <v>11429</v>
      </c>
      <c r="O2916" t="s">
        <v>101</v>
      </c>
      <c r="P2916" t="s">
        <v>14906</v>
      </c>
      <c r="Q2916" t="s">
        <v>84</v>
      </c>
      <c r="R2916" t="s">
        <v>489</v>
      </c>
      <c r="S2916">
        <v>1</v>
      </c>
      <c r="T2916">
        <v>3366</v>
      </c>
      <c r="U2916">
        <v>0</v>
      </c>
      <c r="V2916">
        <v>3366</v>
      </c>
    </row>
    <row r="2917" spans="1:22" x14ac:dyDescent="0.3">
      <c r="A2917">
        <v>186607</v>
      </c>
      <c r="B2917">
        <v>136027760</v>
      </c>
      <c r="C2917" t="s">
        <v>14907</v>
      </c>
      <c r="D2917" t="s">
        <v>14908</v>
      </c>
      <c r="E2917" t="s">
        <v>11426</v>
      </c>
      <c r="F2917" t="s">
        <v>844</v>
      </c>
      <c r="G2917" t="s">
        <v>164</v>
      </c>
      <c r="H2917" t="s">
        <v>165</v>
      </c>
      <c r="I2917" t="s">
        <v>34</v>
      </c>
      <c r="J2917" t="s">
        <v>166</v>
      </c>
      <c r="K2917" t="s">
        <v>41</v>
      </c>
      <c r="L2917" t="s">
        <v>14909</v>
      </c>
      <c r="M2917" t="s">
        <v>336</v>
      </c>
      <c r="N2917" t="s">
        <v>11429</v>
      </c>
      <c r="O2917" t="s">
        <v>101</v>
      </c>
      <c r="P2917" t="s">
        <v>14910</v>
      </c>
      <c r="Q2917" t="s">
        <v>85</v>
      </c>
      <c r="R2917" t="s">
        <v>489</v>
      </c>
      <c r="S2917">
        <v>1</v>
      </c>
      <c r="T2917">
        <v>3366</v>
      </c>
      <c r="U2917">
        <v>0</v>
      </c>
      <c r="V2917">
        <v>3366</v>
      </c>
    </row>
    <row r="2918" spans="1:22" x14ac:dyDescent="0.3">
      <c r="A2918">
        <v>186607</v>
      </c>
      <c r="B2918">
        <v>136198509</v>
      </c>
      <c r="C2918" t="s">
        <v>14911</v>
      </c>
      <c r="D2918" t="s">
        <v>14912</v>
      </c>
      <c r="E2918" t="s">
        <v>11426</v>
      </c>
      <c r="F2918" t="s">
        <v>844</v>
      </c>
      <c r="G2918" t="s">
        <v>164</v>
      </c>
      <c r="H2918" t="s">
        <v>165</v>
      </c>
      <c r="I2918" t="s">
        <v>34</v>
      </c>
      <c r="J2918" t="s">
        <v>166</v>
      </c>
      <c r="K2918" t="s">
        <v>41</v>
      </c>
      <c r="L2918" t="s">
        <v>14913</v>
      </c>
      <c r="M2918" t="s">
        <v>14914</v>
      </c>
      <c r="N2918" t="s">
        <v>11429</v>
      </c>
      <c r="O2918" t="s">
        <v>101</v>
      </c>
      <c r="P2918" t="s">
        <v>14915</v>
      </c>
      <c r="Q2918" t="s">
        <v>69</v>
      </c>
      <c r="R2918" t="s">
        <v>718</v>
      </c>
      <c r="S2918">
        <v>0.5</v>
      </c>
      <c r="T2918">
        <v>3680</v>
      </c>
      <c r="U2918">
        <v>0</v>
      </c>
      <c r="V2918">
        <v>3680</v>
      </c>
    </row>
    <row r="2919" spans="1:22" x14ac:dyDescent="0.3">
      <c r="A2919">
        <v>186607</v>
      </c>
      <c r="B2919">
        <v>136198429</v>
      </c>
      <c r="C2919" t="s">
        <v>14916</v>
      </c>
      <c r="D2919" t="s">
        <v>14917</v>
      </c>
      <c r="E2919" t="s">
        <v>11426</v>
      </c>
      <c r="F2919" t="s">
        <v>844</v>
      </c>
      <c r="G2919" t="s">
        <v>164</v>
      </c>
      <c r="H2919" t="s">
        <v>165</v>
      </c>
      <c r="I2919" t="s">
        <v>34</v>
      </c>
      <c r="J2919" t="s">
        <v>166</v>
      </c>
      <c r="K2919" t="s">
        <v>41</v>
      </c>
      <c r="L2919" t="s">
        <v>14918</v>
      </c>
      <c r="M2919" t="s">
        <v>14919</v>
      </c>
      <c r="N2919" t="s">
        <v>11429</v>
      </c>
      <c r="O2919" t="s">
        <v>101</v>
      </c>
      <c r="P2919" t="s">
        <v>14920</v>
      </c>
      <c r="Q2919" t="s">
        <v>84</v>
      </c>
      <c r="R2919" t="s">
        <v>718</v>
      </c>
      <c r="S2919">
        <v>1</v>
      </c>
      <c r="T2919">
        <v>3366</v>
      </c>
      <c r="U2919">
        <v>0</v>
      </c>
      <c r="V2919">
        <v>3366</v>
      </c>
    </row>
    <row r="2920" spans="1:22" x14ac:dyDescent="0.3">
      <c r="A2920">
        <v>186607</v>
      </c>
      <c r="B2920">
        <v>136412762</v>
      </c>
      <c r="C2920" t="s">
        <v>14921</v>
      </c>
      <c r="D2920" t="s">
        <v>14922</v>
      </c>
      <c r="E2920" t="s">
        <v>11426</v>
      </c>
      <c r="F2920" t="s">
        <v>844</v>
      </c>
      <c r="G2920" t="s">
        <v>164</v>
      </c>
      <c r="H2920" t="s">
        <v>165</v>
      </c>
      <c r="I2920" t="s">
        <v>34</v>
      </c>
      <c r="J2920" t="s">
        <v>166</v>
      </c>
      <c r="K2920" t="s">
        <v>41</v>
      </c>
      <c r="L2920" t="s">
        <v>14923</v>
      </c>
      <c r="M2920" t="s">
        <v>14924</v>
      </c>
      <c r="N2920" t="s">
        <v>11429</v>
      </c>
      <c r="O2920" t="s">
        <v>101</v>
      </c>
      <c r="P2920" t="s">
        <v>14925</v>
      </c>
      <c r="Q2920" t="s">
        <v>63</v>
      </c>
      <c r="R2920" t="s">
        <v>13495</v>
      </c>
      <c r="S2920">
        <v>1</v>
      </c>
      <c r="T2920">
        <v>4067</v>
      </c>
      <c r="U2920">
        <v>0</v>
      </c>
      <c r="V2920">
        <v>4067</v>
      </c>
    </row>
    <row r="2921" spans="1:22" x14ac:dyDescent="0.3">
      <c r="A2921">
        <v>186607</v>
      </c>
      <c r="B2921">
        <v>136364607</v>
      </c>
      <c r="C2921" t="s">
        <v>14926</v>
      </c>
      <c r="D2921" t="s">
        <v>14927</v>
      </c>
      <c r="E2921" t="s">
        <v>11426</v>
      </c>
      <c r="F2921" t="s">
        <v>844</v>
      </c>
      <c r="G2921" t="s">
        <v>164</v>
      </c>
      <c r="H2921" t="s">
        <v>165</v>
      </c>
      <c r="I2921" t="s">
        <v>34</v>
      </c>
      <c r="J2921" t="s">
        <v>166</v>
      </c>
      <c r="K2921" t="s">
        <v>41</v>
      </c>
      <c r="L2921" t="s">
        <v>14928</v>
      </c>
      <c r="M2921" t="s">
        <v>14929</v>
      </c>
      <c r="N2921" t="s">
        <v>11429</v>
      </c>
      <c r="O2921" t="s">
        <v>101</v>
      </c>
      <c r="P2921" t="s">
        <v>14930</v>
      </c>
      <c r="Q2921" t="s">
        <v>43</v>
      </c>
      <c r="R2921" t="s">
        <v>788</v>
      </c>
      <c r="S2921">
        <v>0.5</v>
      </c>
      <c r="T2921">
        <v>3680</v>
      </c>
      <c r="U2921">
        <v>0</v>
      </c>
      <c r="V2921">
        <v>3680</v>
      </c>
    </row>
    <row r="2922" spans="1:22" x14ac:dyDescent="0.3">
      <c r="A2922">
        <v>186607</v>
      </c>
      <c r="B2922">
        <v>136027795</v>
      </c>
      <c r="C2922" t="s">
        <v>14931</v>
      </c>
      <c r="D2922" t="s">
        <v>14932</v>
      </c>
      <c r="E2922" t="s">
        <v>11426</v>
      </c>
      <c r="F2922" t="s">
        <v>844</v>
      </c>
      <c r="G2922" t="s">
        <v>164</v>
      </c>
      <c r="H2922" t="s">
        <v>165</v>
      </c>
      <c r="I2922" t="s">
        <v>34</v>
      </c>
      <c r="J2922" t="s">
        <v>166</v>
      </c>
      <c r="K2922" t="s">
        <v>41</v>
      </c>
      <c r="L2922" t="s">
        <v>14933</v>
      </c>
      <c r="M2922" t="s">
        <v>14934</v>
      </c>
      <c r="N2922" t="s">
        <v>11429</v>
      </c>
      <c r="O2922" t="s">
        <v>101</v>
      </c>
      <c r="P2922" t="s">
        <v>14935</v>
      </c>
      <c r="Q2922" t="s">
        <v>43</v>
      </c>
      <c r="R2922" t="s">
        <v>14936</v>
      </c>
      <c r="S2922">
        <v>1</v>
      </c>
      <c r="T2922">
        <v>3753</v>
      </c>
      <c r="U2922">
        <v>0</v>
      </c>
      <c r="V2922">
        <v>3753</v>
      </c>
    </row>
    <row r="2923" spans="1:22" x14ac:dyDescent="0.3">
      <c r="A2923">
        <v>186607</v>
      </c>
      <c r="B2923">
        <v>136198304</v>
      </c>
      <c r="C2923" t="s">
        <v>14937</v>
      </c>
      <c r="D2923" t="s">
        <v>14938</v>
      </c>
      <c r="E2923" t="s">
        <v>11426</v>
      </c>
      <c r="F2923" t="s">
        <v>844</v>
      </c>
      <c r="G2923" t="s">
        <v>164</v>
      </c>
      <c r="H2923" t="s">
        <v>165</v>
      </c>
      <c r="I2923" t="s">
        <v>34</v>
      </c>
      <c r="J2923" t="s">
        <v>166</v>
      </c>
      <c r="K2923" t="s">
        <v>41</v>
      </c>
      <c r="L2923" t="s">
        <v>14939</v>
      </c>
      <c r="M2923" t="s">
        <v>14940</v>
      </c>
      <c r="N2923" t="s">
        <v>11429</v>
      </c>
      <c r="O2923" t="s">
        <v>101</v>
      </c>
      <c r="P2923" t="s">
        <v>14941</v>
      </c>
      <c r="Q2923" t="s">
        <v>202</v>
      </c>
      <c r="R2923" t="s">
        <v>339</v>
      </c>
      <c r="S2923">
        <v>0.5</v>
      </c>
      <c r="T2923">
        <v>3680</v>
      </c>
      <c r="U2923">
        <v>0</v>
      </c>
      <c r="V2923">
        <v>3680</v>
      </c>
    </row>
    <row r="2924" spans="1:22" x14ac:dyDescent="0.3">
      <c r="A2924">
        <v>186607</v>
      </c>
      <c r="B2924">
        <v>136027781</v>
      </c>
      <c r="C2924" t="s">
        <v>14942</v>
      </c>
      <c r="D2924" t="s">
        <v>14943</v>
      </c>
      <c r="E2924" t="s">
        <v>11426</v>
      </c>
      <c r="F2924" t="s">
        <v>844</v>
      </c>
      <c r="G2924" t="s">
        <v>164</v>
      </c>
      <c r="H2924" t="s">
        <v>165</v>
      </c>
      <c r="I2924" t="s">
        <v>34</v>
      </c>
      <c r="J2924" t="s">
        <v>166</v>
      </c>
      <c r="K2924" t="s">
        <v>41</v>
      </c>
      <c r="L2924" t="s">
        <v>14944</v>
      </c>
      <c r="M2924" t="s">
        <v>14945</v>
      </c>
      <c r="N2924" t="s">
        <v>11429</v>
      </c>
      <c r="O2924" t="s">
        <v>101</v>
      </c>
      <c r="P2924" t="s">
        <v>14946</v>
      </c>
      <c r="Q2924" t="s">
        <v>72</v>
      </c>
      <c r="R2924" t="s">
        <v>489</v>
      </c>
      <c r="S2924">
        <v>0.5</v>
      </c>
      <c r="T2924">
        <v>3449</v>
      </c>
      <c r="U2924">
        <v>0</v>
      </c>
      <c r="V2924">
        <v>3449</v>
      </c>
    </row>
    <row r="2925" spans="1:22" x14ac:dyDescent="0.3">
      <c r="A2925">
        <v>186607</v>
      </c>
      <c r="B2925">
        <v>136107507</v>
      </c>
      <c r="C2925" t="s">
        <v>14947</v>
      </c>
      <c r="D2925" t="s">
        <v>14948</v>
      </c>
      <c r="E2925" t="s">
        <v>11426</v>
      </c>
      <c r="F2925" t="s">
        <v>844</v>
      </c>
      <c r="G2925" t="s">
        <v>164</v>
      </c>
      <c r="H2925" t="s">
        <v>165</v>
      </c>
      <c r="I2925" t="s">
        <v>34</v>
      </c>
      <c r="J2925" t="s">
        <v>166</v>
      </c>
      <c r="K2925" t="s">
        <v>41</v>
      </c>
      <c r="L2925" t="s">
        <v>14949</v>
      </c>
      <c r="M2925" t="s">
        <v>14950</v>
      </c>
      <c r="N2925" t="s">
        <v>11429</v>
      </c>
      <c r="O2925" t="s">
        <v>101</v>
      </c>
      <c r="P2925" t="s">
        <v>14951</v>
      </c>
      <c r="Q2925" t="s">
        <v>190</v>
      </c>
      <c r="R2925" t="s">
        <v>369</v>
      </c>
      <c r="S2925">
        <v>1</v>
      </c>
      <c r="T2925">
        <v>3366</v>
      </c>
      <c r="U2925">
        <v>0</v>
      </c>
      <c r="V2925">
        <v>3366</v>
      </c>
    </row>
    <row r="2926" spans="1:22" x14ac:dyDescent="0.3">
      <c r="A2926">
        <v>186607</v>
      </c>
      <c r="B2926">
        <v>136364561</v>
      </c>
      <c r="C2926" t="s">
        <v>14952</v>
      </c>
      <c r="D2926" t="s">
        <v>14953</v>
      </c>
      <c r="E2926" t="s">
        <v>11426</v>
      </c>
      <c r="F2926" t="s">
        <v>844</v>
      </c>
      <c r="G2926" t="s">
        <v>164</v>
      </c>
      <c r="H2926" t="s">
        <v>165</v>
      </c>
      <c r="I2926" t="s">
        <v>34</v>
      </c>
      <c r="J2926" t="s">
        <v>166</v>
      </c>
      <c r="K2926" t="s">
        <v>41</v>
      </c>
      <c r="L2926" t="s">
        <v>14954</v>
      </c>
      <c r="M2926" t="s">
        <v>14955</v>
      </c>
      <c r="N2926" t="s">
        <v>11429</v>
      </c>
      <c r="O2926" t="s">
        <v>101</v>
      </c>
      <c r="P2926" t="s">
        <v>14956</v>
      </c>
      <c r="Q2926" t="s">
        <v>72</v>
      </c>
      <c r="R2926" t="s">
        <v>758</v>
      </c>
      <c r="S2926">
        <v>1.5</v>
      </c>
      <c r="T2926">
        <v>3784</v>
      </c>
      <c r="U2926">
        <v>0</v>
      </c>
      <c r="V2926">
        <v>3784</v>
      </c>
    </row>
    <row r="2927" spans="1:22" x14ac:dyDescent="0.3">
      <c r="A2927">
        <v>186607</v>
      </c>
      <c r="B2927">
        <v>136027679</v>
      </c>
      <c r="C2927" t="s">
        <v>14957</v>
      </c>
      <c r="D2927" t="s">
        <v>14958</v>
      </c>
      <c r="E2927" t="s">
        <v>11426</v>
      </c>
      <c r="F2927" t="s">
        <v>844</v>
      </c>
      <c r="G2927" t="s">
        <v>164</v>
      </c>
      <c r="H2927" t="s">
        <v>165</v>
      </c>
      <c r="I2927" t="s">
        <v>34</v>
      </c>
      <c r="J2927" t="s">
        <v>166</v>
      </c>
      <c r="K2927" t="s">
        <v>41</v>
      </c>
      <c r="L2927" t="s">
        <v>14959</v>
      </c>
      <c r="M2927" t="s">
        <v>14960</v>
      </c>
      <c r="N2927" t="s">
        <v>11429</v>
      </c>
      <c r="O2927" t="s">
        <v>101</v>
      </c>
      <c r="P2927" t="s">
        <v>14961</v>
      </c>
      <c r="Q2927" t="s">
        <v>72</v>
      </c>
      <c r="R2927" t="s">
        <v>489</v>
      </c>
      <c r="S2927">
        <v>1</v>
      </c>
      <c r="T2927">
        <v>3784</v>
      </c>
      <c r="U2927">
        <v>0</v>
      </c>
      <c r="V2927">
        <v>3784</v>
      </c>
    </row>
    <row r="2928" spans="1:22" x14ac:dyDescent="0.3">
      <c r="A2928">
        <v>186607</v>
      </c>
      <c r="B2928">
        <v>136328482</v>
      </c>
      <c r="C2928" t="s">
        <v>14962</v>
      </c>
      <c r="D2928" t="s">
        <v>14963</v>
      </c>
      <c r="E2928" t="s">
        <v>11426</v>
      </c>
      <c r="F2928" t="s">
        <v>844</v>
      </c>
      <c r="G2928" t="s">
        <v>164</v>
      </c>
      <c r="H2928" t="s">
        <v>165</v>
      </c>
      <c r="I2928" t="s">
        <v>34</v>
      </c>
      <c r="J2928" t="s">
        <v>166</v>
      </c>
      <c r="K2928" t="s">
        <v>41</v>
      </c>
      <c r="L2928" t="s">
        <v>14964</v>
      </c>
      <c r="M2928" t="s">
        <v>14965</v>
      </c>
      <c r="N2928" t="s">
        <v>11429</v>
      </c>
      <c r="O2928" t="s">
        <v>101</v>
      </c>
      <c r="P2928" t="s">
        <v>14966</v>
      </c>
      <c r="Q2928" t="s">
        <v>71</v>
      </c>
      <c r="R2928" t="s">
        <v>14086</v>
      </c>
      <c r="S2928">
        <v>1</v>
      </c>
      <c r="T2928">
        <v>3501</v>
      </c>
      <c r="U2928">
        <v>0</v>
      </c>
      <c r="V2928">
        <v>3501</v>
      </c>
    </row>
    <row r="2929" spans="1:22" x14ac:dyDescent="0.3">
      <c r="A2929">
        <v>186607</v>
      </c>
      <c r="B2929">
        <v>136328512</v>
      </c>
      <c r="C2929" t="s">
        <v>14967</v>
      </c>
      <c r="D2929" t="s">
        <v>14968</v>
      </c>
      <c r="E2929" t="s">
        <v>11426</v>
      </c>
      <c r="F2929" t="s">
        <v>844</v>
      </c>
      <c r="G2929" t="s">
        <v>164</v>
      </c>
      <c r="H2929" t="s">
        <v>165</v>
      </c>
      <c r="I2929" t="s">
        <v>34</v>
      </c>
      <c r="J2929" t="s">
        <v>166</v>
      </c>
      <c r="K2929" t="s">
        <v>41</v>
      </c>
      <c r="L2929" t="s">
        <v>14969</v>
      </c>
      <c r="M2929" t="s">
        <v>14970</v>
      </c>
      <c r="N2929" t="s">
        <v>11429</v>
      </c>
      <c r="O2929" t="s">
        <v>101</v>
      </c>
      <c r="P2929" t="s">
        <v>14971</v>
      </c>
      <c r="Q2929" t="s">
        <v>84</v>
      </c>
      <c r="R2929" t="s">
        <v>11485</v>
      </c>
      <c r="S2929">
        <v>1</v>
      </c>
      <c r="T2929">
        <v>3366</v>
      </c>
      <c r="U2929">
        <v>0</v>
      </c>
      <c r="V2929">
        <v>3366</v>
      </c>
    </row>
    <row r="2930" spans="1:22" x14ac:dyDescent="0.3">
      <c r="A2930">
        <v>186607</v>
      </c>
      <c r="B2930">
        <v>136027796</v>
      </c>
      <c r="C2930" t="s">
        <v>14972</v>
      </c>
      <c r="D2930" t="s">
        <v>14973</v>
      </c>
      <c r="E2930" t="s">
        <v>11426</v>
      </c>
      <c r="F2930" t="s">
        <v>844</v>
      </c>
      <c r="G2930" t="s">
        <v>164</v>
      </c>
      <c r="H2930" t="s">
        <v>165</v>
      </c>
      <c r="I2930" t="s">
        <v>34</v>
      </c>
      <c r="J2930" t="s">
        <v>166</v>
      </c>
      <c r="K2930" t="s">
        <v>41</v>
      </c>
      <c r="L2930" t="s">
        <v>14974</v>
      </c>
      <c r="M2930" t="s">
        <v>14975</v>
      </c>
      <c r="N2930" t="s">
        <v>11429</v>
      </c>
      <c r="O2930" t="s">
        <v>101</v>
      </c>
      <c r="P2930" t="s">
        <v>14976</v>
      </c>
      <c r="Q2930" t="s">
        <v>50</v>
      </c>
      <c r="R2930" t="s">
        <v>14936</v>
      </c>
      <c r="S2930">
        <v>1</v>
      </c>
      <c r="T2930">
        <v>3784</v>
      </c>
      <c r="U2930">
        <v>0</v>
      </c>
      <c r="V2930">
        <v>3784</v>
      </c>
    </row>
    <row r="2931" spans="1:22" x14ac:dyDescent="0.3">
      <c r="A2931">
        <v>186607</v>
      </c>
      <c r="B2931">
        <v>135983280</v>
      </c>
      <c r="C2931" t="s">
        <v>14977</v>
      </c>
      <c r="D2931" t="s">
        <v>14978</v>
      </c>
      <c r="E2931" t="s">
        <v>11426</v>
      </c>
      <c r="F2931" t="s">
        <v>844</v>
      </c>
      <c r="G2931" t="s">
        <v>164</v>
      </c>
      <c r="H2931" t="s">
        <v>165</v>
      </c>
      <c r="I2931" t="s">
        <v>34</v>
      </c>
      <c r="J2931" t="s">
        <v>166</v>
      </c>
      <c r="K2931" t="s">
        <v>41</v>
      </c>
      <c r="L2931" t="s">
        <v>14979</v>
      </c>
      <c r="M2931" t="s">
        <v>14980</v>
      </c>
      <c r="N2931" t="s">
        <v>11429</v>
      </c>
      <c r="O2931" t="s">
        <v>101</v>
      </c>
      <c r="P2931" t="s">
        <v>14981</v>
      </c>
      <c r="Q2931" t="s">
        <v>224</v>
      </c>
      <c r="R2931" t="s">
        <v>344</v>
      </c>
      <c r="S2931">
        <v>0.5</v>
      </c>
      <c r="T2931">
        <v>3680</v>
      </c>
      <c r="U2931">
        <v>0</v>
      </c>
      <c r="V2931">
        <v>3680</v>
      </c>
    </row>
    <row r="2932" spans="1:22" x14ac:dyDescent="0.3">
      <c r="A2932">
        <v>186607</v>
      </c>
      <c r="B2932">
        <v>136107666</v>
      </c>
      <c r="C2932" t="s">
        <v>14982</v>
      </c>
      <c r="D2932" t="s">
        <v>14983</v>
      </c>
      <c r="E2932" t="s">
        <v>11426</v>
      </c>
      <c r="F2932" t="s">
        <v>844</v>
      </c>
      <c r="G2932" t="s">
        <v>164</v>
      </c>
      <c r="H2932" t="s">
        <v>165</v>
      </c>
      <c r="I2932" t="s">
        <v>34</v>
      </c>
      <c r="J2932" t="s">
        <v>166</v>
      </c>
      <c r="K2932" t="s">
        <v>41</v>
      </c>
      <c r="L2932" t="s">
        <v>14984</v>
      </c>
      <c r="M2932" t="s">
        <v>14985</v>
      </c>
      <c r="N2932" t="s">
        <v>11429</v>
      </c>
      <c r="O2932" t="s">
        <v>101</v>
      </c>
      <c r="P2932" t="s">
        <v>14986</v>
      </c>
      <c r="Q2932" t="s">
        <v>50</v>
      </c>
      <c r="R2932" t="s">
        <v>369</v>
      </c>
      <c r="S2932">
        <v>1</v>
      </c>
      <c r="T2932">
        <v>3784</v>
      </c>
      <c r="U2932">
        <v>0</v>
      </c>
      <c r="V2932">
        <v>3784</v>
      </c>
    </row>
    <row r="2933" spans="1:22" x14ac:dyDescent="0.3">
      <c r="A2933">
        <v>186607</v>
      </c>
      <c r="B2933">
        <v>136328560</v>
      </c>
      <c r="C2933" t="s">
        <v>14987</v>
      </c>
      <c r="D2933" t="s">
        <v>14988</v>
      </c>
      <c r="E2933" t="s">
        <v>11426</v>
      </c>
      <c r="F2933" t="s">
        <v>844</v>
      </c>
      <c r="G2933" t="s">
        <v>164</v>
      </c>
      <c r="H2933" t="s">
        <v>165</v>
      </c>
      <c r="I2933" t="s">
        <v>34</v>
      </c>
      <c r="J2933" t="s">
        <v>166</v>
      </c>
      <c r="K2933" t="s">
        <v>41</v>
      </c>
      <c r="L2933" t="s">
        <v>14989</v>
      </c>
      <c r="M2933" t="s">
        <v>14990</v>
      </c>
      <c r="N2933" t="s">
        <v>11429</v>
      </c>
      <c r="O2933" t="s">
        <v>101</v>
      </c>
      <c r="P2933" t="s">
        <v>14991</v>
      </c>
      <c r="Q2933" t="s">
        <v>43</v>
      </c>
      <c r="R2933" t="s">
        <v>11485</v>
      </c>
      <c r="S2933">
        <v>1</v>
      </c>
      <c r="T2933">
        <v>3753</v>
      </c>
      <c r="U2933">
        <v>0</v>
      </c>
      <c r="V2933">
        <v>3753</v>
      </c>
    </row>
    <row r="2934" spans="1:22" x14ac:dyDescent="0.3">
      <c r="A2934">
        <v>186607</v>
      </c>
      <c r="B2934">
        <v>136199014</v>
      </c>
      <c r="C2934" t="s">
        <v>14992</v>
      </c>
      <c r="D2934" t="s">
        <v>14993</v>
      </c>
      <c r="E2934" t="s">
        <v>11426</v>
      </c>
      <c r="F2934" t="s">
        <v>844</v>
      </c>
      <c r="G2934" t="s">
        <v>164</v>
      </c>
      <c r="H2934" t="s">
        <v>165</v>
      </c>
      <c r="I2934" t="s">
        <v>34</v>
      </c>
      <c r="J2934" t="s">
        <v>166</v>
      </c>
      <c r="K2934" t="s">
        <v>41</v>
      </c>
      <c r="L2934" t="s">
        <v>14994</v>
      </c>
      <c r="M2934" t="s">
        <v>14995</v>
      </c>
      <c r="N2934" t="s">
        <v>11429</v>
      </c>
      <c r="O2934" t="s">
        <v>101</v>
      </c>
      <c r="P2934" t="s">
        <v>14996</v>
      </c>
      <c r="Q2934" t="s">
        <v>87</v>
      </c>
      <c r="R2934" t="s">
        <v>14997</v>
      </c>
      <c r="S2934">
        <v>1</v>
      </c>
      <c r="T2934">
        <v>3366</v>
      </c>
      <c r="U2934">
        <v>0</v>
      </c>
      <c r="V2934">
        <v>3366</v>
      </c>
    </row>
    <row r="2935" spans="1:22" x14ac:dyDescent="0.3">
      <c r="A2935">
        <v>186607</v>
      </c>
      <c r="B2935">
        <v>136107570</v>
      </c>
      <c r="C2935" t="s">
        <v>14998</v>
      </c>
      <c r="D2935" t="s">
        <v>14999</v>
      </c>
      <c r="E2935" t="s">
        <v>11426</v>
      </c>
      <c r="F2935" t="s">
        <v>844</v>
      </c>
      <c r="G2935" t="s">
        <v>164</v>
      </c>
      <c r="H2935" t="s">
        <v>165</v>
      </c>
      <c r="I2935" t="s">
        <v>34</v>
      </c>
      <c r="J2935" t="s">
        <v>166</v>
      </c>
      <c r="K2935" t="s">
        <v>41</v>
      </c>
      <c r="L2935" t="s">
        <v>15000</v>
      </c>
      <c r="M2935" t="s">
        <v>15001</v>
      </c>
      <c r="N2935" t="s">
        <v>11429</v>
      </c>
      <c r="O2935" t="s">
        <v>101</v>
      </c>
      <c r="P2935" t="s">
        <v>15002</v>
      </c>
      <c r="Q2935" t="s">
        <v>98</v>
      </c>
      <c r="R2935" t="s">
        <v>369</v>
      </c>
      <c r="S2935">
        <v>1</v>
      </c>
      <c r="T2935">
        <v>3366</v>
      </c>
      <c r="U2935">
        <v>0</v>
      </c>
      <c r="V2935">
        <v>3366</v>
      </c>
    </row>
    <row r="2936" spans="1:22" x14ac:dyDescent="0.3">
      <c r="A2936">
        <v>186607</v>
      </c>
      <c r="B2936">
        <v>136364608</v>
      </c>
      <c r="C2936" t="s">
        <v>15003</v>
      </c>
      <c r="D2936" t="s">
        <v>15004</v>
      </c>
      <c r="E2936" t="s">
        <v>11426</v>
      </c>
      <c r="F2936" t="s">
        <v>844</v>
      </c>
      <c r="G2936" t="s">
        <v>164</v>
      </c>
      <c r="H2936" t="s">
        <v>165</v>
      </c>
      <c r="I2936" t="s">
        <v>34</v>
      </c>
      <c r="J2936" t="s">
        <v>166</v>
      </c>
      <c r="K2936" t="s">
        <v>41</v>
      </c>
      <c r="L2936" t="s">
        <v>15005</v>
      </c>
      <c r="M2936" t="s">
        <v>15006</v>
      </c>
      <c r="N2936" t="s">
        <v>11429</v>
      </c>
      <c r="O2936" t="s">
        <v>101</v>
      </c>
      <c r="P2936" t="s">
        <v>15007</v>
      </c>
      <c r="Q2936" t="s">
        <v>69</v>
      </c>
      <c r="R2936" t="s">
        <v>788</v>
      </c>
      <c r="S2936">
        <v>0.5</v>
      </c>
      <c r="T2936">
        <v>3680</v>
      </c>
      <c r="U2936">
        <v>0</v>
      </c>
      <c r="V2936">
        <v>3680</v>
      </c>
    </row>
    <row r="2937" spans="1:22" x14ac:dyDescent="0.3">
      <c r="A2937">
        <v>186607</v>
      </c>
      <c r="B2937">
        <v>136107665</v>
      </c>
      <c r="C2937" t="s">
        <v>15008</v>
      </c>
      <c r="D2937" t="s">
        <v>15009</v>
      </c>
      <c r="E2937" t="s">
        <v>11426</v>
      </c>
      <c r="F2937" t="s">
        <v>844</v>
      </c>
      <c r="G2937" t="s">
        <v>164</v>
      </c>
      <c r="H2937" t="s">
        <v>165</v>
      </c>
      <c r="I2937" t="s">
        <v>34</v>
      </c>
      <c r="J2937" t="s">
        <v>166</v>
      </c>
      <c r="K2937" t="s">
        <v>41</v>
      </c>
      <c r="L2937" t="s">
        <v>15010</v>
      </c>
      <c r="M2937" t="s">
        <v>15011</v>
      </c>
      <c r="N2937" t="s">
        <v>11429</v>
      </c>
      <c r="O2937" t="s">
        <v>101</v>
      </c>
      <c r="P2937" t="s">
        <v>15012</v>
      </c>
      <c r="Q2937" t="s">
        <v>68</v>
      </c>
      <c r="R2937" t="s">
        <v>369</v>
      </c>
      <c r="S2937">
        <v>1</v>
      </c>
      <c r="T2937">
        <v>3753</v>
      </c>
      <c r="U2937">
        <v>0</v>
      </c>
      <c r="V2937">
        <v>3753</v>
      </c>
    </row>
    <row r="2938" spans="1:22" x14ac:dyDescent="0.3">
      <c r="A2938">
        <v>186607</v>
      </c>
      <c r="B2938">
        <v>136364530</v>
      </c>
      <c r="C2938" t="s">
        <v>15013</v>
      </c>
      <c r="D2938" t="s">
        <v>15014</v>
      </c>
      <c r="E2938" t="s">
        <v>11426</v>
      </c>
      <c r="F2938" t="s">
        <v>844</v>
      </c>
      <c r="G2938" t="s">
        <v>164</v>
      </c>
      <c r="H2938" t="s">
        <v>165</v>
      </c>
      <c r="I2938" t="s">
        <v>34</v>
      </c>
      <c r="J2938" t="s">
        <v>166</v>
      </c>
      <c r="K2938" t="s">
        <v>41</v>
      </c>
      <c r="L2938" t="s">
        <v>15015</v>
      </c>
      <c r="M2938" t="s">
        <v>15016</v>
      </c>
      <c r="N2938" t="s">
        <v>11429</v>
      </c>
      <c r="O2938" t="s">
        <v>101</v>
      </c>
      <c r="P2938" t="s">
        <v>15017</v>
      </c>
      <c r="Q2938" t="s">
        <v>68</v>
      </c>
      <c r="R2938" t="s">
        <v>758</v>
      </c>
      <c r="S2938">
        <v>1.5</v>
      </c>
      <c r="T2938">
        <v>3753</v>
      </c>
      <c r="U2938">
        <v>0</v>
      </c>
      <c r="V2938">
        <v>3753</v>
      </c>
    </row>
    <row r="2939" spans="1:22" x14ac:dyDescent="0.3">
      <c r="A2939">
        <v>186607</v>
      </c>
      <c r="B2939">
        <v>136198523</v>
      </c>
      <c r="C2939" t="s">
        <v>15018</v>
      </c>
      <c r="D2939" t="s">
        <v>15019</v>
      </c>
      <c r="E2939" t="s">
        <v>11426</v>
      </c>
      <c r="F2939" t="s">
        <v>844</v>
      </c>
      <c r="G2939" t="s">
        <v>164</v>
      </c>
      <c r="H2939" t="s">
        <v>165</v>
      </c>
      <c r="I2939" t="s">
        <v>34</v>
      </c>
      <c r="J2939" t="s">
        <v>166</v>
      </c>
      <c r="K2939" t="s">
        <v>41</v>
      </c>
      <c r="L2939" t="s">
        <v>15020</v>
      </c>
      <c r="M2939" t="s">
        <v>15021</v>
      </c>
      <c r="N2939" t="s">
        <v>11429</v>
      </c>
      <c r="O2939" t="s">
        <v>101</v>
      </c>
      <c r="P2939" t="s">
        <v>15022</v>
      </c>
      <c r="Q2939" t="s">
        <v>84</v>
      </c>
      <c r="R2939" t="s">
        <v>718</v>
      </c>
      <c r="S2939">
        <v>1</v>
      </c>
      <c r="T2939">
        <v>3366</v>
      </c>
      <c r="U2939">
        <v>0</v>
      </c>
      <c r="V2939">
        <v>3366</v>
      </c>
    </row>
    <row r="2940" spans="1:22" x14ac:dyDescent="0.3">
      <c r="A2940">
        <v>186607</v>
      </c>
      <c r="B2940">
        <v>136027792</v>
      </c>
      <c r="C2940" t="s">
        <v>15023</v>
      </c>
      <c r="D2940" t="s">
        <v>15024</v>
      </c>
      <c r="E2940" t="s">
        <v>11426</v>
      </c>
      <c r="F2940" t="s">
        <v>844</v>
      </c>
      <c r="G2940" t="s">
        <v>164</v>
      </c>
      <c r="H2940" t="s">
        <v>165</v>
      </c>
      <c r="I2940" t="s">
        <v>34</v>
      </c>
      <c r="J2940" t="s">
        <v>166</v>
      </c>
      <c r="K2940" t="s">
        <v>44</v>
      </c>
      <c r="L2940" t="s">
        <v>188</v>
      </c>
      <c r="M2940" t="s">
        <v>15025</v>
      </c>
      <c r="N2940" t="s">
        <v>11429</v>
      </c>
      <c r="O2940" t="s">
        <v>101</v>
      </c>
      <c r="P2940" t="s">
        <v>15026</v>
      </c>
      <c r="Q2940" t="s">
        <v>68</v>
      </c>
      <c r="R2940" t="s">
        <v>14936</v>
      </c>
      <c r="S2940">
        <v>1</v>
      </c>
      <c r="T2940">
        <v>3753</v>
      </c>
      <c r="U2940">
        <v>0</v>
      </c>
      <c r="V2940">
        <v>3753</v>
      </c>
    </row>
    <row r="2941" spans="1:22" x14ac:dyDescent="0.3">
      <c r="A2941">
        <v>186607</v>
      </c>
      <c r="B2941">
        <v>136272263</v>
      </c>
      <c r="C2941" t="s">
        <v>15027</v>
      </c>
      <c r="D2941" t="s">
        <v>15028</v>
      </c>
      <c r="E2941" t="s">
        <v>11426</v>
      </c>
      <c r="F2941" t="s">
        <v>844</v>
      </c>
      <c r="G2941" t="s">
        <v>164</v>
      </c>
      <c r="H2941" t="s">
        <v>165</v>
      </c>
      <c r="I2941" t="s">
        <v>34</v>
      </c>
      <c r="J2941" t="s">
        <v>166</v>
      </c>
      <c r="K2941" t="s">
        <v>41</v>
      </c>
      <c r="L2941" t="s">
        <v>15029</v>
      </c>
      <c r="M2941" t="s">
        <v>15030</v>
      </c>
      <c r="N2941" t="s">
        <v>11429</v>
      </c>
      <c r="O2941" t="s">
        <v>101</v>
      </c>
      <c r="P2941" t="s">
        <v>15031</v>
      </c>
      <c r="Q2941" t="s">
        <v>87</v>
      </c>
      <c r="R2941" t="s">
        <v>12323</v>
      </c>
      <c r="S2941">
        <v>1</v>
      </c>
      <c r="T2941">
        <v>3366</v>
      </c>
      <c r="U2941">
        <v>0</v>
      </c>
      <c r="V2941">
        <v>3366</v>
      </c>
    </row>
    <row r="2942" spans="1:22" x14ac:dyDescent="0.3">
      <c r="A2942">
        <v>186607</v>
      </c>
      <c r="B2942">
        <v>136412769</v>
      </c>
      <c r="C2942" t="s">
        <v>15032</v>
      </c>
      <c r="D2942" t="s">
        <v>15033</v>
      </c>
      <c r="E2942" t="s">
        <v>11426</v>
      </c>
      <c r="F2942" t="s">
        <v>844</v>
      </c>
      <c r="G2942" t="s">
        <v>164</v>
      </c>
      <c r="H2942" t="s">
        <v>165</v>
      </c>
      <c r="I2942" t="s">
        <v>34</v>
      </c>
      <c r="J2942" t="s">
        <v>166</v>
      </c>
      <c r="K2942" t="s">
        <v>41</v>
      </c>
      <c r="L2942" t="s">
        <v>15034</v>
      </c>
      <c r="M2942" t="s">
        <v>15035</v>
      </c>
      <c r="N2942" t="s">
        <v>11429</v>
      </c>
      <c r="O2942" t="s">
        <v>101</v>
      </c>
      <c r="P2942" t="s">
        <v>15036</v>
      </c>
      <c r="Q2942" t="s">
        <v>71</v>
      </c>
      <c r="R2942" t="s">
        <v>13495</v>
      </c>
      <c r="S2942">
        <v>0.5</v>
      </c>
      <c r="T2942">
        <v>3449</v>
      </c>
      <c r="U2942">
        <v>0</v>
      </c>
      <c r="V2942">
        <v>3449</v>
      </c>
    </row>
    <row r="2943" spans="1:22" x14ac:dyDescent="0.3">
      <c r="A2943">
        <v>186607</v>
      </c>
      <c r="B2943">
        <v>136328490</v>
      </c>
      <c r="C2943" t="s">
        <v>15037</v>
      </c>
      <c r="D2943" t="s">
        <v>15038</v>
      </c>
      <c r="E2943" t="s">
        <v>11426</v>
      </c>
      <c r="F2943" t="s">
        <v>844</v>
      </c>
      <c r="G2943" t="s">
        <v>164</v>
      </c>
      <c r="H2943" t="s">
        <v>165</v>
      </c>
      <c r="I2943" t="s">
        <v>34</v>
      </c>
      <c r="J2943" t="s">
        <v>166</v>
      </c>
      <c r="K2943" t="s">
        <v>41</v>
      </c>
      <c r="L2943" t="s">
        <v>15039</v>
      </c>
      <c r="M2943" t="s">
        <v>15040</v>
      </c>
      <c r="N2943" t="s">
        <v>11429</v>
      </c>
      <c r="O2943" t="s">
        <v>101</v>
      </c>
      <c r="P2943" t="s">
        <v>15041</v>
      </c>
      <c r="Q2943" t="s">
        <v>71</v>
      </c>
      <c r="R2943" t="s">
        <v>14086</v>
      </c>
      <c r="S2943">
        <v>1</v>
      </c>
      <c r="T2943">
        <v>3501</v>
      </c>
      <c r="U2943">
        <v>0</v>
      </c>
      <c r="V2943">
        <v>3501</v>
      </c>
    </row>
    <row r="2944" spans="1:22" x14ac:dyDescent="0.3">
      <c r="A2944">
        <v>186607</v>
      </c>
      <c r="B2944">
        <v>136440717</v>
      </c>
      <c r="C2944" t="s">
        <v>15042</v>
      </c>
      <c r="D2944" t="s">
        <v>15043</v>
      </c>
      <c r="E2944" t="s">
        <v>11426</v>
      </c>
      <c r="F2944" t="s">
        <v>844</v>
      </c>
      <c r="G2944" t="s">
        <v>164</v>
      </c>
      <c r="H2944" t="s">
        <v>165</v>
      </c>
      <c r="I2944" t="s">
        <v>34</v>
      </c>
      <c r="J2944" t="s">
        <v>166</v>
      </c>
      <c r="K2944" t="s">
        <v>41</v>
      </c>
      <c r="L2944" t="s">
        <v>621</v>
      </c>
      <c r="M2944" t="s">
        <v>15044</v>
      </c>
      <c r="N2944" t="s">
        <v>11429</v>
      </c>
      <c r="O2944" t="s">
        <v>101</v>
      </c>
      <c r="P2944" t="s">
        <v>15045</v>
      </c>
      <c r="Q2944" t="s">
        <v>49</v>
      </c>
      <c r="R2944" t="s">
        <v>704</v>
      </c>
      <c r="S2944">
        <v>0.5</v>
      </c>
      <c r="T2944">
        <v>3449</v>
      </c>
      <c r="U2944">
        <v>0</v>
      </c>
      <c r="V2944">
        <v>3449</v>
      </c>
    </row>
    <row r="2945" spans="1:22" x14ac:dyDescent="0.3">
      <c r="A2945">
        <v>186607</v>
      </c>
      <c r="B2945">
        <v>136328544</v>
      </c>
      <c r="C2945" t="s">
        <v>15046</v>
      </c>
      <c r="D2945" t="s">
        <v>15047</v>
      </c>
      <c r="E2945" t="s">
        <v>11426</v>
      </c>
      <c r="F2945" t="s">
        <v>844</v>
      </c>
      <c r="G2945" t="s">
        <v>164</v>
      </c>
      <c r="H2945" t="s">
        <v>165</v>
      </c>
      <c r="I2945" t="s">
        <v>34</v>
      </c>
      <c r="J2945" t="s">
        <v>166</v>
      </c>
      <c r="K2945" t="s">
        <v>41</v>
      </c>
      <c r="L2945" t="s">
        <v>15048</v>
      </c>
      <c r="M2945" t="s">
        <v>15049</v>
      </c>
      <c r="N2945" t="s">
        <v>11429</v>
      </c>
      <c r="O2945" t="s">
        <v>101</v>
      </c>
      <c r="P2945" t="s">
        <v>15050</v>
      </c>
      <c r="Q2945" t="s">
        <v>74</v>
      </c>
      <c r="R2945" t="s">
        <v>11485</v>
      </c>
      <c r="S2945">
        <v>1</v>
      </c>
      <c r="T2945">
        <v>3753</v>
      </c>
      <c r="U2945">
        <v>0</v>
      </c>
      <c r="V2945">
        <v>3753</v>
      </c>
    </row>
    <row r="2946" spans="1:22" x14ac:dyDescent="0.3">
      <c r="A2946">
        <v>186607</v>
      </c>
      <c r="B2946">
        <v>136328497</v>
      </c>
      <c r="C2946" t="s">
        <v>15051</v>
      </c>
      <c r="D2946" t="s">
        <v>15052</v>
      </c>
      <c r="E2946" t="s">
        <v>11426</v>
      </c>
      <c r="F2946" t="s">
        <v>844</v>
      </c>
      <c r="G2946" t="s">
        <v>164</v>
      </c>
      <c r="H2946" t="s">
        <v>165</v>
      </c>
      <c r="I2946" t="s">
        <v>34</v>
      </c>
      <c r="J2946" t="s">
        <v>166</v>
      </c>
      <c r="K2946" t="s">
        <v>41</v>
      </c>
      <c r="L2946" t="s">
        <v>15053</v>
      </c>
      <c r="M2946" t="s">
        <v>15054</v>
      </c>
      <c r="N2946" t="s">
        <v>11429</v>
      </c>
      <c r="O2946" t="s">
        <v>101</v>
      </c>
      <c r="P2946" t="s">
        <v>15055</v>
      </c>
      <c r="Q2946" t="s">
        <v>42</v>
      </c>
      <c r="R2946" t="s">
        <v>14086</v>
      </c>
      <c r="S2946">
        <v>0.5</v>
      </c>
      <c r="T2946">
        <v>3959</v>
      </c>
      <c r="U2946">
        <v>0</v>
      </c>
      <c r="V2946">
        <v>3959</v>
      </c>
    </row>
    <row r="2947" spans="1:22" x14ac:dyDescent="0.3">
      <c r="A2947">
        <v>186607</v>
      </c>
      <c r="B2947">
        <v>136328555</v>
      </c>
      <c r="C2947" t="s">
        <v>15056</v>
      </c>
      <c r="D2947" t="s">
        <v>15057</v>
      </c>
      <c r="E2947" t="s">
        <v>11426</v>
      </c>
      <c r="F2947" t="s">
        <v>844</v>
      </c>
      <c r="G2947" t="s">
        <v>164</v>
      </c>
      <c r="H2947" t="s">
        <v>165</v>
      </c>
      <c r="I2947" t="s">
        <v>34</v>
      </c>
      <c r="J2947" t="s">
        <v>166</v>
      </c>
      <c r="K2947" t="s">
        <v>41</v>
      </c>
      <c r="L2947" t="s">
        <v>15058</v>
      </c>
      <c r="M2947" t="s">
        <v>15059</v>
      </c>
      <c r="N2947" t="s">
        <v>11429</v>
      </c>
      <c r="O2947" t="s">
        <v>101</v>
      </c>
      <c r="P2947" t="s">
        <v>15060</v>
      </c>
      <c r="Q2947" t="s">
        <v>83</v>
      </c>
      <c r="R2947" t="s">
        <v>11485</v>
      </c>
      <c r="S2947">
        <v>0.5</v>
      </c>
      <c r="T2947">
        <v>3299</v>
      </c>
      <c r="U2947">
        <v>0</v>
      </c>
      <c r="V2947">
        <v>3299</v>
      </c>
    </row>
    <row r="2948" spans="1:22" x14ac:dyDescent="0.3">
      <c r="A2948">
        <v>186607</v>
      </c>
      <c r="B2948">
        <v>135848981</v>
      </c>
      <c r="C2948" t="s">
        <v>15061</v>
      </c>
      <c r="D2948" t="s">
        <v>15062</v>
      </c>
      <c r="E2948" t="s">
        <v>11426</v>
      </c>
      <c r="F2948" t="s">
        <v>844</v>
      </c>
      <c r="G2948" t="s">
        <v>164</v>
      </c>
      <c r="H2948" t="s">
        <v>165</v>
      </c>
      <c r="I2948" t="s">
        <v>34</v>
      </c>
      <c r="J2948" t="s">
        <v>166</v>
      </c>
      <c r="K2948" t="s">
        <v>41</v>
      </c>
      <c r="L2948" t="s">
        <v>15063</v>
      </c>
      <c r="M2948" t="s">
        <v>15064</v>
      </c>
      <c r="N2948" t="s">
        <v>11429</v>
      </c>
      <c r="O2948" t="s">
        <v>101</v>
      </c>
      <c r="P2948" t="s">
        <v>15065</v>
      </c>
      <c r="Q2948" t="s">
        <v>58</v>
      </c>
      <c r="R2948" t="s">
        <v>501</v>
      </c>
      <c r="S2948">
        <v>1</v>
      </c>
      <c r="T2948">
        <v>5759</v>
      </c>
      <c r="U2948">
        <v>0</v>
      </c>
      <c r="V2948">
        <v>5759</v>
      </c>
    </row>
    <row r="2949" spans="1:22" x14ac:dyDescent="0.3">
      <c r="A2949">
        <v>186607</v>
      </c>
      <c r="B2949">
        <v>136107525</v>
      </c>
      <c r="C2949" t="s">
        <v>15066</v>
      </c>
      <c r="D2949" t="s">
        <v>15067</v>
      </c>
      <c r="E2949" t="s">
        <v>11426</v>
      </c>
      <c r="F2949" t="s">
        <v>844</v>
      </c>
      <c r="G2949" t="s">
        <v>164</v>
      </c>
      <c r="H2949" t="s">
        <v>165</v>
      </c>
      <c r="I2949" t="s">
        <v>34</v>
      </c>
      <c r="J2949" t="s">
        <v>166</v>
      </c>
      <c r="K2949" t="s">
        <v>41</v>
      </c>
      <c r="L2949" t="s">
        <v>15068</v>
      </c>
      <c r="M2949" t="s">
        <v>663</v>
      </c>
      <c r="N2949" t="s">
        <v>11429</v>
      </c>
      <c r="O2949" t="s">
        <v>101</v>
      </c>
      <c r="P2949" t="s">
        <v>15069</v>
      </c>
      <c r="Q2949" t="s">
        <v>92</v>
      </c>
      <c r="R2949" t="s">
        <v>369</v>
      </c>
      <c r="S2949">
        <v>0.5</v>
      </c>
      <c r="T2949">
        <v>3299</v>
      </c>
      <c r="U2949">
        <v>0</v>
      </c>
      <c r="V2949">
        <v>3299</v>
      </c>
    </row>
    <row r="2950" spans="1:22" x14ac:dyDescent="0.3">
      <c r="A2950">
        <v>186607</v>
      </c>
      <c r="B2950">
        <v>136107635</v>
      </c>
      <c r="C2950" t="s">
        <v>15070</v>
      </c>
      <c r="D2950" t="s">
        <v>15071</v>
      </c>
      <c r="E2950" t="s">
        <v>11426</v>
      </c>
      <c r="F2950" t="s">
        <v>844</v>
      </c>
      <c r="G2950" t="s">
        <v>164</v>
      </c>
      <c r="H2950" t="s">
        <v>165</v>
      </c>
      <c r="I2950" t="s">
        <v>34</v>
      </c>
      <c r="J2950" t="s">
        <v>166</v>
      </c>
      <c r="K2950" t="s">
        <v>41</v>
      </c>
      <c r="L2950" t="s">
        <v>15072</v>
      </c>
      <c r="M2950" t="s">
        <v>15073</v>
      </c>
      <c r="N2950" t="s">
        <v>11429</v>
      </c>
      <c r="O2950" t="s">
        <v>101</v>
      </c>
      <c r="P2950" t="s">
        <v>15074</v>
      </c>
      <c r="Q2950" t="s">
        <v>93</v>
      </c>
      <c r="R2950" t="s">
        <v>369</v>
      </c>
      <c r="S2950">
        <v>1</v>
      </c>
      <c r="T2950">
        <v>3366</v>
      </c>
      <c r="U2950">
        <v>0</v>
      </c>
      <c r="V2950">
        <v>3366</v>
      </c>
    </row>
    <row r="2951" spans="1:22" x14ac:dyDescent="0.3">
      <c r="A2951">
        <v>186607</v>
      </c>
      <c r="B2951">
        <v>136272189</v>
      </c>
      <c r="C2951" t="s">
        <v>15075</v>
      </c>
      <c r="D2951" t="s">
        <v>15076</v>
      </c>
      <c r="E2951" t="s">
        <v>11426</v>
      </c>
      <c r="F2951" t="s">
        <v>844</v>
      </c>
      <c r="G2951" t="s">
        <v>164</v>
      </c>
      <c r="H2951" t="s">
        <v>165</v>
      </c>
      <c r="I2951" t="s">
        <v>34</v>
      </c>
      <c r="J2951" t="s">
        <v>166</v>
      </c>
      <c r="K2951" t="s">
        <v>41</v>
      </c>
      <c r="L2951" t="s">
        <v>15077</v>
      </c>
      <c r="M2951" t="s">
        <v>15078</v>
      </c>
      <c r="N2951" t="s">
        <v>11429</v>
      </c>
      <c r="O2951" t="s">
        <v>101</v>
      </c>
      <c r="P2951" t="s">
        <v>15079</v>
      </c>
      <c r="Q2951" t="s">
        <v>72</v>
      </c>
      <c r="R2951" t="s">
        <v>12323</v>
      </c>
      <c r="S2951">
        <v>0.5</v>
      </c>
      <c r="T2951">
        <v>3449</v>
      </c>
      <c r="U2951">
        <v>0</v>
      </c>
      <c r="V2951">
        <v>3449</v>
      </c>
    </row>
    <row r="2952" spans="1:22" x14ac:dyDescent="0.3">
      <c r="A2952">
        <v>186607</v>
      </c>
      <c r="B2952">
        <v>136412740</v>
      </c>
      <c r="C2952" t="s">
        <v>15080</v>
      </c>
      <c r="D2952" t="s">
        <v>15081</v>
      </c>
      <c r="E2952" t="s">
        <v>11426</v>
      </c>
      <c r="F2952" t="s">
        <v>844</v>
      </c>
      <c r="G2952" t="s">
        <v>164</v>
      </c>
      <c r="H2952" t="s">
        <v>165</v>
      </c>
      <c r="I2952" t="s">
        <v>34</v>
      </c>
      <c r="J2952" t="s">
        <v>166</v>
      </c>
      <c r="K2952" t="s">
        <v>41</v>
      </c>
      <c r="L2952" t="s">
        <v>15082</v>
      </c>
      <c r="M2952" t="s">
        <v>15083</v>
      </c>
      <c r="N2952" t="s">
        <v>11429</v>
      </c>
      <c r="O2952" t="s">
        <v>101</v>
      </c>
      <c r="P2952" t="s">
        <v>15084</v>
      </c>
      <c r="Q2952" t="s">
        <v>98</v>
      </c>
      <c r="R2952" t="s">
        <v>430</v>
      </c>
      <c r="S2952">
        <v>1</v>
      </c>
      <c r="T2952">
        <v>3366</v>
      </c>
      <c r="U2952">
        <v>0</v>
      </c>
      <c r="V2952">
        <v>3366</v>
      </c>
    </row>
    <row r="2953" spans="1:22" x14ac:dyDescent="0.3">
      <c r="A2953">
        <v>186607</v>
      </c>
      <c r="B2953">
        <v>136027671</v>
      </c>
      <c r="C2953" t="s">
        <v>15085</v>
      </c>
      <c r="D2953" t="s">
        <v>15086</v>
      </c>
      <c r="E2953" t="s">
        <v>11426</v>
      </c>
      <c r="F2953" t="s">
        <v>844</v>
      </c>
      <c r="G2953" t="s">
        <v>164</v>
      </c>
      <c r="H2953" t="s">
        <v>165</v>
      </c>
      <c r="I2953" t="s">
        <v>34</v>
      </c>
      <c r="J2953" t="s">
        <v>166</v>
      </c>
      <c r="K2953" t="s">
        <v>41</v>
      </c>
      <c r="L2953" t="s">
        <v>15087</v>
      </c>
      <c r="M2953" t="s">
        <v>15088</v>
      </c>
      <c r="N2953" t="s">
        <v>11429</v>
      </c>
      <c r="O2953" t="s">
        <v>101</v>
      </c>
      <c r="P2953" t="s">
        <v>15089</v>
      </c>
      <c r="Q2953" t="s">
        <v>49</v>
      </c>
      <c r="R2953" t="s">
        <v>489</v>
      </c>
      <c r="S2953">
        <v>0.5</v>
      </c>
      <c r="T2953">
        <v>3449</v>
      </c>
      <c r="U2953">
        <v>0</v>
      </c>
      <c r="V2953">
        <v>3449</v>
      </c>
    </row>
    <row r="2954" spans="1:22" x14ac:dyDescent="0.3">
      <c r="A2954">
        <v>186607</v>
      </c>
      <c r="B2954">
        <v>136027694</v>
      </c>
      <c r="C2954" t="s">
        <v>15090</v>
      </c>
      <c r="D2954" t="s">
        <v>15091</v>
      </c>
      <c r="E2954" t="s">
        <v>11426</v>
      </c>
      <c r="F2954" t="s">
        <v>844</v>
      </c>
      <c r="G2954" t="s">
        <v>164</v>
      </c>
      <c r="H2954" t="s">
        <v>165</v>
      </c>
      <c r="I2954" t="s">
        <v>34</v>
      </c>
      <c r="J2954" t="s">
        <v>166</v>
      </c>
      <c r="K2954" t="s">
        <v>41</v>
      </c>
      <c r="L2954" t="s">
        <v>15092</v>
      </c>
      <c r="M2954" t="s">
        <v>15093</v>
      </c>
      <c r="N2954" t="s">
        <v>11429</v>
      </c>
      <c r="O2954" t="s">
        <v>101</v>
      </c>
      <c r="P2954" t="s">
        <v>15094</v>
      </c>
      <c r="Q2954" t="s">
        <v>308</v>
      </c>
      <c r="R2954" t="s">
        <v>489</v>
      </c>
      <c r="S2954">
        <v>0.5</v>
      </c>
      <c r="T2954">
        <v>3680</v>
      </c>
      <c r="U2954">
        <v>0</v>
      </c>
      <c r="V2954">
        <v>3680</v>
      </c>
    </row>
    <row r="2955" spans="1:22" x14ac:dyDescent="0.3">
      <c r="A2955">
        <v>186607</v>
      </c>
      <c r="B2955">
        <v>136198471</v>
      </c>
      <c r="C2955" t="s">
        <v>15095</v>
      </c>
      <c r="D2955" t="s">
        <v>15096</v>
      </c>
      <c r="E2955" t="s">
        <v>11426</v>
      </c>
      <c r="F2955" t="s">
        <v>844</v>
      </c>
      <c r="G2955" t="s">
        <v>164</v>
      </c>
      <c r="H2955" t="s">
        <v>165</v>
      </c>
      <c r="I2955" t="s">
        <v>34</v>
      </c>
      <c r="J2955" t="s">
        <v>166</v>
      </c>
      <c r="K2955" t="s">
        <v>41</v>
      </c>
      <c r="L2955" t="s">
        <v>15097</v>
      </c>
      <c r="M2955" t="s">
        <v>15098</v>
      </c>
      <c r="N2955" t="s">
        <v>11429</v>
      </c>
      <c r="O2955" t="s">
        <v>101</v>
      </c>
      <c r="P2955" t="s">
        <v>15099</v>
      </c>
      <c r="Q2955" t="s">
        <v>71</v>
      </c>
      <c r="R2955" t="s">
        <v>718</v>
      </c>
      <c r="S2955">
        <v>0.5</v>
      </c>
      <c r="T2955">
        <v>3449</v>
      </c>
      <c r="U2955">
        <v>0</v>
      </c>
      <c r="V2955">
        <v>3449</v>
      </c>
    </row>
    <row r="2956" spans="1:22" x14ac:dyDescent="0.3">
      <c r="A2956">
        <v>186607</v>
      </c>
      <c r="B2956">
        <v>136328522</v>
      </c>
      <c r="C2956" t="s">
        <v>15100</v>
      </c>
      <c r="D2956" t="s">
        <v>15101</v>
      </c>
      <c r="E2956" t="s">
        <v>11426</v>
      </c>
      <c r="F2956" t="s">
        <v>844</v>
      </c>
      <c r="G2956" t="s">
        <v>164</v>
      </c>
      <c r="H2956" t="s">
        <v>165</v>
      </c>
      <c r="I2956" t="s">
        <v>34</v>
      </c>
      <c r="J2956" t="s">
        <v>166</v>
      </c>
      <c r="K2956" t="s">
        <v>41</v>
      </c>
      <c r="L2956" t="s">
        <v>15102</v>
      </c>
      <c r="M2956" t="s">
        <v>15103</v>
      </c>
      <c r="N2956" t="s">
        <v>11429</v>
      </c>
      <c r="O2956" t="s">
        <v>101</v>
      </c>
      <c r="P2956" t="s">
        <v>15104</v>
      </c>
      <c r="Q2956" t="s">
        <v>43</v>
      </c>
      <c r="R2956" t="s">
        <v>11485</v>
      </c>
      <c r="S2956">
        <v>1</v>
      </c>
      <c r="T2956">
        <v>3753</v>
      </c>
      <c r="U2956">
        <v>0</v>
      </c>
      <c r="V2956">
        <v>3753</v>
      </c>
    </row>
    <row r="2957" spans="1:22" x14ac:dyDescent="0.3">
      <c r="A2957">
        <v>186607</v>
      </c>
      <c r="B2957">
        <v>136412724</v>
      </c>
      <c r="C2957" t="s">
        <v>15105</v>
      </c>
      <c r="D2957" t="s">
        <v>15106</v>
      </c>
      <c r="E2957" t="s">
        <v>11426</v>
      </c>
      <c r="F2957" t="s">
        <v>844</v>
      </c>
      <c r="G2957" t="s">
        <v>164</v>
      </c>
      <c r="H2957" t="s">
        <v>165</v>
      </c>
      <c r="I2957" t="s">
        <v>34</v>
      </c>
      <c r="J2957" t="s">
        <v>166</v>
      </c>
      <c r="K2957" t="s">
        <v>41</v>
      </c>
      <c r="L2957" t="s">
        <v>15107</v>
      </c>
      <c r="M2957" t="s">
        <v>15108</v>
      </c>
      <c r="N2957" t="s">
        <v>11429</v>
      </c>
      <c r="O2957" t="s">
        <v>101</v>
      </c>
      <c r="P2957" t="s">
        <v>15109</v>
      </c>
      <c r="Q2957" t="s">
        <v>97</v>
      </c>
      <c r="R2957" t="s">
        <v>430</v>
      </c>
      <c r="S2957">
        <v>0.5</v>
      </c>
      <c r="T2957">
        <v>3299</v>
      </c>
      <c r="U2957">
        <v>0</v>
      </c>
      <c r="V2957">
        <v>3299</v>
      </c>
    </row>
    <row r="2958" spans="1:22" x14ac:dyDescent="0.3">
      <c r="A2958">
        <v>186607</v>
      </c>
      <c r="B2958">
        <v>136107580</v>
      </c>
      <c r="C2958" t="s">
        <v>15110</v>
      </c>
      <c r="D2958" t="s">
        <v>15111</v>
      </c>
      <c r="E2958" t="s">
        <v>11426</v>
      </c>
      <c r="F2958" t="s">
        <v>844</v>
      </c>
      <c r="G2958" t="s">
        <v>164</v>
      </c>
      <c r="H2958" t="s">
        <v>165</v>
      </c>
      <c r="I2958" t="s">
        <v>34</v>
      </c>
      <c r="J2958" t="s">
        <v>166</v>
      </c>
      <c r="K2958" t="s">
        <v>41</v>
      </c>
      <c r="L2958" t="s">
        <v>15112</v>
      </c>
      <c r="M2958" t="s">
        <v>15113</v>
      </c>
      <c r="N2958" t="s">
        <v>11429</v>
      </c>
      <c r="O2958" t="s">
        <v>101</v>
      </c>
      <c r="P2958" t="s">
        <v>15114</v>
      </c>
      <c r="Q2958" t="s">
        <v>77</v>
      </c>
      <c r="R2958" t="s">
        <v>369</v>
      </c>
      <c r="S2958">
        <v>1</v>
      </c>
      <c r="T2958">
        <v>7506</v>
      </c>
      <c r="U2958">
        <v>0</v>
      </c>
      <c r="V2958">
        <v>7506</v>
      </c>
    </row>
    <row r="2959" spans="1:22" x14ac:dyDescent="0.3">
      <c r="A2959">
        <v>186607</v>
      </c>
      <c r="B2959">
        <v>136272175</v>
      </c>
      <c r="C2959" t="s">
        <v>15115</v>
      </c>
      <c r="D2959" t="s">
        <v>15116</v>
      </c>
      <c r="E2959" t="s">
        <v>11426</v>
      </c>
      <c r="F2959" t="s">
        <v>844</v>
      </c>
      <c r="G2959" t="s">
        <v>164</v>
      </c>
      <c r="H2959" t="s">
        <v>165</v>
      </c>
      <c r="I2959" t="s">
        <v>34</v>
      </c>
      <c r="J2959" t="s">
        <v>166</v>
      </c>
      <c r="K2959" t="s">
        <v>41</v>
      </c>
      <c r="L2959" t="s">
        <v>15117</v>
      </c>
      <c r="M2959" t="s">
        <v>15118</v>
      </c>
      <c r="N2959" t="s">
        <v>11429</v>
      </c>
      <c r="O2959" t="s">
        <v>101</v>
      </c>
      <c r="P2959" t="s">
        <v>15119</v>
      </c>
      <c r="Q2959" t="s">
        <v>274</v>
      </c>
      <c r="R2959" t="s">
        <v>779</v>
      </c>
      <c r="S2959">
        <v>0.5</v>
      </c>
      <c r="T2959">
        <v>3299</v>
      </c>
      <c r="U2959">
        <v>0</v>
      </c>
      <c r="V2959">
        <v>3299</v>
      </c>
    </row>
    <row r="2960" spans="1:22" x14ac:dyDescent="0.3">
      <c r="A2960">
        <v>186607</v>
      </c>
      <c r="B2960">
        <v>136198360</v>
      </c>
      <c r="C2960" t="s">
        <v>15120</v>
      </c>
      <c r="D2960" t="s">
        <v>15121</v>
      </c>
      <c r="E2960" t="s">
        <v>11426</v>
      </c>
      <c r="F2960" t="s">
        <v>844</v>
      </c>
      <c r="G2960" t="s">
        <v>164</v>
      </c>
      <c r="H2960" t="s">
        <v>165</v>
      </c>
      <c r="I2960" t="s">
        <v>34</v>
      </c>
      <c r="J2960" t="s">
        <v>166</v>
      </c>
      <c r="K2960" t="s">
        <v>41</v>
      </c>
      <c r="L2960" t="s">
        <v>15122</v>
      </c>
      <c r="M2960" t="s">
        <v>15123</v>
      </c>
      <c r="N2960" t="s">
        <v>11429</v>
      </c>
      <c r="O2960" t="s">
        <v>101</v>
      </c>
      <c r="P2960" t="s">
        <v>15124</v>
      </c>
      <c r="Q2960" t="s">
        <v>216</v>
      </c>
      <c r="R2960" t="s">
        <v>339</v>
      </c>
      <c r="S2960">
        <v>1</v>
      </c>
      <c r="T2960">
        <v>3366</v>
      </c>
      <c r="U2960">
        <v>0</v>
      </c>
      <c r="V2960">
        <v>3366</v>
      </c>
    </row>
    <row r="2961" spans="1:22" x14ac:dyDescent="0.3">
      <c r="A2961">
        <v>186607</v>
      </c>
      <c r="B2961">
        <v>135983157</v>
      </c>
      <c r="C2961" t="s">
        <v>15125</v>
      </c>
      <c r="D2961" t="s">
        <v>15126</v>
      </c>
      <c r="E2961" t="s">
        <v>11426</v>
      </c>
      <c r="F2961" t="s">
        <v>844</v>
      </c>
      <c r="G2961" t="s">
        <v>164</v>
      </c>
      <c r="H2961" t="s">
        <v>165</v>
      </c>
      <c r="I2961" t="s">
        <v>34</v>
      </c>
      <c r="J2961" t="s">
        <v>166</v>
      </c>
      <c r="K2961" t="s">
        <v>41</v>
      </c>
      <c r="L2961" t="s">
        <v>15127</v>
      </c>
      <c r="M2961" t="s">
        <v>15128</v>
      </c>
      <c r="N2961" t="s">
        <v>11429</v>
      </c>
      <c r="O2961" t="s">
        <v>101</v>
      </c>
      <c r="P2961" t="s">
        <v>15129</v>
      </c>
      <c r="Q2961" t="s">
        <v>211</v>
      </c>
      <c r="R2961" t="s">
        <v>344</v>
      </c>
      <c r="S2961">
        <v>1</v>
      </c>
      <c r="T2961">
        <v>4067</v>
      </c>
      <c r="U2961">
        <v>0</v>
      </c>
      <c r="V2961">
        <v>4067</v>
      </c>
    </row>
    <row r="2962" spans="1:22" x14ac:dyDescent="0.3">
      <c r="A2962">
        <v>186607</v>
      </c>
      <c r="B2962">
        <v>135905390</v>
      </c>
      <c r="C2962" t="s">
        <v>15130</v>
      </c>
      <c r="D2962" t="s">
        <v>15131</v>
      </c>
      <c r="E2962" t="s">
        <v>11426</v>
      </c>
      <c r="F2962" t="s">
        <v>844</v>
      </c>
      <c r="G2962" t="s">
        <v>164</v>
      </c>
      <c r="H2962" t="s">
        <v>165</v>
      </c>
      <c r="I2962" t="s">
        <v>34</v>
      </c>
      <c r="J2962" t="s">
        <v>166</v>
      </c>
      <c r="K2962" t="s">
        <v>41</v>
      </c>
      <c r="L2962" t="s">
        <v>15132</v>
      </c>
      <c r="M2962" t="s">
        <v>15133</v>
      </c>
      <c r="N2962" t="s">
        <v>11429</v>
      </c>
      <c r="O2962" t="s">
        <v>101</v>
      </c>
      <c r="P2962" t="s">
        <v>15134</v>
      </c>
      <c r="Q2962" t="s">
        <v>54</v>
      </c>
      <c r="R2962" t="s">
        <v>498</v>
      </c>
      <c r="S2962">
        <v>1</v>
      </c>
      <c r="T2962">
        <v>5759</v>
      </c>
      <c r="U2962">
        <v>0</v>
      </c>
      <c r="V2962">
        <v>5759</v>
      </c>
    </row>
    <row r="2963" spans="1:22" x14ac:dyDescent="0.3">
      <c r="A2963">
        <v>186607</v>
      </c>
      <c r="B2963">
        <v>135983325</v>
      </c>
      <c r="C2963" t="s">
        <v>15135</v>
      </c>
      <c r="D2963" t="s">
        <v>15136</v>
      </c>
      <c r="E2963" t="s">
        <v>11426</v>
      </c>
      <c r="F2963" t="s">
        <v>844</v>
      </c>
      <c r="G2963" t="s">
        <v>164</v>
      </c>
      <c r="H2963" t="s">
        <v>165</v>
      </c>
      <c r="I2963" t="s">
        <v>34</v>
      </c>
      <c r="J2963" t="s">
        <v>166</v>
      </c>
      <c r="K2963" t="s">
        <v>41</v>
      </c>
      <c r="L2963" t="s">
        <v>15137</v>
      </c>
      <c r="M2963" t="s">
        <v>15138</v>
      </c>
      <c r="N2963" t="s">
        <v>11429</v>
      </c>
      <c r="O2963" t="s">
        <v>101</v>
      </c>
      <c r="P2963" t="s">
        <v>15139</v>
      </c>
      <c r="Q2963" t="s">
        <v>59</v>
      </c>
      <c r="R2963" t="s">
        <v>178</v>
      </c>
      <c r="S2963">
        <v>1</v>
      </c>
      <c r="T2963">
        <v>4067</v>
      </c>
      <c r="U2963">
        <v>0</v>
      </c>
      <c r="V2963">
        <v>4067</v>
      </c>
    </row>
    <row r="2964" spans="1:22" x14ac:dyDescent="0.3">
      <c r="A2964">
        <v>186607</v>
      </c>
      <c r="B2964">
        <v>135848961</v>
      </c>
      <c r="C2964" t="s">
        <v>15140</v>
      </c>
      <c r="D2964" t="s">
        <v>15141</v>
      </c>
      <c r="E2964" t="s">
        <v>11426</v>
      </c>
      <c r="F2964" t="s">
        <v>844</v>
      </c>
      <c r="G2964" t="s">
        <v>164</v>
      </c>
      <c r="H2964" t="s">
        <v>165</v>
      </c>
      <c r="I2964" t="s">
        <v>34</v>
      </c>
      <c r="J2964" t="s">
        <v>166</v>
      </c>
      <c r="K2964" t="s">
        <v>41</v>
      </c>
      <c r="L2964" t="s">
        <v>15142</v>
      </c>
      <c r="M2964" t="s">
        <v>15143</v>
      </c>
      <c r="N2964" t="s">
        <v>11429</v>
      </c>
      <c r="O2964" t="s">
        <v>101</v>
      </c>
      <c r="P2964" t="s">
        <v>15144</v>
      </c>
      <c r="Q2964" t="s">
        <v>55</v>
      </c>
      <c r="R2964" t="s">
        <v>501</v>
      </c>
      <c r="S2964">
        <v>0.5</v>
      </c>
      <c r="T2964">
        <v>4067</v>
      </c>
      <c r="U2964">
        <v>0</v>
      </c>
      <c r="V2964">
        <v>4067</v>
      </c>
    </row>
    <row r="2965" spans="1:22" x14ac:dyDescent="0.3">
      <c r="A2965">
        <v>186607</v>
      </c>
      <c r="B2965">
        <v>135983100</v>
      </c>
      <c r="C2965" t="s">
        <v>15145</v>
      </c>
      <c r="D2965" t="s">
        <v>15146</v>
      </c>
      <c r="E2965" t="s">
        <v>11426</v>
      </c>
      <c r="F2965" t="s">
        <v>844</v>
      </c>
      <c r="G2965" t="s">
        <v>164</v>
      </c>
      <c r="H2965" t="s">
        <v>165</v>
      </c>
      <c r="I2965" t="s">
        <v>34</v>
      </c>
      <c r="J2965" t="s">
        <v>166</v>
      </c>
      <c r="K2965" t="s">
        <v>41</v>
      </c>
      <c r="L2965" t="s">
        <v>15147</v>
      </c>
      <c r="M2965" t="s">
        <v>15148</v>
      </c>
      <c r="N2965" t="s">
        <v>11429</v>
      </c>
      <c r="O2965" t="s">
        <v>101</v>
      </c>
      <c r="P2965" t="s">
        <v>15149</v>
      </c>
      <c r="Q2965" t="s">
        <v>54</v>
      </c>
      <c r="R2965" t="s">
        <v>344</v>
      </c>
      <c r="S2965">
        <v>0.5</v>
      </c>
      <c r="T2965">
        <v>4067</v>
      </c>
      <c r="U2965">
        <v>0</v>
      </c>
      <c r="V2965">
        <v>4067</v>
      </c>
    </row>
    <row r="2966" spans="1:22" x14ac:dyDescent="0.3">
      <c r="A2966">
        <v>186607</v>
      </c>
      <c r="B2966">
        <v>135711959</v>
      </c>
      <c r="C2966" t="s">
        <v>15150</v>
      </c>
      <c r="D2966" t="s">
        <v>15151</v>
      </c>
      <c r="E2966" t="s">
        <v>11426</v>
      </c>
      <c r="F2966" t="s">
        <v>844</v>
      </c>
      <c r="G2966" t="s">
        <v>164</v>
      </c>
      <c r="H2966" t="s">
        <v>165</v>
      </c>
      <c r="I2966" t="s">
        <v>34</v>
      </c>
      <c r="J2966" t="s">
        <v>166</v>
      </c>
      <c r="K2966" t="s">
        <v>41</v>
      </c>
      <c r="L2966" t="s">
        <v>15152</v>
      </c>
      <c r="M2966" t="s">
        <v>15153</v>
      </c>
      <c r="N2966" t="s">
        <v>11429</v>
      </c>
      <c r="O2966" t="s">
        <v>101</v>
      </c>
      <c r="P2966" t="s">
        <v>15154</v>
      </c>
      <c r="Q2966" t="s">
        <v>76</v>
      </c>
      <c r="R2966" t="s">
        <v>12992</v>
      </c>
      <c r="S2966">
        <v>3.07</v>
      </c>
      <c r="T2966">
        <v>4456</v>
      </c>
      <c r="U2966">
        <v>0</v>
      </c>
      <c r="V2966">
        <v>4456</v>
      </c>
    </row>
    <row r="2967" spans="1:22" x14ac:dyDescent="0.3">
      <c r="A2967">
        <v>186607</v>
      </c>
      <c r="B2967">
        <v>135905504</v>
      </c>
      <c r="C2967" t="s">
        <v>15155</v>
      </c>
      <c r="D2967" t="s">
        <v>15156</v>
      </c>
      <c r="E2967" t="s">
        <v>11426</v>
      </c>
      <c r="F2967" t="s">
        <v>844</v>
      </c>
      <c r="G2967" t="s">
        <v>164</v>
      </c>
      <c r="H2967" t="s">
        <v>165</v>
      </c>
      <c r="I2967" t="s">
        <v>34</v>
      </c>
      <c r="J2967" t="s">
        <v>166</v>
      </c>
      <c r="K2967" t="s">
        <v>41</v>
      </c>
      <c r="L2967" t="s">
        <v>15157</v>
      </c>
      <c r="M2967" t="s">
        <v>15158</v>
      </c>
      <c r="N2967" t="s">
        <v>11429</v>
      </c>
      <c r="O2967" t="s">
        <v>101</v>
      </c>
      <c r="P2967" t="s">
        <v>15159</v>
      </c>
      <c r="Q2967" t="s">
        <v>109</v>
      </c>
      <c r="R2967" t="s">
        <v>498</v>
      </c>
      <c r="S2967">
        <v>0.5</v>
      </c>
      <c r="T2967">
        <v>3680</v>
      </c>
      <c r="U2967">
        <v>0</v>
      </c>
      <c r="V2967">
        <v>3680</v>
      </c>
    </row>
    <row r="2968" spans="1:22" x14ac:dyDescent="0.3">
      <c r="A2968">
        <v>186607</v>
      </c>
      <c r="B2968">
        <v>135983150</v>
      </c>
      <c r="C2968" t="s">
        <v>15160</v>
      </c>
      <c r="D2968" t="s">
        <v>15161</v>
      </c>
      <c r="E2968" t="s">
        <v>11426</v>
      </c>
      <c r="F2968" t="s">
        <v>844</v>
      </c>
      <c r="G2968" t="s">
        <v>164</v>
      </c>
      <c r="H2968" t="s">
        <v>165</v>
      </c>
      <c r="I2968" t="s">
        <v>34</v>
      </c>
      <c r="J2968" t="s">
        <v>166</v>
      </c>
      <c r="K2968" t="s">
        <v>41</v>
      </c>
      <c r="L2968" t="s">
        <v>15162</v>
      </c>
      <c r="M2968" t="s">
        <v>15163</v>
      </c>
      <c r="N2968" t="s">
        <v>11429</v>
      </c>
      <c r="O2968" t="s">
        <v>101</v>
      </c>
      <c r="P2968" t="s">
        <v>15164</v>
      </c>
      <c r="Q2968" t="s">
        <v>54</v>
      </c>
      <c r="R2968" t="s">
        <v>344</v>
      </c>
      <c r="S2968">
        <v>1</v>
      </c>
      <c r="T2968">
        <v>5759</v>
      </c>
      <c r="U2968">
        <v>0</v>
      </c>
      <c r="V2968">
        <v>5759</v>
      </c>
    </row>
    <row r="2969" spans="1:22" x14ac:dyDescent="0.3">
      <c r="A2969">
        <v>186607</v>
      </c>
      <c r="B2969">
        <v>135905407</v>
      </c>
      <c r="C2969" t="s">
        <v>15165</v>
      </c>
      <c r="D2969" t="s">
        <v>15166</v>
      </c>
      <c r="E2969" t="s">
        <v>11426</v>
      </c>
      <c r="F2969" t="s">
        <v>844</v>
      </c>
      <c r="G2969" t="s">
        <v>164</v>
      </c>
      <c r="H2969" t="s">
        <v>165</v>
      </c>
      <c r="I2969" t="s">
        <v>34</v>
      </c>
      <c r="J2969" t="s">
        <v>166</v>
      </c>
      <c r="K2969" t="s">
        <v>41</v>
      </c>
      <c r="L2969" t="s">
        <v>15167</v>
      </c>
      <c r="M2969" t="s">
        <v>15168</v>
      </c>
      <c r="N2969" t="s">
        <v>11429</v>
      </c>
      <c r="O2969" t="s">
        <v>101</v>
      </c>
      <c r="P2969" t="s">
        <v>15169</v>
      </c>
      <c r="Q2969" t="s">
        <v>224</v>
      </c>
      <c r="R2969" t="s">
        <v>498</v>
      </c>
      <c r="S2969">
        <v>1</v>
      </c>
      <c r="T2969">
        <v>4067</v>
      </c>
      <c r="U2969">
        <v>0</v>
      </c>
      <c r="V2969">
        <v>4067</v>
      </c>
    </row>
    <row r="2970" spans="1:22" x14ac:dyDescent="0.3">
      <c r="A2970">
        <v>186607</v>
      </c>
      <c r="B2970">
        <v>135985217</v>
      </c>
      <c r="C2970" t="s">
        <v>15170</v>
      </c>
      <c r="D2970" t="s">
        <v>15171</v>
      </c>
      <c r="E2970" t="s">
        <v>11426</v>
      </c>
      <c r="F2970" t="s">
        <v>844</v>
      </c>
      <c r="G2970" t="s">
        <v>164</v>
      </c>
      <c r="H2970" t="s">
        <v>165</v>
      </c>
      <c r="I2970" t="s">
        <v>34</v>
      </c>
      <c r="J2970" t="s">
        <v>166</v>
      </c>
      <c r="K2970" t="s">
        <v>41</v>
      </c>
      <c r="L2970" t="s">
        <v>15172</v>
      </c>
      <c r="M2970" t="s">
        <v>15173</v>
      </c>
      <c r="N2970" t="s">
        <v>11429</v>
      </c>
      <c r="O2970" t="s">
        <v>101</v>
      </c>
      <c r="P2970" t="s">
        <v>15174</v>
      </c>
      <c r="Q2970" t="s">
        <v>55</v>
      </c>
      <c r="R2970" t="s">
        <v>493</v>
      </c>
      <c r="S2970">
        <v>1</v>
      </c>
      <c r="T2970">
        <v>5198</v>
      </c>
      <c r="U2970">
        <v>0</v>
      </c>
      <c r="V2970">
        <v>5198</v>
      </c>
    </row>
    <row r="2971" spans="1:22" x14ac:dyDescent="0.3">
      <c r="A2971">
        <v>186607</v>
      </c>
      <c r="B2971">
        <v>135983175</v>
      </c>
      <c r="C2971" t="s">
        <v>15175</v>
      </c>
      <c r="D2971" t="s">
        <v>15176</v>
      </c>
      <c r="E2971" t="s">
        <v>11426</v>
      </c>
      <c r="F2971" t="s">
        <v>844</v>
      </c>
      <c r="G2971" t="s">
        <v>164</v>
      </c>
      <c r="H2971" t="s">
        <v>165</v>
      </c>
      <c r="I2971" t="s">
        <v>34</v>
      </c>
      <c r="J2971" t="s">
        <v>166</v>
      </c>
      <c r="K2971" t="s">
        <v>41</v>
      </c>
      <c r="L2971" t="s">
        <v>15177</v>
      </c>
      <c r="M2971" t="s">
        <v>15178</v>
      </c>
      <c r="N2971" t="s">
        <v>11429</v>
      </c>
      <c r="O2971" t="s">
        <v>101</v>
      </c>
      <c r="P2971" t="s">
        <v>15179</v>
      </c>
      <c r="Q2971" t="s">
        <v>55</v>
      </c>
      <c r="R2971" t="s">
        <v>344</v>
      </c>
      <c r="S2971">
        <v>0.5</v>
      </c>
      <c r="T2971">
        <v>4067</v>
      </c>
      <c r="U2971">
        <v>0</v>
      </c>
      <c r="V2971">
        <v>4067</v>
      </c>
    </row>
    <row r="2972" spans="1:22" x14ac:dyDescent="0.3">
      <c r="A2972">
        <v>186607</v>
      </c>
      <c r="B2972">
        <v>135983282</v>
      </c>
      <c r="C2972" t="s">
        <v>15180</v>
      </c>
      <c r="D2972" t="s">
        <v>15181</v>
      </c>
      <c r="E2972" t="s">
        <v>11426</v>
      </c>
      <c r="F2972" t="s">
        <v>844</v>
      </c>
      <c r="G2972" t="s">
        <v>164</v>
      </c>
      <c r="H2972" t="s">
        <v>165</v>
      </c>
      <c r="I2972" t="s">
        <v>34</v>
      </c>
      <c r="J2972" t="s">
        <v>166</v>
      </c>
      <c r="K2972" t="s">
        <v>41</v>
      </c>
      <c r="L2972" t="s">
        <v>15182</v>
      </c>
      <c r="M2972" t="s">
        <v>15183</v>
      </c>
      <c r="N2972" t="s">
        <v>11429</v>
      </c>
      <c r="O2972" t="s">
        <v>101</v>
      </c>
      <c r="P2972" t="s">
        <v>15184</v>
      </c>
      <c r="Q2972" t="s">
        <v>55</v>
      </c>
      <c r="R2972" t="s">
        <v>344</v>
      </c>
      <c r="S2972">
        <v>0.5</v>
      </c>
      <c r="T2972">
        <v>4067</v>
      </c>
      <c r="U2972">
        <v>0</v>
      </c>
      <c r="V2972">
        <v>4067</v>
      </c>
    </row>
    <row r="2973" spans="1:22" x14ac:dyDescent="0.3">
      <c r="A2973">
        <v>186607</v>
      </c>
      <c r="B2973">
        <v>135905381</v>
      </c>
      <c r="C2973" t="s">
        <v>15185</v>
      </c>
      <c r="D2973" t="s">
        <v>15186</v>
      </c>
      <c r="E2973" t="s">
        <v>11426</v>
      </c>
      <c r="F2973" t="s">
        <v>844</v>
      </c>
      <c r="G2973" t="s">
        <v>164</v>
      </c>
      <c r="H2973" t="s">
        <v>165</v>
      </c>
      <c r="I2973" t="s">
        <v>34</v>
      </c>
      <c r="J2973" t="s">
        <v>166</v>
      </c>
      <c r="K2973" t="s">
        <v>41</v>
      </c>
      <c r="L2973" t="s">
        <v>15187</v>
      </c>
      <c r="M2973" t="s">
        <v>15188</v>
      </c>
      <c r="N2973" t="s">
        <v>11429</v>
      </c>
      <c r="O2973" t="s">
        <v>101</v>
      </c>
      <c r="P2973" t="s">
        <v>15189</v>
      </c>
      <c r="Q2973" t="s">
        <v>210</v>
      </c>
      <c r="R2973" t="s">
        <v>498</v>
      </c>
      <c r="S2973">
        <v>1</v>
      </c>
      <c r="T2973">
        <v>4346</v>
      </c>
      <c r="U2973">
        <v>0</v>
      </c>
      <c r="V2973">
        <v>4346</v>
      </c>
    </row>
    <row r="2974" spans="1:22" x14ac:dyDescent="0.3">
      <c r="A2974">
        <v>186607</v>
      </c>
      <c r="B2974">
        <v>135983233</v>
      </c>
      <c r="C2974" t="s">
        <v>15190</v>
      </c>
      <c r="D2974" t="s">
        <v>15191</v>
      </c>
      <c r="E2974" t="s">
        <v>11426</v>
      </c>
      <c r="F2974" t="s">
        <v>844</v>
      </c>
      <c r="G2974" t="s">
        <v>164</v>
      </c>
      <c r="H2974" t="s">
        <v>165</v>
      </c>
      <c r="I2974" t="s">
        <v>34</v>
      </c>
      <c r="J2974" t="s">
        <v>166</v>
      </c>
      <c r="K2974" t="s">
        <v>41</v>
      </c>
      <c r="L2974" t="s">
        <v>15192</v>
      </c>
      <c r="M2974" t="s">
        <v>309</v>
      </c>
      <c r="N2974" t="s">
        <v>11429</v>
      </c>
      <c r="O2974" t="s">
        <v>101</v>
      </c>
      <c r="P2974" t="s">
        <v>15193</v>
      </c>
      <c r="Q2974" t="s">
        <v>57</v>
      </c>
      <c r="R2974" t="s">
        <v>344</v>
      </c>
      <c r="S2974">
        <v>1</v>
      </c>
      <c r="T2974">
        <v>5476</v>
      </c>
      <c r="U2974">
        <v>0</v>
      </c>
      <c r="V2974">
        <v>5476</v>
      </c>
    </row>
    <row r="2975" spans="1:22" x14ac:dyDescent="0.3">
      <c r="A2975">
        <v>186607</v>
      </c>
      <c r="B2975">
        <v>135983301</v>
      </c>
      <c r="C2975" t="s">
        <v>15194</v>
      </c>
      <c r="D2975" t="s">
        <v>15195</v>
      </c>
      <c r="E2975" t="s">
        <v>11426</v>
      </c>
      <c r="F2975" t="s">
        <v>844</v>
      </c>
      <c r="G2975" t="s">
        <v>164</v>
      </c>
      <c r="H2975" t="s">
        <v>165</v>
      </c>
      <c r="I2975" t="s">
        <v>34</v>
      </c>
      <c r="J2975" t="s">
        <v>166</v>
      </c>
      <c r="K2975" t="s">
        <v>41</v>
      </c>
      <c r="L2975" t="s">
        <v>15196</v>
      </c>
      <c r="M2975" t="s">
        <v>15197</v>
      </c>
      <c r="N2975" t="s">
        <v>11429</v>
      </c>
      <c r="O2975" t="s">
        <v>101</v>
      </c>
      <c r="P2975" t="s">
        <v>15198</v>
      </c>
      <c r="Q2975" t="s">
        <v>76</v>
      </c>
      <c r="R2975" t="s">
        <v>178</v>
      </c>
      <c r="S2975">
        <v>1</v>
      </c>
      <c r="T2975">
        <v>3753</v>
      </c>
      <c r="U2975">
        <v>0</v>
      </c>
      <c r="V2975">
        <v>3753</v>
      </c>
    </row>
    <row r="2976" spans="1:22" x14ac:dyDescent="0.3">
      <c r="A2976">
        <v>186607</v>
      </c>
      <c r="B2976">
        <v>135983111</v>
      </c>
      <c r="C2976" t="s">
        <v>15199</v>
      </c>
      <c r="D2976" t="s">
        <v>15200</v>
      </c>
      <c r="E2976" t="s">
        <v>11426</v>
      </c>
      <c r="F2976" t="s">
        <v>844</v>
      </c>
      <c r="G2976" t="s">
        <v>164</v>
      </c>
      <c r="H2976" t="s">
        <v>165</v>
      </c>
      <c r="I2976" t="s">
        <v>34</v>
      </c>
      <c r="J2976" t="s">
        <v>166</v>
      </c>
      <c r="K2976" t="s">
        <v>41</v>
      </c>
      <c r="L2976" t="s">
        <v>15201</v>
      </c>
      <c r="M2976" t="s">
        <v>15202</v>
      </c>
      <c r="N2976" t="s">
        <v>11429</v>
      </c>
      <c r="O2976" t="s">
        <v>101</v>
      </c>
      <c r="P2976" t="s">
        <v>15203</v>
      </c>
      <c r="Q2976" t="s">
        <v>54</v>
      </c>
      <c r="R2976" t="s">
        <v>344</v>
      </c>
      <c r="S2976">
        <v>1.5</v>
      </c>
      <c r="T2976">
        <v>5759</v>
      </c>
      <c r="U2976">
        <v>0</v>
      </c>
      <c r="V2976">
        <v>5759</v>
      </c>
    </row>
    <row r="2977" spans="1:22" x14ac:dyDescent="0.3">
      <c r="A2977">
        <v>186607</v>
      </c>
      <c r="B2977">
        <v>135905474</v>
      </c>
      <c r="C2977" t="s">
        <v>15204</v>
      </c>
      <c r="D2977" t="s">
        <v>15205</v>
      </c>
      <c r="E2977" t="s">
        <v>11426</v>
      </c>
      <c r="F2977" t="s">
        <v>844</v>
      </c>
      <c r="G2977" t="s">
        <v>164</v>
      </c>
      <c r="H2977" t="s">
        <v>165</v>
      </c>
      <c r="I2977" t="s">
        <v>34</v>
      </c>
      <c r="J2977" t="s">
        <v>166</v>
      </c>
      <c r="K2977" t="s">
        <v>41</v>
      </c>
      <c r="L2977" t="s">
        <v>15206</v>
      </c>
      <c r="M2977" t="s">
        <v>15207</v>
      </c>
      <c r="N2977" t="s">
        <v>11429</v>
      </c>
      <c r="O2977" t="s">
        <v>101</v>
      </c>
      <c r="P2977" t="s">
        <v>15208</v>
      </c>
      <c r="Q2977" t="s">
        <v>55</v>
      </c>
      <c r="R2977" t="s">
        <v>498</v>
      </c>
      <c r="S2977">
        <v>1.5</v>
      </c>
      <c r="T2977">
        <v>5198</v>
      </c>
      <c r="U2977">
        <v>0</v>
      </c>
      <c r="V2977">
        <v>5198</v>
      </c>
    </row>
    <row r="2978" spans="1:22" x14ac:dyDescent="0.3">
      <c r="A2978">
        <v>186607</v>
      </c>
      <c r="B2978">
        <v>135849032</v>
      </c>
      <c r="C2978" t="s">
        <v>15209</v>
      </c>
      <c r="D2978" t="s">
        <v>15210</v>
      </c>
      <c r="E2978" t="s">
        <v>11426</v>
      </c>
      <c r="F2978" t="s">
        <v>844</v>
      </c>
      <c r="G2978" t="s">
        <v>164</v>
      </c>
      <c r="H2978" t="s">
        <v>165</v>
      </c>
      <c r="I2978" t="s">
        <v>34</v>
      </c>
      <c r="J2978" t="s">
        <v>166</v>
      </c>
      <c r="K2978" t="s">
        <v>41</v>
      </c>
      <c r="L2978" t="s">
        <v>15211</v>
      </c>
      <c r="M2978" t="s">
        <v>15212</v>
      </c>
      <c r="N2978" t="s">
        <v>11429</v>
      </c>
      <c r="O2978" t="s">
        <v>101</v>
      </c>
      <c r="P2978" t="s">
        <v>15213</v>
      </c>
      <c r="Q2978" t="s">
        <v>57</v>
      </c>
      <c r="R2978" t="s">
        <v>501</v>
      </c>
      <c r="S2978">
        <v>1</v>
      </c>
      <c r="T2978">
        <v>5476</v>
      </c>
      <c r="U2978">
        <v>0</v>
      </c>
      <c r="V2978">
        <v>5476</v>
      </c>
    </row>
    <row r="2979" spans="1:22" x14ac:dyDescent="0.3">
      <c r="A2979">
        <v>186607</v>
      </c>
      <c r="B2979">
        <v>135983173</v>
      </c>
      <c r="C2979" t="s">
        <v>15214</v>
      </c>
      <c r="D2979" t="s">
        <v>15215</v>
      </c>
      <c r="E2979" t="s">
        <v>11426</v>
      </c>
      <c r="F2979" t="s">
        <v>844</v>
      </c>
      <c r="G2979" t="s">
        <v>164</v>
      </c>
      <c r="H2979" t="s">
        <v>165</v>
      </c>
      <c r="I2979" t="s">
        <v>34</v>
      </c>
      <c r="J2979" t="s">
        <v>166</v>
      </c>
      <c r="K2979" t="s">
        <v>41</v>
      </c>
      <c r="L2979" t="s">
        <v>15216</v>
      </c>
      <c r="M2979" t="s">
        <v>15217</v>
      </c>
      <c r="N2979" t="s">
        <v>11429</v>
      </c>
      <c r="O2979" t="s">
        <v>101</v>
      </c>
      <c r="P2979" t="s">
        <v>15218</v>
      </c>
      <c r="Q2979" t="s">
        <v>55</v>
      </c>
      <c r="R2979" t="s">
        <v>344</v>
      </c>
      <c r="S2979">
        <v>2.5</v>
      </c>
      <c r="T2979">
        <v>5198</v>
      </c>
      <c r="U2979">
        <v>0</v>
      </c>
      <c r="V2979">
        <v>5198</v>
      </c>
    </row>
    <row r="2980" spans="1:22" x14ac:dyDescent="0.3">
      <c r="A2980">
        <v>186607</v>
      </c>
      <c r="B2980">
        <v>135905469</v>
      </c>
      <c r="C2980" t="s">
        <v>15219</v>
      </c>
      <c r="D2980" t="s">
        <v>15220</v>
      </c>
      <c r="E2980" t="s">
        <v>11426</v>
      </c>
      <c r="F2980" t="s">
        <v>844</v>
      </c>
      <c r="G2980" t="s">
        <v>164</v>
      </c>
      <c r="H2980" t="s">
        <v>165</v>
      </c>
      <c r="I2980" t="s">
        <v>34</v>
      </c>
      <c r="J2980" t="s">
        <v>166</v>
      </c>
      <c r="K2980" t="s">
        <v>41</v>
      </c>
      <c r="L2980" t="s">
        <v>15221</v>
      </c>
      <c r="M2980" t="s">
        <v>15222</v>
      </c>
      <c r="N2980" t="s">
        <v>11429</v>
      </c>
      <c r="O2980" t="s">
        <v>101</v>
      </c>
      <c r="P2980" t="s">
        <v>15223</v>
      </c>
      <c r="Q2980" t="s">
        <v>205</v>
      </c>
      <c r="R2980" t="s">
        <v>498</v>
      </c>
      <c r="S2980">
        <v>1</v>
      </c>
      <c r="T2980">
        <v>3501</v>
      </c>
      <c r="U2980">
        <v>0</v>
      </c>
      <c r="V2980">
        <v>3501</v>
      </c>
    </row>
    <row r="2981" spans="1:22" x14ac:dyDescent="0.3">
      <c r="A2981">
        <v>186607</v>
      </c>
      <c r="B2981">
        <v>135983092</v>
      </c>
      <c r="C2981" t="s">
        <v>15224</v>
      </c>
      <c r="D2981" t="s">
        <v>15225</v>
      </c>
      <c r="E2981" t="s">
        <v>11426</v>
      </c>
      <c r="F2981" t="s">
        <v>844</v>
      </c>
      <c r="G2981" t="s">
        <v>164</v>
      </c>
      <c r="H2981" t="s">
        <v>165</v>
      </c>
      <c r="I2981" t="s">
        <v>34</v>
      </c>
      <c r="J2981" t="s">
        <v>166</v>
      </c>
      <c r="K2981" t="s">
        <v>41</v>
      </c>
      <c r="L2981" t="s">
        <v>15226</v>
      </c>
      <c r="M2981" t="s">
        <v>15227</v>
      </c>
      <c r="N2981" t="s">
        <v>11429</v>
      </c>
      <c r="O2981" t="s">
        <v>101</v>
      </c>
      <c r="P2981" t="s">
        <v>15228</v>
      </c>
      <c r="Q2981" t="s">
        <v>57</v>
      </c>
      <c r="R2981" t="s">
        <v>344</v>
      </c>
      <c r="S2981">
        <v>1</v>
      </c>
      <c r="T2981">
        <v>5476</v>
      </c>
      <c r="U2981">
        <v>0</v>
      </c>
      <c r="V2981">
        <v>5476</v>
      </c>
    </row>
    <row r="2982" spans="1:22" x14ac:dyDescent="0.3">
      <c r="A2982">
        <v>186607</v>
      </c>
      <c r="B2982">
        <v>135905513</v>
      </c>
      <c r="C2982" t="s">
        <v>15229</v>
      </c>
      <c r="D2982" t="s">
        <v>15230</v>
      </c>
      <c r="E2982" t="s">
        <v>11426</v>
      </c>
      <c r="F2982" t="s">
        <v>844</v>
      </c>
      <c r="G2982" t="s">
        <v>164</v>
      </c>
      <c r="H2982" t="s">
        <v>165</v>
      </c>
      <c r="I2982" t="s">
        <v>34</v>
      </c>
      <c r="J2982" t="s">
        <v>166</v>
      </c>
      <c r="K2982" t="s">
        <v>41</v>
      </c>
      <c r="L2982" t="s">
        <v>15231</v>
      </c>
      <c r="M2982" t="s">
        <v>15232</v>
      </c>
      <c r="N2982" t="s">
        <v>11429</v>
      </c>
      <c r="O2982" t="s">
        <v>101</v>
      </c>
      <c r="P2982" t="s">
        <v>15233</v>
      </c>
      <c r="Q2982" t="s">
        <v>76</v>
      </c>
      <c r="R2982" t="s">
        <v>498</v>
      </c>
      <c r="S2982">
        <v>1</v>
      </c>
      <c r="T2982">
        <v>3753</v>
      </c>
      <c r="U2982">
        <v>0</v>
      </c>
      <c r="V2982">
        <v>3753</v>
      </c>
    </row>
    <row r="2983" spans="1:22" x14ac:dyDescent="0.3">
      <c r="A2983">
        <v>186607</v>
      </c>
      <c r="B2983">
        <v>135983340</v>
      </c>
      <c r="C2983" t="s">
        <v>15234</v>
      </c>
      <c r="D2983" t="s">
        <v>15235</v>
      </c>
      <c r="E2983" t="s">
        <v>11426</v>
      </c>
      <c r="F2983" t="s">
        <v>844</v>
      </c>
      <c r="G2983" t="s">
        <v>164</v>
      </c>
      <c r="H2983" t="s">
        <v>165</v>
      </c>
      <c r="I2983" t="s">
        <v>34</v>
      </c>
      <c r="J2983" t="s">
        <v>166</v>
      </c>
      <c r="K2983" t="s">
        <v>41</v>
      </c>
      <c r="L2983" t="s">
        <v>15236</v>
      </c>
      <c r="M2983" t="s">
        <v>15237</v>
      </c>
      <c r="N2983" t="s">
        <v>11429</v>
      </c>
      <c r="O2983" t="s">
        <v>101</v>
      </c>
      <c r="P2983" t="s">
        <v>15238</v>
      </c>
      <c r="Q2983" t="s">
        <v>54</v>
      </c>
      <c r="R2983" t="s">
        <v>178</v>
      </c>
      <c r="S2983">
        <v>1</v>
      </c>
      <c r="T2983">
        <v>5759</v>
      </c>
      <c r="U2983">
        <v>0</v>
      </c>
      <c r="V2983">
        <v>5759</v>
      </c>
    </row>
    <row r="2984" spans="1:22" x14ac:dyDescent="0.3">
      <c r="A2984">
        <v>186607</v>
      </c>
      <c r="B2984">
        <v>135985190</v>
      </c>
      <c r="C2984" t="s">
        <v>15239</v>
      </c>
      <c r="D2984" t="s">
        <v>15240</v>
      </c>
      <c r="E2984" t="s">
        <v>11426</v>
      </c>
      <c r="F2984" t="s">
        <v>844</v>
      </c>
      <c r="G2984" t="s">
        <v>164</v>
      </c>
      <c r="H2984" t="s">
        <v>165</v>
      </c>
      <c r="I2984" t="s">
        <v>34</v>
      </c>
      <c r="J2984" t="s">
        <v>166</v>
      </c>
      <c r="K2984" t="s">
        <v>41</v>
      </c>
      <c r="L2984" t="s">
        <v>15241</v>
      </c>
      <c r="M2984" t="s">
        <v>15242</v>
      </c>
      <c r="N2984" t="s">
        <v>11429</v>
      </c>
      <c r="O2984" t="s">
        <v>101</v>
      </c>
      <c r="P2984" t="s">
        <v>15243</v>
      </c>
      <c r="Q2984" t="s">
        <v>57</v>
      </c>
      <c r="R2984" t="s">
        <v>493</v>
      </c>
      <c r="S2984">
        <v>1</v>
      </c>
      <c r="T2984">
        <v>5476</v>
      </c>
      <c r="U2984">
        <v>0</v>
      </c>
      <c r="V2984">
        <v>5476</v>
      </c>
    </row>
    <row r="2985" spans="1:22" x14ac:dyDescent="0.3">
      <c r="A2985">
        <v>186607</v>
      </c>
      <c r="B2985">
        <v>135983199</v>
      </c>
      <c r="C2985" t="s">
        <v>15244</v>
      </c>
      <c r="D2985" t="s">
        <v>15245</v>
      </c>
      <c r="E2985" t="s">
        <v>11426</v>
      </c>
      <c r="F2985" t="s">
        <v>844</v>
      </c>
      <c r="G2985" t="s">
        <v>164</v>
      </c>
      <c r="H2985" t="s">
        <v>165</v>
      </c>
      <c r="I2985" t="s">
        <v>34</v>
      </c>
      <c r="J2985" t="s">
        <v>166</v>
      </c>
      <c r="K2985" t="s">
        <v>41</v>
      </c>
      <c r="L2985" t="s">
        <v>15246</v>
      </c>
      <c r="M2985" t="s">
        <v>15247</v>
      </c>
      <c r="N2985" t="s">
        <v>11429</v>
      </c>
      <c r="O2985" t="s">
        <v>101</v>
      </c>
      <c r="P2985" t="s">
        <v>15248</v>
      </c>
      <c r="Q2985" t="s">
        <v>224</v>
      </c>
      <c r="R2985" t="s">
        <v>344</v>
      </c>
      <c r="S2985">
        <v>1</v>
      </c>
      <c r="T2985">
        <v>4067</v>
      </c>
      <c r="U2985">
        <v>0</v>
      </c>
      <c r="V2985">
        <v>4067</v>
      </c>
    </row>
    <row r="2986" spans="1:22" x14ac:dyDescent="0.3">
      <c r="A2986">
        <v>186607</v>
      </c>
      <c r="B2986">
        <v>135983317</v>
      </c>
      <c r="C2986" t="s">
        <v>15249</v>
      </c>
      <c r="D2986" t="s">
        <v>15250</v>
      </c>
      <c r="E2986" t="s">
        <v>11426</v>
      </c>
      <c r="F2986" t="s">
        <v>844</v>
      </c>
      <c r="G2986" t="s">
        <v>164</v>
      </c>
      <c r="H2986" t="s">
        <v>165</v>
      </c>
      <c r="I2986" t="s">
        <v>34</v>
      </c>
      <c r="J2986" t="s">
        <v>166</v>
      </c>
      <c r="K2986" t="s">
        <v>41</v>
      </c>
      <c r="L2986" t="s">
        <v>15251</v>
      </c>
      <c r="M2986" t="s">
        <v>15252</v>
      </c>
      <c r="N2986" t="s">
        <v>11429</v>
      </c>
      <c r="O2986" t="s">
        <v>101</v>
      </c>
      <c r="P2986" t="s">
        <v>15253</v>
      </c>
      <c r="Q2986" t="s">
        <v>57</v>
      </c>
      <c r="R2986" t="s">
        <v>178</v>
      </c>
      <c r="S2986">
        <v>1</v>
      </c>
      <c r="T2986">
        <v>5476</v>
      </c>
      <c r="U2986">
        <v>0</v>
      </c>
      <c r="V2986">
        <v>5476</v>
      </c>
    </row>
    <row r="2987" spans="1:22" x14ac:dyDescent="0.3">
      <c r="A2987">
        <v>186607</v>
      </c>
      <c r="B2987">
        <v>135790599</v>
      </c>
      <c r="C2987" t="s">
        <v>15254</v>
      </c>
      <c r="D2987" t="s">
        <v>15255</v>
      </c>
      <c r="E2987" t="s">
        <v>11426</v>
      </c>
      <c r="F2987" t="s">
        <v>844</v>
      </c>
      <c r="G2987" t="s">
        <v>164</v>
      </c>
      <c r="H2987" t="s">
        <v>165</v>
      </c>
      <c r="I2987" t="s">
        <v>34</v>
      </c>
      <c r="J2987" t="s">
        <v>166</v>
      </c>
      <c r="K2987" t="s">
        <v>41</v>
      </c>
      <c r="L2987" t="s">
        <v>15256</v>
      </c>
      <c r="M2987" t="s">
        <v>15257</v>
      </c>
      <c r="N2987" t="s">
        <v>11429</v>
      </c>
      <c r="O2987" t="s">
        <v>101</v>
      </c>
      <c r="P2987" t="s">
        <v>15258</v>
      </c>
      <c r="Q2987" t="s">
        <v>209</v>
      </c>
      <c r="R2987" t="s">
        <v>770</v>
      </c>
      <c r="S2987">
        <v>2.6</v>
      </c>
      <c r="T2987">
        <v>5759</v>
      </c>
      <c r="U2987">
        <v>0</v>
      </c>
      <c r="V2987">
        <v>5759</v>
      </c>
    </row>
    <row r="2988" spans="1:22" x14ac:dyDescent="0.3">
      <c r="A2988">
        <v>186607</v>
      </c>
      <c r="B2988">
        <v>135711997</v>
      </c>
      <c r="C2988" t="s">
        <v>15259</v>
      </c>
      <c r="D2988" t="s">
        <v>15260</v>
      </c>
      <c r="E2988" t="s">
        <v>11426</v>
      </c>
      <c r="F2988" t="s">
        <v>844</v>
      </c>
      <c r="G2988" t="s">
        <v>164</v>
      </c>
      <c r="H2988" t="s">
        <v>165</v>
      </c>
      <c r="I2988" t="s">
        <v>34</v>
      </c>
      <c r="J2988" t="s">
        <v>166</v>
      </c>
      <c r="K2988" t="s">
        <v>41</v>
      </c>
      <c r="L2988" t="s">
        <v>15261</v>
      </c>
      <c r="M2988" t="s">
        <v>15262</v>
      </c>
      <c r="N2988" t="s">
        <v>11429</v>
      </c>
      <c r="O2988" t="s">
        <v>101</v>
      </c>
      <c r="P2988" t="s">
        <v>15263</v>
      </c>
      <c r="Q2988" t="s">
        <v>209</v>
      </c>
      <c r="R2988" t="s">
        <v>12992</v>
      </c>
      <c r="S2988">
        <v>5.81</v>
      </c>
      <c r="T2988">
        <v>8008</v>
      </c>
      <c r="U2988">
        <v>0</v>
      </c>
      <c r="V2988">
        <v>8008</v>
      </c>
    </row>
    <row r="2989" spans="1:22" x14ac:dyDescent="0.3">
      <c r="A2989">
        <v>186607</v>
      </c>
      <c r="B2989">
        <v>135848867</v>
      </c>
      <c r="C2989" t="s">
        <v>15264</v>
      </c>
      <c r="D2989" t="s">
        <v>15265</v>
      </c>
      <c r="E2989" t="s">
        <v>11426</v>
      </c>
      <c r="F2989" t="s">
        <v>844</v>
      </c>
      <c r="G2989" t="s">
        <v>164</v>
      </c>
      <c r="H2989" t="s">
        <v>165</v>
      </c>
      <c r="I2989" t="s">
        <v>34</v>
      </c>
      <c r="J2989" t="s">
        <v>166</v>
      </c>
      <c r="K2989" t="s">
        <v>41</v>
      </c>
      <c r="L2989" t="s">
        <v>15266</v>
      </c>
      <c r="M2989" t="s">
        <v>15267</v>
      </c>
      <c r="N2989" t="s">
        <v>11429</v>
      </c>
      <c r="O2989" t="s">
        <v>101</v>
      </c>
      <c r="P2989" t="s">
        <v>15268</v>
      </c>
      <c r="Q2989" t="s">
        <v>54</v>
      </c>
      <c r="R2989" t="s">
        <v>737</v>
      </c>
      <c r="S2989">
        <v>3.35</v>
      </c>
      <c r="T2989">
        <v>8008</v>
      </c>
      <c r="U2989">
        <v>0</v>
      </c>
      <c r="V2989">
        <v>8008</v>
      </c>
    </row>
    <row r="2990" spans="1:22" x14ac:dyDescent="0.3">
      <c r="A2990">
        <v>186607</v>
      </c>
      <c r="B2990">
        <v>135790719</v>
      </c>
      <c r="C2990" t="s">
        <v>15269</v>
      </c>
      <c r="D2990" t="s">
        <v>15270</v>
      </c>
      <c r="E2990" t="s">
        <v>11426</v>
      </c>
      <c r="F2990" t="s">
        <v>844</v>
      </c>
      <c r="G2990" t="s">
        <v>164</v>
      </c>
      <c r="H2990" t="s">
        <v>165</v>
      </c>
      <c r="I2990" t="s">
        <v>34</v>
      </c>
      <c r="J2990" t="s">
        <v>166</v>
      </c>
      <c r="K2990" t="s">
        <v>41</v>
      </c>
      <c r="L2990" t="s">
        <v>15271</v>
      </c>
      <c r="M2990" t="s">
        <v>15272</v>
      </c>
      <c r="N2990" t="s">
        <v>11429</v>
      </c>
      <c r="O2990" t="s">
        <v>101</v>
      </c>
      <c r="P2990" t="s">
        <v>15273</v>
      </c>
      <c r="Q2990" t="s">
        <v>54</v>
      </c>
      <c r="R2990" t="s">
        <v>509</v>
      </c>
      <c r="S2990">
        <v>2.9</v>
      </c>
      <c r="T2990">
        <v>5759</v>
      </c>
      <c r="U2990">
        <v>0</v>
      </c>
      <c r="V2990">
        <v>5759</v>
      </c>
    </row>
    <row r="2991" spans="1:22" x14ac:dyDescent="0.3">
      <c r="A2991">
        <v>186607</v>
      </c>
      <c r="B2991">
        <v>135848871</v>
      </c>
      <c r="C2991" t="s">
        <v>15274</v>
      </c>
      <c r="D2991" t="s">
        <v>15275</v>
      </c>
      <c r="E2991" t="s">
        <v>11426</v>
      </c>
      <c r="F2991" t="s">
        <v>844</v>
      </c>
      <c r="G2991" t="s">
        <v>164</v>
      </c>
      <c r="H2991" t="s">
        <v>165</v>
      </c>
      <c r="I2991" t="s">
        <v>34</v>
      </c>
      <c r="J2991" t="s">
        <v>166</v>
      </c>
      <c r="K2991" t="s">
        <v>41</v>
      </c>
      <c r="L2991" t="s">
        <v>15276</v>
      </c>
      <c r="M2991" t="s">
        <v>15277</v>
      </c>
      <c r="N2991" t="s">
        <v>11429</v>
      </c>
      <c r="O2991" t="s">
        <v>101</v>
      </c>
      <c r="P2991" t="s">
        <v>15278</v>
      </c>
      <c r="Q2991" t="s">
        <v>54</v>
      </c>
      <c r="R2991" t="s">
        <v>737</v>
      </c>
      <c r="S2991">
        <v>1</v>
      </c>
      <c r="T2991">
        <v>5759</v>
      </c>
      <c r="U2991">
        <v>0</v>
      </c>
      <c r="V2991">
        <v>5759</v>
      </c>
    </row>
    <row r="2992" spans="1:22" x14ac:dyDescent="0.3">
      <c r="A2992">
        <v>186607</v>
      </c>
      <c r="B2992">
        <v>135905456</v>
      </c>
      <c r="C2992" t="s">
        <v>15279</v>
      </c>
      <c r="D2992" t="s">
        <v>15280</v>
      </c>
      <c r="E2992" t="s">
        <v>11426</v>
      </c>
      <c r="F2992" t="s">
        <v>844</v>
      </c>
      <c r="G2992" t="s">
        <v>164</v>
      </c>
      <c r="H2992" t="s">
        <v>165</v>
      </c>
      <c r="I2992" t="s">
        <v>34</v>
      </c>
      <c r="J2992" t="s">
        <v>166</v>
      </c>
      <c r="K2992" t="s">
        <v>41</v>
      </c>
      <c r="L2992" t="s">
        <v>15281</v>
      </c>
      <c r="M2992" t="s">
        <v>15282</v>
      </c>
      <c r="N2992" t="s">
        <v>11429</v>
      </c>
      <c r="O2992" t="s">
        <v>101</v>
      </c>
      <c r="P2992" t="s">
        <v>15283</v>
      </c>
      <c r="Q2992" t="s">
        <v>63</v>
      </c>
      <c r="R2992" t="s">
        <v>498</v>
      </c>
      <c r="S2992">
        <v>1</v>
      </c>
      <c r="T2992">
        <v>4067</v>
      </c>
      <c r="U2992">
        <v>0</v>
      </c>
      <c r="V2992">
        <v>4067</v>
      </c>
    </row>
    <row r="2993" spans="1:22" x14ac:dyDescent="0.3">
      <c r="A2993">
        <v>186607</v>
      </c>
      <c r="B2993">
        <v>135983151</v>
      </c>
      <c r="C2993" t="s">
        <v>15284</v>
      </c>
      <c r="D2993" t="s">
        <v>15285</v>
      </c>
      <c r="E2993" t="s">
        <v>11426</v>
      </c>
      <c r="F2993" t="s">
        <v>844</v>
      </c>
      <c r="G2993" t="s">
        <v>164</v>
      </c>
      <c r="H2993" t="s">
        <v>165</v>
      </c>
      <c r="I2993" t="s">
        <v>34</v>
      </c>
      <c r="J2993" t="s">
        <v>166</v>
      </c>
      <c r="K2993" t="s">
        <v>41</v>
      </c>
      <c r="L2993" t="s">
        <v>15286</v>
      </c>
      <c r="M2993" t="s">
        <v>15287</v>
      </c>
      <c r="N2993" t="s">
        <v>11429</v>
      </c>
      <c r="O2993" t="s">
        <v>101</v>
      </c>
      <c r="P2993" t="s">
        <v>15288</v>
      </c>
      <c r="Q2993" t="s">
        <v>63</v>
      </c>
      <c r="R2993" t="s">
        <v>344</v>
      </c>
      <c r="S2993">
        <v>1</v>
      </c>
      <c r="T2993">
        <v>4067</v>
      </c>
      <c r="U2993">
        <v>0</v>
      </c>
      <c r="V2993">
        <v>4067</v>
      </c>
    </row>
    <row r="2994" spans="1:22" x14ac:dyDescent="0.3">
      <c r="A2994">
        <v>186607</v>
      </c>
      <c r="B2994">
        <v>135848852</v>
      </c>
      <c r="C2994" t="s">
        <v>15289</v>
      </c>
      <c r="D2994" t="s">
        <v>15290</v>
      </c>
      <c r="E2994" t="s">
        <v>11426</v>
      </c>
      <c r="F2994" t="s">
        <v>844</v>
      </c>
      <c r="G2994" t="s">
        <v>164</v>
      </c>
      <c r="H2994" t="s">
        <v>165</v>
      </c>
      <c r="I2994" t="s">
        <v>34</v>
      </c>
      <c r="J2994" t="s">
        <v>166</v>
      </c>
      <c r="K2994" t="s">
        <v>41</v>
      </c>
      <c r="L2994" t="s">
        <v>374</v>
      </c>
      <c r="M2994" t="s">
        <v>15291</v>
      </c>
      <c r="N2994" t="s">
        <v>11429</v>
      </c>
      <c r="O2994" t="s">
        <v>101</v>
      </c>
      <c r="P2994" t="s">
        <v>15292</v>
      </c>
      <c r="Q2994" t="s">
        <v>54</v>
      </c>
      <c r="R2994" t="s">
        <v>737</v>
      </c>
      <c r="S2994">
        <v>3.83</v>
      </c>
      <c r="T2994">
        <v>8008</v>
      </c>
      <c r="U2994">
        <v>0</v>
      </c>
      <c r="V2994">
        <v>8008</v>
      </c>
    </row>
    <row r="2995" spans="1:22" x14ac:dyDescent="0.3">
      <c r="A2995">
        <v>186607</v>
      </c>
      <c r="B2995">
        <v>135983209</v>
      </c>
      <c r="C2995" t="s">
        <v>15293</v>
      </c>
      <c r="D2995" t="s">
        <v>15294</v>
      </c>
      <c r="E2995" t="s">
        <v>11426</v>
      </c>
      <c r="F2995" t="s">
        <v>844</v>
      </c>
      <c r="G2995" t="s">
        <v>164</v>
      </c>
      <c r="H2995" t="s">
        <v>165</v>
      </c>
      <c r="I2995" t="s">
        <v>34</v>
      </c>
      <c r="J2995" t="s">
        <v>166</v>
      </c>
      <c r="K2995" t="s">
        <v>41</v>
      </c>
      <c r="L2995" t="s">
        <v>15295</v>
      </c>
      <c r="M2995" t="s">
        <v>15296</v>
      </c>
      <c r="N2995" t="s">
        <v>11429</v>
      </c>
      <c r="O2995" t="s">
        <v>101</v>
      </c>
      <c r="P2995" t="s">
        <v>15297</v>
      </c>
      <c r="Q2995" t="s">
        <v>92</v>
      </c>
      <c r="R2995" t="s">
        <v>344</v>
      </c>
      <c r="S2995">
        <v>0.5</v>
      </c>
      <c r="T2995">
        <v>3299</v>
      </c>
      <c r="U2995">
        <v>0</v>
      </c>
      <c r="V2995">
        <v>3299</v>
      </c>
    </row>
    <row r="2996" spans="1:22" x14ac:dyDescent="0.3">
      <c r="A2996">
        <v>186607</v>
      </c>
      <c r="B2996">
        <v>135983181</v>
      </c>
      <c r="C2996" t="s">
        <v>15298</v>
      </c>
      <c r="D2996" t="s">
        <v>15299</v>
      </c>
      <c r="E2996" t="s">
        <v>11426</v>
      </c>
      <c r="F2996" t="s">
        <v>844</v>
      </c>
      <c r="G2996" t="s">
        <v>164</v>
      </c>
      <c r="H2996" t="s">
        <v>165</v>
      </c>
      <c r="I2996" t="s">
        <v>34</v>
      </c>
      <c r="J2996" t="s">
        <v>166</v>
      </c>
      <c r="K2996" t="s">
        <v>41</v>
      </c>
      <c r="L2996" t="s">
        <v>15300</v>
      </c>
      <c r="M2996" t="s">
        <v>15301</v>
      </c>
      <c r="N2996" t="s">
        <v>11429</v>
      </c>
      <c r="O2996" t="s">
        <v>101</v>
      </c>
      <c r="P2996" t="s">
        <v>15302</v>
      </c>
      <c r="Q2996" t="s">
        <v>72</v>
      </c>
      <c r="R2996" t="s">
        <v>344</v>
      </c>
      <c r="S2996">
        <v>1</v>
      </c>
      <c r="T2996">
        <v>3784</v>
      </c>
      <c r="U2996">
        <v>0</v>
      </c>
      <c r="V2996">
        <v>3784</v>
      </c>
    </row>
    <row r="2997" spans="1:22" x14ac:dyDescent="0.3">
      <c r="A2997">
        <v>186607</v>
      </c>
      <c r="B2997">
        <v>135983334</v>
      </c>
      <c r="C2997" t="s">
        <v>15303</v>
      </c>
      <c r="D2997" t="s">
        <v>15304</v>
      </c>
      <c r="E2997" t="s">
        <v>11426</v>
      </c>
      <c r="F2997" t="s">
        <v>844</v>
      </c>
      <c r="G2997" t="s">
        <v>164</v>
      </c>
      <c r="H2997" t="s">
        <v>165</v>
      </c>
      <c r="I2997" t="s">
        <v>34</v>
      </c>
      <c r="J2997" t="s">
        <v>166</v>
      </c>
      <c r="K2997" t="s">
        <v>41</v>
      </c>
      <c r="L2997" t="s">
        <v>15305</v>
      </c>
      <c r="M2997" t="s">
        <v>15306</v>
      </c>
      <c r="N2997" t="s">
        <v>11429</v>
      </c>
      <c r="O2997" t="s">
        <v>101</v>
      </c>
      <c r="P2997" t="s">
        <v>15307</v>
      </c>
      <c r="Q2997" t="s">
        <v>63</v>
      </c>
      <c r="R2997" t="s">
        <v>178</v>
      </c>
      <c r="S2997">
        <v>1</v>
      </c>
      <c r="T2997">
        <v>4067</v>
      </c>
      <c r="U2997">
        <v>0</v>
      </c>
      <c r="V2997">
        <v>4067</v>
      </c>
    </row>
    <row r="2998" spans="1:22" x14ac:dyDescent="0.3">
      <c r="A2998">
        <v>186607</v>
      </c>
      <c r="B2998">
        <v>135905442</v>
      </c>
      <c r="C2998" t="s">
        <v>15308</v>
      </c>
      <c r="D2998" t="s">
        <v>15309</v>
      </c>
      <c r="E2998" t="s">
        <v>11426</v>
      </c>
      <c r="F2998" t="s">
        <v>844</v>
      </c>
      <c r="G2998" t="s">
        <v>164</v>
      </c>
      <c r="H2998" t="s">
        <v>165</v>
      </c>
      <c r="I2998" t="s">
        <v>34</v>
      </c>
      <c r="J2998" t="s">
        <v>166</v>
      </c>
      <c r="K2998" t="s">
        <v>41</v>
      </c>
      <c r="L2998" t="s">
        <v>15310</v>
      </c>
      <c r="M2998" t="s">
        <v>15311</v>
      </c>
      <c r="N2998" t="s">
        <v>11429</v>
      </c>
      <c r="O2998" t="s">
        <v>101</v>
      </c>
      <c r="P2998" t="s">
        <v>15312</v>
      </c>
      <c r="Q2998" t="s">
        <v>84</v>
      </c>
      <c r="R2998" t="s">
        <v>498</v>
      </c>
      <c r="S2998">
        <v>1</v>
      </c>
      <c r="T2998">
        <v>3366</v>
      </c>
      <c r="U2998">
        <v>0</v>
      </c>
      <c r="V2998">
        <v>3366</v>
      </c>
    </row>
    <row r="2999" spans="1:22" x14ac:dyDescent="0.3">
      <c r="A2999">
        <v>186607</v>
      </c>
      <c r="B2999">
        <v>135712048</v>
      </c>
      <c r="C2999" t="s">
        <v>15313</v>
      </c>
      <c r="D2999" t="s">
        <v>15314</v>
      </c>
      <c r="E2999" t="s">
        <v>11426</v>
      </c>
      <c r="F2999" t="s">
        <v>844</v>
      </c>
      <c r="G2999" t="s">
        <v>164</v>
      </c>
      <c r="H2999" t="s">
        <v>165</v>
      </c>
      <c r="I2999" t="s">
        <v>34</v>
      </c>
      <c r="J2999" t="s">
        <v>166</v>
      </c>
      <c r="K2999" t="s">
        <v>41</v>
      </c>
      <c r="L2999" t="s">
        <v>15315</v>
      </c>
      <c r="M2999" t="s">
        <v>15316</v>
      </c>
      <c r="N2999" t="s">
        <v>11429</v>
      </c>
      <c r="O2999" t="s">
        <v>101</v>
      </c>
      <c r="P2999" t="s">
        <v>15317</v>
      </c>
      <c r="Q2999" t="s">
        <v>55</v>
      </c>
      <c r="R2999" t="s">
        <v>12992</v>
      </c>
      <c r="S2999">
        <v>1.8</v>
      </c>
      <c r="T2999">
        <v>5198</v>
      </c>
      <c r="U2999">
        <v>0</v>
      </c>
      <c r="V2999">
        <v>5198</v>
      </c>
    </row>
    <row r="3000" spans="1:22" x14ac:dyDescent="0.3">
      <c r="A3000">
        <v>186607</v>
      </c>
      <c r="B3000">
        <v>135983160</v>
      </c>
      <c r="C3000" t="s">
        <v>15318</v>
      </c>
      <c r="D3000" t="s">
        <v>15319</v>
      </c>
      <c r="E3000" t="s">
        <v>11426</v>
      </c>
      <c r="F3000" t="s">
        <v>844</v>
      </c>
      <c r="G3000" t="s">
        <v>164</v>
      </c>
      <c r="H3000" t="s">
        <v>165</v>
      </c>
      <c r="I3000" t="s">
        <v>34</v>
      </c>
      <c r="J3000" t="s">
        <v>166</v>
      </c>
      <c r="K3000" t="s">
        <v>41</v>
      </c>
      <c r="L3000" t="s">
        <v>15320</v>
      </c>
      <c r="M3000" t="s">
        <v>15321</v>
      </c>
      <c r="N3000" t="s">
        <v>11429</v>
      </c>
      <c r="O3000" t="s">
        <v>101</v>
      </c>
      <c r="P3000" t="s">
        <v>15322</v>
      </c>
      <c r="Q3000" t="s">
        <v>94</v>
      </c>
      <c r="R3000" t="s">
        <v>344</v>
      </c>
      <c r="S3000">
        <v>1</v>
      </c>
      <c r="T3000">
        <v>3366</v>
      </c>
      <c r="U3000">
        <v>0</v>
      </c>
      <c r="V3000">
        <v>3366</v>
      </c>
    </row>
    <row r="3001" spans="1:22" x14ac:dyDescent="0.3">
      <c r="A3001">
        <v>186607</v>
      </c>
      <c r="B3001">
        <v>135712014</v>
      </c>
      <c r="C3001" t="s">
        <v>15323</v>
      </c>
      <c r="D3001" t="s">
        <v>15324</v>
      </c>
      <c r="E3001" t="s">
        <v>11426</v>
      </c>
      <c r="F3001" t="s">
        <v>844</v>
      </c>
      <c r="G3001" t="s">
        <v>164</v>
      </c>
      <c r="H3001" t="s">
        <v>165</v>
      </c>
      <c r="I3001" t="s">
        <v>34</v>
      </c>
      <c r="J3001" t="s">
        <v>166</v>
      </c>
      <c r="K3001" t="s">
        <v>41</v>
      </c>
      <c r="L3001" t="s">
        <v>15325</v>
      </c>
      <c r="M3001" t="s">
        <v>15326</v>
      </c>
      <c r="N3001" t="s">
        <v>11429</v>
      </c>
      <c r="O3001" t="s">
        <v>101</v>
      </c>
      <c r="P3001" t="s">
        <v>15327</v>
      </c>
      <c r="Q3001" t="s">
        <v>109</v>
      </c>
      <c r="R3001" t="s">
        <v>12992</v>
      </c>
      <c r="S3001">
        <v>3.05</v>
      </c>
      <c r="T3001">
        <v>5376</v>
      </c>
      <c r="U3001">
        <v>0</v>
      </c>
      <c r="V3001">
        <v>5376</v>
      </c>
    </row>
    <row r="3002" spans="1:22" x14ac:dyDescent="0.3">
      <c r="A3002">
        <v>186607</v>
      </c>
      <c r="B3002">
        <v>135849063</v>
      </c>
      <c r="C3002" t="s">
        <v>15328</v>
      </c>
      <c r="D3002" t="s">
        <v>15329</v>
      </c>
      <c r="E3002" t="s">
        <v>11426</v>
      </c>
      <c r="F3002" t="s">
        <v>844</v>
      </c>
      <c r="G3002" t="s">
        <v>164</v>
      </c>
      <c r="H3002" t="s">
        <v>165</v>
      </c>
      <c r="I3002" t="s">
        <v>34</v>
      </c>
      <c r="J3002" t="s">
        <v>166</v>
      </c>
      <c r="K3002" t="s">
        <v>41</v>
      </c>
      <c r="L3002" t="s">
        <v>15330</v>
      </c>
      <c r="M3002" t="s">
        <v>15331</v>
      </c>
      <c r="N3002" t="s">
        <v>11429</v>
      </c>
      <c r="O3002" t="s">
        <v>101</v>
      </c>
      <c r="P3002" t="s">
        <v>15332</v>
      </c>
      <c r="Q3002" t="s">
        <v>63</v>
      </c>
      <c r="R3002" t="s">
        <v>501</v>
      </c>
      <c r="S3002">
        <v>0.5</v>
      </c>
      <c r="T3002">
        <v>3680</v>
      </c>
      <c r="U3002">
        <v>0</v>
      </c>
      <c r="V3002">
        <v>3680</v>
      </c>
    </row>
    <row r="3003" spans="1:22" x14ac:dyDescent="0.3">
      <c r="A3003">
        <v>186607</v>
      </c>
      <c r="B3003">
        <v>135983312</v>
      </c>
      <c r="C3003" t="s">
        <v>15333</v>
      </c>
      <c r="D3003" t="s">
        <v>15334</v>
      </c>
      <c r="E3003" t="s">
        <v>11426</v>
      </c>
      <c r="F3003" t="s">
        <v>844</v>
      </c>
      <c r="G3003" t="s">
        <v>164</v>
      </c>
      <c r="H3003" t="s">
        <v>165</v>
      </c>
      <c r="I3003" t="s">
        <v>34</v>
      </c>
      <c r="J3003" t="s">
        <v>166</v>
      </c>
      <c r="K3003" t="s">
        <v>41</v>
      </c>
      <c r="L3003" t="s">
        <v>15335</v>
      </c>
      <c r="M3003" t="s">
        <v>15336</v>
      </c>
      <c r="N3003" t="s">
        <v>11429</v>
      </c>
      <c r="O3003" t="s">
        <v>101</v>
      </c>
      <c r="P3003" t="s">
        <v>15337</v>
      </c>
      <c r="Q3003" t="s">
        <v>64</v>
      </c>
      <c r="R3003" t="s">
        <v>178</v>
      </c>
      <c r="S3003">
        <v>1.5</v>
      </c>
      <c r="T3003">
        <v>4067</v>
      </c>
      <c r="U3003">
        <v>0</v>
      </c>
      <c r="V3003">
        <v>4067</v>
      </c>
    </row>
    <row r="3004" spans="1:22" x14ac:dyDescent="0.3">
      <c r="A3004">
        <v>186607</v>
      </c>
      <c r="B3004">
        <v>135791603</v>
      </c>
      <c r="C3004" t="s">
        <v>15338</v>
      </c>
      <c r="D3004" t="s">
        <v>15339</v>
      </c>
      <c r="E3004" t="s">
        <v>11426</v>
      </c>
      <c r="F3004" t="s">
        <v>844</v>
      </c>
      <c r="G3004" t="s">
        <v>164</v>
      </c>
      <c r="H3004" t="s">
        <v>165</v>
      </c>
      <c r="I3004" t="s">
        <v>34</v>
      </c>
      <c r="J3004" t="s">
        <v>166</v>
      </c>
      <c r="K3004" t="s">
        <v>41</v>
      </c>
      <c r="L3004" t="s">
        <v>15340</v>
      </c>
      <c r="M3004" t="s">
        <v>15341</v>
      </c>
      <c r="N3004" t="s">
        <v>11429</v>
      </c>
      <c r="O3004" t="s">
        <v>101</v>
      </c>
      <c r="P3004" t="s">
        <v>15342</v>
      </c>
      <c r="Q3004" t="s">
        <v>85</v>
      </c>
      <c r="R3004" t="s">
        <v>508</v>
      </c>
      <c r="S3004">
        <v>3.18</v>
      </c>
      <c r="T3004">
        <v>3797</v>
      </c>
      <c r="U3004">
        <v>0</v>
      </c>
      <c r="V3004">
        <v>3797</v>
      </c>
    </row>
    <row r="3005" spans="1:22" x14ac:dyDescent="0.3">
      <c r="A3005">
        <v>186607</v>
      </c>
      <c r="B3005">
        <v>135848955</v>
      </c>
      <c r="C3005" t="s">
        <v>15343</v>
      </c>
      <c r="D3005" t="s">
        <v>15344</v>
      </c>
      <c r="E3005" t="s">
        <v>11426</v>
      </c>
      <c r="F3005" t="s">
        <v>844</v>
      </c>
      <c r="G3005" t="s">
        <v>164</v>
      </c>
      <c r="H3005" t="s">
        <v>165</v>
      </c>
      <c r="I3005" t="s">
        <v>34</v>
      </c>
      <c r="J3005" t="s">
        <v>166</v>
      </c>
      <c r="K3005" t="s">
        <v>41</v>
      </c>
      <c r="L3005" t="s">
        <v>15345</v>
      </c>
      <c r="M3005" t="s">
        <v>15346</v>
      </c>
      <c r="N3005" t="s">
        <v>11429</v>
      </c>
      <c r="O3005" t="s">
        <v>101</v>
      </c>
      <c r="P3005" t="s">
        <v>15347</v>
      </c>
      <c r="Q3005" t="s">
        <v>84</v>
      </c>
      <c r="R3005" t="s">
        <v>501</v>
      </c>
      <c r="S3005">
        <v>1</v>
      </c>
      <c r="T3005">
        <v>3366</v>
      </c>
      <c r="U3005">
        <v>0</v>
      </c>
      <c r="V3005">
        <v>3366</v>
      </c>
    </row>
    <row r="3006" spans="1:22" x14ac:dyDescent="0.3">
      <c r="A3006">
        <v>186607</v>
      </c>
      <c r="B3006">
        <v>135712010</v>
      </c>
      <c r="C3006" t="s">
        <v>15348</v>
      </c>
      <c r="D3006" t="s">
        <v>15349</v>
      </c>
      <c r="E3006" t="s">
        <v>11426</v>
      </c>
      <c r="F3006" t="s">
        <v>844</v>
      </c>
      <c r="G3006" t="s">
        <v>164</v>
      </c>
      <c r="H3006" t="s">
        <v>165</v>
      </c>
      <c r="I3006" t="s">
        <v>34</v>
      </c>
      <c r="J3006" t="s">
        <v>166</v>
      </c>
      <c r="K3006" t="s">
        <v>41</v>
      </c>
      <c r="L3006" t="s">
        <v>609</v>
      </c>
      <c r="M3006" t="s">
        <v>15350</v>
      </c>
      <c r="N3006" t="s">
        <v>11429</v>
      </c>
      <c r="O3006" t="s">
        <v>101</v>
      </c>
      <c r="P3006" t="s">
        <v>15351</v>
      </c>
      <c r="Q3006" t="s">
        <v>54</v>
      </c>
      <c r="R3006" t="s">
        <v>12992</v>
      </c>
      <c r="S3006">
        <v>4.12</v>
      </c>
      <c r="T3006">
        <v>8008</v>
      </c>
      <c r="U3006">
        <v>0</v>
      </c>
      <c r="V3006">
        <v>8008</v>
      </c>
    </row>
    <row r="3007" spans="1:22" x14ac:dyDescent="0.3">
      <c r="A3007">
        <v>186607</v>
      </c>
      <c r="B3007">
        <v>135848921</v>
      </c>
      <c r="C3007" t="s">
        <v>15352</v>
      </c>
      <c r="D3007" t="s">
        <v>15353</v>
      </c>
      <c r="E3007" t="s">
        <v>11426</v>
      </c>
      <c r="F3007" t="s">
        <v>844</v>
      </c>
      <c r="G3007" t="s">
        <v>164</v>
      </c>
      <c r="H3007" t="s">
        <v>165</v>
      </c>
      <c r="I3007" t="s">
        <v>34</v>
      </c>
      <c r="J3007" t="s">
        <v>166</v>
      </c>
      <c r="K3007" t="s">
        <v>41</v>
      </c>
      <c r="L3007" t="s">
        <v>15354</v>
      </c>
      <c r="M3007" t="s">
        <v>15355</v>
      </c>
      <c r="N3007" t="s">
        <v>11429</v>
      </c>
      <c r="O3007" t="s">
        <v>101</v>
      </c>
      <c r="P3007" t="s">
        <v>15356</v>
      </c>
      <c r="Q3007" t="s">
        <v>83</v>
      </c>
      <c r="R3007" t="s">
        <v>737</v>
      </c>
      <c r="S3007">
        <v>0.5</v>
      </c>
      <c r="T3007">
        <v>3299</v>
      </c>
      <c r="U3007">
        <v>0</v>
      </c>
      <c r="V3007">
        <v>3299</v>
      </c>
    </row>
    <row r="3008" spans="1:22" x14ac:dyDescent="0.3">
      <c r="A3008">
        <v>186607</v>
      </c>
      <c r="B3008">
        <v>135905450</v>
      </c>
      <c r="C3008" t="s">
        <v>15357</v>
      </c>
      <c r="D3008" t="s">
        <v>15358</v>
      </c>
      <c r="E3008" t="s">
        <v>11426</v>
      </c>
      <c r="F3008" t="s">
        <v>844</v>
      </c>
      <c r="G3008" t="s">
        <v>164</v>
      </c>
      <c r="H3008" t="s">
        <v>165</v>
      </c>
      <c r="I3008" t="s">
        <v>34</v>
      </c>
      <c r="J3008" t="s">
        <v>166</v>
      </c>
      <c r="K3008" t="s">
        <v>41</v>
      </c>
      <c r="L3008" t="s">
        <v>15359</v>
      </c>
      <c r="M3008" t="s">
        <v>15360</v>
      </c>
      <c r="N3008" t="s">
        <v>11429</v>
      </c>
      <c r="O3008" t="s">
        <v>101</v>
      </c>
      <c r="P3008" t="s">
        <v>15361</v>
      </c>
      <c r="Q3008" t="s">
        <v>190</v>
      </c>
      <c r="R3008" t="s">
        <v>498</v>
      </c>
      <c r="S3008">
        <v>1.5</v>
      </c>
      <c r="T3008">
        <v>3366</v>
      </c>
      <c r="U3008">
        <v>0</v>
      </c>
      <c r="V3008">
        <v>3366</v>
      </c>
    </row>
    <row r="3009" spans="1:22" x14ac:dyDescent="0.3">
      <c r="A3009">
        <v>186607</v>
      </c>
      <c r="B3009">
        <v>135983206</v>
      </c>
      <c r="C3009" t="s">
        <v>15362</v>
      </c>
      <c r="D3009" t="s">
        <v>15363</v>
      </c>
      <c r="E3009" t="s">
        <v>11426</v>
      </c>
      <c r="F3009" t="s">
        <v>844</v>
      </c>
      <c r="G3009" t="s">
        <v>164</v>
      </c>
      <c r="H3009" t="s">
        <v>165</v>
      </c>
      <c r="I3009" t="s">
        <v>34</v>
      </c>
      <c r="J3009" t="s">
        <v>166</v>
      </c>
      <c r="K3009" t="s">
        <v>41</v>
      </c>
      <c r="L3009" t="s">
        <v>15364</v>
      </c>
      <c r="M3009" t="s">
        <v>15365</v>
      </c>
      <c r="N3009" t="s">
        <v>11429</v>
      </c>
      <c r="O3009" t="s">
        <v>101</v>
      </c>
      <c r="P3009" t="s">
        <v>15366</v>
      </c>
      <c r="Q3009" t="s">
        <v>43</v>
      </c>
      <c r="R3009" t="s">
        <v>344</v>
      </c>
      <c r="S3009">
        <v>1.5</v>
      </c>
      <c r="T3009">
        <v>3753</v>
      </c>
      <c r="U3009">
        <v>0</v>
      </c>
      <c r="V3009">
        <v>3753</v>
      </c>
    </row>
    <row r="3010" spans="1:22" x14ac:dyDescent="0.3">
      <c r="A3010">
        <v>186607</v>
      </c>
      <c r="B3010">
        <v>135790579</v>
      </c>
      <c r="C3010" t="s">
        <v>15367</v>
      </c>
      <c r="D3010" t="s">
        <v>15368</v>
      </c>
      <c r="E3010" t="s">
        <v>11426</v>
      </c>
      <c r="F3010" t="s">
        <v>844</v>
      </c>
      <c r="G3010" t="s">
        <v>164</v>
      </c>
      <c r="H3010" t="s">
        <v>165</v>
      </c>
      <c r="I3010" t="s">
        <v>34</v>
      </c>
      <c r="J3010" t="s">
        <v>166</v>
      </c>
      <c r="K3010" t="s">
        <v>41</v>
      </c>
      <c r="L3010" t="s">
        <v>15369</v>
      </c>
      <c r="M3010" t="s">
        <v>15370</v>
      </c>
      <c r="N3010" t="s">
        <v>11429</v>
      </c>
      <c r="O3010" t="s">
        <v>101</v>
      </c>
      <c r="P3010" t="s">
        <v>15371</v>
      </c>
      <c r="Q3010" t="s">
        <v>55</v>
      </c>
      <c r="R3010" t="s">
        <v>770</v>
      </c>
      <c r="S3010">
        <v>5.96</v>
      </c>
      <c r="T3010">
        <v>7484</v>
      </c>
      <c r="U3010">
        <v>0</v>
      </c>
      <c r="V3010">
        <v>7484</v>
      </c>
    </row>
    <row r="3011" spans="1:22" x14ac:dyDescent="0.3">
      <c r="A3011">
        <v>186607</v>
      </c>
      <c r="B3011">
        <v>135790705</v>
      </c>
      <c r="C3011" t="s">
        <v>15372</v>
      </c>
      <c r="D3011" t="s">
        <v>15373</v>
      </c>
      <c r="E3011" t="s">
        <v>11426</v>
      </c>
      <c r="F3011" t="s">
        <v>844</v>
      </c>
      <c r="G3011" t="s">
        <v>164</v>
      </c>
      <c r="H3011" t="s">
        <v>165</v>
      </c>
      <c r="I3011" t="s">
        <v>34</v>
      </c>
      <c r="J3011" t="s">
        <v>166</v>
      </c>
      <c r="K3011" t="s">
        <v>41</v>
      </c>
      <c r="L3011" t="s">
        <v>15374</v>
      </c>
      <c r="M3011" t="s">
        <v>8908</v>
      </c>
      <c r="N3011" t="s">
        <v>11429</v>
      </c>
      <c r="O3011" t="s">
        <v>101</v>
      </c>
      <c r="P3011" t="s">
        <v>15375</v>
      </c>
      <c r="Q3011" t="s">
        <v>199</v>
      </c>
      <c r="R3011" t="s">
        <v>509</v>
      </c>
      <c r="S3011">
        <v>3.23</v>
      </c>
      <c r="T3011">
        <v>5111</v>
      </c>
      <c r="U3011">
        <v>0</v>
      </c>
      <c r="V3011">
        <v>5111</v>
      </c>
    </row>
    <row r="3012" spans="1:22" x14ac:dyDescent="0.3">
      <c r="A3012">
        <v>186607</v>
      </c>
      <c r="B3012">
        <v>135905382</v>
      </c>
      <c r="C3012" t="s">
        <v>15376</v>
      </c>
      <c r="D3012" t="s">
        <v>15377</v>
      </c>
      <c r="E3012" t="s">
        <v>11426</v>
      </c>
      <c r="F3012" t="s">
        <v>844</v>
      </c>
      <c r="G3012" t="s">
        <v>164</v>
      </c>
      <c r="H3012" t="s">
        <v>165</v>
      </c>
      <c r="I3012" t="s">
        <v>34</v>
      </c>
      <c r="J3012" t="s">
        <v>166</v>
      </c>
      <c r="K3012" t="s">
        <v>41</v>
      </c>
      <c r="L3012" t="s">
        <v>15378</v>
      </c>
      <c r="M3012" t="s">
        <v>15379</v>
      </c>
      <c r="N3012" t="s">
        <v>11429</v>
      </c>
      <c r="O3012" t="s">
        <v>101</v>
      </c>
      <c r="P3012" t="s">
        <v>15380</v>
      </c>
      <c r="Q3012" t="s">
        <v>60</v>
      </c>
      <c r="R3012" t="s">
        <v>498</v>
      </c>
      <c r="S3012">
        <v>1</v>
      </c>
      <c r="T3012">
        <v>4346</v>
      </c>
      <c r="U3012">
        <v>0</v>
      </c>
      <c r="V3012">
        <v>4346</v>
      </c>
    </row>
    <row r="3013" spans="1:22" x14ac:dyDescent="0.3">
      <c r="A3013">
        <v>186607</v>
      </c>
      <c r="B3013">
        <v>135905479</v>
      </c>
      <c r="C3013" t="s">
        <v>15381</v>
      </c>
      <c r="D3013" t="s">
        <v>15382</v>
      </c>
      <c r="E3013" t="s">
        <v>11426</v>
      </c>
      <c r="F3013" t="s">
        <v>844</v>
      </c>
      <c r="G3013" t="s">
        <v>164</v>
      </c>
      <c r="H3013" t="s">
        <v>165</v>
      </c>
      <c r="I3013" t="s">
        <v>34</v>
      </c>
      <c r="J3013" t="s">
        <v>166</v>
      </c>
      <c r="K3013" t="s">
        <v>41</v>
      </c>
      <c r="L3013" t="s">
        <v>15383</v>
      </c>
      <c r="M3013" t="s">
        <v>15384</v>
      </c>
      <c r="N3013" t="s">
        <v>11429</v>
      </c>
      <c r="O3013" t="s">
        <v>101</v>
      </c>
      <c r="P3013" t="s">
        <v>15385</v>
      </c>
      <c r="Q3013" t="s">
        <v>49</v>
      </c>
      <c r="R3013" t="s">
        <v>498</v>
      </c>
      <c r="S3013">
        <v>1</v>
      </c>
      <c r="T3013">
        <v>3784</v>
      </c>
      <c r="U3013">
        <v>0</v>
      </c>
      <c r="V3013">
        <v>3784</v>
      </c>
    </row>
    <row r="3014" spans="1:22" x14ac:dyDescent="0.3">
      <c r="A3014">
        <v>186607</v>
      </c>
      <c r="B3014">
        <v>135983292</v>
      </c>
      <c r="C3014" t="s">
        <v>15386</v>
      </c>
      <c r="D3014" t="s">
        <v>15387</v>
      </c>
      <c r="E3014" t="s">
        <v>11426</v>
      </c>
      <c r="F3014" t="s">
        <v>844</v>
      </c>
      <c r="G3014" t="s">
        <v>164</v>
      </c>
      <c r="H3014" t="s">
        <v>165</v>
      </c>
      <c r="I3014" t="s">
        <v>34</v>
      </c>
      <c r="J3014" t="s">
        <v>166</v>
      </c>
      <c r="K3014" t="s">
        <v>41</v>
      </c>
      <c r="L3014" t="s">
        <v>15388</v>
      </c>
      <c r="M3014" t="s">
        <v>15389</v>
      </c>
      <c r="N3014" t="s">
        <v>11429</v>
      </c>
      <c r="O3014" t="s">
        <v>101</v>
      </c>
      <c r="P3014" t="s">
        <v>15390</v>
      </c>
      <c r="Q3014" t="s">
        <v>68</v>
      </c>
      <c r="R3014" t="s">
        <v>178</v>
      </c>
      <c r="S3014">
        <v>1</v>
      </c>
      <c r="T3014">
        <v>3753</v>
      </c>
      <c r="U3014">
        <v>0</v>
      </c>
      <c r="V3014">
        <v>3753</v>
      </c>
    </row>
    <row r="3015" spans="1:22" x14ac:dyDescent="0.3">
      <c r="A3015">
        <v>186607</v>
      </c>
      <c r="B3015">
        <v>135790666</v>
      </c>
      <c r="C3015" t="s">
        <v>15391</v>
      </c>
      <c r="D3015" t="s">
        <v>15392</v>
      </c>
      <c r="E3015" t="s">
        <v>11426</v>
      </c>
      <c r="F3015" t="s">
        <v>844</v>
      </c>
      <c r="G3015" t="s">
        <v>164</v>
      </c>
      <c r="H3015" t="s">
        <v>165</v>
      </c>
      <c r="I3015" t="s">
        <v>34</v>
      </c>
      <c r="J3015" t="s">
        <v>166</v>
      </c>
      <c r="K3015" t="s">
        <v>41</v>
      </c>
      <c r="L3015" t="s">
        <v>15393</v>
      </c>
      <c r="M3015" t="s">
        <v>15394</v>
      </c>
      <c r="N3015" t="s">
        <v>11429</v>
      </c>
      <c r="O3015" t="s">
        <v>101</v>
      </c>
      <c r="P3015" t="s">
        <v>15395</v>
      </c>
      <c r="Q3015" t="s">
        <v>50</v>
      </c>
      <c r="R3015" t="s">
        <v>770</v>
      </c>
      <c r="S3015">
        <v>0.8</v>
      </c>
      <c r="T3015">
        <v>3784</v>
      </c>
      <c r="U3015">
        <v>0</v>
      </c>
      <c r="V3015">
        <v>3784</v>
      </c>
    </row>
    <row r="3016" spans="1:22" x14ac:dyDescent="0.3">
      <c r="A3016">
        <v>186607</v>
      </c>
      <c r="B3016">
        <v>135983184</v>
      </c>
      <c r="C3016" t="s">
        <v>15396</v>
      </c>
      <c r="D3016" t="s">
        <v>15397</v>
      </c>
      <c r="E3016" t="s">
        <v>11426</v>
      </c>
      <c r="F3016" t="s">
        <v>844</v>
      </c>
      <c r="G3016" t="s">
        <v>164</v>
      </c>
      <c r="H3016" t="s">
        <v>165</v>
      </c>
      <c r="I3016" t="s">
        <v>34</v>
      </c>
      <c r="J3016" t="s">
        <v>166</v>
      </c>
      <c r="K3016" t="s">
        <v>41</v>
      </c>
      <c r="L3016" t="s">
        <v>15398</v>
      </c>
      <c r="M3016" t="s">
        <v>15399</v>
      </c>
      <c r="N3016" t="s">
        <v>11429</v>
      </c>
      <c r="O3016" t="s">
        <v>101</v>
      </c>
      <c r="P3016" t="s">
        <v>15400</v>
      </c>
      <c r="Q3016" t="s">
        <v>59</v>
      </c>
      <c r="R3016" t="s">
        <v>344</v>
      </c>
      <c r="S3016">
        <v>0.5</v>
      </c>
      <c r="T3016">
        <v>3680</v>
      </c>
      <c r="U3016">
        <v>0</v>
      </c>
      <c r="V3016">
        <v>3680</v>
      </c>
    </row>
    <row r="3017" spans="1:22" x14ac:dyDescent="0.3">
      <c r="A3017">
        <v>186607</v>
      </c>
      <c r="B3017">
        <v>135983171</v>
      </c>
      <c r="C3017" t="s">
        <v>15401</v>
      </c>
      <c r="D3017" t="s">
        <v>15402</v>
      </c>
      <c r="E3017" t="s">
        <v>11426</v>
      </c>
      <c r="F3017" t="s">
        <v>844</v>
      </c>
      <c r="G3017" t="s">
        <v>164</v>
      </c>
      <c r="H3017" t="s">
        <v>165</v>
      </c>
      <c r="I3017" t="s">
        <v>34</v>
      </c>
      <c r="J3017" t="s">
        <v>166</v>
      </c>
      <c r="K3017" t="s">
        <v>41</v>
      </c>
      <c r="L3017" t="s">
        <v>15403</v>
      </c>
      <c r="M3017" t="s">
        <v>15404</v>
      </c>
      <c r="N3017" t="s">
        <v>11429</v>
      </c>
      <c r="O3017" t="s">
        <v>101</v>
      </c>
      <c r="P3017" t="s">
        <v>15405</v>
      </c>
      <c r="Q3017" t="s">
        <v>190</v>
      </c>
      <c r="R3017" t="s">
        <v>344</v>
      </c>
      <c r="S3017">
        <v>1</v>
      </c>
      <c r="T3017">
        <v>3366</v>
      </c>
      <c r="U3017">
        <v>0</v>
      </c>
      <c r="V3017">
        <v>3366</v>
      </c>
    </row>
    <row r="3018" spans="1:22" x14ac:dyDescent="0.3">
      <c r="A3018">
        <v>186607</v>
      </c>
      <c r="B3018">
        <v>135983255</v>
      </c>
      <c r="C3018" t="s">
        <v>15406</v>
      </c>
      <c r="D3018" t="s">
        <v>15407</v>
      </c>
      <c r="E3018" t="s">
        <v>11426</v>
      </c>
      <c r="F3018" t="s">
        <v>844</v>
      </c>
      <c r="G3018" t="s">
        <v>164</v>
      </c>
      <c r="H3018" t="s">
        <v>165</v>
      </c>
      <c r="I3018" t="s">
        <v>34</v>
      </c>
      <c r="J3018" t="s">
        <v>166</v>
      </c>
      <c r="K3018" t="s">
        <v>41</v>
      </c>
      <c r="L3018" t="s">
        <v>15408</v>
      </c>
      <c r="M3018" t="s">
        <v>15409</v>
      </c>
      <c r="N3018" t="s">
        <v>11429</v>
      </c>
      <c r="O3018" t="s">
        <v>101</v>
      </c>
      <c r="P3018" t="s">
        <v>15410</v>
      </c>
      <c r="Q3018" t="s">
        <v>84</v>
      </c>
      <c r="R3018" t="s">
        <v>344</v>
      </c>
      <c r="S3018">
        <v>0.5</v>
      </c>
      <c r="T3018">
        <v>3299</v>
      </c>
      <c r="U3018">
        <v>0</v>
      </c>
      <c r="V3018">
        <v>3299</v>
      </c>
    </row>
    <row r="3019" spans="1:22" x14ac:dyDescent="0.3">
      <c r="A3019">
        <v>186607</v>
      </c>
      <c r="B3019">
        <v>135985188</v>
      </c>
      <c r="C3019" t="s">
        <v>15411</v>
      </c>
      <c r="D3019" t="s">
        <v>15412</v>
      </c>
      <c r="E3019" t="s">
        <v>11426</v>
      </c>
      <c r="F3019" t="s">
        <v>844</v>
      </c>
      <c r="G3019" t="s">
        <v>164</v>
      </c>
      <c r="H3019" t="s">
        <v>165</v>
      </c>
      <c r="I3019" t="s">
        <v>34</v>
      </c>
      <c r="J3019" t="s">
        <v>166</v>
      </c>
      <c r="K3019" t="s">
        <v>41</v>
      </c>
      <c r="L3019" t="s">
        <v>14679</v>
      </c>
      <c r="M3019" t="s">
        <v>14680</v>
      </c>
      <c r="N3019" t="s">
        <v>11429</v>
      </c>
      <c r="O3019" t="s">
        <v>101</v>
      </c>
      <c r="P3019" t="s">
        <v>14681</v>
      </c>
      <c r="Q3019" t="s">
        <v>71</v>
      </c>
      <c r="R3019" t="s">
        <v>493</v>
      </c>
      <c r="S3019">
        <v>1</v>
      </c>
      <c r="T3019">
        <v>3501</v>
      </c>
      <c r="U3019">
        <v>0</v>
      </c>
      <c r="V3019">
        <v>3501</v>
      </c>
    </row>
    <row r="3020" spans="1:22" x14ac:dyDescent="0.3">
      <c r="A3020">
        <v>186607</v>
      </c>
      <c r="B3020">
        <v>135905389</v>
      </c>
      <c r="C3020" t="s">
        <v>15413</v>
      </c>
      <c r="D3020" t="s">
        <v>15414</v>
      </c>
      <c r="E3020" t="s">
        <v>11426</v>
      </c>
      <c r="F3020" t="s">
        <v>844</v>
      </c>
      <c r="G3020" t="s">
        <v>164</v>
      </c>
      <c r="H3020" t="s">
        <v>165</v>
      </c>
      <c r="I3020" t="s">
        <v>34</v>
      </c>
      <c r="J3020" t="s">
        <v>166</v>
      </c>
      <c r="K3020" t="s">
        <v>41</v>
      </c>
      <c r="L3020" t="s">
        <v>15415</v>
      </c>
      <c r="M3020" t="s">
        <v>15416</v>
      </c>
      <c r="N3020" t="s">
        <v>11429</v>
      </c>
      <c r="O3020" t="s">
        <v>101</v>
      </c>
      <c r="P3020" t="s">
        <v>15417</v>
      </c>
      <c r="Q3020" t="s">
        <v>194</v>
      </c>
      <c r="R3020" t="s">
        <v>498</v>
      </c>
      <c r="S3020">
        <v>1</v>
      </c>
      <c r="T3020">
        <v>3753</v>
      </c>
      <c r="U3020">
        <v>0</v>
      </c>
      <c r="V3020">
        <v>3753</v>
      </c>
    </row>
    <row r="3021" spans="1:22" x14ac:dyDescent="0.3">
      <c r="A3021">
        <v>186607</v>
      </c>
      <c r="B3021">
        <v>135905495</v>
      </c>
      <c r="C3021" t="s">
        <v>15418</v>
      </c>
      <c r="D3021" t="s">
        <v>15419</v>
      </c>
      <c r="E3021" t="s">
        <v>11426</v>
      </c>
      <c r="F3021" t="s">
        <v>844</v>
      </c>
      <c r="G3021" t="s">
        <v>164</v>
      </c>
      <c r="H3021" t="s">
        <v>165</v>
      </c>
      <c r="I3021" t="s">
        <v>34</v>
      </c>
      <c r="J3021" t="s">
        <v>166</v>
      </c>
      <c r="K3021" t="s">
        <v>41</v>
      </c>
      <c r="L3021" t="s">
        <v>12148</v>
      </c>
      <c r="M3021" t="s">
        <v>15420</v>
      </c>
      <c r="N3021" t="s">
        <v>11429</v>
      </c>
      <c r="O3021" t="s">
        <v>101</v>
      </c>
      <c r="P3021" t="s">
        <v>15421</v>
      </c>
      <c r="Q3021" t="s">
        <v>60</v>
      </c>
      <c r="R3021" t="s">
        <v>498</v>
      </c>
      <c r="S3021">
        <v>1</v>
      </c>
      <c r="T3021">
        <v>4346</v>
      </c>
      <c r="U3021">
        <v>0</v>
      </c>
      <c r="V3021">
        <v>4346</v>
      </c>
    </row>
    <row r="3022" spans="1:22" x14ac:dyDescent="0.3">
      <c r="A3022">
        <v>186607</v>
      </c>
      <c r="B3022">
        <v>135848869</v>
      </c>
      <c r="C3022" t="s">
        <v>15422</v>
      </c>
      <c r="D3022" t="s">
        <v>15423</v>
      </c>
      <c r="E3022" t="s">
        <v>11426</v>
      </c>
      <c r="F3022" t="s">
        <v>844</v>
      </c>
      <c r="G3022" t="s">
        <v>164</v>
      </c>
      <c r="H3022" t="s">
        <v>165</v>
      </c>
      <c r="I3022" t="s">
        <v>34</v>
      </c>
      <c r="J3022" t="s">
        <v>166</v>
      </c>
      <c r="K3022" t="s">
        <v>41</v>
      </c>
      <c r="L3022" t="s">
        <v>360</v>
      </c>
      <c r="M3022" t="s">
        <v>15424</v>
      </c>
      <c r="N3022" t="s">
        <v>11429</v>
      </c>
      <c r="O3022" t="s">
        <v>101</v>
      </c>
      <c r="P3022" t="s">
        <v>15425</v>
      </c>
      <c r="Q3022" t="s">
        <v>54</v>
      </c>
      <c r="R3022" t="s">
        <v>737</v>
      </c>
      <c r="S3022">
        <v>3.32</v>
      </c>
      <c r="T3022">
        <v>8008</v>
      </c>
      <c r="U3022">
        <v>0</v>
      </c>
      <c r="V3022">
        <v>8008</v>
      </c>
    </row>
    <row r="3023" spans="1:22" x14ac:dyDescent="0.3">
      <c r="A3023">
        <v>186607</v>
      </c>
      <c r="B3023">
        <v>135848909</v>
      </c>
      <c r="C3023" t="s">
        <v>15426</v>
      </c>
      <c r="D3023" t="s">
        <v>15427</v>
      </c>
      <c r="E3023" t="s">
        <v>11426</v>
      </c>
      <c r="F3023" t="s">
        <v>844</v>
      </c>
      <c r="G3023" t="s">
        <v>164</v>
      </c>
      <c r="H3023" t="s">
        <v>165</v>
      </c>
      <c r="I3023" t="s">
        <v>34</v>
      </c>
      <c r="J3023" t="s">
        <v>166</v>
      </c>
      <c r="K3023" t="s">
        <v>41</v>
      </c>
      <c r="L3023" t="s">
        <v>15428</v>
      </c>
      <c r="M3023" t="s">
        <v>11489</v>
      </c>
      <c r="N3023" t="s">
        <v>11429</v>
      </c>
      <c r="O3023" t="s">
        <v>101</v>
      </c>
      <c r="P3023" t="s">
        <v>15429</v>
      </c>
      <c r="Q3023" t="s">
        <v>58</v>
      </c>
      <c r="R3023" t="s">
        <v>737</v>
      </c>
      <c r="S3023">
        <v>4.13</v>
      </c>
      <c r="T3023">
        <v>8538</v>
      </c>
      <c r="U3023">
        <v>0</v>
      </c>
      <c r="V3023">
        <v>8538</v>
      </c>
    </row>
    <row r="3024" spans="1:22" x14ac:dyDescent="0.3">
      <c r="A3024">
        <v>186607</v>
      </c>
      <c r="B3024">
        <v>135983228</v>
      </c>
      <c r="C3024" t="s">
        <v>15430</v>
      </c>
      <c r="D3024" t="s">
        <v>15431</v>
      </c>
      <c r="E3024" t="s">
        <v>11426</v>
      </c>
      <c r="F3024" t="s">
        <v>844</v>
      </c>
      <c r="G3024" t="s">
        <v>164</v>
      </c>
      <c r="H3024" t="s">
        <v>165</v>
      </c>
      <c r="I3024" t="s">
        <v>34</v>
      </c>
      <c r="J3024" t="s">
        <v>166</v>
      </c>
      <c r="K3024" t="s">
        <v>41</v>
      </c>
      <c r="L3024" t="s">
        <v>15432</v>
      </c>
      <c r="M3024" t="s">
        <v>15433</v>
      </c>
      <c r="N3024" t="s">
        <v>11429</v>
      </c>
      <c r="O3024" t="s">
        <v>101</v>
      </c>
      <c r="P3024" t="s">
        <v>15434</v>
      </c>
      <c r="Q3024" t="s">
        <v>68</v>
      </c>
      <c r="R3024" t="s">
        <v>344</v>
      </c>
      <c r="S3024">
        <v>1</v>
      </c>
      <c r="T3024">
        <v>3753</v>
      </c>
      <c r="U3024">
        <v>0</v>
      </c>
      <c r="V3024">
        <v>3753</v>
      </c>
    </row>
    <row r="3025" spans="1:22" x14ac:dyDescent="0.3">
      <c r="A3025">
        <v>186607</v>
      </c>
      <c r="B3025">
        <v>135983315</v>
      </c>
      <c r="C3025" t="s">
        <v>15435</v>
      </c>
      <c r="D3025" t="s">
        <v>15436</v>
      </c>
      <c r="E3025" t="s">
        <v>11426</v>
      </c>
      <c r="F3025" t="s">
        <v>844</v>
      </c>
      <c r="G3025" t="s">
        <v>164</v>
      </c>
      <c r="H3025" t="s">
        <v>165</v>
      </c>
      <c r="I3025" t="s">
        <v>34</v>
      </c>
      <c r="J3025" t="s">
        <v>166</v>
      </c>
      <c r="K3025" t="s">
        <v>41</v>
      </c>
      <c r="L3025" t="s">
        <v>15437</v>
      </c>
      <c r="M3025" t="s">
        <v>15438</v>
      </c>
      <c r="N3025" t="s">
        <v>11429</v>
      </c>
      <c r="O3025" t="s">
        <v>101</v>
      </c>
      <c r="P3025" t="s">
        <v>15439</v>
      </c>
      <c r="Q3025" t="s">
        <v>91</v>
      </c>
      <c r="R3025" t="s">
        <v>178</v>
      </c>
      <c r="S3025">
        <v>0.5</v>
      </c>
      <c r="T3025">
        <v>3794</v>
      </c>
      <c r="U3025">
        <v>0</v>
      </c>
      <c r="V3025">
        <v>3794</v>
      </c>
    </row>
    <row r="3026" spans="1:22" x14ac:dyDescent="0.3">
      <c r="A3026">
        <v>186607</v>
      </c>
      <c r="B3026">
        <v>135790700</v>
      </c>
      <c r="C3026" t="s">
        <v>15440</v>
      </c>
      <c r="D3026" t="s">
        <v>15441</v>
      </c>
      <c r="E3026" t="s">
        <v>11426</v>
      </c>
      <c r="F3026" t="s">
        <v>844</v>
      </c>
      <c r="G3026" t="s">
        <v>164</v>
      </c>
      <c r="H3026" t="s">
        <v>165</v>
      </c>
      <c r="I3026" t="s">
        <v>34</v>
      </c>
      <c r="J3026" t="s">
        <v>166</v>
      </c>
      <c r="K3026" t="s">
        <v>41</v>
      </c>
      <c r="L3026" t="s">
        <v>15442</v>
      </c>
      <c r="M3026" t="s">
        <v>15443</v>
      </c>
      <c r="N3026" t="s">
        <v>11429</v>
      </c>
      <c r="O3026" t="s">
        <v>101</v>
      </c>
      <c r="P3026" t="s">
        <v>15444</v>
      </c>
      <c r="Q3026" t="s">
        <v>234</v>
      </c>
      <c r="R3026" t="s">
        <v>770</v>
      </c>
      <c r="S3026">
        <v>0.5</v>
      </c>
      <c r="T3026">
        <v>3299</v>
      </c>
      <c r="U3026">
        <v>0</v>
      </c>
      <c r="V3026">
        <v>3299</v>
      </c>
    </row>
    <row r="3027" spans="1:22" x14ac:dyDescent="0.3">
      <c r="A3027">
        <v>186607</v>
      </c>
      <c r="B3027">
        <v>135711990</v>
      </c>
      <c r="C3027" t="s">
        <v>15445</v>
      </c>
      <c r="D3027" t="s">
        <v>15446</v>
      </c>
      <c r="E3027" t="s">
        <v>11426</v>
      </c>
      <c r="F3027" t="s">
        <v>844</v>
      </c>
      <c r="G3027" t="s">
        <v>164</v>
      </c>
      <c r="H3027" t="s">
        <v>165</v>
      </c>
      <c r="I3027" t="s">
        <v>34</v>
      </c>
      <c r="J3027" t="s">
        <v>166</v>
      </c>
      <c r="K3027" t="s">
        <v>41</v>
      </c>
      <c r="L3027" t="s">
        <v>15447</v>
      </c>
      <c r="M3027" t="s">
        <v>15448</v>
      </c>
      <c r="N3027" t="s">
        <v>11429</v>
      </c>
      <c r="O3027" t="s">
        <v>101</v>
      </c>
      <c r="P3027" t="s">
        <v>15449</v>
      </c>
      <c r="Q3027" t="s">
        <v>76</v>
      </c>
      <c r="R3027" t="s">
        <v>12992</v>
      </c>
      <c r="S3027">
        <v>2.71</v>
      </c>
      <c r="T3027">
        <v>3753</v>
      </c>
      <c r="U3027">
        <v>0</v>
      </c>
      <c r="V3027">
        <v>3753</v>
      </c>
    </row>
    <row r="3028" spans="1:22" x14ac:dyDescent="0.3">
      <c r="A3028">
        <v>186607</v>
      </c>
      <c r="B3028">
        <v>135848913</v>
      </c>
      <c r="C3028" t="s">
        <v>15450</v>
      </c>
      <c r="D3028" t="s">
        <v>15451</v>
      </c>
      <c r="E3028" t="s">
        <v>11426</v>
      </c>
      <c r="F3028" t="s">
        <v>844</v>
      </c>
      <c r="G3028" t="s">
        <v>164</v>
      </c>
      <c r="H3028" t="s">
        <v>165</v>
      </c>
      <c r="I3028" t="s">
        <v>34</v>
      </c>
      <c r="J3028" t="s">
        <v>166</v>
      </c>
      <c r="K3028" t="s">
        <v>41</v>
      </c>
      <c r="L3028" t="s">
        <v>15452</v>
      </c>
      <c r="M3028" t="s">
        <v>15453</v>
      </c>
      <c r="N3028" t="s">
        <v>11429</v>
      </c>
      <c r="O3028" t="s">
        <v>101</v>
      </c>
      <c r="P3028" t="s">
        <v>15454</v>
      </c>
      <c r="Q3028" t="s">
        <v>84</v>
      </c>
      <c r="R3028" t="s">
        <v>737</v>
      </c>
      <c r="S3028">
        <v>0.5</v>
      </c>
      <c r="T3028">
        <v>3299</v>
      </c>
      <c r="U3028">
        <v>0</v>
      </c>
      <c r="V3028">
        <v>3299</v>
      </c>
    </row>
    <row r="3029" spans="1:22" x14ac:dyDescent="0.3">
      <c r="A3029">
        <v>186607</v>
      </c>
      <c r="B3029">
        <v>135983353</v>
      </c>
      <c r="C3029" t="s">
        <v>15455</v>
      </c>
      <c r="D3029" t="s">
        <v>15456</v>
      </c>
      <c r="E3029" t="s">
        <v>11426</v>
      </c>
      <c r="F3029" t="s">
        <v>844</v>
      </c>
      <c r="G3029" t="s">
        <v>164</v>
      </c>
      <c r="H3029" t="s">
        <v>165</v>
      </c>
      <c r="I3029" t="s">
        <v>34</v>
      </c>
      <c r="J3029" t="s">
        <v>166</v>
      </c>
      <c r="K3029" t="s">
        <v>41</v>
      </c>
      <c r="L3029" t="s">
        <v>15457</v>
      </c>
      <c r="M3029" t="s">
        <v>15458</v>
      </c>
      <c r="N3029" t="s">
        <v>11429</v>
      </c>
      <c r="O3029" t="s">
        <v>101</v>
      </c>
      <c r="P3029" t="s">
        <v>15459</v>
      </c>
      <c r="Q3029" t="s">
        <v>69</v>
      </c>
      <c r="R3029" t="s">
        <v>178</v>
      </c>
      <c r="S3029">
        <v>1</v>
      </c>
      <c r="T3029">
        <v>3753</v>
      </c>
      <c r="U3029">
        <v>0</v>
      </c>
      <c r="V3029">
        <v>3753</v>
      </c>
    </row>
    <row r="3030" spans="1:22" x14ac:dyDescent="0.3">
      <c r="A3030">
        <v>186607</v>
      </c>
      <c r="B3030">
        <v>135983217</v>
      </c>
      <c r="C3030" t="s">
        <v>15460</v>
      </c>
      <c r="D3030" t="s">
        <v>15461</v>
      </c>
      <c r="E3030" t="s">
        <v>11426</v>
      </c>
      <c r="F3030" t="s">
        <v>844</v>
      </c>
      <c r="G3030" t="s">
        <v>164</v>
      </c>
      <c r="H3030" t="s">
        <v>165</v>
      </c>
      <c r="I3030" t="s">
        <v>34</v>
      </c>
      <c r="J3030" t="s">
        <v>166</v>
      </c>
      <c r="K3030" t="s">
        <v>41</v>
      </c>
      <c r="L3030" t="s">
        <v>15462</v>
      </c>
      <c r="M3030" t="s">
        <v>15463</v>
      </c>
      <c r="N3030" t="s">
        <v>11429</v>
      </c>
      <c r="O3030" t="s">
        <v>101</v>
      </c>
      <c r="P3030" t="s">
        <v>15464</v>
      </c>
      <c r="Q3030" t="s">
        <v>84</v>
      </c>
      <c r="R3030" t="s">
        <v>344</v>
      </c>
      <c r="S3030">
        <v>1</v>
      </c>
      <c r="T3030">
        <v>3366</v>
      </c>
      <c r="U3030">
        <v>0</v>
      </c>
      <c r="V3030">
        <v>3366</v>
      </c>
    </row>
    <row r="3031" spans="1:22" x14ac:dyDescent="0.3">
      <c r="A3031">
        <v>186607</v>
      </c>
      <c r="B3031">
        <v>135848988</v>
      </c>
      <c r="C3031" t="s">
        <v>15465</v>
      </c>
      <c r="D3031" t="s">
        <v>15466</v>
      </c>
      <c r="E3031" t="s">
        <v>11426</v>
      </c>
      <c r="F3031" t="s">
        <v>844</v>
      </c>
      <c r="G3031" t="s">
        <v>164</v>
      </c>
      <c r="H3031" t="s">
        <v>165</v>
      </c>
      <c r="I3031" t="s">
        <v>34</v>
      </c>
      <c r="J3031" t="s">
        <v>166</v>
      </c>
      <c r="K3031" t="s">
        <v>41</v>
      </c>
      <c r="L3031" t="s">
        <v>15467</v>
      </c>
      <c r="M3031" t="s">
        <v>15468</v>
      </c>
      <c r="N3031" t="s">
        <v>11429</v>
      </c>
      <c r="O3031" t="s">
        <v>101</v>
      </c>
      <c r="P3031" t="s">
        <v>15469</v>
      </c>
      <c r="Q3031" t="s">
        <v>71</v>
      </c>
      <c r="R3031" t="s">
        <v>501</v>
      </c>
      <c r="S3031">
        <v>0.5</v>
      </c>
      <c r="T3031">
        <v>3449</v>
      </c>
      <c r="U3031">
        <v>0</v>
      </c>
      <c r="V3031">
        <v>3449</v>
      </c>
    </row>
    <row r="3032" spans="1:22" x14ac:dyDescent="0.3">
      <c r="A3032">
        <v>186607</v>
      </c>
      <c r="B3032">
        <v>135905445</v>
      </c>
      <c r="C3032" t="s">
        <v>15470</v>
      </c>
      <c r="D3032" t="s">
        <v>15471</v>
      </c>
      <c r="E3032" t="s">
        <v>11426</v>
      </c>
      <c r="F3032" t="s">
        <v>844</v>
      </c>
      <c r="G3032" t="s">
        <v>164</v>
      </c>
      <c r="H3032" t="s">
        <v>165</v>
      </c>
      <c r="I3032" t="s">
        <v>34</v>
      </c>
      <c r="J3032" t="s">
        <v>166</v>
      </c>
      <c r="K3032" t="s">
        <v>41</v>
      </c>
      <c r="L3032" t="s">
        <v>15472</v>
      </c>
      <c r="M3032" t="s">
        <v>15473</v>
      </c>
      <c r="N3032" t="s">
        <v>11429</v>
      </c>
      <c r="O3032" t="s">
        <v>101</v>
      </c>
      <c r="P3032" t="s">
        <v>15474</v>
      </c>
      <c r="Q3032" t="s">
        <v>59</v>
      </c>
      <c r="R3032" t="s">
        <v>498</v>
      </c>
      <c r="S3032">
        <v>0.5</v>
      </c>
      <c r="T3032">
        <v>3680</v>
      </c>
      <c r="U3032">
        <v>0</v>
      </c>
      <c r="V3032">
        <v>3680</v>
      </c>
    </row>
    <row r="3033" spans="1:22" x14ac:dyDescent="0.3">
      <c r="A3033">
        <v>186607</v>
      </c>
      <c r="B3033">
        <v>135983087</v>
      </c>
      <c r="C3033" t="s">
        <v>15475</v>
      </c>
      <c r="D3033" t="s">
        <v>15476</v>
      </c>
      <c r="E3033" t="s">
        <v>11426</v>
      </c>
      <c r="F3033" t="s">
        <v>844</v>
      </c>
      <c r="G3033" t="s">
        <v>164</v>
      </c>
      <c r="H3033" t="s">
        <v>165</v>
      </c>
      <c r="I3033" t="s">
        <v>34</v>
      </c>
      <c r="J3033" t="s">
        <v>166</v>
      </c>
      <c r="K3033" t="s">
        <v>41</v>
      </c>
      <c r="L3033" t="s">
        <v>15477</v>
      </c>
      <c r="M3033" t="s">
        <v>15478</v>
      </c>
      <c r="N3033" t="s">
        <v>11429</v>
      </c>
      <c r="O3033" t="s">
        <v>101</v>
      </c>
      <c r="P3033" t="s">
        <v>15479</v>
      </c>
      <c r="Q3033" t="s">
        <v>63</v>
      </c>
      <c r="R3033" t="s">
        <v>15480</v>
      </c>
      <c r="S3033">
        <v>1.5</v>
      </c>
      <c r="T3033">
        <v>4067</v>
      </c>
      <c r="U3033">
        <v>0</v>
      </c>
      <c r="V3033">
        <v>4067</v>
      </c>
    </row>
    <row r="3034" spans="1:22" x14ac:dyDescent="0.3">
      <c r="A3034">
        <v>186607</v>
      </c>
      <c r="B3034">
        <v>135711889</v>
      </c>
      <c r="C3034" t="s">
        <v>15481</v>
      </c>
      <c r="D3034" t="s">
        <v>15482</v>
      </c>
      <c r="E3034" t="s">
        <v>11426</v>
      </c>
      <c r="F3034" t="s">
        <v>844</v>
      </c>
      <c r="G3034" t="s">
        <v>164</v>
      </c>
      <c r="H3034" t="s">
        <v>165</v>
      </c>
      <c r="I3034" t="s">
        <v>34</v>
      </c>
      <c r="J3034" t="s">
        <v>166</v>
      </c>
      <c r="K3034" t="s">
        <v>41</v>
      </c>
      <c r="L3034" t="s">
        <v>15483</v>
      </c>
      <c r="M3034" t="s">
        <v>765</v>
      </c>
      <c r="N3034" t="s">
        <v>11429</v>
      </c>
      <c r="O3034" t="s">
        <v>101</v>
      </c>
      <c r="P3034" t="s">
        <v>15484</v>
      </c>
      <c r="Q3034" t="s">
        <v>58</v>
      </c>
      <c r="R3034" t="s">
        <v>655</v>
      </c>
      <c r="S3034">
        <v>2.73</v>
      </c>
      <c r="T3034">
        <v>5759</v>
      </c>
      <c r="U3034">
        <v>0</v>
      </c>
      <c r="V3034">
        <v>5759</v>
      </c>
    </row>
    <row r="3035" spans="1:22" x14ac:dyDescent="0.3">
      <c r="A3035">
        <v>186607</v>
      </c>
      <c r="B3035">
        <v>135790731</v>
      </c>
      <c r="C3035" t="s">
        <v>15485</v>
      </c>
      <c r="D3035" t="s">
        <v>15486</v>
      </c>
      <c r="E3035" t="s">
        <v>11426</v>
      </c>
      <c r="F3035" t="s">
        <v>844</v>
      </c>
      <c r="G3035" t="s">
        <v>164</v>
      </c>
      <c r="H3035" t="s">
        <v>165</v>
      </c>
      <c r="I3035" t="s">
        <v>34</v>
      </c>
      <c r="J3035" t="s">
        <v>166</v>
      </c>
      <c r="K3035" t="s">
        <v>41</v>
      </c>
      <c r="L3035" t="s">
        <v>15487</v>
      </c>
      <c r="M3035" t="s">
        <v>15488</v>
      </c>
      <c r="N3035" t="s">
        <v>11429</v>
      </c>
      <c r="O3035" t="s">
        <v>101</v>
      </c>
      <c r="P3035" t="s">
        <v>15489</v>
      </c>
      <c r="Q3035" t="s">
        <v>57</v>
      </c>
      <c r="R3035" t="s">
        <v>509</v>
      </c>
      <c r="S3035">
        <v>42.7</v>
      </c>
      <c r="T3035">
        <v>68481</v>
      </c>
      <c r="U3035">
        <v>0</v>
      </c>
      <c r="V3035">
        <v>68481</v>
      </c>
    </row>
    <row r="3036" spans="1:22" x14ac:dyDescent="0.3">
      <c r="A3036">
        <v>186607</v>
      </c>
      <c r="B3036">
        <v>135983201</v>
      </c>
      <c r="C3036" t="s">
        <v>15490</v>
      </c>
      <c r="D3036" t="s">
        <v>15491</v>
      </c>
      <c r="E3036" t="s">
        <v>11426</v>
      </c>
      <c r="F3036" t="s">
        <v>844</v>
      </c>
      <c r="G3036" t="s">
        <v>164</v>
      </c>
      <c r="H3036" t="s">
        <v>165</v>
      </c>
      <c r="I3036" t="s">
        <v>34</v>
      </c>
      <c r="J3036" t="s">
        <v>166</v>
      </c>
      <c r="K3036" t="s">
        <v>41</v>
      </c>
      <c r="L3036" t="s">
        <v>15492</v>
      </c>
      <c r="M3036" t="s">
        <v>15493</v>
      </c>
      <c r="N3036" t="s">
        <v>11429</v>
      </c>
      <c r="O3036" t="s">
        <v>101</v>
      </c>
      <c r="P3036" t="s">
        <v>15494</v>
      </c>
      <c r="Q3036" t="s">
        <v>84</v>
      </c>
      <c r="R3036" t="s">
        <v>344</v>
      </c>
      <c r="S3036">
        <v>1.5</v>
      </c>
      <c r="T3036">
        <v>3366</v>
      </c>
      <c r="U3036">
        <v>0</v>
      </c>
      <c r="V3036">
        <v>3366</v>
      </c>
    </row>
    <row r="3037" spans="1:22" x14ac:dyDescent="0.3">
      <c r="A3037">
        <v>186607</v>
      </c>
      <c r="B3037">
        <v>135905416</v>
      </c>
      <c r="C3037" t="s">
        <v>15495</v>
      </c>
      <c r="D3037" t="s">
        <v>15496</v>
      </c>
      <c r="E3037" t="s">
        <v>11426</v>
      </c>
      <c r="F3037" t="s">
        <v>844</v>
      </c>
      <c r="G3037" t="s">
        <v>164</v>
      </c>
      <c r="H3037" t="s">
        <v>165</v>
      </c>
      <c r="I3037" t="s">
        <v>34</v>
      </c>
      <c r="J3037" t="s">
        <v>166</v>
      </c>
      <c r="K3037" t="s">
        <v>41</v>
      </c>
      <c r="L3037" t="s">
        <v>15497</v>
      </c>
      <c r="M3037" t="s">
        <v>15498</v>
      </c>
      <c r="N3037" t="s">
        <v>11429</v>
      </c>
      <c r="O3037" t="s">
        <v>101</v>
      </c>
      <c r="P3037" t="s">
        <v>15499</v>
      </c>
      <c r="Q3037" t="s">
        <v>78</v>
      </c>
      <c r="R3037" t="s">
        <v>498</v>
      </c>
      <c r="S3037">
        <v>1</v>
      </c>
      <c r="T3037">
        <v>3784</v>
      </c>
      <c r="U3037">
        <v>0</v>
      </c>
      <c r="V3037">
        <v>3784</v>
      </c>
    </row>
    <row r="3038" spans="1:22" x14ac:dyDescent="0.3">
      <c r="A3038">
        <v>186607</v>
      </c>
      <c r="B3038">
        <v>135983081</v>
      </c>
      <c r="C3038" t="s">
        <v>15500</v>
      </c>
      <c r="D3038" t="s">
        <v>15501</v>
      </c>
      <c r="E3038" t="s">
        <v>11426</v>
      </c>
      <c r="F3038" t="s">
        <v>844</v>
      </c>
      <c r="G3038" t="s">
        <v>164</v>
      </c>
      <c r="H3038" t="s">
        <v>165</v>
      </c>
      <c r="I3038" t="s">
        <v>34</v>
      </c>
      <c r="J3038" t="s">
        <v>166</v>
      </c>
      <c r="K3038" t="s">
        <v>41</v>
      </c>
      <c r="L3038" t="s">
        <v>15502</v>
      </c>
      <c r="M3038" t="s">
        <v>15503</v>
      </c>
      <c r="N3038" t="s">
        <v>11429</v>
      </c>
      <c r="O3038" t="s">
        <v>101</v>
      </c>
      <c r="P3038" t="s">
        <v>15504</v>
      </c>
      <c r="Q3038" t="s">
        <v>84</v>
      </c>
      <c r="R3038" t="s">
        <v>15480</v>
      </c>
      <c r="S3038">
        <v>0.5</v>
      </c>
      <c r="T3038">
        <v>3299</v>
      </c>
      <c r="U3038">
        <v>0</v>
      </c>
      <c r="V3038">
        <v>3299</v>
      </c>
    </row>
    <row r="3039" spans="1:22" x14ac:dyDescent="0.3">
      <c r="A3039">
        <v>186607</v>
      </c>
      <c r="B3039">
        <v>135983253</v>
      </c>
      <c r="C3039" t="s">
        <v>15505</v>
      </c>
      <c r="D3039" t="s">
        <v>15506</v>
      </c>
      <c r="E3039" t="s">
        <v>11426</v>
      </c>
      <c r="F3039" t="s">
        <v>844</v>
      </c>
      <c r="G3039" t="s">
        <v>164</v>
      </c>
      <c r="H3039" t="s">
        <v>165</v>
      </c>
      <c r="I3039" t="s">
        <v>34</v>
      </c>
      <c r="J3039" t="s">
        <v>166</v>
      </c>
      <c r="K3039" t="s">
        <v>41</v>
      </c>
      <c r="L3039" t="s">
        <v>15507</v>
      </c>
      <c r="M3039" t="s">
        <v>152</v>
      </c>
      <c r="N3039" t="s">
        <v>11429</v>
      </c>
      <c r="O3039" t="s">
        <v>101</v>
      </c>
      <c r="P3039" t="s">
        <v>15508</v>
      </c>
      <c r="Q3039" t="s">
        <v>68</v>
      </c>
      <c r="R3039" t="s">
        <v>344</v>
      </c>
      <c r="S3039">
        <v>1</v>
      </c>
      <c r="T3039">
        <v>3753</v>
      </c>
      <c r="U3039">
        <v>0</v>
      </c>
      <c r="V3039">
        <v>3753</v>
      </c>
    </row>
    <row r="3040" spans="1:22" x14ac:dyDescent="0.3">
      <c r="A3040">
        <v>186607</v>
      </c>
      <c r="B3040">
        <v>135905391</v>
      </c>
      <c r="C3040" t="s">
        <v>15509</v>
      </c>
      <c r="D3040" t="s">
        <v>15510</v>
      </c>
      <c r="E3040" t="s">
        <v>11426</v>
      </c>
      <c r="F3040" t="s">
        <v>844</v>
      </c>
      <c r="G3040" t="s">
        <v>164</v>
      </c>
      <c r="H3040" t="s">
        <v>165</v>
      </c>
      <c r="I3040" t="s">
        <v>34</v>
      </c>
      <c r="J3040" t="s">
        <v>166</v>
      </c>
      <c r="K3040" t="s">
        <v>41</v>
      </c>
      <c r="L3040" t="s">
        <v>15511</v>
      </c>
      <c r="M3040" t="s">
        <v>15512</v>
      </c>
      <c r="N3040" t="s">
        <v>11429</v>
      </c>
      <c r="O3040" t="s">
        <v>101</v>
      </c>
      <c r="P3040" t="s">
        <v>15513</v>
      </c>
      <c r="Q3040" t="s">
        <v>91</v>
      </c>
      <c r="R3040" t="s">
        <v>498</v>
      </c>
      <c r="S3040">
        <v>1</v>
      </c>
      <c r="T3040">
        <v>3870</v>
      </c>
      <c r="U3040">
        <v>0</v>
      </c>
      <c r="V3040">
        <v>3870</v>
      </c>
    </row>
    <row r="3041" spans="1:22" x14ac:dyDescent="0.3">
      <c r="A3041">
        <v>186607</v>
      </c>
      <c r="B3041">
        <v>135983338</v>
      </c>
      <c r="C3041" t="s">
        <v>15514</v>
      </c>
      <c r="D3041" t="s">
        <v>15515</v>
      </c>
      <c r="E3041" t="s">
        <v>11426</v>
      </c>
      <c r="F3041" t="s">
        <v>844</v>
      </c>
      <c r="G3041" t="s">
        <v>164</v>
      </c>
      <c r="H3041" t="s">
        <v>165</v>
      </c>
      <c r="I3041" t="s">
        <v>34</v>
      </c>
      <c r="J3041" t="s">
        <v>166</v>
      </c>
      <c r="K3041" t="s">
        <v>41</v>
      </c>
      <c r="L3041" t="s">
        <v>15516</v>
      </c>
      <c r="M3041" t="s">
        <v>15517</v>
      </c>
      <c r="N3041" t="s">
        <v>11429</v>
      </c>
      <c r="O3041" t="s">
        <v>101</v>
      </c>
      <c r="P3041" t="s">
        <v>15518</v>
      </c>
      <c r="Q3041" t="s">
        <v>69</v>
      </c>
      <c r="R3041" t="s">
        <v>178</v>
      </c>
      <c r="S3041">
        <v>1</v>
      </c>
      <c r="T3041">
        <v>3753</v>
      </c>
      <c r="U3041">
        <v>0</v>
      </c>
      <c r="V3041">
        <v>3753</v>
      </c>
    </row>
    <row r="3042" spans="1:22" x14ac:dyDescent="0.3">
      <c r="A3042">
        <v>186607</v>
      </c>
      <c r="B3042">
        <v>135712018</v>
      </c>
      <c r="C3042" t="s">
        <v>15519</v>
      </c>
      <c r="D3042" t="s">
        <v>15520</v>
      </c>
      <c r="E3042" t="s">
        <v>11426</v>
      </c>
      <c r="F3042" t="s">
        <v>844</v>
      </c>
      <c r="G3042" t="s">
        <v>164</v>
      </c>
      <c r="H3042" t="s">
        <v>165</v>
      </c>
      <c r="I3042" t="s">
        <v>34</v>
      </c>
      <c r="J3042" t="s">
        <v>166</v>
      </c>
      <c r="K3042" t="s">
        <v>41</v>
      </c>
      <c r="L3042" t="s">
        <v>15521</v>
      </c>
      <c r="M3042" t="s">
        <v>15522</v>
      </c>
      <c r="N3042" t="s">
        <v>11429</v>
      </c>
      <c r="O3042" t="s">
        <v>101</v>
      </c>
      <c r="P3042" t="s">
        <v>15523</v>
      </c>
      <c r="Q3042" t="s">
        <v>57</v>
      </c>
      <c r="R3042" t="s">
        <v>12992</v>
      </c>
      <c r="S3042">
        <v>3.13</v>
      </c>
      <c r="T3042">
        <v>7749</v>
      </c>
      <c r="U3042">
        <v>0</v>
      </c>
      <c r="V3042">
        <v>7749</v>
      </c>
    </row>
    <row r="3043" spans="1:22" x14ac:dyDescent="0.3">
      <c r="A3043">
        <v>186607</v>
      </c>
      <c r="B3043">
        <v>135849017</v>
      </c>
      <c r="C3043" t="s">
        <v>15524</v>
      </c>
      <c r="D3043" t="s">
        <v>15525</v>
      </c>
      <c r="E3043" t="s">
        <v>11426</v>
      </c>
      <c r="F3043" t="s">
        <v>844</v>
      </c>
      <c r="G3043" t="s">
        <v>164</v>
      </c>
      <c r="H3043" t="s">
        <v>165</v>
      </c>
      <c r="I3043" t="s">
        <v>34</v>
      </c>
      <c r="J3043" t="s">
        <v>166</v>
      </c>
      <c r="K3043" t="s">
        <v>41</v>
      </c>
      <c r="L3043" t="s">
        <v>15526</v>
      </c>
      <c r="M3043" t="s">
        <v>15527</v>
      </c>
      <c r="N3043" t="s">
        <v>11429</v>
      </c>
      <c r="O3043" t="s">
        <v>101</v>
      </c>
      <c r="P3043" t="s">
        <v>15528</v>
      </c>
      <c r="Q3043" t="s">
        <v>63</v>
      </c>
      <c r="R3043" t="s">
        <v>501</v>
      </c>
      <c r="S3043">
        <v>1</v>
      </c>
      <c r="T3043">
        <v>4067</v>
      </c>
      <c r="U3043">
        <v>0</v>
      </c>
      <c r="V3043">
        <v>4067</v>
      </c>
    </row>
    <row r="3044" spans="1:22" x14ac:dyDescent="0.3">
      <c r="A3044">
        <v>186607</v>
      </c>
      <c r="B3044">
        <v>135848918</v>
      </c>
      <c r="C3044" t="s">
        <v>15529</v>
      </c>
      <c r="D3044" t="s">
        <v>15530</v>
      </c>
      <c r="E3044" t="s">
        <v>11426</v>
      </c>
      <c r="F3044" t="s">
        <v>844</v>
      </c>
      <c r="G3044" t="s">
        <v>164</v>
      </c>
      <c r="H3044" t="s">
        <v>165</v>
      </c>
      <c r="I3044" t="s">
        <v>34</v>
      </c>
      <c r="J3044" t="s">
        <v>166</v>
      </c>
      <c r="K3044" t="s">
        <v>41</v>
      </c>
      <c r="L3044" t="s">
        <v>15531</v>
      </c>
      <c r="M3044" t="s">
        <v>15532</v>
      </c>
      <c r="N3044" t="s">
        <v>11429</v>
      </c>
      <c r="O3044" t="s">
        <v>101</v>
      </c>
      <c r="P3044" t="s">
        <v>15533</v>
      </c>
      <c r="Q3044" t="s">
        <v>61</v>
      </c>
      <c r="R3044" t="s">
        <v>737</v>
      </c>
      <c r="S3044">
        <v>0.5</v>
      </c>
      <c r="T3044">
        <v>3680</v>
      </c>
      <c r="U3044">
        <v>0</v>
      </c>
      <c r="V3044">
        <v>3680</v>
      </c>
    </row>
    <row r="3045" spans="1:22" x14ac:dyDescent="0.3">
      <c r="A3045">
        <v>186607</v>
      </c>
      <c r="B3045">
        <v>135712108</v>
      </c>
      <c r="C3045" t="s">
        <v>15534</v>
      </c>
      <c r="D3045" t="s">
        <v>15535</v>
      </c>
      <c r="E3045" t="s">
        <v>11426</v>
      </c>
      <c r="F3045" t="s">
        <v>844</v>
      </c>
      <c r="G3045" t="s">
        <v>164</v>
      </c>
      <c r="H3045" t="s">
        <v>165</v>
      </c>
      <c r="I3045" t="s">
        <v>34</v>
      </c>
      <c r="J3045" t="s">
        <v>166</v>
      </c>
      <c r="K3045" t="s">
        <v>41</v>
      </c>
      <c r="L3045" t="s">
        <v>538</v>
      </c>
      <c r="M3045" t="s">
        <v>15536</v>
      </c>
      <c r="N3045" t="s">
        <v>11429</v>
      </c>
      <c r="O3045" t="s">
        <v>101</v>
      </c>
      <c r="P3045" t="s">
        <v>15537</v>
      </c>
      <c r="Q3045" t="s">
        <v>57</v>
      </c>
      <c r="R3045" t="s">
        <v>12992</v>
      </c>
      <c r="S3045">
        <v>1.39</v>
      </c>
      <c r="T3045">
        <v>5476</v>
      </c>
      <c r="U3045">
        <v>0</v>
      </c>
      <c r="V3045">
        <v>5476</v>
      </c>
    </row>
    <row r="3046" spans="1:22" x14ac:dyDescent="0.3">
      <c r="A3046">
        <v>186607</v>
      </c>
      <c r="B3046">
        <v>135983287</v>
      </c>
      <c r="C3046" t="s">
        <v>15538</v>
      </c>
      <c r="D3046" t="s">
        <v>15539</v>
      </c>
      <c r="E3046" t="s">
        <v>11426</v>
      </c>
      <c r="F3046" t="s">
        <v>844</v>
      </c>
      <c r="G3046" t="s">
        <v>164</v>
      </c>
      <c r="H3046" t="s">
        <v>165</v>
      </c>
      <c r="I3046" t="s">
        <v>34</v>
      </c>
      <c r="J3046" t="s">
        <v>166</v>
      </c>
      <c r="K3046" t="s">
        <v>41</v>
      </c>
      <c r="L3046" t="s">
        <v>15540</v>
      </c>
      <c r="M3046" t="s">
        <v>15541</v>
      </c>
      <c r="N3046" t="s">
        <v>11429</v>
      </c>
      <c r="O3046" t="s">
        <v>101</v>
      </c>
      <c r="P3046" t="s">
        <v>15542</v>
      </c>
      <c r="Q3046" t="s">
        <v>64</v>
      </c>
      <c r="R3046" t="s">
        <v>344</v>
      </c>
      <c r="S3046">
        <v>1</v>
      </c>
      <c r="T3046">
        <v>4067</v>
      </c>
      <c r="U3046">
        <v>0</v>
      </c>
      <c r="V3046">
        <v>4067</v>
      </c>
    </row>
    <row r="3047" spans="1:22" x14ac:dyDescent="0.3">
      <c r="A3047">
        <v>186607</v>
      </c>
      <c r="B3047">
        <v>135983300</v>
      </c>
      <c r="C3047" t="s">
        <v>15543</v>
      </c>
      <c r="D3047" t="s">
        <v>15544</v>
      </c>
      <c r="E3047" t="s">
        <v>11426</v>
      </c>
      <c r="F3047" t="s">
        <v>844</v>
      </c>
      <c r="G3047" t="s">
        <v>164</v>
      </c>
      <c r="H3047" t="s">
        <v>165</v>
      </c>
      <c r="I3047" t="s">
        <v>34</v>
      </c>
      <c r="J3047" t="s">
        <v>166</v>
      </c>
      <c r="K3047" t="s">
        <v>41</v>
      </c>
      <c r="L3047" t="s">
        <v>15545</v>
      </c>
      <c r="M3047" t="s">
        <v>15546</v>
      </c>
      <c r="N3047" t="s">
        <v>11429</v>
      </c>
      <c r="O3047" t="s">
        <v>101</v>
      </c>
      <c r="P3047" t="s">
        <v>15547</v>
      </c>
      <c r="Q3047" t="s">
        <v>87</v>
      </c>
      <c r="R3047" t="s">
        <v>178</v>
      </c>
      <c r="S3047">
        <v>1</v>
      </c>
      <c r="T3047">
        <v>3366</v>
      </c>
      <c r="U3047">
        <v>0</v>
      </c>
      <c r="V3047">
        <v>3366</v>
      </c>
    </row>
    <row r="3048" spans="1:22" x14ac:dyDescent="0.3">
      <c r="A3048">
        <v>186607</v>
      </c>
      <c r="B3048">
        <v>135848878</v>
      </c>
      <c r="C3048" t="s">
        <v>15548</v>
      </c>
      <c r="D3048" t="s">
        <v>15549</v>
      </c>
      <c r="E3048" t="s">
        <v>11426</v>
      </c>
      <c r="F3048" t="s">
        <v>844</v>
      </c>
      <c r="G3048" t="s">
        <v>164</v>
      </c>
      <c r="H3048" t="s">
        <v>165</v>
      </c>
      <c r="I3048" t="s">
        <v>34</v>
      </c>
      <c r="J3048" t="s">
        <v>166</v>
      </c>
      <c r="K3048" t="s">
        <v>41</v>
      </c>
      <c r="L3048" t="s">
        <v>15550</v>
      </c>
      <c r="M3048" t="s">
        <v>15551</v>
      </c>
      <c r="N3048" t="s">
        <v>11429</v>
      </c>
      <c r="O3048" t="s">
        <v>101</v>
      </c>
      <c r="P3048" t="s">
        <v>15552</v>
      </c>
      <c r="Q3048" t="s">
        <v>63</v>
      </c>
      <c r="R3048" t="s">
        <v>737</v>
      </c>
      <c r="S3048">
        <v>3.04</v>
      </c>
      <c r="T3048">
        <v>5111</v>
      </c>
      <c r="U3048">
        <v>0</v>
      </c>
      <c r="V3048">
        <v>5111</v>
      </c>
    </row>
    <row r="3049" spans="1:22" x14ac:dyDescent="0.3">
      <c r="A3049">
        <v>186607</v>
      </c>
      <c r="B3049">
        <v>135790581</v>
      </c>
      <c r="C3049" t="s">
        <v>15553</v>
      </c>
      <c r="D3049" t="s">
        <v>15554</v>
      </c>
      <c r="E3049" t="s">
        <v>11426</v>
      </c>
      <c r="F3049" t="s">
        <v>844</v>
      </c>
      <c r="G3049" t="s">
        <v>164</v>
      </c>
      <c r="H3049" t="s">
        <v>165</v>
      </c>
      <c r="I3049" t="s">
        <v>34</v>
      </c>
      <c r="J3049" t="s">
        <v>166</v>
      </c>
      <c r="K3049" t="s">
        <v>41</v>
      </c>
      <c r="L3049" t="s">
        <v>15555</v>
      </c>
      <c r="M3049" t="s">
        <v>15556</v>
      </c>
      <c r="N3049" t="s">
        <v>11429</v>
      </c>
      <c r="O3049" t="s">
        <v>101</v>
      </c>
      <c r="P3049" t="s">
        <v>15557</v>
      </c>
      <c r="Q3049" t="s">
        <v>58</v>
      </c>
      <c r="R3049" t="s">
        <v>770</v>
      </c>
      <c r="S3049">
        <v>3.29</v>
      </c>
      <c r="T3049">
        <v>8538</v>
      </c>
      <c r="U3049">
        <v>0</v>
      </c>
      <c r="V3049">
        <v>8538</v>
      </c>
    </row>
    <row r="3050" spans="1:22" x14ac:dyDescent="0.3">
      <c r="A3050">
        <v>186607</v>
      </c>
      <c r="B3050">
        <v>135712136</v>
      </c>
      <c r="C3050" t="s">
        <v>15558</v>
      </c>
      <c r="D3050" t="s">
        <v>15559</v>
      </c>
      <c r="E3050" t="s">
        <v>11426</v>
      </c>
      <c r="F3050" t="s">
        <v>844</v>
      </c>
      <c r="G3050" t="s">
        <v>164</v>
      </c>
      <c r="H3050" t="s">
        <v>165</v>
      </c>
      <c r="I3050" t="s">
        <v>34</v>
      </c>
      <c r="J3050" t="s">
        <v>166</v>
      </c>
      <c r="K3050" t="s">
        <v>41</v>
      </c>
      <c r="L3050" t="s">
        <v>15560</v>
      </c>
      <c r="M3050" t="s">
        <v>15561</v>
      </c>
      <c r="N3050" t="s">
        <v>11429</v>
      </c>
      <c r="O3050" t="s">
        <v>101</v>
      </c>
      <c r="P3050" t="s">
        <v>15562</v>
      </c>
      <c r="Q3050" t="s">
        <v>83</v>
      </c>
      <c r="R3050" t="s">
        <v>12992</v>
      </c>
      <c r="S3050">
        <v>1</v>
      </c>
      <c r="T3050">
        <v>3366</v>
      </c>
      <c r="U3050">
        <v>0</v>
      </c>
      <c r="V3050">
        <v>3366</v>
      </c>
    </row>
    <row r="3051" spans="1:22" x14ac:dyDescent="0.3">
      <c r="A3051">
        <v>186607</v>
      </c>
      <c r="B3051">
        <v>135905437</v>
      </c>
      <c r="C3051" t="s">
        <v>15563</v>
      </c>
      <c r="D3051" t="s">
        <v>15564</v>
      </c>
      <c r="E3051" t="s">
        <v>11426</v>
      </c>
      <c r="F3051" t="s">
        <v>844</v>
      </c>
      <c r="G3051" t="s">
        <v>164</v>
      </c>
      <c r="H3051" t="s">
        <v>165</v>
      </c>
      <c r="I3051" t="s">
        <v>34</v>
      </c>
      <c r="J3051" t="s">
        <v>166</v>
      </c>
      <c r="K3051" t="s">
        <v>41</v>
      </c>
      <c r="L3051" t="s">
        <v>15565</v>
      </c>
      <c r="M3051" t="s">
        <v>15566</v>
      </c>
      <c r="N3051" t="s">
        <v>11429</v>
      </c>
      <c r="O3051" t="s">
        <v>101</v>
      </c>
      <c r="P3051" t="s">
        <v>15567</v>
      </c>
      <c r="Q3051" t="s">
        <v>274</v>
      </c>
      <c r="R3051" t="s">
        <v>498</v>
      </c>
      <c r="S3051">
        <v>1.5</v>
      </c>
      <c r="T3051">
        <v>3366</v>
      </c>
      <c r="U3051">
        <v>0</v>
      </c>
      <c r="V3051">
        <v>3366</v>
      </c>
    </row>
    <row r="3052" spans="1:22" x14ac:dyDescent="0.3">
      <c r="A3052">
        <v>186607</v>
      </c>
      <c r="B3052">
        <v>135983386</v>
      </c>
      <c r="C3052" t="s">
        <v>15568</v>
      </c>
      <c r="D3052" t="s">
        <v>15569</v>
      </c>
      <c r="E3052" t="s">
        <v>11426</v>
      </c>
      <c r="F3052" t="s">
        <v>844</v>
      </c>
      <c r="G3052" t="s">
        <v>164</v>
      </c>
      <c r="H3052" t="s">
        <v>165</v>
      </c>
      <c r="I3052" t="s">
        <v>34</v>
      </c>
      <c r="J3052" t="s">
        <v>166</v>
      </c>
      <c r="K3052" t="s">
        <v>41</v>
      </c>
      <c r="L3052" t="s">
        <v>15570</v>
      </c>
      <c r="M3052" t="s">
        <v>11733</v>
      </c>
      <c r="N3052" t="s">
        <v>11429</v>
      </c>
      <c r="O3052" t="s">
        <v>101</v>
      </c>
      <c r="P3052" t="s">
        <v>11734</v>
      </c>
      <c r="Q3052" t="s">
        <v>60</v>
      </c>
      <c r="R3052" t="s">
        <v>178</v>
      </c>
      <c r="S3052">
        <v>0.5</v>
      </c>
      <c r="T3052">
        <v>3680</v>
      </c>
      <c r="U3052">
        <v>0</v>
      </c>
      <c r="V3052">
        <v>3680</v>
      </c>
    </row>
    <row r="3053" spans="1:22" x14ac:dyDescent="0.3">
      <c r="A3053">
        <v>186607</v>
      </c>
      <c r="B3053">
        <v>135790693</v>
      </c>
      <c r="C3053" t="s">
        <v>15571</v>
      </c>
      <c r="D3053" t="s">
        <v>15572</v>
      </c>
      <c r="E3053" t="s">
        <v>11426</v>
      </c>
      <c r="F3053" t="s">
        <v>844</v>
      </c>
      <c r="G3053" t="s">
        <v>164</v>
      </c>
      <c r="H3053" t="s">
        <v>165</v>
      </c>
      <c r="I3053" t="s">
        <v>34</v>
      </c>
      <c r="J3053" t="s">
        <v>166</v>
      </c>
      <c r="K3053" t="s">
        <v>41</v>
      </c>
      <c r="L3053" t="s">
        <v>15573</v>
      </c>
      <c r="M3053" t="s">
        <v>15574</v>
      </c>
      <c r="N3053" t="s">
        <v>11429</v>
      </c>
      <c r="O3053" t="s">
        <v>101</v>
      </c>
      <c r="P3053" t="s">
        <v>15575</v>
      </c>
      <c r="Q3053" t="s">
        <v>54</v>
      </c>
      <c r="R3053" t="s">
        <v>770</v>
      </c>
      <c r="S3053">
        <v>2.4500000000000002</v>
      </c>
      <c r="T3053">
        <v>5759</v>
      </c>
      <c r="U3053">
        <v>0</v>
      </c>
      <c r="V3053">
        <v>5759</v>
      </c>
    </row>
    <row r="3054" spans="1:22" x14ac:dyDescent="0.3">
      <c r="A3054">
        <v>186607</v>
      </c>
      <c r="B3054">
        <v>135983080</v>
      </c>
      <c r="C3054" t="s">
        <v>15576</v>
      </c>
      <c r="D3054" t="s">
        <v>15577</v>
      </c>
      <c r="E3054" t="s">
        <v>11426</v>
      </c>
      <c r="F3054" t="s">
        <v>844</v>
      </c>
      <c r="G3054" t="s">
        <v>164</v>
      </c>
      <c r="H3054" t="s">
        <v>165</v>
      </c>
      <c r="I3054" t="s">
        <v>34</v>
      </c>
      <c r="J3054" t="s">
        <v>166</v>
      </c>
      <c r="K3054" t="s">
        <v>41</v>
      </c>
      <c r="L3054" t="s">
        <v>15578</v>
      </c>
      <c r="M3054" t="s">
        <v>15579</v>
      </c>
      <c r="N3054" t="s">
        <v>11429</v>
      </c>
      <c r="O3054" t="s">
        <v>101</v>
      </c>
      <c r="P3054" t="s">
        <v>15580</v>
      </c>
      <c r="Q3054" t="s">
        <v>83</v>
      </c>
      <c r="R3054" t="s">
        <v>15480</v>
      </c>
      <c r="S3054">
        <v>1</v>
      </c>
      <c r="T3054">
        <v>3366</v>
      </c>
      <c r="U3054">
        <v>0</v>
      </c>
      <c r="V3054">
        <v>3366</v>
      </c>
    </row>
    <row r="3055" spans="1:22" x14ac:dyDescent="0.3">
      <c r="A3055">
        <v>186607</v>
      </c>
      <c r="B3055">
        <v>135905388</v>
      </c>
      <c r="C3055" t="s">
        <v>15581</v>
      </c>
      <c r="D3055" t="s">
        <v>15582</v>
      </c>
      <c r="E3055" t="s">
        <v>11426</v>
      </c>
      <c r="F3055" t="s">
        <v>844</v>
      </c>
      <c r="G3055" t="s">
        <v>164</v>
      </c>
      <c r="H3055" t="s">
        <v>165</v>
      </c>
      <c r="I3055" t="s">
        <v>34</v>
      </c>
      <c r="J3055" t="s">
        <v>166</v>
      </c>
      <c r="K3055" t="s">
        <v>41</v>
      </c>
      <c r="L3055" t="s">
        <v>15583</v>
      </c>
      <c r="M3055" t="s">
        <v>15584</v>
      </c>
      <c r="N3055" t="s">
        <v>11429</v>
      </c>
      <c r="O3055" t="s">
        <v>101</v>
      </c>
      <c r="P3055" t="s">
        <v>15585</v>
      </c>
      <c r="Q3055" t="s">
        <v>72</v>
      </c>
      <c r="R3055" t="s">
        <v>498</v>
      </c>
      <c r="S3055">
        <v>0.5</v>
      </c>
      <c r="T3055">
        <v>3449</v>
      </c>
      <c r="U3055">
        <v>0</v>
      </c>
      <c r="V3055">
        <v>3449</v>
      </c>
    </row>
    <row r="3056" spans="1:22" x14ac:dyDescent="0.3">
      <c r="A3056">
        <v>186607</v>
      </c>
      <c r="B3056">
        <v>135905475</v>
      </c>
      <c r="C3056" t="s">
        <v>15586</v>
      </c>
      <c r="D3056" t="s">
        <v>15587</v>
      </c>
      <c r="E3056" t="s">
        <v>11426</v>
      </c>
      <c r="F3056" t="s">
        <v>844</v>
      </c>
      <c r="G3056" t="s">
        <v>164</v>
      </c>
      <c r="H3056" t="s">
        <v>165</v>
      </c>
      <c r="I3056" t="s">
        <v>34</v>
      </c>
      <c r="J3056" t="s">
        <v>166</v>
      </c>
      <c r="K3056" t="s">
        <v>41</v>
      </c>
      <c r="L3056" t="s">
        <v>15588</v>
      </c>
      <c r="M3056" t="s">
        <v>15589</v>
      </c>
      <c r="N3056" t="s">
        <v>11429</v>
      </c>
      <c r="O3056" t="s">
        <v>101</v>
      </c>
      <c r="P3056" t="s">
        <v>15590</v>
      </c>
      <c r="Q3056" t="s">
        <v>69</v>
      </c>
      <c r="R3056" t="s">
        <v>498</v>
      </c>
      <c r="S3056">
        <v>1</v>
      </c>
      <c r="T3056">
        <v>3753</v>
      </c>
      <c r="U3056">
        <v>0</v>
      </c>
      <c r="V3056">
        <v>3753</v>
      </c>
    </row>
    <row r="3057" spans="1:22" x14ac:dyDescent="0.3">
      <c r="A3057">
        <v>186607</v>
      </c>
      <c r="B3057">
        <v>135983168</v>
      </c>
      <c r="C3057" t="s">
        <v>15591</v>
      </c>
      <c r="D3057" t="s">
        <v>15592</v>
      </c>
      <c r="E3057" t="s">
        <v>11426</v>
      </c>
      <c r="F3057" t="s">
        <v>844</v>
      </c>
      <c r="G3057" t="s">
        <v>164</v>
      </c>
      <c r="H3057" t="s">
        <v>165</v>
      </c>
      <c r="I3057" t="s">
        <v>34</v>
      </c>
      <c r="J3057" t="s">
        <v>166</v>
      </c>
      <c r="K3057" t="s">
        <v>41</v>
      </c>
      <c r="L3057" t="s">
        <v>15593</v>
      </c>
      <c r="M3057" t="s">
        <v>15594</v>
      </c>
      <c r="N3057" t="s">
        <v>11429</v>
      </c>
      <c r="O3057" t="s">
        <v>101</v>
      </c>
      <c r="P3057" t="s">
        <v>15595</v>
      </c>
      <c r="Q3057" t="s">
        <v>71</v>
      </c>
      <c r="R3057" t="s">
        <v>344</v>
      </c>
      <c r="S3057">
        <v>1</v>
      </c>
      <c r="T3057">
        <v>3501</v>
      </c>
      <c r="U3057">
        <v>0</v>
      </c>
      <c r="V3057">
        <v>3501</v>
      </c>
    </row>
    <row r="3058" spans="1:22" x14ac:dyDescent="0.3">
      <c r="A3058">
        <v>186607</v>
      </c>
      <c r="B3058">
        <v>135849054</v>
      </c>
      <c r="C3058" t="s">
        <v>15596</v>
      </c>
      <c r="D3058" t="s">
        <v>15597</v>
      </c>
      <c r="E3058" t="s">
        <v>11426</v>
      </c>
      <c r="F3058" t="s">
        <v>844</v>
      </c>
      <c r="G3058" t="s">
        <v>164</v>
      </c>
      <c r="H3058" t="s">
        <v>165</v>
      </c>
      <c r="I3058" t="s">
        <v>34</v>
      </c>
      <c r="J3058" t="s">
        <v>166</v>
      </c>
      <c r="K3058" t="s">
        <v>41</v>
      </c>
      <c r="L3058" t="s">
        <v>15598</v>
      </c>
      <c r="M3058" t="s">
        <v>15599</v>
      </c>
      <c r="N3058" t="s">
        <v>11429</v>
      </c>
      <c r="O3058" t="s">
        <v>101</v>
      </c>
      <c r="P3058" t="s">
        <v>15600</v>
      </c>
      <c r="Q3058" t="s">
        <v>200</v>
      </c>
      <c r="R3058" t="s">
        <v>501</v>
      </c>
      <c r="S3058">
        <v>1</v>
      </c>
      <c r="T3058">
        <v>3753</v>
      </c>
      <c r="U3058">
        <v>0</v>
      </c>
      <c r="V3058">
        <v>3753</v>
      </c>
    </row>
    <row r="3059" spans="1:22" x14ac:dyDescent="0.3">
      <c r="A3059">
        <v>186607</v>
      </c>
      <c r="B3059">
        <v>135905451</v>
      </c>
      <c r="C3059" t="s">
        <v>15601</v>
      </c>
      <c r="D3059" t="s">
        <v>15602</v>
      </c>
      <c r="E3059" t="s">
        <v>11426</v>
      </c>
      <c r="F3059" t="s">
        <v>844</v>
      </c>
      <c r="G3059" t="s">
        <v>164</v>
      </c>
      <c r="H3059" t="s">
        <v>165</v>
      </c>
      <c r="I3059" t="s">
        <v>34</v>
      </c>
      <c r="J3059" t="s">
        <v>166</v>
      </c>
      <c r="K3059" t="s">
        <v>41</v>
      </c>
      <c r="L3059" t="s">
        <v>15603</v>
      </c>
      <c r="M3059" t="s">
        <v>15604</v>
      </c>
      <c r="N3059" t="s">
        <v>11429</v>
      </c>
      <c r="O3059" t="s">
        <v>101</v>
      </c>
      <c r="P3059" t="s">
        <v>15605</v>
      </c>
      <c r="Q3059" t="s">
        <v>60</v>
      </c>
      <c r="R3059" t="s">
        <v>498</v>
      </c>
      <c r="S3059">
        <v>1</v>
      </c>
      <c r="T3059">
        <v>4346</v>
      </c>
      <c r="U3059">
        <v>0</v>
      </c>
      <c r="V3059">
        <v>4346</v>
      </c>
    </row>
    <row r="3060" spans="1:22" x14ac:dyDescent="0.3">
      <c r="A3060">
        <v>186607</v>
      </c>
      <c r="B3060">
        <v>135711941</v>
      </c>
      <c r="C3060" t="s">
        <v>15606</v>
      </c>
      <c r="D3060" t="s">
        <v>15607</v>
      </c>
      <c r="E3060" t="s">
        <v>11426</v>
      </c>
      <c r="F3060" t="s">
        <v>844</v>
      </c>
      <c r="G3060" t="s">
        <v>164</v>
      </c>
      <c r="H3060" t="s">
        <v>165</v>
      </c>
      <c r="I3060" t="s">
        <v>34</v>
      </c>
      <c r="J3060" t="s">
        <v>166</v>
      </c>
      <c r="K3060" t="s">
        <v>41</v>
      </c>
      <c r="L3060" t="s">
        <v>15608</v>
      </c>
      <c r="M3060" t="s">
        <v>15609</v>
      </c>
      <c r="N3060" t="s">
        <v>11429</v>
      </c>
      <c r="O3060" t="s">
        <v>101</v>
      </c>
      <c r="P3060" t="s">
        <v>15610</v>
      </c>
      <c r="Q3060" t="s">
        <v>54</v>
      </c>
      <c r="R3060" t="s">
        <v>12992</v>
      </c>
      <c r="S3060">
        <v>3.22</v>
      </c>
      <c r="T3060">
        <v>8008</v>
      </c>
      <c r="U3060">
        <v>0</v>
      </c>
      <c r="V3060">
        <v>8008</v>
      </c>
    </row>
    <row r="3061" spans="1:22" x14ac:dyDescent="0.3">
      <c r="A3061">
        <v>186607</v>
      </c>
      <c r="B3061">
        <v>135790611</v>
      </c>
      <c r="C3061" t="s">
        <v>15611</v>
      </c>
      <c r="D3061" t="s">
        <v>15612</v>
      </c>
      <c r="E3061" t="s">
        <v>11426</v>
      </c>
      <c r="F3061" t="s">
        <v>844</v>
      </c>
      <c r="G3061" t="s">
        <v>164</v>
      </c>
      <c r="H3061" t="s">
        <v>165</v>
      </c>
      <c r="I3061" t="s">
        <v>34</v>
      </c>
      <c r="J3061" t="s">
        <v>166</v>
      </c>
      <c r="K3061" t="s">
        <v>41</v>
      </c>
      <c r="L3061" t="s">
        <v>15613</v>
      </c>
      <c r="M3061" t="s">
        <v>721</v>
      </c>
      <c r="N3061" t="s">
        <v>11429</v>
      </c>
      <c r="O3061" t="s">
        <v>101</v>
      </c>
      <c r="P3061" t="s">
        <v>15614</v>
      </c>
      <c r="Q3061" t="s">
        <v>224</v>
      </c>
      <c r="R3061" t="s">
        <v>770</v>
      </c>
      <c r="S3061">
        <v>5.42</v>
      </c>
      <c r="T3061">
        <v>5111</v>
      </c>
      <c r="U3061">
        <v>0</v>
      </c>
      <c r="V3061">
        <v>5111</v>
      </c>
    </row>
    <row r="3062" spans="1:22" x14ac:dyDescent="0.3">
      <c r="A3062">
        <v>186607</v>
      </c>
      <c r="B3062">
        <v>135983176</v>
      </c>
      <c r="C3062" t="s">
        <v>15615</v>
      </c>
      <c r="D3062" t="s">
        <v>15616</v>
      </c>
      <c r="E3062" t="s">
        <v>11426</v>
      </c>
      <c r="F3062" t="s">
        <v>844</v>
      </c>
      <c r="G3062" t="s">
        <v>164</v>
      </c>
      <c r="H3062" t="s">
        <v>165</v>
      </c>
      <c r="I3062" t="s">
        <v>34</v>
      </c>
      <c r="J3062" t="s">
        <v>166</v>
      </c>
      <c r="K3062" t="s">
        <v>41</v>
      </c>
      <c r="L3062" t="s">
        <v>15617</v>
      </c>
      <c r="M3062" t="s">
        <v>15618</v>
      </c>
      <c r="N3062" t="s">
        <v>11429</v>
      </c>
      <c r="O3062" t="s">
        <v>101</v>
      </c>
      <c r="P3062" t="s">
        <v>15619</v>
      </c>
      <c r="Q3062" t="s">
        <v>69</v>
      </c>
      <c r="R3062" t="s">
        <v>344</v>
      </c>
      <c r="S3062">
        <v>2</v>
      </c>
      <c r="T3062">
        <v>3753</v>
      </c>
      <c r="U3062">
        <v>0</v>
      </c>
      <c r="V3062">
        <v>3753</v>
      </c>
    </row>
    <row r="3063" spans="1:22" x14ac:dyDescent="0.3">
      <c r="A3063">
        <v>186607</v>
      </c>
      <c r="B3063">
        <v>135983263</v>
      </c>
      <c r="C3063" t="s">
        <v>15620</v>
      </c>
      <c r="D3063" t="s">
        <v>15621</v>
      </c>
      <c r="E3063" t="s">
        <v>11426</v>
      </c>
      <c r="F3063" t="s">
        <v>844</v>
      </c>
      <c r="G3063" t="s">
        <v>164</v>
      </c>
      <c r="H3063" t="s">
        <v>165</v>
      </c>
      <c r="I3063" t="s">
        <v>34</v>
      </c>
      <c r="J3063" t="s">
        <v>166</v>
      </c>
      <c r="K3063" t="s">
        <v>41</v>
      </c>
      <c r="L3063" t="s">
        <v>15622</v>
      </c>
      <c r="M3063" t="s">
        <v>15623</v>
      </c>
      <c r="N3063" t="s">
        <v>11429</v>
      </c>
      <c r="O3063" t="s">
        <v>101</v>
      </c>
      <c r="P3063" t="s">
        <v>15624</v>
      </c>
      <c r="Q3063" t="s">
        <v>63</v>
      </c>
      <c r="R3063" t="s">
        <v>344</v>
      </c>
      <c r="S3063">
        <v>1</v>
      </c>
      <c r="T3063">
        <v>4067</v>
      </c>
      <c r="U3063">
        <v>0</v>
      </c>
      <c r="V3063">
        <v>4067</v>
      </c>
    </row>
    <row r="3064" spans="1:22" x14ac:dyDescent="0.3">
      <c r="A3064">
        <v>186607</v>
      </c>
      <c r="B3064">
        <v>135983207</v>
      </c>
      <c r="C3064" t="s">
        <v>15625</v>
      </c>
      <c r="D3064" t="s">
        <v>15626</v>
      </c>
      <c r="E3064" t="s">
        <v>11426</v>
      </c>
      <c r="F3064" t="s">
        <v>844</v>
      </c>
      <c r="G3064" t="s">
        <v>164</v>
      </c>
      <c r="H3064" t="s">
        <v>165</v>
      </c>
      <c r="I3064" t="s">
        <v>34</v>
      </c>
      <c r="J3064" t="s">
        <v>166</v>
      </c>
      <c r="K3064" t="s">
        <v>44</v>
      </c>
      <c r="L3064" t="s">
        <v>188</v>
      </c>
      <c r="M3064" t="s">
        <v>15627</v>
      </c>
      <c r="N3064" t="s">
        <v>11429</v>
      </c>
      <c r="O3064" t="s">
        <v>101</v>
      </c>
      <c r="P3064" t="s">
        <v>15628</v>
      </c>
      <c r="Q3064" t="s">
        <v>61</v>
      </c>
      <c r="R3064" t="s">
        <v>344</v>
      </c>
      <c r="S3064">
        <v>1</v>
      </c>
      <c r="T3064">
        <v>4067</v>
      </c>
      <c r="U3064">
        <v>0</v>
      </c>
      <c r="V3064">
        <v>4067</v>
      </c>
    </row>
    <row r="3065" spans="1:22" x14ac:dyDescent="0.3">
      <c r="A3065">
        <v>186607</v>
      </c>
      <c r="B3065">
        <v>135905430</v>
      </c>
      <c r="C3065" t="s">
        <v>15629</v>
      </c>
      <c r="D3065" t="s">
        <v>15630</v>
      </c>
      <c r="E3065" t="s">
        <v>11426</v>
      </c>
      <c r="F3065" t="s">
        <v>844</v>
      </c>
      <c r="G3065" t="s">
        <v>164</v>
      </c>
      <c r="H3065" t="s">
        <v>165</v>
      </c>
      <c r="I3065" t="s">
        <v>34</v>
      </c>
      <c r="J3065" t="s">
        <v>166</v>
      </c>
      <c r="K3065" t="s">
        <v>41</v>
      </c>
      <c r="L3065" t="s">
        <v>617</v>
      </c>
      <c r="M3065" t="s">
        <v>618</v>
      </c>
      <c r="N3065" t="s">
        <v>11429</v>
      </c>
      <c r="O3065" t="s">
        <v>101</v>
      </c>
      <c r="P3065" t="s">
        <v>619</v>
      </c>
      <c r="Q3065" t="s">
        <v>60</v>
      </c>
      <c r="R3065" t="s">
        <v>498</v>
      </c>
      <c r="S3065">
        <v>1</v>
      </c>
      <c r="T3065">
        <v>4346</v>
      </c>
      <c r="U3065">
        <v>0</v>
      </c>
      <c r="V3065">
        <v>4346</v>
      </c>
    </row>
    <row r="3066" spans="1:22" x14ac:dyDescent="0.3">
      <c r="A3066">
        <v>186607</v>
      </c>
      <c r="B3066">
        <v>135983278</v>
      </c>
      <c r="C3066" t="s">
        <v>15631</v>
      </c>
      <c r="D3066" t="s">
        <v>15632</v>
      </c>
      <c r="E3066" t="s">
        <v>11426</v>
      </c>
      <c r="F3066" t="s">
        <v>844</v>
      </c>
      <c r="G3066" t="s">
        <v>164</v>
      </c>
      <c r="H3066" t="s">
        <v>165</v>
      </c>
      <c r="I3066" t="s">
        <v>34</v>
      </c>
      <c r="J3066" t="s">
        <v>166</v>
      </c>
      <c r="K3066" t="s">
        <v>41</v>
      </c>
      <c r="L3066" t="s">
        <v>15633</v>
      </c>
      <c r="M3066" t="s">
        <v>15634</v>
      </c>
      <c r="N3066" t="s">
        <v>11429</v>
      </c>
      <c r="O3066" t="s">
        <v>101</v>
      </c>
      <c r="P3066" t="s">
        <v>15635</v>
      </c>
      <c r="Q3066" t="s">
        <v>194</v>
      </c>
      <c r="R3066" t="s">
        <v>344</v>
      </c>
      <c r="S3066">
        <v>0.5</v>
      </c>
      <c r="T3066">
        <v>3680</v>
      </c>
      <c r="U3066">
        <v>0</v>
      </c>
      <c r="V3066">
        <v>3680</v>
      </c>
    </row>
    <row r="3067" spans="1:22" x14ac:dyDescent="0.3">
      <c r="A3067">
        <v>186607</v>
      </c>
      <c r="B3067">
        <v>135983242</v>
      </c>
      <c r="C3067" t="s">
        <v>15636</v>
      </c>
      <c r="D3067" t="s">
        <v>15637</v>
      </c>
      <c r="E3067" t="s">
        <v>11426</v>
      </c>
      <c r="F3067" t="s">
        <v>844</v>
      </c>
      <c r="G3067" t="s">
        <v>164</v>
      </c>
      <c r="H3067" t="s">
        <v>165</v>
      </c>
      <c r="I3067" t="s">
        <v>34</v>
      </c>
      <c r="J3067" t="s">
        <v>166</v>
      </c>
      <c r="K3067" t="s">
        <v>41</v>
      </c>
      <c r="L3067" t="s">
        <v>296</v>
      </c>
      <c r="M3067" t="s">
        <v>15638</v>
      </c>
      <c r="N3067" t="s">
        <v>11429</v>
      </c>
      <c r="O3067" t="s">
        <v>101</v>
      </c>
      <c r="P3067" t="s">
        <v>15639</v>
      </c>
      <c r="Q3067" t="s">
        <v>68</v>
      </c>
      <c r="R3067" t="s">
        <v>344</v>
      </c>
      <c r="S3067">
        <v>1.5</v>
      </c>
      <c r="T3067">
        <v>3753</v>
      </c>
      <c r="U3067">
        <v>0</v>
      </c>
      <c r="V3067">
        <v>3753</v>
      </c>
    </row>
    <row r="3068" spans="1:22" x14ac:dyDescent="0.3">
      <c r="A3068">
        <v>186607</v>
      </c>
      <c r="B3068">
        <v>135983337</v>
      </c>
      <c r="C3068" t="s">
        <v>15640</v>
      </c>
      <c r="D3068" t="s">
        <v>15641</v>
      </c>
      <c r="E3068" t="s">
        <v>11426</v>
      </c>
      <c r="F3068" t="s">
        <v>844</v>
      </c>
      <c r="G3068" t="s">
        <v>164</v>
      </c>
      <c r="H3068" t="s">
        <v>165</v>
      </c>
      <c r="I3068" t="s">
        <v>34</v>
      </c>
      <c r="J3068" t="s">
        <v>166</v>
      </c>
      <c r="K3068" t="s">
        <v>41</v>
      </c>
      <c r="L3068" t="s">
        <v>15642</v>
      </c>
      <c r="M3068" t="s">
        <v>15025</v>
      </c>
      <c r="N3068" t="s">
        <v>11429</v>
      </c>
      <c r="O3068" t="s">
        <v>101</v>
      </c>
      <c r="P3068" t="s">
        <v>15026</v>
      </c>
      <c r="Q3068" t="s">
        <v>68</v>
      </c>
      <c r="R3068" t="s">
        <v>178</v>
      </c>
      <c r="S3068">
        <v>1</v>
      </c>
      <c r="T3068">
        <v>3753</v>
      </c>
      <c r="U3068">
        <v>0</v>
      </c>
      <c r="V3068">
        <v>3753</v>
      </c>
    </row>
    <row r="3069" spans="1:22" x14ac:dyDescent="0.3">
      <c r="A3069">
        <v>186607</v>
      </c>
      <c r="B3069">
        <v>135983248</v>
      </c>
      <c r="C3069" t="s">
        <v>15643</v>
      </c>
      <c r="D3069" t="s">
        <v>15644</v>
      </c>
      <c r="E3069" t="s">
        <v>11426</v>
      </c>
      <c r="F3069" t="s">
        <v>844</v>
      </c>
      <c r="G3069" t="s">
        <v>164</v>
      </c>
      <c r="H3069" t="s">
        <v>165</v>
      </c>
      <c r="I3069" t="s">
        <v>34</v>
      </c>
      <c r="J3069" t="s">
        <v>166</v>
      </c>
      <c r="K3069" t="s">
        <v>41</v>
      </c>
      <c r="L3069" t="s">
        <v>15645</v>
      </c>
      <c r="M3069" t="s">
        <v>15646</v>
      </c>
      <c r="N3069" t="s">
        <v>11429</v>
      </c>
      <c r="O3069" t="s">
        <v>101</v>
      </c>
      <c r="P3069" t="s">
        <v>15647</v>
      </c>
      <c r="Q3069" t="s">
        <v>76</v>
      </c>
      <c r="R3069" t="s">
        <v>344</v>
      </c>
      <c r="S3069">
        <v>1</v>
      </c>
      <c r="T3069">
        <v>3753</v>
      </c>
      <c r="U3069">
        <v>0</v>
      </c>
      <c r="V3069">
        <v>3753</v>
      </c>
    </row>
    <row r="3070" spans="1:22" x14ac:dyDescent="0.3">
      <c r="A3070">
        <v>186607</v>
      </c>
      <c r="B3070">
        <v>135983198</v>
      </c>
      <c r="C3070" t="s">
        <v>15648</v>
      </c>
      <c r="D3070" t="s">
        <v>15649</v>
      </c>
      <c r="E3070" t="s">
        <v>11426</v>
      </c>
      <c r="F3070" t="s">
        <v>844</v>
      </c>
      <c r="G3070" t="s">
        <v>164</v>
      </c>
      <c r="H3070" t="s">
        <v>165</v>
      </c>
      <c r="I3070" t="s">
        <v>34</v>
      </c>
      <c r="J3070" t="s">
        <v>166</v>
      </c>
      <c r="K3070" t="s">
        <v>41</v>
      </c>
      <c r="L3070" t="s">
        <v>15650</v>
      </c>
      <c r="M3070" t="s">
        <v>395</v>
      </c>
      <c r="N3070" t="s">
        <v>11429</v>
      </c>
      <c r="O3070" t="s">
        <v>101</v>
      </c>
      <c r="P3070" t="s">
        <v>15651</v>
      </c>
      <c r="Q3070" t="s">
        <v>71</v>
      </c>
      <c r="R3070" t="s">
        <v>344</v>
      </c>
      <c r="S3070">
        <v>1.5</v>
      </c>
      <c r="T3070">
        <v>3501</v>
      </c>
      <c r="U3070">
        <v>0</v>
      </c>
      <c r="V3070">
        <v>3501</v>
      </c>
    </row>
    <row r="3071" spans="1:22" x14ac:dyDescent="0.3">
      <c r="A3071">
        <v>186607</v>
      </c>
      <c r="B3071">
        <v>135983303</v>
      </c>
      <c r="C3071" t="s">
        <v>15652</v>
      </c>
      <c r="D3071" t="s">
        <v>15653</v>
      </c>
      <c r="E3071" t="s">
        <v>11426</v>
      </c>
      <c r="F3071" t="s">
        <v>844</v>
      </c>
      <c r="G3071" t="s">
        <v>164</v>
      </c>
      <c r="H3071" t="s">
        <v>165</v>
      </c>
      <c r="I3071" t="s">
        <v>34</v>
      </c>
      <c r="J3071" t="s">
        <v>166</v>
      </c>
      <c r="K3071" t="s">
        <v>41</v>
      </c>
      <c r="L3071" t="s">
        <v>15654</v>
      </c>
      <c r="M3071" t="s">
        <v>15655</v>
      </c>
      <c r="N3071" t="s">
        <v>11429</v>
      </c>
      <c r="O3071" t="s">
        <v>101</v>
      </c>
      <c r="P3071" t="s">
        <v>15656</v>
      </c>
      <c r="Q3071" t="s">
        <v>69</v>
      </c>
      <c r="R3071" t="s">
        <v>178</v>
      </c>
      <c r="S3071">
        <v>1</v>
      </c>
      <c r="T3071">
        <v>3753</v>
      </c>
      <c r="U3071">
        <v>0</v>
      </c>
      <c r="V3071">
        <v>3753</v>
      </c>
    </row>
    <row r="3072" spans="1:22" x14ac:dyDescent="0.3">
      <c r="A3072">
        <v>186607</v>
      </c>
      <c r="B3072">
        <v>135849683</v>
      </c>
      <c r="C3072" t="s">
        <v>15657</v>
      </c>
      <c r="D3072" t="s">
        <v>15658</v>
      </c>
      <c r="E3072" t="s">
        <v>11426</v>
      </c>
      <c r="F3072" t="s">
        <v>844</v>
      </c>
      <c r="G3072" t="s">
        <v>164</v>
      </c>
      <c r="H3072" t="s">
        <v>165</v>
      </c>
      <c r="I3072" t="s">
        <v>34</v>
      </c>
      <c r="J3072" t="s">
        <v>166</v>
      </c>
      <c r="K3072" t="s">
        <v>41</v>
      </c>
      <c r="L3072" t="s">
        <v>15659</v>
      </c>
      <c r="M3072" t="s">
        <v>15660</v>
      </c>
      <c r="N3072" t="s">
        <v>11429</v>
      </c>
      <c r="O3072" t="s">
        <v>101</v>
      </c>
      <c r="P3072" t="s">
        <v>15661</v>
      </c>
      <c r="Q3072" t="s">
        <v>76</v>
      </c>
      <c r="R3072" t="s">
        <v>500</v>
      </c>
      <c r="S3072">
        <v>1.5</v>
      </c>
      <c r="T3072">
        <v>3753</v>
      </c>
      <c r="U3072">
        <v>0</v>
      </c>
      <c r="V3072">
        <v>3753</v>
      </c>
    </row>
    <row r="3073" spans="1:22" x14ac:dyDescent="0.3">
      <c r="A3073">
        <v>186607</v>
      </c>
      <c r="B3073">
        <v>135790745</v>
      </c>
      <c r="C3073" t="s">
        <v>15662</v>
      </c>
      <c r="D3073" t="s">
        <v>15663</v>
      </c>
      <c r="E3073" t="s">
        <v>11426</v>
      </c>
      <c r="F3073" t="s">
        <v>844</v>
      </c>
      <c r="G3073" t="s">
        <v>164</v>
      </c>
      <c r="H3073" t="s">
        <v>165</v>
      </c>
      <c r="I3073" t="s">
        <v>34</v>
      </c>
      <c r="J3073" t="s">
        <v>166</v>
      </c>
      <c r="K3073" t="s">
        <v>41</v>
      </c>
      <c r="L3073" t="s">
        <v>15664</v>
      </c>
      <c r="M3073" t="s">
        <v>15665</v>
      </c>
      <c r="N3073" t="s">
        <v>11429</v>
      </c>
      <c r="O3073" t="s">
        <v>101</v>
      </c>
      <c r="P3073" t="s">
        <v>15666</v>
      </c>
      <c r="Q3073" t="s">
        <v>58</v>
      </c>
      <c r="R3073" t="s">
        <v>509</v>
      </c>
      <c r="S3073">
        <v>1</v>
      </c>
      <c r="T3073">
        <v>5759</v>
      </c>
      <c r="U3073">
        <v>0</v>
      </c>
      <c r="V3073">
        <v>5759</v>
      </c>
    </row>
    <row r="3074" spans="1:22" x14ac:dyDescent="0.3">
      <c r="A3074">
        <v>186607</v>
      </c>
      <c r="B3074">
        <v>135983099</v>
      </c>
      <c r="C3074" t="s">
        <v>15667</v>
      </c>
      <c r="D3074" t="s">
        <v>15668</v>
      </c>
      <c r="E3074" t="s">
        <v>11426</v>
      </c>
      <c r="F3074" t="s">
        <v>844</v>
      </c>
      <c r="G3074" t="s">
        <v>164</v>
      </c>
      <c r="H3074" t="s">
        <v>165</v>
      </c>
      <c r="I3074" t="s">
        <v>34</v>
      </c>
      <c r="J3074" t="s">
        <v>166</v>
      </c>
      <c r="K3074" t="s">
        <v>41</v>
      </c>
      <c r="L3074" t="s">
        <v>15669</v>
      </c>
      <c r="M3074" t="s">
        <v>833</v>
      </c>
      <c r="N3074" t="s">
        <v>11429</v>
      </c>
      <c r="O3074" t="s">
        <v>101</v>
      </c>
      <c r="P3074" t="s">
        <v>15670</v>
      </c>
      <c r="Q3074" t="s">
        <v>92</v>
      </c>
      <c r="R3074" t="s">
        <v>344</v>
      </c>
      <c r="S3074">
        <v>1</v>
      </c>
      <c r="T3074">
        <v>3366</v>
      </c>
      <c r="U3074">
        <v>0</v>
      </c>
      <c r="V3074">
        <v>3366</v>
      </c>
    </row>
    <row r="3075" spans="1:22" x14ac:dyDescent="0.3">
      <c r="A3075">
        <v>186607</v>
      </c>
      <c r="B3075">
        <v>135790590</v>
      </c>
      <c r="C3075" t="s">
        <v>15671</v>
      </c>
      <c r="D3075" t="s">
        <v>15672</v>
      </c>
      <c r="E3075" t="s">
        <v>11426</v>
      </c>
      <c r="F3075" t="s">
        <v>844</v>
      </c>
      <c r="G3075" t="s">
        <v>164</v>
      </c>
      <c r="H3075" t="s">
        <v>165</v>
      </c>
      <c r="I3075" t="s">
        <v>34</v>
      </c>
      <c r="J3075" t="s">
        <v>166</v>
      </c>
      <c r="K3075" t="s">
        <v>41</v>
      </c>
      <c r="L3075" t="s">
        <v>15673</v>
      </c>
      <c r="M3075" t="s">
        <v>15674</v>
      </c>
      <c r="N3075" t="s">
        <v>11429</v>
      </c>
      <c r="O3075" t="s">
        <v>101</v>
      </c>
      <c r="P3075" t="s">
        <v>15675</v>
      </c>
      <c r="Q3075" t="s">
        <v>55</v>
      </c>
      <c r="R3075" t="s">
        <v>770</v>
      </c>
      <c r="S3075">
        <v>4.16</v>
      </c>
      <c r="T3075">
        <v>7484</v>
      </c>
      <c r="U3075">
        <v>0</v>
      </c>
      <c r="V3075">
        <v>7484</v>
      </c>
    </row>
    <row r="3076" spans="1:22" x14ac:dyDescent="0.3">
      <c r="A3076">
        <v>186607</v>
      </c>
      <c r="B3076">
        <v>135849059</v>
      </c>
      <c r="C3076" t="s">
        <v>15676</v>
      </c>
      <c r="D3076" t="s">
        <v>15677</v>
      </c>
      <c r="E3076" t="s">
        <v>11426</v>
      </c>
      <c r="F3076" t="s">
        <v>844</v>
      </c>
      <c r="G3076" t="s">
        <v>164</v>
      </c>
      <c r="H3076" t="s">
        <v>165</v>
      </c>
      <c r="I3076" t="s">
        <v>34</v>
      </c>
      <c r="J3076" t="s">
        <v>166</v>
      </c>
      <c r="K3076" t="s">
        <v>41</v>
      </c>
      <c r="L3076" t="s">
        <v>15678</v>
      </c>
      <c r="M3076" t="s">
        <v>15679</v>
      </c>
      <c r="N3076" t="s">
        <v>11429</v>
      </c>
      <c r="O3076" t="s">
        <v>101</v>
      </c>
      <c r="P3076" t="s">
        <v>15680</v>
      </c>
      <c r="Q3076" t="s">
        <v>84</v>
      </c>
      <c r="R3076" t="s">
        <v>501</v>
      </c>
      <c r="S3076">
        <v>1</v>
      </c>
      <c r="T3076">
        <v>3366</v>
      </c>
      <c r="U3076">
        <v>0</v>
      </c>
      <c r="V3076">
        <v>3366</v>
      </c>
    </row>
    <row r="3077" spans="1:22" x14ac:dyDescent="0.3">
      <c r="A3077">
        <v>186607</v>
      </c>
      <c r="B3077">
        <v>135905493</v>
      </c>
      <c r="C3077" t="s">
        <v>15681</v>
      </c>
      <c r="D3077" t="s">
        <v>15682</v>
      </c>
      <c r="E3077" t="s">
        <v>11426</v>
      </c>
      <c r="F3077" t="s">
        <v>844</v>
      </c>
      <c r="G3077" t="s">
        <v>164</v>
      </c>
      <c r="H3077" t="s">
        <v>165</v>
      </c>
      <c r="I3077" t="s">
        <v>34</v>
      </c>
      <c r="J3077" t="s">
        <v>166</v>
      </c>
      <c r="K3077" t="s">
        <v>41</v>
      </c>
      <c r="L3077" t="s">
        <v>378</v>
      </c>
      <c r="M3077" t="s">
        <v>379</v>
      </c>
      <c r="N3077" t="s">
        <v>11429</v>
      </c>
      <c r="O3077" t="s">
        <v>101</v>
      </c>
      <c r="P3077" t="s">
        <v>15683</v>
      </c>
      <c r="Q3077" t="s">
        <v>96</v>
      </c>
      <c r="R3077" t="s">
        <v>498</v>
      </c>
      <c r="S3077">
        <v>0.5</v>
      </c>
      <c r="T3077">
        <v>3794</v>
      </c>
      <c r="U3077">
        <v>0</v>
      </c>
      <c r="V3077">
        <v>3794</v>
      </c>
    </row>
    <row r="3078" spans="1:22" x14ac:dyDescent="0.3">
      <c r="A3078">
        <v>186607</v>
      </c>
      <c r="B3078">
        <v>135983085</v>
      </c>
      <c r="C3078" t="s">
        <v>15684</v>
      </c>
      <c r="D3078" t="s">
        <v>15685</v>
      </c>
      <c r="E3078" t="s">
        <v>11426</v>
      </c>
      <c r="F3078" t="s">
        <v>844</v>
      </c>
      <c r="G3078" t="s">
        <v>164</v>
      </c>
      <c r="H3078" t="s">
        <v>165</v>
      </c>
      <c r="I3078" t="s">
        <v>34</v>
      </c>
      <c r="J3078" t="s">
        <v>166</v>
      </c>
      <c r="K3078" t="s">
        <v>41</v>
      </c>
      <c r="L3078" t="s">
        <v>15686</v>
      </c>
      <c r="M3078" t="s">
        <v>15687</v>
      </c>
      <c r="N3078" t="s">
        <v>11429</v>
      </c>
      <c r="O3078" t="s">
        <v>101</v>
      </c>
      <c r="P3078" t="s">
        <v>15688</v>
      </c>
      <c r="Q3078" t="s">
        <v>68</v>
      </c>
      <c r="R3078" t="s">
        <v>15480</v>
      </c>
      <c r="S3078">
        <v>1.5</v>
      </c>
      <c r="T3078">
        <v>3753</v>
      </c>
      <c r="U3078">
        <v>0</v>
      </c>
      <c r="V3078">
        <v>3753</v>
      </c>
    </row>
    <row r="3079" spans="1:22" x14ac:dyDescent="0.3">
      <c r="A3079">
        <v>186607</v>
      </c>
      <c r="B3079">
        <v>135711998</v>
      </c>
      <c r="C3079" t="s">
        <v>15689</v>
      </c>
      <c r="D3079" t="s">
        <v>15690</v>
      </c>
      <c r="E3079" t="s">
        <v>11426</v>
      </c>
      <c r="F3079" t="s">
        <v>844</v>
      </c>
      <c r="G3079" t="s">
        <v>164</v>
      </c>
      <c r="H3079" t="s">
        <v>165</v>
      </c>
      <c r="I3079" t="s">
        <v>34</v>
      </c>
      <c r="J3079" t="s">
        <v>166</v>
      </c>
      <c r="K3079" t="s">
        <v>41</v>
      </c>
      <c r="L3079" t="s">
        <v>15691</v>
      </c>
      <c r="M3079" t="s">
        <v>15692</v>
      </c>
      <c r="N3079" t="s">
        <v>11429</v>
      </c>
      <c r="O3079" t="s">
        <v>101</v>
      </c>
      <c r="P3079" t="s">
        <v>15693</v>
      </c>
      <c r="Q3079" t="s">
        <v>741</v>
      </c>
      <c r="R3079" t="s">
        <v>12992</v>
      </c>
      <c r="S3079">
        <v>1.65</v>
      </c>
      <c r="T3079">
        <v>4067</v>
      </c>
      <c r="U3079">
        <v>0</v>
      </c>
      <c r="V3079">
        <v>4067</v>
      </c>
    </row>
    <row r="3080" spans="1:22" x14ac:dyDescent="0.3">
      <c r="A3080">
        <v>186607</v>
      </c>
      <c r="B3080">
        <v>135849007</v>
      </c>
      <c r="C3080" t="s">
        <v>15694</v>
      </c>
      <c r="D3080" t="s">
        <v>15695</v>
      </c>
      <c r="E3080" t="s">
        <v>11426</v>
      </c>
      <c r="F3080" t="s">
        <v>844</v>
      </c>
      <c r="G3080" t="s">
        <v>164</v>
      </c>
      <c r="H3080" t="s">
        <v>165</v>
      </c>
      <c r="I3080" t="s">
        <v>34</v>
      </c>
      <c r="J3080" t="s">
        <v>166</v>
      </c>
      <c r="K3080" t="s">
        <v>41</v>
      </c>
      <c r="L3080" t="s">
        <v>15696</v>
      </c>
      <c r="M3080" t="s">
        <v>15697</v>
      </c>
      <c r="N3080" t="s">
        <v>11429</v>
      </c>
      <c r="O3080" t="s">
        <v>101</v>
      </c>
      <c r="P3080" t="s">
        <v>15698</v>
      </c>
      <c r="Q3080" t="s">
        <v>110</v>
      </c>
      <c r="R3080" t="s">
        <v>501</v>
      </c>
      <c r="S3080">
        <v>1.5</v>
      </c>
      <c r="T3080">
        <v>7506</v>
      </c>
      <c r="U3080">
        <v>0</v>
      </c>
      <c r="V3080">
        <v>7506</v>
      </c>
    </row>
    <row r="3081" spans="1:22" x14ac:dyDescent="0.3">
      <c r="A3081">
        <v>186607</v>
      </c>
      <c r="B3081">
        <v>135983093</v>
      </c>
      <c r="C3081" t="s">
        <v>15699</v>
      </c>
      <c r="D3081" t="s">
        <v>15700</v>
      </c>
      <c r="E3081" t="s">
        <v>11426</v>
      </c>
      <c r="F3081" t="s">
        <v>844</v>
      </c>
      <c r="G3081" t="s">
        <v>164</v>
      </c>
      <c r="H3081" t="s">
        <v>165</v>
      </c>
      <c r="I3081" t="s">
        <v>34</v>
      </c>
      <c r="J3081" t="s">
        <v>166</v>
      </c>
      <c r="K3081" t="s">
        <v>41</v>
      </c>
      <c r="L3081" t="s">
        <v>402</v>
      </c>
      <c r="M3081" t="s">
        <v>15701</v>
      </c>
      <c r="N3081" t="s">
        <v>11429</v>
      </c>
      <c r="O3081" t="s">
        <v>101</v>
      </c>
      <c r="P3081" t="s">
        <v>15702</v>
      </c>
      <c r="Q3081" t="s">
        <v>49</v>
      </c>
      <c r="R3081" t="s">
        <v>344</v>
      </c>
      <c r="S3081">
        <v>1</v>
      </c>
      <c r="T3081">
        <v>3784</v>
      </c>
      <c r="U3081">
        <v>0</v>
      </c>
      <c r="V3081">
        <v>3784</v>
      </c>
    </row>
    <row r="3082" spans="1:22" x14ac:dyDescent="0.3">
      <c r="A3082">
        <v>186607</v>
      </c>
      <c r="B3082">
        <v>135905457</v>
      </c>
      <c r="C3082" t="s">
        <v>15703</v>
      </c>
      <c r="D3082" t="s">
        <v>15704</v>
      </c>
      <c r="E3082" t="s">
        <v>11426</v>
      </c>
      <c r="F3082" t="s">
        <v>844</v>
      </c>
      <c r="G3082" t="s">
        <v>164</v>
      </c>
      <c r="H3082" t="s">
        <v>165</v>
      </c>
      <c r="I3082" t="s">
        <v>34</v>
      </c>
      <c r="J3082" t="s">
        <v>166</v>
      </c>
      <c r="K3082" t="s">
        <v>41</v>
      </c>
      <c r="L3082" t="s">
        <v>15705</v>
      </c>
      <c r="M3082" t="s">
        <v>15706</v>
      </c>
      <c r="N3082" t="s">
        <v>11429</v>
      </c>
      <c r="O3082" t="s">
        <v>101</v>
      </c>
      <c r="P3082" t="s">
        <v>15707</v>
      </c>
      <c r="Q3082" t="s">
        <v>187</v>
      </c>
      <c r="R3082" t="s">
        <v>498</v>
      </c>
      <c r="S3082">
        <v>0.5</v>
      </c>
      <c r="T3082">
        <v>3449</v>
      </c>
      <c r="U3082">
        <v>0</v>
      </c>
      <c r="V3082">
        <v>3449</v>
      </c>
    </row>
    <row r="3083" spans="1:22" x14ac:dyDescent="0.3">
      <c r="A3083">
        <v>186607</v>
      </c>
      <c r="B3083">
        <v>135983190</v>
      </c>
      <c r="C3083" t="s">
        <v>15708</v>
      </c>
      <c r="D3083" t="s">
        <v>15709</v>
      </c>
      <c r="E3083" t="s">
        <v>11426</v>
      </c>
      <c r="F3083" t="s">
        <v>844</v>
      </c>
      <c r="G3083" t="s">
        <v>164</v>
      </c>
      <c r="H3083" t="s">
        <v>165</v>
      </c>
      <c r="I3083" t="s">
        <v>34</v>
      </c>
      <c r="J3083" t="s">
        <v>166</v>
      </c>
      <c r="K3083" t="s">
        <v>41</v>
      </c>
      <c r="L3083" t="s">
        <v>15710</v>
      </c>
      <c r="M3083" t="s">
        <v>15711</v>
      </c>
      <c r="N3083" t="s">
        <v>11429</v>
      </c>
      <c r="O3083" t="s">
        <v>101</v>
      </c>
      <c r="P3083" t="s">
        <v>15712</v>
      </c>
      <c r="Q3083" t="s">
        <v>72</v>
      </c>
      <c r="R3083" t="s">
        <v>344</v>
      </c>
      <c r="S3083">
        <v>1</v>
      </c>
      <c r="T3083">
        <v>3784</v>
      </c>
      <c r="U3083">
        <v>0</v>
      </c>
      <c r="V3083">
        <v>3784</v>
      </c>
    </row>
    <row r="3084" spans="1:22" x14ac:dyDescent="0.3">
      <c r="A3084">
        <v>186607</v>
      </c>
      <c r="B3084">
        <v>135848855</v>
      </c>
      <c r="C3084" t="s">
        <v>15713</v>
      </c>
      <c r="D3084" t="s">
        <v>15714</v>
      </c>
      <c r="E3084" t="s">
        <v>11426</v>
      </c>
      <c r="F3084" t="s">
        <v>844</v>
      </c>
      <c r="G3084" t="s">
        <v>164</v>
      </c>
      <c r="H3084" t="s">
        <v>165</v>
      </c>
      <c r="I3084" t="s">
        <v>34</v>
      </c>
      <c r="J3084" t="s">
        <v>166</v>
      </c>
      <c r="K3084" t="s">
        <v>41</v>
      </c>
      <c r="L3084" t="s">
        <v>15715</v>
      </c>
      <c r="M3084" t="s">
        <v>15716</v>
      </c>
      <c r="N3084" t="s">
        <v>11429</v>
      </c>
      <c r="O3084" t="s">
        <v>101</v>
      </c>
      <c r="P3084" t="s">
        <v>15717</v>
      </c>
      <c r="Q3084" t="s">
        <v>54</v>
      </c>
      <c r="R3084" t="s">
        <v>737</v>
      </c>
      <c r="S3084">
        <v>2.4300000000000002</v>
      </c>
      <c r="T3084">
        <v>5759</v>
      </c>
      <c r="U3084">
        <v>0</v>
      </c>
      <c r="V3084">
        <v>5759</v>
      </c>
    </row>
    <row r="3085" spans="1:22" x14ac:dyDescent="0.3">
      <c r="A3085">
        <v>186607</v>
      </c>
      <c r="B3085">
        <v>135905406</v>
      </c>
      <c r="C3085" t="s">
        <v>15718</v>
      </c>
      <c r="D3085" t="s">
        <v>15719</v>
      </c>
      <c r="E3085" t="s">
        <v>11426</v>
      </c>
      <c r="F3085" t="s">
        <v>844</v>
      </c>
      <c r="G3085" t="s">
        <v>164</v>
      </c>
      <c r="H3085" t="s">
        <v>165</v>
      </c>
      <c r="I3085" t="s">
        <v>34</v>
      </c>
      <c r="J3085" t="s">
        <v>166</v>
      </c>
      <c r="K3085" t="s">
        <v>41</v>
      </c>
      <c r="L3085" t="s">
        <v>15720</v>
      </c>
      <c r="M3085" t="s">
        <v>15721</v>
      </c>
      <c r="N3085" t="s">
        <v>11429</v>
      </c>
      <c r="O3085" t="s">
        <v>101</v>
      </c>
      <c r="P3085" t="s">
        <v>15722</v>
      </c>
      <c r="Q3085" t="s">
        <v>50</v>
      </c>
      <c r="R3085" t="s">
        <v>498</v>
      </c>
      <c r="S3085">
        <v>1</v>
      </c>
      <c r="T3085">
        <v>3784</v>
      </c>
      <c r="U3085">
        <v>0</v>
      </c>
      <c r="V3085">
        <v>3784</v>
      </c>
    </row>
    <row r="3086" spans="1:22" x14ac:dyDescent="0.3">
      <c r="A3086">
        <v>186607</v>
      </c>
      <c r="B3086">
        <v>135983141</v>
      </c>
      <c r="C3086" t="s">
        <v>15723</v>
      </c>
      <c r="D3086" t="s">
        <v>15724</v>
      </c>
      <c r="E3086" t="s">
        <v>11426</v>
      </c>
      <c r="F3086" t="s">
        <v>844</v>
      </c>
      <c r="G3086" t="s">
        <v>164</v>
      </c>
      <c r="H3086" t="s">
        <v>165</v>
      </c>
      <c r="I3086" t="s">
        <v>34</v>
      </c>
      <c r="J3086" t="s">
        <v>166</v>
      </c>
      <c r="K3086" t="s">
        <v>41</v>
      </c>
      <c r="L3086" t="s">
        <v>15725</v>
      </c>
      <c r="M3086" t="s">
        <v>15726</v>
      </c>
      <c r="N3086" t="s">
        <v>11429</v>
      </c>
      <c r="O3086" t="s">
        <v>101</v>
      </c>
      <c r="P3086" t="s">
        <v>15727</v>
      </c>
      <c r="Q3086" t="s">
        <v>49</v>
      </c>
      <c r="R3086" t="s">
        <v>344</v>
      </c>
      <c r="S3086">
        <v>1.5</v>
      </c>
      <c r="T3086">
        <v>3784</v>
      </c>
      <c r="U3086">
        <v>0</v>
      </c>
      <c r="V3086">
        <v>3784</v>
      </c>
    </row>
    <row r="3087" spans="1:22" x14ac:dyDescent="0.3">
      <c r="A3087">
        <v>186607</v>
      </c>
      <c r="B3087">
        <v>135849114</v>
      </c>
      <c r="C3087" t="s">
        <v>15728</v>
      </c>
      <c r="D3087" t="s">
        <v>15729</v>
      </c>
      <c r="E3087" t="s">
        <v>11426</v>
      </c>
      <c r="F3087" t="s">
        <v>844</v>
      </c>
      <c r="G3087" t="s">
        <v>164</v>
      </c>
      <c r="H3087" t="s">
        <v>165</v>
      </c>
      <c r="I3087" t="s">
        <v>34</v>
      </c>
      <c r="J3087" t="s">
        <v>166</v>
      </c>
      <c r="K3087" t="s">
        <v>41</v>
      </c>
      <c r="L3087" t="s">
        <v>15730</v>
      </c>
      <c r="M3087" t="s">
        <v>15731</v>
      </c>
      <c r="N3087" t="s">
        <v>11429</v>
      </c>
      <c r="O3087" t="s">
        <v>101</v>
      </c>
      <c r="P3087" t="s">
        <v>15732</v>
      </c>
      <c r="Q3087" t="s">
        <v>84</v>
      </c>
      <c r="R3087" t="s">
        <v>501</v>
      </c>
      <c r="S3087">
        <v>1</v>
      </c>
      <c r="T3087">
        <v>3366</v>
      </c>
      <c r="U3087">
        <v>0</v>
      </c>
      <c r="V3087">
        <v>3366</v>
      </c>
    </row>
    <row r="3088" spans="1:22" x14ac:dyDescent="0.3">
      <c r="A3088">
        <v>186607</v>
      </c>
      <c r="B3088">
        <v>135983127</v>
      </c>
      <c r="C3088" t="s">
        <v>15733</v>
      </c>
      <c r="D3088" t="s">
        <v>15734</v>
      </c>
      <c r="E3088" t="s">
        <v>11426</v>
      </c>
      <c r="F3088" t="s">
        <v>844</v>
      </c>
      <c r="G3088" t="s">
        <v>164</v>
      </c>
      <c r="H3088" t="s">
        <v>165</v>
      </c>
      <c r="I3088" t="s">
        <v>34</v>
      </c>
      <c r="J3088" t="s">
        <v>166</v>
      </c>
      <c r="K3088" t="s">
        <v>41</v>
      </c>
      <c r="L3088" t="s">
        <v>15735</v>
      </c>
      <c r="M3088" t="s">
        <v>15736</v>
      </c>
      <c r="N3088" t="s">
        <v>11429</v>
      </c>
      <c r="O3088" t="s">
        <v>101</v>
      </c>
      <c r="P3088" t="s">
        <v>15737</v>
      </c>
      <c r="Q3088" t="s">
        <v>234</v>
      </c>
      <c r="R3088" t="s">
        <v>344</v>
      </c>
      <c r="S3088">
        <v>1.5</v>
      </c>
      <c r="T3088">
        <v>3366</v>
      </c>
      <c r="U3088">
        <v>0</v>
      </c>
      <c r="V3088">
        <v>3366</v>
      </c>
    </row>
    <row r="3089" spans="1:22" x14ac:dyDescent="0.3">
      <c r="A3089">
        <v>186607</v>
      </c>
      <c r="B3089">
        <v>135905424</v>
      </c>
      <c r="C3089" t="s">
        <v>15738</v>
      </c>
      <c r="D3089" t="s">
        <v>15739</v>
      </c>
      <c r="E3089" t="s">
        <v>11426</v>
      </c>
      <c r="F3089" t="s">
        <v>844</v>
      </c>
      <c r="G3089" t="s">
        <v>164</v>
      </c>
      <c r="H3089" t="s">
        <v>165</v>
      </c>
      <c r="I3089" t="s">
        <v>34</v>
      </c>
      <c r="J3089" t="s">
        <v>166</v>
      </c>
      <c r="K3089" t="s">
        <v>41</v>
      </c>
      <c r="L3089" t="s">
        <v>15740</v>
      </c>
      <c r="M3089" t="s">
        <v>15741</v>
      </c>
      <c r="N3089" t="s">
        <v>11429</v>
      </c>
      <c r="O3089" t="s">
        <v>101</v>
      </c>
      <c r="P3089" t="s">
        <v>15742</v>
      </c>
      <c r="Q3089" t="s">
        <v>84</v>
      </c>
      <c r="R3089" t="s">
        <v>498</v>
      </c>
      <c r="S3089">
        <v>1.5</v>
      </c>
      <c r="T3089">
        <v>3366</v>
      </c>
      <c r="U3089">
        <v>0</v>
      </c>
      <c r="V3089">
        <v>3366</v>
      </c>
    </row>
    <row r="3090" spans="1:22" x14ac:dyDescent="0.3">
      <c r="A3090">
        <v>186607</v>
      </c>
      <c r="B3090">
        <v>135983257</v>
      </c>
      <c r="C3090" t="s">
        <v>15743</v>
      </c>
      <c r="D3090" t="s">
        <v>15744</v>
      </c>
      <c r="E3090" t="s">
        <v>11426</v>
      </c>
      <c r="F3090" t="s">
        <v>844</v>
      </c>
      <c r="G3090" t="s">
        <v>164</v>
      </c>
      <c r="H3090" t="s">
        <v>165</v>
      </c>
      <c r="I3090" t="s">
        <v>34</v>
      </c>
      <c r="J3090" t="s">
        <v>166</v>
      </c>
      <c r="K3090" t="s">
        <v>41</v>
      </c>
      <c r="L3090" t="s">
        <v>15745</v>
      </c>
      <c r="M3090" t="s">
        <v>182</v>
      </c>
      <c r="N3090" t="s">
        <v>11429</v>
      </c>
      <c r="O3090" t="s">
        <v>101</v>
      </c>
      <c r="P3090" t="s">
        <v>15746</v>
      </c>
      <c r="Q3090" t="s">
        <v>76</v>
      </c>
      <c r="R3090" t="s">
        <v>344</v>
      </c>
      <c r="S3090">
        <v>1</v>
      </c>
      <c r="T3090">
        <v>3753</v>
      </c>
      <c r="U3090">
        <v>0</v>
      </c>
      <c r="V3090">
        <v>3753</v>
      </c>
    </row>
    <row r="3091" spans="1:22" x14ac:dyDescent="0.3">
      <c r="A3091">
        <v>186607</v>
      </c>
      <c r="B3091">
        <v>135790638</v>
      </c>
      <c r="C3091" t="s">
        <v>15747</v>
      </c>
      <c r="D3091" t="s">
        <v>15748</v>
      </c>
      <c r="E3091" t="s">
        <v>11426</v>
      </c>
      <c r="F3091" t="s">
        <v>844</v>
      </c>
      <c r="G3091" t="s">
        <v>164</v>
      </c>
      <c r="H3091" t="s">
        <v>165</v>
      </c>
      <c r="I3091" t="s">
        <v>34</v>
      </c>
      <c r="J3091" t="s">
        <v>166</v>
      </c>
      <c r="K3091" t="s">
        <v>41</v>
      </c>
      <c r="L3091" t="s">
        <v>15749</v>
      </c>
      <c r="M3091" t="s">
        <v>15750</v>
      </c>
      <c r="N3091" t="s">
        <v>11429</v>
      </c>
      <c r="O3091" t="s">
        <v>101</v>
      </c>
      <c r="P3091" t="s">
        <v>15751</v>
      </c>
      <c r="Q3091" t="s">
        <v>60</v>
      </c>
      <c r="R3091" t="s">
        <v>770</v>
      </c>
      <c r="S3091">
        <v>2.57</v>
      </c>
      <c r="T3091">
        <v>4346</v>
      </c>
      <c r="U3091">
        <v>0</v>
      </c>
      <c r="V3091">
        <v>4346</v>
      </c>
    </row>
    <row r="3092" spans="1:22" x14ac:dyDescent="0.3">
      <c r="A3092">
        <v>186607</v>
      </c>
      <c r="B3092">
        <v>135848940</v>
      </c>
      <c r="C3092" t="s">
        <v>15752</v>
      </c>
      <c r="D3092" t="s">
        <v>15753</v>
      </c>
      <c r="E3092" t="s">
        <v>11426</v>
      </c>
      <c r="F3092" t="s">
        <v>844</v>
      </c>
      <c r="G3092" t="s">
        <v>164</v>
      </c>
      <c r="H3092" t="s">
        <v>165</v>
      </c>
      <c r="I3092" t="s">
        <v>34</v>
      </c>
      <c r="J3092" t="s">
        <v>166</v>
      </c>
      <c r="K3092" t="s">
        <v>41</v>
      </c>
      <c r="L3092" t="s">
        <v>15754</v>
      </c>
      <c r="M3092" t="s">
        <v>15755</v>
      </c>
      <c r="N3092" t="s">
        <v>11429</v>
      </c>
      <c r="O3092" t="s">
        <v>101</v>
      </c>
      <c r="P3092" t="s">
        <v>15756</v>
      </c>
      <c r="Q3092" t="s">
        <v>71</v>
      </c>
      <c r="R3092" t="s">
        <v>737</v>
      </c>
      <c r="S3092">
        <v>1</v>
      </c>
      <c r="T3092">
        <v>3501</v>
      </c>
      <c r="U3092">
        <v>0</v>
      </c>
      <c r="V3092">
        <v>3501</v>
      </c>
    </row>
    <row r="3093" spans="1:22" x14ac:dyDescent="0.3">
      <c r="A3093">
        <v>186607</v>
      </c>
      <c r="B3093">
        <v>135983089</v>
      </c>
      <c r="C3093" t="s">
        <v>15757</v>
      </c>
      <c r="D3093" t="s">
        <v>15758</v>
      </c>
      <c r="E3093" t="s">
        <v>11426</v>
      </c>
      <c r="F3093" t="s">
        <v>844</v>
      </c>
      <c r="G3093" t="s">
        <v>164</v>
      </c>
      <c r="H3093" t="s">
        <v>165</v>
      </c>
      <c r="I3093" t="s">
        <v>34</v>
      </c>
      <c r="J3093" t="s">
        <v>166</v>
      </c>
      <c r="K3093" t="s">
        <v>41</v>
      </c>
      <c r="L3093" t="s">
        <v>15759</v>
      </c>
      <c r="M3093" t="s">
        <v>15760</v>
      </c>
      <c r="N3093" t="s">
        <v>11429</v>
      </c>
      <c r="O3093" t="s">
        <v>101</v>
      </c>
      <c r="P3093" t="s">
        <v>15761</v>
      </c>
      <c r="Q3093" t="s">
        <v>85</v>
      </c>
      <c r="R3093" t="s">
        <v>15480</v>
      </c>
      <c r="S3093">
        <v>1.5</v>
      </c>
      <c r="T3093">
        <v>3366</v>
      </c>
      <c r="U3093">
        <v>0</v>
      </c>
      <c r="V3093">
        <v>3366</v>
      </c>
    </row>
    <row r="3094" spans="1:22" x14ac:dyDescent="0.3">
      <c r="A3094">
        <v>186607</v>
      </c>
      <c r="B3094">
        <v>135848885</v>
      </c>
      <c r="C3094" t="s">
        <v>15762</v>
      </c>
      <c r="D3094" t="s">
        <v>15763</v>
      </c>
      <c r="E3094" t="s">
        <v>11426</v>
      </c>
      <c r="F3094" t="s">
        <v>844</v>
      </c>
      <c r="G3094" t="s">
        <v>164</v>
      </c>
      <c r="H3094" t="s">
        <v>165</v>
      </c>
      <c r="I3094" t="s">
        <v>34</v>
      </c>
      <c r="J3094" t="s">
        <v>166</v>
      </c>
      <c r="K3094" t="s">
        <v>41</v>
      </c>
      <c r="L3094" t="s">
        <v>15764</v>
      </c>
      <c r="M3094" t="s">
        <v>15765</v>
      </c>
      <c r="N3094" t="s">
        <v>11429</v>
      </c>
      <c r="O3094" t="s">
        <v>101</v>
      </c>
      <c r="P3094" t="s">
        <v>15766</v>
      </c>
      <c r="Q3094" t="s">
        <v>64</v>
      </c>
      <c r="R3094" t="s">
        <v>737</v>
      </c>
      <c r="S3094">
        <v>4.46</v>
      </c>
      <c r="T3094">
        <v>5111</v>
      </c>
      <c r="U3094">
        <v>0</v>
      </c>
      <c r="V3094">
        <v>5111</v>
      </c>
    </row>
    <row r="3095" spans="1:22" x14ac:dyDescent="0.3">
      <c r="A3095">
        <v>186607</v>
      </c>
      <c r="B3095">
        <v>135983370</v>
      </c>
      <c r="C3095" t="s">
        <v>15767</v>
      </c>
      <c r="D3095" t="s">
        <v>15768</v>
      </c>
      <c r="E3095" t="s">
        <v>11426</v>
      </c>
      <c r="F3095" t="s">
        <v>844</v>
      </c>
      <c r="G3095" t="s">
        <v>164</v>
      </c>
      <c r="H3095" t="s">
        <v>165</v>
      </c>
      <c r="I3095" t="s">
        <v>34</v>
      </c>
      <c r="J3095" t="s">
        <v>166</v>
      </c>
      <c r="K3095" t="s">
        <v>41</v>
      </c>
      <c r="L3095" t="s">
        <v>15769</v>
      </c>
      <c r="M3095" t="s">
        <v>15770</v>
      </c>
      <c r="N3095" t="s">
        <v>11429</v>
      </c>
      <c r="O3095" t="s">
        <v>101</v>
      </c>
      <c r="P3095" t="s">
        <v>15771</v>
      </c>
      <c r="Q3095" t="s">
        <v>216</v>
      </c>
      <c r="R3095" t="s">
        <v>178</v>
      </c>
      <c r="S3095">
        <v>1</v>
      </c>
      <c r="T3095">
        <v>3366</v>
      </c>
      <c r="U3095">
        <v>0</v>
      </c>
      <c r="V3095">
        <v>3366</v>
      </c>
    </row>
    <row r="3096" spans="1:22" x14ac:dyDescent="0.3">
      <c r="A3096">
        <v>186607</v>
      </c>
      <c r="B3096">
        <v>135790645</v>
      </c>
      <c r="C3096" t="s">
        <v>15772</v>
      </c>
      <c r="D3096" t="s">
        <v>15773</v>
      </c>
      <c r="E3096" t="s">
        <v>11426</v>
      </c>
      <c r="F3096" t="s">
        <v>844</v>
      </c>
      <c r="G3096" t="s">
        <v>164</v>
      </c>
      <c r="H3096" t="s">
        <v>165</v>
      </c>
      <c r="I3096" t="s">
        <v>34</v>
      </c>
      <c r="J3096" t="s">
        <v>166</v>
      </c>
      <c r="K3096" t="s">
        <v>41</v>
      </c>
      <c r="L3096" t="s">
        <v>15774</v>
      </c>
      <c r="M3096" t="s">
        <v>15775</v>
      </c>
      <c r="N3096" t="s">
        <v>11429</v>
      </c>
      <c r="O3096" t="s">
        <v>101</v>
      </c>
      <c r="P3096" t="s">
        <v>15776</v>
      </c>
      <c r="Q3096" t="s">
        <v>55</v>
      </c>
      <c r="R3096" t="s">
        <v>770</v>
      </c>
      <c r="S3096">
        <v>3.03</v>
      </c>
      <c r="T3096">
        <v>7484</v>
      </c>
      <c r="U3096">
        <v>0</v>
      </c>
      <c r="V3096">
        <v>7484</v>
      </c>
    </row>
    <row r="3097" spans="1:22" x14ac:dyDescent="0.3">
      <c r="A3097">
        <v>186607</v>
      </c>
      <c r="B3097">
        <v>135983372</v>
      </c>
      <c r="C3097" t="s">
        <v>15777</v>
      </c>
      <c r="D3097" t="s">
        <v>15778</v>
      </c>
      <c r="E3097" t="s">
        <v>11426</v>
      </c>
      <c r="F3097" t="s">
        <v>844</v>
      </c>
      <c r="G3097" t="s">
        <v>164</v>
      </c>
      <c r="H3097" t="s">
        <v>165</v>
      </c>
      <c r="I3097" t="s">
        <v>34</v>
      </c>
      <c r="J3097" t="s">
        <v>166</v>
      </c>
      <c r="K3097" t="s">
        <v>41</v>
      </c>
      <c r="L3097" t="s">
        <v>217</v>
      </c>
      <c r="M3097" t="s">
        <v>15779</v>
      </c>
      <c r="N3097" t="s">
        <v>11429</v>
      </c>
      <c r="O3097" t="s">
        <v>101</v>
      </c>
      <c r="P3097" t="s">
        <v>15780</v>
      </c>
      <c r="Q3097" t="s">
        <v>93</v>
      </c>
      <c r="R3097" t="s">
        <v>178</v>
      </c>
      <c r="S3097">
        <v>0.5</v>
      </c>
      <c r="T3097">
        <v>3299</v>
      </c>
      <c r="U3097">
        <v>0</v>
      </c>
      <c r="V3097">
        <v>3299</v>
      </c>
    </row>
    <row r="3098" spans="1:22" x14ac:dyDescent="0.3">
      <c r="A3098">
        <v>186607</v>
      </c>
      <c r="B3098">
        <v>135849025</v>
      </c>
      <c r="C3098" t="s">
        <v>15781</v>
      </c>
      <c r="D3098" t="s">
        <v>15782</v>
      </c>
      <c r="E3098" t="s">
        <v>11426</v>
      </c>
      <c r="F3098" t="s">
        <v>844</v>
      </c>
      <c r="G3098" t="s">
        <v>164</v>
      </c>
      <c r="H3098" t="s">
        <v>165</v>
      </c>
      <c r="I3098" t="s">
        <v>34</v>
      </c>
      <c r="J3098" t="s">
        <v>166</v>
      </c>
      <c r="K3098" t="s">
        <v>41</v>
      </c>
      <c r="L3098" t="s">
        <v>15783</v>
      </c>
      <c r="M3098" t="s">
        <v>15784</v>
      </c>
      <c r="N3098" t="s">
        <v>11429</v>
      </c>
      <c r="O3098" t="s">
        <v>101</v>
      </c>
      <c r="P3098" t="s">
        <v>15785</v>
      </c>
      <c r="Q3098" t="s">
        <v>94</v>
      </c>
      <c r="R3098" t="s">
        <v>501</v>
      </c>
      <c r="S3098">
        <v>1</v>
      </c>
      <c r="T3098">
        <v>3366</v>
      </c>
      <c r="U3098">
        <v>0</v>
      </c>
      <c r="V3098">
        <v>3366</v>
      </c>
    </row>
    <row r="3099" spans="1:22" x14ac:dyDescent="0.3">
      <c r="A3099">
        <v>186607</v>
      </c>
      <c r="B3099">
        <v>135712149</v>
      </c>
      <c r="C3099" t="s">
        <v>15786</v>
      </c>
      <c r="D3099" t="s">
        <v>15787</v>
      </c>
      <c r="E3099" t="s">
        <v>11426</v>
      </c>
      <c r="F3099" t="s">
        <v>844</v>
      </c>
      <c r="G3099" t="s">
        <v>164</v>
      </c>
      <c r="H3099" t="s">
        <v>165</v>
      </c>
      <c r="I3099" t="s">
        <v>34</v>
      </c>
      <c r="J3099" t="s">
        <v>166</v>
      </c>
      <c r="K3099" t="s">
        <v>41</v>
      </c>
      <c r="L3099" t="s">
        <v>15788</v>
      </c>
      <c r="M3099" t="s">
        <v>15789</v>
      </c>
      <c r="N3099" t="s">
        <v>11429</v>
      </c>
      <c r="O3099" t="s">
        <v>101</v>
      </c>
      <c r="P3099" t="s">
        <v>15790</v>
      </c>
      <c r="Q3099" t="s">
        <v>169</v>
      </c>
      <c r="R3099" t="s">
        <v>12992</v>
      </c>
      <c r="S3099">
        <v>3.41</v>
      </c>
      <c r="T3099">
        <v>5376</v>
      </c>
      <c r="U3099">
        <v>0</v>
      </c>
      <c r="V3099">
        <v>5376</v>
      </c>
    </row>
    <row r="3100" spans="1:22" x14ac:dyDescent="0.3">
      <c r="A3100">
        <v>186607</v>
      </c>
      <c r="B3100">
        <v>135790640</v>
      </c>
      <c r="C3100" t="s">
        <v>15791</v>
      </c>
      <c r="D3100" t="s">
        <v>15792</v>
      </c>
      <c r="E3100" t="s">
        <v>11426</v>
      </c>
      <c r="F3100" t="s">
        <v>844</v>
      </c>
      <c r="G3100" t="s">
        <v>164</v>
      </c>
      <c r="H3100" t="s">
        <v>165</v>
      </c>
      <c r="I3100" t="s">
        <v>34</v>
      </c>
      <c r="J3100" t="s">
        <v>166</v>
      </c>
      <c r="K3100" t="s">
        <v>41</v>
      </c>
      <c r="L3100" t="s">
        <v>373</v>
      </c>
      <c r="M3100" t="s">
        <v>15793</v>
      </c>
      <c r="N3100" t="s">
        <v>11429</v>
      </c>
      <c r="O3100" t="s">
        <v>101</v>
      </c>
      <c r="P3100" t="s">
        <v>15794</v>
      </c>
      <c r="Q3100" t="s">
        <v>57</v>
      </c>
      <c r="R3100" t="s">
        <v>770</v>
      </c>
      <c r="S3100">
        <v>3.59</v>
      </c>
      <c r="T3100">
        <v>7749</v>
      </c>
      <c r="U3100">
        <v>0</v>
      </c>
      <c r="V3100">
        <v>7749</v>
      </c>
    </row>
    <row r="3101" spans="1:22" x14ac:dyDescent="0.3">
      <c r="A3101">
        <v>186607</v>
      </c>
      <c r="B3101">
        <v>135790575</v>
      </c>
      <c r="C3101" t="s">
        <v>15795</v>
      </c>
      <c r="D3101" t="s">
        <v>15796</v>
      </c>
      <c r="E3101" t="s">
        <v>11426</v>
      </c>
      <c r="F3101" t="s">
        <v>844</v>
      </c>
      <c r="G3101" t="s">
        <v>164</v>
      </c>
      <c r="H3101" t="s">
        <v>165</v>
      </c>
      <c r="I3101" t="s">
        <v>34</v>
      </c>
      <c r="J3101" t="s">
        <v>166</v>
      </c>
      <c r="K3101" t="s">
        <v>41</v>
      </c>
      <c r="L3101" t="s">
        <v>15797</v>
      </c>
      <c r="M3101" t="s">
        <v>15798</v>
      </c>
      <c r="N3101" t="s">
        <v>11429</v>
      </c>
      <c r="O3101" t="s">
        <v>101</v>
      </c>
      <c r="P3101" t="s">
        <v>15799</v>
      </c>
      <c r="Q3101" t="s">
        <v>94</v>
      </c>
      <c r="R3101" t="s">
        <v>770</v>
      </c>
      <c r="S3101">
        <v>1</v>
      </c>
      <c r="T3101">
        <v>3366</v>
      </c>
      <c r="U3101">
        <v>0</v>
      </c>
      <c r="V3101">
        <v>3366</v>
      </c>
    </row>
    <row r="3102" spans="1:22" x14ac:dyDescent="0.3">
      <c r="A3102">
        <v>186607</v>
      </c>
      <c r="B3102">
        <v>135790670</v>
      </c>
      <c r="C3102" t="s">
        <v>15800</v>
      </c>
      <c r="D3102" t="s">
        <v>15801</v>
      </c>
      <c r="E3102" t="s">
        <v>11426</v>
      </c>
      <c r="F3102" t="s">
        <v>844</v>
      </c>
      <c r="G3102" t="s">
        <v>164</v>
      </c>
      <c r="H3102" t="s">
        <v>165</v>
      </c>
      <c r="I3102" t="s">
        <v>34</v>
      </c>
      <c r="J3102" t="s">
        <v>166</v>
      </c>
      <c r="K3102" t="s">
        <v>41</v>
      </c>
      <c r="L3102" t="s">
        <v>15802</v>
      </c>
      <c r="M3102" t="s">
        <v>15803</v>
      </c>
      <c r="N3102" t="s">
        <v>11429</v>
      </c>
      <c r="O3102" t="s">
        <v>101</v>
      </c>
      <c r="P3102" t="s">
        <v>15804</v>
      </c>
      <c r="Q3102" t="s">
        <v>63</v>
      </c>
      <c r="R3102" t="s">
        <v>770</v>
      </c>
      <c r="S3102">
        <v>3.43</v>
      </c>
      <c r="T3102">
        <v>5111</v>
      </c>
      <c r="U3102">
        <v>0</v>
      </c>
      <c r="V3102">
        <v>5111</v>
      </c>
    </row>
    <row r="3103" spans="1:22" x14ac:dyDescent="0.3">
      <c r="A3103">
        <v>186607</v>
      </c>
      <c r="B3103">
        <v>135712093</v>
      </c>
      <c r="C3103" t="s">
        <v>15805</v>
      </c>
      <c r="D3103" t="s">
        <v>15806</v>
      </c>
      <c r="E3103" t="s">
        <v>11426</v>
      </c>
      <c r="F3103" t="s">
        <v>844</v>
      </c>
      <c r="G3103" t="s">
        <v>164</v>
      </c>
      <c r="H3103" t="s">
        <v>165</v>
      </c>
      <c r="I3103" t="s">
        <v>34</v>
      </c>
      <c r="J3103" t="s">
        <v>166</v>
      </c>
      <c r="K3103" t="s">
        <v>41</v>
      </c>
      <c r="L3103" t="s">
        <v>15807</v>
      </c>
      <c r="M3103" t="s">
        <v>15808</v>
      </c>
      <c r="N3103" t="s">
        <v>11429</v>
      </c>
      <c r="O3103" t="s">
        <v>101</v>
      </c>
      <c r="P3103" t="s">
        <v>15809</v>
      </c>
      <c r="Q3103" t="s">
        <v>70</v>
      </c>
      <c r="R3103" t="s">
        <v>12992</v>
      </c>
      <c r="S3103">
        <v>6.31</v>
      </c>
      <c r="T3103">
        <v>5476</v>
      </c>
      <c r="U3103">
        <v>0</v>
      </c>
      <c r="V3103">
        <v>5476</v>
      </c>
    </row>
    <row r="3104" spans="1:22" x14ac:dyDescent="0.3">
      <c r="A3104">
        <v>186607</v>
      </c>
      <c r="B3104">
        <v>135790687</v>
      </c>
      <c r="C3104" t="s">
        <v>15810</v>
      </c>
      <c r="D3104" t="s">
        <v>15811</v>
      </c>
      <c r="E3104" t="s">
        <v>11426</v>
      </c>
      <c r="F3104" t="s">
        <v>844</v>
      </c>
      <c r="G3104" t="s">
        <v>164</v>
      </c>
      <c r="H3104" t="s">
        <v>165</v>
      </c>
      <c r="I3104" t="s">
        <v>34</v>
      </c>
      <c r="J3104" t="s">
        <v>166</v>
      </c>
      <c r="K3104" t="s">
        <v>41</v>
      </c>
      <c r="L3104" t="s">
        <v>572</v>
      </c>
      <c r="M3104" t="s">
        <v>15812</v>
      </c>
      <c r="N3104" t="s">
        <v>11429</v>
      </c>
      <c r="O3104" t="s">
        <v>101</v>
      </c>
      <c r="P3104" t="s">
        <v>15813</v>
      </c>
      <c r="Q3104" t="s">
        <v>92</v>
      </c>
      <c r="R3104" t="s">
        <v>770</v>
      </c>
      <c r="S3104">
        <v>2.65</v>
      </c>
      <c r="T3104">
        <v>3366</v>
      </c>
      <c r="U3104">
        <v>0</v>
      </c>
      <c r="V3104">
        <v>3366</v>
      </c>
    </row>
    <row r="3105" spans="1:22" x14ac:dyDescent="0.3">
      <c r="A3105">
        <v>186607</v>
      </c>
      <c r="B3105">
        <v>135790586</v>
      </c>
      <c r="C3105" t="s">
        <v>15814</v>
      </c>
      <c r="D3105" t="s">
        <v>15815</v>
      </c>
      <c r="E3105" t="s">
        <v>11426</v>
      </c>
      <c r="F3105" t="s">
        <v>844</v>
      </c>
      <c r="G3105" t="s">
        <v>164</v>
      </c>
      <c r="H3105" t="s">
        <v>165</v>
      </c>
      <c r="I3105" t="s">
        <v>34</v>
      </c>
      <c r="J3105" t="s">
        <v>166</v>
      </c>
      <c r="K3105" t="s">
        <v>41</v>
      </c>
      <c r="L3105" t="s">
        <v>15816</v>
      </c>
      <c r="M3105" t="s">
        <v>15817</v>
      </c>
      <c r="N3105" t="s">
        <v>11429</v>
      </c>
      <c r="O3105" t="s">
        <v>101</v>
      </c>
      <c r="P3105" t="s">
        <v>15818</v>
      </c>
      <c r="Q3105" t="s">
        <v>200</v>
      </c>
      <c r="R3105" t="s">
        <v>770</v>
      </c>
      <c r="S3105">
        <v>3.32</v>
      </c>
      <c r="T3105">
        <v>4456</v>
      </c>
      <c r="U3105">
        <v>0</v>
      </c>
      <c r="V3105">
        <v>4456</v>
      </c>
    </row>
    <row r="3106" spans="1:22" x14ac:dyDescent="0.3">
      <c r="A3106">
        <v>186607</v>
      </c>
      <c r="B3106">
        <v>135790743</v>
      </c>
      <c r="C3106" t="s">
        <v>15819</v>
      </c>
      <c r="D3106" t="s">
        <v>15820</v>
      </c>
      <c r="E3106" t="s">
        <v>11426</v>
      </c>
      <c r="F3106" t="s">
        <v>844</v>
      </c>
      <c r="G3106" t="s">
        <v>164</v>
      </c>
      <c r="H3106" t="s">
        <v>165</v>
      </c>
      <c r="I3106" t="s">
        <v>34</v>
      </c>
      <c r="J3106" t="s">
        <v>166</v>
      </c>
      <c r="K3106" t="s">
        <v>41</v>
      </c>
      <c r="L3106" t="s">
        <v>15821</v>
      </c>
      <c r="M3106" t="s">
        <v>15822</v>
      </c>
      <c r="N3106" t="s">
        <v>11429</v>
      </c>
      <c r="O3106" t="s">
        <v>101</v>
      </c>
      <c r="P3106" t="s">
        <v>15823</v>
      </c>
      <c r="Q3106" t="s">
        <v>71</v>
      </c>
      <c r="R3106" t="s">
        <v>509</v>
      </c>
      <c r="S3106">
        <v>3.4</v>
      </c>
      <c r="T3106">
        <v>4322</v>
      </c>
      <c r="U3106">
        <v>0</v>
      </c>
      <c r="V3106">
        <v>4322</v>
      </c>
    </row>
    <row r="3107" spans="1:22" x14ac:dyDescent="0.3">
      <c r="A3107">
        <v>186607</v>
      </c>
      <c r="B3107">
        <v>135711983</v>
      </c>
      <c r="C3107" t="s">
        <v>15824</v>
      </c>
      <c r="D3107" t="s">
        <v>15825</v>
      </c>
      <c r="E3107" t="s">
        <v>11426</v>
      </c>
      <c r="F3107" t="s">
        <v>844</v>
      </c>
      <c r="G3107" t="s">
        <v>164</v>
      </c>
      <c r="H3107" t="s">
        <v>165</v>
      </c>
      <c r="I3107" t="s">
        <v>34</v>
      </c>
      <c r="J3107" t="s">
        <v>166</v>
      </c>
      <c r="K3107" t="s">
        <v>41</v>
      </c>
      <c r="L3107" t="s">
        <v>15826</v>
      </c>
      <c r="M3107" t="s">
        <v>15827</v>
      </c>
      <c r="N3107" t="s">
        <v>11429</v>
      </c>
      <c r="O3107" t="s">
        <v>101</v>
      </c>
      <c r="P3107" t="s">
        <v>15828</v>
      </c>
      <c r="Q3107" t="s">
        <v>72</v>
      </c>
      <c r="R3107" t="s">
        <v>12992</v>
      </c>
      <c r="S3107">
        <v>2.95</v>
      </c>
      <c r="T3107">
        <v>3784</v>
      </c>
      <c r="U3107">
        <v>0</v>
      </c>
      <c r="V3107">
        <v>3784</v>
      </c>
    </row>
    <row r="3108" spans="1:22" x14ac:dyDescent="0.3">
      <c r="A3108">
        <v>186607</v>
      </c>
      <c r="B3108">
        <v>135523745</v>
      </c>
      <c r="C3108" t="s">
        <v>15829</v>
      </c>
      <c r="D3108" t="s">
        <v>15830</v>
      </c>
      <c r="E3108" t="s">
        <v>11426</v>
      </c>
      <c r="F3108" t="s">
        <v>844</v>
      </c>
      <c r="G3108" t="s">
        <v>164</v>
      </c>
      <c r="H3108" t="s">
        <v>165</v>
      </c>
      <c r="I3108" t="s">
        <v>34</v>
      </c>
      <c r="J3108" t="s">
        <v>166</v>
      </c>
      <c r="K3108" t="s">
        <v>41</v>
      </c>
      <c r="L3108" t="s">
        <v>15831</v>
      </c>
      <c r="M3108" t="s">
        <v>15832</v>
      </c>
      <c r="N3108" t="s">
        <v>11429</v>
      </c>
      <c r="O3108" t="s">
        <v>101</v>
      </c>
      <c r="P3108" t="s">
        <v>15833</v>
      </c>
      <c r="Q3108" t="s">
        <v>246</v>
      </c>
      <c r="R3108" t="s">
        <v>674</v>
      </c>
      <c r="S3108">
        <v>1.41</v>
      </c>
      <c r="T3108">
        <v>5759</v>
      </c>
      <c r="U3108">
        <v>0</v>
      </c>
      <c r="V3108">
        <v>5759</v>
      </c>
    </row>
    <row r="3109" spans="1:22" x14ac:dyDescent="0.3">
      <c r="A3109">
        <v>186607</v>
      </c>
      <c r="B3109">
        <v>135711902</v>
      </c>
      <c r="C3109" t="s">
        <v>15834</v>
      </c>
      <c r="D3109" t="s">
        <v>15835</v>
      </c>
      <c r="E3109" t="s">
        <v>11426</v>
      </c>
      <c r="F3109" t="s">
        <v>844</v>
      </c>
      <c r="G3109" t="s">
        <v>164</v>
      </c>
      <c r="H3109" t="s">
        <v>165</v>
      </c>
      <c r="I3109" t="s">
        <v>34</v>
      </c>
      <c r="J3109" t="s">
        <v>166</v>
      </c>
      <c r="K3109" t="s">
        <v>41</v>
      </c>
      <c r="L3109" t="s">
        <v>15836</v>
      </c>
      <c r="M3109" t="s">
        <v>15837</v>
      </c>
      <c r="N3109" t="s">
        <v>11429</v>
      </c>
      <c r="O3109" t="s">
        <v>101</v>
      </c>
      <c r="P3109" t="s">
        <v>15838</v>
      </c>
      <c r="Q3109" t="s">
        <v>94</v>
      </c>
      <c r="R3109" t="s">
        <v>12992</v>
      </c>
      <c r="S3109">
        <v>3.27</v>
      </c>
      <c r="T3109">
        <v>3797</v>
      </c>
      <c r="U3109">
        <v>0</v>
      </c>
      <c r="V3109">
        <v>3797</v>
      </c>
    </row>
    <row r="3110" spans="1:22" x14ac:dyDescent="0.3">
      <c r="A3110">
        <v>186607</v>
      </c>
      <c r="B3110">
        <v>135790607</v>
      </c>
      <c r="C3110" t="s">
        <v>15839</v>
      </c>
      <c r="D3110" t="s">
        <v>15840</v>
      </c>
      <c r="E3110" t="s">
        <v>11426</v>
      </c>
      <c r="F3110" t="s">
        <v>844</v>
      </c>
      <c r="G3110" t="s">
        <v>164</v>
      </c>
      <c r="H3110" t="s">
        <v>165</v>
      </c>
      <c r="I3110" t="s">
        <v>34</v>
      </c>
      <c r="J3110" t="s">
        <v>166</v>
      </c>
      <c r="K3110" t="s">
        <v>41</v>
      </c>
      <c r="L3110" t="s">
        <v>15841</v>
      </c>
      <c r="M3110" t="s">
        <v>15842</v>
      </c>
      <c r="N3110" t="s">
        <v>11429</v>
      </c>
      <c r="O3110" t="s">
        <v>101</v>
      </c>
      <c r="P3110" t="s">
        <v>15843</v>
      </c>
      <c r="Q3110" t="s">
        <v>72</v>
      </c>
      <c r="R3110" t="s">
        <v>770</v>
      </c>
      <c r="S3110">
        <v>3.74</v>
      </c>
      <c r="T3110">
        <v>4585</v>
      </c>
      <c r="U3110">
        <v>0</v>
      </c>
      <c r="V3110">
        <v>4585</v>
      </c>
    </row>
    <row r="3111" spans="1:22" x14ac:dyDescent="0.3">
      <c r="A3111">
        <v>186607</v>
      </c>
      <c r="B3111">
        <v>135711919</v>
      </c>
      <c r="C3111" t="s">
        <v>15844</v>
      </c>
      <c r="D3111" t="s">
        <v>15845</v>
      </c>
      <c r="E3111" t="s">
        <v>11426</v>
      </c>
      <c r="F3111" t="s">
        <v>844</v>
      </c>
      <c r="G3111" t="s">
        <v>164</v>
      </c>
      <c r="H3111" t="s">
        <v>165</v>
      </c>
      <c r="I3111" t="s">
        <v>34</v>
      </c>
      <c r="J3111" t="s">
        <v>166</v>
      </c>
      <c r="K3111" t="s">
        <v>41</v>
      </c>
      <c r="L3111" t="s">
        <v>15846</v>
      </c>
      <c r="M3111" t="s">
        <v>15847</v>
      </c>
      <c r="N3111" t="s">
        <v>11429</v>
      </c>
      <c r="O3111" t="s">
        <v>101</v>
      </c>
      <c r="P3111" t="s">
        <v>15848</v>
      </c>
      <c r="Q3111" t="s">
        <v>59</v>
      </c>
      <c r="R3111" t="s">
        <v>12992</v>
      </c>
      <c r="S3111">
        <v>5.66</v>
      </c>
      <c r="T3111">
        <v>4852</v>
      </c>
      <c r="U3111">
        <v>0</v>
      </c>
      <c r="V3111">
        <v>4852</v>
      </c>
    </row>
    <row r="3112" spans="1:22" x14ac:dyDescent="0.3">
      <c r="A3112">
        <v>186607</v>
      </c>
      <c r="B3112">
        <v>135712133</v>
      </c>
      <c r="C3112" t="s">
        <v>15849</v>
      </c>
      <c r="D3112" t="s">
        <v>15850</v>
      </c>
      <c r="E3112" t="s">
        <v>11426</v>
      </c>
      <c r="F3112" t="s">
        <v>844</v>
      </c>
      <c r="G3112" t="s">
        <v>164</v>
      </c>
      <c r="H3112" t="s">
        <v>165</v>
      </c>
      <c r="I3112" t="s">
        <v>34</v>
      </c>
      <c r="J3112" t="s">
        <v>166</v>
      </c>
      <c r="K3112" t="s">
        <v>41</v>
      </c>
      <c r="L3112" t="s">
        <v>15851</v>
      </c>
      <c r="M3112" t="s">
        <v>15852</v>
      </c>
      <c r="N3112" t="s">
        <v>11429</v>
      </c>
      <c r="O3112" t="s">
        <v>101</v>
      </c>
      <c r="P3112" t="s">
        <v>15853</v>
      </c>
      <c r="Q3112" t="s">
        <v>66</v>
      </c>
      <c r="R3112" t="s">
        <v>12992</v>
      </c>
      <c r="S3112">
        <v>3.5</v>
      </c>
      <c r="T3112">
        <v>5376</v>
      </c>
      <c r="U3112">
        <v>0</v>
      </c>
      <c r="V3112">
        <v>5376</v>
      </c>
    </row>
    <row r="3113" spans="1:22" x14ac:dyDescent="0.3">
      <c r="A3113">
        <v>186607</v>
      </c>
      <c r="B3113">
        <v>135712058</v>
      </c>
      <c r="C3113" t="s">
        <v>15854</v>
      </c>
      <c r="D3113" t="s">
        <v>15855</v>
      </c>
      <c r="E3113" t="s">
        <v>11426</v>
      </c>
      <c r="F3113" t="s">
        <v>844</v>
      </c>
      <c r="G3113" t="s">
        <v>164</v>
      </c>
      <c r="H3113" t="s">
        <v>165</v>
      </c>
      <c r="I3113" t="s">
        <v>34</v>
      </c>
      <c r="J3113" t="s">
        <v>166</v>
      </c>
      <c r="K3113" t="s">
        <v>41</v>
      </c>
      <c r="L3113" t="s">
        <v>15856</v>
      </c>
      <c r="M3113" t="s">
        <v>15857</v>
      </c>
      <c r="N3113" t="s">
        <v>11429</v>
      </c>
      <c r="O3113" t="s">
        <v>101</v>
      </c>
      <c r="P3113" t="s">
        <v>15858</v>
      </c>
      <c r="Q3113" t="s">
        <v>60</v>
      </c>
      <c r="R3113" t="s">
        <v>12992</v>
      </c>
      <c r="S3113">
        <v>4.76</v>
      </c>
      <c r="T3113">
        <v>5376</v>
      </c>
      <c r="U3113">
        <v>0</v>
      </c>
      <c r="V3113">
        <v>5376</v>
      </c>
    </row>
    <row r="3114" spans="1:22" x14ac:dyDescent="0.3">
      <c r="A3114">
        <v>186607</v>
      </c>
      <c r="B3114">
        <v>135790567</v>
      </c>
      <c r="C3114" t="s">
        <v>15859</v>
      </c>
      <c r="D3114" t="s">
        <v>15860</v>
      </c>
      <c r="E3114" t="s">
        <v>11426</v>
      </c>
      <c r="F3114" t="s">
        <v>844</v>
      </c>
      <c r="G3114" t="s">
        <v>164</v>
      </c>
      <c r="H3114" t="s">
        <v>165</v>
      </c>
      <c r="I3114" t="s">
        <v>34</v>
      </c>
      <c r="J3114" t="s">
        <v>166</v>
      </c>
      <c r="K3114" t="s">
        <v>41</v>
      </c>
      <c r="L3114" t="s">
        <v>15861</v>
      </c>
      <c r="M3114" t="s">
        <v>15862</v>
      </c>
      <c r="N3114" t="s">
        <v>11429</v>
      </c>
      <c r="O3114" t="s">
        <v>101</v>
      </c>
      <c r="P3114" t="s">
        <v>15863</v>
      </c>
      <c r="Q3114" t="s">
        <v>92</v>
      </c>
      <c r="R3114" t="s">
        <v>770</v>
      </c>
      <c r="S3114">
        <v>3.98</v>
      </c>
      <c r="T3114">
        <v>3797</v>
      </c>
      <c r="U3114">
        <v>0</v>
      </c>
      <c r="V3114">
        <v>3797</v>
      </c>
    </row>
    <row r="3115" spans="1:22" x14ac:dyDescent="0.3">
      <c r="A3115">
        <v>186607</v>
      </c>
      <c r="B3115">
        <v>135790675</v>
      </c>
      <c r="C3115" t="s">
        <v>15864</v>
      </c>
      <c r="D3115" t="s">
        <v>15865</v>
      </c>
      <c r="E3115" t="s">
        <v>11426</v>
      </c>
      <c r="F3115" t="s">
        <v>844</v>
      </c>
      <c r="G3115" t="s">
        <v>164</v>
      </c>
      <c r="H3115" t="s">
        <v>165</v>
      </c>
      <c r="I3115" t="s">
        <v>34</v>
      </c>
      <c r="J3115" t="s">
        <v>166</v>
      </c>
      <c r="K3115" t="s">
        <v>41</v>
      </c>
      <c r="L3115" t="s">
        <v>15866</v>
      </c>
      <c r="M3115" t="s">
        <v>15867</v>
      </c>
      <c r="N3115" t="s">
        <v>11429</v>
      </c>
      <c r="O3115" t="s">
        <v>101</v>
      </c>
      <c r="P3115" t="s">
        <v>15868</v>
      </c>
      <c r="Q3115" t="s">
        <v>190</v>
      </c>
      <c r="R3115" t="s">
        <v>770</v>
      </c>
      <c r="S3115">
        <v>3.45</v>
      </c>
      <c r="T3115">
        <v>3797</v>
      </c>
      <c r="U3115">
        <v>0</v>
      </c>
      <c r="V3115">
        <v>3797</v>
      </c>
    </row>
    <row r="3116" spans="1:22" x14ac:dyDescent="0.3">
      <c r="A3116">
        <v>186607</v>
      </c>
      <c r="B3116">
        <v>135711946</v>
      </c>
      <c r="C3116" t="s">
        <v>15869</v>
      </c>
      <c r="D3116" t="s">
        <v>15870</v>
      </c>
      <c r="E3116" t="s">
        <v>11426</v>
      </c>
      <c r="F3116" t="s">
        <v>844</v>
      </c>
      <c r="G3116" t="s">
        <v>164</v>
      </c>
      <c r="H3116" t="s">
        <v>165</v>
      </c>
      <c r="I3116" t="s">
        <v>34</v>
      </c>
      <c r="J3116" t="s">
        <v>166</v>
      </c>
      <c r="K3116" t="s">
        <v>41</v>
      </c>
      <c r="L3116" t="s">
        <v>15871</v>
      </c>
      <c r="M3116" t="s">
        <v>15872</v>
      </c>
      <c r="N3116" t="s">
        <v>11429</v>
      </c>
      <c r="O3116" t="s">
        <v>101</v>
      </c>
      <c r="P3116" t="s">
        <v>15873</v>
      </c>
      <c r="Q3116" t="s">
        <v>71</v>
      </c>
      <c r="R3116" t="s">
        <v>12992</v>
      </c>
      <c r="S3116">
        <v>6.45</v>
      </c>
      <c r="T3116">
        <v>5476</v>
      </c>
      <c r="U3116">
        <v>0</v>
      </c>
      <c r="V3116">
        <v>5476</v>
      </c>
    </row>
    <row r="3117" spans="1:22" x14ac:dyDescent="0.3">
      <c r="A3117">
        <v>186607</v>
      </c>
      <c r="B3117">
        <v>135790720</v>
      </c>
      <c r="C3117" t="s">
        <v>15874</v>
      </c>
      <c r="D3117" t="s">
        <v>15875</v>
      </c>
      <c r="E3117" t="s">
        <v>11426</v>
      </c>
      <c r="F3117" t="s">
        <v>844</v>
      </c>
      <c r="G3117" t="s">
        <v>164</v>
      </c>
      <c r="H3117" t="s">
        <v>165</v>
      </c>
      <c r="I3117" t="s">
        <v>34</v>
      </c>
      <c r="J3117" t="s">
        <v>166</v>
      </c>
      <c r="K3117" t="s">
        <v>41</v>
      </c>
      <c r="L3117" t="s">
        <v>15876</v>
      </c>
      <c r="M3117" t="s">
        <v>15877</v>
      </c>
      <c r="N3117" t="s">
        <v>11429</v>
      </c>
      <c r="O3117" t="s">
        <v>101</v>
      </c>
      <c r="P3117" t="s">
        <v>15878</v>
      </c>
      <c r="Q3117" t="s">
        <v>78</v>
      </c>
      <c r="R3117" t="s">
        <v>509</v>
      </c>
      <c r="S3117">
        <v>3.3</v>
      </c>
      <c r="T3117">
        <v>4585</v>
      </c>
      <c r="U3117">
        <v>0</v>
      </c>
      <c r="V3117">
        <v>4585</v>
      </c>
    </row>
    <row r="3118" spans="1:22" x14ac:dyDescent="0.3">
      <c r="A3118">
        <v>186607</v>
      </c>
      <c r="B3118">
        <v>135790596</v>
      </c>
      <c r="C3118" t="s">
        <v>15879</v>
      </c>
      <c r="D3118" t="s">
        <v>15880</v>
      </c>
      <c r="E3118" t="s">
        <v>11426</v>
      </c>
      <c r="F3118" t="s">
        <v>844</v>
      </c>
      <c r="G3118" t="s">
        <v>164</v>
      </c>
      <c r="H3118" t="s">
        <v>165</v>
      </c>
      <c r="I3118" t="s">
        <v>34</v>
      </c>
      <c r="J3118" t="s">
        <v>166</v>
      </c>
      <c r="K3118" t="s">
        <v>41</v>
      </c>
      <c r="L3118" t="s">
        <v>15881</v>
      </c>
      <c r="M3118" t="s">
        <v>15882</v>
      </c>
      <c r="N3118" t="s">
        <v>11429</v>
      </c>
      <c r="O3118" t="s">
        <v>101</v>
      </c>
      <c r="P3118" t="s">
        <v>15883</v>
      </c>
      <c r="Q3118" t="s">
        <v>72</v>
      </c>
      <c r="R3118" t="s">
        <v>770</v>
      </c>
      <c r="S3118">
        <v>3.34</v>
      </c>
      <c r="T3118">
        <v>4585</v>
      </c>
      <c r="U3118">
        <v>0</v>
      </c>
      <c r="V3118">
        <v>4585</v>
      </c>
    </row>
    <row r="3119" spans="1:22" x14ac:dyDescent="0.3">
      <c r="A3119">
        <v>186607</v>
      </c>
      <c r="B3119">
        <v>135848879</v>
      </c>
      <c r="C3119" t="s">
        <v>15884</v>
      </c>
      <c r="D3119" t="s">
        <v>15885</v>
      </c>
      <c r="E3119" t="s">
        <v>11426</v>
      </c>
      <c r="F3119" t="s">
        <v>844</v>
      </c>
      <c r="G3119" t="s">
        <v>164</v>
      </c>
      <c r="H3119" t="s">
        <v>165</v>
      </c>
      <c r="I3119" t="s">
        <v>34</v>
      </c>
      <c r="J3119" t="s">
        <v>166</v>
      </c>
      <c r="K3119" t="s">
        <v>41</v>
      </c>
      <c r="L3119" t="s">
        <v>15886</v>
      </c>
      <c r="M3119" t="s">
        <v>15887</v>
      </c>
      <c r="N3119" t="s">
        <v>11429</v>
      </c>
      <c r="O3119" t="s">
        <v>101</v>
      </c>
      <c r="P3119" t="s">
        <v>15888</v>
      </c>
      <c r="Q3119" t="s">
        <v>69</v>
      </c>
      <c r="R3119" t="s">
        <v>737</v>
      </c>
      <c r="S3119">
        <v>3.09</v>
      </c>
      <c r="T3119">
        <v>4456</v>
      </c>
      <c r="U3119">
        <v>0</v>
      </c>
      <c r="V3119">
        <v>4456</v>
      </c>
    </row>
    <row r="3120" spans="1:22" x14ac:dyDescent="0.3">
      <c r="A3120">
        <v>186607</v>
      </c>
      <c r="B3120">
        <v>135712034</v>
      </c>
      <c r="C3120" t="s">
        <v>15889</v>
      </c>
      <c r="D3120" t="s">
        <v>15890</v>
      </c>
      <c r="E3120" t="s">
        <v>11426</v>
      </c>
      <c r="F3120" t="s">
        <v>844</v>
      </c>
      <c r="G3120" t="s">
        <v>164</v>
      </c>
      <c r="H3120" t="s">
        <v>165</v>
      </c>
      <c r="I3120" t="s">
        <v>34</v>
      </c>
      <c r="J3120" t="s">
        <v>166</v>
      </c>
      <c r="K3120" t="s">
        <v>41</v>
      </c>
      <c r="L3120" t="s">
        <v>15891</v>
      </c>
      <c r="M3120" t="s">
        <v>15892</v>
      </c>
      <c r="N3120" t="s">
        <v>11429</v>
      </c>
      <c r="O3120" t="s">
        <v>101</v>
      </c>
      <c r="P3120" t="s">
        <v>15893</v>
      </c>
      <c r="Q3120" t="s">
        <v>70</v>
      </c>
      <c r="R3120" t="s">
        <v>12992</v>
      </c>
      <c r="S3120">
        <v>3.11</v>
      </c>
      <c r="T3120">
        <v>4322</v>
      </c>
      <c r="U3120">
        <v>0</v>
      </c>
      <c r="V3120">
        <v>4322</v>
      </c>
    </row>
    <row r="3121" spans="1:22" x14ac:dyDescent="0.3">
      <c r="A3121">
        <v>186607</v>
      </c>
      <c r="B3121">
        <v>135848881</v>
      </c>
      <c r="C3121" t="s">
        <v>15894</v>
      </c>
      <c r="D3121" t="s">
        <v>15895</v>
      </c>
      <c r="E3121" t="s">
        <v>11426</v>
      </c>
      <c r="F3121" t="s">
        <v>844</v>
      </c>
      <c r="G3121" t="s">
        <v>164</v>
      </c>
      <c r="H3121" t="s">
        <v>165</v>
      </c>
      <c r="I3121" t="s">
        <v>34</v>
      </c>
      <c r="J3121" t="s">
        <v>166</v>
      </c>
      <c r="K3121" t="s">
        <v>41</v>
      </c>
      <c r="L3121" t="s">
        <v>15896</v>
      </c>
      <c r="M3121" t="s">
        <v>15897</v>
      </c>
      <c r="N3121" t="s">
        <v>11429</v>
      </c>
      <c r="O3121" t="s">
        <v>101</v>
      </c>
      <c r="P3121" t="s">
        <v>15898</v>
      </c>
      <c r="Q3121" t="s">
        <v>63</v>
      </c>
      <c r="R3121" t="s">
        <v>737</v>
      </c>
      <c r="S3121">
        <v>4.1500000000000004</v>
      </c>
      <c r="T3121">
        <v>5111</v>
      </c>
      <c r="U3121">
        <v>0</v>
      </c>
      <c r="V3121">
        <v>5111</v>
      </c>
    </row>
    <row r="3122" spans="1:22" x14ac:dyDescent="0.3">
      <c r="A3122">
        <v>186607</v>
      </c>
      <c r="B3122">
        <v>135712122</v>
      </c>
      <c r="C3122" t="s">
        <v>15899</v>
      </c>
      <c r="D3122" t="s">
        <v>15900</v>
      </c>
      <c r="E3122" t="s">
        <v>11426</v>
      </c>
      <c r="F3122" t="s">
        <v>844</v>
      </c>
      <c r="G3122" t="s">
        <v>164</v>
      </c>
      <c r="H3122" t="s">
        <v>165</v>
      </c>
      <c r="I3122" t="s">
        <v>34</v>
      </c>
      <c r="J3122" t="s">
        <v>166</v>
      </c>
      <c r="K3122" t="s">
        <v>41</v>
      </c>
      <c r="L3122" t="s">
        <v>15901</v>
      </c>
      <c r="M3122" t="s">
        <v>15902</v>
      </c>
      <c r="N3122" t="s">
        <v>11429</v>
      </c>
      <c r="O3122" t="s">
        <v>101</v>
      </c>
      <c r="P3122" t="s">
        <v>15903</v>
      </c>
      <c r="Q3122" t="s">
        <v>83</v>
      </c>
      <c r="R3122" t="s">
        <v>12992</v>
      </c>
      <c r="S3122">
        <v>2.63</v>
      </c>
      <c r="T3122">
        <v>3366</v>
      </c>
      <c r="U3122">
        <v>0</v>
      </c>
      <c r="V3122">
        <v>3366</v>
      </c>
    </row>
    <row r="3123" spans="1:22" x14ac:dyDescent="0.3">
      <c r="A3123">
        <v>186607</v>
      </c>
      <c r="B3123">
        <v>135790688</v>
      </c>
      <c r="C3123" t="s">
        <v>15904</v>
      </c>
      <c r="D3123" t="s">
        <v>15905</v>
      </c>
      <c r="E3123" t="s">
        <v>11426</v>
      </c>
      <c r="F3123" t="s">
        <v>844</v>
      </c>
      <c r="G3123" t="s">
        <v>164</v>
      </c>
      <c r="H3123" t="s">
        <v>165</v>
      </c>
      <c r="I3123" t="s">
        <v>34</v>
      </c>
      <c r="J3123" t="s">
        <v>166</v>
      </c>
      <c r="K3123" t="s">
        <v>41</v>
      </c>
      <c r="L3123" t="s">
        <v>15906</v>
      </c>
      <c r="M3123" t="s">
        <v>15907</v>
      </c>
      <c r="N3123" t="s">
        <v>11429</v>
      </c>
      <c r="O3123" t="s">
        <v>101</v>
      </c>
      <c r="P3123" t="s">
        <v>15908</v>
      </c>
      <c r="Q3123" t="s">
        <v>69</v>
      </c>
      <c r="R3123" t="s">
        <v>770</v>
      </c>
      <c r="S3123">
        <v>2.66</v>
      </c>
      <c r="T3123">
        <v>3753</v>
      </c>
      <c r="U3123">
        <v>0</v>
      </c>
      <c r="V3123">
        <v>3753</v>
      </c>
    </row>
    <row r="3124" spans="1:22" x14ac:dyDescent="0.3">
      <c r="A3124">
        <v>186607</v>
      </c>
      <c r="B3124">
        <v>135790648</v>
      </c>
      <c r="C3124" t="s">
        <v>15909</v>
      </c>
      <c r="D3124" t="s">
        <v>15910</v>
      </c>
      <c r="E3124" t="s">
        <v>11426</v>
      </c>
      <c r="F3124" t="s">
        <v>844</v>
      </c>
      <c r="G3124" t="s">
        <v>164</v>
      </c>
      <c r="H3124" t="s">
        <v>165</v>
      </c>
      <c r="I3124" t="s">
        <v>34</v>
      </c>
      <c r="J3124" t="s">
        <v>166</v>
      </c>
      <c r="K3124" t="s">
        <v>41</v>
      </c>
      <c r="L3124" t="s">
        <v>15911</v>
      </c>
      <c r="M3124" t="s">
        <v>15912</v>
      </c>
      <c r="N3124" t="s">
        <v>11429</v>
      </c>
      <c r="O3124" t="s">
        <v>101</v>
      </c>
      <c r="P3124" t="s">
        <v>15913</v>
      </c>
      <c r="Q3124" t="s">
        <v>63</v>
      </c>
      <c r="R3124" t="s">
        <v>770</v>
      </c>
      <c r="S3124">
        <v>3.21</v>
      </c>
      <c r="T3124">
        <v>5111</v>
      </c>
      <c r="U3124">
        <v>0</v>
      </c>
      <c r="V3124">
        <v>5111</v>
      </c>
    </row>
    <row r="3125" spans="1:22" x14ac:dyDescent="0.3">
      <c r="A3125">
        <v>186607</v>
      </c>
      <c r="B3125">
        <v>135790635</v>
      </c>
      <c r="C3125" t="s">
        <v>15914</v>
      </c>
      <c r="D3125" t="s">
        <v>15915</v>
      </c>
      <c r="E3125" t="s">
        <v>11426</v>
      </c>
      <c r="F3125" t="s">
        <v>844</v>
      </c>
      <c r="G3125" t="s">
        <v>164</v>
      </c>
      <c r="H3125" t="s">
        <v>165</v>
      </c>
      <c r="I3125" t="s">
        <v>34</v>
      </c>
      <c r="J3125" t="s">
        <v>166</v>
      </c>
      <c r="K3125" t="s">
        <v>41</v>
      </c>
      <c r="L3125" t="s">
        <v>15916</v>
      </c>
      <c r="M3125" t="s">
        <v>15917</v>
      </c>
      <c r="N3125" t="s">
        <v>11429</v>
      </c>
      <c r="O3125" t="s">
        <v>101</v>
      </c>
      <c r="P3125" t="s">
        <v>15918</v>
      </c>
      <c r="Q3125" t="s">
        <v>63</v>
      </c>
      <c r="R3125" t="s">
        <v>770</v>
      </c>
      <c r="S3125">
        <v>3.28</v>
      </c>
      <c r="T3125">
        <v>5111</v>
      </c>
      <c r="U3125">
        <v>0</v>
      </c>
      <c r="V3125">
        <v>5111</v>
      </c>
    </row>
    <row r="3126" spans="1:22" x14ac:dyDescent="0.3">
      <c r="A3126">
        <v>186607</v>
      </c>
      <c r="B3126">
        <v>135790593</v>
      </c>
      <c r="C3126" t="s">
        <v>15919</v>
      </c>
      <c r="D3126" t="s">
        <v>15920</v>
      </c>
      <c r="E3126" t="s">
        <v>11426</v>
      </c>
      <c r="F3126" t="s">
        <v>844</v>
      </c>
      <c r="G3126" t="s">
        <v>164</v>
      </c>
      <c r="H3126" t="s">
        <v>165</v>
      </c>
      <c r="I3126" t="s">
        <v>34</v>
      </c>
      <c r="J3126" t="s">
        <v>166</v>
      </c>
      <c r="K3126" t="s">
        <v>41</v>
      </c>
      <c r="L3126" t="s">
        <v>15921</v>
      </c>
      <c r="M3126" t="s">
        <v>15922</v>
      </c>
      <c r="N3126" t="s">
        <v>11429</v>
      </c>
      <c r="O3126" t="s">
        <v>101</v>
      </c>
      <c r="P3126" t="s">
        <v>15923</v>
      </c>
      <c r="Q3126" t="s">
        <v>60</v>
      </c>
      <c r="R3126" t="s">
        <v>770</v>
      </c>
      <c r="S3126">
        <v>5.26</v>
      </c>
      <c r="T3126">
        <v>5376</v>
      </c>
      <c r="U3126">
        <v>0</v>
      </c>
      <c r="V3126">
        <v>5376</v>
      </c>
    </row>
    <row r="3127" spans="1:22" x14ac:dyDescent="0.3">
      <c r="A3127">
        <v>186607</v>
      </c>
      <c r="B3127">
        <v>135790678</v>
      </c>
      <c r="C3127" t="s">
        <v>15924</v>
      </c>
      <c r="D3127" t="s">
        <v>15925</v>
      </c>
      <c r="E3127" t="s">
        <v>11426</v>
      </c>
      <c r="F3127" t="s">
        <v>844</v>
      </c>
      <c r="G3127" t="s">
        <v>164</v>
      </c>
      <c r="H3127" t="s">
        <v>165</v>
      </c>
      <c r="I3127" t="s">
        <v>34</v>
      </c>
      <c r="J3127" t="s">
        <v>166</v>
      </c>
      <c r="K3127" t="s">
        <v>41</v>
      </c>
      <c r="L3127" t="s">
        <v>15926</v>
      </c>
      <c r="M3127" t="s">
        <v>15927</v>
      </c>
      <c r="N3127" t="s">
        <v>11429</v>
      </c>
      <c r="O3127" t="s">
        <v>101</v>
      </c>
      <c r="P3127" t="s">
        <v>15928</v>
      </c>
      <c r="Q3127" t="s">
        <v>84</v>
      </c>
      <c r="R3127" t="s">
        <v>770</v>
      </c>
      <c r="S3127">
        <v>5.08</v>
      </c>
      <c r="T3127">
        <v>3797</v>
      </c>
      <c r="U3127">
        <v>0</v>
      </c>
      <c r="V3127">
        <v>3797</v>
      </c>
    </row>
    <row r="3128" spans="1:22" x14ac:dyDescent="0.3">
      <c r="A3128">
        <v>186607</v>
      </c>
      <c r="B3128">
        <v>135711979</v>
      </c>
      <c r="C3128" t="s">
        <v>15929</v>
      </c>
      <c r="D3128" t="s">
        <v>15930</v>
      </c>
      <c r="E3128" t="s">
        <v>11426</v>
      </c>
      <c r="F3128" t="s">
        <v>844</v>
      </c>
      <c r="G3128" t="s">
        <v>164</v>
      </c>
      <c r="H3128" t="s">
        <v>165</v>
      </c>
      <c r="I3128" t="s">
        <v>34</v>
      </c>
      <c r="J3128" t="s">
        <v>166</v>
      </c>
      <c r="K3128" t="s">
        <v>41</v>
      </c>
      <c r="L3128" t="s">
        <v>15931</v>
      </c>
      <c r="M3128" t="s">
        <v>15932</v>
      </c>
      <c r="N3128" t="s">
        <v>11429</v>
      </c>
      <c r="O3128" t="s">
        <v>101</v>
      </c>
      <c r="P3128" t="s">
        <v>15933</v>
      </c>
      <c r="Q3128" t="s">
        <v>59</v>
      </c>
      <c r="R3128" t="s">
        <v>12992</v>
      </c>
      <c r="S3128">
        <v>2.0699999999999998</v>
      </c>
      <c r="T3128">
        <v>4067</v>
      </c>
      <c r="U3128">
        <v>0</v>
      </c>
      <c r="V3128">
        <v>4067</v>
      </c>
    </row>
    <row r="3129" spans="1:22" x14ac:dyDescent="0.3">
      <c r="A3129">
        <v>186607</v>
      </c>
      <c r="B3129">
        <v>135712046</v>
      </c>
      <c r="C3129" t="s">
        <v>15934</v>
      </c>
      <c r="D3129" t="s">
        <v>15935</v>
      </c>
      <c r="E3129" t="s">
        <v>11426</v>
      </c>
      <c r="F3129" t="s">
        <v>844</v>
      </c>
      <c r="G3129" t="s">
        <v>164</v>
      </c>
      <c r="H3129" t="s">
        <v>165</v>
      </c>
      <c r="I3129" t="s">
        <v>34</v>
      </c>
      <c r="J3129" t="s">
        <v>166</v>
      </c>
      <c r="K3129" t="s">
        <v>41</v>
      </c>
      <c r="L3129" t="s">
        <v>15936</v>
      </c>
      <c r="M3129" t="s">
        <v>15937</v>
      </c>
      <c r="N3129" t="s">
        <v>11429</v>
      </c>
      <c r="O3129" t="s">
        <v>101</v>
      </c>
      <c r="P3129" t="s">
        <v>15938</v>
      </c>
      <c r="Q3129" t="s">
        <v>84</v>
      </c>
      <c r="R3129" t="s">
        <v>12992</v>
      </c>
      <c r="S3129">
        <v>2.82</v>
      </c>
      <c r="T3129">
        <v>3366</v>
      </c>
      <c r="U3129">
        <v>0</v>
      </c>
      <c r="V3129">
        <v>3366</v>
      </c>
    </row>
    <row r="3130" spans="1:22" x14ac:dyDescent="0.3">
      <c r="A3130">
        <v>186607</v>
      </c>
      <c r="B3130">
        <v>135848856</v>
      </c>
      <c r="C3130" t="s">
        <v>15939</v>
      </c>
      <c r="D3130" t="s">
        <v>15940</v>
      </c>
      <c r="E3130" t="s">
        <v>11426</v>
      </c>
      <c r="F3130" t="s">
        <v>844</v>
      </c>
      <c r="G3130" t="s">
        <v>164</v>
      </c>
      <c r="H3130" t="s">
        <v>165</v>
      </c>
      <c r="I3130" t="s">
        <v>34</v>
      </c>
      <c r="J3130" t="s">
        <v>166</v>
      </c>
      <c r="K3130" t="s">
        <v>41</v>
      </c>
      <c r="L3130" t="s">
        <v>15941</v>
      </c>
      <c r="M3130" t="s">
        <v>15942</v>
      </c>
      <c r="N3130" t="s">
        <v>11429</v>
      </c>
      <c r="O3130" t="s">
        <v>101</v>
      </c>
      <c r="P3130" t="s">
        <v>15943</v>
      </c>
      <c r="Q3130" t="s">
        <v>204</v>
      </c>
      <c r="R3130" t="s">
        <v>737</v>
      </c>
      <c r="S3130">
        <v>2.99</v>
      </c>
      <c r="T3130">
        <v>3366</v>
      </c>
      <c r="U3130">
        <v>0</v>
      </c>
      <c r="V3130">
        <v>3366</v>
      </c>
    </row>
    <row r="3131" spans="1:22" x14ac:dyDescent="0.3">
      <c r="A3131">
        <v>186607</v>
      </c>
      <c r="B3131">
        <v>135712117</v>
      </c>
      <c r="C3131" t="s">
        <v>15944</v>
      </c>
      <c r="D3131" t="s">
        <v>15945</v>
      </c>
      <c r="E3131" t="s">
        <v>11426</v>
      </c>
      <c r="F3131" t="s">
        <v>844</v>
      </c>
      <c r="G3131" t="s">
        <v>164</v>
      </c>
      <c r="H3131" t="s">
        <v>165</v>
      </c>
      <c r="I3131" t="s">
        <v>34</v>
      </c>
      <c r="J3131" t="s">
        <v>166</v>
      </c>
      <c r="K3131" t="s">
        <v>41</v>
      </c>
      <c r="L3131" t="s">
        <v>15946</v>
      </c>
      <c r="M3131" t="s">
        <v>15947</v>
      </c>
      <c r="N3131" t="s">
        <v>11429</v>
      </c>
      <c r="O3131" t="s">
        <v>101</v>
      </c>
      <c r="P3131" t="s">
        <v>15948</v>
      </c>
      <c r="Q3131" t="s">
        <v>71</v>
      </c>
      <c r="R3131" t="s">
        <v>12992</v>
      </c>
      <c r="S3131">
        <v>3.18</v>
      </c>
      <c r="T3131">
        <v>4322</v>
      </c>
      <c r="U3131">
        <v>0</v>
      </c>
      <c r="V3131">
        <v>4322</v>
      </c>
    </row>
    <row r="3132" spans="1:22" x14ac:dyDescent="0.3">
      <c r="A3132">
        <v>186607</v>
      </c>
      <c r="B3132">
        <v>135790679</v>
      </c>
      <c r="C3132" t="s">
        <v>15949</v>
      </c>
      <c r="D3132" t="s">
        <v>15950</v>
      </c>
      <c r="E3132" t="s">
        <v>11426</v>
      </c>
      <c r="F3132" t="s">
        <v>844</v>
      </c>
      <c r="G3132" t="s">
        <v>164</v>
      </c>
      <c r="H3132" t="s">
        <v>165</v>
      </c>
      <c r="I3132" t="s">
        <v>34</v>
      </c>
      <c r="J3132" t="s">
        <v>166</v>
      </c>
      <c r="K3132" t="s">
        <v>41</v>
      </c>
      <c r="L3132" t="s">
        <v>15951</v>
      </c>
      <c r="M3132" t="s">
        <v>15952</v>
      </c>
      <c r="N3132" t="s">
        <v>11429</v>
      </c>
      <c r="O3132" t="s">
        <v>101</v>
      </c>
      <c r="P3132" t="s">
        <v>15953</v>
      </c>
      <c r="Q3132" t="s">
        <v>92</v>
      </c>
      <c r="R3132" t="s">
        <v>770</v>
      </c>
      <c r="S3132">
        <v>3.05</v>
      </c>
      <c r="T3132">
        <v>3797</v>
      </c>
      <c r="U3132">
        <v>0</v>
      </c>
      <c r="V3132">
        <v>3797</v>
      </c>
    </row>
    <row r="3133" spans="1:22" x14ac:dyDescent="0.3">
      <c r="A3133">
        <v>186607</v>
      </c>
      <c r="B3133">
        <v>135711963</v>
      </c>
      <c r="C3133" t="s">
        <v>15954</v>
      </c>
      <c r="D3133" t="s">
        <v>15955</v>
      </c>
      <c r="E3133" t="s">
        <v>11426</v>
      </c>
      <c r="F3133" t="s">
        <v>844</v>
      </c>
      <c r="G3133" t="s">
        <v>164</v>
      </c>
      <c r="H3133" t="s">
        <v>165</v>
      </c>
      <c r="I3133" t="s">
        <v>34</v>
      </c>
      <c r="J3133" t="s">
        <v>166</v>
      </c>
      <c r="K3133" t="s">
        <v>41</v>
      </c>
      <c r="L3133" t="s">
        <v>5049</v>
      </c>
      <c r="M3133" t="s">
        <v>15956</v>
      </c>
      <c r="N3133" t="s">
        <v>11429</v>
      </c>
      <c r="O3133" t="s">
        <v>101</v>
      </c>
      <c r="P3133" t="s">
        <v>15957</v>
      </c>
      <c r="Q3133" t="s">
        <v>60</v>
      </c>
      <c r="R3133" t="s">
        <v>12992</v>
      </c>
      <c r="S3133">
        <v>0.5</v>
      </c>
      <c r="T3133">
        <v>3680</v>
      </c>
      <c r="U3133">
        <v>0</v>
      </c>
      <c r="V3133">
        <v>3680</v>
      </c>
    </row>
    <row r="3134" spans="1:22" x14ac:dyDescent="0.3">
      <c r="A3134">
        <v>186607</v>
      </c>
      <c r="B3134">
        <v>135848862</v>
      </c>
      <c r="C3134" t="s">
        <v>15958</v>
      </c>
      <c r="D3134" t="s">
        <v>15959</v>
      </c>
      <c r="E3134" t="s">
        <v>11426</v>
      </c>
      <c r="F3134" t="s">
        <v>844</v>
      </c>
      <c r="G3134" t="s">
        <v>164</v>
      </c>
      <c r="H3134" t="s">
        <v>165</v>
      </c>
      <c r="I3134" t="s">
        <v>34</v>
      </c>
      <c r="J3134" t="s">
        <v>166</v>
      </c>
      <c r="K3134" t="s">
        <v>41</v>
      </c>
      <c r="L3134" t="s">
        <v>15960</v>
      </c>
      <c r="M3134" t="s">
        <v>15961</v>
      </c>
      <c r="N3134" t="s">
        <v>11429</v>
      </c>
      <c r="O3134" t="s">
        <v>101</v>
      </c>
      <c r="P3134" t="s">
        <v>15962</v>
      </c>
      <c r="Q3134" t="s">
        <v>76</v>
      </c>
      <c r="R3134" t="s">
        <v>737</v>
      </c>
      <c r="S3134">
        <v>2.82</v>
      </c>
      <c r="T3134">
        <v>3753</v>
      </c>
      <c r="U3134">
        <v>0</v>
      </c>
      <c r="V3134">
        <v>3753</v>
      </c>
    </row>
    <row r="3135" spans="1:22" x14ac:dyDescent="0.3">
      <c r="A3135">
        <v>186607</v>
      </c>
      <c r="B3135">
        <v>135848887</v>
      </c>
      <c r="C3135" t="s">
        <v>15963</v>
      </c>
      <c r="D3135" t="s">
        <v>15964</v>
      </c>
      <c r="E3135" t="s">
        <v>11426</v>
      </c>
      <c r="F3135" t="s">
        <v>844</v>
      </c>
      <c r="G3135" t="s">
        <v>164</v>
      </c>
      <c r="H3135" t="s">
        <v>165</v>
      </c>
      <c r="I3135" t="s">
        <v>34</v>
      </c>
      <c r="J3135" t="s">
        <v>166</v>
      </c>
      <c r="K3135" t="s">
        <v>41</v>
      </c>
      <c r="L3135" t="s">
        <v>15965</v>
      </c>
      <c r="M3135" t="s">
        <v>15966</v>
      </c>
      <c r="N3135" t="s">
        <v>11429</v>
      </c>
      <c r="O3135" t="s">
        <v>101</v>
      </c>
      <c r="P3135" t="s">
        <v>15967</v>
      </c>
      <c r="Q3135" t="s">
        <v>68</v>
      </c>
      <c r="R3135" t="s">
        <v>737</v>
      </c>
      <c r="S3135">
        <v>2.48</v>
      </c>
      <c r="T3135">
        <v>3753</v>
      </c>
      <c r="U3135">
        <v>0</v>
      </c>
      <c r="V3135">
        <v>3753</v>
      </c>
    </row>
    <row r="3136" spans="1:22" x14ac:dyDescent="0.3">
      <c r="A3136">
        <v>186607</v>
      </c>
      <c r="B3136">
        <v>135848896</v>
      </c>
      <c r="C3136" t="s">
        <v>15968</v>
      </c>
      <c r="D3136" t="s">
        <v>15969</v>
      </c>
      <c r="E3136" t="s">
        <v>11426</v>
      </c>
      <c r="F3136" t="s">
        <v>844</v>
      </c>
      <c r="G3136" t="s">
        <v>164</v>
      </c>
      <c r="H3136" t="s">
        <v>165</v>
      </c>
      <c r="I3136" t="s">
        <v>34</v>
      </c>
      <c r="J3136" t="s">
        <v>166</v>
      </c>
      <c r="K3136" t="s">
        <v>41</v>
      </c>
      <c r="L3136" t="s">
        <v>15970</v>
      </c>
      <c r="M3136" t="s">
        <v>15971</v>
      </c>
      <c r="N3136" t="s">
        <v>11429</v>
      </c>
      <c r="O3136" t="s">
        <v>101</v>
      </c>
      <c r="P3136" t="s">
        <v>15972</v>
      </c>
      <c r="Q3136" t="s">
        <v>274</v>
      </c>
      <c r="R3136" t="s">
        <v>737</v>
      </c>
      <c r="S3136">
        <v>3.08</v>
      </c>
      <c r="T3136">
        <v>3797</v>
      </c>
      <c r="U3136">
        <v>0</v>
      </c>
      <c r="V3136">
        <v>3797</v>
      </c>
    </row>
    <row r="3137" spans="1:22" x14ac:dyDescent="0.3">
      <c r="A3137">
        <v>186607</v>
      </c>
      <c r="B3137">
        <v>135712059</v>
      </c>
      <c r="C3137" t="s">
        <v>15973</v>
      </c>
      <c r="D3137" t="s">
        <v>15974</v>
      </c>
      <c r="E3137" t="s">
        <v>11426</v>
      </c>
      <c r="F3137" t="s">
        <v>844</v>
      </c>
      <c r="G3137" t="s">
        <v>164</v>
      </c>
      <c r="H3137" t="s">
        <v>165</v>
      </c>
      <c r="I3137" t="s">
        <v>34</v>
      </c>
      <c r="J3137" t="s">
        <v>166</v>
      </c>
      <c r="K3137" t="s">
        <v>41</v>
      </c>
      <c r="L3137" t="s">
        <v>15975</v>
      </c>
      <c r="M3137" t="s">
        <v>15976</v>
      </c>
      <c r="N3137" t="s">
        <v>11429</v>
      </c>
      <c r="O3137" t="s">
        <v>101</v>
      </c>
      <c r="P3137" t="s">
        <v>15977</v>
      </c>
      <c r="Q3137" t="s">
        <v>92</v>
      </c>
      <c r="R3137" t="s">
        <v>12992</v>
      </c>
      <c r="S3137">
        <v>2.2799999999999998</v>
      </c>
      <c r="T3137">
        <v>3366</v>
      </c>
      <c r="U3137">
        <v>0</v>
      </c>
      <c r="V3137">
        <v>3366</v>
      </c>
    </row>
    <row r="3138" spans="1:22" x14ac:dyDescent="0.3">
      <c r="A3138">
        <v>186607</v>
      </c>
      <c r="B3138">
        <v>135790739</v>
      </c>
      <c r="C3138" t="s">
        <v>15978</v>
      </c>
      <c r="D3138" t="s">
        <v>15979</v>
      </c>
      <c r="E3138" t="s">
        <v>11426</v>
      </c>
      <c r="F3138" t="s">
        <v>844</v>
      </c>
      <c r="G3138" t="s">
        <v>164</v>
      </c>
      <c r="H3138" t="s">
        <v>165</v>
      </c>
      <c r="I3138" t="s">
        <v>34</v>
      </c>
      <c r="J3138" t="s">
        <v>166</v>
      </c>
      <c r="K3138" t="s">
        <v>41</v>
      </c>
      <c r="L3138" t="s">
        <v>15980</v>
      </c>
      <c r="M3138" t="s">
        <v>15981</v>
      </c>
      <c r="N3138" t="s">
        <v>11429</v>
      </c>
      <c r="O3138" t="s">
        <v>101</v>
      </c>
      <c r="P3138" t="s">
        <v>15982</v>
      </c>
      <c r="Q3138" t="s">
        <v>94</v>
      </c>
      <c r="R3138" t="s">
        <v>509</v>
      </c>
      <c r="S3138">
        <v>3.53</v>
      </c>
      <c r="T3138">
        <v>3797</v>
      </c>
      <c r="U3138">
        <v>0</v>
      </c>
      <c r="V3138">
        <v>3797</v>
      </c>
    </row>
    <row r="3139" spans="1:22" x14ac:dyDescent="0.3">
      <c r="A3139">
        <v>186607</v>
      </c>
      <c r="B3139">
        <v>135848910</v>
      </c>
      <c r="C3139" t="s">
        <v>15983</v>
      </c>
      <c r="D3139" t="s">
        <v>15984</v>
      </c>
      <c r="E3139" t="s">
        <v>11426</v>
      </c>
      <c r="F3139" t="s">
        <v>844</v>
      </c>
      <c r="G3139" t="s">
        <v>164</v>
      </c>
      <c r="H3139" t="s">
        <v>165</v>
      </c>
      <c r="I3139" t="s">
        <v>34</v>
      </c>
      <c r="J3139" t="s">
        <v>166</v>
      </c>
      <c r="K3139" t="s">
        <v>41</v>
      </c>
      <c r="L3139" t="s">
        <v>15985</v>
      </c>
      <c r="M3139" t="s">
        <v>395</v>
      </c>
      <c r="N3139" t="s">
        <v>11429</v>
      </c>
      <c r="O3139" t="s">
        <v>101</v>
      </c>
      <c r="P3139" t="s">
        <v>15986</v>
      </c>
      <c r="Q3139" t="s">
        <v>84</v>
      </c>
      <c r="R3139" t="s">
        <v>737</v>
      </c>
      <c r="S3139">
        <v>2.65</v>
      </c>
      <c r="T3139">
        <v>3366</v>
      </c>
      <c r="U3139">
        <v>0</v>
      </c>
      <c r="V3139">
        <v>3366</v>
      </c>
    </row>
    <row r="3140" spans="1:22" x14ac:dyDescent="0.3">
      <c r="A3140">
        <v>186607</v>
      </c>
      <c r="B3140">
        <v>135790717</v>
      </c>
      <c r="C3140" t="s">
        <v>15987</v>
      </c>
      <c r="D3140" t="s">
        <v>15988</v>
      </c>
      <c r="E3140" t="s">
        <v>11426</v>
      </c>
      <c r="F3140" t="s">
        <v>844</v>
      </c>
      <c r="G3140" t="s">
        <v>164</v>
      </c>
      <c r="H3140" t="s">
        <v>165</v>
      </c>
      <c r="I3140" t="s">
        <v>34</v>
      </c>
      <c r="J3140" t="s">
        <v>166</v>
      </c>
      <c r="K3140" t="s">
        <v>41</v>
      </c>
      <c r="L3140" t="s">
        <v>15989</v>
      </c>
      <c r="M3140" t="s">
        <v>158</v>
      </c>
      <c r="N3140" t="s">
        <v>11429</v>
      </c>
      <c r="O3140" t="s">
        <v>101</v>
      </c>
      <c r="P3140" t="s">
        <v>15990</v>
      </c>
      <c r="Q3140" t="s">
        <v>92</v>
      </c>
      <c r="R3140" t="s">
        <v>509</v>
      </c>
      <c r="S3140">
        <v>2.87</v>
      </c>
      <c r="T3140">
        <v>3366</v>
      </c>
      <c r="U3140">
        <v>0</v>
      </c>
      <c r="V3140">
        <v>3366</v>
      </c>
    </row>
    <row r="3141" spans="1:22" x14ac:dyDescent="0.3">
      <c r="A3141">
        <v>186607</v>
      </c>
      <c r="B3141">
        <v>135848888</v>
      </c>
      <c r="C3141" t="s">
        <v>15991</v>
      </c>
      <c r="D3141" t="s">
        <v>15992</v>
      </c>
      <c r="E3141" t="s">
        <v>11426</v>
      </c>
      <c r="F3141" t="s">
        <v>844</v>
      </c>
      <c r="G3141" t="s">
        <v>164</v>
      </c>
      <c r="H3141" t="s">
        <v>165</v>
      </c>
      <c r="I3141" t="s">
        <v>34</v>
      </c>
      <c r="J3141" t="s">
        <v>166</v>
      </c>
      <c r="K3141" t="s">
        <v>41</v>
      </c>
      <c r="L3141" t="s">
        <v>15993</v>
      </c>
      <c r="M3141" t="s">
        <v>15994</v>
      </c>
      <c r="N3141" t="s">
        <v>11429</v>
      </c>
      <c r="O3141" t="s">
        <v>101</v>
      </c>
      <c r="P3141" t="s">
        <v>15995</v>
      </c>
      <c r="Q3141" t="s">
        <v>70</v>
      </c>
      <c r="R3141" t="s">
        <v>737</v>
      </c>
      <c r="S3141">
        <v>3.34</v>
      </c>
      <c r="T3141">
        <v>4322</v>
      </c>
      <c r="U3141">
        <v>0</v>
      </c>
      <c r="V3141">
        <v>4322</v>
      </c>
    </row>
    <row r="3142" spans="1:22" x14ac:dyDescent="0.3">
      <c r="A3142">
        <v>186607</v>
      </c>
      <c r="B3142">
        <v>135790740</v>
      </c>
      <c r="C3142" t="s">
        <v>15996</v>
      </c>
      <c r="D3142" t="s">
        <v>15997</v>
      </c>
      <c r="E3142" t="s">
        <v>11426</v>
      </c>
      <c r="F3142" t="s">
        <v>844</v>
      </c>
      <c r="G3142" t="s">
        <v>164</v>
      </c>
      <c r="H3142" t="s">
        <v>165</v>
      </c>
      <c r="I3142" t="s">
        <v>34</v>
      </c>
      <c r="J3142" t="s">
        <v>166</v>
      </c>
      <c r="K3142" t="s">
        <v>41</v>
      </c>
      <c r="L3142" t="s">
        <v>15998</v>
      </c>
      <c r="M3142" t="s">
        <v>15999</v>
      </c>
      <c r="N3142" t="s">
        <v>11429</v>
      </c>
      <c r="O3142" t="s">
        <v>101</v>
      </c>
      <c r="P3142" t="s">
        <v>16000</v>
      </c>
      <c r="Q3142" t="s">
        <v>50</v>
      </c>
      <c r="R3142" t="s">
        <v>509</v>
      </c>
      <c r="S3142">
        <v>1.28</v>
      </c>
      <c r="T3142">
        <v>3784</v>
      </c>
      <c r="U3142">
        <v>0</v>
      </c>
      <c r="V3142">
        <v>3784</v>
      </c>
    </row>
    <row r="3143" spans="1:22" x14ac:dyDescent="0.3">
      <c r="A3143">
        <v>186607</v>
      </c>
      <c r="B3143">
        <v>135352779</v>
      </c>
      <c r="C3143" t="s">
        <v>16001</v>
      </c>
      <c r="D3143" t="s">
        <v>16002</v>
      </c>
      <c r="E3143" t="s">
        <v>11426</v>
      </c>
      <c r="F3143" t="s">
        <v>844</v>
      </c>
      <c r="G3143" t="s">
        <v>164</v>
      </c>
      <c r="H3143" t="s">
        <v>165</v>
      </c>
      <c r="I3143" t="s">
        <v>34</v>
      </c>
      <c r="J3143" t="s">
        <v>166</v>
      </c>
      <c r="K3143" t="s">
        <v>41</v>
      </c>
      <c r="L3143" t="s">
        <v>16003</v>
      </c>
      <c r="M3143" t="s">
        <v>16004</v>
      </c>
      <c r="N3143" t="s">
        <v>11429</v>
      </c>
      <c r="O3143" t="s">
        <v>101</v>
      </c>
      <c r="P3143" t="s">
        <v>16005</v>
      </c>
      <c r="Q3143" t="s">
        <v>52</v>
      </c>
      <c r="R3143" t="s">
        <v>16006</v>
      </c>
      <c r="S3143">
        <v>2.86</v>
      </c>
      <c r="T3143">
        <v>5759</v>
      </c>
      <c r="U3143">
        <v>0</v>
      </c>
      <c r="V3143">
        <v>5759</v>
      </c>
    </row>
    <row r="3144" spans="1:22" x14ac:dyDescent="0.3">
      <c r="A3144">
        <v>186607</v>
      </c>
      <c r="B3144">
        <v>135336890</v>
      </c>
      <c r="C3144" t="s">
        <v>16007</v>
      </c>
      <c r="D3144" t="s">
        <v>16008</v>
      </c>
      <c r="E3144" t="s">
        <v>11426</v>
      </c>
      <c r="F3144" t="s">
        <v>844</v>
      </c>
      <c r="G3144" t="s">
        <v>164</v>
      </c>
      <c r="H3144" t="s">
        <v>165</v>
      </c>
      <c r="I3144" t="s">
        <v>34</v>
      </c>
      <c r="J3144" t="s">
        <v>166</v>
      </c>
      <c r="K3144" t="s">
        <v>41</v>
      </c>
      <c r="L3144" t="s">
        <v>16009</v>
      </c>
      <c r="M3144" t="s">
        <v>16010</v>
      </c>
      <c r="N3144" t="s">
        <v>11429</v>
      </c>
      <c r="O3144" t="s">
        <v>101</v>
      </c>
      <c r="P3144" t="s">
        <v>16011</v>
      </c>
      <c r="Q3144" t="s">
        <v>52</v>
      </c>
      <c r="R3144" t="s">
        <v>16012</v>
      </c>
      <c r="S3144">
        <v>0.5</v>
      </c>
      <c r="T3144">
        <v>5367</v>
      </c>
      <c r="U3144">
        <v>0</v>
      </c>
      <c r="V3144">
        <v>5367</v>
      </c>
    </row>
    <row r="3145" spans="1:22" x14ac:dyDescent="0.3">
      <c r="A3145">
        <v>186607</v>
      </c>
      <c r="B3145">
        <v>135667117</v>
      </c>
      <c r="C3145" t="s">
        <v>16013</v>
      </c>
      <c r="D3145" t="s">
        <v>16014</v>
      </c>
      <c r="E3145" t="s">
        <v>11426</v>
      </c>
      <c r="F3145" t="s">
        <v>844</v>
      </c>
      <c r="G3145" t="s">
        <v>164</v>
      </c>
      <c r="H3145" t="s">
        <v>165</v>
      </c>
      <c r="I3145" t="s">
        <v>34</v>
      </c>
      <c r="J3145" t="s">
        <v>166</v>
      </c>
      <c r="K3145" t="s">
        <v>41</v>
      </c>
      <c r="L3145" t="s">
        <v>16015</v>
      </c>
      <c r="M3145" t="s">
        <v>814</v>
      </c>
      <c r="N3145" t="s">
        <v>11429</v>
      </c>
      <c r="O3145" t="s">
        <v>101</v>
      </c>
      <c r="P3145" t="s">
        <v>16016</v>
      </c>
      <c r="Q3145" t="s">
        <v>200</v>
      </c>
      <c r="R3145" t="s">
        <v>840</v>
      </c>
      <c r="S3145">
        <v>2.1800000000000002</v>
      </c>
      <c r="T3145">
        <v>3753</v>
      </c>
      <c r="U3145">
        <v>0</v>
      </c>
      <c r="V3145">
        <v>3753</v>
      </c>
    </row>
    <row r="3146" spans="1:22" x14ac:dyDescent="0.3">
      <c r="A3146">
        <v>186607</v>
      </c>
      <c r="B3146">
        <v>135667126</v>
      </c>
      <c r="C3146" t="s">
        <v>16017</v>
      </c>
      <c r="D3146" t="s">
        <v>16018</v>
      </c>
      <c r="E3146" t="s">
        <v>11426</v>
      </c>
      <c r="F3146" t="s">
        <v>844</v>
      </c>
      <c r="G3146" t="s">
        <v>164</v>
      </c>
      <c r="H3146" t="s">
        <v>165</v>
      </c>
      <c r="I3146" t="s">
        <v>34</v>
      </c>
      <c r="J3146" t="s">
        <v>166</v>
      </c>
      <c r="K3146" t="s">
        <v>41</v>
      </c>
      <c r="L3146" t="s">
        <v>16019</v>
      </c>
      <c r="M3146" t="s">
        <v>16020</v>
      </c>
      <c r="N3146" t="s">
        <v>11429</v>
      </c>
      <c r="O3146" t="s">
        <v>101</v>
      </c>
      <c r="P3146" t="s">
        <v>16021</v>
      </c>
      <c r="Q3146" t="s">
        <v>63</v>
      </c>
      <c r="R3146" t="s">
        <v>840</v>
      </c>
      <c r="S3146">
        <v>3.28</v>
      </c>
      <c r="T3146">
        <v>5111</v>
      </c>
      <c r="U3146">
        <v>0</v>
      </c>
      <c r="V3146">
        <v>5111</v>
      </c>
    </row>
    <row r="3147" spans="1:22" x14ac:dyDescent="0.3">
      <c r="A3147">
        <v>186607</v>
      </c>
      <c r="B3147">
        <v>135667116</v>
      </c>
      <c r="C3147" t="s">
        <v>16022</v>
      </c>
      <c r="D3147" t="s">
        <v>16023</v>
      </c>
      <c r="E3147" t="s">
        <v>11426</v>
      </c>
      <c r="F3147" t="s">
        <v>844</v>
      </c>
      <c r="G3147" t="s">
        <v>164</v>
      </c>
      <c r="H3147" t="s">
        <v>165</v>
      </c>
      <c r="I3147" t="s">
        <v>34</v>
      </c>
      <c r="J3147" t="s">
        <v>166</v>
      </c>
      <c r="K3147" t="s">
        <v>41</v>
      </c>
      <c r="L3147" t="s">
        <v>16024</v>
      </c>
      <c r="M3147" t="s">
        <v>16025</v>
      </c>
      <c r="N3147" t="s">
        <v>11429</v>
      </c>
      <c r="O3147" t="s">
        <v>101</v>
      </c>
      <c r="P3147" t="s">
        <v>16026</v>
      </c>
      <c r="Q3147" t="s">
        <v>57</v>
      </c>
      <c r="R3147" t="s">
        <v>840</v>
      </c>
      <c r="S3147">
        <v>2.1800000000000002</v>
      </c>
      <c r="T3147">
        <v>5476</v>
      </c>
      <c r="U3147">
        <v>0</v>
      </c>
      <c r="V3147">
        <v>5476</v>
      </c>
    </row>
    <row r="3148" spans="1:22" x14ac:dyDescent="0.3">
      <c r="A3148">
        <v>186607</v>
      </c>
      <c r="B3148">
        <v>135449145</v>
      </c>
      <c r="C3148" t="s">
        <v>16027</v>
      </c>
      <c r="D3148" t="s">
        <v>16028</v>
      </c>
      <c r="E3148" t="s">
        <v>11426</v>
      </c>
      <c r="F3148" t="s">
        <v>844</v>
      </c>
      <c r="G3148" t="s">
        <v>164</v>
      </c>
      <c r="H3148" t="s">
        <v>165</v>
      </c>
      <c r="I3148" t="s">
        <v>34</v>
      </c>
      <c r="J3148" t="s">
        <v>166</v>
      </c>
      <c r="K3148" t="s">
        <v>41</v>
      </c>
      <c r="L3148" t="s">
        <v>16029</v>
      </c>
      <c r="M3148" t="s">
        <v>16030</v>
      </c>
      <c r="N3148" t="s">
        <v>11429</v>
      </c>
      <c r="O3148" t="s">
        <v>101</v>
      </c>
      <c r="P3148" t="s">
        <v>16031</v>
      </c>
      <c r="Q3148" t="s">
        <v>49</v>
      </c>
      <c r="R3148" t="s">
        <v>16032</v>
      </c>
      <c r="S3148">
        <v>2.83</v>
      </c>
      <c r="T3148">
        <v>3784</v>
      </c>
      <c r="U3148">
        <v>0</v>
      </c>
      <c r="V3148">
        <v>3784</v>
      </c>
    </row>
    <row r="3149" spans="1:22" x14ac:dyDescent="0.3">
      <c r="A3149">
        <v>186607</v>
      </c>
      <c r="B3149">
        <v>135667112</v>
      </c>
      <c r="C3149" t="s">
        <v>16033</v>
      </c>
      <c r="D3149" t="s">
        <v>16034</v>
      </c>
      <c r="E3149" t="s">
        <v>11426</v>
      </c>
      <c r="F3149" t="s">
        <v>844</v>
      </c>
      <c r="G3149" t="s">
        <v>164</v>
      </c>
      <c r="H3149" t="s">
        <v>165</v>
      </c>
      <c r="I3149" t="s">
        <v>34</v>
      </c>
      <c r="J3149" t="s">
        <v>166</v>
      </c>
      <c r="K3149" t="s">
        <v>41</v>
      </c>
      <c r="L3149" t="s">
        <v>16035</v>
      </c>
      <c r="M3149" t="s">
        <v>16036</v>
      </c>
      <c r="N3149" t="s">
        <v>11429</v>
      </c>
      <c r="O3149" t="s">
        <v>101</v>
      </c>
      <c r="P3149" t="s">
        <v>16037</v>
      </c>
      <c r="Q3149" t="s">
        <v>190</v>
      </c>
      <c r="R3149" t="s">
        <v>16038</v>
      </c>
      <c r="S3149">
        <v>3.28</v>
      </c>
      <c r="T3149">
        <v>3797</v>
      </c>
      <c r="U3149">
        <v>0</v>
      </c>
      <c r="V3149">
        <v>3797</v>
      </c>
    </row>
    <row r="3150" spans="1:22" x14ac:dyDescent="0.3">
      <c r="A3150">
        <v>186607</v>
      </c>
      <c r="B3150">
        <v>135628536</v>
      </c>
      <c r="C3150" t="s">
        <v>16039</v>
      </c>
      <c r="D3150" t="s">
        <v>16040</v>
      </c>
      <c r="E3150" t="s">
        <v>11426</v>
      </c>
      <c r="F3150" t="s">
        <v>844</v>
      </c>
      <c r="G3150" t="s">
        <v>164</v>
      </c>
      <c r="H3150" t="s">
        <v>165</v>
      </c>
      <c r="I3150" t="s">
        <v>34</v>
      </c>
      <c r="J3150" t="s">
        <v>166</v>
      </c>
      <c r="K3150" t="s">
        <v>44</v>
      </c>
      <c r="L3150" t="s">
        <v>188</v>
      </c>
      <c r="M3150" t="s">
        <v>16041</v>
      </c>
      <c r="N3150" t="s">
        <v>11429</v>
      </c>
      <c r="O3150" t="s">
        <v>101</v>
      </c>
      <c r="P3150" t="s">
        <v>16042</v>
      </c>
      <c r="Q3150" t="s">
        <v>224</v>
      </c>
      <c r="R3150" t="s">
        <v>688</v>
      </c>
      <c r="S3150">
        <v>2.73</v>
      </c>
      <c r="T3150">
        <v>4067</v>
      </c>
      <c r="U3150">
        <v>0</v>
      </c>
      <c r="V3150">
        <v>4067</v>
      </c>
    </row>
    <row r="3151" spans="1:22" x14ac:dyDescent="0.3">
      <c r="A3151">
        <v>186607</v>
      </c>
      <c r="B3151">
        <v>135667138</v>
      </c>
      <c r="C3151" t="s">
        <v>16043</v>
      </c>
      <c r="D3151" t="s">
        <v>16044</v>
      </c>
      <c r="E3151" t="s">
        <v>11426</v>
      </c>
      <c r="F3151" t="s">
        <v>844</v>
      </c>
      <c r="G3151" t="s">
        <v>164</v>
      </c>
      <c r="H3151" t="s">
        <v>165</v>
      </c>
      <c r="I3151" t="s">
        <v>34</v>
      </c>
      <c r="J3151" t="s">
        <v>166</v>
      </c>
      <c r="K3151" t="s">
        <v>41</v>
      </c>
      <c r="L3151" t="s">
        <v>16045</v>
      </c>
      <c r="M3151" t="s">
        <v>16046</v>
      </c>
      <c r="N3151" t="s">
        <v>11429</v>
      </c>
      <c r="O3151" t="s">
        <v>101</v>
      </c>
      <c r="P3151" t="s">
        <v>16047</v>
      </c>
      <c r="Q3151" t="s">
        <v>43</v>
      </c>
      <c r="R3151" t="s">
        <v>840</v>
      </c>
      <c r="S3151">
        <v>3.28</v>
      </c>
      <c r="T3151">
        <v>4322</v>
      </c>
      <c r="U3151">
        <v>0</v>
      </c>
      <c r="V3151">
        <v>4322</v>
      </c>
    </row>
    <row r="3152" spans="1:22" x14ac:dyDescent="0.3">
      <c r="A3152">
        <v>186607</v>
      </c>
      <c r="B3152">
        <v>135667124</v>
      </c>
      <c r="C3152" t="s">
        <v>16048</v>
      </c>
      <c r="D3152" t="s">
        <v>16049</v>
      </c>
      <c r="E3152" t="s">
        <v>11426</v>
      </c>
      <c r="F3152" t="s">
        <v>844</v>
      </c>
      <c r="G3152" t="s">
        <v>164</v>
      </c>
      <c r="H3152" t="s">
        <v>165</v>
      </c>
      <c r="I3152" t="s">
        <v>34</v>
      </c>
      <c r="J3152" t="s">
        <v>166</v>
      </c>
      <c r="K3152" t="s">
        <v>41</v>
      </c>
      <c r="L3152" t="s">
        <v>16050</v>
      </c>
      <c r="M3152" t="s">
        <v>16051</v>
      </c>
      <c r="N3152" t="s">
        <v>11429</v>
      </c>
      <c r="O3152" t="s">
        <v>101</v>
      </c>
      <c r="P3152" t="s">
        <v>16052</v>
      </c>
      <c r="Q3152" t="s">
        <v>61</v>
      </c>
      <c r="R3152" t="s">
        <v>840</v>
      </c>
      <c r="S3152">
        <v>3.28</v>
      </c>
      <c r="T3152">
        <v>5376</v>
      </c>
      <c r="U3152">
        <v>0</v>
      </c>
      <c r="V3152">
        <v>5376</v>
      </c>
    </row>
    <row r="3153" spans="1:22" x14ac:dyDescent="0.3">
      <c r="A3153">
        <v>186607</v>
      </c>
      <c r="B3153">
        <v>135667105</v>
      </c>
      <c r="C3153" t="s">
        <v>16053</v>
      </c>
      <c r="D3153" t="s">
        <v>16054</v>
      </c>
      <c r="E3153" t="s">
        <v>11426</v>
      </c>
      <c r="F3153" t="s">
        <v>844</v>
      </c>
      <c r="G3153" t="s">
        <v>164</v>
      </c>
      <c r="H3153" t="s">
        <v>165</v>
      </c>
      <c r="I3153" t="s">
        <v>34</v>
      </c>
      <c r="J3153" t="s">
        <v>166</v>
      </c>
      <c r="K3153" t="s">
        <v>41</v>
      </c>
      <c r="L3153" t="s">
        <v>16055</v>
      </c>
      <c r="M3153" t="s">
        <v>16056</v>
      </c>
      <c r="N3153" t="s">
        <v>11429</v>
      </c>
      <c r="O3153" t="s">
        <v>101</v>
      </c>
      <c r="P3153" t="s">
        <v>16057</v>
      </c>
      <c r="Q3153" t="s">
        <v>92</v>
      </c>
      <c r="R3153" t="s">
        <v>16038</v>
      </c>
      <c r="S3153">
        <v>3.28</v>
      </c>
      <c r="T3153">
        <v>3797</v>
      </c>
      <c r="U3153">
        <v>0</v>
      </c>
      <c r="V3153">
        <v>3797</v>
      </c>
    </row>
    <row r="3154" spans="1:22" x14ac:dyDescent="0.3">
      <c r="A3154">
        <v>186607</v>
      </c>
      <c r="B3154">
        <v>135667131</v>
      </c>
      <c r="C3154" t="s">
        <v>16058</v>
      </c>
      <c r="D3154" t="s">
        <v>16059</v>
      </c>
      <c r="E3154" t="s">
        <v>11426</v>
      </c>
      <c r="F3154" t="s">
        <v>844</v>
      </c>
      <c r="G3154" t="s">
        <v>164</v>
      </c>
      <c r="H3154" t="s">
        <v>165</v>
      </c>
      <c r="I3154" t="s">
        <v>34</v>
      </c>
      <c r="J3154" t="s">
        <v>166</v>
      </c>
      <c r="K3154" t="s">
        <v>41</v>
      </c>
      <c r="L3154" t="s">
        <v>16060</v>
      </c>
      <c r="M3154" t="s">
        <v>16061</v>
      </c>
      <c r="N3154" t="s">
        <v>11429</v>
      </c>
      <c r="O3154" t="s">
        <v>101</v>
      </c>
      <c r="P3154" t="s">
        <v>16062</v>
      </c>
      <c r="Q3154" t="s">
        <v>87</v>
      </c>
      <c r="R3154" t="s">
        <v>840</v>
      </c>
      <c r="S3154">
        <v>4.37</v>
      </c>
      <c r="T3154">
        <v>3797</v>
      </c>
      <c r="U3154">
        <v>0</v>
      </c>
      <c r="V3154">
        <v>3797</v>
      </c>
    </row>
    <row r="3155" spans="1:22" x14ac:dyDescent="0.3">
      <c r="A3155">
        <v>186607</v>
      </c>
      <c r="B3155">
        <v>135606158</v>
      </c>
      <c r="C3155" t="s">
        <v>16063</v>
      </c>
      <c r="D3155" t="s">
        <v>16064</v>
      </c>
      <c r="E3155" t="s">
        <v>11426</v>
      </c>
      <c r="F3155" t="s">
        <v>844</v>
      </c>
      <c r="G3155" t="s">
        <v>164</v>
      </c>
      <c r="H3155" t="s">
        <v>165</v>
      </c>
      <c r="I3155" t="s">
        <v>34</v>
      </c>
      <c r="J3155" t="s">
        <v>166</v>
      </c>
      <c r="K3155" t="s">
        <v>41</v>
      </c>
      <c r="L3155" t="s">
        <v>16065</v>
      </c>
      <c r="M3155" t="s">
        <v>16066</v>
      </c>
      <c r="N3155" t="s">
        <v>11429</v>
      </c>
      <c r="O3155" t="s">
        <v>101</v>
      </c>
      <c r="P3155" t="s">
        <v>16067</v>
      </c>
      <c r="Q3155" t="s">
        <v>224</v>
      </c>
      <c r="R3155" t="s">
        <v>16068</v>
      </c>
      <c r="S3155">
        <v>2.73</v>
      </c>
      <c r="T3155">
        <v>4067</v>
      </c>
      <c r="U3155">
        <v>0</v>
      </c>
      <c r="V3155">
        <v>4067</v>
      </c>
    </row>
    <row r="3156" spans="1:22" x14ac:dyDescent="0.3">
      <c r="A3156">
        <v>186607</v>
      </c>
      <c r="B3156">
        <v>135667121</v>
      </c>
      <c r="C3156" t="s">
        <v>16069</v>
      </c>
      <c r="D3156" t="s">
        <v>16070</v>
      </c>
      <c r="E3156" t="s">
        <v>11426</v>
      </c>
      <c r="F3156" t="s">
        <v>844</v>
      </c>
      <c r="G3156" t="s">
        <v>164</v>
      </c>
      <c r="H3156" t="s">
        <v>165</v>
      </c>
      <c r="I3156" t="s">
        <v>34</v>
      </c>
      <c r="J3156" t="s">
        <v>166</v>
      </c>
      <c r="K3156" t="s">
        <v>41</v>
      </c>
      <c r="L3156" t="s">
        <v>16071</v>
      </c>
      <c r="M3156" t="s">
        <v>16072</v>
      </c>
      <c r="N3156" t="s">
        <v>11429</v>
      </c>
      <c r="O3156" t="s">
        <v>101</v>
      </c>
      <c r="P3156" t="s">
        <v>16073</v>
      </c>
      <c r="Q3156" t="s">
        <v>92</v>
      </c>
      <c r="R3156" t="s">
        <v>840</v>
      </c>
      <c r="S3156">
        <v>1.64</v>
      </c>
      <c r="T3156">
        <v>3366</v>
      </c>
      <c r="U3156">
        <v>0</v>
      </c>
      <c r="V3156">
        <v>3366</v>
      </c>
    </row>
    <row r="3157" spans="1:22" x14ac:dyDescent="0.3">
      <c r="A3157">
        <v>186607</v>
      </c>
      <c r="B3157">
        <v>135667108</v>
      </c>
      <c r="C3157" t="s">
        <v>16074</v>
      </c>
      <c r="D3157" t="s">
        <v>16075</v>
      </c>
      <c r="E3157" t="s">
        <v>11426</v>
      </c>
      <c r="F3157" t="s">
        <v>844</v>
      </c>
      <c r="G3157" t="s">
        <v>164</v>
      </c>
      <c r="H3157" t="s">
        <v>165</v>
      </c>
      <c r="I3157" t="s">
        <v>34</v>
      </c>
      <c r="J3157" t="s">
        <v>166</v>
      </c>
      <c r="K3157" t="s">
        <v>41</v>
      </c>
      <c r="L3157" t="s">
        <v>16076</v>
      </c>
      <c r="M3157" t="s">
        <v>16077</v>
      </c>
      <c r="N3157" t="s">
        <v>11429</v>
      </c>
      <c r="O3157" t="s">
        <v>101</v>
      </c>
      <c r="P3157" t="s">
        <v>16078</v>
      </c>
      <c r="Q3157" t="s">
        <v>69</v>
      </c>
      <c r="R3157" t="s">
        <v>16038</v>
      </c>
      <c r="S3157">
        <v>3.28</v>
      </c>
      <c r="T3157">
        <v>4456</v>
      </c>
      <c r="U3157">
        <v>0</v>
      </c>
      <c r="V3157">
        <v>4456</v>
      </c>
    </row>
    <row r="3158" spans="1:22" x14ac:dyDescent="0.3">
      <c r="A3158">
        <v>186607</v>
      </c>
      <c r="B3158">
        <v>135628530</v>
      </c>
      <c r="C3158" t="s">
        <v>16079</v>
      </c>
      <c r="D3158" t="s">
        <v>16080</v>
      </c>
      <c r="E3158" t="s">
        <v>11426</v>
      </c>
      <c r="F3158" t="s">
        <v>844</v>
      </c>
      <c r="G3158" t="s">
        <v>164</v>
      </c>
      <c r="H3158" t="s">
        <v>165</v>
      </c>
      <c r="I3158" t="s">
        <v>34</v>
      </c>
      <c r="J3158" t="s">
        <v>166</v>
      </c>
      <c r="K3158" t="s">
        <v>41</v>
      </c>
      <c r="L3158" t="s">
        <v>16081</v>
      </c>
      <c r="M3158" t="s">
        <v>16082</v>
      </c>
      <c r="N3158" t="s">
        <v>11429</v>
      </c>
      <c r="O3158" t="s">
        <v>101</v>
      </c>
      <c r="P3158" t="s">
        <v>16083</v>
      </c>
      <c r="Q3158" t="s">
        <v>55</v>
      </c>
      <c r="R3158" t="s">
        <v>688</v>
      </c>
      <c r="S3158">
        <v>3.82</v>
      </c>
      <c r="T3158">
        <v>7484</v>
      </c>
      <c r="U3158">
        <v>0</v>
      </c>
      <c r="V3158">
        <v>7484</v>
      </c>
    </row>
    <row r="3159" spans="1:22" x14ac:dyDescent="0.3">
      <c r="A3159">
        <v>186607</v>
      </c>
      <c r="B3159">
        <v>135667120</v>
      </c>
      <c r="C3159" t="s">
        <v>16084</v>
      </c>
      <c r="D3159" t="s">
        <v>16085</v>
      </c>
      <c r="E3159" t="s">
        <v>11426</v>
      </c>
      <c r="F3159" t="s">
        <v>844</v>
      </c>
      <c r="G3159" t="s">
        <v>164</v>
      </c>
      <c r="H3159" t="s">
        <v>165</v>
      </c>
      <c r="I3159" t="s">
        <v>34</v>
      </c>
      <c r="J3159" t="s">
        <v>166</v>
      </c>
      <c r="K3159" t="s">
        <v>41</v>
      </c>
      <c r="L3159" t="s">
        <v>16086</v>
      </c>
      <c r="M3159" t="s">
        <v>16087</v>
      </c>
      <c r="N3159" t="s">
        <v>11429</v>
      </c>
      <c r="O3159" t="s">
        <v>101</v>
      </c>
      <c r="P3159" t="s">
        <v>16088</v>
      </c>
      <c r="Q3159" t="s">
        <v>141</v>
      </c>
      <c r="R3159" t="s">
        <v>840</v>
      </c>
      <c r="S3159">
        <v>2.1800000000000002</v>
      </c>
      <c r="T3159">
        <v>3366</v>
      </c>
      <c r="U3159">
        <v>0</v>
      </c>
      <c r="V3159">
        <v>3366</v>
      </c>
    </row>
    <row r="3160" spans="1:22" x14ac:dyDescent="0.3">
      <c r="A3160">
        <v>186607</v>
      </c>
      <c r="B3160">
        <v>135628522</v>
      </c>
      <c r="C3160" t="s">
        <v>16089</v>
      </c>
      <c r="D3160" t="s">
        <v>16090</v>
      </c>
      <c r="E3160" t="s">
        <v>11426</v>
      </c>
      <c r="F3160" t="s">
        <v>844</v>
      </c>
      <c r="G3160" t="s">
        <v>164</v>
      </c>
      <c r="H3160" t="s">
        <v>165</v>
      </c>
      <c r="I3160" t="s">
        <v>34</v>
      </c>
      <c r="J3160" t="s">
        <v>166</v>
      </c>
      <c r="K3160" t="s">
        <v>41</v>
      </c>
      <c r="L3160" t="s">
        <v>16091</v>
      </c>
      <c r="M3160" t="s">
        <v>16092</v>
      </c>
      <c r="N3160" t="s">
        <v>11429</v>
      </c>
      <c r="O3160" t="s">
        <v>101</v>
      </c>
      <c r="P3160" t="s">
        <v>16093</v>
      </c>
      <c r="Q3160" t="s">
        <v>209</v>
      </c>
      <c r="R3160" t="s">
        <v>688</v>
      </c>
      <c r="S3160">
        <v>2.73</v>
      </c>
      <c r="T3160">
        <v>5759</v>
      </c>
      <c r="U3160">
        <v>0</v>
      </c>
      <c r="V3160">
        <v>5759</v>
      </c>
    </row>
    <row r="3161" spans="1:22" x14ac:dyDescent="0.3">
      <c r="A3161">
        <v>186607</v>
      </c>
      <c r="B3161">
        <v>135312527</v>
      </c>
      <c r="C3161" t="s">
        <v>16094</v>
      </c>
      <c r="D3161" t="s">
        <v>16095</v>
      </c>
      <c r="E3161" t="s">
        <v>11426</v>
      </c>
      <c r="F3161" t="s">
        <v>844</v>
      </c>
      <c r="G3161" t="s">
        <v>164</v>
      </c>
      <c r="H3161" t="s">
        <v>165</v>
      </c>
      <c r="I3161" t="s">
        <v>34</v>
      </c>
      <c r="J3161" t="s">
        <v>166</v>
      </c>
      <c r="K3161" t="s">
        <v>41</v>
      </c>
      <c r="L3161" t="s">
        <v>16096</v>
      </c>
      <c r="M3161" t="s">
        <v>16097</v>
      </c>
      <c r="N3161" t="s">
        <v>11429</v>
      </c>
      <c r="O3161" t="s">
        <v>101</v>
      </c>
      <c r="P3161" t="s">
        <v>16098</v>
      </c>
      <c r="Q3161" t="s">
        <v>52</v>
      </c>
      <c r="R3161" t="s">
        <v>16099</v>
      </c>
      <c r="S3161">
        <v>1.75</v>
      </c>
      <c r="T3161">
        <v>5759</v>
      </c>
      <c r="U3161">
        <v>0</v>
      </c>
      <c r="V3161">
        <v>5759</v>
      </c>
    </row>
    <row r="3162" spans="1:22" x14ac:dyDescent="0.3">
      <c r="A3162">
        <v>186607</v>
      </c>
      <c r="B3162">
        <v>135667132</v>
      </c>
      <c r="C3162" t="s">
        <v>16100</v>
      </c>
      <c r="D3162" t="s">
        <v>16101</v>
      </c>
      <c r="E3162" t="s">
        <v>11426</v>
      </c>
      <c r="F3162" t="s">
        <v>844</v>
      </c>
      <c r="G3162" t="s">
        <v>164</v>
      </c>
      <c r="H3162" t="s">
        <v>165</v>
      </c>
      <c r="I3162" t="s">
        <v>34</v>
      </c>
      <c r="J3162" t="s">
        <v>166</v>
      </c>
      <c r="K3162" t="s">
        <v>41</v>
      </c>
      <c r="L3162" t="s">
        <v>16102</v>
      </c>
      <c r="M3162" t="s">
        <v>16103</v>
      </c>
      <c r="N3162" t="s">
        <v>11429</v>
      </c>
      <c r="O3162" t="s">
        <v>101</v>
      </c>
      <c r="P3162" t="s">
        <v>16104</v>
      </c>
      <c r="Q3162" t="s">
        <v>240</v>
      </c>
      <c r="R3162" t="s">
        <v>840</v>
      </c>
      <c r="S3162">
        <v>4.37</v>
      </c>
      <c r="T3162">
        <v>6049</v>
      </c>
      <c r="U3162">
        <v>0</v>
      </c>
      <c r="V3162">
        <v>6049</v>
      </c>
    </row>
    <row r="3163" spans="1:22" x14ac:dyDescent="0.3">
      <c r="A3163">
        <v>186607</v>
      </c>
      <c r="B3163">
        <v>135574322</v>
      </c>
      <c r="C3163" t="s">
        <v>16105</v>
      </c>
      <c r="D3163" t="s">
        <v>16106</v>
      </c>
      <c r="E3163" t="s">
        <v>11426</v>
      </c>
      <c r="F3163" t="s">
        <v>844</v>
      </c>
      <c r="G3163" t="s">
        <v>164</v>
      </c>
      <c r="H3163" t="s">
        <v>165</v>
      </c>
      <c r="I3163" t="s">
        <v>34</v>
      </c>
      <c r="J3163" t="s">
        <v>166</v>
      </c>
      <c r="K3163" t="s">
        <v>41</v>
      </c>
      <c r="L3163" t="s">
        <v>16107</v>
      </c>
      <c r="M3163" t="s">
        <v>16108</v>
      </c>
      <c r="N3163" t="s">
        <v>11429</v>
      </c>
      <c r="O3163" t="s">
        <v>101</v>
      </c>
      <c r="P3163" t="s">
        <v>16109</v>
      </c>
      <c r="Q3163" t="s">
        <v>118</v>
      </c>
      <c r="R3163" t="s">
        <v>16110</v>
      </c>
      <c r="S3163">
        <v>2.19</v>
      </c>
      <c r="T3163">
        <v>4346</v>
      </c>
      <c r="U3163">
        <v>0</v>
      </c>
      <c r="V3163">
        <v>4346</v>
      </c>
    </row>
    <row r="3164" spans="1:22" x14ac:dyDescent="0.3">
      <c r="A3164">
        <v>186607</v>
      </c>
      <c r="B3164">
        <v>135628528</v>
      </c>
      <c r="C3164" t="s">
        <v>16111</v>
      </c>
      <c r="D3164" t="s">
        <v>16112</v>
      </c>
      <c r="E3164" t="s">
        <v>11426</v>
      </c>
      <c r="F3164" t="s">
        <v>844</v>
      </c>
      <c r="G3164" t="s">
        <v>164</v>
      </c>
      <c r="H3164" t="s">
        <v>165</v>
      </c>
      <c r="I3164" t="s">
        <v>34</v>
      </c>
      <c r="J3164" t="s">
        <v>166</v>
      </c>
      <c r="K3164" t="s">
        <v>41</v>
      </c>
      <c r="L3164" t="s">
        <v>16113</v>
      </c>
      <c r="M3164" t="s">
        <v>16114</v>
      </c>
      <c r="N3164" t="s">
        <v>11429</v>
      </c>
      <c r="O3164" t="s">
        <v>101</v>
      </c>
      <c r="P3164" t="s">
        <v>16115</v>
      </c>
      <c r="Q3164" t="s">
        <v>63</v>
      </c>
      <c r="R3164" t="s">
        <v>688</v>
      </c>
      <c r="S3164">
        <v>3.87</v>
      </c>
      <c r="T3164">
        <v>5111</v>
      </c>
      <c r="U3164">
        <v>0</v>
      </c>
      <c r="V3164">
        <v>5111</v>
      </c>
    </row>
    <row r="3165" spans="1:22" x14ac:dyDescent="0.3">
      <c r="A3165">
        <v>186607</v>
      </c>
      <c r="B3165">
        <v>135628540</v>
      </c>
      <c r="C3165" t="s">
        <v>16116</v>
      </c>
      <c r="D3165" t="s">
        <v>16117</v>
      </c>
      <c r="E3165" t="s">
        <v>11426</v>
      </c>
      <c r="F3165" t="s">
        <v>844</v>
      </c>
      <c r="G3165" t="s">
        <v>164</v>
      </c>
      <c r="H3165" t="s">
        <v>165</v>
      </c>
      <c r="I3165" t="s">
        <v>34</v>
      </c>
      <c r="J3165" t="s">
        <v>166</v>
      </c>
      <c r="K3165" t="s">
        <v>41</v>
      </c>
      <c r="L3165" t="s">
        <v>16118</v>
      </c>
      <c r="M3165" t="s">
        <v>16119</v>
      </c>
      <c r="N3165" t="s">
        <v>11429</v>
      </c>
      <c r="O3165" t="s">
        <v>101</v>
      </c>
      <c r="P3165" t="s">
        <v>16120</v>
      </c>
      <c r="Q3165" t="s">
        <v>72</v>
      </c>
      <c r="R3165" t="s">
        <v>688</v>
      </c>
      <c r="S3165">
        <v>3.82</v>
      </c>
      <c r="T3165">
        <v>4585</v>
      </c>
      <c r="U3165">
        <v>0</v>
      </c>
      <c r="V3165">
        <v>4585</v>
      </c>
    </row>
    <row r="3166" spans="1:22" x14ac:dyDescent="0.3">
      <c r="A3166">
        <v>186607</v>
      </c>
      <c r="B3166">
        <v>135574341</v>
      </c>
      <c r="C3166" t="s">
        <v>16121</v>
      </c>
      <c r="D3166" t="s">
        <v>16122</v>
      </c>
      <c r="E3166" t="s">
        <v>11426</v>
      </c>
      <c r="F3166" t="s">
        <v>844</v>
      </c>
      <c r="G3166" t="s">
        <v>164</v>
      </c>
      <c r="H3166" t="s">
        <v>165</v>
      </c>
      <c r="I3166" t="s">
        <v>34</v>
      </c>
      <c r="J3166" t="s">
        <v>166</v>
      </c>
      <c r="K3166" t="s">
        <v>41</v>
      </c>
      <c r="L3166" t="s">
        <v>16123</v>
      </c>
      <c r="M3166" t="s">
        <v>16124</v>
      </c>
      <c r="N3166" t="s">
        <v>11429</v>
      </c>
      <c r="O3166" t="s">
        <v>101</v>
      </c>
      <c r="P3166" t="s">
        <v>16125</v>
      </c>
      <c r="Q3166" t="s">
        <v>65</v>
      </c>
      <c r="R3166" t="s">
        <v>16110</v>
      </c>
      <c r="S3166">
        <v>2.19</v>
      </c>
      <c r="T3166">
        <v>4067</v>
      </c>
      <c r="U3166">
        <v>0</v>
      </c>
      <c r="V3166">
        <v>4067</v>
      </c>
    </row>
    <row r="3167" spans="1:22" x14ac:dyDescent="0.3">
      <c r="A3167">
        <v>186607</v>
      </c>
      <c r="B3167">
        <v>135606157</v>
      </c>
      <c r="C3167" t="s">
        <v>16126</v>
      </c>
      <c r="D3167" t="s">
        <v>16127</v>
      </c>
      <c r="E3167" t="s">
        <v>11426</v>
      </c>
      <c r="F3167" t="s">
        <v>844</v>
      </c>
      <c r="G3167" t="s">
        <v>164</v>
      </c>
      <c r="H3167" t="s">
        <v>165</v>
      </c>
      <c r="I3167" t="s">
        <v>34</v>
      </c>
      <c r="J3167" t="s">
        <v>166</v>
      </c>
      <c r="K3167" t="s">
        <v>41</v>
      </c>
      <c r="L3167" t="s">
        <v>16128</v>
      </c>
      <c r="M3167" t="s">
        <v>16129</v>
      </c>
      <c r="N3167" t="s">
        <v>11429</v>
      </c>
      <c r="O3167" t="s">
        <v>101</v>
      </c>
      <c r="P3167" t="s">
        <v>16130</v>
      </c>
      <c r="Q3167" t="s">
        <v>76</v>
      </c>
      <c r="R3167" t="s">
        <v>16068</v>
      </c>
      <c r="S3167">
        <v>4.7</v>
      </c>
      <c r="T3167">
        <v>4456</v>
      </c>
      <c r="U3167">
        <v>0</v>
      </c>
      <c r="V3167">
        <v>4456</v>
      </c>
    </row>
    <row r="3168" spans="1:22" x14ac:dyDescent="0.3">
      <c r="A3168">
        <v>186607</v>
      </c>
      <c r="B3168">
        <v>135554102</v>
      </c>
      <c r="C3168" t="s">
        <v>16131</v>
      </c>
      <c r="D3168" t="s">
        <v>16132</v>
      </c>
      <c r="E3168" t="s">
        <v>11426</v>
      </c>
      <c r="F3168" t="s">
        <v>844</v>
      </c>
      <c r="G3168" t="s">
        <v>164</v>
      </c>
      <c r="H3168" t="s">
        <v>165</v>
      </c>
      <c r="I3168" t="s">
        <v>34</v>
      </c>
      <c r="J3168" t="s">
        <v>166</v>
      </c>
      <c r="K3168" t="s">
        <v>41</v>
      </c>
      <c r="L3168" t="s">
        <v>16133</v>
      </c>
      <c r="M3168" t="s">
        <v>207</v>
      </c>
      <c r="N3168" t="s">
        <v>11429</v>
      </c>
      <c r="O3168" t="s">
        <v>101</v>
      </c>
      <c r="P3168" t="s">
        <v>16134</v>
      </c>
      <c r="Q3168" t="s">
        <v>57</v>
      </c>
      <c r="R3168" t="s">
        <v>13573</v>
      </c>
      <c r="S3168">
        <v>3.06</v>
      </c>
      <c r="T3168">
        <v>7749</v>
      </c>
      <c r="U3168">
        <v>0</v>
      </c>
      <c r="V3168">
        <v>7749</v>
      </c>
    </row>
    <row r="3169" spans="1:22" x14ac:dyDescent="0.3">
      <c r="A3169">
        <v>186607</v>
      </c>
      <c r="B3169">
        <v>135606152</v>
      </c>
      <c r="C3169" t="s">
        <v>16135</v>
      </c>
      <c r="D3169" t="s">
        <v>16136</v>
      </c>
      <c r="E3169" t="s">
        <v>11426</v>
      </c>
      <c r="F3169" t="s">
        <v>844</v>
      </c>
      <c r="G3169" t="s">
        <v>164</v>
      </c>
      <c r="H3169" t="s">
        <v>165</v>
      </c>
      <c r="I3169" t="s">
        <v>34</v>
      </c>
      <c r="J3169" t="s">
        <v>166</v>
      </c>
      <c r="K3169" t="s">
        <v>41</v>
      </c>
      <c r="L3169" t="s">
        <v>16137</v>
      </c>
      <c r="M3169" t="s">
        <v>16138</v>
      </c>
      <c r="N3169" t="s">
        <v>11429</v>
      </c>
      <c r="O3169" t="s">
        <v>101</v>
      </c>
      <c r="P3169" t="s">
        <v>16139</v>
      </c>
      <c r="Q3169" t="s">
        <v>59</v>
      </c>
      <c r="R3169" t="s">
        <v>16068</v>
      </c>
      <c r="S3169">
        <v>2.73</v>
      </c>
      <c r="T3169">
        <v>4067</v>
      </c>
      <c r="U3169">
        <v>0</v>
      </c>
      <c r="V3169">
        <v>4067</v>
      </c>
    </row>
    <row r="3170" spans="1:22" x14ac:dyDescent="0.3">
      <c r="A3170">
        <v>186607</v>
      </c>
      <c r="B3170">
        <v>135628527</v>
      </c>
      <c r="C3170" t="s">
        <v>16140</v>
      </c>
      <c r="D3170" t="s">
        <v>16141</v>
      </c>
      <c r="E3170" t="s">
        <v>11426</v>
      </c>
      <c r="F3170" t="s">
        <v>844</v>
      </c>
      <c r="G3170" t="s">
        <v>164</v>
      </c>
      <c r="H3170" t="s">
        <v>165</v>
      </c>
      <c r="I3170" t="s">
        <v>34</v>
      </c>
      <c r="J3170" t="s">
        <v>166</v>
      </c>
      <c r="K3170" t="s">
        <v>41</v>
      </c>
      <c r="L3170" t="s">
        <v>16142</v>
      </c>
      <c r="M3170" t="s">
        <v>16143</v>
      </c>
      <c r="N3170" t="s">
        <v>11429</v>
      </c>
      <c r="O3170" t="s">
        <v>101</v>
      </c>
      <c r="P3170" t="s">
        <v>16144</v>
      </c>
      <c r="Q3170" t="s">
        <v>70</v>
      </c>
      <c r="R3170" t="s">
        <v>688</v>
      </c>
      <c r="S3170">
        <v>3.82</v>
      </c>
      <c r="T3170">
        <v>4322</v>
      </c>
      <c r="U3170">
        <v>0</v>
      </c>
      <c r="V3170">
        <v>4322</v>
      </c>
    </row>
    <row r="3171" spans="1:22" x14ac:dyDescent="0.3">
      <c r="A3171">
        <v>186607</v>
      </c>
      <c r="B3171">
        <v>135712022</v>
      </c>
      <c r="C3171" t="s">
        <v>16145</v>
      </c>
      <c r="D3171" t="s">
        <v>16146</v>
      </c>
      <c r="E3171" t="s">
        <v>11426</v>
      </c>
      <c r="F3171" t="s">
        <v>844</v>
      </c>
      <c r="G3171" t="s">
        <v>172</v>
      </c>
      <c r="H3171" t="s">
        <v>173</v>
      </c>
      <c r="I3171" t="s">
        <v>34</v>
      </c>
      <c r="J3171" t="s">
        <v>272</v>
      </c>
      <c r="K3171" t="s">
        <v>41</v>
      </c>
      <c r="L3171" t="s">
        <v>174</v>
      </c>
      <c r="M3171" t="s">
        <v>16147</v>
      </c>
      <c r="N3171" t="s">
        <v>11429</v>
      </c>
      <c r="O3171" t="s">
        <v>101</v>
      </c>
      <c r="P3171" t="s">
        <v>16148</v>
      </c>
      <c r="Q3171" t="s">
        <v>103</v>
      </c>
      <c r="R3171" t="s">
        <v>12992</v>
      </c>
      <c r="S3171">
        <v>3.41</v>
      </c>
      <c r="T3171">
        <v>4537</v>
      </c>
      <c r="U3171">
        <v>0</v>
      </c>
      <c r="V3171">
        <v>4537</v>
      </c>
    </row>
    <row r="3172" spans="1:22" x14ac:dyDescent="0.3">
      <c r="A3172">
        <v>186607</v>
      </c>
      <c r="B3172">
        <v>135606148</v>
      </c>
      <c r="C3172" t="s">
        <v>16149</v>
      </c>
      <c r="D3172" t="s">
        <v>16150</v>
      </c>
      <c r="E3172" t="s">
        <v>11426</v>
      </c>
      <c r="F3172" t="s">
        <v>844</v>
      </c>
      <c r="G3172" t="s">
        <v>164</v>
      </c>
      <c r="H3172" t="s">
        <v>165</v>
      </c>
      <c r="I3172" t="s">
        <v>34</v>
      </c>
      <c r="J3172" t="s">
        <v>166</v>
      </c>
      <c r="K3172" t="s">
        <v>41</v>
      </c>
      <c r="L3172" t="s">
        <v>16151</v>
      </c>
      <c r="M3172" t="s">
        <v>16152</v>
      </c>
      <c r="N3172" t="s">
        <v>11429</v>
      </c>
      <c r="O3172" t="s">
        <v>101</v>
      </c>
      <c r="P3172" t="s">
        <v>16153</v>
      </c>
      <c r="Q3172" t="s">
        <v>68</v>
      </c>
      <c r="R3172" t="s">
        <v>16068</v>
      </c>
      <c r="S3172">
        <v>3.82</v>
      </c>
      <c r="T3172">
        <v>4456</v>
      </c>
      <c r="U3172">
        <v>0</v>
      </c>
      <c r="V3172">
        <v>4456</v>
      </c>
    </row>
    <row r="3173" spans="1:22" x14ac:dyDescent="0.3">
      <c r="A3173">
        <v>186607</v>
      </c>
      <c r="B3173">
        <v>135449116</v>
      </c>
      <c r="C3173" t="s">
        <v>16154</v>
      </c>
      <c r="D3173" t="s">
        <v>16155</v>
      </c>
      <c r="E3173" t="s">
        <v>11426</v>
      </c>
      <c r="F3173" t="s">
        <v>844</v>
      </c>
      <c r="G3173" t="s">
        <v>164</v>
      </c>
      <c r="H3173" t="s">
        <v>165</v>
      </c>
      <c r="I3173" t="s">
        <v>34</v>
      </c>
      <c r="J3173" t="s">
        <v>166</v>
      </c>
      <c r="K3173" t="s">
        <v>41</v>
      </c>
      <c r="L3173" t="s">
        <v>16156</v>
      </c>
      <c r="M3173" t="s">
        <v>16157</v>
      </c>
      <c r="N3173" t="s">
        <v>11429</v>
      </c>
      <c r="O3173" t="s">
        <v>101</v>
      </c>
      <c r="P3173" t="s">
        <v>16158</v>
      </c>
      <c r="Q3173" t="s">
        <v>58</v>
      </c>
      <c r="R3173" t="s">
        <v>13979</v>
      </c>
      <c r="S3173">
        <v>2.0499999999999998</v>
      </c>
      <c r="T3173">
        <v>5759</v>
      </c>
      <c r="U3173">
        <v>0</v>
      </c>
      <c r="V3173">
        <v>5759</v>
      </c>
    </row>
    <row r="3174" spans="1:22" x14ac:dyDescent="0.3">
      <c r="A3174">
        <v>186607</v>
      </c>
      <c r="B3174">
        <v>135574328</v>
      </c>
      <c r="C3174" t="s">
        <v>16159</v>
      </c>
      <c r="D3174" t="s">
        <v>16160</v>
      </c>
      <c r="E3174" t="s">
        <v>11426</v>
      </c>
      <c r="F3174" t="s">
        <v>844</v>
      </c>
      <c r="G3174" t="s">
        <v>164</v>
      </c>
      <c r="H3174" t="s">
        <v>165</v>
      </c>
      <c r="I3174" t="s">
        <v>34</v>
      </c>
      <c r="J3174" t="s">
        <v>166</v>
      </c>
      <c r="K3174" t="s">
        <v>41</v>
      </c>
      <c r="L3174" t="s">
        <v>16161</v>
      </c>
      <c r="M3174" t="s">
        <v>16162</v>
      </c>
      <c r="N3174" t="s">
        <v>11429</v>
      </c>
      <c r="O3174" t="s">
        <v>101</v>
      </c>
      <c r="P3174" t="s">
        <v>16163</v>
      </c>
      <c r="Q3174" t="s">
        <v>57</v>
      </c>
      <c r="R3174" t="s">
        <v>16110</v>
      </c>
      <c r="S3174">
        <v>3.06</v>
      </c>
      <c r="T3174">
        <v>7749</v>
      </c>
      <c r="U3174">
        <v>0</v>
      </c>
      <c r="V3174">
        <v>7749</v>
      </c>
    </row>
    <row r="3175" spans="1:22" x14ac:dyDescent="0.3">
      <c r="A3175">
        <v>186607</v>
      </c>
      <c r="B3175">
        <v>135628542</v>
      </c>
      <c r="C3175" t="s">
        <v>16164</v>
      </c>
      <c r="D3175" t="s">
        <v>16165</v>
      </c>
      <c r="E3175" t="s">
        <v>11426</v>
      </c>
      <c r="F3175" t="s">
        <v>844</v>
      </c>
      <c r="G3175" t="s">
        <v>164</v>
      </c>
      <c r="H3175" t="s">
        <v>165</v>
      </c>
      <c r="I3175" t="s">
        <v>34</v>
      </c>
      <c r="J3175" t="s">
        <v>166</v>
      </c>
      <c r="K3175" t="s">
        <v>41</v>
      </c>
      <c r="L3175" t="s">
        <v>16166</v>
      </c>
      <c r="M3175" t="s">
        <v>16167</v>
      </c>
      <c r="N3175" t="s">
        <v>11429</v>
      </c>
      <c r="O3175" t="s">
        <v>101</v>
      </c>
      <c r="P3175" t="s">
        <v>16168</v>
      </c>
      <c r="Q3175" t="s">
        <v>63</v>
      </c>
      <c r="R3175" t="s">
        <v>688</v>
      </c>
      <c r="S3175">
        <v>3.82</v>
      </c>
      <c r="T3175">
        <v>5111</v>
      </c>
      <c r="U3175">
        <v>0</v>
      </c>
      <c r="V3175">
        <v>5111</v>
      </c>
    </row>
    <row r="3176" spans="1:22" x14ac:dyDescent="0.3">
      <c r="A3176">
        <v>186607</v>
      </c>
      <c r="B3176">
        <v>135606167</v>
      </c>
      <c r="C3176" t="s">
        <v>16169</v>
      </c>
      <c r="D3176" t="s">
        <v>16170</v>
      </c>
      <c r="E3176" t="s">
        <v>11426</v>
      </c>
      <c r="F3176" t="s">
        <v>844</v>
      </c>
      <c r="G3176" t="s">
        <v>164</v>
      </c>
      <c r="H3176" t="s">
        <v>165</v>
      </c>
      <c r="I3176" t="s">
        <v>34</v>
      </c>
      <c r="J3176" t="s">
        <v>166</v>
      </c>
      <c r="K3176" t="s">
        <v>41</v>
      </c>
      <c r="L3176" t="s">
        <v>16171</v>
      </c>
      <c r="M3176" t="s">
        <v>16172</v>
      </c>
      <c r="N3176" t="s">
        <v>11429</v>
      </c>
      <c r="O3176" t="s">
        <v>101</v>
      </c>
      <c r="P3176" t="s">
        <v>16173</v>
      </c>
      <c r="Q3176" t="s">
        <v>83</v>
      </c>
      <c r="R3176" t="s">
        <v>16068</v>
      </c>
      <c r="S3176">
        <v>2.73</v>
      </c>
      <c r="T3176">
        <v>3366</v>
      </c>
      <c r="U3176">
        <v>0</v>
      </c>
      <c r="V3176">
        <v>3366</v>
      </c>
    </row>
    <row r="3177" spans="1:22" x14ac:dyDescent="0.3">
      <c r="A3177">
        <v>186607</v>
      </c>
      <c r="B3177">
        <v>135574348</v>
      </c>
      <c r="C3177" t="s">
        <v>16174</v>
      </c>
      <c r="D3177" t="s">
        <v>16175</v>
      </c>
      <c r="E3177" t="s">
        <v>11426</v>
      </c>
      <c r="F3177" t="s">
        <v>844</v>
      </c>
      <c r="G3177" t="s">
        <v>164</v>
      </c>
      <c r="H3177" t="s">
        <v>165</v>
      </c>
      <c r="I3177" t="s">
        <v>34</v>
      </c>
      <c r="J3177" t="s">
        <v>166</v>
      </c>
      <c r="K3177" t="s">
        <v>41</v>
      </c>
      <c r="L3177" t="s">
        <v>16176</v>
      </c>
      <c r="M3177" t="s">
        <v>16177</v>
      </c>
      <c r="N3177" t="s">
        <v>11429</v>
      </c>
      <c r="O3177" t="s">
        <v>101</v>
      </c>
      <c r="P3177" t="s">
        <v>16178</v>
      </c>
      <c r="Q3177" t="s">
        <v>57</v>
      </c>
      <c r="R3177" t="s">
        <v>16110</v>
      </c>
      <c r="S3177">
        <v>2.19</v>
      </c>
      <c r="T3177">
        <v>5476</v>
      </c>
      <c r="U3177">
        <v>0</v>
      </c>
      <c r="V3177">
        <v>5476</v>
      </c>
    </row>
    <row r="3178" spans="1:22" x14ac:dyDescent="0.3">
      <c r="A3178">
        <v>186607</v>
      </c>
      <c r="B3178">
        <v>135628537</v>
      </c>
      <c r="C3178" t="s">
        <v>16179</v>
      </c>
      <c r="D3178" t="s">
        <v>16180</v>
      </c>
      <c r="E3178" t="s">
        <v>11426</v>
      </c>
      <c r="F3178" t="s">
        <v>844</v>
      </c>
      <c r="G3178" t="s">
        <v>164</v>
      </c>
      <c r="H3178" t="s">
        <v>165</v>
      </c>
      <c r="I3178" t="s">
        <v>34</v>
      </c>
      <c r="J3178" t="s">
        <v>166</v>
      </c>
      <c r="K3178" t="s">
        <v>41</v>
      </c>
      <c r="L3178" t="s">
        <v>16181</v>
      </c>
      <c r="M3178" t="s">
        <v>16182</v>
      </c>
      <c r="N3178" t="s">
        <v>11429</v>
      </c>
      <c r="O3178" t="s">
        <v>101</v>
      </c>
      <c r="P3178" t="s">
        <v>16183</v>
      </c>
      <c r="Q3178" t="s">
        <v>72</v>
      </c>
      <c r="R3178" t="s">
        <v>688</v>
      </c>
      <c r="S3178">
        <v>4.37</v>
      </c>
      <c r="T3178">
        <v>4585</v>
      </c>
      <c r="U3178">
        <v>0</v>
      </c>
      <c r="V3178">
        <v>4585</v>
      </c>
    </row>
    <row r="3179" spans="1:22" x14ac:dyDescent="0.3">
      <c r="A3179">
        <v>186607</v>
      </c>
      <c r="B3179">
        <v>135574360</v>
      </c>
      <c r="C3179" t="s">
        <v>16184</v>
      </c>
      <c r="D3179" t="s">
        <v>16185</v>
      </c>
      <c r="E3179" t="s">
        <v>11426</v>
      </c>
      <c r="F3179" t="s">
        <v>844</v>
      </c>
      <c r="G3179" t="s">
        <v>164</v>
      </c>
      <c r="H3179" t="s">
        <v>165</v>
      </c>
      <c r="I3179" t="s">
        <v>34</v>
      </c>
      <c r="J3179" t="s">
        <v>166</v>
      </c>
      <c r="K3179" t="s">
        <v>41</v>
      </c>
      <c r="L3179" t="s">
        <v>16186</v>
      </c>
      <c r="M3179" t="s">
        <v>16187</v>
      </c>
      <c r="N3179" t="s">
        <v>11429</v>
      </c>
      <c r="O3179" t="s">
        <v>101</v>
      </c>
      <c r="P3179" t="s">
        <v>16188</v>
      </c>
      <c r="Q3179" t="s">
        <v>57</v>
      </c>
      <c r="R3179" t="s">
        <v>16110</v>
      </c>
      <c r="S3179">
        <v>3.5</v>
      </c>
      <c r="T3179">
        <v>7749</v>
      </c>
      <c r="U3179">
        <v>0</v>
      </c>
      <c r="V3179">
        <v>7749</v>
      </c>
    </row>
    <row r="3180" spans="1:22" x14ac:dyDescent="0.3">
      <c r="A3180">
        <v>186607</v>
      </c>
      <c r="B3180">
        <v>135449112</v>
      </c>
      <c r="C3180" t="s">
        <v>16189</v>
      </c>
      <c r="D3180" t="s">
        <v>16190</v>
      </c>
      <c r="E3180" t="s">
        <v>11426</v>
      </c>
      <c r="F3180" t="s">
        <v>844</v>
      </c>
      <c r="G3180" t="s">
        <v>164</v>
      </c>
      <c r="H3180" t="s">
        <v>165</v>
      </c>
      <c r="I3180" t="s">
        <v>34</v>
      </c>
      <c r="J3180" t="s">
        <v>166</v>
      </c>
      <c r="K3180" t="s">
        <v>41</v>
      </c>
      <c r="L3180" t="s">
        <v>16191</v>
      </c>
      <c r="M3180" t="s">
        <v>16192</v>
      </c>
      <c r="N3180" t="s">
        <v>11429</v>
      </c>
      <c r="O3180" t="s">
        <v>101</v>
      </c>
      <c r="P3180" t="s">
        <v>16193</v>
      </c>
      <c r="Q3180" t="s">
        <v>55</v>
      </c>
      <c r="R3180" t="s">
        <v>13979</v>
      </c>
      <c r="S3180">
        <v>1.75</v>
      </c>
      <c r="T3180">
        <v>5198</v>
      </c>
      <c r="U3180">
        <v>0</v>
      </c>
      <c r="V3180">
        <v>5198</v>
      </c>
    </row>
    <row r="3181" spans="1:22" x14ac:dyDescent="0.3">
      <c r="A3181">
        <v>186607</v>
      </c>
      <c r="B3181">
        <v>135574339</v>
      </c>
      <c r="C3181" t="s">
        <v>16194</v>
      </c>
      <c r="D3181" t="s">
        <v>16195</v>
      </c>
      <c r="E3181" t="s">
        <v>11426</v>
      </c>
      <c r="F3181" t="s">
        <v>844</v>
      </c>
      <c r="G3181" t="s">
        <v>164</v>
      </c>
      <c r="H3181" t="s">
        <v>165</v>
      </c>
      <c r="I3181" t="s">
        <v>34</v>
      </c>
      <c r="J3181" t="s">
        <v>166</v>
      </c>
      <c r="K3181" t="s">
        <v>41</v>
      </c>
      <c r="L3181" t="s">
        <v>16196</v>
      </c>
      <c r="M3181" t="s">
        <v>16197</v>
      </c>
      <c r="N3181" t="s">
        <v>11429</v>
      </c>
      <c r="O3181" t="s">
        <v>101</v>
      </c>
      <c r="P3181" t="s">
        <v>16198</v>
      </c>
      <c r="Q3181" t="s">
        <v>57</v>
      </c>
      <c r="R3181" t="s">
        <v>16110</v>
      </c>
      <c r="S3181">
        <v>2.19</v>
      </c>
      <c r="T3181">
        <v>5476</v>
      </c>
      <c r="U3181">
        <v>0</v>
      </c>
      <c r="V3181">
        <v>5476</v>
      </c>
    </row>
    <row r="3182" spans="1:22" x14ac:dyDescent="0.3">
      <c r="A3182">
        <v>186607</v>
      </c>
      <c r="B3182">
        <v>135606151</v>
      </c>
      <c r="C3182" t="s">
        <v>16199</v>
      </c>
      <c r="D3182" t="s">
        <v>16200</v>
      </c>
      <c r="E3182" t="s">
        <v>11426</v>
      </c>
      <c r="F3182" t="s">
        <v>844</v>
      </c>
      <c r="G3182" t="s">
        <v>164</v>
      </c>
      <c r="H3182" t="s">
        <v>165</v>
      </c>
      <c r="I3182" t="s">
        <v>34</v>
      </c>
      <c r="J3182" t="s">
        <v>166</v>
      </c>
      <c r="K3182" t="s">
        <v>41</v>
      </c>
      <c r="L3182" t="s">
        <v>16201</v>
      </c>
      <c r="M3182" t="s">
        <v>16202</v>
      </c>
      <c r="N3182" t="s">
        <v>11429</v>
      </c>
      <c r="O3182" t="s">
        <v>101</v>
      </c>
      <c r="P3182" t="s">
        <v>16203</v>
      </c>
      <c r="Q3182" t="s">
        <v>98</v>
      </c>
      <c r="R3182" t="s">
        <v>16068</v>
      </c>
      <c r="S3182">
        <v>2.73</v>
      </c>
      <c r="T3182">
        <v>3366</v>
      </c>
      <c r="U3182">
        <v>0</v>
      </c>
      <c r="V3182">
        <v>3366</v>
      </c>
    </row>
    <row r="3183" spans="1:22" x14ac:dyDescent="0.3">
      <c r="A3183">
        <v>186607</v>
      </c>
      <c r="B3183">
        <v>135421429</v>
      </c>
      <c r="C3183" t="s">
        <v>16204</v>
      </c>
      <c r="D3183" t="s">
        <v>16205</v>
      </c>
      <c r="E3183" t="s">
        <v>11426</v>
      </c>
      <c r="F3183" t="s">
        <v>844</v>
      </c>
      <c r="G3183" t="s">
        <v>164</v>
      </c>
      <c r="H3183" t="s">
        <v>165</v>
      </c>
      <c r="I3183" t="s">
        <v>34</v>
      </c>
      <c r="J3183" t="s">
        <v>166</v>
      </c>
      <c r="K3183" t="s">
        <v>41</v>
      </c>
      <c r="L3183" t="s">
        <v>16206</v>
      </c>
      <c r="M3183" t="s">
        <v>16207</v>
      </c>
      <c r="N3183" t="s">
        <v>11429</v>
      </c>
      <c r="O3183" t="s">
        <v>101</v>
      </c>
      <c r="P3183" t="s">
        <v>16208</v>
      </c>
      <c r="Q3183" t="s">
        <v>55</v>
      </c>
      <c r="R3183" t="s">
        <v>16209</v>
      </c>
      <c r="S3183">
        <v>1.24</v>
      </c>
      <c r="T3183">
        <v>5198</v>
      </c>
      <c r="U3183">
        <v>0</v>
      </c>
      <c r="V3183">
        <v>5198</v>
      </c>
    </row>
    <row r="3184" spans="1:22" x14ac:dyDescent="0.3">
      <c r="A3184">
        <v>186607</v>
      </c>
      <c r="B3184">
        <v>135449131</v>
      </c>
      <c r="C3184" t="s">
        <v>16210</v>
      </c>
      <c r="D3184" t="s">
        <v>16211</v>
      </c>
      <c r="E3184" t="s">
        <v>11426</v>
      </c>
      <c r="F3184" t="s">
        <v>844</v>
      </c>
      <c r="G3184" t="s">
        <v>164</v>
      </c>
      <c r="H3184" t="s">
        <v>165</v>
      </c>
      <c r="I3184" t="s">
        <v>34</v>
      </c>
      <c r="J3184" t="s">
        <v>166</v>
      </c>
      <c r="K3184" t="s">
        <v>41</v>
      </c>
      <c r="L3184" t="s">
        <v>16212</v>
      </c>
      <c r="M3184" t="s">
        <v>16213</v>
      </c>
      <c r="N3184" t="s">
        <v>11429</v>
      </c>
      <c r="O3184" t="s">
        <v>101</v>
      </c>
      <c r="P3184" t="s">
        <v>16214</v>
      </c>
      <c r="Q3184" t="s">
        <v>54</v>
      </c>
      <c r="R3184" t="s">
        <v>13979</v>
      </c>
      <c r="S3184">
        <v>4.3</v>
      </c>
      <c r="T3184">
        <v>8008</v>
      </c>
      <c r="U3184">
        <v>0</v>
      </c>
      <c r="V3184">
        <v>8008</v>
      </c>
    </row>
    <row r="3185" spans="1:22" x14ac:dyDescent="0.3">
      <c r="A3185">
        <v>186607</v>
      </c>
      <c r="B3185">
        <v>135421443</v>
      </c>
      <c r="C3185" t="s">
        <v>16215</v>
      </c>
      <c r="D3185" t="s">
        <v>16216</v>
      </c>
      <c r="E3185" t="s">
        <v>11426</v>
      </c>
      <c r="F3185" t="s">
        <v>844</v>
      </c>
      <c r="G3185" t="s">
        <v>164</v>
      </c>
      <c r="H3185" t="s">
        <v>165</v>
      </c>
      <c r="I3185" t="s">
        <v>34</v>
      </c>
      <c r="J3185" t="s">
        <v>166</v>
      </c>
      <c r="K3185" t="s">
        <v>41</v>
      </c>
      <c r="L3185" t="s">
        <v>16217</v>
      </c>
      <c r="M3185" t="s">
        <v>16218</v>
      </c>
      <c r="N3185" t="s">
        <v>11429</v>
      </c>
      <c r="O3185" t="s">
        <v>101</v>
      </c>
      <c r="P3185" t="s">
        <v>16219</v>
      </c>
      <c r="Q3185" t="s">
        <v>209</v>
      </c>
      <c r="R3185" t="s">
        <v>16209</v>
      </c>
      <c r="S3185">
        <v>51.67</v>
      </c>
      <c r="T3185">
        <v>87377</v>
      </c>
      <c r="U3185">
        <v>0</v>
      </c>
      <c r="V3185">
        <v>87377</v>
      </c>
    </row>
    <row r="3186" spans="1:22" x14ac:dyDescent="0.3">
      <c r="A3186">
        <v>186607</v>
      </c>
      <c r="B3186">
        <v>135421436</v>
      </c>
      <c r="C3186" t="s">
        <v>16220</v>
      </c>
      <c r="D3186" t="s">
        <v>16221</v>
      </c>
      <c r="E3186" t="s">
        <v>11426</v>
      </c>
      <c r="F3186" t="s">
        <v>844</v>
      </c>
      <c r="G3186" t="s">
        <v>164</v>
      </c>
      <c r="H3186" t="s">
        <v>165</v>
      </c>
      <c r="I3186" t="s">
        <v>34</v>
      </c>
      <c r="J3186" t="s">
        <v>166</v>
      </c>
      <c r="K3186" t="s">
        <v>41</v>
      </c>
      <c r="L3186" t="s">
        <v>16222</v>
      </c>
      <c r="M3186" t="s">
        <v>747</v>
      </c>
      <c r="N3186" t="s">
        <v>11429</v>
      </c>
      <c r="O3186" t="s">
        <v>101</v>
      </c>
      <c r="P3186" t="s">
        <v>16223</v>
      </c>
      <c r="Q3186" t="s">
        <v>55</v>
      </c>
      <c r="R3186" t="s">
        <v>16209</v>
      </c>
      <c r="S3186">
        <v>2.5</v>
      </c>
      <c r="T3186">
        <v>5198</v>
      </c>
      <c r="U3186">
        <v>0</v>
      </c>
      <c r="V3186">
        <v>5198</v>
      </c>
    </row>
    <row r="3187" spans="1:22" x14ac:dyDescent="0.3">
      <c r="A3187">
        <v>186607</v>
      </c>
      <c r="B3187">
        <v>135523731</v>
      </c>
      <c r="C3187" t="s">
        <v>16224</v>
      </c>
      <c r="D3187" t="s">
        <v>16225</v>
      </c>
      <c r="E3187" t="s">
        <v>11426</v>
      </c>
      <c r="F3187" t="s">
        <v>844</v>
      </c>
      <c r="G3187" t="s">
        <v>164</v>
      </c>
      <c r="H3187" t="s">
        <v>165</v>
      </c>
      <c r="I3187" t="s">
        <v>34</v>
      </c>
      <c r="J3187" t="s">
        <v>166</v>
      </c>
      <c r="K3187" t="s">
        <v>41</v>
      </c>
      <c r="L3187" t="s">
        <v>16226</v>
      </c>
      <c r="M3187" t="s">
        <v>16227</v>
      </c>
      <c r="N3187" t="s">
        <v>11429</v>
      </c>
      <c r="O3187" t="s">
        <v>101</v>
      </c>
      <c r="P3187" t="s">
        <v>16228</v>
      </c>
      <c r="Q3187" t="s">
        <v>194</v>
      </c>
      <c r="R3187" t="s">
        <v>674</v>
      </c>
      <c r="S3187">
        <v>0.5</v>
      </c>
      <c r="T3187">
        <v>3680</v>
      </c>
      <c r="U3187">
        <v>0</v>
      </c>
      <c r="V3187">
        <v>3680</v>
      </c>
    </row>
    <row r="3188" spans="1:22" x14ac:dyDescent="0.3">
      <c r="A3188">
        <v>186607</v>
      </c>
      <c r="B3188">
        <v>135554109</v>
      </c>
      <c r="C3188" t="s">
        <v>16229</v>
      </c>
      <c r="D3188" t="s">
        <v>16230</v>
      </c>
      <c r="E3188" t="s">
        <v>11426</v>
      </c>
      <c r="F3188" t="s">
        <v>844</v>
      </c>
      <c r="G3188" t="s">
        <v>164</v>
      </c>
      <c r="H3188" t="s">
        <v>165</v>
      </c>
      <c r="I3188" t="s">
        <v>34</v>
      </c>
      <c r="J3188" t="s">
        <v>166</v>
      </c>
      <c r="K3188" t="s">
        <v>41</v>
      </c>
      <c r="L3188" t="s">
        <v>16231</v>
      </c>
      <c r="M3188" t="s">
        <v>16232</v>
      </c>
      <c r="N3188" t="s">
        <v>11429</v>
      </c>
      <c r="O3188" t="s">
        <v>101</v>
      </c>
      <c r="P3188" t="s">
        <v>16233</v>
      </c>
      <c r="Q3188" t="s">
        <v>49</v>
      </c>
      <c r="R3188" t="s">
        <v>13573</v>
      </c>
      <c r="S3188">
        <v>2.19</v>
      </c>
      <c r="T3188">
        <v>3784</v>
      </c>
      <c r="U3188">
        <v>0</v>
      </c>
      <c r="V3188">
        <v>3784</v>
      </c>
    </row>
    <row r="3189" spans="1:22" x14ac:dyDescent="0.3">
      <c r="A3189">
        <v>186607</v>
      </c>
      <c r="B3189">
        <v>135449139</v>
      </c>
      <c r="C3189" t="s">
        <v>16234</v>
      </c>
      <c r="D3189" t="s">
        <v>16235</v>
      </c>
      <c r="E3189" t="s">
        <v>11426</v>
      </c>
      <c r="F3189" t="s">
        <v>844</v>
      </c>
      <c r="G3189" t="s">
        <v>164</v>
      </c>
      <c r="H3189" t="s">
        <v>165</v>
      </c>
      <c r="I3189" t="s">
        <v>34</v>
      </c>
      <c r="J3189" t="s">
        <v>166</v>
      </c>
      <c r="K3189" t="s">
        <v>41</v>
      </c>
      <c r="L3189" t="s">
        <v>16236</v>
      </c>
      <c r="M3189" t="s">
        <v>16237</v>
      </c>
      <c r="N3189" t="s">
        <v>11429</v>
      </c>
      <c r="O3189" t="s">
        <v>101</v>
      </c>
      <c r="P3189" t="s">
        <v>16238</v>
      </c>
      <c r="Q3189" t="s">
        <v>55</v>
      </c>
      <c r="R3189" t="s">
        <v>13979</v>
      </c>
      <c r="S3189">
        <v>3</v>
      </c>
      <c r="T3189">
        <v>5198</v>
      </c>
      <c r="U3189">
        <v>0</v>
      </c>
      <c r="V3189">
        <v>5198</v>
      </c>
    </row>
    <row r="3190" spans="1:22" x14ac:dyDescent="0.3">
      <c r="A3190">
        <v>186607</v>
      </c>
      <c r="B3190">
        <v>135523766</v>
      </c>
      <c r="C3190" t="s">
        <v>16239</v>
      </c>
      <c r="D3190" t="s">
        <v>16240</v>
      </c>
      <c r="E3190" t="s">
        <v>11426</v>
      </c>
      <c r="F3190" t="s">
        <v>844</v>
      </c>
      <c r="G3190" t="s">
        <v>164</v>
      </c>
      <c r="H3190" t="s">
        <v>165</v>
      </c>
      <c r="I3190" t="s">
        <v>34</v>
      </c>
      <c r="J3190" t="s">
        <v>166</v>
      </c>
      <c r="K3190" t="s">
        <v>41</v>
      </c>
      <c r="L3190" t="s">
        <v>16241</v>
      </c>
      <c r="M3190" t="s">
        <v>16242</v>
      </c>
      <c r="N3190" t="s">
        <v>11429</v>
      </c>
      <c r="O3190" t="s">
        <v>101</v>
      </c>
      <c r="P3190" t="s">
        <v>16243</v>
      </c>
      <c r="Q3190" t="s">
        <v>72</v>
      </c>
      <c r="R3190" t="s">
        <v>674</v>
      </c>
      <c r="S3190">
        <v>4.6399999999999997</v>
      </c>
      <c r="T3190">
        <v>4585</v>
      </c>
      <c r="U3190">
        <v>0</v>
      </c>
      <c r="V3190">
        <v>4585</v>
      </c>
    </row>
    <row r="3191" spans="1:22" x14ac:dyDescent="0.3">
      <c r="A3191">
        <v>186607</v>
      </c>
      <c r="B3191">
        <v>135504223</v>
      </c>
      <c r="C3191" t="s">
        <v>16244</v>
      </c>
      <c r="D3191" t="s">
        <v>16245</v>
      </c>
      <c r="E3191" t="s">
        <v>11426</v>
      </c>
      <c r="F3191" t="s">
        <v>844</v>
      </c>
      <c r="G3191" t="s">
        <v>164</v>
      </c>
      <c r="H3191" t="s">
        <v>165</v>
      </c>
      <c r="I3191" t="s">
        <v>34</v>
      </c>
      <c r="J3191" t="s">
        <v>166</v>
      </c>
      <c r="K3191" t="s">
        <v>41</v>
      </c>
      <c r="L3191" t="s">
        <v>16246</v>
      </c>
      <c r="M3191" t="s">
        <v>16247</v>
      </c>
      <c r="N3191" t="s">
        <v>11429</v>
      </c>
      <c r="O3191" t="s">
        <v>101</v>
      </c>
      <c r="P3191" t="s">
        <v>16248</v>
      </c>
      <c r="Q3191" t="s">
        <v>54</v>
      </c>
      <c r="R3191" t="s">
        <v>12860</v>
      </c>
      <c r="S3191">
        <v>2.83</v>
      </c>
      <c r="T3191">
        <v>5759</v>
      </c>
      <c r="U3191">
        <v>0</v>
      </c>
      <c r="V3191">
        <v>5759</v>
      </c>
    </row>
    <row r="3192" spans="1:22" x14ac:dyDescent="0.3">
      <c r="A3192">
        <v>186607</v>
      </c>
      <c r="B3192">
        <v>135554107</v>
      </c>
      <c r="C3192" t="s">
        <v>16249</v>
      </c>
      <c r="D3192" t="s">
        <v>16250</v>
      </c>
      <c r="E3192" t="s">
        <v>11426</v>
      </c>
      <c r="F3192" t="s">
        <v>844</v>
      </c>
      <c r="G3192" t="s">
        <v>164</v>
      </c>
      <c r="H3192" t="s">
        <v>165</v>
      </c>
      <c r="I3192" t="s">
        <v>34</v>
      </c>
      <c r="J3192" t="s">
        <v>166</v>
      </c>
      <c r="K3192" t="s">
        <v>41</v>
      </c>
      <c r="L3192" t="s">
        <v>16251</v>
      </c>
      <c r="M3192" t="s">
        <v>16252</v>
      </c>
      <c r="N3192" t="s">
        <v>11429</v>
      </c>
      <c r="O3192" t="s">
        <v>101</v>
      </c>
      <c r="P3192" t="s">
        <v>16253</v>
      </c>
      <c r="Q3192" t="s">
        <v>60</v>
      </c>
      <c r="R3192" t="s">
        <v>13573</v>
      </c>
      <c r="S3192">
        <v>2.19</v>
      </c>
      <c r="T3192">
        <v>4346</v>
      </c>
      <c r="U3192">
        <v>0</v>
      </c>
      <c r="V3192">
        <v>4346</v>
      </c>
    </row>
    <row r="3193" spans="1:22" x14ac:dyDescent="0.3">
      <c r="A3193">
        <v>186607</v>
      </c>
      <c r="B3193">
        <v>135297298</v>
      </c>
      <c r="C3193" t="s">
        <v>16254</v>
      </c>
      <c r="D3193" t="s">
        <v>16255</v>
      </c>
      <c r="E3193" t="s">
        <v>11426</v>
      </c>
      <c r="F3193" t="s">
        <v>844</v>
      </c>
      <c r="G3193" t="s">
        <v>164</v>
      </c>
      <c r="H3193" t="s">
        <v>165</v>
      </c>
      <c r="I3193" t="s">
        <v>34</v>
      </c>
      <c r="J3193" t="s">
        <v>166</v>
      </c>
      <c r="K3193" t="s">
        <v>41</v>
      </c>
      <c r="L3193" t="s">
        <v>16256</v>
      </c>
      <c r="M3193" t="s">
        <v>16257</v>
      </c>
      <c r="N3193" t="s">
        <v>11429</v>
      </c>
      <c r="O3193" t="s">
        <v>101</v>
      </c>
      <c r="P3193" t="s">
        <v>16258</v>
      </c>
      <c r="Q3193" t="s">
        <v>246</v>
      </c>
      <c r="R3193" t="s">
        <v>16259</v>
      </c>
      <c r="S3193">
        <v>4.09</v>
      </c>
      <c r="T3193">
        <v>8008</v>
      </c>
      <c r="U3193">
        <v>0</v>
      </c>
      <c r="V3193">
        <v>8008</v>
      </c>
    </row>
    <row r="3194" spans="1:22" x14ac:dyDescent="0.3">
      <c r="A3194">
        <v>186607</v>
      </c>
      <c r="B3194">
        <v>135449106</v>
      </c>
      <c r="C3194" t="s">
        <v>16260</v>
      </c>
      <c r="D3194" t="s">
        <v>16261</v>
      </c>
      <c r="E3194" t="s">
        <v>11426</v>
      </c>
      <c r="F3194" t="s">
        <v>844</v>
      </c>
      <c r="G3194" t="s">
        <v>164</v>
      </c>
      <c r="H3194" t="s">
        <v>165</v>
      </c>
      <c r="I3194" t="s">
        <v>34</v>
      </c>
      <c r="J3194" t="s">
        <v>166</v>
      </c>
      <c r="K3194" t="s">
        <v>41</v>
      </c>
      <c r="L3194" t="s">
        <v>16262</v>
      </c>
      <c r="M3194" t="s">
        <v>16263</v>
      </c>
      <c r="N3194" t="s">
        <v>11429</v>
      </c>
      <c r="O3194" t="s">
        <v>101</v>
      </c>
      <c r="P3194" t="s">
        <v>16264</v>
      </c>
      <c r="Q3194" t="s">
        <v>55</v>
      </c>
      <c r="R3194" t="s">
        <v>13979</v>
      </c>
      <c r="S3194">
        <v>1.35</v>
      </c>
      <c r="T3194">
        <v>5198</v>
      </c>
      <c r="U3194">
        <v>0</v>
      </c>
      <c r="V3194">
        <v>5198</v>
      </c>
    </row>
    <row r="3195" spans="1:22" x14ac:dyDescent="0.3">
      <c r="A3195">
        <v>186607</v>
      </c>
      <c r="B3195">
        <v>135504203</v>
      </c>
      <c r="C3195" t="s">
        <v>16265</v>
      </c>
      <c r="D3195" t="s">
        <v>16266</v>
      </c>
      <c r="E3195" t="s">
        <v>11426</v>
      </c>
      <c r="F3195" t="s">
        <v>844</v>
      </c>
      <c r="G3195" t="s">
        <v>164</v>
      </c>
      <c r="H3195" t="s">
        <v>165</v>
      </c>
      <c r="I3195" t="s">
        <v>34</v>
      </c>
      <c r="J3195" t="s">
        <v>166</v>
      </c>
      <c r="K3195" t="s">
        <v>41</v>
      </c>
      <c r="L3195" t="s">
        <v>16267</v>
      </c>
      <c r="M3195" t="s">
        <v>16268</v>
      </c>
      <c r="N3195" t="s">
        <v>11429</v>
      </c>
      <c r="O3195" t="s">
        <v>101</v>
      </c>
      <c r="P3195" t="s">
        <v>16269</v>
      </c>
      <c r="Q3195" t="s">
        <v>54</v>
      </c>
      <c r="R3195" t="s">
        <v>12860</v>
      </c>
      <c r="S3195">
        <v>1.59</v>
      </c>
      <c r="T3195">
        <v>5759</v>
      </c>
      <c r="U3195">
        <v>0</v>
      </c>
      <c r="V3195">
        <v>5759</v>
      </c>
    </row>
    <row r="3196" spans="1:22" x14ac:dyDescent="0.3">
      <c r="A3196">
        <v>186607</v>
      </c>
      <c r="B3196">
        <v>135231341</v>
      </c>
      <c r="C3196" t="s">
        <v>16270</v>
      </c>
      <c r="D3196" t="s">
        <v>16271</v>
      </c>
      <c r="E3196" t="s">
        <v>11426</v>
      </c>
      <c r="F3196" t="s">
        <v>844</v>
      </c>
      <c r="G3196" t="s">
        <v>164</v>
      </c>
      <c r="H3196" t="s">
        <v>165</v>
      </c>
      <c r="I3196" t="s">
        <v>34</v>
      </c>
      <c r="J3196" t="s">
        <v>166</v>
      </c>
      <c r="K3196" t="s">
        <v>41</v>
      </c>
      <c r="L3196" t="s">
        <v>16272</v>
      </c>
      <c r="M3196" t="s">
        <v>16273</v>
      </c>
      <c r="N3196" t="s">
        <v>11429</v>
      </c>
      <c r="O3196" t="s">
        <v>101</v>
      </c>
      <c r="P3196" t="s">
        <v>16274</v>
      </c>
      <c r="Q3196" t="s">
        <v>52</v>
      </c>
      <c r="R3196" t="s">
        <v>16275</v>
      </c>
      <c r="S3196">
        <v>4.03</v>
      </c>
      <c r="T3196">
        <v>8008</v>
      </c>
      <c r="U3196">
        <v>0</v>
      </c>
      <c r="V3196">
        <v>8008</v>
      </c>
    </row>
    <row r="3197" spans="1:22" x14ac:dyDescent="0.3">
      <c r="A3197">
        <v>186607</v>
      </c>
      <c r="B3197">
        <v>135449122</v>
      </c>
      <c r="C3197" t="s">
        <v>16276</v>
      </c>
      <c r="D3197" t="s">
        <v>16277</v>
      </c>
      <c r="E3197" t="s">
        <v>11426</v>
      </c>
      <c r="F3197" t="s">
        <v>844</v>
      </c>
      <c r="G3197" t="s">
        <v>164</v>
      </c>
      <c r="H3197" t="s">
        <v>165</v>
      </c>
      <c r="I3197" t="s">
        <v>34</v>
      </c>
      <c r="J3197" t="s">
        <v>166</v>
      </c>
      <c r="K3197" t="s">
        <v>41</v>
      </c>
      <c r="L3197" t="s">
        <v>16278</v>
      </c>
      <c r="M3197" t="s">
        <v>16279</v>
      </c>
      <c r="N3197" t="s">
        <v>11429</v>
      </c>
      <c r="O3197" t="s">
        <v>101</v>
      </c>
      <c r="P3197" t="s">
        <v>16280</v>
      </c>
      <c r="Q3197" t="s">
        <v>55</v>
      </c>
      <c r="R3197" t="s">
        <v>13979</v>
      </c>
      <c r="S3197">
        <v>1.88</v>
      </c>
      <c r="T3197">
        <v>5198</v>
      </c>
      <c r="U3197">
        <v>0</v>
      </c>
      <c r="V3197">
        <v>5198</v>
      </c>
    </row>
    <row r="3198" spans="1:22" x14ac:dyDescent="0.3">
      <c r="A3198">
        <v>186607</v>
      </c>
      <c r="B3198">
        <v>135449128</v>
      </c>
      <c r="C3198" t="s">
        <v>16281</v>
      </c>
      <c r="D3198" t="s">
        <v>16282</v>
      </c>
      <c r="E3198" t="s">
        <v>11426</v>
      </c>
      <c r="F3198" t="s">
        <v>844</v>
      </c>
      <c r="G3198" t="s">
        <v>164</v>
      </c>
      <c r="H3198" t="s">
        <v>165</v>
      </c>
      <c r="I3198" t="s">
        <v>34</v>
      </c>
      <c r="J3198" t="s">
        <v>166</v>
      </c>
      <c r="K3198" t="s">
        <v>41</v>
      </c>
      <c r="L3198" t="s">
        <v>16283</v>
      </c>
      <c r="M3198" t="s">
        <v>16284</v>
      </c>
      <c r="N3198" t="s">
        <v>11429</v>
      </c>
      <c r="O3198" t="s">
        <v>101</v>
      </c>
      <c r="P3198" t="s">
        <v>16285</v>
      </c>
      <c r="Q3198" t="s">
        <v>109</v>
      </c>
      <c r="R3198" t="s">
        <v>13979</v>
      </c>
      <c r="S3198">
        <v>2.83</v>
      </c>
      <c r="T3198">
        <v>4346</v>
      </c>
      <c r="U3198">
        <v>0</v>
      </c>
      <c r="V3198">
        <v>4346</v>
      </c>
    </row>
    <row r="3199" spans="1:22" x14ac:dyDescent="0.3">
      <c r="A3199">
        <v>186607</v>
      </c>
      <c r="B3199">
        <v>135504214</v>
      </c>
      <c r="C3199" t="s">
        <v>16286</v>
      </c>
      <c r="D3199" t="s">
        <v>16287</v>
      </c>
      <c r="E3199" t="s">
        <v>11426</v>
      </c>
      <c r="F3199" t="s">
        <v>844</v>
      </c>
      <c r="G3199" t="s">
        <v>164</v>
      </c>
      <c r="H3199" t="s">
        <v>165</v>
      </c>
      <c r="I3199" t="s">
        <v>34</v>
      </c>
      <c r="J3199" t="s">
        <v>166</v>
      </c>
      <c r="K3199" t="s">
        <v>41</v>
      </c>
      <c r="L3199" t="s">
        <v>16288</v>
      </c>
      <c r="M3199" t="s">
        <v>16289</v>
      </c>
      <c r="N3199" t="s">
        <v>11429</v>
      </c>
      <c r="O3199" t="s">
        <v>101</v>
      </c>
      <c r="P3199" t="s">
        <v>16290</v>
      </c>
      <c r="Q3199" t="s">
        <v>57</v>
      </c>
      <c r="R3199" t="s">
        <v>12860</v>
      </c>
      <c r="S3199">
        <v>2.99</v>
      </c>
      <c r="T3199">
        <v>5476</v>
      </c>
      <c r="U3199">
        <v>0</v>
      </c>
      <c r="V3199">
        <v>5476</v>
      </c>
    </row>
    <row r="3200" spans="1:22" x14ac:dyDescent="0.3">
      <c r="A3200">
        <v>186607</v>
      </c>
      <c r="B3200">
        <v>135554089</v>
      </c>
      <c r="C3200" t="s">
        <v>16291</v>
      </c>
      <c r="D3200" t="s">
        <v>16292</v>
      </c>
      <c r="E3200" t="s">
        <v>11426</v>
      </c>
      <c r="F3200" t="s">
        <v>844</v>
      </c>
      <c r="G3200" t="s">
        <v>164</v>
      </c>
      <c r="H3200" t="s">
        <v>165</v>
      </c>
      <c r="I3200" t="s">
        <v>34</v>
      </c>
      <c r="J3200" t="s">
        <v>166</v>
      </c>
      <c r="K3200" t="s">
        <v>41</v>
      </c>
      <c r="L3200" t="s">
        <v>41</v>
      </c>
      <c r="M3200" t="s">
        <v>16293</v>
      </c>
      <c r="N3200" t="s">
        <v>11429</v>
      </c>
      <c r="O3200" t="s">
        <v>101</v>
      </c>
      <c r="P3200" t="s">
        <v>16294</v>
      </c>
      <c r="Q3200" t="s">
        <v>76</v>
      </c>
      <c r="R3200" t="s">
        <v>13573</v>
      </c>
      <c r="S3200">
        <v>2.85</v>
      </c>
      <c r="T3200">
        <v>3753</v>
      </c>
      <c r="U3200">
        <v>0</v>
      </c>
      <c r="V3200">
        <v>3753</v>
      </c>
    </row>
    <row r="3201" spans="1:22" x14ac:dyDescent="0.3">
      <c r="A3201">
        <v>186607</v>
      </c>
      <c r="B3201">
        <v>135088657</v>
      </c>
      <c r="C3201" t="s">
        <v>16295</v>
      </c>
      <c r="D3201" t="s">
        <v>16296</v>
      </c>
      <c r="E3201" t="s">
        <v>11426</v>
      </c>
      <c r="F3201" t="s">
        <v>844</v>
      </c>
      <c r="G3201" t="s">
        <v>164</v>
      </c>
      <c r="H3201" t="s">
        <v>165</v>
      </c>
      <c r="I3201" t="s">
        <v>34</v>
      </c>
      <c r="J3201" t="s">
        <v>166</v>
      </c>
      <c r="K3201" t="s">
        <v>41</v>
      </c>
      <c r="L3201" t="s">
        <v>41</v>
      </c>
      <c r="M3201" t="s">
        <v>16297</v>
      </c>
      <c r="N3201" t="s">
        <v>11429</v>
      </c>
      <c r="O3201" t="s">
        <v>101</v>
      </c>
      <c r="P3201" t="s">
        <v>16298</v>
      </c>
      <c r="Q3201" t="s">
        <v>264</v>
      </c>
      <c r="R3201" t="s">
        <v>16299</v>
      </c>
      <c r="S3201">
        <v>0.5</v>
      </c>
      <c r="T3201">
        <v>5367</v>
      </c>
      <c r="U3201">
        <v>0</v>
      </c>
      <c r="V3201">
        <v>5367</v>
      </c>
    </row>
    <row r="3202" spans="1:22" x14ac:dyDescent="0.3">
      <c r="A3202">
        <v>186607</v>
      </c>
      <c r="B3202">
        <v>135574335</v>
      </c>
      <c r="C3202" t="s">
        <v>16300</v>
      </c>
      <c r="D3202" t="s">
        <v>16301</v>
      </c>
      <c r="E3202" t="s">
        <v>11426</v>
      </c>
      <c r="F3202" t="s">
        <v>844</v>
      </c>
      <c r="G3202" t="s">
        <v>164</v>
      </c>
      <c r="H3202" t="s">
        <v>165</v>
      </c>
      <c r="I3202" t="s">
        <v>34</v>
      </c>
      <c r="J3202" t="s">
        <v>166</v>
      </c>
      <c r="K3202" t="s">
        <v>41</v>
      </c>
      <c r="L3202" t="s">
        <v>16302</v>
      </c>
      <c r="M3202" t="s">
        <v>16303</v>
      </c>
      <c r="N3202" t="s">
        <v>11429</v>
      </c>
      <c r="O3202" t="s">
        <v>101</v>
      </c>
      <c r="P3202" t="s">
        <v>16304</v>
      </c>
      <c r="Q3202" t="s">
        <v>83</v>
      </c>
      <c r="R3202" t="s">
        <v>16110</v>
      </c>
      <c r="S3202">
        <v>2.19</v>
      </c>
      <c r="T3202">
        <v>3366</v>
      </c>
      <c r="U3202">
        <v>0</v>
      </c>
      <c r="V3202">
        <v>3366</v>
      </c>
    </row>
    <row r="3203" spans="1:22" x14ac:dyDescent="0.3">
      <c r="A3203">
        <v>186607</v>
      </c>
      <c r="B3203">
        <v>135412642</v>
      </c>
      <c r="C3203" t="s">
        <v>16305</v>
      </c>
      <c r="D3203" t="s">
        <v>16306</v>
      </c>
      <c r="E3203" t="s">
        <v>11426</v>
      </c>
      <c r="F3203" t="s">
        <v>844</v>
      </c>
      <c r="G3203" t="s">
        <v>164</v>
      </c>
      <c r="H3203" t="s">
        <v>165</v>
      </c>
      <c r="I3203" t="s">
        <v>34</v>
      </c>
      <c r="J3203" t="s">
        <v>166</v>
      </c>
      <c r="K3203" t="s">
        <v>41</v>
      </c>
      <c r="L3203" t="s">
        <v>16307</v>
      </c>
      <c r="M3203" t="s">
        <v>16308</v>
      </c>
      <c r="N3203" t="s">
        <v>11429</v>
      </c>
      <c r="O3203" t="s">
        <v>101</v>
      </c>
      <c r="P3203" t="s">
        <v>16309</v>
      </c>
      <c r="Q3203" t="s">
        <v>55</v>
      </c>
      <c r="R3203" t="s">
        <v>16310</v>
      </c>
      <c r="S3203">
        <v>2.98</v>
      </c>
      <c r="T3203">
        <v>5198</v>
      </c>
      <c r="U3203">
        <v>0</v>
      </c>
      <c r="V3203">
        <v>5198</v>
      </c>
    </row>
    <row r="3204" spans="1:22" x14ac:dyDescent="0.3">
      <c r="A3204">
        <v>186607</v>
      </c>
      <c r="B3204">
        <v>135421430</v>
      </c>
      <c r="C3204" t="s">
        <v>16311</v>
      </c>
      <c r="D3204" t="s">
        <v>16312</v>
      </c>
      <c r="E3204" t="s">
        <v>11426</v>
      </c>
      <c r="F3204" t="s">
        <v>844</v>
      </c>
      <c r="G3204" t="s">
        <v>164</v>
      </c>
      <c r="H3204" t="s">
        <v>165</v>
      </c>
      <c r="I3204" t="s">
        <v>34</v>
      </c>
      <c r="J3204" t="s">
        <v>166</v>
      </c>
      <c r="K3204" t="s">
        <v>41</v>
      </c>
      <c r="L3204" t="s">
        <v>16313</v>
      </c>
      <c r="M3204" t="s">
        <v>16314</v>
      </c>
      <c r="N3204" t="s">
        <v>11429</v>
      </c>
      <c r="O3204" t="s">
        <v>101</v>
      </c>
      <c r="P3204" t="s">
        <v>16315</v>
      </c>
      <c r="Q3204" t="s">
        <v>57</v>
      </c>
      <c r="R3204" t="s">
        <v>16209</v>
      </c>
      <c r="S3204">
        <v>6.57</v>
      </c>
      <c r="T3204">
        <v>10562</v>
      </c>
      <c r="U3204">
        <v>0</v>
      </c>
      <c r="V3204">
        <v>10562</v>
      </c>
    </row>
    <row r="3205" spans="1:22" x14ac:dyDescent="0.3">
      <c r="A3205">
        <v>186607</v>
      </c>
      <c r="B3205">
        <v>135412626</v>
      </c>
      <c r="C3205" t="s">
        <v>16316</v>
      </c>
      <c r="D3205" t="s">
        <v>16317</v>
      </c>
      <c r="E3205" t="s">
        <v>11426</v>
      </c>
      <c r="F3205" t="s">
        <v>844</v>
      </c>
      <c r="G3205" t="s">
        <v>164</v>
      </c>
      <c r="H3205" t="s">
        <v>165</v>
      </c>
      <c r="I3205" t="s">
        <v>34</v>
      </c>
      <c r="J3205" t="s">
        <v>166</v>
      </c>
      <c r="K3205" t="s">
        <v>41</v>
      </c>
      <c r="L3205" t="s">
        <v>16318</v>
      </c>
      <c r="M3205" t="s">
        <v>16319</v>
      </c>
      <c r="N3205" t="s">
        <v>11429</v>
      </c>
      <c r="O3205" t="s">
        <v>101</v>
      </c>
      <c r="P3205" t="s">
        <v>16320</v>
      </c>
      <c r="Q3205" t="s">
        <v>60</v>
      </c>
      <c r="R3205" t="s">
        <v>16321</v>
      </c>
      <c r="S3205">
        <v>2.98</v>
      </c>
      <c r="T3205">
        <v>4346</v>
      </c>
      <c r="U3205">
        <v>0</v>
      </c>
      <c r="V3205">
        <v>4346</v>
      </c>
    </row>
    <row r="3206" spans="1:22" x14ac:dyDescent="0.3">
      <c r="A3206">
        <v>186607</v>
      </c>
      <c r="B3206">
        <v>135504210</v>
      </c>
      <c r="C3206" t="s">
        <v>16322</v>
      </c>
      <c r="D3206" t="s">
        <v>16323</v>
      </c>
      <c r="E3206" t="s">
        <v>11426</v>
      </c>
      <c r="F3206" t="s">
        <v>844</v>
      </c>
      <c r="G3206" t="s">
        <v>164</v>
      </c>
      <c r="H3206" t="s">
        <v>165</v>
      </c>
      <c r="I3206" t="s">
        <v>34</v>
      </c>
      <c r="J3206" t="s">
        <v>166</v>
      </c>
      <c r="K3206" t="s">
        <v>41</v>
      </c>
      <c r="L3206" t="s">
        <v>16324</v>
      </c>
      <c r="M3206" t="s">
        <v>16325</v>
      </c>
      <c r="N3206" t="s">
        <v>11429</v>
      </c>
      <c r="O3206" t="s">
        <v>101</v>
      </c>
      <c r="P3206" t="s">
        <v>16326</v>
      </c>
      <c r="Q3206" t="s">
        <v>61</v>
      </c>
      <c r="R3206" t="s">
        <v>12860</v>
      </c>
      <c r="S3206">
        <v>1.4</v>
      </c>
      <c r="T3206">
        <v>4067</v>
      </c>
      <c r="U3206">
        <v>0</v>
      </c>
      <c r="V3206">
        <v>4067</v>
      </c>
    </row>
    <row r="3207" spans="1:22" x14ac:dyDescent="0.3">
      <c r="A3207">
        <v>186607</v>
      </c>
      <c r="B3207">
        <v>134860931</v>
      </c>
      <c r="C3207" t="s">
        <v>16327</v>
      </c>
      <c r="D3207" t="s">
        <v>16328</v>
      </c>
      <c r="E3207" t="s">
        <v>11426</v>
      </c>
      <c r="F3207" t="s">
        <v>844</v>
      </c>
      <c r="G3207" t="s">
        <v>164</v>
      </c>
      <c r="H3207" t="s">
        <v>165</v>
      </c>
      <c r="I3207" t="s">
        <v>34</v>
      </c>
      <c r="J3207" t="s">
        <v>166</v>
      </c>
      <c r="K3207" t="s">
        <v>41</v>
      </c>
      <c r="L3207" t="s">
        <v>16329</v>
      </c>
      <c r="M3207" t="s">
        <v>16330</v>
      </c>
      <c r="N3207" t="s">
        <v>11429</v>
      </c>
      <c r="O3207" t="s">
        <v>101</v>
      </c>
      <c r="P3207" t="s">
        <v>16331</v>
      </c>
      <c r="Q3207" t="s">
        <v>72</v>
      </c>
      <c r="R3207" t="s">
        <v>16332</v>
      </c>
      <c r="S3207">
        <v>0.5</v>
      </c>
      <c r="T3207">
        <v>3449</v>
      </c>
      <c r="U3207">
        <v>0</v>
      </c>
      <c r="V3207">
        <v>3449</v>
      </c>
    </row>
    <row r="3208" spans="1:22" x14ac:dyDescent="0.3">
      <c r="A3208">
        <v>186607</v>
      </c>
      <c r="B3208">
        <v>135504213</v>
      </c>
      <c r="C3208" t="s">
        <v>16333</v>
      </c>
      <c r="D3208" t="s">
        <v>16334</v>
      </c>
      <c r="E3208" t="s">
        <v>11426</v>
      </c>
      <c r="F3208" t="s">
        <v>844</v>
      </c>
      <c r="G3208" t="s">
        <v>164</v>
      </c>
      <c r="H3208" t="s">
        <v>165</v>
      </c>
      <c r="I3208" t="s">
        <v>34</v>
      </c>
      <c r="J3208" t="s">
        <v>166</v>
      </c>
      <c r="K3208" t="s">
        <v>41</v>
      </c>
      <c r="L3208" t="s">
        <v>16335</v>
      </c>
      <c r="M3208" t="s">
        <v>16336</v>
      </c>
      <c r="N3208" t="s">
        <v>11429</v>
      </c>
      <c r="O3208" t="s">
        <v>101</v>
      </c>
      <c r="P3208" t="s">
        <v>16337</v>
      </c>
      <c r="Q3208" t="s">
        <v>68</v>
      </c>
      <c r="R3208" t="s">
        <v>12860</v>
      </c>
      <c r="S3208">
        <v>1.61</v>
      </c>
      <c r="T3208">
        <v>3753</v>
      </c>
      <c r="U3208">
        <v>0</v>
      </c>
      <c r="V3208">
        <v>3753</v>
      </c>
    </row>
    <row r="3209" spans="1:22" x14ac:dyDescent="0.3">
      <c r="A3209">
        <v>186607</v>
      </c>
      <c r="B3209">
        <v>135449124</v>
      </c>
      <c r="C3209" t="s">
        <v>16338</v>
      </c>
      <c r="D3209" t="s">
        <v>16339</v>
      </c>
      <c r="E3209" t="s">
        <v>11426</v>
      </c>
      <c r="F3209" t="s">
        <v>844</v>
      </c>
      <c r="G3209" t="s">
        <v>164</v>
      </c>
      <c r="H3209" t="s">
        <v>165</v>
      </c>
      <c r="I3209" t="s">
        <v>34</v>
      </c>
      <c r="J3209" t="s">
        <v>166</v>
      </c>
      <c r="K3209" t="s">
        <v>41</v>
      </c>
      <c r="L3209" t="s">
        <v>16340</v>
      </c>
      <c r="M3209" t="s">
        <v>16341</v>
      </c>
      <c r="N3209" t="s">
        <v>11429</v>
      </c>
      <c r="O3209" t="s">
        <v>101</v>
      </c>
      <c r="P3209" t="s">
        <v>16342</v>
      </c>
      <c r="Q3209" t="s">
        <v>83</v>
      </c>
      <c r="R3209" t="s">
        <v>13979</v>
      </c>
      <c r="S3209">
        <v>5.33</v>
      </c>
      <c r="T3209">
        <v>3797</v>
      </c>
      <c r="U3209">
        <v>0</v>
      </c>
      <c r="V3209">
        <v>3797</v>
      </c>
    </row>
    <row r="3210" spans="1:22" x14ac:dyDescent="0.3">
      <c r="A3210">
        <v>186607</v>
      </c>
      <c r="B3210">
        <v>135449141</v>
      </c>
      <c r="C3210" t="s">
        <v>16343</v>
      </c>
      <c r="D3210" t="s">
        <v>16344</v>
      </c>
      <c r="E3210" t="s">
        <v>11426</v>
      </c>
      <c r="F3210" t="s">
        <v>844</v>
      </c>
      <c r="G3210" t="s">
        <v>164</v>
      </c>
      <c r="H3210" t="s">
        <v>165</v>
      </c>
      <c r="I3210" t="s">
        <v>34</v>
      </c>
      <c r="J3210" t="s">
        <v>166</v>
      </c>
      <c r="K3210" t="s">
        <v>41</v>
      </c>
      <c r="L3210" t="s">
        <v>16345</v>
      </c>
      <c r="M3210" t="s">
        <v>16346</v>
      </c>
      <c r="N3210" t="s">
        <v>11429</v>
      </c>
      <c r="O3210" t="s">
        <v>101</v>
      </c>
      <c r="P3210" t="s">
        <v>16347</v>
      </c>
      <c r="Q3210" t="s">
        <v>76</v>
      </c>
      <c r="R3210" t="s">
        <v>13979</v>
      </c>
      <c r="S3210">
        <v>1.57</v>
      </c>
      <c r="T3210">
        <v>3753</v>
      </c>
      <c r="U3210">
        <v>0</v>
      </c>
      <c r="V3210">
        <v>3753</v>
      </c>
    </row>
    <row r="3211" spans="1:22" x14ac:dyDescent="0.3">
      <c r="A3211">
        <v>186607</v>
      </c>
      <c r="B3211">
        <v>135449148</v>
      </c>
      <c r="C3211" t="s">
        <v>16348</v>
      </c>
      <c r="D3211" t="s">
        <v>16349</v>
      </c>
      <c r="E3211" t="s">
        <v>11426</v>
      </c>
      <c r="F3211" t="s">
        <v>844</v>
      </c>
      <c r="G3211" t="s">
        <v>164</v>
      </c>
      <c r="H3211" t="s">
        <v>165</v>
      </c>
      <c r="I3211" t="s">
        <v>34</v>
      </c>
      <c r="J3211" t="s">
        <v>166</v>
      </c>
      <c r="K3211" t="s">
        <v>41</v>
      </c>
      <c r="L3211" t="s">
        <v>16350</v>
      </c>
      <c r="M3211" t="s">
        <v>16351</v>
      </c>
      <c r="N3211" t="s">
        <v>11429</v>
      </c>
      <c r="O3211" t="s">
        <v>101</v>
      </c>
      <c r="P3211" t="s">
        <v>16352</v>
      </c>
      <c r="Q3211" t="s">
        <v>69</v>
      </c>
      <c r="R3211" t="s">
        <v>16032</v>
      </c>
      <c r="S3211">
        <v>3.5</v>
      </c>
      <c r="T3211">
        <v>4456</v>
      </c>
      <c r="U3211">
        <v>0</v>
      </c>
      <c r="V3211">
        <v>4456</v>
      </c>
    </row>
    <row r="3212" spans="1:22" x14ac:dyDescent="0.3">
      <c r="A3212">
        <v>186607</v>
      </c>
      <c r="B3212">
        <v>135449144</v>
      </c>
      <c r="C3212" t="s">
        <v>16353</v>
      </c>
      <c r="D3212" t="s">
        <v>16354</v>
      </c>
      <c r="E3212" t="s">
        <v>11426</v>
      </c>
      <c r="F3212" t="s">
        <v>844</v>
      </c>
      <c r="G3212" t="s">
        <v>164</v>
      </c>
      <c r="H3212" t="s">
        <v>165</v>
      </c>
      <c r="I3212" t="s">
        <v>34</v>
      </c>
      <c r="J3212" t="s">
        <v>166</v>
      </c>
      <c r="K3212" t="s">
        <v>41</v>
      </c>
      <c r="L3212" t="s">
        <v>16355</v>
      </c>
      <c r="M3212" t="s">
        <v>16356</v>
      </c>
      <c r="N3212" t="s">
        <v>11429</v>
      </c>
      <c r="O3212" t="s">
        <v>101</v>
      </c>
      <c r="P3212" t="s">
        <v>16357</v>
      </c>
      <c r="Q3212" t="s">
        <v>72</v>
      </c>
      <c r="R3212" t="s">
        <v>16032</v>
      </c>
      <c r="S3212">
        <v>0.5</v>
      </c>
      <c r="T3212">
        <v>3449</v>
      </c>
      <c r="U3212">
        <v>0</v>
      </c>
      <c r="V3212">
        <v>3449</v>
      </c>
    </row>
    <row r="3213" spans="1:22" x14ac:dyDescent="0.3">
      <c r="A3213">
        <v>186607</v>
      </c>
      <c r="B3213">
        <v>135377487</v>
      </c>
      <c r="C3213" t="s">
        <v>16358</v>
      </c>
      <c r="D3213" t="s">
        <v>16359</v>
      </c>
      <c r="E3213" t="s">
        <v>11426</v>
      </c>
      <c r="F3213" t="s">
        <v>844</v>
      </c>
      <c r="G3213" t="s">
        <v>164</v>
      </c>
      <c r="H3213" t="s">
        <v>165</v>
      </c>
      <c r="I3213" t="s">
        <v>34</v>
      </c>
      <c r="J3213" t="s">
        <v>166</v>
      </c>
      <c r="K3213" t="s">
        <v>41</v>
      </c>
      <c r="L3213" t="s">
        <v>16360</v>
      </c>
      <c r="M3213" t="s">
        <v>16361</v>
      </c>
      <c r="N3213" t="s">
        <v>11429</v>
      </c>
      <c r="O3213" t="s">
        <v>101</v>
      </c>
      <c r="P3213" t="s">
        <v>16362</v>
      </c>
      <c r="Q3213" t="s">
        <v>209</v>
      </c>
      <c r="R3213" t="s">
        <v>16363</v>
      </c>
      <c r="S3213">
        <v>3.34</v>
      </c>
      <c r="T3213">
        <v>8008</v>
      </c>
      <c r="U3213">
        <v>0</v>
      </c>
      <c r="V3213">
        <v>8008</v>
      </c>
    </row>
    <row r="3214" spans="1:22" x14ac:dyDescent="0.3">
      <c r="A3214">
        <v>186607</v>
      </c>
      <c r="B3214">
        <v>135523738</v>
      </c>
      <c r="C3214" t="s">
        <v>16364</v>
      </c>
      <c r="D3214" t="s">
        <v>16365</v>
      </c>
      <c r="E3214" t="s">
        <v>11426</v>
      </c>
      <c r="F3214" t="s">
        <v>844</v>
      </c>
      <c r="G3214" t="s">
        <v>164</v>
      </c>
      <c r="H3214" t="s">
        <v>165</v>
      </c>
      <c r="I3214" t="s">
        <v>34</v>
      </c>
      <c r="J3214" t="s">
        <v>166</v>
      </c>
      <c r="K3214" t="s">
        <v>41</v>
      </c>
      <c r="L3214" t="s">
        <v>16366</v>
      </c>
      <c r="M3214" t="s">
        <v>16367</v>
      </c>
      <c r="N3214" t="s">
        <v>11429</v>
      </c>
      <c r="O3214" t="s">
        <v>101</v>
      </c>
      <c r="P3214" t="s">
        <v>16368</v>
      </c>
      <c r="Q3214" t="s">
        <v>93</v>
      </c>
      <c r="R3214" t="s">
        <v>674</v>
      </c>
      <c r="S3214">
        <v>1.22</v>
      </c>
      <c r="T3214">
        <v>3366</v>
      </c>
      <c r="U3214">
        <v>0</v>
      </c>
      <c r="V3214">
        <v>3366</v>
      </c>
    </row>
    <row r="3215" spans="1:22" x14ac:dyDescent="0.3">
      <c r="A3215">
        <v>186607</v>
      </c>
      <c r="B3215">
        <v>135421440</v>
      </c>
      <c r="C3215" t="s">
        <v>16369</v>
      </c>
      <c r="D3215" t="s">
        <v>16370</v>
      </c>
      <c r="E3215" t="s">
        <v>11426</v>
      </c>
      <c r="F3215" t="s">
        <v>844</v>
      </c>
      <c r="G3215" t="s">
        <v>164</v>
      </c>
      <c r="H3215" t="s">
        <v>165</v>
      </c>
      <c r="I3215" t="s">
        <v>34</v>
      </c>
      <c r="J3215" t="s">
        <v>166</v>
      </c>
      <c r="K3215" t="s">
        <v>41</v>
      </c>
      <c r="L3215" t="s">
        <v>16371</v>
      </c>
      <c r="M3215" t="s">
        <v>16372</v>
      </c>
      <c r="N3215" t="s">
        <v>11429</v>
      </c>
      <c r="O3215" t="s">
        <v>101</v>
      </c>
      <c r="P3215" t="s">
        <v>16373</v>
      </c>
      <c r="Q3215" t="s">
        <v>84</v>
      </c>
      <c r="R3215" t="s">
        <v>16209</v>
      </c>
      <c r="S3215">
        <v>1.64</v>
      </c>
      <c r="T3215">
        <v>3366</v>
      </c>
      <c r="U3215">
        <v>0</v>
      </c>
      <c r="V3215">
        <v>3366</v>
      </c>
    </row>
    <row r="3216" spans="1:22" x14ac:dyDescent="0.3">
      <c r="A3216">
        <v>186607</v>
      </c>
      <c r="B3216">
        <v>135449133</v>
      </c>
      <c r="C3216" t="s">
        <v>16374</v>
      </c>
      <c r="D3216" t="s">
        <v>16375</v>
      </c>
      <c r="E3216" t="s">
        <v>11426</v>
      </c>
      <c r="F3216" t="s">
        <v>844</v>
      </c>
      <c r="G3216" t="s">
        <v>164</v>
      </c>
      <c r="H3216" t="s">
        <v>165</v>
      </c>
      <c r="I3216" t="s">
        <v>34</v>
      </c>
      <c r="J3216" t="s">
        <v>166</v>
      </c>
      <c r="K3216" t="s">
        <v>41</v>
      </c>
      <c r="L3216" t="s">
        <v>16376</v>
      </c>
      <c r="M3216" t="s">
        <v>16377</v>
      </c>
      <c r="N3216" t="s">
        <v>11429</v>
      </c>
      <c r="O3216" t="s">
        <v>101</v>
      </c>
      <c r="P3216" t="s">
        <v>16378</v>
      </c>
      <c r="Q3216" t="s">
        <v>90</v>
      </c>
      <c r="R3216" t="s">
        <v>13979</v>
      </c>
      <c r="S3216">
        <v>2.16</v>
      </c>
      <c r="T3216">
        <v>3870</v>
      </c>
      <c r="U3216">
        <v>0</v>
      </c>
      <c r="V3216">
        <v>3870</v>
      </c>
    </row>
    <row r="3217" spans="1:22" x14ac:dyDescent="0.3">
      <c r="A3217">
        <v>186607</v>
      </c>
      <c r="B3217">
        <v>135472671</v>
      </c>
      <c r="C3217" t="s">
        <v>16379</v>
      </c>
      <c r="D3217" t="s">
        <v>16380</v>
      </c>
      <c r="E3217" t="s">
        <v>11426</v>
      </c>
      <c r="F3217" t="s">
        <v>844</v>
      </c>
      <c r="G3217" t="s">
        <v>164</v>
      </c>
      <c r="H3217" t="s">
        <v>165</v>
      </c>
      <c r="I3217" t="s">
        <v>34</v>
      </c>
      <c r="J3217" t="s">
        <v>166</v>
      </c>
      <c r="K3217" t="s">
        <v>41</v>
      </c>
      <c r="L3217" t="s">
        <v>16381</v>
      </c>
      <c r="M3217" t="s">
        <v>16382</v>
      </c>
      <c r="N3217" t="s">
        <v>11429</v>
      </c>
      <c r="O3217" t="s">
        <v>101</v>
      </c>
      <c r="P3217" t="s">
        <v>16383</v>
      </c>
      <c r="Q3217" t="s">
        <v>50</v>
      </c>
      <c r="R3217" t="s">
        <v>14863</v>
      </c>
      <c r="S3217">
        <v>4.0599999999999996</v>
      </c>
      <c r="T3217">
        <v>4585</v>
      </c>
      <c r="U3217">
        <v>0</v>
      </c>
      <c r="V3217">
        <v>4585</v>
      </c>
    </row>
    <row r="3218" spans="1:22" x14ac:dyDescent="0.3">
      <c r="A3218">
        <v>186607</v>
      </c>
      <c r="B3218">
        <v>135472679</v>
      </c>
      <c r="C3218" t="s">
        <v>16384</v>
      </c>
      <c r="D3218" t="s">
        <v>16385</v>
      </c>
      <c r="E3218" t="s">
        <v>11426</v>
      </c>
      <c r="F3218" t="s">
        <v>844</v>
      </c>
      <c r="G3218" t="s">
        <v>164</v>
      </c>
      <c r="H3218" t="s">
        <v>165</v>
      </c>
      <c r="I3218" t="s">
        <v>34</v>
      </c>
      <c r="J3218" t="s">
        <v>166</v>
      </c>
      <c r="K3218" t="s">
        <v>41</v>
      </c>
      <c r="L3218" t="s">
        <v>16386</v>
      </c>
      <c r="M3218" t="s">
        <v>16387</v>
      </c>
      <c r="N3218" t="s">
        <v>11429</v>
      </c>
      <c r="O3218" t="s">
        <v>101</v>
      </c>
      <c r="P3218" t="s">
        <v>16388</v>
      </c>
      <c r="Q3218" t="s">
        <v>63</v>
      </c>
      <c r="R3218" t="s">
        <v>14863</v>
      </c>
      <c r="S3218">
        <v>1.92</v>
      </c>
      <c r="T3218">
        <v>4067</v>
      </c>
      <c r="U3218">
        <v>0</v>
      </c>
      <c r="V3218">
        <v>4067</v>
      </c>
    </row>
    <row r="3219" spans="1:22" x14ac:dyDescent="0.3">
      <c r="A3219">
        <v>186607</v>
      </c>
      <c r="B3219">
        <v>135504215</v>
      </c>
      <c r="C3219" t="s">
        <v>16389</v>
      </c>
      <c r="D3219" t="s">
        <v>16390</v>
      </c>
      <c r="E3219" t="s">
        <v>11426</v>
      </c>
      <c r="F3219" t="s">
        <v>844</v>
      </c>
      <c r="G3219" t="s">
        <v>164</v>
      </c>
      <c r="H3219" t="s">
        <v>165</v>
      </c>
      <c r="I3219" t="s">
        <v>34</v>
      </c>
      <c r="J3219" t="s">
        <v>166</v>
      </c>
      <c r="K3219" t="s">
        <v>41</v>
      </c>
      <c r="L3219" t="s">
        <v>16391</v>
      </c>
      <c r="M3219" t="s">
        <v>15527</v>
      </c>
      <c r="N3219" t="s">
        <v>11429</v>
      </c>
      <c r="O3219" t="s">
        <v>101</v>
      </c>
      <c r="P3219" t="s">
        <v>15528</v>
      </c>
      <c r="Q3219" t="s">
        <v>63</v>
      </c>
      <c r="R3219" t="s">
        <v>12860</v>
      </c>
      <c r="S3219">
        <v>1.55</v>
      </c>
      <c r="T3219">
        <v>4067</v>
      </c>
      <c r="U3219">
        <v>0</v>
      </c>
      <c r="V3219">
        <v>4067</v>
      </c>
    </row>
    <row r="3220" spans="1:22" x14ac:dyDescent="0.3">
      <c r="A3220">
        <v>186607</v>
      </c>
      <c r="B3220">
        <v>135504228</v>
      </c>
      <c r="C3220" t="s">
        <v>16392</v>
      </c>
      <c r="D3220" t="s">
        <v>16393</v>
      </c>
      <c r="E3220" t="s">
        <v>11426</v>
      </c>
      <c r="F3220" t="s">
        <v>844</v>
      </c>
      <c r="G3220" t="s">
        <v>164</v>
      </c>
      <c r="H3220" t="s">
        <v>165</v>
      </c>
      <c r="I3220" t="s">
        <v>34</v>
      </c>
      <c r="J3220" t="s">
        <v>166</v>
      </c>
      <c r="K3220" t="s">
        <v>41</v>
      </c>
      <c r="L3220" t="s">
        <v>16394</v>
      </c>
      <c r="M3220" t="s">
        <v>16395</v>
      </c>
      <c r="N3220" t="s">
        <v>11429</v>
      </c>
      <c r="O3220" t="s">
        <v>101</v>
      </c>
      <c r="P3220" t="s">
        <v>16396</v>
      </c>
      <c r="Q3220" t="s">
        <v>49</v>
      </c>
      <c r="R3220" t="s">
        <v>12860</v>
      </c>
      <c r="S3220">
        <v>1.37</v>
      </c>
      <c r="T3220">
        <v>3784</v>
      </c>
      <c r="U3220">
        <v>0</v>
      </c>
      <c r="V3220">
        <v>3784</v>
      </c>
    </row>
    <row r="3221" spans="1:22" x14ac:dyDescent="0.3">
      <c r="A3221">
        <v>186607</v>
      </c>
      <c r="B3221">
        <v>135523734</v>
      </c>
      <c r="C3221" t="s">
        <v>16397</v>
      </c>
      <c r="D3221" t="s">
        <v>16398</v>
      </c>
      <c r="E3221" t="s">
        <v>11426</v>
      </c>
      <c r="F3221" t="s">
        <v>844</v>
      </c>
      <c r="G3221" t="s">
        <v>164</v>
      </c>
      <c r="H3221" t="s">
        <v>165</v>
      </c>
      <c r="I3221" t="s">
        <v>34</v>
      </c>
      <c r="J3221" t="s">
        <v>166</v>
      </c>
      <c r="K3221" t="s">
        <v>41</v>
      </c>
      <c r="L3221" t="s">
        <v>16399</v>
      </c>
      <c r="M3221" t="s">
        <v>16400</v>
      </c>
      <c r="N3221" t="s">
        <v>11429</v>
      </c>
      <c r="O3221" t="s">
        <v>101</v>
      </c>
      <c r="P3221" t="s">
        <v>16401</v>
      </c>
      <c r="Q3221" t="s">
        <v>78</v>
      </c>
      <c r="R3221" t="s">
        <v>674</v>
      </c>
      <c r="S3221">
        <v>1.53</v>
      </c>
      <c r="T3221">
        <v>3784</v>
      </c>
      <c r="U3221">
        <v>0</v>
      </c>
      <c r="V3221">
        <v>3784</v>
      </c>
    </row>
    <row r="3222" spans="1:22" x14ac:dyDescent="0.3">
      <c r="A3222">
        <v>186607</v>
      </c>
      <c r="B3222">
        <v>135449125</v>
      </c>
      <c r="C3222" t="s">
        <v>16402</v>
      </c>
      <c r="D3222" t="s">
        <v>16403</v>
      </c>
      <c r="E3222" t="s">
        <v>11426</v>
      </c>
      <c r="F3222" t="s">
        <v>844</v>
      </c>
      <c r="G3222" t="s">
        <v>164</v>
      </c>
      <c r="H3222" t="s">
        <v>165</v>
      </c>
      <c r="I3222" t="s">
        <v>34</v>
      </c>
      <c r="J3222" t="s">
        <v>166</v>
      </c>
      <c r="K3222" t="s">
        <v>41</v>
      </c>
      <c r="L3222" t="s">
        <v>16404</v>
      </c>
      <c r="M3222" t="s">
        <v>16405</v>
      </c>
      <c r="N3222" t="s">
        <v>11429</v>
      </c>
      <c r="O3222" t="s">
        <v>101</v>
      </c>
      <c r="P3222" t="s">
        <v>16406</v>
      </c>
      <c r="Q3222" t="s">
        <v>43</v>
      </c>
      <c r="R3222" t="s">
        <v>13979</v>
      </c>
      <c r="S3222">
        <v>5.05</v>
      </c>
      <c r="T3222">
        <v>4322</v>
      </c>
      <c r="U3222">
        <v>0</v>
      </c>
      <c r="V3222">
        <v>4322</v>
      </c>
    </row>
    <row r="3223" spans="1:22" x14ac:dyDescent="0.3">
      <c r="A3223">
        <v>186607</v>
      </c>
      <c r="B3223">
        <v>135421437</v>
      </c>
      <c r="C3223" t="s">
        <v>16407</v>
      </c>
      <c r="D3223" t="s">
        <v>16408</v>
      </c>
      <c r="E3223" t="s">
        <v>11426</v>
      </c>
      <c r="F3223" t="s">
        <v>844</v>
      </c>
      <c r="G3223" t="s">
        <v>164</v>
      </c>
      <c r="H3223" t="s">
        <v>165</v>
      </c>
      <c r="I3223" t="s">
        <v>34</v>
      </c>
      <c r="J3223" t="s">
        <v>166</v>
      </c>
      <c r="K3223" t="s">
        <v>41</v>
      </c>
      <c r="L3223" t="s">
        <v>16409</v>
      </c>
      <c r="M3223" t="s">
        <v>16410</v>
      </c>
      <c r="N3223" t="s">
        <v>11429</v>
      </c>
      <c r="O3223" t="s">
        <v>101</v>
      </c>
      <c r="P3223" t="s">
        <v>16411</v>
      </c>
      <c r="Q3223" t="s">
        <v>72</v>
      </c>
      <c r="R3223" t="s">
        <v>16209</v>
      </c>
      <c r="S3223">
        <v>1.54</v>
      </c>
      <c r="T3223">
        <v>3784</v>
      </c>
      <c r="U3223">
        <v>0</v>
      </c>
      <c r="V3223">
        <v>3784</v>
      </c>
    </row>
    <row r="3224" spans="1:22" x14ac:dyDescent="0.3">
      <c r="A3224">
        <v>186607</v>
      </c>
      <c r="B3224">
        <v>135472676</v>
      </c>
      <c r="C3224" t="s">
        <v>16412</v>
      </c>
      <c r="D3224" t="s">
        <v>16413</v>
      </c>
      <c r="E3224" t="s">
        <v>11426</v>
      </c>
      <c r="F3224" t="s">
        <v>844</v>
      </c>
      <c r="G3224" t="s">
        <v>164</v>
      </c>
      <c r="H3224" t="s">
        <v>165</v>
      </c>
      <c r="I3224" t="s">
        <v>34</v>
      </c>
      <c r="J3224" t="s">
        <v>166</v>
      </c>
      <c r="K3224" t="s">
        <v>41</v>
      </c>
      <c r="L3224" t="s">
        <v>16414</v>
      </c>
      <c r="M3224" t="s">
        <v>16415</v>
      </c>
      <c r="N3224" t="s">
        <v>11429</v>
      </c>
      <c r="O3224" t="s">
        <v>101</v>
      </c>
      <c r="P3224" t="s">
        <v>16416</v>
      </c>
      <c r="Q3224" t="s">
        <v>70</v>
      </c>
      <c r="R3224" t="s">
        <v>14863</v>
      </c>
      <c r="S3224">
        <v>1.28</v>
      </c>
      <c r="T3224">
        <v>3501</v>
      </c>
      <c r="U3224">
        <v>0</v>
      </c>
      <c r="V3224">
        <v>3501</v>
      </c>
    </row>
    <row r="3225" spans="1:22" x14ac:dyDescent="0.3">
      <c r="A3225">
        <v>186607</v>
      </c>
      <c r="B3225">
        <v>135523735</v>
      </c>
      <c r="C3225" t="s">
        <v>16417</v>
      </c>
      <c r="D3225" t="s">
        <v>16418</v>
      </c>
      <c r="E3225" t="s">
        <v>11426</v>
      </c>
      <c r="F3225" t="s">
        <v>844</v>
      </c>
      <c r="G3225" t="s">
        <v>164</v>
      </c>
      <c r="H3225" t="s">
        <v>165</v>
      </c>
      <c r="I3225" t="s">
        <v>34</v>
      </c>
      <c r="J3225" t="s">
        <v>166</v>
      </c>
      <c r="K3225" t="s">
        <v>41</v>
      </c>
      <c r="L3225" t="s">
        <v>16419</v>
      </c>
      <c r="M3225" t="s">
        <v>16420</v>
      </c>
      <c r="N3225" t="s">
        <v>11429</v>
      </c>
      <c r="O3225" t="s">
        <v>101</v>
      </c>
      <c r="P3225" t="s">
        <v>16421</v>
      </c>
      <c r="Q3225" t="s">
        <v>61</v>
      </c>
      <c r="R3225" t="s">
        <v>674</v>
      </c>
      <c r="S3225">
        <v>6.39</v>
      </c>
      <c r="T3225">
        <v>6888</v>
      </c>
      <c r="U3225">
        <v>0</v>
      </c>
      <c r="V3225">
        <v>6888</v>
      </c>
    </row>
    <row r="3226" spans="1:22" x14ac:dyDescent="0.3">
      <c r="A3226">
        <v>186607</v>
      </c>
      <c r="B3226">
        <v>135523741</v>
      </c>
      <c r="C3226" t="s">
        <v>16422</v>
      </c>
      <c r="D3226" t="s">
        <v>16423</v>
      </c>
      <c r="E3226" t="s">
        <v>11426</v>
      </c>
      <c r="F3226" t="s">
        <v>844</v>
      </c>
      <c r="G3226" t="s">
        <v>164</v>
      </c>
      <c r="H3226" t="s">
        <v>165</v>
      </c>
      <c r="I3226" t="s">
        <v>34</v>
      </c>
      <c r="J3226" t="s">
        <v>166</v>
      </c>
      <c r="K3226" t="s">
        <v>41</v>
      </c>
      <c r="L3226" t="s">
        <v>16424</v>
      </c>
      <c r="M3226" t="s">
        <v>16425</v>
      </c>
      <c r="N3226" t="s">
        <v>11429</v>
      </c>
      <c r="O3226" t="s">
        <v>101</v>
      </c>
      <c r="P3226" t="s">
        <v>16426</v>
      </c>
      <c r="Q3226" t="s">
        <v>92</v>
      </c>
      <c r="R3226" t="s">
        <v>674</v>
      </c>
      <c r="S3226">
        <v>2.87</v>
      </c>
      <c r="T3226">
        <v>3366</v>
      </c>
      <c r="U3226">
        <v>0</v>
      </c>
      <c r="V3226">
        <v>3366</v>
      </c>
    </row>
    <row r="3227" spans="1:22" x14ac:dyDescent="0.3">
      <c r="A3227">
        <v>186607</v>
      </c>
      <c r="B3227">
        <v>135449118</v>
      </c>
      <c r="C3227" t="s">
        <v>16427</v>
      </c>
      <c r="D3227" t="s">
        <v>16428</v>
      </c>
      <c r="E3227" t="s">
        <v>11426</v>
      </c>
      <c r="F3227" t="s">
        <v>844</v>
      </c>
      <c r="G3227" t="s">
        <v>164</v>
      </c>
      <c r="H3227" t="s">
        <v>165</v>
      </c>
      <c r="I3227" t="s">
        <v>34</v>
      </c>
      <c r="J3227" t="s">
        <v>166</v>
      </c>
      <c r="K3227" t="s">
        <v>41</v>
      </c>
      <c r="L3227" t="s">
        <v>16429</v>
      </c>
      <c r="M3227" t="s">
        <v>16430</v>
      </c>
      <c r="N3227" t="s">
        <v>11429</v>
      </c>
      <c r="O3227" t="s">
        <v>101</v>
      </c>
      <c r="P3227" t="s">
        <v>16431</v>
      </c>
      <c r="Q3227" t="s">
        <v>84</v>
      </c>
      <c r="R3227" t="s">
        <v>13979</v>
      </c>
      <c r="S3227">
        <v>2.57</v>
      </c>
      <c r="T3227">
        <v>3366</v>
      </c>
      <c r="U3227">
        <v>0</v>
      </c>
      <c r="V3227">
        <v>3366</v>
      </c>
    </row>
    <row r="3228" spans="1:22" x14ac:dyDescent="0.3">
      <c r="A3228">
        <v>186607</v>
      </c>
      <c r="B3228">
        <v>135472680</v>
      </c>
      <c r="C3228" t="s">
        <v>16432</v>
      </c>
      <c r="D3228" t="s">
        <v>16433</v>
      </c>
      <c r="E3228" t="s">
        <v>11426</v>
      </c>
      <c r="F3228" t="s">
        <v>844</v>
      </c>
      <c r="G3228" t="s">
        <v>164</v>
      </c>
      <c r="H3228" t="s">
        <v>165</v>
      </c>
      <c r="I3228" t="s">
        <v>34</v>
      </c>
      <c r="J3228" t="s">
        <v>166</v>
      </c>
      <c r="K3228" t="s">
        <v>41</v>
      </c>
      <c r="L3228" t="s">
        <v>16434</v>
      </c>
      <c r="M3228" t="s">
        <v>16435</v>
      </c>
      <c r="N3228" t="s">
        <v>11429</v>
      </c>
      <c r="O3228" t="s">
        <v>101</v>
      </c>
      <c r="P3228" t="s">
        <v>16436</v>
      </c>
      <c r="Q3228" t="s">
        <v>68</v>
      </c>
      <c r="R3228" t="s">
        <v>14863</v>
      </c>
      <c r="S3228">
        <v>1.66</v>
      </c>
      <c r="T3228">
        <v>3753</v>
      </c>
      <c r="U3228">
        <v>0</v>
      </c>
      <c r="V3228">
        <v>3753</v>
      </c>
    </row>
    <row r="3229" spans="1:22" x14ac:dyDescent="0.3">
      <c r="A3229">
        <v>186607</v>
      </c>
      <c r="B3229">
        <v>135449108</v>
      </c>
      <c r="C3229" t="s">
        <v>16437</v>
      </c>
      <c r="D3229" t="s">
        <v>16438</v>
      </c>
      <c r="E3229" t="s">
        <v>11426</v>
      </c>
      <c r="F3229" t="s">
        <v>844</v>
      </c>
      <c r="G3229" t="s">
        <v>164</v>
      </c>
      <c r="H3229" t="s">
        <v>165</v>
      </c>
      <c r="I3229" t="s">
        <v>34</v>
      </c>
      <c r="J3229" t="s">
        <v>166</v>
      </c>
      <c r="K3229" t="s">
        <v>41</v>
      </c>
      <c r="L3229" t="s">
        <v>16439</v>
      </c>
      <c r="M3229" t="s">
        <v>16440</v>
      </c>
      <c r="N3229" t="s">
        <v>11429</v>
      </c>
      <c r="O3229" t="s">
        <v>101</v>
      </c>
      <c r="P3229" t="s">
        <v>16441</v>
      </c>
      <c r="Q3229" t="s">
        <v>200</v>
      </c>
      <c r="R3229" t="s">
        <v>13979</v>
      </c>
      <c r="S3229">
        <v>1.65</v>
      </c>
      <c r="T3229">
        <v>3753</v>
      </c>
      <c r="U3229">
        <v>0</v>
      </c>
      <c r="V3229">
        <v>3753</v>
      </c>
    </row>
    <row r="3230" spans="1:22" x14ac:dyDescent="0.3">
      <c r="A3230">
        <v>186607</v>
      </c>
      <c r="B3230">
        <v>135449138</v>
      </c>
      <c r="C3230" t="s">
        <v>16442</v>
      </c>
      <c r="D3230" t="s">
        <v>16443</v>
      </c>
      <c r="E3230" t="s">
        <v>11426</v>
      </c>
      <c r="F3230" t="s">
        <v>844</v>
      </c>
      <c r="G3230" t="s">
        <v>164</v>
      </c>
      <c r="H3230" t="s">
        <v>165</v>
      </c>
      <c r="I3230" t="s">
        <v>34</v>
      </c>
      <c r="J3230" t="s">
        <v>166</v>
      </c>
      <c r="K3230" t="s">
        <v>41</v>
      </c>
      <c r="L3230" t="s">
        <v>16444</v>
      </c>
      <c r="M3230" t="s">
        <v>16445</v>
      </c>
      <c r="N3230" t="s">
        <v>11429</v>
      </c>
      <c r="O3230" t="s">
        <v>101</v>
      </c>
      <c r="P3230" t="s">
        <v>16446</v>
      </c>
      <c r="Q3230" t="s">
        <v>94</v>
      </c>
      <c r="R3230" t="s">
        <v>13979</v>
      </c>
      <c r="S3230">
        <v>0.5</v>
      </c>
      <c r="T3230">
        <v>3299</v>
      </c>
      <c r="U3230">
        <v>0</v>
      </c>
      <c r="V3230">
        <v>3299</v>
      </c>
    </row>
    <row r="3231" spans="1:22" x14ac:dyDescent="0.3">
      <c r="A3231">
        <v>186607</v>
      </c>
      <c r="B3231">
        <v>135504207</v>
      </c>
      <c r="C3231" t="s">
        <v>16447</v>
      </c>
      <c r="D3231" t="s">
        <v>16448</v>
      </c>
      <c r="E3231" t="s">
        <v>11426</v>
      </c>
      <c r="F3231" t="s">
        <v>844</v>
      </c>
      <c r="G3231" t="s">
        <v>164</v>
      </c>
      <c r="H3231" t="s">
        <v>165</v>
      </c>
      <c r="I3231" t="s">
        <v>34</v>
      </c>
      <c r="J3231" t="s">
        <v>166</v>
      </c>
      <c r="K3231" t="s">
        <v>41</v>
      </c>
      <c r="L3231" t="s">
        <v>16449</v>
      </c>
      <c r="M3231" t="s">
        <v>16450</v>
      </c>
      <c r="N3231" t="s">
        <v>11429</v>
      </c>
      <c r="O3231" t="s">
        <v>101</v>
      </c>
      <c r="P3231" t="s">
        <v>16451</v>
      </c>
      <c r="Q3231" t="s">
        <v>90</v>
      </c>
      <c r="R3231" t="s">
        <v>12860</v>
      </c>
      <c r="S3231">
        <v>3.24</v>
      </c>
      <c r="T3231">
        <v>4366</v>
      </c>
      <c r="U3231">
        <v>0</v>
      </c>
      <c r="V3231">
        <v>4366</v>
      </c>
    </row>
    <row r="3232" spans="1:22" x14ac:dyDescent="0.3">
      <c r="A3232">
        <v>186607</v>
      </c>
      <c r="B3232">
        <v>135421433</v>
      </c>
      <c r="C3232" t="s">
        <v>16452</v>
      </c>
      <c r="D3232" t="s">
        <v>16453</v>
      </c>
      <c r="E3232" t="s">
        <v>11426</v>
      </c>
      <c r="F3232" t="s">
        <v>844</v>
      </c>
      <c r="G3232" t="s">
        <v>164</v>
      </c>
      <c r="H3232" t="s">
        <v>165</v>
      </c>
      <c r="I3232" t="s">
        <v>34</v>
      </c>
      <c r="J3232" t="s">
        <v>166</v>
      </c>
      <c r="K3232" t="s">
        <v>41</v>
      </c>
      <c r="L3232" t="s">
        <v>16454</v>
      </c>
      <c r="M3232" t="s">
        <v>16455</v>
      </c>
      <c r="N3232" t="s">
        <v>11429</v>
      </c>
      <c r="O3232" t="s">
        <v>101</v>
      </c>
      <c r="P3232" t="s">
        <v>16456</v>
      </c>
      <c r="Q3232" t="s">
        <v>94</v>
      </c>
      <c r="R3232" t="s">
        <v>16209</v>
      </c>
      <c r="S3232">
        <v>2.84</v>
      </c>
      <c r="T3232">
        <v>3366</v>
      </c>
      <c r="U3232">
        <v>0</v>
      </c>
      <c r="V3232">
        <v>3366</v>
      </c>
    </row>
    <row r="3233" spans="1:22" x14ac:dyDescent="0.3">
      <c r="A3233">
        <v>186607</v>
      </c>
      <c r="B3233">
        <v>135523736</v>
      </c>
      <c r="C3233" t="s">
        <v>16457</v>
      </c>
      <c r="D3233" t="s">
        <v>16458</v>
      </c>
      <c r="E3233" t="s">
        <v>11426</v>
      </c>
      <c r="F3233" t="s">
        <v>844</v>
      </c>
      <c r="G3233" t="s">
        <v>164</v>
      </c>
      <c r="H3233" t="s">
        <v>165</v>
      </c>
      <c r="I3233" t="s">
        <v>34</v>
      </c>
      <c r="J3233" t="s">
        <v>166</v>
      </c>
      <c r="K3233" t="s">
        <v>41</v>
      </c>
      <c r="L3233" t="s">
        <v>16459</v>
      </c>
      <c r="M3233" t="s">
        <v>16460</v>
      </c>
      <c r="N3233" t="s">
        <v>11429</v>
      </c>
      <c r="O3233" t="s">
        <v>101</v>
      </c>
      <c r="P3233" t="s">
        <v>16461</v>
      </c>
      <c r="Q3233" t="s">
        <v>70</v>
      </c>
      <c r="R3233" t="s">
        <v>674</v>
      </c>
      <c r="S3233">
        <v>1.19</v>
      </c>
      <c r="T3233">
        <v>3501</v>
      </c>
      <c r="U3233">
        <v>0</v>
      </c>
      <c r="V3233">
        <v>3501</v>
      </c>
    </row>
    <row r="3234" spans="1:22" x14ac:dyDescent="0.3">
      <c r="A3234">
        <v>186607</v>
      </c>
      <c r="B3234">
        <v>135523737</v>
      </c>
      <c r="C3234" t="s">
        <v>16462</v>
      </c>
      <c r="D3234" t="s">
        <v>16463</v>
      </c>
      <c r="E3234" t="s">
        <v>11426</v>
      </c>
      <c r="F3234" t="s">
        <v>844</v>
      </c>
      <c r="G3234" t="s">
        <v>164</v>
      </c>
      <c r="H3234" t="s">
        <v>165</v>
      </c>
      <c r="I3234" t="s">
        <v>34</v>
      </c>
      <c r="J3234" t="s">
        <v>166</v>
      </c>
      <c r="K3234" t="s">
        <v>41</v>
      </c>
      <c r="L3234" t="s">
        <v>16464</v>
      </c>
      <c r="M3234" t="s">
        <v>16465</v>
      </c>
      <c r="N3234" t="s">
        <v>11429</v>
      </c>
      <c r="O3234" t="s">
        <v>101</v>
      </c>
      <c r="P3234" t="s">
        <v>16466</v>
      </c>
      <c r="Q3234" t="s">
        <v>71</v>
      </c>
      <c r="R3234" t="s">
        <v>674</v>
      </c>
      <c r="S3234">
        <v>3.35</v>
      </c>
      <c r="T3234">
        <v>4322</v>
      </c>
      <c r="U3234">
        <v>0</v>
      </c>
      <c r="V3234">
        <v>4322</v>
      </c>
    </row>
    <row r="3235" spans="1:22" x14ac:dyDescent="0.3">
      <c r="A3235">
        <v>186607</v>
      </c>
      <c r="B3235">
        <v>137757119</v>
      </c>
      <c r="C3235" t="s">
        <v>16467</v>
      </c>
      <c r="D3235" t="s">
        <v>16468</v>
      </c>
      <c r="E3235" t="s">
        <v>11426</v>
      </c>
      <c r="F3235" t="s">
        <v>844</v>
      </c>
      <c r="G3235" t="s">
        <v>267</v>
      </c>
      <c r="H3235" t="s">
        <v>268</v>
      </c>
      <c r="I3235" t="s">
        <v>34</v>
      </c>
      <c r="J3235" t="s">
        <v>269</v>
      </c>
      <c r="K3235" t="s">
        <v>44</v>
      </c>
      <c r="L3235" t="s">
        <v>162</v>
      </c>
      <c r="M3235" t="s">
        <v>16469</v>
      </c>
      <c r="N3235" t="s">
        <v>11429</v>
      </c>
      <c r="O3235" t="s">
        <v>101</v>
      </c>
      <c r="P3235" t="s">
        <v>16470</v>
      </c>
      <c r="Q3235" t="s">
        <v>82</v>
      </c>
      <c r="R3235" t="s">
        <v>16471</v>
      </c>
      <c r="S3235">
        <v>0.8</v>
      </c>
      <c r="T3235">
        <v>5317</v>
      </c>
      <c r="U3235">
        <v>124.95</v>
      </c>
      <c r="V3235">
        <v>5441.95</v>
      </c>
    </row>
    <row r="3236" spans="1:22" x14ac:dyDescent="0.3">
      <c r="A3236">
        <v>186607</v>
      </c>
      <c r="B3236">
        <v>137576381</v>
      </c>
      <c r="C3236" t="s">
        <v>16472</v>
      </c>
      <c r="D3236" t="s">
        <v>16473</v>
      </c>
      <c r="E3236" t="s">
        <v>11426</v>
      </c>
      <c r="F3236" t="s">
        <v>844</v>
      </c>
      <c r="G3236" t="s">
        <v>267</v>
      </c>
      <c r="H3236" t="s">
        <v>268</v>
      </c>
      <c r="I3236" t="s">
        <v>34</v>
      </c>
      <c r="J3236" t="s">
        <v>269</v>
      </c>
      <c r="K3236" t="s">
        <v>41</v>
      </c>
      <c r="L3236" t="s">
        <v>16474</v>
      </c>
      <c r="M3236" t="s">
        <v>16475</v>
      </c>
      <c r="N3236" t="s">
        <v>11429</v>
      </c>
      <c r="O3236" t="s">
        <v>101</v>
      </c>
      <c r="P3236" t="s">
        <v>16476</v>
      </c>
      <c r="Q3236" t="s">
        <v>254</v>
      </c>
      <c r="R3236" t="s">
        <v>16477</v>
      </c>
      <c r="S3236">
        <v>1.82</v>
      </c>
      <c r="T3236">
        <v>8624</v>
      </c>
      <c r="U3236">
        <v>124.95</v>
      </c>
      <c r="V3236">
        <v>8748.9500000000007</v>
      </c>
    </row>
    <row r="3237" spans="1:22" x14ac:dyDescent="0.3">
      <c r="A3237">
        <v>186607</v>
      </c>
      <c r="B3237">
        <v>137555202</v>
      </c>
      <c r="C3237" t="s">
        <v>16478</v>
      </c>
      <c r="D3237" t="s">
        <v>16479</v>
      </c>
      <c r="E3237" t="s">
        <v>11426</v>
      </c>
      <c r="F3237" t="s">
        <v>844</v>
      </c>
      <c r="G3237" t="s">
        <v>267</v>
      </c>
      <c r="H3237" t="s">
        <v>268</v>
      </c>
      <c r="I3237" t="s">
        <v>34</v>
      </c>
      <c r="J3237" t="s">
        <v>269</v>
      </c>
      <c r="K3237" t="s">
        <v>41</v>
      </c>
      <c r="L3237" t="s">
        <v>16480</v>
      </c>
      <c r="M3237" t="s">
        <v>834</v>
      </c>
      <c r="N3237" t="s">
        <v>11429</v>
      </c>
      <c r="O3237" t="s">
        <v>101</v>
      </c>
      <c r="P3237" t="s">
        <v>16481</v>
      </c>
      <c r="Q3237" t="s">
        <v>82</v>
      </c>
      <c r="R3237" t="s">
        <v>16482</v>
      </c>
      <c r="S3237">
        <v>1.5</v>
      </c>
      <c r="T3237">
        <v>6115</v>
      </c>
      <c r="U3237">
        <v>249.9</v>
      </c>
      <c r="V3237">
        <v>6364.9</v>
      </c>
    </row>
    <row r="3238" spans="1:22" x14ac:dyDescent="0.3">
      <c r="A3238">
        <v>186607</v>
      </c>
      <c r="B3238">
        <v>137389897</v>
      </c>
      <c r="C3238" t="s">
        <v>16483</v>
      </c>
      <c r="D3238" t="s">
        <v>16484</v>
      </c>
      <c r="E3238" t="s">
        <v>11426</v>
      </c>
      <c r="F3238" t="s">
        <v>844</v>
      </c>
      <c r="G3238" t="s">
        <v>267</v>
      </c>
      <c r="H3238" t="s">
        <v>268</v>
      </c>
      <c r="I3238" t="s">
        <v>34</v>
      </c>
      <c r="J3238" t="s">
        <v>269</v>
      </c>
      <c r="K3238" t="s">
        <v>41</v>
      </c>
      <c r="L3238" t="s">
        <v>16485</v>
      </c>
      <c r="M3238" t="s">
        <v>16486</v>
      </c>
      <c r="N3238" t="s">
        <v>11429</v>
      </c>
      <c r="O3238" t="s">
        <v>101</v>
      </c>
      <c r="P3238" t="s">
        <v>16487</v>
      </c>
      <c r="Q3238" t="s">
        <v>115</v>
      </c>
      <c r="R3238" t="s">
        <v>16488</v>
      </c>
      <c r="S3238">
        <v>0.78</v>
      </c>
      <c r="T3238">
        <v>3735</v>
      </c>
      <c r="U3238">
        <v>124.95</v>
      </c>
      <c r="V3238">
        <v>3859.95</v>
      </c>
    </row>
    <row r="3239" spans="1:22" x14ac:dyDescent="0.3">
      <c r="A3239">
        <v>186607</v>
      </c>
      <c r="B3239">
        <v>137408894</v>
      </c>
      <c r="C3239" t="s">
        <v>16489</v>
      </c>
      <c r="D3239" t="s">
        <v>16490</v>
      </c>
      <c r="E3239" t="s">
        <v>11426</v>
      </c>
      <c r="F3239" t="s">
        <v>844</v>
      </c>
      <c r="G3239" t="s">
        <v>267</v>
      </c>
      <c r="H3239" t="s">
        <v>268</v>
      </c>
      <c r="I3239" t="s">
        <v>34</v>
      </c>
      <c r="J3239" t="s">
        <v>269</v>
      </c>
      <c r="K3239" t="s">
        <v>41</v>
      </c>
      <c r="L3239" t="s">
        <v>16491</v>
      </c>
      <c r="M3239" t="s">
        <v>16492</v>
      </c>
      <c r="N3239" t="s">
        <v>11429</v>
      </c>
      <c r="O3239" t="s">
        <v>101</v>
      </c>
      <c r="P3239" t="s">
        <v>16493</v>
      </c>
      <c r="Q3239" t="s">
        <v>512</v>
      </c>
      <c r="R3239" t="s">
        <v>318</v>
      </c>
      <c r="S3239">
        <v>1.51</v>
      </c>
      <c r="T3239">
        <v>16194</v>
      </c>
      <c r="U3239">
        <v>249.9</v>
      </c>
      <c r="V3239">
        <v>16443.900000000001</v>
      </c>
    </row>
    <row r="3240" spans="1:22" x14ac:dyDescent="0.3">
      <c r="A3240">
        <v>186607</v>
      </c>
      <c r="B3240">
        <v>137468315</v>
      </c>
      <c r="C3240" t="s">
        <v>16494</v>
      </c>
      <c r="D3240" t="s">
        <v>16495</v>
      </c>
      <c r="E3240" t="s">
        <v>11426</v>
      </c>
      <c r="F3240" t="s">
        <v>844</v>
      </c>
      <c r="G3240" t="s">
        <v>267</v>
      </c>
      <c r="H3240" t="s">
        <v>268</v>
      </c>
      <c r="I3240" t="s">
        <v>34</v>
      </c>
      <c r="J3240" t="s">
        <v>269</v>
      </c>
      <c r="K3240" t="s">
        <v>41</v>
      </c>
      <c r="L3240" t="s">
        <v>16496</v>
      </c>
      <c r="M3240" t="s">
        <v>16497</v>
      </c>
      <c r="N3240" t="s">
        <v>11429</v>
      </c>
      <c r="O3240" t="s">
        <v>101</v>
      </c>
      <c r="P3240" t="s">
        <v>16498</v>
      </c>
      <c r="Q3240" t="s">
        <v>133</v>
      </c>
      <c r="R3240" t="s">
        <v>637</v>
      </c>
      <c r="S3240">
        <v>0.76</v>
      </c>
      <c r="T3240">
        <v>6595</v>
      </c>
      <c r="U3240">
        <v>124.95</v>
      </c>
      <c r="V3240">
        <v>6719.95</v>
      </c>
    </row>
    <row r="3241" spans="1:22" x14ac:dyDescent="0.3">
      <c r="A3241">
        <v>186607</v>
      </c>
      <c r="B3241">
        <v>137389927</v>
      </c>
      <c r="C3241" t="s">
        <v>16499</v>
      </c>
      <c r="D3241" t="s">
        <v>16500</v>
      </c>
      <c r="E3241" t="s">
        <v>11426</v>
      </c>
      <c r="F3241" t="s">
        <v>844</v>
      </c>
      <c r="G3241" t="s">
        <v>267</v>
      </c>
      <c r="H3241" t="s">
        <v>268</v>
      </c>
      <c r="I3241" t="s">
        <v>34</v>
      </c>
      <c r="J3241" t="s">
        <v>269</v>
      </c>
      <c r="K3241" t="s">
        <v>41</v>
      </c>
      <c r="L3241" t="s">
        <v>16501</v>
      </c>
      <c r="M3241" t="s">
        <v>16502</v>
      </c>
      <c r="N3241" t="s">
        <v>11429</v>
      </c>
      <c r="O3241" t="s">
        <v>101</v>
      </c>
      <c r="P3241" t="s">
        <v>16503</v>
      </c>
      <c r="Q3241" t="s">
        <v>262</v>
      </c>
      <c r="R3241" t="s">
        <v>16504</v>
      </c>
      <c r="S3241">
        <v>1.42</v>
      </c>
      <c r="T3241">
        <v>7337</v>
      </c>
      <c r="U3241">
        <v>249.9</v>
      </c>
      <c r="V3241">
        <v>7586.9</v>
      </c>
    </row>
    <row r="3242" spans="1:22" x14ac:dyDescent="0.3">
      <c r="A3242">
        <v>186607</v>
      </c>
      <c r="B3242">
        <v>137468355</v>
      </c>
      <c r="C3242" t="s">
        <v>16505</v>
      </c>
      <c r="D3242" t="s">
        <v>16506</v>
      </c>
      <c r="E3242" t="s">
        <v>11426</v>
      </c>
      <c r="F3242" t="s">
        <v>844</v>
      </c>
      <c r="G3242" t="s">
        <v>267</v>
      </c>
      <c r="H3242" t="s">
        <v>268</v>
      </c>
      <c r="I3242" t="s">
        <v>34</v>
      </c>
      <c r="J3242" t="s">
        <v>269</v>
      </c>
      <c r="K3242" t="s">
        <v>41</v>
      </c>
      <c r="L3242" t="s">
        <v>16507</v>
      </c>
      <c r="M3242" t="s">
        <v>16508</v>
      </c>
      <c r="N3242" t="s">
        <v>11429</v>
      </c>
      <c r="O3242" t="s">
        <v>101</v>
      </c>
      <c r="P3242" t="s">
        <v>16509</v>
      </c>
      <c r="Q3242" t="s">
        <v>82</v>
      </c>
      <c r="R3242" t="s">
        <v>16510</v>
      </c>
      <c r="S3242">
        <v>1.46</v>
      </c>
      <c r="T3242">
        <v>6115</v>
      </c>
      <c r="U3242">
        <v>249.9</v>
      </c>
      <c r="V3242">
        <v>6364.9</v>
      </c>
    </row>
    <row r="3243" spans="1:22" x14ac:dyDescent="0.3">
      <c r="A3243">
        <v>186607</v>
      </c>
      <c r="B3243">
        <v>137206079</v>
      </c>
      <c r="C3243" t="s">
        <v>16511</v>
      </c>
      <c r="D3243" t="s">
        <v>16512</v>
      </c>
      <c r="E3243" t="s">
        <v>11426</v>
      </c>
      <c r="F3243" t="s">
        <v>844</v>
      </c>
      <c r="G3243" t="s">
        <v>267</v>
      </c>
      <c r="H3243" t="s">
        <v>268</v>
      </c>
      <c r="I3243" t="s">
        <v>34</v>
      </c>
      <c r="J3243" t="s">
        <v>269</v>
      </c>
      <c r="K3243" t="s">
        <v>41</v>
      </c>
      <c r="L3243" t="s">
        <v>16513</v>
      </c>
      <c r="M3243" t="s">
        <v>16514</v>
      </c>
      <c r="N3243" t="s">
        <v>11429</v>
      </c>
      <c r="O3243" t="s">
        <v>101</v>
      </c>
      <c r="P3243" t="s">
        <v>16515</v>
      </c>
      <c r="Q3243" t="s">
        <v>73</v>
      </c>
      <c r="R3243" t="s">
        <v>448</v>
      </c>
      <c r="S3243">
        <v>1.94</v>
      </c>
      <c r="T3243">
        <v>6115</v>
      </c>
      <c r="U3243">
        <v>124.95</v>
      </c>
      <c r="V3243">
        <v>6239.95</v>
      </c>
    </row>
    <row r="3244" spans="1:22" x14ac:dyDescent="0.3">
      <c r="A3244">
        <v>186607</v>
      </c>
      <c r="B3244">
        <v>137290958</v>
      </c>
      <c r="C3244" t="s">
        <v>16516</v>
      </c>
      <c r="D3244" t="s">
        <v>16517</v>
      </c>
      <c r="E3244" t="s">
        <v>11426</v>
      </c>
      <c r="F3244" t="s">
        <v>844</v>
      </c>
      <c r="G3244" t="s">
        <v>267</v>
      </c>
      <c r="H3244" t="s">
        <v>268</v>
      </c>
      <c r="I3244" t="s">
        <v>34</v>
      </c>
      <c r="J3244" t="s">
        <v>269</v>
      </c>
      <c r="K3244" t="s">
        <v>41</v>
      </c>
      <c r="L3244" t="s">
        <v>16518</v>
      </c>
      <c r="M3244" t="s">
        <v>16519</v>
      </c>
      <c r="N3244" t="s">
        <v>11429</v>
      </c>
      <c r="O3244" t="s">
        <v>101</v>
      </c>
      <c r="P3244" t="s">
        <v>16520</v>
      </c>
      <c r="Q3244" t="s">
        <v>105</v>
      </c>
      <c r="R3244" t="s">
        <v>550</v>
      </c>
      <c r="S3244">
        <v>0.76</v>
      </c>
      <c r="T3244">
        <v>4481</v>
      </c>
      <c r="U3244">
        <v>124.95</v>
      </c>
      <c r="V3244">
        <v>4605.95</v>
      </c>
    </row>
    <row r="3245" spans="1:22" x14ac:dyDescent="0.3">
      <c r="A3245">
        <v>186607</v>
      </c>
      <c r="B3245">
        <v>137290931</v>
      </c>
      <c r="C3245" t="s">
        <v>16521</v>
      </c>
      <c r="D3245" t="s">
        <v>16522</v>
      </c>
      <c r="E3245" t="s">
        <v>11426</v>
      </c>
      <c r="F3245" t="s">
        <v>844</v>
      </c>
      <c r="G3245" t="s">
        <v>267</v>
      </c>
      <c r="H3245" t="s">
        <v>268</v>
      </c>
      <c r="I3245" t="s">
        <v>34</v>
      </c>
      <c r="J3245" t="s">
        <v>269</v>
      </c>
      <c r="K3245" t="s">
        <v>41</v>
      </c>
      <c r="L3245" t="s">
        <v>16523</v>
      </c>
      <c r="M3245" t="s">
        <v>16524</v>
      </c>
      <c r="N3245" t="s">
        <v>11429</v>
      </c>
      <c r="O3245" t="s">
        <v>101</v>
      </c>
      <c r="P3245" t="s">
        <v>16525</v>
      </c>
      <c r="Q3245" t="s">
        <v>262</v>
      </c>
      <c r="R3245" t="s">
        <v>550</v>
      </c>
      <c r="S3245">
        <v>0.79</v>
      </c>
      <c r="T3245">
        <v>6381</v>
      </c>
      <c r="U3245">
        <v>124.95</v>
      </c>
      <c r="V3245">
        <v>6505.95</v>
      </c>
    </row>
    <row r="3246" spans="1:22" x14ac:dyDescent="0.3">
      <c r="A3246">
        <v>186607</v>
      </c>
      <c r="B3246">
        <v>137169253</v>
      </c>
      <c r="C3246" t="s">
        <v>16526</v>
      </c>
      <c r="D3246" t="s">
        <v>16527</v>
      </c>
      <c r="E3246" t="s">
        <v>11426</v>
      </c>
      <c r="F3246" t="s">
        <v>844</v>
      </c>
      <c r="G3246" t="s">
        <v>267</v>
      </c>
      <c r="H3246" t="s">
        <v>268</v>
      </c>
      <c r="I3246" t="s">
        <v>34</v>
      </c>
      <c r="J3246" t="s">
        <v>269</v>
      </c>
      <c r="K3246" t="s">
        <v>41</v>
      </c>
      <c r="L3246" t="s">
        <v>16528</v>
      </c>
      <c r="M3246" t="s">
        <v>16529</v>
      </c>
      <c r="N3246" t="s">
        <v>11429</v>
      </c>
      <c r="O3246" t="s">
        <v>101</v>
      </c>
      <c r="P3246" t="s">
        <v>16530</v>
      </c>
      <c r="Q3246" t="s">
        <v>263</v>
      </c>
      <c r="R3246" t="s">
        <v>11626</v>
      </c>
      <c r="S3246">
        <v>1.4</v>
      </c>
      <c r="T3246">
        <v>8079</v>
      </c>
      <c r="U3246">
        <v>249.9</v>
      </c>
      <c r="V3246">
        <v>8328.9</v>
      </c>
    </row>
    <row r="3247" spans="1:22" x14ac:dyDescent="0.3">
      <c r="A3247">
        <v>186607</v>
      </c>
      <c r="B3247">
        <v>136682278</v>
      </c>
      <c r="C3247" t="s">
        <v>16531</v>
      </c>
      <c r="D3247" t="s">
        <v>16532</v>
      </c>
      <c r="E3247" t="s">
        <v>11426</v>
      </c>
      <c r="F3247" t="s">
        <v>844</v>
      </c>
      <c r="G3247" t="s">
        <v>267</v>
      </c>
      <c r="H3247" t="s">
        <v>268</v>
      </c>
      <c r="I3247" t="s">
        <v>34</v>
      </c>
      <c r="J3247" t="s">
        <v>269</v>
      </c>
      <c r="K3247" t="s">
        <v>41</v>
      </c>
      <c r="L3247" t="s">
        <v>16533</v>
      </c>
      <c r="M3247" t="s">
        <v>16534</v>
      </c>
      <c r="N3247" t="s">
        <v>11429</v>
      </c>
      <c r="O3247" t="s">
        <v>101</v>
      </c>
      <c r="P3247" t="s">
        <v>16535</v>
      </c>
      <c r="Q3247" t="s">
        <v>247</v>
      </c>
      <c r="R3247" t="s">
        <v>473</v>
      </c>
      <c r="S3247">
        <v>0.83</v>
      </c>
      <c r="T3247">
        <v>5605</v>
      </c>
      <c r="U3247">
        <v>124.95</v>
      </c>
      <c r="V3247">
        <v>5729.95</v>
      </c>
    </row>
    <row r="3248" spans="1:22" x14ac:dyDescent="0.3">
      <c r="A3248">
        <v>186607</v>
      </c>
      <c r="B3248">
        <v>137206070</v>
      </c>
      <c r="C3248" t="s">
        <v>16536</v>
      </c>
      <c r="D3248" t="s">
        <v>16537</v>
      </c>
      <c r="E3248" t="s">
        <v>11426</v>
      </c>
      <c r="F3248" t="s">
        <v>844</v>
      </c>
      <c r="G3248" t="s">
        <v>267</v>
      </c>
      <c r="H3248" t="s">
        <v>268</v>
      </c>
      <c r="I3248" t="s">
        <v>34</v>
      </c>
      <c r="J3248" t="s">
        <v>269</v>
      </c>
      <c r="K3248" t="s">
        <v>41</v>
      </c>
      <c r="L3248" t="s">
        <v>16538</v>
      </c>
      <c r="M3248" t="s">
        <v>16539</v>
      </c>
      <c r="N3248" t="s">
        <v>11429</v>
      </c>
      <c r="O3248" t="s">
        <v>101</v>
      </c>
      <c r="P3248" t="s">
        <v>16540</v>
      </c>
      <c r="Q3248" t="s">
        <v>247</v>
      </c>
      <c r="R3248" t="s">
        <v>448</v>
      </c>
      <c r="S3248">
        <v>0.77</v>
      </c>
      <c r="T3248">
        <v>5605</v>
      </c>
      <c r="U3248">
        <v>124.95</v>
      </c>
      <c r="V3248">
        <v>5729.95</v>
      </c>
    </row>
    <row r="3249" spans="1:22" x14ac:dyDescent="0.3">
      <c r="A3249">
        <v>186607</v>
      </c>
      <c r="B3249">
        <v>137122289</v>
      </c>
      <c r="C3249" t="s">
        <v>16541</v>
      </c>
      <c r="D3249" t="s">
        <v>16542</v>
      </c>
      <c r="E3249" t="s">
        <v>11426</v>
      </c>
      <c r="F3249" t="s">
        <v>844</v>
      </c>
      <c r="G3249" t="s">
        <v>267</v>
      </c>
      <c r="H3249" t="s">
        <v>268</v>
      </c>
      <c r="I3249" t="s">
        <v>34</v>
      </c>
      <c r="J3249" t="s">
        <v>269</v>
      </c>
      <c r="K3249" t="s">
        <v>41</v>
      </c>
      <c r="L3249" t="s">
        <v>16543</v>
      </c>
      <c r="M3249" t="s">
        <v>16544</v>
      </c>
      <c r="N3249" t="s">
        <v>11429</v>
      </c>
      <c r="O3249" t="s">
        <v>101</v>
      </c>
      <c r="P3249" t="s">
        <v>16545</v>
      </c>
      <c r="Q3249" t="s">
        <v>105</v>
      </c>
      <c r="R3249" t="s">
        <v>458</v>
      </c>
      <c r="S3249">
        <v>0.73</v>
      </c>
      <c r="T3249">
        <v>4481</v>
      </c>
      <c r="U3249">
        <v>124.95</v>
      </c>
      <c r="V3249">
        <v>4605.95</v>
      </c>
    </row>
    <row r="3250" spans="1:22" x14ac:dyDescent="0.3">
      <c r="A3250">
        <v>186607</v>
      </c>
      <c r="B3250">
        <v>137122280</v>
      </c>
      <c r="C3250" t="s">
        <v>16546</v>
      </c>
      <c r="D3250" t="s">
        <v>16547</v>
      </c>
      <c r="E3250" t="s">
        <v>11426</v>
      </c>
      <c r="F3250" t="s">
        <v>844</v>
      </c>
      <c r="G3250" t="s">
        <v>267</v>
      </c>
      <c r="H3250" t="s">
        <v>268</v>
      </c>
      <c r="I3250" t="s">
        <v>34</v>
      </c>
      <c r="J3250" t="s">
        <v>269</v>
      </c>
      <c r="K3250" t="s">
        <v>41</v>
      </c>
      <c r="L3250" t="s">
        <v>16548</v>
      </c>
      <c r="M3250" t="s">
        <v>16549</v>
      </c>
      <c r="N3250" t="s">
        <v>11429</v>
      </c>
      <c r="O3250" t="s">
        <v>101</v>
      </c>
      <c r="P3250" t="s">
        <v>16550</v>
      </c>
      <c r="Q3250" t="s">
        <v>82</v>
      </c>
      <c r="R3250" t="s">
        <v>458</v>
      </c>
      <c r="S3250">
        <v>0.76</v>
      </c>
      <c r="T3250">
        <v>5317</v>
      </c>
      <c r="U3250">
        <v>124.95</v>
      </c>
      <c r="V3250">
        <v>5441.95</v>
      </c>
    </row>
    <row r="3251" spans="1:22" x14ac:dyDescent="0.3">
      <c r="A3251">
        <v>186607</v>
      </c>
      <c r="B3251">
        <v>137169194</v>
      </c>
      <c r="C3251" t="s">
        <v>16551</v>
      </c>
      <c r="D3251" t="s">
        <v>16552</v>
      </c>
      <c r="E3251" t="s">
        <v>11426</v>
      </c>
      <c r="F3251" t="s">
        <v>844</v>
      </c>
      <c r="G3251" t="s">
        <v>267</v>
      </c>
      <c r="H3251" t="s">
        <v>268</v>
      </c>
      <c r="I3251" t="s">
        <v>34</v>
      </c>
      <c r="J3251" t="s">
        <v>269</v>
      </c>
      <c r="K3251" t="s">
        <v>41</v>
      </c>
      <c r="L3251" t="s">
        <v>16553</v>
      </c>
      <c r="M3251" t="s">
        <v>16554</v>
      </c>
      <c r="N3251" t="s">
        <v>11429</v>
      </c>
      <c r="O3251" t="s">
        <v>101</v>
      </c>
      <c r="P3251" t="s">
        <v>16555</v>
      </c>
      <c r="Q3251" t="s">
        <v>82</v>
      </c>
      <c r="R3251" t="s">
        <v>11626</v>
      </c>
      <c r="S3251">
        <v>0.77</v>
      </c>
      <c r="T3251">
        <v>5317</v>
      </c>
      <c r="U3251">
        <v>124.95</v>
      </c>
      <c r="V3251">
        <v>5441.95</v>
      </c>
    </row>
    <row r="3252" spans="1:22" x14ac:dyDescent="0.3">
      <c r="A3252">
        <v>186607</v>
      </c>
      <c r="B3252">
        <v>137122302</v>
      </c>
      <c r="C3252" t="s">
        <v>16556</v>
      </c>
      <c r="D3252" t="s">
        <v>16557</v>
      </c>
      <c r="E3252" t="s">
        <v>11426</v>
      </c>
      <c r="F3252" t="s">
        <v>844</v>
      </c>
      <c r="G3252" t="s">
        <v>267</v>
      </c>
      <c r="H3252" t="s">
        <v>268</v>
      </c>
      <c r="I3252" t="s">
        <v>34</v>
      </c>
      <c r="J3252" t="s">
        <v>269</v>
      </c>
      <c r="K3252" t="s">
        <v>41</v>
      </c>
      <c r="L3252" t="s">
        <v>16558</v>
      </c>
      <c r="M3252" t="s">
        <v>16559</v>
      </c>
      <c r="N3252" t="s">
        <v>11429</v>
      </c>
      <c r="O3252" t="s">
        <v>101</v>
      </c>
      <c r="P3252" t="s">
        <v>16560</v>
      </c>
      <c r="Q3252" t="s">
        <v>389</v>
      </c>
      <c r="R3252" t="s">
        <v>458</v>
      </c>
      <c r="S3252">
        <v>0.77</v>
      </c>
      <c r="T3252">
        <v>5064</v>
      </c>
      <c r="U3252">
        <v>124.95</v>
      </c>
      <c r="V3252">
        <v>5188.95</v>
      </c>
    </row>
    <row r="3253" spans="1:22" x14ac:dyDescent="0.3">
      <c r="A3253">
        <v>186607</v>
      </c>
      <c r="B3253">
        <v>137169219</v>
      </c>
      <c r="C3253" t="s">
        <v>16561</v>
      </c>
      <c r="D3253" t="s">
        <v>16562</v>
      </c>
      <c r="E3253" t="s">
        <v>11426</v>
      </c>
      <c r="F3253" t="s">
        <v>844</v>
      </c>
      <c r="G3253" t="s">
        <v>267</v>
      </c>
      <c r="H3253" t="s">
        <v>268</v>
      </c>
      <c r="I3253" t="s">
        <v>34</v>
      </c>
      <c r="J3253" t="s">
        <v>269</v>
      </c>
      <c r="K3253" t="s">
        <v>41</v>
      </c>
      <c r="L3253" t="s">
        <v>16563</v>
      </c>
      <c r="M3253" t="s">
        <v>16564</v>
      </c>
      <c r="N3253" t="s">
        <v>11429</v>
      </c>
      <c r="O3253" t="s">
        <v>101</v>
      </c>
      <c r="P3253" t="s">
        <v>16565</v>
      </c>
      <c r="Q3253" t="s">
        <v>511</v>
      </c>
      <c r="R3253" t="s">
        <v>11626</v>
      </c>
      <c r="S3253">
        <v>0.74</v>
      </c>
      <c r="T3253">
        <v>10717</v>
      </c>
      <c r="U3253">
        <v>124.95</v>
      </c>
      <c r="V3253">
        <v>10841.95</v>
      </c>
    </row>
    <row r="3254" spans="1:22" x14ac:dyDescent="0.3">
      <c r="A3254">
        <v>186607</v>
      </c>
      <c r="B3254">
        <v>137033007</v>
      </c>
      <c r="C3254" t="s">
        <v>16566</v>
      </c>
      <c r="D3254" t="s">
        <v>16567</v>
      </c>
      <c r="E3254" t="s">
        <v>11426</v>
      </c>
      <c r="F3254" t="s">
        <v>844</v>
      </c>
      <c r="G3254" t="s">
        <v>267</v>
      </c>
      <c r="H3254" t="s">
        <v>268</v>
      </c>
      <c r="I3254" t="s">
        <v>34</v>
      </c>
      <c r="J3254" t="s">
        <v>269</v>
      </c>
      <c r="K3254" t="s">
        <v>41</v>
      </c>
      <c r="L3254" t="s">
        <v>16568</v>
      </c>
      <c r="M3254" t="s">
        <v>16569</v>
      </c>
      <c r="N3254" t="s">
        <v>11429</v>
      </c>
      <c r="O3254" t="s">
        <v>101</v>
      </c>
      <c r="P3254" t="s">
        <v>16570</v>
      </c>
      <c r="Q3254" t="s">
        <v>115</v>
      </c>
      <c r="R3254" t="s">
        <v>11745</v>
      </c>
      <c r="S3254">
        <v>0.5</v>
      </c>
      <c r="T3254">
        <v>3735</v>
      </c>
      <c r="U3254">
        <v>124.95</v>
      </c>
      <c r="V3254">
        <v>3859.95</v>
      </c>
    </row>
    <row r="3255" spans="1:22" x14ac:dyDescent="0.3">
      <c r="A3255">
        <v>186607</v>
      </c>
      <c r="B3255">
        <v>137122213</v>
      </c>
      <c r="C3255" t="s">
        <v>16571</v>
      </c>
      <c r="D3255" t="s">
        <v>16572</v>
      </c>
      <c r="E3255" t="s">
        <v>11426</v>
      </c>
      <c r="F3255" t="s">
        <v>844</v>
      </c>
      <c r="G3255" t="s">
        <v>267</v>
      </c>
      <c r="H3255" t="s">
        <v>268</v>
      </c>
      <c r="I3255" t="s">
        <v>34</v>
      </c>
      <c r="J3255" t="s">
        <v>269</v>
      </c>
      <c r="K3255" t="s">
        <v>41</v>
      </c>
      <c r="L3255" t="s">
        <v>16573</v>
      </c>
      <c r="M3255" t="s">
        <v>16574</v>
      </c>
      <c r="N3255" t="s">
        <v>11429</v>
      </c>
      <c r="O3255" t="s">
        <v>101</v>
      </c>
      <c r="P3255" t="s">
        <v>16575</v>
      </c>
      <c r="Q3255" t="s">
        <v>115</v>
      </c>
      <c r="R3255" t="s">
        <v>519</v>
      </c>
      <c r="S3255">
        <v>1.52</v>
      </c>
      <c r="T3255">
        <v>3950</v>
      </c>
      <c r="U3255">
        <v>249.9</v>
      </c>
      <c r="V3255">
        <v>4199.8999999999996</v>
      </c>
    </row>
    <row r="3256" spans="1:22" x14ac:dyDescent="0.3">
      <c r="A3256">
        <v>186607</v>
      </c>
      <c r="B3256">
        <v>137084793</v>
      </c>
      <c r="C3256" t="s">
        <v>16576</v>
      </c>
      <c r="D3256" t="s">
        <v>16577</v>
      </c>
      <c r="E3256" t="s">
        <v>11426</v>
      </c>
      <c r="F3256" t="s">
        <v>844</v>
      </c>
      <c r="G3256" t="s">
        <v>267</v>
      </c>
      <c r="H3256" t="s">
        <v>268</v>
      </c>
      <c r="I3256" t="s">
        <v>34</v>
      </c>
      <c r="J3256" t="s">
        <v>269</v>
      </c>
      <c r="K3256" t="s">
        <v>41</v>
      </c>
      <c r="L3256" t="s">
        <v>16578</v>
      </c>
      <c r="M3256" t="s">
        <v>16579</v>
      </c>
      <c r="N3256" t="s">
        <v>11429</v>
      </c>
      <c r="O3256" t="s">
        <v>101</v>
      </c>
      <c r="P3256" t="s">
        <v>16580</v>
      </c>
      <c r="Q3256" t="s">
        <v>263</v>
      </c>
      <c r="R3256" t="s">
        <v>11890</v>
      </c>
      <c r="S3256">
        <v>1.52</v>
      </c>
      <c r="T3256">
        <v>8079</v>
      </c>
      <c r="U3256">
        <v>249.9</v>
      </c>
      <c r="V3256">
        <v>8328.9</v>
      </c>
    </row>
    <row r="3257" spans="1:22" x14ac:dyDescent="0.3">
      <c r="A3257">
        <v>186607</v>
      </c>
      <c r="B3257">
        <v>136998007</v>
      </c>
      <c r="C3257" t="s">
        <v>16581</v>
      </c>
      <c r="D3257" t="s">
        <v>16582</v>
      </c>
      <c r="E3257" t="s">
        <v>11426</v>
      </c>
      <c r="F3257" t="s">
        <v>844</v>
      </c>
      <c r="G3257" t="s">
        <v>267</v>
      </c>
      <c r="H3257" t="s">
        <v>268</v>
      </c>
      <c r="I3257" t="s">
        <v>34</v>
      </c>
      <c r="J3257" t="s">
        <v>269</v>
      </c>
      <c r="K3257" t="s">
        <v>41</v>
      </c>
      <c r="L3257" t="s">
        <v>16583</v>
      </c>
      <c r="M3257" t="s">
        <v>16584</v>
      </c>
      <c r="N3257" t="s">
        <v>11429</v>
      </c>
      <c r="O3257" t="s">
        <v>101</v>
      </c>
      <c r="P3257" t="s">
        <v>16585</v>
      </c>
      <c r="Q3257" t="s">
        <v>167</v>
      </c>
      <c r="R3257" t="s">
        <v>462</v>
      </c>
      <c r="S3257">
        <v>0.88</v>
      </c>
      <c r="T3257">
        <v>6595</v>
      </c>
      <c r="U3257">
        <v>124.95</v>
      </c>
      <c r="V3257">
        <v>6719.95</v>
      </c>
    </row>
    <row r="3258" spans="1:22" x14ac:dyDescent="0.3">
      <c r="A3258">
        <v>186607</v>
      </c>
      <c r="B3258">
        <v>136724129</v>
      </c>
      <c r="C3258" t="s">
        <v>16586</v>
      </c>
      <c r="D3258" t="s">
        <v>16587</v>
      </c>
      <c r="E3258" t="s">
        <v>11426</v>
      </c>
      <c r="F3258" t="s">
        <v>844</v>
      </c>
      <c r="G3258" t="s">
        <v>267</v>
      </c>
      <c r="H3258" t="s">
        <v>268</v>
      </c>
      <c r="I3258" t="s">
        <v>34</v>
      </c>
      <c r="J3258" t="s">
        <v>269</v>
      </c>
      <c r="K3258" t="s">
        <v>41</v>
      </c>
      <c r="L3258" t="s">
        <v>16588</v>
      </c>
      <c r="M3258" t="s">
        <v>16589</v>
      </c>
      <c r="N3258" t="s">
        <v>11429</v>
      </c>
      <c r="O3258" t="s">
        <v>101</v>
      </c>
      <c r="P3258" t="s">
        <v>16590</v>
      </c>
      <c r="Q3258" t="s">
        <v>167</v>
      </c>
      <c r="R3258" t="s">
        <v>12845</v>
      </c>
      <c r="S3258">
        <v>0.82</v>
      </c>
      <c r="T3258">
        <v>6595</v>
      </c>
      <c r="U3258">
        <v>124.95</v>
      </c>
      <c r="V3258">
        <v>6719.95</v>
      </c>
    </row>
    <row r="3259" spans="1:22" x14ac:dyDescent="0.3">
      <c r="A3259">
        <v>186607</v>
      </c>
      <c r="B3259">
        <v>137032993</v>
      </c>
      <c r="C3259" t="s">
        <v>16591</v>
      </c>
      <c r="D3259" t="s">
        <v>16592</v>
      </c>
      <c r="E3259" t="s">
        <v>11426</v>
      </c>
      <c r="F3259" t="s">
        <v>844</v>
      </c>
      <c r="G3259" t="s">
        <v>267</v>
      </c>
      <c r="H3259" t="s">
        <v>268</v>
      </c>
      <c r="I3259" t="s">
        <v>34</v>
      </c>
      <c r="J3259" t="s">
        <v>269</v>
      </c>
      <c r="K3259" t="s">
        <v>41</v>
      </c>
      <c r="L3259" t="s">
        <v>16593</v>
      </c>
      <c r="M3259" t="s">
        <v>16594</v>
      </c>
      <c r="N3259" t="s">
        <v>11429</v>
      </c>
      <c r="O3259" t="s">
        <v>101</v>
      </c>
      <c r="P3259" t="s">
        <v>16595</v>
      </c>
      <c r="Q3259" t="s">
        <v>247</v>
      </c>
      <c r="R3259" t="s">
        <v>138</v>
      </c>
      <c r="S3259">
        <v>1.58</v>
      </c>
      <c r="T3259">
        <v>6807</v>
      </c>
      <c r="U3259">
        <v>249.9</v>
      </c>
      <c r="V3259">
        <v>7056.9</v>
      </c>
    </row>
    <row r="3260" spans="1:22" x14ac:dyDescent="0.3">
      <c r="A3260">
        <v>186607</v>
      </c>
      <c r="B3260">
        <v>136792741</v>
      </c>
      <c r="C3260" t="s">
        <v>16596</v>
      </c>
      <c r="D3260" t="s">
        <v>16597</v>
      </c>
      <c r="E3260" t="s">
        <v>11426</v>
      </c>
      <c r="F3260" t="s">
        <v>844</v>
      </c>
      <c r="G3260" t="s">
        <v>267</v>
      </c>
      <c r="H3260" t="s">
        <v>268</v>
      </c>
      <c r="I3260" t="s">
        <v>34</v>
      </c>
      <c r="J3260" t="s">
        <v>269</v>
      </c>
      <c r="K3260" t="s">
        <v>41</v>
      </c>
      <c r="L3260" t="s">
        <v>16598</v>
      </c>
      <c r="M3260" t="s">
        <v>16599</v>
      </c>
      <c r="N3260" t="s">
        <v>11429</v>
      </c>
      <c r="O3260" t="s">
        <v>101</v>
      </c>
      <c r="P3260" t="s">
        <v>16600</v>
      </c>
      <c r="Q3260" t="s">
        <v>135</v>
      </c>
      <c r="R3260" t="s">
        <v>12701</v>
      </c>
      <c r="S3260">
        <v>0.76</v>
      </c>
      <c r="T3260">
        <v>6381</v>
      </c>
      <c r="U3260">
        <v>124.95</v>
      </c>
      <c r="V3260">
        <v>6505.95</v>
      </c>
    </row>
    <row r="3261" spans="1:22" x14ac:dyDescent="0.3">
      <c r="A3261">
        <v>186607</v>
      </c>
      <c r="B3261">
        <v>137122243</v>
      </c>
      <c r="C3261" t="s">
        <v>16601</v>
      </c>
      <c r="D3261" t="s">
        <v>16602</v>
      </c>
      <c r="E3261" t="s">
        <v>11426</v>
      </c>
      <c r="F3261" t="s">
        <v>844</v>
      </c>
      <c r="G3261" t="s">
        <v>267</v>
      </c>
      <c r="H3261" t="s">
        <v>268</v>
      </c>
      <c r="I3261" t="s">
        <v>34</v>
      </c>
      <c r="J3261" t="s">
        <v>269</v>
      </c>
      <c r="K3261" t="s">
        <v>41</v>
      </c>
      <c r="L3261" t="s">
        <v>16603</v>
      </c>
      <c r="M3261" t="s">
        <v>16604</v>
      </c>
      <c r="N3261" t="s">
        <v>11429</v>
      </c>
      <c r="O3261" t="s">
        <v>101</v>
      </c>
      <c r="P3261" t="s">
        <v>16605</v>
      </c>
      <c r="Q3261" t="s">
        <v>391</v>
      </c>
      <c r="R3261" t="s">
        <v>458</v>
      </c>
      <c r="S3261">
        <v>0.79</v>
      </c>
      <c r="T3261">
        <v>6381</v>
      </c>
      <c r="U3261">
        <v>124.95</v>
      </c>
      <c r="V3261">
        <v>6505.95</v>
      </c>
    </row>
    <row r="3262" spans="1:22" x14ac:dyDescent="0.3">
      <c r="A3262">
        <v>186607</v>
      </c>
      <c r="B3262">
        <v>137033024</v>
      </c>
      <c r="C3262" t="s">
        <v>16606</v>
      </c>
      <c r="D3262" t="s">
        <v>16607</v>
      </c>
      <c r="E3262" t="s">
        <v>11426</v>
      </c>
      <c r="F3262" t="s">
        <v>844</v>
      </c>
      <c r="G3262" t="s">
        <v>267</v>
      </c>
      <c r="H3262" t="s">
        <v>268</v>
      </c>
      <c r="I3262" t="s">
        <v>34</v>
      </c>
      <c r="J3262" t="s">
        <v>269</v>
      </c>
      <c r="K3262" t="s">
        <v>41</v>
      </c>
      <c r="L3262" t="s">
        <v>16608</v>
      </c>
      <c r="M3262" t="s">
        <v>16609</v>
      </c>
      <c r="N3262" t="s">
        <v>11429</v>
      </c>
      <c r="O3262" t="s">
        <v>101</v>
      </c>
      <c r="P3262" t="s">
        <v>16610</v>
      </c>
      <c r="Q3262" t="s">
        <v>528</v>
      </c>
      <c r="R3262" t="s">
        <v>11745</v>
      </c>
      <c r="S3262">
        <v>0.75</v>
      </c>
      <c r="T3262">
        <v>5704</v>
      </c>
      <c r="U3262">
        <v>124.95</v>
      </c>
      <c r="V3262">
        <v>5828.95</v>
      </c>
    </row>
    <row r="3263" spans="1:22" x14ac:dyDescent="0.3">
      <c r="A3263">
        <v>186607</v>
      </c>
      <c r="B3263">
        <v>137033034</v>
      </c>
      <c r="C3263" t="s">
        <v>16611</v>
      </c>
      <c r="D3263" t="s">
        <v>16612</v>
      </c>
      <c r="E3263" t="s">
        <v>11426</v>
      </c>
      <c r="F3263" t="s">
        <v>844</v>
      </c>
      <c r="G3263" t="s">
        <v>267</v>
      </c>
      <c r="H3263" t="s">
        <v>268</v>
      </c>
      <c r="I3263" t="s">
        <v>34</v>
      </c>
      <c r="J3263" t="s">
        <v>269</v>
      </c>
      <c r="K3263" t="s">
        <v>41</v>
      </c>
      <c r="L3263" t="s">
        <v>16613</v>
      </c>
      <c r="M3263" t="s">
        <v>16614</v>
      </c>
      <c r="N3263" t="s">
        <v>11429</v>
      </c>
      <c r="O3263" t="s">
        <v>101</v>
      </c>
      <c r="P3263" t="s">
        <v>16615</v>
      </c>
      <c r="Q3263" t="s">
        <v>105</v>
      </c>
      <c r="R3263" t="s">
        <v>11745</v>
      </c>
      <c r="S3263">
        <v>1.53</v>
      </c>
      <c r="T3263">
        <v>4738</v>
      </c>
      <c r="U3263">
        <v>249.9</v>
      </c>
      <c r="V3263">
        <v>4987.8999999999996</v>
      </c>
    </row>
    <row r="3264" spans="1:22" x14ac:dyDescent="0.3">
      <c r="A3264">
        <v>186607</v>
      </c>
      <c r="B3264">
        <v>136998011</v>
      </c>
      <c r="C3264" t="s">
        <v>16616</v>
      </c>
      <c r="D3264" t="s">
        <v>16617</v>
      </c>
      <c r="E3264" t="s">
        <v>11426</v>
      </c>
      <c r="F3264" t="s">
        <v>844</v>
      </c>
      <c r="G3264" t="s">
        <v>267</v>
      </c>
      <c r="H3264" t="s">
        <v>268</v>
      </c>
      <c r="I3264" t="s">
        <v>34</v>
      </c>
      <c r="J3264" t="s">
        <v>269</v>
      </c>
      <c r="K3264" t="s">
        <v>41</v>
      </c>
      <c r="L3264" t="s">
        <v>16618</v>
      </c>
      <c r="M3264" t="s">
        <v>16619</v>
      </c>
      <c r="N3264" t="s">
        <v>11429</v>
      </c>
      <c r="O3264" t="s">
        <v>101</v>
      </c>
      <c r="P3264" t="s">
        <v>16620</v>
      </c>
      <c r="Q3264" t="s">
        <v>82</v>
      </c>
      <c r="R3264" t="s">
        <v>462</v>
      </c>
      <c r="S3264">
        <v>0.84</v>
      </c>
      <c r="T3264">
        <v>5317</v>
      </c>
      <c r="U3264">
        <v>124.95</v>
      </c>
      <c r="V3264">
        <v>5441.95</v>
      </c>
    </row>
    <row r="3265" spans="1:22" x14ac:dyDescent="0.3">
      <c r="A3265">
        <v>186607</v>
      </c>
      <c r="B3265">
        <v>137084771</v>
      </c>
      <c r="C3265" t="s">
        <v>16621</v>
      </c>
      <c r="D3265" t="s">
        <v>16622</v>
      </c>
      <c r="E3265" t="s">
        <v>11426</v>
      </c>
      <c r="F3265" t="s">
        <v>844</v>
      </c>
      <c r="G3265" t="s">
        <v>267</v>
      </c>
      <c r="H3265" t="s">
        <v>268</v>
      </c>
      <c r="I3265" t="s">
        <v>34</v>
      </c>
      <c r="J3265" t="s">
        <v>269</v>
      </c>
      <c r="K3265" t="s">
        <v>41</v>
      </c>
      <c r="L3265" t="s">
        <v>16623</v>
      </c>
      <c r="M3265" t="s">
        <v>16624</v>
      </c>
      <c r="N3265" t="s">
        <v>11429</v>
      </c>
      <c r="O3265" t="s">
        <v>101</v>
      </c>
      <c r="P3265" t="s">
        <v>16625</v>
      </c>
      <c r="Q3265" t="s">
        <v>524</v>
      </c>
      <c r="R3265" t="s">
        <v>11890</v>
      </c>
      <c r="S3265">
        <v>0.74</v>
      </c>
      <c r="T3265">
        <v>6084</v>
      </c>
      <c r="U3265">
        <v>124.95</v>
      </c>
      <c r="V3265">
        <v>6208.95</v>
      </c>
    </row>
    <row r="3266" spans="1:22" x14ac:dyDescent="0.3">
      <c r="A3266">
        <v>186607</v>
      </c>
      <c r="B3266">
        <v>136682152</v>
      </c>
      <c r="C3266" t="s">
        <v>16626</v>
      </c>
      <c r="D3266" t="s">
        <v>16627</v>
      </c>
      <c r="E3266" t="s">
        <v>11426</v>
      </c>
      <c r="F3266" t="s">
        <v>844</v>
      </c>
      <c r="G3266" t="s">
        <v>267</v>
      </c>
      <c r="H3266" t="s">
        <v>268</v>
      </c>
      <c r="I3266" t="s">
        <v>34</v>
      </c>
      <c r="J3266" t="s">
        <v>269</v>
      </c>
      <c r="K3266" t="s">
        <v>41</v>
      </c>
      <c r="L3266" t="s">
        <v>16628</v>
      </c>
      <c r="M3266" t="s">
        <v>16629</v>
      </c>
      <c r="N3266" t="s">
        <v>11429</v>
      </c>
      <c r="O3266" t="s">
        <v>101</v>
      </c>
      <c r="P3266" t="s">
        <v>16630</v>
      </c>
      <c r="Q3266" t="s">
        <v>244</v>
      </c>
      <c r="R3266" t="s">
        <v>11574</v>
      </c>
      <c r="S3266">
        <v>0.76</v>
      </c>
      <c r="T3266">
        <v>6381</v>
      </c>
      <c r="U3266">
        <v>124.95</v>
      </c>
      <c r="V3266">
        <v>6505.95</v>
      </c>
    </row>
    <row r="3267" spans="1:22" x14ac:dyDescent="0.3">
      <c r="A3267">
        <v>186607</v>
      </c>
      <c r="B3267">
        <v>136682159</v>
      </c>
      <c r="C3267" t="s">
        <v>16631</v>
      </c>
      <c r="D3267" t="s">
        <v>16632</v>
      </c>
      <c r="E3267" t="s">
        <v>11426</v>
      </c>
      <c r="F3267" t="s">
        <v>844</v>
      </c>
      <c r="G3267" t="s">
        <v>267</v>
      </c>
      <c r="H3267" t="s">
        <v>268</v>
      </c>
      <c r="I3267" t="s">
        <v>34</v>
      </c>
      <c r="J3267" t="s">
        <v>269</v>
      </c>
      <c r="K3267" t="s">
        <v>41</v>
      </c>
      <c r="L3267" t="s">
        <v>16633</v>
      </c>
      <c r="M3267" t="s">
        <v>16634</v>
      </c>
      <c r="N3267" t="s">
        <v>11429</v>
      </c>
      <c r="O3267" t="s">
        <v>101</v>
      </c>
      <c r="P3267" t="s">
        <v>16635</v>
      </c>
      <c r="Q3267" t="s">
        <v>115</v>
      </c>
      <c r="R3267" t="s">
        <v>11574</v>
      </c>
      <c r="S3267">
        <v>1.49</v>
      </c>
      <c r="T3267">
        <v>3950</v>
      </c>
      <c r="U3267">
        <v>249.9</v>
      </c>
      <c r="V3267">
        <v>4199.8999999999996</v>
      </c>
    </row>
    <row r="3268" spans="1:22" x14ac:dyDescent="0.3">
      <c r="A3268">
        <v>186607</v>
      </c>
      <c r="B3268">
        <v>136889152</v>
      </c>
      <c r="C3268" t="s">
        <v>16636</v>
      </c>
      <c r="D3268" t="s">
        <v>16637</v>
      </c>
      <c r="E3268" t="s">
        <v>11426</v>
      </c>
      <c r="F3268" t="s">
        <v>844</v>
      </c>
      <c r="G3268" t="s">
        <v>267</v>
      </c>
      <c r="H3268" t="s">
        <v>268</v>
      </c>
      <c r="I3268" t="s">
        <v>34</v>
      </c>
      <c r="J3268" t="s">
        <v>269</v>
      </c>
      <c r="K3268" t="s">
        <v>41</v>
      </c>
      <c r="L3268" t="s">
        <v>16638</v>
      </c>
      <c r="M3268" t="s">
        <v>16639</v>
      </c>
      <c r="N3268" t="s">
        <v>11429</v>
      </c>
      <c r="O3268" t="s">
        <v>101</v>
      </c>
      <c r="P3268" t="s">
        <v>16640</v>
      </c>
      <c r="Q3268" t="s">
        <v>115</v>
      </c>
      <c r="R3268" t="s">
        <v>124</v>
      </c>
      <c r="S3268">
        <v>0.8</v>
      </c>
      <c r="T3268">
        <v>3735</v>
      </c>
      <c r="U3268">
        <v>124.95</v>
      </c>
      <c r="V3268">
        <v>3859.95</v>
      </c>
    </row>
    <row r="3269" spans="1:22" x14ac:dyDescent="0.3">
      <c r="A3269">
        <v>186607</v>
      </c>
      <c r="B3269">
        <v>136939697</v>
      </c>
      <c r="C3269" t="s">
        <v>16641</v>
      </c>
      <c r="D3269" t="s">
        <v>16642</v>
      </c>
      <c r="E3269" t="s">
        <v>11426</v>
      </c>
      <c r="F3269" t="s">
        <v>844</v>
      </c>
      <c r="G3269" t="s">
        <v>267</v>
      </c>
      <c r="H3269" t="s">
        <v>268</v>
      </c>
      <c r="I3269" t="s">
        <v>34</v>
      </c>
      <c r="J3269" t="s">
        <v>269</v>
      </c>
      <c r="K3269" t="s">
        <v>41</v>
      </c>
      <c r="L3269" t="s">
        <v>16643</v>
      </c>
      <c r="M3269" t="s">
        <v>16644</v>
      </c>
      <c r="N3269" t="s">
        <v>11429</v>
      </c>
      <c r="O3269" t="s">
        <v>101</v>
      </c>
      <c r="P3269" t="s">
        <v>16645</v>
      </c>
      <c r="Q3269" t="s">
        <v>263</v>
      </c>
      <c r="R3269" t="s">
        <v>568</v>
      </c>
      <c r="S3269">
        <v>1.48</v>
      </c>
      <c r="T3269">
        <v>8079</v>
      </c>
      <c r="U3269">
        <v>249.9</v>
      </c>
      <c r="V3269">
        <v>8328.9</v>
      </c>
    </row>
    <row r="3270" spans="1:22" x14ac:dyDescent="0.3">
      <c r="A3270">
        <v>186607</v>
      </c>
      <c r="B3270">
        <v>136792773</v>
      </c>
      <c r="C3270" t="s">
        <v>16646</v>
      </c>
      <c r="D3270" t="s">
        <v>16647</v>
      </c>
      <c r="E3270" t="s">
        <v>11426</v>
      </c>
      <c r="F3270" t="s">
        <v>844</v>
      </c>
      <c r="G3270" t="s">
        <v>267</v>
      </c>
      <c r="H3270" t="s">
        <v>268</v>
      </c>
      <c r="I3270" t="s">
        <v>34</v>
      </c>
      <c r="J3270" t="s">
        <v>269</v>
      </c>
      <c r="K3270" t="s">
        <v>41</v>
      </c>
      <c r="L3270" t="s">
        <v>16648</v>
      </c>
      <c r="M3270" t="s">
        <v>16649</v>
      </c>
      <c r="N3270" t="s">
        <v>11429</v>
      </c>
      <c r="O3270" t="s">
        <v>101</v>
      </c>
      <c r="P3270" t="s">
        <v>16650</v>
      </c>
      <c r="Q3270" t="s">
        <v>167</v>
      </c>
      <c r="R3270" t="s">
        <v>12701</v>
      </c>
      <c r="S3270">
        <v>1.44</v>
      </c>
      <c r="T3270">
        <v>8624</v>
      </c>
      <c r="U3270">
        <v>249.9</v>
      </c>
      <c r="V3270">
        <v>8873.9</v>
      </c>
    </row>
    <row r="3271" spans="1:22" x14ac:dyDescent="0.3">
      <c r="A3271">
        <v>186607</v>
      </c>
      <c r="B3271">
        <v>136939685</v>
      </c>
      <c r="C3271" t="s">
        <v>16651</v>
      </c>
      <c r="D3271" t="s">
        <v>16652</v>
      </c>
      <c r="E3271" t="s">
        <v>11426</v>
      </c>
      <c r="F3271" t="s">
        <v>844</v>
      </c>
      <c r="G3271" t="s">
        <v>267</v>
      </c>
      <c r="H3271" t="s">
        <v>268</v>
      </c>
      <c r="I3271" t="s">
        <v>34</v>
      </c>
      <c r="J3271" t="s">
        <v>269</v>
      </c>
      <c r="K3271" t="s">
        <v>41</v>
      </c>
      <c r="L3271" t="s">
        <v>16653</v>
      </c>
      <c r="M3271" t="s">
        <v>163</v>
      </c>
      <c r="N3271" t="s">
        <v>11429</v>
      </c>
      <c r="O3271" t="s">
        <v>101</v>
      </c>
      <c r="P3271" t="s">
        <v>16654</v>
      </c>
      <c r="Q3271" t="s">
        <v>167</v>
      </c>
      <c r="R3271" t="s">
        <v>568</v>
      </c>
      <c r="S3271">
        <v>1.5</v>
      </c>
      <c r="T3271">
        <v>8624</v>
      </c>
      <c r="U3271">
        <v>249.9</v>
      </c>
      <c r="V3271">
        <v>8873.9</v>
      </c>
    </row>
    <row r="3272" spans="1:22" x14ac:dyDescent="0.3">
      <c r="A3272">
        <v>186607</v>
      </c>
      <c r="B3272">
        <v>136792786</v>
      </c>
      <c r="C3272" t="s">
        <v>16655</v>
      </c>
      <c r="D3272" t="s">
        <v>16656</v>
      </c>
      <c r="E3272" t="s">
        <v>11426</v>
      </c>
      <c r="F3272" t="s">
        <v>844</v>
      </c>
      <c r="G3272" t="s">
        <v>267</v>
      </c>
      <c r="H3272" t="s">
        <v>268</v>
      </c>
      <c r="I3272" t="s">
        <v>34</v>
      </c>
      <c r="J3272" t="s">
        <v>269</v>
      </c>
      <c r="K3272" t="s">
        <v>41</v>
      </c>
      <c r="L3272" t="s">
        <v>16657</v>
      </c>
      <c r="M3272" t="s">
        <v>16658</v>
      </c>
      <c r="N3272" t="s">
        <v>11429</v>
      </c>
      <c r="O3272" t="s">
        <v>101</v>
      </c>
      <c r="P3272" t="s">
        <v>16659</v>
      </c>
      <c r="Q3272" t="s">
        <v>247</v>
      </c>
      <c r="R3272" t="s">
        <v>12701</v>
      </c>
      <c r="S3272">
        <v>0.86</v>
      </c>
      <c r="T3272">
        <v>5605</v>
      </c>
      <c r="U3272">
        <v>124.95</v>
      </c>
      <c r="V3272">
        <v>5729.95</v>
      </c>
    </row>
    <row r="3273" spans="1:22" x14ac:dyDescent="0.3">
      <c r="A3273">
        <v>186607</v>
      </c>
      <c r="B3273">
        <v>136997923</v>
      </c>
      <c r="C3273" t="s">
        <v>16660</v>
      </c>
      <c r="D3273" t="s">
        <v>16661</v>
      </c>
      <c r="E3273" t="s">
        <v>11426</v>
      </c>
      <c r="F3273" t="s">
        <v>844</v>
      </c>
      <c r="G3273" t="s">
        <v>267</v>
      </c>
      <c r="H3273" t="s">
        <v>268</v>
      </c>
      <c r="I3273" t="s">
        <v>34</v>
      </c>
      <c r="J3273" t="s">
        <v>269</v>
      </c>
      <c r="K3273" t="s">
        <v>41</v>
      </c>
      <c r="L3273" t="s">
        <v>16662</v>
      </c>
      <c r="M3273" t="s">
        <v>16663</v>
      </c>
      <c r="N3273" t="s">
        <v>11429</v>
      </c>
      <c r="O3273" t="s">
        <v>101</v>
      </c>
      <c r="P3273" t="s">
        <v>16664</v>
      </c>
      <c r="Q3273" t="s">
        <v>517</v>
      </c>
      <c r="R3273" t="s">
        <v>753</v>
      </c>
      <c r="S3273">
        <v>0.84</v>
      </c>
      <c r="T3273">
        <v>6084</v>
      </c>
      <c r="U3273">
        <v>124.95</v>
      </c>
      <c r="V3273">
        <v>6208.95</v>
      </c>
    </row>
    <row r="3274" spans="1:22" x14ac:dyDescent="0.3">
      <c r="A3274">
        <v>186607</v>
      </c>
      <c r="B3274">
        <v>136792717</v>
      </c>
      <c r="C3274" t="s">
        <v>16665</v>
      </c>
      <c r="D3274" t="s">
        <v>16666</v>
      </c>
      <c r="E3274" t="s">
        <v>11426</v>
      </c>
      <c r="F3274" t="s">
        <v>844</v>
      </c>
      <c r="G3274" t="s">
        <v>267</v>
      </c>
      <c r="H3274" t="s">
        <v>268</v>
      </c>
      <c r="I3274" t="s">
        <v>34</v>
      </c>
      <c r="J3274" t="s">
        <v>269</v>
      </c>
      <c r="K3274" t="s">
        <v>41</v>
      </c>
      <c r="L3274" t="s">
        <v>16667</v>
      </c>
      <c r="M3274" t="s">
        <v>16668</v>
      </c>
      <c r="N3274" t="s">
        <v>11429</v>
      </c>
      <c r="O3274" t="s">
        <v>101</v>
      </c>
      <c r="P3274" t="s">
        <v>16669</v>
      </c>
      <c r="Q3274" t="s">
        <v>105</v>
      </c>
      <c r="R3274" t="s">
        <v>837</v>
      </c>
      <c r="S3274">
        <v>1.61</v>
      </c>
      <c r="T3274">
        <v>4738</v>
      </c>
      <c r="U3274">
        <v>249.9</v>
      </c>
      <c r="V3274">
        <v>4987.8999999999996</v>
      </c>
    </row>
    <row r="3275" spans="1:22" x14ac:dyDescent="0.3">
      <c r="A3275">
        <v>186607</v>
      </c>
      <c r="B3275">
        <v>136997911</v>
      </c>
      <c r="C3275" t="s">
        <v>16670</v>
      </c>
      <c r="D3275" t="s">
        <v>16671</v>
      </c>
      <c r="E3275" t="s">
        <v>11426</v>
      </c>
      <c r="F3275" t="s">
        <v>844</v>
      </c>
      <c r="G3275" t="s">
        <v>267</v>
      </c>
      <c r="H3275" t="s">
        <v>268</v>
      </c>
      <c r="I3275" t="s">
        <v>34</v>
      </c>
      <c r="J3275" t="s">
        <v>269</v>
      </c>
      <c r="K3275" t="s">
        <v>41</v>
      </c>
      <c r="L3275" t="s">
        <v>16672</v>
      </c>
      <c r="M3275" t="s">
        <v>16673</v>
      </c>
      <c r="N3275" t="s">
        <v>11429</v>
      </c>
      <c r="O3275" t="s">
        <v>101</v>
      </c>
      <c r="P3275" t="s">
        <v>16674</v>
      </c>
      <c r="Q3275" t="s">
        <v>73</v>
      </c>
      <c r="R3275" t="s">
        <v>753</v>
      </c>
      <c r="S3275">
        <v>0.8</v>
      </c>
      <c r="T3275">
        <v>5317</v>
      </c>
      <c r="U3275">
        <v>124.95</v>
      </c>
      <c r="V3275">
        <v>5441.95</v>
      </c>
    </row>
    <row r="3276" spans="1:22" x14ac:dyDescent="0.3">
      <c r="A3276">
        <v>186607</v>
      </c>
      <c r="B3276">
        <v>136997899</v>
      </c>
      <c r="C3276" t="s">
        <v>16675</v>
      </c>
      <c r="D3276" t="s">
        <v>16676</v>
      </c>
      <c r="E3276" t="s">
        <v>11426</v>
      </c>
      <c r="F3276" t="s">
        <v>844</v>
      </c>
      <c r="G3276" t="s">
        <v>267</v>
      </c>
      <c r="H3276" t="s">
        <v>268</v>
      </c>
      <c r="I3276" t="s">
        <v>34</v>
      </c>
      <c r="J3276" t="s">
        <v>269</v>
      </c>
      <c r="K3276" t="s">
        <v>41</v>
      </c>
      <c r="L3276" t="s">
        <v>16677</v>
      </c>
      <c r="M3276" t="s">
        <v>16678</v>
      </c>
      <c r="N3276" t="s">
        <v>11429</v>
      </c>
      <c r="O3276" t="s">
        <v>101</v>
      </c>
      <c r="P3276" t="s">
        <v>16679</v>
      </c>
      <c r="Q3276" t="s">
        <v>73</v>
      </c>
      <c r="R3276" t="s">
        <v>753</v>
      </c>
      <c r="S3276">
        <v>0.82</v>
      </c>
      <c r="T3276">
        <v>5317</v>
      </c>
      <c r="U3276">
        <v>124.95</v>
      </c>
      <c r="V3276">
        <v>5441.95</v>
      </c>
    </row>
    <row r="3277" spans="1:22" x14ac:dyDescent="0.3">
      <c r="A3277">
        <v>186607</v>
      </c>
      <c r="B3277">
        <v>136682249</v>
      </c>
      <c r="C3277" t="s">
        <v>16680</v>
      </c>
      <c r="D3277" t="s">
        <v>16681</v>
      </c>
      <c r="E3277" t="s">
        <v>11426</v>
      </c>
      <c r="F3277" t="s">
        <v>844</v>
      </c>
      <c r="G3277" t="s">
        <v>267</v>
      </c>
      <c r="H3277" t="s">
        <v>268</v>
      </c>
      <c r="I3277" t="s">
        <v>34</v>
      </c>
      <c r="J3277" t="s">
        <v>269</v>
      </c>
      <c r="K3277" t="s">
        <v>41</v>
      </c>
      <c r="L3277" t="s">
        <v>16682</v>
      </c>
      <c r="M3277" t="s">
        <v>764</v>
      </c>
      <c r="N3277" t="s">
        <v>11429</v>
      </c>
      <c r="O3277" t="s">
        <v>101</v>
      </c>
      <c r="P3277" t="s">
        <v>16683</v>
      </c>
      <c r="Q3277" t="s">
        <v>73</v>
      </c>
      <c r="R3277" t="s">
        <v>11574</v>
      </c>
      <c r="S3277">
        <v>0.81</v>
      </c>
      <c r="T3277">
        <v>5317</v>
      </c>
      <c r="U3277">
        <v>124.95</v>
      </c>
      <c r="V3277">
        <v>5441.95</v>
      </c>
    </row>
    <row r="3278" spans="1:22" x14ac:dyDescent="0.3">
      <c r="A3278">
        <v>186607</v>
      </c>
      <c r="B3278">
        <v>136997914</v>
      </c>
      <c r="C3278" t="s">
        <v>16684</v>
      </c>
      <c r="D3278" t="s">
        <v>16685</v>
      </c>
      <c r="E3278" t="s">
        <v>11426</v>
      </c>
      <c r="F3278" t="s">
        <v>844</v>
      </c>
      <c r="G3278" t="s">
        <v>267</v>
      </c>
      <c r="H3278" t="s">
        <v>268</v>
      </c>
      <c r="I3278" t="s">
        <v>34</v>
      </c>
      <c r="J3278" t="s">
        <v>269</v>
      </c>
      <c r="K3278" t="s">
        <v>41</v>
      </c>
      <c r="L3278" t="s">
        <v>16686</v>
      </c>
      <c r="M3278" t="s">
        <v>16687</v>
      </c>
      <c r="N3278" t="s">
        <v>11429</v>
      </c>
      <c r="O3278" t="s">
        <v>101</v>
      </c>
      <c r="P3278" t="s">
        <v>16688</v>
      </c>
      <c r="Q3278" t="s">
        <v>262</v>
      </c>
      <c r="R3278" t="s">
        <v>753</v>
      </c>
      <c r="S3278">
        <v>0.78</v>
      </c>
      <c r="T3278">
        <v>6381</v>
      </c>
      <c r="U3278">
        <v>124.95</v>
      </c>
      <c r="V3278">
        <v>6505.95</v>
      </c>
    </row>
    <row r="3279" spans="1:22" x14ac:dyDescent="0.3">
      <c r="A3279">
        <v>186607</v>
      </c>
      <c r="B3279">
        <v>136889202</v>
      </c>
      <c r="C3279" t="s">
        <v>16689</v>
      </c>
      <c r="D3279" t="s">
        <v>16690</v>
      </c>
      <c r="E3279" t="s">
        <v>11426</v>
      </c>
      <c r="F3279" t="s">
        <v>844</v>
      </c>
      <c r="G3279" t="s">
        <v>267</v>
      </c>
      <c r="H3279" t="s">
        <v>268</v>
      </c>
      <c r="I3279" t="s">
        <v>34</v>
      </c>
      <c r="J3279" t="s">
        <v>269</v>
      </c>
      <c r="K3279" t="s">
        <v>41</v>
      </c>
      <c r="L3279" t="s">
        <v>16691</v>
      </c>
      <c r="M3279" t="s">
        <v>16692</v>
      </c>
      <c r="N3279" t="s">
        <v>11429</v>
      </c>
      <c r="O3279" t="s">
        <v>101</v>
      </c>
      <c r="P3279" t="s">
        <v>16693</v>
      </c>
      <c r="Q3279" t="s">
        <v>277</v>
      </c>
      <c r="R3279" t="s">
        <v>124</v>
      </c>
      <c r="S3279">
        <v>0.76</v>
      </c>
      <c r="T3279">
        <v>4481</v>
      </c>
      <c r="U3279">
        <v>124.95</v>
      </c>
      <c r="V3279">
        <v>4605.95</v>
      </c>
    </row>
    <row r="3280" spans="1:22" x14ac:dyDescent="0.3">
      <c r="A3280">
        <v>186607</v>
      </c>
      <c r="B3280">
        <v>136939689</v>
      </c>
      <c r="C3280" t="s">
        <v>16694</v>
      </c>
      <c r="D3280" t="s">
        <v>16695</v>
      </c>
      <c r="E3280" t="s">
        <v>11426</v>
      </c>
      <c r="F3280" t="s">
        <v>844</v>
      </c>
      <c r="G3280" t="s">
        <v>267</v>
      </c>
      <c r="H3280" t="s">
        <v>268</v>
      </c>
      <c r="I3280" t="s">
        <v>34</v>
      </c>
      <c r="J3280" t="s">
        <v>269</v>
      </c>
      <c r="K3280" t="s">
        <v>41</v>
      </c>
      <c r="L3280" t="s">
        <v>16696</v>
      </c>
      <c r="M3280" t="s">
        <v>16697</v>
      </c>
      <c r="N3280" t="s">
        <v>11429</v>
      </c>
      <c r="O3280" t="s">
        <v>101</v>
      </c>
      <c r="P3280" t="s">
        <v>16698</v>
      </c>
      <c r="Q3280" t="s">
        <v>292</v>
      </c>
      <c r="R3280" t="s">
        <v>568</v>
      </c>
      <c r="S3280">
        <v>0.8</v>
      </c>
      <c r="T3280">
        <v>6351</v>
      </c>
      <c r="U3280">
        <v>124.95</v>
      </c>
      <c r="V3280">
        <v>6475.95</v>
      </c>
    </row>
    <row r="3281" spans="1:22" x14ac:dyDescent="0.3">
      <c r="A3281">
        <v>186607</v>
      </c>
      <c r="B3281">
        <v>136724145</v>
      </c>
      <c r="C3281" t="s">
        <v>16699</v>
      </c>
      <c r="D3281" t="s">
        <v>16700</v>
      </c>
      <c r="E3281" t="s">
        <v>11426</v>
      </c>
      <c r="F3281" t="s">
        <v>844</v>
      </c>
      <c r="G3281" t="s">
        <v>267</v>
      </c>
      <c r="H3281" t="s">
        <v>268</v>
      </c>
      <c r="I3281" t="s">
        <v>34</v>
      </c>
      <c r="J3281" t="s">
        <v>269</v>
      </c>
      <c r="K3281" t="s">
        <v>41</v>
      </c>
      <c r="L3281" t="s">
        <v>16701</v>
      </c>
      <c r="M3281" t="s">
        <v>16702</v>
      </c>
      <c r="N3281" t="s">
        <v>11429</v>
      </c>
      <c r="O3281" t="s">
        <v>101</v>
      </c>
      <c r="P3281" t="s">
        <v>16703</v>
      </c>
      <c r="Q3281" t="s">
        <v>389</v>
      </c>
      <c r="R3281" t="s">
        <v>12845</v>
      </c>
      <c r="S3281">
        <v>0.9</v>
      </c>
      <c r="T3281">
        <v>5064</v>
      </c>
      <c r="U3281">
        <v>124.95</v>
      </c>
      <c r="V3281">
        <v>5188.95</v>
      </c>
    </row>
    <row r="3282" spans="1:22" x14ac:dyDescent="0.3">
      <c r="A3282">
        <v>186607</v>
      </c>
      <c r="B3282">
        <v>136921089</v>
      </c>
      <c r="C3282" t="s">
        <v>16704</v>
      </c>
      <c r="D3282" t="s">
        <v>16705</v>
      </c>
      <c r="E3282" t="s">
        <v>11426</v>
      </c>
      <c r="F3282" t="s">
        <v>844</v>
      </c>
      <c r="G3282" t="s">
        <v>267</v>
      </c>
      <c r="H3282" t="s">
        <v>268</v>
      </c>
      <c r="I3282" t="s">
        <v>34</v>
      </c>
      <c r="J3282" t="s">
        <v>269</v>
      </c>
      <c r="K3282" t="s">
        <v>41</v>
      </c>
      <c r="L3282" t="s">
        <v>16706</v>
      </c>
      <c r="M3282" t="s">
        <v>16707</v>
      </c>
      <c r="N3282" t="s">
        <v>11429</v>
      </c>
      <c r="O3282" t="s">
        <v>101</v>
      </c>
      <c r="P3282" t="s">
        <v>16708</v>
      </c>
      <c r="Q3282" t="s">
        <v>62</v>
      </c>
      <c r="R3282" t="s">
        <v>12110</v>
      </c>
      <c r="S3282">
        <v>1.04</v>
      </c>
      <c r="T3282">
        <v>8624</v>
      </c>
      <c r="U3282">
        <v>124.95</v>
      </c>
      <c r="V3282">
        <v>8748.9500000000007</v>
      </c>
    </row>
    <row r="3283" spans="1:22" x14ac:dyDescent="0.3">
      <c r="A3283">
        <v>186607</v>
      </c>
      <c r="B3283">
        <v>136826104</v>
      </c>
      <c r="C3283" t="s">
        <v>16709</v>
      </c>
      <c r="D3283" t="s">
        <v>16710</v>
      </c>
      <c r="E3283" t="s">
        <v>11426</v>
      </c>
      <c r="F3283" t="s">
        <v>844</v>
      </c>
      <c r="G3283" t="s">
        <v>267</v>
      </c>
      <c r="H3283" t="s">
        <v>268</v>
      </c>
      <c r="I3283" t="s">
        <v>34</v>
      </c>
      <c r="J3283" t="s">
        <v>269</v>
      </c>
      <c r="K3283" t="s">
        <v>41</v>
      </c>
      <c r="L3283" t="s">
        <v>16711</v>
      </c>
      <c r="M3283" t="s">
        <v>16712</v>
      </c>
      <c r="N3283" t="s">
        <v>11429</v>
      </c>
      <c r="O3283" t="s">
        <v>101</v>
      </c>
      <c r="P3283" t="s">
        <v>16713</v>
      </c>
      <c r="Q3283" t="s">
        <v>247</v>
      </c>
      <c r="R3283" t="s">
        <v>679</v>
      </c>
      <c r="S3283">
        <v>0.87</v>
      </c>
      <c r="T3283">
        <v>5605</v>
      </c>
      <c r="U3283">
        <v>124.95</v>
      </c>
      <c r="V3283">
        <v>5729.95</v>
      </c>
    </row>
    <row r="3284" spans="1:22" x14ac:dyDescent="0.3">
      <c r="A3284">
        <v>186607</v>
      </c>
      <c r="B3284">
        <v>136859983</v>
      </c>
      <c r="C3284" t="s">
        <v>16714</v>
      </c>
      <c r="D3284" t="s">
        <v>16715</v>
      </c>
      <c r="E3284" t="s">
        <v>11426</v>
      </c>
      <c r="F3284" t="s">
        <v>844</v>
      </c>
      <c r="G3284" t="s">
        <v>267</v>
      </c>
      <c r="H3284" t="s">
        <v>268</v>
      </c>
      <c r="I3284" t="s">
        <v>34</v>
      </c>
      <c r="J3284" t="s">
        <v>269</v>
      </c>
      <c r="K3284" t="s">
        <v>41</v>
      </c>
      <c r="L3284" t="s">
        <v>16716</v>
      </c>
      <c r="M3284" t="s">
        <v>16717</v>
      </c>
      <c r="N3284" t="s">
        <v>11429</v>
      </c>
      <c r="O3284" t="s">
        <v>101</v>
      </c>
      <c r="P3284" t="s">
        <v>16718</v>
      </c>
      <c r="Q3284" t="s">
        <v>292</v>
      </c>
      <c r="R3284" t="s">
        <v>650</v>
      </c>
      <c r="S3284">
        <v>0.9</v>
      </c>
      <c r="T3284">
        <v>6351</v>
      </c>
      <c r="U3284">
        <v>124.95</v>
      </c>
      <c r="V3284">
        <v>6475.95</v>
      </c>
    </row>
    <row r="3285" spans="1:22" x14ac:dyDescent="0.3">
      <c r="A3285">
        <v>186607</v>
      </c>
      <c r="B3285">
        <v>136859985</v>
      </c>
      <c r="C3285" t="s">
        <v>16719</v>
      </c>
      <c r="D3285" t="s">
        <v>16720</v>
      </c>
      <c r="E3285" t="s">
        <v>11426</v>
      </c>
      <c r="F3285" t="s">
        <v>844</v>
      </c>
      <c r="G3285" t="s">
        <v>267</v>
      </c>
      <c r="H3285" t="s">
        <v>268</v>
      </c>
      <c r="I3285" t="s">
        <v>34</v>
      </c>
      <c r="J3285" t="s">
        <v>269</v>
      </c>
      <c r="K3285" t="s">
        <v>41</v>
      </c>
      <c r="L3285" t="s">
        <v>16721</v>
      </c>
      <c r="M3285" t="s">
        <v>16722</v>
      </c>
      <c r="N3285" t="s">
        <v>11429</v>
      </c>
      <c r="O3285" t="s">
        <v>101</v>
      </c>
      <c r="P3285" t="s">
        <v>16723</v>
      </c>
      <c r="Q3285" t="s">
        <v>740</v>
      </c>
      <c r="R3285" t="s">
        <v>650</v>
      </c>
      <c r="S3285">
        <v>0.84</v>
      </c>
      <c r="T3285">
        <v>6145</v>
      </c>
      <c r="U3285">
        <v>124.95</v>
      </c>
      <c r="V3285">
        <v>6269.95</v>
      </c>
    </row>
    <row r="3286" spans="1:22" x14ac:dyDescent="0.3">
      <c r="A3286">
        <v>186607</v>
      </c>
      <c r="B3286">
        <v>136859952</v>
      </c>
      <c r="C3286" t="s">
        <v>16724</v>
      </c>
      <c r="D3286" t="s">
        <v>16725</v>
      </c>
      <c r="E3286" t="s">
        <v>11426</v>
      </c>
      <c r="F3286" t="s">
        <v>844</v>
      </c>
      <c r="G3286" t="s">
        <v>267</v>
      </c>
      <c r="H3286" t="s">
        <v>268</v>
      </c>
      <c r="I3286" t="s">
        <v>34</v>
      </c>
      <c r="J3286" t="s">
        <v>269</v>
      </c>
      <c r="K3286" t="s">
        <v>41</v>
      </c>
      <c r="L3286" t="s">
        <v>16726</v>
      </c>
      <c r="M3286" t="s">
        <v>16727</v>
      </c>
      <c r="N3286" t="s">
        <v>11429</v>
      </c>
      <c r="O3286" t="s">
        <v>101</v>
      </c>
      <c r="P3286" t="s">
        <v>16728</v>
      </c>
      <c r="Q3286" t="s">
        <v>389</v>
      </c>
      <c r="R3286" t="s">
        <v>650</v>
      </c>
      <c r="S3286">
        <v>0.84</v>
      </c>
      <c r="T3286">
        <v>5064</v>
      </c>
      <c r="U3286">
        <v>124.95</v>
      </c>
      <c r="V3286">
        <v>5188.95</v>
      </c>
    </row>
    <row r="3287" spans="1:22" x14ac:dyDescent="0.3">
      <c r="A3287">
        <v>186607</v>
      </c>
      <c r="B3287">
        <v>136652927</v>
      </c>
      <c r="C3287" t="s">
        <v>16729</v>
      </c>
      <c r="D3287" t="s">
        <v>16730</v>
      </c>
      <c r="E3287" t="s">
        <v>11426</v>
      </c>
      <c r="F3287" t="s">
        <v>844</v>
      </c>
      <c r="G3287" t="s">
        <v>267</v>
      </c>
      <c r="H3287" t="s">
        <v>268</v>
      </c>
      <c r="I3287" t="s">
        <v>34</v>
      </c>
      <c r="J3287" t="s">
        <v>269</v>
      </c>
      <c r="K3287" t="s">
        <v>41</v>
      </c>
      <c r="L3287" t="s">
        <v>16731</v>
      </c>
      <c r="M3287" t="s">
        <v>16732</v>
      </c>
      <c r="N3287" t="s">
        <v>11429</v>
      </c>
      <c r="O3287" t="s">
        <v>101</v>
      </c>
      <c r="P3287" t="s">
        <v>16733</v>
      </c>
      <c r="Q3287" t="s">
        <v>828</v>
      </c>
      <c r="R3287" t="s">
        <v>16734</v>
      </c>
      <c r="S3287">
        <v>1.52</v>
      </c>
      <c r="T3287">
        <v>6393.75</v>
      </c>
      <c r="U3287">
        <v>187.43</v>
      </c>
      <c r="V3287">
        <v>6581.18</v>
      </c>
    </row>
    <row r="3288" spans="1:22" x14ac:dyDescent="0.3">
      <c r="A3288">
        <v>186607</v>
      </c>
      <c r="B3288">
        <v>136635754</v>
      </c>
      <c r="C3288" t="s">
        <v>16735</v>
      </c>
      <c r="D3288" t="s">
        <v>16736</v>
      </c>
      <c r="E3288" t="s">
        <v>11426</v>
      </c>
      <c r="F3288" t="s">
        <v>844</v>
      </c>
      <c r="G3288" t="s">
        <v>267</v>
      </c>
      <c r="H3288" t="s">
        <v>268</v>
      </c>
      <c r="I3288" t="s">
        <v>34</v>
      </c>
      <c r="J3288" t="s">
        <v>269</v>
      </c>
      <c r="K3288" t="s">
        <v>41</v>
      </c>
      <c r="L3288" t="s">
        <v>16737</v>
      </c>
      <c r="M3288" t="s">
        <v>16738</v>
      </c>
      <c r="N3288" t="s">
        <v>11429</v>
      </c>
      <c r="O3288" t="s">
        <v>101</v>
      </c>
      <c r="P3288" t="s">
        <v>16739</v>
      </c>
      <c r="Q3288" t="s">
        <v>115</v>
      </c>
      <c r="R3288" t="s">
        <v>11610</v>
      </c>
      <c r="S3288">
        <v>0.79</v>
      </c>
      <c r="T3288">
        <v>3735</v>
      </c>
      <c r="U3288">
        <v>124.95</v>
      </c>
      <c r="V3288">
        <v>3859.95</v>
      </c>
    </row>
    <row r="3289" spans="1:22" x14ac:dyDescent="0.3">
      <c r="A3289">
        <v>186607</v>
      </c>
      <c r="B3289">
        <v>136483352</v>
      </c>
      <c r="C3289" t="s">
        <v>16740</v>
      </c>
      <c r="D3289" t="s">
        <v>16741</v>
      </c>
      <c r="E3289" t="s">
        <v>11426</v>
      </c>
      <c r="F3289" t="s">
        <v>844</v>
      </c>
      <c r="G3289" t="s">
        <v>267</v>
      </c>
      <c r="H3289" t="s">
        <v>268</v>
      </c>
      <c r="I3289" t="s">
        <v>34</v>
      </c>
      <c r="J3289" t="s">
        <v>269</v>
      </c>
      <c r="K3289" t="s">
        <v>41</v>
      </c>
      <c r="L3289" t="s">
        <v>16742</v>
      </c>
      <c r="M3289" t="s">
        <v>16743</v>
      </c>
      <c r="N3289" t="s">
        <v>11429</v>
      </c>
      <c r="O3289" t="s">
        <v>101</v>
      </c>
      <c r="P3289" t="s">
        <v>16744</v>
      </c>
      <c r="Q3289" t="s">
        <v>263</v>
      </c>
      <c r="R3289" t="s">
        <v>12967</v>
      </c>
      <c r="S3289">
        <v>1.52</v>
      </c>
      <c r="T3289">
        <v>8079</v>
      </c>
      <c r="U3289">
        <v>249.9</v>
      </c>
      <c r="V3289">
        <v>8328.9</v>
      </c>
    </row>
    <row r="3290" spans="1:22" x14ac:dyDescent="0.3">
      <c r="A3290">
        <v>186607</v>
      </c>
      <c r="B3290">
        <v>136483383</v>
      </c>
      <c r="C3290" t="s">
        <v>16745</v>
      </c>
      <c r="D3290" t="s">
        <v>16746</v>
      </c>
      <c r="E3290" t="s">
        <v>11426</v>
      </c>
      <c r="F3290" t="s">
        <v>844</v>
      </c>
      <c r="G3290" t="s">
        <v>267</v>
      </c>
      <c r="H3290" t="s">
        <v>268</v>
      </c>
      <c r="I3290" t="s">
        <v>34</v>
      </c>
      <c r="J3290" t="s">
        <v>269</v>
      </c>
      <c r="K3290" t="s">
        <v>41</v>
      </c>
      <c r="L3290" t="s">
        <v>16747</v>
      </c>
      <c r="M3290" t="s">
        <v>16748</v>
      </c>
      <c r="N3290" t="s">
        <v>11429</v>
      </c>
      <c r="O3290" t="s">
        <v>101</v>
      </c>
      <c r="P3290" t="s">
        <v>16749</v>
      </c>
      <c r="Q3290" t="s">
        <v>513</v>
      </c>
      <c r="R3290" t="s">
        <v>12967</v>
      </c>
      <c r="S3290">
        <v>0.8</v>
      </c>
      <c r="T3290">
        <v>6678</v>
      </c>
      <c r="U3290">
        <v>124.95</v>
      </c>
      <c r="V3290">
        <v>6802.95</v>
      </c>
    </row>
    <row r="3291" spans="1:22" x14ac:dyDescent="0.3">
      <c r="A3291">
        <v>186607</v>
      </c>
      <c r="B3291">
        <v>136635771</v>
      </c>
      <c r="C3291" t="s">
        <v>16750</v>
      </c>
      <c r="D3291" t="s">
        <v>16751</v>
      </c>
      <c r="E3291" t="s">
        <v>11426</v>
      </c>
      <c r="F3291" t="s">
        <v>844</v>
      </c>
      <c r="G3291" t="s">
        <v>267</v>
      </c>
      <c r="H3291" t="s">
        <v>268</v>
      </c>
      <c r="I3291" t="s">
        <v>34</v>
      </c>
      <c r="J3291" t="s">
        <v>269</v>
      </c>
      <c r="K3291" t="s">
        <v>41</v>
      </c>
      <c r="L3291" t="s">
        <v>16752</v>
      </c>
      <c r="M3291" t="s">
        <v>16753</v>
      </c>
      <c r="N3291" t="s">
        <v>11429</v>
      </c>
      <c r="O3291" t="s">
        <v>101</v>
      </c>
      <c r="P3291" t="s">
        <v>16754</v>
      </c>
      <c r="Q3291" t="s">
        <v>53</v>
      </c>
      <c r="R3291" t="s">
        <v>13042</v>
      </c>
      <c r="S3291">
        <v>0.8</v>
      </c>
      <c r="T3291">
        <v>10717</v>
      </c>
      <c r="U3291">
        <v>124.95</v>
      </c>
      <c r="V3291">
        <v>10841.95</v>
      </c>
    </row>
    <row r="3292" spans="1:22" x14ac:dyDescent="0.3">
      <c r="A3292">
        <v>186607</v>
      </c>
      <c r="B3292">
        <v>136635805</v>
      </c>
      <c r="C3292" t="s">
        <v>16755</v>
      </c>
      <c r="D3292" t="s">
        <v>16756</v>
      </c>
      <c r="E3292" t="s">
        <v>11426</v>
      </c>
      <c r="F3292" t="s">
        <v>844</v>
      </c>
      <c r="G3292" t="s">
        <v>267</v>
      </c>
      <c r="H3292" t="s">
        <v>268</v>
      </c>
      <c r="I3292" t="s">
        <v>34</v>
      </c>
      <c r="J3292" t="s">
        <v>269</v>
      </c>
      <c r="K3292" t="s">
        <v>41</v>
      </c>
      <c r="L3292" t="s">
        <v>16757</v>
      </c>
      <c r="M3292" t="s">
        <v>16758</v>
      </c>
      <c r="N3292" t="s">
        <v>11429</v>
      </c>
      <c r="O3292" t="s">
        <v>101</v>
      </c>
      <c r="P3292" t="s">
        <v>16759</v>
      </c>
      <c r="Q3292" t="s">
        <v>53</v>
      </c>
      <c r="R3292" t="s">
        <v>13042</v>
      </c>
      <c r="S3292">
        <v>0.79</v>
      </c>
      <c r="T3292">
        <v>10717</v>
      </c>
      <c r="U3292">
        <v>124.95</v>
      </c>
      <c r="V3292">
        <v>10841.95</v>
      </c>
    </row>
    <row r="3293" spans="1:22" x14ac:dyDescent="0.3">
      <c r="A3293">
        <v>186607</v>
      </c>
      <c r="B3293">
        <v>136635685</v>
      </c>
      <c r="C3293" t="s">
        <v>16760</v>
      </c>
      <c r="D3293" t="s">
        <v>16761</v>
      </c>
      <c r="E3293" t="s">
        <v>11426</v>
      </c>
      <c r="F3293" t="s">
        <v>844</v>
      </c>
      <c r="G3293" t="s">
        <v>267</v>
      </c>
      <c r="H3293" t="s">
        <v>268</v>
      </c>
      <c r="I3293" t="s">
        <v>34</v>
      </c>
      <c r="J3293" t="s">
        <v>269</v>
      </c>
      <c r="K3293" t="s">
        <v>41</v>
      </c>
      <c r="L3293" t="s">
        <v>16762</v>
      </c>
      <c r="M3293" t="s">
        <v>16763</v>
      </c>
      <c r="N3293" t="s">
        <v>11429</v>
      </c>
      <c r="O3293" t="s">
        <v>101</v>
      </c>
      <c r="P3293" t="s">
        <v>16764</v>
      </c>
      <c r="Q3293" t="s">
        <v>517</v>
      </c>
      <c r="R3293" t="s">
        <v>11610</v>
      </c>
      <c r="S3293">
        <v>0.79</v>
      </c>
      <c r="T3293">
        <v>6084</v>
      </c>
      <c r="U3293">
        <v>124.95</v>
      </c>
      <c r="V3293">
        <v>6208.95</v>
      </c>
    </row>
    <row r="3294" spans="1:22" x14ac:dyDescent="0.3">
      <c r="A3294">
        <v>186607</v>
      </c>
      <c r="B3294">
        <v>136542163</v>
      </c>
      <c r="C3294" t="s">
        <v>16765</v>
      </c>
      <c r="D3294" t="s">
        <v>16766</v>
      </c>
      <c r="E3294" t="s">
        <v>11426</v>
      </c>
      <c r="F3294" t="s">
        <v>844</v>
      </c>
      <c r="G3294" t="s">
        <v>267</v>
      </c>
      <c r="H3294" t="s">
        <v>268</v>
      </c>
      <c r="I3294" t="s">
        <v>34</v>
      </c>
      <c r="J3294" t="s">
        <v>269</v>
      </c>
      <c r="K3294" t="s">
        <v>41</v>
      </c>
      <c r="L3294" t="s">
        <v>16767</v>
      </c>
      <c r="M3294" t="s">
        <v>16768</v>
      </c>
      <c r="N3294" t="s">
        <v>11429</v>
      </c>
      <c r="O3294" t="s">
        <v>101</v>
      </c>
      <c r="P3294" t="s">
        <v>16769</v>
      </c>
      <c r="Q3294" t="s">
        <v>82</v>
      </c>
      <c r="R3294" t="s">
        <v>11435</v>
      </c>
      <c r="S3294">
        <v>1.56</v>
      </c>
      <c r="T3294">
        <v>6115</v>
      </c>
      <c r="U3294">
        <v>249.9</v>
      </c>
      <c r="V3294">
        <v>6364.9</v>
      </c>
    </row>
    <row r="3295" spans="1:22" x14ac:dyDescent="0.3">
      <c r="A3295">
        <v>186607</v>
      </c>
      <c r="B3295">
        <v>136635712</v>
      </c>
      <c r="C3295" t="s">
        <v>16770</v>
      </c>
      <c r="D3295" t="s">
        <v>16771</v>
      </c>
      <c r="E3295" t="s">
        <v>11426</v>
      </c>
      <c r="F3295" t="s">
        <v>844</v>
      </c>
      <c r="G3295" t="s">
        <v>267</v>
      </c>
      <c r="H3295" t="s">
        <v>268</v>
      </c>
      <c r="I3295" t="s">
        <v>34</v>
      </c>
      <c r="J3295" t="s">
        <v>269</v>
      </c>
      <c r="K3295" t="s">
        <v>41</v>
      </c>
      <c r="L3295" t="s">
        <v>16772</v>
      </c>
      <c r="M3295" t="s">
        <v>16773</v>
      </c>
      <c r="N3295" t="s">
        <v>11429</v>
      </c>
      <c r="O3295" t="s">
        <v>101</v>
      </c>
      <c r="P3295" t="s">
        <v>16774</v>
      </c>
      <c r="Q3295" t="s">
        <v>82</v>
      </c>
      <c r="R3295" t="s">
        <v>11610</v>
      </c>
      <c r="S3295">
        <v>3.76</v>
      </c>
      <c r="T3295">
        <v>8385</v>
      </c>
      <c r="U3295">
        <v>124.95</v>
      </c>
      <c r="V3295">
        <v>8509.9500000000007</v>
      </c>
    </row>
    <row r="3296" spans="1:22" x14ac:dyDescent="0.3">
      <c r="A3296">
        <v>186607</v>
      </c>
      <c r="B3296">
        <v>136508790</v>
      </c>
      <c r="C3296" t="s">
        <v>16775</v>
      </c>
      <c r="D3296" t="s">
        <v>16776</v>
      </c>
      <c r="E3296" t="s">
        <v>11426</v>
      </c>
      <c r="F3296" t="s">
        <v>844</v>
      </c>
      <c r="G3296" t="s">
        <v>267</v>
      </c>
      <c r="H3296" t="s">
        <v>268</v>
      </c>
      <c r="I3296" t="s">
        <v>34</v>
      </c>
      <c r="J3296" t="s">
        <v>269</v>
      </c>
      <c r="K3296" t="s">
        <v>41</v>
      </c>
      <c r="L3296" t="s">
        <v>16777</v>
      </c>
      <c r="M3296" t="s">
        <v>16778</v>
      </c>
      <c r="N3296" t="s">
        <v>11429</v>
      </c>
      <c r="O3296" t="s">
        <v>101</v>
      </c>
      <c r="P3296" t="s">
        <v>16779</v>
      </c>
      <c r="Q3296" t="s">
        <v>392</v>
      </c>
      <c r="R3296" t="s">
        <v>12560</v>
      </c>
      <c r="S3296">
        <v>2.2799999999999998</v>
      </c>
      <c r="T3296">
        <v>8624</v>
      </c>
      <c r="U3296">
        <v>374.85</v>
      </c>
      <c r="V3296">
        <v>8998.85</v>
      </c>
    </row>
    <row r="3297" spans="1:22" x14ac:dyDescent="0.3">
      <c r="A3297">
        <v>186607</v>
      </c>
      <c r="B3297">
        <v>136328498</v>
      </c>
      <c r="C3297" t="s">
        <v>16780</v>
      </c>
      <c r="D3297" t="s">
        <v>16781</v>
      </c>
      <c r="E3297" t="s">
        <v>11426</v>
      </c>
      <c r="F3297" t="s">
        <v>844</v>
      </c>
      <c r="G3297" t="s">
        <v>267</v>
      </c>
      <c r="H3297" t="s">
        <v>268</v>
      </c>
      <c r="I3297" t="s">
        <v>34</v>
      </c>
      <c r="J3297" t="s">
        <v>269</v>
      </c>
      <c r="K3297" t="s">
        <v>41</v>
      </c>
      <c r="L3297" t="s">
        <v>16782</v>
      </c>
      <c r="M3297" t="s">
        <v>16783</v>
      </c>
      <c r="N3297" t="s">
        <v>11429</v>
      </c>
      <c r="O3297" t="s">
        <v>101</v>
      </c>
      <c r="P3297" t="s">
        <v>16784</v>
      </c>
      <c r="Q3297" t="s">
        <v>530</v>
      </c>
      <c r="R3297" t="s">
        <v>14086</v>
      </c>
      <c r="S3297">
        <v>0.79</v>
      </c>
      <c r="T3297">
        <v>4910</v>
      </c>
      <c r="U3297">
        <v>124.95</v>
      </c>
      <c r="V3297">
        <v>5034.95</v>
      </c>
    </row>
    <row r="3298" spans="1:22" x14ac:dyDescent="0.3">
      <c r="A3298">
        <v>186607</v>
      </c>
      <c r="B3298">
        <v>136198330</v>
      </c>
      <c r="C3298" t="s">
        <v>16785</v>
      </c>
      <c r="D3298" t="s">
        <v>16786</v>
      </c>
      <c r="E3298" t="s">
        <v>11426</v>
      </c>
      <c r="F3298" t="s">
        <v>844</v>
      </c>
      <c r="G3298" t="s">
        <v>267</v>
      </c>
      <c r="H3298" t="s">
        <v>268</v>
      </c>
      <c r="I3298" t="s">
        <v>34</v>
      </c>
      <c r="J3298" t="s">
        <v>269</v>
      </c>
      <c r="K3298" t="s">
        <v>41</v>
      </c>
      <c r="L3298" t="s">
        <v>16787</v>
      </c>
      <c r="M3298" t="s">
        <v>16788</v>
      </c>
      <c r="N3298" t="s">
        <v>11429</v>
      </c>
      <c r="O3298" t="s">
        <v>101</v>
      </c>
      <c r="P3298" t="s">
        <v>16789</v>
      </c>
      <c r="Q3298" t="s">
        <v>115</v>
      </c>
      <c r="R3298" t="s">
        <v>339</v>
      </c>
      <c r="S3298">
        <v>0.77</v>
      </c>
      <c r="T3298">
        <v>3735</v>
      </c>
      <c r="U3298">
        <v>124.95</v>
      </c>
      <c r="V3298">
        <v>3859.95</v>
      </c>
    </row>
    <row r="3299" spans="1:22" x14ac:dyDescent="0.3">
      <c r="A3299">
        <v>186607</v>
      </c>
      <c r="B3299">
        <v>136328517</v>
      </c>
      <c r="C3299" t="s">
        <v>16790</v>
      </c>
      <c r="D3299" t="s">
        <v>16791</v>
      </c>
      <c r="E3299" t="s">
        <v>11426</v>
      </c>
      <c r="F3299" t="s">
        <v>844</v>
      </c>
      <c r="G3299" t="s">
        <v>267</v>
      </c>
      <c r="H3299" t="s">
        <v>268</v>
      </c>
      <c r="I3299" t="s">
        <v>34</v>
      </c>
      <c r="J3299" t="s">
        <v>269</v>
      </c>
      <c r="K3299" t="s">
        <v>41</v>
      </c>
      <c r="L3299" t="s">
        <v>16792</v>
      </c>
      <c r="M3299" t="s">
        <v>16793</v>
      </c>
      <c r="N3299" t="s">
        <v>11429</v>
      </c>
      <c r="O3299" t="s">
        <v>101</v>
      </c>
      <c r="P3299" t="s">
        <v>16794</v>
      </c>
      <c r="Q3299" t="s">
        <v>115</v>
      </c>
      <c r="R3299" t="s">
        <v>11485</v>
      </c>
      <c r="S3299">
        <v>1.55</v>
      </c>
      <c r="T3299">
        <v>3950</v>
      </c>
      <c r="U3299">
        <v>249.9</v>
      </c>
      <c r="V3299">
        <v>4199.8999999999996</v>
      </c>
    </row>
    <row r="3300" spans="1:22" x14ac:dyDescent="0.3">
      <c r="A3300">
        <v>186607</v>
      </c>
      <c r="B3300">
        <v>136272306</v>
      </c>
      <c r="C3300" t="s">
        <v>16795</v>
      </c>
      <c r="D3300" t="s">
        <v>16796</v>
      </c>
      <c r="E3300" t="s">
        <v>11426</v>
      </c>
      <c r="F3300" t="s">
        <v>844</v>
      </c>
      <c r="G3300" t="s">
        <v>267</v>
      </c>
      <c r="H3300" t="s">
        <v>268</v>
      </c>
      <c r="I3300" t="s">
        <v>34</v>
      </c>
      <c r="J3300" t="s">
        <v>269</v>
      </c>
      <c r="K3300" t="s">
        <v>41</v>
      </c>
      <c r="L3300" t="s">
        <v>16797</v>
      </c>
      <c r="M3300" t="s">
        <v>16798</v>
      </c>
      <c r="N3300" t="s">
        <v>11429</v>
      </c>
      <c r="O3300" t="s">
        <v>101</v>
      </c>
      <c r="P3300" t="s">
        <v>16799</v>
      </c>
      <c r="Q3300" t="s">
        <v>684</v>
      </c>
      <c r="R3300" t="s">
        <v>12323</v>
      </c>
      <c r="S3300">
        <v>1.54</v>
      </c>
      <c r="T3300">
        <v>6807</v>
      </c>
      <c r="U3300">
        <v>249.9</v>
      </c>
      <c r="V3300">
        <v>7056.9</v>
      </c>
    </row>
    <row r="3301" spans="1:22" x14ac:dyDescent="0.3">
      <c r="A3301">
        <v>186607</v>
      </c>
      <c r="B3301">
        <v>136198363</v>
      </c>
      <c r="C3301" t="s">
        <v>16800</v>
      </c>
      <c r="D3301" t="s">
        <v>16801</v>
      </c>
      <c r="E3301" t="s">
        <v>11426</v>
      </c>
      <c r="F3301" t="s">
        <v>844</v>
      </c>
      <c r="G3301" t="s">
        <v>267</v>
      </c>
      <c r="H3301" t="s">
        <v>268</v>
      </c>
      <c r="I3301" t="s">
        <v>34</v>
      </c>
      <c r="J3301" t="s">
        <v>269</v>
      </c>
      <c r="K3301" t="s">
        <v>41</v>
      </c>
      <c r="L3301" t="s">
        <v>16802</v>
      </c>
      <c r="M3301" t="s">
        <v>16803</v>
      </c>
      <c r="N3301" t="s">
        <v>11429</v>
      </c>
      <c r="O3301" t="s">
        <v>101</v>
      </c>
      <c r="P3301" t="s">
        <v>16804</v>
      </c>
      <c r="Q3301" t="s">
        <v>167</v>
      </c>
      <c r="R3301" t="s">
        <v>339</v>
      </c>
      <c r="S3301">
        <v>0.81</v>
      </c>
      <c r="T3301">
        <v>6595</v>
      </c>
      <c r="U3301">
        <v>124.95</v>
      </c>
      <c r="V3301">
        <v>6719.95</v>
      </c>
    </row>
    <row r="3302" spans="1:22" x14ac:dyDescent="0.3">
      <c r="A3302">
        <v>186607</v>
      </c>
      <c r="B3302">
        <v>136328477</v>
      </c>
      <c r="C3302" t="s">
        <v>16805</v>
      </c>
      <c r="D3302" t="s">
        <v>16806</v>
      </c>
      <c r="E3302" t="s">
        <v>11426</v>
      </c>
      <c r="F3302" t="s">
        <v>844</v>
      </c>
      <c r="G3302" t="s">
        <v>267</v>
      </c>
      <c r="H3302" t="s">
        <v>268</v>
      </c>
      <c r="I3302" t="s">
        <v>34</v>
      </c>
      <c r="J3302" t="s">
        <v>269</v>
      </c>
      <c r="K3302" t="s">
        <v>41</v>
      </c>
      <c r="L3302" t="s">
        <v>16807</v>
      </c>
      <c r="M3302" t="s">
        <v>16808</v>
      </c>
      <c r="N3302" t="s">
        <v>11429</v>
      </c>
      <c r="O3302" t="s">
        <v>101</v>
      </c>
      <c r="P3302" t="s">
        <v>16809</v>
      </c>
      <c r="Q3302" t="s">
        <v>53</v>
      </c>
      <c r="R3302" t="s">
        <v>14086</v>
      </c>
      <c r="S3302">
        <v>1.55</v>
      </c>
      <c r="T3302">
        <v>17405</v>
      </c>
      <c r="U3302">
        <v>249.9</v>
      </c>
      <c r="V3302">
        <v>17654.900000000001</v>
      </c>
    </row>
    <row r="3303" spans="1:22" x14ac:dyDescent="0.3">
      <c r="A3303">
        <v>186607</v>
      </c>
      <c r="B3303">
        <v>136272370</v>
      </c>
      <c r="C3303" t="s">
        <v>16810</v>
      </c>
      <c r="D3303" t="s">
        <v>16811</v>
      </c>
      <c r="E3303" t="s">
        <v>11426</v>
      </c>
      <c r="F3303" t="s">
        <v>844</v>
      </c>
      <c r="G3303" t="s">
        <v>267</v>
      </c>
      <c r="H3303" t="s">
        <v>268</v>
      </c>
      <c r="I3303" t="s">
        <v>34</v>
      </c>
      <c r="J3303" t="s">
        <v>269</v>
      </c>
      <c r="K3303" t="s">
        <v>41</v>
      </c>
      <c r="L3303" t="s">
        <v>16812</v>
      </c>
      <c r="M3303" t="s">
        <v>16813</v>
      </c>
      <c r="N3303" t="s">
        <v>11429</v>
      </c>
      <c r="O3303" t="s">
        <v>101</v>
      </c>
      <c r="P3303" t="s">
        <v>16814</v>
      </c>
      <c r="Q3303" t="s">
        <v>265</v>
      </c>
      <c r="R3303" t="s">
        <v>12323</v>
      </c>
      <c r="S3303">
        <v>0.82</v>
      </c>
      <c r="T3303">
        <v>6077</v>
      </c>
      <c r="U3303">
        <v>124.95</v>
      </c>
      <c r="V3303">
        <v>6201.95</v>
      </c>
    </row>
    <row r="3304" spans="1:22" x14ac:dyDescent="0.3">
      <c r="A3304">
        <v>186607</v>
      </c>
      <c r="B3304">
        <v>136272179</v>
      </c>
      <c r="C3304" t="s">
        <v>16815</v>
      </c>
      <c r="D3304" t="s">
        <v>16816</v>
      </c>
      <c r="E3304" t="s">
        <v>11426</v>
      </c>
      <c r="F3304" t="s">
        <v>844</v>
      </c>
      <c r="G3304" t="s">
        <v>267</v>
      </c>
      <c r="H3304" t="s">
        <v>268</v>
      </c>
      <c r="I3304" t="s">
        <v>34</v>
      </c>
      <c r="J3304" t="s">
        <v>269</v>
      </c>
      <c r="K3304" t="s">
        <v>41</v>
      </c>
      <c r="L3304" t="s">
        <v>16817</v>
      </c>
      <c r="M3304" t="s">
        <v>16818</v>
      </c>
      <c r="N3304" t="s">
        <v>11429</v>
      </c>
      <c r="O3304" t="s">
        <v>101</v>
      </c>
      <c r="P3304" t="s">
        <v>16819</v>
      </c>
      <c r="Q3304" t="s">
        <v>105</v>
      </c>
      <c r="R3304" t="s">
        <v>779</v>
      </c>
      <c r="S3304">
        <v>0.74</v>
      </c>
      <c r="T3304">
        <v>4481</v>
      </c>
      <c r="U3304">
        <v>124.95</v>
      </c>
      <c r="V3304">
        <v>4605.95</v>
      </c>
    </row>
    <row r="3305" spans="1:22" x14ac:dyDescent="0.3">
      <c r="A3305">
        <v>186607</v>
      </c>
      <c r="B3305">
        <v>136198424</v>
      </c>
      <c r="C3305" t="s">
        <v>16820</v>
      </c>
      <c r="D3305" t="s">
        <v>16821</v>
      </c>
      <c r="E3305" t="s">
        <v>11426</v>
      </c>
      <c r="F3305" t="s">
        <v>844</v>
      </c>
      <c r="G3305" t="s">
        <v>267</v>
      </c>
      <c r="H3305" t="s">
        <v>268</v>
      </c>
      <c r="I3305" t="s">
        <v>34</v>
      </c>
      <c r="J3305" t="s">
        <v>269</v>
      </c>
      <c r="K3305" t="s">
        <v>41</v>
      </c>
      <c r="L3305" t="s">
        <v>16822</v>
      </c>
      <c r="M3305" t="s">
        <v>16823</v>
      </c>
      <c r="N3305" t="s">
        <v>11429</v>
      </c>
      <c r="O3305" t="s">
        <v>101</v>
      </c>
      <c r="P3305" t="s">
        <v>16824</v>
      </c>
      <c r="Q3305" t="s">
        <v>133</v>
      </c>
      <c r="R3305" t="s">
        <v>718</v>
      </c>
      <c r="S3305">
        <v>0.81</v>
      </c>
      <c r="T3305">
        <v>6595</v>
      </c>
      <c r="U3305">
        <v>124.95</v>
      </c>
      <c r="V3305">
        <v>6719.95</v>
      </c>
    </row>
    <row r="3306" spans="1:22" x14ac:dyDescent="0.3">
      <c r="A3306">
        <v>186607</v>
      </c>
      <c r="B3306">
        <v>136412758</v>
      </c>
      <c r="C3306" t="s">
        <v>16825</v>
      </c>
      <c r="D3306" t="s">
        <v>16826</v>
      </c>
      <c r="E3306" t="s">
        <v>11426</v>
      </c>
      <c r="F3306" t="s">
        <v>844</v>
      </c>
      <c r="G3306" t="s">
        <v>267</v>
      </c>
      <c r="H3306" t="s">
        <v>268</v>
      </c>
      <c r="I3306" t="s">
        <v>34</v>
      </c>
      <c r="J3306" t="s">
        <v>269</v>
      </c>
      <c r="K3306" t="s">
        <v>41</v>
      </c>
      <c r="L3306" t="s">
        <v>16827</v>
      </c>
      <c r="M3306" t="s">
        <v>16828</v>
      </c>
      <c r="N3306" t="s">
        <v>11429</v>
      </c>
      <c r="O3306" t="s">
        <v>101</v>
      </c>
      <c r="P3306" t="s">
        <v>16829</v>
      </c>
      <c r="Q3306" t="s">
        <v>73</v>
      </c>
      <c r="R3306" t="s">
        <v>13495</v>
      </c>
      <c r="S3306">
        <v>0.76</v>
      </c>
      <c r="T3306">
        <v>5317</v>
      </c>
      <c r="U3306">
        <v>124.95</v>
      </c>
      <c r="V3306">
        <v>5441.95</v>
      </c>
    </row>
    <row r="3307" spans="1:22" x14ac:dyDescent="0.3">
      <c r="A3307">
        <v>186607</v>
      </c>
      <c r="B3307">
        <v>136198277</v>
      </c>
      <c r="C3307" t="s">
        <v>16830</v>
      </c>
      <c r="D3307" t="s">
        <v>16831</v>
      </c>
      <c r="E3307" t="s">
        <v>11426</v>
      </c>
      <c r="F3307" t="s">
        <v>844</v>
      </c>
      <c r="G3307" t="s">
        <v>267</v>
      </c>
      <c r="H3307" t="s">
        <v>268</v>
      </c>
      <c r="I3307" t="s">
        <v>34</v>
      </c>
      <c r="J3307" t="s">
        <v>269</v>
      </c>
      <c r="K3307" t="s">
        <v>41</v>
      </c>
      <c r="L3307" t="s">
        <v>16832</v>
      </c>
      <c r="M3307" t="s">
        <v>16833</v>
      </c>
      <c r="N3307" t="s">
        <v>11429</v>
      </c>
      <c r="O3307" t="s">
        <v>101</v>
      </c>
      <c r="P3307" t="s">
        <v>16834</v>
      </c>
      <c r="Q3307" t="s">
        <v>82</v>
      </c>
      <c r="R3307" t="s">
        <v>339</v>
      </c>
      <c r="S3307">
        <v>1.45</v>
      </c>
      <c r="T3307">
        <v>6115</v>
      </c>
      <c r="U3307">
        <v>249.9</v>
      </c>
      <c r="V3307">
        <v>6364.9</v>
      </c>
    </row>
    <row r="3308" spans="1:22" x14ac:dyDescent="0.3">
      <c r="A3308">
        <v>186607</v>
      </c>
      <c r="B3308">
        <v>136272369</v>
      </c>
      <c r="C3308" t="s">
        <v>16835</v>
      </c>
      <c r="D3308" t="s">
        <v>16836</v>
      </c>
      <c r="E3308" t="s">
        <v>11426</v>
      </c>
      <c r="F3308" t="s">
        <v>844</v>
      </c>
      <c r="G3308" t="s">
        <v>267</v>
      </c>
      <c r="H3308" t="s">
        <v>268</v>
      </c>
      <c r="I3308" t="s">
        <v>34</v>
      </c>
      <c r="J3308" t="s">
        <v>269</v>
      </c>
      <c r="K3308" t="s">
        <v>41</v>
      </c>
      <c r="L3308" t="s">
        <v>16837</v>
      </c>
      <c r="M3308" t="s">
        <v>16838</v>
      </c>
      <c r="N3308" t="s">
        <v>11429</v>
      </c>
      <c r="O3308" t="s">
        <v>101</v>
      </c>
      <c r="P3308" t="s">
        <v>16839</v>
      </c>
      <c r="Q3308" t="s">
        <v>82</v>
      </c>
      <c r="R3308" t="s">
        <v>12323</v>
      </c>
      <c r="S3308">
        <v>1.53</v>
      </c>
      <c r="T3308">
        <v>6115</v>
      </c>
      <c r="U3308">
        <v>249.9</v>
      </c>
      <c r="V3308">
        <v>6364.9</v>
      </c>
    </row>
    <row r="3309" spans="1:22" x14ac:dyDescent="0.3">
      <c r="A3309">
        <v>186607</v>
      </c>
      <c r="B3309">
        <v>136412732</v>
      </c>
      <c r="C3309" t="s">
        <v>16840</v>
      </c>
      <c r="D3309" t="s">
        <v>16841</v>
      </c>
      <c r="E3309" t="s">
        <v>11426</v>
      </c>
      <c r="F3309" t="s">
        <v>844</v>
      </c>
      <c r="G3309" t="s">
        <v>267</v>
      </c>
      <c r="H3309" t="s">
        <v>268</v>
      </c>
      <c r="I3309" t="s">
        <v>34</v>
      </c>
      <c r="J3309" t="s">
        <v>269</v>
      </c>
      <c r="K3309" t="s">
        <v>41</v>
      </c>
      <c r="L3309" t="s">
        <v>16842</v>
      </c>
      <c r="M3309" t="s">
        <v>16843</v>
      </c>
      <c r="N3309" t="s">
        <v>11429</v>
      </c>
      <c r="O3309" t="s">
        <v>101</v>
      </c>
      <c r="P3309" t="s">
        <v>16844</v>
      </c>
      <c r="Q3309" t="s">
        <v>201</v>
      </c>
      <c r="R3309" t="s">
        <v>430</v>
      </c>
      <c r="S3309">
        <v>0.79</v>
      </c>
      <c r="T3309">
        <v>4634</v>
      </c>
      <c r="U3309">
        <v>124.95</v>
      </c>
      <c r="V3309">
        <v>4758.95</v>
      </c>
    </row>
    <row r="3310" spans="1:22" x14ac:dyDescent="0.3">
      <c r="A3310">
        <v>186607</v>
      </c>
      <c r="B3310">
        <v>136412717</v>
      </c>
      <c r="C3310" t="s">
        <v>16845</v>
      </c>
      <c r="D3310" t="s">
        <v>16846</v>
      </c>
      <c r="E3310" t="s">
        <v>11426</v>
      </c>
      <c r="F3310" t="s">
        <v>844</v>
      </c>
      <c r="G3310" t="s">
        <v>267</v>
      </c>
      <c r="H3310" t="s">
        <v>268</v>
      </c>
      <c r="I3310" t="s">
        <v>34</v>
      </c>
      <c r="J3310" t="s">
        <v>269</v>
      </c>
      <c r="K3310" t="s">
        <v>41</v>
      </c>
      <c r="L3310" t="s">
        <v>16847</v>
      </c>
      <c r="M3310" t="s">
        <v>16564</v>
      </c>
      <c r="N3310" t="s">
        <v>11429</v>
      </c>
      <c r="O3310" t="s">
        <v>101</v>
      </c>
      <c r="P3310" t="s">
        <v>16848</v>
      </c>
      <c r="Q3310" t="s">
        <v>511</v>
      </c>
      <c r="R3310" t="s">
        <v>430</v>
      </c>
      <c r="S3310">
        <v>1.55</v>
      </c>
      <c r="T3310">
        <v>17405</v>
      </c>
      <c r="U3310">
        <v>249.9</v>
      </c>
      <c r="V3310">
        <v>17654.900000000001</v>
      </c>
    </row>
    <row r="3311" spans="1:22" x14ac:dyDescent="0.3">
      <c r="A3311">
        <v>186607</v>
      </c>
      <c r="B3311">
        <v>136198353</v>
      </c>
      <c r="C3311" t="s">
        <v>16849</v>
      </c>
      <c r="D3311" t="s">
        <v>16850</v>
      </c>
      <c r="E3311" t="s">
        <v>11426</v>
      </c>
      <c r="F3311" t="s">
        <v>844</v>
      </c>
      <c r="G3311" t="s">
        <v>267</v>
      </c>
      <c r="H3311" t="s">
        <v>268</v>
      </c>
      <c r="I3311" t="s">
        <v>34</v>
      </c>
      <c r="J3311" t="s">
        <v>269</v>
      </c>
      <c r="K3311" t="s">
        <v>41</v>
      </c>
      <c r="L3311" t="s">
        <v>16851</v>
      </c>
      <c r="M3311" t="s">
        <v>16852</v>
      </c>
      <c r="N3311" t="s">
        <v>11429</v>
      </c>
      <c r="O3311" t="s">
        <v>101</v>
      </c>
      <c r="P3311" t="s">
        <v>16853</v>
      </c>
      <c r="Q3311" t="s">
        <v>259</v>
      </c>
      <c r="R3311" t="s">
        <v>339</v>
      </c>
      <c r="S3311">
        <v>1.56</v>
      </c>
      <c r="T3311">
        <v>7337</v>
      </c>
      <c r="U3311">
        <v>249.9</v>
      </c>
      <c r="V3311">
        <v>7586.9</v>
      </c>
    </row>
    <row r="3312" spans="1:22" x14ac:dyDescent="0.3">
      <c r="A3312">
        <v>186607</v>
      </c>
      <c r="B3312">
        <v>136198507</v>
      </c>
      <c r="C3312" t="s">
        <v>16854</v>
      </c>
      <c r="D3312" t="s">
        <v>16855</v>
      </c>
      <c r="E3312" t="s">
        <v>11426</v>
      </c>
      <c r="F3312" t="s">
        <v>844</v>
      </c>
      <c r="G3312" t="s">
        <v>267</v>
      </c>
      <c r="H3312" t="s">
        <v>268</v>
      </c>
      <c r="I3312" t="s">
        <v>34</v>
      </c>
      <c r="J3312" t="s">
        <v>269</v>
      </c>
      <c r="K3312" t="s">
        <v>41</v>
      </c>
      <c r="L3312" t="s">
        <v>16856</v>
      </c>
      <c r="M3312" t="s">
        <v>16857</v>
      </c>
      <c r="N3312" t="s">
        <v>11429</v>
      </c>
      <c r="O3312" t="s">
        <v>101</v>
      </c>
      <c r="P3312" t="s">
        <v>16858</v>
      </c>
      <c r="Q3312" t="s">
        <v>62</v>
      </c>
      <c r="R3312" t="s">
        <v>718</v>
      </c>
      <c r="S3312">
        <v>0.78</v>
      </c>
      <c r="T3312">
        <v>6595</v>
      </c>
      <c r="U3312">
        <v>124.95</v>
      </c>
      <c r="V3312">
        <v>6719.95</v>
      </c>
    </row>
    <row r="3313" spans="1:22" x14ac:dyDescent="0.3">
      <c r="A3313">
        <v>186607</v>
      </c>
      <c r="B3313">
        <v>136364537</v>
      </c>
      <c r="C3313" t="s">
        <v>16859</v>
      </c>
      <c r="D3313" t="s">
        <v>16860</v>
      </c>
      <c r="E3313" t="s">
        <v>11426</v>
      </c>
      <c r="F3313" t="s">
        <v>844</v>
      </c>
      <c r="G3313" t="s">
        <v>267</v>
      </c>
      <c r="H3313" t="s">
        <v>268</v>
      </c>
      <c r="I3313" t="s">
        <v>34</v>
      </c>
      <c r="J3313" t="s">
        <v>269</v>
      </c>
      <c r="K3313" t="s">
        <v>41</v>
      </c>
      <c r="L3313" t="s">
        <v>16861</v>
      </c>
      <c r="M3313" t="s">
        <v>16862</v>
      </c>
      <c r="N3313" t="s">
        <v>11429</v>
      </c>
      <c r="O3313" t="s">
        <v>101</v>
      </c>
      <c r="P3313" t="s">
        <v>16863</v>
      </c>
      <c r="Q3313" t="s">
        <v>826</v>
      </c>
      <c r="R3313" t="s">
        <v>758</v>
      </c>
      <c r="S3313">
        <v>1.51</v>
      </c>
      <c r="T3313">
        <v>7238</v>
      </c>
      <c r="U3313">
        <v>249.9</v>
      </c>
      <c r="V3313">
        <v>7487.9</v>
      </c>
    </row>
    <row r="3314" spans="1:22" x14ac:dyDescent="0.3">
      <c r="A3314">
        <v>186607</v>
      </c>
      <c r="B3314">
        <v>136107521</v>
      </c>
      <c r="C3314" t="s">
        <v>16864</v>
      </c>
      <c r="D3314" t="s">
        <v>16865</v>
      </c>
      <c r="E3314" t="s">
        <v>11426</v>
      </c>
      <c r="F3314" t="s">
        <v>844</v>
      </c>
      <c r="G3314" t="s">
        <v>267</v>
      </c>
      <c r="H3314" t="s">
        <v>268</v>
      </c>
      <c r="I3314" t="s">
        <v>34</v>
      </c>
      <c r="J3314" t="s">
        <v>269</v>
      </c>
      <c r="K3314" t="s">
        <v>41</v>
      </c>
      <c r="L3314" t="s">
        <v>16866</v>
      </c>
      <c r="M3314" t="s">
        <v>16867</v>
      </c>
      <c r="N3314" t="s">
        <v>11429</v>
      </c>
      <c r="O3314" t="s">
        <v>101</v>
      </c>
      <c r="P3314" t="s">
        <v>16868</v>
      </c>
      <c r="Q3314" t="s">
        <v>105</v>
      </c>
      <c r="R3314" t="s">
        <v>369</v>
      </c>
      <c r="S3314">
        <v>1.59</v>
      </c>
      <c r="T3314">
        <v>4738</v>
      </c>
      <c r="U3314">
        <v>249.9</v>
      </c>
      <c r="V3314">
        <v>4987.8999999999996</v>
      </c>
    </row>
    <row r="3315" spans="1:22" x14ac:dyDescent="0.3">
      <c r="A3315">
        <v>186607</v>
      </c>
      <c r="B3315">
        <v>136027695</v>
      </c>
      <c r="C3315" t="s">
        <v>16869</v>
      </c>
      <c r="D3315" t="s">
        <v>16870</v>
      </c>
      <c r="E3315" t="s">
        <v>11426</v>
      </c>
      <c r="F3315" t="s">
        <v>844</v>
      </c>
      <c r="G3315" t="s">
        <v>267</v>
      </c>
      <c r="H3315" t="s">
        <v>268</v>
      </c>
      <c r="I3315" t="s">
        <v>34</v>
      </c>
      <c r="J3315" t="s">
        <v>269</v>
      </c>
      <c r="K3315" t="s">
        <v>41</v>
      </c>
      <c r="L3315" t="s">
        <v>16871</v>
      </c>
      <c r="M3315" t="s">
        <v>16872</v>
      </c>
      <c r="N3315" t="s">
        <v>11429</v>
      </c>
      <c r="O3315" t="s">
        <v>101</v>
      </c>
      <c r="P3315" t="s">
        <v>16873</v>
      </c>
      <c r="Q3315" t="s">
        <v>133</v>
      </c>
      <c r="R3315" t="s">
        <v>489</v>
      </c>
      <c r="S3315">
        <v>1.52</v>
      </c>
      <c r="T3315">
        <v>8624</v>
      </c>
      <c r="U3315">
        <v>249.9</v>
      </c>
      <c r="V3315">
        <v>8873.9</v>
      </c>
    </row>
    <row r="3316" spans="1:22" x14ac:dyDescent="0.3">
      <c r="A3316">
        <v>186607</v>
      </c>
      <c r="B3316">
        <v>136364612</v>
      </c>
      <c r="C3316" t="s">
        <v>16874</v>
      </c>
      <c r="D3316" t="s">
        <v>16875</v>
      </c>
      <c r="E3316" t="s">
        <v>11426</v>
      </c>
      <c r="F3316" t="s">
        <v>844</v>
      </c>
      <c r="G3316" t="s">
        <v>267</v>
      </c>
      <c r="H3316" t="s">
        <v>268</v>
      </c>
      <c r="I3316" t="s">
        <v>34</v>
      </c>
      <c r="J3316" t="s">
        <v>269</v>
      </c>
      <c r="K3316" t="s">
        <v>41</v>
      </c>
      <c r="L3316" t="s">
        <v>16876</v>
      </c>
      <c r="M3316" t="s">
        <v>16877</v>
      </c>
      <c r="N3316" t="s">
        <v>11429</v>
      </c>
      <c r="O3316" t="s">
        <v>101</v>
      </c>
      <c r="P3316" t="s">
        <v>16878</v>
      </c>
      <c r="Q3316" t="s">
        <v>389</v>
      </c>
      <c r="R3316" t="s">
        <v>788</v>
      </c>
      <c r="S3316">
        <v>1.45</v>
      </c>
      <c r="T3316">
        <v>6115</v>
      </c>
      <c r="U3316">
        <v>249.9</v>
      </c>
      <c r="V3316">
        <v>6364.9</v>
      </c>
    </row>
    <row r="3317" spans="1:22" x14ac:dyDescent="0.3">
      <c r="A3317">
        <v>186607</v>
      </c>
      <c r="B3317">
        <v>136027780</v>
      </c>
      <c r="C3317" t="s">
        <v>16879</v>
      </c>
      <c r="D3317" t="s">
        <v>16880</v>
      </c>
      <c r="E3317" t="s">
        <v>11426</v>
      </c>
      <c r="F3317" t="s">
        <v>844</v>
      </c>
      <c r="G3317" t="s">
        <v>267</v>
      </c>
      <c r="H3317" t="s">
        <v>268</v>
      </c>
      <c r="I3317" t="s">
        <v>34</v>
      </c>
      <c r="J3317" t="s">
        <v>269</v>
      </c>
      <c r="K3317" t="s">
        <v>41</v>
      </c>
      <c r="L3317" t="s">
        <v>16881</v>
      </c>
      <c r="M3317" t="s">
        <v>16882</v>
      </c>
      <c r="N3317" t="s">
        <v>11429</v>
      </c>
      <c r="O3317" t="s">
        <v>101</v>
      </c>
      <c r="P3317" t="s">
        <v>16883</v>
      </c>
      <c r="Q3317" t="s">
        <v>62</v>
      </c>
      <c r="R3317" t="s">
        <v>489</v>
      </c>
      <c r="S3317">
        <v>2.21</v>
      </c>
      <c r="T3317">
        <v>8624</v>
      </c>
      <c r="U3317">
        <v>374.85</v>
      </c>
      <c r="V3317">
        <v>8998.85</v>
      </c>
    </row>
    <row r="3318" spans="1:22" x14ac:dyDescent="0.3">
      <c r="A3318">
        <v>186607</v>
      </c>
      <c r="B3318">
        <v>135848965</v>
      </c>
      <c r="C3318" t="s">
        <v>16884</v>
      </c>
      <c r="D3318" t="s">
        <v>16885</v>
      </c>
      <c r="E3318" t="s">
        <v>11426</v>
      </c>
      <c r="F3318" t="s">
        <v>844</v>
      </c>
      <c r="G3318" t="s">
        <v>267</v>
      </c>
      <c r="H3318" t="s">
        <v>268</v>
      </c>
      <c r="I3318" t="s">
        <v>34</v>
      </c>
      <c r="J3318" t="s">
        <v>269</v>
      </c>
      <c r="K3318" t="s">
        <v>41</v>
      </c>
      <c r="L3318" t="s">
        <v>162</v>
      </c>
      <c r="M3318" t="s">
        <v>16886</v>
      </c>
      <c r="N3318" t="s">
        <v>11429</v>
      </c>
      <c r="O3318" t="s">
        <v>101</v>
      </c>
      <c r="P3318" t="s">
        <v>16887</v>
      </c>
      <c r="Q3318" t="s">
        <v>115</v>
      </c>
      <c r="R3318" t="s">
        <v>501</v>
      </c>
      <c r="S3318">
        <v>0.79</v>
      </c>
      <c r="T3318">
        <v>3735</v>
      </c>
      <c r="U3318">
        <v>124.95</v>
      </c>
      <c r="V3318">
        <v>3859.95</v>
      </c>
    </row>
    <row r="3319" spans="1:22" x14ac:dyDescent="0.3">
      <c r="A3319">
        <v>186607</v>
      </c>
      <c r="B3319">
        <v>135905385</v>
      </c>
      <c r="C3319" t="s">
        <v>16888</v>
      </c>
      <c r="D3319" t="s">
        <v>16889</v>
      </c>
      <c r="E3319" t="s">
        <v>11426</v>
      </c>
      <c r="F3319" t="s">
        <v>844</v>
      </c>
      <c r="G3319" t="s">
        <v>267</v>
      </c>
      <c r="H3319" t="s">
        <v>268</v>
      </c>
      <c r="I3319" t="s">
        <v>34</v>
      </c>
      <c r="J3319" t="s">
        <v>269</v>
      </c>
      <c r="K3319" t="s">
        <v>41</v>
      </c>
      <c r="L3319" t="s">
        <v>16890</v>
      </c>
      <c r="M3319" t="s">
        <v>16891</v>
      </c>
      <c r="N3319" t="s">
        <v>11429</v>
      </c>
      <c r="O3319" t="s">
        <v>101</v>
      </c>
      <c r="P3319" t="s">
        <v>16892</v>
      </c>
      <c r="Q3319" t="s">
        <v>167</v>
      </c>
      <c r="R3319" t="s">
        <v>498</v>
      </c>
      <c r="S3319">
        <v>1.5</v>
      </c>
      <c r="T3319">
        <v>8624</v>
      </c>
      <c r="U3319">
        <v>249.9</v>
      </c>
      <c r="V3319">
        <v>8873.9</v>
      </c>
    </row>
    <row r="3320" spans="1:22" x14ac:dyDescent="0.3">
      <c r="A3320">
        <v>186607</v>
      </c>
      <c r="B3320">
        <v>135983238</v>
      </c>
      <c r="C3320" t="s">
        <v>16893</v>
      </c>
      <c r="D3320" t="s">
        <v>16894</v>
      </c>
      <c r="E3320" t="s">
        <v>11426</v>
      </c>
      <c r="F3320" t="s">
        <v>844</v>
      </c>
      <c r="G3320" t="s">
        <v>267</v>
      </c>
      <c r="H3320" t="s">
        <v>268</v>
      </c>
      <c r="I3320" t="s">
        <v>34</v>
      </c>
      <c r="J3320" t="s">
        <v>269</v>
      </c>
      <c r="K3320" t="s">
        <v>41</v>
      </c>
      <c r="L3320" t="s">
        <v>16895</v>
      </c>
      <c r="M3320" t="s">
        <v>16896</v>
      </c>
      <c r="N3320" t="s">
        <v>11429</v>
      </c>
      <c r="O3320" t="s">
        <v>101</v>
      </c>
      <c r="P3320" t="s">
        <v>16897</v>
      </c>
      <c r="Q3320" t="s">
        <v>105</v>
      </c>
      <c r="R3320" t="s">
        <v>344</v>
      </c>
      <c r="S3320">
        <v>1.53</v>
      </c>
      <c r="T3320">
        <v>4738</v>
      </c>
      <c r="U3320">
        <v>249.9</v>
      </c>
      <c r="V3320">
        <v>4987.8999999999996</v>
      </c>
    </row>
    <row r="3321" spans="1:22" x14ac:dyDescent="0.3">
      <c r="A3321">
        <v>186607</v>
      </c>
      <c r="B3321">
        <v>135983187</v>
      </c>
      <c r="C3321" t="s">
        <v>16898</v>
      </c>
      <c r="D3321" t="s">
        <v>16899</v>
      </c>
      <c r="E3321" t="s">
        <v>11426</v>
      </c>
      <c r="F3321" t="s">
        <v>844</v>
      </c>
      <c r="G3321" t="s">
        <v>267</v>
      </c>
      <c r="H3321" t="s">
        <v>268</v>
      </c>
      <c r="I3321" t="s">
        <v>34</v>
      </c>
      <c r="J3321" t="s">
        <v>269</v>
      </c>
      <c r="K3321" t="s">
        <v>41</v>
      </c>
      <c r="L3321" t="s">
        <v>16900</v>
      </c>
      <c r="M3321" t="s">
        <v>16901</v>
      </c>
      <c r="N3321" t="s">
        <v>11429</v>
      </c>
      <c r="O3321" t="s">
        <v>101</v>
      </c>
      <c r="P3321" t="s">
        <v>16902</v>
      </c>
      <c r="Q3321" t="s">
        <v>254</v>
      </c>
      <c r="R3321" t="s">
        <v>344</v>
      </c>
      <c r="S3321">
        <v>1.86</v>
      </c>
      <c r="T3321">
        <v>8624</v>
      </c>
      <c r="U3321">
        <v>249.9</v>
      </c>
      <c r="V3321">
        <v>8873.9</v>
      </c>
    </row>
    <row r="3322" spans="1:22" x14ac:dyDescent="0.3">
      <c r="A3322">
        <v>186607</v>
      </c>
      <c r="B3322">
        <v>135983084</v>
      </c>
      <c r="C3322" t="s">
        <v>16903</v>
      </c>
      <c r="D3322" t="s">
        <v>16904</v>
      </c>
      <c r="E3322" t="s">
        <v>11426</v>
      </c>
      <c r="F3322" t="s">
        <v>844</v>
      </c>
      <c r="G3322" t="s">
        <v>267</v>
      </c>
      <c r="H3322" t="s">
        <v>268</v>
      </c>
      <c r="I3322" t="s">
        <v>34</v>
      </c>
      <c r="J3322" t="s">
        <v>269</v>
      </c>
      <c r="K3322" t="s">
        <v>41</v>
      </c>
      <c r="L3322" t="s">
        <v>16905</v>
      </c>
      <c r="M3322" t="s">
        <v>616</v>
      </c>
      <c r="N3322" t="s">
        <v>11429</v>
      </c>
      <c r="O3322" t="s">
        <v>101</v>
      </c>
      <c r="P3322" t="s">
        <v>16906</v>
      </c>
      <c r="Q3322" t="s">
        <v>277</v>
      </c>
      <c r="R3322" t="s">
        <v>15480</v>
      </c>
      <c r="S3322">
        <v>1.55</v>
      </c>
      <c r="T3322">
        <v>4738</v>
      </c>
      <c r="U3322">
        <v>249.9</v>
      </c>
      <c r="V3322">
        <v>4987.8999999999996</v>
      </c>
    </row>
    <row r="3323" spans="1:22" x14ac:dyDescent="0.3">
      <c r="A3323">
        <v>186607</v>
      </c>
      <c r="B3323">
        <v>135983070</v>
      </c>
      <c r="C3323" t="s">
        <v>16907</v>
      </c>
      <c r="D3323" t="s">
        <v>16908</v>
      </c>
      <c r="E3323" t="s">
        <v>11426</v>
      </c>
      <c r="F3323" t="s">
        <v>844</v>
      </c>
      <c r="G3323" t="s">
        <v>267</v>
      </c>
      <c r="H3323" t="s">
        <v>268</v>
      </c>
      <c r="I3323" t="s">
        <v>34</v>
      </c>
      <c r="J3323" t="s">
        <v>269</v>
      </c>
      <c r="K3323" t="s">
        <v>41</v>
      </c>
      <c r="L3323" t="s">
        <v>162</v>
      </c>
      <c r="M3323" t="s">
        <v>523</v>
      </c>
      <c r="N3323" t="s">
        <v>11429</v>
      </c>
      <c r="O3323" t="s">
        <v>101</v>
      </c>
      <c r="P3323" t="s">
        <v>16909</v>
      </c>
      <c r="Q3323" t="s">
        <v>524</v>
      </c>
      <c r="R3323" t="s">
        <v>15480</v>
      </c>
      <c r="S3323">
        <v>1.56</v>
      </c>
      <c r="T3323">
        <v>8079</v>
      </c>
      <c r="U3323">
        <v>249.9</v>
      </c>
      <c r="V3323">
        <v>8328.9</v>
      </c>
    </row>
    <row r="3324" spans="1:22" x14ac:dyDescent="0.3">
      <c r="A3324">
        <v>186607</v>
      </c>
      <c r="B3324">
        <v>135790631</v>
      </c>
      <c r="C3324" t="s">
        <v>16910</v>
      </c>
      <c r="D3324" t="s">
        <v>16911</v>
      </c>
      <c r="E3324" t="s">
        <v>11426</v>
      </c>
      <c r="F3324" t="s">
        <v>844</v>
      </c>
      <c r="G3324" t="s">
        <v>267</v>
      </c>
      <c r="H3324" t="s">
        <v>268</v>
      </c>
      <c r="I3324" t="s">
        <v>34</v>
      </c>
      <c r="J3324" t="s">
        <v>269</v>
      </c>
      <c r="K3324" t="s">
        <v>41</v>
      </c>
      <c r="L3324" t="s">
        <v>16912</v>
      </c>
      <c r="M3324" t="s">
        <v>16913</v>
      </c>
      <c r="N3324" t="s">
        <v>11429</v>
      </c>
      <c r="O3324" t="s">
        <v>101</v>
      </c>
      <c r="P3324" t="s">
        <v>16914</v>
      </c>
      <c r="Q3324" t="s">
        <v>115</v>
      </c>
      <c r="R3324" t="s">
        <v>770</v>
      </c>
      <c r="S3324">
        <v>2.34</v>
      </c>
      <c r="T3324">
        <v>3950</v>
      </c>
      <c r="U3324">
        <v>249.9</v>
      </c>
      <c r="V3324">
        <v>4199.8999999999996</v>
      </c>
    </row>
    <row r="3325" spans="1:22" x14ac:dyDescent="0.3">
      <c r="A3325">
        <v>186607</v>
      </c>
      <c r="B3325">
        <v>135848865</v>
      </c>
      <c r="C3325" t="s">
        <v>16915</v>
      </c>
      <c r="D3325" t="s">
        <v>16916</v>
      </c>
      <c r="E3325" t="s">
        <v>11426</v>
      </c>
      <c r="F3325" t="s">
        <v>844</v>
      </c>
      <c r="G3325" t="s">
        <v>267</v>
      </c>
      <c r="H3325" t="s">
        <v>268</v>
      </c>
      <c r="I3325" t="s">
        <v>34</v>
      </c>
      <c r="J3325" t="s">
        <v>269</v>
      </c>
      <c r="K3325" t="s">
        <v>41</v>
      </c>
      <c r="L3325" t="s">
        <v>16917</v>
      </c>
      <c r="M3325" t="s">
        <v>16918</v>
      </c>
      <c r="N3325" t="s">
        <v>11429</v>
      </c>
      <c r="O3325" t="s">
        <v>101</v>
      </c>
      <c r="P3325" t="s">
        <v>16919</v>
      </c>
      <c r="Q3325" t="s">
        <v>520</v>
      </c>
      <c r="R3325" t="s">
        <v>737</v>
      </c>
      <c r="S3325">
        <v>2.2799999999999998</v>
      </c>
      <c r="T3325">
        <v>7337</v>
      </c>
      <c r="U3325">
        <v>374.85</v>
      </c>
      <c r="V3325">
        <v>7711.85</v>
      </c>
    </row>
    <row r="3326" spans="1:22" x14ac:dyDescent="0.3">
      <c r="A3326">
        <v>186607</v>
      </c>
      <c r="B3326">
        <v>137290870</v>
      </c>
      <c r="C3326" t="s">
        <v>16920</v>
      </c>
      <c r="D3326" t="s">
        <v>16921</v>
      </c>
      <c r="E3326" t="s">
        <v>11426</v>
      </c>
      <c r="F3326" t="s">
        <v>844</v>
      </c>
      <c r="G3326" t="s">
        <v>172</v>
      </c>
      <c r="H3326" t="s">
        <v>173</v>
      </c>
      <c r="I3326" t="s">
        <v>34</v>
      </c>
      <c r="J3326" t="s">
        <v>272</v>
      </c>
      <c r="K3326" t="s">
        <v>41</v>
      </c>
      <c r="L3326" t="s">
        <v>16922</v>
      </c>
      <c r="M3326" t="s">
        <v>16923</v>
      </c>
      <c r="N3326" t="s">
        <v>11429</v>
      </c>
      <c r="O3326" t="s">
        <v>101</v>
      </c>
      <c r="P3326" t="s">
        <v>16924</v>
      </c>
      <c r="Q3326" t="s">
        <v>107</v>
      </c>
      <c r="R3326" t="s">
        <v>550</v>
      </c>
      <c r="S3326">
        <v>3.72</v>
      </c>
      <c r="T3326">
        <v>4537</v>
      </c>
      <c r="U3326">
        <v>0</v>
      </c>
      <c r="V3326">
        <v>4537</v>
      </c>
    </row>
    <row r="3327" spans="1:22" x14ac:dyDescent="0.3">
      <c r="A3327">
        <v>186607</v>
      </c>
      <c r="B3327">
        <v>137408233</v>
      </c>
      <c r="C3327" t="s">
        <v>16925</v>
      </c>
      <c r="D3327" t="s">
        <v>16926</v>
      </c>
      <c r="E3327" t="s">
        <v>11426</v>
      </c>
      <c r="F3327" t="s">
        <v>844</v>
      </c>
      <c r="G3327" t="s">
        <v>172</v>
      </c>
      <c r="H3327" t="s">
        <v>173</v>
      </c>
      <c r="I3327" t="s">
        <v>34</v>
      </c>
      <c r="J3327" t="s">
        <v>272</v>
      </c>
      <c r="K3327" t="s">
        <v>41</v>
      </c>
      <c r="L3327" t="s">
        <v>174</v>
      </c>
      <c r="M3327" t="s">
        <v>16927</v>
      </c>
      <c r="N3327" t="s">
        <v>11429</v>
      </c>
      <c r="O3327" t="s">
        <v>101</v>
      </c>
      <c r="P3327" t="s">
        <v>16928</v>
      </c>
      <c r="Q3327" t="s">
        <v>115</v>
      </c>
      <c r="R3327" t="s">
        <v>16929</v>
      </c>
      <c r="S3327">
        <v>2.52</v>
      </c>
      <c r="T3327">
        <v>6708</v>
      </c>
      <c r="U3327">
        <v>0</v>
      </c>
      <c r="V3327">
        <v>6708</v>
      </c>
    </row>
    <row r="3328" spans="1:22" x14ac:dyDescent="0.3">
      <c r="A3328">
        <v>186607</v>
      </c>
      <c r="B3328">
        <v>137359169</v>
      </c>
      <c r="C3328" t="s">
        <v>16930</v>
      </c>
      <c r="D3328" t="s">
        <v>16931</v>
      </c>
      <c r="E3328" t="s">
        <v>11426</v>
      </c>
      <c r="F3328" t="s">
        <v>844</v>
      </c>
      <c r="G3328" t="s">
        <v>172</v>
      </c>
      <c r="H3328" t="s">
        <v>173</v>
      </c>
      <c r="I3328" t="s">
        <v>34</v>
      </c>
      <c r="J3328" t="s">
        <v>272</v>
      </c>
      <c r="K3328" t="s">
        <v>41</v>
      </c>
      <c r="L3328" t="s">
        <v>174</v>
      </c>
      <c r="M3328" t="s">
        <v>16932</v>
      </c>
      <c r="N3328" t="s">
        <v>11429</v>
      </c>
      <c r="O3328" t="s">
        <v>101</v>
      </c>
      <c r="P3328" t="s">
        <v>16933</v>
      </c>
      <c r="Q3328" t="s">
        <v>119</v>
      </c>
      <c r="R3328" t="s">
        <v>385</v>
      </c>
      <c r="S3328">
        <v>3.99</v>
      </c>
      <c r="T3328">
        <v>8439</v>
      </c>
      <c r="U3328">
        <v>0</v>
      </c>
      <c r="V3328">
        <v>8439</v>
      </c>
    </row>
    <row r="3329" spans="1:22" x14ac:dyDescent="0.3">
      <c r="A3329">
        <v>186607</v>
      </c>
      <c r="B3329">
        <v>137328768</v>
      </c>
      <c r="C3329" t="s">
        <v>16934</v>
      </c>
      <c r="D3329" t="s">
        <v>16935</v>
      </c>
      <c r="E3329" t="s">
        <v>11426</v>
      </c>
      <c r="F3329" t="s">
        <v>844</v>
      </c>
      <c r="G3329" t="s">
        <v>172</v>
      </c>
      <c r="H3329" t="s">
        <v>173</v>
      </c>
      <c r="I3329" t="s">
        <v>34</v>
      </c>
      <c r="J3329" t="s">
        <v>272</v>
      </c>
      <c r="K3329" t="s">
        <v>41</v>
      </c>
      <c r="L3329" t="s">
        <v>16936</v>
      </c>
      <c r="M3329" t="s">
        <v>16937</v>
      </c>
      <c r="N3329" t="s">
        <v>11429</v>
      </c>
      <c r="O3329" t="s">
        <v>101</v>
      </c>
      <c r="P3329" t="s">
        <v>16938</v>
      </c>
      <c r="Q3329" t="s">
        <v>102</v>
      </c>
      <c r="R3329" t="s">
        <v>11505</v>
      </c>
      <c r="S3329">
        <v>3.97</v>
      </c>
      <c r="T3329">
        <v>4537</v>
      </c>
      <c r="U3329">
        <v>0</v>
      </c>
      <c r="V3329">
        <v>4537</v>
      </c>
    </row>
    <row r="3330" spans="1:22" x14ac:dyDescent="0.3">
      <c r="A3330">
        <v>186607</v>
      </c>
      <c r="B3330">
        <v>137290905</v>
      </c>
      <c r="C3330" t="s">
        <v>16939</v>
      </c>
      <c r="D3330" t="s">
        <v>16940</v>
      </c>
      <c r="E3330" t="s">
        <v>11426</v>
      </c>
      <c r="F3330" t="s">
        <v>844</v>
      </c>
      <c r="G3330" t="s">
        <v>172</v>
      </c>
      <c r="H3330" t="s">
        <v>173</v>
      </c>
      <c r="I3330" t="s">
        <v>34</v>
      </c>
      <c r="J3330" t="s">
        <v>272</v>
      </c>
      <c r="K3330" t="s">
        <v>41</v>
      </c>
      <c r="L3330" t="s">
        <v>16941</v>
      </c>
      <c r="M3330" t="s">
        <v>305</v>
      </c>
      <c r="N3330" t="s">
        <v>11429</v>
      </c>
      <c r="O3330" t="s">
        <v>101</v>
      </c>
      <c r="P3330" t="s">
        <v>16942</v>
      </c>
      <c r="Q3330" t="s">
        <v>86</v>
      </c>
      <c r="R3330" t="s">
        <v>550</v>
      </c>
      <c r="S3330">
        <v>4.79</v>
      </c>
      <c r="T3330">
        <v>7129</v>
      </c>
      <c r="U3330">
        <v>0</v>
      </c>
      <c r="V3330">
        <v>7129</v>
      </c>
    </row>
    <row r="3331" spans="1:22" x14ac:dyDescent="0.3">
      <c r="A3331">
        <v>186607</v>
      </c>
      <c r="B3331">
        <v>137328769</v>
      </c>
      <c r="C3331" t="s">
        <v>16943</v>
      </c>
      <c r="D3331" t="s">
        <v>16944</v>
      </c>
      <c r="E3331" t="s">
        <v>11426</v>
      </c>
      <c r="F3331" t="s">
        <v>844</v>
      </c>
      <c r="G3331" t="s">
        <v>172</v>
      </c>
      <c r="H3331" t="s">
        <v>173</v>
      </c>
      <c r="I3331" t="s">
        <v>34</v>
      </c>
      <c r="J3331" t="s">
        <v>272</v>
      </c>
      <c r="K3331" t="s">
        <v>41</v>
      </c>
      <c r="L3331" t="s">
        <v>16945</v>
      </c>
      <c r="M3331" t="s">
        <v>16946</v>
      </c>
      <c r="N3331" t="s">
        <v>11429</v>
      </c>
      <c r="O3331" t="s">
        <v>101</v>
      </c>
      <c r="P3331" t="s">
        <v>16947</v>
      </c>
      <c r="Q3331" t="s">
        <v>102</v>
      </c>
      <c r="R3331" t="s">
        <v>11505</v>
      </c>
      <c r="S3331">
        <v>3.61</v>
      </c>
      <c r="T3331">
        <v>4537</v>
      </c>
      <c r="U3331">
        <v>0</v>
      </c>
      <c r="V3331">
        <v>4537</v>
      </c>
    </row>
    <row r="3332" spans="1:22" x14ac:dyDescent="0.3">
      <c r="A3332">
        <v>186607</v>
      </c>
      <c r="B3332">
        <v>137328740</v>
      </c>
      <c r="C3332" t="s">
        <v>16948</v>
      </c>
      <c r="D3332" t="s">
        <v>16949</v>
      </c>
      <c r="E3332" t="s">
        <v>11426</v>
      </c>
      <c r="F3332" t="s">
        <v>844</v>
      </c>
      <c r="G3332" t="s">
        <v>172</v>
      </c>
      <c r="H3332" t="s">
        <v>173</v>
      </c>
      <c r="I3332" t="s">
        <v>34</v>
      </c>
      <c r="J3332" t="s">
        <v>272</v>
      </c>
      <c r="K3332" t="s">
        <v>41</v>
      </c>
      <c r="L3332" t="s">
        <v>16950</v>
      </c>
      <c r="M3332" t="s">
        <v>6654</v>
      </c>
      <c r="N3332" t="s">
        <v>11429</v>
      </c>
      <c r="O3332" t="s">
        <v>101</v>
      </c>
      <c r="P3332" t="s">
        <v>6655</v>
      </c>
      <c r="Q3332" t="s">
        <v>386</v>
      </c>
      <c r="R3332" t="s">
        <v>11505</v>
      </c>
      <c r="S3332">
        <v>3.11</v>
      </c>
      <c r="T3332">
        <v>7224</v>
      </c>
      <c r="U3332">
        <v>0</v>
      </c>
      <c r="V3332">
        <v>7224</v>
      </c>
    </row>
    <row r="3333" spans="1:22" x14ac:dyDescent="0.3">
      <c r="A3333">
        <v>186607</v>
      </c>
      <c r="B3333">
        <v>137359241</v>
      </c>
      <c r="C3333" t="s">
        <v>16951</v>
      </c>
      <c r="D3333" t="s">
        <v>16952</v>
      </c>
      <c r="E3333" t="s">
        <v>11426</v>
      </c>
      <c r="F3333" t="s">
        <v>844</v>
      </c>
      <c r="G3333" t="s">
        <v>172</v>
      </c>
      <c r="H3333" t="s">
        <v>173</v>
      </c>
      <c r="I3333" t="s">
        <v>34</v>
      </c>
      <c r="J3333" t="s">
        <v>272</v>
      </c>
      <c r="K3333" t="s">
        <v>41</v>
      </c>
      <c r="L3333" t="s">
        <v>174</v>
      </c>
      <c r="M3333" t="s">
        <v>16953</v>
      </c>
      <c r="N3333" t="s">
        <v>11429</v>
      </c>
      <c r="O3333" t="s">
        <v>101</v>
      </c>
      <c r="P3333" t="s">
        <v>16954</v>
      </c>
      <c r="Q3333" t="s">
        <v>189</v>
      </c>
      <c r="R3333" t="s">
        <v>11516</v>
      </c>
      <c r="S3333">
        <v>3.32</v>
      </c>
      <c r="T3333">
        <v>4537</v>
      </c>
      <c r="U3333">
        <v>0</v>
      </c>
      <c r="V3333">
        <v>4537</v>
      </c>
    </row>
    <row r="3334" spans="1:22" x14ac:dyDescent="0.3">
      <c r="A3334">
        <v>186607</v>
      </c>
      <c r="B3334">
        <v>137359254</v>
      </c>
      <c r="C3334" t="s">
        <v>16955</v>
      </c>
      <c r="D3334" t="s">
        <v>16956</v>
      </c>
      <c r="E3334" t="s">
        <v>11426</v>
      </c>
      <c r="F3334" t="s">
        <v>844</v>
      </c>
      <c r="G3334" t="s">
        <v>172</v>
      </c>
      <c r="H3334" t="s">
        <v>173</v>
      </c>
      <c r="I3334" t="s">
        <v>34</v>
      </c>
      <c r="J3334" t="s">
        <v>272</v>
      </c>
      <c r="K3334" t="s">
        <v>41</v>
      </c>
      <c r="L3334" t="s">
        <v>174</v>
      </c>
      <c r="M3334" t="s">
        <v>16957</v>
      </c>
      <c r="N3334" t="s">
        <v>11429</v>
      </c>
      <c r="O3334" t="s">
        <v>101</v>
      </c>
      <c r="P3334" t="s">
        <v>16958</v>
      </c>
      <c r="Q3334" t="s">
        <v>282</v>
      </c>
      <c r="R3334" t="s">
        <v>11516</v>
      </c>
      <c r="S3334">
        <v>3.66</v>
      </c>
      <c r="T3334">
        <v>7129</v>
      </c>
      <c r="U3334">
        <v>0</v>
      </c>
      <c r="V3334">
        <v>7129</v>
      </c>
    </row>
    <row r="3335" spans="1:22" x14ac:dyDescent="0.3">
      <c r="A3335">
        <v>186607</v>
      </c>
      <c r="B3335">
        <v>137359239</v>
      </c>
      <c r="C3335" t="s">
        <v>16959</v>
      </c>
      <c r="D3335" t="s">
        <v>16960</v>
      </c>
      <c r="E3335" t="s">
        <v>11426</v>
      </c>
      <c r="F3335" t="s">
        <v>844</v>
      </c>
      <c r="G3335" t="s">
        <v>172</v>
      </c>
      <c r="H3335" t="s">
        <v>173</v>
      </c>
      <c r="I3335" t="s">
        <v>34</v>
      </c>
      <c r="J3335" t="s">
        <v>272</v>
      </c>
      <c r="K3335" t="s">
        <v>41</v>
      </c>
      <c r="L3335" t="s">
        <v>174</v>
      </c>
      <c r="M3335" t="s">
        <v>16961</v>
      </c>
      <c r="N3335" t="s">
        <v>11429</v>
      </c>
      <c r="O3335" t="s">
        <v>101</v>
      </c>
      <c r="P3335" t="s">
        <v>16962</v>
      </c>
      <c r="Q3335" t="s">
        <v>102</v>
      </c>
      <c r="R3335" t="s">
        <v>11516</v>
      </c>
      <c r="S3335">
        <v>5.17</v>
      </c>
      <c r="T3335">
        <v>4537</v>
      </c>
      <c r="U3335">
        <v>0</v>
      </c>
      <c r="V3335">
        <v>4537</v>
      </c>
    </row>
    <row r="3336" spans="1:22" x14ac:dyDescent="0.3">
      <c r="A3336">
        <v>186607</v>
      </c>
      <c r="B3336">
        <v>137290883</v>
      </c>
      <c r="C3336" t="s">
        <v>16963</v>
      </c>
      <c r="D3336" t="s">
        <v>16964</v>
      </c>
      <c r="E3336" t="s">
        <v>11426</v>
      </c>
      <c r="F3336" t="s">
        <v>844</v>
      </c>
      <c r="G3336" t="s">
        <v>172</v>
      </c>
      <c r="H3336" t="s">
        <v>173</v>
      </c>
      <c r="I3336" t="s">
        <v>34</v>
      </c>
      <c r="J3336" t="s">
        <v>272</v>
      </c>
      <c r="K3336" t="s">
        <v>41</v>
      </c>
      <c r="L3336" t="s">
        <v>174</v>
      </c>
      <c r="M3336" t="s">
        <v>16965</v>
      </c>
      <c r="N3336" t="s">
        <v>11429</v>
      </c>
      <c r="O3336" t="s">
        <v>101</v>
      </c>
      <c r="P3336" t="s">
        <v>16966</v>
      </c>
      <c r="Q3336" t="s">
        <v>386</v>
      </c>
      <c r="R3336" t="s">
        <v>550</v>
      </c>
      <c r="S3336">
        <v>3.55</v>
      </c>
      <c r="T3336">
        <v>7224</v>
      </c>
      <c r="U3336">
        <v>0</v>
      </c>
      <c r="V3336">
        <v>7224</v>
      </c>
    </row>
    <row r="3337" spans="1:22" x14ac:dyDescent="0.3">
      <c r="A3337">
        <v>186607</v>
      </c>
      <c r="B3337">
        <v>136921096</v>
      </c>
      <c r="C3337" t="s">
        <v>16967</v>
      </c>
      <c r="D3337" t="s">
        <v>16968</v>
      </c>
      <c r="E3337" t="s">
        <v>11426</v>
      </c>
      <c r="F3337" t="s">
        <v>844</v>
      </c>
      <c r="G3337" t="s">
        <v>172</v>
      </c>
      <c r="H3337" t="s">
        <v>173</v>
      </c>
      <c r="I3337" t="s">
        <v>34</v>
      </c>
      <c r="J3337" t="s">
        <v>272</v>
      </c>
      <c r="K3337" t="s">
        <v>41</v>
      </c>
      <c r="L3337" t="s">
        <v>16969</v>
      </c>
      <c r="M3337" t="s">
        <v>16970</v>
      </c>
      <c r="N3337" t="s">
        <v>11429</v>
      </c>
      <c r="O3337" t="s">
        <v>101</v>
      </c>
      <c r="P3337" t="s">
        <v>16971</v>
      </c>
      <c r="Q3337" t="s">
        <v>104</v>
      </c>
      <c r="R3337" t="s">
        <v>12110</v>
      </c>
      <c r="S3337">
        <v>2.36</v>
      </c>
      <c r="T3337">
        <v>4168</v>
      </c>
      <c r="U3337">
        <v>0</v>
      </c>
      <c r="V3337">
        <v>4168</v>
      </c>
    </row>
    <row r="3338" spans="1:22" x14ac:dyDescent="0.3">
      <c r="A3338">
        <v>186607</v>
      </c>
      <c r="B3338">
        <v>137084779</v>
      </c>
      <c r="C3338" t="s">
        <v>16972</v>
      </c>
      <c r="D3338" t="s">
        <v>16973</v>
      </c>
      <c r="E3338" t="s">
        <v>11426</v>
      </c>
      <c r="F3338" t="s">
        <v>844</v>
      </c>
      <c r="G3338" t="s">
        <v>172</v>
      </c>
      <c r="H3338" t="s">
        <v>173</v>
      </c>
      <c r="I3338" t="s">
        <v>34</v>
      </c>
      <c r="J3338" t="s">
        <v>272</v>
      </c>
      <c r="K3338" t="s">
        <v>41</v>
      </c>
      <c r="L3338" t="s">
        <v>16974</v>
      </c>
      <c r="M3338" t="s">
        <v>16975</v>
      </c>
      <c r="N3338" t="s">
        <v>11429</v>
      </c>
      <c r="O3338" t="s">
        <v>101</v>
      </c>
      <c r="P3338" t="s">
        <v>16976</v>
      </c>
      <c r="Q3338" t="s">
        <v>103</v>
      </c>
      <c r="R3338" t="s">
        <v>11890</v>
      </c>
      <c r="S3338">
        <v>4.25</v>
      </c>
      <c r="T3338">
        <v>4537</v>
      </c>
      <c r="U3338">
        <v>0</v>
      </c>
      <c r="V3338">
        <v>4537</v>
      </c>
    </row>
    <row r="3339" spans="1:22" x14ac:dyDescent="0.3">
      <c r="A3339">
        <v>186607</v>
      </c>
      <c r="B3339">
        <v>136997938</v>
      </c>
      <c r="C3339" t="s">
        <v>16977</v>
      </c>
      <c r="D3339" t="s">
        <v>16978</v>
      </c>
      <c r="E3339" t="s">
        <v>11426</v>
      </c>
      <c r="F3339" t="s">
        <v>844</v>
      </c>
      <c r="G3339" t="s">
        <v>172</v>
      </c>
      <c r="H3339" t="s">
        <v>173</v>
      </c>
      <c r="I3339" t="s">
        <v>34</v>
      </c>
      <c r="J3339" t="s">
        <v>272</v>
      </c>
      <c r="K3339" t="s">
        <v>41</v>
      </c>
      <c r="L3339" t="s">
        <v>174</v>
      </c>
      <c r="M3339" t="s">
        <v>16979</v>
      </c>
      <c r="N3339" t="s">
        <v>11429</v>
      </c>
      <c r="O3339" t="s">
        <v>101</v>
      </c>
      <c r="P3339" t="s">
        <v>16980</v>
      </c>
      <c r="Q3339" t="s">
        <v>104</v>
      </c>
      <c r="R3339" t="s">
        <v>753</v>
      </c>
      <c r="S3339">
        <v>3.52</v>
      </c>
      <c r="T3339">
        <v>4537</v>
      </c>
      <c r="U3339">
        <v>0</v>
      </c>
      <c r="V3339">
        <v>4537</v>
      </c>
    </row>
    <row r="3340" spans="1:22" x14ac:dyDescent="0.3">
      <c r="A3340">
        <v>186607</v>
      </c>
      <c r="B3340">
        <v>137252971</v>
      </c>
      <c r="C3340" t="s">
        <v>16981</v>
      </c>
      <c r="D3340" t="s">
        <v>16982</v>
      </c>
      <c r="E3340" t="s">
        <v>11426</v>
      </c>
      <c r="F3340" t="s">
        <v>844</v>
      </c>
      <c r="G3340" t="s">
        <v>172</v>
      </c>
      <c r="H3340" t="s">
        <v>173</v>
      </c>
      <c r="I3340" t="s">
        <v>34</v>
      </c>
      <c r="J3340" t="s">
        <v>272</v>
      </c>
      <c r="K3340" t="s">
        <v>41</v>
      </c>
      <c r="L3340" t="s">
        <v>174</v>
      </c>
      <c r="M3340" t="s">
        <v>16983</v>
      </c>
      <c r="N3340" t="s">
        <v>11429</v>
      </c>
      <c r="O3340" t="s">
        <v>101</v>
      </c>
      <c r="P3340" t="s">
        <v>16984</v>
      </c>
      <c r="Q3340" t="s">
        <v>103</v>
      </c>
      <c r="R3340" t="s">
        <v>413</v>
      </c>
      <c r="S3340">
        <v>2.3199999999999998</v>
      </c>
      <c r="T3340">
        <v>4168</v>
      </c>
      <c r="U3340">
        <v>0</v>
      </c>
      <c r="V3340">
        <v>4168</v>
      </c>
    </row>
    <row r="3341" spans="1:22" x14ac:dyDescent="0.3">
      <c r="A3341">
        <v>186607</v>
      </c>
      <c r="B3341">
        <v>137252962</v>
      </c>
      <c r="C3341" t="s">
        <v>16985</v>
      </c>
      <c r="D3341" t="s">
        <v>16986</v>
      </c>
      <c r="E3341" t="s">
        <v>11426</v>
      </c>
      <c r="F3341" t="s">
        <v>844</v>
      </c>
      <c r="G3341" t="s">
        <v>172</v>
      </c>
      <c r="H3341" t="s">
        <v>173</v>
      </c>
      <c r="I3341" t="s">
        <v>34</v>
      </c>
      <c r="J3341" t="s">
        <v>272</v>
      </c>
      <c r="K3341" t="s">
        <v>41</v>
      </c>
      <c r="L3341" t="s">
        <v>16987</v>
      </c>
      <c r="M3341" t="s">
        <v>16988</v>
      </c>
      <c r="N3341" t="s">
        <v>11429</v>
      </c>
      <c r="O3341" t="s">
        <v>101</v>
      </c>
      <c r="P3341" t="s">
        <v>16989</v>
      </c>
      <c r="Q3341" t="s">
        <v>311</v>
      </c>
      <c r="R3341" t="s">
        <v>413</v>
      </c>
      <c r="S3341">
        <v>2.38</v>
      </c>
      <c r="T3341">
        <v>6708</v>
      </c>
      <c r="U3341">
        <v>0</v>
      </c>
      <c r="V3341">
        <v>6708</v>
      </c>
    </row>
    <row r="3342" spans="1:22" x14ac:dyDescent="0.3">
      <c r="A3342">
        <v>186607</v>
      </c>
      <c r="B3342">
        <v>137252956</v>
      </c>
      <c r="C3342" t="s">
        <v>16990</v>
      </c>
      <c r="D3342" t="s">
        <v>16991</v>
      </c>
      <c r="E3342" t="s">
        <v>11426</v>
      </c>
      <c r="F3342" t="s">
        <v>844</v>
      </c>
      <c r="G3342" t="s">
        <v>172</v>
      </c>
      <c r="H3342" t="s">
        <v>173</v>
      </c>
      <c r="I3342" t="s">
        <v>34</v>
      </c>
      <c r="J3342" t="s">
        <v>272</v>
      </c>
      <c r="K3342" t="s">
        <v>46</v>
      </c>
      <c r="L3342" t="s">
        <v>242</v>
      </c>
      <c r="M3342" t="s">
        <v>16992</v>
      </c>
      <c r="N3342" t="s">
        <v>11429</v>
      </c>
      <c r="O3342" t="s">
        <v>101</v>
      </c>
      <c r="P3342" t="s">
        <v>16993</v>
      </c>
      <c r="Q3342" t="s">
        <v>103</v>
      </c>
      <c r="R3342" t="s">
        <v>11446</v>
      </c>
      <c r="S3342">
        <v>3.21</v>
      </c>
      <c r="T3342">
        <v>4537</v>
      </c>
      <c r="U3342">
        <v>0</v>
      </c>
      <c r="V3342">
        <v>4537</v>
      </c>
    </row>
    <row r="3343" spans="1:22" x14ac:dyDescent="0.3">
      <c r="A3343">
        <v>186607</v>
      </c>
      <c r="B3343">
        <v>136998001</v>
      </c>
      <c r="C3343" t="s">
        <v>16994</v>
      </c>
      <c r="D3343" t="s">
        <v>16995</v>
      </c>
      <c r="E3343" t="s">
        <v>11426</v>
      </c>
      <c r="F3343" t="s">
        <v>844</v>
      </c>
      <c r="G3343" t="s">
        <v>172</v>
      </c>
      <c r="H3343" t="s">
        <v>173</v>
      </c>
      <c r="I3343" t="s">
        <v>34</v>
      </c>
      <c r="J3343" t="s">
        <v>272</v>
      </c>
      <c r="K3343" t="s">
        <v>41</v>
      </c>
      <c r="L3343" t="s">
        <v>174</v>
      </c>
      <c r="M3343" t="s">
        <v>16996</v>
      </c>
      <c r="N3343" t="s">
        <v>11429</v>
      </c>
      <c r="O3343" t="s">
        <v>101</v>
      </c>
      <c r="P3343" t="s">
        <v>16997</v>
      </c>
      <c r="Q3343" t="s">
        <v>175</v>
      </c>
      <c r="R3343" t="s">
        <v>462</v>
      </c>
      <c r="S3343">
        <v>2.33</v>
      </c>
      <c r="T3343">
        <v>7326</v>
      </c>
      <c r="U3343">
        <v>0</v>
      </c>
      <c r="V3343">
        <v>7326</v>
      </c>
    </row>
    <row r="3344" spans="1:22" x14ac:dyDescent="0.3">
      <c r="A3344">
        <v>186607</v>
      </c>
      <c r="B3344">
        <v>137252896</v>
      </c>
      <c r="C3344" t="s">
        <v>16998</v>
      </c>
      <c r="D3344" t="s">
        <v>16999</v>
      </c>
      <c r="E3344" t="s">
        <v>11426</v>
      </c>
      <c r="F3344" t="s">
        <v>844</v>
      </c>
      <c r="G3344" t="s">
        <v>172</v>
      </c>
      <c r="H3344" t="s">
        <v>173</v>
      </c>
      <c r="I3344" t="s">
        <v>34</v>
      </c>
      <c r="J3344" t="s">
        <v>272</v>
      </c>
      <c r="K3344" t="s">
        <v>41</v>
      </c>
      <c r="L3344" t="s">
        <v>17000</v>
      </c>
      <c r="M3344" t="s">
        <v>17001</v>
      </c>
      <c r="N3344" t="s">
        <v>11429</v>
      </c>
      <c r="O3344" t="s">
        <v>101</v>
      </c>
      <c r="P3344" t="s">
        <v>17002</v>
      </c>
      <c r="Q3344" t="s">
        <v>180</v>
      </c>
      <c r="R3344" t="s">
        <v>11446</v>
      </c>
      <c r="S3344">
        <v>3.83</v>
      </c>
      <c r="T3344">
        <v>7449</v>
      </c>
      <c r="U3344">
        <v>0</v>
      </c>
      <c r="V3344">
        <v>7449</v>
      </c>
    </row>
    <row r="3345" spans="1:22" x14ac:dyDescent="0.3">
      <c r="A3345">
        <v>186607</v>
      </c>
      <c r="B3345">
        <v>137252903</v>
      </c>
      <c r="C3345" t="s">
        <v>17003</v>
      </c>
      <c r="D3345" t="s">
        <v>17004</v>
      </c>
      <c r="E3345" t="s">
        <v>11426</v>
      </c>
      <c r="F3345" t="s">
        <v>844</v>
      </c>
      <c r="G3345" t="s">
        <v>172</v>
      </c>
      <c r="H3345" t="s">
        <v>173</v>
      </c>
      <c r="I3345" t="s">
        <v>34</v>
      </c>
      <c r="J3345" t="s">
        <v>272</v>
      </c>
      <c r="K3345" t="s">
        <v>41</v>
      </c>
      <c r="L3345" t="s">
        <v>17005</v>
      </c>
      <c r="M3345" t="s">
        <v>17006</v>
      </c>
      <c r="N3345" t="s">
        <v>11429</v>
      </c>
      <c r="O3345" t="s">
        <v>101</v>
      </c>
      <c r="P3345" t="s">
        <v>17007</v>
      </c>
      <c r="Q3345" t="s">
        <v>103</v>
      </c>
      <c r="R3345" t="s">
        <v>11446</v>
      </c>
      <c r="S3345">
        <v>3.41</v>
      </c>
      <c r="T3345">
        <v>4537</v>
      </c>
      <c r="U3345">
        <v>0</v>
      </c>
      <c r="V3345">
        <v>4537</v>
      </c>
    </row>
    <row r="3346" spans="1:22" x14ac:dyDescent="0.3">
      <c r="A3346">
        <v>186607</v>
      </c>
      <c r="B3346">
        <v>137032987</v>
      </c>
      <c r="C3346" t="s">
        <v>17008</v>
      </c>
      <c r="D3346" t="s">
        <v>17009</v>
      </c>
      <c r="E3346" t="s">
        <v>11426</v>
      </c>
      <c r="F3346" t="s">
        <v>844</v>
      </c>
      <c r="G3346" t="s">
        <v>172</v>
      </c>
      <c r="H3346" t="s">
        <v>173</v>
      </c>
      <c r="I3346" t="s">
        <v>34</v>
      </c>
      <c r="J3346" t="s">
        <v>272</v>
      </c>
      <c r="K3346" t="s">
        <v>41</v>
      </c>
      <c r="L3346" t="s">
        <v>174</v>
      </c>
      <c r="M3346" t="s">
        <v>505</v>
      </c>
      <c r="N3346" t="s">
        <v>11429</v>
      </c>
      <c r="O3346" t="s">
        <v>101</v>
      </c>
      <c r="P3346" t="s">
        <v>17010</v>
      </c>
      <c r="Q3346" t="s">
        <v>316</v>
      </c>
      <c r="R3346" t="s">
        <v>138</v>
      </c>
      <c r="S3346">
        <v>2.89</v>
      </c>
      <c r="T3346">
        <v>7015</v>
      </c>
      <c r="U3346">
        <v>0</v>
      </c>
      <c r="V3346">
        <v>7015</v>
      </c>
    </row>
    <row r="3347" spans="1:22" x14ac:dyDescent="0.3">
      <c r="A3347">
        <v>186607</v>
      </c>
      <c r="B3347">
        <v>137032997</v>
      </c>
      <c r="C3347" t="s">
        <v>17011</v>
      </c>
      <c r="D3347" t="s">
        <v>17012</v>
      </c>
      <c r="E3347" t="s">
        <v>11426</v>
      </c>
      <c r="F3347" t="s">
        <v>844</v>
      </c>
      <c r="G3347" t="s">
        <v>172</v>
      </c>
      <c r="H3347" t="s">
        <v>173</v>
      </c>
      <c r="I3347" t="s">
        <v>34</v>
      </c>
      <c r="J3347" t="s">
        <v>272</v>
      </c>
      <c r="K3347" t="s">
        <v>41</v>
      </c>
      <c r="L3347" t="s">
        <v>174</v>
      </c>
      <c r="M3347" t="s">
        <v>17013</v>
      </c>
      <c r="N3347" t="s">
        <v>11429</v>
      </c>
      <c r="O3347" t="s">
        <v>101</v>
      </c>
      <c r="P3347" t="s">
        <v>17014</v>
      </c>
      <c r="Q3347" t="s">
        <v>103</v>
      </c>
      <c r="R3347" t="s">
        <v>11745</v>
      </c>
      <c r="S3347">
        <v>4.03</v>
      </c>
      <c r="T3347">
        <v>4537</v>
      </c>
      <c r="U3347">
        <v>0</v>
      </c>
      <c r="V3347">
        <v>4537</v>
      </c>
    </row>
    <row r="3348" spans="1:22" x14ac:dyDescent="0.3">
      <c r="A3348">
        <v>186607</v>
      </c>
      <c r="B3348">
        <v>136921080</v>
      </c>
      <c r="C3348" t="s">
        <v>17015</v>
      </c>
      <c r="D3348" t="s">
        <v>17016</v>
      </c>
      <c r="E3348" t="s">
        <v>11426</v>
      </c>
      <c r="F3348" t="s">
        <v>844</v>
      </c>
      <c r="G3348" t="s">
        <v>172</v>
      </c>
      <c r="H3348" t="s">
        <v>173</v>
      </c>
      <c r="I3348" t="s">
        <v>34</v>
      </c>
      <c r="J3348" t="s">
        <v>272</v>
      </c>
      <c r="K3348" t="s">
        <v>41</v>
      </c>
      <c r="L3348" t="s">
        <v>17017</v>
      </c>
      <c r="M3348" t="s">
        <v>17018</v>
      </c>
      <c r="N3348" t="s">
        <v>11429</v>
      </c>
      <c r="O3348" t="s">
        <v>101</v>
      </c>
      <c r="P3348" t="s">
        <v>17019</v>
      </c>
      <c r="Q3348" t="s">
        <v>113</v>
      </c>
      <c r="R3348" t="s">
        <v>12110</v>
      </c>
      <c r="S3348">
        <v>2.14</v>
      </c>
      <c r="T3348">
        <v>6800</v>
      </c>
      <c r="U3348">
        <v>0</v>
      </c>
      <c r="V3348">
        <v>6800</v>
      </c>
    </row>
    <row r="3349" spans="1:22" x14ac:dyDescent="0.3">
      <c r="A3349">
        <v>186607</v>
      </c>
      <c r="B3349">
        <v>136997972</v>
      </c>
      <c r="C3349" t="s">
        <v>17020</v>
      </c>
      <c r="D3349" t="s">
        <v>17021</v>
      </c>
      <c r="E3349" t="s">
        <v>11426</v>
      </c>
      <c r="F3349" t="s">
        <v>844</v>
      </c>
      <c r="G3349" t="s">
        <v>172</v>
      </c>
      <c r="H3349" t="s">
        <v>173</v>
      </c>
      <c r="I3349" t="s">
        <v>34</v>
      </c>
      <c r="J3349" t="s">
        <v>272</v>
      </c>
      <c r="K3349" t="s">
        <v>41</v>
      </c>
      <c r="L3349" t="s">
        <v>174</v>
      </c>
      <c r="M3349" t="s">
        <v>17022</v>
      </c>
      <c r="N3349" t="s">
        <v>11429</v>
      </c>
      <c r="O3349" t="s">
        <v>101</v>
      </c>
      <c r="P3349" t="s">
        <v>17023</v>
      </c>
      <c r="Q3349" t="s">
        <v>86</v>
      </c>
      <c r="R3349" t="s">
        <v>462</v>
      </c>
      <c r="S3349">
        <v>3.73</v>
      </c>
      <c r="T3349">
        <v>7129</v>
      </c>
      <c r="U3349">
        <v>0</v>
      </c>
      <c r="V3349">
        <v>7129</v>
      </c>
    </row>
    <row r="3350" spans="1:22" x14ac:dyDescent="0.3">
      <c r="A3350">
        <v>186607</v>
      </c>
      <c r="B3350">
        <v>135421435</v>
      </c>
      <c r="C3350" t="s">
        <v>17024</v>
      </c>
      <c r="D3350" t="s">
        <v>17025</v>
      </c>
      <c r="E3350" t="s">
        <v>11426</v>
      </c>
      <c r="F3350" t="s">
        <v>844</v>
      </c>
      <c r="G3350" t="s">
        <v>172</v>
      </c>
      <c r="H3350" t="s">
        <v>173</v>
      </c>
      <c r="I3350" t="s">
        <v>34</v>
      </c>
      <c r="J3350" t="s">
        <v>272</v>
      </c>
      <c r="K3350" t="s">
        <v>41</v>
      </c>
      <c r="L3350" t="s">
        <v>174</v>
      </c>
      <c r="M3350" t="s">
        <v>17026</v>
      </c>
      <c r="N3350" t="s">
        <v>11429</v>
      </c>
      <c r="O3350" t="s">
        <v>101</v>
      </c>
      <c r="P3350" t="s">
        <v>17027</v>
      </c>
      <c r="Q3350" t="s">
        <v>114</v>
      </c>
      <c r="R3350" t="s">
        <v>16209</v>
      </c>
      <c r="S3350">
        <v>3.35</v>
      </c>
      <c r="T3350">
        <v>7224</v>
      </c>
      <c r="U3350">
        <v>0</v>
      </c>
      <c r="V3350">
        <v>7224</v>
      </c>
    </row>
    <row r="3351" spans="1:22" x14ac:dyDescent="0.3">
      <c r="A3351">
        <v>186607</v>
      </c>
      <c r="B3351">
        <v>136997956</v>
      </c>
      <c r="C3351" t="s">
        <v>17028</v>
      </c>
      <c r="D3351" t="s">
        <v>17029</v>
      </c>
      <c r="E3351" t="s">
        <v>11426</v>
      </c>
      <c r="F3351" t="s">
        <v>844</v>
      </c>
      <c r="G3351" t="s">
        <v>172</v>
      </c>
      <c r="H3351" t="s">
        <v>173</v>
      </c>
      <c r="I3351" t="s">
        <v>34</v>
      </c>
      <c r="J3351" t="s">
        <v>272</v>
      </c>
      <c r="K3351" t="s">
        <v>41</v>
      </c>
      <c r="L3351" t="s">
        <v>174</v>
      </c>
      <c r="M3351" t="s">
        <v>17030</v>
      </c>
      <c r="N3351" t="s">
        <v>11429</v>
      </c>
      <c r="O3351" t="s">
        <v>101</v>
      </c>
      <c r="P3351" t="s">
        <v>17031</v>
      </c>
      <c r="Q3351" t="s">
        <v>102</v>
      </c>
      <c r="R3351" t="s">
        <v>462</v>
      </c>
      <c r="S3351">
        <v>4.7699999999999996</v>
      </c>
      <c r="T3351">
        <v>4537</v>
      </c>
      <c r="U3351">
        <v>0</v>
      </c>
      <c r="V3351">
        <v>4537</v>
      </c>
    </row>
    <row r="3352" spans="1:22" x14ac:dyDescent="0.3">
      <c r="A3352">
        <v>186607</v>
      </c>
      <c r="B3352">
        <v>137206074</v>
      </c>
      <c r="C3352" t="s">
        <v>17032</v>
      </c>
      <c r="D3352" t="s">
        <v>17033</v>
      </c>
      <c r="E3352" t="s">
        <v>11426</v>
      </c>
      <c r="F3352" t="s">
        <v>844</v>
      </c>
      <c r="G3352" t="s">
        <v>172</v>
      </c>
      <c r="H3352" t="s">
        <v>173</v>
      </c>
      <c r="I3352" t="s">
        <v>34</v>
      </c>
      <c r="J3352" t="s">
        <v>272</v>
      </c>
      <c r="K3352" t="s">
        <v>41</v>
      </c>
      <c r="L3352" t="s">
        <v>174</v>
      </c>
      <c r="M3352" t="s">
        <v>17034</v>
      </c>
      <c r="N3352" t="s">
        <v>11429</v>
      </c>
      <c r="O3352" t="s">
        <v>101</v>
      </c>
      <c r="P3352" t="s">
        <v>17035</v>
      </c>
      <c r="Q3352" t="s">
        <v>116</v>
      </c>
      <c r="R3352" t="s">
        <v>448</v>
      </c>
      <c r="S3352">
        <v>3.52</v>
      </c>
      <c r="T3352">
        <v>4537</v>
      </c>
      <c r="U3352">
        <v>0</v>
      </c>
      <c r="V3352">
        <v>4537</v>
      </c>
    </row>
    <row r="3353" spans="1:22" x14ac:dyDescent="0.3">
      <c r="A3353">
        <v>186607</v>
      </c>
      <c r="B3353">
        <v>137206026</v>
      </c>
      <c r="C3353" t="s">
        <v>17036</v>
      </c>
      <c r="D3353" t="s">
        <v>17037</v>
      </c>
      <c r="E3353" t="s">
        <v>11426</v>
      </c>
      <c r="F3353" t="s">
        <v>844</v>
      </c>
      <c r="G3353" t="s">
        <v>172</v>
      </c>
      <c r="H3353" t="s">
        <v>173</v>
      </c>
      <c r="I3353" t="s">
        <v>34</v>
      </c>
      <c r="J3353" t="s">
        <v>272</v>
      </c>
      <c r="K3353" t="s">
        <v>41</v>
      </c>
      <c r="L3353" t="s">
        <v>174</v>
      </c>
      <c r="M3353" t="s">
        <v>17038</v>
      </c>
      <c r="N3353" t="s">
        <v>11429</v>
      </c>
      <c r="O3353" t="s">
        <v>101</v>
      </c>
      <c r="P3353" t="s">
        <v>17039</v>
      </c>
      <c r="Q3353" t="s">
        <v>102</v>
      </c>
      <c r="R3353" t="s">
        <v>448</v>
      </c>
      <c r="S3353">
        <v>3.74</v>
      </c>
      <c r="T3353">
        <v>4537</v>
      </c>
      <c r="U3353">
        <v>0</v>
      </c>
      <c r="V3353">
        <v>4537</v>
      </c>
    </row>
    <row r="3354" spans="1:22" x14ac:dyDescent="0.3">
      <c r="A3354">
        <v>186607</v>
      </c>
      <c r="B3354">
        <v>137205997</v>
      </c>
      <c r="C3354" t="s">
        <v>17040</v>
      </c>
      <c r="D3354" t="s">
        <v>17041</v>
      </c>
      <c r="E3354" t="s">
        <v>11426</v>
      </c>
      <c r="F3354" t="s">
        <v>844</v>
      </c>
      <c r="G3354" t="s">
        <v>172</v>
      </c>
      <c r="H3354" t="s">
        <v>173</v>
      </c>
      <c r="I3354" t="s">
        <v>34</v>
      </c>
      <c r="J3354" t="s">
        <v>272</v>
      </c>
      <c r="K3354" t="s">
        <v>41</v>
      </c>
      <c r="L3354" t="s">
        <v>174</v>
      </c>
      <c r="M3354" t="s">
        <v>17042</v>
      </c>
      <c r="N3354" t="s">
        <v>11429</v>
      </c>
      <c r="O3354" t="s">
        <v>101</v>
      </c>
      <c r="P3354" t="s">
        <v>17043</v>
      </c>
      <c r="Q3354" t="s">
        <v>104</v>
      </c>
      <c r="R3354" t="s">
        <v>448</v>
      </c>
      <c r="S3354">
        <v>3.65</v>
      </c>
      <c r="T3354">
        <v>4537</v>
      </c>
      <c r="U3354">
        <v>0</v>
      </c>
      <c r="V3354">
        <v>4537</v>
      </c>
    </row>
    <row r="3355" spans="1:22" x14ac:dyDescent="0.3">
      <c r="A3355">
        <v>186607</v>
      </c>
      <c r="B3355">
        <v>137206012</v>
      </c>
      <c r="C3355" t="s">
        <v>17044</v>
      </c>
      <c r="D3355" t="s">
        <v>17045</v>
      </c>
      <c r="E3355" t="s">
        <v>11426</v>
      </c>
      <c r="F3355" t="s">
        <v>844</v>
      </c>
      <c r="G3355" t="s">
        <v>172</v>
      </c>
      <c r="H3355" t="s">
        <v>173</v>
      </c>
      <c r="I3355" t="s">
        <v>34</v>
      </c>
      <c r="J3355" t="s">
        <v>272</v>
      </c>
      <c r="K3355" t="s">
        <v>41</v>
      </c>
      <c r="L3355" t="s">
        <v>174</v>
      </c>
      <c r="M3355" t="s">
        <v>17046</v>
      </c>
      <c r="N3355" t="s">
        <v>11429</v>
      </c>
      <c r="O3355" t="s">
        <v>101</v>
      </c>
      <c r="P3355" t="s">
        <v>17047</v>
      </c>
      <c r="Q3355" t="s">
        <v>102</v>
      </c>
      <c r="R3355" t="s">
        <v>448</v>
      </c>
      <c r="S3355">
        <v>3.77</v>
      </c>
      <c r="T3355">
        <v>4537</v>
      </c>
      <c r="U3355">
        <v>0</v>
      </c>
      <c r="V3355">
        <v>4537</v>
      </c>
    </row>
    <row r="3356" spans="1:22" x14ac:dyDescent="0.3">
      <c r="A3356">
        <v>186607</v>
      </c>
      <c r="B3356">
        <v>136997919</v>
      </c>
      <c r="C3356" t="s">
        <v>17048</v>
      </c>
      <c r="D3356" t="s">
        <v>17049</v>
      </c>
      <c r="E3356" t="s">
        <v>11426</v>
      </c>
      <c r="F3356" t="s">
        <v>844</v>
      </c>
      <c r="G3356" t="s">
        <v>172</v>
      </c>
      <c r="H3356" t="s">
        <v>173</v>
      </c>
      <c r="I3356" t="s">
        <v>34</v>
      </c>
      <c r="J3356" t="s">
        <v>272</v>
      </c>
      <c r="K3356" t="s">
        <v>41</v>
      </c>
      <c r="L3356" t="s">
        <v>17050</v>
      </c>
      <c r="M3356" t="s">
        <v>17051</v>
      </c>
      <c r="N3356" t="s">
        <v>11429</v>
      </c>
      <c r="O3356" t="s">
        <v>101</v>
      </c>
      <c r="P3356" t="s">
        <v>17052</v>
      </c>
      <c r="Q3356" t="s">
        <v>107</v>
      </c>
      <c r="R3356" t="s">
        <v>753</v>
      </c>
      <c r="S3356">
        <v>2.17</v>
      </c>
      <c r="T3356">
        <v>4168</v>
      </c>
      <c r="U3356">
        <v>0</v>
      </c>
      <c r="V3356">
        <v>4168</v>
      </c>
    </row>
    <row r="3357" spans="1:22" x14ac:dyDescent="0.3">
      <c r="A3357">
        <v>186607</v>
      </c>
      <c r="B3357">
        <v>136997933</v>
      </c>
      <c r="C3357" t="s">
        <v>17053</v>
      </c>
      <c r="D3357" t="s">
        <v>17054</v>
      </c>
      <c r="E3357" t="s">
        <v>11426</v>
      </c>
      <c r="F3357" t="s">
        <v>844</v>
      </c>
      <c r="G3357" t="s">
        <v>172</v>
      </c>
      <c r="H3357" t="s">
        <v>173</v>
      </c>
      <c r="I3357" t="s">
        <v>34</v>
      </c>
      <c r="J3357" t="s">
        <v>272</v>
      </c>
      <c r="K3357" t="s">
        <v>41</v>
      </c>
      <c r="L3357" t="s">
        <v>17055</v>
      </c>
      <c r="M3357" t="s">
        <v>17056</v>
      </c>
      <c r="N3357" t="s">
        <v>11429</v>
      </c>
      <c r="O3357" t="s">
        <v>101</v>
      </c>
      <c r="P3357" t="s">
        <v>17057</v>
      </c>
      <c r="Q3357" t="s">
        <v>828</v>
      </c>
      <c r="R3357" t="s">
        <v>753</v>
      </c>
      <c r="S3357">
        <v>3.64</v>
      </c>
      <c r="T3357">
        <v>8439</v>
      </c>
      <c r="U3357">
        <v>0</v>
      </c>
      <c r="V3357">
        <v>8439</v>
      </c>
    </row>
    <row r="3358" spans="1:22" x14ac:dyDescent="0.3">
      <c r="A3358">
        <v>186607</v>
      </c>
      <c r="B3358">
        <v>136939684</v>
      </c>
      <c r="C3358" t="s">
        <v>17058</v>
      </c>
      <c r="D3358" t="s">
        <v>17059</v>
      </c>
      <c r="E3358" t="s">
        <v>11426</v>
      </c>
      <c r="F3358" t="s">
        <v>844</v>
      </c>
      <c r="G3358" t="s">
        <v>172</v>
      </c>
      <c r="H3358" t="s">
        <v>173</v>
      </c>
      <c r="I3358" t="s">
        <v>34</v>
      </c>
      <c r="J3358" t="s">
        <v>272</v>
      </c>
      <c r="K3358" t="s">
        <v>41</v>
      </c>
      <c r="L3358" t="s">
        <v>17060</v>
      </c>
      <c r="M3358" t="s">
        <v>17061</v>
      </c>
      <c r="N3358" t="s">
        <v>11429</v>
      </c>
      <c r="O3358" t="s">
        <v>101</v>
      </c>
      <c r="P3358" t="s">
        <v>17062</v>
      </c>
      <c r="Q3358" t="s">
        <v>86</v>
      </c>
      <c r="R3358" t="s">
        <v>568</v>
      </c>
      <c r="S3358">
        <v>2.25</v>
      </c>
      <c r="T3358">
        <v>6800</v>
      </c>
      <c r="U3358">
        <v>0</v>
      </c>
      <c r="V3358">
        <v>6800</v>
      </c>
    </row>
    <row r="3359" spans="1:22" x14ac:dyDescent="0.3">
      <c r="A3359">
        <v>186607</v>
      </c>
      <c r="B3359">
        <v>137169239</v>
      </c>
      <c r="C3359" t="s">
        <v>17063</v>
      </c>
      <c r="D3359" t="s">
        <v>17064</v>
      </c>
      <c r="E3359" t="s">
        <v>11426</v>
      </c>
      <c r="F3359" t="s">
        <v>844</v>
      </c>
      <c r="G3359" t="s">
        <v>172</v>
      </c>
      <c r="H3359" t="s">
        <v>173</v>
      </c>
      <c r="I3359" t="s">
        <v>34</v>
      </c>
      <c r="J3359" t="s">
        <v>272</v>
      </c>
      <c r="K3359" t="s">
        <v>41</v>
      </c>
      <c r="L3359" t="s">
        <v>174</v>
      </c>
      <c r="M3359" t="s">
        <v>17065</v>
      </c>
      <c r="N3359" t="s">
        <v>11429</v>
      </c>
      <c r="O3359" t="s">
        <v>101</v>
      </c>
      <c r="P3359" t="s">
        <v>17066</v>
      </c>
      <c r="Q3359" t="s">
        <v>282</v>
      </c>
      <c r="R3359" t="s">
        <v>11626</v>
      </c>
      <c r="S3359">
        <v>4.55</v>
      </c>
      <c r="T3359">
        <v>7129</v>
      </c>
      <c r="U3359">
        <v>0</v>
      </c>
      <c r="V3359">
        <v>7129</v>
      </c>
    </row>
    <row r="3360" spans="1:22" x14ac:dyDescent="0.3">
      <c r="A3360">
        <v>186607</v>
      </c>
      <c r="B3360">
        <v>137084782</v>
      </c>
      <c r="C3360" t="s">
        <v>17067</v>
      </c>
      <c r="D3360" t="s">
        <v>17068</v>
      </c>
      <c r="E3360" t="s">
        <v>11426</v>
      </c>
      <c r="F3360" t="s">
        <v>844</v>
      </c>
      <c r="G3360" t="s">
        <v>172</v>
      </c>
      <c r="H3360" t="s">
        <v>173</v>
      </c>
      <c r="I3360" t="s">
        <v>34</v>
      </c>
      <c r="J3360" t="s">
        <v>272</v>
      </c>
      <c r="K3360" t="s">
        <v>41</v>
      </c>
      <c r="L3360" t="s">
        <v>17069</v>
      </c>
      <c r="M3360" t="s">
        <v>17070</v>
      </c>
      <c r="N3360" t="s">
        <v>11429</v>
      </c>
      <c r="O3360" t="s">
        <v>101</v>
      </c>
      <c r="P3360" t="s">
        <v>17071</v>
      </c>
      <c r="Q3360" t="s">
        <v>104</v>
      </c>
      <c r="R3360" t="s">
        <v>11890</v>
      </c>
      <c r="S3360">
        <v>4.29</v>
      </c>
      <c r="T3360">
        <v>4537</v>
      </c>
      <c r="U3360">
        <v>0</v>
      </c>
      <c r="V3360">
        <v>4537</v>
      </c>
    </row>
    <row r="3361" spans="1:22" x14ac:dyDescent="0.3">
      <c r="A3361">
        <v>186607</v>
      </c>
      <c r="B3361">
        <v>137084797</v>
      </c>
      <c r="C3361" t="s">
        <v>17072</v>
      </c>
      <c r="D3361" t="s">
        <v>17073</v>
      </c>
      <c r="E3361" t="s">
        <v>11426</v>
      </c>
      <c r="F3361" t="s">
        <v>844</v>
      </c>
      <c r="G3361" t="s">
        <v>172</v>
      </c>
      <c r="H3361" t="s">
        <v>173</v>
      </c>
      <c r="I3361" t="s">
        <v>34</v>
      </c>
      <c r="J3361" t="s">
        <v>272</v>
      </c>
      <c r="K3361" t="s">
        <v>41</v>
      </c>
      <c r="L3361" t="s">
        <v>17074</v>
      </c>
      <c r="M3361" t="s">
        <v>17075</v>
      </c>
      <c r="N3361" t="s">
        <v>11429</v>
      </c>
      <c r="O3361" t="s">
        <v>101</v>
      </c>
      <c r="P3361" t="s">
        <v>17076</v>
      </c>
      <c r="Q3361" t="s">
        <v>86</v>
      </c>
      <c r="R3361" t="s">
        <v>11890</v>
      </c>
      <c r="S3361">
        <v>3.1</v>
      </c>
      <c r="T3361">
        <v>7129</v>
      </c>
      <c r="U3361">
        <v>0</v>
      </c>
      <c r="V3361">
        <v>7129</v>
      </c>
    </row>
    <row r="3362" spans="1:22" x14ac:dyDescent="0.3">
      <c r="A3362">
        <v>186607</v>
      </c>
      <c r="B3362">
        <v>137169267</v>
      </c>
      <c r="C3362" t="s">
        <v>17077</v>
      </c>
      <c r="D3362" t="s">
        <v>17078</v>
      </c>
      <c r="E3362" t="s">
        <v>11426</v>
      </c>
      <c r="F3362" t="s">
        <v>844</v>
      </c>
      <c r="G3362" t="s">
        <v>172</v>
      </c>
      <c r="H3362" t="s">
        <v>173</v>
      </c>
      <c r="I3362" t="s">
        <v>34</v>
      </c>
      <c r="J3362" t="s">
        <v>272</v>
      </c>
      <c r="K3362" t="s">
        <v>41</v>
      </c>
      <c r="L3362" t="s">
        <v>174</v>
      </c>
      <c r="M3362" t="s">
        <v>17079</v>
      </c>
      <c r="N3362" t="s">
        <v>11429</v>
      </c>
      <c r="O3362" t="s">
        <v>101</v>
      </c>
      <c r="P3362" t="s">
        <v>17080</v>
      </c>
      <c r="Q3362" t="s">
        <v>86</v>
      </c>
      <c r="R3362" t="s">
        <v>17081</v>
      </c>
      <c r="S3362">
        <v>2.67</v>
      </c>
      <c r="T3362">
        <v>6800</v>
      </c>
      <c r="U3362">
        <v>0</v>
      </c>
      <c r="V3362">
        <v>6800</v>
      </c>
    </row>
    <row r="3363" spans="1:22" x14ac:dyDescent="0.3">
      <c r="A3363">
        <v>186607</v>
      </c>
      <c r="B3363">
        <v>137206068</v>
      </c>
      <c r="C3363" t="s">
        <v>17082</v>
      </c>
      <c r="D3363" t="s">
        <v>17083</v>
      </c>
      <c r="E3363" t="s">
        <v>11426</v>
      </c>
      <c r="F3363" t="s">
        <v>844</v>
      </c>
      <c r="G3363" t="s">
        <v>172</v>
      </c>
      <c r="H3363" t="s">
        <v>173</v>
      </c>
      <c r="I3363" t="s">
        <v>34</v>
      </c>
      <c r="J3363" t="s">
        <v>272</v>
      </c>
      <c r="K3363" t="s">
        <v>41</v>
      </c>
      <c r="L3363" t="s">
        <v>174</v>
      </c>
      <c r="M3363" t="s">
        <v>17084</v>
      </c>
      <c r="N3363" t="s">
        <v>11429</v>
      </c>
      <c r="O3363" t="s">
        <v>101</v>
      </c>
      <c r="P3363" t="s">
        <v>17085</v>
      </c>
      <c r="Q3363" t="s">
        <v>86</v>
      </c>
      <c r="R3363" t="s">
        <v>448</v>
      </c>
      <c r="S3363">
        <v>2.71</v>
      </c>
      <c r="T3363">
        <v>6800</v>
      </c>
      <c r="U3363">
        <v>0</v>
      </c>
      <c r="V3363">
        <v>6800</v>
      </c>
    </row>
    <row r="3364" spans="1:22" x14ac:dyDescent="0.3">
      <c r="A3364">
        <v>186607</v>
      </c>
      <c r="B3364">
        <v>137084789</v>
      </c>
      <c r="C3364" t="s">
        <v>17086</v>
      </c>
      <c r="D3364" t="s">
        <v>17087</v>
      </c>
      <c r="E3364" t="s">
        <v>11426</v>
      </c>
      <c r="F3364" t="s">
        <v>844</v>
      </c>
      <c r="G3364" t="s">
        <v>172</v>
      </c>
      <c r="H3364" t="s">
        <v>173</v>
      </c>
      <c r="I3364" t="s">
        <v>34</v>
      </c>
      <c r="J3364" t="s">
        <v>272</v>
      </c>
      <c r="K3364" t="s">
        <v>46</v>
      </c>
      <c r="L3364" t="s">
        <v>242</v>
      </c>
      <c r="M3364" t="s">
        <v>17088</v>
      </c>
      <c r="N3364" t="s">
        <v>11429</v>
      </c>
      <c r="O3364" t="s">
        <v>101</v>
      </c>
      <c r="P3364" t="s">
        <v>17089</v>
      </c>
      <c r="Q3364" t="s">
        <v>282</v>
      </c>
      <c r="R3364" t="s">
        <v>11890</v>
      </c>
      <c r="S3364">
        <v>2.69</v>
      </c>
      <c r="T3364">
        <v>6800</v>
      </c>
      <c r="U3364">
        <v>0</v>
      </c>
      <c r="V3364">
        <v>6800</v>
      </c>
    </row>
    <row r="3365" spans="1:22" x14ac:dyDescent="0.3">
      <c r="A3365">
        <v>186607</v>
      </c>
      <c r="B3365">
        <v>137084801</v>
      </c>
      <c r="C3365" t="s">
        <v>17090</v>
      </c>
      <c r="D3365" t="s">
        <v>17091</v>
      </c>
      <c r="E3365" t="s">
        <v>11426</v>
      </c>
      <c r="F3365" t="s">
        <v>844</v>
      </c>
      <c r="G3365" t="s">
        <v>172</v>
      </c>
      <c r="H3365" t="s">
        <v>173</v>
      </c>
      <c r="I3365" t="s">
        <v>34</v>
      </c>
      <c r="J3365" t="s">
        <v>272</v>
      </c>
      <c r="K3365" t="s">
        <v>41</v>
      </c>
      <c r="L3365" t="s">
        <v>17092</v>
      </c>
      <c r="M3365" t="s">
        <v>17093</v>
      </c>
      <c r="N3365" t="s">
        <v>11429</v>
      </c>
      <c r="O3365" t="s">
        <v>101</v>
      </c>
      <c r="P3365" t="s">
        <v>17094</v>
      </c>
      <c r="Q3365" t="s">
        <v>102</v>
      </c>
      <c r="R3365" t="s">
        <v>11890</v>
      </c>
      <c r="S3365">
        <v>2.71</v>
      </c>
      <c r="T3365">
        <v>4168</v>
      </c>
      <c r="U3365">
        <v>0</v>
      </c>
      <c r="V3365">
        <v>4168</v>
      </c>
    </row>
    <row r="3366" spans="1:22" x14ac:dyDescent="0.3">
      <c r="A3366">
        <v>186607</v>
      </c>
      <c r="B3366">
        <v>137084811</v>
      </c>
      <c r="C3366" t="s">
        <v>17095</v>
      </c>
      <c r="D3366" t="s">
        <v>17096</v>
      </c>
      <c r="E3366" t="s">
        <v>11426</v>
      </c>
      <c r="F3366" t="s">
        <v>844</v>
      </c>
      <c r="G3366" t="s">
        <v>172</v>
      </c>
      <c r="H3366" t="s">
        <v>173</v>
      </c>
      <c r="I3366" t="s">
        <v>34</v>
      </c>
      <c r="J3366" t="s">
        <v>272</v>
      </c>
      <c r="K3366" t="s">
        <v>17097</v>
      </c>
      <c r="L3366" t="s">
        <v>17098</v>
      </c>
      <c r="M3366" t="s">
        <v>17099</v>
      </c>
      <c r="N3366" t="s">
        <v>11429</v>
      </c>
      <c r="O3366" t="s">
        <v>101</v>
      </c>
      <c r="P3366" t="s">
        <v>17100</v>
      </c>
      <c r="Q3366" t="s">
        <v>107</v>
      </c>
      <c r="R3366" t="s">
        <v>11890</v>
      </c>
      <c r="S3366">
        <v>3.73</v>
      </c>
      <c r="T3366">
        <v>4537</v>
      </c>
      <c r="U3366">
        <v>0</v>
      </c>
      <c r="V3366">
        <v>4537</v>
      </c>
    </row>
    <row r="3367" spans="1:22" x14ac:dyDescent="0.3">
      <c r="A3367">
        <v>186607</v>
      </c>
      <c r="B3367">
        <v>136889186</v>
      </c>
      <c r="C3367" t="s">
        <v>17101</v>
      </c>
      <c r="D3367" t="s">
        <v>17102</v>
      </c>
      <c r="E3367" t="s">
        <v>11426</v>
      </c>
      <c r="F3367" t="s">
        <v>844</v>
      </c>
      <c r="G3367" t="s">
        <v>172</v>
      </c>
      <c r="H3367" t="s">
        <v>173</v>
      </c>
      <c r="I3367" t="s">
        <v>34</v>
      </c>
      <c r="J3367" t="s">
        <v>272</v>
      </c>
      <c r="K3367" t="s">
        <v>41</v>
      </c>
      <c r="L3367" t="s">
        <v>17103</v>
      </c>
      <c r="M3367" t="s">
        <v>17104</v>
      </c>
      <c r="N3367" t="s">
        <v>11429</v>
      </c>
      <c r="O3367" t="s">
        <v>101</v>
      </c>
      <c r="P3367" t="s">
        <v>17105</v>
      </c>
      <c r="Q3367" t="s">
        <v>250</v>
      </c>
      <c r="R3367" t="s">
        <v>124</v>
      </c>
      <c r="S3367">
        <v>4.55</v>
      </c>
      <c r="T3367">
        <v>7449</v>
      </c>
      <c r="U3367">
        <v>0</v>
      </c>
      <c r="V3367">
        <v>7449</v>
      </c>
    </row>
    <row r="3368" spans="1:22" x14ac:dyDescent="0.3">
      <c r="A3368">
        <v>186607</v>
      </c>
      <c r="B3368">
        <v>136997993</v>
      </c>
      <c r="C3368" t="s">
        <v>17106</v>
      </c>
      <c r="D3368" t="s">
        <v>17107</v>
      </c>
      <c r="E3368" t="s">
        <v>11426</v>
      </c>
      <c r="F3368" t="s">
        <v>844</v>
      </c>
      <c r="G3368" t="s">
        <v>172</v>
      </c>
      <c r="H3368" t="s">
        <v>173</v>
      </c>
      <c r="I3368" t="s">
        <v>34</v>
      </c>
      <c r="J3368" t="s">
        <v>272</v>
      </c>
      <c r="K3368" t="s">
        <v>41</v>
      </c>
      <c r="L3368" t="s">
        <v>174</v>
      </c>
      <c r="M3368" t="s">
        <v>17108</v>
      </c>
      <c r="N3368" t="s">
        <v>11429</v>
      </c>
      <c r="O3368" t="s">
        <v>101</v>
      </c>
      <c r="P3368" t="s">
        <v>17109</v>
      </c>
      <c r="Q3368" t="s">
        <v>197</v>
      </c>
      <c r="R3368" t="s">
        <v>462</v>
      </c>
      <c r="S3368">
        <v>3.82</v>
      </c>
      <c r="T3368">
        <v>7224</v>
      </c>
      <c r="U3368">
        <v>0</v>
      </c>
      <c r="V3368">
        <v>7224</v>
      </c>
    </row>
    <row r="3369" spans="1:22" x14ac:dyDescent="0.3">
      <c r="A3369">
        <v>186607</v>
      </c>
      <c r="B3369">
        <v>137169222</v>
      </c>
      <c r="C3369" t="s">
        <v>17110</v>
      </c>
      <c r="D3369" t="s">
        <v>17111</v>
      </c>
      <c r="E3369" t="s">
        <v>11426</v>
      </c>
      <c r="F3369" t="s">
        <v>844</v>
      </c>
      <c r="G3369" t="s">
        <v>172</v>
      </c>
      <c r="H3369" t="s">
        <v>173</v>
      </c>
      <c r="I3369" t="s">
        <v>34</v>
      </c>
      <c r="J3369" t="s">
        <v>272</v>
      </c>
      <c r="K3369" t="s">
        <v>41</v>
      </c>
      <c r="L3369" t="s">
        <v>174</v>
      </c>
      <c r="M3369" t="s">
        <v>17112</v>
      </c>
      <c r="N3369" t="s">
        <v>11429</v>
      </c>
      <c r="O3369" t="s">
        <v>101</v>
      </c>
      <c r="P3369" t="s">
        <v>17113</v>
      </c>
      <c r="Q3369" t="s">
        <v>761</v>
      </c>
      <c r="R3369" t="s">
        <v>11626</v>
      </c>
      <c r="S3369">
        <v>3.41</v>
      </c>
      <c r="T3369">
        <v>10944</v>
      </c>
      <c r="U3369">
        <v>0</v>
      </c>
      <c r="V3369">
        <v>10944</v>
      </c>
    </row>
    <row r="3370" spans="1:22" x14ac:dyDescent="0.3">
      <c r="A3370">
        <v>186607</v>
      </c>
      <c r="B3370">
        <v>136889213</v>
      </c>
      <c r="C3370" t="s">
        <v>17114</v>
      </c>
      <c r="D3370" t="s">
        <v>17115</v>
      </c>
      <c r="E3370" t="s">
        <v>11426</v>
      </c>
      <c r="F3370" t="s">
        <v>844</v>
      </c>
      <c r="G3370" t="s">
        <v>172</v>
      </c>
      <c r="H3370" t="s">
        <v>173</v>
      </c>
      <c r="I3370" t="s">
        <v>34</v>
      </c>
      <c r="J3370" t="s">
        <v>272</v>
      </c>
      <c r="K3370" t="s">
        <v>41</v>
      </c>
      <c r="L3370" t="s">
        <v>174</v>
      </c>
      <c r="M3370" t="s">
        <v>17116</v>
      </c>
      <c r="N3370" t="s">
        <v>11429</v>
      </c>
      <c r="O3370" t="s">
        <v>101</v>
      </c>
      <c r="P3370" t="s">
        <v>17117</v>
      </c>
      <c r="Q3370" t="s">
        <v>99</v>
      </c>
      <c r="R3370" t="s">
        <v>124</v>
      </c>
      <c r="S3370">
        <v>2.1800000000000002</v>
      </c>
      <c r="T3370">
        <v>4168</v>
      </c>
      <c r="U3370">
        <v>0</v>
      </c>
      <c r="V3370">
        <v>4168</v>
      </c>
    </row>
    <row r="3371" spans="1:22" x14ac:dyDescent="0.3">
      <c r="A3371">
        <v>186607</v>
      </c>
      <c r="B3371">
        <v>137122209</v>
      </c>
      <c r="C3371" t="s">
        <v>17118</v>
      </c>
      <c r="D3371" t="s">
        <v>17119</v>
      </c>
      <c r="E3371" t="s">
        <v>11426</v>
      </c>
      <c r="F3371" t="s">
        <v>844</v>
      </c>
      <c r="G3371" t="s">
        <v>172</v>
      </c>
      <c r="H3371" t="s">
        <v>173</v>
      </c>
      <c r="I3371" t="s">
        <v>34</v>
      </c>
      <c r="J3371" t="s">
        <v>272</v>
      </c>
      <c r="K3371" t="s">
        <v>41</v>
      </c>
      <c r="L3371" t="s">
        <v>17120</v>
      </c>
      <c r="M3371" t="s">
        <v>583</v>
      </c>
      <c r="N3371" t="s">
        <v>11429</v>
      </c>
      <c r="O3371" t="s">
        <v>101</v>
      </c>
      <c r="P3371" t="s">
        <v>17121</v>
      </c>
      <c r="Q3371" t="s">
        <v>295</v>
      </c>
      <c r="R3371" t="s">
        <v>519</v>
      </c>
      <c r="S3371">
        <v>2.74</v>
      </c>
      <c r="T3371">
        <v>7015</v>
      </c>
      <c r="U3371">
        <v>0</v>
      </c>
      <c r="V3371">
        <v>7015</v>
      </c>
    </row>
    <row r="3372" spans="1:22" x14ac:dyDescent="0.3">
      <c r="A3372">
        <v>186607</v>
      </c>
      <c r="B3372">
        <v>137122214</v>
      </c>
      <c r="C3372" t="s">
        <v>17122</v>
      </c>
      <c r="D3372" t="s">
        <v>17123</v>
      </c>
      <c r="E3372" t="s">
        <v>11426</v>
      </c>
      <c r="F3372" t="s">
        <v>844</v>
      </c>
      <c r="G3372" t="s">
        <v>172</v>
      </c>
      <c r="H3372" t="s">
        <v>173</v>
      </c>
      <c r="I3372" t="s">
        <v>34</v>
      </c>
      <c r="J3372" t="s">
        <v>272</v>
      </c>
      <c r="K3372" t="s">
        <v>41</v>
      </c>
      <c r="L3372" t="s">
        <v>17124</v>
      </c>
      <c r="M3372" t="s">
        <v>17125</v>
      </c>
      <c r="N3372" t="s">
        <v>11429</v>
      </c>
      <c r="O3372" t="s">
        <v>101</v>
      </c>
      <c r="P3372" t="s">
        <v>17126</v>
      </c>
      <c r="Q3372" t="s">
        <v>104</v>
      </c>
      <c r="R3372" t="s">
        <v>519</v>
      </c>
      <c r="S3372">
        <v>3.67</v>
      </c>
      <c r="T3372">
        <v>4537</v>
      </c>
      <c r="U3372">
        <v>0</v>
      </c>
      <c r="V3372">
        <v>4537</v>
      </c>
    </row>
    <row r="3373" spans="1:22" x14ac:dyDescent="0.3">
      <c r="A3373">
        <v>186607</v>
      </c>
      <c r="B3373">
        <v>137084776</v>
      </c>
      <c r="C3373" t="s">
        <v>17127</v>
      </c>
      <c r="D3373" t="s">
        <v>17128</v>
      </c>
      <c r="E3373" t="s">
        <v>11426</v>
      </c>
      <c r="F3373" t="s">
        <v>844</v>
      </c>
      <c r="G3373" t="s">
        <v>172</v>
      </c>
      <c r="H3373" t="s">
        <v>173</v>
      </c>
      <c r="I3373" t="s">
        <v>34</v>
      </c>
      <c r="J3373" t="s">
        <v>272</v>
      </c>
      <c r="K3373" t="s">
        <v>44</v>
      </c>
      <c r="L3373" t="s">
        <v>686</v>
      </c>
      <c r="M3373" t="s">
        <v>17129</v>
      </c>
      <c r="N3373" t="s">
        <v>11429</v>
      </c>
      <c r="O3373" t="s">
        <v>101</v>
      </c>
      <c r="P3373" t="s">
        <v>17130</v>
      </c>
      <c r="Q3373" t="s">
        <v>103</v>
      </c>
      <c r="R3373" t="s">
        <v>11890</v>
      </c>
      <c r="S3373">
        <v>4.04</v>
      </c>
      <c r="T3373">
        <v>4537</v>
      </c>
      <c r="U3373">
        <v>0</v>
      </c>
      <c r="V3373">
        <v>4537</v>
      </c>
    </row>
    <row r="3374" spans="1:22" x14ac:dyDescent="0.3">
      <c r="A3374">
        <v>186607</v>
      </c>
      <c r="B3374">
        <v>136889189</v>
      </c>
      <c r="C3374" t="s">
        <v>17131</v>
      </c>
      <c r="D3374" t="s">
        <v>17132</v>
      </c>
      <c r="E3374" t="s">
        <v>11426</v>
      </c>
      <c r="F3374" t="s">
        <v>844</v>
      </c>
      <c r="G3374" t="s">
        <v>172</v>
      </c>
      <c r="H3374" t="s">
        <v>173</v>
      </c>
      <c r="I3374" t="s">
        <v>34</v>
      </c>
      <c r="J3374" t="s">
        <v>272</v>
      </c>
      <c r="K3374" t="s">
        <v>44</v>
      </c>
      <c r="L3374" t="s">
        <v>17133</v>
      </c>
      <c r="M3374" t="s">
        <v>17134</v>
      </c>
      <c r="N3374" t="s">
        <v>11429</v>
      </c>
      <c r="O3374" t="s">
        <v>101</v>
      </c>
      <c r="P3374" t="s">
        <v>17135</v>
      </c>
      <c r="Q3374" t="s">
        <v>104</v>
      </c>
      <c r="R3374" t="s">
        <v>124</v>
      </c>
      <c r="S3374">
        <v>2.4700000000000002</v>
      </c>
      <c r="T3374">
        <v>4168</v>
      </c>
      <c r="U3374">
        <v>0</v>
      </c>
      <c r="V3374">
        <v>4168</v>
      </c>
    </row>
    <row r="3375" spans="1:22" x14ac:dyDescent="0.3">
      <c r="A3375">
        <v>186607</v>
      </c>
      <c r="B3375">
        <v>136997949</v>
      </c>
      <c r="C3375" t="s">
        <v>17136</v>
      </c>
      <c r="D3375" t="s">
        <v>17137</v>
      </c>
      <c r="E3375" t="s">
        <v>11426</v>
      </c>
      <c r="F3375" t="s">
        <v>844</v>
      </c>
      <c r="G3375" t="s">
        <v>172</v>
      </c>
      <c r="H3375" t="s">
        <v>173</v>
      </c>
      <c r="I3375" t="s">
        <v>34</v>
      </c>
      <c r="J3375" t="s">
        <v>272</v>
      </c>
      <c r="K3375" t="s">
        <v>41</v>
      </c>
      <c r="L3375" t="s">
        <v>174</v>
      </c>
      <c r="M3375" t="s">
        <v>17138</v>
      </c>
      <c r="N3375" t="s">
        <v>11429</v>
      </c>
      <c r="O3375" t="s">
        <v>101</v>
      </c>
      <c r="P3375" t="s">
        <v>17139</v>
      </c>
      <c r="Q3375" t="s">
        <v>316</v>
      </c>
      <c r="R3375" t="s">
        <v>462</v>
      </c>
      <c r="S3375">
        <v>4.1100000000000003</v>
      </c>
      <c r="T3375">
        <v>7224</v>
      </c>
      <c r="U3375">
        <v>0</v>
      </c>
      <c r="V3375">
        <v>7224</v>
      </c>
    </row>
    <row r="3376" spans="1:22" x14ac:dyDescent="0.3">
      <c r="A3376">
        <v>186607</v>
      </c>
      <c r="B3376">
        <v>136889130</v>
      </c>
      <c r="C3376" t="s">
        <v>17140</v>
      </c>
      <c r="D3376" t="s">
        <v>17141</v>
      </c>
      <c r="E3376" t="s">
        <v>11426</v>
      </c>
      <c r="F3376" t="s">
        <v>844</v>
      </c>
      <c r="G3376" t="s">
        <v>172</v>
      </c>
      <c r="H3376" t="s">
        <v>173</v>
      </c>
      <c r="I3376" t="s">
        <v>34</v>
      </c>
      <c r="J3376" t="s">
        <v>272</v>
      </c>
      <c r="K3376" t="s">
        <v>41</v>
      </c>
      <c r="L3376" t="s">
        <v>17142</v>
      </c>
      <c r="M3376" t="s">
        <v>17143</v>
      </c>
      <c r="N3376" t="s">
        <v>11429</v>
      </c>
      <c r="O3376" t="s">
        <v>101</v>
      </c>
      <c r="P3376" t="s">
        <v>17144</v>
      </c>
      <c r="Q3376" t="s">
        <v>103</v>
      </c>
      <c r="R3376" t="s">
        <v>124</v>
      </c>
      <c r="S3376">
        <v>2.4300000000000002</v>
      </c>
      <c r="T3376">
        <v>4168</v>
      </c>
      <c r="U3376">
        <v>0</v>
      </c>
      <c r="V3376">
        <v>4168</v>
      </c>
    </row>
    <row r="3377" spans="1:22" x14ac:dyDescent="0.3">
      <c r="A3377">
        <v>186607</v>
      </c>
      <c r="B3377">
        <v>136997917</v>
      </c>
      <c r="C3377" t="s">
        <v>17145</v>
      </c>
      <c r="D3377" t="s">
        <v>17146</v>
      </c>
      <c r="E3377" t="s">
        <v>11426</v>
      </c>
      <c r="F3377" t="s">
        <v>844</v>
      </c>
      <c r="G3377" t="s">
        <v>172</v>
      </c>
      <c r="H3377" t="s">
        <v>173</v>
      </c>
      <c r="I3377" t="s">
        <v>34</v>
      </c>
      <c r="J3377" t="s">
        <v>272</v>
      </c>
      <c r="K3377" t="s">
        <v>41</v>
      </c>
      <c r="L3377" t="s">
        <v>17147</v>
      </c>
      <c r="M3377" t="s">
        <v>17148</v>
      </c>
      <c r="N3377" t="s">
        <v>11429</v>
      </c>
      <c r="O3377" t="s">
        <v>101</v>
      </c>
      <c r="P3377" t="s">
        <v>17149</v>
      </c>
      <c r="Q3377" t="s">
        <v>238</v>
      </c>
      <c r="R3377" t="s">
        <v>753</v>
      </c>
      <c r="S3377">
        <v>2.8</v>
      </c>
      <c r="T3377">
        <v>7087</v>
      </c>
      <c r="U3377">
        <v>0</v>
      </c>
      <c r="V3377">
        <v>7087</v>
      </c>
    </row>
    <row r="3378" spans="1:22" x14ac:dyDescent="0.3">
      <c r="A3378">
        <v>186607</v>
      </c>
      <c r="B3378">
        <v>137122256</v>
      </c>
      <c r="C3378" t="s">
        <v>17150</v>
      </c>
      <c r="D3378" t="s">
        <v>17151</v>
      </c>
      <c r="E3378" t="s">
        <v>11426</v>
      </c>
      <c r="F3378" t="s">
        <v>844</v>
      </c>
      <c r="G3378" t="s">
        <v>172</v>
      </c>
      <c r="H3378" t="s">
        <v>173</v>
      </c>
      <c r="I3378" t="s">
        <v>34</v>
      </c>
      <c r="J3378" t="s">
        <v>272</v>
      </c>
      <c r="K3378" t="s">
        <v>41</v>
      </c>
      <c r="L3378" t="s">
        <v>17152</v>
      </c>
      <c r="M3378" t="s">
        <v>17153</v>
      </c>
      <c r="N3378" t="s">
        <v>11429</v>
      </c>
      <c r="O3378" t="s">
        <v>101</v>
      </c>
      <c r="P3378" t="s">
        <v>17154</v>
      </c>
      <c r="Q3378" t="s">
        <v>191</v>
      </c>
      <c r="R3378" t="s">
        <v>458</v>
      </c>
      <c r="S3378">
        <v>2.17</v>
      </c>
      <c r="T3378">
        <v>6708</v>
      </c>
      <c r="U3378">
        <v>0</v>
      </c>
      <c r="V3378">
        <v>6708</v>
      </c>
    </row>
    <row r="3379" spans="1:22" x14ac:dyDescent="0.3">
      <c r="A3379">
        <v>186607</v>
      </c>
      <c r="B3379">
        <v>136682268</v>
      </c>
      <c r="C3379" t="s">
        <v>17155</v>
      </c>
      <c r="D3379" t="s">
        <v>17156</v>
      </c>
      <c r="E3379" t="s">
        <v>11426</v>
      </c>
      <c r="F3379" t="s">
        <v>844</v>
      </c>
      <c r="G3379" t="s">
        <v>172</v>
      </c>
      <c r="H3379" t="s">
        <v>173</v>
      </c>
      <c r="I3379" t="s">
        <v>34</v>
      </c>
      <c r="J3379" t="s">
        <v>272</v>
      </c>
      <c r="K3379" t="s">
        <v>41</v>
      </c>
      <c r="L3379" t="s">
        <v>174</v>
      </c>
      <c r="M3379" t="s">
        <v>17157</v>
      </c>
      <c r="N3379" t="s">
        <v>11429</v>
      </c>
      <c r="O3379" t="s">
        <v>101</v>
      </c>
      <c r="P3379" t="s">
        <v>17158</v>
      </c>
      <c r="Q3379" t="s">
        <v>102</v>
      </c>
      <c r="R3379" t="s">
        <v>11574</v>
      </c>
      <c r="S3379">
        <v>2.75</v>
      </c>
      <c r="T3379">
        <v>4168</v>
      </c>
      <c r="U3379">
        <v>0</v>
      </c>
      <c r="V3379">
        <v>4168</v>
      </c>
    </row>
    <row r="3380" spans="1:22" x14ac:dyDescent="0.3">
      <c r="A3380">
        <v>186607</v>
      </c>
      <c r="B3380">
        <v>136724102</v>
      </c>
      <c r="C3380" t="s">
        <v>17159</v>
      </c>
      <c r="D3380" t="s">
        <v>17160</v>
      </c>
      <c r="E3380" t="s">
        <v>11426</v>
      </c>
      <c r="F3380" t="s">
        <v>844</v>
      </c>
      <c r="G3380" t="s">
        <v>172</v>
      </c>
      <c r="H3380" t="s">
        <v>173</v>
      </c>
      <c r="I3380" t="s">
        <v>34</v>
      </c>
      <c r="J3380" t="s">
        <v>272</v>
      </c>
      <c r="K3380" t="s">
        <v>41</v>
      </c>
      <c r="L3380" t="s">
        <v>174</v>
      </c>
      <c r="M3380" t="s">
        <v>17161</v>
      </c>
      <c r="N3380" t="s">
        <v>11429</v>
      </c>
      <c r="O3380" t="s">
        <v>101</v>
      </c>
      <c r="P3380" t="s">
        <v>17162</v>
      </c>
      <c r="Q3380" t="s">
        <v>104</v>
      </c>
      <c r="R3380" t="s">
        <v>12845</v>
      </c>
      <c r="S3380">
        <v>2.92</v>
      </c>
      <c r="T3380">
        <v>4168</v>
      </c>
      <c r="U3380">
        <v>0</v>
      </c>
      <c r="V3380">
        <v>4168</v>
      </c>
    </row>
    <row r="3381" spans="1:22" x14ac:dyDescent="0.3">
      <c r="A3381">
        <v>186607</v>
      </c>
      <c r="B3381">
        <v>136635759</v>
      </c>
      <c r="C3381" t="s">
        <v>17163</v>
      </c>
      <c r="D3381" t="s">
        <v>17164</v>
      </c>
      <c r="E3381" t="s">
        <v>11426</v>
      </c>
      <c r="F3381" t="s">
        <v>844</v>
      </c>
      <c r="G3381" t="s">
        <v>172</v>
      </c>
      <c r="H3381" t="s">
        <v>173</v>
      </c>
      <c r="I3381" t="s">
        <v>34</v>
      </c>
      <c r="J3381" t="s">
        <v>272</v>
      </c>
      <c r="K3381" t="s">
        <v>41</v>
      </c>
      <c r="L3381" t="s">
        <v>174</v>
      </c>
      <c r="M3381" t="s">
        <v>17165</v>
      </c>
      <c r="N3381" t="s">
        <v>11429</v>
      </c>
      <c r="O3381" t="s">
        <v>101</v>
      </c>
      <c r="P3381" t="s">
        <v>17166</v>
      </c>
      <c r="Q3381" t="s">
        <v>107</v>
      </c>
      <c r="R3381" t="s">
        <v>11610</v>
      </c>
      <c r="S3381">
        <v>3.1</v>
      </c>
      <c r="T3381">
        <v>4537</v>
      </c>
      <c r="U3381">
        <v>0</v>
      </c>
      <c r="V3381">
        <v>4537</v>
      </c>
    </row>
    <row r="3382" spans="1:22" x14ac:dyDescent="0.3">
      <c r="A3382">
        <v>186607</v>
      </c>
      <c r="B3382">
        <v>136859941</v>
      </c>
      <c r="C3382" t="s">
        <v>17167</v>
      </c>
      <c r="D3382" t="s">
        <v>17168</v>
      </c>
      <c r="E3382" t="s">
        <v>11426</v>
      </c>
      <c r="F3382" t="s">
        <v>844</v>
      </c>
      <c r="G3382" t="s">
        <v>172</v>
      </c>
      <c r="H3382" t="s">
        <v>173</v>
      </c>
      <c r="I3382" t="s">
        <v>34</v>
      </c>
      <c r="J3382" t="s">
        <v>272</v>
      </c>
      <c r="K3382" t="s">
        <v>41</v>
      </c>
      <c r="L3382" t="s">
        <v>174</v>
      </c>
      <c r="M3382" t="s">
        <v>17169</v>
      </c>
      <c r="N3382" t="s">
        <v>11429</v>
      </c>
      <c r="O3382" t="s">
        <v>101</v>
      </c>
      <c r="P3382" t="s">
        <v>17170</v>
      </c>
      <c r="Q3382" t="s">
        <v>766</v>
      </c>
      <c r="R3382" t="s">
        <v>650</v>
      </c>
      <c r="S3382">
        <v>2.77</v>
      </c>
      <c r="T3382">
        <v>7326</v>
      </c>
      <c r="U3382">
        <v>0</v>
      </c>
      <c r="V3382">
        <v>7326</v>
      </c>
    </row>
    <row r="3383" spans="1:22" x14ac:dyDescent="0.3">
      <c r="A3383">
        <v>186607</v>
      </c>
      <c r="B3383">
        <v>136682215</v>
      </c>
      <c r="C3383" t="s">
        <v>17171</v>
      </c>
      <c r="D3383" t="s">
        <v>17172</v>
      </c>
      <c r="E3383" t="s">
        <v>11426</v>
      </c>
      <c r="F3383" t="s">
        <v>844</v>
      </c>
      <c r="G3383" t="s">
        <v>172</v>
      </c>
      <c r="H3383" t="s">
        <v>173</v>
      </c>
      <c r="I3383" t="s">
        <v>34</v>
      </c>
      <c r="J3383" t="s">
        <v>272</v>
      </c>
      <c r="K3383" t="s">
        <v>41</v>
      </c>
      <c r="L3383" t="s">
        <v>174</v>
      </c>
      <c r="M3383" t="s">
        <v>17173</v>
      </c>
      <c r="N3383" t="s">
        <v>11429</v>
      </c>
      <c r="O3383" t="s">
        <v>101</v>
      </c>
      <c r="P3383" t="s">
        <v>17174</v>
      </c>
      <c r="Q3383" t="s">
        <v>114</v>
      </c>
      <c r="R3383" t="s">
        <v>11574</v>
      </c>
      <c r="S3383">
        <v>1.93</v>
      </c>
      <c r="T3383">
        <v>7015</v>
      </c>
      <c r="U3383">
        <v>0</v>
      </c>
      <c r="V3383">
        <v>7015</v>
      </c>
    </row>
    <row r="3384" spans="1:22" x14ac:dyDescent="0.3">
      <c r="A3384">
        <v>186607</v>
      </c>
      <c r="B3384">
        <v>136508759</v>
      </c>
      <c r="C3384" t="s">
        <v>17175</v>
      </c>
      <c r="D3384" t="s">
        <v>17176</v>
      </c>
      <c r="E3384" t="s">
        <v>11426</v>
      </c>
      <c r="F3384" t="s">
        <v>844</v>
      </c>
      <c r="G3384" t="s">
        <v>172</v>
      </c>
      <c r="H3384" t="s">
        <v>173</v>
      </c>
      <c r="I3384" t="s">
        <v>34</v>
      </c>
      <c r="J3384" t="s">
        <v>272</v>
      </c>
      <c r="K3384" t="s">
        <v>46</v>
      </c>
      <c r="L3384" t="s">
        <v>261</v>
      </c>
      <c r="M3384" t="s">
        <v>17177</v>
      </c>
      <c r="N3384" t="s">
        <v>11429</v>
      </c>
      <c r="O3384" t="s">
        <v>101</v>
      </c>
      <c r="P3384" t="s">
        <v>17178</v>
      </c>
      <c r="Q3384" t="s">
        <v>804</v>
      </c>
      <c r="R3384" t="s">
        <v>12560</v>
      </c>
      <c r="S3384">
        <v>0.75</v>
      </c>
      <c r="T3384">
        <v>9570</v>
      </c>
      <c r="U3384">
        <v>0</v>
      </c>
      <c r="V3384">
        <v>9570</v>
      </c>
    </row>
    <row r="3385" spans="1:22" x14ac:dyDescent="0.3">
      <c r="A3385">
        <v>186607</v>
      </c>
      <c r="B3385">
        <v>136682196</v>
      </c>
      <c r="C3385" t="s">
        <v>17179</v>
      </c>
      <c r="D3385" t="s">
        <v>17180</v>
      </c>
      <c r="E3385" t="s">
        <v>11426</v>
      </c>
      <c r="F3385" t="s">
        <v>844</v>
      </c>
      <c r="G3385" t="s">
        <v>172</v>
      </c>
      <c r="H3385" t="s">
        <v>173</v>
      </c>
      <c r="I3385" t="s">
        <v>34</v>
      </c>
      <c r="J3385" t="s">
        <v>272</v>
      </c>
      <c r="K3385" t="s">
        <v>41</v>
      </c>
      <c r="L3385" t="s">
        <v>174</v>
      </c>
      <c r="M3385" t="s">
        <v>17181</v>
      </c>
      <c r="N3385" t="s">
        <v>11429</v>
      </c>
      <c r="O3385" t="s">
        <v>101</v>
      </c>
      <c r="P3385" t="s">
        <v>17182</v>
      </c>
      <c r="Q3385" t="s">
        <v>107</v>
      </c>
      <c r="R3385" t="s">
        <v>11574</v>
      </c>
      <c r="S3385">
        <v>2.0299999999999998</v>
      </c>
      <c r="T3385">
        <v>4168</v>
      </c>
      <c r="U3385">
        <v>0</v>
      </c>
      <c r="V3385">
        <v>4168</v>
      </c>
    </row>
    <row r="3386" spans="1:22" x14ac:dyDescent="0.3">
      <c r="A3386">
        <v>186607</v>
      </c>
      <c r="B3386">
        <v>136635572</v>
      </c>
      <c r="C3386" t="s">
        <v>17183</v>
      </c>
      <c r="D3386" t="s">
        <v>17184</v>
      </c>
      <c r="E3386" t="s">
        <v>11426</v>
      </c>
      <c r="F3386" t="s">
        <v>844</v>
      </c>
      <c r="G3386" t="s">
        <v>172</v>
      </c>
      <c r="H3386" t="s">
        <v>173</v>
      </c>
      <c r="I3386" t="s">
        <v>34</v>
      </c>
      <c r="J3386" t="s">
        <v>272</v>
      </c>
      <c r="K3386" t="s">
        <v>41</v>
      </c>
      <c r="L3386" t="s">
        <v>174</v>
      </c>
      <c r="M3386" t="s">
        <v>17185</v>
      </c>
      <c r="N3386" t="s">
        <v>11429</v>
      </c>
      <c r="O3386" t="s">
        <v>101</v>
      </c>
      <c r="P3386" t="s">
        <v>17186</v>
      </c>
      <c r="Q3386" t="s">
        <v>107</v>
      </c>
      <c r="R3386" t="s">
        <v>12876</v>
      </c>
      <c r="S3386">
        <v>3.1</v>
      </c>
      <c r="T3386">
        <v>4537</v>
      </c>
      <c r="U3386">
        <v>0</v>
      </c>
      <c r="V3386">
        <v>4537</v>
      </c>
    </row>
    <row r="3387" spans="1:22" x14ac:dyDescent="0.3">
      <c r="A3387">
        <v>186607</v>
      </c>
      <c r="B3387">
        <v>136635568</v>
      </c>
      <c r="C3387" t="s">
        <v>17187</v>
      </c>
      <c r="D3387" t="s">
        <v>17188</v>
      </c>
      <c r="E3387" t="s">
        <v>11426</v>
      </c>
      <c r="F3387" t="s">
        <v>844</v>
      </c>
      <c r="G3387" t="s">
        <v>172</v>
      </c>
      <c r="H3387" t="s">
        <v>173</v>
      </c>
      <c r="I3387" t="s">
        <v>34</v>
      </c>
      <c r="J3387" t="s">
        <v>272</v>
      </c>
      <c r="K3387" t="s">
        <v>41</v>
      </c>
      <c r="L3387" t="s">
        <v>174</v>
      </c>
      <c r="M3387" t="s">
        <v>17189</v>
      </c>
      <c r="N3387" t="s">
        <v>11429</v>
      </c>
      <c r="O3387" t="s">
        <v>101</v>
      </c>
      <c r="P3387" t="s">
        <v>17190</v>
      </c>
      <c r="Q3387" t="s">
        <v>390</v>
      </c>
      <c r="R3387" t="s">
        <v>12876</v>
      </c>
      <c r="S3387">
        <v>3.33</v>
      </c>
      <c r="T3387">
        <v>7449</v>
      </c>
      <c r="U3387">
        <v>0</v>
      </c>
      <c r="V3387">
        <v>7449</v>
      </c>
    </row>
    <row r="3388" spans="1:22" x14ac:dyDescent="0.3">
      <c r="A3388">
        <v>186607</v>
      </c>
      <c r="B3388">
        <v>136757060</v>
      </c>
      <c r="C3388" t="s">
        <v>17191</v>
      </c>
      <c r="D3388" t="s">
        <v>17192</v>
      </c>
      <c r="E3388" t="s">
        <v>11426</v>
      </c>
      <c r="F3388" t="s">
        <v>844</v>
      </c>
      <c r="G3388" t="s">
        <v>172</v>
      </c>
      <c r="H3388" t="s">
        <v>173</v>
      </c>
      <c r="I3388" t="s">
        <v>34</v>
      </c>
      <c r="J3388" t="s">
        <v>272</v>
      </c>
      <c r="K3388" t="s">
        <v>41</v>
      </c>
      <c r="L3388" t="s">
        <v>174</v>
      </c>
      <c r="M3388" t="s">
        <v>17193</v>
      </c>
      <c r="N3388" t="s">
        <v>11429</v>
      </c>
      <c r="O3388" t="s">
        <v>101</v>
      </c>
      <c r="P3388" t="s">
        <v>17194</v>
      </c>
      <c r="Q3388" t="s">
        <v>238</v>
      </c>
      <c r="R3388" t="s">
        <v>469</v>
      </c>
      <c r="S3388">
        <v>2.94</v>
      </c>
      <c r="T3388">
        <v>7087</v>
      </c>
      <c r="U3388">
        <v>0</v>
      </c>
      <c r="V3388">
        <v>7087</v>
      </c>
    </row>
    <row r="3389" spans="1:22" x14ac:dyDescent="0.3">
      <c r="A3389">
        <v>186607</v>
      </c>
      <c r="B3389">
        <v>136792712</v>
      </c>
      <c r="C3389" t="s">
        <v>17195</v>
      </c>
      <c r="D3389" t="s">
        <v>17196</v>
      </c>
      <c r="E3389" t="s">
        <v>11426</v>
      </c>
      <c r="F3389" t="s">
        <v>844</v>
      </c>
      <c r="G3389" t="s">
        <v>172</v>
      </c>
      <c r="H3389" t="s">
        <v>173</v>
      </c>
      <c r="I3389" t="s">
        <v>34</v>
      </c>
      <c r="J3389" t="s">
        <v>272</v>
      </c>
      <c r="K3389" t="s">
        <v>41</v>
      </c>
      <c r="L3389" t="s">
        <v>174</v>
      </c>
      <c r="M3389" t="s">
        <v>17197</v>
      </c>
      <c r="N3389" t="s">
        <v>11429</v>
      </c>
      <c r="O3389" t="s">
        <v>101</v>
      </c>
      <c r="P3389" t="s">
        <v>17198</v>
      </c>
      <c r="Q3389" t="s">
        <v>250</v>
      </c>
      <c r="R3389" t="s">
        <v>837</v>
      </c>
      <c r="S3389">
        <v>2.73</v>
      </c>
      <c r="T3389">
        <v>7326</v>
      </c>
      <c r="U3389">
        <v>0</v>
      </c>
      <c r="V3389">
        <v>7326</v>
      </c>
    </row>
    <row r="3390" spans="1:22" x14ac:dyDescent="0.3">
      <c r="A3390">
        <v>186607</v>
      </c>
      <c r="B3390">
        <v>136826169</v>
      </c>
      <c r="C3390" t="s">
        <v>17199</v>
      </c>
      <c r="D3390" t="s">
        <v>17200</v>
      </c>
      <c r="E3390" t="s">
        <v>11426</v>
      </c>
      <c r="F3390" t="s">
        <v>844</v>
      </c>
      <c r="G3390" t="s">
        <v>172</v>
      </c>
      <c r="H3390" t="s">
        <v>173</v>
      </c>
      <c r="I3390" t="s">
        <v>34</v>
      </c>
      <c r="J3390" t="s">
        <v>272</v>
      </c>
      <c r="K3390" t="s">
        <v>41</v>
      </c>
      <c r="L3390" t="s">
        <v>174</v>
      </c>
      <c r="M3390" t="s">
        <v>17201</v>
      </c>
      <c r="N3390" t="s">
        <v>11429</v>
      </c>
      <c r="O3390" t="s">
        <v>101</v>
      </c>
      <c r="P3390" t="s">
        <v>17202</v>
      </c>
      <c r="Q3390" t="s">
        <v>103</v>
      </c>
      <c r="R3390" t="s">
        <v>679</v>
      </c>
      <c r="S3390">
        <v>3.92</v>
      </c>
      <c r="T3390">
        <v>4537</v>
      </c>
      <c r="U3390">
        <v>0</v>
      </c>
      <c r="V3390">
        <v>4537</v>
      </c>
    </row>
    <row r="3391" spans="1:22" x14ac:dyDescent="0.3">
      <c r="A3391">
        <v>186607</v>
      </c>
      <c r="B3391">
        <v>136635738</v>
      </c>
      <c r="C3391" t="s">
        <v>17203</v>
      </c>
      <c r="D3391" t="s">
        <v>17204</v>
      </c>
      <c r="E3391" t="s">
        <v>11426</v>
      </c>
      <c r="F3391" t="s">
        <v>844</v>
      </c>
      <c r="G3391" t="s">
        <v>172</v>
      </c>
      <c r="H3391" t="s">
        <v>173</v>
      </c>
      <c r="I3391" t="s">
        <v>34</v>
      </c>
      <c r="J3391" t="s">
        <v>272</v>
      </c>
      <c r="K3391" t="s">
        <v>41</v>
      </c>
      <c r="L3391" t="s">
        <v>174</v>
      </c>
      <c r="M3391" t="s">
        <v>17205</v>
      </c>
      <c r="N3391" t="s">
        <v>11429</v>
      </c>
      <c r="O3391" t="s">
        <v>101</v>
      </c>
      <c r="P3391" t="s">
        <v>17206</v>
      </c>
      <c r="Q3391" t="s">
        <v>120</v>
      </c>
      <c r="R3391" t="s">
        <v>11610</v>
      </c>
      <c r="S3391">
        <v>2.76</v>
      </c>
      <c r="T3391">
        <v>7015</v>
      </c>
      <c r="U3391">
        <v>0</v>
      </c>
      <c r="V3391">
        <v>7015</v>
      </c>
    </row>
    <row r="3392" spans="1:22" x14ac:dyDescent="0.3">
      <c r="A3392">
        <v>186607</v>
      </c>
      <c r="B3392">
        <v>136757073</v>
      </c>
      <c r="C3392" t="s">
        <v>17207</v>
      </c>
      <c r="D3392" t="s">
        <v>17208</v>
      </c>
      <c r="E3392" t="s">
        <v>11426</v>
      </c>
      <c r="F3392" t="s">
        <v>844</v>
      </c>
      <c r="G3392" t="s">
        <v>172</v>
      </c>
      <c r="H3392" t="s">
        <v>173</v>
      </c>
      <c r="I3392" t="s">
        <v>34</v>
      </c>
      <c r="J3392" t="s">
        <v>272</v>
      </c>
      <c r="K3392" t="s">
        <v>41</v>
      </c>
      <c r="L3392" t="s">
        <v>174</v>
      </c>
      <c r="M3392" t="s">
        <v>17209</v>
      </c>
      <c r="N3392" t="s">
        <v>11429</v>
      </c>
      <c r="O3392" t="s">
        <v>101</v>
      </c>
      <c r="P3392" t="s">
        <v>17210</v>
      </c>
      <c r="Q3392" t="s">
        <v>761</v>
      </c>
      <c r="R3392" t="s">
        <v>469</v>
      </c>
      <c r="S3392">
        <v>0.75</v>
      </c>
      <c r="T3392">
        <v>9187</v>
      </c>
      <c r="U3392">
        <v>0</v>
      </c>
      <c r="V3392">
        <v>9187</v>
      </c>
    </row>
    <row r="3393" spans="1:22" x14ac:dyDescent="0.3">
      <c r="A3393">
        <v>186607</v>
      </c>
      <c r="B3393">
        <v>136635732</v>
      </c>
      <c r="C3393" t="s">
        <v>17211</v>
      </c>
      <c r="D3393" t="s">
        <v>17212</v>
      </c>
      <c r="E3393" t="s">
        <v>11426</v>
      </c>
      <c r="F3393" t="s">
        <v>844</v>
      </c>
      <c r="G3393" t="s">
        <v>172</v>
      </c>
      <c r="H3393" t="s">
        <v>173</v>
      </c>
      <c r="I3393" t="s">
        <v>34</v>
      </c>
      <c r="J3393" t="s">
        <v>272</v>
      </c>
      <c r="K3393" t="s">
        <v>41</v>
      </c>
      <c r="L3393" t="s">
        <v>174</v>
      </c>
      <c r="M3393" t="s">
        <v>17213</v>
      </c>
      <c r="N3393" t="s">
        <v>11429</v>
      </c>
      <c r="O3393" t="s">
        <v>101</v>
      </c>
      <c r="P3393" t="s">
        <v>17214</v>
      </c>
      <c r="Q3393" t="s">
        <v>106</v>
      </c>
      <c r="R3393" t="s">
        <v>11610</v>
      </c>
      <c r="S3393">
        <v>3.06</v>
      </c>
      <c r="T3393">
        <v>4537</v>
      </c>
      <c r="U3393">
        <v>0</v>
      </c>
      <c r="V3393">
        <v>4537</v>
      </c>
    </row>
    <row r="3394" spans="1:22" x14ac:dyDescent="0.3">
      <c r="A3394">
        <v>186607</v>
      </c>
      <c r="B3394">
        <v>136792725</v>
      </c>
      <c r="C3394" t="s">
        <v>17215</v>
      </c>
      <c r="D3394" t="s">
        <v>17216</v>
      </c>
      <c r="E3394" t="s">
        <v>11426</v>
      </c>
      <c r="F3394" t="s">
        <v>844</v>
      </c>
      <c r="G3394" t="s">
        <v>172</v>
      </c>
      <c r="H3394" t="s">
        <v>173</v>
      </c>
      <c r="I3394" t="s">
        <v>34</v>
      </c>
      <c r="J3394" t="s">
        <v>272</v>
      </c>
      <c r="K3394" t="s">
        <v>44</v>
      </c>
      <c r="L3394" t="s">
        <v>17217</v>
      </c>
      <c r="M3394" t="s">
        <v>170</v>
      </c>
      <c r="N3394" t="s">
        <v>11429</v>
      </c>
      <c r="O3394" t="s">
        <v>101</v>
      </c>
      <c r="P3394" t="s">
        <v>17218</v>
      </c>
      <c r="Q3394" t="s">
        <v>191</v>
      </c>
      <c r="R3394" t="s">
        <v>12701</v>
      </c>
      <c r="S3394">
        <v>0.85</v>
      </c>
      <c r="T3394">
        <v>5910</v>
      </c>
      <c r="U3394">
        <v>0</v>
      </c>
      <c r="V3394">
        <v>5910</v>
      </c>
    </row>
    <row r="3395" spans="1:22" x14ac:dyDescent="0.3">
      <c r="A3395">
        <v>186607</v>
      </c>
      <c r="B3395">
        <v>136635673</v>
      </c>
      <c r="C3395" t="s">
        <v>17219</v>
      </c>
      <c r="D3395" t="s">
        <v>17220</v>
      </c>
      <c r="E3395" t="s">
        <v>11426</v>
      </c>
      <c r="F3395" t="s">
        <v>844</v>
      </c>
      <c r="G3395" t="s">
        <v>172</v>
      </c>
      <c r="H3395" t="s">
        <v>173</v>
      </c>
      <c r="I3395" t="s">
        <v>34</v>
      </c>
      <c r="J3395" t="s">
        <v>272</v>
      </c>
      <c r="K3395" t="s">
        <v>41</v>
      </c>
      <c r="L3395" t="s">
        <v>174</v>
      </c>
      <c r="M3395" t="s">
        <v>17221</v>
      </c>
      <c r="N3395" t="s">
        <v>11429</v>
      </c>
      <c r="O3395" t="s">
        <v>101</v>
      </c>
      <c r="P3395" t="s">
        <v>17222</v>
      </c>
      <c r="Q3395" t="s">
        <v>294</v>
      </c>
      <c r="R3395" t="s">
        <v>11610</v>
      </c>
      <c r="S3395">
        <v>4.38</v>
      </c>
      <c r="T3395">
        <v>7224</v>
      </c>
      <c r="U3395">
        <v>0</v>
      </c>
      <c r="V3395">
        <v>7224</v>
      </c>
    </row>
    <row r="3396" spans="1:22" x14ac:dyDescent="0.3">
      <c r="A3396">
        <v>186607</v>
      </c>
      <c r="B3396">
        <v>136635767</v>
      </c>
      <c r="C3396" t="s">
        <v>17223</v>
      </c>
      <c r="D3396" t="s">
        <v>17224</v>
      </c>
      <c r="E3396" t="s">
        <v>11426</v>
      </c>
      <c r="F3396" t="s">
        <v>844</v>
      </c>
      <c r="G3396" t="s">
        <v>172</v>
      </c>
      <c r="H3396" t="s">
        <v>173</v>
      </c>
      <c r="I3396" t="s">
        <v>34</v>
      </c>
      <c r="J3396" t="s">
        <v>272</v>
      </c>
      <c r="K3396" t="s">
        <v>41</v>
      </c>
      <c r="L3396" t="s">
        <v>174</v>
      </c>
      <c r="M3396" t="s">
        <v>16961</v>
      </c>
      <c r="N3396" t="s">
        <v>11429</v>
      </c>
      <c r="O3396" t="s">
        <v>101</v>
      </c>
      <c r="P3396" t="s">
        <v>17225</v>
      </c>
      <c r="Q3396" t="s">
        <v>102</v>
      </c>
      <c r="R3396" t="s">
        <v>13042</v>
      </c>
      <c r="S3396">
        <v>3.17</v>
      </c>
      <c r="T3396">
        <v>4537</v>
      </c>
      <c r="U3396">
        <v>0</v>
      </c>
      <c r="V3396">
        <v>4537</v>
      </c>
    </row>
    <row r="3397" spans="1:22" x14ac:dyDescent="0.3">
      <c r="A3397">
        <v>186607</v>
      </c>
      <c r="B3397">
        <v>136724120</v>
      </c>
      <c r="C3397" t="s">
        <v>17226</v>
      </c>
      <c r="D3397" t="s">
        <v>17227</v>
      </c>
      <c r="E3397" t="s">
        <v>11426</v>
      </c>
      <c r="F3397" t="s">
        <v>844</v>
      </c>
      <c r="G3397" t="s">
        <v>172</v>
      </c>
      <c r="H3397" t="s">
        <v>173</v>
      </c>
      <c r="I3397" t="s">
        <v>34</v>
      </c>
      <c r="J3397" t="s">
        <v>272</v>
      </c>
      <c r="K3397" t="s">
        <v>41</v>
      </c>
      <c r="L3397" t="s">
        <v>174</v>
      </c>
      <c r="M3397" t="s">
        <v>17228</v>
      </c>
      <c r="N3397" t="s">
        <v>11429</v>
      </c>
      <c r="O3397" t="s">
        <v>101</v>
      </c>
      <c r="P3397" t="s">
        <v>17229</v>
      </c>
      <c r="Q3397" t="s">
        <v>189</v>
      </c>
      <c r="R3397" t="s">
        <v>12845</v>
      </c>
      <c r="S3397">
        <v>2.48</v>
      </c>
      <c r="T3397">
        <v>4168</v>
      </c>
      <c r="U3397">
        <v>0</v>
      </c>
      <c r="V3397">
        <v>4168</v>
      </c>
    </row>
    <row r="3398" spans="1:22" x14ac:dyDescent="0.3">
      <c r="A3398">
        <v>186607</v>
      </c>
      <c r="B3398">
        <v>136724090</v>
      </c>
      <c r="C3398" t="s">
        <v>17230</v>
      </c>
      <c r="D3398" t="s">
        <v>17231</v>
      </c>
      <c r="E3398" t="s">
        <v>11426</v>
      </c>
      <c r="F3398" t="s">
        <v>844</v>
      </c>
      <c r="G3398" t="s">
        <v>172</v>
      </c>
      <c r="H3398" t="s">
        <v>173</v>
      </c>
      <c r="I3398" t="s">
        <v>34</v>
      </c>
      <c r="J3398" t="s">
        <v>272</v>
      </c>
      <c r="K3398" t="s">
        <v>41</v>
      </c>
      <c r="L3398" t="s">
        <v>174</v>
      </c>
      <c r="M3398" t="s">
        <v>17232</v>
      </c>
      <c r="N3398" t="s">
        <v>11429</v>
      </c>
      <c r="O3398" t="s">
        <v>101</v>
      </c>
      <c r="P3398" t="s">
        <v>17233</v>
      </c>
      <c r="Q3398" t="s">
        <v>189</v>
      </c>
      <c r="R3398" t="s">
        <v>13011</v>
      </c>
      <c r="S3398">
        <v>3.67</v>
      </c>
      <c r="T3398">
        <v>4537</v>
      </c>
      <c r="U3398">
        <v>0</v>
      </c>
      <c r="V3398">
        <v>4537</v>
      </c>
    </row>
    <row r="3399" spans="1:22" x14ac:dyDescent="0.3">
      <c r="A3399">
        <v>186607</v>
      </c>
      <c r="B3399">
        <v>136757038</v>
      </c>
      <c r="C3399" t="s">
        <v>17234</v>
      </c>
      <c r="D3399" t="s">
        <v>17235</v>
      </c>
      <c r="E3399" t="s">
        <v>11426</v>
      </c>
      <c r="F3399" t="s">
        <v>844</v>
      </c>
      <c r="G3399" t="s">
        <v>172</v>
      </c>
      <c r="H3399" t="s">
        <v>173</v>
      </c>
      <c r="I3399" t="s">
        <v>34</v>
      </c>
      <c r="J3399" t="s">
        <v>272</v>
      </c>
      <c r="K3399" t="s">
        <v>41</v>
      </c>
      <c r="L3399" t="s">
        <v>174</v>
      </c>
      <c r="M3399" t="s">
        <v>17236</v>
      </c>
      <c r="N3399" t="s">
        <v>11429</v>
      </c>
      <c r="O3399" t="s">
        <v>101</v>
      </c>
      <c r="P3399" t="s">
        <v>17237</v>
      </c>
      <c r="Q3399" t="s">
        <v>103</v>
      </c>
      <c r="R3399" t="s">
        <v>469</v>
      </c>
      <c r="S3399">
        <v>2.94</v>
      </c>
      <c r="T3399">
        <v>4168</v>
      </c>
      <c r="U3399">
        <v>0</v>
      </c>
      <c r="V3399">
        <v>4168</v>
      </c>
    </row>
    <row r="3400" spans="1:22" x14ac:dyDescent="0.3">
      <c r="A3400">
        <v>186607</v>
      </c>
      <c r="B3400">
        <v>136826158</v>
      </c>
      <c r="C3400" t="s">
        <v>17238</v>
      </c>
      <c r="D3400" t="s">
        <v>17239</v>
      </c>
      <c r="E3400" t="s">
        <v>11426</v>
      </c>
      <c r="F3400" t="s">
        <v>844</v>
      </c>
      <c r="G3400" t="s">
        <v>172</v>
      </c>
      <c r="H3400" t="s">
        <v>173</v>
      </c>
      <c r="I3400" t="s">
        <v>34</v>
      </c>
      <c r="J3400" t="s">
        <v>272</v>
      </c>
      <c r="K3400" t="s">
        <v>41</v>
      </c>
      <c r="L3400" t="s">
        <v>174</v>
      </c>
      <c r="M3400" t="s">
        <v>17240</v>
      </c>
      <c r="N3400" t="s">
        <v>11429</v>
      </c>
      <c r="O3400" t="s">
        <v>101</v>
      </c>
      <c r="P3400" t="s">
        <v>17241</v>
      </c>
      <c r="Q3400" t="s">
        <v>191</v>
      </c>
      <c r="R3400" t="s">
        <v>679</v>
      </c>
      <c r="S3400">
        <v>0.75</v>
      </c>
      <c r="T3400">
        <v>5910</v>
      </c>
      <c r="U3400">
        <v>0</v>
      </c>
      <c r="V3400">
        <v>5910</v>
      </c>
    </row>
    <row r="3401" spans="1:22" x14ac:dyDescent="0.3">
      <c r="A3401">
        <v>186607</v>
      </c>
      <c r="B3401">
        <v>136682140</v>
      </c>
      <c r="C3401" t="s">
        <v>17242</v>
      </c>
      <c r="D3401" t="s">
        <v>17243</v>
      </c>
      <c r="E3401" t="s">
        <v>11426</v>
      </c>
      <c r="F3401" t="s">
        <v>844</v>
      </c>
      <c r="G3401" t="s">
        <v>172</v>
      </c>
      <c r="H3401" t="s">
        <v>173</v>
      </c>
      <c r="I3401" t="s">
        <v>34</v>
      </c>
      <c r="J3401" t="s">
        <v>272</v>
      </c>
      <c r="K3401" t="s">
        <v>41</v>
      </c>
      <c r="L3401" t="s">
        <v>174</v>
      </c>
      <c r="M3401" t="s">
        <v>17244</v>
      </c>
      <c r="N3401" t="s">
        <v>11429</v>
      </c>
      <c r="O3401" t="s">
        <v>101</v>
      </c>
      <c r="P3401" t="s">
        <v>17245</v>
      </c>
      <c r="Q3401" t="s">
        <v>102</v>
      </c>
      <c r="R3401" t="s">
        <v>11574</v>
      </c>
      <c r="S3401">
        <v>2.4300000000000002</v>
      </c>
      <c r="T3401">
        <v>4168</v>
      </c>
      <c r="U3401">
        <v>0</v>
      </c>
      <c r="V3401">
        <v>4168</v>
      </c>
    </row>
    <row r="3402" spans="1:22" x14ac:dyDescent="0.3">
      <c r="A3402">
        <v>186607</v>
      </c>
      <c r="B3402">
        <v>136682169</v>
      </c>
      <c r="C3402" t="s">
        <v>17246</v>
      </c>
      <c r="D3402" t="s">
        <v>17247</v>
      </c>
      <c r="E3402" t="s">
        <v>11426</v>
      </c>
      <c r="F3402" t="s">
        <v>844</v>
      </c>
      <c r="G3402" t="s">
        <v>172</v>
      </c>
      <c r="H3402" t="s">
        <v>173</v>
      </c>
      <c r="I3402" t="s">
        <v>34</v>
      </c>
      <c r="J3402" t="s">
        <v>272</v>
      </c>
      <c r="K3402" t="s">
        <v>41</v>
      </c>
      <c r="L3402" t="s">
        <v>174</v>
      </c>
      <c r="M3402" t="s">
        <v>17248</v>
      </c>
      <c r="N3402" t="s">
        <v>11429</v>
      </c>
      <c r="O3402" t="s">
        <v>101</v>
      </c>
      <c r="P3402" t="s">
        <v>17249</v>
      </c>
      <c r="Q3402" t="s">
        <v>107</v>
      </c>
      <c r="R3402" t="s">
        <v>11574</v>
      </c>
      <c r="S3402">
        <v>2.46</v>
      </c>
      <c r="T3402">
        <v>4168</v>
      </c>
      <c r="U3402">
        <v>0</v>
      </c>
      <c r="V3402">
        <v>4168</v>
      </c>
    </row>
    <row r="3403" spans="1:22" x14ac:dyDescent="0.3">
      <c r="A3403">
        <v>186607</v>
      </c>
      <c r="B3403">
        <v>136724138</v>
      </c>
      <c r="C3403" t="s">
        <v>17250</v>
      </c>
      <c r="D3403" t="s">
        <v>17251</v>
      </c>
      <c r="E3403" t="s">
        <v>11426</v>
      </c>
      <c r="F3403" t="s">
        <v>844</v>
      </c>
      <c r="G3403" t="s">
        <v>172</v>
      </c>
      <c r="H3403" t="s">
        <v>173</v>
      </c>
      <c r="I3403" t="s">
        <v>34</v>
      </c>
      <c r="J3403" t="s">
        <v>272</v>
      </c>
      <c r="K3403" t="s">
        <v>41</v>
      </c>
      <c r="L3403" t="s">
        <v>174</v>
      </c>
      <c r="M3403" t="s">
        <v>17252</v>
      </c>
      <c r="N3403" t="s">
        <v>11429</v>
      </c>
      <c r="O3403" t="s">
        <v>101</v>
      </c>
      <c r="P3403" t="s">
        <v>17253</v>
      </c>
      <c r="Q3403" t="s">
        <v>102</v>
      </c>
      <c r="R3403" t="s">
        <v>12845</v>
      </c>
      <c r="S3403">
        <v>2.59</v>
      </c>
      <c r="T3403">
        <v>4168</v>
      </c>
      <c r="U3403">
        <v>0</v>
      </c>
      <c r="V3403">
        <v>4168</v>
      </c>
    </row>
    <row r="3404" spans="1:22" x14ac:dyDescent="0.3">
      <c r="A3404">
        <v>186607</v>
      </c>
      <c r="B3404">
        <v>136757087</v>
      </c>
      <c r="C3404" t="s">
        <v>17254</v>
      </c>
      <c r="D3404" t="s">
        <v>17255</v>
      </c>
      <c r="E3404" t="s">
        <v>11426</v>
      </c>
      <c r="F3404" t="s">
        <v>844</v>
      </c>
      <c r="G3404" t="s">
        <v>172</v>
      </c>
      <c r="H3404" t="s">
        <v>173</v>
      </c>
      <c r="I3404" t="s">
        <v>34</v>
      </c>
      <c r="J3404" t="s">
        <v>272</v>
      </c>
      <c r="K3404" t="s">
        <v>41</v>
      </c>
      <c r="L3404" t="s">
        <v>174</v>
      </c>
      <c r="M3404" t="s">
        <v>17256</v>
      </c>
      <c r="N3404" t="s">
        <v>11429</v>
      </c>
      <c r="O3404" t="s">
        <v>101</v>
      </c>
      <c r="P3404" t="s">
        <v>17257</v>
      </c>
      <c r="Q3404" t="s">
        <v>282</v>
      </c>
      <c r="R3404" t="s">
        <v>469</v>
      </c>
      <c r="S3404">
        <v>2.2599999999999998</v>
      </c>
      <c r="T3404">
        <v>6800</v>
      </c>
      <c r="U3404">
        <v>0</v>
      </c>
      <c r="V3404">
        <v>6800</v>
      </c>
    </row>
    <row r="3405" spans="1:22" x14ac:dyDescent="0.3">
      <c r="A3405">
        <v>186607</v>
      </c>
      <c r="B3405">
        <v>136635813</v>
      </c>
      <c r="C3405" t="s">
        <v>17258</v>
      </c>
      <c r="D3405" t="s">
        <v>17259</v>
      </c>
      <c r="E3405" t="s">
        <v>11426</v>
      </c>
      <c r="F3405" t="s">
        <v>844</v>
      </c>
      <c r="G3405" t="s">
        <v>172</v>
      </c>
      <c r="H3405" t="s">
        <v>173</v>
      </c>
      <c r="I3405" t="s">
        <v>34</v>
      </c>
      <c r="J3405" t="s">
        <v>272</v>
      </c>
      <c r="K3405" t="s">
        <v>41</v>
      </c>
      <c r="L3405" t="s">
        <v>174</v>
      </c>
      <c r="M3405" t="s">
        <v>17260</v>
      </c>
      <c r="N3405" t="s">
        <v>11429</v>
      </c>
      <c r="O3405" t="s">
        <v>101</v>
      </c>
      <c r="P3405" t="s">
        <v>17261</v>
      </c>
      <c r="Q3405" t="s">
        <v>525</v>
      </c>
      <c r="R3405" t="s">
        <v>13042</v>
      </c>
      <c r="S3405">
        <v>0.8</v>
      </c>
      <c r="T3405">
        <v>6381</v>
      </c>
      <c r="U3405">
        <v>0</v>
      </c>
      <c r="V3405">
        <v>6381</v>
      </c>
    </row>
    <row r="3406" spans="1:22" x14ac:dyDescent="0.3">
      <c r="A3406">
        <v>186607</v>
      </c>
      <c r="B3406">
        <v>136635559</v>
      </c>
      <c r="C3406" t="s">
        <v>17262</v>
      </c>
      <c r="D3406" t="s">
        <v>17263</v>
      </c>
      <c r="E3406" t="s">
        <v>11426</v>
      </c>
      <c r="F3406" t="s">
        <v>844</v>
      </c>
      <c r="G3406" t="s">
        <v>172</v>
      </c>
      <c r="H3406" t="s">
        <v>173</v>
      </c>
      <c r="I3406" t="s">
        <v>34</v>
      </c>
      <c r="J3406" t="s">
        <v>272</v>
      </c>
      <c r="K3406" t="s">
        <v>41</v>
      </c>
      <c r="L3406" t="s">
        <v>174</v>
      </c>
      <c r="M3406" t="s">
        <v>17264</v>
      </c>
      <c r="N3406" t="s">
        <v>11429</v>
      </c>
      <c r="O3406" t="s">
        <v>101</v>
      </c>
      <c r="P3406" t="s">
        <v>17265</v>
      </c>
      <c r="Q3406" t="s">
        <v>432</v>
      </c>
      <c r="R3406" t="s">
        <v>12876</v>
      </c>
      <c r="S3406">
        <v>2.96</v>
      </c>
      <c r="T3406">
        <v>7326</v>
      </c>
      <c r="U3406">
        <v>0</v>
      </c>
      <c r="V3406">
        <v>7326</v>
      </c>
    </row>
    <row r="3407" spans="1:22" x14ac:dyDescent="0.3">
      <c r="A3407">
        <v>186607</v>
      </c>
      <c r="B3407">
        <v>136635765</v>
      </c>
      <c r="C3407" t="s">
        <v>17266</v>
      </c>
      <c r="D3407" t="s">
        <v>17267</v>
      </c>
      <c r="E3407" t="s">
        <v>11426</v>
      </c>
      <c r="F3407" t="s">
        <v>844</v>
      </c>
      <c r="G3407" t="s">
        <v>172</v>
      </c>
      <c r="H3407" t="s">
        <v>173</v>
      </c>
      <c r="I3407" t="s">
        <v>34</v>
      </c>
      <c r="J3407" t="s">
        <v>272</v>
      </c>
      <c r="K3407" t="s">
        <v>41</v>
      </c>
      <c r="L3407" t="s">
        <v>174</v>
      </c>
      <c r="M3407" t="s">
        <v>17268</v>
      </c>
      <c r="N3407" t="s">
        <v>11429</v>
      </c>
      <c r="O3407" t="s">
        <v>101</v>
      </c>
      <c r="P3407" t="s">
        <v>17269</v>
      </c>
      <c r="Q3407" t="s">
        <v>180</v>
      </c>
      <c r="R3407" t="s">
        <v>13042</v>
      </c>
      <c r="S3407">
        <v>2.81</v>
      </c>
      <c r="T3407">
        <v>7326</v>
      </c>
      <c r="U3407">
        <v>0</v>
      </c>
      <c r="V3407">
        <v>7326</v>
      </c>
    </row>
    <row r="3408" spans="1:22" x14ac:dyDescent="0.3">
      <c r="A3408">
        <v>186607</v>
      </c>
      <c r="B3408">
        <v>136508771</v>
      </c>
      <c r="C3408" t="s">
        <v>17270</v>
      </c>
      <c r="D3408" t="s">
        <v>17271</v>
      </c>
      <c r="E3408" t="s">
        <v>11426</v>
      </c>
      <c r="F3408" t="s">
        <v>844</v>
      </c>
      <c r="G3408" t="s">
        <v>172</v>
      </c>
      <c r="H3408" t="s">
        <v>173</v>
      </c>
      <c r="I3408" t="s">
        <v>34</v>
      </c>
      <c r="J3408" t="s">
        <v>272</v>
      </c>
      <c r="K3408" t="s">
        <v>41</v>
      </c>
      <c r="L3408" t="s">
        <v>174</v>
      </c>
      <c r="M3408" t="s">
        <v>17272</v>
      </c>
      <c r="N3408" t="s">
        <v>11429</v>
      </c>
      <c r="O3408" t="s">
        <v>101</v>
      </c>
      <c r="P3408" t="s">
        <v>17273</v>
      </c>
      <c r="Q3408" t="s">
        <v>103</v>
      </c>
      <c r="R3408" t="s">
        <v>12560</v>
      </c>
      <c r="S3408">
        <v>3.32</v>
      </c>
      <c r="T3408">
        <v>4537</v>
      </c>
      <c r="U3408">
        <v>0</v>
      </c>
      <c r="V3408">
        <v>4537</v>
      </c>
    </row>
    <row r="3409" spans="1:22" x14ac:dyDescent="0.3">
      <c r="A3409">
        <v>186607</v>
      </c>
      <c r="B3409">
        <v>136508787</v>
      </c>
      <c r="C3409" t="s">
        <v>17274</v>
      </c>
      <c r="D3409" t="s">
        <v>17275</v>
      </c>
      <c r="E3409" t="s">
        <v>11426</v>
      </c>
      <c r="F3409" t="s">
        <v>844</v>
      </c>
      <c r="G3409" t="s">
        <v>172</v>
      </c>
      <c r="H3409" t="s">
        <v>173</v>
      </c>
      <c r="I3409" t="s">
        <v>34</v>
      </c>
      <c r="J3409" t="s">
        <v>272</v>
      </c>
      <c r="K3409" t="s">
        <v>41</v>
      </c>
      <c r="L3409" t="s">
        <v>174</v>
      </c>
      <c r="M3409" t="s">
        <v>17276</v>
      </c>
      <c r="N3409" t="s">
        <v>11429</v>
      </c>
      <c r="O3409" t="s">
        <v>101</v>
      </c>
      <c r="P3409" t="s">
        <v>17277</v>
      </c>
      <c r="Q3409" t="s">
        <v>432</v>
      </c>
      <c r="R3409" t="s">
        <v>12560</v>
      </c>
      <c r="S3409">
        <v>4.2</v>
      </c>
      <c r="T3409">
        <v>7449</v>
      </c>
      <c r="U3409">
        <v>0</v>
      </c>
      <c r="V3409">
        <v>7449</v>
      </c>
    </row>
    <row r="3410" spans="1:22" x14ac:dyDescent="0.3">
      <c r="A3410">
        <v>186607</v>
      </c>
      <c r="B3410">
        <v>136757078</v>
      </c>
      <c r="C3410" t="s">
        <v>17278</v>
      </c>
      <c r="D3410" t="s">
        <v>17279</v>
      </c>
      <c r="E3410" t="s">
        <v>11426</v>
      </c>
      <c r="F3410" t="s">
        <v>844</v>
      </c>
      <c r="G3410" t="s">
        <v>172</v>
      </c>
      <c r="H3410" t="s">
        <v>173</v>
      </c>
      <c r="I3410" t="s">
        <v>34</v>
      </c>
      <c r="J3410" t="s">
        <v>272</v>
      </c>
      <c r="K3410" t="s">
        <v>41</v>
      </c>
      <c r="L3410" t="s">
        <v>174</v>
      </c>
      <c r="M3410" t="s">
        <v>17280</v>
      </c>
      <c r="N3410" t="s">
        <v>11429</v>
      </c>
      <c r="O3410" t="s">
        <v>101</v>
      </c>
      <c r="P3410" t="s">
        <v>17281</v>
      </c>
      <c r="Q3410" t="s">
        <v>189</v>
      </c>
      <c r="R3410" t="s">
        <v>469</v>
      </c>
      <c r="S3410">
        <v>2.81</v>
      </c>
      <c r="T3410">
        <v>4168</v>
      </c>
      <c r="U3410">
        <v>0</v>
      </c>
      <c r="V3410">
        <v>4168</v>
      </c>
    </row>
    <row r="3411" spans="1:22" x14ac:dyDescent="0.3">
      <c r="A3411">
        <v>186607</v>
      </c>
      <c r="B3411">
        <v>136635764</v>
      </c>
      <c r="C3411" t="s">
        <v>17282</v>
      </c>
      <c r="D3411" t="s">
        <v>17283</v>
      </c>
      <c r="E3411" t="s">
        <v>11426</v>
      </c>
      <c r="F3411" t="s">
        <v>844</v>
      </c>
      <c r="G3411" t="s">
        <v>172</v>
      </c>
      <c r="H3411" t="s">
        <v>173</v>
      </c>
      <c r="I3411" t="s">
        <v>34</v>
      </c>
      <c r="J3411" t="s">
        <v>272</v>
      </c>
      <c r="K3411" t="s">
        <v>41</v>
      </c>
      <c r="L3411" t="s">
        <v>174</v>
      </c>
      <c r="M3411" t="s">
        <v>17284</v>
      </c>
      <c r="N3411" t="s">
        <v>11429</v>
      </c>
      <c r="O3411" t="s">
        <v>101</v>
      </c>
      <c r="P3411" t="s">
        <v>17285</v>
      </c>
      <c r="Q3411" t="s">
        <v>253</v>
      </c>
      <c r="R3411" t="s">
        <v>13042</v>
      </c>
      <c r="S3411">
        <v>3.63</v>
      </c>
      <c r="T3411">
        <v>7449</v>
      </c>
      <c r="U3411">
        <v>0</v>
      </c>
      <c r="V3411">
        <v>7449</v>
      </c>
    </row>
    <row r="3412" spans="1:22" x14ac:dyDescent="0.3">
      <c r="A3412">
        <v>186607</v>
      </c>
      <c r="B3412">
        <v>136483348</v>
      </c>
      <c r="C3412" t="s">
        <v>17286</v>
      </c>
      <c r="D3412" t="s">
        <v>17287</v>
      </c>
      <c r="E3412" t="s">
        <v>11426</v>
      </c>
      <c r="F3412" t="s">
        <v>844</v>
      </c>
      <c r="G3412" t="s">
        <v>172</v>
      </c>
      <c r="H3412" t="s">
        <v>173</v>
      </c>
      <c r="I3412" t="s">
        <v>34</v>
      </c>
      <c r="J3412" t="s">
        <v>272</v>
      </c>
      <c r="K3412" t="s">
        <v>41</v>
      </c>
      <c r="L3412" t="s">
        <v>174</v>
      </c>
      <c r="M3412" t="s">
        <v>17288</v>
      </c>
      <c r="N3412" t="s">
        <v>11429</v>
      </c>
      <c r="O3412" t="s">
        <v>101</v>
      </c>
      <c r="P3412" t="s">
        <v>17289</v>
      </c>
      <c r="Q3412" t="s">
        <v>119</v>
      </c>
      <c r="R3412" t="s">
        <v>12967</v>
      </c>
      <c r="S3412">
        <v>0.75</v>
      </c>
      <c r="T3412">
        <v>7552</v>
      </c>
      <c r="U3412">
        <v>0</v>
      </c>
      <c r="V3412">
        <v>7552</v>
      </c>
    </row>
    <row r="3413" spans="1:22" x14ac:dyDescent="0.3">
      <c r="A3413">
        <v>186607</v>
      </c>
      <c r="B3413">
        <v>136198508</v>
      </c>
      <c r="C3413" t="s">
        <v>17290</v>
      </c>
      <c r="D3413" t="s">
        <v>17291</v>
      </c>
      <c r="E3413" t="s">
        <v>11426</v>
      </c>
      <c r="F3413" t="s">
        <v>844</v>
      </c>
      <c r="G3413" t="s">
        <v>172</v>
      </c>
      <c r="H3413" t="s">
        <v>173</v>
      </c>
      <c r="I3413" t="s">
        <v>34</v>
      </c>
      <c r="J3413" t="s">
        <v>272</v>
      </c>
      <c r="K3413" t="s">
        <v>41</v>
      </c>
      <c r="L3413" t="s">
        <v>17292</v>
      </c>
      <c r="M3413" t="s">
        <v>17293</v>
      </c>
      <c r="N3413" t="s">
        <v>11429</v>
      </c>
      <c r="O3413" t="s">
        <v>101</v>
      </c>
      <c r="P3413" t="s">
        <v>17294</v>
      </c>
      <c r="Q3413" t="s">
        <v>237</v>
      </c>
      <c r="R3413" t="s">
        <v>718</v>
      </c>
      <c r="S3413">
        <v>3.2</v>
      </c>
      <c r="T3413">
        <v>6998</v>
      </c>
      <c r="U3413">
        <v>0</v>
      </c>
      <c r="V3413">
        <v>6998</v>
      </c>
    </row>
    <row r="3414" spans="1:22" x14ac:dyDescent="0.3">
      <c r="A3414">
        <v>186607</v>
      </c>
      <c r="B3414">
        <v>136328533</v>
      </c>
      <c r="C3414" t="s">
        <v>17295</v>
      </c>
      <c r="D3414" t="s">
        <v>17296</v>
      </c>
      <c r="E3414" t="s">
        <v>11426</v>
      </c>
      <c r="F3414" t="s">
        <v>844</v>
      </c>
      <c r="G3414" t="s">
        <v>172</v>
      </c>
      <c r="H3414" t="s">
        <v>173</v>
      </c>
      <c r="I3414" t="s">
        <v>34</v>
      </c>
      <c r="J3414" t="s">
        <v>272</v>
      </c>
      <c r="K3414" t="s">
        <v>41</v>
      </c>
      <c r="L3414" t="s">
        <v>17297</v>
      </c>
      <c r="M3414" t="s">
        <v>17298</v>
      </c>
      <c r="N3414" t="s">
        <v>11429</v>
      </c>
      <c r="O3414" t="s">
        <v>101</v>
      </c>
      <c r="P3414" t="s">
        <v>17299</v>
      </c>
      <c r="Q3414" t="s">
        <v>86</v>
      </c>
      <c r="R3414" t="s">
        <v>11485</v>
      </c>
      <c r="S3414">
        <v>4.1399999999999997</v>
      </c>
      <c r="T3414">
        <v>7129</v>
      </c>
      <c r="U3414">
        <v>0</v>
      </c>
      <c r="V3414">
        <v>7129</v>
      </c>
    </row>
    <row r="3415" spans="1:22" x14ac:dyDescent="0.3">
      <c r="A3415">
        <v>186607</v>
      </c>
      <c r="B3415">
        <v>136328537</v>
      </c>
      <c r="C3415" t="s">
        <v>17300</v>
      </c>
      <c r="D3415" t="s">
        <v>17301</v>
      </c>
      <c r="E3415" t="s">
        <v>11426</v>
      </c>
      <c r="F3415" t="s">
        <v>844</v>
      </c>
      <c r="G3415" t="s">
        <v>172</v>
      </c>
      <c r="H3415" t="s">
        <v>173</v>
      </c>
      <c r="I3415" t="s">
        <v>34</v>
      </c>
      <c r="J3415" t="s">
        <v>272</v>
      </c>
      <c r="K3415" t="s">
        <v>41</v>
      </c>
      <c r="L3415" t="s">
        <v>17302</v>
      </c>
      <c r="M3415" t="s">
        <v>17303</v>
      </c>
      <c r="N3415" t="s">
        <v>11429</v>
      </c>
      <c r="O3415" t="s">
        <v>101</v>
      </c>
      <c r="P3415" t="s">
        <v>17304</v>
      </c>
      <c r="Q3415" t="s">
        <v>237</v>
      </c>
      <c r="R3415" t="s">
        <v>11485</v>
      </c>
      <c r="S3415">
        <v>3.74</v>
      </c>
      <c r="T3415">
        <v>6998</v>
      </c>
      <c r="U3415">
        <v>0</v>
      </c>
      <c r="V3415">
        <v>6998</v>
      </c>
    </row>
    <row r="3416" spans="1:22" x14ac:dyDescent="0.3">
      <c r="A3416">
        <v>186607</v>
      </c>
      <c r="B3416">
        <v>136272246</v>
      </c>
      <c r="C3416" t="s">
        <v>17305</v>
      </c>
      <c r="D3416" t="s">
        <v>17306</v>
      </c>
      <c r="E3416" t="s">
        <v>11426</v>
      </c>
      <c r="F3416" t="s">
        <v>844</v>
      </c>
      <c r="G3416" t="s">
        <v>172</v>
      </c>
      <c r="H3416" t="s">
        <v>173</v>
      </c>
      <c r="I3416" t="s">
        <v>34</v>
      </c>
      <c r="J3416" t="s">
        <v>272</v>
      </c>
      <c r="K3416" t="s">
        <v>41</v>
      </c>
      <c r="L3416" t="s">
        <v>17307</v>
      </c>
      <c r="M3416" t="s">
        <v>17308</v>
      </c>
      <c r="N3416" t="s">
        <v>11429</v>
      </c>
      <c r="O3416" t="s">
        <v>101</v>
      </c>
      <c r="P3416" t="s">
        <v>17309</v>
      </c>
      <c r="Q3416" t="s">
        <v>86</v>
      </c>
      <c r="R3416" t="s">
        <v>12323</v>
      </c>
      <c r="S3416">
        <v>2.78</v>
      </c>
      <c r="T3416">
        <v>6800</v>
      </c>
      <c r="U3416">
        <v>0</v>
      </c>
      <c r="V3416">
        <v>6800</v>
      </c>
    </row>
    <row r="3417" spans="1:22" x14ac:dyDescent="0.3">
      <c r="A3417">
        <v>186607</v>
      </c>
      <c r="B3417">
        <v>136328521</v>
      </c>
      <c r="C3417" t="s">
        <v>17310</v>
      </c>
      <c r="D3417" t="s">
        <v>17311</v>
      </c>
      <c r="E3417" t="s">
        <v>11426</v>
      </c>
      <c r="F3417" t="s">
        <v>844</v>
      </c>
      <c r="G3417" t="s">
        <v>172</v>
      </c>
      <c r="H3417" t="s">
        <v>173</v>
      </c>
      <c r="I3417" t="s">
        <v>34</v>
      </c>
      <c r="J3417" t="s">
        <v>272</v>
      </c>
      <c r="K3417" t="s">
        <v>41</v>
      </c>
      <c r="L3417" t="s">
        <v>17312</v>
      </c>
      <c r="M3417" t="s">
        <v>17313</v>
      </c>
      <c r="N3417" t="s">
        <v>11429</v>
      </c>
      <c r="O3417" t="s">
        <v>101</v>
      </c>
      <c r="P3417" t="s">
        <v>17314</v>
      </c>
      <c r="Q3417" t="s">
        <v>527</v>
      </c>
      <c r="R3417" t="s">
        <v>11485</v>
      </c>
      <c r="S3417">
        <v>3.55</v>
      </c>
      <c r="T3417">
        <v>7224</v>
      </c>
      <c r="U3417">
        <v>0</v>
      </c>
      <c r="V3417">
        <v>7224</v>
      </c>
    </row>
    <row r="3418" spans="1:22" x14ac:dyDescent="0.3">
      <c r="A3418">
        <v>186607</v>
      </c>
      <c r="B3418">
        <v>135574347</v>
      </c>
      <c r="C3418" t="s">
        <v>17315</v>
      </c>
      <c r="D3418" t="s">
        <v>17316</v>
      </c>
      <c r="E3418" t="s">
        <v>11426</v>
      </c>
      <c r="F3418" t="s">
        <v>844</v>
      </c>
      <c r="G3418" t="s">
        <v>172</v>
      </c>
      <c r="H3418" t="s">
        <v>173</v>
      </c>
      <c r="I3418" t="s">
        <v>34</v>
      </c>
      <c r="J3418" t="s">
        <v>272</v>
      </c>
      <c r="K3418" t="s">
        <v>41</v>
      </c>
      <c r="L3418" t="s">
        <v>174</v>
      </c>
      <c r="M3418" t="s">
        <v>17317</v>
      </c>
      <c r="N3418" t="s">
        <v>11429</v>
      </c>
      <c r="O3418" t="s">
        <v>101</v>
      </c>
      <c r="P3418" t="s">
        <v>17318</v>
      </c>
      <c r="Q3418" t="s">
        <v>75</v>
      </c>
      <c r="R3418" t="s">
        <v>16110</v>
      </c>
      <c r="S3418">
        <v>2.27</v>
      </c>
      <c r="T3418">
        <v>7087</v>
      </c>
      <c r="U3418">
        <v>0</v>
      </c>
      <c r="V3418">
        <v>7087</v>
      </c>
    </row>
    <row r="3419" spans="1:22" x14ac:dyDescent="0.3">
      <c r="A3419">
        <v>186607</v>
      </c>
      <c r="B3419">
        <v>135574342</v>
      </c>
      <c r="C3419" t="s">
        <v>17319</v>
      </c>
      <c r="D3419" t="s">
        <v>17320</v>
      </c>
      <c r="E3419" t="s">
        <v>11426</v>
      </c>
      <c r="F3419" t="s">
        <v>844</v>
      </c>
      <c r="G3419" t="s">
        <v>172</v>
      </c>
      <c r="H3419" t="s">
        <v>173</v>
      </c>
      <c r="I3419" t="s">
        <v>34</v>
      </c>
      <c r="J3419" t="s">
        <v>272</v>
      </c>
      <c r="K3419" t="s">
        <v>41</v>
      </c>
      <c r="L3419" t="s">
        <v>174</v>
      </c>
      <c r="M3419" t="s">
        <v>17321</v>
      </c>
      <c r="N3419" t="s">
        <v>11429</v>
      </c>
      <c r="O3419" t="s">
        <v>101</v>
      </c>
      <c r="P3419" t="s">
        <v>17322</v>
      </c>
      <c r="Q3419" t="s">
        <v>401</v>
      </c>
      <c r="R3419" t="s">
        <v>16110</v>
      </c>
      <c r="S3419">
        <v>2.89</v>
      </c>
      <c r="T3419">
        <v>7015</v>
      </c>
      <c r="U3419">
        <v>0</v>
      </c>
      <c r="V3419">
        <v>7015</v>
      </c>
    </row>
    <row r="3420" spans="1:22" x14ac:dyDescent="0.3">
      <c r="A3420">
        <v>186607</v>
      </c>
      <c r="B3420">
        <v>136198406</v>
      </c>
      <c r="C3420" t="s">
        <v>17323</v>
      </c>
      <c r="D3420" t="s">
        <v>17324</v>
      </c>
      <c r="E3420" t="s">
        <v>11426</v>
      </c>
      <c r="F3420" t="s">
        <v>844</v>
      </c>
      <c r="G3420" t="s">
        <v>172</v>
      </c>
      <c r="H3420" t="s">
        <v>173</v>
      </c>
      <c r="I3420" t="s">
        <v>34</v>
      </c>
      <c r="J3420" t="s">
        <v>272</v>
      </c>
      <c r="K3420" t="s">
        <v>41</v>
      </c>
      <c r="L3420" t="s">
        <v>17325</v>
      </c>
      <c r="M3420" t="s">
        <v>17326</v>
      </c>
      <c r="N3420" t="s">
        <v>11429</v>
      </c>
      <c r="O3420" t="s">
        <v>101</v>
      </c>
      <c r="P3420" t="s">
        <v>17327</v>
      </c>
      <c r="Q3420" t="s">
        <v>107</v>
      </c>
      <c r="R3420" t="s">
        <v>718</v>
      </c>
      <c r="S3420">
        <v>3.77</v>
      </c>
      <c r="T3420">
        <v>4537</v>
      </c>
      <c r="U3420">
        <v>0</v>
      </c>
      <c r="V3420">
        <v>4537</v>
      </c>
    </row>
    <row r="3421" spans="1:22" x14ac:dyDescent="0.3">
      <c r="A3421">
        <v>186607</v>
      </c>
      <c r="B3421">
        <v>136440682</v>
      </c>
      <c r="C3421" t="s">
        <v>17328</v>
      </c>
      <c r="D3421" t="s">
        <v>17329</v>
      </c>
      <c r="E3421" t="s">
        <v>11426</v>
      </c>
      <c r="F3421" t="s">
        <v>844</v>
      </c>
      <c r="G3421" t="s">
        <v>172</v>
      </c>
      <c r="H3421" t="s">
        <v>173</v>
      </c>
      <c r="I3421" t="s">
        <v>34</v>
      </c>
      <c r="J3421" t="s">
        <v>272</v>
      </c>
      <c r="K3421" t="s">
        <v>41</v>
      </c>
      <c r="L3421" t="s">
        <v>174</v>
      </c>
      <c r="M3421" t="s">
        <v>17330</v>
      </c>
      <c r="N3421" t="s">
        <v>11429</v>
      </c>
      <c r="O3421" t="s">
        <v>101</v>
      </c>
      <c r="P3421" t="s">
        <v>17331</v>
      </c>
      <c r="Q3421" t="s">
        <v>75</v>
      </c>
      <c r="R3421" t="s">
        <v>704</v>
      </c>
      <c r="S3421">
        <v>3.86</v>
      </c>
      <c r="T3421">
        <v>7297</v>
      </c>
      <c r="U3421">
        <v>0</v>
      </c>
      <c r="V3421">
        <v>7297</v>
      </c>
    </row>
    <row r="3422" spans="1:22" x14ac:dyDescent="0.3">
      <c r="A3422">
        <v>186607</v>
      </c>
      <c r="B3422">
        <v>136198442</v>
      </c>
      <c r="C3422" t="s">
        <v>17332</v>
      </c>
      <c r="D3422" t="s">
        <v>17333</v>
      </c>
      <c r="E3422" t="s">
        <v>11426</v>
      </c>
      <c r="F3422" t="s">
        <v>844</v>
      </c>
      <c r="G3422" t="s">
        <v>172</v>
      </c>
      <c r="H3422" t="s">
        <v>173</v>
      </c>
      <c r="I3422" t="s">
        <v>34</v>
      </c>
      <c r="J3422" t="s">
        <v>272</v>
      </c>
      <c r="K3422" t="s">
        <v>41</v>
      </c>
      <c r="L3422" t="s">
        <v>17334</v>
      </c>
      <c r="M3422" t="s">
        <v>17335</v>
      </c>
      <c r="N3422" t="s">
        <v>11429</v>
      </c>
      <c r="O3422" t="s">
        <v>101</v>
      </c>
      <c r="P3422" t="s">
        <v>17336</v>
      </c>
      <c r="Q3422" t="s">
        <v>278</v>
      </c>
      <c r="R3422" t="s">
        <v>718</v>
      </c>
      <c r="S3422">
        <v>3.31</v>
      </c>
      <c r="T3422">
        <v>7224</v>
      </c>
      <c r="U3422">
        <v>0</v>
      </c>
      <c r="V3422">
        <v>7224</v>
      </c>
    </row>
    <row r="3423" spans="1:22" x14ac:dyDescent="0.3">
      <c r="A3423">
        <v>186607</v>
      </c>
      <c r="B3423">
        <v>136198280</v>
      </c>
      <c r="C3423" t="s">
        <v>17337</v>
      </c>
      <c r="D3423" t="s">
        <v>17338</v>
      </c>
      <c r="E3423" t="s">
        <v>11426</v>
      </c>
      <c r="F3423" t="s">
        <v>844</v>
      </c>
      <c r="G3423" t="s">
        <v>172</v>
      </c>
      <c r="H3423" t="s">
        <v>173</v>
      </c>
      <c r="I3423" t="s">
        <v>34</v>
      </c>
      <c r="J3423" t="s">
        <v>272</v>
      </c>
      <c r="K3423" t="s">
        <v>41</v>
      </c>
      <c r="L3423" t="s">
        <v>17339</v>
      </c>
      <c r="M3423" t="s">
        <v>17340</v>
      </c>
      <c r="N3423" t="s">
        <v>11429</v>
      </c>
      <c r="O3423" t="s">
        <v>101</v>
      </c>
      <c r="P3423" t="s">
        <v>17341</v>
      </c>
      <c r="Q3423" t="s">
        <v>103</v>
      </c>
      <c r="R3423" t="s">
        <v>339</v>
      </c>
      <c r="S3423">
        <v>3.91</v>
      </c>
      <c r="T3423">
        <v>4537</v>
      </c>
      <c r="U3423">
        <v>0</v>
      </c>
      <c r="V3423">
        <v>4537</v>
      </c>
    </row>
    <row r="3424" spans="1:22" x14ac:dyDescent="0.3">
      <c r="A3424">
        <v>186607</v>
      </c>
      <c r="B3424">
        <v>136272281</v>
      </c>
      <c r="C3424" t="s">
        <v>17342</v>
      </c>
      <c r="D3424" t="s">
        <v>17343</v>
      </c>
      <c r="E3424" t="s">
        <v>11426</v>
      </c>
      <c r="F3424" t="s">
        <v>844</v>
      </c>
      <c r="G3424" t="s">
        <v>172</v>
      </c>
      <c r="H3424" t="s">
        <v>173</v>
      </c>
      <c r="I3424" t="s">
        <v>34</v>
      </c>
      <c r="J3424" t="s">
        <v>272</v>
      </c>
      <c r="K3424" t="s">
        <v>41</v>
      </c>
      <c r="L3424" t="s">
        <v>174</v>
      </c>
      <c r="M3424" t="s">
        <v>17344</v>
      </c>
      <c r="N3424" t="s">
        <v>11429</v>
      </c>
      <c r="O3424" t="s">
        <v>101</v>
      </c>
      <c r="P3424" t="s">
        <v>17345</v>
      </c>
      <c r="Q3424" t="s">
        <v>107</v>
      </c>
      <c r="R3424" t="s">
        <v>12323</v>
      </c>
      <c r="S3424">
        <v>3.28</v>
      </c>
      <c r="T3424">
        <v>4537</v>
      </c>
      <c r="U3424">
        <v>0</v>
      </c>
      <c r="V3424">
        <v>4537</v>
      </c>
    </row>
    <row r="3425" spans="1:22" x14ac:dyDescent="0.3">
      <c r="A3425">
        <v>186607</v>
      </c>
      <c r="B3425">
        <v>136272213</v>
      </c>
      <c r="C3425" t="s">
        <v>17346</v>
      </c>
      <c r="D3425" t="s">
        <v>17347</v>
      </c>
      <c r="E3425" t="s">
        <v>11426</v>
      </c>
      <c r="F3425" t="s">
        <v>844</v>
      </c>
      <c r="G3425" t="s">
        <v>172</v>
      </c>
      <c r="H3425" t="s">
        <v>173</v>
      </c>
      <c r="I3425" t="s">
        <v>34</v>
      </c>
      <c r="J3425" t="s">
        <v>272</v>
      </c>
      <c r="K3425" t="s">
        <v>56</v>
      </c>
      <c r="L3425" t="s">
        <v>17348</v>
      </c>
      <c r="M3425" t="s">
        <v>17349</v>
      </c>
      <c r="N3425" t="s">
        <v>11429</v>
      </c>
      <c r="O3425" t="s">
        <v>101</v>
      </c>
      <c r="P3425" t="s">
        <v>17350</v>
      </c>
      <c r="Q3425" t="s">
        <v>221</v>
      </c>
      <c r="R3425" t="s">
        <v>12323</v>
      </c>
      <c r="S3425">
        <v>4.32</v>
      </c>
      <c r="T3425">
        <v>6998</v>
      </c>
      <c r="U3425">
        <v>0</v>
      </c>
      <c r="V3425">
        <v>6998</v>
      </c>
    </row>
    <row r="3426" spans="1:22" x14ac:dyDescent="0.3">
      <c r="A3426">
        <v>186607</v>
      </c>
      <c r="B3426">
        <v>136107693</v>
      </c>
      <c r="C3426" t="s">
        <v>17351</v>
      </c>
      <c r="D3426" t="s">
        <v>17352</v>
      </c>
      <c r="E3426" t="s">
        <v>11426</v>
      </c>
      <c r="F3426" t="s">
        <v>844</v>
      </c>
      <c r="G3426" t="s">
        <v>172</v>
      </c>
      <c r="H3426" t="s">
        <v>173</v>
      </c>
      <c r="I3426" t="s">
        <v>34</v>
      </c>
      <c r="J3426" t="s">
        <v>272</v>
      </c>
      <c r="K3426" t="s">
        <v>17097</v>
      </c>
      <c r="L3426" t="s">
        <v>17098</v>
      </c>
      <c r="M3426" t="s">
        <v>17353</v>
      </c>
      <c r="N3426" t="s">
        <v>11429</v>
      </c>
      <c r="O3426" t="s">
        <v>101</v>
      </c>
      <c r="P3426" t="s">
        <v>17354</v>
      </c>
      <c r="Q3426" t="s">
        <v>102</v>
      </c>
      <c r="R3426" t="s">
        <v>369</v>
      </c>
      <c r="S3426">
        <v>2.69</v>
      </c>
      <c r="T3426">
        <v>4168</v>
      </c>
      <c r="U3426">
        <v>0</v>
      </c>
      <c r="V3426">
        <v>4168</v>
      </c>
    </row>
    <row r="3427" spans="1:22" x14ac:dyDescent="0.3">
      <c r="A3427">
        <v>186607</v>
      </c>
      <c r="B3427">
        <v>136412742</v>
      </c>
      <c r="C3427" t="s">
        <v>17355</v>
      </c>
      <c r="D3427" t="s">
        <v>17356</v>
      </c>
      <c r="E3427" t="s">
        <v>11426</v>
      </c>
      <c r="F3427" t="s">
        <v>844</v>
      </c>
      <c r="G3427" t="s">
        <v>172</v>
      </c>
      <c r="H3427" t="s">
        <v>173</v>
      </c>
      <c r="I3427" t="s">
        <v>34</v>
      </c>
      <c r="J3427" t="s">
        <v>272</v>
      </c>
      <c r="K3427" t="s">
        <v>41</v>
      </c>
      <c r="L3427" t="s">
        <v>17357</v>
      </c>
      <c r="M3427" t="s">
        <v>17358</v>
      </c>
      <c r="N3427" t="s">
        <v>11429</v>
      </c>
      <c r="O3427" t="s">
        <v>101</v>
      </c>
      <c r="P3427" t="s">
        <v>17359</v>
      </c>
      <c r="Q3427" t="s">
        <v>191</v>
      </c>
      <c r="R3427" t="s">
        <v>430</v>
      </c>
      <c r="S3427">
        <v>3.93</v>
      </c>
      <c r="T3427">
        <v>7943</v>
      </c>
      <c r="U3427">
        <v>0</v>
      </c>
      <c r="V3427">
        <v>7943</v>
      </c>
    </row>
    <row r="3428" spans="1:22" x14ac:dyDescent="0.3">
      <c r="A3428">
        <v>186607</v>
      </c>
      <c r="B3428">
        <v>136328480</v>
      </c>
      <c r="C3428" t="s">
        <v>17360</v>
      </c>
      <c r="D3428" t="s">
        <v>17361</v>
      </c>
      <c r="E3428" t="s">
        <v>11426</v>
      </c>
      <c r="F3428" t="s">
        <v>844</v>
      </c>
      <c r="G3428" t="s">
        <v>172</v>
      </c>
      <c r="H3428" t="s">
        <v>173</v>
      </c>
      <c r="I3428" t="s">
        <v>34</v>
      </c>
      <c r="J3428" t="s">
        <v>272</v>
      </c>
      <c r="K3428" t="s">
        <v>41</v>
      </c>
      <c r="L3428" t="s">
        <v>728</v>
      </c>
      <c r="M3428" t="s">
        <v>17362</v>
      </c>
      <c r="N3428" t="s">
        <v>11429</v>
      </c>
      <c r="O3428" t="s">
        <v>101</v>
      </c>
      <c r="P3428" t="s">
        <v>17363</v>
      </c>
      <c r="Q3428" t="s">
        <v>86</v>
      </c>
      <c r="R3428" t="s">
        <v>14086</v>
      </c>
      <c r="S3428">
        <v>2.68</v>
      </c>
      <c r="T3428">
        <v>6800</v>
      </c>
      <c r="U3428">
        <v>0</v>
      </c>
      <c r="V3428">
        <v>6800</v>
      </c>
    </row>
    <row r="3429" spans="1:22" x14ac:dyDescent="0.3">
      <c r="A3429">
        <v>186607</v>
      </c>
      <c r="B3429">
        <v>136272399</v>
      </c>
      <c r="C3429" t="s">
        <v>17364</v>
      </c>
      <c r="D3429" t="s">
        <v>17365</v>
      </c>
      <c r="E3429" t="s">
        <v>11426</v>
      </c>
      <c r="F3429" t="s">
        <v>844</v>
      </c>
      <c r="G3429" t="s">
        <v>172</v>
      </c>
      <c r="H3429" t="s">
        <v>173</v>
      </c>
      <c r="I3429" t="s">
        <v>34</v>
      </c>
      <c r="J3429" t="s">
        <v>272</v>
      </c>
      <c r="K3429" t="s">
        <v>41</v>
      </c>
      <c r="L3429" t="s">
        <v>17366</v>
      </c>
      <c r="M3429" t="s">
        <v>17367</v>
      </c>
      <c r="N3429" t="s">
        <v>11429</v>
      </c>
      <c r="O3429" t="s">
        <v>101</v>
      </c>
      <c r="P3429" t="s">
        <v>17368</v>
      </c>
      <c r="Q3429" t="s">
        <v>116</v>
      </c>
      <c r="R3429" t="s">
        <v>338</v>
      </c>
      <c r="S3429">
        <v>3.93</v>
      </c>
      <c r="T3429">
        <v>4537</v>
      </c>
      <c r="U3429">
        <v>0</v>
      </c>
      <c r="V3429">
        <v>4537</v>
      </c>
    </row>
    <row r="3430" spans="1:22" x14ac:dyDescent="0.3">
      <c r="A3430">
        <v>186607</v>
      </c>
      <c r="B3430">
        <v>136412718</v>
      </c>
      <c r="C3430" t="s">
        <v>17369</v>
      </c>
      <c r="D3430" t="s">
        <v>17370</v>
      </c>
      <c r="E3430" t="s">
        <v>11426</v>
      </c>
      <c r="F3430" t="s">
        <v>844</v>
      </c>
      <c r="G3430" t="s">
        <v>172</v>
      </c>
      <c r="H3430" t="s">
        <v>173</v>
      </c>
      <c r="I3430" t="s">
        <v>34</v>
      </c>
      <c r="J3430" t="s">
        <v>272</v>
      </c>
      <c r="K3430" t="s">
        <v>41</v>
      </c>
      <c r="L3430" t="s">
        <v>17371</v>
      </c>
      <c r="M3430" t="s">
        <v>6923</v>
      </c>
      <c r="N3430" t="s">
        <v>11429</v>
      </c>
      <c r="O3430" t="s">
        <v>101</v>
      </c>
      <c r="P3430" t="s">
        <v>17372</v>
      </c>
      <c r="Q3430" t="s">
        <v>103</v>
      </c>
      <c r="R3430" t="s">
        <v>430</v>
      </c>
      <c r="S3430">
        <v>4.46</v>
      </c>
      <c r="T3430">
        <v>4537</v>
      </c>
      <c r="U3430">
        <v>0</v>
      </c>
      <c r="V3430">
        <v>4537</v>
      </c>
    </row>
    <row r="3431" spans="1:22" x14ac:dyDescent="0.3">
      <c r="A3431">
        <v>186607</v>
      </c>
      <c r="B3431">
        <v>136272232</v>
      </c>
      <c r="C3431" t="s">
        <v>17373</v>
      </c>
      <c r="D3431" t="s">
        <v>17374</v>
      </c>
      <c r="E3431" t="s">
        <v>11426</v>
      </c>
      <c r="F3431" t="s">
        <v>844</v>
      </c>
      <c r="G3431" t="s">
        <v>172</v>
      </c>
      <c r="H3431" t="s">
        <v>173</v>
      </c>
      <c r="I3431" t="s">
        <v>34</v>
      </c>
      <c r="J3431" t="s">
        <v>272</v>
      </c>
      <c r="K3431" t="s">
        <v>41</v>
      </c>
      <c r="L3431" t="s">
        <v>17375</v>
      </c>
      <c r="M3431" t="s">
        <v>17376</v>
      </c>
      <c r="N3431" t="s">
        <v>11429</v>
      </c>
      <c r="O3431" t="s">
        <v>101</v>
      </c>
      <c r="P3431" t="s">
        <v>17377</v>
      </c>
      <c r="Q3431" t="s">
        <v>103</v>
      </c>
      <c r="R3431" t="s">
        <v>12323</v>
      </c>
      <c r="S3431">
        <v>2.02</v>
      </c>
      <c r="T3431">
        <v>4168</v>
      </c>
      <c r="U3431">
        <v>0</v>
      </c>
      <c r="V3431">
        <v>4168</v>
      </c>
    </row>
    <row r="3432" spans="1:22" x14ac:dyDescent="0.3">
      <c r="A3432">
        <v>186607</v>
      </c>
      <c r="B3432">
        <v>136272262</v>
      </c>
      <c r="C3432" t="s">
        <v>17378</v>
      </c>
      <c r="D3432" t="s">
        <v>17379</v>
      </c>
      <c r="E3432" t="s">
        <v>11426</v>
      </c>
      <c r="F3432" t="s">
        <v>844</v>
      </c>
      <c r="G3432" t="s">
        <v>172</v>
      </c>
      <c r="H3432" t="s">
        <v>173</v>
      </c>
      <c r="I3432" t="s">
        <v>34</v>
      </c>
      <c r="J3432" t="s">
        <v>272</v>
      </c>
      <c r="K3432" t="s">
        <v>41</v>
      </c>
      <c r="L3432" t="s">
        <v>17380</v>
      </c>
      <c r="M3432" t="s">
        <v>17321</v>
      </c>
      <c r="N3432" t="s">
        <v>11429</v>
      </c>
      <c r="O3432" t="s">
        <v>101</v>
      </c>
      <c r="P3432" t="s">
        <v>17381</v>
      </c>
      <c r="Q3432" t="s">
        <v>401</v>
      </c>
      <c r="R3432" t="s">
        <v>12323</v>
      </c>
      <c r="S3432">
        <v>4.0199999999999996</v>
      </c>
      <c r="T3432">
        <v>7224</v>
      </c>
      <c r="U3432">
        <v>0</v>
      </c>
      <c r="V3432">
        <v>7224</v>
      </c>
    </row>
    <row r="3433" spans="1:22" x14ac:dyDescent="0.3">
      <c r="A3433">
        <v>186607</v>
      </c>
      <c r="B3433">
        <v>135667106</v>
      </c>
      <c r="C3433" t="s">
        <v>17382</v>
      </c>
      <c r="D3433" t="s">
        <v>17383</v>
      </c>
      <c r="E3433" t="s">
        <v>11426</v>
      </c>
      <c r="F3433" t="s">
        <v>844</v>
      </c>
      <c r="G3433" t="s">
        <v>172</v>
      </c>
      <c r="H3433" t="s">
        <v>173</v>
      </c>
      <c r="I3433" t="s">
        <v>34</v>
      </c>
      <c r="J3433" t="s">
        <v>272</v>
      </c>
      <c r="K3433" t="s">
        <v>41</v>
      </c>
      <c r="L3433" t="s">
        <v>174</v>
      </c>
      <c r="M3433" t="s">
        <v>17384</v>
      </c>
      <c r="N3433" t="s">
        <v>11429</v>
      </c>
      <c r="O3433" t="s">
        <v>101</v>
      </c>
      <c r="P3433" t="s">
        <v>17385</v>
      </c>
      <c r="Q3433" t="s">
        <v>282</v>
      </c>
      <c r="R3433" t="s">
        <v>16038</v>
      </c>
      <c r="S3433">
        <v>1.98</v>
      </c>
      <c r="T3433">
        <v>6800</v>
      </c>
      <c r="U3433">
        <v>0</v>
      </c>
      <c r="V3433">
        <v>6800</v>
      </c>
    </row>
    <row r="3434" spans="1:22" x14ac:dyDescent="0.3">
      <c r="A3434">
        <v>186607</v>
      </c>
      <c r="B3434">
        <v>136198307</v>
      </c>
      <c r="C3434" t="s">
        <v>17386</v>
      </c>
      <c r="D3434" t="s">
        <v>17387</v>
      </c>
      <c r="E3434" t="s">
        <v>11426</v>
      </c>
      <c r="F3434" t="s">
        <v>844</v>
      </c>
      <c r="G3434" t="s">
        <v>172</v>
      </c>
      <c r="H3434" t="s">
        <v>173</v>
      </c>
      <c r="I3434" t="s">
        <v>34</v>
      </c>
      <c r="J3434" t="s">
        <v>272</v>
      </c>
      <c r="K3434" t="s">
        <v>46</v>
      </c>
      <c r="L3434" t="s">
        <v>242</v>
      </c>
      <c r="M3434" t="s">
        <v>17388</v>
      </c>
      <c r="N3434" t="s">
        <v>11429</v>
      </c>
      <c r="O3434" t="s">
        <v>101</v>
      </c>
      <c r="P3434" t="s">
        <v>17389</v>
      </c>
      <c r="Q3434" t="s">
        <v>104</v>
      </c>
      <c r="R3434" t="s">
        <v>339</v>
      </c>
      <c r="S3434">
        <v>4.5999999999999996</v>
      </c>
      <c r="T3434">
        <v>4537</v>
      </c>
      <c r="U3434">
        <v>0</v>
      </c>
      <c r="V3434">
        <v>4537</v>
      </c>
    </row>
    <row r="3435" spans="1:22" x14ac:dyDescent="0.3">
      <c r="A3435">
        <v>186607</v>
      </c>
      <c r="B3435">
        <v>136272286</v>
      </c>
      <c r="C3435" t="s">
        <v>17390</v>
      </c>
      <c r="D3435" t="s">
        <v>17391</v>
      </c>
      <c r="E3435" t="s">
        <v>11426</v>
      </c>
      <c r="F3435" t="s">
        <v>844</v>
      </c>
      <c r="G3435" t="s">
        <v>172</v>
      </c>
      <c r="H3435" t="s">
        <v>173</v>
      </c>
      <c r="I3435" t="s">
        <v>34</v>
      </c>
      <c r="J3435" t="s">
        <v>272</v>
      </c>
      <c r="K3435" t="s">
        <v>41</v>
      </c>
      <c r="L3435" t="s">
        <v>174</v>
      </c>
      <c r="M3435" t="s">
        <v>17392</v>
      </c>
      <c r="N3435" t="s">
        <v>11429</v>
      </c>
      <c r="O3435" t="s">
        <v>101</v>
      </c>
      <c r="P3435" t="s">
        <v>17393</v>
      </c>
      <c r="Q3435" t="s">
        <v>103</v>
      </c>
      <c r="R3435" t="s">
        <v>12323</v>
      </c>
      <c r="S3435">
        <v>3.9</v>
      </c>
      <c r="T3435">
        <v>4537</v>
      </c>
      <c r="U3435">
        <v>0</v>
      </c>
      <c r="V3435">
        <v>4537</v>
      </c>
    </row>
    <row r="3436" spans="1:22" x14ac:dyDescent="0.3">
      <c r="A3436">
        <v>186607</v>
      </c>
      <c r="B3436">
        <v>136198248</v>
      </c>
      <c r="C3436" t="s">
        <v>17394</v>
      </c>
      <c r="D3436" t="s">
        <v>17395</v>
      </c>
      <c r="E3436" t="s">
        <v>11426</v>
      </c>
      <c r="F3436" t="s">
        <v>844</v>
      </c>
      <c r="G3436" t="s">
        <v>172</v>
      </c>
      <c r="H3436" t="s">
        <v>173</v>
      </c>
      <c r="I3436" t="s">
        <v>34</v>
      </c>
      <c r="J3436" t="s">
        <v>272</v>
      </c>
      <c r="K3436" t="s">
        <v>41</v>
      </c>
      <c r="L3436" t="s">
        <v>17396</v>
      </c>
      <c r="M3436" t="s">
        <v>17397</v>
      </c>
      <c r="N3436" t="s">
        <v>11429</v>
      </c>
      <c r="O3436" t="s">
        <v>101</v>
      </c>
      <c r="P3436" t="s">
        <v>17398</v>
      </c>
      <c r="Q3436" t="s">
        <v>86</v>
      </c>
      <c r="R3436" t="s">
        <v>339</v>
      </c>
      <c r="S3436">
        <v>2.3199999999999998</v>
      </c>
      <c r="T3436">
        <v>6800</v>
      </c>
      <c r="U3436">
        <v>0</v>
      </c>
      <c r="V3436">
        <v>6800</v>
      </c>
    </row>
    <row r="3437" spans="1:22" x14ac:dyDescent="0.3">
      <c r="A3437">
        <v>186607</v>
      </c>
      <c r="B3437">
        <v>136440716</v>
      </c>
      <c r="C3437" t="s">
        <v>17399</v>
      </c>
      <c r="D3437" t="s">
        <v>17400</v>
      </c>
      <c r="E3437" t="s">
        <v>11426</v>
      </c>
      <c r="F3437" t="s">
        <v>844</v>
      </c>
      <c r="G3437" t="s">
        <v>172</v>
      </c>
      <c r="H3437" t="s">
        <v>173</v>
      </c>
      <c r="I3437" t="s">
        <v>34</v>
      </c>
      <c r="J3437" t="s">
        <v>272</v>
      </c>
      <c r="K3437" t="s">
        <v>41</v>
      </c>
      <c r="L3437" t="s">
        <v>174</v>
      </c>
      <c r="M3437" t="s">
        <v>142</v>
      </c>
      <c r="N3437" t="s">
        <v>11429</v>
      </c>
      <c r="O3437" t="s">
        <v>101</v>
      </c>
      <c r="P3437" t="s">
        <v>17401</v>
      </c>
      <c r="Q3437" t="s">
        <v>88</v>
      </c>
      <c r="R3437" t="s">
        <v>704</v>
      </c>
      <c r="S3437">
        <v>4.6900000000000004</v>
      </c>
      <c r="T3437">
        <v>6998</v>
      </c>
      <c r="U3437">
        <v>0</v>
      </c>
      <c r="V3437">
        <v>6998</v>
      </c>
    </row>
    <row r="3438" spans="1:22" x14ac:dyDescent="0.3">
      <c r="A3438">
        <v>186607</v>
      </c>
      <c r="B3438">
        <v>136364542</v>
      </c>
      <c r="C3438" t="s">
        <v>17402</v>
      </c>
      <c r="D3438" t="s">
        <v>17403</v>
      </c>
      <c r="E3438" t="s">
        <v>11426</v>
      </c>
      <c r="F3438" t="s">
        <v>844</v>
      </c>
      <c r="G3438" t="s">
        <v>172</v>
      </c>
      <c r="H3438" t="s">
        <v>173</v>
      </c>
      <c r="I3438" t="s">
        <v>34</v>
      </c>
      <c r="J3438" t="s">
        <v>272</v>
      </c>
      <c r="K3438" t="s">
        <v>41</v>
      </c>
      <c r="L3438" t="s">
        <v>17404</v>
      </c>
      <c r="M3438" t="s">
        <v>17405</v>
      </c>
      <c r="N3438" t="s">
        <v>11429</v>
      </c>
      <c r="O3438" t="s">
        <v>101</v>
      </c>
      <c r="P3438" t="s">
        <v>17406</v>
      </c>
      <c r="Q3438" t="s">
        <v>75</v>
      </c>
      <c r="R3438" t="s">
        <v>758</v>
      </c>
      <c r="S3438">
        <v>4.3600000000000003</v>
      </c>
      <c r="T3438">
        <v>7297</v>
      </c>
      <c r="U3438">
        <v>0</v>
      </c>
      <c r="V3438">
        <v>7297</v>
      </c>
    </row>
    <row r="3439" spans="1:22" x14ac:dyDescent="0.3">
      <c r="A3439">
        <v>186607</v>
      </c>
      <c r="B3439">
        <v>136364601</v>
      </c>
      <c r="C3439" t="s">
        <v>17407</v>
      </c>
      <c r="D3439" t="s">
        <v>17408</v>
      </c>
      <c r="E3439" t="s">
        <v>11426</v>
      </c>
      <c r="F3439" t="s">
        <v>844</v>
      </c>
      <c r="G3439" t="s">
        <v>172</v>
      </c>
      <c r="H3439" t="s">
        <v>173</v>
      </c>
      <c r="I3439" t="s">
        <v>34</v>
      </c>
      <c r="J3439" t="s">
        <v>272</v>
      </c>
      <c r="K3439" t="s">
        <v>48</v>
      </c>
      <c r="L3439" t="s">
        <v>17409</v>
      </c>
      <c r="M3439" t="s">
        <v>17410</v>
      </c>
      <c r="N3439" t="s">
        <v>11429</v>
      </c>
      <c r="O3439" t="s">
        <v>101</v>
      </c>
      <c r="P3439" t="s">
        <v>17411</v>
      </c>
      <c r="Q3439" t="s">
        <v>102</v>
      </c>
      <c r="R3439" t="s">
        <v>788</v>
      </c>
      <c r="S3439">
        <v>2.17</v>
      </c>
      <c r="T3439">
        <v>4168</v>
      </c>
      <c r="U3439">
        <v>0</v>
      </c>
      <c r="V3439">
        <v>4168</v>
      </c>
    </row>
    <row r="3440" spans="1:22" x14ac:dyDescent="0.3">
      <c r="A3440">
        <v>186607</v>
      </c>
      <c r="B3440">
        <v>136364630</v>
      </c>
      <c r="C3440" t="s">
        <v>17412</v>
      </c>
      <c r="D3440" t="s">
        <v>17413</v>
      </c>
      <c r="E3440" t="s">
        <v>11426</v>
      </c>
      <c r="F3440" t="s">
        <v>844</v>
      </c>
      <c r="G3440" t="s">
        <v>172</v>
      </c>
      <c r="H3440" t="s">
        <v>173</v>
      </c>
      <c r="I3440" t="s">
        <v>34</v>
      </c>
      <c r="J3440" t="s">
        <v>272</v>
      </c>
      <c r="K3440" t="s">
        <v>41</v>
      </c>
      <c r="L3440" t="s">
        <v>17414</v>
      </c>
      <c r="M3440" t="s">
        <v>17415</v>
      </c>
      <c r="N3440" t="s">
        <v>11429</v>
      </c>
      <c r="O3440" t="s">
        <v>101</v>
      </c>
      <c r="P3440" t="s">
        <v>17416</v>
      </c>
      <c r="Q3440" t="s">
        <v>116</v>
      </c>
      <c r="R3440" t="s">
        <v>788</v>
      </c>
      <c r="S3440">
        <v>3.48</v>
      </c>
      <c r="T3440">
        <v>4537</v>
      </c>
      <c r="U3440">
        <v>0</v>
      </c>
      <c r="V3440">
        <v>4537</v>
      </c>
    </row>
    <row r="3441" spans="1:22" x14ac:dyDescent="0.3">
      <c r="A3441">
        <v>186607</v>
      </c>
      <c r="B3441">
        <v>136107515</v>
      </c>
      <c r="C3441" t="s">
        <v>17417</v>
      </c>
      <c r="D3441" t="s">
        <v>17418</v>
      </c>
      <c r="E3441" t="s">
        <v>11426</v>
      </c>
      <c r="F3441" t="s">
        <v>844</v>
      </c>
      <c r="G3441" t="s">
        <v>172</v>
      </c>
      <c r="H3441" t="s">
        <v>173</v>
      </c>
      <c r="I3441" t="s">
        <v>34</v>
      </c>
      <c r="J3441" t="s">
        <v>272</v>
      </c>
      <c r="K3441" t="s">
        <v>41</v>
      </c>
      <c r="L3441" t="s">
        <v>174</v>
      </c>
      <c r="M3441" t="s">
        <v>17419</v>
      </c>
      <c r="N3441" t="s">
        <v>11429</v>
      </c>
      <c r="O3441" t="s">
        <v>101</v>
      </c>
      <c r="P3441" t="s">
        <v>17420</v>
      </c>
      <c r="Q3441" t="s">
        <v>189</v>
      </c>
      <c r="R3441" t="s">
        <v>369</v>
      </c>
      <c r="S3441">
        <v>3.67</v>
      </c>
      <c r="T3441">
        <v>4537</v>
      </c>
      <c r="U3441">
        <v>0</v>
      </c>
      <c r="V3441">
        <v>4537</v>
      </c>
    </row>
    <row r="3442" spans="1:22" x14ac:dyDescent="0.3">
      <c r="A3442">
        <v>186607</v>
      </c>
      <c r="B3442">
        <v>136107517</v>
      </c>
      <c r="C3442" t="s">
        <v>17421</v>
      </c>
      <c r="D3442" t="s">
        <v>17422</v>
      </c>
      <c r="E3442" t="s">
        <v>11426</v>
      </c>
      <c r="F3442" t="s">
        <v>844</v>
      </c>
      <c r="G3442" t="s">
        <v>172</v>
      </c>
      <c r="H3442" t="s">
        <v>173</v>
      </c>
      <c r="I3442" t="s">
        <v>34</v>
      </c>
      <c r="J3442" t="s">
        <v>272</v>
      </c>
      <c r="K3442" t="s">
        <v>41</v>
      </c>
      <c r="L3442" t="s">
        <v>174</v>
      </c>
      <c r="M3442" t="s">
        <v>17423</v>
      </c>
      <c r="N3442" t="s">
        <v>11429</v>
      </c>
      <c r="O3442" t="s">
        <v>101</v>
      </c>
      <c r="P3442" t="s">
        <v>17424</v>
      </c>
      <c r="Q3442" t="s">
        <v>86</v>
      </c>
      <c r="R3442" t="s">
        <v>369</v>
      </c>
      <c r="S3442">
        <v>3.67</v>
      </c>
      <c r="T3442">
        <v>7129</v>
      </c>
      <c r="U3442">
        <v>0</v>
      </c>
      <c r="V3442">
        <v>7129</v>
      </c>
    </row>
    <row r="3443" spans="1:22" x14ac:dyDescent="0.3">
      <c r="A3443">
        <v>186607</v>
      </c>
      <c r="B3443">
        <v>136107542</v>
      </c>
      <c r="C3443" t="s">
        <v>17425</v>
      </c>
      <c r="D3443" t="s">
        <v>17426</v>
      </c>
      <c r="E3443" t="s">
        <v>11426</v>
      </c>
      <c r="F3443" t="s">
        <v>844</v>
      </c>
      <c r="G3443" t="s">
        <v>172</v>
      </c>
      <c r="H3443" t="s">
        <v>173</v>
      </c>
      <c r="I3443" t="s">
        <v>34</v>
      </c>
      <c r="J3443" t="s">
        <v>272</v>
      </c>
      <c r="K3443" t="s">
        <v>41</v>
      </c>
      <c r="L3443" t="s">
        <v>174</v>
      </c>
      <c r="M3443" t="s">
        <v>17427</v>
      </c>
      <c r="N3443" t="s">
        <v>11429</v>
      </c>
      <c r="O3443" t="s">
        <v>101</v>
      </c>
      <c r="P3443" t="s">
        <v>17428</v>
      </c>
      <c r="Q3443" t="s">
        <v>525</v>
      </c>
      <c r="R3443" t="s">
        <v>369</v>
      </c>
      <c r="S3443">
        <v>3.57</v>
      </c>
      <c r="T3443">
        <v>7449</v>
      </c>
      <c r="U3443">
        <v>0</v>
      </c>
      <c r="V3443">
        <v>7449</v>
      </c>
    </row>
    <row r="3444" spans="1:22" x14ac:dyDescent="0.3">
      <c r="A3444">
        <v>186607</v>
      </c>
      <c r="B3444">
        <v>136107561</v>
      </c>
      <c r="C3444" t="s">
        <v>17429</v>
      </c>
      <c r="D3444" t="s">
        <v>17430</v>
      </c>
      <c r="E3444" t="s">
        <v>11426</v>
      </c>
      <c r="F3444" t="s">
        <v>844</v>
      </c>
      <c r="G3444" t="s">
        <v>172</v>
      </c>
      <c r="H3444" t="s">
        <v>173</v>
      </c>
      <c r="I3444" t="s">
        <v>34</v>
      </c>
      <c r="J3444" t="s">
        <v>272</v>
      </c>
      <c r="K3444" t="s">
        <v>41</v>
      </c>
      <c r="L3444" t="s">
        <v>174</v>
      </c>
      <c r="M3444" t="s">
        <v>17431</v>
      </c>
      <c r="N3444" t="s">
        <v>11429</v>
      </c>
      <c r="O3444" t="s">
        <v>101</v>
      </c>
      <c r="P3444" t="s">
        <v>17432</v>
      </c>
      <c r="Q3444" t="s">
        <v>103</v>
      </c>
      <c r="R3444" t="s">
        <v>369</v>
      </c>
      <c r="S3444">
        <v>2.5499999999999998</v>
      </c>
      <c r="T3444">
        <v>4168</v>
      </c>
      <c r="U3444">
        <v>0</v>
      </c>
      <c r="V3444">
        <v>4168</v>
      </c>
    </row>
    <row r="3445" spans="1:22" x14ac:dyDescent="0.3">
      <c r="A3445">
        <v>186607</v>
      </c>
      <c r="B3445">
        <v>136107583</v>
      </c>
      <c r="C3445" t="s">
        <v>17433</v>
      </c>
      <c r="D3445" t="s">
        <v>17434</v>
      </c>
      <c r="E3445" t="s">
        <v>11426</v>
      </c>
      <c r="F3445" t="s">
        <v>844</v>
      </c>
      <c r="G3445" t="s">
        <v>172</v>
      </c>
      <c r="H3445" t="s">
        <v>173</v>
      </c>
      <c r="I3445" t="s">
        <v>34</v>
      </c>
      <c r="J3445" t="s">
        <v>272</v>
      </c>
      <c r="K3445" t="s">
        <v>41</v>
      </c>
      <c r="L3445" t="s">
        <v>174</v>
      </c>
      <c r="M3445" t="s">
        <v>433</v>
      </c>
      <c r="N3445" t="s">
        <v>11429</v>
      </c>
      <c r="O3445" t="s">
        <v>101</v>
      </c>
      <c r="P3445" t="s">
        <v>17435</v>
      </c>
      <c r="Q3445" t="s">
        <v>113</v>
      </c>
      <c r="R3445" t="s">
        <v>369</v>
      </c>
      <c r="S3445">
        <v>3.57</v>
      </c>
      <c r="T3445">
        <v>6998</v>
      </c>
      <c r="U3445">
        <v>0</v>
      </c>
      <c r="V3445">
        <v>6998</v>
      </c>
    </row>
    <row r="3446" spans="1:22" x14ac:dyDescent="0.3">
      <c r="A3446">
        <v>186607</v>
      </c>
      <c r="B3446">
        <v>136364514</v>
      </c>
      <c r="C3446" t="s">
        <v>17436</v>
      </c>
      <c r="D3446" t="s">
        <v>17437</v>
      </c>
      <c r="E3446" t="s">
        <v>11426</v>
      </c>
      <c r="F3446" t="s">
        <v>844</v>
      </c>
      <c r="G3446" t="s">
        <v>172</v>
      </c>
      <c r="H3446" t="s">
        <v>173</v>
      </c>
      <c r="I3446" t="s">
        <v>34</v>
      </c>
      <c r="J3446" t="s">
        <v>272</v>
      </c>
      <c r="K3446" t="s">
        <v>46</v>
      </c>
      <c r="L3446" t="s">
        <v>242</v>
      </c>
      <c r="M3446" t="s">
        <v>17438</v>
      </c>
      <c r="N3446" t="s">
        <v>11429</v>
      </c>
      <c r="O3446" t="s">
        <v>101</v>
      </c>
      <c r="P3446" t="s">
        <v>17439</v>
      </c>
      <c r="Q3446" t="s">
        <v>238</v>
      </c>
      <c r="R3446" t="s">
        <v>758</v>
      </c>
      <c r="S3446">
        <v>4</v>
      </c>
      <c r="T3446">
        <v>7297</v>
      </c>
      <c r="U3446">
        <v>0</v>
      </c>
      <c r="V3446">
        <v>7297</v>
      </c>
    </row>
    <row r="3447" spans="1:22" x14ac:dyDescent="0.3">
      <c r="A3447">
        <v>186607</v>
      </c>
      <c r="B3447">
        <v>136364515</v>
      </c>
      <c r="C3447" t="s">
        <v>17440</v>
      </c>
      <c r="D3447" t="s">
        <v>17441</v>
      </c>
      <c r="E3447" t="s">
        <v>11426</v>
      </c>
      <c r="F3447" t="s">
        <v>844</v>
      </c>
      <c r="G3447" t="s">
        <v>172</v>
      </c>
      <c r="H3447" t="s">
        <v>173</v>
      </c>
      <c r="I3447" t="s">
        <v>34</v>
      </c>
      <c r="J3447" t="s">
        <v>272</v>
      </c>
      <c r="K3447" t="s">
        <v>44</v>
      </c>
      <c r="L3447" t="s">
        <v>17442</v>
      </c>
      <c r="M3447" t="s">
        <v>17443</v>
      </c>
      <c r="N3447" t="s">
        <v>11429</v>
      </c>
      <c r="O3447" t="s">
        <v>101</v>
      </c>
      <c r="P3447" t="s">
        <v>17444</v>
      </c>
      <c r="Q3447" t="s">
        <v>102</v>
      </c>
      <c r="R3447" t="s">
        <v>758</v>
      </c>
      <c r="S3447">
        <v>3.78</v>
      </c>
      <c r="T3447">
        <v>4537</v>
      </c>
      <c r="U3447">
        <v>0</v>
      </c>
      <c r="V3447">
        <v>4537</v>
      </c>
    </row>
    <row r="3448" spans="1:22" x14ac:dyDescent="0.3">
      <c r="A3448">
        <v>186607</v>
      </c>
      <c r="B3448">
        <v>136364522</v>
      </c>
      <c r="C3448" t="s">
        <v>17445</v>
      </c>
      <c r="D3448" t="s">
        <v>17446</v>
      </c>
      <c r="E3448" t="s">
        <v>11426</v>
      </c>
      <c r="F3448" t="s">
        <v>844</v>
      </c>
      <c r="G3448" t="s">
        <v>172</v>
      </c>
      <c r="H3448" t="s">
        <v>173</v>
      </c>
      <c r="I3448" t="s">
        <v>34</v>
      </c>
      <c r="J3448" t="s">
        <v>272</v>
      </c>
      <c r="K3448" t="s">
        <v>41</v>
      </c>
      <c r="L3448" t="s">
        <v>17447</v>
      </c>
      <c r="M3448" t="s">
        <v>17448</v>
      </c>
      <c r="N3448" t="s">
        <v>11429</v>
      </c>
      <c r="O3448" t="s">
        <v>101</v>
      </c>
      <c r="P3448" t="s">
        <v>17449</v>
      </c>
      <c r="Q3448" t="s">
        <v>103</v>
      </c>
      <c r="R3448" t="s">
        <v>758</v>
      </c>
      <c r="S3448">
        <v>3.73</v>
      </c>
      <c r="T3448">
        <v>4537</v>
      </c>
      <c r="U3448">
        <v>0</v>
      </c>
      <c r="V3448">
        <v>4537</v>
      </c>
    </row>
    <row r="3449" spans="1:22" x14ac:dyDescent="0.3">
      <c r="A3449">
        <v>186607</v>
      </c>
      <c r="B3449">
        <v>136364524</v>
      </c>
      <c r="C3449" t="s">
        <v>17450</v>
      </c>
      <c r="D3449" t="s">
        <v>17451</v>
      </c>
      <c r="E3449" t="s">
        <v>11426</v>
      </c>
      <c r="F3449" t="s">
        <v>844</v>
      </c>
      <c r="G3449" t="s">
        <v>172</v>
      </c>
      <c r="H3449" t="s">
        <v>173</v>
      </c>
      <c r="I3449" t="s">
        <v>34</v>
      </c>
      <c r="J3449" t="s">
        <v>272</v>
      </c>
      <c r="K3449" t="s">
        <v>41</v>
      </c>
      <c r="L3449" t="s">
        <v>17452</v>
      </c>
      <c r="M3449" t="s">
        <v>17453</v>
      </c>
      <c r="N3449" t="s">
        <v>11429</v>
      </c>
      <c r="O3449" t="s">
        <v>101</v>
      </c>
      <c r="P3449" t="s">
        <v>17454</v>
      </c>
      <c r="Q3449" t="s">
        <v>102</v>
      </c>
      <c r="R3449" t="s">
        <v>758</v>
      </c>
      <c r="S3449">
        <v>2.1</v>
      </c>
      <c r="T3449">
        <v>4168</v>
      </c>
      <c r="U3449">
        <v>0</v>
      </c>
      <c r="V3449">
        <v>4168</v>
      </c>
    </row>
    <row r="3450" spans="1:22" x14ac:dyDescent="0.3">
      <c r="A3450">
        <v>186607</v>
      </c>
      <c r="B3450">
        <v>135905429</v>
      </c>
      <c r="C3450" t="s">
        <v>17455</v>
      </c>
      <c r="D3450" t="s">
        <v>17456</v>
      </c>
      <c r="E3450" t="s">
        <v>11426</v>
      </c>
      <c r="F3450" t="s">
        <v>844</v>
      </c>
      <c r="G3450" t="s">
        <v>172</v>
      </c>
      <c r="H3450" t="s">
        <v>173</v>
      </c>
      <c r="I3450" t="s">
        <v>34</v>
      </c>
      <c r="J3450" t="s">
        <v>272</v>
      </c>
      <c r="K3450" t="s">
        <v>41</v>
      </c>
      <c r="L3450" t="s">
        <v>174</v>
      </c>
      <c r="M3450" t="s">
        <v>17457</v>
      </c>
      <c r="N3450" t="s">
        <v>11429</v>
      </c>
      <c r="O3450" t="s">
        <v>101</v>
      </c>
      <c r="P3450" t="s">
        <v>17458</v>
      </c>
      <c r="Q3450" t="s">
        <v>250</v>
      </c>
      <c r="R3450" t="s">
        <v>498</v>
      </c>
      <c r="S3450">
        <v>3.74</v>
      </c>
      <c r="T3450">
        <v>7449</v>
      </c>
      <c r="U3450">
        <v>0</v>
      </c>
      <c r="V3450">
        <v>7449</v>
      </c>
    </row>
    <row r="3451" spans="1:22" x14ac:dyDescent="0.3">
      <c r="A3451">
        <v>186607</v>
      </c>
      <c r="B3451">
        <v>135790619</v>
      </c>
      <c r="C3451" t="s">
        <v>17459</v>
      </c>
      <c r="D3451" t="s">
        <v>17460</v>
      </c>
      <c r="E3451" t="s">
        <v>11426</v>
      </c>
      <c r="F3451" t="s">
        <v>844</v>
      </c>
      <c r="G3451" t="s">
        <v>172</v>
      </c>
      <c r="H3451" t="s">
        <v>173</v>
      </c>
      <c r="I3451" t="s">
        <v>34</v>
      </c>
      <c r="J3451" t="s">
        <v>272</v>
      </c>
      <c r="K3451" t="s">
        <v>41</v>
      </c>
      <c r="L3451" t="s">
        <v>17461</v>
      </c>
      <c r="M3451" t="s">
        <v>17462</v>
      </c>
      <c r="N3451" t="s">
        <v>11429</v>
      </c>
      <c r="O3451" t="s">
        <v>101</v>
      </c>
      <c r="P3451" t="s">
        <v>17463</v>
      </c>
      <c r="Q3451" t="s">
        <v>104</v>
      </c>
      <c r="R3451" t="s">
        <v>770</v>
      </c>
      <c r="S3451">
        <v>3.55</v>
      </c>
      <c r="T3451">
        <v>4537</v>
      </c>
      <c r="U3451">
        <v>0</v>
      </c>
      <c r="V3451">
        <v>4537</v>
      </c>
    </row>
    <row r="3452" spans="1:22" x14ac:dyDescent="0.3">
      <c r="A3452">
        <v>186607</v>
      </c>
      <c r="B3452">
        <v>135983295</v>
      </c>
      <c r="C3452" t="s">
        <v>17464</v>
      </c>
      <c r="D3452" t="s">
        <v>17465</v>
      </c>
      <c r="E3452" t="s">
        <v>11426</v>
      </c>
      <c r="F3452" t="s">
        <v>844</v>
      </c>
      <c r="G3452" t="s">
        <v>172</v>
      </c>
      <c r="H3452" t="s">
        <v>173</v>
      </c>
      <c r="I3452" t="s">
        <v>34</v>
      </c>
      <c r="J3452" t="s">
        <v>272</v>
      </c>
      <c r="K3452" t="s">
        <v>41</v>
      </c>
      <c r="L3452" t="s">
        <v>174</v>
      </c>
      <c r="M3452" t="s">
        <v>17466</v>
      </c>
      <c r="N3452" t="s">
        <v>11429</v>
      </c>
      <c r="O3452" t="s">
        <v>101</v>
      </c>
      <c r="P3452" t="s">
        <v>17467</v>
      </c>
      <c r="Q3452" t="s">
        <v>104</v>
      </c>
      <c r="R3452" t="s">
        <v>178</v>
      </c>
      <c r="S3452">
        <v>4.37</v>
      </c>
      <c r="T3452">
        <v>4537</v>
      </c>
      <c r="U3452">
        <v>0</v>
      </c>
      <c r="V3452">
        <v>4537</v>
      </c>
    </row>
    <row r="3453" spans="1:22" x14ac:dyDescent="0.3">
      <c r="A3453">
        <v>186607</v>
      </c>
      <c r="B3453">
        <v>135790610</v>
      </c>
      <c r="C3453" t="s">
        <v>17468</v>
      </c>
      <c r="D3453" t="s">
        <v>17469</v>
      </c>
      <c r="E3453" t="s">
        <v>11426</v>
      </c>
      <c r="F3453" t="s">
        <v>844</v>
      </c>
      <c r="G3453" t="s">
        <v>172</v>
      </c>
      <c r="H3453" t="s">
        <v>173</v>
      </c>
      <c r="I3453" t="s">
        <v>34</v>
      </c>
      <c r="J3453" t="s">
        <v>272</v>
      </c>
      <c r="K3453" t="s">
        <v>41</v>
      </c>
      <c r="L3453" t="s">
        <v>17470</v>
      </c>
      <c r="M3453" t="s">
        <v>17471</v>
      </c>
      <c r="N3453" t="s">
        <v>11429</v>
      </c>
      <c r="O3453" t="s">
        <v>101</v>
      </c>
      <c r="P3453" t="s">
        <v>17472</v>
      </c>
      <c r="Q3453" t="s">
        <v>766</v>
      </c>
      <c r="R3453" t="s">
        <v>770</v>
      </c>
      <c r="S3453">
        <v>0.85</v>
      </c>
      <c r="T3453">
        <v>6381</v>
      </c>
      <c r="U3453">
        <v>0</v>
      </c>
      <c r="V3453">
        <v>6381</v>
      </c>
    </row>
    <row r="3454" spans="1:22" x14ac:dyDescent="0.3">
      <c r="A3454">
        <v>186607</v>
      </c>
      <c r="B3454">
        <v>135905465</v>
      </c>
      <c r="C3454" t="s">
        <v>17473</v>
      </c>
      <c r="D3454" t="s">
        <v>17474</v>
      </c>
      <c r="E3454" t="s">
        <v>11426</v>
      </c>
      <c r="F3454" t="s">
        <v>844</v>
      </c>
      <c r="G3454" t="s">
        <v>172</v>
      </c>
      <c r="H3454" t="s">
        <v>173</v>
      </c>
      <c r="I3454" t="s">
        <v>34</v>
      </c>
      <c r="J3454" t="s">
        <v>272</v>
      </c>
      <c r="K3454" t="s">
        <v>41</v>
      </c>
      <c r="L3454" t="s">
        <v>174</v>
      </c>
      <c r="M3454" t="s">
        <v>422</v>
      </c>
      <c r="N3454" t="s">
        <v>11429</v>
      </c>
      <c r="O3454" t="s">
        <v>101</v>
      </c>
      <c r="P3454" t="s">
        <v>17475</v>
      </c>
      <c r="Q3454" t="s">
        <v>282</v>
      </c>
      <c r="R3454" t="s">
        <v>498</v>
      </c>
      <c r="S3454">
        <v>4.49</v>
      </c>
      <c r="T3454">
        <v>7129</v>
      </c>
      <c r="U3454">
        <v>0</v>
      </c>
      <c r="V3454">
        <v>7129</v>
      </c>
    </row>
    <row r="3455" spans="1:22" x14ac:dyDescent="0.3">
      <c r="A3455">
        <v>186607</v>
      </c>
      <c r="B3455">
        <v>135983104</v>
      </c>
      <c r="C3455" t="s">
        <v>17476</v>
      </c>
      <c r="D3455" t="s">
        <v>17477</v>
      </c>
      <c r="E3455" t="s">
        <v>11426</v>
      </c>
      <c r="F3455" t="s">
        <v>844</v>
      </c>
      <c r="G3455" t="s">
        <v>172</v>
      </c>
      <c r="H3455" t="s">
        <v>173</v>
      </c>
      <c r="I3455" t="s">
        <v>34</v>
      </c>
      <c r="J3455" t="s">
        <v>272</v>
      </c>
      <c r="K3455" t="s">
        <v>41</v>
      </c>
      <c r="L3455" t="s">
        <v>174</v>
      </c>
      <c r="M3455" t="s">
        <v>17478</v>
      </c>
      <c r="N3455" t="s">
        <v>11429</v>
      </c>
      <c r="O3455" t="s">
        <v>101</v>
      </c>
      <c r="P3455" t="s">
        <v>17479</v>
      </c>
      <c r="Q3455" t="s">
        <v>75</v>
      </c>
      <c r="R3455" t="s">
        <v>344</v>
      </c>
      <c r="S3455">
        <v>3.92</v>
      </c>
      <c r="T3455">
        <v>7297</v>
      </c>
      <c r="U3455">
        <v>0</v>
      </c>
      <c r="V3455">
        <v>7297</v>
      </c>
    </row>
    <row r="3456" spans="1:22" x14ac:dyDescent="0.3">
      <c r="A3456">
        <v>186607</v>
      </c>
      <c r="B3456">
        <v>135905412</v>
      </c>
      <c r="C3456" t="s">
        <v>17480</v>
      </c>
      <c r="D3456" t="s">
        <v>17481</v>
      </c>
      <c r="E3456" t="s">
        <v>11426</v>
      </c>
      <c r="F3456" t="s">
        <v>844</v>
      </c>
      <c r="G3456" t="s">
        <v>172</v>
      </c>
      <c r="H3456" t="s">
        <v>173</v>
      </c>
      <c r="I3456" t="s">
        <v>34</v>
      </c>
      <c r="J3456" t="s">
        <v>272</v>
      </c>
      <c r="K3456" t="s">
        <v>41</v>
      </c>
      <c r="L3456" t="s">
        <v>174</v>
      </c>
      <c r="M3456" t="s">
        <v>17482</v>
      </c>
      <c r="N3456" t="s">
        <v>11429</v>
      </c>
      <c r="O3456" t="s">
        <v>101</v>
      </c>
      <c r="P3456" t="s">
        <v>17483</v>
      </c>
      <c r="Q3456" t="s">
        <v>104</v>
      </c>
      <c r="R3456" t="s">
        <v>498</v>
      </c>
      <c r="S3456">
        <v>3.95</v>
      </c>
      <c r="T3456">
        <v>4537</v>
      </c>
      <c r="U3456">
        <v>0</v>
      </c>
      <c r="V3456">
        <v>4537</v>
      </c>
    </row>
    <row r="3457" spans="1:22" x14ac:dyDescent="0.3">
      <c r="A3457">
        <v>186607</v>
      </c>
      <c r="B3457">
        <v>135848907</v>
      </c>
      <c r="C3457" t="s">
        <v>17484</v>
      </c>
      <c r="D3457" t="s">
        <v>17485</v>
      </c>
      <c r="E3457" t="s">
        <v>11426</v>
      </c>
      <c r="F3457" t="s">
        <v>844</v>
      </c>
      <c r="G3457" t="s">
        <v>172</v>
      </c>
      <c r="H3457" t="s">
        <v>173</v>
      </c>
      <c r="I3457" t="s">
        <v>34</v>
      </c>
      <c r="J3457" t="s">
        <v>272</v>
      </c>
      <c r="K3457" t="s">
        <v>41</v>
      </c>
      <c r="L3457" t="s">
        <v>174</v>
      </c>
      <c r="M3457" t="s">
        <v>17486</v>
      </c>
      <c r="N3457" t="s">
        <v>11429</v>
      </c>
      <c r="O3457" t="s">
        <v>101</v>
      </c>
      <c r="P3457" t="s">
        <v>17487</v>
      </c>
      <c r="Q3457" t="s">
        <v>86</v>
      </c>
      <c r="R3457" t="s">
        <v>737</v>
      </c>
      <c r="S3457">
        <v>3.71</v>
      </c>
      <c r="T3457">
        <v>7129</v>
      </c>
      <c r="U3457">
        <v>0</v>
      </c>
      <c r="V3457">
        <v>7129</v>
      </c>
    </row>
    <row r="3458" spans="1:22" x14ac:dyDescent="0.3">
      <c r="A3458">
        <v>186607</v>
      </c>
      <c r="B3458">
        <v>135848947</v>
      </c>
      <c r="C3458" t="s">
        <v>17488</v>
      </c>
      <c r="D3458" t="s">
        <v>17489</v>
      </c>
      <c r="E3458" t="s">
        <v>11426</v>
      </c>
      <c r="F3458" t="s">
        <v>844</v>
      </c>
      <c r="G3458" t="s">
        <v>172</v>
      </c>
      <c r="H3458" t="s">
        <v>173</v>
      </c>
      <c r="I3458" t="s">
        <v>34</v>
      </c>
      <c r="J3458" t="s">
        <v>272</v>
      </c>
      <c r="K3458" t="s">
        <v>41</v>
      </c>
      <c r="L3458" t="s">
        <v>174</v>
      </c>
      <c r="M3458" t="s">
        <v>17490</v>
      </c>
      <c r="N3458" t="s">
        <v>11429</v>
      </c>
      <c r="O3458" t="s">
        <v>101</v>
      </c>
      <c r="P3458" t="s">
        <v>17491</v>
      </c>
      <c r="Q3458" t="s">
        <v>75</v>
      </c>
      <c r="R3458" t="s">
        <v>501</v>
      </c>
      <c r="S3458">
        <v>3.7</v>
      </c>
      <c r="T3458">
        <v>7297</v>
      </c>
      <c r="U3458">
        <v>0</v>
      </c>
      <c r="V3458">
        <v>7297</v>
      </c>
    </row>
    <row r="3459" spans="1:22" x14ac:dyDescent="0.3">
      <c r="A3459">
        <v>186607</v>
      </c>
      <c r="B3459">
        <v>135790718</v>
      </c>
      <c r="C3459" t="s">
        <v>17492</v>
      </c>
      <c r="D3459" t="s">
        <v>17493</v>
      </c>
      <c r="E3459" t="s">
        <v>11426</v>
      </c>
      <c r="F3459" t="s">
        <v>844</v>
      </c>
      <c r="G3459" t="s">
        <v>172</v>
      </c>
      <c r="H3459" t="s">
        <v>173</v>
      </c>
      <c r="I3459" t="s">
        <v>34</v>
      </c>
      <c r="J3459" t="s">
        <v>272</v>
      </c>
      <c r="K3459" t="s">
        <v>41</v>
      </c>
      <c r="L3459" t="s">
        <v>17494</v>
      </c>
      <c r="M3459" t="s">
        <v>17495</v>
      </c>
      <c r="N3459" t="s">
        <v>11429</v>
      </c>
      <c r="O3459" t="s">
        <v>101</v>
      </c>
      <c r="P3459" t="s">
        <v>17496</v>
      </c>
      <c r="Q3459" t="s">
        <v>86</v>
      </c>
      <c r="R3459" t="s">
        <v>509</v>
      </c>
      <c r="S3459">
        <v>4.1500000000000004</v>
      </c>
      <c r="T3459">
        <v>7129</v>
      </c>
      <c r="U3459">
        <v>0</v>
      </c>
      <c r="V3459">
        <v>7129</v>
      </c>
    </row>
    <row r="3460" spans="1:22" x14ac:dyDescent="0.3">
      <c r="A3460">
        <v>186607</v>
      </c>
      <c r="B3460">
        <v>135790662</v>
      </c>
      <c r="C3460" t="s">
        <v>17497</v>
      </c>
      <c r="D3460" t="s">
        <v>17498</v>
      </c>
      <c r="E3460" t="s">
        <v>11426</v>
      </c>
      <c r="F3460" t="s">
        <v>844</v>
      </c>
      <c r="G3460" t="s">
        <v>172</v>
      </c>
      <c r="H3460" t="s">
        <v>173</v>
      </c>
      <c r="I3460" t="s">
        <v>34</v>
      </c>
      <c r="J3460" t="s">
        <v>272</v>
      </c>
      <c r="K3460" t="s">
        <v>41</v>
      </c>
      <c r="L3460" t="s">
        <v>17499</v>
      </c>
      <c r="M3460" t="s">
        <v>17197</v>
      </c>
      <c r="N3460" t="s">
        <v>11429</v>
      </c>
      <c r="O3460" t="s">
        <v>101</v>
      </c>
      <c r="P3460" t="s">
        <v>17500</v>
      </c>
      <c r="Q3460" t="s">
        <v>250</v>
      </c>
      <c r="R3460" t="s">
        <v>770</v>
      </c>
      <c r="S3460">
        <v>3.77</v>
      </c>
      <c r="T3460">
        <v>7449</v>
      </c>
      <c r="U3460">
        <v>0</v>
      </c>
      <c r="V3460">
        <v>7449</v>
      </c>
    </row>
    <row r="3461" spans="1:22" x14ac:dyDescent="0.3">
      <c r="A3461">
        <v>186607</v>
      </c>
      <c r="B3461">
        <v>135848906</v>
      </c>
      <c r="C3461" t="s">
        <v>17501</v>
      </c>
      <c r="D3461" t="s">
        <v>17502</v>
      </c>
      <c r="E3461" t="s">
        <v>11426</v>
      </c>
      <c r="F3461" t="s">
        <v>844</v>
      </c>
      <c r="G3461" t="s">
        <v>172</v>
      </c>
      <c r="H3461" t="s">
        <v>173</v>
      </c>
      <c r="I3461" t="s">
        <v>34</v>
      </c>
      <c r="J3461" t="s">
        <v>272</v>
      </c>
      <c r="K3461" t="s">
        <v>41</v>
      </c>
      <c r="L3461" t="s">
        <v>174</v>
      </c>
      <c r="M3461" t="s">
        <v>17503</v>
      </c>
      <c r="N3461" t="s">
        <v>11429</v>
      </c>
      <c r="O3461" t="s">
        <v>101</v>
      </c>
      <c r="P3461" t="s">
        <v>17504</v>
      </c>
      <c r="Q3461" t="s">
        <v>237</v>
      </c>
      <c r="R3461" t="s">
        <v>737</v>
      </c>
      <c r="S3461">
        <v>5.18</v>
      </c>
      <c r="T3461">
        <v>6998</v>
      </c>
      <c r="U3461">
        <v>0</v>
      </c>
      <c r="V3461">
        <v>6998</v>
      </c>
    </row>
    <row r="3462" spans="1:22" x14ac:dyDescent="0.3">
      <c r="A3462">
        <v>186607</v>
      </c>
      <c r="B3462">
        <v>135983383</v>
      </c>
      <c r="C3462" t="s">
        <v>17505</v>
      </c>
      <c r="D3462" t="s">
        <v>17506</v>
      </c>
      <c r="E3462" t="s">
        <v>11426</v>
      </c>
      <c r="F3462" t="s">
        <v>844</v>
      </c>
      <c r="G3462" t="s">
        <v>172</v>
      </c>
      <c r="H3462" t="s">
        <v>173</v>
      </c>
      <c r="I3462" t="s">
        <v>34</v>
      </c>
      <c r="J3462" t="s">
        <v>272</v>
      </c>
      <c r="K3462" t="s">
        <v>41</v>
      </c>
      <c r="L3462" t="s">
        <v>174</v>
      </c>
      <c r="M3462" t="s">
        <v>17507</v>
      </c>
      <c r="N3462" t="s">
        <v>11429</v>
      </c>
      <c r="O3462" t="s">
        <v>101</v>
      </c>
      <c r="P3462" t="s">
        <v>17508</v>
      </c>
      <c r="Q3462" t="s">
        <v>107</v>
      </c>
      <c r="R3462" t="s">
        <v>178</v>
      </c>
      <c r="S3462">
        <v>3.7</v>
      </c>
      <c r="T3462">
        <v>4537</v>
      </c>
      <c r="U3462">
        <v>0</v>
      </c>
      <c r="V3462">
        <v>4537</v>
      </c>
    </row>
    <row r="3463" spans="1:22" x14ac:dyDescent="0.3">
      <c r="A3463">
        <v>186607</v>
      </c>
      <c r="B3463">
        <v>135983378</v>
      </c>
      <c r="C3463" t="s">
        <v>17509</v>
      </c>
      <c r="D3463" t="s">
        <v>17510</v>
      </c>
      <c r="E3463" t="s">
        <v>11426</v>
      </c>
      <c r="F3463" t="s">
        <v>844</v>
      </c>
      <c r="G3463" t="s">
        <v>172</v>
      </c>
      <c r="H3463" t="s">
        <v>173</v>
      </c>
      <c r="I3463" t="s">
        <v>34</v>
      </c>
      <c r="J3463" t="s">
        <v>272</v>
      </c>
      <c r="K3463" t="s">
        <v>41</v>
      </c>
      <c r="L3463" t="s">
        <v>174</v>
      </c>
      <c r="M3463" t="s">
        <v>17511</v>
      </c>
      <c r="N3463" t="s">
        <v>11429</v>
      </c>
      <c r="O3463" t="s">
        <v>101</v>
      </c>
      <c r="P3463" t="s">
        <v>17512</v>
      </c>
      <c r="Q3463" t="s">
        <v>401</v>
      </c>
      <c r="R3463" t="s">
        <v>178</v>
      </c>
      <c r="S3463">
        <v>3.74</v>
      </c>
      <c r="T3463">
        <v>7224</v>
      </c>
      <c r="U3463">
        <v>0</v>
      </c>
      <c r="V3463">
        <v>7224</v>
      </c>
    </row>
    <row r="3464" spans="1:22" x14ac:dyDescent="0.3">
      <c r="A3464">
        <v>186607</v>
      </c>
      <c r="B3464">
        <v>135985189</v>
      </c>
      <c r="C3464" t="s">
        <v>17513</v>
      </c>
      <c r="D3464" t="s">
        <v>17514</v>
      </c>
      <c r="E3464" t="s">
        <v>11426</v>
      </c>
      <c r="F3464" t="s">
        <v>844</v>
      </c>
      <c r="G3464" t="s">
        <v>172</v>
      </c>
      <c r="H3464" t="s">
        <v>173</v>
      </c>
      <c r="I3464" t="s">
        <v>34</v>
      </c>
      <c r="J3464" t="s">
        <v>272</v>
      </c>
      <c r="K3464" t="s">
        <v>41</v>
      </c>
      <c r="L3464" t="s">
        <v>174</v>
      </c>
      <c r="M3464" t="s">
        <v>17515</v>
      </c>
      <c r="N3464" t="s">
        <v>11429</v>
      </c>
      <c r="O3464" t="s">
        <v>101</v>
      </c>
      <c r="P3464" t="s">
        <v>17516</v>
      </c>
      <c r="Q3464" t="s">
        <v>88</v>
      </c>
      <c r="R3464" t="s">
        <v>493</v>
      </c>
      <c r="S3464">
        <v>3.86</v>
      </c>
      <c r="T3464">
        <v>6998</v>
      </c>
      <c r="U3464">
        <v>0</v>
      </c>
      <c r="V3464">
        <v>6998</v>
      </c>
    </row>
    <row r="3465" spans="1:22" x14ac:dyDescent="0.3">
      <c r="A3465">
        <v>186607</v>
      </c>
      <c r="B3465">
        <v>135983359</v>
      </c>
      <c r="C3465" t="s">
        <v>17517</v>
      </c>
      <c r="D3465" t="s">
        <v>17518</v>
      </c>
      <c r="E3465" t="s">
        <v>11426</v>
      </c>
      <c r="F3465" t="s">
        <v>844</v>
      </c>
      <c r="G3465" t="s">
        <v>172</v>
      </c>
      <c r="H3465" t="s">
        <v>173</v>
      </c>
      <c r="I3465" t="s">
        <v>34</v>
      </c>
      <c r="J3465" t="s">
        <v>272</v>
      </c>
      <c r="K3465" t="s">
        <v>41</v>
      </c>
      <c r="L3465" t="s">
        <v>174</v>
      </c>
      <c r="M3465" t="s">
        <v>17519</v>
      </c>
      <c r="N3465" t="s">
        <v>11429</v>
      </c>
      <c r="O3465" t="s">
        <v>101</v>
      </c>
      <c r="P3465" t="s">
        <v>17520</v>
      </c>
      <c r="Q3465" t="s">
        <v>86</v>
      </c>
      <c r="R3465" t="s">
        <v>178</v>
      </c>
      <c r="S3465">
        <v>2.77</v>
      </c>
      <c r="T3465">
        <v>6800</v>
      </c>
      <c r="U3465">
        <v>0</v>
      </c>
      <c r="V3465">
        <v>6800</v>
      </c>
    </row>
    <row r="3466" spans="1:22" x14ac:dyDescent="0.3">
      <c r="A3466">
        <v>186607</v>
      </c>
      <c r="B3466">
        <v>135504206</v>
      </c>
      <c r="C3466" t="s">
        <v>17521</v>
      </c>
      <c r="D3466" t="s">
        <v>17522</v>
      </c>
      <c r="E3466" t="s">
        <v>11426</v>
      </c>
      <c r="F3466" t="s">
        <v>844</v>
      </c>
      <c r="G3466" t="s">
        <v>172</v>
      </c>
      <c r="H3466" t="s">
        <v>173</v>
      </c>
      <c r="I3466" t="s">
        <v>34</v>
      </c>
      <c r="J3466" t="s">
        <v>272</v>
      </c>
      <c r="K3466" t="s">
        <v>41</v>
      </c>
      <c r="L3466" t="s">
        <v>174</v>
      </c>
      <c r="M3466" t="s">
        <v>17523</v>
      </c>
      <c r="N3466" t="s">
        <v>11429</v>
      </c>
      <c r="O3466" t="s">
        <v>101</v>
      </c>
      <c r="P3466" t="s">
        <v>17524</v>
      </c>
      <c r="Q3466" t="s">
        <v>278</v>
      </c>
      <c r="R3466" t="s">
        <v>12860</v>
      </c>
      <c r="S3466">
        <v>2.73</v>
      </c>
      <c r="T3466">
        <v>7015</v>
      </c>
      <c r="U3466">
        <v>0</v>
      </c>
      <c r="V3466">
        <v>7015</v>
      </c>
    </row>
    <row r="3467" spans="1:22" x14ac:dyDescent="0.3">
      <c r="A3467">
        <v>186607</v>
      </c>
      <c r="B3467">
        <v>135412636</v>
      </c>
      <c r="C3467" t="s">
        <v>17525</v>
      </c>
      <c r="D3467" t="s">
        <v>17526</v>
      </c>
      <c r="E3467" t="s">
        <v>11426</v>
      </c>
      <c r="F3467" t="s">
        <v>844</v>
      </c>
      <c r="G3467" t="s">
        <v>172</v>
      </c>
      <c r="H3467" t="s">
        <v>173</v>
      </c>
      <c r="I3467" t="s">
        <v>34</v>
      </c>
      <c r="J3467" t="s">
        <v>272</v>
      </c>
      <c r="K3467" t="s">
        <v>41</v>
      </c>
      <c r="L3467" t="s">
        <v>174</v>
      </c>
      <c r="M3467" t="s">
        <v>17527</v>
      </c>
      <c r="N3467" t="s">
        <v>11429</v>
      </c>
      <c r="O3467" t="s">
        <v>101</v>
      </c>
      <c r="P3467" t="s">
        <v>17528</v>
      </c>
      <c r="Q3467" t="s">
        <v>86</v>
      </c>
      <c r="R3467" t="s">
        <v>16321</v>
      </c>
      <c r="S3467">
        <v>3.63</v>
      </c>
      <c r="T3467">
        <v>7129</v>
      </c>
      <c r="U3467">
        <v>0</v>
      </c>
      <c r="V3467">
        <v>7129</v>
      </c>
    </row>
    <row r="3468" spans="1:22" x14ac:dyDescent="0.3">
      <c r="A3468">
        <v>186607</v>
      </c>
      <c r="B3468">
        <v>135449147</v>
      </c>
      <c r="C3468" t="s">
        <v>17529</v>
      </c>
      <c r="D3468" t="s">
        <v>17530</v>
      </c>
      <c r="E3468" t="s">
        <v>11426</v>
      </c>
      <c r="F3468" t="s">
        <v>844</v>
      </c>
      <c r="G3468" t="s">
        <v>172</v>
      </c>
      <c r="H3468" t="s">
        <v>173</v>
      </c>
      <c r="I3468" t="s">
        <v>34</v>
      </c>
      <c r="J3468" t="s">
        <v>272</v>
      </c>
      <c r="K3468" t="s">
        <v>41</v>
      </c>
      <c r="L3468" t="s">
        <v>174</v>
      </c>
      <c r="M3468" t="s">
        <v>518</v>
      </c>
      <c r="N3468" t="s">
        <v>11429</v>
      </c>
      <c r="O3468" t="s">
        <v>101</v>
      </c>
      <c r="P3468" t="s">
        <v>17531</v>
      </c>
      <c r="Q3468" t="s">
        <v>250</v>
      </c>
      <c r="R3468" t="s">
        <v>16032</v>
      </c>
      <c r="S3468">
        <v>3.58</v>
      </c>
      <c r="T3468">
        <v>7449</v>
      </c>
      <c r="U3468">
        <v>0</v>
      </c>
      <c r="V3468">
        <v>7449</v>
      </c>
    </row>
    <row r="3469" spans="1:22" x14ac:dyDescent="0.3">
      <c r="A3469">
        <v>186607</v>
      </c>
      <c r="B3469">
        <v>135449140</v>
      </c>
      <c r="C3469" t="s">
        <v>17532</v>
      </c>
      <c r="D3469" t="s">
        <v>17533</v>
      </c>
      <c r="E3469" t="s">
        <v>11426</v>
      </c>
      <c r="F3469" t="s">
        <v>844</v>
      </c>
      <c r="G3469" t="s">
        <v>172</v>
      </c>
      <c r="H3469" t="s">
        <v>173</v>
      </c>
      <c r="I3469" t="s">
        <v>34</v>
      </c>
      <c r="J3469" t="s">
        <v>272</v>
      </c>
      <c r="K3469" t="s">
        <v>41</v>
      </c>
      <c r="L3469" t="s">
        <v>174</v>
      </c>
      <c r="M3469" t="s">
        <v>17534</v>
      </c>
      <c r="N3469" t="s">
        <v>11429</v>
      </c>
      <c r="O3469" t="s">
        <v>101</v>
      </c>
      <c r="P3469" t="s">
        <v>17535</v>
      </c>
      <c r="Q3469" t="s">
        <v>256</v>
      </c>
      <c r="R3469" t="s">
        <v>13979</v>
      </c>
      <c r="S3469">
        <v>2.69</v>
      </c>
      <c r="T3469">
        <v>7015</v>
      </c>
      <c r="U3469">
        <v>0</v>
      </c>
      <c r="V3469">
        <v>7015</v>
      </c>
    </row>
    <row r="3470" spans="1:22" x14ac:dyDescent="0.3">
      <c r="A3470">
        <v>186607</v>
      </c>
      <c r="B3470">
        <v>135449150</v>
      </c>
      <c r="C3470" t="s">
        <v>17536</v>
      </c>
      <c r="D3470" t="s">
        <v>17537</v>
      </c>
      <c r="E3470" t="s">
        <v>11426</v>
      </c>
      <c r="F3470" t="s">
        <v>844</v>
      </c>
      <c r="G3470" t="s">
        <v>172</v>
      </c>
      <c r="H3470" t="s">
        <v>173</v>
      </c>
      <c r="I3470" t="s">
        <v>34</v>
      </c>
      <c r="J3470" t="s">
        <v>272</v>
      </c>
      <c r="K3470" t="s">
        <v>41</v>
      </c>
      <c r="L3470" t="s">
        <v>174</v>
      </c>
      <c r="M3470" t="s">
        <v>17538</v>
      </c>
      <c r="N3470" t="s">
        <v>11429</v>
      </c>
      <c r="O3470" t="s">
        <v>101</v>
      </c>
      <c r="P3470" t="s">
        <v>17539</v>
      </c>
      <c r="Q3470" t="s">
        <v>316</v>
      </c>
      <c r="R3470" t="s">
        <v>16032</v>
      </c>
      <c r="S3470">
        <v>2.14</v>
      </c>
      <c r="T3470">
        <v>7015</v>
      </c>
      <c r="U3470">
        <v>0</v>
      </c>
      <c r="V3470">
        <v>7015</v>
      </c>
    </row>
    <row r="3471" spans="1:22" x14ac:dyDescent="0.3">
      <c r="A3471">
        <v>186607</v>
      </c>
      <c r="B3471">
        <v>135523744</v>
      </c>
      <c r="C3471" t="s">
        <v>17540</v>
      </c>
      <c r="D3471" t="s">
        <v>17541</v>
      </c>
      <c r="E3471" t="s">
        <v>11426</v>
      </c>
      <c r="F3471" t="s">
        <v>844</v>
      </c>
      <c r="G3471" t="s">
        <v>172</v>
      </c>
      <c r="H3471" t="s">
        <v>173</v>
      </c>
      <c r="I3471" t="s">
        <v>34</v>
      </c>
      <c r="J3471" t="s">
        <v>272</v>
      </c>
      <c r="K3471" t="s">
        <v>41</v>
      </c>
      <c r="L3471" t="s">
        <v>174</v>
      </c>
      <c r="M3471" t="s">
        <v>17542</v>
      </c>
      <c r="N3471" t="s">
        <v>11429</v>
      </c>
      <c r="O3471" t="s">
        <v>101</v>
      </c>
      <c r="P3471" t="s">
        <v>17543</v>
      </c>
      <c r="Q3471" t="s">
        <v>250</v>
      </c>
      <c r="R3471" t="s">
        <v>674</v>
      </c>
      <c r="S3471">
        <v>2.06</v>
      </c>
      <c r="T3471">
        <v>7326</v>
      </c>
      <c r="U3471">
        <v>0</v>
      </c>
      <c r="V3471">
        <v>7326</v>
      </c>
    </row>
    <row r="3472" spans="1:22" x14ac:dyDescent="0.3">
      <c r="A3472">
        <v>186607</v>
      </c>
      <c r="B3472">
        <v>135606153</v>
      </c>
      <c r="C3472" t="s">
        <v>17544</v>
      </c>
      <c r="D3472" t="s">
        <v>17545</v>
      </c>
      <c r="E3472" t="s">
        <v>11426</v>
      </c>
      <c r="F3472" t="s">
        <v>844</v>
      </c>
      <c r="G3472" t="s">
        <v>172</v>
      </c>
      <c r="H3472" t="s">
        <v>173</v>
      </c>
      <c r="I3472" t="s">
        <v>34</v>
      </c>
      <c r="J3472" t="s">
        <v>272</v>
      </c>
      <c r="K3472" t="s">
        <v>41</v>
      </c>
      <c r="L3472" t="s">
        <v>17546</v>
      </c>
      <c r="M3472" t="s">
        <v>17547</v>
      </c>
      <c r="N3472" t="s">
        <v>11429</v>
      </c>
      <c r="O3472" t="s">
        <v>101</v>
      </c>
      <c r="P3472" t="s">
        <v>17548</v>
      </c>
      <c r="Q3472" t="s">
        <v>189</v>
      </c>
      <c r="R3472" t="s">
        <v>16068</v>
      </c>
      <c r="S3472">
        <v>2.83</v>
      </c>
      <c r="T3472">
        <v>4168</v>
      </c>
      <c r="U3472">
        <v>0</v>
      </c>
      <c r="V3472">
        <v>4168</v>
      </c>
    </row>
    <row r="3473" spans="1:22" x14ac:dyDescent="0.3">
      <c r="A3473">
        <v>8326</v>
      </c>
      <c r="B3473">
        <v>137557527</v>
      </c>
      <c r="C3473" t="s">
        <v>17549</v>
      </c>
      <c r="D3473" t="s">
        <v>17550</v>
      </c>
      <c r="E3473" t="s">
        <v>17551</v>
      </c>
      <c r="F3473" t="s">
        <v>844</v>
      </c>
      <c r="G3473" t="s">
        <v>164</v>
      </c>
      <c r="H3473" t="s">
        <v>165</v>
      </c>
      <c r="I3473" t="s">
        <v>34</v>
      </c>
      <c r="J3473" t="s">
        <v>166</v>
      </c>
      <c r="K3473" t="s">
        <v>41</v>
      </c>
      <c r="L3473" t="s">
        <v>17552</v>
      </c>
      <c r="M3473" t="s">
        <v>17553</v>
      </c>
      <c r="N3473" t="s">
        <v>847</v>
      </c>
      <c r="O3473" t="s">
        <v>100</v>
      </c>
      <c r="P3473" t="s">
        <v>17554</v>
      </c>
      <c r="Q3473" t="s">
        <v>106</v>
      </c>
      <c r="R3473" t="s">
        <v>778</v>
      </c>
      <c r="S3473">
        <v>2.75</v>
      </c>
      <c r="T3473">
        <v>5131</v>
      </c>
      <c r="U3473">
        <v>0</v>
      </c>
      <c r="V3473">
        <v>5131</v>
      </c>
    </row>
    <row r="3474" spans="1:22" x14ac:dyDescent="0.3">
      <c r="A3474">
        <v>8326</v>
      </c>
      <c r="B3474">
        <v>137550597</v>
      </c>
      <c r="C3474" t="s">
        <v>17555</v>
      </c>
      <c r="D3474" t="s">
        <v>17556</v>
      </c>
      <c r="E3474" t="s">
        <v>17551</v>
      </c>
      <c r="F3474" t="s">
        <v>844</v>
      </c>
      <c r="G3474" t="s">
        <v>164</v>
      </c>
      <c r="H3474" t="s">
        <v>165</v>
      </c>
      <c r="I3474" t="s">
        <v>34</v>
      </c>
      <c r="J3474" t="s">
        <v>166</v>
      </c>
      <c r="K3474" t="s">
        <v>41</v>
      </c>
      <c r="L3474" t="s">
        <v>17557</v>
      </c>
      <c r="M3474" t="s">
        <v>17558</v>
      </c>
      <c r="N3474" t="s">
        <v>847</v>
      </c>
      <c r="O3474" t="s">
        <v>100</v>
      </c>
      <c r="P3474" t="s">
        <v>17559</v>
      </c>
      <c r="Q3474" t="s">
        <v>68</v>
      </c>
      <c r="R3474" t="s">
        <v>786</v>
      </c>
      <c r="S3474">
        <v>1.91</v>
      </c>
      <c r="T3474">
        <v>3753</v>
      </c>
      <c r="U3474">
        <v>0</v>
      </c>
      <c r="V3474">
        <v>3753</v>
      </c>
    </row>
    <row r="3475" spans="1:22" x14ac:dyDescent="0.3">
      <c r="A3475">
        <v>8326</v>
      </c>
      <c r="B3475">
        <v>137371636</v>
      </c>
      <c r="C3475" t="s">
        <v>17560</v>
      </c>
      <c r="D3475" t="s">
        <v>17561</v>
      </c>
      <c r="E3475" t="s">
        <v>17551</v>
      </c>
      <c r="F3475" t="s">
        <v>844</v>
      </c>
      <c r="G3475" t="s">
        <v>164</v>
      </c>
      <c r="H3475" t="s">
        <v>165</v>
      </c>
      <c r="I3475" t="s">
        <v>34</v>
      </c>
      <c r="J3475" t="s">
        <v>166</v>
      </c>
      <c r="K3475" t="s">
        <v>41</v>
      </c>
      <c r="L3475" t="s">
        <v>17562</v>
      </c>
      <c r="M3475" t="s">
        <v>17563</v>
      </c>
      <c r="N3475" t="s">
        <v>847</v>
      </c>
      <c r="O3475" t="s">
        <v>100</v>
      </c>
      <c r="P3475" t="s">
        <v>17564</v>
      </c>
      <c r="Q3475" t="s">
        <v>86</v>
      </c>
      <c r="R3475" t="s">
        <v>17565</v>
      </c>
      <c r="S3475">
        <v>1.85</v>
      </c>
      <c r="T3475">
        <v>3366</v>
      </c>
      <c r="U3475">
        <v>0</v>
      </c>
      <c r="V3475">
        <v>3366</v>
      </c>
    </row>
    <row r="3476" spans="1:22" x14ac:dyDescent="0.3">
      <c r="A3476">
        <v>8326</v>
      </c>
      <c r="B3476">
        <v>137288688</v>
      </c>
      <c r="C3476" t="s">
        <v>17566</v>
      </c>
      <c r="D3476" t="s">
        <v>17567</v>
      </c>
      <c r="E3476" t="s">
        <v>17551</v>
      </c>
      <c r="F3476" t="s">
        <v>844</v>
      </c>
      <c r="G3476" t="s">
        <v>164</v>
      </c>
      <c r="H3476" t="s">
        <v>165</v>
      </c>
      <c r="I3476" t="s">
        <v>34</v>
      </c>
      <c r="J3476" t="s">
        <v>166</v>
      </c>
      <c r="K3476" t="s">
        <v>41</v>
      </c>
      <c r="L3476" t="s">
        <v>17568</v>
      </c>
      <c r="M3476" t="s">
        <v>17569</v>
      </c>
      <c r="N3476" t="s">
        <v>847</v>
      </c>
      <c r="O3476" t="s">
        <v>100</v>
      </c>
      <c r="P3476" t="s">
        <v>17570</v>
      </c>
      <c r="Q3476" t="s">
        <v>92</v>
      </c>
      <c r="R3476" t="s">
        <v>351</v>
      </c>
      <c r="S3476">
        <v>1</v>
      </c>
      <c r="T3476">
        <v>3366</v>
      </c>
      <c r="U3476">
        <v>0</v>
      </c>
      <c r="V3476">
        <v>3366</v>
      </c>
    </row>
    <row r="3477" spans="1:22" x14ac:dyDescent="0.3">
      <c r="A3477">
        <v>8326</v>
      </c>
      <c r="B3477">
        <v>137139843</v>
      </c>
      <c r="C3477" t="s">
        <v>17571</v>
      </c>
      <c r="D3477" t="s">
        <v>17572</v>
      </c>
      <c r="E3477" t="s">
        <v>17551</v>
      </c>
      <c r="F3477" t="s">
        <v>844</v>
      </c>
      <c r="G3477" t="s">
        <v>164</v>
      </c>
      <c r="H3477" t="s">
        <v>165</v>
      </c>
      <c r="I3477" t="s">
        <v>34</v>
      </c>
      <c r="J3477" t="s">
        <v>166</v>
      </c>
      <c r="K3477" t="s">
        <v>41</v>
      </c>
      <c r="L3477" t="s">
        <v>17573</v>
      </c>
      <c r="M3477" t="s">
        <v>17574</v>
      </c>
      <c r="N3477" t="s">
        <v>847</v>
      </c>
      <c r="O3477" t="s">
        <v>100</v>
      </c>
      <c r="P3477" t="s">
        <v>17575</v>
      </c>
      <c r="Q3477" t="s">
        <v>54</v>
      </c>
      <c r="R3477" t="s">
        <v>453</v>
      </c>
      <c r="S3477">
        <v>1</v>
      </c>
      <c r="T3477">
        <v>5759</v>
      </c>
      <c r="U3477">
        <v>0</v>
      </c>
      <c r="V3477">
        <v>5759</v>
      </c>
    </row>
    <row r="3478" spans="1:22" x14ac:dyDescent="0.3">
      <c r="A3478">
        <v>8326</v>
      </c>
      <c r="B3478">
        <v>136733646</v>
      </c>
      <c r="C3478" t="s">
        <v>17576</v>
      </c>
      <c r="D3478" t="s">
        <v>17577</v>
      </c>
      <c r="E3478" t="s">
        <v>17551</v>
      </c>
      <c r="F3478" t="s">
        <v>844</v>
      </c>
      <c r="G3478" t="s">
        <v>164</v>
      </c>
      <c r="H3478" t="s">
        <v>165</v>
      </c>
      <c r="I3478" t="s">
        <v>34</v>
      </c>
      <c r="J3478" t="s">
        <v>166</v>
      </c>
      <c r="K3478" t="s">
        <v>41</v>
      </c>
      <c r="L3478" t="s">
        <v>17578</v>
      </c>
      <c r="M3478" t="s">
        <v>317</v>
      </c>
      <c r="N3478" t="s">
        <v>847</v>
      </c>
      <c r="O3478" t="s">
        <v>100</v>
      </c>
      <c r="P3478" t="s">
        <v>17579</v>
      </c>
      <c r="Q3478" t="s">
        <v>211</v>
      </c>
      <c r="R3478" t="s">
        <v>17580</v>
      </c>
      <c r="S3478">
        <v>2.13</v>
      </c>
      <c r="T3478">
        <v>4067</v>
      </c>
      <c r="U3478">
        <v>0</v>
      </c>
      <c r="V3478">
        <v>4067</v>
      </c>
    </row>
    <row r="3479" spans="1:22" x14ac:dyDescent="0.3">
      <c r="A3479">
        <v>8326</v>
      </c>
      <c r="B3479">
        <v>136733594</v>
      </c>
      <c r="C3479" t="s">
        <v>17581</v>
      </c>
      <c r="D3479" t="s">
        <v>17582</v>
      </c>
      <c r="E3479" t="s">
        <v>17551</v>
      </c>
      <c r="F3479" t="s">
        <v>844</v>
      </c>
      <c r="G3479" t="s">
        <v>164</v>
      </c>
      <c r="H3479" t="s">
        <v>165</v>
      </c>
      <c r="I3479" t="s">
        <v>34</v>
      </c>
      <c r="J3479" t="s">
        <v>166</v>
      </c>
      <c r="K3479" t="s">
        <v>41</v>
      </c>
      <c r="L3479" t="s">
        <v>17583</v>
      </c>
      <c r="M3479" t="s">
        <v>17584</v>
      </c>
      <c r="N3479" t="s">
        <v>847</v>
      </c>
      <c r="O3479" t="s">
        <v>100</v>
      </c>
      <c r="P3479" t="s">
        <v>17585</v>
      </c>
      <c r="Q3479" t="s">
        <v>63</v>
      </c>
      <c r="R3479" t="s">
        <v>470</v>
      </c>
      <c r="S3479">
        <v>1.92</v>
      </c>
      <c r="T3479">
        <v>4067</v>
      </c>
      <c r="U3479">
        <v>0</v>
      </c>
      <c r="V3479">
        <v>4067</v>
      </c>
    </row>
    <row r="3480" spans="1:22" x14ac:dyDescent="0.3">
      <c r="A3480">
        <v>8326</v>
      </c>
      <c r="B3480">
        <v>136733760</v>
      </c>
      <c r="C3480" t="s">
        <v>17586</v>
      </c>
      <c r="D3480" t="s">
        <v>17587</v>
      </c>
      <c r="E3480" t="s">
        <v>17551</v>
      </c>
      <c r="F3480" t="s">
        <v>844</v>
      </c>
      <c r="G3480" t="s">
        <v>164</v>
      </c>
      <c r="H3480" t="s">
        <v>165</v>
      </c>
      <c r="I3480" t="s">
        <v>34</v>
      </c>
      <c r="J3480" t="s">
        <v>166</v>
      </c>
      <c r="K3480" t="s">
        <v>41</v>
      </c>
      <c r="L3480" t="s">
        <v>17588</v>
      </c>
      <c r="M3480" t="s">
        <v>17589</v>
      </c>
      <c r="N3480" t="s">
        <v>847</v>
      </c>
      <c r="O3480" t="s">
        <v>100</v>
      </c>
      <c r="P3480" t="s">
        <v>17590</v>
      </c>
      <c r="Q3480" t="s">
        <v>94</v>
      </c>
      <c r="R3480" t="s">
        <v>662</v>
      </c>
      <c r="S3480">
        <v>1.31</v>
      </c>
      <c r="T3480">
        <v>3366</v>
      </c>
      <c r="U3480">
        <v>0</v>
      </c>
      <c r="V3480">
        <v>3366</v>
      </c>
    </row>
    <row r="3481" spans="1:22" x14ac:dyDescent="0.3">
      <c r="A3481">
        <v>8326</v>
      </c>
      <c r="B3481">
        <v>136376847</v>
      </c>
      <c r="C3481" t="s">
        <v>17591</v>
      </c>
      <c r="D3481" t="s">
        <v>17592</v>
      </c>
      <c r="E3481" t="s">
        <v>17551</v>
      </c>
      <c r="F3481" t="s">
        <v>844</v>
      </c>
      <c r="G3481" t="s">
        <v>164</v>
      </c>
      <c r="H3481" t="s">
        <v>165</v>
      </c>
      <c r="I3481" t="s">
        <v>34</v>
      </c>
      <c r="J3481" t="s">
        <v>166</v>
      </c>
      <c r="K3481" t="s">
        <v>41</v>
      </c>
      <c r="L3481" t="s">
        <v>17593</v>
      </c>
      <c r="M3481" t="s">
        <v>7487</v>
      </c>
      <c r="N3481" t="s">
        <v>847</v>
      </c>
      <c r="O3481" t="s">
        <v>100</v>
      </c>
      <c r="P3481" t="s">
        <v>17594</v>
      </c>
      <c r="Q3481" t="s">
        <v>71</v>
      </c>
      <c r="R3481" t="s">
        <v>17595</v>
      </c>
      <c r="S3481">
        <v>0.99</v>
      </c>
      <c r="T3481">
        <v>3501</v>
      </c>
      <c r="U3481">
        <v>0</v>
      </c>
      <c r="V3481">
        <v>3501</v>
      </c>
    </row>
    <row r="3482" spans="1:22" x14ac:dyDescent="0.3">
      <c r="A3482">
        <v>8326</v>
      </c>
      <c r="B3482">
        <v>136266969</v>
      </c>
      <c r="C3482" t="s">
        <v>17596</v>
      </c>
      <c r="D3482" t="s">
        <v>17597</v>
      </c>
      <c r="E3482" t="s">
        <v>17551</v>
      </c>
      <c r="F3482" t="s">
        <v>844</v>
      </c>
      <c r="G3482" t="s">
        <v>164</v>
      </c>
      <c r="H3482" t="s">
        <v>165</v>
      </c>
      <c r="I3482" t="s">
        <v>34</v>
      </c>
      <c r="J3482" t="s">
        <v>166</v>
      </c>
      <c r="K3482" t="s">
        <v>41</v>
      </c>
      <c r="L3482" t="s">
        <v>17598</v>
      </c>
      <c r="M3482" t="s">
        <v>17599</v>
      </c>
      <c r="N3482" t="s">
        <v>847</v>
      </c>
      <c r="O3482" t="s">
        <v>100</v>
      </c>
      <c r="P3482" t="s">
        <v>17600</v>
      </c>
      <c r="Q3482" t="s">
        <v>83</v>
      </c>
      <c r="R3482" t="s">
        <v>799</v>
      </c>
      <c r="S3482">
        <v>2.65</v>
      </c>
      <c r="T3482">
        <v>3366</v>
      </c>
      <c r="U3482">
        <v>0</v>
      </c>
      <c r="V3482">
        <v>3366</v>
      </c>
    </row>
    <row r="3483" spans="1:22" x14ac:dyDescent="0.3">
      <c r="A3483">
        <v>8326</v>
      </c>
      <c r="B3483">
        <v>136266527</v>
      </c>
      <c r="C3483" t="s">
        <v>17601</v>
      </c>
      <c r="D3483" t="s">
        <v>17602</v>
      </c>
      <c r="E3483" t="s">
        <v>17551</v>
      </c>
      <c r="F3483" t="s">
        <v>844</v>
      </c>
      <c r="G3483" t="s">
        <v>164</v>
      </c>
      <c r="H3483" t="s">
        <v>165</v>
      </c>
      <c r="I3483" t="s">
        <v>34</v>
      </c>
      <c r="J3483" t="s">
        <v>166</v>
      </c>
      <c r="K3483" t="s">
        <v>41</v>
      </c>
      <c r="L3483" t="s">
        <v>17603</v>
      </c>
      <c r="M3483" t="s">
        <v>17604</v>
      </c>
      <c r="N3483" t="s">
        <v>847</v>
      </c>
      <c r="O3483" t="s">
        <v>100</v>
      </c>
      <c r="P3483" t="s">
        <v>17605</v>
      </c>
      <c r="Q3483" t="s">
        <v>214</v>
      </c>
      <c r="R3483" t="s">
        <v>798</v>
      </c>
      <c r="S3483">
        <v>3.9</v>
      </c>
      <c r="T3483">
        <v>3797</v>
      </c>
      <c r="U3483">
        <v>0</v>
      </c>
      <c r="V3483">
        <v>3797</v>
      </c>
    </row>
    <row r="3484" spans="1:22" x14ac:dyDescent="0.3">
      <c r="A3484">
        <v>8326</v>
      </c>
      <c r="B3484">
        <v>135399054</v>
      </c>
      <c r="C3484" t="s">
        <v>17606</v>
      </c>
      <c r="D3484" t="s">
        <v>17607</v>
      </c>
      <c r="E3484" t="s">
        <v>17551</v>
      </c>
      <c r="F3484" t="s">
        <v>844</v>
      </c>
      <c r="G3484" t="s">
        <v>164</v>
      </c>
      <c r="H3484" t="s">
        <v>165</v>
      </c>
      <c r="I3484" t="s">
        <v>34</v>
      </c>
      <c r="J3484" t="s">
        <v>166</v>
      </c>
      <c r="K3484" t="s">
        <v>41</v>
      </c>
      <c r="L3484" t="s">
        <v>17608</v>
      </c>
      <c r="M3484" t="s">
        <v>17609</v>
      </c>
      <c r="N3484" t="s">
        <v>847</v>
      </c>
      <c r="O3484" t="s">
        <v>100</v>
      </c>
      <c r="P3484" t="s">
        <v>17610</v>
      </c>
      <c r="Q3484" t="s">
        <v>246</v>
      </c>
      <c r="R3484" t="s">
        <v>675</v>
      </c>
      <c r="S3484">
        <v>1.2</v>
      </c>
      <c r="T3484">
        <v>5759</v>
      </c>
      <c r="U3484">
        <v>0</v>
      </c>
      <c r="V3484">
        <v>5759</v>
      </c>
    </row>
    <row r="3485" spans="1:22" x14ac:dyDescent="0.3">
      <c r="A3485">
        <v>8326</v>
      </c>
      <c r="B3485">
        <v>135751944</v>
      </c>
      <c r="C3485" t="s">
        <v>17611</v>
      </c>
      <c r="D3485" t="s">
        <v>17612</v>
      </c>
      <c r="E3485" t="s">
        <v>17551</v>
      </c>
      <c r="F3485" t="s">
        <v>844</v>
      </c>
      <c r="G3485" t="s">
        <v>164</v>
      </c>
      <c r="H3485" t="s">
        <v>165</v>
      </c>
      <c r="I3485" t="s">
        <v>34</v>
      </c>
      <c r="J3485" t="s">
        <v>166</v>
      </c>
      <c r="K3485" t="s">
        <v>41</v>
      </c>
      <c r="L3485" t="s">
        <v>17613</v>
      </c>
      <c r="M3485" t="s">
        <v>17614</v>
      </c>
      <c r="N3485" t="s">
        <v>847</v>
      </c>
      <c r="O3485" t="s">
        <v>100</v>
      </c>
      <c r="P3485" t="s">
        <v>17615</v>
      </c>
      <c r="Q3485" t="s">
        <v>60</v>
      </c>
      <c r="R3485" t="s">
        <v>795</v>
      </c>
      <c r="S3485">
        <v>1</v>
      </c>
      <c r="T3485">
        <v>4346</v>
      </c>
      <c r="U3485">
        <v>0</v>
      </c>
      <c r="V3485">
        <v>4346</v>
      </c>
    </row>
    <row r="3486" spans="1:22" x14ac:dyDescent="0.3">
      <c r="A3486">
        <v>8326</v>
      </c>
      <c r="B3486">
        <v>135752073</v>
      </c>
      <c r="C3486" t="s">
        <v>17616</v>
      </c>
      <c r="D3486" t="s">
        <v>17617</v>
      </c>
      <c r="E3486" t="s">
        <v>17551</v>
      </c>
      <c r="F3486" t="s">
        <v>844</v>
      </c>
      <c r="G3486" t="s">
        <v>164</v>
      </c>
      <c r="H3486" t="s">
        <v>165</v>
      </c>
      <c r="I3486" t="s">
        <v>34</v>
      </c>
      <c r="J3486" t="s">
        <v>166</v>
      </c>
      <c r="K3486" t="s">
        <v>41</v>
      </c>
      <c r="L3486" t="s">
        <v>17618</v>
      </c>
      <c r="M3486" t="s">
        <v>17619</v>
      </c>
      <c r="N3486" t="s">
        <v>847</v>
      </c>
      <c r="O3486" t="s">
        <v>100</v>
      </c>
      <c r="P3486" t="s">
        <v>17620</v>
      </c>
      <c r="Q3486" t="s">
        <v>84</v>
      </c>
      <c r="R3486" t="s">
        <v>736</v>
      </c>
      <c r="S3486">
        <v>11.2</v>
      </c>
      <c r="T3486">
        <v>6400</v>
      </c>
      <c r="U3486">
        <v>0</v>
      </c>
      <c r="V3486">
        <v>6400</v>
      </c>
    </row>
    <row r="3487" spans="1:22" x14ac:dyDescent="0.3">
      <c r="A3487">
        <v>8326</v>
      </c>
      <c r="B3487">
        <v>135629916</v>
      </c>
      <c r="C3487" t="s">
        <v>17621</v>
      </c>
      <c r="D3487" t="s">
        <v>17622</v>
      </c>
      <c r="E3487" t="s">
        <v>17551</v>
      </c>
      <c r="F3487" t="s">
        <v>844</v>
      </c>
      <c r="G3487" t="s">
        <v>164</v>
      </c>
      <c r="H3487" t="s">
        <v>165</v>
      </c>
      <c r="I3487" t="s">
        <v>34</v>
      </c>
      <c r="J3487" t="s">
        <v>166</v>
      </c>
      <c r="K3487" t="s">
        <v>41</v>
      </c>
      <c r="L3487" t="s">
        <v>17623</v>
      </c>
      <c r="M3487" t="s">
        <v>17624</v>
      </c>
      <c r="N3487" t="s">
        <v>847</v>
      </c>
      <c r="O3487" t="s">
        <v>100</v>
      </c>
      <c r="P3487" t="s">
        <v>17625</v>
      </c>
      <c r="Q3487" t="s">
        <v>68</v>
      </c>
      <c r="R3487" t="s">
        <v>17626</v>
      </c>
      <c r="S3487">
        <v>0.45</v>
      </c>
      <c r="T3487">
        <v>3680</v>
      </c>
      <c r="U3487">
        <v>0</v>
      </c>
      <c r="V3487">
        <v>3680</v>
      </c>
    </row>
    <row r="3488" spans="1:22" x14ac:dyDescent="0.3">
      <c r="A3488">
        <v>8326</v>
      </c>
      <c r="B3488">
        <v>135524164</v>
      </c>
      <c r="C3488" t="s">
        <v>17627</v>
      </c>
      <c r="D3488" t="s">
        <v>17628</v>
      </c>
      <c r="E3488" t="s">
        <v>17551</v>
      </c>
      <c r="F3488" t="s">
        <v>844</v>
      </c>
      <c r="G3488" t="s">
        <v>164</v>
      </c>
      <c r="H3488" t="s">
        <v>165</v>
      </c>
      <c r="I3488" t="s">
        <v>34</v>
      </c>
      <c r="J3488" t="s">
        <v>166</v>
      </c>
      <c r="K3488" t="s">
        <v>41</v>
      </c>
      <c r="L3488" t="s">
        <v>17629</v>
      </c>
      <c r="M3488" t="s">
        <v>17630</v>
      </c>
      <c r="N3488" t="s">
        <v>847</v>
      </c>
      <c r="O3488" t="s">
        <v>100</v>
      </c>
      <c r="P3488" t="s">
        <v>17631</v>
      </c>
      <c r="Q3488" t="s">
        <v>84</v>
      </c>
      <c r="R3488" t="s">
        <v>17632</v>
      </c>
      <c r="S3488">
        <v>12.42</v>
      </c>
      <c r="T3488">
        <v>6400</v>
      </c>
      <c r="U3488">
        <v>0</v>
      </c>
      <c r="V3488">
        <v>6400</v>
      </c>
    </row>
    <row r="3489" spans="1:22" x14ac:dyDescent="0.3">
      <c r="A3489">
        <v>8326</v>
      </c>
      <c r="B3489">
        <v>135524248</v>
      </c>
      <c r="C3489" t="s">
        <v>17633</v>
      </c>
      <c r="D3489" t="s">
        <v>17634</v>
      </c>
      <c r="E3489" t="s">
        <v>17551</v>
      </c>
      <c r="F3489" t="s">
        <v>844</v>
      </c>
      <c r="G3489" t="s">
        <v>164</v>
      </c>
      <c r="H3489" t="s">
        <v>165</v>
      </c>
      <c r="I3489" t="s">
        <v>34</v>
      </c>
      <c r="J3489" t="s">
        <v>166</v>
      </c>
      <c r="K3489" t="s">
        <v>41</v>
      </c>
      <c r="L3489" t="s">
        <v>17635</v>
      </c>
      <c r="M3489" t="s">
        <v>698</v>
      </c>
      <c r="N3489" t="s">
        <v>847</v>
      </c>
      <c r="O3489" t="s">
        <v>100</v>
      </c>
      <c r="P3489" t="s">
        <v>17636</v>
      </c>
      <c r="Q3489" t="s">
        <v>84</v>
      </c>
      <c r="R3489" t="s">
        <v>384</v>
      </c>
      <c r="S3489">
        <v>1</v>
      </c>
      <c r="T3489">
        <v>3366</v>
      </c>
      <c r="U3489">
        <v>0</v>
      </c>
      <c r="V3489">
        <v>3366</v>
      </c>
    </row>
    <row r="3490" spans="1:22" x14ac:dyDescent="0.3">
      <c r="A3490">
        <v>8326</v>
      </c>
      <c r="B3490">
        <v>136301449</v>
      </c>
      <c r="C3490" t="s">
        <v>17637</v>
      </c>
      <c r="D3490" t="s">
        <v>17638</v>
      </c>
      <c r="E3490" t="s">
        <v>17551</v>
      </c>
      <c r="F3490" t="s">
        <v>844</v>
      </c>
      <c r="G3490" t="s">
        <v>172</v>
      </c>
      <c r="H3490" t="s">
        <v>173</v>
      </c>
      <c r="I3490" t="s">
        <v>34</v>
      </c>
      <c r="J3490" t="s">
        <v>272</v>
      </c>
      <c r="K3490" t="s">
        <v>41</v>
      </c>
      <c r="L3490" t="s">
        <v>174</v>
      </c>
      <c r="M3490" t="s">
        <v>17639</v>
      </c>
      <c r="N3490" t="s">
        <v>847</v>
      </c>
      <c r="O3490" t="s">
        <v>100</v>
      </c>
      <c r="P3490" t="s">
        <v>17640</v>
      </c>
      <c r="Q3490" t="s">
        <v>137</v>
      </c>
      <c r="R3490" t="s">
        <v>727</v>
      </c>
      <c r="S3490">
        <v>13.9</v>
      </c>
      <c r="T3490">
        <v>11942</v>
      </c>
      <c r="U3490">
        <v>0</v>
      </c>
      <c r="V3490">
        <v>11942</v>
      </c>
    </row>
    <row r="3491" spans="1:22" x14ac:dyDescent="0.3">
      <c r="A3491">
        <v>192770</v>
      </c>
      <c r="B3491">
        <v>137214622</v>
      </c>
      <c r="C3491" t="s">
        <v>17641</v>
      </c>
      <c r="D3491" t="s">
        <v>17642</v>
      </c>
      <c r="E3491" t="s">
        <v>17643</v>
      </c>
      <c r="F3491" t="s">
        <v>844</v>
      </c>
      <c r="G3491" t="s">
        <v>164</v>
      </c>
      <c r="H3491" t="s">
        <v>165</v>
      </c>
      <c r="I3491" t="s">
        <v>34</v>
      </c>
      <c r="J3491" t="s">
        <v>166</v>
      </c>
      <c r="K3491" t="s">
        <v>41</v>
      </c>
      <c r="L3491" t="s">
        <v>17644</v>
      </c>
      <c r="M3491" t="s">
        <v>17645</v>
      </c>
      <c r="N3491" t="s">
        <v>847</v>
      </c>
      <c r="O3491" t="s">
        <v>100</v>
      </c>
      <c r="P3491" t="s">
        <v>17646</v>
      </c>
      <c r="Q3491" t="s">
        <v>60</v>
      </c>
      <c r="R3491" t="s">
        <v>445</v>
      </c>
      <c r="S3491">
        <v>1</v>
      </c>
      <c r="T3491">
        <v>4346</v>
      </c>
      <c r="U3491">
        <v>0</v>
      </c>
      <c r="V3491">
        <v>4346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Smith</dc:creator>
  <cp:lastModifiedBy>Michael Estepa</cp:lastModifiedBy>
  <cp:lastPrinted>2023-05-10T17:03:30Z</cp:lastPrinted>
  <dcterms:created xsi:type="dcterms:W3CDTF">2015-10-14T18:59:17Z</dcterms:created>
  <dcterms:modified xsi:type="dcterms:W3CDTF">2026-01-09T18:58:32Z</dcterms:modified>
</cp:coreProperties>
</file>