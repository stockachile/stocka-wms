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5\Facturación 2025-11 Noviembre\Detalles\"/>
    </mc:Choice>
  </mc:AlternateContent>
  <xr:revisionPtr revIDLastSave="0" documentId="8_{264453CF-E822-439A-A8BE-3BED53CB27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<sst xmlns="http://schemas.openxmlformats.org/spreadsheetml/2006/main" count="21464" uniqueCount="6978">
  <si>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</si>
  <si>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</si>
  <si>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</si>
  <si>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</si>
  <si>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</si>
  <si>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</si>
  <si>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</si>
  <si>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</si>
  <si>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</si>
  <si>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</si>
  <si>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</si>
  <si>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</si>
  <si>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</si>
  <si>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</si>
  <si>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</si>
  <si>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</si>
  <si>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</si>
  <si>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</si>
  <si>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</si>
  <si>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</si>
  <si>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</si>
  <si>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</si>
  <si>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</si>
  <si>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</si>
  <si>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</si>
  <si>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</si>
  <si>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</si>
  <si>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</si>
  <si>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</si>
  <si>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</si>
  <si>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</si>
  <si>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</si>
  <si>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</si>
  <si>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</si>
  <si>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</si>
  <si>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contract_type</t>
  </si>
  <si>
    <t>peso informado por carrier</t>
  </si>
  <si>
    <t>Flex</t>
  </si>
  <si>
    <t>mkp</t>
  </si>
  <si>
    <t>carrier_service_name</t>
  </si>
  <si>
    <t>seguro</t>
  </si>
  <si>
    <t>Entregado</t>
  </si>
  <si>
    <t>Talca</t>
  </si>
  <si>
    <t>Temuco</t>
  </si>
  <si>
    <t>STARKEN</t>
  </si>
  <si>
    <t>SKN</t>
  </si>
  <si>
    <t>Normal</t>
  </si>
  <si>
    <t>Macul</t>
  </si>
  <si>
    <t>Lonquimay</t>
  </si>
  <si>
    <t>BLUEXPRESS</t>
  </si>
  <si>
    <t>BLX</t>
  </si>
  <si>
    <t>Standard</t>
  </si>
  <si>
    <t>ENTREGADO</t>
  </si>
  <si>
    <t>Vallenar</t>
  </si>
  <si>
    <t>Concón</t>
  </si>
  <si>
    <t>Machalí</t>
  </si>
  <si>
    <t>En Reparto</t>
  </si>
  <si>
    <t>EN REPARTO</t>
  </si>
  <si>
    <t>Puerto Montt</t>
  </si>
  <si>
    <t>Lampa</t>
  </si>
  <si>
    <t>Iquique</t>
  </si>
  <si>
    <t>Limache</t>
  </si>
  <si>
    <t>Valdivia</t>
  </si>
  <si>
    <t>Panguipulli</t>
  </si>
  <si>
    <t>El Monte</t>
  </si>
  <si>
    <t>Requínoa</t>
  </si>
  <si>
    <t>Rengo</t>
  </si>
  <si>
    <t>Tierra Amarilla</t>
  </si>
  <si>
    <t>Ovalle</t>
  </si>
  <si>
    <t>Ñuñoa</t>
  </si>
  <si>
    <t>Antofagasta</t>
  </si>
  <si>
    <t>Casablanca</t>
  </si>
  <si>
    <t>Illapel</t>
  </si>
  <si>
    <t>Villa Alemana</t>
  </si>
  <si>
    <t>San Carlos</t>
  </si>
  <si>
    <t>Buin</t>
  </si>
  <si>
    <t>Linares</t>
  </si>
  <si>
    <t>San Pedro de la Paz</t>
  </si>
  <si>
    <t>Quillota</t>
  </si>
  <si>
    <t>Lota</t>
  </si>
  <si>
    <t>Calera de Tango</t>
  </si>
  <si>
    <t>Talcahuano</t>
  </si>
  <si>
    <t>Copiapó</t>
  </si>
  <si>
    <t>Viña del Mar</t>
  </si>
  <si>
    <t>Mostazal</t>
  </si>
  <si>
    <t>La Serena</t>
  </si>
  <si>
    <t>Rancagua</t>
  </si>
  <si>
    <t>Quintero</t>
  </si>
  <si>
    <t>Curacaví</t>
  </si>
  <si>
    <t>Concepción</t>
  </si>
  <si>
    <t>San Felipe</t>
  </si>
  <si>
    <t>La Reina</t>
  </si>
  <si>
    <t>Chiguayante</t>
  </si>
  <si>
    <t>Osorno</t>
  </si>
  <si>
    <t>Hualpén</t>
  </si>
  <si>
    <t>Collipulli</t>
  </si>
  <si>
    <t>Cabrero</t>
  </si>
  <si>
    <t>San Vicente</t>
  </si>
  <si>
    <t>Valparaíso</t>
  </si>
  <si>
    <t>Padre las Casas</t>
  </si>
  <si>
    <t>Coyhaique</t>
  </si>
  <si>
    <t>Algarrobo</t>
  </si>
  <si>
    <t>Nacimiento</t>
  </si>
  <si>
    <t>Isla de Maipo</t>
  </si>
  <si>
    <t>CHILEXPRESS</t>
  </si>
  <si>
    <t>CHX</t>
  </si>
  <si>
    <t>Dia Hábil Siguiente (Express Aéreo)</t>
  </si>
  <si>
    <t>Los Ángeles</t>
  </si>
  <si>
    <t>Chillán</t>
  </si>
  <si>
    <t>Coquimbo</t>
  </si>
  <si>
    <t>Pirque</t>
  </si>
  <si>
    <t>Chépica</t>
  </si>
  <si>
    <t>2025-11-06 13:58</t>
  </si>
  <si>
    <t>Talagante</t>
  </si>
  <si>
    <t>Curicó</t>
  </si>
  <si>
    <t>Río Bueno</t>
  </si>
  <si>
    <t>En planta destino</t>
  </si>
  <si>
    <t>Javiera Espinoza</t>
  </si>
  <si>
    <t>En tránsito</t>
  </si>
  <si>
    <t>Patricia Contreras</t>
  </si>
  <si>
    <t>En planta de origen</t>
  </si>
  <si>
    <t>Carolina Rojas</t>
  </si>
  <si>
    <t>Daniela Fernandez</t>
  </si>
  <si>
    <t>Luis Rojas</t>
  </si>
  <si>
    <t>Devolucion entregada</t>
  </si>
  <si>
    <t>Javiera Vergara</t>
  </si>
  <si>
    <t>Diego Cisternas</t>
  </si>
  <si>
    <t>Volcán descabezado 3137</t>
  </si>
  <si>
    <t>Daniela Martinez</t>
  </si>
  <si>
    <t>Matias Gonzalez</t>
  </si>
  <si>
    <t>Gamero 126, Oficina 1</t>
  </si>
  <si>
    <t>Tomas Alejandro</t>
  </si>
  <si>
    <t>Carretera el cobre km 5, Lado U Aconcagua camino de tierra al fondo</t>
  </si>
  <si>
    <t>Carlos Espinoza</t>
  </si>
  <si>
    <t>Daniela Gonzalez</t>
  </si>
  <si>
    <t>Quilpué</t>
  </si>
  <si>
    <t>Lautaro</t>
  </si>
  <si>
    <t>Graneros</t>
  </si>
  <si>
    <t>Santo Domingo</t>
  </si>
  <si>
    <t>Hijuelas</t>
  </si>
  <si>
    <t>San Javier</t>
  </si>
  <si>
    <t>Curanilahue</t>
  </si>
  <si>
    <t>Peralillo</t>
  </si>
  <si>
    <t>Paine</t>
  </si>
  <si>
    <t>Salamanca</t>
  </si>
  <si>
    <t>Puerto Varas</t>
  </si>
  <si>
    <t>Arica</t>
  </si>
  <si>
    <t>Alto Hospicio</t>
  </si>
  <si>
    <t>Pichilemu</t>
  </si>
  <si>
    <t>Punta Arenas</t>
  </si>
  <si>
    <t>Coronel</t>
  </si>
  <si>
    <t>San Antonio</t>
  </si>
  <si>
    <t>Los Andes</t>
  </si>
  <si>
    <t>Calera</t>
  </si>
  <si>
    <t>Quillón</t>
  </si>
  <si>
    <t>Freire</t>
  </si>
  <si>
    <t>Santa Cruz</t>
  </si>
  <si>
    <t>Arauco</t>
  </si>
  <si>
    <t>Pitrufquén</t>
  </si>
  <si>
    <t>Hualqui</t>
  </si>
  <si>
    <t>Tomé</t>
  </si>
  <si>
    <t>Caldera</t>
  </si>
  <si>
    <t>Chimbarongo</t>
  </si>
  <si>
    <t>La Unión</t>
  </si>
  <si>
    <t>Cañete</t>
  </si>
  <si>
    <t>Melipilla</t>
  </si>
  <si>
    <t>Lebu</t>
  </si>
  <si>
    <t>Chañaral</t>
  </si>
  <si>
    <t>Penco</t>
  </si>
  <si>
    <t>Villarrica</t>
  </si>
  <si>
    <t>Cauquenes</t>
  </si>
  <si>
    <t>Peñaflor</t>
  </si>
  <si>
    <t>Mariquina</t>
  </si>
  <si>
    <t>Los Lagos</t>
  </si>
  <si>
    <t>Paillaco</t>
  </si>
  <si>
    <t>Bulnes</t>
  </si>
  <si>
    <t>Castro</t>
  </si>
  <si>
    <t>Gorbea</t>
  </si>
  <si>
    <t>Calama</t>
  </si>
  <si>
    <t>San Fernando</t>
  </si>
  <si>
    <t>Puchuncaví</t>
  </si>
  <si>
    <t>Río Negro</t>
  </si>
  <si>
    <t>Angol</t>
  </si>
  <si>
    <t>Constitución</t>
  </si>
  <si>
    <t>San José de Maipo</t>
  </si>
  <si>
    <t>Frutillar</t>
  </si>
  <si>
    <t>Mulchén</t>
  </si>
  <si>
    <t>San Clemente</t>
  </si>
  <si>
    <t>Molina</t>
  </si>
  <si>
    <t>Traiguén</t>
  </si>
  <si>
    <t>Cabildo</t>
  </si>
  <si>
    <t>San Pedro</t>
  </si>
  <si>
    <t>Ancud</t>
  </si>
  <si>
    <t>Maule</t>
  </si>
  <si>
    <t>Quinta de Tilcoco</t>
  </si>
  <si>
    <t>Lanco</t>
  </si>
  <si>
    <t>Alhué</t>
  </si>
  <si>
    <t>Loncoche</t>
  </si>
  <si>
    <t>Pelluhue</t>
  </si>
  <si>
    <t>Natales</t>
  </si>
  <si>
    <t>Aysén</t>
  </si>
  <si>
    <t>La Cruz</t>
  </si>
  <si>
    <t>Tocopilla</t>
  </si>
  <si>
    <t>Pucón</t>
  </si>
  <si>
    <t>Pichidegua</t>
  </si>
  <si>
    <t>Parral</t>
  </si>
  <si>
    <t>Yumbel</t>
  </si>
  <si>
    <t>Tiltil</t>
  </si>
  <si>
    <t>San Esteban</t>
  </si>
  <si>
    <t>Los Vilos</t>
  </si>
  <si>
    <t>Vicuña</t>
  </si>
  <si>
    <t>Rinconada</t>
  </si>
  <si>
    <t>Quellón</t>
  </si>
  <si>
    <t>Cobquecura</t>
  </si>
  <si>
    <t>Calbuco</t>
  </si>
  <si>
    <t>Los Muermos</t>
  </si>
  <si>
    <t>Dalcahue</t>
  </si>
  <si>
    <t>San Pedro de Atacama</t>
  </si>
  <si>
    <t>Victoria</t>
  </si>
  <si>
    <t>Nancagua</t>
  </si>
  <si>
    <t>Olmué</t>
  </si>
  <si>
    <t>Santa Juana</t>
  </si>
  <si>
    <t>Nueva Imperial</t>
  </si>
  <si>
    <t>Panquehue</t>
  </si>
  <si>
    <t>Negrete</t>
  </si>
  <si>
    <t>Chanco</t>
  </si>
  <si>
    <t>Curacautín</t>
  </si>
  <si>
    <t>Las Cabras</t>
  </si>
  <si>
    <t>Calle Larga</t>
  </si>
  <si>
    <t>Cunco</t>
  </si>
  <si>
    <t>La Ligua</t>
  </si>
  <si>
    <t>Mejillones</t>
  </si>
  <si>
    <t>Hualañé</t>
  </si>
  <si>
    <t>Nogales</t>
  </si>
  <si>
    <t>Quinchao</t>
  </si>
  <si>
    <t>Chillán Viejo</t>
  </si>
  <si>
    <t>Renaico</t>
  </si>
  <si>
    <t>Purén</t>
  </si>
  <si>
    <t>María Pinto</t>
  </si>
  <si>
    <t>Doñihue</t>
  </si>
  <si>
    <t>Hualaihué</t>
  </si>
  <si>
    <t>Futaleufú</t>
  </si>
  <si>
    <t>Litueche</t>
  </si>
  <si>
    <t>Chonchi</t>
  </si>
  <si>
    <t>Codegua</t>
  </si>
  <si>
    <t>Chile Chico</t>
  </si>
  <si>
    <t>null</t>
  </si>
  <si>
    <t>2025-11-21 14:02</t>
  </si>
  <si>
    <t>PENDIENTE ENTREGA</t>
  </si>
  <si>
    <t>2025-11-20 13:42</t>
  </si>
  <si>
    <t>2025-11-14 12:21</t>
  </si>
  <si>
    <t>2025-11-17 12:24</t>
  </si>
  <si>
    <t>2025-11-14 14:01</t>
  </si>
  <si>
    <t>2025-11-17 12:17</t>
  </si>
  <si>
    <t>Francisco Muñoz</t>
  </si>
  <si>
    <t>NOMBRE RETIRA: PATRICIA ESPINOZA X RUT RETIRA: 12744959-7</t>
  </si>
  <si>
    <t>2025-11-04 11:05</t>
  </si>
  <si>
    <t>2025-11-14 12:34</t>
  </si>
  <si>
    <t>NOMBRE RETIRA: RUT RETIRA: 1-9</t>
  </si>
  <si>
    <t>2025-11-06 12:03</t>
  </si>
  <si>
    <t>2025-11-06 11:22</t>
  </si>
  <si>
    <t>2025-11-19 12:09</t>
  </si>
  <si>
    <t>2025-11-12 12:02</t>
  </si>
  <si>
    <t>2025-11-12 12:07</t>
  </si>
  <si>
    <t>2025-11-14 11:13</t>
  </si>
  <si>
    <t>Disponible para retiro</t>
  </si>
  <si>
    <t>2025-11-07 11:09</t>
  </si>
  <si>
    <t>2025-11-07 11:08</t>
  </si>
  <si>
    <t>2025-11-17 11:00</t>
  </si>
  <si>
    <t>2025-10-27 11:36</t>
  </si>
  <si>
    <t>EN TRANSITO</t>
  </si>
  <si>
    <t>NOMBRE RETIRA: DIEGO HUAIQUINIR . RUT RETIRA: 22082809-3</t>
  </si>
  <si>
    <t>2025-11-14 12:42</t>
  </si>
  <si>
    <t>2025-11-11 11:08</t>
  </si>
  <si>
    <t>2025-11-11 11:05</t>
  </si>
  <si>
    <t>2025-11-14 12:43</t>
  </si>
  <si>
    <t>2025-11-11 11:04</t>
  </si>
  <si>
    <t>2025-11-11 11:58</t>
  </si>
  <si>
    <t>2025-11-12 12:48</t>
  </si>
  <si>
    <t>2025-11-10 13:10</t>
  </si>
  <si>
    <t>2025-11-10 13:09</t>
  </si>
  <si>
    <t>2025-11-06 11:11</t>
  </si>
  <si>
    <t>2025-11-06 11:18</t>
  </si>
  <si>
    <t>NOMBRE RETIRA: . . . RUT RETIRA: 13465010-9</t>
  </si>
  <si>
    <t>Alejandra Araya</t>
  </si>
  <si>
    <t>Ignacia Ramirez</t>
  </si>
  <si>
    <t>Natalia Muñoz</t>
  </si>
  <si>
    <t>Isidora Cantillana</t>
  </si>
  <si>
    <t>Tamara Vergara</t>
  </si>
  <si>
    <t>Carolina Vega</t>
  </si>
  <si>
    <t>Luis Campos</t>
  </si>
  <si>
    <t>2025-11-27 21:05</t>
  </si>
  <si>
    <t>Cristian Castro</t>
  </si>
  <si>
    <t>2025-11-04 11:21</t>
  </si>
  <si>
    <t>2025-11-24 21:16</t>
  </si>
  <si>
    <t>2025-11-10 18:40</t>
  </si>
  <si>
    <t>Daniel Gonzalez</t>
  </si>
  <si>
    <t>Gabriela Zepeda</t>
  </si>
  <si>
    <t>Camila Velásquez</t>
  </si>
  <si>
    <t>Claudia Cáceres</t>
  </si>
  <si>
    <t>Claudia Romero</t>
  </si>
  <si>
    <t>Patricia Rojas Santibáñez</t>
  </si>
  <si>
    <t>Carla Martinez</t>
  </si>
  <si>
    <t>Johanna Morgado</t>
  </si>
  <si>
    <t>Cochrane</t>
  </si>
  <si>
    <t>2025-11-17 21:21</t>
  </si>
  <si>
    <t>2025-11-17 11:01</t>
  </si>
  <si>
    <t>2025-11-13 10:53</t>
  </si>
  <si>
    <t>2025-11-25 21:17</t>
  </si>
  <si>
    <t>2025-11-03 13:27</t>
  </si>
  <si>
    <t>pablo soto</t>
  </si>
  <si>
    <t>2025-11-07 12:06</t>
  </si>
  <si>
    <t>2025-11-09 20:30</t>
  </si>
  <si>
    <t>2025-11-04 21:30</t>
  </si>
  <si>
    <t>2025-11-04 14:30</t>
  </si>
  <si>
    <t>2025-11-12 11:19</t>
  </si>
  <si>
    <t>2025-11-12 11:14</t>
  </si>
  <si>
    <t>2025-11-10 12:17</t>
  </si>
  <si>
    <t>Cisnes</t>
  </si>
  <si>
    <t>2025-11-05 11:11</t>
  </si>
  <si>
    <t>Rodrigo Castillo</t>
  </si>
  <si>
    <t>2025-11-04 11:17</t>
  </si>
  <si>
    <t>2025-10-30 11:03</t>
  </si>
  <si>
    <t>2025-10-30 13:45</t>
  </si>
  <si>
    <t>2025-11-05 11:02</t>
  </si>
  <si>
    <t>DEVOLUCION ENTREGADA</t>
  </si>
  <si>
    <t>2025-11-07 20:19</t>
  </si>
  <si>
    <t>2025-11-06 11:19</t>
  </si>
  <si>
    <t>2025-10-29 09:45</t>
  </si>
  <si>
    <t>2025-11-03 11:19</t>
  </si>
  <si>
    <t>2025-11-16 21:18</t>
  </si>
  <si>
    <t>2025-11-12 16:22</t>
  </si>
  <si>
    <t>2025-11-09 21:34</t>
  </si>
  <si>
    <t>Cecilia Martinez</t>
  </si>
  <si>
    <t>Fernanda Salinas</t>
  </si>
  <si>
    <t>Javiera Sepulveda</t>
  </si>
  <si>
    <t>2025-11-13 10:52</t>
  </si>
  <si>
    <t>2025-11-06 17:21</t>
  </si>
  <si>
    <t>Rodrigo Alvarez</t>
  </si>
  <si>
    <t>2025-11-05 13:52</t>
  </si>
  <si>
    <t>2025-11-11 11:10</t>
  </si>
  <si>
    <t>2025-11-10 12:06</t>
  </si>
  <si>
    <t>2025-11-11 14:13</t>
  </si>
  <si>
    <t>2025-10-29 12:04</t>
  </si>
  <si>
    <t>José María Escrivá de Balaguer 966, Dpto 1504</t>
  </si>
  <si>
    <t>2025-11-13 11:39</t>
  </si>
  <si>
    <t>Carlos Gajardo</t>
  </si>
  <si>
    <t>Natalia Araya</t>
  </si>
  <si>
    <t>Mario Gonzalez</t>
  </si>
  <si>
    <t>2025-11-12 11:16</t>
  </si>
  <si>
    <t>2025-11-03 22:20</t>
  </si>
  <si>
    <t>2025-10-29 10:00</t>
  </si>
  <si>
    <t>12148</t>
  </si>
  <si>
    <t>12163</t>
  </si>
  <si>
    <t>12147</t>
  </si>
  <si>
    <t>11897</t>
  </si>
  <si>
    <t>11894</t>
  </si>
  <si>
    <t>11825</t>
  </si>
  <si>
    <t>11765</t>
  </si>
  <si>
    <t>2025-11-18 16:27</t>
  </si>
  <si>
    <t>2025-11-17 13:32</t>
  </si>
  <si>
    <t>12158</t>
  </si>
  <si>
    <t>2025-11-10 16:29</t>
  </si>
  <si>
    <t>12068</t>
  </si>
  <si>
    <t>Envío retenido</t>
  </si>
  <si>
    <t>11890</t>
  </si>
  <si>
    <t>2025-10-30 10:29</t>
  </si>
  <si>
    <t>12138</t>
  </si>
  <si>
    <t>12067</t>
  </si>
  <si>
    <t>2025-11-02 19:39</t>
  </si>
  <si>
    <t>2025-11-03 11:28</t>
  </si>
  <si>
    <t>2025-10-30 13:46</t>
  </si>
  <si>
    <t>Claudia Soto</t>
  </si>
  <si>
    <t>Joel Chirino sarmiento</t>
  </si>
  <si>
    <t>Cecilia Soto</t>
  </si>
  <si>
    <t>Paz Gallardo</t>
  </si>
  <si>
    <t>Rodrigo Silva</t>
  </si>
  <si>
    <t>2025-11-03 13:10</t>
  </si>
  <si>
    <t>2025-11-05 14:03</t>
  </si>
  <si>
    <t>2025-11-05 14:16</t>
  </si>
  <si>
    <t>2025-11-06 19:05</t>
  </si>
  <si>
    <t>2025-11-09 21:18</t>
  </si>
  <si>
    <t>2025-11-10 20:59</t>
  </si>
  <si>
    <t>Javiera Meza</t>
  </si>
  <si>
    <t>2025-11-03 11:09</t>
  </si>
  <si>
    <t>2025-11-05 22:29</t>
  </si>
  <si>
    <t>2025-11-09 21:05</t>
  </si>
  <si>
    <t>2025-11-10 12:55</t>
  </si>
  <si>
    <t>2025-11-11 22:57</t>
  </si>
  <si>
    <t>2025-11-20 11:25</t>
  </si>
  <si>
    <t>2025-11-20 13:58</t>
  </si>
  <si>
    <t>German Rojas</t>
  </si>
  <si>
    <t>Jorge Pizarro</t>
  </si>
  <si>
    <t>NOMBRE RETIRA: EVA RODRIGUEZ . RUT RETIRA: 12597866-5</t>
  </si>
  <si>
    <t>2025-11-03 22:19</t>
  </si>
  <si>
    <t>Melissa Rivera</t>
  </si>
  <si>
    <t>2025-11-23 21:26</t>
  </si>
  <si>
    <t>NOMBRE RETIRA: CAMILA MORA M RUT RETIRA: 20919224-1</t>
  </si>
  <si>
    <t>NOMBRE RETIRA: PATRICIA LASTRA . RUT RETIRA: 16426022-4</t>
  </si>
  <si>
    <t>2025-11-04 11:27</t>
  </si>
  <si>
    <t>Avenida Central 251 Bodega nº3</t>
  </si>
  <si>
    <t>2025-11-17 14:42</t>
  </si>
  <si>
    <t>2025-11-07 11:23</t>
  </si>
  <si>
    <t>Paola Uribe</t>
  </si>
  <si>
    <t>2025-11-03 13:37</t>
  </si>
  <si>
    <t>2025-11-11 12:10</t>
  </si>
  <si>
    <t>2025-11-12 11:22</t>
  </si>
  <si>
    <t>Juan pablo Gutirrez Sepúlveda</t>
  </si>
  <si>
    <t>Arturo Prat 343</t>
  </si>
  <si>
    <t>2025-11-07 14:26</t>
  </si>
  <si>
    <t>Francisco Nuñez</t>
  </si>
  <si>
    <t>Francisco Gonzalez</t>
  </si>
  <si>
    <t>ANTONIO VARAS 1070</t>
  </si>
  <si>
    <t>Angel Gutierrez Chaparro</t>
  </si>
  <si>
    <t>2025-11-28 19:32</t>
  </si>
  <si>
    <t>2025-11-12 21:49</t>
  </si>
  <si>
    <t>NOMBRE RETIRA: EUSEBIO OLIVAREZ U RUT RETIRA: 13414454-8</t>
  </si>
  <si>
    <t>Victor Cardenas</t>
  </si>
  <si>
    <t>NOMBRE RETIRA: CRISTIAN GONZALEZ G RUT RETIRA: 56049520-K</t>
  </si>
  <si>
    <t>Oksana Kremleva</t>
  </si>
  <si>
    <t>Andrés Utz</t>
  </si>
  <si>
    <t>Expirado</t>
  </si>
  <si>
    <t>Juan Benavides</t>
  </si>
  <si>
    <t>Benito Urrutia</t>
  </si>
  <si>
    <t>Matias Reyes</t>
  </si>
  <si>
    <t>Daniel Martinez</t>
  </si>
  <si>
    <t>Jaime Navarrete</t>
  </si>
  <si>
    <t>Francisca Bravo</t>
  </si>
  <si>
    <t>Pablo Rivera</t>
  </si>
  <si>
    <t>ANA BESSIE ERAZO</t>
  </si>
  <si>
    <t>Javiera Ruiz</t>
  </si>
  <si>
    <t>Claudio Contreras</t>
  </si>
  <si>
    <t>Constanza Parra Lagos</t>
  </si>
  <si>
    <t>Matias Lorca</t>
  </si>
  <si>
    <t>Jaime Fuentes</t>
  </si>
  <si>
    <t>Paola Espinoza</t>
  </si>
  <si>
    <t>Nicolas Valenzuela</t>
  </si>
  <si>
    <t>Francisco Perez</t>
  </si>
  <si>
    <t>Marco Pizarro</t>
  </si>
  <si>
    <t>Ana Maria Alvarez</t>
  </si>
  <si>
    <t>Patricio Morales</t>
  </si>
  <si>
    <t>Sergio Gonzalez</t>
  </si>
  <si>
    <t>Rodrigo Martinez</t>
  </si>
  <si>
    <t>Carol Saavedra</t>
  </si>
  <si>
    <t>Diego Contreras</t>
  </si>
  <si>
    <t>11760</t>
  </si>
  <si>
    <t>2025-11-04 21:14</t>
  </si>
  <si>
    <t>2025-11-23 21:15</t>
  </si>
  <si>
    <t>2025-11-06 19:49</t>
  </si>
  <si>
    <t>Claudia Vicencio</t>
  </si>
  <si>
    <t>2025-11-03 13:22</t>
  </si>
  <si>
    <t>2025-11-11 15:17</t>
  </si>
  <si>
    <t>2025-11-21 11:24</t>
  </si>
  <si>
    <t>2025-11-10 11:13</t>
  </si>
  <si>
    <t>2025-11-03 11:08</t>
  </si>
  <si>
    <t>NOMBRE RETIRA: CHRISTIAN FIERRO F RUT RETIRA: 56049520-K</t>
  </si>
  <si>
    <t>Leonor Ureta</t>
  </si>
  <si>
    <t>Matías Ignacio Leiva Cáceres</t>
  </si>
  <si>
    <t>Avenida Errázuriz 882 Santa Cruz</t>
  </si>
  <si>
    <t>2025-11-14 19:36</t>
  </si>
  <si>
    <t>2025-11-03 21:28</t>
  </si>
  <si>
    <t>2025-11-19 14:55</t>
  </si>
  <si>
    <t>Alvaro Gonzalez</t>
  </si>
  <si>
    <t>Claudia Riquelme</t>
  </si>
  <si>
    <t>Sebastian Castillo</t>
  </si>
  <si>
    <t>2025-10-29 12:56</t>
  </si>
  <si>
    <t>2025-11-26 21:04</t>
  </si>
  <si>
    <t>2025-11-13 11:13</t>
  </si>
  <si>
    <t>Monica Martinez</t>
  </si>
  <si>
    <t>Nancy Carvajal</t>
  </si>
  <si>
    <t>2025-11-05 21:23</t>
  </si>
  <si>
    <t>2025-11-05 21:13</t>
  </si>
  <si>
    <t>2025-11-12 22:09</t>
  </si>
  <si>
    <t>2025-10-23 16:47</t>
  </si>
  <si>
    <t>Sirio 311</t>
  </si>
  <si>
    <t>2025-11-28 10:19</t>
  </si>
  <si>
    <t>2025-11-14 11:21</t>
  </si>
  <si>
    <t>Juan Contreras</t>
  </si>
  <si>
    <t>2025-11-06 13:56</t>
  </si>
  <si>
    <t>2025-11-03 13:36</t>
  </si>
  <si>
    <t>Rodrigo Cabrera</t>
  </si>
  <si>
    <t>2025-11-19 21:09</t>
  </si>
  <si>
    <t>2025-11-18 11:15</t>
  </si>
  <si>
    <t>2025-11-09 21:04</t>
  </si>
  <si>
    <t>Nicolas Herrera</t>
  </si>
  <si>
    <t>2025-11-14 11:19</t>
  </si>
  <si>
    <t>Alexis Diaz</t>
  </si>
  <si>
    <t>2025-11-12 21:18</t>
  </si>
  <si>
    <t>BIT11035335</t>
  </si>
  <si>
    <t>257925547</t>
  </si>
  <si>
    <t>BACK IN TIME</t>
  </si>
  <si>
    <t>Stocka</t>
  </si>
  <si>
    <t>NOMBRE RETIRA: NAYADET GONZALES . RUT RETIRA: 14018310-5</t>
  </si>
  <si>
    <t>Nayadet Canales Oyarce</t>
  </si>
  <si>
    <t>Av. Campos de Deportes 405</t>
  </si>
  <si>
    <t>Papa León XIII, 2324</t>
  </si>
  <si>
    <t>BIT11035294</t>
  </si>
  <si>
    <t>257925815</t>
  </si>
  <si>
    <t>NOMBRE RETIRA: CRISBELYS CORRO . RUT RETIRA: 28820342-3</t>
  </si>
  <si>
    <t>Claudia Malfanti</t>
  </si>
  <si>
    <t>Manuel Rodriguez 725  ( Pronto Copec), Of.Pronto Copec</t>
  </si>
  <si>
    <t>BIT11035238</t>
  </si>
  <si>
    <t>257838263</t>
  </si>
  <si>
    <t>NOMBRE RETIRA: RICARDO CARDENAS . RUT RETIRA: 17658131-K</t>
  </si>
  <si>
    <t>Carol Varas</t>
  </si>
  <si>
    <t>Avenida cesar Ercilla 761, Apt. Casa, casa</t>
  </si>
  <si>
    <t>2025-11-22 11:28</t>
  </si>
  <si>
    <t>BIT11035314</t>
  </si>
  <si>
    <t>257925676</t>
  </si>
  <si>
    <t>NOMBRE RETIRA: NICOLAS TOLEDO . RUT RETIRA: 19512212-1</t>
  </si>
  <si>
    <t>mauricio ulloa</t>
  </si>
  <si>
    <t>avenida los parques 651, 231 depto</t>
  </si>
  <si>
    <t>BIT11035223</t>
  </si>
  <si>
    <t>257838381</t>
  </si>
  <si>
    <t>NOMBRE RETIRA: JISE CANUIQUEO 6 RUT RETIRA: 15988892-4</t>
  </si>
  <si>
    <t>Jose martin Caniuqueo coñuepan</t>
  </si>
  <si>
    <t>Pasaje Blanco 05314, Casa</t>
  </si>
  <si>
    <t>BIT11035322</t>
  </si>
  <si>
    <t>257925645</t>
  </si>
  <si>
    <t>NOMBRE RETIRA: GUSTAVO ANGULO . RUT RETIRA: 12533484-9</t>
  </si>
  <si>
    <t>Gustavo Angulo</t>
  </si>
  <si>
    <t>Dieciocho esq. Cóndor. Of N°6 Inspección del Trabajo, Edificios Públicos, Edificios Públicos</t>
  </si>
  <si>
    <t>BIT11035230</t>
  </si>
  <si>
    <t>257838274</t>
  </si>
  <si>
    <t>NOMBRE RETIRA: JUAN MILLAN . RUT RETIRA: 53322543-8</t>
  </si>
  <si>
    <t>Ivan Sepulveda</t>
  </si>
  <si>
    <t>Avenida san andres 265 concepcion</t>
  </si>
  <si>
    <t>BIT11035333</t>
  </si>
  <si>
    <t>257925565</t>
  </si>
  <si>
    <t>NOMBRE RETIRA: CARLOS OSORIO . . RUT RETIRA: 6290155-1</t>
  </si>
  <si>
    <t>Avenida Carlos Condell 21, Tienda Mascota Tucan</t>
  </si>
  <si>
    <t>BIT11035297</t>
  </si>
  <si>
    <t>257925803</t>
  </si>
  <si>
    <t>NOMBRE RETIRA: IRIS HELLE .... RUT RETIRA: 10556383-3</t>
  </si>
  <si>
    <t>Iris helle helle</t>
  </si>
  <si>
    <t>Málaga 345 parque del río las ánimas</t>
  </si>
  <si>
    <t>BIT11035221</t>
  </si>
  <si>
    <t>257838356</t>
  </si>
  <si>
    <t>NOMBRE RETIRA: LUIS SIFUENTE . RUT RETIRA: 65106389-2</t>
  </si>
  <si>
    <t>Pablo Vega</t>
  </si>
  <si>
    <t>Volcan corcovado 5582, Dpto L106</t>
  </si>
  <si>
    <t>BIT11035313</t>
  </si>
  <si>
    <t>257925690</t>
  </si>
  <si>
    <t>NOMBRE RETIRA: CRISTIAN GODOY . RUT RETIRA: 53318885-0</t>
  </si>
  <si>
    <t>Juan Alberto Borzone</t>
  </si>
  <si>
    <t>Tucapel 90, Dpto 1503</t>
  </si>
  <si>
    <t>BIT11035261</t>
  </si>
  <si>
    <t>257926005</t>
  </si>
  <si>
    <t>NOMBRE RETIRA: JOSE NAHUELQUIN . RUT RETIRA: 9818018-4</t>
  </si>
  <si>
    <t>Cristóbal Sandoval</t>
  </si>
  <si>
    <t>Volcán Corcovado 5820, Depto. 207, torre 4, Condominio bosque Pucalan,</t>
  </si>
  <si>
    <t>2025-11-23 21:25</t>
  </si>
  <si>
    <t>BIT11035269</t>
  </si>
  <si>
    <t>257925939</t>
  </si>
  <si>
    <t>NOMBRE RETIRA: JAIME ALTAMIRANO W RUT RETIRA: 56025610-8</t>
  </si>
  <si>
    <t>Guillermo Marcone</t>
  </si>
  <si>
    <t>Las Golondrinas 1545</t>
  </si>
  <si>
    <t>BIT11035324</t>
  </si>
  <si>
    <t>257925638</t>
  </si>
  <si>
    <t>NOMBRE RETIRA: OLGA ELGUETA ELGUETA RUT RETIRA: 9378987-3</t>
  </si>
  <si>
    <t>Olga Elgueta</t>
  </si>
  <si>
    <t>San Martin 255</t>
  </si>
  <si>
    <t>BIT11035312</t>
  </si>
  <si>
    <t>257925699</t>
  </si>
  <si>
    <t>NOMBRE RETIRA: CARMEN GONZALEZ . RUT RETIRA: 8214325-4</t>
  </si>
  <si>
    <t>Matias Recabarren</t>
  </si>
  <si>
    <t>Isla tac 1940, Casa</t>
  </si>
  <si>
    <t>BIT11035309</t>
  </si>
  <si>
    <t>257925694</t>
  </si>
  <si>
    <t>NOMBRE RETIRA: ANDREA MUNOZ . RUT RETIRA: 12122858-0</t>
  </si>
  <si>
    <t>Andrea Muñoz Martínez</t>
  </si>
  <si>
    <t>General Gana 492</t>
  </si>
  <si>
    <t>BIT11035329</t>
  </si>
  <si>
    <t>257925594</t>
  </si>
  <si>
    <t>NOMBRE RETIRA: VICTOR NAVARRETE . RUT RETIRA: 76669508-6</t>
  </si>
  <si>
    <t>Víctor Alejandro Navarrete Garcés</t>
  </si>
  <si>
    <t>Aníbal Pinto 618, Casa</t>
  </si>
  <si>
    <t>BIT11035240</t>
  </si>
  <si>
    <t>257838258</t>
  </si>
  <si>
    <t>NOMBRE RETIRA: MACARENA AMIGO J RUT RETIRA: 10700050-K</t>
  </si>
  <si>
    <t>Daniel Fuentes</t>
  </si>
  <si>
    <t>Avenida Las Araucarias 1387</t>
  </si>
  <si>
    <t>BIT11035265</t>
  </si>
  <si>
    <t>257925970</t>
  </si>
  <si>
    <t>NOMBRE RETIRA: JORGE RODRIGUE, . RUT RETIRA: 53330390-0</t>
  </si>
  <si>
    <t>PABLO Carvajal caceres</t>
  </si>
  <si>
    <t>Mercedes 425, cerro placeres, Depto 901</t>
  </si>
  <si>
    <t>BIT11035199</t>
  </si>
  <si>
    <t>257838424</t>
  </si>
  <si>
    <t>NOMBRE RETIRA: FRANCUCA BRAVO . RUT RETIRA: 53310370-7</t>
  </si>
  <si>
    <t>Valle de camarones 1155, Casa</t>
  </si>
  <si>
    <t>2025-11-21 21:11</t>
  </si>
  <si>
    <t>BIT11035200</t>
  </si>
  <si>
    <t>257838435</t>
  </si>
  <si>
    <t>NOMBRE RETIRA: FRANCISCO VALDEVENITO . RUT RETIRA: 53321047-3</t>
  </si>
  <si>
    <t>GABRIELA KOTZ</t>
  </si>
  <si>
    <t>Ignacio de Loyola 128, Casa 2 - Condominio Fray Thomas</t>
  </si>
  <si>
    <t>BIT11035202</t>
  </si>
  <si>
    <t>257838442</t>
  </si>
  <si>
    <t>NOMBRE RETIRA: RODRIGO YEBENES Y RUT RETIRA: 21372606-4</t>
  </si>
  <si>
    <t>Daniel Olivares bustos</t>
  </si>
  <si>
    <t>Sofia Bermedo 0000000, Cárcel de copiapo</t>
  </si>
  <si>
    <t>BIT11035305</t>
  </si>
  <si>
    <t>257925739</t>
  </si>
  <si>
    <t>NOMBRE RETIRA: MONICA MARTINEZ ... RUT RETIRA: 7850766-7</t>
  </si>
  <si>
    <t>Valdivia 300 oficina 804, Oficina 804</t>
  </si>
  <si>
    <t>BIT11035260</t>
  </si>
  <si>
    <t>257925957</t>
  </si>
  <si>
    <t>NOMBRE RETIRA: SANDRA CARCAMO . RUT RETIRA: 13184049-7</t>
  </si>
  <si>
    <t>Sandra Carcamo</t>
  </si>
  <si>
    <t>Merced 850, Banco Santander</t>
  </si>
  <si>
    <t>BIT11035271</t>
  </si>
  <si>
    <t>257925923</t>
  </si>
  <si>
    <t>NOMBRE RETIRA: ALEJANDRO RODRIGUEZ . RUT RETIRA: 18805117-0</t>
  </si>
  <si>
    <t>Alejandro Rodriguez Latin</t>
  </si>
  <si>
    <t>1374 Avenida de la Trinidad, Parque Sor Vicenta 2</t>
  </si>
  <si>
    <t>BIT11035234</t>
  </si>
  <si>
    <t>257838273</t>
  </si>
  <si>
    <t>NOMBRE RETIRA: SEBASTIAN FUENTES FUENTES RUT RETIRA: 10001687-7</t>
  </si>
  <si>
    <t>Sebastian Fuentes</t>
  </si>
  <si>
    <t>Volcan osorno, 1657</t>
  </si>
  <si>
    <t>BIT11035205</t>
  </si>
  <si>
    <t>257838404</t>
  </si>
  <si>
    <t>Cadiz 1623</t>
  </si>
  <si>
    <t>BIT11035323</t>
  </si>
  <si>
    <t>257925609</t>
  </si>
  <si>
    <t>NOMBRE RETIRA: BENJAMIN PENROZ 0 RUT RETIRA: 22117775-4</t>
  </si>
  <si>
    <t>Benjamin Penroz</t>
  </si>
  <si>
    <t>Sor teresa de los andes #215, Casa #215</t>
  </si>
  <si>
    <t>BIT11035243</t>
  </si>
  <si>
    <t>257838245</t>
  </si>
  <si>
    <t>NOMBRE RETIRA: CESAR MADTID . RUT RETIRA: 26581631-2</t>
  </si>
  <si>
    <t>César Madrid</t>
  </si>
  <si>
    <t>Loteo El Polo Machali, Calle 6 Oriente Casa 52 A</t>
  </si>
  <si>
    <t>BIT11035274</t>
  </si>
  <si>
    <t>257925879</t>
  </si>
  <si>
    <t>NOMBRE RETIRA: LISANDRA CONTRERAS . . RUT RETIRA: 19052744-1</t>
  </si>
  <si>
    <t>Gastón Berrios Briso</t>
  </si>
  <si>
    <t>Freire 360, 908</t>
  </si>
  <si>
    <t>BIT11035209</t>
  </si>
  <si>
    <t>257838414</t>
  </si>
  <si>
    <t>NOMBRE RETIRA: DIEGO OLATE JERIA RUT RETIRA: 16494098-5</t>
  </si>
  <si>
    <t>Diego Olate Jeria</t>
  </si>
  <si>
    <t>Plaza las rosas , pasaje las amapolas, 42</t>
  </si>
  <si>
    <t>BIT11035277</t>
  </si>
  <si>
    <t>257925865</t>
  </si>
  <si>
    <t>NOMBRE RETIRA: MANUEL ORELLANA . RUT RETIRA: 14204347-5</t>
  </si>
  <si>
    <t>Manuel Orellana</t>
  </si>
  <si>
    <t>Pasaje Raymond Monvoisin 059, Machali, 059</t>
  </si>
  <si>
    <t>BIT11035226</t>
  </si>
  <si>
    <t>257838338</t>
  </si>
  <si>
    <t>NOMBRE RETIRA: SANDRA QUIROZ SILVA RUT RETIRA: 12383696-0</t>
  </si>
  <si>
    <t>Daniel Ramiro Vargas Cabello</t>
  </si>
  <si>
    <t>Misiones De Rengo 1040, Villa Los Parrones</t>
  </si>
  <si>
    <t>BIT11034625</t>
  </si>
  <si>
    <t>256970505</t>
  </si>
  <si>
    <t>NOMBRE RETIRA: JUAN CARRILLO . RUT RETIRA: 21164876-7</t>
  </si>
  <si>
    <t>Marta Pelle muñoz</t>
  </si>
  <si>
    <t>Valle simson 227, Casa</t>
  </si>
  <si>
    <t>2025-11-10 11:06</t>
  </si>
  <si>
    <t>BIT11035076</t>
  </si>
  <si>
    <t>257602102</t>
  </si>
  <si>
    <t>NOMBRE RETIRA: ARACELI GONZALEZ . RUT RETIRA: 9348975-6</t>
  </si>
  <si>
    <t>Aracelli Gonzalez</t>
  </si>
  <si>
    <t>Sequitor 38, Lodge Rukazen</t>
  </si>
  <si>
    <t>2025-11-19 11:02</t>
  </si>
  <si>
    <t>BIT11035100</t>
  </si>
  <si>
    <t>257689252</t>
  </si>
  <si>
    <t>NOMBRE RETIRA: ROSRIGO SILVA . RUT RETIRA: 15850418-9</t>
  </si>
  <si>
    <t>Avenida circunvalación poniente 1078</t>
  </si>
  <si>
    <t>BIT11035058</t>
  </si>
  <si>
    <t>257602156</t>
  </si>
  <si>
    <t>Esteban Berríos</t>
  </si>
  <si>
    <t>Inmaculada Concepción 141, Local 2</t>
  </si>
  <si>
    <t>BIT11035177</t>
  </si>
  <si>
    <t>257771355</t>
  </si>
  <si>
    <t>NOMBRE RETIRA: GASTON AIGAR . RUT RETIRA: 21699290-3</t>
  </si>
  <si>
    <t>Noemi Mondaca</t>
  </si>
  <si>
    <t>Toronto 3711, Villa Cerro Colorado</t>
  </si>
  <si>
    <t>2025-11-21 11:20</t>
  </si>
  <si>
    <t>BIT11034652</t>
  </si>
  <si>
    <t>257069227</t>
  </si>
  <si>
    <t>NOMBRE RETIRA: JORGE ANDRES PEREZ . RUT RETIRA: 20587603-0</t>
  </si>
  <si>
    <t>Jorge Andrés Pérez Soto</t>
  </si>
  <si>
    <t>Montt 71, Local Sotocopias</t>
  </si>
  <si>
    <t>2025-11-10 21:10</t>
  </si>
  <si>
    <t>BIT11035127</t>
  </si>
  <si>
    <t>257689090</t>
  </si>
  <si>
    <t>Pedro Rojas Contreras</t>
  </si>
  <si>
    <t>Uruguay 1250, Casa</t>
  </si>
  <si>
    <t>2025-11-20 11:19</t>
  </si>
  <si>
    <t>BIT11035148</t>
  </si>
  <si>
    <t>257771529</t>
  </si>
  <si>
    <t>NOMBRE RETIRA: EVELYN AREVALO . RUT RETIRA: 13513337-K</t>
  </si>
  <si>
    <t>Francisco Cisternas Bascur</t>
  </si>
  <si>
    <t>Luis Cousiño # 449, Lota Alto, Barrio Conocido Como Parque Luis.</t>
  </si>
  <si>
    <t>2025-11-20 21:11</t>
  </si>
  <si>
    <t>BIT11035159</t>
  </si>
  <si>
    <t>257771434</t>
  </si>
  <si>
    <t>NOMBRE RETIRA: PABLO CASTRO . RUT RETIRA: 8051625-8</t>
  </si>
  <si>
    <t>Pablo Castro</t>
  </si>
  <si>
    <t>VolcÁn Choshuenco 5050</t>
  </si>
  <si>
    <t>2025-11-20 21:12</t>
  </si>
  <si>
    <t>BIT11035190</t>
  </si>
  <si>
    <t>257771300</t>
  </si>
  <si>
    <t>NOMBRE RETIRA: VIOLETA GALLEGUILLOS . RUT RETIRA: 23246585-9</t>
  </si>
  <si>
    <t>Violeta Galleguillos</t>
  </si>
  <si>
    <t>Faro quiriquina 1245, Casa sector altos de tenglo II</t>
  </si>
  <si>
    <t>BIT11035120</t>
  </si>
  <si>
    <t>257689231</t>
  </si>
  <si>
    <t>Julie Leeser</t>
  </si>
  <si>
    <t>Casa, Luis Silva Lezaeta 17</t>
  </si>
  <si>
    <t>BIT11035154</t>
  </si>
  <si>
    <t>257771462</t>
  </si>
  <si>
    <t>NOMBRE RETIRA: JUAN CONUECAR . RUT RETIRA: 15269919-0</t>
  </si>
  <si>
    <t>JUAN CONUECAR MUNOZ</t>
  </si>
  <si>
    <t>BIT11035167</t>
  </si>
  <si>
    <t>257771423</t>
  </si>
  <si>
    <t>NOMBRE RETIRA: RODRIGO GONZALEZ . RUT RETIRA: 16157381-7</t>
  </si>
  <si>
    <t>San Martin 1332</t>
  </si>
  <si>
    <t>BIT11035152</t>
  </si>
  <si>
    <t>257771502</t>
  </si>
  <si>
    <t>NOMBRE RETIRA: FRANCISCO ACUNA . RUT RETIRA: 16347625-8</t>
  </si>
  <si>
    <t>Francisco Acuña</t>
  </si>
  <si>
    <t>Parque Nacional Torres del Paine 7010, casa 16</t>
  </si>
  <si>
    <t>BIT11035168</t>
  </si>
  <si>
    <t>257771386</t>
  </si>
  <si>
    <t>NOMBRE RETIRA: GUSTAVO YONES . RUT RETIRA: 12533484-9</t>
  </si>
  <si>
    <t>Gustavo Yones Pande</t>
  </si>
  <si>
    <t>Casa, Calle Libertad 450</t>
  </si>
  <si>
    <t>BIT11035176</t>
  </si>
  <si>
    <t>257771363</t>
  </si>
  <si>
    <t>NOMBRE RETIRA: LUIS DELGADO LLL RUT RETIRA: 13736682-7</t>
  </si>
  <si>
    <t>Tomás Labbé</t>
  </si>
  <si>
    <t>Los Colonos 2100, Dpto 1202 condominio portal las quemas</t>
  </si>
  <si>
    <t>BIT11035156</t>
  </si>
  <si>
    <t>257771513</t>
  </si>
  <si>
    <t>NOMBRE RETIRA: SELMA CORTES -- RUT RETIRA: 10546916-0</t>
  </si>
  <si>
    <t>Selma Cortés Simon</t>
  </si>
  <si>
    <t>Los Poetas 2690</t>
  </si>
  <si>
    <t>BIT11035166</t>
  </si>
  <si>
    <t>257771451</t>
  </si>
  <si>
    <t>NOMBRE RETIRA: JOSE PENA A RUT RETIRA: 27092222-8</t>
  </si>
  <si>
    <t>Matias Veliz</t>
  </si>
  <si>
    <t>Lautaro 535, Sushiweb</t>
  </si>
  <si>
    <t>BIT11035186</t>
  </si>
  <si>
    <t>257771317</t>
  </si>
  <si>
    <t>NOMBRE RETIRA: MACARENA NUNEZ . RUT RETIRA: 16142723-3</t>
  </si>
  <si>
    <t>Macarena Núñez</t>
  </si>
  <si>
    <t>Batalla De Yungay, 5173</t>
  </si>
  <si>
    <t>BIT11035181</t>
  </si>
  <si>
    <t>257771349</t>
  </si>
  <si>
    <t>Paula Silva Jamen</t>
  </si>
  <si>
    <t>El arrayan 155, 6</t>
  </si>
  <si>
    <t>BIT11035161</t>
  </si>
  <si>
    <t>257771486</t>
  </si>
  <si>
    <t>NOMBRE RETIRA: HECTOR BECERRA . RUT RETIRA: 9061662-5</t>
  </si>
  <si>
    <t>Los Palacios 580, Condominio Las Araucarias</t>
  </si>
  <si>
    <t>BIT11035165</t>
  </si>
  <si>
    <t>257771441</t>
  </si>
  <si>
    <t>NOMBRE RETIRA: NANCY DAZA . RUT RETIRA: 12733254-1</t>
  </si>
  <si>
    <t>Fidel Lorca Urrutia</t>
  </si>
  <si>
    <t>Avenida Los Angeles 1140, 1</t>
  </si>
  <si>
    <t>BIT11035172</t>
  </si>
  <si>
    <t>257771398</t>
  </si>
  <si>
    <t>NOMBRE RETIRA: KAREN BRAVO BRAVA RUT RETIRA: 15156227-2</t>
  </si>
  <si>
    <t>Alexis Hermosilla</t>
  </si>
  <si>
    <t>Villa Maria Lucia Machali, Pasaje 14. 061</t>
  </si>
  <si>
    <t>BIT11035080</t>
  </si>
  <si>
    <t>257602081</t>
  </si>
  <si>
    <t>NOMBRE RETIRA: ROXANA MORA . RUT RETIRA: 12345678-5</t>
  </si>
  <si>
    <t>Roxana Mora Saldivia</t>
  </si>
  <si>
    <t>Parque licanrayen, viracocha manzana c N.3</t>
  </si>
  <si>
    <t>BIT11035126</t>
  </si>
  <si>
    <t>257689180</t>
  </si>
  <si>
    <t>NOMBRE RETIRA: MARIO RAMIREZ . . RUT RETIRA: 7601801-4</t>
  </si>
  <si>
    <t>Mario Ramirez</t>
  </si>
  <si>
    <t>Marcial Martinez Cuadros 789, casa</t>
  </si>
  <si>
    <t>BIT11035051</t>
  </si>
  <si>
    <t>257602207</t>
  </si>
  <si>
    <t>NOMBRE RETIRA: LIDATZI . . RUT RETIRA: 24883945-7</t>
  </si>
  <si>
    <t>Carlos Cea</t>
  </si>
  <si>
    <t>Los conquistadores 13825</t>
  </si>
  <si>
    <t>2025-11-18 21:23</t>
  </si>
  <si>
    <t>BIT11035135</t>
  </si>
  <si>
    <t>257689096</t>
  </si>
  <si>
    <t>NOMBRE RETIRA: ALEJANDRA MUNOZ . RUT RETIRA: 19799373-1</t>
  </si>
  <si>
    <t>Alejandra Muñoz olivares</t>
  </si>
  <si>
    <t>Cardenal Carlos Oviedo cavada 1730, Lagunillas norte, Casa</t>
  </si>
  <si>
    <t>BIT11035104</t>
  </si>
  <si>
    <t>257689284</t>
  </si>
  <si>
    <t>NOMBRE RETIRA: EMILIO NEVED NEVEE RUT RETIRA: 7699583-4</t>
  </si>
  <si>
    <t>Emilio Neves Garcia</t>
  </si>
  <si>
    <t>Av Cachapoal 354</t>
  </si>
  <si>
    <t>BIT11035011</t>
  </si>
  <si>
    <t>257525856</t>
  </si>
  <si>
    <t>NOMBRE RETIRA: ANA SANHUEZA . RUT RETIRA: 11972903-3</t>
  </si>
  <si>
    <t>Santiago arata 4065, Torre 1 dpto 42, condominio doña laura</t>
  </si>
  <si>
    <t>2025-11-18 11:11</t>
  </si>
  <si>
    <t>BIT11035055</t>
  </si>
  <si>
    <t>257602120</t>
  </si>
  <si>
    <t>NOMBRE RETIRA: MARTA AGUDELO . RUT RETIRA: 56052390-4</t>
  </si>
  <si>
    <t>Luis Doll</t>
  </si>
  <si>
    <t>Antonio Poupin 1236</t>
  </si>
  <si>
    <t>BIT11035066</t>
  </si>
  <si>
    <t>257602089</t>
  </si>
  <si>
    <t>NOMBRE RETIRA: LEIDY GARZON . RUT RETIRA: 28790320-0</t>
  </si>
  <si>
    <t>Frida Moller Guzmán</t>
  </si>
  <si>
    <t>Sierra Nevada 10993</t>
  </si>
  <si>
    <t>BIT11035037</t>
  </si>
  <si>
    <t>257602255</t>
  </si>
  <si>
    <t>Octavio Alejandro Imilan Silva</t>
  </si>
  <si>
    <t>baron de la riviere 1369</t>
  </si>
  <si>
    <t>BIT11035106</t>
  </si>
  <si>
    <t>257689313</t>
  </si>
  <si>
    <t>NOMBRE RETIRA: GULLERMO MARBAN M RUT RETIRA: 21383966-7</t>
  </si>
  <si>
    <t>Guillermo Malebrán</t>
  </si>
  <si>
    <t>Hermano Francisco de Asis 2329</t>
  </si>
  <si>
    <t>BIT11035119</t>
  </si>
  <si>
    <t>257689242</t>
  </si>
  <si>
    <t>Rodolfo Perez R.</t>
  </si>
  <si>
    <t>Casa, Dagoberto Godoy 3350</t>
  </si>
  <si>
    <t>BIT11035124</t>
  </si>
  <si>
    <t>257689192</t>
  </si>
  <si>
    <t>NOMBRE RETIRA: BENJAMIN CHAMORRO 0 RUT RETIRA: 15944689-1</t>
  </si>
  <si>
    <t>Hernan Morales</t>
  </si>
  <si>
    <t>Av. Los Cisnes 940, Casa 22</t>
  </si>
  <si>
    <t>BIT11035128</t>
  </si>
  <si>
    <t>257689147</t>
  </si>
  <si>
    <t>NOMBRE RETIRA: GISELA DELGADO DELGADO RUT RETIRA: 13300108-5</t>
  </si>
  <si>
    <t>BIT11035041</t>
  </si>
  <si>
    <t>257602203</t>
  </si>
  <si>
    <t>NOMBRE RETIRA: LUIS PESO BELTRAN RUT RETIRA: 14369136-5</t>
  </si>
  <si>
    <t>Luis Peso Beltrán</t>
  </si>
  <si>
    <t>Calle Marinan 205</t>
  </si>
  <si>
    <t>BIT11035125</t>
  </si>
  <si>
    <t>257689106</t>
  </si>
  <si>
    <t>Gabriel Homad Gallardo</t>
  </si>
  <si>
    <t>Dobri dobrew 1421, Casa 1421</t>
  </si>
  <si>
    <t>BIT11035114</t>
  </si>
  <si>
    <t>257689276</t>
  </si>
  <si>
    <t>NOMBRE RETIRA: PAZ . . RUT RETIRA: 53310370-7</t>
  </si>
  <si>
    <t>Camilo Espinosa</t>
  </si>
  <si>
    <t>Los Estudiantes 02320, 202 Torre 4</t>
  </si>
  <si>
    <t>BIT11035102</t>
  </si>
  <si>
    <t>257689322</t>
  </si>
  <si>
    <t>NOMBRE RETIRA: NICOLE TAMAYO M RUT RETIRA: 21383966-7</t>
  </si>
  <si>
    <t>Nicole Isolde Tamayo Alvarado</t>
  </si>
  <si>
    <t>Socaire 1671 Villa San Nicolas, Pasaje socaire 1671 Villa San Nicolas</t>
  </si>
  <si>
    <t>BIT11035144</t>
  </si>
  <si>
    <t>257689080</t>
  </si>
  <si>
    <t>NOMBRE RETIRA: EDUARDO FLORES . RUT RETIRA: 5984460-1</t>
  </si>
  <si>
    <t>Eduardo Flores Farias</t>
  </si>
  <si>
    <t>Almirante Simpson # 1174, Cerro Barón</t>
  </si>
  <si>
    <t>BIT11035053</t>
  </si>
  <si>
    <t>257602199</t>
  </si>
  <si>
    <t>NOMBRE RETIRA: TANIA OVIEDO OVIEDO RUT RETIRA: 12218435-8</t>
  </si>
  <si>
    <t>Algarrobo 425</t>
  </si>
  <si>
    <t>BIT11035142</t>
  </si>
  <si>
    <t>257689086</t>
  </si>
  <si>
    <t>Victor Volante</t>
  </si>
  <si>
    <t>Calle Villarrica 1660, Casa 21</t>
  </si>
  <si>
    <t>BIT11034620</t>
  </si>
  <si>
    <t>256970529</t>
  </si>
  <si>
    <t>NOMBRE RETIRA: RODRIGO ELGUETA . RUT RETIRA: 11111111-1</t>
  </si>
  <si>
    <t>Rodrigo Elgueta Imaray</t>
  </si>
  <si>
    <t>Lautaro navarro 353</t>
  </si>
  <si>
    <t>BIT11035022</t>
  </si>
  <si>
    <t>257602275</t>
  </si>
  <si>
    <t>NOMBRE RETIRA: SOFIA ZUNIGA . RUT RETIRA: 6221535-6</t>
  </si>
  <si>
    <t>Roble 468, casa</t>
  </si>
  <si>
    <t>BIT11035099</t>
  </si>
  <si>
    <t>257689359</t>
  </si>
  <si>
    <t>Rafael León Oses</t>
  </si>
  <si>
    <t>Cayumanqui 407, Farmacia Quillón</t>
  </si>
  <si>
    <t>BIT11035090</t>
  </si>
  <si>
    <t>257689366</t>
  </si>
  <si>
    <t>NOMBRE RETIRA: RONERTO ZUNIGA . RUT RETIRA: 12339745-2</t>
  </si>
  <si>
    <t>Felipe Jiménez Reyes</t>
  </si>
  <si>
    <t>pacífico 4365, edificio Gantout (Gomez Carreño), 707</t>
  </si>
  <si>
    <t>BIT11035023</t>
  </si>
  <si>
    <t>257602295</t>
  </si>
  <si>
    <t>NOMBRE RETIRA: KATHERINE FRIAS . RUT RETIRA: 25444616-5</t>
  </si>
  <si>
    <t>Raul Salinas</t>
  </si>
  <si>
    <t>Cerro Moreno 10550, casa 53</t>
  </si>
  <si>
    <t>BIT11035130</t>
  </si>
  <si>
    <t>257689125</t>
  </si>
  <si>
    <t>NOMBRE RETIRA: IRIS GAETE . RUT RETIRA: 5144755-7</t>
  </si>
  <si>
    <t>Jorge Gaete barrera</t>
  </si>
  <si>
    <t>Álvarez 646, 705</t>
  </si>
  <si>
    <t>BIT11035086</t>
  </si>
  <si>
    <t>257689382</t>
  </si>
  <si>
    <t>NOMBRE RETIRA: PATRICIO LOPEZ LOPEZ RUT RETIRA: 9717213-7</t>
  </si>
  <si>
    <t>Stella Figueroa</t>
  </si>
  <si>
    <t>Germán Riesco 230, 1101</t>
  </si>
  <si>
    <t>BIT11035115</t>
  </si>
  <si>
    <t>257689298</t>
  </si>
  <si>
    <t>NOMBRE RETIRA: DANIEL GONZALEZ . RUT RETIRA: 19486867-7</t>
  </si>
  <si>
    <t>Daniel González</t>
  </si>
  <si>
    <t>Pedro Montecinos Figueroa 848, Valle Hondo, Casa</t>
  </si>
  <si>
    <t>BIT11035048</t>
  </si>
  <si>
    <t>257602167</t>
  </si>
  <si>
    <t>NOMBRE RETIRA: LORENA MARTINEZ . RUT RETIRA: 11922536-1</t>
  </si>
  <si>
    <t>Francisco Gonzalez Cartes</t>
  </si>
  <si>
    <t>Victoria 680, Casa</t>
  </si>
  <si>
    <t>BIT11034953</t>
  </si>
  <si>
    <t>257441963</t>
  </si>
  <si>
    <t>NOMBRE RETIRA: WILLIAM HERRERA -- RUT RETIRA: 53323816-5</t>
  </si>
  <si>
    <t>William Herrera Rivera</t>
  </si>
  <si>
    <t>Avenida Guillermo Ulriksen 1700, Departamento G14, Departamento G14</t>
  </si>
  <si>
    <t>BIT11035067</t>
  </si>
  <si>
    <t>257602107</t>
  </si>
  <si>
    <t>Rocío Valeria Adaros Serrano</t>
  </si>
  <si>
    <t>Las Tortolas 155 Reñaca, Casa 18</t>
  </si>
  <si>
    <t>BIT11034961</t>
  </si>
  <si>
    <t>257441919</t>
  </si>
  <si>
    <t>NOMBRE RETIRA: GONZALO MOLINA . RUT RETIRA: 17322011-1</t>
  </si>
  <si>
    <t>Gonzalo Molina Guzman</t>
  </si>
  <si>
    <t>La virgen 115, Casa</t>
  </si>
  <si>
    <t>BIT11035036</t>
  </si>
  <si>
    <t>257602279</t>
  </si>
  <si>
    <t>NOMBRE RETIRA: CARMEN ARENAS ... RUT RETIRA: 9886222-6</t>
  </si>
  <si>
    <t>Jorge Guerra Guerra</t>
  </si>
  <si>
    <t>Los Arrayanes 1020, Cerca de fundo La Esperanza</t>
  </si>
  <si>
    <t>BIT11034939</t>
  </si>
  <si>
    <t>257442002</t>
  </si>
  <si>
    <t>NOMBRE RETIRA: JAVIERA VERGARA . RUT RETIRA: 20088616-K</t>
  </si>
  <si>
    <t>Jorge Meneses Cruz 1973, Villa Horizonte</t>
  </si>
  <si>
    <t>2025-11-16 21:02</t>
  </si>
  <si>
    <t>BIT11034901</t>
  </si>
  <si>
    <t>257442139</t>
  </si>
  <si>
    <t>NOMBRE RETIRA: JHON MENDEZ J RUT RETIRA: 17890573-2</t>
  </si>
  <si>
    <t>John charles Mendez Gonzalez</t>
  </si>
  <si>
    <t>La Fábbrica Daalessandro calle Vicente Perez Rosales 1241, La Fábbrica Daalessandro 1241</t>
  </si>
  <si>
    <t>BIT11035064</t>
  </si>
  <si>
    <t>257602114</t>
  </si>
  <si>
    <t>NOMBRE RETIRA: SANDRA VERDUGO CASANEO RUT RETIRA: 12515602-9</t>
  </si>
  <si>
    <t>Sandra Verdugo</t>
  </si>
  <si>
    <t>Madrid 1757, Los Alpes</t>
  </si>
  <si>
    <t>BIT11035043</t>
  </si>
  <si>
    <t>257602169</t>
  </si>
  <si>
    <t>NOMBRE RETIRA: ROSAFIGUEROA FIGUEROA . RUT RETIRA: 10452981-K</t>
  </si>
  <si>
    <t>Daniella gioia</t>
  </si>
  <si>
    <t>tocornal 1656</t>
  </si>
  <si>
    <t>BIT11034940</t>
  </si>
  <si>
    <t>257441993</t>
  </si>
  <si>
    <t>NOMBRE RETIRA: MARIA OLGUIN OLGUIN RUT RETIRA: 6942150-4</t>
  </si>
  <si>
    <t>Oliver Rojas</t>
  </si>
  <si>
    <t>Avenida General José De San Martín 0678</t>
  </si>
  <si>
    <t>BIT11034883</t>
  </si>
  <si>
    <t>257442219</t>
  </si>
  <si>
    <t>NOMBRE RETIRA: PATRICIO . . RUT RETIRA: 9373084-4</t>
  </si>
  <si>
    <t>Patricio Carcamo</t>
  </si>
  <si>
    <t>Ignacio Serrano 140 B, B 140</t>
  </si>
  <si>
    <t>2025-11-15 11:15</t>
  </si>
  <si>
    <t>BIT11035062</t>
  </si>
  <si>
    <t>257602097</t>
  </si>
  <si>
    <t>NOMBRE RETIRA: CATALICIA ALVAREZ . RUT RETIRA: 20260846-9</t>
  </si>
  <si>
    <t>Tilman Molina</t>
  </si>
  <si>
    <t>Mateo de Toro y Zambrano 2099, INNOVA</t>
  </si>
  <si>
    <t>BIT11035026</t>
  </si>
  <si>
    <t>257602216</t>
  </si>
  <si>
    <t>NOMBRE RETIRA: HECTOR ZAMBRANO . RUT RETIRA: 16737247-3</t>
  </si>
  <si>
    <t>Héctor Zambrano</t>
  </si>
  <si>
    <t>Pasaje 8 oriente Polo A machali, Casa 60</t>
  </si>
  <si>
    <t>BIT11034938</t>
  </si>
  <si>
    <t>257442013</t>
  </si>
  <si>
    <t>NOMBRE RETIRA: SANDRA ALBERTI . RUT RETIRA: 53330390-0</t>
  </si>
  <si>
    <t>Las Rosas Poniente 186, Concon</t>
  </si>
  <si>
    <t>BIT11035057</t>
  </si>
  <si>
    <t>257602128</t>
  </si>
  <si>
    <t>NOMBRE RETIRA: CLAUDIO . . RUT RETIRA: 53310370-7</t>
  </si>
  <si>
    <t>Ximena Ossa Garcia</t>
  </si>
  <si>
    <t>Montes Sabinos 510, Dpto 401 torre B</t>
  </si>
  <si>
    <t>BIT11034952</t>
  </si>
  <si>
    <t>257441970</t>
  </si>
  <si>
    <t>NOMBRE RETIRA: IVAN RIVERA . RUT RETIRA: 17736384-7</t>
  </si>
  <si>
    <t>Alexis Castillo rodriguez</t>
  </si>
  <si>
    <t>Cerro Paranal 380 Dpto 296 B Rapallo, Antofagasta</t>
  </si>
  <si>
    <t>BIT11035001</t>
  </si>
  <si>
    <t>257525877</t>
  </si>
  <si>
    <t>NOMBRE RETIRA: MACKARENA AGUILERA AGUILERA RUT RETIRA: 18970722-3</t>
  </si>
  <si>
    <t>Macarena Aguilera andana</t>
  </si>
  <si>
    <t>Francisco de aguirre 436, Departamento 207</t>
  </si>
  <si>
    <t>BIT11034957</t>
  </si>
  <si>
    <t>257441933</t>
  </si>
  <si>
    <t>NOMBRE RETIRA: CATALINA VICENCIO . RUT RETIRA: 18085196-8</t>
  </si>
  <si>
    <t>Sebastian Vargas</t>
  </si>
  <si>
    <t>Laguna Cejar 2540</t>
  </si>
  <si>
    <t>BIT11034897</t>
  </si>
  <si>
    <t>257442152</t>
  </si>
  <si>
    <t>NOMBRE RETIRA: CARLOS MOYA D RUT RETIRA: 65088669-0</t>
  </si>
  <si>
    <t>Daniel Faundez Rosas</t>
  </si>
  <si>
    <t>Morris 776, Departamento 1506</t>
  </si>
  <si>
    <t>BIT11034904</t>
  </si>
  <si>
    <t>257442092</t>
  </si>
  <si>
    <t>NOMBRE RETIRA: ROBERTO MEDINA 0 RUT RETIRA: 12345678-5</t>
  </si>
  <si>
    <t>Roberto Medina</t>
  </si>
  <si>
    <t>Daniel Riquelme 676, casa 14, Condominio Llanos de San Luis</t>
  </si>
  <si>
    <t>BIT11034877</t>
  </si>
  <si>
    <t>257442216</t>
  </si>
  <si>
    <t>NOMBRE RETIRA: SANDRA PICHILEN . RUT RETIRA: 18686873-0</t>
  </si>
  <si>
    <t>Sandra Pichilén</t>
  </si>
  <si>
    <t>Eugenio Matte s/n casi esquina A Prat, Oficina color café con antejardín</t>
  </si>
  <si>
    <t>BIT11035007</t>
  </si>
  <si>
    <t>257525849</t>
  </si>
  <si>
    <t>NOMBRE RETIRA: MATIAS PEREZ U RUT RETIRA: 21220483-8</t>
  </si>
  <si>
    <t>Olivia Perez robles</t>
  </si>
  <si>
    <t>Parque nacional chiloe 1482</t>
  </si>
  <si>
    <t>BIT11034951</t>
  </si>
  <si>
    <t>257441978</t>
  </si>
  <si>
    <t>NOMBRE RETIRA: FERNANDA GOMEZ . RUT RETIRA: 17625970-1</t>
  </si>
  <si>
    <t>Fernanda Gómez Fajardo</t>
  </si>
  <si>
    <t>Viviana Georgina Chepillo López #3113, Viviana Chepillo 3113 Sector Serena Oriente 3113</t>
  </si>
  <si>
    <t>BIT11035004</t>
  </si>
  <si>
    <t>257525865</t>
  </si>
  <si>
    <t>NOMBRE RETIRA: FRANCISCO JARAMILLO LLL RUT RETIRA: 11707001-8</t>
  </si>
  <si>
    <t>Francisco Jaramillo Zwanzger</t>
  </si>
  <si>
    <t>Comercio 251, Casa</t>
  </si>
  <si>
    <t>BIT11034981</t>
  </si>
  <si>
    <t>257525960</t>
  </si>
  <si>
    <t>NOMBRE RETIRA: JUAN ORELLANA ORELLANA RUT RETIRA: 10957249-7</t>
  </si>
  <si>
    <t>Juan Pablo Orellana Cádiz</t>
  </si>
  <si>
    <t>Av. el Cristo local 6 y 7, Hidroagro</t>
  </si>
  <si>
    <t>BIT11034909</t>
  </si>
  <si>
    <t>257442111</t>
  </si>
  <si>
    <t>NOMBRE RETIRA: LEONARDO CARDENAS B RUT RETIRA: 23578429-7</t>
  </si>
  <si>
    <t>Egaña 440, Depto 32C</t>
  </si>
  <si>
    <t>BIT11034983</t>
  </si>
  <si>
    <t>257525948</t>
  </si>
  <si>
    <t>NOMBRE RETIRA: FRANCISCA VALALADRES W RUT RETIRA: 20476502-2</t>
  </si>
  <si>
    <t>Las Tortolas 230, departamento 1405</t>
  </si>
  <si>
    <t>BIT11034956</t>
  </si>
  <si>
    <t>257441943</t>
  </si>
  <si>
    <t>NOMBRE RETIRA: LUIS MUNO . RUT RETIRA: 7082980-0</t>
  </si>
  <si>
    <t>Eduardo Barrientos</t>
  </si>
  <si>
    <t>Calle B 1223, 11</t>
  </si>
  <si>
    <t>BIT11035003</t>
  </si>
  <si>
    <t>257525869</t>
  </si>
  <si>
    <t>NOMBRE RETIRA: JORGE URBINA U RUT RETIRA: 56049520-K</t>
  </si>
  <si>
    <t>Marcelo Madariaga</t>
  </si>
  <si>
    <t>Edmundo eluchans 2805 doto 2305, Dpto</t>
  </si>
  <si>
    <t>BIT11034948</t>
  </si>
  <si>
    <t>257441999</t>
  </si>
  <si>
    <t>NOMBRE RETIRA: MANUEL OSORIO OSORIO RUT RETIRA: 9565072-4</t>
  </si>
  <si>
    <t>Ingrid Muñoz Menares</t>
  </si>
  <si>
    <t>Bombero Villalobos 1075, 305</t>
  </si>
  <si>
    <t>BIT11034891</t>
  </si>
  <si>
    <t>257442177</t>
  </si>
  <si>
    <t>Manuel Perez</t>
  </si>
  <si>
    <t>Antonio varas 880, Banco Scotiabank</t>
  </si>
  <si>
    <t>2025-11-16 21:01</t>
  </si>
  <si>
    <t>BIT11034914</t>
  </si>
  <si>
    <t>257442086</t>
  </si>
  <si>
    <t>NOMBRE RETIRA: SADY DUARTE .. RUT RETIRA: 15268381-2</t>
  </si>
  <si>
    <t>BIT11034933</t>
  </si>
  <si>
    <t>257442026</t>
  </si>
  <si>
    <t>NOMBRE RETIRA: EDDIET ROMERO T T RUT RETIRA: 7304024-8</t>
  </si>
  <si>
    <t>Juan Díaz Gómez</t>
  </si>
  <si>
    <t>Galvarino 468, Clínica veterinaria Salud Animal</t>
  </si>
  <si>
    <t>BIT11034788</t>
  </si>
  <si>
    <t>257291024</t>
  </si>
  <si>
    <t>NOMBRE RETIRA: PEDRO RAMIREZ . RUT RETIRA: 8237368-3</t>
  </si>
  <si>
    <t>teo ramirez lay</t>
  </si>
  <si>
    <t>Los Castaños 3278</t>
  </si>
  <si>
    <t>2025-11-13 21:08</t>
  </si>
  <si>
    <t>BIT11034935</t>
  </si>
  <si>
    <t>257442022</t>
  </si>
  <si>
    <t>NOMBRE RETIRA: LUIS ALBORNOZ ALBORNOZ RUT RETIRA: 65195648-K</t>
  </si>
  <si>
    <t>Mauro Aguayo González</t>
  </si>
  <si>
    <t>Los Reyes 560, Depto 708 A</t>
  </si>
  <si>
    <t>BIT11034911</t>
  </si>
  <si>
    <t>257442107</t>
  </si>
  <si>
    <t>NOMBRE RETIRA: LONARRAYAN CONSEJE JUAN RUT RETIRA: 53332921-7</t>
  </si>
  <si>
    <t>Rodrigo Travella 15.798.263-k</t>
  </si>
  <si>
    <t>Valle Del ParaÍso 2907, Departamento D301, Departamento D301</t>
  </si>
  <si>
    <t>BIT11034900</t>
  </si>
  <si>
    <t>257442141</t>
  </si>
  <si>
    <t>NOMBRE RETIRA: JORCS CAZTRO O RUT RETIRA: 53306580-5</t>
  </si>
  <si>
    <t>Cristian Cristian Rodríguez</t>
  </si>
  <si>
    <t>Avenida Laguna Grande 1250 casa 43, Condominio Los Peumos, Condominio Los Peumos</t>
  </si>
  <si>
    <t>BIT11034959</t>
  </si>
  <si>
    <t>257441927</t>
  </si>
  <si>
    <t>NOMBRE RETIRA: NANCY ZUNIGA . RUT RETIRA: 76669508-6</t>
  </si>
  <si>
    <t>Rodrigo García Castro</t>
  </si>
  <si>
    <t>San Martín 394, Negocio</t>
  </si>
  <si>
    <t>BIT11034915</t>
  </si>
  <si>
    <t>257442081</t>
  </si>
  <si>
    <t>NOMBRE RETIRA: JHONATAN SILVA . RUT RETIRA: 19796448-0</t>
  </si>
  <si>
    <t>Pedro Sanzana</t>
  </si>
  <si>
    <t>Barros Arana, 855 2 C</t>
  </si>
  <si>
    <t>BIT11034872</t>
  </si>
  <si>
    <t>257442283</t>
  </si>
  <si>
    <t>NOMBRE RETIRA: DANIEL PARADA . RUT RETIRA: 10836345-2</t>
  </si>
  <si>
    <t>Daniel Bauer  Lissner</t>
  </si>
  <si>
    <t>Camino Villarrica a Pucón Kmt 22,5, Edificio Alerce Depto 22</t>
  </si>
  <si>
    <t>BIT11034964</t>
  </si>
  <si>
    <t>257441892</t>
  </si>
  <si>
    <t>NOMBRE RETIRA: MARIA ROSAS ROSAS RUT RETIRA: 7240666-4</t>
  </si>
  <si>
    <t>Alfredo Caceres Mendez</t>
  </si>
  <si>
    <t>Pascual Binimelis 484 Lonco Oriente</t>
  </si>
  <si>
    <t>BIT11034999</t>
  </si>
  <si>
    <t>257525903</t>
  </si>
  <si>
    <t>NOMBRE RETIRA: MACARENA AMIGO N RUT RETIRA: 16540000-3</t>
  </si>
  <si>
    <t>BIT11034854</t>
  </si>
  <si>
    <t>257442385</t>
  </si>
  <si>
    <t>NOMBRE RETIRA: JAIME RIVERA REBOLLEDO RUT RETIRA: 1111111-4</t>
  </si>
  <si>
    <t>JAIME RIVERA REBOLLEDO</t>
  </si>
  <si>
    <t>CALLE URIBE 399, RODATEC</t>
  </si>
  <si>
    <t>2025-11-14 21:14</t>
  </si>
  <si>
    <t>BIT11034887</t>
  </si>
  <si>
    <t>257442203</t>
  </si>
  <si>
    <t>NOMBRE RETIRA: MARCOS VARGAS . RUT RETIRA: 14025980-2</t>
  </si>
  <si>
    <t>Marcos Vargas</t>
  </si>
  <si>
    <t>Caupolican 1681, Casa villa cordillera</t>
  </si>
  <si>
    <t>BIT11034552</t>
  </si>
  <si>
    <t>256862977</t>
  </si>
  <si>
    <t>NOMBRE RETIRA: FRANCISCO AGUILAR .. RUT RETIRA: 11111111-1</t>
  </si>
  <si>
    <t>francisco aguilar</t>
  </si>
  <si>
    <t>Av Los Flamencos 0918, Casa A</t>
  </si>
  <si>
    <t>2025-11-08 11:09</t>
  </si>
  <si>
    <t>BIT11034902</t>
  </si>
  <si>
    <t>257442095</t>
  </si>
  <si>
    <t>NOMBRE RETIRA: LORNA HUICHALAF V RUT RETIRA: 8795304-1</t>
  </si>
  <si>
    <t>Lorna Huichalaf Vargas</t>
  </si>
  <si>
    <t>Lord Cochrane 599, Las Brisas 19, Condominio Vientos del Sur</t>
  </si>
  <si>
    <t>BIT11034923</t>
  </si>
  <si>
    <t>257442033</t>
  </si>
  <si>
    <t>NOMBRE RETIRA: JOSE FEHRENGERBE . RUT RETIRA: 18805117-0</t>
  </si>
  <si>
    <t>Jose Fehrenberg</t>
  </si>
  <si>
    <t>Avenida Sor Vicenta 2085, Casa</t>
  </si>
  <si>
    <t>BIT11034985</t>
  </si>
  <si>
    <t>257525920</t>
  </si>
  <si>
    <t>NOMBRE RETIRA: MARCO COLLANTES CONSERJE RUT RETIRA: 13060727-6</t>
  </si>
  <si>
    <t>Violeta Pineda</t>
  </si>
  <si>
    <t>Parcela 3 B, Angamos 421</t>
  </si>
  <si>
    <t>BIT11034889</t>
  </si>
  <si>
    <t>257442199</t>
  </si>
  <si>
    <t>NOMBRE RETIRA: ANA ESCOBAR . RUT RETIRA: 7797902-6</t>
  </si>
  <si>
    <t>Jose Contreras</t>
  </si>
  <si>
    <t>Carampangue 708 of 41, Departamento</t>
  </si>
  <si>
    <t>BIT11034857</t>
  </si>
  <si>
    <t>257442330</t>
  </si>
  <si>
    <t>NOMBRE RETIRA: JOSE SILVA . RUT RETIRA: 11111111-1</t>
  </si>
  <si>
    <t>José Silva Salgado</t>
  </si>
  <si>
    <t>Emilio becerra, población guido beck, calle Emilio becerra 1320</t>
  </si>
  <si>
    <t>BIT11034982</t>
  </si>
  <si>
    <t>257525934</t>
  </si>
  <si>
    <t>NOMBRE RETIRA: SEBATIAN RAMIREZ J RUT RETIRA: 27805818-2</t>
  </si>
  <si>
    <t>Sebastian Ramirez</t>
  </si>
  <si>
    <t>Calle Tamure, 1175</t>
  </si>
  <si>
    <t>BIT11035019</t>
  </si>
  <si>
    <t>257525835</t>
  </si>
  <si>
    <t>NOMBRE RETIRA: JUAN ESPOZ ESPEJO RUT RETIRA: 16244633-9</t>
  </si>
  <si>
    <t>Juan Espoz</t>
  </si>
  <si>
    <t>Av Kennedy 1650, Depto 22</t>
  </si>
  <si>
    <t>BIT11034804</t>
  </si>
  <si>
    <t>257290974</t>
  </si>
  <si>
    <t>NOMBRE RETIRA: SOFIA MOYO . RUT RETIRA: 20775939-2</t>
  </si>
  <si>
    <t>Daisy Ana Luisa Alarcon Valenzuela</t>
  </si>
  <si>
    <t>Iquique, Arturo Prat 1670 Edificio Mykonos Depto 241. Mar Egeo. Depto 241</t>
  </si>
  <si>
    <t>BIT11034992</t>
  </si>
  <si>
    <t>257525915</t>
  </si>
  <si>
    <t>NOMBRE RETIRA: MARCELO KLENNER A RUT RETIRA: 15096250-1</t>
  </si>
  <si>
    <t>MARCELO  ANTONIO KLENNER BARRIENTOS</t>
  </si>
  <si>
    <t>Minerales 124,casa 12, Paradero 27, Minerales 124 , casa12</t>
  </si>
  <si>
    <t>BIT11034860</t>
  </si>
  <si>
    <t>257442313</t>
  </si>
  <si>
    <t>NOMBRE RETIRA: MANICA SAN MARTIN . RUT RETIRA: 10776171-3</t>
  </si>
  <si>
    <t>ANTONIO VARAS 1070, SUPERMERCADO</t>
  </si>
  <si>
    <t>BIT11034816</t>
  </si>
  <si>
    <t>257290935</t>
  </si>
  <si>
    <t>NOMBRE RETIRA: INEZ MUNOZ CARO RUT RETIRA: 7827748-3</t>
  </si>
  <si>
    <t>RICARDO TORRES</t>
  </si>
  <si>
    <t>ANIBAL PINTO 1450</t>
  </si>
  <si>
    <t>BIT11034881</t>
  </si>
  <si>
    <t>257442222</t>
  </si>
  <si>
    <t>Tabita Mella</t>
  </si>
  <si>
    <t>caracol Villa Hernan Ascui Bellavista, Casa, 1311</t>
  </si>
  <si>
    <t>BIT11034870</t>
  </si>
  <si>
    <t>257442271</t>
  </si>
  <si>
    <t>NOMBRE RETIRA: DIEGO LARA . RUT RETIRA: 22535096-5</t>
  </si>
  <si>
    <t>Marta Carrillo</t>
  </si>
  <si>
    <t>Corel 55, Altos De Mavidahue, Casa</t>
  </si>
  <si>
    <t>BIT11034789</t>
  </si>
  <si>
    <t>257290976</t>
  </si>
  <si>
    <t>Carol Rail</t>
  </si>
  <si>
    <t>Ruta v-505 kilometro 8 Parcelacion Troncos Milenarios, Parcela 107</t>
  </si>
  <si>
    <t>BIT11034797</t>
  </si>
  <si>
    <t>257290966</t>
  </si>
  <si>
    <t>NOMBRE RETIRA: HORACIO ALARANCON M RUT RETIRA: 21383966-7</t>
  </si>
  <si>
    <t>Horacio Larrain</t>
  </si>
  <si>
    <t>Camino el Trapiche 3152, Dep 806E</t>
  </si>
  <si>
    <t>BIT11034843</t>
  </si>
  <si>
    <t>257443717</t>
  </si>
  <si>
    <t>NOMBRE RETIRA: ARISTIDES BAEZA B RUT RETIRA: 18571473-K</t>
  </si>
  <si>
    <t>Aristides Baeza Prat</t>
  </si>
  <si>
    <t>4 sur Condominio Vista San Miguel #2845 depto 278</t>
  </si>
  <si>
    <t>BIT11034867</t>
  </si>
  <si>
    <t>257442293</t>
  </si>
  <si>
    <t>NOMBRE RETIRA: MAURICIO FLORES . RUT RETIRA: 10213032-4</t>
  </si>
  <si>
    <t>Mauricio Flores</t>
  </si>
  <si>
    <t>Calle 1 Norte 993</t>
  </si>
  <si>
    <t>BIT11034795</t>
  </si>
  <si>
    <t>257291006</t>
  </si>
  <si>
    <t>NOMBRE RETIRA: GONZALO NAVARRERE . RUT RETIRA: 13386683-3</t>
  </si>
  <si>
    <t>Gonzalo Navarrete</t>
  </si>
  <si>
    <t>Los Alpes 662</t>
  </si>
  <si>
    <t>BIT11034858</t>
  </si>
  <si>
    <t>257442352</t>
  </si>
  <si>
    <t>NOMBRE RETIRA: MARIANA ARIAS H RUT RETIRA: 19946943-6</t>
  </si>
  <si>
    <t>Valentina Mercado Tapia</t>
  </si>
  <si>
    <t>Camino las Rosas 518, Depto 12 torre 3</t>
  </si>
  <si>
    <t>BIT11034861</t>
  </si>
  <si>
    <t>257442321</t>
  </si>
  <si>
    <t>NOMBRE RETIRA: TIARE CANDIA . RUT RETIRA: 53337172-8</t>
  </si>
  <si>
    <t>Cristian Almonacid</t>
  </si>
  <si>
    <t>Avenida San Sebastian 02240, Casa 43</t>
  </si>
  <si>
    <t>BIT11034796</t>
  </si>
  <si>
    <t>257290970</t>
  </si>
  <si>
    <t>NOMBRE RETIRA: DOUGLAS PETEZ . RUT RETIRA: 28594712-K</t>
  </si>
  <si>
    <t>Avenida Ohiggins 1045, Depto 807</t>
  </si>
  <si>
    <t>BIT11034855</t>
  </si>
  <si>
    <t>257442379</t>
  </si>
  <si>
    <t>Carlos Obreque Silva</t>
  </si>
  <si>
    <t>Condominio Parque La Piedra, Camino a Penco (al lado sector la greda), Casa 24</t>
  </si>
  <si>
    <t>BIT11034554</t>
  </si>
  <si>
    <t>256862957</t>
  </si>
  <si>
    <t>Liliana Diaz Meneses</t>
  </si>
  <si>
    <t>Brasilera 0253, Casa</t>
  </si>
  <si>
    <t>BIT11034880</t>
  </si>
  <si>
    <t>257442230</t>
  </si>
  <si>
    <t>NOMBRE RETIRA: MARIA DANXHEZ . RUT RETIRA: 26581631-2</t>
  </si>
  <si>
    <t>BIT11034841</t>
  </si>
  <si>
    <t>257442388</t>
  </si>
  <si>
    <t>NOMBRE RETIRA: DIAB ZEGPI . RUT RETIRA: 18805117-0</t>
  </si>
  <si>
    <t>Diabb Zegpi</t>
  </si>
  <si>
    <t>Llano Blanco 332</t>
  </si>
  <si>
    <t>BIT11034875</t>
  </si>
  <si>
    <t>257442234</t>
  </si>
  <si>
    <t>NOMBRE RETIRA: LUIS BAZAES . RUT RETIRA: 12345678-5</t>
  </si>
  <si>
    <t>Erwin Reyes Valenzuela</t>
  </si>
  <si>
    <t>Pablo Raab 752, casa 12, Lomas del Sol, 12</t>
  </si>
  <si>
    <t>BIT11034769</t>
  </si>
  <si>
    <t>257214381</t>
  </si>
  <si>
    <t>NOMBRE RETIRA: RICHARD ZEPEDA C RUT RETIRA: 12437893-1</t>
  </si>
  <si>
    <t>Enzo Rivera</t>
  </si>
  <si>
    <t>Lastarria #220, Depto 606</t>
  </si>
  <si>
    <t>2025-11-13 11:07</t>
  </si>
  <si>
    <t>BIT11034747</t>
  </si>
  <si>
    <t>257214458</t>
  </si>
  <si>
    <t>NOMBRE RETIRA: INGRID O I RUT RETIRA: 11820131-0</t>
  </si>
  <si>
    <t>Barbara Parra</t>
  </si>
  <si>
    <t>Los conquistadores 13755, Depto g21</t>
  </si>
  <si>
    <t>BIT11034711</t>
  </si>
  <si>
    <t>257214630</t>
  </si>
  <si>
    <t>NOMBRE RETIRA: ALEJANDRA BENEGAS VENEGAS RUT RETIRA: 13444386-3</t>
  </si>
  <si>
    <t>Erny Arancibia Donaire</t>
  </si>
  <si>
    <t>21 de mayo 386</t>
  </si>
  <si>
    <t>2025-11-12 11:08</t>
  </si>
  <si>
    <t>BIT11034813</t>
  </si>
  <si>
    <t>257290908</t>
  </si>
  <si>
    <t>Inmaculada Concepción 141., Local 2</t>
  </si>
  <si>
    <t>BIT11034760</t>
  </si>
  <si>
    <t>257214390</t>
  </si>
  <si>
    <t>NOMBRE RETIRA: JORGE RIVERA . RUT RETIRA: 9695264-3</t>
  </si>
  <si>
    <t>Jorge Alonso Rivera Rojas</t>
  </si>
  <si>
    <t>Barros Arana 983, Casa o local</t>
  </si>
  <si>
    <t>BIT11034812</t>
  </si>
  <si>
    <t>257290942</t>
  </si>
  <si>
    <t>NOMBRE RETIRA: JAVIER BUSTAMANTE CONSERJERIA RUT RETIRA: 12947689-3</t>
  </si>
  <si>
    <t>BIT11034821</t>
  </si>
  <si>
    <t>257290899</t>
  </si>
  <si>
    <t>NOMBRE RETIRA: MIGEL AVUM P RUT RETIRA: 9549819-1</t>
  </si>
  <si>
    <t>Miguel alejandro Almonacid hernandez</t>
  </si>
  <si>
    <t>Los chucaos 467</t>
  </si>
  <si>
    <t>BIT11034745</t>
  </si>
  <si>
    <t>257214408</t>
  </si>
  <si>
    <t>NOMBRE RETIRA: NICOLAS GUERRERO A RUT RETIRA: 17356565-8</t>
  </si>
  <si>
    <t>Ernesto Barros Gutierrez</t>
  </si>
  <si>
    <t>Freire 1456, Dpto.801</t>
  </si>
  <si>
    <t>BIT11034833</t>
  </si>
  <si>
    <t>257290861</t>
  </si>
  <si>
    <t>NOMBRE RETIRA: IVON DUARTE ... RUT RETIRA: 5698840-8</t>
  </si>
  <si>
    <t>Jairo Arias</t>
  </si>
  <si>
    <t>Avenida Matta, collico, 221</t>
  </si>
  <si>
    <t>BIT11034743</t>
  </si>
  <si>
    <t>257214478</t>
  </si>
  <si>
    <t>NOMBRE RETIRA: CARLOS ESPINOZA. . RUT RETIRA: 10525953-0</t>
  </si>
  <si>
    <t>Queule Sur 1376</t>
  </si>
  <si>
    <t>BIT11034774</t>
  </si>
  <si>
    <t>257214361</t>
  </si>
  <si>
    <t>NOMBRE RETIRA: PEDOR PAVLLEY N RUT RETIRA: 15988892-4</t>
  </si>
  <si>
    <t>Alexia Verónica Arias  Parra</t>
  </si>
  <si>
    <t>Juan currin 01690, Casa</t>
  </si>
  <si>
    <t>BIT11034718</t>
  </si>
  <si>
    <t>257214584</t>
  </si>
  <si>
    <t>NOMBRE RETIRA: GLORIA GONZALEZ . RUT RETIRA: 10278880-K</t>
  </si>
  <si>
    <t>David Santibañez</t>
  </si>
  <si>
    <t>Orosimbo barboza 4135, Casa</t>
  </si>
  <si>
    <t>BIT11034737</t>
  </si>
  <si>
    <t>257214508</t>
  </si>
  <si>
    <t>NOMBRE RETIRA: GABRIELA ROCA ROCA RUT RETIRA: 11365628-K</t>
  </si>
  <si>
    <t>Silvia Haun</t>
  </si>
  <si>
    <t>Einstein 1055, depto 307</t>
  </si>
  <si>
    <t>BIT11034738</t>
  </si>
  <si>
    <t>257214453</t>
  </si>
  <si>
    <t>NOMBRE RETIRA: LORENA HERNANDEZ . RUT RETIRA: 76669508-6</t>
  </si>
  <si>
    <t>Cristian Alberto González Esquivel</t>
  </si>
  <si>
    <t>Santa Margarita 377 interior, Casa</t>
  </si>
  <si>
    <t>BIT11034785</t>
  </si>
  <si>
    <t>257291029</t>
  </si>
  <si>
    <t>NOMBRE RETIRA: GLADYS RIDRIGUEZ TORO RUT RETIRA: 10229877-2</t>
  </si>
  <si>
    <t>ALBERTO BEITIA</t>
  </si>
  <si>
    <t>BELLO HORZONTE 733, 602-C</t>
  </si>
  <si>
    <t>BIT11034831</t>
  </si>
  <si>
    <t>257290868</t>
  </si>
  <si>
    <t>NOMBRE RETIRA: PEDRO GONZALES . RUT RETIRA: 10862709-3</t>
  </si>
  <si>
    <t>Pedro González</t>
  </si>
  <si>
    <t>6 oriente 459 casa 2</t>
  </si>
  <si>
    <t>BIT11034744</t>
  </si>
  <si>
    <t>257214492</t>
  </si>
  <si>
    <t>NOMBRE RETIRA: JACQUELINE . . RUT RETIRA: 11419963-K</t>
  </si>
  <si>
    <t>Jacqueline Torres Suazo</t>
  </si>
  <si>
    <t>Calle Las Quilas 1309, Casa</t>
  </si>
  <si>
    <t>BIT11034742</t>
  </si>
  <si>
    <t>257214506</t>
  </si>
  <si>
    <t>NOMBRE RETIRA: IGNACIO RAASCH RAASCH RUT RETIRA: 19908925-0</t>
  </si>
  <si>
    <t>Ignacio Raasch Henriquez</t>
  </si>
  <si>
    <t>diego duble urrutia pasaje c 46 villuco, casa 46</t>
  </si>
  <si>
    <t>BIT11034763</t>
  </si>
  <si>
    <t>257214386</t>
  </si>
  <si>
    <t>NOMBRE RETIRA: CAROLINA ROMERO . RUT RETIRA: 15016595-4</t>
  </si>
  <si>
    <t>Carolina Romero</t>
  </si>
  <si>
    <t>La Gruta 2558, La Gruta 2558</t>
  </si>
  <si>
    <t>BIT11034746</t>
  </si>
  <si>
    <t>257214470</t>
  </si>
  <si>
    <t>NOMBRE RETIRA: CARLOS DONOSO . RUT RETIRA: 9270247-2</t>
  </si>
  <si>
    <t>Angelica Leiva Valencia</t>
  </si>
  <si>
    <t>Juan Casas 12 Villa Las Acacias, casa</t>
  </si>
  <si>
    <t>BIT11034748</t>
  </si>
  <si>
    <t>257214416</t>
  </si>
  <si>
    <t>NOMBRE RETIRA: GONZALO TOBAR A RUT RETIRA: 20137133-3</t>
  </si>
  <si>
    <t>Gonzalo Tobar Muñoz</t>
  </si>
  <si>
    <t>Camino los ingleses 815, Departamento 1305</t>
  </si>
  <si>
    <t>BIT11034773</t>
  </si>
  <si>
    <t>257214350</t>
  </si>
  <si>
    <t>NOMBRE RETIRA: JAVIERA SOTELO SOTELO RUT RETIRA: 4914371-0</t>
  </si>
  <si>
    <t>Javiera Sotelo Vergara</t>
  </si>
  <si>
    <t>Manzanal Viejo 1671, Villa Galilea C</t>
  </si>
  <si>
    <t>BIT11034754</t>
  </si>
  <si>
    <t>257214412</t>
  </si>
  <si>
    <t>Daniela López</t>
  </si>
  <si>
    <t>Dr Manuel Rioseco 1164, Casa 33</t>
  </si>
  <si>
    <t>BIT11034809</t>
  </si>
  <si>
    <t>257290949</t>
  </si>
  <si>
    <t>NOMBRE RETIRA: CRISTIAN GUERRERO .. RUT RETIRA: 17441726-1</t>
  </si>
  <si>
    <t>Cristian Guerrero Padilla</t>
  </si>
  <si>
    <t>Pasaje uno, villa vaticano, 1144</t>
  </si>
  <si>
    <t>BIT11034782</t>
  </si>
  <si>
    <t>257214326</t>
  </si>
  <si>
    <t>NOMBRE RETIRA: BARRIO BOSQUE INGLES RUT RETIRA: 20137133-3</t>
  </si>
  <si>
    <t>Margarita Reyes</t>
  </si>
  <si>
    <t>Avda Navio San Martin 101 depto 1005 B Valparaíso</t>
  </si>
  <si>
    <t>BIT11034820</t>
  </si>
  <si>
    <t>257290904</t>
  </si>
  <si>
    <t>NOMBRE RETIRA: FRAMCO CORTES UJ RUT RETIRA: 17634311-7</t>
  </si>
  <si>
    <t>franco cortez</t>
  </si>
  <si>
    <t>calle los lucumos 1355, quillota, depto c block 21</t>
  </si>
  <si>
    <t>BIT11034827</t>
  </si>
  <si>
    <t>257290871</t>
  </si>
  <si>
    <t>NOMBRE RETIRA: NELY CONSTANZO . RUT RETIRA: 19486867-7</t>
  </si>
  <si>
    <t>BIT11034708</t>
  </si>
  <si>
    <t>257214649</t>
  </si>
  <si>
    <t>NOMBRE RETIRA: EVELYN ROZAS . RUT RETIRA: 14063618-5</t>
  </si>
  <si>
    <t>Evelyn Rozas</t>
  </si>
  <si>
    <t>Maipu 970 Sector Explanada RestorÁn DÓnde Armando, Trabajo</t>
  </si>
  <si>
    <t>2025-11-11 21:19</t>
  </si>
  <si>
    <t>BIT11034707</t>
  </si>
  <si>
    <t>257214640</t>
  </si>
  <si>
    <t>NOMBRE RETIRA: FELIPE AVILA A RUT RETIRA: 15661026-7</t>
  </si>
  <si>
    <t>Felipe Ávila Troncoso</t>
  </si>
  <si>
    <t>Estela Calderón 2669, Villa Portal de San Fernando</t>
  </si>
  <si>
    <t>BIT11034538</t>
  </si>
  <si>
    <t>256863006</t>
  </si>
  <si>
    <t>NOMBRE RETIRA: GONZALO IZARRO . RUT RETIRA: 19099457-0</t>
  </si>
  <si>
    <t>Arnaldo Pizarro Rodriguez</t>
  </si>
  <si>
    <t>Salvador Reyes 358 condominio playa la portada</t>
  </si>
  <si>
    <t>2025-11-07 21:05</t>
  </si>
  <si>
    <t>BIT11034570</t>
  </si>
  <si>
    <t>256970858</t>
  </si>
  <si>
    <t>NOMBRE RETIRA: JUAN ROMERO . RUT RETIRA: 21251455-1</t>
  </si>
  <si>
    <t>Omar Williams López</t>
  </si>
  <si>
    <t>18 de septiembre 1961., departamento 503</t>
  </si>
  <si>
    <t>BIT11034734</t>
  </si>
  <si>
    <t>257214512</t>
  </si>
  <si>
    <t>NOMBRE RETIRA: RAFAEL TOLEDO TOLEDO RUT RETIRA: 18446261-3</t>
  </si>
  <si>
    <t>Felipe Delaveau</t>
  </si>
  <si>
    <t>Avenida Koke 243, 103</t>
  </si>
  <si>
    <t>BIT11034730</t>
  </si>
  <si>
    <t>257214541</t>
  </si>
  <si>
    <t>NOMBRE RETIRA: ALICIA BOLDEN Q RUT RETIRA: 5588564-8</t>
  </si>
  <si>
    <t>Alicia Bodelon Mattensohn</t>
  </si>
  <si>
    <t>Avenida Edmundo Eluchans 1555, 131, Reñaca, dep 131</t>
  </si>
  <si>
    <t>BIT11034634</t>
  </si>
  <si>
    <t>256970460</t>
  </si>
  <si>
    <t>NOMBRE RETIRA: VICTOR REYES . RUT RETIRA: 11294862-7</t>
  </si>
  <si>
    <t>Roberto Cisternas Muñoz</t>
  </si>
  <si>
    <t>Almirante Latorre 537, Oficina 4</t>
  </si>
  <si>
    <t>BIT11034633</t>
  </si>
  <si>
    <t>256970468</t>
  </si>
  <si>
    <t>NOMBRE RETIRA: MARCELA VALENCIA 0 RUT RETIRA: 12345678-5</t>
  </si>
  <si>
    <t>Av Jaime Guzman 04600, condominio Llacolen, Casa 44</t>
  </si>
  <si>
    <t>BIT11034142</t>
  </si>
  <si>
    <t>256470119</t>
  </si>
  <si>
    <t>NOMBRE RETIRA: MIRIAM CORNEJO . RUT RETIRA: 11276160-8</t>
  </si>
  <si>
    <t>Miriam Cornejo Droguett</t>
  </si>
  <si>
    <t>Coraceros ⁠724, casa ⁠coyhaique</t>
  </si>
  <si>
    <t>2025-11-02 19:10</t>
  </si>
  <si>
    <t>BIT11034733</t>
  </si>
  <si>
    <t>257214530</t>
  </si>
  <si>
    <t>NOMBRE RETIRA: ROBSON CERAFINI J RUT RETIRA: 28360276-1</t>
  </si>
  <si>
    <t>Beatriz Garrido</t>
  </si>
  <si>
    <t>Ancahual 881, Cerro San Francisco</t>
  </si>
  <si>
    <t>BIT11034663</t>
  </si>
  <si>
    <t>257069211</t>
  </si>
  <si>
    <t>NOMBRE RETIRA: PALOMA PARRA X RUT RETIRA: 21232753-0</t>
  </si>
  <si>
    <t>Lilian Pav</t>
  </si>
  <si>
    <t>Geronimo Alderete 857 esquina Saturnino Epulef PUNTO COPEC</t>
  </si>
  <si>
    <t>BIT11034674</t>
  </si>
  <si>
    <t>257069096</t>
  </si>
  <si>
    <t>NOMBRE RETIRA: MARIA JOSE VALDIVIA X RUT RETIRA: 17973844-9</t>
  </si>
  <si>
    <t>Maria jose Valdivia herrera</t>
  </si>
  <si>
    <t>Balmaceda 758  villa el loa, Casa</t>
  </si>
  <si>
    <t>BIT11034724</t>
  </si>
  <si>
    <t>257214550</t>
  </si>
  <si>
    <t>NOMBRE RETIRA: FRANCISCO MUNOZ MUNOZ RUT RETIRA: 14559384-0</t>
  </si>
  <si>
    <t>Rodolfo Pereira Thiele</t>
  </si>
  <si>
    <t>Los Castaños 1533 edificio Junge, Concepción, Departamento 21</t>
  </si>
  <si>
    <t>BIT11034698</t>
  </si>
  <si>
    <t>257214614</t>
  </si>
  <si>
    <t>NOMBRE RETIRA: CARMEN GLORIA M RUT RETIRA: 19109789-0</t>
  </si>
  <si>
    <t>Carmen Gloria Osses Guzmán</t>
  </si>
  <si>
    <t>Avenida 101 (Entre calles Libertad y Progreso), 1374</t>
  </si>
  <si>
    <t>BIT11034679</t>
  </si>
  <si>
    <t>257069124</t>
  </si>
  <si>
    <t>NOMBRE RETIRA: RENE MUNOZ . RUT RETIRA: 13520397-1</t>
  </si>
  <si>
    <t>René Contreras Muñoz</t>
  </si>
  <si>
    <t>Orella 770, Conjunto departamentos</t>
  </si>
  <si>
    <t>BIT11034721</t>
  </si>
  <si>
    <t>257214587</t>
  </si>
  <si>
    <t>NOMBRE RETIRA: PAMELA VERA . RUT RETIRA: 12453166-7</t>
  </si>
  <si>
    <t>Daniel Silva carrasco</t>
  </si>
  <si>
    <t>Av curauma sur 1826, 182 condominio alto cutauma</t>
  </si>
  <si>
    <t>BIT11034649</t>
  </si>
  <si>
    <t>257069260</t>
  </si>
  <si>
    <t>NOMBRE RETIRA: CAROLINA FERNANDEZ 0 RUT RETIRA: 12345678-5</t>
  </si>
  <si>
    <t>María carolina Fernández Verges</t>
  </si>
  <si>
    <t>Santa Magdalena 867,coviefi, Casa</t>
  </si>
  <si>
    <t>BIT11034702</t>
  </si>
  <si>
    <t>257214638</t>
  </si>
  <si>
    <t>NOMBRE RETIRA: RUBEN FLORES .. RUT RETIRA: 19041203-2</t>
  </si>
  <si>
    <t>Ruben Flores Palma</t>
  </si>
  <si>
    <t>El lingue 4269, Casa</t>
  </si>
  <si>
    <t>BIT11034713</t>
  </si>
  <si>
    <t>257214620</t>
  </si>
  <si>
    <t>NOMBRE RETIRA: MARIA RIVAS CBEZAS RUT RETIRA: 27125720-1</t>
  </si>
  <si>
    <t>Felipe Fuentes</t>
  </si>
  <si>
    <t>Local 1 Todotec, Arturo Prat 185</t>
  </si>
  <si>
    <t>BIT11034717</t>
  </si>
  <si>
    <t>257214575</t>
  </si>
  <si>
    <t>NOMBRE RETIRA: MARIA AGUAYO ... RUT RETIRA: 9886222-6</t>
  </si>
  <si>
    <t>Gabriel Romero martinez</t>
  </si>
  <si>
    <t>Pedro mendez 722, 722</t>
  </si>
  <si>
    <t>BIT11034728</t>
  </si>
  <si>
    <t>257214558</t>
  </si>
  <si>
    <t>NOMBRE RETIRA: ROBINSON SERRANO . RUT RETIRA: 19457462-2</t>
  </si>
  <si>
    <t>Robinson Serrano</t>
  </si>
  <si>
    <t>Av Valparaíso ,01129,pueblo nuevo ,Temuco</t>
  </si>
  <si>
    <t>BIT11034607</t>
  </si>
  <si>
    <t>256970585</t>
  </si>
  <si>
    <t>NOMBRE RETIRA: VICTOR RIQUELME . RUT RETIRA: 19457462-2</t>
  </si>
  <si>
    <t>Víctor Riquelme</t>
  </si>
  <si>
    <t>Valparaíso 291, Dpto 302 cerro alegre</t>
  </si>
  <si>
    <t>BIT11034606</t>
  </si>
  <si>
    <t>256970569</t>
  </si>
  <si>
    <t>NOMBRE RETIRA: ROBERTO JARA . RUT RETIRA: 11111111-1</t>
  </si>
  <si>
    <t>Roberto Jara</t>
  </si>
  <si>
    <t>10 1/2 norte 4030, Portones de las Rastras</t>
  </si>
  <si>
    <t>BIT11034631</t>
  </si>
  <si>
    <t>256970457</t>
  </si>
  <si>
    <t>NOMBRE RETIRA: INGRID CONTRERAS . RUT RETIRA: 13135050-3</t>
  </si>
  <si>
    <t>Angelo Jerez</t>
  </si>
  <si>
    <t>Avda. La Foresta 210, San Pedro De La Paz 210 210 210 210 210 210, 210, 210</t>
  </si>
  <si>
    <t>BIT11034594</t>
  </si>
  <si>
    <t>256970719</t>
  </si>
  <si>
    <t>marco cornejo</t>
  </si>
  <si>
    <t>Chile, Av. Sicilia 4238a</t>
  </si>
  <si>
    <t>BIT11034670</t>
  </si>
  <si>
    <t>257069145</t>
  </si>
  <si>
    <t>NOMBRE RETIRA: CRISTIAN ALVAREZ .. RUT RETIRA: 17066112-5</t>
  </si>
  <si>
    <t>Cristian Alvarez</t>
  </si>
  <si>
    <t>Buenos Aires 830, 830</t>
  </si>
  <si>
    <t>BIT11034693</t>
  </si>
  <si>
    <t>257069102</t>
  </si>
  <si>
    <t>NOMBRE RETIRA: MAURICIO . . RUT RETIRA: 53310370-7</t>
  </si>
  <si>
    <t>EDUARDO GUZMAN</t>
  </si>
  <si>
    <t>Avenida Martín Lutero 03006, 105</t>
  </si>
  <si>
    <t>BIT11034658</t>
  </si>
  <si>
    <t>257069220</t>
  </si>
  <si>
    <t>NOMBRE RETIRA: BETABE ALARCON . RUT RETIRA: 65170374-3</t>
  </si>
  <si>
    <t>Alex GarcíaHuidobro Ortiz</t>
  </si>
  <si>
    <t>Bombero Fuentes 27 depto 1402, Depto 1402</t>
  </si>
  <si>
    <t>BIT11034696</t>
  </si>
  <si>
    <t>257069066</t>
  </si>
  <si>
    <t>NOMBRE RETIRA: JUAN CARLOS RODRIGUEZ X RUT RETIRA: 5944923-0</t>
  </si>
  <si>
    <t>Antonieta Perez</t>
  </si>
  <si>
    <t>Almacen El Esfuerzo, Avenida Estadio 3342 Tome, Concepcion</t>
  </si>
  <si>
    <t>BIT11034603</t>
  </si>
  <si>
    <t>256970649</t>
  </si>
  <si>
    <t>NOMBRE RETIRA: ANA NARVAEZ ... GOMEZ RUT RETIRA: 9886222-6</t>
  </si>
  <si>
    <t>Lorena Peña Narváez</t>
  </si>
  <si>
    <t>Hilanderos 212, Condominio cerrado tocar citofono 212</t>
  </si>
  <si>
    <t>BIT11034588</t>
  </si>
  <si>
    <t>256970766</t>
  </si>
  <si>
    <t>NOMBRE RETIRA: CECILIA GARCIA . RUT RETIRA: 16769447-0</t>
  </si>
  <si>
    <t>Cecilia García Esquivel</t>
  </si>
  <si>
    <t>Granaderos 3698, Cesfam donde trabajo</t>
  </si>
  <si>
    <t>BIT11034575</t>
  </si>
  <si>
    <t>256970796</t>
  </si>
  <si>
    <t>NOMBRE RETIRA: KAREN MORENO 0 RUT RETIRA: 12345678-5</t>
  </si>
  <si>
    <t>Carmen Campos</t>
  </si>
  <si>
    <t>Av. Jaime Guzmán Errázuriz 04824, Antofagasta, Chile, depto 801.</t>
  </si>
  <si>
    <t>BIT11034600</t>
  </si>
  <si>
    <t>256970635</t>
  </si>
  <si>
    <t>NOMBRE RETIRA: FELIX HIDALGO H RUT RETIRA: 17989081-K</t>
  </si>
  <si>
    <t>Félix Hidalgo Barrientos</t>
  </si>
  <si>
    <t>Avenida Francia 330, Departamento 122</t>
  </si>
  <si>
    <t>BIT11034568</t>
  </si>
  <si>
    <t>256970865</t>
  </si>
  <si>
    <t>NOMBRE RETIRA: MILDRED OROZCO . RUT RETIRA: 24760528-2</t>
  </si>
  <si>
    <t>Rocio trinidad Argandoña vargas</t>
  </si>
  <si>
    <t>General velasquez 956, 14B</t>
  </si>
  <si>
    <t>BIT11034636</t>
  </si>
  <si>
    <t>256970433</t>
  </si>
  <si>
    <t>NOMBRE RETIRA: VICTORIA SALINAS . RUT RETIRA: 5838484-4</t>
  </si>
  <si>
    <t>STOJAN MILIVOJEVIC</t>
  </si>
  <si>
    <t>Los Girasoles 4973 Valle Volcanes</t>
  </si>
  <si>
    <t>BIT11034627</t>
  </si>
  <si>
    <t>256970471</t>
  </si>
  <si>
    <t>NOMBRE RETIRA: NATALIA GONZALEZ . RUT RETIRA: 16120065-4</t>
  </si>
  <si>
    <t>Natalia Gonzalez</t>
  </si>
  <si>
    <t>Las tortolas, 40</t>
  </si>
  <si>
    <t>BIT11034662</t>
  </si>
  <si>
    <t>257069189</t>
  </si>
  <si>
    <t>NOMBRE RETIRA: GABRIEL AGUIRRE AGUIRRE RUT RETIRA: 12617701-1</t>
  </si>
  <si>
    <t>Gabriel Aguirre</t>
  </si>
  <si>
    <t>Ricardo A. Vallejos 521, 1530000 Copiapó, Atacama, Chile, casa 5</t>
  </si>
  <si>
    <t>BIT11034611</t>
  </si>
  <si>
    <t>256970579</t>
  </si>
  <si>
    <t>NOMBRE RETIRA: MONICA ASPILLAGA . RUT RETIRA: 7059595-8</t>
  </si>
  <si>
    <t>MONICA Aspillaga fajardo</t>
  </si>
  <si>
    <t>Calafquen 58 B Los Pinos Reñaca, Casa</t>
  </si>
  <si>
    <t>BIT11034622</t>
  </si>
  <si>
    <t>256970525</t>
  </si>
  <si>
    <t>NOMBRE RETIRA: SOLANGE OSSANDON . RUT RETIRA: 20321750-1</t>
  </si>
  <si>
    <t>Miguel Aparicio</t>
  </si>
  <si>
    <t>Camino Antuco Km 3 Condominio 7Rios, Casa 20</t>
  </si>
  <si>
    <t>BIT11034695</t>
  </si>
  <si>
    <t>257069074</t>
  </si>
  <si>
    <t>NOMBRE RETIRA: LILIANA FIGEROA . RUT RETIRA: 13160291-K</t>
  </si>
  <si>
    <t>liliana romina figueroa salgado</t>
  </si>
  <si>
    <t>Sector Alto, Pasaje Tito Fernández 1573</t>
  </si>
  <si>
    <t>BIT11034673</t>
  </si>
  <si>
    <t>257069159</t>
  </si>
  <si>
    <t>NOMBRE RETIRA: JUDITH DIAZ . RUT RETIRA: 19109789-0</t>
  </si>
  <si>
    <t>Alvaro López Díaz</t>
  </si>
  <si>
    <t>Bergantin Aquiles, 460</t>
  </si>
  <si>
    <t>BIT11034660</t>
  </si>
  <si>
    <t>257069154</t>
  </si>
  <si>
    <t>NOMBRE RETIRA: MAURI GOMEZ . RUT RETIRA: 22316801-9</t>
  </si>
  <si>
    <t>Ricardo Brio</t>
  </si>
  <si>
    <t>Los Fundadores 180, Depto G-13</t>
  </si>
  <si>
    <t>BIT11034597</t>
  </si>
  <si>
    <t>256970589</t>
  </si>
  <si>
    <t>NOMBRE RETIRA: PATRICII FLORES FLORES RUT RETIRA: 18403577-4</t>
  </si>
  <si>
    <t>Patricio Flores</t>
  </si>
  <si>
    <t>Yerbas Buenas 280, Daviu Estudio Juridico</t>
  </si>
  <si>
    <t>BIT11034639</t>
  </si>
  <si>
    <t>256970425</t>
  </si>
  <si>
    <t>NOMBRE RETIRA: MANUEL WOLDARKY . RUT RETIRA: 53312087-3</t>
  </si>
  <si>
    <t>Derek Needham</t>
  </si>
  <si>
    <t>El Mirador, C 14</t>
  </si>
  <si>
    <t>BIT11034667</t>
  </si>
  <si>
    <t>257069207</t>
  </si>
  <si>
    <t>NOMBRE RETIRA: ESTEBAN GODOY N RUT RETIRA: 53331607-7</t>
  </si>
  <si>
    <t>Ricardo Puebla Arce</t>
  </si>
  <si>
    <t>Estero Maitenlahue 935, Depto 501</t>
  </si>
  <si>
    <t>BIT11034680</t>
  </si>
  <si>
    <t>257069086</t>
  </si>
  <si>
    <t>NOMBRE RETIRA: JUAN PALTA . RUT RETIRA: 14401009-4</t>
  </si>
  <si>
    <t>Juan Palta</t>
  </si>
  <si>
    <t>Hernan olivares 907, Casa</t>
  </si>
  <si>
    <t>BIT11034605</t>
  </si>
  <si>
    <t>256970625</t>
  </si>
  <si>
    <t>NOMBRE RETIRA: CLUDIO GIAJATDO P RUT RETIRA: 13251609-K</t>
  </si>
  <si>
    <t>Claudio Guajardo</t>
  </si>
  <si>
    <t>Cerro Cordillera ValparaÍso, Subida Cementerio 300, Playa Ancha Valparaíso</t>
  </si>
  <si>
    <t>BIT11034604</t>
  </si>
  <si>
    <t>256970611</t>
  </si>
  <si>
    <t>NOMBRE RETIRA: SEBASTIAN PAVEZ . RUT RETIRA: 18296717-3</t>
  </si>
  <si>
    <t>Ricardo Chamorro Otto</t>
  </si>
  <si>
    <t>Uno Norte 801, Piso 8</t>
  </si>
  <si>
    <t>BIT11034621</t>
  </si>
  <si>
    <t>256970527</t>
  </si>
  <si>
    <t>NOMBRE RETIRA: SONIA VERGARA J RUT RETIRA: 9800010-0</t>
  </si>
  <si>
    <t>Marco Zamora Fabres</t>
  </si>
  <si>
    <t>Premio Nobel, pasaje Coplas, 825</t>
  </si>
  <si>
    <t>BIT11034614</t>
  </si>
  <si>
    <t>256970534</t>
  </si>
  <si>
    <t>NOMBRE RETIRA: VIRGINIO RIFO . RUT RETIRA: 4436624-K</t>
  </si>
  <si>
    <t>Pasaje San Benito, 356</t>
  </si>
  <si>
    <t>BIT11034599</t>
  </si>
  <si>
    <t>256970680</t>
  </si>
  <si>
    <t>NOMBRE RETIRA: ALEJANDRA VERTI . RUT RETIRA: 19109789-0</t>
  </si>
  <si>
    <t>Felix Serrano</t>
  </si>
  <si>
    <t>EstaciÓn De Servicio Copec, 8 Oriente 750</t>
  </si>
  <si>
    <t>BIT11034685</t>
  </si>
  <si>
    <t>257069083</t>
  </si>
  <si>
    <t>NOMBRE RETIRA: PABLO ESCOBAR . RUT RETIRA: 15945391-K</t>
  </si>
  <si>
    <t>Jorge González</t>
  </si>
  <si>
    <t>Esperanza 775, Departamento 17 torre 2</t>
  </si>
  <si>
    <t>BIT11034659</t>
  </si>
  <si>
    <t>257069218</t>
  </si>
  <si>
    <t>NOMBRE RETIRA: DALILA CRDA RIVERO RUT RETIRA: 7639715-5</t>
  </si>
  <si>
    <t>Dalila Seda Rivera</t>
  </si>
  <si>
    <t>Pasaje Acrux 270 Bahia Azul</t>
  </si>
  <si>
    <t>BIT11034628</t>
  </si>
  <si>
    <t>256970496</t>
  </si>
  <si>
    <t>NOMBRE RETIRA: ANTONIA FERNANDEZ . RUT RETIRA: 22181249-2</t>
  </si>
  <si>
    <t>Antonia Fernández Ramírez</t>
  </si>
  <si>
    <t>VILLA EL AROMO, LOS OLIVOS #112, Casa naranja</t>
  </si>
  <si>
    <t>BIT11034644</t>
  </si>
  <si>
    <t>256970367</t>
  </si>
  <si>
    <t>NOMBRE RETIRA: ELIZSBET BASCUNAN QUINTANA RUT RETIRA: 21544279-9</t>
  </si>
  <si>
    <t>Elizabeth Bascuñan Quilaqueo</t>
  </si>
  <si>
    <t>Pasaje Puerta Del Sol 3507</t>
  </si>
  <si>
    <t>BIT11034608</t>
  </si>
  <si>
    <t>256970587</t>
  </si>
  <si>
    <t>NOMBRE RETIRA: JOSE CASTRO .. RUT RETIRA: 12938566-9</t>
  </si>
  <si>
    <t>Alfredo Vargas</t>
  </si>
  <si>
    <t>Vega Sur Parcela 69. Ruta 5 Norte., Supermercado Jumbo La Serena</t>
  </si>
  <si>
    <t>BIT11034566</t>
  </si>
  <si>
    <t>256970898</t>
  </si>
  <si>
    <t>NOMBRE RETIRA: ANDREA FRANCO . RUT RETIRA: 8727709-7</t>
  </si>
  <si>
    <t>Jorge Ramirez</t>
  </si>
  <si>
    <t>Avenida Cerro Paranal 380, depto 173 B</t>
  </si>
  <si>
    <t>BIT11034529</t>
  </si>
  <si>
    <t>256863023</t>
  </si>
  <si>
    <t>NOMBRE RETIRA: GABRIEL MUNOZ X RUT RETIRA: 16651005-8</t>
  </si>
  <si>
    <t>Guillermo Gabriel Muñoz Castellón</t>
  </si>
  <si>
    <t>Camilo Henríquez 552, oficina 202</t>
  </si>
  <si>
    <t>BIT11034596</t>
  </si>
  <si>
    <t>256970687</t>
  </si>
  <si>
    <t>NOMBRE RETIRA: PAULINA GUTIERREZ . RUT RETIRA: 15219261-4</t>
  </si>
  <si>
    <t>BIT11034563</t>
  </si>
  <si>
    <t>256970813</t>
  </si>
  <si>
    <t>NOMBRE RETIRA: GABRIELA ORELLANA . . RUT RETIRA: 18521121-5</t>
  </si>
  <si>
    <t>Patricia Dornemann</t>
  </si>
  <si>
    <t>Adolfo Valenzuela 1224, 1224, 1224, 1224</t>
  </si>
  <si>
    <t>BIT11034571</t>
  </si>
  <si>
    <t>256970844</t>
  </si>
  <si>
    <t>NOMBRE RETIRA: JAVIERA SANDOVAL . RUT RETIRA: 20214896-4</t>
  </si>
  <si>
    <t>Leonardo Collao Fernández</t>
  </si>
  <si>
    <t>Quebrada Dulce 3260 Quilpué, Casa esquina</t>
  </si>
  <si>
    <t>BIT11034589</t>
  </si>
  <si>
    <t>256970713</t>
  </si>
  <si>
    <t>NOMBRE RETIRA: PRICILA CUELLO C RUT RETIRA: 15029747-8</t>
  </si>
  <si>
    <t>Floristería Gajardo</t>
  </si>
  <si>
    <t>Los aromos  2479 copiapo, Casa</t>
  </si>
  <si>
    <t>BIT11034576</t>
  </si>
  <si>
    <t>256970823</t>
  </si>
  <si>
    <t>NOMBRE RETIRA: ALEX FARIAS F RUT RETIRA: 14323772-9</t>
  </si>
  <si>
    <t>Alex Farias</t>
  </si>
  <si>
    <t>Copiapó, Chile pasaje Acacio 162 villa Codelco</t>
  </si>
  <si>
    <t>BIT11034572</t>
  </si>
  <si>
    <t>256970755</t>
  </si>
  <si>
    <t>Mauro Patricio Aguayo Gonzalez</t>
  </si>
  <si>
    <t>Los Reyes 560, Depto 708</t>
  </si>
  <si>
    <t>BIT11034541</t>
  </si>
  <si>
    <t>256862987</t>
  </si>
  <si>
    <t>NOMBRE RETIRA: MARCELA . . RUT RETIRA: 13178591-7</t>
  </si>
  <si>
    <t>Claudia Aranibar</t>
  </si>
  <si>
    <t>Oficina Lastenia 11975, H54</t>
  </si>
  <si>
    <t>BIT11034075</t>
  </si>
  <si>
    <t>256287724</t>
  </si>
  <si>
    <t>NOMBRE RETIRA: MARIA SANHUEZA . RUT RETIRA: 6339135-2</t>
  </si>
  <si>
    <t>Maria Victoria Sanhueza hidalgo</t>
  </si>
  <si>
    <t>Ignacio Serrano 857, Casa</t>
  </si>
  <si>
    <t>2025-10-29 23:23</t>
  </si>
  <si>
    <t>BIT11034585</t>
  </si>
  <si>
    <t>256970781</t>
  </si>
  <si>
    <t>NOMBRE RETIRA: TABITA MELLA X RUT RETIRA: 9648148-9</t>
  </si>
  <si>
    <t>Casa, Caracol 1311 Villa Hernan Ascui Bellavista</t>
  </si>
  <si>
    <t>BIT11034466</t>
  </si>
  <si>
    <t>256713515</t>
  </si>
  <si>
    <t>NOMBRE RETIRA: ROXANA FAUNDEZ X RUT RETIRA: 12729795-9</t>
  </si>
  <si>
    <t>Jean Cedeño</t>
  </si>
  <si>
    <t>Los nogales 1063. condominio aleman., Casa i. Barrio Bellavista Tomé</t>
  </si>
  <si>
    <t>BIT11034553</t>
  </si>
  <si>
    <t>256862999</t>
  </si>
  <si>
    <t>NOMBRE RETIRA: KATERIME KRAUSE . RUT RETIRA: 19962488-1</t>
  </si>
  <si>
    <t>Eugenia Rodriguez</t>
  </si>
  <si>
    <t>Parque Husamontt Parcela 20</t>
  </si>
  <si>
    <t>BIT11034587</t>
  </si>
  <si>
    <t>256970772</t>
  </si>
  <si>
    <t>DECIO MONTRONI PLAZAOLA</t>
  </si>
  <si>
    <t>Los Carpinteros 1260, Barrio Industrial</t>
  </si>
  <si>
    <t>BIT11034474</t>
  </si>
  <si>
    <t>256793993</t>
  </si>
  <si>
    <t>La rivera sur 120, 120</t>
  </si>
  <si>
    <t>2025-11-06 21:18</t>
  </si>
  <si>
    <t>BIT11034205</t>
  </si>
  <si>
    <t>256469857</t>
  </si>
  <si>
    <t>NOMBRE RETIRA: JUAN VARGAS . RUT RETIRA: 14313159-9</t>
  </si>
  <si>
    <t>Astrid Garrido</t>
  </si>
  <si>
    <t>Bilbao 770, Depto. 602</t>
  </si>
  <si>
    <t>2025-11-02 19:11</t>
  </si>
  <si>
    <t>BIT11034135</t>
  </si>
  <si>
    <t>256470216</t>
  </si>
  <si>
    <t>NOMBRE RETIRA: JORGE BUSTOS GALLARDO RUT RETIRA: 7696968-K</t>
  </si>
  <si>
    <t>Jorge Bustos Gallardo</t>
  </si>
  <si>
    <t>Lorenzo Bondallaz 01236, Villa Cervinia</t>
  </si>
  <si>
    <t>BIT11034548</t>
  </si>
  <si>
    <t>256863002</t>
  </si>
  <si>
    <t>NOMBRE RETIRA: CECILIA ROJAS . RUT RETIRA: 10878851-8</t>
  </si>
  <si>
    <t>Queule Sur 1376, Casa</t>
  </si>
  <si>
    <t>BIT11034530</t>
  </si>
  <si>
    <t>256863038</t>
  </si>
  <si>
    <t>NOMBRE RETIRA: MARGOT PRADO . RUT RETIRA: 7998407-8</t>
  </si>
  <si>
    <t>Ulises Israel Brito Prado</t>
  </si>
  <si>
    <t>Pdte. Arturo Alessandri 1040, 1720296 La Serena, Coquimbo, 1040</t>
  </si>
  <si>
    <t>BIT11034535</t>
  </si>
  <si>
    <t>256862995</t>
  </si>
  <si>
    <t>NOMBRE RETIRA: JENIFER SANTIBANEZ . RUT RETIRA: 26076095-5</t>
  </si>
  <si>
    <t>Jennifer santibañez</t>
  </si>
  <si>
    <t>Avenida del mar 2900, 303</t>
  </si>
  <si>
    <t>BIT11034533</t>
  </si>
  <si>
    <t>256863017</t>
  </si>
  <si>
    <t>NOMBRE RETIRA: SUSAN VASQUEZ . RUT RETIRA: 16288936-2</t>
  </si>
  <si>
    <t>Amalia Vasquez</t>
  </si>
  <si>
    <t>Macal 3 Rural Pasaje 2 El MelÓn Comuna Nogales</t>
  </si>
  <si>
    <t>BIT11034547</t>
  </si>
  <si>
    <t>256863003</t>
  </si>
  <si>
    <t>NOMBRE RETIRA: LEONARDO MONCADA . RUT RETIRA: 21201432-K</t>
  </si>
  <si>
    <t>Lorena Retamal</t>
  </si>
  <si>
    <t>Los piñones 40, Casa 61</t>
  </si>
  <si>
    <t>BIT11034543</t>
  </si>
  <si>
    <t>256862985</t>
  </si>
  <si>
    <t>NOMBRE RETIRA: MICHEL MUNOZ -- RUT RETIRA: 16639957-2</t>
  </si>
  <si>
    <t>Michel Muñoz</t>
  </si>
  <si>
    <t>Carlos Isamitt 3145</t>
  </si>
  <si>
    <t>BIT11034505</t>
  </si>
  <si>
    <t>256793915</t>
  </si>
  <si>
    <t>NOMBRE RETIRA: LUSI PARADA M RUT RETIRA: 12990878-5</t>
  </si>
  <si>
    <t>Camino Villarrica a Pucón Kmt 22,5, Condominio Amulafquen</t>
  </si>
  <si>
    <t>BIT11034391</t>
  </si>
  <si>
    <t>256713702</t>
  </si>
  <si>
    <t>NOMBRE RETIRA: FRANCO FERNANDEZ . RUT RETIRA: 18332651-1</t>
  </si>
  <si>
    <t>Franco Fernández Jeldres</t>
  </si>
  <si>
    <t>Pasaje Ecuador #288, Cerro Yungay, Valparaíso, casa</t>
  </si>
  <si>
    <t>BIT11034480</t>
  </si>
  <si>
    <t>256793981</t>
  </si>
  <si>
    <t>NOMBRE RETIRA: ERWIN NAVARRO . RUT RETIRA: 13731485-1</t>
  </si>
  <si>
    <t>Erwin Torres</t>
  </si>
  <si>
    <t>Pasaje el rauli 121 villa Quilen, Casa</t>
  </si>
  <si>
    <t>BIT11034365</t>
  </si>
  <si>
    <t>256713790</t>
  </si>
  <si>
    <t>NOMBRE RETIRA: CAROLINA BUSTAMANTE . RUT RETIRA: 16994655-8</t>
  </si>
  <si>
    <t>Javier Cares</t>
  </si>
  <si>
    <t>Parque Westfalia II</t>
  </si>
  <si>
    <t>2025-11-04 21:10</t>
  </si>
  <si>
    <t>BIT11034435</t>
  </si>
  <si>
    <t>256713589</t>
  </si>
  <si>
    <t>NOMBRE RETIRA: ALVARO RIQUELME X ENC DE NELSON RODR RUT RETIRA: 18901220-9</t>
  </si>
  <si>
    <t>Jacqueline Valenzuela</t>
  </si>
  <si>
    <t>Avda Pedro de Valdivia 0320, ex fundar frente a lla carcel</t>
  </si>
  <si>
    <t>2025-11-05 21:07</t>
  </si>
  <si>
    <t>BIT11034518</t>
  </si>
  <si>
    <t>256793866</t>
  </si>
  <si>
    <t>NOMBRE RETIRA: SUSANA TAPIA . RUT RETIRA: 19425319-2</t>
  </si>
  <si>
    <t>susana tapia ravanal</t>
  </si>
  <si>
    <t>embalse el yeso 4827 parque las amapolas, casa</t>
  </si>
  <si>
    <t>BIT11034502</t>
  </si>
  <si>
    <t>256793887</t>
  </si>
  <si>
    <t>NOMBRE RETIRA: ROBERTO CERRO . RUT RETIRA: 17187571-4</t>
  </si>
  <si>
    <t>Roberto Cerro Cerro</t>
  </si>
  <si>
    <t>Hamburgo 3223, Portón de madera cafe</t>
  </si>
  <si>
    <t>BIT11034519</t>
  </si>
  <si>
    <t>256793874</t>
  </si>
  <si>
    <t>NOMBRE RETIRA: NELSON ARAYA 0 RUT RETIRA: 12345678-5</t>
  </si>
  <si>
    <t>Nelson Araya</t>
  </si>
  <si>
    <t>11 de septiembre 178, Departamento  612</t>
  </si>
  <si>
    <t>BIT11034482</t>
  </si>
  <si>
    <t>256793990</t>
  </si>
  <si>
    <t>NOMBRE RETIRA: SERGIO GONZALEZ . RUT RETIRA: 7072386-7</t>
  </si>
  <si>
    <t>Rossana Pavié Monsslve</t>
  </si>
  <si>
    <t>Los arrayanes 390 condominio teja sur dep 502 torre A, Departamento 502 torre A</t>
  </si>
  <si>
    <t>BIT11034486</t>
  </si>
  <si>
    <t>256793998</t>
  </si>
  <si>
    <t>NOMBRE RETIRA: FRESIL LAGOS N RUT RETIRA: 14267814-4</t>
  </si>
  <si>
    <t>Patricio Salgado González</t>
  </si>
  <si>
    <t>Yerbas Buenas 351, Depto 404</t>
  </si>
  <si>
    <t>BIT11034487</t>
  </si>
  <si>
    <t>256794002</t>
  </si>
  <si>
    <t>NOMBRE RETIRA: CARLOS AILEO AILEO RUT RETIRA: 15224099-6</t>
  </si>
  <si>
    <t>AMPARO RUBIO</t>
  </si>
  <si>
    <t>Los castaños 1505, 801</t>
  </si>
  <si>
    <t>BIT11034456</t>
  </si>
  <si>
    <t>256713516</t>
  </si>
  <si>
    <t>NOMBRE RETIRA: AMAR ZULETA . RUT RETIRA: 16183272-3</t>
  </si>
  <si>
    <t>Omar Zuleta Rojas</t>
  </si>
  <si>
    <t>Pasaje volcán Putana 663</t>
  </si>
  <si>
    <t>BIT11034341</t>
  </si>
  <si>
    <t>256566702</t>
  </si>
  <si>
    <t>NOMBRE RETIRA: MIGUEL CASANOVA C RUT RETIRA: 15479321-6</t>
  </si>
  <si>
    <t>Miguel Ángel Casanova Vega</t>
  </si>
  <si>
    <t>Heroes del Morro 526, Casa</t>
  </si>
  <si>
    <t>BIT11034496</t>
  </si>
  <si>
    <t>256793951</t>
  </si>
  <si>
    <t>NOMBRE RETIRA: CARLOS . M RUT RETIRA: 26381732-K</t>
  </si>
  <si>
    <t>Carlos Medina</t>
  </si>
  <si>
    <t>Santo Domingo 84, Estacionamiento</t>
  </si>
  <si>
    <t>BIT11034371</t>
  </si>
  <si>
    <t>256713786</t>
  </si>
  <si>
    <t>NOMBRE RETIRA: DIEGO SANHUEZA CARRILLO RUT RETIRA: 17982826-K</t>
  </si>
  <si>
    <t>diego sanhueza carrillo</t>
  </si>
  <si>
    <t>sargento aldea 249</t>
  </si>
  <si>
    <t>BIT11034523</t>
  </si>
  <si>
    <t>256793852</t>
  </si>
  <si>
    <t>NOMBRE RETIRA: CARLOS NOVOA N RUT RETIRA: 53331607-7</t>
  </si>
  <si>
    <t>Cristian Granada</t>
  </si>
  <si>
    <t>Lago Zenteno 1211 Condominio Vista Horizonte, Dpto 1101</t>
  </si>
  <si>
    <t>BIT11034491</t>
  </si>
  <si>
    <t>256793937</t>
  </si>
  <si>
    <t>NOMBRE RETIRA: CRISTIAN CORTES PEREZ RUT RETIRA: 13577795-1</t>
  </si>
  <si>
    <t>Cristian Cortes pereira</t>
  </si>
  <si>
    <t>Villa san Miguel de Arcángel. Pasaje Castilla 1358 Chillán, Casa</t>
  </si>
  <si>
    <t>BIT11034504</t>
  </si>
  <si>
    <t>256793922</t>
  </si>
  <si>
    <t>NOMBRE RETIRA: HECTOR VILCHES . RUT RETIRA: 17625970-1</t>
  </si>
  <si>
    <t>Hector Vilches Guzman</t>
  </si>
  <si>
    <t>Gregorio de la fuente 4117, el milagro calle cerrada, El milagro</t>
  </si>
  <si>
    <t>BIT11034521</t>
  </si>
  <si>
    <t>256793899</t>
  </si>
  <si>
    <t>NOMBRE RETIRA: CONDINIO LO ARAYAN CONSEJW . RUT RETIRA: 53332921-7</t>
  </si>
  <si>
    <t>Erwin Urrutia</t>
  </si>
  <si>
    <t>Valle Del Paraíso 2907,, F 404</t>
  </si>
  <si>
    <t>BIT11034484</t>
  </si>
  <si>
    <t>256793969</t>
  </si>
  <si>
    <t>María Loreto Baeza Cisterna</t>
  </si>
  <si>
    <t>Teniente Riquelme, 2975</t>
  </si>
  <si>
    <t>BIT11034516</t>
  </si>
  <si>
    <t>256793884</t>
  </si>
  <si>
    <t>NOMBRE RETIRA: GABRIELA ROMERO ... RUT RETIRA: 9886222-6</t>
  </si>
  <si>
    <t>Gabriela Romero</t>
  </si>
  <si>
    <t>Pedro mendez 722, Rucatremu</t>
  </si>
  <si>
    <t>BIT11034305</t>
  </si>
  <si>
    <t>256566830</t>
  </si>
  <si>
    <t>NOMBRE RETIRA: HERNAN PEREZ P RUT RETIRA: 18827085-9</t>
  </si>
  <si>
    <t>Hernan Perez</t>
  </si>
  <si>
    <t>Pasaje Jorge Alvear Urrutia Sur 3135</t>
  </si>
  <si>
    <t>BIT11034300</t>
  </si>
  <si>
    <t>256566881</t>
  </si>
  <si>
    <t>NOMBRE RETIRA: GLADYS GRANADOS . RUT RETIRA: 8727709-7</t>
  </si>
  <si>
    <t>Luis Patricio Rivera Gonzalez</t>
  </si>
  <si>
    <t>Cerro Paranal 515, Pontos 163, Pontos 163</t>
  </si>
  <si>
    <t>BIT11034293</t>
  </si>
  <si>
    <t>256566887</t>
  </si>
  <si>
    <t>NOMBRE RETIRA: DAVID RIOSECO . RUT RETIRA: 13957520-2</t>
  </si>
  <si>
    <t>David Rioseco</t>
  </si>
  <si>
    <t>Oscar Bonilla Parcela 17, Lote 19</t>
  </si>
  <si>
    <t>BIT11034140</t>
  </si>
  <si>
    <t>256470149</t>
  </si>
  <si>
    <t>NOMBRE RETIRA: DANNY SALINA . RUT RETIRA: 12345678-5</t>
  </si>
  <si>
    <t>Danny Eduardo Salinas Hidalgo</t>
  </si>
  <si>
    <t>Sotomayor  415, depto 1703</t>
  </si>
  <si>
    <t>BIT11034394</t>
  </si>
  <si>
    <t>256713682</t>
  </si>
  <si>
    <t>NOMBRE RETIRA: MARIA AGUILERA GUZMAN RUT RETIRA: 14060592-1</t>
  </si>
  <si>
    <t>Maria teresa Aguilera guzman</t>
  </si>
  <si>
    <t>Madrigal 212, Casa</t>
  </si>
  <si>
    <t>BIT11034230</t>
  </si>
  <si>
    <t>256469759</t>
  </si>
  <si>
    <t>NOMBRE RETIRA: ALVARO CASTILLO P RUT RETIRA: 14259020-4</t>
  </si>
  <si>
    <t>Alvaro Castillo</t>
  </si>
  <si>
    <t>Pedro Antonio González  0227, Departamento 13</t>
  </si>
  <si>
    <t>BIT11034424</t>
  </si>
  <si>
    <t>256713597</t>
  </si>
  <si>
    <t>NOMBRE RETIRA: VALENTINA CARDENAS . RUT RETIRA: 17042270-8</t>
  </si>
  <si>
    <t>Valentina Cárdenas Palma</t>
  </si>
  <si>
    <t>Avenida Ignacio Collao 1699</t>
  </si>
  <si>
    <t>BIT11034393</t>
  </si>
  <si>
    <t>256713654</t>
  </si>
  <si>
    <t>NOMBRE RETIRA: MARIA CONTRERAS . RUT RETIRA: 12576054-6</t>
  </si>
  <si>
    <t>Pedro ortiz ortiz cortes</t>
  </si>
  <si>
    <t>los arrayanes 413 la serena, casa</t>
  </si>
  <si>
    <t>BIT11034280</t>
  </si>
  <si>
    <t>256469501</t>
  </si>
  <si>
    <t>NOMBRE RETIRA: MIGUEL AZCUETA . RUT RETIRA: 12613512-2</t>
  </si>
  <si>
    <t>Miguel Ascueta</t>
  </si>
  <si>
    <t>Avenida ichcu 351</t>
  </si>
  <si>
    <t>2025-11-02 19:12</t>
  </si>
  <si>
    <t>BIT11034441</t>
  </si>
  <si>
    <t>256713554</t>
  </si>
  <si>
    <t>NOMBRE RETIRA: SERGIO AHUMADA . RUT RETIRA: 18658689-1</t>
  </si>
  <si>
    <t>Sergio Ariel Ahumada Ramos</t>
  </si>
  <si>
    <t>Los Almendros pasaje 14 casa 468, 468</t>
  </si>
  <si>
    <t>BIT11034396</t>
  </si>
  <si>
    <t>256713649</t>
  </si>
  <si>
    <t>NOMBRE RETIRA: DANIEL GONZALEZ . RUT RETIRA: 20521937-4</t>
  </si>
  <si>
    <t>Daniel González Hernández</t>
  </si>
  <si>
    <t>Avenida San Martín 563, 4-N</t>
  </si>
  <si>
    <t>BIT11034375</t>
  </si>
  <si>
    <t>256713759</t>
  </si>
  <si>
    <t>NOMBRE RETIRA: SERGIO TOPASO A RUT RETIRA: 12181410-2</t>
  </si>
  <si>
    <t>Gisseld Moraga</t>
  </si>
  <si>
    <t>Villa Galilea Lago Peñuelas, 1939</t>
  </si>
  <si>
    <t>BIT11034366</t>
  </si>
  <si>
    <t>256713782</t>
  </si>
  <si>
    <t>NOMBRE RETIRA: CRISTIAN PAREDES . RUT RETIRA: 16048396-2</t>
  </si>
  <si>
    <t>Cinthya Hermosilla</t>
  </si>
  <si>
    <t>Comdominio Las Vertientes, Parcela 66</t>
  </si>
  <si>
    <t>BIT11034405</t>
  </si>
  <si>
    <t>256713658</t>
  </si>
  <si>
    <t>Marcelo Paredes Sanchez</t>
  </si>
  <si>
    <t>Diagonal los carrera block 15 depto 22, Block 15 depto 22</t>
  </si>
  <si>
    <t>2025-11-05 11:03</t>
  </si>
  <si>
    <t>BIT11034378</t>
  </si>
  <si>
    <t>256713753</t>
  </si>
  <si>
    <t>NOMBRE RETIRA: SHARLO CANSINO GG RUT RETIRA: 15772582-3</t>
  </si>
  <si>
    <t>Sharol Cancino flores</t>
  </si>
  <si>
    <t>Avenida san martin 151</t>
  </si>
  <si>
    <t>BIT11034373</t>
  </si>
  <si>
    <t>256713723</t>
  </si>
  <si>
    <t>NOMBRE RETIRA: REINALDO PINA A RUT RETIRA: 5481410-0</t>
  </si>
  <si>
    <t>alejandro piña</t>
  </si>
  <si>
    <t>villa galilea calle Lago Vichuquén 1662, casa</t>
  </si>
  <si>
    <t>BIT11034385</t>
  </si>
  <si>
    <t>256713713</t>
  </si>
  <si>
    <t>NOMBRE RETIRA: IVAN TAUM . RUT RETIRA: 26381732-K</t>
  </si>
  <si>
    <t>Iván Taum</t>
  </si>
  <si>
    <t>Guillermo bañados, 1125</t>
  </si>
  <si>
    <t>BIT11034292</t>
  </si>
  <si>
    <t>256566894</t>
  </si>
  <si>
    <t>NOMBRE RETIRA: ANTONIO PIZATTO PIZARRO RUT RETIRA: 11207200-4</t>
  </si>
  <si>
    <t>Antonio Pizarro Cortes</t>
  </si>
  <si>
    <t>Erasmo bernales 907 tierra viva oriente, Casa</t>
  </si>
  <si>
    <t>BIT11034306</t>
  </si>
  <si>
    <t>256566823</t>
  </si>
  <si>
    <t>NOMBRE RETIRA: MARIA BURGOS . RUT RETIRA: 28568174-K</t>
  </si>
  <si>
    <t>cesar rojas</t>
  </si>
  <si>
    <t>Avenida Arturo Prat Chacon 2740 , edificio Marina Club, edificio color celeste frente a cavancha</t>
  </si>
  <si>
    <t>BIT11034433</t>
  </si>
  <si>
    <t>256713594</t>
  </si>
  <si>
    <t>NOMBRE RETIRA: VIVIANA PARRA . . RUT RETIRA: 15628172-7</t>
  </si>
  <si>
    <t>Paula MuozPonte</t>
  </si>
  <si>
    <t>Rocío 1629 Los Ángeles, Villa Cataluña</t>
  </si>
  <si>
    <t>BIT11034384</t>
  </si>
  <si>
    <t>256713732</t>
  </si>
  <si>
    <t>NOMBRE RETIRA: FELIPE ORELLANA O RUT RETIRA: 56049520-K</t>
  </si>
  <si>
    <t>Bastián Garcés</t>
  </si>
  <si>
    <t>Las Perlas Norte 125, depto 205</t>
  </si>
  <si>
    <t>BIT11034289</t>
  </si>
  <si>
    <t>256566919</t>
  </si>
  <si>
    <t>Miriam Arce huerta</t>
  </si>
  <si>
    <t>Avenida Chile 953, 953, 953, 953</t>
  </si>
  <si>
    <t>BIT11034468</t>
  </si>
  <si>
    <t>256713507</t>
  </si>
  <si>
    <t>NOMBRE RETIRA: RODEIGO BUDTOD . RUT RETIRA: 53317930-4</t>
  </si>
  <si>
    <t>Los Pinos 114, Departamento 33 B Curauma</t>
  </si>
  <si>
    <t>BIT11034469</t>
  </si>
  <si>
    <t>256713503</t>
  </si>
  <si>
    <t>NOMBRE RETIRA: RODRIGO BUSTOS . RUT RETIRA: 53317930-4</t>
  </si>
  <si>
    <t>BIT11034282</t>
  </si>
  <si>
    <t>256566929</t>
  </si>
  <si>
    <t>NOMBRE RETIRA: JONATHAN . . RUT RETIRA: 16320178-K</t>
  </si>
  <si>
    <t>JUAN ESTEBAN FERNANDEZ ORTUZAR</t>
  </si>
  <si>
    <t>RUTA T-350, NUMERO 950</t>
  </si>
  <si>
    <t>BIT11034411</t>
  </si>
  <si>
    <t>256713617</t>
  </si>
  <si>
    <t>NOMBRE RETIRA: JAIME CRUCES N RUT RETIRA: 11778751-6</t>
  </si>
  <si>
    <t>Jaime Cruces Neira</t>
  </si>
  <si>
    <t>37 oriente 1280</t>
  </si>
  <si>
    <t>BIT11034288</t>
  </si>
  <si>
    <t>256566875</t>
  </si>
  <si>
    <t>NOMBRE RETIRA: HECTOR CANDIA 0 RUT RETIRA: 12377606-2</t>
  </si>
  <si>
    <t>Carla Alarcon</t>
  </si>
  <si>
    <t>26 oriente entre 21 y 21 1/2 norte 3363 Villa Bicentenario, Casa individual con timbre</t>
  </si>
  <si>
    <t>BIT11034467</t>
  </si>
  <si>
    <t>256713478</t>
  </si>
  <si>
    <t>NOMBRE RETIRA: MAURICIO SAAVEDRA SAAVEDRA RUT RETIRA: 12284410-2</t>
  </si>
  <si>
    <t>Gonzalo Silva Villarroel</t>
  </si>
  <si>
    <t>Sanders 10, Departamento 1404</t>
  </si>
  <si>
    <t>BIT11034414</t>
  </si>
  <si>
    <t>256713642</t>
  </si>
  <si>
    <t>NOMBRE RETIRA: SERGIO ALARCON . RUT RETIRA: 17412598-8</t>
  </si>
  <si>
    <t>Felipe Pinochet</t>
  </si>
  <si>
    <t>Tres Sur 863, 911</t>
  </si>
  <si>
    <t>BIT11034231</t>
  </si>
  <si>
    <t>256566908</t>
  </si>
  <si>
    <t>NOMBRE RETIRA: ARMI PINTO CHAVRZ RUT RETIRA: 17333508-3</t>
  </si>
  <si>
    <t>Armin Pinto chavez</t>
  </si>
  <si>
    <t>Los serafines, 1277</t>
  </si>
  <si>
    <t>BIT11034376</t>
  </si>
  <si>
    <t>256713769</t>
  </si>
  <si>
    <t>NOMBRE RETIRA: CONSTANZA SALAMANCA O RUT RETIRA: 16895442-5</t>
  </si>
  <si>
    <t>constanza Salamanca Friedlaender</t>
  </si>
  <si>
    <t>Toledo 33,</t>
  </si>
  <si>
    <t>BIT11034382</t>
  </si>
  <si>
    <t>256713728</t>
  </si>
  <si>
    <t>NOMBRE RETIRA: ALEJANDRO ROJAS . RUT RETIRA: 12784557-3</t>
  </si>
  <si>
    <t>Bastián Rojas</t>
  </si>
  <si>
    <t>San Pedro Nolasco 209, lomas de San Sebastián</t>
  </si>
  <si>
    <t>BIT11034259</t>
  </si>
  <si>
    <t>256469565</t>
  </si>
  <si>
    <t>NOMBRE RETIRA: ROXANA MORA U RUT RETIRA: 20066879-0</t>
  </si>
  <si>
    <t>Roxana Mora</t>
  </si>
  <si>
    <t>Parque licanrayen , viracocha manzana c, Número 3</t>
  </si>
  <si>
    <t>BIT11034303</t>
  </si>
  <si>
    <t>256566861</t>
  </si>
  <si>
    <t>NOMBRE RETIRA: LUIS ARCE . . RUT RETIRA: 17501750-K</t>
  </si>
  <si>
    <t>Luis Arce</t>
  </si>
  <si>
    <t>Quebrada alto nogales 109, Condominio alto nogales</t>
  </si>
  <si>
    <t>BIT11034166</t>
  </si>
  <si>
    <t>256470013</t>
  </si>
  <si>
    <t>NOMBRE RETIRA: NELCY AGUDELO . RUT RETIRA: 8727709-7</t>
  </si>
  <si>
    <t>Erwin Glaser caceres</t>
  </si>
  <si>
    <t>Cerro paranal 270, Depto.puyehue 122</t>
  </si>
  <si>
    <t>BIT11034245</t>
  </si>
  <si>
    <t>256469654</t>
  </si>
  <si>
    <t>NOMBRE RETIRA: IVAN MORALES . RUT RETIRA: 9654499-5</t>
  </si>
  <si>
    <t>Magdiel Morales</t>
  </si>
  <si>
    <t>Avenida la tirana 4300, H11</t>
  </si>
  <si>
    <t>BIT11034421</t>
  </si>
  <si>
    <t>256713607</t>
  </si>
  <si>
    <t>NOMBRE RETIRA: RENATO MORTIZ . RUT RETIRA: 21085797-4</t>
  </si>
  <si>
    <t>Karin Alegria</t>
  </si>
  <si>
    <t>Camino El Venado 253 depto 71B, 71 B</t>
  </si>
  <si>
    <t>BIT11034390</t>
  </si>
  <si>
    <t>256713691</t>
  </si>
  <si>
    <t>NOMBRE RETIRA: GASTON PEREZ . RUT RETIRA: 17384298-8</t>
  </si>
  <si>
    <t>Gastón Pérez Tejos</t>
  </si>
  <si>
    <t>4 norte 1420</t>
  </si>
  <si>
    <t>BIT11034304</t>
  </si>
  <si>
    <t>256566837</t>
  </si>
  <si>
    <t>NOMBRE RETIRA: MARIA EUGENIA ALFARO RUT RETIRA: 5913614-3</t>
  </si>
  <si>
    <t>Maria Eugenia Aljaro gajardo</t>
  </si>
  <si>
    <t>Pje Torrevieja 0127 Los Torreones P Blanca</t>
  </si>
  <si>
    <t>BIT11034412</t>
  </si>
  <si>
    <t>256713613</t>
  </si>
  <si>
    <t>NOMBRE RETIRA: SERGIO MUNOZ C RUT RETIRA: 10126514-5</t>
  </si>
  <si>
    <t>Sergio Muñoz</t>
  </si>
  <si>
    <t>Cerro Zapaleri 212</t>
  </si>
  <si>
    <t>BIT11034318</t>
  </si>
  <si>
    <t>256566770</t>
  </si>
  <si>
    <t>NOMBRE RETIRA: MAGALY VENTURELLI X RUT RETIRA: 10126514-5</t>
  </si>
  <si>
    <t>2025-11-03 21:21</t>
  </si>
  <si>
    <t>BIT11034436</t>
  </si>
  <si>
    <t>256713547</t>
  </si>
  <si>
    <t>NOMBRE RETIRA: ANTONIO UREJALLA . RUT RETIRA: 26076095-5</t>
  </si>
  <si>
    <t>Antonio Urrejola Rios</t>
  </si>
  <si>
    <t>Avenida Costanera 5551, Condominio Club Océano. Depto 1004 A</t>
  </si>
  <si>
    <t>BIT11034284</t>
  </si>
  <si>
    <t>256566922</t>
  </si>
  <si>
    <t>NOMBRE RETIRA: MARIA CARIC .ABUELA RUT RETIRA: 12345678-5</t>
  </si>
  <si>
    <t>Felipe Peña Graf</t>
  </si>
  <si>
    <t>David León 591</t>
  </si>
  <si>
    <t>BIT11034214</t>
  </si>
  <si>
    <t>256469860</t>
  </si>
  <si>
    <t>NOMBRE RETIRA: FRANCISCO AVALOS . RUT RETIRA: 8555841-2</t>
  </si>
  <si>
    <t>cerro moreno 10500 cerro moreno 10500</t>
  </si>
  <si>
    <t>1240000, 40</t>
  </si>
  <si>
    <t>BIT11034449</t>
  </si>
  <si>
    <t>256713542</t>
  </si>
  <si>
    <t>NOMBRE RETIRA: ALEJANDRO STUARDO S RUT RETIRA: 17989081-K</t>
  </si>
  <si>
    <t>Alejandro Stuardo</t>
  </si>
  <si>
    <t>Calle San Carlos 1708, Barrio Toledo</t>
  </si>
  <si>
    <t>BIT11034386</t>
  </si>
  <si>
    <t>256713686</t>
  </si>
  <si>
    <t>NOMBRE RETIRA: OSCAR GERRA . RUT RETIRA: 18805117-0</t>
  </si>
  <si>
    <t>Oscar Guerra</t>
  </si>
  <si>
    <t>Pasaje Roberto Abarzua 483</t>
  </si>
  <si>
    <t>BIT11034228</t>
  </si>
  <si>
    <t>256469768</t>
  </si>
  <si>
    <t>NOMBRE RETIRA: RODRIGO ALEJANDRO K RUT RETIRA: 10721237-K</t>
  </si>
  <si>
    <t>Rodrigo Alejandro Correa Rubio</t>
  </si>
  <si>
    <t>Huincul 842</t>
  </si>
  <si>
    <t>BIT11034321</t>
  </si>
  <si>
    <t>256566756</t>
  </si>
  <si>
    <t>NOMBRE RETIRA: ALAN MONTECINO MONTECINO RUT RETIRA: 5816166-7</t>
  </si>
  <si>
    <t>Alan Montecinos</t>
  </si>
  <si>
    <t>Parcela 3 El Alba Golf Park, Parcela</t>
  </si>
  <si>
    <t>BIT11034198</t>
  </si>
  <si>
    <t>256469904</t>
  </si>
  <si>
    <t>NOMBRE RETIRA: NICOLAS OBONDO . RUT RETIRA: 53309535-6</t>
  </si>
  <si>
    <t>Nicolas Obando</t>
  </si>
  <si>
    <t>5 Norte 867, 1203</t>
  </si>
  <si>
    <t>BIT11034213</t>
  </si>
  <si>
    <t>256469867</t>
  </si>
  <si>
    <t>NOMBRE RETIRA: JOSE REDONDAS . RUT RETIRA: 26189887-K</t>
  </si>
  <si>
    <t>Cristian Bórquez Borquez</t>
  </si>
  <si>
    <t>Tamarugal 2993, Departamento 176</t>
  </si>
  <si>
    <t>BIT11034308</t>
  </si>
  <si>
    <t>256566793</t>
  </si>
  <si>
    <t>NOMBRE RETIRA: MARION N M RUT RETIRA: 15852021-4</t>
  </si>
  <si>
    <t>Marion Casanova Marty</t>
  </si>
  <si>
    <t>Segunda 0610</t>
  </si>
  <si>
    <t>BIT11034336</t>
  </si>
  <si>
    <t>256566708</t>
  </si>
  <si>
    <t>NOMBRE RETIRA: SUSAN MUNOZ . RUT RETIRA: 15130348-K</t>
  </si>
  <si>
    <t>Susan Muñoz</t>
  </si>
  <si>
    <t>Villa Vaticano calle Brasil 453 Curico</t>
  </si>
  <si>
    <t>BIT11034263</t>
  </si>
  <si>
    <t>256469541</t>
  </si>
  <si>
    <t>NOMBRE RETIRA: CRISTIAN CORTES C RUT RETIRA: 17989081-K</t>
  </si>
  <si>
    <t>Cristian Cortes</t>
  </si>
  <si>
    <t>Villa san miguel de arcangel, pje castilla 1358, Casa</t>
  </si>
  <si>
    <t>BIT11034181</t>
  </si>
  <si>
    <t>256469936</t>
  </si>
  <si>
    <t>NOMBRE RETIRA: ALFREDO ROMERO . RUT RETIRA: 10485754-K</t>
  </si>
  <si>
    <t>Alfredo Romero Peña</t>
  </si>
  <si>
    <t>Avenida Loreto Cousiño N° 102, casa</t>
  </si>
  <si>
    <t>BIT11034229</t>
  </si>
  <si>
    <t>256469744</t>
  </si>
  <si>
    <t>NOMBRE RETIRA: JOSE AVENDANO . RUT RETIRA: 8727709-7</t>
  </si>
  <si>
    <t>Carolina Cuso</t>
  </si>
  <si>
    <t>Colihue 01410 casa 10, Casa 10</t>
  </si>
  <si>
    <t>BIT11034131</t>
  </si>
  <si>
    <t>256470227</t>
  </si>
  <si>
    <t>NOMBRE RETIRA: DIEGO FLORES X RUT RETIRA: 10839635-0</t>
  </si>
  <si>
    <t>Diego Flores fernandez</t>
  </si>
  <si>
    <t>Lidia moreno 153 edificio patagua, Departamento 2004</t>
  </si>
  <si>
    <t>BIT11034313</t>
  </si>
  <si>
    <t>256566740</t>
  </si>
  <si>
    <t>NOMBRE RETIRA: GONZALO BELMAR BELMAR RUT RETIRA: 14059010-K</t>
  </si>
  <si>
    <t>BIT11034317</t>
  </si>
  <si>
    <t>256566799</t>
  </si>
  <si>
    <t>BIT11034244</t>
  </si>
  <si>
    <t>256469692</t>
  </si>
  <si>
    <t>NOMBRE RETIRA: PAOLA LOPES M RUT RETIRA: 5996878-5</t>
  </si>
  <si>
    <t>Paolo López Salinas</t>
  </si>
  <si>
    <t>El redentor 1883</t>
  </si>
  <si>
    <t>BIT11034312</t>
  </si>
  <si>
    <t>256566804</t>
  </si>
  <si>
    <t>NOMBRE RETIRA: MATIAS SANTANA . RUT RETIRA: 76669508-6</t>
  </si>
  <si>
    <t>Alejandra karen escobar salazar</t>
  </si>
  <si>
    <t>Manuel Rodriguez 1267, Depto 1308, 1267 depto 1308</t>
  </si>
  <si>
    <t>BIT11034129</t>
  </si>
  <si>
    <t>256470195</t>
  </si>
  <si>
    <t>NOMBRE RETIRA: CESAR BUSTOS NAVARRO RUT RETIRA: 1111111-4</t>
  </si>
  <si>
    <t>Cesar Bustos Navarro</t>
  </si>
  <si>
    <t>Hernando de magallanes, 011 b</t>
  </si>
  <si>
    <t>BIT11034149</t>
  </si>
  <si>
    <t>256470053</t>
  </si>
  <si>
    <t>NOMBRE RETIRA: ROSARIO ROCA ROCA RUT RETIRA: 27028498-1</t>
  </si>
  <si>
    <t>Mauricio Godoy Tapia</t>
  </si>
  <si>
    <t>Calle Rancagua 494, Depto 1310</t>
  </si>
  <si>
    <t>BIT11034136</t>
  </si>
  <si>
    <t>256470189</t>
  </si>
  <si>
    <t>NOMBRE RETIRA: CARLOS GAJARDO . RUT RETIRA: 15869096-9</t>
  </si>
  <si>
    <t>Pasaje 10-A Parque Residencial Los Fresnos, 447</t>
  </si>
  <si>
    <t>BIT11034133</t>
  </si>
  <si>
    <t>256470115</t>
  </si>
  <si>
    <t>NOMBRE RETIRA: ARACELY NORA . RUT RETIRA: 65753186-3</t>
  </si>
  <si>
    <t>ENRIQUE LEIVA GAETE</t>
  </si>
  <si>
    <t>Virgilio Arias 65, Dpto 1209, Cerro Polanco, Edf Alto Paraiso</t>
  </si>
  <si>
    <t>BIT11034137</t>
  </si>
  <si>
    <t>256470180</t>
  </si>
  <si>
    <t>NOMBRE RETIRA: CRISTIAN VALDEVIA M RUT RETIRA: 12148397-1</t>
  </si>
  <si>
    <t>Christian Valdivia Reyes</t>
  </si>
  <si>
    <t>Johan strauss 2126 milagro II</t>
  </si>
  <si>
    <t>BIT11034267</t>
  </si>
  <si>
    <t>256469524</t>
  </si>
  <si>
    <t>NOMBRE RETIRA: FRANCISCO MUNAN ... RUT RETIRA: 56083180-3</t>
  </si>
  <si>
    <t>Cristian Romero</t>
  </si>
  <si>
    <t>Obispos Valdes S. 1510, Casa E5</t>
  </si>
  <si>
    <t>BIT11034185</t>
  </si>
  <si>
    <t>256469949</t>
  </si>
  <si>
    <t>NOMBRE RETIRA: SARA ROJAS ROJAS RUT RETIRA: 12807278-0</t>
  </si>
  <si>
    <t>Daniel González Constanzo</t>
  </si>
  <si>
    <t>Pasaje Jorge Alvear Urrutia Sur 3145, Los Balcones, Cada</t>
  </si>
  <si>
    <t>BIT11033948</t>
  </si>
  <si>
    <t>256131044</t>
  </si>
  <si>
    <t>NOMBRE RETIRA: JUAN CONTRERAS . RUT RETIRA: 15304813-4</t>
  </si>
  <si>
    <t>JUAN CARLOS CONTRERAS GUENUMAN</t>
  </si>
  <si>
    <t>CALLE DOS 775</t>
  </si>
  <si>
    <t>2025-10-27 23:57</t>
  </si>
  <si>
    <t>BIT11034251</t>
  </si>
  <si>
    <t>256469667</t>
  </si>
  <si>
    <t>NOMBRE RETIRA: JAVIER LOPEZ . RUT RETIRA: 17750010-0</t>
  </si>
  <si>
    <t>Camila Figueroa</t>
  </si>
  <si>
    <t>Camila, Avenida ohiggins 1650, depto 41D, chillan</t>
  </si>
  <si>
    <t>BIT11034171</t>
  </si>
  <si>
    <t>256470009</t>
  </si>
  <si>
    <t>NOMBRE RETIRA: SANTIAGO DELGADO . RUT RETIRA: 17736384-7</t>
  </si>
  <si>
    <t>JEAN PAUL BOWN</t>
  </si>
  <si>
    <t>EdifÍcio Puyehue, Cerro Paranal 270, Depto 44</t>
  </si>
  <si>
    <t>BIT11034335</t>
  </si>
  <si>
    <t>256566736</t>
  </si>
  <si>
    <t>NOMBRE RETIRA: GABRIEL VILLAGRA . RUT RETIRA: 9669311-7</t>
  </si>
  <si>
    <t>Gabriel Villagra Conejeras</t>
  </si>
  <si>
    <t>Pasaje El Vivero 19, Casa esquina</t>
  </si>
  <si>
    <t>BIT11034258</t>
  </si>
  <si>
    <t>256469574</t>
  </si>
  <si>
    <t>NOMBRE RETIRA: FELIPPEG .G . RUT RETIRA: 53310370-7</t>
  </si>
  <si>
    <t>Felipe Fernandez Tiznado</t>
  </si>
  <si>
    <t>Monte kibo 548, Casa</t>
  </si>
  <si>
    <t>BIT11034342</t>
  </si>
  <si>
    <t>256566704</t>
  </si>
  <si>
    <t>NOMBRE RETIRA: RUBEN FLORES.. .. RUT RETIRA: 19041203-2</t>
  </si>
  <si>
    <t>BIT11034227</t>
  </si>
  <si>
    <t>256469777</t>
  </si>
  <si>
    <t>NOMBRE RETIRA: JAVIER MARTINEZ CONSERJERIA RUT RETIRA: 10761010-3</t>
  </si>
  <si>
    <t>Endrina Ramirez</t>
  </si>
  <si>
    <t>Avenida Gabriela Mistral 4000, J 402. Condominio San Bartolome 2.</t>
  </si>
  <si>
    <t>BIT11034309</t>
  </si>
  <si>
    <t>256566791</t>
  </si>
  <si>
    <t>NOMBRE RETIRA: PAULA MILLA U RUT RETIRA: 15118584-3</t>
  </si>
  <si>
    <t>Paula Milla</t>
  </si>
  <si>
    <t>Población Independencia Ramon Freire 1482, 1482</t>
  </si>
  <si>
    <t>BIT11034242</t>
  </si>
  <si>
    <t>256469720</t>
  </si>
  <si>
    <t>NOMBRE RETIRA: ALEJANDRA GONZALEZ . RUT RETIRA: 12447552-K</t>
  </si>
  <si>
    <t>Fernando Carvajal Encina</t>
  </si>
  <si>
    <t>Avenida Regimiento Arica 1173</t>
  </si>
  <si>
    <t>BIT11034165</t>
  </si>
  <si>
    <t>256470018</t>
  </si>
  <si>
    <t>NOMBRE RETIRA: ANDREINA VALERO . RUT RETIRA: 26385655-4</t>
  </si>
  <si>
    <t>Carol Polette Fernandois Ibarra</t>
  </si>
  <si>
    <t>Cardonal S/n Lote B EdifÍcio Corporativo, Empresas AquaChile</t>
  </si>
  <si>
    <t>BIT11034354</t>
  </si>
  <si>
    <t>256566676</t>
  </si>
  <si>
    <t>NOMBRE RETIRA: JOEL ACUNA . RUT RETIRA: 19072579-0</t>
  </si>
  <si>
    <t>Luis Rivas Urzúa</t>
  </si>
  <si>
    <t>General Velásquez 654</t>
  </si>
  <si>
    <t>BIT11034145</t>
  </si>
  <si>
    <t>256470092</t>
  </si>
  <si>
    <t>NOMBRE RETIRA: JESSICA DELGADO . RUT RETIRA: 15685977-K</t>
  </si>
  <si>
    <t>Jessica Delgado</t>
  </si>
  <si>
    <t>Pasaje Pueblo Nuevo 740, Pasaje Pueblo Nuevo 740</t>
  </si>
  <si>
    <t>BIT11034235</t>
  </si>
  <si>
    <t>256469707</t>
  </si>
  <si>
    <t>NOMBRE RETIRA: SANDRA CARVAJAL . RUT RETIRA: 18985425-0</t>
  </si>
  <si>
    <t>Sandra Carvajal Carvajal</t>
  </si>
  <si>
    <t>Esc. Virginio Arias #3517, Casa</t>
  </si>
  <si>
    <t>BIT11034190</t>
  </si>
  <si>
    <t>256469920</t>
  </si>
  <si>
    <t>Natalia Sanhueza</t>
  </si>
  <si>
    <t>Los lirios 5219, 5219</t>
  </si>
  <si>
    <t>BIT11034219</t>
  </si>
  <si>
    <t>256469811</t>
  </si>
  <si>
    <t>NOMBRE RETIRA: MIGUEL NAVARRETE . RUT RETIRA: 65013005-7</t>
  </si>
  <si>
    <t>Massiel Peralta Araya</t>
  </si>
  <si>
    <t>Obispo Hipolito Salas 53, 802</t>
  </si>
  <si>
    <t>BIT11034139</t>
  </si>
  <si>
    <t>256470184</t>
  </si>
  <si>
    <t>NOMBRE RETIRA: SILVIA AROSTICA GUSTAVO RUT RETIRA: 8890082-0</t>
  </si>
  <si>
    <t>Leonidas Perez 2937, Dpto 1107 edificio Matta</t>
  </si>
  <si>
    <t>BIT11034156</t>
  </si>
  <si>
    <t>256470045</t>
  </si>
  <si>
    <t>NOMBRE RETIRA: ANA CAYUL . RUT RETIRA: 53336919-7</t>
  </si>
  <si>
    <t>Esteban Navarrete Esterio</t>
  </si>
  <si>
    <t>Sangers 1191, Departamento 808</t>
  </si>
  <si>
    <t>BIT11034077</t>
  </si>
  <si>
    <t>256287745</t>
  </si>
  <si>
    <t>NOMBRE RETIRA: LUIS HENRIQUEZ . RUT RETIRA: 13730093-1</t>
  </si>
  <si>
    <t>María Luisa Anavalón Bustos</t>
  </si>
  <si>
    <t>Camino cerro Colorado km 1,6, El Porvenir 2, parcela 71, Parcela 71</t>
  </si>
  <si>
    <t>BIT11034193</t>
  </si>
  <si>
    <t>256469911</t>
  </si>
  <si>
    <t>NOMBRE RETIRA: RODRIGO SILVA . RUT RETIRA: 56066310-2</t>
  </si>
  <si>
    <t>David Ortiz</t>
  </si>
  <si>
    <t>Pasaje 38 Villa Dulce, Condominio Milled 2</t>
  </si>
  <si>
    <t>BIT11034134</t>
  </si>
  <si>
    <t>256470104</t>
  </si>
  <si>
    <t>NOMBRE RETIRA: CRISTIAN RIQUELME . RUT RETIRA: 16157381-7</t>
  </si>
  <si>
    <t>VICTOR Santana</t>
  </si>
  <si>
    <t>Avda Chile 330, Palomares</t>
  </si>
  <si>
    <t>BIT11034260</t>
  </si>
  <si>
    <t>256469552</t>
  </si>
  <si>
    <t>NOMBRE RETIRA: ANGELICA CANTEROS . RUT RETIRA: 18486096-1</t>
  </si>
  <si>
    <t>Daisy Peña</t>
  </si>
  <si>
    <t>Los tineos 67 vista hermosa</t>
  </si>
  <si>
    <t>BIT11034234</t>
  </si>
  <si>
    <t>256469715</t>
  </si>
  <si>
    <t>BIT11034220</t>
  </si>
  <si>
    <t>256469794</t>
  </si>
  <si>
    <t>NOMBRE RETIRA: PATRICIA GONZALEZ . RUT RETIRA: 12780957-7</t>
  </si>
  <si>
    <t>Margarita González Gonzalez Lira</t>
  </si>
  <si>
    <t>Casa, Quechereguas 119</t>
  </si>
  <si>
    <t>BIT11034080</t>
  </si>
  <si>
    <t>256287765</t>
  </si>
  <si>
    <t>NOMBRE RETIRA: SAMUEL MORALEZ . RUT RETIRA: 53321047-3</t>
  </si>
  <si>
    <t>Samuel Morales Hidalgo</t>
  </si>
  <si>
    <t>Cosmechurruca 336 Lomas de San Andrés Concepción</t>
  </si>
  <si>
    <t>BIT11034153</t>
  </si>
  <si>
    <t>256470076</t>
  </si>
  <si>
    <t>NOMBRE RETIRA: FELOPE MARRE . RUT RETIRA: 16605199-1</t>
  </si>
  <si>
    <t>Felipe Andres Marre Soto</t>
  </si>
  <si>
    <t>Sector Las Nieves Paradero 2</t>
  </si>
  <si>
    <t>BIT11034222</t>
  </si>
  <si>
    <t>256469788</t>
  </si>
  <si>
    <t>NOMBRE RETIRA: MARIA CASTILLO . . RUT RETIRA: 53336919-7</t>
  </si>
  <si>
    <t>Pablo Aravena Neira</t>
  </si>
  <si>
    <t>Santa Margarita 925 Depto 1108</t>
  </si>
  <si>
    <t>BIT11034147</t>
  </si>
  <si>
    <t>256470085</t>
  </si>
  <si>
    <t>NOMBRE RETIRA: PEDRO ANTONIO . RUT RETIRA: 19206432-5</t>
  </si>
  <si>
    <t>Pedro Antonio</t>
  </si>
  <si>
    <t>Vil El Parque, Tomas O’shee 1964, Villa El Parque, Las CompaÑÍas</t>
  </si>
  <si>
    <t>BIT11034250</t>
  </si>
  <si>
    <t>256469675</t>
  </si>
  <si>
    <t>BIT11034180</t>
  </si>
  <si>
    <t>256469981</t>
  </si>
  <si>
    <t>NOMBRE RETIRA: SANDRA VENEGAS HUICHALAF . RUT RETIRA: 76669508-6</t>
  </si>
  <si>
    <t>Lord Cochrane 599, pasaje Las Brisas 19 Condominio Vientos del Sur</t>
  </si>
  <si>
    <t>BIT11034256</t>
  </si>
  <si>
    <t>256469582</t>
  </si>
  <si>
    <t>NOMBRE RETIRA: VALERIA VIDAL . RUT RETIRA: 18802802-0</t>
  </si>
  <si>
    <t>Mario Esteban Caro Godoy</t>
  </si>
  <si>
    <t>almagro 250, oficina 1407</t>
  </si>
  <si>
    <t>BIT11034254</t>
  </si>
  <si>
    <t>256469595</t>
  </si>
  <si>
    <t>NOMBRE RETIRA: VALERIA VIDAL . . RUT RETIRA: 18802802-0</t>
  </si>
  <si>
    <t>Mario Caro</t>
  </si>
  <si>
    <t>Almagro 250, Oficina 1407</t>
  </si>
  <si>
    <t>BIT11034255</t>
  </si>
  <si>
    <t>256469589</t>
  </si>
  <si>
    <t>NOMBRE RETIRA: GERARDO OLIVARES . RUT RETIRA: 65238841-8</t>
  </si>
  <si>
    <t>Stewart Brant</t>
  </si>
  <si>
    <t>Sendero norte 50, Depto 503, edificio alto marañon 3</t>
  </si>
  <si>
    <t>BIT11034201</t>
  </si>
  <si>
    <t>256469880</t>
  </si>
  <si>
    <t>NOMBRE RETIRA: DANIEL MOLINA . RUT RETIRA: 9261775-0</t>
  </si>
  <si>
    <t>Alejandro Garrido</t>
  </si>
  <si>
    <t>Beauchef 705</t>
  </si>
  <si>
    <t>BIT11034152</t>
  </si>
  <si>
    <t>256470048</t>
  </si>
  <si>
    <t>NOMBRE RETIRA: ARIEL BRAVO .. RUT RETIRA: 19470083-0</t>
  </si>
  <si>
    <t>Hernán Olivares</t>
  </si>
  <si>
    <t>Calle Doaz 1046, pasaje Magasich casa 6, Villa Alemana, 6</t>
  </si>
  <si>
    <t>BIT11034216</t>
  </si>
  <si>
    <t>256469831</t>
  </si>
  <si>
    <t>NOMBRE RETIRA: GONZALO NAVARRETE . RUT RETIRA: 15205037-2</t>
  </si>
  <si>
    <t>BIT11034246</t>
  </si>
  <si>
    <t>256469661</t>
  </si>
  <si>
    <t>NOMBRE RETIRA: AIDA VENEGAS . RUT RETIRA: 10925264-6</t>
  </si>
  <si>
    <t>Alejandro Ramos Abarzúa</t>
  </si>
  <si>
    <t>EL GRANERO 1182</t>
  </si>
  <si>
    <t>BIT11034183</t>
  </si>
  <si>
    <t>256469929</t>
  </si>
  <si>
    <t>NOMBRE RETIRA: GISELA FEREZ . RUT RETIRA: 7450521-K</t>
  </si>
  <si>
    <t>El Roble 665, A-406</t>
  </si>
  <si>
    <t>BIT11034252</t>
  </si>
  <si>
    <t>256469632</t>
  </si>
  <si>
    <t>NOMBRE RETIRA: BARBARA UTTUBIA . RUT RETIRA: 27925602-6</t>
  </si>
  <si>
    <t>barbara urtubia</t>
  </si>
  <si>
    <t>general freire 132, los andes, Panificadora Santa Ana Los andes</t>
  </si>
  <si>
    <t>BIT11034164</t>
  </si>
  <si>
    <t>256470040</t>
  </si>
  <si>
    <t>NOMBRE RETIRA: HECTOR ORTIZ ORTIZ RUT RETIRA: 17505001-9</t>
  </si>
  <si>
    <t>Hector Ortiz Contreras</t>
  </si>
  <si>
    <t>BIT11034069</t>
  </si>
  <si>
    <t>256287771</t>
  </si>
  <si>
    <t>NOMBRE RETIRA: RUBEN PEREZ . RUT RETIRA: 13183759-3</t>
  </si>
  <si>
    <t>RUBEN LOPEZ PARADA</t>
  </si>
  <si>
    <t>ORELLA 1934, CASA</t>
  </si>
  <si>
    <t>BIT11034082</t>
  </si>
  <si>
    <t>256287757</t>
  </si>
  <si>
    <t>Antonio Latorre Neira</t>
  </si>
  <si>
    <t>Escondida 2724</t>
  </si>
  <si>
    <t>BIT11034054</t>
  </si>
  <si>
    <t>256287837</t>
  </si>
  <si>
    <t>NOMBRE RETIRA: MEDELIS .. . RUT RETIRA: 7359065-5</t>
  </si>
  <si>
    <t>Sergio ortega 380, 901</t>
  </si>
  <si>
    <t>BIT11034022</t>
  </si>
  <si>
    <t>256201862</t>
  </si>
  <si>
    <t>NOMBRE RETIRA: DANI3L ABUER . RUT RETIRA: 12990878-5</t>
  </si>
  <si>
    <t>Camino Villarrica a Pucón Kmt 22,5, Condominio Amulafquen 3350  Edificio Alerce Depto 22</t>
  </si>
  <si>
    <t>BIT11033982</t>
  </si>
  <si>
    <t>256130953</t>
  </si>
  <si>
    <t>NOMBRE RETIRA: ARIEL GONZALEZ . RUT RETIRA: 13915244-1</t>
  </si>
  <si>
    <t>Ariel González</t>
  </si>
  <si>
    <t>Ruta 225, Km 38.6, Ensenada, Parcela 4</t>
  </si>
  <si>
    <t>BIT11034115</t>
  </si>
  <si>
    <t>256287646</t>
  </si>
  <si>
    <t>NOMBRE RETIRA: ALCIDES ZAMORA B B RUT RETIRA: 16437648-6</t>
  </si>
  <si>
    <t>Alcides Zamora Tapia</t>
  </si>
  <si>
    <t>Avenida diagonal sur #1894</t>
  </si>
  <si>
    <t>BIT11034084</t>
  </si>
  <si>
    <t>256287722</t>
  </si>
  <si>
    <t>NOMBRE RETIRA: DILAN SIEBERT . RUT RETIRA: 21227126-8</t>
  </si>
  <si>
    <t>Dilan Siebert</t>
  </si>
  <si>
    <t>Calle Paillaco n•44, sector estación, Casa blanca portones negros</t>
  </si>
  <si>
    <t>BIT11034086</t>
  </si>
  <si>
    <t>256287720</t>
  </si>
  <si>
    <t>NOMBRE RETIRA: MAUREN MILLER . RUT RETIRA: 13455492-4</t>
  </si>
  <si>
    <t>Pedro Aguilar</t>
  </si>
  <si>
    <t>Calle Mantos Blancos 4128, Villa los Yacimientos</t>
  </si>
  <si>
    <t>BIT11034119</t>
  </si>
  <si>
    <t>256287653</t>
  </si>
  <si>
    <t>Gladys ximena Pérez Estay</t>
  </si>
  <si>
    <t>Manuel plaza 2989 edificio mirador de playa brava 1 depamento 901, 901</t>
  </si>
  <si>
    <t>BIT11034107</t>
  </si>
  <si>
    <t>256287686</t>
  </si>
  <si>
    <t>NOMBRE RETIRA: ROXANA VRAVO . RUT RETIRA: 7939552-8</t>
  </si>
  <si>
    <t>Toronto 3711</t>
  </si>
  <si>
    <t>BIT11034039</t>
  </si>
  <si>
    <t>256201773</t>
  </si>
  <si>
    <t>NOMBRE RETIRA: FLAVIO ROJAS X RUT RETIRA: 14543071-2</t>
  </si>
  <si>
    <t>2025-10-29 09:46</t>
  </si>
  <si>
    <t>BIT11034058</t>
  </si>
  <si>
    <t>256287828</t>
  </si>
  <si>
    <t>NOMBRE RETIRA: ISRAEL BARRERA X RUT RETIRA: 20348523-9</t>
  </si>
  <si>
    <t>Michael Cortes Barco</t>
  </si>
  <si>
    <t>La Paz 1661, 122</t>
  </si>
  <si>
    <t>BIT11034044</t>
  </si>
  <si>
    <t>256201778</t>
  </si>
  <si>
    <t>BIT11034114</t>
  </si>
  <si>
    <t>256287683</t>
  </si>
  <si>
    <t>NOMBRE RETIRA: FELIPW ORELLANA . RUT RETIRA: 53333228-5</t>
  </si>
  <si>
    <t>BIT11034109</t>
  </si>
  <si>
    <t>256287678</t>
  </si>
  <si>
    <t>NOMBRE RETIRA: IRENE GALLARDO B RUT RETIRA: 13223891-K</t>
  </si>
  <si>
    <t>Irene Gallardo alvarez</t>
  </si>
  <si>
    <t>Avenida Altantico 500 Local9 Serena Golf, Local 9</t>
  </si>
  <si>
    <t>BIT11034042</t>
  </si>
  <si>
    <t>256201765</t>
  </si>
  <si>
    <t>NOMBRE RETIRA: JULIA VASQUEZ M RUT RETIRA: 9590222-7</t>
  </si>
  <si>
    <t>Julia Hortencia Vásquez Torres</t>
  </si>
  <si>
    <t>Maipú 149, Casa</t>
  </si>
  <si>
    <t>BIT11034029</t>
  </si>
  <si>
    <t>256201812</t>
  </si>
  <si>
    <t>NOMBRE RETIRA: HELENA REYES 0 RUT RETIRA: 10321453-K</t>
  </si>
  <si>
    <t>Rodolfo Andrade</t>
  </si>
  <si>
    <t>Fortuoso 7, Casa Esquina, entrada por calle Frontera</t>
  </si>
  <si>
    <t>BIT11034081</t>
  </si>
  <si>
    <t>256287782</t>
  </si>
  <si>
    <t>NOMBRE RETIRA: MIGUEL REYES R RUT RETIRA: 13624643-7</t>
  </si>
  <si>
    <t>Jose Duran</t>
  </si>
  <si>
    <t>Vasco Nuñez de Balboa 6686, casa</t>
  </si>
  <si>
    <t>BIT11034034</t>
  </si>
  <si>
    <t>256201804</t>
  </si>
  <si>
    <t>NOMBRE RETIRA: PATRICIA . . RUT RETIRA: 10181409-2</t>
  </si>
  <si>
    <t>Juan araya bugueño Araya bugueño</t>
  </si>
  <si>
    <t>Carlos Krugg 363 Pobl Jose Tomas Ovalle 363 363 363 363 363 363, 363, 363</t>
  </si>
  <si>
    <t>BIT11034000</t>
  </si>
  <si>
    <t>256201918</t>
  </si>
  <si>
    <t>NOMBRE RETIRA: MARIA ELIZABETH HERRERA . RUT RETIRA: 16036371-1</t>
  </si>
  <si>
    <t>MARIA ELIZABETH HERRERA HORMAZÁBAL</t>
  </si>
  <si>
    <t>Calle AVENIDA ESPAÑA N° 623</t>
  </si>
  <si>
    <t>BIT11034070</t>
  </si>
  <si>
    <t>256287774</t>
  </si>
  <si>
    <t>NOMBRE RETIRA: JOSE MORALES . RUT RETIRA: 14446359-5</t>
  </si>
  <si>
    <t>FELIPE IGNACIO ACUNA LANG</t>
  </si>
  <si>
    <t>2 Norte 1013, Dpto 507 Edificio Mirador Rioja, 1013</t>
  </si>
  <si>
    <t>BIT11034106</t>
  </si>
  <si>
    <t>256287685</t>
  </si>
  <si>
    <t>NOMBRE RETIRA: JAVIER CAMPOVERDE H RUT RETIRA: 15950961-3</t>
  </si>
  <si>
    <t>Camilo henriqiez 489</t>
  </si>
  <si>
    <t>BIT11034059</t>
  </si>
  <si>
    <t>256287807</t>
  </si>
  <si>
    <t>NOMBRE RETIRA: ALEXIS MORALES . RUT RETIRA: 17043396-3</t>
  </si>
  <si>
    <t>Monica Muller Valdebenito</t>
  </si>
  <si>
    <t>Tucape 240, Concepción, Casa</t>
  </si>
  <si>
    <t>BIT11034085</t>
  </si>
  <si>
    <t>256287732</t>
  </si>
  <si>
    <t>NOMBRE RETIRA: MONICA M N RUT RETIRA: 11245226-5</t>
  </si>
  <si>
    <t>cristian espinoza</t>
  </si>
  <si>
    <t>Las acacias 640, Casa 33 condominio los robles</t>
  </si>
  <si>
    <t>BIT11034053</t>
  </si>
  <si>
    <t>256287841</t>
  </si>
  <si>
    <t>NOMBRE RETIRA: RAUL CRUZ CRUZ RUT RETIRA: 10233923-1</t>
  </si>
  <si>
    <t>Marcela Hinrichs</t>
  </si>
  <si>
    <t>Las Camelias 121, Quinta Junge, Pedro de Valdivia, Concepcion</t>
  </si>
  <si>
    <t>BIT11034046</t>
  </si>
  <si>
    <t>256201759</t>
  </si>
  <si>
    <t>NOMBRE RETIRA: JORGE LIADO . RUT RETIRA: 6136290-8</t>
  </si>
  <si>
    <t>Angelo rodrigo Torres aguayo</t>
  </si>
  <si>
    <t>Carlos Oliver 5566, Casa</t>
  </si>
  <si>
    <t>BIT11034056</t>
  </si>
  <si>
    <t>256287833</t>
  </si>
  <si>
    <t>NOMBRE RETIRA: BASTUAN D F RUT RETIRA: 12345678-5</t>
  </si>
  <si>
    <t>Héctor Tapia López</t>
  </si>
  <si>
    <t>Matriz 456</t>
  </si>
  <si>
    <t>BIT11034093</t>
  </si>
  <si>
    <t>256287703</t>
  </si>
  <si>
    <t>NOMBRE RETIRA: SIXTO DIAZ . RUT RETIRA: 10283803-3</t>
  </si>
  <si>
    <t>Ana Catalina Aylwin</t>
  </si>
  <si>
    <t>Av. Andalué 1810, Casa 3</t>
  </si>
  <si>
    <t>BIT11034028</t>
  </si>
  <si>
    <t>256201823</t>
  </si>
  <si>
    <t>NOMBRE RETIRA: MARIA JOSE ESPINOZA . RUT RETIRA: 17574757-5</t>
  </si>
  <si>
    <t>Cristian Vejar  candia</t>
  </si>
  <si>
    <t>Pastor oscar alarcon, 163</t>
  </si>
  <si>
    <t>BIT11034038</t>
  </si>
  <si>
    <t>256201696</t>
  </si>
  <si>
    <t>NOMBRE RETIRA: GUILLERMO ALIAGA A RUT RETIRA: 7403962-6</t>
  </si>
  <si>
    <t>Guillermo Aliaga Olave</t>
  </si>
  <si>
    <t>Islas Australes 2265</t>
  </si>
  <si>
    <t>BIT11034099</t>
  </si>
  <si>
    <t>256287699</t>
  </si>
  <si>
    <t>NOMBRE RETIRA: PAULINA MONROY B RUT RETIRA: 20154241-3</t>
  </si>
  <si>
    <t>Paulina Monroy velasquez</t>
  </si>
  <si>
    <t>Los presidentes 1542, Condominio pedro montt casa 11</t>
  </si>
  <si>
    <t>BIT11034026</t>
  </si>
  <si>
    <t>256201839</t>
  </si>
  <si>
    <t>NOMBRE RETIRA: VILMA MARTINEZ . RUT RETIRA: 11071487-4</t>
  </si>
  <si>
    <t>Calle 1 Norte # 797</t>
  </si>
  <si>
    <t>BIT11034033</t>
  </si>
  <si>
    <t>256201829</t>
  </si>
  <si>
    <t>NOMBRE RETIRA: MARTIN SUARES U RUT RETIRA: 22190421-4</t>
  </si>
  <si>
    <t>Eduardo Rosel</t>
  </si>
  <si>
    <t>Colombia 1458, Depto 304C</t>
  </si>
  <si>
    <t>BIT11034023</t>
  </si>
  <si>
    <t>256201856</t>
  </si>
  <si>
    <t>NOMBRE RETIRA: SSNDRA VERDUGO VETDUGO RUT RETIRA: 12515602-9</t>
  </si>
  <si>
    <t>BIT11034113</t>
  </si>
  <si>
    <t>256287626</t>
  </si>
  <si>
    <t>NOMBRE RETIRA: GLADIS RODRIGUEZ TORO RUT RETIRA: 10229877-2</t>
  </si>
  <si>
    <t>BIT11033897</t>
  </si>
  <si>
    <t>256045820</t>
  </si>
  <si>
    <t>NOMBRE RETIRA: CAMILA GODOY M RUT RETIRA: 26381732-K</t>
  </si>
  <si>
    <t>Camila Godoy Laffi</t>
  </si>
  <si>
    <t>Avenida 12 de Febrero 1950, Condominio aires del valle ll, B202</t>
  </si>
  <si>
    <t>2025-10-26 23:03</t>
  </si>
  <si>
    <t>BIT11034047</t>
  </si>
  <si>
    <t>256201767</t>
  </si>
  <si>
    <t>NOMBRE RETIRA: SANDRA VELASQUEZ . RUT RETIRA: 53321047-3</t>
  </si>
  <si>
    <t>Rodrigo Barrera</t>
  </si>
  <si>
    <t>Av Jorge Alessandri 450, condominio parque urbano 2, Depto 911, torre C</t>
  </si>
  <si>
    <t>BIT11033879</t>
  </si>
  <si>
    <t>256045924</t>
  </si>
  <si>
    <t>NOMBRE RETIRA: IVAN VIVEROS . RUT RETIRA: 12672313-K</t>
  </si>
  <si>
    <t>BIT11034051</t>
  </si>
  <si>
    <t>256287846</t>
  </si>
  <si>
    <t>NOMBRE RETIRA: MARCO QUEVEDO A RUT RETIRA: 10852943-1</t>
  </si>
  <si>
    <t>Fernando Marcelo Aliaga Canales</t>
  </si>
  <si>
    <t>Avenida Los Carrera 180, 41b</t>
  </si>
  <si>
    <t>BIT11034012</t>
  </si>
  <si>
    <t>256201873</t>
  </si>
  <si>
    <t>NOMBRE RETIRA: PABLO SOTO . . RUT RETIRA: 12764982-0</t>
  </si>
  <si>
    <t>estrasburgo 1145</t>
  </si>
  <si>
    <t>BIT11034003</t>
  </si>
  <si>
    <t>256201891</t>
  </si>
  <si>
    <t>NOMBRE RETIRA: RAQUEL SAEZ FICA . RUT RETIRA: 76669508-6</t>
  </si>
  <si>
    <t>Luis Fica Saez</t>
  </si>
  <si>
    <t>Maipo 570</t>
  </si>
  <si>
    <t>BIT11034121</t>
  </si>
  <si>
    <t>256287649</t>
  </si>
  <si>
    <t>NOMBRE RETIRA: CAROLINA FERNANDEZ CARRIZO RUT RETIRA: 11553474-2</t>
  </si>
  <si>
    <t>CAROLINA Fernández Correa</t>
  </si>
  <si>
    <t>José Miguel carrera 869, Apt. Casa</t>
  </si>
  <si>
    <t>BIT11034122</t>
  </si>
  <si>
    <t>256287630</t>
  </si>
  <si>
    <t>BIT11034007</t>
  </si>
  <si>
    <t>256201842</t>
  </si>
  <si>
    <t>NOMBRE RETIRA: DANIEL GALINDO GALINDO RUT RETIRA: 18782262-9</t>
  </si>
  <si>
    <t>Daniel Nicolas Galindo Ponce</t>
  </si>
  <si>
    <t>Pueblo Hundido, Pasaje el Bosque 288, Casa</t>
  </si>
  <si>
    <t>BIT11035762</t>
  </si>
  <si>
    <t>712979032091</t>
  </si>
  <si>
    <t>Nombre: manuel gomez - Rut: 0</t>
  </si>
  <si>
    <t>ANDRES GOMEZ GALLARDO</t>
  </si>
  <si>
    <t>PASAJE BERILIO 1046</t>
  </si>
  <si>
    <t>2025-11-28 13:34</t>
  </si>
  <si>
    <t>BIT11035745</t>
  </si>
  <si>
    <t>712979032916</t>
  </si>
  <si>
    <t>Nombre: marcos - Rut: 127228531</t>
  </si>
  <si>
    <t>Monica Born</t>
  </si>
  <si>
    <t>Camino El Peumo 1566, Talagante</t>
  </si>
  <si>
    <t>2025-11-28 13:33</t>
  </si>
  <si>
    <t>BIT11035668</t>
  </si>
  <si>
    <t>712979041880</t>
  </si>
  <si>
    <t>Nombre: Marcia munoz - Rut: 95040616</t>
  </si>
  <si>
    <t>Pablo Montañia</t>
  </si>
  <si>
    <t>Calle Orompello N°817, Villa La Montaña, (Sector buenos aires)</t>
  </si>
  <si>
    <t>2025-11-28 10:03</t>
  </si>
  <si>
    <t>BIT11035917</t>
  </si>
  <si>
    <t>712979026911</t>
  </si>
  <si>
    <t>Nombre: Carlos Gatica - Rut: 92275132</t>
  </si>
  <si>
    <t>Norma Susana Inostroza Esprell</t>
  </si>
  <si>
    <t>Baltazar zuleta 989, Casa</t>
  </si>
  <si>
    <t>2025-11-29 10:06</t>
  </si>
  <si>
    <t>BIT11035836</t>
  </si>
  <si>
    <t>712979030046</t>
  </si>
  <si>
    <t>Nombre: faviola rivas - Rut: 138030148</t>
  </si>
  <si>
    <t>Fabiola Rivas</t>
  </si>
  <si>
    <t>Pasaje San Agustín 7945, 8</t>
  </si>
  <si>
    <t>BIT11035681</t>
  </si>
  <si>
    <t>712979041342</t>
  </si>
  <si>
    <t>DALCAHUE DOS - SAN MARTIN - 35 -</t>
  </si>
  <si>
    <t>Arnaldo Silva asenjo</t>
  </si>
  <si>
    <t>W 55 1 punahuel 1, Entregar en empresa Sudmaris Chile S.A.</t>
  </si>
  <si>
    <t>BIT11035866</t>
  </si>
  <si>
    <t>712979027880</t>
  </si>
  <si>
    <t>PIEZA REZAGADA EN UNIDAD (PROGRAMADO)</t>
  </si>
  <si>
    <t>Jose Marquez Henriquez</t>
  </si>
  <si>
    <t>El mirador 730, Población tamango</t>
  </si>
  <si>
    <t>2025-11-29 10:05</t>
  </si>
  <si>
    <t>BIT11035541</t>
  </si>
  <si>
    <t>712977833315</t>
  </si>
  <si>
    <t>Nombre: Jaime guzman - Rut: 102095189</t>
  </si>
  <si>
    <t>Jaime Guzmán Espinoza</t>
  </si>
  <si>
    <t>Igualdad 280</t>
  </si>
  <si>
    <t>BIT11035495</t>
  </si>
  <si>
    <t>712977457555</t>
  </si>
  <si>
    <t>Nombre: lizardo pulgar - Rut: 155319895</t>
  </si>
  <si>
    <t>Lizardo Pulgar</t>
  </si>
  <si>
    <t>Octavio Leiva Opazo 98</t>
  </si>
  <si>
    <t>BIT11035454</t>
  </si>
  <si>
    <t>712976956230</t>
  </si>
  <si>
    <t>Nombre: Mauricio pareja - Rut: 0</t>
  </si>
  <si>
    <t>Mauricio Pareja</t>
  </si>
  <si>
    <t>Villa Arturo Alissandri, calle Construcción del 25, 332</t>
  </si>
  <si>
    <t>BIT11035352</t>
  </si>
  <si>
    <t>712976513874</t>
  </si>
  <si>
    <t>Nombre: pia reyes - Rut: 209815338</t>
  </si>
  <si>
    <t>Isolda Carvajal</t>
  </si>
  <si>
    <t>Población Diego Portales, calle Copihues con esquina baron, 690a</t>
  </si>
  <si>
    <t>2025-11-24 11:37</t>
  </si>
  <si>
    <t>BIT11035385</t>
  </si>
  <si>
    <t>712976513410</t>
  </si>
  <si>
    <t>Nombre: deysi cabrera - Rut: 174713499</t>
  </si>
  <si>
    <t>Alan Mellado Sills</t>
  </si>
  <si>
    <t>Villa Tomas Marin Calle Carlos Piddo Casa 60, Casa</t>
  </si>
  <si>
    <t>2025-11-24 21:10</t>
  </si>
  <si>
    <t>BIT11035246</t>
  </si>
  <si>
    <t>712975323723</t>
  </si>
  <si>
    <t>Nombre: daniel ubilla - Rut: 183861727</t>
  </si>
  <si>
    <t>daniel ubilla vergara</t>
  </si>
  <si>
    <t>samuel santana 235</t>
  </si>
  <si>
    <t>BIT11034665</t>
  </si>
  <si>
    <t>712975324110</t>
  </si>
  <si>
    <t>Nombre: carlos aravena - Rut: 125594026</t>
  </si>
  <si>
    <t>Claudia Guzmán Acuña</t>
  </si>
  <si>
    <t>Loteo doña Inés del oliveto, Parcela 31</t>
  </si>
  <si>
    <t>BIT11035210</t>
  </si>
  <si>
    <t>712975324051</t>
  </si>
  <si>
    <t>Nombre: Maria Gomez - Rut: 174111936</t>
  </si>
  <si>
    <t>Sergio González</t>
  </si>
  <si>
    <t>La montura 0168, Chacra san pedro</t>
  </si>
  <si>
    <t>BIT11035225</t>
  </si>
  <si>
    <t>712975323933</t>
  </si>
  <si>
    <t>Nombre: claudio gonzalez - Rut: 14011699</t>
  </si>
  <si>
    <t>Claudio González López</t>
  </si>
  <si>
    <t>Camino la leonera 83, Parcela 5</t>
  </si>
  <si>
    <t>BIT11035170</t>
  </si>
  <si>
    <t>712974983593</t>
  </si>
  <si>
    <t>Nombre: Veronica quezada - Rut: 121855798</t>
  </si>
  <si>
    <t>Luis Olivares</t>
  </si>
  <si>
    <t>Tarapaca 798, Importadora Guzman</t>
  </si>
  <si>
    <t>BIT11035151</t>
  </si>
  <si>
    <t>712974983906</t>
  </si>
  <si>
    <t>Nombre: Joaquin Campos - Rut: 213954059</t>
  </si>
  <si>
    <t>Angelica Morales Mendez</t>
  </si>
  <si>
    <t>Intendente Luis Barbe 1844, Villa el nevado</t>
  </si>
  <si>
    <t>BIT11035193</t>
  </si>
  <si>
    <t>712974983140</t>
  </si>
  <si>
    <t>Nombre: ana Garcia - Rut: 104294863</t>
  </si>
  <si>
    <t>Cecilia torres Torres</t>
  </si>
  <si>
    <t>Calle Santa MarÍa 536, Calle Santa MarÍa 536, Calle Santa MarÍa 536, Calle Santa MarÍa 536, Calle Santa MarÍa 536, Calle Santa MarÍa 536, Calle Santa MarÍa 536</t>
  </si>
  <si>
    <t>BIT11035046</t>
  </si>
  <si>
    <t>712974075155</t>
  </si>
  <si>
    <t>Nombre: ANA PIZARRO - Rut: 12816094</t>
  </si>
  <si>
    <t>Felipe Maggi Pizarro</t>
  </si>
  <si>
    <t>Arturo Prat 105 chillepin, Casa</t>
  </si>
  <si>
    <t>BIT11035050</t>
  </si>
  <si>
    <t>712974075041</t>
  </si>
  <si>
    <t>Nombre: Hugo Carrwno - Rut: 80798776</t>
  </si>
  <si>
    <t>Mauricio Mardonez Reyes</t>
  </si>
  <si>
    <t>Los carrera 444, Oficina</t>
  </si>
  <si>
    <t>BIT11034912</t>
  </si>
  <si>
    <t>712973251572</t>
  </si>
  <si>
    <t>Nombre: Jeanette rivas - Rut: 106692572</t>
  </si>
  <si>
    <t>Claudia Cáceres Vargas Cáceres Vargas</t>
  </si>
  <si>
    <t>Pasaje Varsovia 103 rinconada oriente</t>
  </si>
  <si>
    <t>BIT11034884</t>
  </si>
  <si>
    <t>712973252283</t>
  </si>
  <si>
    <t>Nombre: cristobal sandoval - Rut: 153042578</t>
  </si>
  <si>
    <t>Cristobal Sandoval</t>
  </si>
  <si>
    <t>Manuel Rodríguez 243 A</t>
  </si>
  <si>
    <t>BIT11034732</t>
  </si>
  <si>
    <t>712971930720</t>
  </si>
  <si>
    <t>Nombre: claudia melendes - Rut: 86694700</t>
  </si>
  <si>
    <t>Claudia Melendez</t>
  </si>
  <si>
    <t>Cristóbal Colón 1145, Calle CristÓbal ColÓn 1145</t>
  </si>
  <si>
    <t>BIT11034819</t>
  </si>
  <si>
    <t>712972341325</t>
  </si>
  <si>
    <t>Nombre: Jose Villagran - Rut: 142100991</t>
  </si>
  <si>
    <t>Jose Villagran Tapia</t>
  </si>
  <si>
    <t>Curepto 8920, Casa</t>
  </si>
  <si>
    <t>BIT11034776</t>
  </si>
  <si>
    <t>712971930090</t>
  </si>
  <si>
    <t>Nombre: iris cuevas - Rut: 83615230</t>
  </si>
  <si>
    <t>BIT11034798</t>
  </si>
  <si>
    <t>712972341701</t>
  </si>
  <si>
    <t>Nombre: ariel ribera - Rut: 0</t>
  </si>
  <si>
    <t>Ariel Francisco Rivera Nieto</t>
  </si>
  <si>
    <t>Balmaceda 262</t>
  </si>
  <si>
    <t>BIT11034668</t>
  </si>
  <si>
    <t>712971203792</t>
  </si>
  <si>
    <t>Nombre: marcos urra - Rut: 143848132</t>
  </si>
  <si>
    <t>Marcos Urra Palma</t>
  </si>
  <si>
    <t>Diego portales 723</t>
  </si>
  <si>
    <t>BIT11034626</t>
  </si>
  <si>
    <t>712970756105</t>
  </si>
  <si>
    <t>Nombre: paola diarte - Rut: 159214540</t>
  </si>
  <si>
    <t>Paola Andrea Duarte zagal</t>
  </si>
  <si>
    <t>Kurt Moller 145 (Centro de la Mujer, horario de oficina 8.30 a 17:30)</t>
  </si>
  <si>
    <t>BIT11034642</t>
  </si>
  <si>
    <t>712970752211</t>
  </si>
  <si>
    <t>Nombre: Luis izquierdo - Rut: 58268887</t>
  </si>
  <si>
    <t>YERKA PINTO</t>
  </si>
  <si>
    <t>QUINCHAO 7951, SECTOR LAN C</t>
  </si>
  <si>
    <t>BIT11034423</t>
  </si>
  <si>
    <t>712969093200</t>
  </si>
  <si>
    <t>Nombre: Patricia Troncoso - Rut: 9912015</t>
  </si>
  <si>
    <t>Patricia Troncoso</t>
  </si>
  <si>
    <t>Carretera C35 Km 2,2condominio Santa Norma 4 4 4 4 4, 4, 4</t>
  </si>
  <si>
    <t>BIT11034392</t>
  </si>
  <si>
    <t>712969093620</t>
  </si>
  <si>
    <t>Nombre: Patricia Contreras - Rut: 72024702</t>
  </si>
  <si>
    <t>Avenida Buschmann 74, Avenida Buschmann 74</t>
  </si>
  <si>
    <t>BIT11034461</t>
  </si>
  <si>
    <t>712969092743</t>
  </si>
  <si>
    <t>Nombre: wladimiro burgos - Rut: 117031551</t>
  </si>
  <si>
    <t>Camino Lago Cabrera lote 1C-3B El Tepual Hornopirén</t>
  </si>
  <si>
    <t>BIT11034325</t>
  </si>
  <si>
    <t>712968320046</t>
  </si>
  <si>
    <t>Nombre: alejandro - Rut: 248711701</t>
  </si>
  <si>
    <t>matias albala</t>
  </si>
  <si>
    <t>Camino El Risco, Condominio Entre Cerros, parcela 33, parcela 33</t>
  </si>
  <si>
    <t>BIT11034295</t>
  </si>
  <si>
    <t>712968320831</t>
  </si>
  <si>
    <t>Nombre: claudio maureira - Rut: 652871704</t>
  </si>
  <si>
    <t>Ximena Caldera</t>
  </si>
  <si>
    <t>Carampangue 0175, Parcela 5 sector los pimientos</t>
  </si>
  <si>
    <t>BIT11034345</t>
  </si>
  <si>
    <t>712968319906</t>
  </si>
  <si>
    <t>Nombre: raul valenzuela - Rut: 98570721</t>
  </si>
  <si>
    <t>erik cabezas</t>
  </si>
  <si>
    <t>Armando Jaramillo 1053, Nancagua, Chile, casa 1</t>
  </si>
  <si>
    <t>BIT11034175</t>
  </si>
  <si>
    <t>712967856801</t>
  </si>
  <si>
    <t>Nombre: victor fabrega - Rut: 141533185</t>
  </si>
  <si>
    <t>Victor Fábrega</t>
  </si>
  <si>
    <t>Alférez real 1171, Casa</t>
  </si>
  <si>
    <t>BIT11034272</t>
  </si>
  <si>
    <t>712967854594</t>
  </si>
  <si>
    <t>Nombre: Claudia Caceres - Rut: 144319001</t>
  </si>
  <si>
    <t>Pasaje varsovia 103</t>
  </si>
  <si>
    <t>BIT11034141</t>
  </si>
  <si>
    <t>712967857291</t>
  </si>
  <si>
    <t>Nombre: luis morales - Rut: 204927774</t>
  </si>
  <si>
    <t>Rosa Rebolledo</t>
  </si>
  <si>
    <t>San Martin 142, Dpto 116</t>
  </si>
  <si>
    <t>BIT11034836</t>
  </si>
  <si>
    <t>9405063975</t>
  </si>
  <si>
    <t>Luis Rodrigo Moyano Moyano</t>
  </si>
  <si>
    <t>RUTA 47 PARCELA 3, El Maiten</t>
  </si>
  <si>
    <t>BIT11034924</t>
  </si>
  <si>
    <t>9405266205</t>
  </si>
  <si>
    <t>Victor Valdebenito A.</t>
  </si>
  <si>
    <t>Avenida Minera Las Cenizas 1717</t>
  </si>
  <si>
    <t>BIT11035150</t>
  </si>
  <si>
    <t>9394360334</t>
  </si>
  <si>
    <t>Richard Gonzalez bustamante</t>
  </si>
  <si>
    <t>Valdivia 1293, Casa 2do piso</t>
  </si>
  <si>
    <t>BIT11035212</t>
  </si>
  <si>
    <t>9394626732</t>
  </si>
  <si>
    <t>Fernando Ponce</t>
  </si>
  <si>
    <t>Rio maule 2610, 77</t>
  </si>
  <si>
    <t>BIT11035061</t>
  </si>
  <si>
    <t>9406770833</t>
  </si>
  <si>
    <t>Francisco Peñaloza</t>
  </si>
  <si>
    <t>Camino Padre Hurtado  4635, 22</t>
  </si>
  <si>
    <t>BIT11035108</t>
  </si>
  <si>
    <t>9394236703</t>
  </si>
  <si>
    <t>Paolo Cossio</t>
  </si>
  <si>
    <t>Av alessandri 1513, 10</t>
  </si>
  <si>
    <t>BIT11035155</t>
  </si>
  <si>
    <t>9394154022</t>
  </si>
  <si>
    <t>Alison Muñoz</t>
  </si>
  <si>
    <t>Cerro el paraguas 2291</t>
  </si>
  <si>
    <t>BIT11035244</t>
  </si>
  <si>
    <t>9393723651</t>
  </si>
  <si>
    <t>Cecilia Pizarro</t>
  </si>
  <si>
    <t>Villaseca 371, Casa B</t>
  </si>
  <si>
    <t>BIT11035139</t>
  </si>
  <si>
    <t>9394312056</t>
  </si>
  <si>
    <t>Beatriz Muñoz</t>
  </si>
  <si>
    <t>Ruta F 74 G, Condominio Hacienda Viñedos de Casablanca Parcela J9</t>
  </si>
  <si>
    <t>BIT11035306</t>
  </si>
  <si>
    <t>9405691864</t>
  </si>
  <si>
    <t>Eduardo Mancilla</t>
  </si>
  <si>
    <t>Rio mauke 2610, 168</t>
  </si>
  <si>
    <t>BIT11035222</t>
  </si>
  <si>
    <t>9394141422</t>
  </si>
  <si>
    <t>yenny riffo</t>
  </si>
  <si>
    <t>Comercio 139, Supermercado estacion 77</t>
  </si>
  <si>
    <t>BIT11034876</t>
  </si>
  <si>
    <t>9405424475</t>
  </si>
  <si>
    <t>Serafin Antonio</t>
  </si>
  <si>
    <t>Manuel RodrÍguez 51,, 51</t>
  </si>
  <si>
    <t>BIT11034896</t>
  </si>
  <si>
    <t>9405323351</t>
  </si>
  <si>
    <t>Jorge Luis Muñoz</t>
  </si>
  <si>
    <t>Enrique Mac Iver, 505</t>
  </si>
  <si>
    <t>BIT11034873</t>
  </si>
  <si>
    <t>9405262882</t>
  </si>
  <si>
    <t>Gerardo Valdebenito</t>
  </si>
  <si>
    <t>Jorge Valdes Perez 3139, 12</t>
  </si>
  <si>
    <t>BIT11035123</t>
  </si>
  <si>
    <t>9393953612</t>
  </si>
  <si>
    <t>María Eugenia López Rojas</t>
  </si>
  <si>
    <t>Parcela, Camino La Esmeralda Parcela 12 B 13</t>
  </si>
  <si>
    <t>BIT11034995</t>
  </si>
  <si>
    <t>9405597165</t>
  </si>
  <si>
    <t>Vanessa Burgos Maldonado</t>
  </si>
  <si>
    <t>Avenida los Corraleros 2731, Casa 222</t>
  </si>
  <si>
    <t>BIT11034701</t>
  </si>
  <si>
    <t>9393232015</t>
  </si>
  <si>
    <t>César Vásquez</t>
  </si>
  <si>
    <t>Camino la cervera 1000 condominio club de golf las araucarias, Parcela 117</t>
  </si>
  <si>
    <t>BIT11034806</t>
  </si>
  <si>
    <t>9393259341</t>
  </si>
  <si>
    <t>MARIA CATALAN GONZALEZ</t>
  </si>
  <si>
    <t>Calle Luz Maria Corrales 044, Casa</t>
  </si>
  <si>
    <t>BIT11034580</t>
  </si>
  <si>
    <t>9394644103</t>
  </si>
  <si>
    <t>Rene Gaete Valenzuela</t>
  </si>
  <si>
    <t>Casa, Carrera 444</t>
  </si>
  <si>
    <t>BIT11034562</t>
  </si>
  <si>
    <t>9394702833</t>
  </si>
  <si>
    <t>Ariela Robles</t>
  </si>
  <si>
    <t>Manuel Novoa 245, Minimarket Edita, Pillanlelbun</t>
  </si>
  <si>
    <t>BIT11034834</t>
  </si>
  <si>
    <t>9393471765</t>
  </si>
  <si>
    <t>Rubén Matute</t>
  </si>
  <si>
    <t>Maroto 1440, Depto. 85</t>
  </si>
  <si>
    <t>BIT11034686</t>
  </si>
  <si>
    <t>9394704406</t>
  </si>
  <si>
    <t>Loreto Rivas Bazaes</t>
  </si>
  <si>
    <t>Independencia 561, Funeraria La Casa de cristo</t>
  </si>
  <si>
    <t>BIT11034574</t>
  </si>
  <si>
    <t>9394831456</t>
  </si>
  <si>
    <t>Enrique Vega Saure</t>
  </si>
  <si>
    <t>Avda la montaña norte 3650, Casa 39F</t>
  </si>
  <si>
    <t>BIT11034694</t>
  </si>
  <si>
    <t>9407168956</t>
  </si>
  <si>
    <t>Octavio Doerr</t>
  </si>
  <si>
    <t>Laura Barros 120, casa 1 oriente 111, Concón, Región de Valparaíso</t>
  </si>
  <si>
    <t>BIT11034814</t>
  </si>
  <si>
    <t>9393517895</t>
  </si>
  <si>
    <t>Rodrigo Ignacio Osorio Olivares</t>
  </si>
  <si>
    <t>Las Fucsias 390</t>
  </si>
  <si>
    <t>BIT11034343</t>
  </si>
  <si>
    <t>9390847281</t>
  </si>
  <si>
    <t>Rene Rodrigo de Jesus Gaete Valenzuela</t>
  </si>
  <si>
    <t>Cardenal Caro 444, Casa</t>
  </si>
  <si>
    <t>BIT11034430</t>
  </si>
  <si>
    <t>9391618983</t>
  </si>
  <si>
    <t>Erika Rivera Sepúlveda</t>
  </si>
  <si>
    <t>Avenida Humeres 1812</t>
  </si>
  <si>
    <t>BIT11034186</t>
  </si>
  <si>
    <t>9391541364</t>
  </si>
  <si>
    <t>Pablo Antonio Sanhueza pizarro</t>
  </si>
  <si>
    <t>Calle de Gracia  2917</t>
  </si>
  <si>
    <t>BIT11034353</t>
  </si>
  <si>
    <t>9391295093</t>
  </si>
  <si>
    <t>Andrea Córdova</t>
  </si>
  <si>
    <t>Marlen Bozan Ramos 1500, Casa 26</t>
  </si>
  <si>
    <t>BIT11034225</t>
  </si>
  <si>
    <t>9390277606</t>
  </si>
  <si>
    <t>Tomas Gil ortiz</t>
  </si>
  <si>
    <t>Cpr golf los lirios calle las acacias i6, I6</t>
  </si>
  <si>
    <t>BIT11034492</t>
  </si>
  <si>
    <t>9407557456</t>
  </si>
  <si>
    <t>Avenida la hacienda 3008, 108a</t>
  </si>
  <si>
    <t>BIT11034191</t>
  </si>
  <si>
    <t>9390771950</t>
  </si>
  <si>
    <t>Santa Laura 511, depto 101, concon, 101</t>
  </si>
  <si>
    <t>BIT11034458</t>
  </si>
  <si>
    <t>9390111220</t>
  </si>
  <si>
    <t>Anibal Lara Bossa</t>
  </si>
  <si>
    <t>Calle Valle La Reserva 624</t>
  </si>
  <si>
    <t>BIT11034438</t>
  </si>
  <si>
    <t>9391648313</t>
  </si>
  <si>
    <t>Aguila Norte Pacela 18, 160052651</t>
  </si>
  <si>
    <t>BIT11034124</t>
  </si>
  <si>
    <t>9390243332</t>
  </si>
  <si>
    <t>Marisol Olivares</t>
  </si>
  <si>
    <t>Calle Del Sol 55, 251 B</t>
  </si>
  <si>
    <t>BIT11034379</t>
  </si>
  <si>
    <t>9390040170</t>
  </si>
  <si>
    <t>Carlos Agustín Letelier Aguilera</t>
  </si>
  <si>
    <t>Chacarillas Pasje. Estero el Carbón, Block# 989 Depto.#204</t>
  </si>
  <si>
    <t>BIT11034355</t>
  </si>
  <si>
    <t>9390907120</t>
  </si>
  <si>
    <t>BIT11034170</t>
  </si>
  <si>
    <t>9391720122</t>
  </si>
  <si>
    <t>Li Dinamarca</t>
  </si>
  <si>
    <t>Miraflores 782, 10</t>
  </si>
  <si>
    <t>BIT11034344</t>
  </si>
  <si>
    <t>9391193545</t>
  </si>
  <si>
    <t>Los Nogales Norte # 3212, Casa</t>
  </si>
  <si>
    <t>BIT11034132</t>
  </si>
  <si>
    <t>9390276501</t>
  </si>
  <si>
    <t>Alejandro Trejos Arrué</t>
  </si>
  <si>
    <t>Calle de Servicio N°220, sector Angostura, Casa</t>
  </si>
  <si>
    <t>BIT11034063</t>
  </si>
  <si>
    <t>9385105726</t>
  </si>
  <si>
    <t>Eduardo Meza</t>
  </si>
  <si>
    <t>Estrella de Chile 813, A 3</t>
  </si>
  <si>
    <t>2025-10-29 23:22</t>
  </si>
  <si>
    <t>BIT11034031</t>
  </si>
  <si>
    <t>9385991554</t>
  </si>
  <si>
    <t>Ruta F-74-G, Condominio Hacienda Viñedos de Casablanca Parcela J9</t>
  </si>
  <si>
    <t>BIT11033981</t>
  </si>
  <si>
    <t>9386119945</t>
  </si>
  <si>
    <t>Mariana Mena vargas</t>
  </si>
  <si>
    <t>Tiltil, Uno Oriente 171 171</t>
  </si>
  <si>
    <t>BIT11033931</t>
  </si>
  <si>
    <t>9386631214</t>
  </si>
  <si>
    <t>Yorsi Muñoz</t>
  </si>
  <si>
    <t>Villa america pasaje 2, 361</t>
  </si>
  <si>
    <t>2025-10-26 23:04</t>
  </si>
  <si>
    <t>BIT11033893</t>
  </si>
  <si>
    <t>9386588142</t>
  </si>
  <si>
    <t>Juan Carlos Reyes Naranjo</t>
  </si>
  <si>
    <t>Camino Cervera 1000, 116</t>
  </si>
  <si>
    <t>BIT11033938</t>
  </si>
  <si>
    <t>9386534802</t>
  </si>
  <si>
    <t>Ricardo Quiñones Leal</t>
  </si>
  <si>
    <t>Camino a melipilla 15736 peñaflor, Parcela 40</t>
  </si>
  <si>
    <t>2025-10-27 11:28</t>
  </si>
  <si>
    <t>BIT11033894</t>
  </si>
  <si>
    <t>9386798050</t>
  </si>
  <si>
    <t>BIT11034065</t>
  </si>
  <si>
    <t>9385238623</t>
  </si>
  <si>
    <t>Guillermo Barrera Cubillos</t>
  </si>
  <si>
    <t>Avenida Rancagua Nro. 198, Subcomisaría Carabineros</t>
  </si>
  <si>
    <t>BIT11033906</t>
  </si>
  <si>
    <t>9386499010</t>
  </si>
  <si>
    <t>BXG:EPINTO</t>
  </si>
  <si>
    <t>Angelica Orellana diaz</t>
  </si>
  <si>
    <t>Prieto 1055, Casa245</t>
  </si>
  <si>
    <t>BIT11034074</t>
  </si>
  <si>
    <t>9385567166</t>
  </si>
  <si>
    <t>Noelia Ibarra Merino</t>
  </si>
  <si>
    <t>Avda 7 abril 2086 lontue, De 9 a 14 y 16.30 a 20 hrs</t>
  </si>
  <si>
    <t>BIT11034013</t>
  </si>
  <si>
    <t>9385368156</t>
  </si>
  <si>
    <t>Paola Bravo</t>
  </si>
  <si>
    <t>Camino Lonquen Norte 14780, Parcela 44</t>
  </si>
  <si>
    <t>BIT11033844</t>
  </si>
  <si>
    <t>9387326045</t>
  </si>
  <si>
    <t>Claudia Villamil</t>
  </si>
  <si>
    <t>La Pinta 297</t>
  </si>
  <si>
    <t>2025-10-25 11:56</t>
  </si>
  <si>
    <t>BIT11033646</t>
  </si>
  <si>
    <t>9389935855</t>
  </si>
  <si>
    <t>Rodrigo Calderón Amaro</t>
  </si>
  <si>
    <t>Ruta 68 km 32,5, Caletera Norte, Sector Lolenco</t>
  </si>
  <si>
    <t>2025-10-21 11:43</t>
  </si>
  <si>
    <t>BIT11033857</t>
  </si>
  <si>
    <t>9386942773</t>
  </si>
  <si>
    <t>Nicole Cangas Muxica</t>
  </si>
  <si>
    <t>Pasaje San Jose 1242, casa 5</t>
  </si>
  <si>
    <t>DOR55014484</t>
  </si>
  <si>
    <t>257132717</t>
  </si>
  <si>
    <t>DORMILONES</t>
  </si>
  <si>
    <t>NOMBRE RETIRA: BERNARDO CORTEZ . RUT RETIRA: 18240624-4</t>
  </si>
  <si>
    <t>Bernardo Cortez</t>
  </si>
  <si>
    <t>John Byron 3368, 3368</t>
  </si>
  <si>
    <t>2025-11-11 21:17</t>
  </si>
  <si>
    <t>DOR55014528</t>
  </si>
  <si>
    <t>257445244</t>
  </si>
  <si>
    <t>NOMBRE RETIRA: TATIANA SCHONHERR . RUT RETIRA: 10626039-7</t>
  </si>
  <si>
    <t>Tatiana Schonherr</t>
  </si>
  <si>
    <t>Plaza 315, Liceo san felipe</t>
  </si>
  <si>
    <t>2025-11-16 21:12</t>
  </si>
  <si>
    <t>DOR55014571</t>
  </si>
  <si>
    <t>257688174</t>
  </si>
  <si>
    <t>NOMBRE RETIRA: PAOLA OLIVARES OLIVARES RUT RETIRA: 11721302-1</t>
  </si>
  <si>
    <t>Mackarena Ojeda</t>
  </si>
  <si>
    <t>Caspana #2092 villa ayquina , calama, Caspana #2092 villa ayquina , calama</t>
  </si>
  <si>
    <t>DOR55014581</t>
  </si>
  <si>
    <t>257771145</t>
  </si>
  <si>
    <t>NOMBRE RETIRA: JONATHAN GARCIA . RUT RETIRA: 65208654-3</t>
  </si>
  <si>
    <t>Daniel Reinoso</t>
  </si>
  <si>
    <t>Arenales 131, Dpto 1002</t>
  </si>
  <si>
    <t>DOR55014562</t>
  </si>
  <si>
    <t>257608651</t>
  </si>
  <si>
    <t>NOMBRE RETIRA: VALENTINA MUNOZ 0 RUT RETIRA: 19287336-3</t>
  </si>
  <si>
    <t>Valentina Muñoz Soto</t>
  </si>
  <si>
    <t>Carlos Pezoa Véliz 0628, Dpto 22</t>
  </si>
  <si>
    <t>2025-11-19 11:08</t>
  </si>
  <si>
    <t>DOR55014570</t>
  </si>
  <si>
    <t>257688180</t>
  </si>
  <si>
    <t>Sidney Alvarado Martínez</t>
  </si>
  <si>
    <t>Arturo Prat 350, Oficina 416</t>
  </si>
  <si>
    <t>DOR55014564</t>
  </si>
  <si>
    <t>257688199</t>
  </si>
  <si>
    <t>NOMBRE RETIRA: WUALTER MAGNA . RUT RETIRA: 7959587-K</t>
  </si>
  <si>
    <t>WALTER MAGNA</t>
  </si>
  <si>
    <t>Freire 1064, 1064</t>
  </si>
  <si>
    <t>2025-11-19 21:18</t>
  </si>
  <si>
    <t>DOR55014550</t>
  </si>
  <si>
    <t>257608685</t>
  </si>
  <si>
    <t>NOMBRE RETIRA: MARCELO RODRIGUEZ . RUT RETIRA: 16887609-2</t>
  </si>
  <si>
    <t>Cecilia Canessa</t>
  </si>
  <si>
    <t>Héctor Calvo 267, Casa 267</t>
  </si>
  <si>
    <t>2025-11-18 11:13</t>
  </si>
  <si>
    <t>DOR55014537</t>
  </si>
  <si>
    <t>257495591</t>
  </si>
  <si>
    <t>NOMBRE RETIRA: JULIANA VILLEGAS . RUT RETIRA: 23937010-1</t>
  </si>
  <si>
    <t>Juliana Villegas Rangel</t>
  </si>
  <si>
    <t>Andrés Sabella 140, Casa 3</t>
  </si>
  <si>
    <t>2025-11-17 21:19</t>
  </si>
  <si>
    <t>DOR55014543</t>
  </si>
  <si>
    <t>257608705</t>
  </si>
  <si>
    <t>NOMBRE RETIRA: RODOLFO JOYSE .. RUT RETIRA: 6676106-1</t>
  </si>
  <si>
    <t>Katy Heise mora</t>
  </si>
  <si>
    <t>Av. Pedro Aguirre Cerda 1600</t>
  </si>
  <si>
    <t>DOR55014552</t>
  </si>
  <si>
    <t>257608682</t>
  </si>
  <si>
    <t>NOMBRE RETIRA: MIGUEL RIOS TIOS RUT RETIRA: 76054582-1</t>
  </si>
  <si>
    <t>Leviantu Ruiz</t>
  </si>
  <si>
    <t>El Rabanal 1581, Casa 34</t>
  </si>
  <si>
    <t>2025-11-18 21:21</t>
  </si>
  <si>
    <t>DOR55014553</t>
  </si>
  <si>
    <t>257608636</t>
  </si>
  <si>
    <t>NOMBRE RETIRA: SINTIA ROSILLO . RUT RETIRA: 26152253-5</t>
  </si>
  <si>
    <t>Eugenio Sandoval</t>
  </si>
  <si>
    <t>Pasaje Seis 453</t>
  </si>
  <si>
    <t>DOR55014554</t>
  </si>
  <si>
    <t>257608657</t>
  </si>
  <si>
    <t>NOMBRE RETIRA: MARIA JESUS TURCHAN . RUT RETIRA: 19358888-3</t>
  </si>
  <si>
    <t>DOR55014540</t>
  </si>
  <si>
    <t>257495590</t>
  </si>
  <si>
    <t>NOMBRE RETIRA: ANDRES GONZALEZ X RUT RETIRA: 53320021-4</t>
  </si>
  <si>
    <t>Patricia Alvarez</t>
  </si>
  <si>
    <t>Laura Barros 205, Depto. 2204</t>
  </si>
  <si>
    <t>DOR55014518</t>
  </si>
  <si>
    <t>257445281</t>
  </si>
  <si>
    <t>NOMBRE RETIRA: CONDOMINIO NOGAL . RUT RETIRA: 65419140-9</t>
  </si>
  <si>
    <t>Paola Benavides</t>
  </si>
  <si>
    <t>Avenida Rica Aventura 10950, Casa 54</t>
  </si>
  <si>
    <t>2025-11-15 11:21</t>
  </si>
  <si>
    <t>DOR55014519</t>
  </si>
  <si>
    <t>257445265</t>
  </si>
  <si>
    <t>Yerko Morales</t>
  </si>
  <si>
    <t>Las Violetas 1742, Casa</t>
  </si>
  <si>
    <t>DOR55014531</t>
  </si>
  <si>
    <t>257445248</t>
  </si>
  <si>
    <t>NOMBRE RETIRA: FERNANDO ARISMENDI . RUT RETIRA: 8087949-0</t>
  </si>
  <si>
    <t>Fernando Daniel Arismendi Norambuena</t>
  </si>
  <si>
    <t>C. Itahue 054, Casa, villa galilea</t>
  </si>
  <si>
    <t>DOR55014515</t>
  </si>
  <si>
    <t>257445307</t>
  </si>
  <si>
    <t>NOMBRE RETIRA: LOMAS LOS PINOS 2 CINDEJE LADISLAV RUT RETIRA: 53330480-K</t>
  </si>
  <si>
    <t>Paola Paez</t>
  </si>
  <si>
    <t>Piedra lanceta 2518, 202E</t>
  </si>
  <si>
    <t>2025-11-14 21:29</t>
  </si>
  <si>
    <t>DOR55014517</t>
  </si>
  <si>
    <t>257445283</t>
  </si>
  <si>
    <t>NOMBRE RETIRA: MARIA MENDOZA . RUT RETIRA: 18805117-0</t>
  </si>
  <si>
    <t>María José Ulloa Mendoza</t>
  </si>
  <si>
    <t>Calle laguna verde #2398 condominio hacienda los encinos, Casa 7</t>
  </si>
  <si>
    <t>DOR55014526</t>
  </si>
  <si>
    <t>257445234</t>
  </si>
  <si>
    <t>NOMBRE RETIRA: MARIO COLLINS . RUT RETIRA: 53303479-9</t>
  </si>
  <si>
    <t>Elena Garces</t>
  </si>
  <si>
    <t>Cuatro norte 290, 151</t>
  </si>
  <si>
    <t>2025-11-16 21:11</t>
  </si>
  <si>
    <t>DOR55014504</t>
  </si>
  <si>
    <t>257288730</t>
  </si>
  <si>
    <t>NOMBRE RETIRA: MACARENA SABEDRA . RUT RETIRA: 16864646-1</t>
  </si>
  <si>
    <t>Mairon Berrios</t>
  </si>
  <si>
    <t>Arturo prat 3022</t>
  </si>
  <si>
    <t>2025-11-13 21:16</t>
  </si>
  <si>
    <t>DOR55014512</t>
  </si>
  <si>
    <t>257288706</t>
  </si>
  <si>
    <t>NOMBRE RETIRA: KURT FASLER FASLER RUT RETIRA: 17552926-8</t>
  </si>
  <si>
    <t>Kurt Fassler</t>
  </si>
  <si>
    <t>Lequena 2426</t>
  </si>
  <si>
    <t>DOR55014503</t>
  </si>
  <si>
    <t>257288741</t>
  </si>
  <si>
    <t>NOMBRE RETIRA: JOAQUIN ARISMENDI T RUT RETIRA: 22484308-9</t>
  </si>
  <si>
    <t>Raul Arismendi Atencio</t>
  </si>
  <si>
    <t>18 de Septiembre 1912</t>
  </si>
  <si>
    <t>DOR55014505</t>
  </si>
  <si>
    <t>257288734</t>
  </si>
  <si>
    <t>NOMBRE RETIRA: ALEXIS DIAZ . RUT RETIRA: 16763915-1</t>
  </si>
  <si>
    <t>Av. Javiera Carrera 6735 lomas coloradas, san pedro de la paz, empresa Tecman</t>
  </si>
  <si>
    <t>DOR55014511</t>
  </si>
  <si>
    <t>257288689</t>
  </si>
  <si>
    <t>NOMBRE RETIRA: CAROLINA COLIMA . RUT RETIRA: 20685212-7</t>
  </si>
  <si>
    <t>Carolina Colima</t>
  </si>
  <si>
    <t>DOR55014470</t>
  </si>
  <si>
    <t>256951247</t>
  </si>
  <si>
    <t>NOMBRE RETIRA: GISELL ACUNA G RUT RETIRA: 17885391-0</t>
  </si>
  <si>
    <t>Patricio Aguirre</t>
  </si>
  <si>
    <t>Julio Montt Salamanca 73 A, Casa</t>
  </si>
  <si>
    <t>2025-11-10 11:11</t>
  </si>
  <si>
    <t>DOR55014495</t>
  </si>
  <si>
    <t>257216184</t>
  </si>
  <si>
    <t>NOMBRE RETIRA: BASTIAM DONOSO . RUT RETIRA: 21289289-0</t>
  </si>
  <si>
    <t>Marisol Avila Ramirez</t>
  </si>
  <si>
    <t>María Dolores condominio los Maitenes, 112</t>
  </si>
  <si>
    <t>2025-11-12 21:24</t>
  </si>
  <si>
    <t>DOR55014496</t>
  </si>
  <si>
    <t>257216154</t>
  </si>
  <si>
    <t>NOMBRE RETIRA: RODRIGO GARCIA . RUT RETIRA: 13021147-K</t>
  </si>
  <si>
    <t>Sara Gutierrez</t>
  </si>
  <si>
    <t>Av. Santa cruz 116 , Condominio Mallorca</t>
  </si>
  <si>
    <t>DOR55014494</t>
  </si>
  <si>
    <t>257216178</t>
  </si>
  <si>
    <t>NOMBRE RETIRA: XIMENA FERNANDEZ . RUT RETIRA: 13378410-1</t>
  </si>
  <si>
    <t>Enrique Castillo Anderson</t>
  </si>
  <si>
    <t>Pedro Aguirre Cerda 2521C, Porton 2521C</t>
  </si>
  <si>
    <t>DOR55014493</t>
  </si>
  <si>
    <t>257216176</t>
  </si>
  <si>
    <t>NOMBRE RETIRA: MARIA ULLOA . RUT RETIRA: 18805117-0</t>
  </si>
  <si>
    <t>Calle Laguna Verde 2398 ( Condominio Hacienda Los Encinos), Casa 7</t>
  </si>
  <si>
    <t>DOR55014443</t>
  </si>
  <si>
    <t>256951494</t>
  </si>
  <si>
    <t>NOMBRE RETIRA: MISAEL VERA . RUT RETIRA: 8577773-4</t>
  </si>
  <si>
    <t>JACQUELINE ALVAREZ</t>
  </si>
  <si>
    <t>Arturo Fernández 2011, 91</t>
  </si>
  <si>
    <t>2025-11-07 21:17</t>
  </si>
  <si>
    <t>DOR55014477</t>
  </si>
  <si>
    <t>257048719</t>
  </si>
  <si>
    <t>NOMBRE RETIRA: DANY GODOY . RUT RETIRA: 9430241-2</t>
  </si>
  <si>
    <t>Angélica Barra Pérez</t>
  </si>
  <si>
    <t>Av. Arturo Prat Chacón 2272, Barbados depto 1204</t>
  </si>
  <si>
    <t>DOR55014460</t>
  </si>
  <si>
    <t>256951279</t>
  </si>
  <si>
    <t>NOMBRE RETIRA: VERONICA CORTE . RUT RETIRA: 12443666-4</t>
  </si>
  <si>
    <t>Nicole Palape</t>
  </si>
  <si>
    <t>Nicolas Tirado 90, Departamento 43B</t>
  </si>
  <si>
    <t>2025-11-09 21:15</t>
  </si>
  <si>
    <t>DOR55014483</t>
  </si>
  <si>
    <t>257132694</t>
  </si>
  <si>
    <t>NOMBRE RETIRA: TOMAS MELENDEZ MELENDEZ RUT RETIRA: 19592300-0</t>
  </si>
  <si>
    <t>Tomás Meléndez</t>
  </si>
  <si>
    <t>Pasaje los Capachitos 2165, Bosques de Santa Clara</t>
  </si>
  <si>
    <t>DOR55014488</t>
  </si>
  <si>
    <t>257132701</t>
  </si>
  <si>
    <t>Santiago Gutiérrez</t>
  </si>
  <si>
    <t>Guillermo Gallardo 184, 203</t>
  </si>
  <si>
    <t>DOR55014462</t>
  </si>
  <si>
    <t>256951299</t>
  </si>
  <si>
    <t>NOMBRE RETIRA: MANUEL GARCIA . RUT RETIRA: 8226113-3</t>
  </si>
  <si>
    <t>Karen Aracena Sanchez</t>
  </si>
  <si>
    <t>Gandarilla 940, Trabajo liceo Gregorio Cordovez</t>
  </si>
  <si>
    <t>DOR55014451</t>
  </si>
  <si>
    <t>256951383</t>
  </si>
  <si>
    <t>NOMBRE RETIRA: MARIA VILLANUEVA OBIEDO RUT RETIRA: 12618323-2</t>
  </si>
  <si>
    <t>MARÍA SOLEDAD Villanueva</t>
  </si>
  <si>
    <t>Alejandro kreby 1465 Las Canteras</t>
  </si>
  <si>
    <t>DOR55014467</t>
  </si>
  <si>
    <t>256951213</t>
  </si>
  <si>
    <t>NOMBRE RETIRA: RAQUEL SOTO . RUT RETIRA: 11218682-4</t>
  </si>
  <si>
    <t>Francisca Alvarez Alvarado</t>
  </si>
  <si>
    <t>Calle Volcán Choshuenco 5111 , Casa 4. Condominio Alto del Bosque</t>
  </si>
  <si>
    <t>DOR55014476</t>
  </si>
  <si>
    <t>257048715</t>
  </si>
  <si>
    <t>NOMBRE RETIRA: MACARENA AHUMADA ...... RUT RETIRA: 15057598-2</t>
  </si>
  <si>
    <t>Macarena Ahumada</t>
  </si>
  <si>
    <t>Pasaje lago perihueico, Villa los Lagos, 1140</t>
  </si>
  <si>
    <t>2025-11-10 21:07</t>
  </si>
  <si>
    <t>DOR55014474</t>
  </si>
  <si>
    <t>257048716</t>
  </si>
  <si>
    <t>NOMBRE RETIRA: TERESA MEDINA SANDOVAL RUT RETIRA: 6899955-3</t>
  </si>
  <si>
    <t>Renata Rojas Calderon</t>
  </si>
  <si>
    <t>Janequeo 740 , Valentín Letelier</t>
  </si>
  <si>
    <t>DOR55014450</t>
  </si>
  <si>
    <t>256951447</t>
  </si>
  <si>
    <t>NOMBRE RETIRA: VICTOR ORTEGA A RUT RETIRA: 6532282-K</t>
  </si>
  <si>
    <t>Daniela Ramírez Espina</t>
  </si>
  <si>
    <t>Las tres carabelas 33</t>
  </si>
  <si>
    <t>DOR55014452</t>
  </si>
  <si>
    <t>256951414</t>
  </si>
  <si>
    <t>NOMBRE RETIRA: ANTONIO ABURTO . RUT RETIRA: 16113362-0</t>
  </si>
  <si>
    <t>fernanda castro nieto</t>
  </si>
  <si>
    <t>vicente reyes 1147, casa</t>
  </si>
  <si>
    <t>DOR55014458</t>
  </si>
  <si>
    <t>256951328</t>
  </si>
  <si>
    <t>NOMBRE RETIRA: SAMUEL TAPIA TAPIA RUT RETIRA: 18648266-2</t>
  </si>
  <si>
    <t>Alejandra Salazar</t>
  </si>
  <si>
    <t>Francisco de miranda 1370 villa triana</t>
  </si>
  <si>
    <t>DOR55014457</t>
  </si>
  <si>
    <t>256951355</t>
  </si>
  <si>
    <t>Orlando Quiñones flores</t>
  </si>
  <si>
    <t>Sendero Del Bosque 901, Casa 20</t>
  </si>
  <si>
    <t>DOR55014469</t>
  </si>
  <si>
    <t>256951233</t>
  </si>
  <si>
    <t>NOMBRE RETIRA: SEBADTIAN GONZALEZ . RUT RETIRA: 17186057-1</t>
  </si>
  <si>
    <t>Camila Piña</t>
  </si>
  <si>
    <t>Jackson 900, Siena 2, Depto. 11</t>
  </si>
  <si>
    <t>DOR55014444</t>
  </si>
  <si>
    <t>256951498</t>
  </si>
  <si>
    <t>Carlos Jara</t>
  </si>
  <si>
    <t>P Mackenna 1122, Depto. 502. Edificio Vista Mackenna</t>
  </si>
  <si>
    <t>DOR55014459</t>
  </si>
  <si>
    <t>256951216</t>
  </si>
  <si>
    <t>NOMBRE RETIRA: JOSE RUBILAR . RUT RETIRA: 53333344-3</t>
  </si>
  <si>
    <t>Alejandro javier Ilabaca Vera</t>
  </si>
  <si>
    <t>LOS TREBOLES 210 #291 VILLA ALEMANA, Casa 291, Condominio Mirador Norte</t>
  </si>
  <si>
    <t>DOR55014445</t>
  </si>
  <si>
    <t>256951473</t>
  </si>
  <si>
    <t>NOMBRE RETIRA: CAROLINA ROJAS . RUT RETIRA: 9444126-9</t>
  </si>
  <si>
    <t>Avenida Estero lagunillas depto 14, Block 2699 BL</t>
  </si>
  <si>
    <t>DOR55014456</t>
  </si>
  <si>
    <t>256951307</t>
  </si>
  <si>
    <t>NOMBRE RETIRA: LORNA HUINCHALAF . RUT RETIRA: 15204509-3</t>
  </si>
  <si>
    <t>Lord Cochrane 599, Pasaje Las Brisas 19 Condominio Vientos del Sur</t>
  </si>
  <si>
    <t>DOR55014481</t>
  </si>
  <si>
    <t>257048687</t>
  </si>
  <si>
    <t>NOMBRE RETIRA: VALENTINA PEREZ P RUT RETIRA: 56049520-K</t>
  </si>
  <si>
    <t>Oscar Alzola</t>
  </si>
  <si>
    <t>Halimeda Oriente 1630, 2101</t>
  </si>
  <si>
    <t>DOR55014478</t>
  </si>
  <si>
    <t>257048696</t>
  </si>
  <si>
    <t>NOMBRE RETIRA: ANABEL GOMEZ . RUT RETIRA: 26076095-5</t>
  </si>
  <si>
    <t>Anabel Gomez Garcia</t>
  </si>
  <si>
    <t>Avenida Costanera 5425, Departamento 1806</t>
  </si>
  <si>
    <t>DOR55014449</t>
  </si>
  <si>
    <t>256951424</t>
  </si>
  <si>
    <t>NOMBRE RETIRA: JACQUELINE MELLA . RUT RETIRA: 11448782-1</t>
  </si>
  <si>
    <t>Hugo Araneda</t>
  </si>
  <si>
    <t>Lomas De Angol Km 1.5</t>
  </si>
  <si>
    <t>DOR55014463</t>
  </si>
  <si>
    <t>256951287</t>
  </si>
  <si>
    <t>NOMBRE RETIRA: WILSON PINI CONTRERAS RUT RETIRA: 9406363-9</t>
  </si>
  <si>
    <t>Valeria Pérez</t>
  </si>
  <si>
    <t>Avenida Eusebio Lillo 1574, Casa 40, condominio Los Parrones</t>
  </si>
  <si>
    <t>DOR55014418</t>
  </si>
  <si>
    <t>256718376</t>
  </si>
  <si>
    <t>NOMBRE RETIRA: MARIA VERONICA . RUT RETIRA: 12345678-5</t>
  </si>
  <si>
    <t>Maria Veronica Robertson</t>
  </si>
  <si>
    <t>El olivar 2045</t>
  </si>
  <si>
    <t>2025-11-05 21:12</t>
  </si>
  <si>
    <t>DOR55014402</t>
  </si>
  <si>
    <t>256637771</t>
  </si>
  <si>
    <t>NOMBRE RETIRA: MATIAS GARCIA A RUT RETIRA: 15692585-3</t>
  </si>
  <si>
    <t>Matias Garcia</t>
  </si>
  <si>
    <t>Arquitecto Agustín caballero 2381, Población Carlos roni</t>
  </si>
  <si>
    <t>2025-11-04 21:19</t>
  </si>
  <si>
    <t>DOR55014438</t>
  </si>
  <si>
    <t>256793621</t>
  </si>
  <si>
    <t>NOMBRE RETIRA: PRISCILA CASTILLO X RUT RETIRA: 16259864-3</t>
  </si>
  <si>
    <t>Patricio Apablaza</t>
  </si>
  <si>
    <t>Bilbao 796, Casa 23</t>
  </si>
  <si>
    <t>DOR55014436</t>
  </si>
  <si>
    <t>256793625</t>
  </si>
  <si>
    <t>NOMBRE RETIRA: BETZY BUENO X RUT RETIRA: 26724629-7</t>
  </si>
  <si>
    <t>Alvaro Santos aponte</t>
  </si>
  <si>
    <t>Francisco Bilbao 738, Casa 05</t>
  </si>
  <si>
    <t>2025-11-06 21:14</t>
  </si>
  <si>
    <t>DOR55014303</t>
  </si>
  <si>
    <t>256049404</t>
  </si>
  <si>
    <t>NOMBRE RETIRA: ANA REBOLLEDI . RUT RETIRA: 18642909-5</t>
  </si>
  <si>
    <t>Ana Rebolledo</t>
  </si>
  <si>
    <t>Pedro Aguirre Cerda 455</t>
  </si>
  <si>
    <t>2025-10-26 23:20</t>
  </si>
  <si>
    <t>DOR55014412</t>
  </si>
  <si>
    <t>256637694</t>
  </si>
  <si>
    <t>NOMBRE RETIRA: MARCELA RUIZ . RUT RETIRA: 28946955-9</t>
  </si>
  <si>
    <t>Silvia Bustamante Retamal</t>
  </si>
  <si>
    <t>Tamarugal 2993, 186</t>
  </si>
  <si>
    <t>2025-11-05 11:35</t>
  </si>
  <si>
    <t>DOR55014434</t>
  </si>
  <si>
    <t>256793663</t>
  </si>
  <si>
    <t>NOMBRE RETIRA: CHYNTIA ROJAS GALLEGUILLOS RUT RETIRA: 16243816-6</t>
  </si>
  <si>
    <t>Cynthia Rojas Galleguillos</t>
  </si>
  <si>
    <t>Julio Munizaga 61, Población Joaquín Vicuña</t>
  </si>
  <si>
    <t>DOR55014428</t>
  </si>
  <si>
    <t>256718297</t>
  </si>
  <si>
    <t>NOMBRE RETIRA: SERGIO DIAZ . RUT RETIRA: 18014955-4</t>
  </si>
  <si>
    <t>Sergio Díaz Z.</t>
  </si>
  <si>
    <t>La Portada 1100, 406</t>
  </si>
  <si>
    <t>DOR55014432</t>
  </si>
  <si>
    <t>256793670</t>
  </si>
  <si>
    <t>NOMBRE RETIRA: FEDERICO DEANDREA . RUT RETIRA: 25471908-0</t>
  </si>
  <si>
    <t>Federico Dandrea</t>
  </si>
  <si>
    <t>Calle Polar 547</t>
  </si>
  <si>
    <t>DOR55014431</t>
  </si>
  <si>
    <t>256718326</t>
  </si>
  <si>
    <t>NOMBRE RETIRA: ANGIE LOPEZ CRUZ RUT RETIRA: 23770028-7</t>
  </si>
  <si>
    <t>López cruz López cruz</t>
  </si>
  <si>
    <t>Arcaya 341, Villa Lomas Huasi</t>
  </si>
  <si>
    <t>DOR55014426</t>
  </si>
  <si>
    <t>256718343</t>
  </si>
  <si>
    <t>NOMBRE RETIRA: EDUARD VILLALOBOS. . RUT RETIRA: 11327439-5</t>
  </si>
  <si>
    <t>Silvana Villalobos</t>
  </si>
  <si>
    <t>Chumil 1495, Casa</t>
  </si>
  <si>
    <t>DOR55014435</t>
  </si>
  <si>
    <t>256793630</t>
  </si>
  <si>
    <t>NOMBRE RETIRA: PATRICIO MORALES A RUT RETIRA: 19007901-5</t>
  </si>
  <si>
    <t>Monserrat 836, Villa Cataluña</t>
  </si>
  <si>
    <t>DOR55014433</t>
  </si>
  <si>
    <t>256793654</t>
  </si>
  <si>
    <t>NOMBRE RETIRA: SUSANA PINTO . RUT RETIRA: 16813385-5</t>
  </si>
  <si>
    <t>Susana Pinto</t>
  </si>
  <si>
    <t>Calle Limache 2239, Chorrillos, Casa al lado de la corporación de asistencia judicial Limache 2241</t>
  </si>
  <si>
    <t>DOR55014351</t>
  </si>
  <si>
    <t>256465204</t>
  </si>
  <si>
    <t>NOMBRE RETIRA: NELIDA CARRIZO I RUT RETIRA: 16136108-9</t>
  </si>
  <si>
    <t>Pasaje Carlos Perez Bretti 8666</t>
  </si>
  <si>
    <t>2025-11-02 19:13</t>
  </si>
  <si>
    <t>DOR55014406</t>
  </si>
  <si>
    <t>256637727</t>
  </si>
  <si>
    <t>NOMBRE RETIRA: MARGARITA LOAIZA M RUT RETIRA: 26947835-7</t>
  </si>
  <si>
    <t>Margarita Loayza</t>
  </si>
  <si>
    <t>Avenida la Viñita, Estancia Mirador, parcela 83, Nueva Talcuna, Estancia Mirador, parcela 83</t>
  </si>
  <si>
    <t>DOR55014405</t>
  </si>
  <si>
    <t>256637706</t>
  </si>
  <si>
    <t>NOMBRE RETIRA: JAVIER GONZALEZ G RUT RETIRA: 56049520-K</t>
  </si>
  <si>
    <t>Anais Muñoz</t>
  </si>
  <si>
    <t>Los medanos 171, Depto 82</t>
  </si>
  <si>
    <t>DOR55014399</t>
  </si>
  <si>
    <t>256637764</t>
  </si>
  <si>
    <t>NOMBRE RETIRA: ADOLFO REYES . RUT RETIRA: 18867851-3</t>
  </si>
  <si>
    <t>Adolfo Reyes riquelme</t>
  </si>
  <si>
    <t>Arica 680 victoria novena región</t>
  </si>
  <si>
    <t>DOR55014404</t>
  </si>
  <si>
    <t>256637750</t>
  </si>
  <si>
    <t>NOMBRE RETIRA: JOAQUIN PEREZ . RUT RETIRA: 18734021-7</t>
  </si>
  <si>
    <t>Joaquín Pérez Vargas</t>
  </si>
  <si>
    <t>Juan Martinez de Rosas 24</t>
  </si>
  <si>
    <t>DOR55014414</t>
  </si>
  <si>
    <t>256718380</t>
  </si>
  <si>
    <t>NOMBRE RETIRA: MAX HONORES .. RUT RETIRA: 21448507-9</t>
  </si>
  <si>
    <t>Francisco Castro perez</t>
  </si>
  <si>
    <t>Av. Circunvalación 960, Departamento 403 Torre F</t>
  </si>
  <si>
    <t>DOR55014417</t>
  </si>
  <si>
    <t>256718353</t>
  </si>
  <si>
    <t>NOMBRE RETIRA: GARY FARFAN . RUT RETIRA: 17747152-6</t>
  </si>
  <si>
    <t>GARY FARFAN</t>
  </si>
  <si>
    <t>CHACABUCO 202 , ESQUINA TRES MONTES. OFICINA</t>
  </si>
  <si>
    <t>DOR55014421</t>
  </si>
  <si>
    <t>256718364</t>
  </si>
  <si>
    <t>NOMBRE RETIRA: ENRIQUE CASTILLO . RUT RETIRA: 10767576-0</t>
  </si>
  <si>
    <t>Pedro Aguirre Cerda 2521C</t>
  </si>
  <si>
    <t>DOR55014422</t>
  </si>
  <si>
    <t>256718346</t>
  </si>
  <si>
    <t>NOMBRE RETIRA: NATHALIE VIVANCO M RUT RETIRA: 26076095-5</t>
  </si>
  <si>
    <t>Nathalie Vivanco</t>
  </si>
  <si>
    <t>Av. los Pescadores 5281, 1404</t>
  </si>
  <si>
    <t>DOR55014348</t>
  </si>
  <si>
    <t>256465236</t>
  </si>
  <si>
    <t>Sayury Rojas</t>
  </si>
  <si>
    <t>Avenida Iquique 3857, Depto 62</t>
  </si>
  <si>
    <t>DOR55014358</t>
  </si>
  <si>
    <t>256465156</t>
  </si>
  <si>
    <t>NOMBRE RETIRA: BELEN VALLEJOS . RUT RETIRA: 20091258-6</t>
  </si>
  <si>
    <t>Amaya Alondra Erazo Tara</t>
  </si>
  <si>
    <t>Av. Santiago Arata Gandolfo 4083, Block 9 depto 42</t>
  </si>
  <si>
    <t>DOR55014357</t>
  </si>
  <si>
    <t>256465181</t>
  </si>
  <si>
    <t>NOMBRE RETIRA: MARIA PAZ . RUT RETIRA: 12345678-5</t>
  </si>
  <si>
    <t>Javier Ignacio Schiller Claveria</t>
  </si>
  <si>
    <t>Santa Coloma de Farnes 2887, 2887</t>
  </si>
  <si>
    <t>DOR55014369</t>
  </si>
  <si>
    <t>256465108</t>
  </si>
  <si>
    <t>NOMBRE RETIRA: DANILO ORDES .. RUT RETIRA: 15560702-5</t>
  </si>
  <si>
    <t>maria pardo morales</t>
  </si>
  <si>
    <t>Fuerte Aguayo,  Parcela 78, Parcela 78</t>
  </si>
  <si>
    <t>2025-11-02 19:14</t>
  </si>
  <si>
    <t>DOR55014391</t>
  </si>
  <si>
    <t>256557660</t>
  </si>
  <si>
    <t>NOMBRE RETIRA: MARIA CONSERJE . RUT RETIRA: 19364246-2</t>
  </si>
  <si>
    <t>Martin Astaburuaga</t>
  </si>
  <si>
    <t>Comandante Luis Soto 759, Departamento 603. Torre B</t>
  </si>
  <si>
    <t>2025-11-03 22:30</t>
  </si>
  <si>
    <t>DOR55014352</t>
  </si>
  <si>
    <t>256465225</t>
  </si>
  <si>
    <t>NOMBRE RETIRA: PEDRO IGNACIO ARAVENA RUT RETIRA: 18446261-3</t>
  </si>
  <si>
    <t>Pedro Ignacio Aravena Concha</t>
  </si>
  <si>
    <t>Freire 377, 1502</t>
  </si>
  <si>
    <t>DOR55014372</t>
  </si>
  <si>
    <t>256465101</t>
  </si>
  <si>
    <t>NOMBRE RETIRA: ANDRES FOLLERT . RUT RETIRA: 11503593-2</t>
  </si>
  <si>
    <t>Laguna Mansa 1995, Casa verde, porton negro</t>
  </si>
  <si>
    <t>DOR55014388</t>
  </si>
  <si>
    <t>256557681</t>
  </si>
  <si>
    <t>NOMBRE RETIRA: DANIEL CASERES C RUT RETIRA: 19248643-2</t>
  </si>
  <si>
    <t>Daniel Cáceres</t>
  </si>
  <si>
    <t>Nibaldo Schwencke 1726, 1726</t>
  </si>
  <si>
    <t>DOR55014395</t>
  </si>
  <si>
    <t>256557628</t>
  </si>
  <si>
    <t>NOMBRE RETIRA: JAIME SUBIABRE 0 RUT RETIRA: 17594215-7</t>
  </si>
  <si>
    <t>Jaime Subiabre</t>
  </si>
  <si>
    <t>Ilusion 10, Casa</t>
  </si>
  <si>
    <t>DOR55014361</t>
  </si>
  <si>
    <t>256465136</t>
  </si>
  <si>
    <t>NOMBRE RETIRA: ALEJANDRA VENEGAS J RUT RETIRA: 20066879-0</t>
  </si>
  <si>
    <t>Alejandra Venegas</t>
  </si>
  <si>
    <t>Caupolicán 1484, 402A</t>
  </si>
  <si>
    <t>DOR55014383</t>
  </si>
  <si>
    <t>256465064</t>
  </si>
  <si>
    <t>NOMBRE RETIRA: MAURIVIO ATENAS . RUT RETIRA: 15095499-1</t>
  </si>
  <si>
    <t>Karina Fuentealba Peña</t>
  </si>
  <si>
    <t>Pje. Maule 100, El Polo</t>
  </si>
  <si>
    <t>2025-11-03 11:15</t>
  </si>
  <si>
    <t>DOR55014365</t>
  </si>
  <si>
    <t>256465122</t>
  </si>
  <si>
    <t>NOMBRE RETIRA: DANILO LIRA . RUT RETIRA: 53319547-4</t>
  </si>
  <si>
    <t>Paula Mella Fierro</t>
  </si>
  <si>
    <t>Avenida Andalué 2736, Edificio Altamar. Depto. 34</t>
  </si>
  <si>
    <t>DOR55014380</t>
  </si>
  <si>
    <t>256465071</t>
  </si>
  <si>
    <t>NOMBRE RETIRA: RICARDO ORMEDO . RUT RETIRA: 70498600-9</t>
  </si>
  <si>
    <t>Imara Sáez González</t>
  </si>
  <si>
    <t>12 Norte 571, Apartamento 404 torre B</t>
  </si>
  <si>
    <t>DOR55014398</t>
  </si>
  <si>
    <t>256557611</t>
  </si>
  <si>
    <t>NOMBRE RETIRA: EVELIN CONTRERAS . RUT RETIRA: 17197405-4</t>
  </si>
  <si>
    <t>Daniel Medina</t>
  </si>
  <si>
    <t>Calle Primera 902, Casa</t>
  </si>
  <si>
    <t>DOR55014345</t>
  </si>
  <si>
    <t>256465252</t>
  </si>
  <si>
    <t>NOMBRE RETIRA: ADA DORNER . RUT RETIRA: 12345678-5</t>
  </si>
  <si>
    <t>Andrés Goro</t>
  </si>
  <si>
    <t>Arturo Alessandri 503, Clínica Dental</t>
  </si>
  <si>
    <t>DOR55014393</t>
  </si>
  <si>
    <t>256557659</t>
  </si>
  <si>
    <t>NOMBRE RETIRA: MARCELA BECERRA . RUT RETIRA: 13151909-5</t>
  </si>
  <si>
    <t>Soraya Eluti</t>
  </si>
  <si>
    <t>Calama 1175, Victoria Ix RegiÓn, Casa Tienda Abajo</t>
  </si>
  <si>
    <t>DOR55014370</t>
  </si>
  <si>
    <t>256465114</t>
  </si>
  <si>
    <t>NOMBRE RETIRA: ROSARIO TORRES . RUT RETIRA: 19358145-5</t>
  </si>
  <si>
    <t>Rosario Torres</t>
  </si>
  <si>
    <t>Serrano 327, Casa café, Costado Cruz Roja de Limache</t>
  </si>
  <si>
    <t>DOR55014386</t>
  </si>
  <si>
    <t>256465059</t>
  </si>
  <si>
    <t>NOMBRE RETIRA: CARLOS RIVERA 0 RUT RETIRA: 17897686-9</t>
  </si>
  <si>
    <t>Mariana Montecinos</t>
  </si>
  <si>
    <t>Los Canelos 555, Depto 48</t>
  </si>
  <si>
    <t>DOR55014394</t>
  </si>
  <si>
    <t>256557631</t>
  </si>
  <si>
    <t>NOMBRE RETIRA: KATERIN VELAZQUES . RUT RETIRA: 17469558-K</t>
  </si>
  <si>
    <t>Catherinne Velásquez Villarreal</t>
  </si>
  <si>
    <t>Esmeralda 1397, Centro Vital Balance</t>
  </si>
  <si>
    <t>DOR55014392</t>
  </si>
  <si>
    <t>256557651</t>
  </si>
  <si>
    <t>NOMBRE RETIRA: JAIME GARCIA N RUT RETIRA: 65163035-5</t>
  </si>
  <si>
    <t>Las Acacias 749, Dpto. 822. Peñablanca</t>
  </si>
  <si>
    <t>DOR55014355</t>
  </si>
  <si>
    <t>256465175</t>
  </si>
  <si>
    <t>NOMBRE RETIRA: CECILIA SALAS . RUT RETIRA: 20301600-K</t>
  </si>
  <si>
    <t>Cecilia Salas</t>
  </si>
  <si>
    <t>Rancagua 56, casa</t>
  </si>
  <si>
    <t>DOR55014360</t>
  </si>
  <si>
    <t>256465149</t>
  </si>
  <si>
    <t>NOMBRE RETIRA: ESCARLET ELIZABETH ELIZABETH RUT RETIRA: 21567275-1</t>
  </si>
  <si>
    <t>Escarlet Elizabeth Valenzuela Herrera</t>
  </si>
  <si>
    <t>Obispo Larraín 839, Casa</t>
  </si>
  <si>
    <t>DOR55014338</t>
  </si>
  <si>
    <t>256289471</t>
  </si>
  <si>
    <t>NOMBRE RETIRA: MIGUEL AVALOS . RUT RETIRA: 12345678-5</t>
  </si>
  <si>
    <t>Miguel Avalos</t>
  </si>
  <si>
    <t>Av. Bonilla 7446, Block 11, Casa 7</t>
  </si>
  <si>
    <t>2025-10-29 23:26</t>
  </si>
  <si>
    <t>DOR55014331</t>
  </si>
  <si>
    <t>256203821</t>
  </si>
  <si>
    <t>NOMBRE RETIRA: CARLOS MONTANO 0 RUT RETIRA: 12345678-5</t>
  </si>
  <si>
    <t>Alejandra Escobar</t>
  </si>
  <si>
    <t>Llullaillaco 02551 Edif Salitrera Avanzada, Departamento 203</t>
  </si>
  <si>
    <t>2025-10-29 10:15</t>
  </si>
  <si>
    <t>DOR55014332</t>
  </si>
  <si>
    <t>256203795</t>
  </si>
  <si>
    <t>NOMBRE RETIRA: KAROLINA RUIZ . RUT RETIRA: 21490147-1</t>
  </si>
  <si>
    <t>Brenda Castañeda</t>
  </si>
  <si>
    <t>Santa Isabel 3688 cond. Nuevo Horizonte, Torre A2 Norte dpto 203</t>
  </si>
  <si>
    <t>DOR55014329</t>
  </si>
  <si>
    <t>256203829</t>
  </si>
  <si>
    <t>NOMBRE RETIRA: JORGE PIZARRO X RUT RETIRA: 22176650-4</t>
  </si>
  <si>
    <t>Suspiro 1318 B, Casa segundo piso</t>
  </si>
  <si>
    <t>DOR55014339</t>
  </si>
  <si>
    <t>256289464</t>
  </si>
  <si>
    <t>NOMBRE RETIRA: LUCINDA HENRIQUEZ . RUT RETIRA: 15592746-1</t>
  </si>
  <si>
    <t>Viviana Gutiérrez</t>
  </si>
  <si>
    <t>Calle Tres Norte 950, Torre 1 depto. 201. Condominio don Pedro 2</t>
  </si>
  <si>
    <t>DOR55014326</t>
  </si>
  <si>
    <t>256203832</t>
  </si>
  <si>
    <t>NOMBRE RETIRA: MAURICIO SALAZAR X RUT RETIRA: 17881035-9</t>
  </si>
  <si>
    <t>Angelica Espinoza Belmar</t>
  </si>
  <si>
    <t>Presidente rios 527, 527</t>
  </si>
  <si>
    <t>DOR55014690</t>
  </si>
  <si>
    <t>712978102340</t>
  </si>
  <si>
    <t>Nombre: Jose soto - Rut: 171525772</t>
  </si>
  <si>
    <t>Alfarera Teresa Castro Barrales Oriente 2531</t>
  </si>
  <si>
    <t>DOR55014485</t>
  </si>
  <si>
    <t>712971520166</t>
  </si>
  <si>
    <t>Nombre: Mariana bolivar - Rut: 278637883</t>
  </si>
  <si>
    <t>Ana Carolina Marín Macedo</t>
  </si>
  <si>
    <t>Pardo 526</t>
  </si>
  <si>
    <t>DOR55014466</t>
  </si>
  <si>
    <t>712970634972</t>
  </si>
  <si>
    <t>Nombre: Gabriel Gomez - Rut: 650501403</t>
  </si>
  <si>
    <t>Kattirant Moya</t>
  </si>
  <si>
    <t>Avenida Pajaritos 1200, Parcela 31. Condominio Eucaliptus de malloco</t>
  </si>
  <si>
    <t>DOR55014416</t>
  </si>
  <si>
    <t>712969118116</t>
  </si>
  <si>
    <t>Nombre: fatimaa vera - Rut: 208721216</t>
  </si>
  <si>
    <t>Roxana Casas picart</t>
  </si>
  <si>
    <t>Av. Berlín 17, Parcela 6</t>
  </si>
  <si>
    <t>DOR55014374</t>
  </si>
  <si>
    <t>712967831730</t>
  </si>
  <si>
    <t>Nombre: natalia munoz - Rut: 167220576</t>
  </si>
  <si>
    <t>Pasaje San Agustín, Alberto Vanz 03, Frente al colegio San Agustín, sector de Alberto Vanz. 3ra casa</t>
  </si>
  <si>
    <t>DOR55014349</t>
  </si>
  <si>
    <t>712967832452</t>
  </si>
  <si>
    <t>Nombre: Andres Sanchez - Rut: 287342187</t>
  </si>
  <si>
    <t>Andres Sanchez</t>
  </si>
  <si>
    <t>Camino del Rinconada del Principal, Parcela 33, Parcela 33</t>
  </si>
  <si>
    <t>DOR55014559</t>
  </si>
  <si>
    <t>9406443384</t>
  </si>
  <si>
    <t>Daniel Felipe Martens</t>
  </si>
  <si>
    <t>Talcahuano 580, 580</t>
  </si>
  <si>
    <t>DOR55014580</t>
  </si>
  <si>
    <t>9393737802</t>
  </si>
  <si>
    <t>Miguel Ríos</t>
  </si>
  <si>
    <t>calle El Arenal 177, Casa 67</t>
  </si>
  <si>
    <t>DOR55014464</t>
  </si>
  <si>
    <t>9394864091</t>
  </si>
  <si>
    <t>Josue Fernandez</t>
  </si>
  <si>
    <t>Pedro Aguirre Cerda, Casa</t>
  </si>
  <si>
    <t>DOR55014510</t>
  </si>
  <si>
    <t>9392836714</t>
  </si>
  <si>
    <t>Yoana Jelvez</t>
  </si>
  <si>
    <t>Alberto Fellenberg 320 , BATUCO</t>
  </si>
  <si>
    <t>DOR55014453</t>
  </si>
  <si>
    <t>9394864264</t>
  </si>
  <si>
    <t>Danixa Venegas</t>
  </si>
  <si>
    <t>Avenida alessandri 1513, Casa4</t>
  </si>
  <si>
    <t>DOR55014396</t>
  </si>
  <si>
    <t>9390986393</t>
  </si>
  <si>
    <t>Areli Jaramillo</t>
  </si>
  <si>
    <t>Av. Rucalhue 443, Departamento i434</t>
  </si>
  <si>
    <t>DOR55014411</t>
  </si>
  <si>
    <t>9390524905</t>
  </si>
  <si>
    <t>alexander león</t>
  </si>
  <si>
    <t>Arturo Pérez Canto 2016, 2016</t>
  </si>
  <si>
    <t>DOR55014375</t>
  </si>
  <si>
    <t>9390721675</t>
  </si>
  <si>
    <t>Carmen Gloria Barrera Rojas</t>
  </si>
  <si>
    <t>Avenida Francisco Costabal Echeñique 78, Cesfam</t>
  </si>
  <si>
    <t>DOR55014288</t>
  </si>
  <si>
    <t>9386100566</t>
  </si>
  <si>
    <t>Johana Quelin Vasquez</t>
  </si>
  <si>
    <t>Santiago ericksen 282</t>
  </si>
  <si>
    <t>2025-10-25 12:31</t>
  </si>
  <si>
    <t>DOR55014313</t>
  </si>
  <si>
    <t>9386047322</t>
  </si>
  <si>
    <t>Saimon Avila</t>
  </si>
  <si>
    <t>Folclorista Noemi Gonzáles 2269, casa</t>
  </si>
  <si>
    <t>DOR55014294</t>
  </si>
  <si>
    <t>9386770330</t>
  </si>
  <si>
    <t>Marcela Navarro reyes</t>
  </si>
  <si>
    <t>Ruta f 74 g, Condominio atalaya parcela 21</t>
  </si>
  <si>
    <t>MVI-2609</t>
  </si>
  <si>
    <t>256797937</t>
  </si>
  <si>
    <t>MARINA VITAL</t>
  </si>
  <si>
    <t>NOMBRE RETIRA: CLAUDIA BECAR BECAR RUT RETIRA: 9556804-1</t>
  </si>
  <si>
    <t>Claudia Becar</t>
  </si>
  <si>
    <t>Vía del Sol 94</t>
  </si>
  <si>
    <t>2025-11-07 13:40</t>
  </si>
  <si>
    <t>MVI-2603</t>
  </si>
  <si>
    <t>256647648</t>
  </si>
  <si>
    <t>NOMBRE RETIRA: IGNACIA RAMIREZ . RUT RETIRA: 23330425-5</t>
  </si>
  <si>
    <t>Calle colegio 1867, Ferreteria toso</t>
  </si>
  <si>
    <t>MVI-2604</t>
  </si>
  <si>
    <t>256647702</t>
  </si>
  <si>
    <t>NOMBRE RETIRA: PATRICIA SALINAS .. . RUT RETIRA: 9415392-1</t>
  </si>
  <si>
    <t>Patricia Salinas</t>
  </si>
  <si>
    <t>Independencia 1539</t>
  </si>
  <si>
    <t>MVI-2597</t>
  </si>
  <si>
    <t>256478112</t>
  </si>
  <si>
    <t>NOMBRE RETIRA: YONHY MOTALVAN . RUT RETIRA: 18688530-9</t>
  </si>
  <si>
    <t>Clara Torrejón Vega</t>
  </si>
  <si>
    <t>Eliazar Munizaga Torrejon 1742</t>
  </si>
  <si>
    <t>MVI-2593</t>
  </si>
  <si>
    <t>256299496</t>
  </si>
  <si>
    <t>NOMBRE RETIRA: URZULA LOYOLA TIZNADO RUT RETIRA: 10022752-5</t>
  </si>
  <si>
    <t>Ursula Loyola Tiznado</t>
  </si>
  <si>
    <t>Ventus 1678</t>
  </si>
  <si>
    <t>MVI-2615</t>
  </si>
  <si>
    <t>712971155890</t>
  </si>
  <si>
    <t>Nombre: carolina santis - Rut: 92875008</t>
  </si>
  <si>
    <t>Marisol Santis</t>
  </si>
  <si>
    <t>Pje. Pablo de Rocka 552 villa ensueño, Casa</t>
  </si>
  <si>
    <t>2025-11-11 13:20</t>
  </si>
  <si>
    <t>MVI-2602</t>
  </si>
  <si>
    <t>9391067501</t>
  </si>
  <si>
    <t>Constanza Aguilera</t>
  </si>
  <si>
    <t>el almendral 1005, casa porton verde</t>
  </si>
  <si>
    <t>Sag_13101</t>
  </si>
  <si>
    <t>257339991</t>
  </si>
  <si>
    <t>MUNDOBAREFOOT-SAGUAROSHOES</t>
  </si>
  <si>
    <t>Araceli Peña Rivera</t>
  </si>
  <si>
    <t>Isla del Guindo, Av. Fernando Cansino, psje. Benavides Santander 00</t>
  </si>
  <si>
    <t>2025-10-27 11:08</t>
  </si>
  <si>
    <t>Sag_13966</t>
  </si>
  <si>
    <t>257623634</t>
  </si>
  <si>
    <t>NOMBRE RETIRA: CAROL SAAVEDRA ..... RUT RETIRA: 18517001-2</t>
  </si>
  <si>
    <t>Gabriela mistral 312, villa futuro, Casa</t>
  </si>
  <si>
    <t>Sag_13950</t>
  </si>
  <si>
    <t>257623597</t>
  </si>
  <si>
    <t>NOMBRE RETIRA: OLGA SALGADO SALGADO RUT RETIRA: 4129731-K</t>
  </si>
  <si>
    <t>MARGARITA ARANDA SALGADO</t>
  </si>
  <si>
    <t>VILLA NUEVA ALBORADA pasaje 1 casa 446</t>
  </si>
  <si>
    <t>Sag_13810</t>
  </si>
  <si>
    <t>257451272</t>
  </si>
  <si>
    <t>NOMBRE RETIRA: MARIA ARANEDA . RUT RETIRA: 7357808-6</t>
  </si>
  <si>
    <t>Cesar Barra ulloa</t>
  </si>
  <si>
    <t>Francisco Antonio encina, 7940</t>
  </si>
  <si>
    <t>2025-11-17 13:33</t>
  </si>
  <si>
    <t>Sag_13819</t>
  </si>
  <si>
    <t>257451266</t>
  </si>
  <si>
    <t>NOMBRE RETIRA: ANDREA CESPEDES CUBILLOS RUT RETIRA: 18446062-9</t>
  </si>
  <si>
    <t>Magdalena Cespedes Cubillos</t>
  </si>
  <si>
    <t>Los abedules 45 B, Parque residencial los llanos</t>
  </si>
  <si>
    <t>Sag_13763</t>
  </si>
  <si>
    <t>257451204</t>
  </si>
  <si>
    <t>NOMBRE RETIRA: PILAR GARCIA HUIDOBRO RUT RETIRA: 17096694-5</t>
  </si>
  <si>
    <t>Pilar Garcia Huidobro</t>
  </si>
  <si>
    <t>Camino el cerrillo 2375, linderos, parcela 27</t>
  </si>
  <si>
    <t>Sag_13863</t>
  </si>
  <si>
    <t>257440648</t>
  </si>
  <si>
    <t>NOMBRE RETIRA: DANIELA CASTILLO IRIGOYEN RUT RETIRA: 16884620-7</t>
  </si>
  <si>
    <t>Gustavo Díaz</t>
  </si>
  <si>
    <t>Violante Bravo Castro 62, Las Pircas</t>
  </si>
  <si>
    <t>2025-11-17 11:56</t>
  </si>
  <si>
    <t>Sag_13909</t>
  </si>
  <si>
    <t>257451132</t>
  </si>
  <si>
    <t>NOMBRE RETIRA: OLDENI ANARDIL . RUT RETIRA: 17693594-4</t>
  </si>
  <si>
    <t>Oldeni Arnaldi</t>
  </si>
  <si>
    <t>Magali Rodríguez cordoba 668, Casa668</t>
  </si>
  <si>
    <t>Sag_13815</t>
  </si>
  <si>
    <t>257327256</t>
  </si>
  <si>
    <t>NOMBRE RETIRA: MACARENA QUIROZ . RUT RETIRA: 12345678-5</t>
  </si>
  <si>
    <t>Cristian Becerra Jiménez</t>
  </si>
  <si>
    <t>Heraldo Orrego 3260</t>
  </si>
  <si>
    <t>2025-11-14 21:20</t>
  </si>
  <si>
    <t>Sag_13239</t>
  </si>
  <si>
    <t>257296238</t>
  </si>
  <si>
    <t>NOMBRE RETIRA: NICOLE ULLOA . RUT RETIRA: 17280308-3</t>
  </si>
  <si>
    <t>Nicole Ulloa</t>
  </si>
  <si>
    <t>Calle Tres Norte #321 Casa 19</t>
  </si>
  <si>
    <t>Sag_13438-ENVIO2</t>
  </si>
  <si>
    <t>257286922</t>
  </si>
  <si>
    <t>NOMBRE RETIRA: ERICA FIEERO . RUT RETIRA: 9270982-5</t>
  </si>
  <si>
    <t>ANDALUE - MUNDO BAREFOOT</t>
  </si>
  <si>
    <t>Av. Andalue 2249, 4133705 San Pedro de la Paz, Bío Bío</t>
  </si>
  <si>
    <t>Sag_13813</t>
  </si>
  <si>
    <t>257288103</t>
  </si>
  <si>
    <t>NOMBRE RETIRA: JUKIO . . RUT RETIRA: 12111218-3</t>
  </si>
  <si>
    <t>Valentina Elicer Recart</t>
  </si>
  <si>
    <t>Agua santa 132, 102</t>
  </si>
  <si>
    <t>Sag_13818</t>
  </si>
  <si>
    <t>257288724</t>
  </si>
  <si>
    <t>NOMBRE RETIRA: PAOLA OJEDA . RUT RETIRA: 13848334-7</t>
  </si>
  <si>
    <t>Andrea Pulgar Triviños</t>
  </si>
  <si>
    <t>Altos de Caupolican, Río Chaihuin 346</t>
  </si>
  <si>
    <t>Sag_13809</t>
  </si>
  <si>
    <t>257288837</t>
  </si>
  <si>
    <t>NOMBRE RETIRA: ISAAS . .. RUT RETIRA: 53310370-7</t>
  </si>
  <si>
    <t>Camino botrolhue 1504, 140</t>
  </si>
  <si>
    <t>Sag_13780</t>
  </si>
  <si>
    <t>257204748</t>
  </si>
  <si>
    <t>NOMBRE RETIRA: YESICCA - - RUT RETIRA: 25795285-1</t>
  </si>
  <si>
    <t>Jessica Cantu</t>
  </si>
  <si>
    <t>Jardines de paso hondo 593, Casa E10</t>
  </si>
  <si>
    <t>Sag_13775</t>
  </si>
  <si>
    <t>257204862</t>
  </si>
  <si>
    <t>NOMBRE RETIRA: ROLANDL VALEMCIA . RUT RETIRA: 53321047-3</t>
  </si>
  <si>
    <t>Javiera Bolados</t>
  </si>
  <si>
    <t>Avenida San Andrés 235, Dpto 22 Torre A</t>
  </si>
  <si>
    <t>Sag_13480</t>
  </si>
  <si>
    <t>257209398</t>
  </si>
  <si>
    <t>NOMBRE RETIRA: SEBASTIAN MARTINEZ . RUT RETIRA: 53309558-5</t>
  </si>
  <si>
    <t>Felipe Vega Gaete</t>
  </si>
  <si>
    <t>Avenida Chacabuco 333, 813</t>
  </si>
  <si>
    <t>Sag_13406</t>
  </si>
  <si>
    <t>257159788</t>
  </si>
  <si>
    <t>NOMBRE RETIRA: TIHARE PLAZA . RUT RETIRA: 21572203-1</t>
  </si>
  <si>
    <t>Sonia Castillo Cortes</t>
  </si>
  <si>
    <t>Avda MATTA 461 oficina 202 la serena, 461 oficina 202 la serena</t>
  </si>
  <si>
    <t>Sag_13737</t>
  </si>
  <si>
    <t>257133645</t>
  </si>
  <si>
    <t>NOMBRE RETIRA: RENATO MAFE . RUT RETIRA: 10246381-1</t>
  </si>
  <si>
    <t>Ibar Zepeda Orellana</t>
  </si>
  <si>
    <t>Copiapo 833, departamento 171</t>
  </si>
  <si>
    <t>2025-11-12 12:08</t>
  </si>
  <si>
    <t>Sag_13461</t>
  </si>
  <si>
    <t>257128269</t>
  </si>
  <si>
    <t>NOMBRE RETIRA: MIKAELLA CAMUS . RUT RETIRA: 19790879-3</t>
  </si>
  <si>
    <t>Viña del Mar - Alavanguardia | MUNDOBAREFOOT</t>
  </si>
  <si>
    <t>2 Ote. 1186, 2520705 Viña del Mar, Valparaíso</t>
  </si>
  <si>
    <t>Sag_13413</t>
  </si>
  <si>
    <t>257128899</t>
  </si>
  <si>
    <t>NOMBRE RETIRA: ANA LABARCA K RUT RETIRA: 10721237-K</t>
  </si>
  <si>
    <t>Ana Maria Labarca Oyaneder</t>
  </si>
  <si>
    <t>Aragón 375, Dp 505</t>
  </si>
  <si>
    <t>Sag_13692</t>
  </si>
  <si>
    <t>257059711</t>
  </si>
  <si>
    <t>NOMBRE RETIRA: CECILIA SEPULVEDA . RUT RETIRA: 76669508-6</t>
  </si>
  <si>
    <t>Cecilia Sepúlveda Horn</t>
  </si>
  <si>
    <t>Cabañas Monte Verde. Km 5 camino Pucón a Villarrica</t>
  </si>
  <si>
    <t>2025-11-11 14:10</t>
  </si>
  <si>
    <t>Sag_13734</t>
  </si>
  <si>
    <t>257128606</t>
  </si>
  <si>
    <t>NOMBRE RETIRA: MACARENA VWRGARA M RUT RETIRA: 9850457-5</t>
  </si>
  <si>
    <t>Macarena Vergara Egaña</t>
  </si>
  <si>
    <t>Agua Santa 1400, T3 (Palguin), depto 403</t>
  </si>
  <si>
    <t>Sag_13714</t>
  </si>
  <si>
    <t>257128332</t>
  </si>
  <si>
    <t>NOMBRE RETIRA: LIDIA CHAILLOT PONCE RUT RETIRA: 6902927-2</t>
  </si>
  <si>
    <t>Gonzalo Contreras Calderon</t>
  </si>
  <si>
    <t>Pasaje 44, 737</t>
  </si>
  <si>
    <t>2025-11-12 11:17</t>
  </si>
  <si>
    <t>Sag_13738</t>
  </si>
  <si>
    <t>257145583</t>
  </si>
  <si>
    <t>Macarena Mella</t>
  </si>
  <si>
    <t>Los Abedules 1698, Lomas de Montemar</t>
  </si>
  <si>
    <t>2025-11-12 14:04</t>
  </si>
  <si>
    <t>Sag_13687</t>
  </si>
  <si>
    <t>257133544</t>
  </si>
  <si>
    <t>NOMBRE RETIRA: MARIA VALLEJOS . RUT RETIRA: 6337265-K</t>
  </si>
  <si>
    <t>Nicole Schlageter</t>
  </si>
  <si>
    <t>Londres 551, Casa 1</t>
  </si>
  <si>
    <t>Sag_13643</t>
  </si>
  <si>
    <t>256958833</t>
  </si>
  <si>
    <t>NOMBRE RETIRA: JESUS GOMEZ . RUT RETIRA: 15939694-0</t>
  </si>
  <si>
    <t>Jesus Gomez Zarzar</t>
  </si>
  <si>
    <t>Los pinares de algarrobo, La foresta parcela 19</t>
  </si>
  <si>
    <t>2025-11-10 13:11</t>
  </si>
  <si>
    <t>Sag_13731</t>
  </si>
  <si>
    <t>257128763</t>
  </si>
  <si>
    <t>NOMBRE RETIRA: FRANCISCS SLBORNOS WAISO RUT RETIRA: 16414615-4</t>
  </si>
  <si>
    <t>Francisca Albornoz</t>
  </si>
  <si>
    <t>Los Trapenses 2534</t>
  </si>
  <si>
    <t>Sag_13434</t>
  </si>
  <si>
    <t>256983448</t>
  </si>
  <si>
    <t>NOMBRE RETIRA: PAULINA PACHECO CHAMORRO RUT RETIRA: 18687231-2</t>
  </si>
  <si>
    <t>Paulina Pacheco Chamorro</t>
  </si>
  <si>
    <t>Manuel Gutierrez 2027</t>
  </si>
  <si>
    <t>Sag_13654</t>
  </si>
  <si>
    <t>256958570</t>
  </si>
  <si>
    <t>NOMBRE RETIRA: OCHI ZAMORA . RUT RETIRA: 12818131-8</t>
  </si>
  <si>
    <t>ochi zamora</t>
  </si>
  <si>
    <t>Avenida Presidente Ríos 901</t>
  </si>
  <si>
    <t>Sag_13655</t>
  </si>
  <si>
    <t>256958520</t>
  </si>
  <si>
    <t>NOMBRE RETIRA: SIMON GUTIERREZ . RUT RETIRA: 10491414-4</t>
  </si>
  <si>
    <t>Simon Gutierrez</t>
  </si>
  <si>
    <t>Morera 3512, casa</t>
  </si>
  <si>
    <t>Sag_13685</t>
  </si>
  <si>
    <t>256958445</t>
  </si>
  <si>
    <t>NOMBRE RETIRA: SOLANGE CASTILLO . RUT RETIRA: 20102903-1</t>
  </si>
  <si>
    <t>Solange Castillo Fleta</t>
  </si>
  <si>
    <t>Padre Hurtado 067</t>
  </si>
  <si>
    <t>Sag_13536</t>
  </si>
  <si>
    <t>256831347</t>
  </si>
  <si>
    <t>NOMBRE RETIRA: CSROLINA NARBONA . RUT RETIRA: 16928085-1</t>
  </si>
  <si>
    <t>Luis Saavedra Adasme</t>
  </si>
  <si>
    <t>María Isabel, 658, Casa D</t>
  </si>
  <si>
    <t>2025-11-07 20:23</t>
  </si>
  <si>
    <t>Sag_13592</t>
  </si>
  <si>
    <t>256952171</t>
  </si>
  <si>
    <t>NOMBRE RETIRA: BARBARA ACEITUNO . RUT RETIRA: 18049352-2</t>
  </si>
  <si>
    <t>Barbara Aceituno Fernández</t>
  </si>
  <si>
    <t>Calle norte 43, puchuncaví, Valparaiso</t>
  </si>
  <si>
    <t>Sag_13574</t>
  </si>
  <si>
    <t>256952311</t>
  </si>
  <si>
    <t>NOMBRE RETIRA: ANA PERELLE . RUT RETIRA: 9679703-6</t>
  </si>
  <si>
    <t>Ana Prelle</t>
  </si>
  <si>
    <t>Calle 3 740 Depto. 302</t>
  </si>
  <si>
    <t>2025-11-10 12:18</t>
  </si>
  <si>
    <t>Sag_13478</t>
  </si>
  <si>
    <t>256725191</t>
  </si>
  <si>
    <t>NOMBRE RETIRA: DANIELA HELDG J RUT RETIRA: 20066879-0</t>
  </si>
  <si>
    <t>Daniela Held Nehring</t>
  </si>
  <si>
    <t>Santa Teresita poniente 1448, Casa</t>
  </si>
  <si>
    <t>2025-11-06 13:57</t>
  </si>
  <si>
    <t>Sag_13505</t>
  </si>
  <si>
    <t>256725670</t>
  </si>
  <si>
    <t>NOMBRE RETIRA: JOSE LARRAIN . RUT RETIRA: 16019313-1</t>
  </si>
  <si>
    <t>Jose Larraín</t>
  </si>
  <si>
    <t>Peuño sin numero</t>
  </si>
  <si>
    <t>Sag_13514</t>
  </si>
  <si>
    <t>256802200</t>
  </si>
  <si>
    <t>NOMBRE RETIRA: DANIELA ARANCIBIA B RUT RETIRA: 16438998-7</t>
  </si>
  <si>
    <t>francisco gorziglia</t>
  </si>
  <si>
    <t>basilio rojas 11</t>
  </si>
  <si>
    <t>Sag_13482</t>
  </si>
  <si>
    <t>256725264</t>
  </si>
  <si>
    <t>NOMBRE RETIRA: CATHERINE MAY . RUT RETIRA: 14429256-1</t>
  </si>
  <si>
    <t>Catherine May</t>
  </si>
  <si>
    <t>Costanera Sur 48</t>
  </si>
  <si>
    <t>Sag_13458</t>
  </si>
  <si>
    <t>256681599</t>
  </si>
  <si>
    <t>NOMBRE RETIRA: MARYLY RIVERA . RUT RETIRA: 16355762-2</t>
  </si>
  <si>
    <t>Marily Rivera</t>
  </si>
  <si>
    <t>Pasaje El Pehuen 1023, Puerto Varas, Los Lagos</t>
  </si>
  <si>
    <t>2025-11-05 22:23</t>
  </si>
  <si>
    <t>Sag_13439</t>
  </si>
  <si>
    <t>256746041</t>
  </si>
  <si>
    <t>NOMBRE RETIRA: MARIA ELGUETA . RUT RETIRA: 10925264-6</t>
  </si>
  <si>
    <t>Karen Medina</t>
  </si>
  <si>
    <t>Av. Ecuador 430, Local C</t>
  </si>
  <si>
    <t>Sag_13431</t>
  </si>
  <si>
    <t>256571946</t>
  </si>
  <si>
    <t>NOMBRE RETIRA: MARCELA YANEZ . RUT RETIRA: 13614917-2</t>
  </si>
  <si>
    <t>Marcela Moraga Parra</t>
  </si>
  <si>
    <t>Abdón Fuentealba N°48</t>
  </si>
  <si>
    <t>Sag_13477</t>
  </si>
  <si>
    <t>256725131</t>
  </si>
  <si>
    <t>NOMBRE RETIRA: DAPHNE BUSTAMANTE B RUT RETIRA: 17764323-8</t>
  </si>
  <si>
    <t>Daphne Bustamante Flores</t>
  </si>
  <si>
    <t>Patricio Ríos Vergara 297</t>
  </si>
  <si>
    <t>Sag_T0276</t>
  </si>
  <si>
    <t>256681069</t>
  </si>
  <si>
    <t>NOMBRE RETIRA: ALEXANDRA IBANEZ . RUT RETIRA: 18435681-3</t>
  </si>
  <si>
    <t>MUNDO BAREFOOT ANDALUE</t>
  </si>
  <si>
    <t>2025-11-05 22:09</t>
  </si>
  <si>
    <t>Sag_13491</t>
  </si>
  <si>
    <t>256725623</t>
  </si>
  <si>
    <t>NOMBRE RETIRA: LUIS PEREZ P RUT RETIRA: 11709794-3</t>
  </si>
  <si>
    <t>Annemarie Mohr</t>
  </si>
  <si>
    <t>Manuel Antonio Matta 591, Dpto 302</t>
  </si>
  <si>
    <t>Sag_13449</t>
  </si>
  <si>
    <t>256681322</t>
  </si>
  <si>
    <t>NOMBRE RETIRA: FERNANDO RODRIGUEZ . RUT RETIRA: 25197402-0</t>
  </si>
  <si>
    <t>Fernando Rodríguez Rojas</t>
  </si>
  <si>
    <t>Calle 4 norte parcelas Viña Esmeralda, 5435</t>
  </si>
  <si>
    <t>2025-11-05 22:16</t>
  </si>
  <si>
    <t>Sag_13437</t>
  </si>
  <si>
    <t>256681841</t>
  </si>
  <si>
    <t>NOMBRE RETIRA: TATIANA CARRASCO AHUMADA RUT RETIRA: 16375268-9</t>
  </si>
  <si>
    <t>Tatiana Carrasco Ahumada</t>
  </si>
  <si>
    <t>Carlos Walker 321</t>
  </si>
  <si>
    <t>Sag_13365</t>
  </si>
  <si>
    <t>256522354</t>
  </si>
  <si>
    <t>NOMBRE RETIRA: OCHI ZAMORA . RUT RETIRA: 7853637-3</t>
  </si>
  <si>
    <t>2025-11-03 22:18</t>
  </si>
  <si>
    <t>Sag_13511</t>
  </si>
  <si>
    <t>256725750</t>
  </si>
  <si>
    <t>NOMBRE RETIRA: PAOLA FUENTE ALBA RUT RETIRA: 13894707-6</t>
  </si>
  <si>
    <t>Matías Fisher</t>
  </si>
  <si>
    <t>Bellatrix 12, Departamento 1211</t>
  </si>
  <si>
    <t>Sag_13384</t>
  </si>
  <si>
    <t>256725813</t>
  </si>
  <si>
    <t>NOMBRE RETIRA: IRIS HERRETA HERRERA RUT RETIRA: 6338785-1</t>
  </si>
  <si>
    <t>Gil Toledo 874, Jardín oriente</t>
  </si>
  <si>
    <t>Sag_13317</t>
  </si>
  <si>
    <t>256681428</t>
  </si>
  <si>
    <t>NOMBRE RETIRA: WILBUR . . RUT RETIRA: 53315116-7</t>
  </si>
  <si>
    <t>ALEJANDRA LLANOS GARCIA</t>
  </si>
  <si>
    <t>CALLE LIMACHE NUMERO 1280 DEPARTAMENTO 1807</t>
  </si>
  <si>
    <t>2025-11-05 22:19</t>
  </si>
  <si>
    <t>Sag_13337</t>
  </si>
  <si>
    <t>256481307</t>
  </si>
  <si>
    <t>NOMBRE RETIRA: BASTIAN TORRES TORRES RUT RETIRA: 22098933-K</t>
  </si>
  <si>
    <t>Bastián Torres</t>
  </si>
  <si>
    <t>Hector Perez Ortega</t>
  </si>
  <si>
    <t>2025-11-03 13:54</t>
  </si>
  <si>
    <t>Sag_13411</t>
  </si>
  <si>
    <t>256522393</t>
  </si>
  <si>
    <t>NOMBRE RETIRA: ANA MARIA ADRIASOLA . RUT RETIRA: 8505171-7</t>
  </si>
  <si>
    <t>ANA  MARÍA ADRIAZOLA  ORTIZ</t>
  </si>
  <si>
    <t>VALDIVIA 1203 LICEO DIEGO PORTALES</t>
  </si>
  <si>
    <t>Sag_13348</t>
  </si>
  <si>
    <t>256522331</t>
  </si>
  <si>
    <t>NOMBRE RETIRA: JUAN . . RUT RETIRA: 53310370-7</t>
  </si>
  <si>
    <t>GUILLERMO MACDONALD 2315</t>
  </si>
  <si>
    <t>Sag_13314</t>
  </si>
  <si>
    <t>256522339</t>
  </si>
  <si>
    <t>Maria Luisa Carvallo Semler</t>
  </si>
  <si>
    <t>Gabriela Mistral 900, CESFAM PANGUIPULLI</t>
  </si>
  <si>
    <t>2025-11-03 22:17</t>
  </si>
  <si>
    <t>Sag_13402</t>
  </si>
  <si>
    <t>256522370</t>
  </si>
  <si>
    <t>NOMBRE RETIRA: LEONARDL . . RUT RETIRA: 53310370-7</t>
  </si>
  <si>
    <t>Macarena Díaz Herrera</t>
  </si>
  <si>
    <t>Los Pablos 2031, 1002A</t>
  </si>
  <si>
    <t>Sag_12090</t>
  </si>
  <si>
    <t>255871980</t>
  </si>
  <si>
    <t>NOMBRE RETIRA: CAMILA VELASQUEZ . RUT RETIRA: 11111111-1</t>
  </si>
  <si>
    <t>Vicente reyes 835, Casa interior sin timbre</t>
  </si>
  <si>
    <t>SAG_T0270</t>
  </si>
  <si>
    <t>256607858</t>
  </si>
  <si>
    <t>NOMBRE RETIRA: MAKAELLA CANO X RUT RETIRA: 19790879-3</t>
  </si>
  <si>
    <t>MUNDOBAREFOOT - ALAVANGUARDI</t>
  </si>
  <si>
    <t>2025-11-04 21:55</t>
  </si>
  <si>
    <t>Sag_13353</t>
  </si>
  <si>
    <t>256481315</t>
  </si>
  <si>
    <t>Laurian Rozas</t>
  </si>
  <si>
    <t>Av. Diego Portales 355</t>
  </si>
  <si>
    <t>Sag_12910</t>
  </si>
  <si>
    <t>256164386</t>
  </si>
  <si>
    <t>NOMBRE RETIRA: ROCIO HUENUIL . RUT RETIRA: 53324502-1</t>
  </si>
  <si>
    <t>Romina Marchetti Hennings</t>
  </si>
  <si>
    <t>Pedro Aguirre Cerda 295, Depto 511</t>
  </si>
  <si>
    <t>2025-10-28 16:31</t>
  </si>
  <si>
    <t>Sag_13003</t>
  </si>
  <si>
    <t>255849605</t>
  </si>
  <si>
    <t>NOMBRE RETIRA: PATRICIA GARCIA . RUT RETIRA: 10738408-1</t>
  </si>
  <si>
    <t>juan montanares</t>
  </si>
  <si>
    <t>1302, 403</t>
  </si>
  <si>
    <t>2025-10-23 12:41</t>
  </si>
  <si>
    <t>Sag_13222</t>
  </si>
  <si>
    <t>256281949</t>
  </si>
  <si>
    <t>NOMBRE RETIRA: ANA QUIROZ Q RUT RETIRA: 11869739-1</t>
  </si>
  <si>
    <t>Jacob Castro Quiroz</t>
  </si>
  <si>
    <t>Los sulfatos 10357</t>
  </si>
  <si>
    <t>Sag_13316</t>
  </si>
  <si>
    <t>256478440</t>
  </si>
  <si>
    <t>NOMBRE RETIRA: POLIANNA VILCHIS . RUT RETIRA: 26076095-5</t>
  </si>
  <si>
    <t>polianna vilicic chacoff</t>
  </si>
  <si>
    <t>av del mar 800, depto 720</t>
  </si>
  <si>
    <t>Sag_13362</t>
  </si>
  <si>
    <t>256481284</t>
  </si>
  <si>
    <t>NOMBRE RETIRA: RUTH GONZALEZ . RUT RETIRA: 6539087-6</t>
  </si>
  <si>
    <t>Brenda Cordero Gonzalez</t>
  </si>
  <si>
    <t>Santa Filomena 5841, Granizo, paradero 29</t>
  </si>
  <si>
    <t>Sag_13310</t>
  </si>
  <si>
    <t>256477971</t>
  </si>
  <si>
    <t>Matias Bonilla Reyes</t>
  </si>
  <si>
    <t>Av Libertador Bernardo Ohiggins, 2929</t>
  </si>
  <si>
    <t>2025-11-03 13:23</t>
  </si>
  <si>
    <t>Sag_13284</t>
  </si>
  <si>
    <t>256299468</t>
  </si>
  <si>
    <t>NOMBRE RETIRA: OLGA BASUALDO L RUT RETIRA: 28602059-3</t>
  </si>
  <si>
    <t>Olga Basualto</t>
  </si>
  <si>
    <t>calle Lima 360, departamento 114</t>
  </si>
  <si>
    <t>Sag_13016</t>
  </si>
  <si>
    <t>256164337</t>
  </si>
  <si>
    <t>NOMBRE RETIRA: DABIELA B N RUT RETIRA: 17516274-7</t>
  </si>
  <si>
    <t>Bucarest 219 , 219</t>
  </si>
  <si>
    <t>Sag_13075</t>
  </si>
  <si>
    <t>256164377</t>
  </si>
  <si>
    <t>NOMBRE RETIRA: FRANCISCO JAVIER P RUT RETIRA: 26797975-8</t>
  </si>
  <si>
    <t>Francisco Javier Cáceres Paredes</t>
  </si>
  <si>
    <t>Diaguitas S/N,  la Puntilla 55, S/N</t>
  </si>
  <si>
    <t>Sag_13276</t>
  </si>
  <si>
    <t>256299463</t>
  </si>
  <si>
    <t>Raul Covarrubias</t>
  </si>
  <si>
    <t>Pasaje tamapu554algarrobo, 554</t>
  </si>
  <si>
    <t>Sag_13273</t>
  </si>
  <si>
    <t>256299457</t>
  </si>
  <si>
    <t>NOMBRE RETIRA: DANIELA VALENZUELA . RUT RETIRA: 12345678-5</t>
  </si>
  <si>
    <t>Daniela Valenzuela Schindler</t>
  </si>
  <si>
    <t>Paseo de la Quebrada 1472</t>
  </si>
  <si>
    <t>Sag_13257</t>
  </si>
  <si>
    <t>256299454</t>
  </si>
  <si>
    <t>NOMBRE RETIRA: DANAE OYARZUN X RUT RETIRA: 10632029-2</t>
  </si>
  <si>
    <t>Danae Oyarzun Diez</t>
  </si>
  <si>
    <t>Sag_13236</t>
  </si>
  <si>
    <t>256281945</t>
  </si>
  <si>
    <t>Krisbel Guillen</t>
  </si>
  <si>
    <t>Pasaje el ciruelillo, 1419</t>
  </si>
  <si>
    <t>Sag_13287</t>
  </si>
  <si>
    <t>256299812</t>
  </si>
  <si>
    <t>NOMBRE RETIRA: MARIA TORRES .. RUT RETIRA: 10217536-0</t>
  </si>
  <si>
    <t>María Torres Astudillo</t>
  </si>
  <si>
    <t>Los claveles 259, Casa interior blanca dos pisos</t>
  </si>
  <si>
    <t>2025-10-30 13:52</t>
  </si>
  <si>
    <t>Sag_13005</t>
  </si>
  <si>
    <t>256164362</t>
  </si>
  <si>
    <t>NOMBRE RETIRA: CARLOS PONCE . RUT RETIRA: 10498675-7</t>
  </si>
  <si>
    <t>Daniela Licandeo</t>
  </si>
  <si>
    <t>Hacienda las quemas 3028, Casa 52</t>
  </si>
  <si>
    <t>Sag_13807</t>
  </si>
  <si>
    <t>712974147734</t>
  </si>
  <si>
    <t>Nombre: andres castro - Rut: 119992117</t>
  </si>
  <si>
    <t>Paulina Paulsen</t>
  </si>
  <si>
    <t>Ohiggins 839, Ohiggins 839 linares, local de baterías</t>
  </si>
  <si>
    <t>2025-11-19 13:53</t>
  </si>
  <si>
    <t>Sag_13373</t>
  </si>
  <si>
    <t>712968070636</t>
  </si>
  <si>
    <t>Nombre: Carol vivanco - Rut: 16169942</t>
  </si>
  <si>
    <t>Carol Vivanco</t>
  </si>
  <si>
    <t>Chaitén 8557, Hualpén, Chile</t>
  </si>
  <si>
    <t>Sag_13352</t>
  </si>
  <si>
    <t>9390115556</t>
  </si>
  <si>
    <t>Myriam Jesus Machuca Vergara</t>
  </si>
  <si>
    <t>La Victoria Sitio L 5 Huelquén</t>
  </si>
  <si>
    <t>2025-11-05 22:17</t>
  </si>
  <si>
    <t>Sag_13517</t>
  </si>
  <si>
    <t>9408006812</t>
  </si>
  <si>
    <t>Sonia Riquelme</t>
  </si>
  <si>
    <t>Calle las tres marías 167, Sector tres esquinas</t>
  </si>
  <si>
    <t>Sag_12912</t>
  </si>
  <si>
    <t>9385596706</t>
  </si>
  <si>
    <t>SILVANA HENRIQUEZ</t>
  </si>
  <si>
    <t>CALLE MADRE PAULA MONTAL 0130</t>
  </si>
  <si>
    <t>2025-10-30 09:29</t>
  </si>
  <si>
    <t>Sag_13203</t>
  </si>
  <si>
    <t>9385456231</t>
  </si>
  <si>
    <t>Javiera Padilla Pérez</t>
  </si>
  <si>
    <t>El Carmen 942</t>
  </si>
  <si>
    <t>2025-10-28 15:16</t>
  </si>
  <si>
    <t>Sag_13010</t>
  </si>
  <si>
    <t>9385484614</t>
  </si>
  <si>
    <t>Fabiola Parra guzman</t>
  </si>
  <si>
    <t>El Bosque 0503 La Trilla</t>
  </si>
  <si>
    <t>2025-10-28 16:30</t>
  </si>
  <si>
    <t>Sag_13049</t>
  </si>
  <si>
    <t>9386897752</t>
  </si>
  <si>
    <t>ana diaz</t>
  </si>
  <si>
    <t>BAQUEDANO 1110, 1110</t>
  </si>
  <si>
    <t>2025-10-24 14:30</t>
  </si>
  <si>
    <t>#NTVA6332</t>
  </si>
  <si>
    <t>257075784</t>
  </si>
  <si>
    <t>NATIVA ELEMENTS</t>
  </si>
  <si>
    <t>Martina Silva olivos</t>
  </si>
  <si>
    <t>paredones de auquinco 233</t>
  </si>
  <si>
    <t>2025-10-26 23:22</t>
  </si>
  <si>
    <t>#NTVA6586</t>
  </si>
  <si>
    <t>257840657</t>
  </si>
  <si>
    <t>NOMBRE RETIRA: DIEGO VALENZUELA . RUT RETIRA: 21094044-8</t>
  </si>
  <si>
    <t>Diego Valenzuela</t>
  </si>
  <si>
    <t>Condell 386, Casa</t>
  </si>
  <si>
    <t>2025-11-21 21:19</t>
  </si>
  <si>
    <t>#NTVA6588</t>
  </si>
  <si>
    <t>257840632</t>
  </si>
  <si>
    <t>NOMBRE RETIRA: ORFELINI PEDRAZA . RUT RETIRA: 53321047-3</t>
  </si>
  <si>
    <t>maximiliano pin</t>
  </si>
  <si>
    <t>santa teresa de los andes 27, condominio don fernando casa 13</t>
  </si>
  <si>
    <t>2025-11-22 12:13</t>
  </si>
  <si>
    <t>#NTVA6582</t>
  </si>
  <si>
    <t>257774306</t>
  </si>
  <si>
    <t>NOMBRE RETIRA: FRANCISCO GONZALEZ . RUT RETIRA: 22968784-0</t>
  </si>
  <si>
    <t>Camino Santa Barbara km 7.5, casa</t>
  </si>
  <si>
    <t>2025-11-20 21:04</t>
  </si>
  <si>
    <t>#NTVA6578</t>
  </si>
  <si>
    <t>257693957</t>
  </si>
  <si>
    <t>NOMBRE RETIRA: FABIAN CAMPOS I RUT RETIRA: 16928438-5</t>
  </si>
  <si>
    <t>Fabian Igor Campos</t>
  </si>
  <si>
    <t>Ejército 554</t>
  </si>
  <si>
    <t>2025-11-19 21:22</t>
  </si>
  <si>
    <t>#NTVA6557</t>
  </si>
  <si>
    <t>257448600</t>
  </si>
  <si>
    <t>NOMBRE RETIRA: HERNAN SOLIS . RUT RETIRA: 81201000-K</t>
  </si>
  <si>
    <t>Vannia Godoy Villagran</t>
  </si>
  <si>
    <t>Los Héroes 920, Concepción, Casa</t>
  </si>
  <si>
    <t>2025-11-15 12:02</t>
  </si>
  <si>
    <t>#NTVA6572</t>
  </si>
  <si>
    <t>257530178</t>
  </si>
  <si>
    <t>NOMBRE RETIRA: CINTIA FLORES . RUT RETIRA: 24317018-4</t>
  </si>
  <si>
    <t>Felipe Rodriguez Galleguillos</t>
  </si>
  <si>
    <t>Simon Bolivar 760, Depto 124</t>
  </si>
  <si>
    <t>2025-11-18 12:06</t>
  </si>
  <si>
    <t>#NTVA6577</t>
  </si>
  <si>
    <t>257617224</t>
  </si>
  <si>
    <t>NOMBRE RETIRA: ROSA SOTO . RUT RETIRA: 65221533-5</t>
  </si>
  <si>
    <t>abraham torres</t>
  </si>
  <si>
    <t>220 Isla Melinka</t>
  </si>
  <si>
    <t>#NTVA6567</t>
  </si>
  <si>
    <t>257448551</t>
  </si>
  <si>
    <t>NOMBRE RETIRA: JAMES IBANEZ . RUT RETIRA: 11450160-3</t>
  </si>
  <si>
    <t>Alejandro Villagran Mellado</t>
  </si>
  <si>
    <t>Las rocas etapa 2 Torre E departamento 107, Departamento</t>
  </si>
  <si>
    <t>#NTVA6574</t>
  </si>
  <si>
    <t>257617228</t>
  </si>
  <si>
    <t>NOMBRE RETIRA: RENATO ALFARO - RUT RETIRA: 25703390-2</t>
  </si>
  <si>
    <t>Renato Alfaro Diaz</t>
  </si>
  <si>
    <t>Los lunes 0294, psj la quebrada, canal chacao, Casa blanca dos pisos, portón café oscuro, frente a plaza</t>
  </si>
  <si>
    <t>#NTVA6563</t>
  </si>
  <si>
    <t>257448566</t>
  </si>
  <si>
    <t>NOMBRE RETIRA: DAVID CARDENAS C RUT RETIRA: 19248643-2</t>
  </si>
  <si>
    <t>David Cardenas</t>
  </si>
  <si>
    <t>Tacna 245</t>
  </si>
  <si>
    <t>2025-11-16 21:24</t>
  </si>
  <si>
    <t>#NTVA6556</t>
  </si>
  <si>
    <t>257448605</t>
  </si>
  <si>
    <t>NOMBRE RETIRA: MATILDA ESTAY . RUT RETIRA: 21865385-5</t>
  </si>
  <si>
    <t>matilda paz estay portilla</t>
  </si>
  <si>
    <t>paseo los pinos 188, rocas de curauma</t>
  </si>
  <si>
    <t>#NTVA6561</t>
  </si>
  <si>
    <t>257448594</t>
  </si>
  <si>
    <t>NOMBRE RETIRA: NELSON AMPUERO B RUT RETIRA: 9776830-7</t>
  </si>
  <si>
    <t>Iker Ampuero Zapata</t>
  </si>
  <si>
    <t>Rio Cayumapu #3297</t>
  </si>
  <si>
    <t>#NTVA6569</t>
  </si>
  <si>
    <t>257530179</t>
  </si>
  <si>
    <t>NOMBRE RETIRA: MATIAS ARANEDA R RUT RETIRA: 20968573-6</t>
  </si>
  <si>
    <t>Matias Ignacio Araneda Toledo</t>
  </si>
  <si>
    <t>esperanza, villa del rio 2, pasaje peumo #88</t>
  </si>
  <si>
    <t>2025-11-17 21:13</t>
  </si>
  <si>
    <t>#NTVA6562</t>
  </si>
  <si>
    <t>257448579</t>
  </si>
  <si>
    <t>NOMBRE RETIRA: JORGE GONZALEZ .. RUT RETIRA: 4916527-7</t>
  </si>
  <si>
    <t>Juan Pablo Uria Gonzalez</t>
  </si>
  <si>
    <t>Coronel Ricardo Castro 0693, Casa</t>
  </si>
  <si>
    <t>#NTVA6555</t>
  </si>
  <si>
    <t>257448613</t>
  </si>
  <si>
    <t>NOMBRE RETIRA: YAQUELINE MONDACA . RUT RETIRA: 12920721-3</t>
  </si>
  <si>
    <t>Luis Contreras Mondaca</t>
  </si>
  <si>
    <t>Frankfort 4364, casa</t>
  </si>
  <si>
    <t>2025-11-14 21:39</t>
  </si>
  <si>
    <t>#NTVA6546</t>
  </si>
  <si>
    <t>257222815</t>
  </si>
  <si>
    <t>NOMBRE RETIRA: SIMON ROJAS . RUT RETIRA: 21629210-3</t>
  </si>
  <si>
    <t>simon rojas morales</t>
  </si>
  <si>
    <t>1 oriente 548, casa 11</t>
  </si>
  <si>
    <t>2025-11-12 21:27</t>
  </si>
  <si>
    <t>#NTVA6553</t>
  </si>
  <si>
    <t>257292799</t>
  </si>
  <si>
    <t>NOMBRE RETIRA: CARLO CISTERNA . RUT RETIRA: 10311425-K</t>
  </si>
  <si>
    <t>Carlos Cisterna</t>
  </si>
  <si>
    <t>Karl Whilelm 993 con calle del atardecer, Casa</t>
  </si>
  <si>
    <t>2025-11-13 21:32</t>
  </si>
  <si>
    <t>#NTVA6547</t>
  </si>
  <si>
    <t>257222801</t>
  </si>
  <si>
    <t>NOMBRE RETIRA: CARLOS GARRIDO . RUT RETIRA: 16563474-8</t>
  </si>
  <si>
    <t>Marcelo Munoz</t>
  </si>
  <si>
    <t>Avenida Los Robles 1100, Apt. 401B</t>
  </si>
  <si>
    <t>2025-11-13 12:06</t>
  </si>
  <si>
    <t>#NTVA6545</t>
  </si>
  <si>
    <t>257222808</t>
  </si>
  <si>
    <t>NOMBRE RETIRA: KASANDRA GARRIDO . RUT RETIRA: 20114492-2</t>
  </si>
  <si>
    <t>Kassandra Garrido Garay</t>
  </si>
  <si>
    <t>Cabo de hornos 690</t>
  </si>
  <si>
    <t>#NTVA6548</t>
  </si>
  <si>
    <t>257222792</t>
  </si>
  <si>
    <t>NOMBRE RETIRA: JOSE LARA A RUT RETIRA: 21430302-7</t>
  </si>
  <si>
    <t>José Pedro Lara</t>
  </si>
  <si>
    <t>Los Cantaritos 01150, Santa Maria Del Boldo, Casa</t>
  </si>
  <si>
    <t>#NTVA6541</t>
  </si>
  <si>
    <t>257144875</t>
  </si>
  <si>
    <t>NOMBRE RETIRA: IVAN ZAMORANO FUENZALIDA RUT RETIRA: 21678770-6</t>
  </si>
  <si>
    <t>ivan zamorano</t>
  </si>
  <si>
    <t>calle el litoral 1442, El litoral 1442</t>
  </si>
  <si>
    <t>#NTVA6524</t>
  </si>
  <si>
    <t>256973072</t>
  </si>
  <si>
    <t>NOMBRE RETIRA: LISBET SALVATIERRA X RUT RETIRA: 24988768-4</t>
  </si>
  <si>
    <t>Justin Dominguez</t>
  </si>
  <si>
    <t>Los poetas 10510, Departamento C32 condominio vistas altos del mar</t>
  </si>
  <si>
    <t>#NTVA6544</t>
  </si>
  <si>
    <t>257144863</t>
  </si>
  <si>
    <t>NOMBRE RETIRA: JORGE GALLARDO . RUT RETIRA: 6080457-5</t>
  </si>
  <si>
    <t>Isidora Campos Duncker</t>
  </si>
  <si>
    <t>Volcán Llullaillaco 100, casa</t>
  </si>
  <si>
    <t>#NTVA6533</t>
  </si>
  <si>
    <t>257055481</t>
  </si>
  <si>
    <t>NOMBRE RETIRA: ANGELA RODRIGUEZ . RUT RETIRA: 21339091-0</t>
  </si>
  <si>
    <t>Tomas Ferreiro</t>
  </si>
  <si>
    <t>Pasaje hijos ilustres, Centenario 1, manzana 4, casa 10, Casa 10</t>
  </si>
  <si>
    <t>#NTVA6519</t>
  </si>
  <si>
    <t>256973118</t>
  </si>
  <si>
    <t>NOMBRE RETIRA: FRANCISCA MARIN . RUT RETIRA: 12345678-5</t>
  </si>
  <si>
    <t>Francisca Marin</t>
  </si>
  <si>
    <t>casas del valle, pasaje 1, #281</t>
  </si>
  <si>
    <t>2025-11-09 21:33</t>
  </si>
  <si>
    <t>#NTVA6536</t>
  </si>
  <si>
    <t>257055451</t>
  </si>
  <si>
    <t>NOMBRE RETIRA: JAVIERA BALBOA . . RUT RETIRA: 20115360-3</t>
  </si>
  <si>
    <t>Ingrid Neira</t>
  </si>
  <si>
    <t>Antonio varas 561, Casa</t>
  </si>
  <si>
    <t>#NTVA6534</t>
  </si>
  <si>
    <t>257055446</t>
  </si>
  <si>
    <t>NOMBRE RETIRA: MARIA SALOME BERNA A RUT RETIRA: 11196556-0</t>
  </si>
  <si>
    <t>María - Salomé Berna Cortés</t>
  </si>
  <si>
    <t>7 norte 1256, Depto 501</t>
  </si>
  <si>
    <t>#NTVA6540</t>
  </si>
  <si>
    <t>257144885</t>
  </si>
  <si>
    <t>NOMBRE RETIRA: ADOLFO ACEVEDO CONSERJE RUT RETIRA: 17625970-1</t>
  </si>
  <si>
    <t>Natalia Cortes</t>
  </si>
  <si>
    <t>Jose luis daire 1200 depto 201 torre 1 conserjería 2, departamento</t>
  </si>
  <si>
    <t>#NTVA6522</t>
  </si>
  <si>
    <t>256973091</t>
  </si>
  <si>
    <t>NOMBRE RETIRA: MARIA JOSE . . RUT RETIRA: 18811200-5</t>
  </si>
  <si>
    <t>Bastian Eduardo Polanco</t>
  </si>
  <si>
    <t>Ejercito 435 edificio don diego dpto. 524, edificio don diego dpto. 524</t>
  </si>
  <si>
    <t>#NTVA6543</t>
  </si>
  <si>
    <t>257144832</t>
  </si>
  <si>
    <t>NOMBRE RETIRA: CAMILA GONZALEZ . RUT RETIRA: 16806929-4</t>
  </si>
  <si>
    <t>Emilia Alvarez</t>
  </si>
  <si>
    <t>Angela Romero Gutiérrez 919</t>
  </si>
  <si>
    <t>#NTVA6530</t>
  </si>
  <si>
    <t>257055489</t>
  </si>
  <si>
    <t>NOMBRE RETIRA: EDIFICIO BICENTENATIO .. RUT RETIRA: 53315116-7</t>
  </si>
  <si>
    <t>1403 Torre B, Álvarez 1822</t>
  </si>
  <si>
    <t>#NTVA6517</t>
  </si>
  <si>
    <t>256973126</t>
  </si>
  <si>
    <t>NOMBRE RETIRA: ALAN AYCA TORRES RUT RETIRA: 20098781-0</t>
  </si>
  <si>
    <t>Diego Cuba Torres</t>
  </si>
  <si>
    <t>Calle Pangal 02, casa</t>
  </si>
  <si>
    <t>#NTVA6528</t>
  </si>
  <si>
    <t>256973066</t>
  </si>
  <si>
    <t>NOMBRE RETIRA: GLORIA MELO . RUT RETIRA: 4906029-7</t>
  </si>
  <si>
    <t>Víctor Arriagada</t>
  </si>
  <si>
    <t>Pasaje 4, Villa Pie de Monte, Casa 407</t>
  </si>
  <si>
    <t>#NTVA6527</t>
  </si>
  <si>
    <t>256973075</t>
  </si>
  <si>
    <t>NOMBRE RETIRA: JUAN GODOY . RUT RETIRA: 26495169-0</t>
  </si>
  <si>
    <t>Claudio Maraboli Rebolledo</t>
  </si>
  <si>
    <t>Avenida José Francisco Vergara 3253, Dpto 2304</t>
  </si>
  <si>
    <t>#NTVA6294</t>
  </si>
  <si>
    <t>255614560</t>
  </si>
  <si>
    <t>NOMBRE RETIRA: RODRIGO CAMPOS . RUT RETIRA: 19675588-8</t>
  </si>
  <si>
    <t>2025-10-20 14:50</t>
  </si>
  <si>
    <t>#NTVA6512</t>
  </si>
  <si>
    <t>256864256</t>
  </si>
  <si>
    <t>NOMBRE RETIRA: CAMILA SPOOMER . RUT RETIRA: 25607322-6</t>
  </si>
  <si>
    <t>Hania Spooner</t>
  </si>
  <si>
    <t>Parque nacional torres del paine 2537, La serena, Casa blanca de dos pisos</t>
  </si>
  <si>
    <t>2025-11-07 21:22</t>
  </si>
  <si>
    <t>#NTVA6514</t>
  </si>
  <si>
    <t>256864255</t>
  </si>
  <si>
    <t>NOMBRE RETIRA: GUIDO FUENTES .. RUT RETIRA: 3758862-8</t>
  </si>
  <si>
    <t>Martin Soltau</t>
  </si>
  <si>
    <t>erico lausen siebert 3227, casa</t>
  </si>
  <si>
    <t>2025-11-08 12:06</t>
  </si>
  <si>
    <t>#NTVA5965</t>
  </si>
  <si>
    <t>256298324</t>
  </si>
  <si>
    <t>NOMBRE RETIRA: ERIGARDO URIBE . RUT RETIRA: 11111111-1</t>
  </si>
  <si>
    <t>Erigardo Uribe</t>
  </si>
  <si>
    <t>AndrÉs Stambuk Ursic 0858, Casa</t>
  </si>
  <si>
    <t>2025-10-13 17:20</t>
  </si>
  <si>
    <t>#NTVA6507</t>
  </si>
  <si>
    <t>256798736</t>
  </si>
  <si>
    <t>NOMBRE RETIRA: HECTOR SALGADO X RUT RETIRA: 21171137-K</t>
  </si>
  <si>
    <t>Hector Salgado</t>
  </si>
  <si>
    <t>Covadonga 568, casa</t>
  </si>
  <si>
    <t>#NTVA6454</t>
  </si>
  <si>
    <t>256479711</t>
  </si>
  <si>
    <t>NOMBRE RETIRA: MONICA GUAJARDO .. RUT RETIRA: 11111111-1</t>
  </si>
  <si>
    <t>Guiliana Gajardo</t>
  </si>
  <si>
    <t>arauco 745, casa</t>
  </si>
  <si>
    <t>#NTVA6364</t>
  </si>
  <si>
    <t>256300128</t>
  </si>
  <si>
    <t>NOMBRE RETIRA: FRANCO JARA . RUT RETIRA: 11111111-1</t>
  </si>
  <si>
    <t>Franco Jara guzman</t>
  </si>
  <si>
    <t>Pablo Perez Ravena 01310, Casa esquina, villa santa ana</t>
  </si>
  <si>
    <t>2025-10-29 23:40</t>
  </si>
  <si>
    <t>#NTVA6260</t>
  </si>
  <si>
    <t>255406648</t>
  </si>
  <si>
    <t>NOMBRE RETIRA: JORGE YANEZ . RUT RETIRA: 13357082-9</t>
  </si>
  <si>
    <t>Jorge Yañez</t>
  </si>
  <si>
    <t>Pasaje volcan guallatire 652, Casa</t>
  </si>
  <si>
    <t>2025-10-16 16:43</t>
  </si>
  <si>
    <t>#NTVA6496</t>
  </si>
  <si>
    <t>256728672</t>
  </si>
  <si>
    <t>NOMBRE RETIRA: MARIA MUNOZ 0 RUT RETIRA: 8140155-1</t>
  </si>
  <si>
    <t>Alonso Villalobos</t>
  </si>
  <si>
    <t>Avenida Ramadillas de Lircay #3339</t>
  </si>
  <si>
    <t>#NTVA6495</t>
  </si>
  <si>
    <t>256728686</t>
  </si>
  <si>
    <t>NOMBRE RETIRA: CAMILO PINOCHET JH RUT RETIRA: 20007367-3</t>
  </si>
  <si>
    <t>Camilo Pinochet Ramírez</t>
  </si>
  <si>
    <t>Las Bresinas 567, Casa</t>
  </si>
  <si>
    <t>#NTVA6255</t>
  </si>
  <si>
    <t>255406664</t>
  </si>
  <si>
    <t>NOMBRE RETIRA: VICENTE PALACIO . RUT RETIRA: 22277963-4</t>
  </si>
  <si>
    <t>Vicente Palacios</t>
  </si>
  <si>
    <t>El palto 3001 Condominio mallen, Palma 1103</t>
  </si>
  <si>
    <t>#NTVA6502</t>
  </si>
  <si>
    <t>256728648</t>
  </si>
  <si>
    <t>NOMBRE RETIRA: ELIZABETH OSES . RUT RETIRA: 18100464-9</t>
  </si>
  <si>
    <t>elizabeth osses</t>
  </si>
  <si>
    <t>Pasaje Cabo de Hornos, casa 690</t>
  </si>
  <si>
    <t>#NTVA6254</t>
  </si>
  <si>
    <t>255406707</t>
  </si>
  <si>
    <t>NOMBRE RETIRA: NINOSKA GONZALEZ .. RUT RETIRA: 11115120-2</t>
  </si>
  <si>
    <t>Matías Cordova Ortega</t>
  </si>
  <si>
    <t>Av Independencia 1060, IST San Antonio</t>
  </si>
  <si>
    <t>#NTVA6341</t>
  </si>
  <si>
    <t>256147206</t>
  </si>
  <si>
    <t>NOMBRE RETIRA: LEANDRO CARDENAS . RUT RETIRA: 21922046-4</t>
  </si>
  <si>
    <t>Leandro Cardenas</t>
  </si>
  <si>
    <t>Casa, Pasaje Manuel Baquedano # 410</t>
  </si>
  <si>
    <t>2025-10-28 00:11</t>
  </si>
  <si>
    <t>#NTVA6418</t>
  </si>
  <si>
    <t>256648482</t>
  </si>
  <si>
    <t>NOMBRE RETIRA: MACARENA MARCHANT . RUT RETIRA: 21930885-K</t>
  </si>
  <si>
    <t>Macarena Marchant rojas</t>
  </si>
  <si>
    <t>Pasaje Las Azaleas 1372, Villa Valle Hermoso, Paillaco, 1372</t>
  </si>
  <si>
    <t>#NTVA6443</t>
  </si>
  <si>
    <t>256479757</t>
  </si>
  <si>
    <t>NOMBRE RETIRA: PABLO CEJAS . RUT RETIRA: 13008317-K</t>
  </si>
  <si>
    <t>Pablo Cejas Henriquez</t>
  </si>
  <si>
    <t>Avenida Salvador Allende Gossens 3037, Casa</t>
  </si>
  <si>
    <t>#NTVA6413</t>
  </si>
  <si>
    <t>256479902</t>
  </si>
  <si>
    <t>NOMBRE RETIRA: CAMILO FUE.EST . RUT RETIRA: 12345678-5</t>
  </si>
  <si>
    <t>Camilo Fuentes</t>
  </si>
  <si>
    <t>Calle cobija, 620</t>
  </si>
  <si>
    <t>#NTVA6426</t>
  </si>
  <si>
    <t>256479809</t>
  </si>
  <si>
    <t>NOMBRE RETIRA: LUCAS SANCHEZ . RUT RETIRA: 13160291-K</t>
  </si>
  <si>
    <t>Lucas Sánchez</t>
  </si>
  <si>
    <t>Pasaje Parque Puyehue 1166, Casa (Panadería Valeria)</t>
  </si>
  <si>
    <t>#NTVA6436</t>
  </si>
  <si>
    <t>256479826</t>
  </si>
  <si>
    <t>NOMBRE RETIRA: SEBASTIAN CAAMANO X RUT RETIRA: 17020357-7</t>
  </si>
  <si>
    <t>Sebastian Caamaño Abarca</t>
  </si>
  <si>
    <t>Bauxita 434</t>
  </si>
  <si>
    <t>#NTVA6483</t>
  </si>
  <si>
    <t>256571039</t>
  </si>
  <si>
    <t>NOMBRE RETIRA: LAURA TOVIA . RUT RETIRA: 20850646-3</t>
  </si>
  <si>
    <t>Laura Sottovia</t>
  </si>
  <si>
    <t>Los chercanes 94, Casa</t>
  </si>
  <si>
    <t>2025-11-04 12:41</t>
  </si>
  <si>
    <t>#NTVA6449</t>
  </si>
  <si>
    <t>256479682</t>
  </si>
  <si>
    <t>NOMBRE RETIRA: MATIAA MIRANDA . RUT RETIRA: 12345678-5</t>
  </si>
  <si>
    <t>Matías Miranda Bernal</t>
  </si>
  <si>
    <t>Paso del Agua 2545</t>
  </si>
  <si>
    <t>#NTVA6488</t>
  </si>
  <si>
    <t>256648503</t>
  </si>
  <si>
    <t>NOMBRE RETIRA: SOLANGE PINTO . RUT RETIRA: 19935270-9</t>
  </si>
  <si>
    <t>florencia illesca</t>
  </si>
  <si>
    <t>monte udalaitz 2006</t>
  </si>
  <si>
    <t>2025-11-05 12:06</t>
  </si>
  <si>
    <t>#NTVA6395</t>
  </si>
  <si>
    <t>256479982</t>
  </si>
  <si>
    <t>NOMBRE RETIRA: BRAIAN ROUANET 1 RUT RETIRA: 13810038-3</t>
  </si>
  <si>
    <t>Braian Rouanet</t>
  </si>
  <si>
    <t>Uruguay 235, Oficina 3 depto niñez</t>
  </si>
  <si>
    <t>#NTVA6489</t>
  </si>
  <si>
    <t>256648472</t>
  </si>
  <si>
    <t>NOMBRE RETIRA: JAQUELINE GONZALES K RUT RETIRA: 18194820-5</t>
  </si>
  <si>
    <t>Ricardo Correa</t>
  </si>
  <si>
    <t>Milano 03106, Turin 203</t>
  </si>
  <si>
    <t>#NTVA6487</t>
  </si>
  <si>
    <t>256648476</t>
  </si>
  <si>
    <t>NOMBRE RETIRA: GASPAR RIVADERA MOLINA RUT RETIRA: 22941725-8</t>
  </si>
  <si>
    <t>Gaspar Rivadera</t>
  </si>
  <si>
    <t>Los Rosales 942</t>
  </si>
  <si>
    <t>#NTVA6446</t>
  </si>
  <si>
    <t>256479743</t>
  </si>
  <si>
    <t>NOMBRE RETIRA: EDITH GUZMAN . RUT RETIRA: 9314071-0</t>
  </si>
  <si>
    <t>Carolina Escalante Collao</t>
  </si>
  <si>
    <t>Taqui huailla 3487 taqui huailla</t>
  </si>
  <si>
    <t>#NTVA6450</t>
  </si>
  <si>
    <t>256479736</t>
  </si>
  <si>
    <t>NOMBRE RETIRA: JUAN DIAZ D RUT RETIRA: 56049520-K</t>
  </si>
  <si>
    <t>Sergio Valdebenito</t>
  </si>
  <si>
    <t>Edmundo eluchans 1985, Apartamento</t>
  </si>
  <si>
    <t>#NTVA6476</t>
  </si>
  <si>
    <t>256571071</t>
  </si>
  <si>
    <t>NOMBRE RETIRA: DANILO LOPEZ R RUT RETIRA: 10684553-0</t>
  </si>
  <si>
    <t>Ricardo Rodriguez navarrete</t>
  </si>
  <si>
    <t>Libertad 444, Casa 14</t>
  </si>
  <si>
    <t>2025-11-03 22:35</t>
  </si>
  <si>
    <t>#NTVA6414</t>
  </si>
  <si>
    <t>256479899</t>
  </si>
  <si>
    <t>Abrahan Becerra</t>
  </si>
  <si>
    <t>Avenida Martín Alonqueo 1883, Depto Block 30, 1883A</t>
  </si>
  <si>
    <t>#NTVA6471</t>
  </si>
  <si>
    <t>256479653</t>
  </si>
  <si>
    <t>NOMBRE RETIRA: ANTONIA GOMEZ M RUT RETIRA: 9850457-5</t>
  </si>
  <si>
    <t>Antonia Gómez Moore</t>
  </si>
  <si>
    <t>Calle del agua 1570</t>
  </si>
  <si>
    <t>#NTVA6473</t>
  </si>
  <si>
    <t>256571090</t>
  </si>
  <si>
    <t>NOMBRE RETIRA: ALEXIS MORAGA .. RUT RETIRA: 14622839-9</t>
  </si>
  <si>
    <t>Alexis Moraga Constenla</t>
  </si>
  <si>
    <t>Felipe II 581 placilla valparaiso, Casa</t>
  </si>
  <si>
    <t>#NTVA6439</t>
  </si>
  <si>
    <t>256479784</t>
  </si>
  <si>
    <t>NOMBRE RETIRA: MARIO LEPICHEO . RUT RETIRA: 7979121-0</t>
  </si>
  <si>
    <t>Mario Lepicheo</t>
  </si>
  <si>
    <t>El Arrayán 075</t>
  </si>
  <si>
    <t>#NTVA6400</t>
  </si>
  <si>
    <t>256479959</t>
  </si>
  <si>
    <t>NOMBRE RETIRA: SEBASTIAN MEDINA 0 RUT RETIRA: 20911534-4</t>
  </si>
  <si>
    <t>Sebastian Medina Jerez</t>
  </si>
  <si>
    <t>Villa las araucarias, pasaje 2, 210</t>
  </si>
  <si>
    <t>#NTVA6456</t>
  </si>
  <si>
    <t>256479723</t>
  </si>
  <si>
    <t>NOMBRE RETIRA: FRABCISCO MALDONADO N RUT RETIRA: 20006208-6</t>
  </si>
  <si>
    <t>Francisco Maldonado Jopia</t>
  </si>
  <si>
    <t>Cinco de Mayo 1194</t>
  </si>
  <si>
    <t>#NTVA6411</t>
  </si>
  <si>
    <t>256479904</t>
  </si>
  <si>
    <t>NOMBRE RETIRA: SOFIA GONZAKEZ B RUT RETIRA: 13145862-2</t>
  </si>
  <si>
    <t>Sofía González</t>
  </si>
  <si>
    <t>calle 13 norte pasaje 7 1/2 oriente 1385, Casa</t>
  </si>
  <si>
    <t>#NTVA6253</t>
  </si>
  <si>
    <t>255406699</t>
  </si>
  <si>
    <t>NOMBRE RETIRA: SEBASTIAN MOYANO MOYANO RUT RETIRA: 13416982-6</t>
  </si>
  <si>
    <t>Sebastián Moyano</t>
  </si>
  <si>
    <t>Hugo Vidal Zamorano 2755, Casa</t>
  </si>
  <si>
    <t>#NTVA6285</t>
  </si>
  <si>
    <t>255614533</t>
  </si>
  <si>
    <t>NOMBRE RETIRA: RODRICO HERNANFE N RUT RETIRA: 18070334-9</t>
  </si>
  <si>
    <t>Angelo Hernández</t>
  </si>
  <si>
    <t>Av Vicente Huidobro, 7221, 7221</t>
  </si>
  <si>
    <t>#NTVA6425</t>
  </si>
  <si>
    <t>256479842</t>
  </si>
  <si>
    <t>NOMBRE RETIRA: VANESSA CATALDO J RUT RETIRA: 21893144-8</t>
  </si>
  <si>
    <t>Vanessa Cataldo Abarzua</t>
  </si>
  <si>
    <t>Alemparte #0747, Casa</t>
  </si>
  <si>
    <t>#NTVA6480</t>
  </si>
  <si>
    <t>256571049</t>
  </si>
  <si>
    <t>NOMBRE RETIRA: OLIVIA BARRAZA . RUT RETIRA: 11043125-2</t>
  </si>
  <si>
    <t>Martín Andrades Barraza</t>
  </si>
  <si>
    <t>Luis cruz martinez 623, Casa</t>
  </si>
  <si>
    <t>#NTVA6409</t>
  </si>
  <si>
    <t>256479887</t>
  </si>
  <si>
    <t>NOMBRE RETIRA: MILENA CANAL BUGENO RUT RETIRA: 10087161-0</t>
  </si>
  <si>
    <t>Radu Mihai Milu</t>
  </si>
  <si>
    <t>Calle Marcos Gallo Vergara 536, Casa 55, Casa 55</t>
  </si>
  <si>
    <t>#NTVA6394</t>
  </si>
  <si>
    <t>256479989</t>
  </si>
  <si>
    <t>NOMBRE RETIRA: RODRIGOO MARTINEZ . RUT RETIRA: 16397859-8</t>
  </si>
  <si>
    <t>Ian Cárdenas Martínez</t>
  </si>
  <si>
    <t>Patricio Lynch 1299 esquina Colón, Local Repuestos Agal</t>
  </si>
  <si>
    <t>#NTVA6423</t>
  </si>
  <si>
    <t>256479848</t>
  </si>
  <si>
    <t>NOMBRE RETIRA: PATRICIA FERNANDEZ . RUT RETIRA: 9776222-8</t>
  </si>
  <si>
    <t>constanza jara fernandez</t>
  </si>
  <si>
    <t>miraflores #1181, veterinaria veterpet</t>
  </si>
  <si>
    <t>#NTVA6258</t>
  </si>
  <si>
    <t>255406673</t>
  </si>
  <si>
    <t>NOMBRE RETIRA: JOAQUIN ARRIAGADA . RUT RETIRA: 17047930-0</t>
  </si>
  <si>
    <t>Joaquin Arriagada</t>
  </si>
  <si>
    <t>luis damann asenjo 1838, casa</t>
  </si>
  <si>
    <t>#NTVA6408</t>
  </si>
  <si>
    <t>256479907</t>
  </si>
  <si>
    <t>NOMBRE RETIRA: FRANCO CONSERJERIA C RUT RETIRA: 65067074-4</t>
  </si>
  <si>
    <t>Branka Sorich García</t>
  </si>
  <si>
    <t>calle isla de pascua 317, depto 2830</t>
  </si>
  <si>
    <t>#NTVA6474</t>
  </si>
  <si>
    <t>256571076</t>
  </si>
  <si>
    <t>NOMBRE RETIRA: LORETO MAGUIDA RECEPCION RUT RETIRA: 15811848-3</t>
  </si>
  <si>
    <t>Karina Cortes</t>
  </si>
  <si>
    <t>Dario Salas 1111, 1407-B</t>
  </si>
  <si>
    <t>#NTVA6396</t>
  </si>
  <si>
    <t>256479967</t>
  </si>
  <si>
    <t>NOMBRE RETIRA: IGNACIO SALAS . RUT RETIRA: 16754596-3</t>
  </si>
  <si>
    <t>Ignacio Salas</t>
  </si>
  <si>
    <t>El Palto 3001, Edificio Palma 1003</t>
  </si>
  <si>
    <t>#NTVA6388</t>
  </si>
  <si>
    <t>256299986</t>
  </si>
  <si>
    <t>NOMBRE RETIRA: JOSELYN INQUILTUPA . RUT RETIRA: 17011888-K</t>
  </si>
  <si>
    <t>catalina marquez</t>
  </si>
  <si>
    <t>Cristobal Colon 517</t>
  </si>
  <si>
    <t>2025-10-30 13:38</t>
  </si>
  <si>
    <t>#NTVA6461</t>
  </si>
  <si>
    <t>256479702</t>
  </si>
  <si>
    <t>NOMBRE RETIRA: MATIAS LEIVA B RUT RETIRA: 9132245-5</t>
  </si>
  <si>
    <t>#NTVA6393</t>
  </si>
  <si>
    <t>256479971</t>
  </si>
  <si>
    <t>NOMBRE RETIRA: LUISA TORRES . RUT RETIRA: 5034207-7</t>
  </si>
  <si>
    <t>Diego Belmar</t>
  </si>
  <si>
    <t>Coihueco 770, Casa</t>
  </si>
  <si>
    <t>#NTVA6467</t>
  </si>
  <si>
    <t>256479656</t>
  </si>
  <si>
    <t>NOMBRE RETIRA: GISELA ARANEDA .. RUT RETIRA: 13957422-2</t>
  </si>
  <si>
    <t>ignacio Oliva Araneda</t>
  </si>
  <si>
    <t>Calbuco, 8122, Lan-C, Hualpen, Casa</t>
  </si>
  <si>
    <t>#NTVA6472</t>
  </si>
  <si>
    <t>256571054</t>
  </si>
  <si>
    <t>NOMBRE RETIRA: AMA DELGADO M RUT RETIRA: 10765130-6</t>
  </si>
  <si>
    <t>Vicente Zapata</t>
  </si>
  <si>
    <t>Lord Cochrane 154</t>
  </si>
  <si>
    <t>#NTVA6479</t>
  </si>
  <si>
    <t>256571060</t>
  </si>
  <si>
    <t>NOMBRE RETIRA: SOLEDAD VIDAL K RUT RETIRA: 10721237-K</t>
  </si>
  <si>
    <t>Soledad Vidal</t>
  </si>
  <si>
    <t>Phillippi 771, Cautin, Temuco, Chile, depto 703</t>
  </si>
  <si>
    <t>#NTVA6460</t>
  </si>
  <si>
    <t>256479646</t>
  </si>
  <si>
    <t>NOMBRE RETIRA: SEBASTIAN VARGAS N RUT RETIRA: 9850457-5</t>
  </si>
  <si>
    <t>Padre hurtado 660, i-52</t>
  </si>
  <si>
    <t>#NTVA6445</t>
  </si>
  <si>
    <t>256479749</t>
  </si>
  <si>
    <t>NOMBRE RETIRA: LAURA VILLAROEL . RUT RETIRA: 7706039-1</t>
  </si>
  <si>
    <t>Renato Labbé Pérez</t>
  </si>
  <si>
    <t>Poblacion Bolonia Calle 2 Casa 196 Paradero 21, Casa</t>
  </si>
  <si>
    <t>#NTVA6379</t>
  </si>
  <si>
    <t>256300105</t>
  </si>
  <si>
    <t>NOMBRE RETIRA: CRISTIAN NIEDMANN . RUT RETIRA: 18504569-2</t>
  </si>
  <si>
    <t>Cristofer Niedmann</t>
  </si>
  <si>
    <t>4780000</t>
  </si>
  <si>
    <t>#NTVA6365</t>
  </si>
  <si>
    <t>256300133</t>
  </si>
  <si>
    <t>NOMBRE RETIRA: SEBASTIAN MOLINA L RUT RETIRA: 19968187-7</t>
  </si>
  <si>
    <t>Sebastián Molina</t>
  </si>
  <si>
    <t>Dos oriente 4254, Casa</t>
  </si>
  <si>
    <t>#NTVA6366</t>
  </si>
  <si>
    <t>256300136</t>
  </si>
  <si>
    <t>NOMBRE RETIRA: PABLO ROJAS Y RUT RETIRA: 53307578-9</t>
  </si>
  <si>
    <t>Constanza Sandoval Araneda</t>
  </si>
  <si>
    <t>Chacabuco 1140, Depto 1305</t>
  </si>
  <si>
    <t>#NTVA6392</t>
  </si>
  <si>
    <t>256299983</t>
  </si>
  <si>
    <t>NOMBRE RETIRA: SHIRLEY SALINAS . RUT RETIRA: 73862800-4</t>
  </si>
  <si>
    <t>yeiro contreras rojas</t>
  </si>
  <si>
    <t>cerro moreno 10500, casa 13</t>
  </si>
  <si>
    <t>#NTVA6383</t>
  </si>
  <si>
    <t>256300082</t>
  </si>
  <si>
    <t>NOMBRE RETIRA: CARLA ROBLES . RUT RETIRA: 13174917-1</t>
  </si>
  <si>
    <t>Diego González Muñoz</t>
  </si>
  <si>
    <t>Calle Astilla, 907. Vallenar. Villa los Yacimientos., Casa</t>
  </si>
  <si>
    <t>#NTVA6377</t>
  </si>
  <si>
    <t>256300078</t>
  </si>
  <si>
    <t>Harvey Fernández</t>
  </si>
  <si>
    <t>Independencia 220, Casa lata</t>
  </si>
  <si>
    <t>#NTVA6369</t>
  </si>
  <si>
    <t>256300098</t>
  </si>
  <si>
    <t>NOMBRE RETIRA: DIEGO HORMAZABAL . RUT RETIRA: 20089280-1</t>
  </si>
  <si>
    <t>Diego Hormazabal</t>
  </si>
  <si>
    <t>Villa el encuentro roberto lurashi 09, Casa 09</t>
  </si>
  <si>
    <t>#NTVA6376</t>
  </si>
  <si>
    <t>256300015</t>
  </si>
  <si>
    <t>NOMBRE RETIRA: DAVID ARRIAGADA L RUT RETIRA: 23334054-5</t>
  </si>
  <si>
    <t>David Arriagada Villagran</t>
  </si>
  <si>
    <t>calle condell 0708 villa los esteros, Casa de un piso</t>
  </si>
  <si>
    <t>#NTVA6387</t>
  </si>
  <si>
    <t>256300026</t>
  </si>
  <si>
    <t>NOMBRE RETIRA: LUIS VALDES . RUT RETIRA: 56065290-9</t>
  </si>
  <si>
    <t>#NTVA6390</t>
  </si>
  <si>
    <t>256299991</t>
  </si>
  <si>
    <t>NOMBRE RETIRA: VISTA DEL VALLE DOS RUT RETIRA: 20137133-3</t>
  </si>
  <si>
    <t>Juan Amigo Torrealba</t>
  </si>
  <si>
    <t>Navio San Martin 375, Depto 1603 torre b</t>
  </si>
  <si>
    <t>#NTVA6372</t>
  </si>
  <si>
    <t>256300123</t>
  </si>
  <si>
    <t>NOMBRE RETIRA: SORAYA AREVALO ... RUT RETIRA: 15259283-3</t>
  </si>
  <si>
    <t>Luis Ormeño Roca</t>
  </si>
  <si>
    <t>Vicuña mackenna 780, Easy los angeles</t>
  </si>
  <si>
    <t>#NTVA6381</t>
  </si>
  <si>
    <t>256300049</t>
  </si>
  <si>
    <t>NOMBRE RETIRA: LUIS FERNANDEZ Y RUT RETIRA: 65195412-6</t>
  </si>
  <si>
    <t>Angélica Espinoza Navarrete</t>
  </si>
  <si>
    <t>Freire 1062, Depto 913</t>
  </si>
  <si>
    <t>#NTVA6375</t>
  </si>
  <si>
    <t>256300017</t>
  </si>
  <si>
    <t>Benjamín Troncoso</t>
  </si>
  <si>
    <t>Paicavi 385 Pasaje 2, Condominio los Aromos Casa 7</t>
  </si>
  <si>
    <t>#NTVA6382</t>
  </si>
  <si>
    <t>256300086</t>
  </si>
  <si>
    <t>NOMBRE RETIRA: JOSEFINA LARA . RUT RETIRA: 12657667-6</t>
  </si>
  <si>
    <t>Josefina Lara</t>
  </si>
  <si>
    <t>Callejón las Encinas p58 l1</t>
  </si>
  <si>
    <t>#NTVA6404</t>
  </si>
  <si>
    <t>256789717</t>
  </si>
  <si>
    <t>NOMBRE RETIRA: LIDIA POVEDA . RUT RETIRA: 9326808-3</t>
  </si>
  <si>
    <t>Andrés Cayuman</t>
  </si>
  <si>
    <t>4810721, condominio</t>
  </si>
  <si>
    <t>#NTVA6580</t>
  </si>
  <si>
    <t>712974993345</t>
  </si>
  <si>
    <t>Nombre: Gloria Quijano - Rut: 120607731</t>
  </si>
  <si>
    <t>Miguel Espinoza Quijano</t>
  </si>
  <si>
    <t>Bernardo Gidi 882, Casa</t>
  </si>
  <si>
    <t>#NTVA6542</t>
  </si>
  <si>
    <t>712971559731</t>
  </si>
  <si>
    <t>Nombre: nethan garces - Rut: 219939620</t>
  </si>
  <si>
    <t>Yordano Garces</t>
  </si>
  <si>
    <t>Dr nestor barrientos bustamante 609</t>
  </si>
  <si>
    <t>#NTVA6535</t>
  </si>
  <si>
    <t>712971157426</t>
  </si>
  <si>
    <t>Nombre: Manuel Gutierrez - Rut: 180802193</t>
  </si>
  <si>
    <t>Santa Victoria de Mallarauco sitio 9</t>
  </si>
  <si>
    <t>#NTVA6481</t>
  </si>
  <si>
    <t>712968339075</t>
  </si>
  <si>
    <t>Nombre: victoria castillo - Rut: 134754915</t>
  </si>
  <si>
    <t>Daniel Mallea</t>
  </si>
  <si>
    <t>Estanislao Loayza 1309</t>
  </si>
  <si>
    <t>#NTVA6401</t>
  </si>
  <si>
    <t>712967889362</t>
  </si>
  <si>
    <t>Nombre: ana carrasco - Rut: 124114454</t>
  </si>
  <si>
    <t>Leonardo Santis</t>
  </si>
  <si>
    <t>San Miguel 792, Casa</t>
  </si>
  <si>
    <t>#NTVA6463</t>
  </si>
  <si>
    <t>712967888485</t>
  </si>
  <si>
    <t>Nombre: Bastian Zuniga - Rut: 208801562</t>
  </si>
  <si>
    <t>Jorge Zuñiga</t>
  </si>
  <si>
    <t>Las parcelas sector 4 popeta</t>
  </si>
  <si>
    <t>#NTVA6437</t>
  </si>
  <si>
    <t>712967888824</t>
  </si>
  <si>
    <t>Nombre: orlando verdugo - Rut: 12890591</t>
  </si>
  <si>
    <t>Orlando Verdugo</t>
  </si>
  <si>
    <t>Condominio las Hornillas de Chocalan kl 6.1 ruta g60 parcela 12, Casa</t>
  </si>
  <si>
    <t>#NTVA6415</t>
  </si>
  <si>
    <t>712967888894</t>
  </si>
  <si>
    <t>Nombre: Miguel Espinoza - Rut: 202312780</t>
  </si>
  <si>
    <t>#NTVA6421</t>
  </si>
  <si>
    <t>712967888986</t>
  </si>
  <si>
    <t>Nombre: Michael campos - Rut: 131319142</t>
  </si>
  <si>
    <t>Michael Campos</t>
  </si>
  <si>
    <t>Ostrava 2210 solar de Hualpen 2210, Casa</t>
  </si>
  <si>
    <t>#NTVA6566</t>
  </si>
  <si>
    <t>9405609592</t>
  </si>
  <si>
    <t>Dylan Fritz</t>
  </si>
  <si>
    <t>jose fuenzalida 889, casa de esquina</t>
  </si>
  <si>
    <t>#NTVA6451</t>
  </si>
  <si>
    <t>9390293404</t>
  </si>
  <si>
    <t>Cristofer Pérez</t>
  </si>
  <si>
    <t>Guacarhue Las Palmas De Arriba Callejon Los PÉrez 080</t>
  </si>
  <si>
    <t>#NTVA6503</t>
  </si>
  <si>
    <t>9391766554</t>
  </si>
  <si>
    <t>Emilia Fuenzalida</t>
  </si>
  <si>
    <t>Avenida bernardo ohiggins 490</t>
  </si>
  <si>
    <t>#NTVA6429</t>
  </si>
  <si>
    <t>9390346615</t>
  </si>
  <si>
    <t>Renato Vargas</t>
  </si>
  <si>
    <t>Los castaños oriente 850 poblacion Las Gaviotas Concon, 850</t>
  </si>
  <si>
    <t>#NTVA6427</t>
  </si>
  <si>
    <t>9390770082</t>
  </si>
  <si>
    <t>Constanza Pavez Torres</t>
  </si>
  <si>
    <t>Francisco Bilbao 511, Pasaje 4 casa b2 condominio Villa cordillera</t>
  </si>
  <si>
    <t>#NTVA6386</t>
  </si>
  <si>
    <t>9385747523</t>
  </si>
  <si>
    <t>Renato Sapiain Venegas</t>
  </si>
  <si>
    <t>Mariano la torre, Casa</t>
  </si>
  <si>
    <t>#NTVA6275</t>
  </si>
  <si>
    <t>9389250721</t>
  </si>
  <si>
    <t>Damian Mingo</t>
  </si>
  <si>
    <t>Talagante, Loquen Sur, Cuadro De Sorrento</t>
  </si>
  <si>
    <t>2025-10-20 14:49</t>
  </si>
  <si>
    <t>12143</t>
  </si>
  <si>
    <t>257447407</t>
  </si>
  <si>
    <t>RCT CHILE</t>
  </si>
  <si>
    <t>NOMBRE RETIRA: PAULO SAPIAN GONZALEZ RUT RETIRA: 12652779-9</t>
  </si>
  <si>
    <t>Paulo Sapiain</t>
  </si>
  <si>
    <t>Del Salvador 1093</t>
  </si>
  <si>
    <t>2025-11-15 18:58</t>
  </si>
  <si>
    <t>12168</t>
  </si>
  <si>
    <t>9393807905</t>
  </si>
  <si>
    <t>Jose Aranda garrido</t>
  </si>
  <si>
    <t>Alcalde francisco sotomayor 03099</t>
  </si>
  <si>
    <t>2025-11-20 07:47</t>
  </si>
  <si>
    <t>12136</t>
  </si>
  <si>
    <t>9405324235</t>
  </si>
  <si>
    <t>AV CENTRAL 800 PEÑAFLOR ENTRE LAS PALMERAS Y VICUÑA MACKENA</t>
  </si>
  <si>
    <t>2025-11-14 14:45</t>
  </si>
  <si>
    <t>12139</t>
  </si>
  <si>
    <t>9405017226</t>
  </si>
  <si>
    <t>SOR:01-OLA:150-E:1500-SP:24-SR:24-PZA:1</t>
  </si>
  <si>
    <t>Angely Hidalgo Vitali</t>
  </si>
  <si>
    <t>Vitacura N23 Inmaculada concepción hualañe</t>
  </si>
  <si>
    <t>2025-11-14 20:30</t>
  </si>
  <si>
    <t>12146</t>
  </si>
  <si>
    <t>9405205880</t>
  </si>
  <si>
    <t>Pablo Nazar</t>
  </si>
  <si>
    <t>Avenida Pablo Neruda 0660</t>
  </si>
  <si>
    <t>2025-11-16 22:55</t>
  </si>
  <si>
    <t>12141</t>
  </si>
  <si>
    <t>9405316664</t>
  </si>
  <si>
    <t>Paula Cartoni Gajardo</t>
  </si>
  <si>
    <t>1 norte 741</t>
  </si>
  <si>
    <t>2025-11-15 12:45</t>
  </si>
  <si>
    <t>12142</t>
  </si>
  <si>
    <t>9405185112</t>
  </si>
  <si>
    <t>mariana reyes asesora</t>
  </si>
  <si>
    <t>Juan Gutierrez Flores</t>
  </si>
  <si>
    <t>Pampa graneros 1516</t>
  </si>
  <si>
    <t>2025-11-15 16:47</t>
  </si>
  <si>
    <t>9405646515</t>
  </si>
  <si>
    <t>ANGELA VERGARA</t>
  </si>
  <si>
    <t>VÍA ROMANA 1835</t>
  </si>
  <si>
    <t>9405484966</t>
  </si>
  <si>
    <t>Ricardo e</t>
  </si>
  <si>
    <t>Ricardo francisco Araya Henríquez</t>
  </si>
  <si>
    <t>Calle Pedro De Valdivia # 141 el llano</t>
  </si>
  <si>
    <t>2025-11-15 21:29</t>
  </si>
  <si>
    <t>12152</t>
  </si>
  <si>
    <t>9405006925</t>
  </si>
  <si>
    <t>Ivan Chaparro Vejar</t>
  </si>
  <si>
    <t>Calle Llaima Nro. 202 sector San José de Cólico</t>
  </si>
  <si>
    <t>2025-11-16 11:35</t>
  </si>
  <si>
    <t>12149</t>
  </si>
  <si>
    <t>9405055542</t>
  </si>
  <si>
    <t>José Luis Aldunce Meyer</t>
  </si>
  <si>
    <t>Av Andalue 2638 casa 7</t>
  </si>
  <si>
    <t>2025-11-15 22:31</t>
  </si>
  <si>
    <t>12154</t>
  </si>
  <si>
    <t>9405205504</t>
  </si>
  <si>
    <t>Pamela Andrade Alvarado</t>
  </si>
  <si>
    <t>Puchuncavi 545</t>
  </si>
  <si>
    <t>2025-11-16 23:49</t>
  </si>
  <si>
    <t>12156</t>
  </si>
  <si>
    <t>9405101974</t>
  </si>
  <si>
    <t>olga brilolich entregado</t>
  </si>
  <si>
    <t>Thomas Daul</t>
  </si>
  <si>
    <t>Los Mañios 673</t>
  </si>
  <si>
    <t>12162</t>
  </si>
  <si>
    <t>9406689493</t>
  </si>
  <si>
    <t>luis gonzales recepcion</t>
  </si>
  <si>
    <t>Freddy Aguero</t>
  </si>
  <si>
    <t>Esmeralda 130</t>
  </si>
  <si>
    <t>9407001811</t>
  </si>
  <si>
    <t>Eduardo Verá Galindo</t>
  </si>
  <si>
    <t>Jose aguero 115 pob.Manuel Bulnes</t>
  </si>
  <si>
    <t>2025-11-18 18:29</t>
  </si>
  <si>
    <t>9405568314</t>
  </si>
  <si>
    <t>Teodoro Storm</t>
  </si>
  <si>
    <t>edmundo eluchans 2605 DPTO 73</t>
  </si>
  <si>
    <t>2025-11-15 20:51</t>
  </si>
  <si>
    <t>12157</t>
  </si>
  <si>
    <t>9406893366</t>
  </si>
  <si>
    <t>Talasia 460</t>
  </si>
  <si>
    <t>2025-11-17 18:00</t>
  </si>
  <si>
    <t>9405234296</t>
  </si>
  <si>
    <t>ARIEL FLORES</t>
  </si>
  <si>
    <t>TORRE DE COMARES 1258</t>
  </si>
  <si>
    <t>2025-11-17 18:07</t>
  </si>
  <si>
    <t>11975</t>
  </si>
  <si>
    <t>9392812295</t>
  </si>
  <si>
    <t>Freddy Gonzalez Onfray</t>
  </si>
  <si>
    <t>Argentina 18</t>
  </si>
  <si>
    <t>9394658663</t>
  </si>
  <si>
    <t>Yaninne torres guiñez torres guiñez</t>
  </si>
  <si>
    <t>Ruta Q20 km 16 sector cancha rayada</t>
  </si>
  <si>
    <t>2025-11-09 10:04</t>
  </si>
  <si>
    <t>9394925960</t>
  </si>
  <si>
    <t>Ignacio Rius</t>
  </si>
  <si>
    <t>Longitudinal Sur 90 (Agrocepia)</t>
  </si>
  <si>
    <t>2025-11-09 13:11</t>
  </si>
  <si>
    <t>11892</t>
  </si>
  <si>
    <t>9394833151</t>
  </si>
  <si>
    <t>bianca godoy</t>
  </si>
  <si>
    <t>Los Cipreses</t>
  </si>
  <si>
    <t>2025-11-09 10:32</t>
  </si>
  <si>
    <t>11954</t>
  </si>
  <si>
    <t>9394947752</t>
  </si>
  <si>
    <t>Sigrid Lorca Cortés</t>
  </si>
  <si>
    <t>Sofía 25, Playa Ancha</t>
  </si>
  <si>
    <t>2025-11-10 20:06</t>
  </si>
  <si>
    <t>11953</t>
  </si>
  <si>
    <t>9394692565</t>
  </si>
  <si>
    <t>Bruno Solari Vega</t>
  </si>
  <si>
    <t>Valle del atardecer 03839 depto 2104</t>
  </si>
  <si>
    <t>11888</t>
  </si>
  <si>
    <t>9394838202</t>
  </si>
  <si>
    <t>Roberto OPAZO VENEGAS</t>
  </si>
  <si>
    <t>Agustín Gómez García 339 , Quellón</t>
  </si>
  <si>
    <t>2025-11-08 12:39</t>
  </si>
  <si>
    <t>9392950136</t>
  </si>
  <si>
    <t>Yericok Parra</t>
  </si>
  <si>
    <t>Las pataguas 0507</t>
  </si>
  <si>
    <t>11996</t>
  </si>
  <si>
    <t>9393657766</t>
  </si>
  <si>
    <t>BXG:KSJH16</t>
  </si>
  <si>
    <t>Andrea Garcia Aranda</t>
  </si>
  <si>
    <t>Avenida Los pablos 2160</t>
  </si>
  <si>
    <t>9393482722</t>
  </si>
  <si>
    <t>Joel Vallejos Osorio</t>
  </si>
  <si>
    <t>Rafael de la presa #609</t>
  </si>
  <si>
    <t>11958</t>
  </si>
  <si>
    <t>9407244394</t>
  </si>
  <si>
    <t>Claudio Soto Gallegos</t>
  </si>
  <si>
    <t>Avenida Alto Palermo 222</t>
  </si>
  <si>
    <t>9394659713</t>
  </si>
  <si>
    <t>Mario Benavides Garrido</t>
  </si>
  <si>
    <t>Pasaje edimburgo 2798</t>
  </si>
  <si>
    <t>9390220980</t>
  </si>
  <si>
    <t>Mauricio Cruz carrizo</t>
  </si>
  <si>
    <t>Cerro negro 112</t>
  </si>
  <si>
    <t>2025-11-01 22:12</t>
  </si>
  <si>
    <t>11694</t>
  </si>
  <si>
    <t>9391367742</t>
  </si>
  <si>
    <t>Pamela Alarcon Aroca</t>
  </si>
  <si>
    <t>Parques de carriel 5580-13</t>
  </si>
  <si>
    <t>2025-10-29 20:49</t>
  </si>
  <si>
    <t>11779</t>
  </si>
  <si>
    <t>9390489931</t>
  </si>
  <si>
    <t>Enrique abello 01249</t>
  </si>
  <si>
    <t>2025-11-04 12:13</t>
  </si>
  <si>
    <t>11769</t>
  </si>
  <si>
    <t>9391021824</t>
  </si>
  <si>
    <t>Gregorio Sanchez</t>
  </si>
  <si>
    <t>Volcan osorno 55 villa concon 2</t>
  </si>
  <si>
    <t>2025-11-03 13:41</t>
  </si>
  <si>
    <t>11833</t>
  </si>
  <si>
    <t>9391616802</t>
  </si>
  <si>
    <t>Marcos Labra Ulloa</t>
  </si>
  <si>
    <t>Av parque viña santa blanca 411 viña santa blanca depto 502 torre C</t>
  </si>
  <si>
    <t>11866</t>
  </si>
  <si>
    <t>9408167893</t>
  </si>
  <si>
    <t>Matías Correa</t>
  </si>
  <si>
    <t>Gerónimo Costa 33</t>
  </si>
  <si>
    <t>11754</t>
  </si>
  <si>
    <t>9390935960</t>
  </si>
  <si>
    <t>Natalia Araneda llanos</t>
  </si>
  <si>
    <t>Avenida Gramado sn, colegio waldorf puerto varas</t>
  </si>
  <si>
    <t>2025-10-31 15:03</t>
  </si>
  <si>
    <t>11713</t>
  </si>
  <si>
    <t>9390256050</t>
  </si>
  <si>
    <t>Javier Sanhueza Antiqueo</t>
  </si>
  <si>
    <t>San Ernesto 1098</t>
  </si>
  <si>
    <t>2025-10-30 14:16</t>
  </si>
  <si>
    <t>11757</t>
  </si>
  <si>
    <t>9390209861</t>
  </si>
  <si>
    <t>BXG:PSZL44</t>
  </si>
  <si>
    <t>Jonathan Navarro prado</t>
  </si>
  <si>
    <t>Avenida central rapel</t>
  </si>
  <si>
    <t>2025-10-31 23:48</t>
  </si>
  <si>
    <t>11761</t>
  </si>
  <si>
    <t>9390209474</t>
  </si>
  <si>
    <t>Cristopher Acuña Palma</t>
  </si>
  <si>
    <t>Eleuterio ramirez 1199</t>
  </si>
  <si>
    <t>2025-11-02 12:36</t>
  </si>
  <si>
    <t>11767</t>
  </si>
  <si>
    <t>9390307776</t>
  </si>
  <si>
    <t>Pamela RODRIGUEZ</t>
  </si>
  <si>
    <t>Pasaje 4 y medio Poniente D con 27 Sur # 1097 Talca</t>
  </si>
  <si>
    <t>RCT11460-2</t>
  </si>
  <si>
    <t>9390036180</t>
  </si>
  <si>
    <t>Victor Alfaro</t>
  </si>
  <si>
    <t>Calle Las Tepas 366, Cajón, Temuco.</t>
  </si>
  <si>
    <t>RCT11564-2</t>
  </si>
  <si>
    <t>9390613024</t>
  </si>
  <si>
    <t>Fabián Barrientos González</t>
  </si>
  <si>
    <t>Pasaje los cipreses 345 villa los Alpes</t>
  </si>
  <si>
    <t>11829</t>
  </si>
  <si>
    <t>9391717834</t>
  </si>
  <si>
    <t>Hernán Aguilera</t>
  </si>
  <si>
    <t>Las Cinerarias 4492, Villa La Florida, La Serena</t>
  </si>
  <si>
    <t>2025-11-05 11:59</t>
  </si>
  <si>
    <t>11772</t>
  </si>
  <si>
    <t>9390853883</t>
  </si>
  <si>
    <t>Victor Gonzalo Arenas Castillo</t>
  </si>
  <si>
    <t>Camino publico roma</t>
  </si>
  <si>
    <t>2025-11-03 16:46</t>
  </si>
  <si>
    <t>11766</t>
  </si>
  <si>
    <t>9390963724</t>
  </si>
  <si>
    <t>Felipe Navarro jorquera</t>
  </si>
  <si>
    <t>Alejadro Cruz 349</t>
  </si>
  <si>
    <t>9407855542</t>
  </si>
  <si>
    <t>Franchesca Dauros</t>
  </si>
  <si>
    <t>Israel Roa 3082</t>
  </si>
  <si>
    <t>11755</t>
  </si>
  <si>
    <t>9390928120</t>
  </si>
  <si>
    <t>Francisco Javier Krugger 2120. Buin</t>
  </si>
  <si>
    <t>2025-10-31 15:05</t>
  </si>
  <si>
    <t>11773</t>
  </si>
  <si>
    <t>9390877392</t>
  </si>
  <si>
    <t>Pablo Rojas Ponce</t>
  </si>
  <si>
    <t>Avenida Libertad 120</t>
  </si>
  <si>
    <t>2025-11-03 18:42</t>
  </si>
  <si>
    <t>9390620595</t>
  </si>
  <si>
    <t>Verónica Pacheco quinteros</t>
  </si>
  <si>
    <t>Av. 18 de septiembre 1575</t>
  </si>
  <si>
    <t>2025-11-03 09:44</t>
  </si>
  <si>
    <t>11821</t>
  </si>
  <si>
    <t>9390585061</t>
  </si>
  <si>
    <t>Alex Vollaire</t>
  </si>
  <si>
    <t>12 norte 940</t>
  </si>
  <si>
    <t>2025-11-04 17:52</t>
  </si>
  <si>
    <t>11687</t>
  </si>
  <si>
    <t>9391239270</t>
  </si>
  <si>
    <t>Belén Espinoza</t>
  </si>
  <si>
    <t>Las petunias 147</t>
  </si>
  <si>
    <t>2025-10-28 22:41</t>
  </si>
  <si>
    <t>11686</t>
  </si>
  <si>
    <t>9385814664</t>
  </si>
  <si>
    <t>Ernesto Chamorro González</t>
  </si>
  <si>
    <t>Javiera Carrera 16</t>
  </si>
  <si>
    <t>2025-10-28 22:17</t>
  </si>
  <si>
    <t>11685</t>
  </si>
  <si>
    <t>9385051233</t>
  </si>
  <si>
    <t>Cristóbal Fernando Julià Jorquera</t>
  </si>
  <si>
    <t>Agustín Fernández 422 Parcela 2 Boco Quillota</t>
  </si>
  <si>
    <t>2025-10-28 10:31</t>
  </si>
  <si>
    <t>11681</t>
  </si>
  <si>
    <t>9385707343</t>
  </si>
  <si>
    <t>Loreto Hurtado</t>
  </si>
  <si>
    <t>Liagora 420, Depto 903</t>
  </si>
  <si>
    <t>2025-10-27 16:08</t>
  </si>
  <si>
    <t>11671</t>
  </si>
  <si>
    <t>9385826564</t>
  </si>
  <si>
    <t>Alfonso Salazar Farias</t>
  </si>
  <si>
    <t>Regidor Emilio Marquez 512</t>
  </si>
  <si>
    <t>2025-10-27 14:09</t>
  </si>
  <si>
    <t>11684</t>
  </si>
  <si>
    <t>9385455225</t>
  </si>
  <si>
    <t>Jose Miguel Contador Díaz</t>
  </si>
  <si>
    <t>Juan Cisternas 2633</t>
  </si>
  <si>
    <t>2025-10-28 11:56</t>
  </si>
  <si>
    <t>11627</t>
  </si>
  <si>
    <t>9387711174</t>
  </si>
  <si>
    <t>Rio Maule 2610</t>
  </si>
  <si>
    <t>2025-10-23 17:40</t>
  </si>
  <si>
    <t>REL77411</t>
  </si>
  <si>
    <t>257132134</t>
  </si>
  <si>
    <t>RELAJARTE</t>
  </si>
  <si>
    <t>NOMBRE RETIRA: LEONARDO . . RUT RETIRA: 11111111-1</t>
  </si>
  <si>
    <t>Susana Mendoza Cofré</t>
  </si>
  <si>
    <t>Av. Alcalde Fernando Castillo Velasco 8146</t>
  </si>
  <si>
    <t>Manantiales 1020, Casa</t>
  </si>
  <si>
    <t>2025-11-11 21:11</t>
  </si>
  <si>
    <t>REL77496</t>
  </si>
  <si>
    <t>257288257</t>
  </si>
  <si>
    <t>Susana Ro</t>
  </si>
  <si>
    <t>Señoret 198</t>
  </si>
  <si>
    <t>REL77576</t>
  </si>
  <si>
    <t>257444128</t>
  </si>
  <si>
    <t>NOMBRE RETIRA: WILLIAM RUIZ . RUT RETIRA: 18103884-5</t>
  </si>
  <si>
    <t>pia martinez</t>
  </si>
  <si>
    <t>ejercito 567, teleton</t>
  </si>
  <si>
    <t>2025-11-17 11:07</t>
  </si>
  <si>
    <t>REL77513</t>
  </si>
  <si>
    <t>257444520</t>
  </si>
  <si>
    <t>Jorge Maldonado Obligado</t>
  </si>
  <si>
    <t>Palmira Romano Sur 405, Paseo las Araucarias, local 2, RETIRO Sucursal STARKEN</t>
  </si>
  <si>
    <t>2025-11-14 21:33</t>
  </si>
  <si>
    <t>REL77418</t>
  </si>
  <si>
    <t>257132082</t>
  </si>
  <si>
    <t>NOMBRE RETIRA: ANDREA LAGOS M RUT RETIRA: 17910293-5</t>
  </si>
  <si>
    <t>Priscilla Vasquez</t>
  </si>
  <si>
    <t>Avenida España 072, 072</t>
  </si>
  <si>
    <t>REL77644</t>
  </si>
  <si>
    <t>257687413</t>
  </si>
  <si>
    <t>NOMBRE RETIRA: ELIZABETH ACEVEDO . RUT RETIRA: 16291503-7</t>
  </si>
  <si>
    <t>Elizabeth Acevedo Ampuero</t>
  </si>
  <si>
    <t>Camino viejo km1080. El Yali</t>
  </si>
  <si>
    <t>2025-11-19 21:13</t>
  </si>
  <si>
    <t>REL77467</t>
  </si>
  <si>
    <t>257288370</t>
  </si>
  <si>
    <t>NOMBRE RETIRA: ENZO GARCIA .WWW RUT RETIRA: 11111111-1</t>
  </si>
  <si>
    <t>Enzo Garcia</t>
  </si>
  <si>
    <t>Las Américas 1182, Casa</t>
  </si>
  <si>
    <t>2025-11-13 21:19</t>
  </si>
  <si>
    <t>REL77675</t>
  </si>
  <si>
    <t>257766779</t>
  </si>
  <si>
    <t>NOMBRE RETIRA: LILIANA ANDRADE . RUT RETIRA: 27432249-7</t>
  </si>
  <si>
    <t>Felipe Estay</t>
  </si>
  <si>
    <t>Av. la Tirana 4800, Torre A. dpto. 1604</t>
  </si>
  <si>
    <t>2025-11-20 21:17</t>
  </si>
  <si>
    <t>REL77693</t>
  </si>
  <si>
    <t>257766584</t>
  </si>
  <si>
    <t>NOMBRE RETIRA: JORGE ALONZO . RUT RETIRA: 13015809-9</t>
  </si>
  <si>
    <t>carolina borroye</t>
  </si>
  <si>
    <t>Av. Arturo Prat Chacón 4346, Dpto. 2304. Edificio Costanera huay quique</t>
  </si>
  <si>
    <t>2025-11-21 11:26</t>
  </si>
  <si>
    <t>REL77634</t>
  </si>
  <si>
    <t>257687458</t>
  </si>
  <si>
    <t>NOMBRE RETIRA: FELIPE SALGADO . RUT RETIRA: 11896838-7</t>
  </si>
  <si>
    <t>Felipe Salgado</t>
  </si>
  <si>
    <t>Contulmo 999, Local comercial, frente a carabineros</t>
  </si>
  <si>
    <t>REL77666</t>
  </si>
  <si>
    <t>257687285</t>
  </si>
  <si>
    <t>NOMBRE RETIRA: JONATHAN LEMIS . RUT RETIRA: 16865560-6</t>
  </si>
  <si>
    <t>Mariana Aredez</t>
  </si>
  <si>
    <t>Heroes de la concepcion 2784, Dpto 53 A</t>
  </si>
  <si>
    <t>2025-11-20 11:27</t>
  </si>
  <si>
    <t>REL77647</t>
  </si>
  <si>
    <t>257687403</t>
  </si>
  <si>
    <t>NOMBRE RETIRA: PERINA KUTULAS 0 RUT RETIRA: 12345678-5</t>
  </si>
  <si>
    <t>Perina Kutulas</t>
  </si>
  <si>
    <t>TravesÍa De Los Vientos 03008, Departamento 503, 503</t>
  </si>
  <si>
    <t>REL77670</t>
  </si>
  <si>
    <t>257766804</t>
  </si>
  <si>
    <t>NOMBRE RETIRA: CAROLINA ARAYA . RUT RETIRA: 17625970-1</t>
  </si>
  <si>
    <t>Carolina araya</t>
  </si>
  <si>
    <t>Pasaje Maria Isabel Navarro 2722, Casa</t>
  </si>
  <si>
    <t>REL77696</t>
  </si>
  <si>
    <t>257766521</t>
  </si>
  <si>
    <t>NOMBRE RETIRA: JOSE AGUIRRE . RUT RETIRA: 19261667-0</t>
  </si>
  <si>
    <t>José Aguirre Fernández</t>
  </si>
  <si>
    <t>General Cruz 1595</t>
  </si>
  <si>
    <t>REL77689</t>
  </si>
  <si>
    <t>257766609</t>
  </si>
  <si>
    <t>NOMBRE RETIRA: JOSE GONZALES . RUT RETIRA: 27228095-9</t>
  </si>
  <si>
    <t>Jose Oliva granadillo</t>
  </si>
  <si>
    <t>Caupolicán 2125, Casa</t>
  </si>
  <si>
    <t>REL77686</t>
  </si>
  <si>
    <t>257766630</t>
  </si>
  <si>
    <t>NOMBRE RETIRA: CARLA HERNANDEZ . RUT RETIRA: 27083189-3</t>
  </si>
  <si>
    <t>Nicolas Quirino</t>
  </si>
  <si>
    <t>Arturo Prat 537, Tienda mercado natural</t>
  </si>
  <si>
    <t>REL77677</t>
  </si>
  <si>
    <t>257766653</t>
  </si>
  <si>
    <t>NOMBRE RETIRA: MICHAEL GALLEGUILLOS . RUT RETIRA: 19666170-0</t>
  </si>
  <si>
    <t>milagros viloria</t>
  </si>
  <si>
    <t>María Inés Corral Garrido 888, 510, Piso 5. Aires De Limarí</t>
  </si>
  <si>
    <t>REL76922</t>
  </si>
  <si>
    <t>256202811</t>
  </si>
  <si>
    <t>NOMBRE RETIRA: MACARENA NAVARRO . RUT RETIRA: 18642909-5</t>
  </si>
  <si>
    <t>Macarena Navarro</t>
  </si>
  <si>
    <t>Clodomiro Rosas camino 2 Huerto 163A, 163</t>
  </si>
  <si>
    <t>REL77681</t>
  </si>
  <si>
    <t>257766673</t>
  </si>
  <si>
    <t>NOMBRE RETIRA: DANIEL ESTROZ . RUT RETIRA: 20016978-6</t>
  </si>
  <si>
    <t>Felipe Reyes Cifuentes</t>
  </si>
  <si>
    <t>Los Yecos 1055, Casa</t>
  </si>
  <si>
    <t>REL77650</t>
  </si>
  <si>
    <t>257687409</t>
  </si>
  <si>
    <t>NOMBRE RETIRA: MATIAS ORELLANA . RUT RETIRA: 21085031-7</t>
  </si>
  <si>
    <t>benjamin medina</t>
  </si>
  <si>
    <t>Manuel Bunster 639, 639</t>
  </si>
  <si>
    <t>REL77692</t>
  </si>
  <si>
    <t>257766535</t>
  </si>
  <si>
    <t>NOMBRE RETIRA: JAKELIN .GALARCE . RUT RETIRA: 10789662-7</t>
  </si>
  <si>
    <t>Antonio Galarce</t>
  </si>
  <si>
    <t>Puertesito 21, Paradero 10 21, 21, 21</t>
  </si>
  <si>
    <t>REL77682</t>
  </si>
  <si>
    <t>257766717</t>
  </si>
  <si>
    <t>NOMBRE RETIRA: ANDREA MAURER R RUT RETIRA: 15096250-1</t>
  </si>
  <si>
    <t>Andrea Maurer Osorio</t>
  </si>
  <si>
    <t>Cruz Arena 699</t>
  </si>
  <si>
    <t>REL77687</t>
  </si>
  <si>
    <t>257766528</t>
  </si>
  <si>
    <t>NOMBRE RETIRA: JUAN MILLA - RUT RETIRA: 7908492-1</t>
  </si>
  <si>
    <t>Maria Carolina Opazo Severino</t>
  </si>
  <si>
    <t>Cooperación 140, Torre 7 depto 32</t>
  </si>
  <si>
    <t>REL77603</t>
  </si>
  <si>
    <t>257687781</t>
  </si>
  <si>
    <t>NOMBRE RETIRA: MAURICIO GARCIA GARCIA RUT RETIRA: 17901966-3</t>
  </si>
  <si>
    <t>Valentina García morales</t>
  </si>
  <si>
    <t>Diego de almeyda 353</t>
  </si>
  <si>
    <t>REL77674</t>
  </si>
  <si>
    <t>257766772</t>
  </si>
  <si>
    <t>NOMBRE RETIRA: LUIS SOTO SOTO RUT RETIRA: 10422159-9</t>
  </si>
  <si>
    <t>Nataly Vergara</t>
  </si>
  <si>
    <t>Campos 671, Departamento 202</t>
  </si>
  <si>
    <t>REL77660</t>
  </si>
  <si>
    <t>257687333</t>
  </si>
  <si>
    <t>NOMBRE RETIRA: CAREN MORA . RUT RETIRA: 27341189-5</t>
  </si>
  <si>
    <t>Genesis Zambrano Rodríguez</t>
  </si>
  <si>
    <t>Avenida radomiro tomic 7101. Antofagasta, Trabajo</t>
  </si>
  <si>
    <t>REL77683</t>
  </si>
  <si>
    <t>257766641</t>
  </si>
  <si>
    <t>NOMBRE RETIRA: MAXIMILIANO RIQUELME I RUT RETIRA: 13892950-7</t>
  </si>
  <si>
    <t>Maximiliano Riquelme</t>
  </si>
  <si>
    <t>Los Guindos 757</t>
  </si>
  <si>
    <t>REL77633</t>
  </si>
  <si>
    <t>257687427</t>
  </si>
  <si>
    <t>NOMBRE RETIRA: LIDIA PASTEN , RUT RETIRA: 9263453-1</t>
  </si>
  <si>
    <t>Priscilla Esther Rodríguez Pastén</t>
  </si>
  <si>
    <t>Vicente Merino Jarpa 5135, Estación Paipote</t>
  </si>
  <si>
    <t>REL77646</t>
  </si>
  <si>
    <t>257687383</t>
  </si>
  <si>
    <t>NOMBRE RETIRA: KARLA GERALDO . RUT RETIRA: 17625970-1</t>
  </si>
  <si>
    <t>Karla Geraldo carvajal</t>
  </si>
  <si>
    <t>Avenida Guillermo ulriksen 3092, casa esquina blanca</t>
  </si>
  <si>
    <t>REL77376</t>
  </si>
  <si>
    <t>257049287</t>
  </si>
  <si>
    <t>NOMBRE RETIRA: ROMINA BARRIA M RUT RETIRA: 19254439-4</t>
  </si>
  <si>
    <t>Romina Barria Galindo</t>
  </si>
  <si>
    <t>Primera Junta de Gobierno 0589, Primer departamento</t>
  </si>
  <si>
    <t>2025-11-10 21:03</t>
  </si>
  <si>
    <t>REL77619</t>
  </si>
  <si>
    <t>257608024</t>
  </si>
  <si>
    <t>NOMBRE RETIRA: YAMILETH ARANCIBIA . RUT RETIRA: 18503015-6</t>
  </si>
  <si>
    <t>Barbara Keim</t>
  </si>
  <si>
    <t>Los Conquistadores 13960, Casa 14</t>
  </si>
  <si>
    <t>2025-11-18 21:16</t>
  </si>
  <si>
    <t>REL77643</t>
  </si>
  <si>
    <t>257687401</t>
  </si>
  <si>
    <t>NOMBRE RETIRA: PAMELA VICUNA .. RUT RETIRA: 17606936-8</t>
  </si>
  <si>
    <t>Cristian Martinez vidal</t>
  </si>
  <si>
    <t>Pje Irene morales galaz</t>
  </si>
  <si>
    <t>REL77665</t>
  </si>
  <si>
    <t>257687281</t>
  </si>
  <si>
    <t>NOMBRE RETIRA: LEONARDO ROSAS . RUT RETIRA: 13955459-0</t>
  </si>
  <si>
    <t>Matías Paredes rojas</t>
  </si>
  <si>
    <t>Av san Andrés 215, Depto 102</t>
  </si>
  <si>
    <t>REL77657</t>
  </si>
  <si>
    <t>257687358</t>
  </si>
  <si>
    <t>NOMBRE RETIRA: SUSANA JIMENEZ . RUT RETIRA: 9601449-K</t>
  </si>
  <si>
    <t>Catalina Uribe valenzuela</t>
  </si>
  <si>
    <t>Vicente huidobro oriente 881, Casa</t>
  </si>
  <si>
    <t>REL77601</t>
  </si>
  <si>
    <t>257608071</t>
  </si>
  <si>
    <t>NOMBRE RETIRA: RODRIGO GONZALES . RUT RETIRA: 19939073-2</t>
  </si>
  <si>
    <t>Rodrigo González Barrueto</t>
  </si>
  <si>
    <t>Yungay 699 B, 699B</t>
  </si>
  <si>
    <t>REL77612</t>
  </si>
  <si>
    <t>257608059</t>
  </si>
  <si>
    <t>NOMBRE RETIRA: CLAUDIO RIVERA . RUT RETIRA: 6468933-9</t>
  </si>
  <si>
    <t>AGLAE RIVERA ESPINOSA</t>
  </si>
  <si>
    <t>PASAJE PICOIQUEN 770, calle principal bio bio</t>
  </si>
  <si>
    <t>REL77653</t>
  </si>
  <si>
    <t>257687377</t>
  </si>
  <si>
    <t>NOMBRE RETIRA: HOSE AGUAYO . RUT RETIRA: 10550999-5</t>
  </si>
  <si>
    <t>Julieth Valenzuela</t>
  </si>
  <si>
    <t>Cerro Posada 1737, Lomas de Oriente</t>
  </si>
  <si>
    <t>REL77642</t>
  </si>
  <si>
    <t>257687441</t>
  </si>
  <si>
    <t>NOMBRE RETIRA: JORGE BAHAMONDES . RUT RETIRA: 10460328-9</t>
  </si>
  <si>
    <t>Miguel Roa Figueroa</t>
  </si>
  <si>
    <t>Avenida Carlos Ibañez del Campo 2495</t>
  </si>
  <si>
    <t>REL77655</t>
  </si>
  <si>
    <t>257687361</t>
  </si>
  <si>
    <t>Constanza Sandoval Pacheco</t>
  </si>
  <si>
    <t>Camino del Sur 495, depto. 605 B</t>
  </si>
  <si>
    <t>REL77321</t>
  </si>
  <si>
    <t>256949675</t>
  </si>
  <si>
    <t>NOMBRE RETIRA: ROSA COIHUIN . RUT RETIRA: 11111111-1</t>
  </si>
  <si>
    <t>Rosa Coihuin Oyarzun</t>
  </si>
  <si>
    <t>Pje. Mateo Karmelic Valerjev 0560</t>
  </si>
  <si>
    <t>2025-11-09 21:19</t>
  </si>
  <si>
    <t>REL77352</t>
  </si>
  <si>
    <t>256949341</t>
  </si>
  <si>
    <t>NOMBRE RETIRA: NATALI ANCAVIL . RUT RETIRA: 11111111-1</t>
  </si>
  <si>
    <t>Natali Ancavil Carrasco</t>
  </si>
  <si>
    <t>Romulo correa 01607, Casa</t>
  </si>
  <si>
    <t>REL77570</t>
  </si>
  <si>
    <t>257444142</t>
  </si>
  <si>
    <t>NOMBRE RETIRA: CARLOS OVIEDO . . RUT RETIRA: 19259105-8</t>
  </si>
  <si>
    <t>Carlos Ignacio Oviedo Sánchez</t>
  </si>
  <si>
    <t>Lidia Urrutia 3433 , Casa roja, Vista Hermosa.</t>
  </si>
  <si>
    <t>REL77600</t>
  </si>
  <si>
    <t>257608102</t>
  </si>
  <si>
    <t>NOMBRE RETIRA: MARIA JOSE ARACENA A RUT RETIRA: 13894707-6</t>
  </si>
  <si>
    <t>Maria jose Aracena Folatre</t>
  </si>
  <si>
    <t>Caburga 2535, Sector Los Pinos De Reñaca, Esquina Calle Licanray</t>
  </si>
  <si>
    <t>REL77609</t>
  </si>
  <si>
    <t>257608066</t>
  </si>
  <si>
    <t>NOMBRE RETIRA: CAROLINA MUNOZ . RUT RETIRA: 16385926-2</t>
  </si>
  <si>
    <t>Carolina Muñoz arce</t>
  </si>
  <si>
    <t>Calle 6 Norte 760, Casa con Enchape de ladrillo y portón negro</t>
  </si>
  <si>
    <t>REL77551</t>
  </si>
  <si>
    <t>257444282</t>
  </si>
  <si>
    <t>Eny Contreras</t>
  </si>
  <si>
    <t>Chacabuco 134, depto 42</t>
  </si>
  <si>
    <t>REL77622</t>
  </si>
  <si>
    <t>257607953</t>
  </si>
  <si>
    <t>NOMBRE RETIRA: CARLIS ACOSTA J RUT RETIRA: 13223891-K</t>
  </si>
  <si>
    <t>Johana Fernandez</t>
  </si>
  <si>
    <t>Balada 2840 (Condominio Vive Gabriela Oriente), Casa 13</t>
  </si>
  <si>
    <t>2025-11-19 11:13</t>
  </si>
  <si>
    <t>REL77598</t>
  </si>
  <si>
    <t>257608112</t>
  </si>
  <si>
    <t>NOMBRE RETIRA: VRRONICA CALABRAN . RUT RETIRA: 14394269-4</t>
  </si>
  <si>
    <t>Manuel Godoy</t>
  </si>
  <si>
    <t>Los Pipiolos 609, Casa</t>
  </si>
  <si>
    <t>REL77523</t>
  </si>
  <si>
    <t>257444446</t>
  </si>
  <si>
    <t>NOMBRE RETIRA: BARBARA OYARZUN . RUT RETIRA: 20927369-1</t>
  </si>
  <si>
    <t>Sebastian Pedrero Cares</t>
  </si>
  <si>
    <t>Avenida Monseñor Jorge Hourton, 2060 casa 3</t>
  </si>
  <si>
    <t>2025-11-15 11:22</t>
  </si>
  <si>
    <t>REL77591</t>
  </si>
  <si>
    <t>257495542</t>
  </si>
  <si>
    <t>NOMBRE RETIRA: SANDRA SEPULVEDA . RUT RETIRA: 12990216-7</t>
  </si>
  <si>
    <t>Melisa Millaman</t>
  </si>
  <si>
    <t>General Carrera 651, Depto. 1306. Edificio centro</t>
  </si>
  <si>
    <t>2025-11-17 21:17</t>
  </si>
  <si>
    <t>REL77587</t>
  </si>
  <si>
    <t>257495575</t>
  </si>
  <si>
    <t>NOMBRE RETIRA: RODRIGO GUTIERREZ H RUT RETIRA: 11111111-1</t>
  </si>
  <si>
    <t>Rodrigo Gutiérrez Guerra</t>
  </si>
  <si>
    <t>Almirante Barroso 844</t>
  </si>
  <si>
    <t>REL77502</t>
  </si>
  <si>
    <t>257444553</t>
  </si>
  <si>
    <t>NOMBRE RETIRA: DANIELA RAMOS V RUT RETIRA: 15679688-3</t>
  </si>
  <si>
    <t>Daniela Ramos Perez</t>
  </si>
  <si>
    <t>Los Conquistadores 13850, 90 condominio lasana</t>
  </si>
  <si>
    <t>REL77542</t>
  </si>
  <si>
    <t>257444332</t>
  </si>
  <si>
    <t>NOMBRE RETIRA: YASNA IRELAND . RUT RETIRA: 9086899-3</t>
  </si>
  <si>
    <t>YASNA IRELAND RIVERA</t>
  </si>
  <si>
    <t>Oficina Salinita 11695</t>
  </si>
  <si>
    <t>REL77578</t>
  </si>
  <si>
    <t>257495551</t>
  </si>
  <si>
    <t>NOMBRE RETIRA: CATSLINA MALDONADO . RUT RETIRA: 24649522-K</t>
  </si>
  <si>
    <t>Rodrigo Maldonado Guerrero</t>
  </si>
  <si>
    <t>Av. V Centenario 1900, Casa 3, Belloto 2000, Pasaje sin salida, costado canchas del Jumbo</t>
  </si>
  <si>
    <t>REL77304</t>
  </si>
  <si>
    <t>256949823</t>
  </si>
  <si>
    <t>NOMBRE RETIRA: LUCIA MILLAN . RUT RETIRA: 11111111-1</t>
  </si>
  <si>
    <t>Lucia Millán</t>
  </si>
  <si>
    <t>Felipe Dittmar 133, Casa</t>
  </si>
  <si>
    <t>REL77586</t>
  </si>
  <si>
    <t>257495552</t>
  </si>
  <si>
    <t>Andrea Stolzenbach</t>
  </si>
  <si>
    <t>Paseo Del Torreón 1421</t>
  </si>
  <si>
    <t>REL77520</t>
  </si>
  <si>
    <t>257444476</t>
  </si>
  <si>
    <t>NOMBRE RETIRA: CARLOS HERNANDEZ . RUT RETIRA: 13946259-9</t>
  </si>
  <si>
    <t>Lucas Hernandez</t>
  </si>
  <si>
    <t>La Pampa 764 Kamac Mayu, Casa</t>
  </si>
  <si>
    <t>REL77582</t>
  </si>
  <si>
    <t>257495577</t>
  </si>
  <si>
    <t>NOMBRE RETIRA: JAIME NAVARRETE NAVSRRETE RUT RETIRA: 20661616-4</t>
  </si>
  <si>
    <t>Salvador Allende 400, Depto. 407-C, Condominio Parque Ciudadano II</t>
  </si>
  <si>
    <t>REL77585</t>
  </si>
  <si>
    <t>257495573</t>
  </si>
  <si>
    <t>NOMBRE RETIRA: EMELY LAGOS . RUT RETIRA: 20535302-K</t>
  </si>
  <si>
    <t>Francisco Portales</t>
  </si>
  <si>
    <t>Arauco 561, Mall plaza de los Rios Piso 3 , Doggis.</t>
  </si>
  <si>
    <t>REL77583</t>
  </si>
  <si>
    <t>257495555</t>
  </si>
  <si>
    <t>Bastian pincheira</t>
  </si>
  <si>
    <t>Las Golondrinas 473</t>
  </si>
  <si>
    <t>REL77588</t>
  </si>
  <si>
    <t>257495547</t>
  </si>
  <si>
    <t>Arleny Altamirano</t>
  </si>
  <si>
    <t>Thiers 741</t>
  </si>
  <si>
    <t>REL76878</t>
  </si>
  <si>
    <t>256964586</t>
  </si>
  <si>
    <t>NOMBRE RETIRA: MARYORETT CISTERNAS . RUT RETIRA: 16563404-7</t>
  </si>
  <si>
    <t>Maryorett Cisterna</t>
  </si>
  <si>
    <t>Pedro sarmiento de gamboa, Departamento interior</t>
  </si>
  <si>
    <t>REL77565</t>
  </si>
  <si>
    <t>257444198</t>
  </si>
  <si>
    <t>NOMBRE RETIRA: MARGARITA CEPEDA . RUT RETIRA: 10448821-8</t>
  </si>
  <si>
    <t>Karla Rojas</t>
  </si>
  <si>
    <t>Avenida Almirante Grau 1331</t>
  </si>
  <si>
    <t>REL77554</t>
  </si>
  <si>
    <t>257444259</t>
  </si>
  <si>
    <t>Joel Rojas</t>
  </si>
  <si>
    <t>Calle Sta. Rosa 3979</t>
  </si>
  <si>
    <t>REL77594</t>
  </si>
  <si>
    <t>257495545</t>
  </si>
  <si>
    <t>NOMBRE RETIRA: CLAUDIA SILVA . RUT RETIRA: 18805117-0</t>
  </si>
  <si>
    <t>Claudia Silva meidna</t>
  </si>
  <si>
    <t>Dr. Pablo Murua 152, 152</t>
  </si>
  <si>
    <t>REL77536</t>
  </si>
  <si>
    <t>257444358</t>
  </si>
  <si>
    <t>NOMBRE RETIRA: JULIO NANCUPIL .. .. RUT RETIRA: 12929658-5</t>
  </si>
  <si>
    <t>Camila Seguel Faundez</t>
  </si>
  <si>
    <t>Andrés Bello 428, Edifiico CityHouse, dpto 903</t>
  </si>
  <si>
    <t>REL77568</t>
  </si>
  <si>
    <t>257444148</t>
  </si>
  <si>
    <t>Nayareth Revelez santana</t>
  </si>
  <si>
    <t>Ramón Freire 957, Casa b</t>
  </si>
  <si>
    <t>REL77574</t>
  </si>
  <si>
    <t>257444135</t>
  </si>
  <si>
    <t>NOMBRE RETIRA: JAVIERA MONDACA . RUT RETIRA: 21629210-3</t>
  </si>
  <si>
    <t>Javiera Mondaca</t>
  </si>
  <si>
    <t>6 Norte 838, 905</t>
  </si>
  <si>
    <t>REL77564</t>
  </si>
  <si>
    <t>257444210</t>
  </si>
  <si>
    <t>NOMBRE RETIRA: HELIA HENRIQUEZ.. .. RUT RETIRA: 7399538-8</t>
  </si>
  <si>
    <t>Soledad Espina Henriquez</t>
  </si>
  <si>
    <t>Pedro Lira 18, Casa</t>
  </si>
  <si>
    <t>REL77504</t>
  </si>
  <si>
    <t>257444536</t>
  </si>
  <si>
    <t>NOMBRE RETIRA: ROBERTO LUCERO M RUT RETIRA: 56034840-1</t>
  </si>
  <si>
    <t>Anastasia Aguilera</t>
  </si>
  <si>
    <t>22 norte 1125, Dpto f602</t>
  </si>
  <si>
    <t>REL77549</t>
  </si>
  <si>
    <t>257444289</t>
  </si>
  <si>
    <t>NOMBRE RETIRA: CESAR . . RUT RETIRA: 53310370-7</t>
  </si>
  <si>
    <t>Paulina Fernanda Salazar Aguilar</t>
  </si>
  <si>
    <t>Los Pablos 2190, 204</t>
  </si>
  <si>
    <t>REL77556</t>
  </si>
  <si>
    <t>257444217</t>
  </si>
  <si>
    <t>NOMBRE RETIRA: MUNOZ . . RUT RETIRA: 53310370-7</t>
  </si>
  <si>
    <t>Carmen Carvajal</t>
  </si>
  <si>
    <t>Los Pablos 2160 , Dpto. 202. Edificio Paranoá</t>
  </si>
  <si>
    <t>REL77407</t>
  </si>
  <si>
    <t>257132155</t>
  </si>
  <si>
    <t>NOMBRE RETIRA: TAMARA VERGARA . RUT RETIRA: 15268381-2</t>
  </si>
  <si>
    <t>Itahue 2690, Casa altos de pilauco</t>
  </si>
  <si>
    <t>REL77137</t>
  </si>
  <si>
    <t>256634971</t>
  </si>
  <si>
    <t>NOMBRE RETIRA: SANDRA ALVAREZ . RUT RETIRA: 13124962-4</t>
  </si>
  <si>
    <t>sandra alvarez bahamonde</t>
  </si>
  <si>
    <t>Balmaceda 661</t>
  </si>
  <si>
    <t>2025-11-04 21:24</t>
  </si>
  <si>
    <t>REL77532</t>
  </si>
  <si>
    <t>257444389</t>
  </si>
  <si>
    <t>NOMBRE RETIRA: ALENDRO ARAVENA ARAVENA RUT RETIRA: 18892282-1</t>
  </si>
  <si>
    <t>Roxama Mendoza</t>
  </si>
  <si>
    <t>Vizcaya 259, Pobl urmeneta</t>
  </si>
  <si>
    <t>REL77519</t>
  </si>
  <si>
    <t>257444500</t>
  </si>
  <si>
    <t>NOMBRE RETIRA: BRUNO LIZAMA K RUT RETIRA: 14696098-7</t>
  </si>
  <si>
    <t>Bruno Lizama</t>
  </si>
  <si>
    <t>Los tréboles 210, Casa 154</t>
  </si>
  <si>
    <t>REL77543</t>
  </si>
  <si>
    <t>257444306</t>
  </si>
  <si>
    <t>NOMBRE RETIRA: TITO BECERRA . RUT RETIRA: 11111111-1</t>
  </si>
  <si>
    <t>Florencia Carrera Flores</t>
  </si>
  <si>
    <t>21 Norte 1580 , Numero 3. Condominio Lircay</t>
  </si>
  <si>
    <t>REL77531</t>
  </si>
  <si>
    <t>257444440</t>
  </si>
  <si>
    <t>NOMBRE RETIRA: JAQUELINE FERMADWZ A RUT RETIRA: 8590208-3</t>
  </si>
  <si>
    <t>Jacqueline Fernandez</t>
  </si>
  <si>
    <t>Concha y Toro 45, Casa Reñaca bajo</t>
  </si>
  <si>
    <t>REL77515</t>
  </si>
  <si>
    <t>257444494</t>
  </si>
  <si>
    <t>NOMBRE RETIRA: MARCELA CHANDIA . RUT RETIRA: 26076095-5</t>
  </si>
  <si>
    <t>MARCELA CHANDIA</t>
  </si>
  <si>
    <t>Avenida Pacifico 5103, Torre 1, Depto 71</t>
  </si>
  <si>
    <t>REL77572</t>
  </si>
  <si>
    <t>257444124</t>
  </si>
  <si>
    <t>NOMBRE RETIRA: DAVID QUEZADA . RUT RETIRA: 12980009-7</t>
  </si>
  <si>
    <t>Ignacio Parra Seguel</t>
  </si>
  <si>
    <t>Avenida Oriente 755, Dpto 507 torre 3</t>
  </si>
  <si>
    <t>REL77567</t>
  </si>
  <si>
    <t>257444155</t>
  </si>
  <si>
    <t>NOMBRE RETIRA: MARIA EUGENIA . RUT RETIRA: 13107408-5</t>
  </si>
  <si>
    <t>Sandor Llanos Carrasco</t>
  </si>
  <si>
    <t>Rudolfo Phillipi 551, Las Salinas</t>
  </si>
  <si>
    <t>REL77552</t>
  </si>
  <si>
    <t>257444252</t>
  </si>
  <si>
    <t>NOMBRE RETIRA: CAROLINA LEYTON . RUT RETIRA: 17625970-1</t>
  </si>
  <si>
    <t>José Luis Daire 3632</t>
  </si>
  <si>
    <t>REL77555</t>
  </si>
  <si>
    <t>257444243</t>
  </si>
  <si>
    <t>NOMBRE RETIRA: YULIAN MAUREIRA . RUT RETIRA: 9301582-7</t>
  </si>
  <si>
    <t>Yulyan Maureira</t>
  </si>
  <si>
    <t>Pasaje 4 #320, Casa 320. Villa los copihues</t>
  </si>
  <si>
    <t>REL77535</t>
  </si>
  <si>
    <t>257444396</t>
  </si>
  <si>
    <t>NOMBRE RETIRA: ANA FERNANDEZ FERNANDEZ RUT RETIRA: 27507648-1</t>
  </si>
  <si>
    <t>Max Warner</t>
  </si>
  <si>
    <t>Membrillar 230, 1201</t>
  </si>
  <si>
    <t>REL77509</t>
  </si>
  <si>
    <t>257444527</t>
  </si>
  <si>
    <t>NOMBRE RETIRA: ALICIA RAMOS . RUT RETIRA: 10068232-K</t>
  </si>
  <si>
    <t>Camila Soto Sepulveda</t>
  </si>
  <si>
    <t>Rio Loa 227 Villa el Recodo, Manquimávida 317</t>
  </si>
  <si>
    <t>REL77545</t>
  </si>
  <si>
    <t>257444293</t>
  </si>
  <si>
    <t>NOMBRE RETIRA: TAMARA GONZALEZ . . RUT RETIRA: 17526063-3</t>
  </si>
  <si>
    <t>María jose Villalobos González</t>
  </si>
  <si>
    <t>Av. Juan Cisternas 1975, Oficina</t>
  </si>
  <si>
    <t>REL77571</t>
  </si>
  <si>
    <t>257444165</t>
  </si>
  <si>
    <t>NOMBRE RETIRA: FRANCISCO HERRERA N RUT RETIRA: 65204489-1</t>
  </si>
  <si>
    <t>Nicolas Verdejo</t>
  </si>
  <si>
    <t>El Rincón 658, Casa 18</t>
  </si>
  <si>
    <t>REL77544</t>
  </si>
  <si>
    <t>257444321</t>
  </si>
  <si>
    <t>NOMBRE RETIRA: ALEJANDRO REYES ... RUT RETIRA: 12956237-4</t>
  </si>
  <si>
    <t>Valentina Calisto</t>
  </si>
  <si>
    <t>Torrealba 20, 502</t>
  </si>
  <si>
    <t>REL77566</t>
  </si>
  <si>
    <t>257444205</t>
  </si>
  <si>
    <t>NOMBRE RETIRA: RODOLFO SANHUEZA ... RUT RETIRA: 14516255-6</t>
  </si>
  <si>
    <t>Rodolfo Sanhueza</t>
  </si>
  <si>
    <t>Alcalde Francisco Vial 1374</t>
  </si>
  <si>
    <t>REL77533</t>
  </si>
  <si>
    <t>257444367</t>
  </si>
  <si>
    <t>NOMBRE RETIRA: EDUARDO CARRENO C RUT RETIRA: 65067074-4</t>
  </si>
  <si>
    <t>Nicole Pacheco</t>
  </si>
  <si>
    <t>Setimio 231, depto 407</t>
  </si>
  <si>
    <t>REL77538</t>
  </si>
  <si>
    <t>257444379</t>
  </si>
  <si>
    <t>NOMBRE RETIRA: LUIS VALENCIA . RUT RETIRA: 26456332-1</t>
  </si>
  <si>
    <t>Camila San martin</t>
  </si>
  <si>
    <t>Diagonal Laguna 1 4401, Depto 304A</t>
  </si>
  <si>
    <t>REL77521</t>
  </si>
  <si>
    <t>257444451</t>
  </si>
  <si>
    <t>NOMBRE RETIRA: SEGUNDO VILLEGAS . . RUT RETIRA: 6780588-7</t>
  </si>
  <si>
    <t>Paloma Acosta Villegas</t>
  </si>
  <si>
    <t>Juan Cisternas 3701, Dpto 402</t>
  </si>
  <si>
    <t>REL77472</t>
  </si>
  <si>
    <t>257288342</t>
  </si>
  <si>
    <t>NOMBRE RETIRA: JOSEF CASTRO . RUT RETIRA: 12345678-5</t>
  </si>
  <si>
    <t>Manuel Castro Ramos 2415, 217</t>
  </si>
  <si>
    <t>REL77417</t>
  </si>
  <si>
    <t>257132110</t>
  </si>
  <si>
    <t>NOMBRE RETIRA: PAULA ARANCIBIA . RUT RETIRA: 10967947-K</t>
  </si>
  <si>
    <t>Ramiro Quintana Arancibia</t>
  </si>
  <si>
    <t>Catedral 340, Local 5</t>
  </si>
  <si>
    <t>REL77404</t>
  </si>
  <si>
    <t>257132193</t>
  </si>
  <si>
    <t>NOMBRE RETIRA: CARLOS MOLINA X RUT RETIRA: 11588510-3</t>
  </si>
  <si>
    <t>María de los Angeles Zavala Vejar</t>
  </si>
  <si>
    <t>Av. Barros Arana 634, Local Comercial</t>
  </si>
  <si>
    <t>REL77068</t>
  </si>
  <si>
    <t>256460940</t>
  </si>
  <si>
    <t>NOMBRE RETIRA: VICTORIA SITO . RUT RETIRA: 18642909-5</t>
  </si>
  <si>
    <t>Victoria Soto Carcamo</t>
  </si>
  <si>
    <t>Santa Juana 1757</t>
  </si>
  <si>
    <t>REL77025</t>
  </si>
  <si>
    <t>256461103</t>
  </si>
  <si>
    <t>NOMBRE RETIRA: CARLO SOTO . RUT RETIRA: 18642909-5</t>
  </si>
  <si>
    <t>Carolina Soto</t>
  </si>
  <si>
    <t>Esmeralda 669, galería selknam segundo piso local H</t>
  </si>
  <si>
    <t>2025-11-02 19:38</t>
  </si>
  <si>
    <t>REL76982</t>
  </si>
  <si>
    <t>256461456</t>
  </si>
  <si>
    <t>NOMBRE RETIRA: PAOLA SANCHUEZA . RUT RETIRA: 18642909-5</t>
  </si>
  <si>
    <t>Paola Sanhueza</t>
  </si>
  <si>
    <t>Pasaje 8 #0555, 0555</t>
  </si>
  <si>
    <t>REL77011</t>
  </si>
  <si>
    <t>256461157</t>
  </si>
  <si>
    <t>NOMBRE RETIRA: GERMAN ROJAS . RUT RETIRA: 18642909-5</t>
  </si>
  <si>
    <t>Valdivia 1298, Casa</t>
  </si>
  <si>
    <t>REL77424</t>
  </si>
  <si>
    <t>257132066</t>
  </si>
  <si>
    <t>NOMBRE RETIRA: MARIA CARPIO . RUT RETIRA: 12345678-5</t>
  </si>
  <si>
    <t>Guillermo sanchez 600, 11</t>
  </si>
  <si>
    <t>REL77476</t>
  </si>
  <si>
    <t>257288358</t>
  </si>
  <si>
    <t>NOMBRE RETIRA: JOSUE BRAVO . RUT RETIRA: 20850977-2</t>
  </si>
  <si>
    <t>Josue bravo</t>
  </si>
  <si>
    <t>Carlos Pizarro 2337, Es por villa alemana lado norte por las americas</t>
  </si>
  <si>
    <t>REL77397</t>
  </si>
  <si>
    <t>257132287</t>
  </si>
  <si>
    <t>NOMBRE RETIRA: BRAYAN VALDIVIA . RUT RETIRA: 25951616-1</t>
  </si>
  <si>
    <t>Julio Fernández</t>
  </si>
  <si>
    <t>Av. Ramon Pérez Opazo 2041, Depto. 103. Edificio Chipana</t>
  </si>
  <si>
    <t>REL77492</t>
  </si>
  <si>
    <t>257288282</t>
  </si>
  <si>
    <t>NOMBRE RETIRA: VERONICA NAVARRETE N RUT RETIRA: 56049520-K</t>
  </si>
  <si>
    <t>Las Golondrinas 1731, 706</t>
  </si>
  <si>
    <t>REL77493</t>
  </si>
  <si>
    <t>257288300</t>
  </si>
  <si>
    <t>NOMBRE RETIRA: JOSHUA MALDONADO M RUT RETIRA: 56049520-K</t>
  </si>
  <si>
    <t>Cristóbal Ignacio Conley Sariego</t>
  </si>
  <si>
    <t>Avenida Edmundo Eluchans 1737, depto 44</t>
  </si>
  <si>
    <t>REL77473</t>
  </si>
  <si>
    <t>257288335</t>
  </si>
  <si>
    <t>NOMBRE RETIRA: ANIBAL JELVES . RUT RETIRA: 19011921-1</t>
  </si>
  <si>
    <t>Anibal Jelves Castillo</t>
  </si>
  <si>
    <t>Nicaragua 435, Casa</t>
  </si>
  <si>
    <t>REL77441</t>
  </si>
  <si>
    <t>257131952</t>
  </si>
  <si>
    <t>NOMBRE RETIRA: JOSELIN SILVA . RUT RETIRA: 14719096-4</t>
  </si>
  <si>
    <t>Joselyn Silva</t>
  </si>
  <si>
    <t>Colo Colo 2034</t>
  </si>
  <si>
    <t>REL77491</t>
  </si>
  <si>
    <t>257288291</t>
  </si>
  <si>
    <t>NOMBRE RETIRA: BASTIAN ZARATE X RUT RETIRA: 12345678-5</t>
  </si>
  <si>
    <t>Johana Cerda</t>
  </si>
  <si>
    <t>Parcela 21 D 30 Hacienda Compañía, Casa 30</t>
  </si>
  <si>
    <t>REL77406</t>
  </si>
  <si>
    <t>257132219</t>
  </si>
  <si>
    <t>NOMBRE RETIRA: DEYANIRA RIVERA . RUT RETIRA: 19716908-7</t>
  </si>
  <si>
    <t>Camila Albornoz Barra</t>
  </si>
  <si>
    <t>Av. Bernardo OHiggins 1151, Depto 452</t>
  </si>
  <si>
    <t>REL77420</t>
  </si>
  <si>
    <t>257132057</t>
  </si>
  <si>
    <t>NOMBRE RETIRA: VALENTINA BUSTAMANTE ROJAS RUT RETIRA: 20866805-6</t>
  </si>
  <si>
    <t>Valentina Bustamante Rojas</t>
  </si>
  <si>
    <t>Avenida molineros 529, Casa</t>
  </si>
  <si>
    <t>REL77421</t>
  </si>
  <si>
    <t>257132053</t>
  </si>
  <si>
    <t>NOMBRE RETIRA: ZAHIR BUSTOS . RUT RETIRA: 21900102-9</t>
  </si>
  <si>
    <t>Zahir Bustos</t>
  </si>
  <si>
    <t>Pasaje veinte 3080, Casa</t>
  </si>
  <si>
    <t>REL77488</t>
  </si>
  <si>
    <t>257288292</t>
  </si>
  <si>
    <t>NOMBRE RETIRA: ERICK ACUNA ACUNA RUT RETIRA: 17235268-5</t>
  </si>
  <si>
    <t>analicia Beatriz Rodríguez cosme</t>
  </si>
  <si>
    <t>General Agustín almarza 124, 1103</t>
  </si>
  <si>
    <t>REL77494</t>
  </si>
  <si>
    <t>257288254</t>
  </si>
  <si>
    <t>NOMBRE RETIRA: NELSON HEVUA IBARRA RUT RETIRA: 8125114-2</t>
  </si>
  <si>
    <t>Oscar Rodrigo Peralta Salas</t>
  </si>
  <si>
    <t>Villa monasterio Pasaje san expedito 66, Casa</t>
  </si>
  <si>
    <t>REL77394</t>
  </si>
  <si>
    <t>257132321</t>
  </si>
  <si>
    <t>NOMBRE RETIRA: RODRIGO AREVALO . RUT RETIRA: 53326466-2</t>
  </si>
  <si>
    <t>Av. Waldo Alcalde 2001, Departamento 101, torre 1</t>
  </si>
  <si>
    <t>REL77405</t>
  </si>
  <si>
    <t>257132093</t>
  </si>
  <si>
    <t>NOMBRE RETIRA: ROCIO PICHINAO . RUT RETIRA: 76669508-6</t>
  </si>
  <si>
    <t>Melissa Trujillo Bolbaràn</t>
  </si>
  <si>
    <t>Colo colo 1372, Depto 1006 B</t>
  </si>
  <si>
    <t>REL77332</t>
  </si>
  <si>
    <t>256949474</t>
  </si>
  <si>
    <t>NOMBRE RETIRA: PRISILA GODOY C RUT RETIRA: 13636718-8</t>
  </si>
  <si>
    <t>Priscilla Godoy Melo</t>
  </si>
  <si>
    <t>Santo Domingo 317</t>
  </si>
  <si>
    <t>REL77433</t>
  </si>
  <si>
    <t>257131970</t>
  </si>
  <si>
    <t>NOMBRE RETIRA: PAZ GALLARDO J RUT RETIRA: 10721237-K</t>
  </si>
  <si>
    <t>Hochstetter 742, 703</t>
  </si>
  <si>
    <t>REL77448</t>
  </si>
  <si>
    <t>257215620</t>
  </si>
  <si>
    <t>NOMBRE RETIRA: MARCELO SILVA - RUT RETIRA: 8018894-3</t>
  </si>
  <si>
    <t>alejandra silva vásquez</t>
  </si>
  <si>
    <t>av jardines de paso hondo 593, C-8</t>
  </si>
  <si>
    <t>2025-11-12 21:22</t>
  </si>
  <si>
    <t>REL77414</t>
  </si>
  <si>
    <t>257132121</t>
  </si>
  <si>
    <t>NOMBRE RETIRA: WILSON SANDOVAL . RUT RETIRA: 15846092-0</t>
  </si>
  <si>
    <t>Wilson Ariel Sandoval</t>
  </si>
  <si>
    <t>Pasaje La Cebada 0358, Temuco, Villa hacienda Santa Maria</t>
  </si>
  <si>
    <t>REL77426</t>
  </si>
  <si>
    <t>257132047</t>
  </si>
  <si>
    <t>NOMBRE RETIRA: MARIA ASTUDILLO . RUT RETIRA: 18114087-9</t>
  </si>
  <si>
    <t>Yasna Gómez Gomez carvacho</t>
  </si>
  <si>
    <t>Avenida Pascual Baburizza 1357, Fabrica cecinas omeñaca</t>
  </si>
  <si>
    <t>REL77396</t>
  </si>
  <si>
    <t>257132292</t>
  </si>
  <si>
    <t>williams Stuardo</t>
  </si>
  <si>
    <t>5 de Abril 957, Local comercial</t>
  </si>
  <si>
    <t>REL77400</t>
  </si>
  <si>
    <t>257132236</t>
  </si>
  <si>
    <t>NOMBRE RETIRA: FRANCISCO MUNOZ M RUT RETIRA: 3445125-7</t>
  </si>
  <si>
    <t>Andrés Valderrama 1790, casa</t>
  </si>
  <si>
    <t>REL77459</t>
  </si>
  <si>
    <t>257215554</t>
  </si>
  <si>
    <t>NOMBRE RETIRA: CAROLINA GONZALEZ . RUT RETIRA: 16870742-8</t>
  </si>
  <si>
    <t>Carolina González Aguilar</t>
  </si>
  <si>
    <t>Intendente Carlos Torres 4283</t>
  </si>
  <si>
    <t>2025-11-13 11:11</t>
  </si>
  <si>
    <t>REL77432</t>
  </si>
  <si>
    <t>257132011</t>
  </si>
  <si>
    <t>NOMBRE RETIRA: JAVIERA AVALOS A RUT RETIRA: 13175025-0</t>
  </si>
  <si>
    <t>Javiera Avalos</t>
  </si>
  <si>
    <t>9 1/2 Norte A 3967, Casa 2. Cond. Don Agustín, Las Rastras</t>
  </si>
  <si>
    <t>REL77466</t>
  </si>
  <si>
    <t>257215546</t>
  </si>
  <si>
    <t>NOMBRE RETIRA: FABIOLA . . RUT RETIRA: 17486659-7</t>
  </si>
  <si>
    <t>FABIOLA CORRO ROJO</t>
  </si>
  <si>
    <t>AVENIDA ANTONIO NUÑEZ DE FONSECA 4258 CASA 53, CONDOMINIO ROCAS DE SAN ANTONIO</t>
  </si>
  <si>
    <t>REL77393</t>
  </si>
  <si>
    <t>257132328</t>
  </si>
  <si>
    <t>NOMBRE RETIRA: RICARDO GONZALEZ . RUT RETIRA: 7356330-5</t>
  </si>
  <si>
    <t>Marta Vega Martinez</t>
  </si>
  <si>
    <t>Andrés Lamas 86</t>
  </si>
  <si>
    <t>REL77392</t>
  </si>
  <si>
    <t>257049182</t>
  </si>
  <si>
    <t>NOMBRE RETIRA: THOMAS SEGURA SEGURA RUT RETIRA: 15722948-6</t>
  </si>
  <si>
    <t>thomas segura</t>
  </si>
  <si>
    <t>villa alejandro goich pasaje jose claris #0498, casa</t>
  </si>
  <si>
    <t>REL77455</t>
  </si>
  <si>
    <t>257215601</t>
  </si>
  <si>
    <t>NOMBRE RETIRA: CLAUDIA VASQUEZ A RUT RETIRA: 20137133-3</t>
  </si>
  <si>
    <t>Dayan araya vasquez</t>
  </si>
  <si>
    <t>Valparaiso, Piedra Azul # 15</t>
  </si>
  <si>
    <t>REL77457</t>
  </si>
  <si>
    <t>257215550</t>
  </si>
  <si>
    <t>NOMBRE RETIRA: CECAR PORTILLA H RUT RETIRA: 19948443-5</t>
  </si>
  <si>
    <t>REL77453</t>
  </si>
  <si>
    <t>257215606</t>
  </si>
  <si>
    <t>NOMBRE RETIRA: PACUAL RONCANGRIOLO . RUT RETIRA: 18775765-7</t>
  </si>
  <si>
    <t>PASCUAL ANDRÉ RONCAGLIOLO GALLARDO</t>
  </si>
  <si>
    <t>San cristian 417, Casa</t>
  </si>
  <si>
    <t>REL77412</t>
  </si>
  <si>
    <t>257132089</t>
  </si>
  <si>
    <t>NOMBRE RETIRA: CAROLINA VEGA . RUT RETIRA: 16947088-K</t>
  </si>
  <si>
    <t>Camilo Mori 973 Alto Quilamapu, Casa</t>
  </si>
  <si>
    <t>REL77434</t>
  </si>
  <si>
    <t>257131963</t>
  </si>
  <si>
    <t>NOMBRE RETIRA: JAVIER SALAZAR SALAZAR RUT RETIRA: 14204491-9</t>
  </si>
  <si>
    <t>Valentina Aguila</t>
  </si>
  <si>
    <t>Última Esperanza 0121, Depto. 403 Torre C. Etapa 4</t>
  </si>
  <si>
    <t>REL77446</t>
  </si>
  <si>
    <t>257215629</t>
  </si>
  <si>
    <t>NOMBRE RETIRA: DANIEL SANTANDER CONSERJE RUT RETIRA: 17625970-1</t>
  </si>
  <si>
    <t>Catalina Arqueros Castillo</t>
  </si>
  <si>
    <t>Avenida Gabriela Mistral 5010, Departamento B406</t>
  </si>
  <si>
    <t>REL77398</t>
  </si>
  <si>
    <t>257132221</t>
  </si>
  <si>
    <t>NOMBRE RETIRA: JOSE CABRERA . RUT RETIRA: 53324640-0</t>
  </si>
  <si>
    <t>Maria Jose Cuello Contreras</t>
  </si>
  <si>
    <t>Dos Norte 79, 905</t>
  </si>
  <si>
    <t>REL77444</t>
  </si>
  <si>
    <t>257215660</t>
  </si>
  <si>
    <t>NOMBRE RETIRA: FRANCISCO VASQUEZ VASQUEZ RUT RETIRA: 16252225-6</t>
  </si>
  <si>
    <t>Francisco Rubilar Muñoz</t>
  </si>
  <si>
    <t>Cáceres 153, Departamento 123, piso 12, Torres de la Alameda</t>
  </si>
  <si>
    <t>REL77338</t>
  </si>
  <si>
    <t>256949526</t>
  </si>
  <si>
    <t>Benjamin Miranda García</t>
  </si>
  <si>
    <t>Salitrera La Noria 3551</t>
  </si>
  <si>
    <t>REL77385</t>
  </si>
  <si>
    <t>257049174</t>
  </si>
  <si>
    <t>NOMBRE RETIRA: JESSICA NUNEZ -- RUT RETIRA: 65072227-2</t>
  </si>
  <si>
    <t>Jessica Nunez</t>
  </si>
  <si>
    <t>Av Guillermo Ulriksen 1781, Depto. 2422. Brisas de San Joaquín</t>
  </si>
  <si>
    <t>REL77381</t>
  </si>
  <si>
    <t>257049249</t>
  </si>
  <si>
    <t>NOMBRE RETIRA: MARIA ANABALON . RUT RETIRA: 11899229-6</t>
  </si>
  <si>
    <t>CARLA DAYANA GUZMAN PINCHEIRA</t>
  </si>
  <si>
    <t>Roosevelt 1760 Depto 1107, 1107</t>
  </si>
  <si>
    <t>REL77391</t>
  </si>
  <si>
    <t>257049194</t>
  </si>
  <si>
    <t>NOMBRE RETIRA: CAMEN GLORIA LIZANA ... RUT RETIRA: 9886222-6</t>
  </si>
  <si>
    <t>Selena Ballesteros</t>
  </si>
  <si>
    <t>Av. Manuel Labra lillo 350 zapallar curicó Strip center puerta oriente, salón de belleza hera local 31</t>
  </si>
  <si>
    <t>REL77389</t>
  </si>
  <si>
    <t>257049213</t>
  </si>
  <si>
    <t>NOMBRE RETIRA: DANIEL AHOFCTADT . RUT RETIRA: 15639282-0</t>
  </si>
  <si>
    <t>Loreto Aguilera Carrillo</t>
  </si>
  <si>
    <t>5 11/2 Norte 679</t>
  </si>
  <si>
    <t>REL77364</t>
  </si>
  <si>
    <t>257049272</t>
  </si>
  <si>
    <t>NOMBRE RETIRA: ALVARO CORREA . RUT RETIRA: 65193354-4</t>
  </si>
  <si>
    <t>Paola Alvarez Robertson</t>
  </si>
  <si>
    <t>Av. Gómez Carreño 4065, Depto. 1307</t>
  </si>
  <si>
    <t>REL77378</t>
  </si>
  <si>
    <t>257049281</t>
  </si>
  <si>
    <t>NOMBRE RETIRA: RUTH BAHAMONDEZ M RUT RETIRA: 20272396-9</t>
  </si>
  <si>
    <t>Abigail Morales</t>
  </si>
  <si>
    <t>Porvenir sur #1030, Casa</t>
  </si>
  <si>
    <t>REL77330</t>
  </si>
  <si>
    <t>256949617</t>
  </si>
  <si>
    <t>NOMBRE RETIRA: JENIFER BARRIOS . RUT RETIRA: 15530250-K</t>
  </si>
  <si>
    <t>Jennifer Barrios</t>
  </si>
  <si>
    <t>Onofre García 650</t>
  </si>
  <si>
    <t>REL77387</t>
  </si>
  <si>
    <t>257049238</t>
  </si>
  <si>
    <t>NOMBRE RETIRA: CAROLINA ZAMORA ZAMORA RUT RETIRA: 19018046-8</t>
  </si>
  <si>
    <t>Carolina Zamora</t>
  </si>
  <si>
    <t>El Peral 1897, Viña Santa Blanca</t>
  </si>
  <si>
    <t>REL77244</t>
  </si>
  <si>
    <t>256950343</t>
  </si>
  <si>
    <t>NOMBRE RETIRA: JOSE FERNANDEZ . RUT RETIRA: 6481520-2</t>
  </si>
  <si>
    <t>José Fernández Cifuentes</t>
  </si>
  <si>
    <t>Los artesanos 1270, Empresa</t>
  </si>
  <si>
    <t>2025-11-07 21:13</t>
  </si>
  <si>
    <t>REL77350</t>
  </si>
  <si>
    <t>256949354</t>
  </si>
  <si>
    <t>NOMBRE RETIRA: ROBERTO VALDES . RUT RETIRA: 17597377-K</t>
  </si>
  <si>
    <t>Roberto Valdes</t>
  </si>
  <si>
    <t>Don Luis 645. Club de Polo</t>
  </si>
  <si>
    <t>REL77275</t>
  </si>
  <si>
    <t>256950102</t>
  </si>
  <si>
    <t>NOMBRE RETIRA: ANGELA MENESES . RUT RETIRA: 8214576-1</t>
  </si>
  <si>
    <t>Luis Portilla</t>
  </si>
  <si>
    <t>Salitrera Virginia 2915-A, 2915-A entre primeras piedras y san pedro</t>
  </si>
  <si>
    <t>2025-11-08 11:13</t>
  </si>
  <si>
    <t>REL77326</t>
  </si>
  <si>
    <t>256949643</t>
  </si>
  <si>
    <t>NOMBRE RETIRA: MELISA CUBILLOS A RUT RETIRA: 15096250-1</t>
  </si>
  <si>
    <t>Melissa Cubillos</t>
  </si>
  <si>
    <t>Las Elenas 1625, Casa 1</t>
  </si>
  <si>
    <t>REL77269</t>
  </si>
  <si>
    <t>256950107</t>
  </si>
  <si>
    <t>NOMBRE RETIRA: MIGUEL ARAYA A RUT RETIRA: 19944762-9</t>
  </si>
  <si>
    <t>Miguel Araya Romero</t>
  </si>
  <si>
    <t>El pirquineros 2881, Casa</t>
  </si>
  <si>
    <t>REL77344</t>
  </si>
  <si>
    <t>256949438</t>
  </si>
  <si>
    <t>NOMBRE RETIRA: CRISTIAN ORTUYAR . RUT RETIRA: 10491414-4</t>
  </si>
  <si>
    <t>Mercedes Cid Riquelme</t>
  </si>
  <si>
    <t>Tirso De Molina 05274, Villa Valle De Asturias</t>
  </si>
  <si>
    <t>REL77346</t>
  </si>
  <si>
    <t>256949433</t>
  </si>
  <si>
    <t>NOMBRE RETIRA: TAMARA ESPARZA . RUT RETIRA: 53337172-8</t>
  </si>
  <si>
    <t>Tamara Esparza Saavedra</t>
  </si>
  <si>
    <t>Rio Nonguen 1226, Casa</t>
  </si>
  <si>
    <t>REL77315</t>
  </si>
  <si>
    <t>256949696</t>
  </si>
  <si>
    <t>NOMBRE RETIRA: ALENDRO MONDACA . RUT RETIRA: 12208073-0</t>
  </si>
  <si>
    <t>valentina Lazo Jara</t>
  </si>
  <si>
    <t>Obispo Hipólito Salas 89, Depto 1408</t>
  </si>
  <si>
    <t>REL77309</t>
  </si>
  <si>
    <t>256949764</t>
  </si>
  <si>
    <t>NOMBRE RETIRA: VIVANA DELGADO . RUT RETIRA: 8447857-1</t>
  </si>
  <si>
    <t>Javier Aspee Delgado</t>
  </si>
  <si>
    <t>Avenida Adrian 474-A Artificio La Calera, Casa Blanca orilla de calle sin rejas, poco antes del lomo de toro</t>
  </si>
  <si>
    <t>REL77325</t>
  </si>
  <si>
    <t>256949586</t>
  </si>
  <si>
    <t>NOMBRE RETIRA: SEBASTIAN SOLIS J RUT RETIRA: 21401737-7</t>
  </si>
  <si>
    <t>Javier Sandoval quintana</t>
  </si>
  <si>
    <t>Calle Arboleda 148, Depto. 403 K. Ultima conserjería a mano derecha, casi llegando a la rotonda.</t>
  </si>
  <si>
    <t>REL77258</t>
  </si>
  <si>
    <t>256950202</t>
  </si>
  <si>
    <t>NOMBRE RETIRA: JOSEFA OYARZUN OYARZUN RUT RETIRA: 19970909-7</t>
  </si>
  <si>
    <t>Josefa Oyarzún</t>
  </si>
  <si>
    <t>Cristóbal Colón 533</t>
  </si>
  <si>
    <t>REL77334</t>
  </si>
  <si>
    <t>256949570</t>
  </si>
  <si>
    <t>NOMBRE RETIRA: MACARENA ALEJANDRA . RUT RETIRA: 13164026-9</t>
  </si>
  <si>
    <t>Macarena Alejandra Naipil Llanquilef</t>
  </si>
  <si>
    <t>Villamontes 1275, Casa</t>
  </si>
  <si>
    <t>REL77313</t>
  </si>
  <si>
    <t>256949740</t>
  </si>
  <si>
    <t>NOMBRE RETIRA: CRISTAN MADREI . RUT RETIRA: 19927588-7</t>
  </si>
  <si>
    <t>Claudio Sepulveda</t>
  </si>
  <si>
    <t>Calle 9 Norte 1670, Entre calles 9½ y 10 oriente</t>
  </si>
  <si>
    <t>REL77335</t>
  </si>
  <si>
    <t>256949494</t>
  </si>
  <si>
    <t>NOMBRE RETIRA: RODRIGO LARA R RUT RETIRA: 15809187-9</t>
  </si>
  <si>
    <t>Fabiola Vergara</t>
  </si>
  <si>
    <t>Los aromos pasaje españa 2333, de manuel rodriguez hacia la línea</t>
  </si>
  <si>
    <t>REL77331</t>
  </si>
  <si>
    <t>256949595</t>
  </si>
  <si>
    <t>NOMBRE RETIRA: LUIS MOLINA M RUT RETIRA: 26551294-1</t>
  </si>
  <si>
    <t>Sofia Pailamilla Sáez</t>
  </si>
  <si>
    <t>Fermín Vivaceta 39, Automotriz autocheck</t>
  </si>
  <si>
    <t>REL77337</t>
  </si>
  <si>
    <t>256949443</t>
  </si>
  <si>
    <t>NOMBRE RETIRA: ANGELINA DINAMARCA DINAMARCA RUT RETIRA: 18378978-3</t>
  </si>
  <si>
    <t>Maria Ignacia Brizuela Morales</t>
  </si>
  <si>
    <t>Membrillar 205, Clínica Omnia, Rancagua</t>
  </si>
  <si>
    <t>REL77254</t>
  </si>
  <si>
    <t>256950209</t>
  </si>
  <si>
    <t>NOMBRE RETIRA: SUYIN YUEN ESPINOZA RUT RETIRA: 11111111-1</t>
  </si>
  <si>
    <t>Suyin Yuen Espinoza</t>
  </si>
  <si>
    <t>Av. Nueva Villarrica 950</t>
  </si>
  <si>
    <t>REL77250</t>
  </si>
  <si>
    <t>256950265</t>
  </si>
  <si>
    <t>NOMBRE RETIRA: OSCAR SEGOVIA . RUT RETIRA: 9500761-9</t>
  </si>
  <si>
    <t>Krishna Barbachan Vera</t>
  </si>
  <si>
    <t>Av. la Tirana 4865, Depto 102 B (altos de huayquique)</t>
  </si>
  <si>
    <t>REL77328</t>
  </si>
  <si>
    <t>256949631</t>
  </si>
  <si>
    <t>NOMBRE RETIRA: NICOLE PIZARRO .. RUT RETIRA: 19146817-1</t>
  </si>
  <si>
    <t>Nicole Pizarro Matamoros</t>
  </si>
  <si>
    <t>Margarita Toro 1613, Casa</t>
  </si>
  <si>
    <t>REL77278</t>
  </si>
  <si>
    <t>256950074</t>
  </si>
  <si>
    <t>NOMBRE RETIRA: MAYERLY OGALDE . RUT RETIRA: 21063674-9</t>
  </si>
  <si>
    <t>Mayerly Ogalde</t>
  </si>
  <si>
    <t>Hernan cortes #3052</t>
  </si>
  <si>
    <t>REL77316</t>
  </si>
  <si>
    <t>256949691</t>
  </si>
  <si>
    <t>NOMBRE RETIRA: PAULINA PAVEZ H RUT RETIRA: 16008657-2</t>
  </si>
  <si>
    <t>Aracely Ferrada Campos</t>
  </si>
  <si>
    <t>Pedro Aguirre Cerda 35, Casa</t>
  </si>
  <si>
    <t>REL77265</t>
  </si>
  <si>
    <t>256950112</t>
  </si>
  <si>
    <t>NOMBRE RETIRA: LUIS SANTIESTEBAN X RUT RETIRA: 18895703-K</t>
  </si>
  <si>
    <t>Luis Santiesteban Cifuentes</t>
  </si>
  <si>
    <t>Amapolas 0148, Casa</t>
  </si>
  <si>
    <t>REL77286</t>
  </si>
  <si>
    <t>256950015</t>
  </si>
  <si>
    <t>NOMBRE RETIRA: ANTONIO . . RUT RETIRA: 9163485-6</t>
  </si>
  <si>
    <t>Natalia Alejandra Gutierrez Domínguez</t>
  </si>
  <si>
    <t>Oficina bonasort 258, Departamento 305, block 3</t>
  </si>
  <si>
    <t>REL77360</t>
  </si>
  <si>
    <t>256949274</t>
  </si>
  <si>
    <t>NOMBRE RETIRA: SANDRA ESCOBAR . RUT RETIRA: 9279183-1</t>
  </si>
  <si>
    <t>Sandra Escobar</t>
  </si>
  <si>
    <t>9279183-1, Psje rodolfo proz 1166</t>
  </si>
  <si>
    <t>REL77310</t>
  </si>
  <si>
    <t>256949744</t>
  </si>
  <si>
    <t>Charlot Godoy Romero</t>
  </si>
  <si>
    <t>Av. Libertad 201, Depto 602 B</t>
  </si>
  <si>
    <t>REL77355</t>
  </si>
  <si>
    <t>256949326</t>
  </si>
  <si>
    <t>NOMBRE RETIRA: ANDREA BARRERA VERGARA RUT RETIRA: 12345224-0</t>
  </si>
  <si>
    <t>ANDREA BARRERA VERGARA</t>
  </si>
  <si>
    <t>SARGENTO ALDEA 250, piso 5</t>
  </si>
  <si>
    <t>REL77320</t>
  </si>
  <si>
    <t>256949637</t>
  </si>
  <si>
    <t>NOMBRE RETIRA: MARIA FLORES . RUT RETIRA: 9548739-4</t>
  </si>
  <si>
    <t>Damarys Maraboli sepulveda</t>
  </si>
  <si>
    <t>4 poniente, loteo antillanca, 1739</t>
  </si>
  <si>
    <t>REL77343</t>
  </si>
  <si>
    <t>256949559</t>
  </si>
  <si>
    <t>NOMBRE RETIRA: EDIT FUENTWS Z RUT RETIRA: 17215543-K</t>
  </si>
  <si>
    <t>Fernanda Saavedra Cerda</t>
  </si>
  <si>
    <t>Anibal Pinto 1033, casa</t>
  </si>
  <si>
    <t>REL77342</t>
  </si>
  <si>
    <t>256949472</t>
  </si>
  <si>
    <t>NOMBRE RETIRA: FELIX BARRERA . RUT RETIRA: 17625970-1</t>
  </si>
  <si>
    <t>Av. Alberto Arenas Carvajal 3997, Departamento 237</t>
  </si>
  <si>
    <t>REL77317</t>
  </si>
  <si>
    <t>256949641</t>
  </si>
  <si>
    <t>NOMBRE RETIRA: HECTOR FUENTES , RUT RETIRA: 12359801-6</t>
  </si>
  <si>
    <t>Silvia Vega</t>
  </si>
  <si>
    <t>Barros Luco 2370, Cesfam Barrancas</t>
  </si>
  <si>
    <t>REL77231</t>
  </si>
  <si>
    <t>256792431</t>
  </si>
  <si>
    <t>El Peral 1897 , Viña Santa Blanca</t>
  </si>
  <si>
    <t>2025-11-07 11:15</t>
  </si>
  <si>
    <t>REL77347</t>
  </si>
  <si>
    <t>256949393</t>
  </si>
  <si>
    <t>NOMBRE RETIRA: MICHELLE PEREZ ... RUT RETIRA: 14516255-6</t>
  </si>
  <si>
    <t>Michelle Pérez</t>
  </si>
  <si>
    <t>Iquique 462, Casa</t>
  </si>
  <si>
    <t>REL77294</t>
  </si>
  <si>
    <t>256949914</t>
  </si>
  <si>
    <t>NOMBRE RETIRA: ROLANDO SELIS . RUT RETIRA: 8727709-7</t>
  </si>
  <si>
    <t>Av. Cerro Paranal 350, 25</t>
  </si>
  <si>
    <t>REL77333</t>
  </si>
  <si>
    <t>256949502</t>
  </si>
  <si>
    <t>NOMBRE RETIRA: PATRICIA ZAPATA . RUT RETIRA: 14562121-6</t>
  </si>
  <si>
    <t>Lorena Pezzola Bobadilla</t>
  </si>
  <si>
    <t>Martínez de Rozas 356</t>
  </si>
  <si>
    <t>REL77298</t>
  </si>
  <si>
    <t>256949958</t>
  </si>
  <si>
    <t>NOMBRE RETIRA: MARIA ARAYA . RUT RETIRA: 8360728-9</t>
  </si>
  <si>
    <t>Mariela Contador</t>
  </si>
  <si>
    <t>Sierra Gorda 4522</t>
  </si>
  <si>
    <t>REL77280</t>
  </si>
  <si>
    <t>256949995</t>
  </si>
  <si>
    <t>NOMBRE RETIRA: MARIA ORTEGA . RUT RETIRA: 17909701-K</t>
  </si>
  <si>
    <t>Maria jose Ortega</t>
  </si>
  <si>
    <t>Quilanto 2401, Pasaje Quilanto 2401</t>
  </si>
  <si>
    <t>REL77289</t>
  </si>
  <si>
    <t>256949998</t>
  </si>
  <si>
    <t>NOMBRE RETIRA: MARISA GRAU . RUT RETIRA: 10925264-6</t>
  </si>
  <si>
    <t>Marisa Grau</t>
  </si>
  <si>
    <t>San Pablo 350</t>
  </si>
  <si>
    <t>REL77261</t>
  </si>
  <si>
    <t>256950169</t>
  </si>
  <si>
    <t>NOMBRE RETIRA: ANGELICA GARCIA . RUT RETIRA: 8591124-4</t>
  </si>
  <si>
    <t>Dante Daza Cifuentes</t>
  </si>
  <si>
    <t>Lautaro 341</t>
  </si>
  <si>
    <t>REL77299</t>
  </si>
  <si>
    <t>256949769</t>
  </si>
  <si>
    <t>NOMBRE RETIRA: VICTOR QUEZADA . RUT RETIRA: 19186903-6</t>
  </si>
  <si>
    <t>Irma Agurto Segura</t>
  </si>
  <si>
    <t>Avenida 4 Norte 455, 165</t>
  </si>
  <si>
    <t>REL77276</t>
  </si>
  <si>
    <t>256950042</t>
  </si>
  <si>
    <t>NOMBRE RETIRA: OKSANA KREMLEVA . RUT RETIRA: 10491414-4</t>
  </si>
  <si>
    <t>Rudecindo Ortega 221, casa 221</t>
  </si>
  <si>
    <t>REL77287</t>
  </si>
  <si>
    <t>256950002</t>
  </si>
  <si>
    <t>NOMBRE RETIRA: CLAUDIO . . RUT RETIRA: 15752287-6</t>
  </si>
  <si>
    <t>Claudio Andres Videla Carrasco</t>
  </si>
  <si>
    <t>Los Ciruelos 789, Población Don Fernando</t>
  </si>
  <si>
    <t>REL77301</t>
  </si>
  <si>
    <t>256949860</t>
  </si>
  <si>
    <t>NOMBRE RETIRA: ANDRES SALAZAR M RUT RETIRA: 18889080-6</t>
  </si>
  <si>
    <t>Alejandra Rehbein Carrasco</t>
  </si>
  <si>
    <t>Aníbal Pinto 1747, Depto 812</t>
  </si>
  <si>
    <t>REL77153</t>
  </si>
  <si>
    <t>256634933</t>
  </si>
  <si>
    <t>NOMBRE RETIRA: MARICEL PRADENAS .. RUT RETIRA: 13509077-8</t>
  </si>
  <si>
    <t>maricel pradenas  opazo</t>
  </si>
  <si>
    <t>Diagonal Oriente 2036</t>
  </si>
  <si>
    <t>REL77279</t>
  </si>
  <si>
    <t>256950068</t>
  </si>
  <si>
    <t>NOMBRE RETIRA: OACAR LEAL Y RUT RETIRA: 8781674-5</t>
  </si>
  <si>
    <t>Valentina Escobar Pino</t>
  </si>
  <si>
    <t>Freire 1165, 912</t>
  </si>
  <si>
    <t>REL77263</t>
  </si>
  <si>
    <t>256950138</t>
  </si>
  <si>
    <t>NOMBRE RETIRA: DAVID TAPIA A RUT RETIRA: 20137133-3</t>
  </si>
  <si>
    <t>fabian benitez</t>
  </si>
  <si>
    <t>Jorge Kenrick 780, C 83</t>
  </si>
  <si>
    <t>REL77290</t>
  </si>
  <si>
    <t>256949972</t>
  </si>
  <si>
    <t>NOMBRE RETIRA: TERESA ROJAS .P RUT RETIRA: 8097542-2</t>
  </si>
  <si>
    <t>Teresa Magaly Rojas Vargas</t>
  </si>
  <si>
    <t>Av. Los Clarines 860, Casa Sindempart</t>
  </si>
  <si>
    <t>REL77246</t>
  </si>
  <si>
    <t>256950306</t>
  </si>
  <si>
    <t>NOMBRE RETIRA: MARYLIN DONOSO . RUT RETIRA: 15126156-6</t>
  </si>
  <si>
    <t>Marilyn Donoso</t>
  </si>
  <si>
    <t>14 Oriente 1734, casa</t>
  </si>
  <si>
    <t>REL77303</t>
  </si>
  <si>
    <t>256949837</t>
  </si>
  <si>
    <t>NOMBRE RETIRA: YOHAN VALDEBENITO . RUT RETIRA: 12533484-9</t>
  </si>
  <si>
    <t>Yohan Valdebenito</t>
  </si>
  <si>
    <t>Ramón Freire 417</t>
  </si>
  <si>
    <t>REL77288</t>
  </si>
  <si>
    <t>256949924</t>
  </si>
  <si>
    <t>NOMBRE RETIRA: JUAN CAAMANO B RUT RETIRA: 9190551-5</t>
  </si>
  <si>
    <t>Susana Pineda Contreras</t>
  </si>
  <si>
    <t>Av. Torreones Este 2064, Casa 16. Condominio Alicante</t>
  </si>
  <si>
    <t>REL77274</t>
  </si>
  <si>
    <t>256950061</t>
  </si>
  <si>
    <t>NOMBRE RETIRA: AGUSTIN CURINO . RUT RETIRA: 17047930-0</t>
  </si>
  <si>
    <t>Agustin Cutiño</t>
  </si>
  <si>
    <t>Av Circunvalación 4883, Depto A607</t>
  </si>
  <si>
    <t>REL77306</t>
  </si>
  <si>
    <t>256949776</t>
  </si>
  <si>
    <t>NOMBRE RETIRA: CESAR PEDRAZA . RUT RETIRA: 11575876-4</t>
  </si>
  <si>
    <t>Marizu Velasquez Flores</t>
  </si>
  <si>
    <t>Edmundo Larenas 129, Facultad de Ciencias Químicas</t>
  </si>
  <si>
    <t>REL77245</t>
  </si>
  <si>
    <t>256950317</t>
  </si>
  <si>
    <t>NOMBRE RETIRA: VALENTINA RIVAS R RUT RETIRA: 21522379-5</t>
  </si>
  <si>
    <t>Valentina Rivas</t>
  </si>
  <si>
    <t>Valdivia 300, Edificio Plaza Fundación, Oficina 504</t>
  </si>
  <si>
    <t>REL77296</t>
  </si>
  <si>
    <t>256949947</t>
  </si>
  <si>
    <t>NOMBRE RETIRA: SERGIO HUERTA . RUT RETIRA: 8859895-4</t>
  </si>
  <si>
    <t>Marta Pizarro inzunza</t>
  </si>
  <si>
    <t>Olegario Lazo 602</t>
  </si>
  <si>
    <t>REL77285</t>
  </si>
  <si>
    <t>256949989</t>
  </si>
  <si>
    <t>NOMBRE RETIRA: JAVIERA.SEPULVEDA .. .. RUT RETIRA: 20477520-6</t>
  </si>
  <si>
    <t>Bosques de placilla segunda 1331, Block 11, depto 310</t>
  </si>
  <si>
    <t>REL77293</t>
  </si>
  <si>
    <t>256949928</t>
  </si>
  <si>
    <t>NOMBRE RETIRA: RODRIGO AROS - RUT RETIRA: 13329154-7</t>
  </si>
  <si>
    <t>Rodrigo Aros</t>
  </si>
  <si>
    <t>Camino del Sol 2300, B3</t>
  </si>
  <si>
    <t>REL77295</t>
  </si>
  <si>
    <t>256949898</t>
  </si>
  <si>
    <t>NOMBRE RETIRA: PILAR BALBOA . RUT RETIRA: 19414415-6</t>
  </si>
  <si>
    <t>johnny jara ruiz</t>
  </si>
  <si>
    <t>Av. Argentina 75</t>
  </si>
  <si>
    <t>REL77177</t>
  </si>
  <si>
    <t>256710870</t>
  </si>
  <si>
    <t>NOMBRE RETIRA: NATALIA LAGOS P RUT RETIRA: 17175804-1</t>
  </si>
  <si>
    <t>Natalia Lagos</t>
  </si>
  <si>
    <t>Zapallar 650, Casa 3</t>
  </si>
  <si>
    <t>2025-11-05 21:15</t>
  </si>
  <si>
    <t>REL77191</t>
  </si>
  <si>
    <t>256710755</t>
  </si>
  <si>
    <t>NOMBRE RETIRA: LEYLA BRAM J RUT RETIRA: 20142116-0</t>
  </si>
  <si>
    <t>Leyla Bram</t>
  </si>
  <si>
    <t>Los Colonos 1170</t>
  </si>
  <si>
    <t>REL76815</t>
  </si>
  <si>
    <t>256048763</t>
  </si>
  <si>
    <t>NOMBRE RETIRA: ROCIO BECERRA . RUT RETIRA: 18642909-5</t>
  </si>
  <si>
    <t>Rocio Becerra</t>
  </si>
  <si>
    <t>Miraflores 605</t>
  </si>
  <si>
    <t>REL77226</t>
  </si>
  <si>
    <t>256792478</t>
  </si>
  <si>
    <t>NOMBRE RETIRA: XIMENA GONZALE . RUT RETIRA: 11422737-4</t>
  </si>
  <si>
    <t>Ximena González Araya</t>
  </si>
  <si>
    <t>Independencia 32, Casa E</t>
  </si>
  <si>
    <t>REL77242</t>
  </si>
  <si>
    <t>256792419</t>
  </si>
  <si>
    <t>NOMBRE RETIRA: SHIRLEY DONAIRE . RUT RETIRA: 12345678-5</t>
  </si>
  <si>
    <t>Yesenia Mandiola</t>
  </si>
  <si>
    <t>Bandera 7740</t>
  </si>
  <si>
    <t>REL77180</t>
  </si>
  <si>
    <t>256710830</t>
  </si>
  <si>
    <t>NOMBRE RETIRA: FRANCISCO . . RUT RETIRA: 12440350-2</t>
  </si>
  <si>
    <t>Leandro Ruiz Moraga</t>
  </si>
  <si>
    <t>Chango López 0315, 86</t>
  </si>
  <si>
    <t>REL77225</t>
  </si>
  <si>
    <t>256792474</t>
  </si>
  <si>
    <t>NOMBRE RETIRA: SAMUEL GONZALEZ . RUT RETIRA: 16157381-7</t>
  </si>
  <si>
    <t>Alan Yevenes Arriagada</t>
  </si>
  <si>
    <t>Calle uno 1010 condominio miradores de nonguen, Torre 7, depto 404</t>
  </si>
  <si>
    <t>2025-11-06 21:12</t>
  </si>
  <si>
    <t>REL77240</t>
  </si>
  <si>
    <t>256792425</t>
  </si>
  <si>
    <t>Valeria Mella</t>
  </si>
  <si>
    <t>Los carrera 2092, 910-B</t>
  </si>
  <si>
    <t>REL77236</t>
  </si>
  <si>
    <t>256792392</t>
  </si>
  <si>
    <t>NOMBRE RETIRA: FERNANDO MARTINEZ . RUT RETIRA: 13609694-K</t>
  </si>
  <si>
    <t>Daniela Borquez</t>
  </si>
  <si>
    <t>san luis 4062, Cabaña interior</t>
  </si>
  <si>
    <t>REL77230</t>
  </si>
  <si>
    <t>256792445</t>
  </si>
  <si>
    <t>NOMBRE RETIRA: VICTOR PARRA . RUT RETIRA: 12334259-3</t>
  </si>
  <si>
    <t>Av. Patricio Lynch 485, Casa</t>
  </si>
  <si>
    <t>REL77222</t>
  </si>
  <si>
    <t>256792489</t>
  </si>
  <si>
    <t>NOMBRE RETIRA: SSEVATIAN PULVEDA . RUT RETIRA: 17163614-0</t>
  </si>
  <si>
    <t>Sebastian Pulgar</t>
  </si>
  <si>
    <t>Población Chile España, pasaje Cataluña, 1075</t>
  </si>
  <si>
    <t>REL77219</t>
  </si>
  <si>
    <t>256792562</t>
  </si>
  <si>
    <t>NOMBRE RETIRA: RIDOLFO CADTILLO ANDRADE RUT RETIRA: 14373147-2</t>
  </si>
  <si>
    <t>Luisa Castillo Andrade</t>
  </si>
  <si>
    <t>Punta El Faro 1535, 302</t>
  </si>
  <si>
    <t>REL77199</t>
  </si>
  <si>
    <t>256710780</t>
  </si>
  <si>
    <t>NOMBRE RETIRA: FRANCISCO NAVARRO . RUT RETIRA: 12800696-6</t>
  </si>
  <si>
    <t>Loretto Quiroga Trigo</t>
  </si>
  <si>
    <t>Av. Pedro Aguirre Cerda 11092, E14</t>
  </si>
  <si>
    <t>REL77214</t>
  </si>
  <si>
    <t>256792507</t>
  </si>
  <si>
    <t>NOMBRE RETIRA: LUIS MANQUIAN M RUT RETIRA: 7107629-6</t>
  </si>
  <si>
    <t>Javiera Revelez</t>
  </si>
  <si>
    <t>Ramon Freire 957 , Casa B</t>
  </si>
  <si>
    <t>REL77224</t>
  </si>
  <si>
    <t>256792464</t>
  </si>
  <si>
    <t>NOMBRE RETIRA: FABIAN COFIAN . RUT RETIRA: 23262416-7</t>
  </si>
  <si>
    <t>Natali Cofian Oporto</t>
  </si>
  <si>
    <t>Chacarillas 1805 villa alto Osorno, 5to centenario</t>
  </si>
  <si>
    <t>REL77189</t>
  </si>
  <si>
    <t>256710789</t>
  </si>
  <si>
    <t>NOMBRE RETIRA: CARLOS BORQUEZ X RUT RETIRA: 16733466-0</t>
  </si>
  <si>
    <t>Carlos Borquez Rojas</t>
  </si>
  <si>
    <t>Piedras Grandes 2036, Villa san Rafael</t>
  </si>
  <si>
    <t>REL77188</t>
  </si>
  <si>
    <t>256710787</t>
  </si>
  <si>
    <t>REL77218</t>
  </si>
  <si>
    <t>256792534</t>
  </si>
  <si>
    <t>NOMBRE RETIRA: ANDTES TAPIA M RUT RETIRA: 9850457-5</t>
  </si>
  <si>
    <t>TAPIA ANDRES</t>
  </si>
  <si>
    <t>Padre Rene Pienovi 965, Depto 1104 egeo</t>
  </si>
  <si>
    <t>REL77227</t>
  </si>
  <si>
    <t>256792483</t>
  </si>
  <si>
    <t>NOMBRE RETIRA: VIRGINIA VILLARROEL . RUT RETIRA: 8108985-K</t>
  </si>
  <si>
    <t>Adolfo Cid Guzmán</t>
  </si>
  <si>
    <t>Los Mañíos 3661</t>
  </si>
  <si>
    <t>REL76869</t>
  </si>
  <si>
    <t>256048403</t>
  </si>
  <si>
    <t>NOMBRE RETIRA: IGNACIA PROVOSTW . RUT RETIRA: 21090469-7</t>
  </si>
  <si>
    <t>Milenka Vidal</t>
  </si>
  <si>
    <t>Magallanes 64, Casa</t>
  </si>
  <si>
    <t>2025-10-26 23:08</t>
  </si>
  <si>
    <t>REL77229</t>
  </si>
  <si>
    <t>256792459</t>
  </si>
  <si>
    <t>NOMBRE RETIRA: FRANCICA SALDANA . RUT RETIRA: 17617183-9</t>
  </si>
  <si>
    <t>Francisca Saldaña Andrade</t>
  </si>
  <si>
    <t>Paso Hondo 217</t>
  </si>
  <si>
    <t>REL77215</t>
  </si>
  <si>
    <t>256792575</t>
  </si>
  <si>
    <t>NOMBRE RETIRA: PATRICIO MELENDEZ . RUT RETIRA: 15088307-5</t>
  </si>
  <si>
    <t>María Villalobos</t>
  </si>
  <si>
    <t>Todd Evered 350, 350</t>
  </si>
  <si>
    <t>REL77213</t>
  </si>
  <si>
    <t>256792569</t>
  </si>
  <si>
    <t>NOMBRE RETIRA: MELISA RIVERA O RUT RETIRA: 18511347-7</t>
  </si>
  <si>
    <t>Blanco Encalada 836, Casa</t>
  </si>
  <si>
    <t>REL77216</t>
  </si>
  <si>
    <t>256792502</t>
  </si>
  <si>
    <t>NOMBRE RETIRA: DOMINGO ENRIQUE . RUT RETIRA: 14398357-9</t>
  </si>
  <si>
    <t>6 Oriente 1820, 311</t>
  </si>
  <si>
    <t>REL77234</t>
  </si>
  <si>
    <t>256792449</t>
  </si>
  <si>
    <t>Santa julia poniente 0260, Parcela 3713</t>
  </si>
  <si>
    <t>REL77185</t>
  </si>
  <si>
    <t>256710819</t>
  </si>
  <si>
    <t>NOMBRE RETIRA: QUENYA AYALA - RUT RETIRA: 16778623-5</t>
  </si>
  <si>
    <t>Guillermo Aracena</t>
  </si>
  <si>
    <t>Lamarck 0149</t>
  </si>
  <si>
    <t>REL77145</t>
  </si>
  <si>
    <t>256634953</t>
  </si>
  <si>
    <t>NOMBRE RETIRA: GUILLERMO PELEGRINI . RUT RETIRA: 9119162-8</t>
  </si>
  <si>
    <t>Victoria paz Riquelme sanhueza</t>
  </si>
  <si>
    <t>4 Poniente 362 , Depto. 402 (Dejar en conserjería) entre 4 y 5 norte</t>
  </si>
  <si>
    <t>REL77161</t>
  </si>
  <si>
    <t>256634944</t>
  </si>
  <si>
    <t>NOMBRE RETIRA: CRISTOBAL B B RUT RETIRA: 19248643-2</t>
  </si>
  <si>
    <t>Cristobal Barría Gallardo</t>
  </si>
  <si>
    <t>Avenida Francia 1655, Edificio surmedica, subterráneo imaval</t>
  </si>
  <si>
    <t>REL77097</t>
  </si>
  <si>
    <t>256557128</t>
  </si>
  <si>
    <t>NOMBRE RETIRA: MAYLEN GARCIA A RUT RETIRA: 11814110-5</t>
  </si>
  <si>
    <t>Mailen Garcia Kong</t>
  </si>
  <si>
    <t>Los Olivos 2229, Casa, entre pasaje Mioporos y Lauca</t>
  </si>
  <si>
    <t>REL77174</t>
  </si>
  <si>
    <t>256634890</t>
  </si>
  <si>
    <t>NOMBRE RETIRA: EVELYN MOLINA . RUT RETIRA: 13185284-3</t>
  </si>
  <si>
    <t>Evelyn Molina guerra</t>
  </si>
  <si>
    <t>Los Naranjos 13</t>
  </si>
  <si>
    <t>REL77152</t>
  </si>
  <si>
    <t>256634959</t>
  </si>
  <si>
    <t>NOMBRE RETIRA: RUTH LLANOS . RUT RETIRA: 8637180-4</t>
  </si>
  <si>
    <t>Aracelli López Medina</t>
  </si>
  <si>
    <t>Las Maestras 1727, Población O'Higgins</t>
  </si>
  <si>
    <t>REL77167</t>
  </si>
  <si>
    <t>256634928</t>
  </si>
  <si>
    <t>NOMBRE RETIRA: JOSE GUERRERO .. RUT RETIRA: 4910414-6</t>
  </si>
  <si>
    <t>Pedro Castro</t>
  </si>
  <si>
    <t>Pasaje El Litre 2582, Casa</t>
  </si>
  <si>
    <t>REL77135</t>
  </si>
  <si>
    <t>256635003</t>
  </si>
  <si>
    <t>NOMBRE RETIRA: JUAN ROMERO 0 RUT RETIRA: 65234302-3</t>
  </si>
  <si>
    <t>Claudio Mansilla</t>
  </si>
  <si>
    <t>Tucapel 262, 810</t>
  </si>
  <si>
    <t>REL76792</t>
  </si>
  <si>
    <t>255914392</t>
  </si>
  <si>
    <t>NOMBRE RETIRA: BERNARDITA LASO . RUT RETIRA: 16019634-3</t>
  </si>
  <si>
    <t>Bernardita Laso</t>
  </si>
  <si>
    <t>Río de los Ciervos 51, Casa 51. Ruta 9 sur, km 4.5. Población Naval</t>
  </si>
  <si>
    <t>2025-10-23 23:34</t>
  </si>
  <si>
    <t>REL77140</t>
  </si>
  <si>
    <t>256634975</t>
  </si>
  <si>
    <t>NOMBRE RETIRA: MARIA ROZAS . RUT RETIRA: 7084343-9</t>
  </si>
  <si>
    <t>Camila Carrasco Ulloa</t>
  </si>
  <si>
    <t>7 Norte 645, oficina 713</t>
  </si>
  <si>
    <t>REL77173</t>
  </si>
  <si>
    <t>256634919</t>
  </si>
  <si>
    <t>NOMBRE RETIRA: VALENTINA VICENCIO . RUT RETIRA: 20917763-3</t>
  </si>
  <si>
    <t>Edith Figueroa martinez</t>
  </si>
  <si>
    <t>Las Pataguas 070, Villa los Castaños</t>
  </si>
  <si>
    <t>REL77036</t>
  </si>
  <si>
    <t>256461018</t>
  </si>
  <si>
    <t>NOMBRE RETIRA: SARA GUERRA G RUT RETIRA: 10037473-0</t>
  </si>
  <si>
    <t>Constanza Lake</t>
  </si>
  <si>
    <t>Alejandro Azolas 910</t>
  </si>
  <si>
    <t>REL77178</t>
  </si>
  <si>
    <t>256710836</t>
  </si>
  <si>
    <t>NOMBRE RETIRA: EMA REYES . RUT RETIRA: 13584658-9</t>
  </si>
  <si>
    <t>Álvaro Norambuena</t>
  </si>
  <si>
    <t>Pasaje Panitao 481, Casa</t>
  </si>
  <si>
    <t>REL77176</t>
  </si>
  <si>
    <t>256710851</t>
  </si>
  <si>
    <t>NOMBRE RETIRA: PAULA RAMOS , RUT RETIRA: 18170696-1</t>
  </si>
  <si>
    <t>Paula andrea Ramos reinike</t>
  </si>
  <si>
    <t>Marco A. Espinoza 3862, 3862</t>
  </si>
  <si>
    <t>REL77150</t>
  </si>
  <si>
    <t>256634980</t>
  </si>
  <si>
    <t>Jasna Ruiz</t>
  </si>
  <si>
    <t>Jotabeche 2966, Población Santa Clara</t>
  </si>
  <si>
    <t>REL77031</t>
  </si>
  <si>
    <t>256461034</t>
  </si>
  <si>
    <t>NOMBRE RETIRA: EDUARDO PADILLA L RUT RETIRA: 28602059-3</t>
  </si>
  <si>
    <t>Eduardo Padilla Fuenzalida</t>
  </si>
  <si>
    <t>Av. Iquique 3557, 406</t>
  </si>
  <si>
    <t>REL77166</t>
  </si>
  <si>
    <t>256634924</t>
  </si>
  <si>
    <t>NOMBRE RETIRA: OMAR LIZAMA K RUT RETIRA: 18194820-5</t>
  </si>
  <si>
    <t>Daniela Sandoval Briones</t>
  </si>
  <si>
    <t>Los Castaños 55, F13</t>
  </si>
  <si>
    <t>REL77212</t>
  </si>
  <si>
    <t>256710762</t>
  </si>
  <si>
    <t>NOMBRE RETIRA: JIMENA ASTETE . RUT RETIRA: 9435182-0</t>
  </si>
  <si>
    <t>Jimena Astete</t>
  </si>
  <si>
    <t>Pasaje Ignacio Daire 478, Casa</t>
  </si>
  <si>
    <t>REL77171</t>
  </si>
  <si>
    <t>256634894</t>
  </si>
  <si>
    <t>NOMBRE RETIRA: BARBARA NAHUELPAN NAHUELPAN . RUT RETIRA: 18289693-4</t>
  </si>
  <si>
    <t>Yungay 125, CLINICA MEDIS CURACAUTIN</t>
  </si>
  <si>
    <t>REL77139</t>
  </si>
  <si>
    <t>256634988</t>
  </si>
  <si>
    <t>NOMBRE RETIRA: CLAURIA ARAYA N RUT RETIRA: 13543932-0</t>
  </si>
  <si>
    <t>Claudia Araya Cisternas</t>
  </si>
  <si>
    <t>San José del Monte 135</t>
  </si>
  <si>
    <t>REL77206</t>
  </si>
  <si>
    <t>256710747</t>
  </si>
  <si>
    <t>NOMBRE RETIRA: ELIZABETH REINAO ... RUT RETIRA: 18775479-8</t>
  </si>
  <si>
    <t>Elizabeth Rainao</t>
  </si>
  <si>
    <t>Pasaje siete 6021, collico, Casa</t>
  </si>
  <si>
    <t>REL77175</t>
  </si>
  <si>
    <t>256710887</t>
  </si>
  <si>
    <t>Lidia Montoya Álvarez 4518</t>
  </si>
  <si>
    <t>REL77190</t>
  </si>
  <si>
    <t>256710802</t>
  </si>
  <si>
    <t>NOMBRE RETIRA: NICOLAS URRUTIA SANCHEZ RUT RETIRA: 18041843-1</t>
  </si>
  <si>
    <t>Nicolás Urrutia</t>
  </si>
  <si>
    <t>Centenario 960 , Cachapoal</t>
  </si>
  <si>
    <t>REL77170</t>
  </si>
  <si>
    <t>256634915</t>
  </si>
  <si>
    <t>NOMBRE RETIRA: OLIVIA RIOS . RUT RETIRA: 76669508-6</t>
  </si>
  <si>
    <t>Alexandra Klapp</t>
  </si>
  <si>
    <t>Janequeo 754</t>
  </si>
  <si>
    <t>REL77078</t>
  </si>
  <si>
    <t>256557217</t>
  </si>
  <si>
    <t>NOMBRE RETIRA: MANUEL CERDA . RUT RETIRA: 7969573-4</t>
  </si>
  <si>
    <t>Constanza Riquelme Figueroa</t>
  </si>
  <si>
    <t>Av. Roosevelt 1703, Dpto 10</t>
  </si>
  <si>
    <t>REL76724</t>
  </si>
  <si>
    <t>255687269</t>
  </si>
  <si>
    <t>NOMBRE RETIRA: GABRIELA CHAVEZ . RUT RETIRA: 18642909-5</t>
  </si>
  <si>
    <t>Gabriela Chávez Oyarzún</t>
  </si>
  <si>
    <t>Goleta ancud 528</t>
  </si>
  <si>
    <t>2025-10-21 11:45</t>
  </si>
  <si>
    <t>REL77072</t>
  </si>
  <si>
    <t>256460897</t>
  </si>
  <si>
    <t>NOMBRE RETIRA: BRENDA HOYO . RUT RETIRA: 24634814-6</t>
  </si>
  <si>
    <t>Ninoska Brack</t>
  </si>
  <si>
    <t>Arturo Fernández 1371, Depto 1607</t>
  </si>
  <si>
    <t>REL76993</t>
  </si>
  <si>
    <t>256461360</t>
  </si>
  <si>
    <t>NOMBRE RETIRA: CATALINA CORTES X RUT RETIRA: 19741349-2</t>
  </si>
  <si>
    <t>catalina cortes alvarez</t>
  </si>
  <si>
    <t>Clodomiro Figueroa 578, casa</t>
  </si>
  <si>
    <t>REL76834</t>
  </si>
  <si>
    <t>256048678</t>
  </si>
  <si>
    <t>NOMBRE RETIRA: MARITZA FICA . RUT RETIRA: 13970458-4</t>
  </si>
  <si>
    <t>Carlos Soto</t>
  </si>
  <si>
    <t>Las quintas #442, Coyhaique, Casa interior</t>
  </si>
  <si>
    <t>REL76987</t>
  </si>
  <si>
    <t>256461441</t>
  </si>
  <si>
    <t>NOMBRE RETIRA: IVONNE BOLVARAN X RUT RETIRA: 10839635-0</t>
  </si>
  <si>
    <t>Ivonne Bolvaran Gonzalez</t>
  </si>
  <si>
    <t>Lidia Moreno 153, 1708</t>
  </si>
  <si>
    <t>REL77002</t>
  </si>
  <si>
    <t>256461247</t>
  </si>
  <si>
    <t>NOMBRE RETIRA: ALEJANDRA SAINAS CONSERJE RUT RETIRA: 15768634-8</t>
  </si>
  <si>
    <t>Ojo de Opache 2461, Casa 36</t>
  </si>
  <si>
    <t>REL77005</t>
  </si>
  <si>
    <t>256461193</t>
  </si>
  <si>
    <t>Carolina Alejandra Ortiz Mangili</t>
  </si>
  <si>
    <t>Av. Francisco Bilbao 3572,  depto. 51</t>
  </si>
  <si>
    <t>REL77017</t>
  </si>
  <si>
    <t>256461123</t>
  </si>
  <si>
    <t>NOMBRE RETIRA: LUIS GONZALEZ . RUT RETIRA: 8095356-9</t>
  </si>
  <si>
    <t>Jenny Araya</t>
  </si>
  <si>
    <t>Galleguillos Lorca 1631, Depto. 302</t>
  </si>
  <si>
    <t>REL76988</t>
  </si>
  <si>
    <t>256461390</t>
  </si>
  <si>
    <t>NOMBRE RETIRA: JAZNA RIVERA . RUT RETIRA: 11467851-1</t>
  </si>
  <si>
    <t>Carla Gallardo López</t>
  </si>
  <si>
    <t>Teatinos 6780</t>
  </si>
  <si>
    <t>REL76984</t>
  </si>
  <si>
    <t>256461468</t>
  </si>
  <si>
    <t>NOMBRE RETIRA: FRQNCISCA TOLOZA IDID RUT RETIRA: 16767415-1</t>
  </si>
  <si>
    <t>Francisca Toloza Zambrano</t>
  </si>
  <si>
    <t>Arturo Prat 3, Población Libertad</t>
  </si>
  <si>
    <t>REL77114</t>
  </si>
  <si>
    <t>256557018</t>
  </si>
  <si>
    <t>NOMBRE RETIRA: ALICIA CASTRO .. RUT RETIRA: 83921925-3</t>
  </si>
  <si>
    <t>INGRID ESTER CASTRO FAUNDEZ</t>
  </si>
  <si>
    <t>BULNES 135, CASA</t>
  </si>
  <si>
    <t>REL76990</t>
  </si>
  <si>
    <t>256461401</t>
  </si>
  <si>
    <t>NOMBRE RETIRA: MONSERRTA CUELLO . RUT RETIRA: 21352371-6</t>
  </si>
  <si>
    <t>Carla Pizarro</t>
  </si>
  <si>
    <t>Av. Argentina 1340, 2004b</t>
  </si>
  <si>
    <t>REL76998</t>
  </si>
  <si>
    <t>256461298</t>
  </si>
  <si>
    <t>NOMBRE RETIRA: WALESKA GONZALEZ X RUT RETIRA: 11111111-1</t>
  </si>
  <si>
    <t>Waleska Gonzalez</t>
  </si>
  <si>
    <t>Calle Rio Imperial 1535, Casa 2 Piso Café</t>
  </si>
  <si>
    <t>REL76812</t>
  </si>
  <si>
    <t>256048780</t>
  </si>
  <si>
    <t>NOMBRE RETIRA: PAOLA AGUILAR . RUT RETIRA: 11111111-1</t>
  </si>
  <si>
    <t>Paola Aguilar</t>
  </si>
  <si>
    <t>Santo Domingo 983</t>
  </si>
  <si>
    <t>REL77061</t>
  </si>
  <si>
    <t>256460949</t>
  </si>
  <si>
    <t>NOMBRE RETIRA: ALONSO ALVARADO . RUT RETIRA: 13633229-5</t>
  </si>
  <si>
    <t>Andrea Alvarado</t>
  </si>
  <si>
    <t>Chipana 964</t>
  </si>
  <si>
    <t>REL77030</t>
  </si>
  <si>
    <t>256461078</t>
  </si>
  <si>
    <t>NOMBRE RETIRA: YARITZA MERCADO . RUT RETIRA: 17736384-7</t>
  </si>
  <si>
    <t>Valentina Rodríguez</t>
  </si>
  <si>
    <t>Av. Cerro Paranal 271, Depto 144 bahamas</t>
  </si>
  <si>
    <t>REL77084</t>
  </si>
  <si>
    <t>256557165</t>
  </si>
  <si>
    <t>NOMBRE RETIRA: SINAI GALVES . RUT RETIRA: 17973816-3</t>
  </si>
  <si>
    <t>Sinai Gálvez</t>
  </si>
  <si>
    <t>Bernardo O'Higgins 2624, Pob. Alemania (entre Maipú y Vasco de Gama)</t>
  </si>
  <si>
    <t>REL77131</t>
  </si>
  <si>
    <t>256556900</t>
  </si>
  <si>
    <t>NOMBRE RETIRA: CARLA VILLANUEVA . RUT RETIRA: 15531255-6</t>
  </si>
  <si>
    <t>Miguel Angel Retamal Caro</t>
  </si>
  <si>
    <t>Los Pellines 136, Casa</t>
  </si>
  <si>
    <t>REL77125</t>
  </si>
  <si>
    <t>256556933</t>
  </si>
  <si>
    <t>NOMBRE RETIRA: BASTIAN FERNANDEZ FERNANDEZ RUT RETIRA: 19954372-5</t>
  </si>
  <si>
    <t>Andrea Iturra Jimenez</t>
  </si>
  <si>
    <t>Lago Llanquihue 353, 203B</t>
  </si>
  <si>
    <t>REL77082</t>
  </si>
  <si>
    <t>256557200</t>
  </si>
  <si>
    <t>NOMBRE RETIRA: JIMENA ROJAS . RUT RETIRA: 7401244-2</t>
  </si>
  <si>
    <t>Daniela Marambio</t>
  </si>
  <si>
    <t>Av. Estadio 4917, casa 17</t>
  </si>
  <si>
    <t>REL77105</t>
  </si>
  <si>
    <t>256557090</t>
  </si>
  <si>
    <t>NOMBRE RETIRA: SUSANA MELO OPORTO RUT RETIRA: 9850457-5</t>
  </si>
  <si>
    <t>Susana Melo oporto</t>
  </si>
  <si>
    <t>Roma 155</t>
  </si>
  <si>
    <t>REL77107</t>
  </si>
  <si>
    <t>256557063</t>
  </si>
  <si>
    <t>NOMBRE RETIRA: ROXANA CUEVAS . RUT RETIRA: 21862226-7</t>
  </si>
  <si>
    <t>Roxana Cuevas gonzalez</t>
  </si>
  <si>
    <t>Santa Elena 691</t>
  </si>
  <si>
    <t>REL77004</t>
  </si>
  <si>
    <t>256461218</t>
  </si>
  <si>
    <t>NOMBRE RETIRA: SIMON OLIVARES . . RUT RETIRA: 7233609-7</t>
  </si>
  <si>
    <t>Yani Olivares</t>
  </si>
  <si>
    <t>5 de Abril 1327, Casa</t>
  </si>
  <si>
    <t>REL77100</t>
  </si>
  <si>
    <t>256557081</t>
  </si>
  <si>
    <t>NOMBRE RETIRA: CAMILO BUEOTTO .. RUT RETIRA: 12950486-2</t>
  </si>
  <si>
    <t>Camilo Burotto</t>
  </si>
  <si>
    <t>Av. Héctor Humeres 64, Villa el Horizonte</t>
  </si>
  <si>
    <t>REL77099</t>
  </si>
  <si>
    <t>256557127</t>
  </si>
  <si>
    <t>NOMBRE RETIRA: EDUARDO MORAGA . RUT RETIRA: 56041900-7</t>
  </si>
  <si>
    <t>Daniela Velasquez</t>
  </si>
  <si>
    <t>Amunátegui 1946, Depto 1602 B</t>
  </si>
  <si>
    <t>REL76974</t>
  </si>
  <si>
    <t>256461581</t>
  </si>
  <si>
    <t>NOMBRE RETIRA: KATHERINE VERA . RUT RETIRA: 9657774-5</t>
  </si>
  <si>
    <t>Katheryne Vera</t>
  </si>
  <si>
    <t>Francisco Bilbao 85, Depto 301 B</t>
  </si>
  <si>
    <t>REL77094</t>
  </si>
  <si>
    <t>256557153</t>
  </si>
  <si>
    <t>NOMBRE RETIRA: JESICA PARRAGUE, H RUT RETIRA: 16554010-7</t>
  </si>
  <si>
    <t>Jessica Parraguez Ormazabal</t>
  </si>
  <si>
    <t>Manso De Velasco # 120a, Servicio tecnico peugeot</t>
  </si>
  <si>
    <t>REL76980</t>
  </si>
  <si>
    <t>256461507</t>
  </si>
  <si>
    <t>NOMBRE RETIRA: PAOLA URIBE 0 RUT RETIRA: 20939989-K</t>
  </si>
  <si>
    <t>Padre Fernando Vives 1770, Casa</t>
  </si>
  <si>
    <t>REL77046</t>
  </si>
  <si>
    <t>256460978</t>
  </si>
  <si>
    <t>NOMBRE RETIRA: JUAN NIETO K RUT RETIRA: 53323732-0</t>
  </si>
  <si>
    <t>Carmen Mery</t>
  </si>
  <si>
    <t>San Guillermo 941, Depto. 1104. Cerro Placeres</t>
  </si>
  <si>
    <t>REL76985</t>
  </si>
  <si>
    <t>256461444</t>
  </si>
  <si>
    <t>NOMBRE RETIRA: PATRICIO MORENO . RUT RETIRA: 7163607-0</t>
  </si>
  <si>
    <t>Francisca Simaldone</t>
  </si>
  <si>
    <t>Av. Gastón Hamel Nieto 585, Depto. 403A</t>
  </si>
  <si>
    <t>REL77014</t>
  </si>
  <si>
    <t>256461151</t>
  </si>
  <si>
    <t>NOMBRE RETIRA: PILAR MARCHANT URZUA RUT RETIRA: 13059333-K</t>
  </si>
  <si>
    <t>Pilar Marchant urzua</t>
  </si>
  <si>
    <t>Calle 2 349, Casa damasco reja de lata blanca</t>
  </si>
  <si>
    <t>REL76994</t>
  </si>
  <si>
    <t>256461330</t>
  </si>
  <si>
    <t>NOMBRE RETIRA: CAMILA GONZALEZ G RUT RETIRA: 20281100-0</t>
  </si>
  <si>
    <t>Abdallah Fernández Atuez</t>
  </si>
  <si>
    <t>Avenida Nueva Juan Mackenna 871</t>
  </si>
  <si>
    <t>REL77009</t>
  </si>
  <si>
    <t>256461189</t>
  </si>
  <si>
    <t>NOMBRE RETIRA: JUAN TAPIA . RUT RETIRA: 11943411-4</t>
  </si>
  <si>
    <t>Patricia Tapia garat</t>
  </si>
  <si>
    <t>Tenerife 2294, Casa</t>
  </si>
  <si>
    <t>REL77001</t>
  </si>
  <si>
    <t>256461266</t>
  </si>
  <si>
    <t>NOMBRE RETIRA: RAUL ... . RUT RETIRA: 12014775-7</t>
  </si>
  <si>
    <t>Francisco Saavedra</t>
  </si>
  <si>
    <t>Calle 1  #527 , Lorenzo Arenas</t>
  </si>
  <si>
    <t>REL77003</t>
  </si>
  <si>
    <t>256461224</t>
  </si>
  <si>
    <t>NOMBRE RETIRA: ALVARO FIERRO . RUT RETIRA: 15099579-5</t>
  </si>
  <si>
    <t>Antonella Basso</t>
  </si>
  <si>
    <t>Diez norte 655, 1403</t>
  </si>
  <si>
    <t>REL77079</t>
  </si>
  <si>
    <t>256557191</t>
  </si>
  <si>
    <t>NOMBRE RETIRA: ROSA MADRID . RUT RETIRA: 8884468-8</t>
  </si>
  <si>
    <t>Josue Rainao</t>
  </si>
  <si>
    <t>Las Horquetas 250, Casa</t>
  </si>
  <si>
    <t>REL76968</t>
  </si>
  <si>
    <t>256461552</t>
  </si>
  <si>
    <t>NOMBRE RETIRA: LUISA MALDONADO B RUT RETIRA: 28008751-3</t>
  </si>
  <si>
    <t>Carmen Montero</t>
  </si>
  <si>
    <t>Los Capachitos 503</t>
  </si>
  <si>
    <t>REL77062</t>
  </si>
  <si>
    <t>256460946</t>
  </si>
  <si>
    <t>NOMBRE RETIRA: YUSNALLY CARVAJAL CARVAJAL RUT RETIRA: 33600863-8</t>
  </si>
  <si>
    <t>Constanza González Vidal</t>
  </si>
  <si>
    <t>Guillermo Saavedra 7, 203</t>
  </si>
  <si>
    <t>REL77024</t>
  </si>
  <si>
    <t>256461095</t>
  </si>
  <si>
    <t>NOMBRE RETIRA: FELIX MARQUEZ 0 RUT RETIRA: 16838578-1</t>
  </si>
  <si>
    <t>Felix Marquez</t>
  </si>
  <si>
    <t>24 Norte 3698</t>
  </si>
  <si>
    <t>REL77015</t>
  </si>
  <si>
    <t>256461144</t>
  </si>
  <si>
    <t>NOMBRE RETIRA: CAMILO ROMERO . RUT RETIRA: 19599564-8</t>
  </si>
  <si>
    <t>Claudia Silva</t>
  </si>
  <si>
    <t>Avenida Marconi 1110, Depto. 1002. Torre 2</t>
  </si>
  <si>
    <t>REL77130</t>
  </si>
  <si>
    <t>256556894</t>
  </si>
  <si>
    <t>NOMBRE RETIRA: CRIATIAN GODOY 0 RUT RETIRA: 53318885-0</t>
  </si>
  <si>
    <t>Natalia Vega Reyes</t>
  </si>
  <si>
    <t>Tucapel 90, Depto 809</t>
  </si>
  <si>
    <t>REL77116</t>
  </si>
  <si>
    <t>256556957</t>
  </si>
  <si>
    <t>NOMBRE RETIRA: JAQUELINE INSUNA INZUNZA RUT RETIRA: 10668315-8</t>
  </si>
  <si>
    <t>Javiera Rubio Muñoz</t>
  </si>
  <si>
    <t>Sanders 10, dpto. 908</t>
  </si>
  <si>
    <t>REL77113</t>
  </si>
  <si>
    <t>256556990</t>
  </si>
  <si>
    <t>NOMBRE RETIRA: FERNANDO JARA PINTO RUT RETIRA: 5949165-2</t>
  </si>
  <si>
    <t>General Cruz 1851, casa</t>
  </si>
  <si>
    <t>REL77074</t>
  </si>
  <si>
    <t>256460891</t>
  </si>
  <si>
    <t>Javiera Urbina Espinoza</t>
  </si>
  <si>
    <t>Las Golondrinas 1731, Depto 903</t>
  </si>
  <si>
    <t>REL76992</t>
  </si>
  <si>
    <t>256461367</t>
  </si>
  <si>
    <t>NOMBRE RETIRA: GABRIEL ELGUETA ELGUETA RUT RETIRA: 53331819-3</t>
  </si>
  <si>
    <t>Maria loreto Santos alarcon</t>
  </si>
  <si>
    <t>Av. Pedro de Valdivia 1805, Dpto. 901</t>
  </si>
  <si>
    <t>REL77088</t>
  </si>
  <si>
    <t>256557155</t>
  </si>
  <si>
    <t>NOMBRE RETIRA: ERIKA VERGARA . RUT RETIRA: 5823064-2</t>
  </si>
  <si>
    <t>HEINS PEMPELFORT</t>
  </si>
  <si>
    <t>QUILLAYES 488, CASA</t>
  </si>
  <si>
    <t>REL77041</t>
  </si>
  <si>
    <t>256461006</t>
  </si>
  <si>
    <t>Ximena Umaña García</t>
  </si>
  <si>
    <t>Calle 6  #570 , Brisa Del Sol Sector Casino Talcahuano</t>
  </si>
  <si>
    <t>REL76991</t>
  </si>
  <si>
    <t>256461354</t>
  </si>
  <si>
    <t>NOMBRE RETIRA: LILIAN ROSELL ROSELL RUT RETIRA: 10395964-0</t>
  </si>
  <si>
    <t>Lilian Rossel</t>
  </si>
  <si>
    <t>Av. España 1114</t>
  </si>
  <si>
    <t>REL77124</t>
  </si>
  <si>
    <t>256556947</t>
  </si>
  <si>
    <t>NOMBRE RETIRA: ELSA CONTRERAS . RUT RETIRA: 12851542-9</t>
  </si>
  <si>
    <t>María José Quagliotti</t>
  </si>
  <si>
    <t>Av. Valparaíso 729, 729</t>
  </si>
  <si>
    <t>REL77104</t>
  </si>
  <si>
    <t>256557035</t>
  </si>
  <si>
    <t>NOMBRE RETIRA: EDUARDO HERRERA .. RUT RETIRA: 18145692-2</t>
  </si>
  <si>
    <t>Eduardo Herrera Quezada</t>
  </si>
  <si>
    <t>Av. Caupolicán 309, Municipalidad de Los Vilos</t>
  </si>
  <si>
    <t>REL76965</t>
  </si>
  <si>
    <t>256461599</t>
  </si>
  <si>
    <t>NOMBRE RETIRA: LESLIE MUJICA . RUT RETIRA: 65221533-5</t>
  </si>
  <si>
    <t>Manuel Núñez Cruzat</t>
  </si>
  <si>
    <t>Isla Melinka 220, Departamento 2203</t>
  </si>
  <si>
    <t>REL77117</t>
  </si>
  <si>
    <t>256556948</t>
  </si>
  <si>
    <t>NOMBRE RETIRA: TERESA MONSLVES K RUT RETIRA: 18194820-5</t>
  </si>
  <si>
    <t>Leticia Sandoval Gutierrez</t>
  </si>
  <si>
    <t>Los Notros 1542</t>
  </si>
  <si>
    <t>REL76995</t>
  </si>
  <si>
    <t>256461293</t>
  </si>
  <si>
    <t>NOMBRE RETIRA: CATALINA BARRAZA ... RUT RETIRA: 22197968-0</t>
  </si>
  <si>
    <t>Nilsa Carvajal</t>
  </si>
  <si>
    <t>Parque Nacional Nahuelbuta 1526</t>
  </si>
  <si>
    <t>REL77033</t>
  </si>
  <si>
    <t>256461051</t>
  </si>
  <si>
    <t>NOMBRE RETIRA: OSVALDO MORALES A RUT RETIRA: 65205081-6</t>
  </si>
  <si>
    <t>Luciano Rivera Valle</t>
  </si>
  <si>
    <t>Buenos Aires 1031, 121</t>
  </si>
  <si>
    <t>REL77054</t>
  </si>
  <si>
    <t>256460970</t>
  </si>
  <si>
    <t>NOMBRE RETIRA: PRISCILA CAMPOS . RUT RETIRA: 53330390-0</t>
  </si>
  <si>
    <t>Priscilla Campos</t>
  </si>
  <si>
    <t>Calle Isla de pascua 675, Forestal</t>
  </si>
  <si>
    <t>REL76976</t>
  </si>
  <si>
    <t>256461558</t>
  </si>
  <si>
    <t>NOMBRE RETIRA: JUAN CARLOS PARDO . RUT RETIRA: 6329266-4</t>
  </si>
  <si>
    <t>Camila Pardo Pardo carrasco</t>
  </si>
  <si>
    <t>Calle dos 26 , Porvenir bajo Playa Ancha</t>
  </si>
  <si>
    <t>REL76978</t>
  </si>
  <si>
    <t>256461493</t>
  </si>
  <si>
    <t>NOMBRE RETIRA: JEANETTE ARRIAGADA ARRIAGADA RUT RETIRA: 21813470-K</t>
  </si>
  <si>
    <t>Jannette Arriagada Venegas</t>
  </si>
  <si>
    <t>Pintor Venegas 75,  Casa 75, Las Palmas de Villuco</t>
  </si>
  <si>
    <t>REL76707</t>
  </si>
  <si>
    <t>255687438</t>
  </si>
  <si>
    <t>NOMBRE RETIRA: NICOLAS HETRERA . RUT RETIRA: 8449828-9</t>
  </si>
  <si>
    <t>Goleta Ancud 513, SECTOR RURAL RÍO SECO</t>
  </si>
  <si>
    <t>2025-10-20 23:36</t>
  </si>
  <si>
    <t>REL77103</t>
  </si>
  <si>
    <t>256557097</t>
  </si>
  <si>
    <t>NOMBRE RETIRA: NELSON VALENCIA . . RUT RETIRA: 17277081-9</t>
  </si>
  <si>
    <t>Carmina Valencia</t>
  </si>
  <si>
    <t>Alfilerillo 1099, Villa las tinajas de cisternas</t>
  </si>
  <si>
    <t>REL77101</t>
  </si>
  <si>
    <t>256557085</t>
  </si>
  <si>
    <t>NOMBRE RETIRA: ORI GONZALEZ Y RUT RETIRA: 65216547-8</t>
  </si>
  <si>
    <t>Nicolas Acuña Luna</t>
  </si>
  <si>
    <t>Maipú 1318, Dpto 1810</t>
  </si>
  <si>
    <t>REL77034</t>
  </si>
  <si>
    <t>256461047</t>
  </si>
  <si>
    <t>NOMBRE RETIRA: CARMEN OGAZ . RUT RETIRA: 19602997-4</t>
  </si>
  <si>
    <t>Cristopher Saez Reyes</t>
  </si>
  <si>
    <t>Av. Manuel Rodríguez 555, Recepción novamedica</t>
  </si>
  <si>
    <t>REL76950</t>
  </si>
  <si>
    <t>256288863</t>
  </si>
  <si>
    <t>NOMBRE RETIRA: ENSO MUNOZ . RUT RETIRA: 22247357-8</t>
  </si>
  <si>
    <t>Grettel Rojas</t>
  </si>
  <si>
    <t>Arturo Fernández 2032, dpto. 203</t>
  </si>
  <si>
    <t>2025-10-29 23:24</t>
  </si>
  <si>
    <t>REL76949</t>
  </si>
  <si>
    <t>256288842</t>
  </si>
  <si>
    <t>NOMBRE RETIRA: LAUDENI FERREIRA . RUT RETIRA: 27534623-3</t>
  </si>
  <si>
    <t>isabel contreras vargas</t>
  </si>
  <si>
    <t>Av. Edmundo Pérez Zujovic 10890, Depto. 182 Vento</t>
  </si>
  <si>
    <t>REL76961</t>
  </si>
  <si>
    <t>256288788</t>
  </si>
  <si>
    <t>NOMBRE RETIRA: ANA VELIZ . RUT RETIRA: 9336926-2</t>
  </si>
  <si>
    <t>Richard Andres Cisternas Veliz</t>
  </si>
  <si>
    <t>Huaytiquina 1989</t>
  </si>
  <si>
    <t>2025-10-30 11:45</t>
  </si>
  <si>
    <t>REL76781</t>
  </si>
  <si>
    <t>255842204</t>
  </si>
  <si>
    <t>NOMBRE RETIRA: NICOL OLMEDO . RUT RETIRA: 18546910-7</t>
  </si>
  <si>
    <t>Nicol Olmedo moraga</t>
  </si>
  <si>
    <t>Altas Cumbres 2526, Casa</t>
  </si>
  <si>
    <t>2025-10-23 11:11</t>
  </si>
  <si>
    <t>REL76945</t>
  </si>
  <si>
    <t>256288887</t>
  </si>
  <si>
    <t>NOMBRE RETIRA: MARIA FERNANDA ROZAS RUT RETIRA: 16406576-6</t>
  </si>
  <si>
    <t>María Fernanda Rozas Brito</t>
  </si>
  <si>
    <t>Av. Saavedra Norte 1037, Casa 3</t>
  </si>
  <si>
    <t>REL76916</t>
  </si>
  <si>
    <t>256202842</t>
  </si>
  <si>
    <t>NOMBRE RETIRA: HAROLD VASQUEZ . RUT RETIRA: 13172657-0</t>
  </si>
  <si>
    <t>Harol Vasquez</t>
  </si>
  <si>
    <t>Ricardo Espinoza Varela 2365</t>
  </si>
  <si>
    <t>REL76932</t>
  </si>
  <si>
    <t>256202782</t>
  </si>
  <si>
    <t>NOMBRE RETIRA: ALEXANDRA QUINTERO 0 RUT RETIRA: 12345678-5</t>
  </si>
  <si>
    <t>Patricio Araya</t>
  </si>
  <si>
    <t>Emile Sironvalle 710, condominio Santa fé, depto 106b</t>
  </si>
  <si>
    <t>REL76960</t>
  </si>
  <si>
    <t>256288812</t>
  </si>
  <si>
    <t>NOMBRE RETIRA: ROSANA LOPEZ . RUT RETIRA: 11343651-4</t>
  </si>
  <si>
    <t>lenka Vivar</t>
  </si>
  <si>
    <t>Tres María 1627</t>
  </si>
  <si>
    <t>REL76941</t>
  </si>
  <si>
    <t>256288896</t>
  </si>
  <si>
    <t>NOMBRE RETIRA: CRISTOFER GALLEGUILOS . RUT RETIRA: 19103128-8</t>
  </si>
  <si>
    <t>Cristopher Galleguillos</t>
  </si>
  <si>
    <t>Fermín Vivaceta 863, Casa</t>
  </si>
  <si>
    <t>REL76715</t>
  </si>
  <si>
    <t>255687348</t>
  </si>
  <si>
    <t>NOMBRE RETIRA: JOAQUIN ANDRADE . RUT RETIRA: 22819333-K</t>
  </si>
  <si>
    <t>Danixa Andrade Hermosilla</t>
  </si>
  <si>
    <t>Juan Alonso Biava 3021, Casa</t>
  </si>
  <si>
    <t>REL76940</t>
  </si>
  <si>
    <t>256288850</t>
  </si>
  <si>
    <t>NOMBRE RETIRA: SOFIA OJEDA . RUT RETIRA: 19367683-9</t>
  </si>
  <si>
    <t>Sofia Ojeda</t>
  </si>
  <si>
    <t>Bellavista 850, 22</t>
  </si>
  <si>
    <t>REL76962</t>
  </si>
  <si>
    <t>256288793</t>
  </si>
  <si>
    <t>NOMBRE RETIRA: MAURICIO CASTILLO . RUT RETIRA: 8762860-4</t>
  </si>
  <si>
    <t>Franco Miranda</t>
  </si>
  <si>
    <t>Av. Jorge Medina Estévez 3700, Dpto 505B</t>
  </si>
  <si>
    <t>REL76758</t>
  </si>
  <si>
    <t>255763910</t>
  </si>
  <si>
    <t>NOMBRE RETIRA: HANNA ESOANA K RUT RETIRA: 12934857-7</t>
  </si>
  <si>
    <t>Hannah Esoaña</t>
  </si>
  <si>
    <t>Pasaje José liendo vera 446, Casa blanca de dos pisos esquina 27 de julio</t>
  </si>
  <si>
    <t>2025-10-22 11:39</t>
  </si>
  <si>
    <t>REL76957</t>
  </si>
  <si>
    <t>256288809</t>
  </si>
  <si>
    <t>NOMBRE RETIRA: MARGOT GARRIDO C RUT RETIRA: 10465873-3</t>
  </si>
  <si>
    <t>Victor Saldias Garrido</t>
  </si>
  <si>
    <t>Tocopilla 1346</t>
  </si>
  <si>
    <t>REL76959</t>
  </si>
  <si>
    <t>256288823</t>
  </si>
  <si>
    <t>NOMBRE RETIRA: CRISTIAN OLGUIN . RUT RETIRA: 53335457-2</t>
  </si>
  <si>
    <t>Alejandra León Araya</t>
  </si>
  <si>
    <t>9 Norte 450, 2011</t>
  </si>
  <si>
    <t>REL76937</t>
  </si>
  <si>
    <t>256288914</t>
  </si>
  <si>
    <t>NOMBRE RETIRA: SILVIA PENA . RUT RETIRA: 7856858-5</t>
  </si>
  <si>
    <t>Andres Mendoza</t>
  </si>
  <si>
    <t>Angamos 465, Casa</t>
  </si>
  <si>
    <t>REL76587</t>
  </si>
  <si>
    <t>255458076</t>
  </si>
  <si>
    <t>NOMBRE RETIRA: CRISTIAN OJEDA . RUT RETIRA: 18642909-5</t>
  </si>
  <si>
    <t>Cristian Ojeda</t>
  </si>
  <si>
    <t>REGIDOR FLORIDOR SOBARZO 351, Depto 201</t>
  </si>
  <si>
    <t>2025-10-16 12:34</t>
  </si>
  <si>
    <t>REL76948</t>
  </si>
  <si>
    <t>256288874</t>
  </si>
  <si>
    <t>NOMBRE RETIRA: MIGUEL BALBOA . RUT RETIRA: 7157764-3</t>
  </si>
  <si>
    <t>María Pérez</t>
  </si>
  <si>
    <t>Isla de Pascua 2850, Depto 24B</t>
  </si>
  <si>
    <t>REL76607</t>
  </si>
  <si>
    <t>255458054</t>
  </si>
  <si>
    <t>NOMBRE RETIRA: SEBASTIAN G . RUT RETIRA: 18642909-5</t>
  </si>
  <si>
    <t>Sebastian González herrera</t>
  </si>
  <si>
    <t>Hermann Eberhard 370, Casa</t>
  </si>
  <si>
    <t>2025-10-17 00:33</t>
  </si>
  <si>
    <t>REL76802</t>
  </si>
  <si>
    <t>255914396</t>
  </si>
  <si>
    <t>NOMBRE RETIRA: AYLEEN HERRERA . RUT RETIRA: 11111111-1</t>
  </si>
  <si>
    <t>Ailyn Herrera Muñoz</t>
  </si>
  <si>
    <t>Av. Presidente Manuel Bulnes 0310, Minimarket El Ovejero</t>
  </si>
  <si>
    <t>REL76726</t>
  </si>
  <si>
    <t>255764103</t>
  </si>
  <si>
    <t>NOMBRE RETIRA: JUANA NAVARRO . RUT RETIRA: 14229160-6</t>
  </si>
  <si>
    <t>Helmut Brandt</t>
  </si>
  <si>
    <t>Los Jazmines 0502</t>
  </si>
  <si>
    <t>2025-10-22 00:43</t>
  </si>
  <si>
    <t>REL77988</t>
  </si>
  <si>
    <t>712978261564</t>
  </si>
  <si>
    <t>Nombre: mikal Arriaza - Rut: 190680401</t>
  </si>
  <si>
    <t>noemi alejandra Arriaza Piña</t>
  </si>
  <si>
    <t>francisco contreras 538, Apt. casa</t>
  </si>
  <si>
    <t>2025-11-28 10:28</t>
  </si>
  <si>
    <t>REL77923</t>
  </si>
  <si>
    <t>712978263421</t>
  </si>
  <si>
    <t>Nombre: Barbara Olguin - Rut: 165892631</t>
  </si>
  <si>
    <t>Bárbara Olguín</t>
  </si>
  <si>
    <t>Volcán Peteroa 1975</t>
  </si>
  <si>
    <t>2025-11-28 10:27</t>
  </si>
  <si>
    <t>REL77943</t>
  </si>
  <si>
    <t>712978263023</t>
  </si>
  <si>
    <t>Nombre: Estefany Lopez - Rut: 194881770</t>
  </si>
  <si>
    <t>Claudio Zuñiga</t>
  </si>
  <si>
    <t>Pedro Montt 85, Gob Maritima Castro</t>
  </si>
  <si>
    <t>REL77861</t>
  </si>
  <si>
    <t>712977422102</t>
  </si>
  <si>
    <t>Nombre: Carlos Arriaza - Rut: 116974223</t>
  </si>
  <si>
    <t>Francisco Contreras 538, Apt. casa</t>
  </si>
  <si>
    <t>2025-11-26 21:11</t>
  </si>
  <si>
    <t>REL77872</t>
  </si>
  <si>
    <t>712977421601</t>
  </si>
  <si>
    <t>Nombre: rosa alcoz - Rut: 109108197</t>
  </si>
  <si>
    <t>carlos Araya</t>
  </si>
  <si>
    <t>Ester Pizarro 1164</t>
  </si>
  <si>
    <t>REL77880</t>
  </si>
  <si>
    <t>712977421516</t>
  </si>
  <si>
    <t>Nombre: Daniela Guichaman - Rut: 19723355</t>
  </si>
  <si>
    <t>Daniela Guichaman</t>
  </si>
  <si>
    <t>Ricardo jara 55 interior</t>
  </si>
  <si>
    <t>2025-11-27 11:07</t>
  </si>
  <si>
    <t>REL77838</t>
  </si>
  <si>
    <t>712976969854</t>
  </si>
  <si>
    <t>CP: Actualizado</t>
  </si>
  <si>
    <t>Sebastian Rain</t>
  </si>
  <si>
    <t>RAMON FREIRE - 487 -</t>
  </si>
  <si>
    <t>2025-11-26 11:07</t>
  </si>
  <si>
    <t>REL77724</t>
  </si>
  <si>
    <t>712976500084</t>
  </si>
  <si>
    <t>Nombre: Nelson Mino - Rut: 184463636</t>
  </si>
  <si>
    <t>elizabeth diaz</t>
  </si>
  <si>
    <t>San Antonio 48, Cabañas maximar</t>
  </si>
  <si>
    <t>2025-11-22 11:38</t>
  </si>
  <si>
    <t>REL77778</t>
  </si>
  <si>
    <t>712976497833</t>
  </si>
  <si>
    <t>Nombre: Wladimir Pizarro - Rut: 179397897</t>
  </si>
  <si>
    <t>Consuelo Salinas</t>
  </si>
  <si>
    <t>Chacon Villarroel 1100, 301E</t>
  </si>
  <si>
    <t>2025-11-24 11:34</t>
  </si>
  <si>
    <t>REL77798</t>
  </si>
  <si>
    <t>712976496746</t>
  </si>
  <si>
    <t>Diego Altamirano</t>
  </si>
  <si>
    <t>ingenieros militares</t>
  </si>
  <si>
    <t>REL77758</t>
  </si>
  <si>
    <t>712976499642</t>
  </si>
  <si>
    <t>Nombre: Miguel penailillo - Rut: 140563161</t>
  </si>
  <si>
    <t>Elisa Espinosa</t>
  </si>
  <si>
    <t>Abdon Fuentealba 997, Escuela San Ambrosio de Chanco</t>
  </si>
  <si>
    <t>REL77636</t>
  </si>
  <si>
    <t>712974534823</t>
  </si>
  <si>
    <t>Nombre: Felipe vanecia - Rut: 221655257</t>
  </si>
  <si>
    <t>Claudio Barriga Contreras</t>
  </si>
  <si>
    <t>C. José Joaquín Pérez 82</t>
  </si>
  <si>
    <t>REL77614</t>
  </si>
  <si>
    <t>712974104334</t>
  </si>
  <si>
    <t>Nombre: consuelo pizarro - Rut: 136673335</t>
  </si>
  <si>
    <t>jovany membloc</t>
  </si>
  <si>
    <t>Camino a punta de lobos 3.3, RESTAURANT LOS PIURES</t>
  </si>
  <si>
    <t>REL77584</t>
  </si>
  <si>
    <t>712973503200</t>
  </si>
  <si>
    <t>Nombre: esith aguilar - Rut: 131236832</t>
  </si>
  <si>
    <t>Maria Paz Soto Aguilar</t>
  </si>
  <si>
    <t>Avenida Circunvalación 616, Casa esquina</t>
  </si>
  <si>
    <t>REL77589</t>
  </si>
  <si>
    <t>712973503130</t>
  </si>
  <si>
    <t>Nombre: sergio alvarez - Rut: 0</t>
  </si>
  <si>
    <t>Katherine Oyarzo</t>
  </si>
  <si>
    <t>Av. O'Higgins 801, Aiep universidad , cafeteria cuarto piso</t>
  </si>
  <si>
    <t>REL77561</t>
  </si>
  <si>
    <t>712973262665</t>
  </si>
  <si>
    <t>Nombre: maritza mansilla - Rut: 129349905</t>
  </si>
  <si>
    <t>Cristhian Mansilla</t>
  </si>
  <si>
    <t>Juan garcia 88, Casa</t>
  </si>
  <si>
    <t>REL77516</t>
  </si>
  <si>
    <t>712973263520</t>
  </si>
  <si>
    <t>Nombre: juan Carlos toro - Rut: 142701405</t>
  </si>
  <si>
    <t>Miriam Riffo Vega</t>
  </si>
  <si>
    <t>Los Castaños 100, Condominio Parque Castaño 1, Casa 006</t>
  </si>
  <si>
    <t>REL77510</t>
  </si>
  <si>
    <t>712973263575</t>
  </si>
  <si>
    <t>Nombre: Carlos - Rut: 533367550</t>
  </si>
  <si>
    <t>Mitzy Navarrete</t>
  </si>
  <si>
    <t>Av. Cristóbal Colón 8401, Dpto. 1003</t>
  </si>
  <si>
    <t>REL77500</t>
  </si>
  <si>
    <t>712972332564</t>
  </si>
  <si>
    <t>ALFONSO VASQUEZ SAAVEDRA</t>
  </si>
  <si>
    <t>RUTA 5 SUR, KM.5, QUELLON</t>
  </si>
  <si>
    <t>REL77468</t>
  </si>
  <si>
    <t>712972332763</t>
  </si>
  <si>
    <t>Nombre: Bernardita jaidar - Rut: 196980024</t>
  </si>
  <si>
    <t>Bernardita Jaidar Valdés</t>
  </si>
  <si>
    <t>Av. Dos Sur 054, Arrau Méndez</t>
  </si>
  <si>
    <t>REL77474</t>
  </si>
  <si>
    <t>712972332752</t>
  </si>
  <si>
    <t>Nombre: casas patronales - Rut: 652124291</t>
  </si>
  <si>
    <t>Diego Vidal Mendez</t>
  </si>
  <si>
    <t>Conde de Manso 1150, D205</t>
  </si>
  <si>
    <t>REL77458</t>
  </si>
  <si>
    <t>712971933936</t>
  </si>
  <si>
    <t>Nombre: hernan aranda - Rut: 191420330</t>
  </si>
  <si>
    <t>Hernán Aranda Díaz</t>
  </si>
  <si>
    <t>Volcán Lastarria 633</t>
  </si>
  <si>
    <t>REL77377</t>
  </si>
  <si>
    <t>712971141175</t>
  </si>
  <si>
    <t>Nombre: manuel elgueta - Rut: 4391314</t>
  </si>
  <si>
    <t>nicolas castillo gonzalez</t>
  </si>
  <si>
    <t>Samuel Santana 720, Casa 8</t>
  </si>
  <si>
    <t>REL77369</t>
  </si>
  <si>
    <t>712971141164</t>
  </si>
  <si>
    <t>Nombre: Andrea Carreno - Rut: 129660945</t>
  </si>
  <si>
    <t>andrea carreño retamal</t>
  </si>
  <si>
    <t>Av. Arturo Prat 528</t>
  </si>
  <si>
    <t>REL77182</t>
  </si>
  <si>
    <t>712969074823</t>
  </si>
  <si>
    <t>Nombre: Marcelo Gonzalez - Rut: 177020885</t>
  </si>
  <si>
    <t>Yanina Fabio</t>
  </si>
  <si>
    <t>Almirante Lynch 417</t>
  </si>
  <si>
    <t>REL77203</t>
  </si>
  <si>
    <t>712969074602</t>
  </si>
  <si>
    <t>Nombre: soledad - Rut: 176323051</t>
  </si>
  <si>
    <t>Yasna Paredes</t>
  </si>
  <si>
    <t>Padre Nelson Aguilar, Colegio Bicentenario de difusion artistica los ulmos, entregar en porteria del colegio</t>
  </si>
  <si>
    <t>REL77141</t>
  </si>
  <si>
    <t>712968686242</t>
  </si>
  <si>
    <t>Nombre: rita zuniga - Rut: 113634278</t>
  </si>
  <si>
    <t>Sebastián Ignacio Chacón Olave</t>
  </si>
  <si>
    <t>San Antonio 105, Casa Amarilla con un grifo en la esquina</t>
  </si>
  <si>
    <t>REL77111</t>
  </si>
  <si>
    <t>712968286343</t>
  </si>
  <si>
    <t>Nombre: bayron leiva - Rut: 180312161</t>
  </si>
  <si>
    <t>Felipe Vejar Gambi</t>
  </si>
  <si>
    <t>Camino La Puntilla s/n Fundo La Macarena</t>
  </si>
  <si>
    <t>REL77067</t>
  </si>
  <si>
    <t>712967815044</t>
  </si>
  <si>
    <t>Nombre: elena morales - Rut: 176602562</t>
  </si>
  <si>
    <t>Elena Morales Ovalle</t>
  </si>
  <si>
    <t>Teniente Merino 464, Farmacia cruz verde</t>
  </si>
  <si>
    <t>REL77019</t>
  </si>
  <si>
    <t>712967815604</t>
  </si>
  <si>
    <t>Nombre: aliro paredes - Rut: 98477462</t>
  </si>
  <si>
    <t>Vanessa Andrea Paredes Triviño</t>
  </si>
  <si>
    <t>Sargento Aldea 507</t>
  </si>
  <si>
    <t>REL77044</t>
  </si>
  <si>
    <t>712967815232</t>
  </si>
  <si>
    <t>Nombre: Virginia allende - Rut: 70596393</t>
  </si>
  <si>
    <t>Anyela Gonzalez Allendes</t>
  </si>
  <si>
    <t>La Platina, callejón La Cancha 5, Peor es Nada</t>
  </si>
  <si>
    <t>REL76966</t>
  </si>
  <si>
    <t>712967816971</t>
  </si>
  <si>
    <t>Nombre: Francisco Perez - Rut: 20312596</t>
  </si>
  <si>
    <t>La chacra pasaje la chacra s/n, Segunda casa despues del galpon de pascal</t>
  </si>
  <si>
    <t>REL77615</t>
  </si>
  <si>
    <t>9406676576</t>
  </si>
  <si>
    <t>Silvia Ruz</t>
  </si>
  <si>
    <t>Los Romos 47 , Niko Grúas</t>
  </si>
  <si>
    <t>REL77602</t>
  </si>
  <si>
    <t>9406735682</t>
  </si>
  <si>
    <t>Beatriz Saavedra</t>
  </si>
  <si>
    <t>Parcela 14, Condominio Los Almendros Sur</t>
  </si>
  <si>
    <t>REL77607</t>
  </si>
  <si>
    <t>9406725576</t>
  </si>
  <si>
    <t>Nathalie Dente</t>
  </si>
  <si>
    <t>Calle de la Luna 77, Departamento 64. Edificio Costa Horizonte 2</t>
  </si>
  <si>
    <t>REL77537</t>
  </si>
  <si>
    <t>9405345401</t>
  </si>
  <si>
    <t>Jessica Muñoz alvarado</t>
  </si>
  <si>
    <t>Los Boldos 35, Isabel Riquelme con Manuel plaza</t>
  </si>
  <si>
    <t>REL77595</t>
  </si>
  <si>
    <t>9406653782</t>
  </si>
  <si>
    <t>Josefa Morales Estruga</t>
  </si>
  <si>
    <t>Pinares de Montemar 462, Casa 21</t>
  </si>
  <si>
    <t>REL77629</t>
  </si>
  <si>
    <t>9406674852</t>
  </si>
  <si>
    <t>Nixa Ramirez</t>
  </si>
  <si>
    <t>Camino Cuz Cuz 02551, Altos de Illapel, Casa</t>
  </si>
  <si>
    <t>REL77592</t>
  </si>
  <si>
    <t>9406705943</t>
  </si>
  <si>
    <t>Verónica Garcés Gallardo</t>
  </si>
  <si>
    <t>Ramón Cruz Montt 3192, Punto blue express la tiendita</t>
  </si>
  <si>
    <t>REL77606</t>
  </si>
  <si>
    <t>9406934202</t>
  </si>
  <si>
    <t>María de Jesús Muñoz Espinoza</t>
  </si>
  <si>
    <t>1 oriente 12 sur #233 A, casa esquina frente a centro de eventos Fortunata Tejoss</t>
  </si>
  <si>
    <t>REL77648</t>
  </si>
  <si>
    <t>9394103202</t>
  </si>
  <si>
    <t>Yubitza Aedo reyes</t>
  </si>
  <si>
    <t>Wunman 422 lautaro, 422</t>
  </si>
  <si>
    <t>REL77621</t>
  </si>
  <si>
    <t>9406932544</t>
  </si>
  <si>
    <t>Fernando Díaz Saldias</t>
  </si>
  <si>
    <t>El Abra 10, SERVICENTRO Combustibles Diaz</t>
  </si>
  <si>
    <t>REL77673</t>
  </si>
  <si>
    <t>9394450063</t>
  </si>
  <si>
    <t>Eloisa Duran</t>
  </si>
  <si>
    <t>Camino Padre Hurtado 13, Cruz del Sur, Alto Jahuel</t>
  </si>
  <si>
    <t>REL77624</t>
  </si>
  <si>
    <t>9407041114</t>
  </si>
  <si>
    <t>Sebastian Loyola</t>
  </si>
  <si>
    <t>Presbitero Felix Zaragoza 2510, Peñaflor</t>
  </si>
  <si>
    <t>REL77651</t>
  </si>
  <si>
    <t>9394223591</t>
  </si>
  <si>
    <t>Balmaceda 749, 748</t>
  </si>
  <si>
    <t>REL77659</t>
  </si>
  <si>
    <t>9394281271</t>
  </si>
  <si>
    <t>Daniela Layera maldonado</t>
  </si>
  <si>
    <t>Entrelomas 121, Edificio Amira Departamento 1802 (costa de montemar)</t>
  </si>
  <si>
    <t>REL77388</t>
  </si>
  <si>
    <t>9407433044</t>
  </si>
  <si>
    <t>Maria Teresa Rojas Rodriguez</t>
  </si>
  <si>
    <t>Gustavo Adolfo Becker 157, Villa Pablo Neruda</t>
  </si>
  <si>
    <t>REL77402</t>
  </si>
  <si>
    <t>9393361530</t>
  </si>
  <si>
    <t>Valeria Parraguez Macaya</t>
  </si>
  <si>
    <t>Las Dalias 249, Villa Mostazal</t>
  </si>
  <si>
    <t>REL77427</t>
  </si>
  <si>
    <t>9393108432</t>
  </si>
  <si>
    <t>Nicole Caceres</t>
  </si>
  <si>
    <t>Pje. las Victorias 1424, Villa Colonial</t>
  </si>
  <si>
    <t>REL77375</t>
  </si>
  <si>
    <t>9394829964</t>
  </si>
  <si>
    <t>Cristian Vásquez</t>
  </si>
  <si>
    <t>Camino El Toro 2700, Parcela 28. Condominio Loma Los Valles</t>
  </si>
  <si>
    <t>REL77447</t>
  </si>
  <si>
    <t>9392817501</t>
  </si>
  <si>
    <t>Vernica Vergara Morande</t>
  </si>
  <si>
    <t>Av la siembra 4831, 271</t>
  </si>
  <si>
    <t>REL77501</t>
  </si>
  <si>
    <t>9393341020</t>
  </si>
  <si>
    <t>Damari Retamales Vera</t>
  </si>
  <si>
    <t>San Roberto población Santa Lucia, Casa blanca de dos pisos</t>
  </si>
  <si>
    <t>REL77410</t>
  </si>
  <si>
    <t>9392900311</t>
  </si>
  <si>
    <t>paseo el mirador 205</t>
  </si>
  <si>
    <t>REL77248</t>
  </si>
  <si>
    <t>9407407380</t>
  </si>
  <si>
    <t>Fernanda riveros</t>
  </si>
  <si>
    <t>Ignacio Carrera Pinto 1192, Villa los conquistadores</t>
  </si>
  <si>
    <t>REL77440</t>
  </si>
  <si>
    <t>9393063853</t>
  </si>
  <si>
    <t>Katerin Toro Rebolledo</t>
  </si>
  <si>
    <t>Valle De La Luna #592, 592</t>
  </si>
  <si>
    <t>REL77256</t>
  </si>
  <si>
    <t>9407149441</t>
  </si>
  <si>
    <t>La linea alhue</t>
  </si>
  <si>
    <t>REL77291</t>
  </si>
  <si>
    <t>9407315400</t>
  </si>
  <si>
    <t>Alejandro Cardenas</t>
  </si>
  <si>
    <t>Loteo San Vicente. Parcela 11, Condominio</t>
  </si>
  <si>
    <t>REL77348</t>
  </si>
  <si>
    <t>9407415415</t>
  </si>
  <si>
    <t>Cristina Lara</t>
  </si>
  <si>
    <t>FERRETERIA LA LOMA G-692, Santa Inés</t>
  </si>
  <si>
    <t>REL77480</t>
  </si>
  <si>
    <t>9393325535</t>
  </si>
  <si>
    <t>Nadia Cabrera</t>
  </si>
  <si>
    <t>El Mirador 078, casa</t>
  </si>
  <si>
    <t>REL77465</t>
  </si>
  <si>
    <t>9392829854</t>
  </si>
  <si>
    <t>Marina Godoy Vivar</t>
  </si>
  <si>
    <t>Pje las calas 2548, Casa</t>
  </si>
  <si>
    <t>REL77223</t>
  </si>
  <si>
    <t>9407724911</t>
  </si>
  <si>
    <t>Benjamin Vilches Quezada</t>
  </si>
  <si>
    <t>Pasaje el oro verde, parcela 56, Parcela 56</t>
  </si>
  <si>
    <t>REL77158</t>
  </si>
  <si>
    <t>9390510813</t>
  </si>
  <si>
    <t>pia betancourt</t>
  </si>
  <si>
    <t>Parque Santa María de Algarrobo, F-90, Parcela 107. Dejar en Recepción o Conserjería del Condominio</t>
  </si>
  <si>
    <t>REL77211</t>
  </si>
  <si>
    <t>9407910083</t>
  </si>
  <si>
    <t>Henry Guajardo</t>
  </si>
  <si>
    <t>palma de guadalupe 277, 277</t>
  </si>
  <si>
    <t>REL77128</t>
  </si>
  <si>
    <t>9391179103</t>
  </si>
  <si>
    <t>Nicole Pizarro cerda</t>
  </si>
  <si>
    <t>El Arrayán 2410, Local 2 Farmacia Simi</t>
  </si>
  <si>
    <t>REL77193</t>
  </si>
  <si>
    <t>9390424374</t>
  </si>
  <si>
    <t>Claudio Carrizo Carrasco</t>
  </si>
  <si>
    <t>Camino Panorámico, 51 A Condominio La Aurora</t>
  </si>
  <si>
    <t>REL77083</t>
  </si>
  <si>
    <t>9391352902</t>
  </si>
  <si>
    <t>Fernanda Guerrero</t>
  </si>
  <si>
    <t>Las Parcelas 12, Casa 10. Condominio la foresta 12</t>
  </si>
  <si>
    <t>REL76868</t>
  </si>
  <si>
    <t>9386011622</t>
  </si>
  <si>
    <t>Karina Gonzalez Figueroa</t>
  </si>
  <si>
    <t>Alcalde Hernán Prieto 2349, Entrar por calle Las Parcelas, primer portón negro entrando por la calle mano derecha</t>
  </si>
  <si>
    <t>REL76923</t>
  </si>
  <si>
    <t>9385636573</t>
  </si>
  <si>
    <t>Jorge Neira Gamboa</t>
  </si>
  <si>
    <t>Av. Víctor Troncoso Muñoz 1081, Casa 48</t>
  </si>
  <si>
    <t>REL77021</t>
  </si>
  <si>
    <t>9390228525</t>
  </si>
  <si>
    <t>Mariana Leon</t>
  </si>
  <si>
    <t>Jorge Alessandri 8, Parcela 8. Santa Margarita, Champa</t>
  </si>
  <si>
    <t>REL77029</t>
  </si>
  <si>
    <t>9390244570</t>
  </si>
  <si>
    <t>Loreto Iturrieta Silva</t>
  </si>
  <si>
    <t>Pedro Aguirre Cerda 200 , Casa 23. Rinconada De Los Andes</t>
  </si>
  <si>
    <t>REL76821</t>
  </si>
  <si>
    <t>9386083873</t>
  </si>
  <si>
    <t>Sandra Andraca Ratto</t>
  </si>
  <si>
    <t>José María Escrivá de Balaguer 786, Departamento 1301</t>
  </si>
  <si>
    <t>REL76824</t>
  </si>
  <si>
    <t>9386810484</t>
  </si>
  <si>
    <t>Orietta Llamazares</t>
  </si>
  <si>
    <t>Calle del Sol 55, Dpto 161A</t>
  </si>
  <si>
    <t>REL76907</t>
  </si>
  <si>
    <t>9386568236</t>
  </si>
  <si>
    <t>Nurbis Guarecuco navarro</t>
  </si>
  <si>
    <t>Alcalde Julio Arangua Nuñez Norte, 335</t>
  </si>
  <si>
    <t>2025-10-28 00:00</t>
  </si>
  <si>
    <t>REL76973</t>
  </si>
  <si>
    <t>9390274600</t>
  </si>
  <si>
    <t>Tomas Perez Cerda</t>
  </si>
  <si>
    <t>Avenida independencia 530</t>
  </si>
  <si>
    <t>REL77027</t>
  </si>
  <si>
    <t>9390830131</t>
  </si>
  <si>
    <t>Camila Alcota</t>
  </si>
  <si>
    <t>Av. Minera las Cenizas 1771, Casa</t>
  </si>
  <si>
    <t>REL77035</t>
  </si>
  <si>
    <t>9390214606</t>
  </si>
  <si>
    <t>YOANNA PAMELA ACUÑA MEDINA</t>
  </si>
  <si>
    <t>Av. Otto Uebel 36, Localidad Puyuhuapi</t>
  </si>
  <si>
    <t>REL76829</t>
  </si>
  <si>
    <t>9386755501</t>
  </si>
  <si>
    <t>Soledad Valdebenito</t>
  </si>
  <si>
    <t>Luis Cousiño 2415</t>
  </si>
  <si>
    <t>REL76865</t>
  </si>
  <si>
    <t>9386726764</t>
  </si>
  <si>
    <t>Maria Jose Moreno</t>
  </si>
  <si>
    <t>Quillay 2640, Casa</t>
  </si>
  <si>
    <t>REL76769</t>
  </si>
  <si>
    <t>9387036466</t>
  </si>
  <si>
    <t>Francisco Hidalgo 222, Condominio pedregales casa 25</t>
  </si>
  <si>
    <t>2025-10-22 23:17</t>
  </si>
  <si>
    <t>MSE3071</t>
  </si>
  <si>
    <t>257773831</t>
  </si>
  <si>
    <t>Stocka - Logística Ecommerce</t>
  </si>
  <si>
    <t>NOMBRE RETIRA: VICENTE CASTANEDA -- RUT RETIRA: 65042936-2</t>
  </si>
  <si>
    <t>Vicente castañeda bustamante</t>
  </si>
  <si>
    <t>avenida guillermo ulriksen 1680, depto 34b</t>
  </si>
  <si>
    <t>2025-11-21 13:46</t>
  </si>
  <si>
    <t>STKBIT211125</t>
  </si>
  <si>
    <t>257775889</t>
  </si>
  <si>
    <t>NOMBRE RETIRA: FELIPE PUTNEY . RUT RETIRA: 65026565-3</t>
  </si>
  <si>
    <t>Jorge MASSA CARCAMO</t>
  </si>
  <si>
    <t>Calle de la Luna 35, Depto 188</t>
  </si>
  <si>
    <t>ASC21596FALTANTE</t>
  </si>
  <si>
    <t>257693980</t>
  </si>
  <si>
    <t>NOMBRE RETIRA: JASON CHIRINO . RUT RETIRA: 20494015-0</t>
  </si>
  <si>
    <t>Jason Chirino</t>
  </si>
  <si>
    <t>Arturo Prat 565, LOCAL 4</t>
  </si>
  <si>
    <t>MMEDD885</t>
  </si>
  <si>
    <t>257526583</t>
  </si>
  <si>
    <t>NOMBRE RETIRA: MARIO BORQUEZ ALVAREZ RUT RETIRA: 18969775-9</t>
  </si>
  <si>
    <t>Jacqueline Juica Novoa</t>
  </si>
  <si>
    <t>avenida los carrera 6268, v 403, barrio punta negra</t>
  </si>
  <si>
    <t>2025-11-18 12:05</t>
  </si>
  <si>
    <t>MMEDD886</t>
  </si>
  <si>
    <t>257695366</t>
  </si>
  <si>
    <t>NOMBRE RETIRA: VICTORIA CESPEDES . RUT RETIRA: 16552370-9</t>
  </si>
  <si>
    <t>Victoria Cespedes</t>
  </si>
  <si>
    <t>Las Torcazas, Peñuelas, 4105</t>
  </si>
  <si>
    <t>MSE3067</t>
  </si>
  <si>
    <t>257458234</t>
  </si>
  <si>
    <t>NOMBRE RETIRA: HECTOR ROBLES R RUT RETIRA: 7462266-6</t>
  </si>
  <si>
    <t>Hector Robles Fuentes</t>
  </si>
  <si>
    <t>Capilla La Esmeralda Casa 16A</t>
  </si>
  <si>
    <t>MSE3065</t>
  </si>
  <si>
    <t>257452788</t>
  </si>
  <si>
    <t>NOMBRE RETIRA: DENISE ARMIJ9 K RUT RETIRA: 7261653-7</t>
  </si>
  <si>
    <t>denisse armijo calderón</t>
  </si>
  <si>
    <t>Pasaje chaurina con ballica 2035</t>
  </si>
  <si>
    <t>2025-11-17 13:49</t>
  </si>
  <si>
    <t>ANL1014</t>
  </si>
  <si>
    <t>257138055</t>
  </si>
  <si>
    <t>NOMBRE RETIRA: BASTIAN MUNOZ . RUT RETIRA: 20050261-2</t>
  </si>
  <si>
    <t>Pablo Montes</t>
  </si>
  <si>
    <t>O'Higgins 624</t>
  </si>
  <si>
    <t>MMEDD873</t>
  </si>
  <si>
    <t>257099546</t>
  </si>
  <si>
    <t>NOMBRE RETIRA: LUCAS URUBE X RUT RETIRA: 19762099-4</t>
  </si>
  <si>
    <t>Lucas Uribe</t>
  </si>
  <si>
    <t>Aviador Acevedo , 497, RESTAURANTE PIZZA CALA</t>
  </si>
  <si>
    <t>2025-11-11 22:46</t>
  </si>
  <si>
    <t>LAQ10473</t>
  </si>
  <si>
    <t>257059837</t>
  </si>
  <si>
    <t>NOMBRE RETIRA: JAVIER ELGUETA . RUT RETIRA: 21640880-2</t>
  </si>
  <si>
    <t>Camila Becerra Castro</t>
  </si>
  <si>
    <t>4 NORTE 455 CONDOMINIO VIENTO NORTE 1 SAN PEDRO DE LA PAZ, CIPRÉS 136</t>
  </si>
  <si>
    <t>Sag_13070</t>
  </si>
  <si>
    <t>256652349</t>
  </si>
  <si>
    <t>NOMBRE RETIRA: CATALINA ARRIAZA ARRIAZA RUT RETIRA: 17510945-5</t>
  </si>
  <si>
    <t>Catalina Arriaza Arriaza</t>
  </si>
  <si>
    <t>2025-11-05 14:49</t>
  </si>
  <si>
    <t>MSE3059</t>
  </si>
  <si>
    <t>256961806</t>
  </si>
  <si>
    <t>NOMBRE RETIRA: AMADOR MENDZ H RUT RETIRA: 6738023-1</t>
  </si>
  <si>
    <t>Leontina Gonzalez Lanteri</t>
  </si>
  <si>
    <t>6 y media poniente C, 25 y 26 sur 779</t>
  </si>
  <si>
    <t>2025-11-10 13:34</t>
  </si>
  <si>
    <t>MMEDD869</t>
  </si>
  <si>
    <t>256681530</t>
  </si>
  <si>
    <t>NOMBRE RETIRA: NELVIA ARIAS X RUT RETIRA: 11803120-2</t>
  </si>
  <si>
    <t>Silvana Montaña</t>
  </si>
  <si>
    <t>san guillermo , 1725, Barrio: villa todos los santos</t>
  </si>
  <si>
    <t>2025-11-05 22:21</t>
  </si>
  <si>
    <t>STKRCT12141-NC</t>
  </si>
  <si>
    <t>9394199356</t>
  </si>
  <si>
    <t>2025-11-21 13:14</t>
  </si>
  <si>
    <t>OPARD211125</t>
  </si>
  <si>
    <t>9394377926</t>
  </si>
  <si>
    <t>Josefa Correa</t>
  </si>
  <si>
    <t>Avenida España 802, Curicó (Estadio Español, restaurante Caiquen)</t>
  </si>
  <si>
    <t>2025-11-21 13:33</t>
  </si>
  <si>
    <t>mse3036</t>
  </si>
  <si>
    <t>9385694054</t>
  </si>
  <si>
    <t>Karen Vergara Silva</t>
  </si>
  <si>
    <t>Yungay 254</t>
  </si>
  <si>
    <t>STG1004</t>
  </si>
  <si>
    <t>257256255</t>
  </si>
  <si>
    <t>STREETGYM</t>
  </si>
  <si>
    <t>NOMBRE RETIRA: RODOLFO BERGUER . RUT RETIRA: 17530388-K</t>
  </si>
  <si>
    <t>Rodolfo Berger</t>
  </si>
  <si>
    <t>Pator 4335 villa kamac mayu, Casa</t>
  </si>
  <si>
    <t>2025-11-13 23:04</t>
  </si>
  <si>
    <t>STG1005</t>
  </si>
  <si>
    <t>257256256</t>
  </si>
  <si>
    <t>Fabiola Legue Martinez</t>
  </si>
  <si>
    <t>Beaucheff 1724,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</si>
</sst>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340A]\ * #,##0_-;\-[$$-340A]\ * #,##0_-;_-[$$-340A]\ * &quot;-&quot;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4" fontId="7" fillId="0" borderId="12" xfId="0" applyNumberFormat="1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165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5" fontId="6" fillId="0" borderId="14" xfId="42" applyNumberFormat="1" applyFont="1" applyBorder="1" applyAlignment="1">
      <alignment horizontal="center"/>
    </xf>
    <xf numFmtId="164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1077125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E2" sqref="E2"/>
    </sheetView>
  </sheetViews>
  <sheetFormatPr baseColWidth="10" defaultRowHeight="14.4" x14ac:dyDescent="0.3"/>
  <cols>
    <col min="2" max="2" width="16.6640625" customWidth="1"/>
    <col min="3" max="3" width="18.6640625" customWidth="1"/>
    <col min="4" max="4" width="44.109375" style="15" bestFit="1" customWidth="1"/>
    <col min="5" max="5" width="16.44140625" customWidth="1"/>
  </cols>
  <sheetData>
    <row r="2" spans="3:5" ht="21" x14ac:dyDescent="0.4">
      <c r="C2" s="1" t="s">
        <v>4</v>
      </c>
      <c r="D2" t="str">
        <f>IF(Detalle!F2="",Detalle!E2,Detalle!F2)</f>
        <v>Stocka</v>
      </c>
      <c r="E2" s="4">
        <v>46001</v>
      </c>
    </row>
    <row r="3" spans="3:5" x14ac:dyDescent="0.3">
      <c r="C3" s="5" t="s">
        <v>5</v>
      </c>
    </row>
    <row r="4" spans="3:5" ht="15.6" x14ac:dyDescent="0.3">
      <c r="C4" s="6" t="s">
        <v>2</v>
      </c>
      <c r="D4" s="9" t="s">
        <v>3</v>
      </c>
      <c r="E4" s="10"/>
    </row>
    <row r="5" spans="3:5" ht="15.6" x14ac:dyDescent="0.3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6" x14ac:dyDescent="0.3">
      <c r="C6" s="7" t="s">
        <v>31</v>
      </c>
      <c r="D6" s="8">
        <f>COUNTIF(Detalle!I:I,"distribucion")</f>
        <v>1339</v>
      </c>
      <c r="E6" s="11">
        <f>SUMIF(Detalle!I:I,"distribucion",Detalle!V:V)</f>
        <v>6411180.8800000073</v>
      </c>
    </row>
    <row r="7" spans="3:5" ht="15.6" x14ac:dyDescent="0.3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6" x14ac:dyDescent="0.3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6" x14ac:dyDescent="0.3">
      <c r="C9" s="7" t="s">
        <v>23</v>
      </c>
      <c r="D9" s="8">
        <f>COUNTIF(Detalle!I:I,"Retiros S/C")</f>
        <v>0</v>
      </c>
      <c r="E9" s="11">
        <f>SUMIF(Detalle!I:I,"Retiros S/C",Detalle!V:V)</f>
        <v>0</v>
      </c>
    </row>
    <row r="10" spans="3:5" ht="15.6" x14ac:dyDescent="0.3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6" x14ac:dyDescent="0.3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6" x14ac:dyDescent="0.3">
      <c r="C12" s="7" t="s">
        <v>37</v>
      </c>
      <c r="D12" s="8">
        <f>COUNTIF(Detalle!I:I,"flex")</f>
        <v>0</v>
      </c>
      <c r="E12" s="11">
        <f>SUMIF(Detalle!I:I,"flex",Detalle!V:V)</f>
        <v>0</v>
      </c>
    </row>
    <row r="13" spans="3:5" ht="15.6" x14ac:dyDescent="0.3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6" x14ac:dyDescent="0.3">
      <c r="C14" s="7"/>
      <c r="D14" s="8"/>
      <c r="E14" s="21"/>
    </row>
    <row r="15" spans="3:5" ht="15.6" x14ac:dyDescent="0.3">
      <c r="C15" s="18" t="s">
        <v>6</v>
      </c>
      <c r="D15" s="19"/>
      <c r="E15" s="20">
        <v>0</v>
      </c>
    </row>
    <row r="16" spans="3:5" ht="15.6" x14ac:dyDescent="0.3">
      <c r="C16" s="2" t="s">
        <v>7</v>
      </c>
      <c r="D16" s="16"/>
      <c r="E16" s="11">
        <v>0</v>
      </c>
    </row>
    <row r="17" spans="3:5" ht="15.6" x14ac:dyDescent="0.3">
      <c r="C17" s="2" t="s">
        <v>8</v>
      </c>
      <c r="D17" s="17"/>
      <c r="E17" s="12">
        <f>SUM(E5:E16)</f>
        <v>6411180.8800000073</v>
      </c>
    </row>
    <row r="18" spans="3:5" ht="17.25" customHeight="1" x14ac:dyDescent="0.3">
      <c r="C18" s="2"/>
      <c r="D18" s="17"/>
      <c r="E18" s="12"/>
    </row>
    <row r="19" spans="3:5" ht="15.6" x14ac:dyDescent="0.3">
      <c r="C19" s="2" t="s">
        <v>0</v>
      </c>
      <c r="D19" s="17"/>
      <c r="E19" s="12">
        <f>E17*0.19</f>
        <v>1218124.3672000014</v>
      </c>
    </row>
    <row r="20" spans="3:5" ht="15.6" x14ac:dyDescent="0.3">
      <c r="C20" s="3" t="s">
        <v>1</v>
      </c>
      <c r="D20" s="17"/>
      <c r="E20" s="13">
        <f>+E17+E19</f>
        <v>7629305.2472000085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40"/>
  <sheetViews>
    <sheetView tabSelected="1" zoomScale="90" zoomScaleNormal="90" workbookViewId="0">
      <selection activeCell="F2" sqref="F2"/>
    </sheetView>
  </sheetViews>
  <sheetFormatPr baseColWidth="10" defaultColWidth="12.109375" defaultRowHeight="14.4" x14ac:dyDescent="0.3"/>
  <cols>
    <col min="17" max="17" width="12.109375" style="14"/>
  </cols>
  <sheetData>
    <row r="1" spans="1:22" x14ac:dyDescent="0.3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38</v>
      </c>
      <c r="G1" t="s">
        <v>11</v>
      </c>
      <c r="H1" t="s">
        <v>12</v>
      </c>
      <c r="I1" t="s">
        <v>35</v>
      </c>
      <c r="J1" t="s">
        <v>39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36</v>
      </c>
      <c r="T1" t="s">
        <v>28</v>
      </c>
      <c r="U1" t="s">
        <v>40</v>
      </c>
      <c r="V1" t="s">
        <v>29</v>
      </c>
    </row>
    <row r="2" spans="1:22" x14ac:dyDescent="0.3">
      <c r="A2">
        <v>79452</v>
      </c>
      <c r="B2">
        <v>135449463</v>
      </c>
      <c r="C2" t="s">
        <v>488</v>
      </c>
      <c r="D2" t="s">
        <v>489</v>
      </c>
      <c r="E2" t="s">
        <v>490</v>
      </c>
      <c r="F2" t="s">
        <v>491</v>
      </c>
      <c r="G2" t="s">
        <v>44</v>
      </c>
      <c r="H2" t="s">
        <v>45</v>
      </c>
      <c r="I2" t="s">
        <v>34</v>
      </c>
      <c r="J2" t="s">
        <v>46</v>
      </c>
      <c r="K2" t="s">
        <v>41</v>
      </c>
      <c r="L2" t="s">
        <v>492</v>
      </c>
      <c r="M2" t="s">
        <v>493</v>
      </c>
      <c r="N2" t="s">
        <v>494</v>
      </c>
      <c r="O2" t="s">
        <v>69</v>
      </c>
      <c r="P2" t="s">
        <v>495</v>
      </c>
      <c r="Q2" t="s">
        <v>58</v>
      </c>
      <c r="R2" t="s">
        <v>396</v>
      </c>
      <c r="S2">
        <v>1</v>
      </c>
      <c r="T2">
        <v>4346</v>
      </c>
      <c r="U2">
        <v>0</v>
      </c>
      <c r="V2">
        <v>4346</v>
      </c>
    </row>
    <row r="3" spans="1:22" x14ac:dyDescent="0.3">
      <c r="A3">
        <v>79452</v>
      </c>
      <c r="B3">
        <v>135449415</v>
      </c>
      <c r="C3" t="s">
        <v>496</v>
      </c>
      <c r="D3" t="s">
        <v>497</v>
      </c>
      <c r="E3" t="s">
        <v>490</v>
      </c>
      <c r="F3" t="s">
        <v>491</v>
      </c>
      <c r="G3" t="s">
        <v>44</v>
      </c>
      <c r="H3" t="s">
        <v>45</v>
      </c>
      <c r="I3" t="s">
        <v>34</v>
      </c>
      <c r="J3" t="s">
        <v>46</v>
      </c>
      <c r="K3" t="s">
        <v>41</v>
      </c>
      <c r="L3" t="s">
        <v>498</v>
      </c>
      <c r="M3" t="s">
        <v>499</v>
      </c>
      <c r="N3" t="s">
        <v>494</v>
      </c>
      <c r="O3" t="s">
        <v>69</v>
      </c>
      <c r="P3" t="s">
        <v>500</v>
      </c>
      <c r="Q3" t="s">
        <v>92</v>
      </c>
      <c r="R3" t="s">
        <v>396</v>
      </c>
      <c r="S3">
        <v>1</v>
      </c>
      <c r="T3">
        <v>3753</v>
      </c>
      <c r="U3">
        <v>0</v>
      </c>
      <c r="V3">
        <v>3753</v>
      </c>
    </row>
    <row r="4" spans="1:22" x14ac:dyDescent="0.3">
      <c r="A4">
        <v>79452</v>
      </c>
      <c r="B4">
        <v>135421228</v>
      </c>
      <c r="C4" t="s">
        <v>501</v>
      </c>
      <c r="D4" t="s">
        <v>502</v>
      </c>
      <c r="E4" t="s">
        <v>490</v>
      </c>
      <c r="F4" t="s">
        <v>491</v>
      </c>
      <c r="G4" t="s">
        <v>44</v>
      </c>
      <c r="H4" t="s">
        <v>45</v>
      </c>
      <c r="I4" t="s">
        <v>34</v>
      </c>
      <c r="J4" t="s">
        <v>46</v>
      </c>
      <c r="K4" t="s">
        <v>41</v>
      </c>
      <c r="L4" t="s">
        <v>503</v>
      </c>
      <c r="M4" t="s">
        <v>504</v>
      </c>
      <c r="N4" t="s">
        <v>494</v>
      </c>
      <c r="O4" t="s">
        <v>69</v>
      </c>
      <c r="P4" t="s">
        <v>505</v>
      </c>
      <c r="Q4" t="s">
        <v>93</v>
      </c>
      <c r="R4" t="s">
        <v>506</v>
      </c>
      <c r="S4">
        <v>1</v>
      </c>
      <c r="T4">
        <v>4067</v>
      </c>
      <c r="U4">
        <v>0</v>
      </c>
      <c r="V4">
        <v>4067</v>
      </c>
    </row>
    <row r="5" spans="1:22" x14ac:dyDescent="0.3">
      <c r="A5">
        <v>79452</v>
      </c>
      <c r="B5">
        <v>135449438</v>
      </c>
      <c r="C5" t="s">
        <v>507</v>
      </c>
      <c r="D5" t="s">
        <v>508</v>
      </c>
      <c r="E5" t="s">
        <v>490</v>
      </c>
      <c r="F5" t="s">
        <v>491</v>
      </c>
      <c r="G5" t="s">
        <v>44</v>
      </c>
      <c r="H5" t="s">
        <v>45</v>
      </c>
      <c r="I5" t="s">
        <v>34</v>
      </c>
      <c r="J5" t="s">
        <v>46</v>
      </c>
      <c r="K5" t="s">
        <v>41</v>
      </c>
      <c r="L5" t="s">
        <v>509</v>
      </c>
      <c r="M5" t="s">
        <v>510</v>
      </c>
      <c r="N5" t="s">
        <v>494</v>
      </c>
      <c r="O5" t="s">
        <v>69</v>
      </c>
      <c r="P5" t="s">
        <v>511</v>
      </c>
      <c r="Q5" t="s">
        <v>77</v>
      </c>
      <c r="R5" t="s">
        <v>396</v>
      </c>
      <c r="S5">
        <v>1</v>
      </c>
      <c r="T5">
        <v>3753</v>
      </c>
      <c r="U5">
        <v>0</v>
      </c>
      <c r="V5">
        <v>3753</v>
      </c>
    </row>
    <row r="6" spans="1:22" x14ac:dyDescent="0.3">
      <c r="A6">
        <v>79452</v>
      </c>
      <c r="B6">
        <v>135421209</v>
      </c>
      <c r="C6" t="s">
        <v>512</v>
      </c>
      <c r="D6" t="s">
        <v>513</v>
      </c>
      <c r="E6" t="s">
        <v>490</v>
      </c>
      <c r="F6" t="s">
        <v>491</v>
      </c>
      <c r="G6" t="s">
        <v>44</v>
      </c>
      <c r="H6" t="s">
        <v>45</v>
      </c>
      <c r="I6" t="s">
        <v>34</v>
      </c>
      <c r="J6" t="s">
        <v>46</v>
      </c>
      <c r="K6" t="s">
        <v>41</v>
      </c>
      <c r="L6" t="s">
        <v>514</v>
      </c>
      <c r="M6" t="s">
        <v>515</v>
      </c>
      <c r="N6" t="s">
        <v>494</v>
      </c>
      <c r="O6" t="s">
        <v>69</v>
      </c>
      <c r="P6" t="s">
        <v>516</v>
      </c>
      <c r="Q6" t="s">
        <v>43</v>
      </c>
      <c r="R6" t="s">
        <v>506</v>
      </c>
      <c r="S6">
        <v>1</v>
      </c>
      <c r="T6">
        <v>4067</v>
      </c>
      <c r="U6">
        <v>0</v>
      </c>
      <c r="V6">
        <v>4067</v>
      </c>
    </row>
    <row r="7" spans="1:22" x14ac:dyDescent="0.3">
      <c r="A7">
        <v>79452</v>
      </c>
      <c r="B7">
        <v>135449447</v>
      </c>
      <c r="C7" t="s">
        <v>517</v>
      </c>
      <c r="D7" t="s">
        <v>518</v>
      </c>
      <c r="E7" t="s">
        <v>490</v>
      </c>
      <c r="F7" t="s">
        <v>491</v>
      </c>
      <c r="G7" t="s">
        <v>44</v>
      </c>
      <c r="H7" t="s">
        <v>45</v>
      </c>
      <c r="I7" t="s">
        <v>34</v>
      </c>
      <c r="J7" t="s">
        <v>46</v>
      </c>
      <c r="K7" t="s">
        <v>41</v>
      </c>
      <c r="L7" t="s">
        <v>519</v>
      </c>
      <c r="M7" t="s">
        <v>520</v>
      </c>
      <c r="N7" t="s">
        <v>494</v>
      </c>
      <c r="O7" t="s">
        <v>69</v>
      </c>
      <c r="P7" t="s">
        <v>521</v>
      </c>
      <c r="Q7" t="s">
        <v>195</v>
      </c>
      <c r="R7" t="s">
        <v>396</v>
      </c>
      <c r="S7">
        <v>1</v>
      </c>
      <c r="T7">
        <v>4067</v>
      </c>
      <c r="U7">
        <v>0</v>
      </c>
      <c r="V7">
        <v>4067</v>
      </c>
    </row>
    <row r="8" spans="1:22" x14ac:dyDescent="0.3">
      <c r="A8">
        <v>79452</v>
      </c>
      <c r="B8">
        <v>135421220</v>
      </c>
      <c r="C8" t="s">
        <v>522</v>
      </c>
      <c r="D8" t="s">
        <v>523</v>
      </c>
      <c r="E8" t="s">
        <v>490</v>
      </c>
      <c r="F8" t="s">
        <v>491</v>
      </c>
      <c r="G8" t="s">
        <v>44</v>
      </c>
      <c r="H8" t="s">
        <v>45</v>
      </c>
      <c r="I8" t="s">
        <v>34</v>
      </c>
      <c r="J8" t="s">
        <v>46</v>
      </c>
      <c r="K8" t="s">
        <v>41</v>
      </c>
      <c r="L8" t="s">
        <v>524</v>
      </c>
      <c r="M8" t="s">
        <v>525</v>
      </c>
      <c r="N8" t="s">
        <v>494</v>
      </c>
      <c r="O8" t="s">
        <v>69</v>
      </c>
      <c r="P8" t="s">
        <v>526</v>
      </c>
      <c r="Q8" t="s">
        <v>89</v>
      </c>
      <c r="R8" t="s">
        <v>506</v>
      </c>
      <c r="S8">
        <v>1</v>
      </c>
      <c r="T8">
        <v>3753</v>
      </c>
      <c r="U8">
        <v>0</v>
      </c>
      <c r="V8">
        <v>3753</v>
      </c>
    </row>
    <row r="9" spans="1:22" x14ac:dyDescent="0.3">
      <c r="A9">
        <v>79452</v>
      </c>
      <c r="B9">
        <v>135449461</v>
      </c>
      <c r="C9" t="s">
        <v>527</v>
      </c>
      <c r="D9" t="s">
        <v>528</v>
      </c>
      <c r="E9" t="s">
        <v>490</v>
      </c>
      <c r="F9" t="s">
        <v>491</v>
      </c>
      <c r="G9" t="s">
        <v>44</v>
      </c>
      <c r="H9" t="s">
        <v>45</v>
      </c>
      <c r="I9" t="s">
        <v>34</v>
      </c>
      <c r="J9" t="s">
        <v>46</v>
      </c>
      <c r="K9" t="s">
        <v>41</v>
      </c>
      <c r="L9" t="s">
        <v>529</v>
      </c>
      <c r="M9" t="s">
        <v>449</v>
      </c>
      <c r="N9" t="s">
        <v>494</v>
      </c>
      <c r="O9" t="s">
        <v>69</v>
      </c>
      <c r="P9" t="s">
        <v>530</v>
      </c>
      <c r="Q9" t="s">
        <v>78</v>
      </c>
      <c r="R9" t="s">
        <v>396</v>
      </c>
      <c r="S9">
        <v>1</v>
      </c>
      <c r="T9">
        <v>3366</v>
      </c>
      <c r="U9">
        <v>0</v>
      </c>
      <c r="V9">
        <v>3366</v>
      </c>
    </row>
    <row r="10" spans="1:22" x14ac:dyDescent="0.3">
      <c r="A10">
        <v>79452</v>
      </c>
      <c r="B10">
        <v>135449419</v>
      </c>
      <c r="C10" t="s">
        <v>531</v>
      </c>
      <c r="D10" t="s">
        <v>532</v>
      </c>
      <c r="E10" t="s">
        <v>490</v>
      </c>
      <c r="F10" t="s">
        <v>491</v>
      </c>
      <c r="G10" t="s">
        <v>44</v>
      </c>
      <c r="H10" t="s">
        <v>45</v>
      </c>
      <c r="I10" t="s">
        <v>34</v>
      </c>
      <c r="J10" t="s">
        <v>46</v>
      </c>
      <c r="K10" t="s">
        <v>41</v>
      </c>
      <c r="L10" t="s">
        <v>533</v>
      </c>
      <c r="M10" t="s">
        <v>534</v>
      </c>
      <c r="N10" t="s">
        <v>494</v>
      </c>
      <c r="O10" t="s">
        <v>69</v>
      </c>
      <c r="P10" t="s">
        <v>535</v>
      </c>
      <c r="Q10" t="s">
        <v>62</v>
      </c>
      <c r="R10" t="s">
        <v>396</v>
      </c>
      <c r="S10">
        <v>1</v>
      </c>
      <c r="T10">
        <v>4067</v>
      </c>
      <c r="U10">
        <v>0</v>
      </c>
      <c r="V10">
        <v>4067</v>
      </c>
    </row>
    <row r="11" spans="1:22" x14ac:dyDescent="0.3">
      <c r="A11">
        <v>79452</v>
      </c>
      <c r="B11">
        <v>135421211</v>
      </c>
      <c r="C11" t="s">
        <v>536</v>
      </c>
      <c r="D11" t="s">
        <v>537</v>
      </c>
      <c r="E11" t="s">
        <v>490</v>
      </c>
      <c r="F11" t="s">
        <v>491</v>
      </c>
      <c r="G11" t="s">
        <v>44</v>
      </c>
      <c r="H11" t="s">
        <v>45</v>
      </c>
      <c r="I11" t="s">
        <v>34</v>
      </c>
      <c r="J11" t="s">
        <v>46</v>
      </c>
      <c r="K11" t="s">
        <v>41</v>
      </c>
      <c r="L11" t="s">
        <v>538</v>
      </c>
      <c r="M11" t="s">
        <v>539</v>
      </c>
      <c r="N11" t="s">
        <v>494</v>
      </c>
      <c r="O11" t="s">
        <v>69</v>
      </c>
      <c r="P11" t="s">
        <v>540</v>
      </c>
      <c r="Q11" t="s">
        <v>58</v>
      </c>
      <c r="R11" t="s">
        <v>506</v>
      </c>
      <c r="S11">
        <v>1</v>
      </c>
      <c r="T11">
        <v>4346</v>
      </c>
      <c r="U11">
        <v>0</v>
      </c>
      <c r="V11">
        <v>4346</v>
      </c>
    </row>
    <row r="12" spans="1:22" x14ac:dyDescent="0.3">
      <c r="A12">
        <v>79452</v>
      </c>
      <c r="B12">
        <v>135449437</v>
      </c>
      <c r="C12" t="s">
        <v>541</v>
      </c>
      <c r="D12" t="s">
        <v>542</v>
      </c>
      <c r="E12" t="s">
        <v>490</v>
      </c>
      <c r="F12" t="s">
        <v>491</v>
      </c>
      <c r="G12" t="s">
        <v>44</v>
      </c>
      <c r="H12" t="s">
        <v>45</v>
      </c>
      <c r="I12" t="s">
        <v>34</v>
      </c>
      <c r="J12" t="s">
        <v>46</v>
      </c>
      <c r="K12" t="s">
        <v>41</v>
      </c>
      <c r="L12" t="s">
        <v>543</v>
      </c>
      <c r="M12" t="s">
        <v>544</v>
      </c>
      <c r="N12" t="s">
        <v>494</v>
      </c>
      <c r="O12" t="s">
        <v>69</v>
      </c>
      <c r="P12" t="s">
        <v>545</v>
      </c>
      <c r="Q12" t="s">
        <v>89</v>
      </c>
      <c r="R12" t="s">
        <v>396</v>
      </c>
      <c r="S12">
        <v>1</v>
      </c>
      <c r="T12">
        <v>3753</v>
      </c>
      <c r="U12">
        <v>0</v>
      </c>
      <c r="V12">
        <v>3753</v>
      </c>
    </row>
    <row r="13" spans="1:22" x14ac:dyDescent="0.3">
      <c r="A13">
        <v>79452</v>
      </c>
      <c r="B13">
        <v>135449360</v>
      </c>
      <c r="C13" t="s">
        <v>546</v>
      </c>
      <c r="D13" t="s">
        <v>547</v>
      </c>
      <c r="E13" t="s">
        <v>490</v>
      </c>
      <c r="F13" t="s">
        <v>491</v>
      </c>
      <c r="G13" t="s">
        <v>44</v>
      </c>
      <c r="H13" t="s">
        <v>45</v>
      </c>
      <c r="I13" t="s">
        <v>34</v>
      </c>
      <c r="J13" t="s">
        <v>46</v>
      </c>
      <c r="K13" t="s">
        <v>41</v>
      </c>
      <c r="L13" t="s">
        <v>548</v>
      </c>
      <c r="M13" t="s">
        <v>549</v>
      </c>
      <c r="N13" t="s">
        <v>494</v>
      </c>
      <c r="O13" t="s">
        <v>69</v>
      </c>
      <c r="P13" t="s">
        <v>550</v>
      </c>
      <c r="Q13" t="s">
        <v>58</v>
      </c>
      <c r="R13" t="s">
        <v>551</v>
      </c>
      <c r="S13">
        <v>1</v>
      </c>
      <c r="T13">
        <v>4346</v>
      </c>
      <c r="U13">
        <v>0</v>
      </c>
      <c r="V13">
        <v>4346</v>
      </c>
    </row>
    <row r="14" spans="1:22" x14ac:dyDescent="0.3">
      <c r="A14">
        <v>79452</v>
      </c>
      <c r="B14">
        <v>135449374</v>
      </c>
      <c r="C14" t="s">
        <v>552</v>
      </c>
      <c r="D14" t="s">
        <v>553</v>
      </c>
      <c r="E14" t="s">
        <v>490</v>
      </c>
      <c r="F14" t="s">
        <v>491</v>
      </c>
      <c r="G14" t="s">
        <v>44</v>
      </c>
      <c r="H14" t="s">
        <v>45</v>
      </c>
      <c r="I14" t="s">
        <v>34</v>
      </c>
      <c r="J14" t="s">
        <v>46</v>
      </c>
      <c r="K14" t="s">
        <v>41</v>
      </c>
      <c r="L14" t="s">
        <v>554</v>
      </c>
      <c r="M14" t="s">
        <v>555</v>
      </c>
      <c r="N14" t="s">
        <v>494</v>
      </c>
      <c r="O14" t="s">
        <v>69</v>
      </c>
      <c r="P14" t="s">
        <v>556</v>
      </c>
      <c r="Q14" t="s">
        <v>83</v>
      </c>
      <c r="R14" t="s">
        <v>551</v>
      </c>
      <c r="S14">
        <v>1</v>
      </c>
      <c r="T14">
        <v>3366</v>
      </c>
      <c r="U14">
        <v>0</v>
      </c>
      <c r="V14">
        <v>3366</v>
      </c>
    </row>
    <row r="15" spans="1:22" x14ac:dyDescent="0.3">
      <c r="A15">
        <v>79452</v>
      </c>
      <c r="B15">
        <v>135449450</v>
      </c>
      <c r="C15" t="s">
        <v>557</v>
      </c>
      <c r="D15" t="s">
        <v>558</v>
      </c>
      <c r="E15" t="s">
        <v>490</v>
      </c>
      <c r="F15" t="s">
        <v>491</v>
      </c>
      <c r="G15" t="s">
        <v>44</v>
      </c>
      <c r="H15" t="s">
        <v>45</v>
      </c>
      <c r="I15" t="s">
        <v>34</v>
      </c>
      <c r="J15" t="s">
        <v>46</v>
      </c>
      <c r="K15" t="s">
        <v>41</v>
      </c>
      <c r="L15" t="s">
        <v>559</v>
      </c>
      <c r="M15" t="s">
        <v>560</v>
      </c>
      <c r="N15" t="s">
        <v>494</v>
      </c>
      <c r="O15" t="s">
        <v>69</v>
      </c>
      <c r="P15" t="s">
        <v>561</v>
      </c>
      <c r="Q15" t="s">
        <v>86</v>
      </c>
      <c r="R15" t="s">
        <v>396</v>
      </c>
      <c r="S15">
        <v>1</v>
      </c>
      <c r="T15">
        <v>3366</v>
      </c>
      <c r="U15">
        <v>0</v>
      </c>
      <c r="V15">
        <v>3366</v>
      </c>
    </row>
    <row r="16" spans="1:22" x14ac:dyDescent="0.3">
      <c r="A16">
        <v>79452</v>
      </c>
      <c r="B16">
        <v>135449436</v>
      </c>
      <c r="C16" t="s">
        <v>562</v>
      </c>
      <c r="D16" t="s">
        <v>563</v>
      </c>
      <c r="E16" t="s">
        <v>490</v>
      </c>
      <c r="F16" t="s">
        <v>491</v>
      </c>
      <c r="G16" t="s">
        <v>44</v>
      </c>
      <c r="H16" t="s">
        <v>45</v>
      </c>
      <c r="I16" t="s">
        <v>34</v>
      </c>
      <c r="J16" t="s">
        <v>46</v>
      </c>
      <c r="K16" t="s">
        <v>41</v>
      </c>
      <c r="L16" t="s">
        <v>564</v>
      </c>
      <c r="M16" t="s">
        <v>565</v>
      </c>
      <c r="N16" t="s">
        <v>494</v>
      </c>
      <c r="O16" t="s">
        <v>69</v>
      </c>
      <c r="P16" t="s">
        <v>566</v>
      </c>
      <c r="Q16" t="s">
        <v>93</v>
      </c>
      <c r="R16" t="s">
        <v>396</v>
      </c>
      <c r="S16">
        <v>1</v>
      </c>
      <c r="T16">
        <v>4067</v>
      </c>
      <c r="U16">
        <v>0</v>
      </c>
      <c r="V16">
        <v>4067</v>
      </c>
    </row>
    <row r="17" spans="1:22" x14ac:dyDescent="0.3">
      <c r="A17">
        <v>79452</v>
      </c>
      <c r="B17">
        <v>135449434</v>
      </c>
      <c r="C17" t="s">
        <v>567</v>
      </c>
      <c r="D17" t="s">
        <v>568</v>
      </c>
      <c r="E17" t="s">
        <v>490</v>
      </c>
      <c r="F17" t="s">
        <v>491</v>
      </c>
      <c r="G17" t="s">
        <v>44</v>
      </c>
      <c r="H17" t="s">
        <v>45</v>
      </c>
      <c r="I17" t="s">
        <v>34</v>
      </c>
      <c r="J17" t="s">
        <v>46</v>
      </c>
      <c r="K17" t="s">
        <v>41</v>
      </c>
      <c r="L17" t="s">
        <v>569</v>
      </c>
      <c r="M17" t="s">
        <v>570</v>
      </c>
      <c r="N17" t="s">
        <v>494</v>
      </c>
      <c r="O17" t="s">
        <v>69</v>
      </c>
      <c r="P17" t="s">
        <v>571</v>
      </c>
      <c r="Q17" t="s">
        <v>189</v>
      </c>
      <c r="R17" t="s">
        <v>396</v>
      </c>
      <c r="S17">
        <v>1</v>
      </c>
      <c r="T17">
        <v>3784</v>
      </c>
      <c r="U17">
        <v>0</v>
      </c>
      <c r="V17">
        <v>3784</v>
      </c>
    </row>
    <row r="18" spans="1:22" x14ac:dyDescent="0.3">
      <c r="A18">
        <v>79452</v>
      </c>
      <c r="B18">
        <v>135449456</v>
      </c>
      <c r="C18" t="s">
        <v>572</v>
      </c>
      <c r="D18" t="s">
        <v>573</v>
      </c>
      <c r="E18" t="s">
        <v>490</v>
      </c>
      <c r="F18" t="s">
        <v>491</v>
      </c>
      <c r="G18" t="s">
        <v>44</v>
      </c>
      <c r="H18" t="s">
        <v>45</v>
      </c>
      <c r="I18" t="s">
        <v>34</v>
      </c>
      <c r="J18" t="s">
        <v>46</v>
      </c>
      <c r="K18" t="s">
        <v>41</v>
      </c>
      <c r="L18" t="s">
        <v>574</v>
      </c>
      <c r="M18" t="s">
        <v>575</v>
      </c>
      <c r="N18" t="s">
        <v>494</v>
      </c>
      <c r="O18" t="s">
        <v>69</v>
      </c>
      <c r="P18" t="s">
        <v>576</v>
      </c>
      <c r="Q18" t="s">
        <v>102</v>
      </c>
      <c r="R18" t="s">
        <v>396</v>
      </c>
      <c r="S18">
        <v>1</v>
      </c>
      <c r="T18">
        <v>4693</v>
      </c>
      <c r="U18">
        <v>0</v>
      </c>
      <c r="V18">
        <v>4693</v>
      </c>
    </row>
    <row r="19" spans="1:22" x14ac:dyDescent="0.3">
      <c r="A19">
        <v>79452</v>
      </c>
      <c r="B19">
        <v>135421231</v>
      </c>
      <c r="C19" t="s">
        <v>577</v>
      </c>
      <c r="D19" t="s">
        <v>578</v>
      </c>
      <c r="E19" t="s">
        <v>490</v>
      </c>
      <c r="F19" t="s">
        <v>491</v>
      </c>
      <c r="G19" t="s">
        <v>44</v>
      </c>
      <c r="H19" t="s">
        <v>45</v>
      </c>
      <c r="I19" t="s">
        <v>34</v>
      </c>
      <c r="J19" t="s">
        <v>46</v>
      </c>
      <c r="K19" t="s">
        <v>41</v>
      </c>
      <c r="L19" t="s">
        <v>579</v>
      </c>
      <c r="M19" t="s">
        <v>580</v>
      </c>
      <c r="N19" t="s">
        <v>494</v>
      </c>
      <c r="O19" t="s">
        <v>69</v>
      </c>
      <c r="P19" t="s">
        <v>581</v>
      </c>
      <c r="Q19" t="s">
        <v>78</v>
      </c>
      <c r="R19" t="s">
        <v>506</v>
      </c>
      <c r="S19">
        <v>1</v>
      </c>
      <c r="T19">
        <v>3366</v>
      </c>
      <c r="U19">
        <v>0</v>
      </c>
      <c r="V19">
        <v>3366</v>
      </c>
    </row>
    <row r="20" spans="1:22" x14ac:dyDescent="0.3">
      <c r="A20">
        <v>79452</v>
      </c>
      <c r="B20">
        <v>135449370</v>
      </c>
      <c r="C20" t="s">
        <v>582</v>
      </c>
      <c r="D20" t="s">
        <v>583</v>
      </c>
      <c r="E20" t="s">
        <v>490</v>
      </c>
      <c r="F20" t="s">
        <v>491</v>
      </c>
      <c r="G20" t="s">
        <v>44</v>
      </c>
      <c r="H20" t="s">
        <v>45</v>
      </c>
      <c r="I20" t="s">
        <v>34</v>
      </c>
      <c r="J20" t="s">
        <v>46</v>
      </c>
      <c r="K20" t="s">
        <v>41</v>
      </c>
      <c r="L20" t="s">
        <v>584</v>
      </c>
      <c r="M20" t="s">
        <v>585</v>
      </c>
      <c r="N20" t="s">
        <v>494</v>
      </c>
      <c r="O20" t="s">
        <v>69</v>
      </c>
      <c r="P20" t="s">
        <v>586</v>
      </c>
      <c r="Q20" t="s">
        <v>98</v>
      </c>
      <c r="R20" t="s">
        <v>551</v>
      </c>
      <c r="S20">
        <v>1</v>
      </c>
      <c r="T20">
        <v>3366</v>
      </c>
      <c r="U20">
        <v>0</v>
      </c>
      <c r="V20">
        <v>3366</v>
      </c>
    </row>
    <row r="21" spans="1:22" x14ac:dyDescent="0.3">
      <c r="A21">
        <v>79452</v>
      </c>
      <c r="B21">
        <v>135412527</v>
      </c>
      <c r="C21" t="s">
        <v>587</v>
      </c>
      <c r="D21" t="s">
        <v>588</v>
      </c>
      <c r="E21" t="s">
        <v>490</v>
      </c>
      <c r="F21" t="s">
        <v>491</v>
      </c>
      <c r="G21" t="s">
        <v>44</v>
      </c>
      <c r="H21" t="s">
        <v>45</v>
      </c>
      <c r="I21" t="s">
        <v>34</v>
      </c>
      <c r="J21" t="s">
        <v>46</v>
      </c>
      <c r="K21" t="s">
        <v>41</v>
      </c>
      <c r="L21" t="s">
        <v>589</v>
      </c>
      <c r="M21" t="s">
        <v>427</v>
      </c>
      <c r="N21" t="s">
        <v>494</v>
      </c>
      <c r="O21" t="s">
        <v>69</v>
      </c>
      <c r="P21" t="s">
        <v>590</v>
      </c>
      <c r="Q21" t="s">
        <v>43</v>
      </c>
      <c r="R21" t="s">
        <v>591</v>
      </c>
      <c r="S21">
        <v>1</v>
      </c>
      <c r="T21">
        <v>4067</v>
      </c>
      <c r="U21">
        <v>0</v>
      </c>
      <c r="V21">
        <v>4067</v>
      </c>
    </row>
    <row r="22" spans="1:22" x14ac:dyDescent="0.3">
      <c r="A22">
        <v>79452</v>
      </c>
      <c r="B22">
        <v>135412526</v>
      </c>
      <c r="C22" t="s">
        <v>592</v>
      </c>
      <c r="D22" t="s">
        <v>593</v>
      </c>
      <c r="E22" t="s">
        <v>490</v>
      </c>
      <c r="F22" t="s">
        <v>491</v>
      </c>
      <c r="G22" t="s">
        <v>44</v>
      </c>
      <c r="H22" t="s">
        <v>45</v>
      </c>
      <c r="I22" t="s">
        <v>34</v>
      </c>
      <c r="J22" t="s">
        <v>46</v>
      </c>
      <c r="K22" t="s">
        <v>41</v>
      </c>
      <c r="L22" t="s">
        <v>594</v>
      </c>
      <c r="M22" t="s">
        <v>595</v>
      </c>
      <c r="N22" t="s">
        <v>494</v>
      </c>
      <c r="O22" t="s">
        <v>69</v>
      </c>
      <c r="P22" t="s">
        <v>596</v>
      </c>
      <c r="Q22" t="s">
        <v>89</v>
      </c>
      <c r="R22" t="s">
        <v>591</v>
      </c>
      <c r="S22">
        <v>0.77</v>
      </c>
      <c r="T22">
        <v>3753</v>
      </c>
      <c r="U22">
        <v>0</v>
      </c>
      <c r="V22">
        <v>3753</v>
      </c>
    </row>
    <row r="23" spans="1:22" x14ac:dyDescent="0.3">
      <c r="A23">
        <v>79452</v>
      </c>
      <c r="B23">
        <v>135412521</v>
      </c>
      <c r="C23" t="s">
        <v>597</v>
      </c>
      <c r="D23" t="s">
        <v>598</v>
      </c>
      <c r="E23" t="s">
        <v>490</v>
      </c>
      <c r="F23" t="s">
        <v>491</v>
      </c>
      <c r="G23" t="s">
        <v>44</v>
      </c>
      <c r="H23" t="s">
        <v>45</v>
      </c>
      <c r="I23" t="s">
        <v>34</v>
      </c>
      <c r="J23" t="s">
        <v>46</v>
      </c>
      <c r="K23" t="s">
        <v>41</v>
      </c>
      <c r="L23" t="s">
        <v>599</v>
      </c>
      <c r="M23" t="s">
        <v>600</v>
      </c>
      <c r="N23" t="s">
        <v>494</v>
      </c>
      <c r="O23" t="s">
        <v>69</v>
      </c>
      <c r="P23" t="s">
        <v>601</v>
      </c>
      <c r="Q23" t="s">
        <v>82</v>
      </c>
      <c r="R23" t="s">
        <v>591</v>
      </c>
      <c r="S23">
        <v>1</v>
      </c>
      <c r="T23">
        <v>4067</v>
      </c>
      <c r="U23">
        <v>0</v>
      </c>
      <c r="V23">
        <v>4067</v>
      </c>
    </row>
    <row r="24" spans="1:22" x14ac:dyDescent="0.3">
      <c r="A24">
        <v>79452</v>
      </c>
      <c r="B24">
        <v>135449430</v>
      </c>
      <c r="C24" t="s">
        <v>602</v>
      </c>
      <c r="D24" t="s">
        <v>603</v>
      </c>
      <c r="E24" t="s">
        <v>490</v>
      </c>
      <c r="F24" t="s">
        <v>491</v>
      </c>
      <c r="G24" t="s">
        <v>44</v>
      </c>
      <c r="H24" t="s">
        <v>45</v>
      </c>
      <c r="I24" t="s">
        <v>34</v>
      </c>
      <c r="J24" t="s">
        <v>46</v>
      </c>
      <c r="K24" t="s">
        <v>41</v>
      </c>
      <c r="L24" t="s">
        <v>604</v>
      </c>
      <c r="M24" t="s">
        <v>468</v>
      </c>
      <c r="N24" t="s">
        <v>494</v>
      </c>
      <c r="O24" t="s">
        <v>69</v>
      </c>
      <c r="P24" t="s">
        <v>605</v>
      </c>
      <c r="Q24" t="s">
        <v>107</v>
      </c>
      <c r="R24" t="s">
        <v>396</v>
      </c>
      <c r="S24">
        <v>1</v>
      </c>
      <c r="T24">
        <v>3784</v>
      </c>
      <c r="U24">
        <v>0</v>
      </c>
      <c r="V24">
        <v>3784</v>
      </c>
    </row>
    <row r="25" spans="1:22" x14ac:dyDescent="0.3">
      <c r="A25">
        <v>79452</v>
      </c>
      <c r="B25">
        <v>135449364</v>
      </c>
      <c r="C25" t="s">
        <v>606</v>
      </c>
      <c r="D25" t="s">
        <v>607</v>
      </c>
      <c r="E25" t="s">
        <v>490</v>
      </c>
      <c r="F25" t="s">
        <v>491</v>
      </c>
      <c r="G25" t="s">
        <v>44</v>
      </c>
      <c r="H25" t="s">
        <v>45</v>
      </c>
      <c r="I25" t="s">
        <v>34</v>
      </c>
      <c r="J25" t="s">
        <v>46</v>
      </c>
      <c r="K25" t="s">
        <v>41</v>
      </c>
      <c r="L25" t="s">
        <v>608</v>
      </c>
      <c r="M25" t="s">
        <v>609</v>
      </c>
      <c r="N25" t="s">
        <v>494</v>
      </c>
      <c r="O25" t="s">
        <v>69</v>
      </c>
      <c r="P25" t="s">
        <v>610</v>
      </c>
      <c r="Q25" t="s">
        <v>90</v>
      </c>
      <c r="R25" t="s">
        <v>551</v>
      </c>
      <c r="S25">
        <v>1</v>
      </c>
      <c r="T25">
        <v>3366</v>
      </c>
      <c r="U25">
        <v>0</v>
      </c>
      <c r="V25">
        <v>3366</v>
      </c>
    </row>
    <row r="26" spans="1:22" x14ac:dyDescent="0.3">
      <c r="A26">
        <v>79452</v>
      </c>
      <c r="B26">
        <v>135449380</v>
      </c>
      <c r="C26" t="s">
        <v>611</v>
      </c>
      <c r="D26" t="s">
        <v>612</v>
      </c>
      <c r="E26" t="s">
        <v>490</v>
      </c>
      <c r="F26" t="s">
        <v>491</v>
      </c>
      <c r="G26" t="s">
        <v>44</v>
      </c>
      <c r="H26" t="s">
        <v>45</v>
      </c>
      <c r="I26" t="s">
        <v>34</v>
      </c>
      <c r="J26" t="s">
        <v>46</v>
      </c>
      <c r="K26" t="s">
        <v>41</v>
      </c>
      <c r="L26" t="s">
        <v>613</v>
      </c>
      <c r="M26" t="s">
        <v>614</v>
      </c>
      <c r="N26" t="s">
        <v>494</v>
      </c>
      <c r="O26" t="s">
        <v>69</v>
      </c>
      <c r="P26" t="s">
        <v>615</v>
      </c>
      <c r="Q26" t="s">
        <v>107</v>
      </c>
      <c r="R26" t="s">
        <v>551</v>
      </c>
      <c r="S26">
        <v>1</v>
      </c>
      <c r="T26">
        <v>3784</v>
      </c>
      <c r="U26">
        <v>0</v>
      </c>
      <c r="V26">
        <v>3784</v>
      </c>
    </row>
    <row r="27" spans="1:22" x14ac:dyDescent="0.3">
      <c r="A27">
        <v>79452</v>
      </c>
      <c r="B27">
        <v>135421222</v>
      </c>
      <c r="C27" t="s">
        <v>616</v>
      </c>
      <c r="D27" t="s">
        <v>617</v>
      </c>
      <c r="E27" t="s">
        <v>490</v>
      </c>
      <c r="F27" t="s">
        <v>491</v>
      </c>
      <c r="G27" t="s">
        <v>44</v>
      </c>
      <c r="H27" t="s">
        <v>45</v>
      </c>
      <c r="I27" t="s">
        <v>34</v>
      </c>
      <c r="J27" t="s">
        <v>46</v>
      </c>
      <c r="K27" t="s">
        <v>41</v>
      </c>
      <c r="L27" t="s">
        <v>618</v>
      </c>
      <c r="M27" t="s">
        <v>619</v>
      </c>
      <c r="N27" t="s">
        <v>494</v>
      </c>
      <c r="O27" t="s">
        <v>69</v>
      </c>
      <c r="P27" t="s">
        <v>620</v>
      </c>
      <c r="Q27" t="s">
        <v>86</v>
      </c>
      <c r="R27" t="s">
        <v>506</v>
      </c>
      <c r="S27">
        <v>1</v>
      </c>
      <c r="T27">
        <v>3366</v>
      </c>
      <c r="U27">
        <v>0</v>
      </c>
      <c r="V27">
        <v>3366</v>
      </c>
    </row>
    <row r="28" spans="1:22" x14ac:dyDescent="0.3">
      <c r="A28">
        <v>79452</v>
      </c>
      <c r="B28">
        <v>135412533</v>
      </c>
      <c r="C28" t="s">
        <v>621</v>
      </c>
      <c r="D28" t="s">
        <v>622</v>
      </c>
      <c r="E28" t="s">
        <v>490</v>
      </c>
      <c r="F28" t="s">
        <v>491</v>
      </c>
      <c r="G28" t="s">
        <v>44</v>
      </c>
      <c r="H28" t="s">
        <v>45</v>
      </c>
      <c r="I28" t="s">
        <v>34</v>
      </c>
      <c r="J28" t="s">
        <v>46</v>
      </c>
      <c r="K28" t="s">
        <v>56</v>
      </c>
      <c r="L28" t="s">
        <v>57</v>
      </c>
      <c r="M28" t="s">
        <v>444</v>
      </c>
      <c r="N28" t="s">
        <v>494</v>
      </c>
      <c r="O28" t="s">
        <v>69</v>
      </c>
      <c r="P28" t="s">
        <v>623</v>
      </c>
      <c r="Q28" t="s">
        <v>83</v>
      </c>
      <c r="R28" t="s">
        <v>591</v>
      </c>
      <c r="S28">
        <v>1</v>
      </c>
      <c r="T28">
        <v>3366</v>
      </c>
      <c r="U28">
        <v>0</v>
      </c>
      <c r="V28">
        <v>3366</v>
      </c>
    </row>
    <row r="29" spans="1:22" x14ac:dyDescent="0.3">
      <c r="A29">
        <v>79452</v>
      </c>
      <c r="B29">
        <v>135449449</v>
      </c>
      <c r="C29" t="s">
        <v>624</v>
      </c>
      <c r="D29" t="s">
        <v>625</v>
      </c>
      <c r="E29" t="s">
        <v>490</v>
      </c>
      <c r="F29" t="s">
        <v>491</v>
      </c>
      <c r="G29" t="s">
        <v>44</v>
      </c>
      <c r="H29" t="s">
        <v>45</v>
      </c>
      <c r="I29" t="s">
        <v>34</v>
      </c>
      <c r="J29" t="s">
        <v>46</v>
      </c>
      <c r="K29" t="s">
        <v>41</v>
      </c>
      <c r="L29" t="s">
        <v>626</v>
      </c>
      <c r="M29" t="s">
        <v>627</v>
      </c>
      <c r="N29" t="s">
        <v>494</v>
      </c>
      <c r="O29" t="s">
        <v>69</v>
      </c>
      <c r="P29" t="s">
        <v>628</v>
      </c>
      <c r="Q29" t="s">
        <v>53</v>
      </c>
      <c r="R29" t="s">
        <v>396</v>
      </c>
      <c r="S29">
        <v>1</v>
      </c>
      <c r="T29">
        <v>4067</v>
      </c>
      <c r="U29">
        <v>0</v>
      </c>
      <c r="V29">
        <v>4067</v>
      </c>
    </row>
    <row r="30" spans="1:22" x14ac:dyDescent="0.3">
      <c r="A30">
        <v>79452</v>
      </c>
      <c r="B30">
        <v>135421235</v>
      </c>
      <c r="C30" t="s">
        <v>629</v>
      </c>
      <c r="D30" t="s">
        <v>630</v>
      </c>
      <c r="E30" t="s">
        <v>490</v>
      </c>
      <c r="F30" t="s">
        <v>491</v>
      </c>
      <c r="G30" t="s">
        <v>44</v>
      </c>
      <c r="H30" t="s">
        <v>45</v>
      </c>
      <c r="I30" t="s">
        <v>34</v>
      </c>
      <c r="J30" t="s">
        <v>46</v>
      </c>
      <c r="K30" t="s">
        <v>41</v>
      </c>
      <c r="L30" t="s">
        <v>631</v>
      </c>
      <c r="M30" t="s">
        <v>632</v>
      </c>
      <c r="N30" t="s">
        <v>494</v>
      </c>
      <c r="O30" t="s">
        <v>69</v>
      </c>
      <c r="P30" t="s">
        <v>633</v>
      </c>
      <c r="Q30" t="s">
        <v>55</v>
      </c>
      <c r="R30" t="s">
        <v>506</v>
      </c>
      <c r="S30">
        <v>1</v>
      </c>
      <c r="T30">
        <v>3870</v>
      </c>
      <c r="U30">
        <v>0</v>
      </c>
      <c r="V30">
        <v>3870</v>
      </c>
    </row>
    <row r="31" spans="1:22" x14ac:dyDescent="0.3">
      <c r="A31">
        <v>79452</v>
      </c>
      <c r="B31">
        <v>135449387</v>
      </c>
      <c r="C31" t="s">
        <v>634</v>
      </c>
      <c r="D31" t="s">
        <v>635</v>
      </c>
      <c r="E31" t="s">
        <v>490</v>
      </c>
      <c r="F31" t="s">
        <v>491</v>
      </c>
      <c r="G31" t="s">
        <v>44</v>
      </c>
      <c r="H31" t="s">
        <v>45</v>
      </c>
      <c r="I31" t="s">
        <v>34</v>
      </c>
      <c r="J31" t="s">
        <v>46</v>
      </c>
      <c r="K31" t="s">
        <v>41</v>
      </c>
      <c r="L31" t="s">
        <v>636</v>
      </c>
      <c r="M31" t="s">
        <v>637</v>
      </c>
      <c r="N31" t="s">
        <v>494</v>
      </c>
      <c r="O31" t="s">
        <v>69</v>
      </c>
      <c r="P31" t="s">
        <v>638</v>
      </c>
      <c r="Q31" t="s">
        <v>107</v>
      </c>
      <c r="R31" t="s">
        <v>396</v>
      </c>
      <c r="S31">
        <v>1</v>
      </c>
      <c r="T31">
        <v>3784</v>
      </c>
      <c r="U31">
        <v>0</v>
      </c>
      <c r="V31">
        <v>3784</v>
      </c>
    </row>
    <row r="32" spans="1:22" x14ac:dyDescent="0.3">
      <c r="A32">
        <v>79452</v>
      </c>
      <c r="B32">
        <v>135412531</v>
      </c>
      <c r="C32" t="s">
        <v>639</v>
      </c>
      <c r="D32" t="s">
        <v>640</v>
      </c>
      <c r="E32" t="s">
        <v>490</v>
      </c>
      <c r="F32" t="s">
        <v>491</v>
      </c>
      <c r="G32" t="s">
        <v>44</v>
      </c>
      <c r="H32" t="s">
        <v>45</v>
      </c>
      <c r="I32" t="s">
        <v>34</v>
      </c>
      <c r="J32" t="s">
        <v>46</v>
      </c>
      <c r="K32" t="s">
        <v>41</v>
      </c>
      <c r="L32" t="s">
        <v>641</v>
      </c>
      <c r="M32" t="s">
        <v>642</v>
      </c>
      <c r="N32" t="s">
        <v>494</v>
      </c>
      <c r="O32" t="s">
        <v>69</v>
      </c>
      <c r="P32" t="s">
        <v>643</v>
      </c>
      <c r="Q32" t="s">
        <v>55</v>
      </c>
      <c r="R32" t="s">
        <v>591</v>
      </c>
      <c r="S32">
        <v>1</v>
      </c>
      <c r="T32">
        <v>3870</v>
      </c>
      <c r="U32">
        <v>0</v>
      </c>
      <c r="V32">
        <v>3870</v>
      </c>
    </row>
    <row r="33" spans="1:22" x14ac:dyDescent="0.3">
      <c r="A33">
        <v>79452</v>
      </c>
      <c r="B33">
        <v>135449390</v>
      </c>
      <c r="C33" t="s">
        <v>644</v>
      </c>
      <c r="D33" t="s">
        <v>645</v>
      </c>
      <c r="E33" t="s">
        <v>490</v>
      </c>
      <c r="F33" t="s">
        <v>491</v>
      </c>
      <c r="G33" t="s">
        <v>44</v>
      </c>
      <c r="H33" t="s">
        <v>45</v>
      </c>
      <c r="I33" t="s">
        <v>34</v>
      </c>
      <c r="J33" t="s">
        <v>46</v>
      </c>
      <c r="K33" t="s">
        <v>41</v>
      </c>
      <c r="L33" t="s">
        <v>646</v>
      </c>
      <c r="M33" t="s">
        <v>647</v>
      </c>
      <c r="N33" t="s">
        <v>494</v>
      </c>
      <c r="O33" t="s">
        <v>69</v>
      </c>
      <c r="P33" t="s">
        <v>648</v>
      </c>
      <c r="Q33" t="s">
        <v>55</v>
      </c>
      <c r="R33" t="s">
        <v>396</v>
      </c>
      <c r="S33">
        <v>1</v>
      </c>
      <c r="T33">
        <v>3870</v>
      </c>
      <c r="U33">
        <v>0</v>
      </c>
      <c r="V33">
        <v>3870</v>
      </c>
    </row>
    <row r="34" spans="1:22" x14ac:dyDescent="0.3">
      <c r="A34">
        <v>79452</v>
      </c>
      <c r="B34">
        <v>135421214</v>
      </c>
      <c r="C34" t="s">
        <v>649</v>
      </c>
      <c r="D34" t="s">
        <v>650</v>
      </c>
      <c r="E34" t="s">
        <v>490</v>
      </c>
      <c r="F34" t="s">
        <v>491</v>
      </c>
      <c r="G34" t="s">
        <v>44</v>
      </c>
      <c r="H34" t="s">
        <v>45</v>
      </c>
      <c r="I34" t="s">
        <v>34</v>
      </c>
      <c r="J34" t="s">
        <v>46</v>
      </c>
      <c r="K34" t="s">
        <v>41</v>
      </c>
      <c r="L34" t="s">
        <v>651</v>
      </c>
      <c r="M34" t="s">
        <v>652</v>
      </c>
      <c r="N34" t="s">
        <v>494</v>
      </c>
      <c r="O34" t="s">
        <v>69</v>
      </c>
      <c r="P34" t="s">
        <v>653</v>
      </c>
      <c r="Q34" t="s">
        <v>66</v>
      </c>
      <c r="R34" t="s">
        <v>506</v>
      </c>
      <c r="S34">
        <v>1</v>
      </c>
      <c r="T34">
        <v>3366</v>
      </c>
      <c r="U34">
        <v>0</v>
      </c>
      <c r="V34">
        <v>3366</v>
      </c>
    </row>
    <row r="35" spans="1:22" x14ac:dyDescent="0.3">
      <c r="A35">
        <v>79452</v>
      </c>
      <c r="B35">
        <v>135001577</v>
      </c>
      <c r="C35" t="s">
        <v>654</v>
      </c>
      <c r="D35" t="s">
        <v>655</v>
      </c>
      <c r="E35" t="s">
        <v>490</v>
      </c>
      <c r="F35" t="s">
        <v>491</v>
      </c>
      <c r="G35" t="s">
        <v>44</v>
      </c>
      <c r="H35" t="s">
        <v>45</v>
      </c>
      <c r="I35" t="s">
        <v>34</v>
      </c>
      <c r="J35" t="s">
        <v>46</v>
      </c>
      <c r="K35" t="s">
        <v>41</v>
      </c>
      <c r="L35" t="s">
        <v>656</v>
      </c>
      <c r="M35" t="s">
        <v>657</v>
      </c>
      <c r="N35" t="s">
        <v>494</v>
      </c>
      <c r="O35" t="s">
        <v>69</v>
      </c>
      <c r="P35" t="s">
        <v>658</v>
      </c>
      <c r="Q35" t="s">
        <v>100</v>
      </c>
      <c r="R35" t="s">
        <v>659</v>
      </c>
      <c r="S35">
        <v>1.33</v>
      </c>
      <c r="T35">
        <v>5759</v>
      </c>
      <c r="U35">
        <v>0</v>
      </c>
      <c r="V35">
        <v>5759</v>
      </c>
    </row>
    <row r="36" spans="1:22" x14ac:dyDescent="0.3">
      <c r="A36">
        <v>79452</v>
      </c>
      <c r="B36">
        <v>135311715</v>
      </c>
      <c r="C36" t="s">
        <v>660</v>
      </c>
      <c r="D36" t="s">
        <v>661</v>
      </c>
      <c r="E36" t="s">
        <v>490</v>
      </c>
      <c r="F36" t="s">
        <v>491</v>
      </c>
      <c r="G36" t="s">
        <v>44</v>
      </c>
      <c r="H36" t="s">
        <v>45</v>
      </c>
      <c r="I36" t="s">
        <v>34</v>
      </c>
      <c r="J36" t="s">
        <v>46</v>
      </c>
      <c r="K36" t="s">
        <v>41</v>
      </c>
      <c r="L36" t="s">
        <v>662</v>
      </c>
      <c r="M36" t="s">
        <v>663</v>
      </c>
      <c r="N36" t="s">
        <v>494</v>
      </c>
      <c r="O36" t="s">
        <v>69</v>
      </c>
      <c r="P36" t="s">
        <v>664</v>
      </c>
      <c r="Q36" t="s">
        <v>217</v>
      </c>
      <c r="R36" t="s">
        <v>665</v>
      </c>
      <c r="S36">
        <v>1</v>
      </c>
      <c r="T36">
        <v>5476</v>
      </c>
      <c r="U36">
        <v>0</v>
      </c>
      <c r="V36">
        <v>5476</v>
      </c>
    </row>
    <row r="37" spans="1:22" x14ac:dyDescent="0.3">
      <c r="A37">
        <v>79452</v>
      </c>
      <c r="B37">
        <v>135336826</v>
      </c>
      <c r="C37" t="s">
        <v>666</v>
      </c>
      <c r="D37" t="s">
        <v>667</v>
      </c>
      <c r="E37" t="s">
        <v>490</v>
      </c>
      <c r="F37" t="s">
        <v>491</v>
      </c>
      <c r="G37" t="s">
        <v>44</v>
      </c>
      <c r="H37" t="s">
        <v>45</v>
      </c>
      <c r="I37" t="s">
        <v>34</v>
      </c>
      <c r="J37" t="s">
        <v>46</v>
      </c>
      <c r="K37" t="s">
        <v>41</v>
      </c>
      <c r="L37" t="s">
        <v>668</v>
      </c>
      <c r="M37" t="s">
        <v>376</v>
      </c>
      <c r="N37" t="s">
        <v>494</v>
      </c>
      <c r="O37" t="s">
        <v>69</v>
      </c>
      <c r="P37" t="s">
        <v>669</v>
      </c>
      <c r="Q37" t="s">
        <v>114</v>
      </c>
      <c r="R37" t="s">
        <v>481</v>
      </c>
      <c r="S37">
        <v>0.71</v>
      </c>
      <c r="T37">
        <v>3501</v>
      </c>
      <c r="U37">
        <v>0</v>
      </c>
      <c r="V37">
        <v>3501</v>
      </c>
    </row>
    <row r="38" spans="1:22" x14ac:dyDescent="0.3">
      <c r="A38">
        <v>79452</v>
      </c>
      <c r="B38">
        <v>135311689</v>
      </c>
      <c r="C38" t="s">
        <v>670</v>
      </c>
      <c r="D38" t="s">
        <v>671</v>
      </c>
      <c r="E38" t="s">
        <v>490</v>
      </c>
      <c r="F38" t="s">
        <v>491</v>
      </c>
      <c r="G38" t="s">
        <v>44</v>
      </c>
      <c r="H38" t="s">
        <v>45</v>
      </c>
      <c r="I38" t="s">
        <v>34</v>
      </c>
      <c r="J38" t="s">
        <v>46</v>
      </c>
      <c r="K38" t="s">
        <v>41</v>
      </c>
      <c r="L38" t="s">
        <v>283</v>
      </c>
      <c r="M38" t="s">
        <v>672</v>
      </c>
      <c r="N38" t="s">
        <v>494</v>
      </c>
      <c r="O38" t="s">
        <v>69</v>
      </c>
      <c r="P38" t="s">
        <v>673</v>
      </c>
      <c r="Q38" t="s">
        <v>151</v>
      </c>
      <c r="R38" t="s">
        <v>665</v>
      </c>
      <c r="S38">
        <v>1</v>
      </c>
      <c r="T38">
        <v>3366</v>
      </c>
      <c r="U38">
        <v>0</v>
      </c>
      <c r="V38">
        <v>3366</v>
      </c>
    </row>
    <row r="39" spans="1:22" x14ac:dyDescent="0.3">
      <c r="A39">
        <v>79452</v>
      </c>
      <c r="B39">
        <v>135392550</v>
      </c>
      <c r="C39" t="s">
        <v>674</v>
      </c>
      <c r="D39" t="s">
        <v>675</v>
      </c>
      <c r="E39" t="s">
        <v>490</v>
      </c>
      <c r="F39" t="s">
        <v>491</v>
      </c>
      <c r="G39" t="s">
        <v>44</v>
      </c>
      <c r="H39" t="s">
        <v>45</v>
      </c>
      <c r="I39" t="s">
        <v>34</v>
      </c>
      <c r="J39" t="s">
        <v>46</v>
      </c>
      <c r="K39" t="s">
        <v>41</v>
      </c>
      <c r="L39" t="s">
        <v>676</v>
      </c>
      <c r="M39" t="s">
        <v>677</v>
      </c>
      <c r="N39" t="s">
        <v>494</v>
      </c>
      <c r="O39" t="s">
        <v>69</v>
      </c>
      <c r="P39" t="s">
        <v>678</v>
      </c>
      <c r="Q39" t="s">
        <v>60</v>
      </c>
      <c r="R39" t="s">
        <v>679</v>
      </c>
      <c r="S39">
        <v>1.75</v>
      </c>
      <c r="T39">
        <v>5759</v>
      </c>
      <c r="U39">
        <v>0</v>
      </c>
      <c r="V39">
        <v>5759</v>
      </c>
    </row>
    <row r="40" spans="1:22" x14ac:dyDescent="0.3">
      <c r="A40">
        <v>79452</v>
      </c>
      <c r="B40">
        <v>135032446</v>
      </c>
      <c r="C40" t="s">
        <v>680</v>
      </c>
      <c r="D40" t="s">
        <v>681</v>
      </c>
      <c r="E40" t="s">
        <v>490</v>
      </c>
      <c r="F40" t="s">
        <v>491</v>
      </c>
      <c r="G40" t="s">
        <v>44</v>
      </c>
      <c r="H40" t="s">
        <v>45</v>
      </c>
      <c r="I40" t="s">
        <v>34</v>
      </c>
      <c r="J40" t="s">
        <v>46</v>
      </c>
      <c r="K40" t="s">
        <v>41</v>
      </c>
      <c r="L40" t="s">
        <v>682</v>
      </c>
      <c r="M40" t="s">
        <v>683</v>
      </c>
      <c r="N40" t="s">
        <v>494</v>
      </c>
      <c r="O40" t="s">
        <v>69</v>
      </c>
      <c r="P40" t="s">
        <v>684</v>
      </c>
      <c r="Q40" t="s">
        <v>100</v>
      </c>
      <c r="R40" t="s">
        <v>685</v>
      </c>
      <c r="S40">
        <v>1.51</v>
      </c>
      <c r="T40">
        <v>5759</v>
      </c>
      <c r="U40">
        <v>0</v>
      </c>
      <c r="V40">
        <v>5759</v>
      </c>
    </row>
    <row r="41" spans="1:22" x14ac:dyDescent="0.3">
      <c r="A41">
        <v>79452</v>
      </c>
      <c r="B41">
        <v>135352440</v>
      </c>
      <c r="C41" t="s">
        <v>686</v>
      </c>
      <c r="D41" t="s">
        <v>687</v>
      </c>
      <c r="E41" t="s">
        <v>490</v>
      </c>
      <c r="F41" t="s">
        <v>491</v>
      </c>
      <c r="G41" t="s">
        <v>44</v>
      </c>
      <c r="H41" t="s">
        <v>45</v>
      </c>
      <c r="I41" t="s">
        <v>34</v>
      </c>
      <c r="J41" t="s">
        <v>46</v>
      </c>
      <c r="K41" t="s">
        <v>56</v>
      </c>
      <c r="L41" t="s">
        <v>57</v>
      </c>
      <c r="M41" t="s">
        <v>688</v>
      </c>
      <c r="N41" t="s">
        <v>494</v>
      </c>
      <c r="O41" t="s">
        <v>69</v>
      </c>
      <c r="P41" t="s">
        <v>689</v>
      </c>
      <c r="Q41" t="s">
        <v>178</v>
      </c>
      <c r="R41" t="s">
        <v>690</v>
      </c>
      <c r="S41">
        <v>1.32</v>
      </c>
      <c r="T41">
        <v>5476</v>
      </c>
      <c r="U41">
        <v>0</v>
      </c>
      <c r="V41">
        <v>5476</v>
      </c>
    </row>
    <row r="42" spans="1:22" x14ac:dyDescent="0.3">
      <c r="A42">
        <v>79452</v>
      </c>
      <c r="B42">
        <v>135377352</v>
      </c>
      <c r="C42" t="s">
        <v>691</v>
      </c>
      <c r="D42" t="s">
        <v>692</v>
      </c>
      <c r="E42" t="s">
        <v>490</v>
      </c>
      <c r="F42" t="s">
        <v>491</v>
      </c>
      <c r="G42" t="s">
        <v>44</v>
      </c>
      <c r="H42" t="s">
        <v>45</v>
      </c>
      <c r="I42" t="s">
        <v>34</v>
      </c>
      <c r="J42" t="s">
        <v>46</v>
      </c>
      <c r="K42" t="s">
        <v>41</v>
      </c>
      <c r="L42" t="s">
        <v>693</v>
      </c>
      <c r="M42" t="s">
        <v>694</v>
      </c>
      <c r="N42" t="s">
        <v>494</v>
      </c>
      <c r="O42" t="s">
        <v>69</v>
      </c>
      <c r="P42" t="s">
        <v>695</v>
      </c>
      <c r="Q42" t="s">
        <v>79</v>
      </c>
      <c r="R42" t="s">
        <v>696</v>
      </c>
      <c r="S42">
        <v>0.89</v>
      </c>
      <c r="T42">
        <v>3753</v>
      </c>
      <c r="U42">
        <v>0</v>
      </c>
      <c r="V42">
        <v>3753</v>
      </c>
    </row>
    <row r="43" spans="1:22" x14ac:dyDescent="0.3">
      <c r="A43">
        <v>79452</v>
      </c>
      <c r="B43">
        <v>135377370</v>
      </c>
      <c r="C43" t="s">
        <v>697</v>
      </c>
      <c r="D43" t="s">
        <v>698</v>
      </c>
      <c r="E43" t="s">
        <v>490</v>
      </c>
      <c r="F43" t="s">
        <v>491</v>
      </c>
      <c r="G43" t="s">
        <v>44</v>
      </c>
      <c r="H43" t="s">
        <v>45</v>
      </c>
      <c r="I43" t="s">
        <v>34</v>
      </c>
      <c r="J43" t="s">
        <v>46</v>
      </c>
      <c r="K43" t="s">
        <v>41</v>
      </c>
      <c r="L43" t="s">
        <v>699</v>
      </c>
      <c r="M43" t="s">
        <v>700</v>
      </c>
      <c r="N43" t="s">
        <v>494</v>
      </c>
      <c r="O43" t="s">
        <v>69</v>
      </c>
      <c r="P43" t="s">
        <v>701</v>
      </c>
      <c r="Q43" t="s">
        <v>58</v>
      </c>
      <c r="R43" t="s">
        <v>702</v>
      </c>
      <c r="S43">
        <v>0.87</v>
      </c>
      <c r="T43">
        <v>4346</v>
      </c>
      <c r="U43">
        <v>0</v>
      </c>
      <c r="V43">
        <v>4346</v>
      </c>
    </row>
    <row r="44" spans="1:22" x14ac:dyDescent="0.3">
      <c r="A44">
        <v>79452</v>
      </c>
      <c r="B44">
        <v>135392571</v>
      </c>
      <c r="C44" t="s">
        <v>703</v>
      </c>
      <c r="D44" t="s">
        <v>704</v>
      </c>
      <c r="E44" t="s">
        <v>490</v>
      </c>
      <c r="F44" t="s">
        <v>491</v>
      </c>
      <c r="G44" t="s">
        <v>44</v>
      </c>
      <c r="H44" t="s">
        <v>45</v>
      </c>
      <c r="I44" t="s">
        <v>34</v>
      </c>
      <c r="J44" t="s">
        <v>46</v>
      </c>
      <c r="K44" t="s">
        <v>41</v>
      </c>
      <c r="L44" t="s">
        <v>705</v>
      </c>
      <c r="M44" t="s">
        <v>706</v>
      </c>
      <c r="N44" t="s">
        <v>494</v>
      </c>
      <c r="O44" t="s">
        <v>69</v>
      </c>
      <c r="P44" t="s">
        <v>707</v>
      </c>
      <c r="Q44" t="s">
        <v>58</v>
      </c>
      <c r="R44" t="s">
        <v>679</v>
      </c>
      <c r="S44">
        <v>1.6</v>
      </c>
      <c r="T44">
        <v>4346</v>
      </c>
      <c r="U44">
        <v>0</v>
      </c>
      <c r="V44">
        <v>4346</v>
      </c>
    </row>
    <row r="45" spans="1:22" x14ac:dyDescent="0.3">
      <c r="A45">
        <v>79452</v>
      </c>
      <c r="B45">
        <v>135352424</v>
      </c>
      <c r="C45" t="s">
        <v>708</v>
      </c>
      <c r="D45" t="s">
        <v>709</v>
      </c>
      <c r="E45" t="s">
        <v>490</v>
      </c>
      <c r="F45" t="s">
        <v>491</v>
      </c>
      <c r="G45" t="s">
        <v>44</v>
      </c>
      <c r="H45" t="s">
        <v>45</v>
      </c>
      <c r="I45" t="s">
        <v>34</v>
      </c>
      <c r="J45" t="s">
        <v>46</v>
      </c>
      <c r="K45" t="s">
        <v>56</v>
      </c>
      <c r="L45" t="s">
        <v>57</v>
      </c>
      <c r="M45" t="s">
        <v>710</v>
      </c>
      <c r="N45" t="s">
        <v>494</v>
      </c>
      <c r="O45" t="s">
        <v>69</v>
      </c>
      <c r="P45" t="s">
        <v>711</v>
      </c>
      <c r="Q45" t="s">
        <v>70</v>
      </c>
      <c r="R45" t="s">
        <v>690</v>
      </c>
      <c r="S45">
        <v>1.22</v>
      </c>
      <c r="T45">
        <v>5198</v>
      </c>
      <c r="U45">
        <v>0</v>
      </c>
      <c r="V45">
        <v>5198</v>
      </c>
    </row>
    <row r="46" spans="1:22" x14ac:dyDescent="0.3">
      <c r="A46">
        <v>79452</v>
      </c>
      <c r="B46">
        <v>135377369</v>
      </c>
      <c r="C46" t="s">
        <v>712</v>
      </c>
      <c r="D46" t="s">
        <v>713</v>
      </c>
      <c r="E46" t="s">
        <v>490</v>
      </c>
      <c r="F46" t="s">
        <v>491</v>
      </c>
      <c r="G46" t="s">
        <v>44</v>
      </c>
      <c r="H46" t="s">
        <v>45</v>
      </c>
      <c r="I46" t="s">
        <v>34</v>
      </c>
      <c r="J46" t="s">
        <v>46</v>
      </c>
      <c r="K46" t="s">
        <v>41</v>
      </c>
      <c r="L46" t="s">
        <v>714</v>
      </c>
      <c r="M46" t="s">
        <v>715</v>
      </c>
      <c r="N46" t="s">
        <v>494</v>
      </c>
      <c r="O46" t="s">
        <v>69</v>
      </c>
      <c r="P46" t="s">
        <v>412</v>
      </c>
      <c r="Q46" t="s">
        <v>58</v>
      </c>
      <c r="R46" t="s">
        <v>702</v>
      </c>
      <c r="S46">
        <v>2.63</v>
      </c>
      <c r="T46">
        <v>4346</v>
      </c>
      <c r="U46">
        <v>0</v>
      </c>
      <c r="V46">
        <v>4346</v>
      </c>
    </row>
    <row r="47" spans="1:22" x14ac:dyDescent="0.3">
      <c r="A47">
        <v>79452</v>
      </c>
      <c r="B47">
        <v>135392535</v>
      </c>
      <c r="C47" t="s">
        <v>716</v>
      </c>
      <c r="D47" t="s">
        <v>717</v>
      </c>
      <c r="E47" t="s">
        <v>490</v>
      </c>
      <c r="F47" t="s">
        <v>491</v>
      </c>
      <c r="G47" t="s">
        <v>44</v>
      </c>
      <c r="H47" t="s">
        <v>45</v>
      </c>
      <c r="I47" t="s">
        <v>34</v>
      </c>
      <c r="J47" t="s">
        <v>46</v>
      </c>
      <c r="K47" t="s">
        <v>41</v>
      </c>
      <c r="L47" t="s">
        <v>718</v>
      </c>
      <c r="M47" t="s">
        <v>338</v>
      </c>
      <c r="N47" t="s">
        <v>494</v>
      </c>
      <c r="O47" t="s">
        <v>69</v>
      </c>
      <c r="P47" t="s">
        <v>719</v>
      </c>
      <c r="Q47" t="s">
        <v>89</v>
      </c>
      <c r="R47" t="s">
        <v>679</v>
      </c>
      <c r="S47">
        <v>1.44</v>
      </c>
      <c r="T47">
        <v>3753</v>
      </c>
      <c r="U47">
        <v>0</v>
      </c>
      <c r="V47">
        <v>3753</v>
      </c>
    </row>
    <row r="48" spans="1:22" x14ac:dyDescent="0.3">
      <c r="A48">
        <v>79452</v>
      </c>
      <c r="B48">
        <v>135377355</v>
      </c>
      <c r="C48" t="s">
        <v>720</v>
      </c>
      <c r="D48" t="s">
        <v>721</v>
      </c>
      <c r="E48" t="s">
        <v>490</v>
      </c>
      <c r="F48" t="s">
        <v>491</v>
      </c>
      <c r="G48" t="s">
        <v>44</v>
      </c>
      <c r="H48" t="s">
        <v>45</v>
      </c>
      <c r="I48" t="s">
        <v>34</v>
      </c>
      <c r="J48" t="s">
        <v>46</v>
      </c>
      <c r="K48" t="s">
        <v>41</v>
      </c>
      <c r="L48" t="s">
        <v>722</v>
      </c>
      <c r="M48" t="s">
        <v>723</v>
      </c>
      <c r="N48" t="s">
        <v>494</v>
      </c>
      <c r="O48" t="s">
        <v>69</v>
      </c>
      <c r="P48" t="s">
        <v>724</v>
      </c>
      <c r="Q48" t="s">
        <v>77</v>
      </c>
      <c r="R48" t="s">
        <v>696</v>
      </c>
      <c r="S48">
        <v>1.7</v>
      </c>
      <c r="T48">
        <v>3753</v>
      </c>
      <c r="U48">
        <v>0</v>
      </c>
      <c r="V48">
        <v>3753</v>
      </c>
    </row>
    <row r="49" spans="1:22" x14ac:dyDescent="0.3">
      <c r="A49">
        <v>79452</v>
      </c>
      <c r="B49">
        <v>135392545</v>
      </c>
      <c r="C49" t="s">
        <v>725</v>
      </c>
      <c r="D49" t="s">
        <v>726</v>
      </c>
      <c r="E49" t="s">
        <v>490</v>
      </c>
      <c r="F49" t="s">
        <v>491</v>
      </c>
      <c r="G49" t="s">
        <v>44</v>
      </c>
      <c r="H49" t="s">
        <v>45</v>
      </c>
      <c r="I49" t="s">
        <v>34</v>
      </c>
      <c r="J49" t="s">
        <v>46</v>
      </c>
      <c r="K49" t="s">
        <v>41</v>
      </c>
      <c r="L49" t="s">
        <v>727</v>
      </c>
      <c r="M49" t="s">
        <v>728</v>
      </c>
      <c r="N49" t="s">
        <v>494</v>
      </c>
      <c r="O49" t="s">
        <v>69</v>
      </c>
      <c r="P49" t="s">
        <v>729</v>
      </c>
      <c r="Q49" t="s">
        <v>195</v>
      </c>
      <c r="R49" t="s">
        <v>679</v>
      </c>
      <c r="S49">
        <v>1.26</v>
      </c>
      <c r="T49">
        <v>4067</v>
      </c>
      <c r="U49">
        <v>0</v>
      </c>
      <c r="V49">
        <v>4067</v>
      </c>
    </row>
    <row r="50" spans="1:22" x14ac:dyDescent="0.3">
      <c r="A50">
        <v>79452</v>
      </c>
      <c r="B50">
        <v>135392546</v>
      </c>
      <c r="C50" t="s">
        <v>730</v>
      </c>
      <c r="D50" t="s">
        <v>731</v>
      </c>
      <c r="E50" t="s">
        <v>490</v>
      </c>
      <c r="F50" t="s">
        <v>491</v>
      </c>
      <c r="G50" t="s">
        <v>44</v>
      </c>
      <c r="H50" t="s">
        <v>45</v>
      </c>
      <c r="I50" t="s">
        <v>34</v>
      </c>
      <c r="J50" t="s">
        <v>46</v>
      </c>
      <c r="K50" t="s">
        <v>41</v>
      </c>
      <c r="L50" t="s">
        <v>732</v>
      </c>
      <c r="M50" t="s">
        <v>733</v>
      </c>
      <c r="N50" t="s">
        <v>494</v>
      </c>
      <c r="O50" t="s">
        <v>69</v>
      </c>
      <c r="P50" t="s">
        <v>734</v>
      </c>
      <c r="Q50" t="s">
        <v>93</v>
      </c>
      <c r="R50" t="s">
        <v>679</v>
      </c>
      <c r="S50">
        <v>1.29</v>
      </c>
      <c r="T50">
        <v>4067</v>
      </c>
      <c r="U50">
        <v>0</v>
      </c>
      <c r="V50">
        <v>4067</v>
      </c>
    </row>
    <row r="51" spans="1:22" x14ac:dyDescent="0.3">
      <c r="A51">
        <v>79452</v>
      </c>
      <c r="B51">
        <v>135377358</v>
      </c>
      <c r="C51" t="s">
        <v>735</v>
      </c>
      <c r="D51" t="s">
        <v>736</v>
      </c>
      <c r="E51" t="s">
        <v>490</v>
      </c>
      <c r="F51" t="s">
        <v>491</v>
      </c>
      <c r="G51" t="s">
        <v>44</v>
      </c>
      <c r="H51" t="s">
        <v>45</v>
      </c>
      <c r="I51" t="s">
        <v>34</v>
      </c>
      <c r="J51" t="s">
        <v>46</v>
      </c>
      <c r="K51" t="s">
        <v>41</v>
      </c>
      <c r="L51" t="s">
        <v>737</v>
      </c>
      <c r="M51" t="s">
        <v>738</v>
      </c>
      <c r="N51" t="s">
        <v>494</v>
      </c>
      <c r="O51" t="s">
        <v>69</v>
      </c>
      <c r="P51" t="s">
        <v>739</v>
      </c>
      <c r="Q51" t="s">
        <v>85</v>
      </c>
      <c r="R51" t="s">
        <v>696</v>
      </c>
      <c r="S51">
        <v>0.51</v>
      </c>
      <c r="T51">
        <v>3784</v>
      </c>
      <c r="U51">
        <v>0</v>
      </c>
      <c r="V51">
        <v>3784</v>
      </c>
    </row>
    <row r="52" spans="1:22" x14ac:dyDescent="0.3">
      <c r="A52">
        <v>79452</v>
      </c>
      <c r="B52">
        <v>135392534</v>
      </c>
      <c r="C52" t="s">
        <v>740</v>
      </c>
      <c r="D52" t="s">
        <v>741</v>
      </c>
      <c r="E52" t="s">
        <v>490</v>
      </c>
      <c r="F52" t="s">
        <v>491</v>
      </c>
      <c r="G52" t="s">
        <v>44</v>
      </c>
      <c r="H52" t="s">
        <v>45</v>
      </c>
      <c r="I52" t="s">
        <v>34</v>
      </c>
      <c r="J52" t="s">
        <v>46</v>
      </c>
      <c r="K52" t="s">
        <v>41</v>
      </c>
      <c r="L52" t="s">
        <v>742</v>
      </c>
      <c r="M52" t="s">
        <v>743</v>
      </c>
      <c r="N52" t="s">
        <v>494</v>
      </c>
      <c r="O52" t="s">
        <v>69</v>
      </c>
      <c r="P52" t="s">
        <v>744</v>
      </c>
      <c r="Q52" t="s">
        <v>135</v>
      </c>
      <c r="R52" t="s">
        <v>679</v>
      </c>
      <c r="S52">
        <v>1.23</v>
      </c>
      <c r="T52">
        <v>3366</v>
      </c>
      <c r="U52">
        <v>0</v>
      </c>
      <c r="V52">
        <v>3366</v>
      </c>
    </row>
    <row r="53" spans="1:22" x14ac:dyDescent="0.3">
      <c r="A53">
        <v>79452</v>
      </c>
      <c r="B53">
        <v>135392563</v>
      </c>
      <c r="C53" t="s">
        <v>745</v>
      </c>
      <c r="D53" t="s">
        <v>746</v>
      </c>
      <c r="E53" t="s">
        <v>490</v>
      </c>
      <c r="F53" t="s">
        <v>491</v>
      </c>
      <c r="G53" t="s">
        <v>44</v>
      </c>
      <c r="H53" t="s">
        <v>45</v>
      </c>
      <c r="I53" t="s">
        <v>34</v>
      </c>
      <c r="J53" t="s">
        <v>46</v>
      </c>
      <c r="K53" t="s">
        <v>41</v>
      </c>
      <c r="L53" t="s">
        <v>747</v>
      </c>
      <c r="M53" t="s">
        <v>748</v>
      </c>
      <c r="N53" t="s">
        <v>494</v>
      </c>
      <c r="O53" t="s">
        <v>69</v>
      </c>
      <c r="P53" t="s">
        <v>749</v>
      </c>
      <c r="Q53" t="s">
        <v>220</v>
      </c>
      <c r="R53" t="s">
        <v>679</v>
      </c>
      <c r="S53">
        <v>0.7</v>
      </c>
      <c r="T53">
        <v>4542</v>
      </c>
      <c r="U53">
        <v>0</v>
      </c>
      <c r="V53">
        <v>4542</v>
      </c>
    </row>
    <row r="54" spans="1:22" x14ac:dyDescent="0.3">
      <c r="A54">
        <v>79452</v>
      </c>
      <c r="B54">
        <v>135392559</v>
      </c>
      <c r="C54" t="s">
        <v>750</v>
      </c>
      <c r="D54" t="s">
        <v>751</v>
      </c>
      <c r="E54" t="s">
        <v>490</v>
      </c>
      <c r="F54" t="s">
        <v>491</v>
      </c>
      <c r="G54" t="s">
        <v>44</v>
      </c>
      <c r="H54" t="s">
        <v>45</v>
      </c>
      <c r="I54" t="s">
        <v>34</v>
      </c>
      <c r="J54" t="s">
        <v>46</v>
      </c>
      <c r="K54" t="s">
        <v>56</v>
      </c>
      <c r="L54" t="s">
        <v>57</v>
      </c>
      <c r="M54" t="s">
        <v>752</v>
      </c>
      <c r="N54" t="s">
        <v>494</v>
      </c>
      <c r="O54" t="s">
        <v>69</v>
      </c>
      <c r="P54" t="s">
        <v>753</v>
      </c>
      <c r="Q54" t="s">
        <v>230</v>
      </c>
      <c r="R54" t="s">
        <v>679</v>
      </c>
      <c r="S54">
        <v>0.72</v>
      </c>
      <c r="T54">
        <v>3366</v>
      </c>
      <c r="U54">
        <v>0</v>
      </c>
      <c r="V54">
        <v>3366</v>
      </c>
    </row>
    <row r="55" spans="1:22" x14ac:dyDescent="0.3">
      <c r="A55">
        <v>79452</v>
      </c>
      <c r="B55">
        <v>135377363</v>
      </c>
      <c r="C55" t="s">
        <v>754</v>
      </c>
      <c r="D55" t="s">
        <v>755</v>
      </c>
      <c r="E55" t="s">
        <v>490</v>
      </c>
      <c r="F55" t="s">
        <v>491</v>
      </c>
      <c r="G55" t="s">
        <v>44</v>
      </c>
      <c r="H55" t="s">
        <v>45</v>
      </c>
      <c r="I55" t="s">
        <v>34</v>
      </c>
      <c r="J55" t="s">
        <v>46</v>
      </c>
      <c r="K55" t="s">
        <v>41</v>
      </c>
      <c r="L55" t="s">
        <v>756</v>
      </c>
      <c r="M55" t="s">
        <v>439</v>
      </c>
      <c r="N55" t="s">
        <v>494</v>
      </c>
      <c r="O55" t="s">
        <v>69</v>
      </c>
      <c r="P55" t="s">
        <v>757</v>
      </c>
      <c r="Q55" t="s">
        <v>179</v>
      </c>
      <c r="R55" t="s">
        <v>702</v>
      </c>
      <c r="S55">
        <v>1.31</v>
      </c>
      <c r="T55">
        <v>3366</v>
      </c>
      <c r="U55">
        <v>0</v>
      </c>
      <c r="V55">
        <v>3366</v>
      </c>
    </row>
    <row r="56" spans="1:22" x14ac:dyDescent="0.3">
      <c r="A56">
        <v>79452</v>
      </c>
      <c r="B56">
        <v>135392531</v>
      </c>
      <c r="C56" t="s">
        <v>758</v>
      </c>
      <c r="D56" t="s">
        <v>759</v>
      </c>
      <c r="E56" t="s">
        <v>490</v>
      </c>
      <c r="F56" t="s">
        <v>491</v>
      </c>
      <c r="G56" t="s">
        <v>44</v>
      </c>
      <c r="H56" t="s">
        <v>45</v>
      </c>
      <c r="I56" t="s">
        <v>34</v>
      </c>
      <c r="J56" t="s">
        <v>46</v>
      </c>
      <c r="K56" t="s">
        <v>41</v>
      </c>
      <c r="L56" t="s">
        <v>760</v>
      </c>
      <c r="M56" t="s">
        <v>761</v>
      </c>
      <c r="N56" t="s">
        <v>494</v>
      </c>
      <c r="O56" t="s">
        <v>69</v>
      </c>
      <c r="P56" t="s">
        <v>762</v>
      </c>
      <c r="Q56" t="s">
        <v>107</v>
      </c>
      <c r="R56" t="s">
        <v>679</v>
      </c>
      <c r="S56">
        <v>1.78</v>
      </c>
      <c r="T56">
        <v>3784</v>
      </c>
      <c r="U56">
        <v>0</v>
      </c>
      <c r="V56">
        <v>3784</v>
      </c>
    </row>
    <row r="57" spans="1:22" x14ac:dyDescent="0.3">
      <c r="A57">
        <v>79452</v>
      </c>
      <c r="B57">
        <v>135392542</v>
      </c>
      <c r="C57" t="s">
        <v>763</v>
      </c>
      <c r="D57" t="s">
        <v>764</v>
      </c>
      <c r="E57" t="s">
        <v>490</v>
      </c>
      <c r="F57" t="s">
        <v>491</v>
      </c>
      <c r="G57" t="s">
        <v>44</v>
      </c>
      <c r="H57" t="s">
        <v>45</v>
      </c>
      <c r="I57" t="s">
        <v>34</v>
      </c>
      <c r="J57" t="s">
        <v>46</v>
      </c>
      <c r="K57" t="s">
        <v>41</v>
      </c>
      <c r="L57" t="s">
        <v>765</v>
      </c>
      <c r="M57" t="s">
        <v>766</v>
      </c>
      <c r="N57" t="s">
        <v>494</v>
      </c>
      <c r="O57" t="s">
        <v>69</v>
      </c>
      <c r="P57" t="s">
        <v>767</v>
      </c>
      <c r="Q57" t="s">
        <v>55</v>
      </c>
      <c r="R57" t="s">
        <v>679</v>
      </c>
      <c r="S57">
        <v>1.1200000000000001</v>
      </c>
      <c r="T57">
        <v>3870</v>
      </c>
      <c r="U57">
        <v>0</v>
      </c>
      <c r="V57">
        <v>3870</v>
      </c>
    </row>
    <row r="58" spans="1:22" x14ac:dyDescent="0.3">
      <c r="A58">
        <v>79452</v>
      </c>
      <c r="B58">
        <v>135311724</v>
      </c>
      <c r="C58" t="s">
        <v>768</v>
      </c>
      <c r="D58" t="s">
        <v>769</v>
      </c>
      <c r="E58" t="s">
        <v>490</v>
      </c>
      <c r="F58" t="s">
        <v>491</v>
      </c>
      <c r="G58" t="s">
        <v>44</v>
      </c>
      <c r="H58" t="s">
        <v>45</v>
      </c>
      <c r="I58" t="s">
        <v>34</v>
      </c>
      <c r="J58" t="s">
        <v>46</v>
      </c>
      <c r="K58" t="s">
        <v>41</v>
      </c>
      <c r="L58" t="s">
        <v>770</v>
      </c>
      <c r="M58" t="s">
        <v>771</v>
      </c>
      <c r="N58" t="s">
        <v>494</v>
      </c>
      <c r="O58" t="s">
        <v>69</v>
      </c>
      <c r="P58" t="s">
        <v>772</v>
      </c>
      <c r="Q58" t="s">
        <v>145</v>
      </c>
      <c r="R58" t="s">
        <v>665</v>
      </c>
      <c r="S58">
        <v>1</v>
      </c>
      <c r="T58">
        <v>4346</v>
      </c>
      <c r="U58">
        <v>0</v>
      </c>
      <c r="V58">
        <v>4346</v>
      </c>
    </row>
    <row r="59" spans="1:22" x14ac:dyDescent="0.3">
      <c r="A59">
        <v>79452</v>
      </c>
      <c r="B59">
        <v>135352431</v>
      </c>
      <c r="C59" t="s">
        <v>773</v>
      </c>
      <c r="D59" t="s">
        <v>774</v>
      </c>
      <c r="E59" t="s">
        <v>490</v>
      </c>
      <c r="F59" t="s">
        <v>491</v>
      </c>
      <c r="G59" t="s">
        <v>44</v>
      </c>
      <c r="H59" t="s">
        <v>45</v>
      </c>
      <c r="I59" t="s">
        <v>34</v>
      </c>
      <c r="J59" t="s">
        <v>46</v>
      </c>
      <c r="K59" t="s">
        <v>41</v>
      </c>
      <c r="L59" t="s">
        <v>775</v>
      </c>
      <c r="M59" t="s">
        <v>776</v>
      </c>
      <c r="N59" t="s">
        <v>494</v>
      </c>
      <c r="O59" t="s">
        <v>69</v>
      </c>
      <c r="P59" t="s">
        <v>777</v>
      </c>
      <c r="Q59" t="s">
        <v>85</v>
      </c>
      <c r="R59" t="s">
        <v>690</v>
      </c>
      <c r="S59">
        <v>0.97</v>
      </c>
      <c r="T59">
        <v>3784</v>
      </c>
      <c r="U59">
        <v>0</v>
      </c>
      <c r="V59">
        <v>3784</v>
      </c>
    </row>
    <row r="60" spans="1:22" x14ac:dyDescent="0.3">
      <c r="A60">
        <v>79452</v>
      </c>
      <c r="B60">
        <v>135297451</v>
      </c>
      <c r="C60" t="s">
        <v>778</v>
      </c>
      <c r="D60" t="s">
        <v>779</v>
      </c>
      <c r="E60" t="s">
        <v>490</v>
      </c>
      <c r="F60" t="s">
        <v>491</v>
      </c>
      <c r="G60" t="s">
        <v>44</v>
      </c>
      <c r="H60" t="s">
        <v>45</v>
      </c>
      <c r="I60" t="s">
        <v>34</v>
      </c>
      <c r="J60" t="s">
        <v>46</v>
      </c>
      <c r="K60" t="s">
        <v>41</v>
      </c>
      <c r="L60" t="s">
        <v>780</v>
      </c>
      <c r="M60" t="s">
        <v>781</v>
      </c>
      <c r="N60" t="s">
        <v>494</v>
      </c>
      <c r="O60" t="s">
        <v>69</v>
      </c>
      <c r="P60" t="s">
        <v>782</v>
      </c>
      <c r="Q60" t="s">
        <v>70</v>
      </c>
      <c r="R60" t="s">
        <v>783</v>
      </c>
      <c r="S60">
        <v>1</v>
      </c>
      <c r="T60">
        <v>5198</v>
      </c>
      <c r="U60">
        <v>0</v>
      </c>
      <c r="V60">
        <v>5198</v>
      </c>
    </row>
    <row r="61" spans="1:22" x14ac:dyDescent="0.3">
      <c r="A61">
        <v>79452</v>
      </c>
      <c r="B61">
        <v>135352442</v>
      </c>
      <c r="C61" t="s">
        <v>784</v>
      </c>
      <c r="D61" t="s">
        <v>785</v>
      </c>
      <c r="E61" t="s">
        <v>490</v>
      </c>
      <c r="F61" t="s">
        <v>491</v>
      </c>
      <c r="G61" t="s">
        <v>44</v>
      </c>
      <c r="H61" t="s">
        <v>45</v>
      </c>
      <c r="I61" t="s">
        <v>34</v>
      </c>
      <c r="J61" t="s">
        <v>46</v>
      </c>
      <c r="K61" t="s">
        <v>41</v>
      </c>
      <c r="L61" t="s">
        <v>786</v>
      </c>
      <c r="M61" t="s">
        <v>787</v>
      </c>
      <c r="N61" t="s">
        <v>494</v>
      </c>
      <c r="O61" t="s">
        <v>69</v>
      </c>
      <c r="P61" t="s">
        <v>788</v>
      </c>
      <c r="Q61" t="s">
        <v>150</v>
      </c>
      <c r="R61" t="s">
        <v>690</v>
      </c>
      <c r="S61">
        <v>1.1000000000000001</v>
      </c>
      <c r="T61">
        <v>3753</v>
      </c>
      <c r="U61">
        <v>0</v>
      </c>
      <c r="V61">
        <v>3753</v>
      </c>
    </row>
    <row r="62" spans="1:22" x14ac:dyDescent="0.3">
      <c r="A62">
        <v>79452</v>
      </c>
      <c r="B62">
        <v>135336825</v>
      </c>
      <c r="C62" t="s">
        <v>789</v>
      </c>
      <c r="D62" t="s">
        <v>790</v>
      </c>
      <c r="E62" t="s">
        <v>490</v>
      </c>
      <c r="F62" t="s">
        <v>491</v>
      </c>
      <c r="G62" t="s">
        <v>44</v>
      </c>
      <c r="H62" t="s">
        <v>45</v>
      </c>
      <c r="I62" t="s">
        <v>34</v>
      </c>
      <c r="J62" t="s">
        <v>46</v>
      </c>
      <c r="K62" t="s">
        <v>41</v>
      </c>
      <c r="L62" t="s">
        <v>791</v>
      </c>
      <c r="M62" t="s">
        <v>792</v>
      </c>
      <c r="N62" t="s">
        <v>494</v>
      </c>
      <c r="O62" t="s">
        <v>69</v>
      </c>
      <c r="P62" t="s">
        <v>793</v>
      </c>
      <c r="Q62" t="s">
        <v>86</v>
      </c>
      <c r="R62" t="s">
        <v>481</v>
      </c>
      <c r="S62">
        <v>1.74</v>
      </c>
      <c r="T62">
        <v>3366</v>
      </c>
      <c r="U62">
        <v>0</v>
      </c>
      <c r="V62">
        <v>3366</v>
      </c>
    </row>
    <row r="63" spans="1:22" x14ac:dyDescent="0.3">
      <c r="A63">
        <v>79452</v>
      </c>
      <c r="B63">
        <v>135269375</v>
      </c>
      <c r="C63" t="s">
        <v>794</v>
      </c>
      <c r="D63" t="s">
        <v>795</v>
      </c>
      <c r="E63" t="s">
        <v>490</v>
      </c>
      <c r="F63" t="s">
        <v>491</v>
      </c>
      <c r="G63" t="s">
        <v>44</v>
      </c>
      <c r="H63" t="s">
        <v>45</v>
      </c>
      <c r="I63" t="s">
        <v>34</v>
      </c>
      <c r="J63" t="s">
        <v>46</v>
      </c>
      <c r="K63" t="s">
        <v>41</v>
      </c>
      <c r="L63" t="s">
        <v>796</v>
      </c>
      <c r="M63" t="s">
        <v>441</v>
      </c>
      <c r="N63" t="s">
        <v>494</v>
      </c>
      <c r="O63" t="s">
        <v>69</v>
      </c>
      <c r="P63" t="s">
        <v>797</v>
      </c>
      <c r="Q63" t="s">
        <v>146</v>
      </c>
      <c r="R63" t="s">
        <v>798</v>
      </c>
      <c r="S63">
        <v>1.08</v>
      </c>
      <c r="T63">
        <v>5759</v>
      </c>
      <c r="U63">
        <v>0</v>
      </c>
      <c r="V63">
        <v>5759</v>
      </c>
    </row>
    <row r="64" spans="1:22" x14ac:dyDescent="0.3">
      <c r="A64">
        <v>79452</v>
      </c>
      <c r="B64">
        <v>135311690</v>
      </c>
      <c r="C64" t="s">
        <v>799</v>
      </c>
      <c r="D64" t="s">
        <v>800</v>
      </c>
      <c r="E64" t="s">
        <v>490</v>
      </c>
      <c r="F64" t="s">
        <v>491</v>
      </c>
      <c r="G64" t="s">
        <v>44</v>
      </c>
      <c r="H64" t="s">
        <v>45</v>
      </c>
      <c r="I64" t="s">
        <v>34</v>
      </c>
      <c r="J64" t="s">
        <v>46</v>
      </c>
      <c r="K64" t="s">
        <v>41</v>
      </c>
      <c r="L64" t="s">
        <v>801</v>
      </c>
      <c r="M64" t="s">
        <v>802</v>
      </c>
      <c r="N64" t="s">
        <v>494</v>
      </c>
      <c r="O64" t="s">
        <v>69</v>
      </c>
      <c r="P64" t="s">
        <v>803</v>
      </c>
      <c r="Q64" t="s">
        <v>70</v>
      </c>
      <c r="R64" t="s">
        <v>665</v>
      </c>
      <c r="S64">
        <v>1</v>
      </c>
      <c r="T64">
        <v>5198</v>
      </c>
      <c r="U64">
        <v>0</v>
      </c>
      <c r="V64">
        <v>5198</v>
      </c>
    </row>
    <row r="65" spans="1:22" x14ac:dyDescent="0.3">
      <c r="A65">
        <v>79452</v>
      </c>
      <c r="B65">
        <v>135311704</v>
      </c>
      <c r="C65" t="s">
        <v>804</v>
      </c>
      <c r="D65" t="s">
        <v>805</v>
      </c>
      <c r="E65" t="s">
        <v>490</v>
      </c>
      <c r="F65" t="s">
        <v>491</v>
      </c>
      <c r="G65" t="s">
        <v>44</v>
      </c>
      <c r="H65" t="s">
        <v>45</v>
      </c>
      <c r="I65" t="s">
        <v>34</v>
      </c>
      <c r="J65" t="s">
        <v>46</v>
      </c>
      <c r="K65" t="s">
        <v>41</v>
      </c>
      <c r="L65" t="s">
        <v>806</v>
      </c>
      <c r="M65" t="s">
        <v>807</v>
      </c>
      <c r="N65" t="s">
        <v>494</v>
      </c>
      <c r="O65" t="s">
        <v>69</v>
      </c>
      <c r="P65" t="s">
        <v>808</v>
      </c>
      <c r="Q65" t="s">
        <v>70</v>
      </c>
      <c r="R65" t="s">
        <v>665</v>
      </c>
      <c r="S65">
        <v>1</v>
      </c>
      <c r="T65">
        <v>5198</v>
      </c>
      <c r="U65">
        <v>0</v>
      </c>
      <c r="V65">
        <v>5198</v>
      </c>
    </row>
    <row r="66" spans="1:22" x14ac:dyDescent="0.3">
      <c r="A66">
        <v>79452</v>
      </c>
      <c r="B66">
        <v>135297448</v>
      </c>
      <c r="C66" t="s">
        <v>809</v>
      </c>
      <c r="D66" t="s">
        <v>810</v>
      </c>
      <c r="E66" t="s">
        <v>490</v>
      </c>
      <c r="F66" t="s">
        <v>491</v>
      </c>
      <c r="G66" t="s">
        <v>44</v>
      </c>
      <c r="H66" t="s">
        <v>45</v>
      </c>
      <c r="I66" t="s">
        <v>34</v>
      </c>
      <c r="J66" t="s">
        <v>46</v>
      </c>
      <c r="K66" t="s">
        <v>56</v>
      </c>
      <c r="L66" t="s">
        <v>57</v>
      </c>
      <c r="M66" t="s">
        <v>811</v>
      </c>
      <c r="N66" t="s">
        <v>494</v>
      </c>
      <c r="O66" t="s">
        <v>69</v>
      </c>
      <c r="P66" t="s">
        <v>812</v>
      </c>
      <c r="Q66" t="s">
        <v>70</v>
      </c>
      <c r="R66" t="s">
        <v>783</v>
      </c>
      <c r="S66">
        <v>1</v>
      </c>
      <c r="T66">
        <v>5198</v>
      </c>
      <c r="U66">
        <v>0</v>
      </c>
      <c r="V66">
        <v>5198</v>
      </c>
    </row>
    <row r="67" spans="1:22" x14ac:dyDescent="0.3">
      <c r="A67">
        <v>79452</v>
      </c>
      <c r="B67">
        <v>135336811</v>
      </c>
      <c r="C67" t="s">
        <v>813</v>
      </c>
      <c r="D67" t="s">
        <v>814</v>
      </c>
      <c r="E67" t="s">
        <v>490</v>
      </c>
      <c r="F67" t="s">
        <v>491</v>
      </c>
      <c r="G67" t="s">
        <v>44</v>
      </c>
      <c r="H67" t="s">
        <v>45</v>
      </c>
      <c r="I67" t="s">
        <v>34</v>
      </c>
      <c r="J67" t="s">
        <v>46</v>
      </c>
      <c r="K67" t="s">
        <v>41</v>
      </c>
      <c r="L67" t="s">
        <v>815</v>
      </c>
      <c r="M67" t="s">
        <v>816</v>
      </c>
      <c r="N67" t="s">
        <v>494</v>
      </c>
      <c r="O67" t="s">
        <v>69</v>
      </c>
      <c r="P67" t="s">
        <v>817</v>
      </c>
      <c r="Q67" t="s">
        <v>86</v>
      </c>
      <c r="R67" t="s">
        <v>481</v>
      </c>
      <c r="S67">
        <v>0.85</v>
      </c>
      <c r="T67">
        <v>3366</v>
      </c>
      <c r="U67">
        <v>0</v>
      </c>
      <c r="V67">
        <v>3366</v>
      </c>
    </row>
    <row r="68" spans="1:22" x14ac:dyDescent="0.3">
      <c r="A68">
        <v>79452</v>
      </c>
      <c r="B68">
        <v>135352423</v>
      </c>
      <c r="C68" t="s">
        <v>818</v>
      </c>
      <c r="D68" t="s">
        <v>819</v>
      </c>
      <c r="E68" t="s">
        <v>490</v>
      </c>
      <c r="F68" t="s">
        <v>491</v>
      </c>
      <c r="G68" t="s">
        <v>44</v>
      </c>
      <c r="H68" t="s">
        <v>45</v>
      </c>
      <c r="I68" t="s">
        <v>34</v>
      </c>
      <c r="J68" t="s">
        <v>46</v>
      </c>
      <c r="K68" t="s">
        <v>56</v>
      </c>
      <c r="L68" t="s">
        <v>57</v>
      </c>
      <c r="M68" t="s">
        <v>820</v>
      </c>
      <c r="N68" t="s">
        <v>494</v>
      </c>
      <c r="O68" t="s">
        <v>69</v>
      </c>
      <c r="P68" t="s">
        <v>821</v>
      </c>
      <c r="Q68" t="s">
        <v>82</v>
      </c>
      <c r="R68" t="s">
        <v>690</v>
      </c>
      <c r="S68">
        <v>0.73</v>
      </c>
      <c r="T68">
        <v>4067</v>
      </c>
      <c r="U68">
        <v>0</v>
      </c>
      <c r="V68">
        <v>4067</v>
      </c>
    </row>
    <row r="69" spans="1:22" x14ac:dyDescent="0.3">
      <c r="A69">
        <v>79452</v>
      </c>
      <c r="B69">
        <v>135352429</v>
      </c>
      <c r="C69" t="s">
        <v>822</v>
      </c>
      <c r="D69" t="s">
        <v>823</v>
      </c>
      <c r="E69" t="s">
        <v>490</v>
      </c>
      <c r="F69" t="s">
        <v>491</v>
      </c>
      <c r="G69" t="s">
        <v>44</v>
      </c>
      <c r="H69" t="s">
        <v>45</v>
      </c>
      <c r="I69" t="s">
        <v>34</v>
      </c>
      <c r="J69" t="s">
        <v>46</v>
      </c>
      <c r="K69" t="s">
        <v>41</v>
      </c>
      <c r="L69" t="s">
        <v>824</v>
      </c>
      <c r="M69" t="s">
        <v>825</v>
      </c>
      <c r="N69" t="s">
        <v>494</v>
      </c>
      <c r="O69" t="s">
        <v>69</v>
      </c>
      <c r="P69" t="s">
        <v>826</v>
      </c>
      <c r="Q69" t="s">
        <v>77</v>
      </c>
      <c r="R69" t="s">
        <v>690</v>
      </c>
      <c r="S69">
        <v>1.43</v>
      </c>
      <c r="T69">
        <v>3753</v>
      </c>
      <c r="U69">
        <v>0</v>
      </c>
      <c r="V69">
        <v>3753</v>
      </c>
    </row>
    <row r="70" spans="1:22" x14ac:dyDescent="0.3">
      <c r="A70">
        <v>79452</v>
      </c>
      <c r="B70">
        <v>135352432</v>
      </c>
      <c r="C70" t="s">
        <v>827</v>
      </c>
      <c r="D70" t="s">
        <v>828</v>
      </c>
      <c r="E70" t="s">
        <v>490</v>
      </c>
      <c r="F70" t="s">
        <v>491</v>
      </c>
      <c r="G70" t="s">
        <v>44</v>
      </c>
      <c r="H70" t="s">
        <v>45</v>
      </c>
      <c r="I70" t="s">
        <v>34</v>
      </c>
      <c r="J70" t="s">
        <v>46</v>
      </c>
      <c r="K70" t="s">
        <v>41</v>
      </c>
      <c r="L70" t="s">
        <v>829</v>
      </c>
      <c r="M70" t="s">
        <v>560</v>
      </c>
      <c r="N70" t="s">
        <v>494</v>
      </c>
      <c r="O70" t="s">
        <v>69</v>
      </c>
      <c r="P70" t="s">
        <v>561</v>
      </c>
      <c r="Q70" t="s">
        <v>86</v>
      </c>
      <c r="R70" t="s">
        <v>690</v>
      </c>
      <c r="S70">
        <v>0.52</v>
      </c>
      <c r="T70">
        <v>3366</v>
      </c>
      <c r="U70">
        <v>0</v>
      </c>
      <c r="V70">
        <v>3366</v>
      </c>
    </row>
    <row r="71" spans="1:22" x14ac:dyDescent="0.3">
      <c r="A71">
        <v>79452</v>
      </c>
      <c r="B71">
        <v>135297458</v>
      </c>
      <c r="C71" t="s">
        <v>830</v>
      </c>
      <c r="D71" t="s">
        <v>831</v>
      </c>
      <c r="E71" t="s">
        <v>490</v>
      </c>
      <c r="F71" t="s">
        <v>491</v>
      </c>
      <c r="G71" t="s">
        <v>44</v>
      </c>
      <c r="H71" t="s">
        <v>45</v>
      </c>
      <c r="I71" t="s">
        <v>34</v>
      </c>
      <c r="J71" t="s">
        <v>46</v>
      </c>
      <c r="K71" t="s">
        <v>41</v>
      </c>
      <c r="L71" t="s">
        <v>832</v>
      </c>
      <c r="M71" t="s">
        <v>833</v>
      </c>
      <c r="N71" t="s">
        <v>494</v>
      </c>
      <c r="O71" t="s">
        <v>69</v>
      </c>
      <c r="P71" t="s">
        <v>834</v>
      </c>
      <c r="Q71" t="s">
        <v>164</v>
      </c>
      <c r="R71" t="s">
        <v>783</v>
      </c>
      <c r="S71">
        <v>1</v>
      </c>
      <c r="T71">
        <v>3753</v>
      </c>
      <c r="U71">
        <v>0</v>
      </c>
      <c r="V71">
        <v>3753</v>
      </c>
    </row>
    <row r="72" spans="1:22" x14ac:dyDescent="0.3">
      <c r="A72">
        <v>79452</v>
      </c>
      <c r="B72">
        <v>135352434</v>
      </c>
      <c r="C72" t="s">
        <v>835</v>
      </c>
      <c r="D72" t="s">
        <v>836</v>
      </c>
      <c r="E72" t="s">
        <v>490</v>
      </c>
      <c r="F72" t="s">
        <v>491</v>
      </c>
      <c r="G72" t="s">
        <v>44</v>
      </c>
      <c r="H72" t="s">
        <v>45</v>
      </c>
      <c r="I72" t="s">
        <v>34</v>
      </c>
      <c r="J72" t="s">
        <v>46</v>
      </c>
      <c r="K72" t="s">
        <v>56</v>
      </c>
      <c r="L72" t="s">
        <v>57</v>
      </c>
      <c r="M72" t="s">
        <v>837</v>
      </c>
      <c r="N72" t="s">
        <v>494</v>
      </c>
      <c r="O72" t="s">
        <v>69</v>
      </c>
      <c r="P72" t="s">
        <v>838</v>
      </c>
      <c r="Q72" t="s">
        <v>93</v>
      </c>
      <c r="R72" t="s">
        <v>690</v>
      </c>
      <c r="S72">
        <v>0.65</v>
      </c>
      <c r="T72">
        <v>4067</v>
      </c>
      <c r="U72">
        <v>0</v>
      </c>
      <c r="V72">
        <v>4067</v>
      </c>
    </row>
    <row r="73" spans="1:22" x14ac:dyDescent="0.3">
      <c r="A73">
        <v>79452</v>
      </c>
      <c r="B73">
        <v>135336821</v>
      </c>
      <c r="C73" t="s">
        <v>839</v>
      </c>
      <c r="D73" t="s">
        <v>840</v>
      </c>
      <c r="E73" t="s">
        <v>490</v>
      </c>
      <c r="F73" t="s">
        <v>491</v>
      </c>
      <c r="G73" t="s">
        <v>44</v>
      </c>
      <c r="H73" t="s">
        <v>45</v>
      </c>
      <c r="I73" t="s">
        <v>34</v>
      </c>
      <c r="J73" t="s">
        <v>46</v>
      </c>
      <c r="K73" t="s">
        <v>41</v>
      </c>
      <c r="L73" t="s">
        <v>841</v>
      </c>
      <c r="M73" t="s">
        <v>842</v>
      </c>
      <c r="N73" t="s">
        <v>494</v>
      </c>
      <c r="O73" t="s">
        <v>69</v>
      </c>
      <c r="P73" t="s">
        <v>843</v>
      </c>
      <c r="Q73" t="s">
        <v>43</v>
      </c>
      <c r="R73" t="s">
        <v>481</v>
      </c>
      <c r="S73">
        <v>1.7</v>
      </c>
      <c r="T73">
        <v>4067</v>
      </c>
      <c r="U73">
        <v>0</v>
      </c>
      <c r="V73">
        <v>4067</v>
      </c>
    </row>
    <row r="74" spans="1:22" x14ac:dyDescent="0.3">
      <c r="A74">
        <v>79452</v>
      </c>
      <c r="B74">
        <v>135336809</v>
      </c>
      <c r="C74" t="s">
        <v>844</v>
      </c>
      <c r="D74" t="s">
        <v>845</v>
      </c>
      <c r="E74" t="s">
        <v>490</v>
      </c>
      <c r="F74" t="s">
        <v>491</v>
      </c>
      <c r="G74" t="s">
        <v>44</v>
      </c>
      <c r="H74" t="s">
        <v>45</v>
      </c>
      <c r="I74" t="s">
        <v>34</v>
      </c>
      <c r="J74" t="s">
        <v>46</v>
      </c>
      <c r="K74" t="s">
        <v>41</v>
      </c>
      <c r="L74" t="s">
        <v>846</v>
      </c>
      <c r="M74" t="s">
        <v>847</v>
      </c>
      <c r="N74" t="s">
        <v>494</v>
      </c>
      <c r="O74" t="s">
        <v>69</v>
      </c>
      <c r="P74" t="s">
        <v>848</v>
      </c>
      <c r="Q74" t="s">
        <v>86</v>
      </c>
      <c r="R74" t="s">
        <v>481</v>
      </c>
      <c r="S74">
        <v>0.94</v>
      </c>
      <c r="T74">
        <v>3366</v>
      </c>
      <c r="U74">
        <v>0</v>
      </c>
      <c r="V74">
        <v>3366</v>
      </c>
    </row>
    <row r="75" spans="1:22" x14ac:dyDescent="0.3">
      <c r="A75">
        <v>79452</v>
      </c>
      <c r="B75">
        <v>135352456</v>
      </c>
      <c r="C75" t="s">
        <v>849</v>
      </c>
      <c r="D75" t="s">
        <v>850</v>
      </c>
      <c r="E75" t="s">
        <v>490</v>
      </c>
      <c r="F75" t="s">
        <v>491</v>
      </c>
      <c r="G75" t="s">
        <v>44</v>
      </c>
      <c r="H75" t="s">
        <v>45</v>
      </c>
      <c r="I75" t="s">
        <v>34</v>
      </c>
      <c r="J75" t="s">
        <v>46</v>
      </c>
      <c r="K75" t="s">
        <v>41</v>
      </c>
      <c r="L75" t="s">
        <v>851</v>
      </c>
      <c r="M75" t="s">
        <v>852</v>
      </c>
      <c r="N75" t="s">
        <v>494</v>
      </c>
      <c r="O75" t="s">
        <v>69</v>
      </c>
      <c r="P75" t="s">
        <v>853</v>
      </c>
      <c r="Q75" t="s">
        <v>98</v>
      </c>
      <c r="R75" t="s">
        <v>690</v>
      </c>
      <c r="S75">
        <v>1.02</v>
      </c>
      <c r="T75">
        <v>3366</v>
      </c>
      <c r="U75">
        <v>0</v>
      </c>
      <c r="V75">
        <v>3366</v>
      </c>
    </row>
    <row r="76" spans="1:22" x14ac:dyDescent="0.3">
      <c r="A76">
        <v>79452</v>
      </c>
      <c r="B76">
        <v>135297468</v>
      </c>
      <c r="C76" t="s">
        <v>854</v>
      </c>
      <c r="D76" t="s">
        <v>855</v>
      </c>
      <c r="E76" t="s">
        <v>490</v>
      </c>
      <c r="F76" t="s">
        <v>491</v>
      </c>
      <c r="G76" t="s">
        <v>44</v>
      </c>
      <c r="H76" t="s">
        <v>45</v>
      </c>
      <c r="I76" t="s">
        <v>34</v>
      </c>
      <c r="J76" t="s">
        <v>46</v>
      </c>
      <c r="K76" t="s">
        <v>41</v>
      </c>
      <c r="L76" t="s">
        <v>856</v>
      </c>
      <c r="M76" t="s">
        <v>373</v>
      </c>
      <c r="N76" t="s">
        <v>494</v>
      </c>
      <c r="O76" t="s">
        <v>69</v>
      </c>
      <c r="P76" t="s">
        <v>857</v>
      </c>
      <c r="Q76" t="s">
        <v>161</v>
      </c>
      <c r="R76" t="s">
        <v>783</v>
      </c>
      <c r="S76">
        <v>1</v>
      </c>
      <c r="T76">
        <v>4067</v>
      </c>
      <c r="U76">
        <v>0</v>
      </c>
      <c r="V76">
        <v>4067</v>
      </c>
    </row>
    <row r="77" spans="1:22" x14ac:dyDescent="0.3">
      <c r="A77">
        <v>79452</v>
      </c>
      <c r="B77">
        <v>135352454</v>
      </c>
      <c r="C77" t="s">
        <v>858</v>
      </c>
      <c r="D77" t="s">
        <v>859</v>
      </c>
      <c r="E77" t="s">
        <v>490</v>
      </c>
      <c r="F77" t="s">
        <v>491</v>
      </c>
      <c r="G77" t="s">
        <v>44</v>
      </c>
      <c r="H77" t="s">
        <v>45</v>
      </c>
      <c r="I77" t="s">
        <v>34</v>
      </c>
      <c r="J77" t="s">
        <v>46</v>
      </c>
      <c r="K77" t="s">
        <v>116</v>
      </c>
      <c r="L77" t="s">
        <v>248</v>
      </c>
      <c r="M77" t="s">
        <v>860</v>
      </c>
      <c r="N77" t="s">
        <v>494</v>
      </c>
      <c r="O77" t="s">
        <v>69</v>
      </c>
      <c r="P77" t="s">
        <v>861</v>
      </c>
      <c r="Q77" t="s">
        <v>77</v>
      </c>
      <c r="R77" t="s">
        <v>690</v>
      </c>
      <c r="S77">
        <v>0.75</v>
      </c>
      <c r="T77">
        <v>3753</v>
      </c>
      <c r="U77">
        <v>0</v>
      </c>
      <c r="V77">
        <v>3753</v>
      </c>
    </row>
    <row r="78" spans="1:22" x14ac:dyDescent="0.3">
      <c r="A78">
        <v>79452</v>
      </c>
      <c r="B78">
        <v>135001562</v>
      </c>
      <c r="C78" t="s">
        <v>862</v>
      </c>
      <c r="D78" t="s">
        <v>863</v>
      </c>
      <c r="E78" t="s">
        <v>490</v>
      </c>
      <c r="F78" t="s">
        <v>491</v>
      </c>
      <c r="G78" t="s">
        <v>44</v>
      </c>
      <c r="H78" t="s">
        <v>45</v>
      </c>
      <c r="I78" t="s">
        <v>34</v>
      </c>
      <c r="J78" t="s">
        <v>46</v>
      </c>
      <c r="K78" t="s">
        <v>41</v>
      </c>
      <c r="L78" t="s">
        <v>864</v>
      </c>
      <c r="M78" t="s">
        <v>865</v>
      </c>
      <c r="N78" t="s">
        <v>494</v>
      </c>
      <c r="O78" t="s">
        <v>69</v>
      </c>
      <c r="P78" t="s">
        <v>866</v>
      </c>
      <c r="Q78" t="s">
        <v>149</v>
      </c>
      <c r="R78" t="s">
        <v>659</v>
      </c>
      <c r="S78">
        <v>1.03</v>
      </c>
      <c r="T78">
        <v>5759</v>
      </c>
      <c r="U78">
        <v>0</v>
      </c>
      <c r="V78">
        <v>5759</v>
      </c>
    </row>
    <row r="79" spans="1:22" x14ac:dyDescent="0.3">
      <c r="A79">
        <v>79452</v>
      </c>
      <c r="B79">
        <v>135297439</v>
      </c>
      <c r="C79" t="s">
        <v>867</v>
      </c>
      <c r="D79" t="s">
        <v>868</v>
      </c>
      <c r="E79" t="s">
        <v>490</v>
      </c>
      <c r="F79" t="s">
        <v>491</v>
      </c>
      <c r="G79" t="s">
        <v>44</v>
      </c>
      <c r="H79" t="s">
        <v>45</v>
      </c>
      <c r="I79" t="s">
        <v>34</v>
      </c>
      <c r="J79" t="s">
        <v>46</v>
      </c>
      <c r="K79" t="s">
        <v>41</v>
      </c>
      <c r="L79" t="s">
        <v>869</v>
      </c>
      <c r="M79" t="s">
        <v>434</v>
      </c>
      <c r="N79" t="s">
        <v>494</v>
      </c>
      <c r="O79" t="s">
        <v>69</v>
      </c>
      <c r="P79" t="s">
        <v>870</v>
      </c>
      <c r="Q79" t="s">
        <v>74</v>
      </c>
      <c r="R79" t="s">
        <v>783</v>
      </c>
      <c r="S79">
        <v>1.05</v>
      </c>
      <c r="T79">
        <v>7506</v>
      </c>
      <c r="U79">
        <v>0</v>
      </c>
      <c r="V79">
        <v>7506</v>
      </c>
    </row>
    <row r="80" spans="1:22" x14ac:dyDescent="0.3">
      <c r="A80">
        <v>79452</v>
      </c>
      <c r="B80">
        <v>135336804</v>
      </c>
      <c r="C80" t="s">
        <v>871</v>
      </c>
      <c r="D80" t="s">
        <v>872</v>
      </c>
      <c r="E80" t="s">
        <v>490</v>
      </c>
      <c r="F80" t="s">
        <v>491</v>
      </c>
      <c r="G80" t="s">
        <v>44</v>
      </c>
      <c r="H80" t="s">
        <v>45</v>
      </c>
      <c r="I80" t="s">
        <v>34</v>
      </c>
      <c r="J80" t="s">
        <v>46</v>
      </c>
      <c r="K80" t="s">
        <v>56</v>
      </c>
      <c r="L80" t="s">
        <v>57</v>
      </c>
      <c r="M80" t="s">
        <v>873</v>
      </c>
      <c r="N80" t="s">
        <v>494</v>
      </c>
      <c r="O80" t="s">
        <v>69</v>
      </c>
      <c r="P80" t="s">
        <v>874</v>
      </c>
      <c r="Q80" t="s">
        <v>154</v>
      </c>
      <c r="R80" t="s">
        <v>481</v>
      </c>
      <c r="S80">
        <v>1.23</v>
      </c>
      <c r="T80">
        <v>3753</v>
      </c>
      <c r="U80">
        <v>0</v>
      </c>
      <c r="V80">
        <v>3753</v>
      </c>
    </row>
    <row r="81" spans="1:22" x14ac:dyDescent="0.3">
      <c r="A81">
        <v>79452</v>
      </c>
      <c r="B81">
        <v>135336798</v>
      </c>
      <c r="C81" t="s">
        <v>875</v>
      </c>
      <c r="D81" t="s">
        <v>876</v>
      </c>
      <c r="E81" t="s">
        <v>490</v>
      </c>
      <c r="F81" t="s">
        <v>491</v>
      </c>
      <c r="G81" t="s">
        <v>44</v>
      </c>
      <c r="H81" t="s">
        <v>45</v>
      </c>
      <c r="I81" t="s">
        <v>34</v>
      </c>
      <c r="J81" t="s">
        <v>46</v>
      </c>
      <c r="K81" t="s">
        <v>41</v>
      </c>
      <c r="L81" t="s">
        <v>877</v>
      </c>
      <c r="M81" t="s">
        <v>878</v>
      </c>
      <c r="N81" t="s">
        <v>494</v>
      </c>
      <c r="O81" t="s">
        <v>69</v>
      </c>
      <c r="P81" t="s">
        <v>879</v>
      </c>
      <c r="Q81" t="s">
        <v>83</v>
      </c>
      <c r="R81" t="s">
        <v>481</v>
      </c>
      <c r="S81">
        <v>0.7</v>
      </c>
      <c r="T81">
        <v>3366</v>
      </c>
      <c r="U81">
        <v>0</v>
      </c>
      <c r="V81">
        <v>3366</v>
      </c>
    </row>
    <row r="82" spans="1:22" x14ac:dyDescent="0.3">
      <c r="A82">
        <v>79452</v>
      </c>
      <c r="B82">
        <v>135297437</v>
      </c>
      <c r="C82" t="s">
        <v>880</v>
      </c>
      <c r="D82" t="s">
        <v>881</v>
      </c>
      <c r="E82" t="s">
        <v>490</v>
      </c>
      <c r="F82" t="s">
        <v>491</v>
      </c>
      <c r="G82" t="s">
        <v>44</v>
      </c>
      <c r="H82" t="s">
        <v>45</v>
      </c>
      <c r="I82" t="s">
        <v>34</v>
      </c>
      <c r="J82" t="s">
        <v>46</v>
      </c>
      <c r="K82" t="s">
        <v>41</v>
      </c>
      <c r="L82" t="s">
        <v>882</v>
      </c>
      <c r="M82" t="s">
        <v>883</v>
      </c>
      <c r="N82" t="s">
        <v>494</v>
      </c>
      <c r="O82" t="s">
        <v>69</v>
      </c>
      <c r="P82" t="s">
        <v>884</v>
      </c>
      <c r="Q82" t="s">
        <v>70</v>
      </c>
      <c r="R82" t="s">
        <v>783</v>
      </c>
      <c r="S82">
        <v>1</v>
      </c>
      <c r="T82">
        <v>5198</v>
      </c>
      <c r="U82">
        <v>0</v>
      </c>
      <c r="V82">
        <v>5198</v>
      </c>
    </row>
    <row r="83" spans="1:22" x14ac:dyDescent="0.3">
      <c r="A83">
        <v>79452</v>
      </c>
      <c r="B83">
        <v>135352435</v>
      </c>
      <c r="C83" t="s">
        <v>885</v>
      </c>
      <c r="D83" t="s">
        <v>886</v>
      </c>
      <c r="E83" t="s">
        <v>490</v>
      </c>
      <c r="F83" t="s">
        <v>491</v>
      </c>
      <c r="G83" t="s">
        <v>44</v>
      </c>
      <c r="H83" t="s">
        <v>45</v>
      </c>
      <c r="I83" t="s">
        <v>34</v>
      </c>
      <c r="J83" t="s">
        <v>46</v>
      </c>
      <c r="K83" t="s">
        <v>41</v>
      </c>
      <c r="L83" t="s">
        <v>887</v>
      </c>
      <c r="M83" t="s">
        <v>888</v>
      </c>
      <c r="N83" t="s">
        <v>494</v>
      </c>
      <c r="O83" t="s">
        <v>69</v>
      </c>
      <c r="P83" t="s">
        <v>889</v>
      </c>
      <c r="Q83" t="s">
        <v>83</v>
      </c>
      <c r="R83" t="s">
        <v>690</v>
      </c>
      <c r="S83">
        <v>2.78</v>
      </c>
      <c r="T83">
        <v>3366</v>
      </c>
      <c r="U83">
        <v>0</v>
      </c>
      <c r="V83">
        <v>3366</v>
      </c>
    </row>
    <row r="84" spans="1:22" x14ac:dyDescent="0.3">
      <c r="A84">
        <v>79452</v>
      </c>
      <c r="B84">
        <v>135336796</v>
      </c>
      <c r="C84" t="s">
        <v>890</v>
      </c>
      <c r="D84" t="s">
        <v>891</v>
      </c>
      <c r="E84" t="s">
        <v>490</v>
      </c>
      <c r="F84" t="s">
        <v>491</v>
      </c>
      <c r="G84" t="s">
        <v>44</v>
      </c>
      <c r="H84" t="s">
        <v>45</v>
      </c>
      <c r="I84" t="s">
        <v>34</v>
      </c>
      <c r="J84" t="s">
        <v>46</v>
      </c>
      <c r="K84" t="s">
        <v>41</v>
      </c>
      <c r="L84" t="s">
        <v>892</v>
      </c>
      <c r="M84" t="s">
        <v>893</v>
      </c>
      <c r="N84" t="s">
        <v>494</v>
      </c>
      <c r="O84" t="s">
        <v>69</v>
      </c>
      <c r="P84" t="s">
        <v>894</v>
      </c>
      <c r="Q84" t="s">
        <v>86</v>
      </c>
      <c r="R84" t="s">
        <v>481</v>
      </c>
      <c r="S84">
        <v>0.93</v>
      </c>
      <c r="T84">
        <v>3366</v>
      </c>
      <c r="U84">
        <v>0</v>
      </c>
      <c r="V84">
        <v>3366</v>
      </c>
    </row>
    <row r="85" spans="1:22" x14ac:dyDescent="0.3">
      <c r="A85">
        <v>79452</v>
      </c>
      <c r="B85">
        <v>135336817</v>
      </c>
      <c r="C85" t="s">
        <v>895</v>
      </c>
      <c r="D85" t="s">
        <v>896</v>
      </c>
      <c r="E85" t="s">
        <v>490</v>
      </c>
      <c r="F85" t="s">
        <v>491</v>
      </c>
      <c r="G85" t="s">
        <v>44</v>
      </c>
      <c r="H85" t="s">
        <v>45</v>
      </c>
      <c r="I85" t="s">
        <v>34</v>
      </c>
      <c r="J85" t="s">
        <v>46</v>
      </c>
      <c r="K85" t="s">
        <v>41</v>
      </c>
      <c r="L85" t="s">
        <v>897</v>
      </c>
      <c r="M85" t="s">
        <v>898</v>
      </c>
      <c r="N85" t="s">
        <v>494</v>
      </c>
      <c r="O85" t="s">
        <v>69</v>
      </c>
      <c r="P85" t="s">
        <v>899</v>
      </c>
      <c r="Q85" t="s">
        <v>74</v>
      </c>
      <c r="R85" t="s">
        <v>481</v>
      </c>
      <c r="S85">
        <v>0.72</v>
      </c>
      <c r="T85">
        <v>7506</v>
      </c>
      <c r="U85">
        <v>0</v>
      </c>
      <c r="V85">
        <v>7506</v>
      </c>
    </row>
    <row r="86" spans="1:22" x14ac:dyDescent="0.3">
      <c r="A86">
        <v>79452</v>
      </c>
      <c r="B86">
        <v>135297471</v>
      </c>
      <c r="C86" t="s">
        <v>900</v>
      </c>
      <c r="D86" t="s">
        <v>901</v>
      </c>
      <c r="E86" t="s">
        <v>490</v>
      </c>
      <c r="F86" t="s">
        <v>491</v>
      </c>
      <c r="G86" t="s">
        <v>44</v>
      </c>
      <c r="H86" t="s">
        <v>45</v>
      </c>
      <c r="I86" t="s">
        <v>34</v>
      </c>
      <c r="J86" t="s">
        <v>46</v>
      </c>
      <c r="K86" t="s">
        <v>41</v>
      </c>
      <c r="L86" t="s">
        <v>902</v>
      </c>
      <c r="M86" t="s">
        <v>903</v>
      </c>
      <c r="N86" t="s">
        <v>494</v>
      </c>
      <c r="O86" t="s">
        <v>69</v>
      </c>
      <c r="P86" t="s">
        <v>904</v>
      </c>
      <c r="Q86" t="s">
        <v>77</v>
      </c>
      <c r="R86" t="s">
        <v>783</v>
      </c>
      <c r="S86">
        <v>1</v>
      </c>
      <c r="T86">
        <v>3753</v>
      </c>
      <c r="U86">
        <v>0</v>
      </c>
      <c r="V86">
        <v>3753</v>
      </c>
    </row>
    <row r="87" spans="1:22" x14ac:dyDescent="0.3">
      <c r="A87">
        <v>79452</v>
      </c>
      <c r="B87">
        <v>135230931</v>
      </c>
      <c r="C87" t="s">
        <v>905</v>
      </c>
      <c r="D87" t="s">
        <v>906</v>
      </c>
      <c r="E87" t="s">
        <v>490</v>
      </c>
      <c r="F87" t="s">
        <v>491</v>
      </c>
      <c r="G87" t="s">
        <v>44</v>
      </c>
      <c r="H87" t="s">
        <v>45</v>
      </c>
      <c r="I87" t="s">
        <v>34</v>
      </c>
      <c r="J87" t="s">
        <v>46</v>
      </c>
      <c r="K87" t="s">
        <v>41</v>
      </c>
      <c r="L87" t="s">
        <v>907</v>
      </c>
      <c r="M87" t="s">
        <v>908</v>
      </c>
      <c r="N87" t="s">
        <v>494</v>
      </c>
      <c r="O87" t="s">
        <v>69</v>
      </c>
      <c r="P87" t="s">
        <v>909</v>
      </c>
      <c r="Q87" t="s">
        <v>85</v>
      </c>
      <c r="R87" t="s">
        <v>268</v>
      </c>
      <c r="S87">
        <v>1</v>
      </c>
      <c r="T87">
        <v>3784</v>
      </c>
      <c r="U87">
        <v>0</v>
      </c>
      <c r="V87">
        <v>3784</v>
      </c>
    </row>
    <row r="88" spans="1:22" x14ac:dyDescent="0.3">
      <c r="A88">
        <v>79452</v>
      </c>
      <c r="B88">
        <v>135311705</v>
      </c>
      <c r="C88" t="s">
        <v>910</v>
      </c>
      <c r="D88" t="s">
        <v>911</v>
      </c>
      <c r="E88" t="s">
        <v>490</v>
      </c>
      <c r="F88" t="s">
        <v>491</v>
      </c>
      <c r="G88" t="s">
        <v>44</v>
      </c>
      <c r="H88" t="s">
        <v>45</v>
      </c>
      <c r="I88" t="s">
        <v>34</v>
      </c>
      <c r="J88" t="s">
        <v>46</v>
      </c>
      <c r="K88" t="s">
        <v>41</v>
      </c>
      <c r="L88" t="s">
        <v>455</v>
      </c>
      <c r="M88" t="s">
        <v>912</v>
      </c>
      <c r="N88" t="s">
        <v>494</v>
      </c>
      <c r="O88" t="s">
        <v>69</v>
      </c>
      <c r="P88" t="s">
        <v>913</v>
      </c>
      <c r="Q88" t="s">
        <v>83</v>
      </c>
      <c r="R88" t="s">
        <v>665</v>
      </c>
      <c r="S88">
        <v>1</v>
      </c>
      <c r="T88">
        <v>3366</v>
      </c>
      <c r="U88">
        <v>0</v>
      </c>
      <c r="V88">
        <v>3366</v>
      </c>
    </row>
    <row r="89" spans="1:22" x14ac:dyDescent="0.3">
      <c r="A89">
        <v>79452</v>
      </c>
      <c r="B89">
        <v>135230951</v>
      </c>
      <c r="C89" t="s">
        <v>914</v>
      </c>
      <c r="D89" t="s">
        <v>915</v>
      </c>
      <c r="E89" t="s">
        <v>490</v>
      </c>
      <c r="F89" t="s">
        <v>491</v>
      </c>
      <c r="G89" t="s">
        <v>44</v>
      </c>
      <c r="H89" t="s">
        <v>45</v>
      </c>
      <c r="I89" t="s">
        <v>34</v>
      </c>
      <c r="J89" t="s">
        <v>46</v>
      </c>
      <c r="K89" t="s">
        <v>41</v>
      </c>
      <c r="L89" t="s">
        <v>916</v>
      </c>
      <c r="M89" t="s">
        <v>917</v>
      </c>
      <c r="N89" t="s">
        <v>494</v>
      </c>
      <c r="O89" t="s">
        <v>69</v>
      </c>
      <c r="P89" t="s">
        <v>918</v>
      </c>
      <c r="Q89" t="s">
        <v>89</v>
      </c>
      <c r="R89" t="s">
        <v>306</v>
      </c>
      <c r="S89">
        <v>0.68</v>
      </c>
      <c r="T89">
        <v>3753</v>
      </c>
      <c r="U89">
        <v>0</v>
      </c>
      <c r="V89">
        <v>3753</v>
      </c>
    </row>
    <row r="90" spans="1:22" x14ac:dyDescent="0.3">
      <c r="A90">
        <v>79452</v>
      </c>
      <c r="B90">
        <v>135297443</v>
      </c>
      <c r="C90" t="s">
        <v>919</v>
      </c>
      <c r="D90" t="s">
        <v>920</v>
      </c>
      <c r="E90" t="s">
        <v>490</v>
      </c>
      <c r="F90" t="s">
        <v>491</v>
      </c>
      <c r="G90" t="s">
        <v>44</v>
      </c>
      <c r="H90" t="s">
        <v>45</v>
      </c>
      <c r="I90" t="s">
        <v>34</v>
      </c>
      <c r="J90" t="s">
        <v>46</v>
      </c>
      <c r="K90" t="s">
        <v>41</v>
      </c>
      <c r="L90" t="s">
        <v>921</v>
      </c>
      <c r="M90" t="s">
        <v>922</v>
      </c>
      <c r="N90" t="s">
        <v>494</v>
      </c>
      <c r="O90" t="s">
        <v>69</v>
      </c>
      <c r="P90" t="s">
        <v>923</v>
      </c>
      <c r="Q90" t="s">
        <v>114</v>
      </c>
      <c r="R90" t="s">
        <v>783</v>
      </c>
      <c r="S90">
        <v>1</v>
      </c>
      <c r="T90">
        <v>3501</v>
      </c>
      <c r="U90">
        <v>0</v>
      </c>
      <c r="V90">
        <v>3501</v>
      </c>
    </row>
    <row r="91" spans="1:22" x14ac:dyDescent="0.3">
      <c r="A91">
        <v>79452</v>
      </c>
      <c r="B91">
        <v>135214018</v>
      </c>
      <c r="C91" t="s">
        <v>924</v>
      </c>
      <c r="D91" t="s">
        <v>925</v>
      </c>
      <c r="E91" t="s">
        <v>490</v>
      </c>
      <c r="F91" t="s">
        <v>491</v>
      </c>
      <c r="G91" t="s">
        <v>44</v>
      </c>
      <c r="H91" t="s">
        <v>45</v>
      </c>
      <c r="I91" t="s">
        <v>34</v>
      </c>
      <c r="J91" t="s">
        <v>46</v>
      </c>
      <c r="K91" t="s">
        <v>41</v>
      </c>
      <c r="L91" t="s">
        <v>926</v>
      </c>
      <c r="M91" t="s">
        <v>125</v>
      </c>
      <c r="N91" t="s">
        <v>494</v>
      </c>
      <c r="O91" t="s">
        <v>69</v>
      </c>
      <c r="P91" t="s">
        <v>927</v>
      </c>
      <c r="Q91" t="s">
        <v>152</v>
      </c>
      <c r="R91" t="s">
        <v>928</v>
      </c>
      <c r="S91">
        <v>1</v>
      </c>
      <c r="T91">
        <v>3366</v>
      </c>
      <c r="U91">
        <v>0</v>
      </c>
      <c r="V91">
        <v>3366</v>
      </c>
    </row>
    <row r="92" spans="1:22" x14ac:dyDescent="0.3">
      <c r="A92">
        <v>79452</v>
      </c>
      <c r="B92">
        <v>135213975</v>
      </c>
      <c r="C92" t="s">
        <v>929</v>
      </c>
      <c r="D92" t="s">
        <v>930</v>
      </c>
      <c r="E92" t="s">
        <v>490</v>
      </c>
      <c r="F92" t="s">
        <v>491</v>
      </c>
      <c r="G92" t="s">
        <v>44</v>
      </c>
      <c r="H92" t="s">
        <v>45</v>
      </c>
      <c r="I92" t="s">
        <v>34</v>
      </c>
      <c r="J92" t="s">
        <v>46</v>
      </c>
      <c r="K92" t="s">
        <v>41</v>
      </c>
      <c r="L92" t="s">
        <v>931</v>
      </c>
      <c r="M92" t="s">
        <v>932</v>
      </c>
      <c r="N92" t="s">
        <v>494</v>
      </c>
      <c r="O92" t="s">
        <v>69</v>
      </c>
      <c r="P92" t="s">
        <v>933</v>
      </c>
      <c r="Q92" t="s">
        <v>145</v>
      </c>
      <c r="R92" t="s">
        <v>928</v>
      </c>
      <c r="S92">
        <v>1.1299999999999999</v>
      </c>
      <c r="T92">
        <v>4346</v>
      </c>
      <c r="U92">
        <v>0</v>
      </c>
      <c r="V92">
        <v>4346</v>
      </c>
    </row>
    <row r="93" spans="1:22" x14ac:dyDescent="0.3">
      <c r="A93">
        <v>79452</v>
      </c>
      <c r="B93">
        <v>135311700</v>
      </c>
      <c r="C93" t="s">
        <v>934</v>
      </c>
      <c r="D93" t="s">
        <v>935</v>
      </c>
      <c r="E93" t="s">
        <v>490</v>
      </c>
      <c r="F93" t="s">
        <v>491</v>
      </c>
      <c r="G93" t="s">
        <v>44</v>
      </c>
      <c r="H93" t="s">
        <v>45</v>
      </c>
      <c r="I93" t="s">
        <v>34</v>
      </c>
      <c r="J93" t="s">
        <v>46</v>
      </c>
      <c r="K93" t="s">
        <v>41</v>
      </c>
      <c r="L93" t="s">
        <v>936</v>
      </c>
      <c r="M93" t="s">
        <v>937</v>
      </c>
      <c r="N93" t="s">
        <v>494</v>
      </c>
      <c r="O93" t="s">
        <v>69</v>
      </c>
      <c r="P93" t="s">
        <v>938</v>
      </c>
      <c r="Q93" t="s">
        <v>86</v>
      </c>
      <c r="R93" t="s">
        <v>665</v>
      </c>
      <c r="S93">
        <v>1</v>
      </c>
      <c r="T93">
        <v>3366</v>
      </c>
      <c r="U93">
        <v>0</v>
      </c>
      <c r="V93">
        <v>3366</v>
      </c>
    </row>
    <row r="94" spans="1:22" x14ac:dyDescent="0.3">
      <c r="A94">
        <v>79452</v>
      </c>
      <c r="B94">
        <v>135297470</v>
      </c>
      <c r="C94" t="s">
        <v>939</v>
      </c>
      <c r="D94" t="s">
        <v>940</v>
      </c>
      <c r="E94" t="s">
        <v>490</v>
      </c>
      <c r="F94" t="s">
        <v>491</v>
      </c>
      <c r="G94" t="s">
        <v>44</v>
      </c>
      <c r="H94" t="s">
        <v>45</v>
      </c>
      <c r="I94" t="s">
        <v>34</v>
      </c>
      <c r="J94" t="s">
        <v>46</v>
      </c>
      <c r="K94" t="s">
        <v>41</v>
      </c>
      <c r="L94" t="s">
        <v>941</v>
      </c>
      <c r="M94" t="s">
        <v>942</v>
      </c>
      <c r="N94" t="s">
        <v>494</v>
      </c>
      <c r="O94" t="s">
        <v>69</v>
      </c>
      <c r="P94" t="s">
        <v>943</v>
      </c>
      <c r="Q94" t="s">
        <v>90</v>
      </c>
      <c r="R94" t="s">
        <v>783</v>
      </c>
      <c r="S94">
        <v>1</v>
      </c>
      <c r="T94">
        <v>3366</v>
      </c>
      <c r="U94">
        <v>0</v>
      </c>
      <c r="V94">
        <v>3366</v>
      </c>
    </row>
    <row r="95" spans="1:22" x14ac:dyDescent="0.3">
      <c r="A95">
        <v>79452</v>
      </c>
      <c r="B95">
        <v>135214017</v>
      </c>
      <c r="C95" t="s">
        <v>944</v>
      </c>
      <c r="D95" t="s">
        <v>945</v>
      </c>
      <c r="E95" t="s">
        <v>490</v>
      </c>
      <c r="F95" t="s">
        <v>491</v>
      </c>
      <c r="G95" t="s">
        <v>44</v>
      </c>
      <c r="H95" t="s">
        <v>45</v>
      </c>
      <c r="I95" t="s">
        <v>34</v>
      </c>
      <c r="J95" t="s">
        <v>46</v>
      </c>
      <c r="K95" t="s">
        <v>41</v>
      </c>
      <c r="L95" t="s">
        <v>946</v>
      </c>
      <c r="M95" t="s">
        <v>947</v>
      </c>
      <c r="N95" t="s">
        <v>494</v>
      </c>
      <c r="O95" t="s">
        <v>69</v>
      </c>
      <c r="P95" t="s">
        <v>948</v>
      </c>
      <c r="Q95" t="s">
        <v>86</v>
      </c>
      <c r="R95" t="s">
        <v>928</v>
      </c>
      <c r="S95">
        <v>0.81</v>
      </c>
      <c r="T95">
        <v>3366</v>
      </c>
      <c r="U95">
        <v>0</v>
      </c>
      <c r="V95">
        <v>3366</v>
      </c>
    </row>
    <row r="96" spans="1:22" x14ac:dyDescent="0.3">
      <c r="A96">
        <v>79452</v>
      </c>
      <c r="B96">
        <v>135187168</v>
      </c>
      <c r="C96" t="s">
        <v>949</v>
      </c>
      <c r="D96" t="s">
        <v>950</v>
      </c>
      <c r="E96" t="s">
        <v>490</v>
      </c>
      <c r="F96" t="s">
        <v>491</v>
      </c>
      <c r="G96" t="s">
        <v>44</v>
      </c>
      <c r="H96" t="s">
        <v>45</v>
      </c>
      <c r="I96" t="s">
        <v>34</v>
      </c>
      <c r="J96" t="s">
        <v>46</v>
      </c>
      <c r="K96" t="s">
        <v>41</v>
      </c>
      <c r="L96" t="s">
        <v>951</v>
      </c>
      <c r="M96" t="s">
        <v>952</v>
      </c>
      <c r="N96" t="s">
        <v>494</v>
      </c>
      <c r="O96" t="s">
        <v>69</v>
      </c>
      <c r="P96" t="s">
        <v>953</v>
      </c>
      <c r="Q96" t="s">
        <v>214</v>
      </c>
      <c r="R96" t="s">
        <v>954</v>
      </c>
      <c r="S96">
        <v>0.96</v>
      </c>
      <c r="T96">
        <v>4346</v>
      </c>
      <c r="U96">
        <v>0</v>
      </c>
      <c r="V96">
        <v>4346</v>
      </c>
    </row>
    <row r="97" spans="1:22" x14ac:dyDescent="0.3">
      <c r="A97">
        <v>79452</v>
      </c>
      <c r="B97">
        <v>135311697</v>
      </c>
      <c r="C97" t="s">
        <v>955</v>
      </c>
      <c r="D97" t="s">
        <v>956</v>
      </c>
      <c r="E97" t="s">
        <v>490</v>
      </c>
      <c r="F97" t="s">
        <v>491</v>
      </c>
      <c r="G97" t="s">
        <v>44</v>
      </c>
      <c r="H97" t="s">
        <v>45</v>
      </c>
      <c r="I97" t="s">
        <v>34</v>
      </c>
      <c r="J97" t="s">
        <v>46</v>
      </c>
      <c r="K97" t="s">
        <v>41</v>
      </c>
      <c r="L97" t="s">
        <v>957</v>
      </c>
      <c r="M97" t="s">
        <v>958</v>
      </c>
      <c r="N97" t="s">
        <v>494</v>
      </c>
      <c r="O97" t="s">
        <v>69</v>
      </c>
      <c r="P97" t="s">
        <v>959</v>
      </c>
      <c r="Q97" t="s">
        <v>109</v>
      </c>
      <c r="R97" t="s">
        <v>665</v>
      </c>
      <c r="S97">
        <v>1</v>
      </c>
      <c r="T97">
        <v>3784</v>
      </c>
      <c r="U97">
        <v>0</v>
      </c>
      <c r="V97">
        <v>3784</v>
      </c>
    </row>
    <row r="98" spans="1:22" x14ac:dyDescent="0.3">
      <c r="A98">
        <v>79452</v>
      </c>
      <c r="B98">
        <v>135297449</v>
      </c>
      <c r="C98" t="s">
        <v>960</v>
      </c>
      <c r="D98" t="s">
        <v>961</v>
      </c>
      <c r="E98" t="s">
        <v>490</v>
      </c>
      <c r="F98" t="s">
        <v>491</v>
      </c>
      <c r="G98" t="s">
        <v>44</v>
      </c>
      <c r="H98" t="s">
        <v>45</v>
      </c>
      <c r="I98" t="s">
        <v>34</v>
      </c>
      <c r="J98" t="s">
        <v>46</v>
      </c>
      <c r="K98" t="s">
        <v>41</v>
      </c>
      <c r="L98" t="s">
        <v>962</v>
      </c>
      <c r="M98" t="s">
        <v>963</v>
      </c>
      <c r="N98" t="s">
        <v>494</v>
      </c>
      <c r="O98" t="s">
        <v>69</v>
      </c>
      <c r="P98" t="s">
        <v>964</v>
      </c>
      <c r="Q98" t="s">
        <v>86</v>
      </c>
      <c r="R98" t="s">
        <v>783</v>
      </c>
      <c r="S98">
        <v>1</v>
      </c>
      <c r="T98">
        <v>3366</v>
      </c>
      <c r="U98">
        <v>0</v>
      </c>
      <c r="V98">
        <v>3366</v>
      </c>
    </row>
    <row r="99" spans="1:22" x14ac:dyDescent="0.3">
      <c r="A99">
        <v>79452</v>
      </c>
      <c r="B99">
        <v>135214016</v>
      </c>
      <c r="C99" t="s">
        <v>965</v>
      </c>
      <c r="D99" t="s">
        <v>966</v>
      </c>
      <c r="E99" t="s">
        <v>490</v>
      </c>
      <c r="F99" t="s">
        <v>491</v>
      </c>
      <c r="G99" t="s">
        <v>44</v>
      </c>
      <c r="H99" t="s">
        <v>45</v>
      </c>
      <c r="I99" t="s">
        <v>34</v>
      </c>
      <c r="J99" t="s">
        <v>46</v>
      </c>
      <c r="K99" t="s">
        <v>41</v>
      </c>
      <c r="L99" t="s">
        <v>967</v>
      </c>
      <c r="M99" t="s">
        <v>423</v>
      </c>
      <c r="N99" t="s">
        <v>494</v>
      </c>
      <c r="O99" t="s">
        <v>69</v>
      </c>
      <c r="P99" t="s">
        <v>968</v>
      </c>
      <c r="Q99" t="s">
        <v>98</v>
      </c>
      <c r="R99" t="s">
        <v>928</v>
      </c>
      <c r="S99">
        <v>1</v>
      </c>
      <c r="T99">
        <v>3366</v>
      </c>
      <c r="U99">
        <v>0</v>
      </c>
      <c r="V99">
        <v>3366</v>
      </c>
    </row>
    <row r="100" spans="1:22" x14ac:dyDescent="0.3">
      <c r="A100">
        <v>79452</v>
      </c>
      <c r="B100">
        <v>135311688</v>
      </c>
      <c r="C100" t="s">
        <v>969</v>
      </c>
      <c r="D100" t="s">
        <v>970</v>
      </c>
      <c r="E100" t="s">
        <v>490</v>
      </c>
      <c r="F100" t="s">
        <v>491</v>
      </c>
      <c r="G100" t="s">
        <v>44</v>
      </c>
      <c r="H100" t="s">
        <v>45</v>
      </c>
      <c r="I100" t="s">
        <v>34</v>
      </c>
      <c r="J100" t="s">
        <v>46</v>
      </c>
      <c r="K100" t="s">
        <v>41</v>
      </c>
      <c r="L100" t="s">
        <v>971</v>
      </c>
      <c r="M100" t="s">
        <v>972</v>
      </c>
      <c r="N100" t="s">
        <v>494</v>
      </c>
      <c r="O100" t="s">
        <v>69</v>
      </c>
      <c r="P100" t="s">
        <v>973</v>
      </c>
      <c r="Q100" t="s">
        <v>43</v>
      </c>
      <c r="R100" t="s">
        <v>665</v>
      </c>
      <c r="S100">
        <v>1</v>
      </c>
      <c r="T100">
        <v>4067</v>
      </c>
      <c r="U100">
        <v>0</v>
      </c>
      <c r="V100">
        <v>4067</v>
      </c>
    </row>
    <row r="101" spans="1:22" x14ac:dyDescent="0.3">
      <c r="A101">
        <v>79452</v>
      </c>
      <c r="B101">
        <v>135230928</v>
      </c>
      <c r="C101" t="s">
        <v>974</v>
      </c>
      <c r="D101" t="s">
        <v>975</v>
      </c>
      <c r="E101" t="s">
        <v>490</v>
      </c>
      <c r="F101" t="s">
        <v>491</v>
      </c>
      <c r="G101" t="s">
        <v>44</v>
      </c>
      <c r="H101" t="s">
        <v>45</v>
      </c>
      <c r="I101" t="s">
        <v>34</v>
      </c>
      <c r="J101" t="s">
        <v>46</v>
      </c>
      <c r="K101" t="s">
        <v>41</v>
      </c>
      <c r="L101" t="s">
        <v>976</v>
      </c>
      <c r="M101" t="s">
        <v>977</v>
      </c>
      <c r="N101" t="s">
        <v>494</v>
      </c>
      <c r="O101" t="s">
        <v>69</v>
      </c>
      <c r="P101" t="s">
        <v>978</v>
      </c>
      <c r="Q101" t="s">
        <v>70</v>
      </c>
      <c r="R101" t="s">
        <v>268</v>
      </c>
      <c r="S101">
        <v>1.26</v>
      </c>
      <c r="T101">
        <v>5198</v>
      </c>
      <c r="U101">
        <v>0</v>
      </c>
      <c r="V101">
        <v>5198</v>
      </c>
    </row>
    <row r="102" spans="1:22" x14ac:dyDescent="0.3">
      <c r="A102">
        <v>79452</v>
      </c>
      <c r="B102">
        <v>135254544</v>
      </c>
      <c r="C102" t="s">
        <v>979</v>
      </c>
      <c r="D102" t="s">
        <v>980</v>
      </c>
      <c r="E102" t="s">
        <v>490</v>
      </c>
      <c r="F102" t="s">
        <v>491</v>
      </c>
      <c r="G102" t="s">
        <v>44</v>
      </c>
      <c r="H102" t="s">
        <v>45</v>
      </c>
      <c r="I102" t="s">
        <v>34</v>
      </c>
      <c r="J102" t="s">
        <v>46</v>
      </c>
      <c r="K102" t="s">
        <v>41</v>
      </c>
      <c r="L102" t="s">
        <v>981</v>
      </c>
      <c r="M102" t="s">
        <v>982</v>
      </c>
      <c r="N102" t="s">
        <v>494</v>
      </c>
      <c r="O102" t="s">
        <v>69</v>
      </c>
      <c r="P102" t="s">
        <v>983</v>
      </c>
      <c r="Q102" t="s">
        <v>82</v>
      </c>
      <c r="R102" t="s">
        <v>305</v>
      </c>
      <c r="S102">
        <v>0.83</v>
      </c>
      <c r="T102">
        <v>4067</v>
      </c>
      <c r="U102">
        <v>0</v>
      </c>
      <c r="V102">
        <v>4067</v>
      </c>
    </row>
    <row r="103" spans="1:22" x14ac:dyDescent="0.3">
      <c r="A103">
        <v>79452</v>
      </c>
      <c r="B103">
        <v>135230940</v>
      </c>
      <c r="C103" t="s">
        <v>984</v>
      </c>
      <c r="D103" t="s">
        <v>985</v>
      </c>
      <c r="E103" t="s">
        <v>490</v>
      </c>
      <c r="F103" t="s">
        <v>491</v>
      </c>
      <c r="G103" t="s">
        <v>44</v>
      </c>
      <c r="H103" t="s">
        <v>45</v>
      </c>
      <c r="I103" t="s">
        <v>34</v>
      </c>
      <c r="J103" t="s">
        <v>46</v>
      </c>
      <c r="K103" t="s">
        <v>41</v>
      </c>
      <c r="L103" t="s">
        <v>986</v>
      </c>
      <c r="M103" t="s">
        <v>987</v>
      </c>
      <c r="N103" t="s">
        <v>494</v>
      </c>
      <c r="O103" t="s">
        <v>69</v>
      </c>
      <c r="P103" t="s">
        <v>988</v>
      </c>
      <c r="Q103" t="s">
        <v>93</v>
      </c>
      <c r="R103" t="s">
        <v>268</v>
      </c>
      <c r="S103">
        <v>0.87</v>
      </c>
      <c r="T103">
        <v>4067</v>
      </c>
      <c r="U103">
        <v>0</v>
      </c>
      <c r="V103">
        <v>4067</v>
      </c>
    </row>
    <row r="104" spans="1:22" x14ac:dyDescent="0.3">
      <c r="A104">
        <v>79452</v>
      </c>
      <c r="B104">
        <v>135213968</v>
      </c>
      <c r="C104" t="s">
        <v>989</v>
      </c>
      <c r="D104" t="s">
        <v>990</v>
      </c>
      <c r="E104" t="s">
        <v>490</v>
      </c>
      <c r="F104" t="s">
        <v>491</v>
      </c>
      <c r="G104" t="s">
        <v>44</v>
      </c>
      <c r="H104" t="s">
        <v>45</v>
      </c>
      <c r="I104" t="s">
        <v>34</v>
      </c>
      <c r="J104" t="s">
        <v>46</v>
      </c>
      <c r="K104" t="s">
        <v>41</v>
      </c>
      <c r="L104" t="s">
        <v>991</v>
      </c>
      <c r="M104" t="s">
        <v>992</v>
      </c>
      <c r="N104" t="s">
        <v>494</v>
      </c>
      <c r="O104" t="s">
        <v>69</v>
      </c>
      <c r="P104" t="s">
        <v>993</v>
      </c>
      <c r="Q104" t="s">
        <v>98</v>
      </c>
      <c r="R104" t="s">
        <v>928</v>
      </c>
      <c r="S104">
        <v>0.62</v>
      </c>
      <c r="T104">
        <v>3366</v>
      </c>
      <c r="U104">
        <v>0</v>
      </c>
      <c r="V104">
        <v>3366</v>
      </c>
    </row>
    <row r="105" spans="1:22" x14ac:dyDescent="0.3">
      <c r="A105">
        <v>79452</v>
      </c>
      <c r="B105">
        <v>135213978</v>
      </c>
      <c r="C105" t="s">
        <v>994</v>
      </c>
      <c r="D105" t="s">
        <v>995</v>
      </c>
      <c r="E105" t="s">
        <v>490</v>
      </c>
      <c r="F105" t="s">
        <v>491</v>
      </c>
      <c r="G105" t="s">
        <v>44</v>
      </c>
      <c r="H105" t="s">
        <v>45</v>
      </c>
      <c r="I105" t="s">
        <v>34</v>
      </c>
      <c r="J105" t="s">
        <v>46</v>
      </c>
      <c r="K105" t="s">
        <v>41</v>
      </c>
      <c r="L105" t="s">
        <v>996</v>
      </c>
      <c r="M105" t="s">
        <v>997</v>
      </c>
      <c r="N105" t="s">
        <v>494</v>
      </c>
      <c r="O105" t="s">
        <v>69</v>
      </c>
      <c r="P105" t="s">
        <v>998</v>
      </c>
      <c r="Q105" t="s">
        <v>68</v>
      </c>
      <c r="R105" t="s">
        <v>928</v>
      </c>
      <c r="S105">
        <v>0.67</v>
      </c>
      <c r="T105">
        <v>3784</v>
      </c>
      <c r="U105">
        <v>0</v>
      </c>
      <c r="V105">
        <v>3784</v>
      </c>
    </row>
    <row r="106" spans="1:22" x14ac:dyDescent="0.3">
      <c r="A106">
        <v>79452</v>
      </c>
      <c r="B106">
        <v>135187164</v>
      </c>
      <c r="C106" t="s">
        <v>999</v>
      </c>
      <c r="D106" t="s">
        <v>1000</v>
      </c>
      <c r="E106" t="s">
        <v>490</v>
      </c>
      <c r="F106" t="s">
        <v>491</v>
      </c>
      <c r="G106" t="s">
        <v>44</v>
      </c>
      <c r="H106" t="s">
        <v>45</v>
      </c>
      <c r="I106" t="s">
        <v>34</v>
      </c>
      <c r="J106" t="s">
        <v>46</v>
      </c>
      <c r="K106" t="s">
        <v>41</v>
      </c>
      <c r="L106" t="s">
        <v>1001</v>
      </c>
      <c r="M106" t="s">
        <v>1002</v>
      </c>
      <c r="N106" t="s">
        <v>494</v>
      </c>
      <c r="O106" t="s">
        <v>69</v>
      </c>
      <c r="P106" t="s">
        <v>1003</v>
      </c>
      <c r="Q106" t="s">
        <v>141</v>
      </c>
      <c r="R106" t="s">
        <v>954</v>
      </c>
      <c r="S106">
        <v>1.3</v>
      </c>
      <c r="T106">
        <v>3753</v>
      </c>
      <c r="U106">
        <v>0</v>
      </c>
      <c r="V106">
        <v>3753</v>
      </c>
    </row>
    <row r="107" spans="1:22" x14ac:dyDescent="0.3">
      <c r="A107">
        <v>79452</v>
      </c>
      <c r="B107">
        <v>135269378</v>
      </c>
      <c r="C107" t="s">
        <v>1004</v>
      </c>
      <c r="D107" t="s">
        <v>1005</v>
      </c>
      <c r="E107" t="s">
        <v>490</v>
      </c>
      <c r="F107" t="s">
        <v>491</v>
      </c>
      <c r="G107" t="s">
        <v>44</v>
      </c>
      <c r="H107" t="s">
        <v>45</v>
      </c>
      <c r="I107" t="s">
        <v>34</v>
      </c>
      <c r="J107" t="s">
        <v>46</v>
      </c>
      <c r="K107" t="s">
        <v>41</v>
      </c>
      <c r="L107" t="s">
        <v>1006</v>
      </c>
      <c r="M107" t="s">
        <v>1007</v>
      </c>
      <c r="N107" t="s">
        <v>494</v>
      </c>
      <c r="O107" t="s">
        <v>69</v>
      </c>
      <c r="P107" t="s">
        <v>1008</v>
      </c>
      <c r="Q107" t="s">
        <v>58</v>
      </c>
      <c r="R107" t="s">
        <v>798</v>
      </c>
      <c r="S107">
        <v>0.64</v>
      </c>
      <c r="T107">
        <v>4346</v>
      </c>
      <c r="U107">
        <v>0</v>
      </c>
      <c r="V107">
        <v>4346</v>
      </c>
    </row>
    <row r="108" spans="1:22" x14ac:dyDescent="0.3">
      <c r="A108">
        <v>79452</v>
      </c>
      <c r="B108">
        <v>135230923</v>
      </c>
      <c r="C108" t="s">
        <v>1009</v>
      </c>
      <c r="D108" t="s">
        <v>1010</v>
      </c>
      <c r="E108" t="s">
        <v>490</v>
      </c>
      <c r="F108" t="s">
        <v>491</v>
      </c>
      <c r="G108" t="s">
        <v>44</v>
      </c>
      <c r="H108" t="s">
        <v>45</v>
      </c>
      <c r="I108" t="s">
        <v>34</v>
      </c>
      <c r="J108" t="s">
        <v>46</v>
      </c>
      <c r="K108" t="s">
        <v>41</v>
      </c>
      <c r="L108" t="s">
        <v>1011</v>
      </c>
      <c r="M108" t="s">
        <v>1012</v>
      </c>
      <c r="N108" t="s">
        <v>494</v>
      </c>
      <c r="O108" t="s">
        <v>69</v>
      </c>
      <c r="P108" t="s">
        <v>1013</v>
      </c>
      <c r="Q108" t="s">
        <v>109</v>
      </c>
      <c r="R108" t="s">
        <v>268</v>
      </c>
      <c r="S108">
        <v>1.21</v>
      </c>
      <c r="T108">
        <v>3784</v>
      </c>
      <c r="U108">
        <v>0</v>
      </c>
      <c r="V108">
        <v>3784</v>
      </c>
    </row>
    <row r="109" spans="1:22" x14ac:dyDescent="0.3">
      <c r="A109">
        <v>79452</v>
      </c>
      <c r="B109">
        <v>135269367</v>
      </c>
      <c r="C109" t="s">
        <v>1014</v>
      </c>
      <c r="D109" t="s">
        <v>1015</v>
      </c>
      <c r="E109" t="s">
        <v>490</v>
      </c>
      <c r="F109" t="s">
        <v>491</v>
      </c>
      <c r="G109" t="s">
        <v>44</v>
      </c>
      <c r="H109" t="s">
        <v>45</v>
      </c>
      <c r="I109" t="s">
        <v>34</v>
      </c>
      <c r="J109" t="s">
        <v>46</v>
      </c>
      <c r="K109" t="s">
        <v>41</v>
      </c>
      <c r="L109" t="s">
        <v>1016</v>
      </c>
      <c r="M109" t="s">
        <v>1017</v>
      </c>
      <c r="N109" t="s">
        <v>494</v>
      </c>
      <c r="O109" t="s">
        <v>69</v>
      </c>
      <c r="P109" t="s">
        <v>1018</v>
      </c>
      <c r="Q109" t="s">
        <v>163</v>
      </c>
      <c r="R109" t="s">
        <v>798</v>
      </c>
      <c r="S109">
        <v>0.84</v>
      </c>
      <c r="T109">
        <v>4067</v>
      </c>
      <c r="U109">
        <v>0</v>
      </c>
      <c r="V109">
        <v>4067</v>
      </c>
    </row>
    <row r="110" spans="1:22" x14ac:dyDescent="0.3">
      <c r="A110">
        <v>79452</v>
      </c>
      <c r="B110">
        <v>135254520</v>
      </c>
      <c r="C110" t="s">
        <v>1019</v>
      </c>
      <c r="D110" t="s">
        <v>1020</v>
      </c>
      <c r="E110" t="s">
        <v>490</v>
      </c>
      <c r="F110" t="s">
        <v>491</v>
      </c>
      <c r="G110" t="s">
        <v>44</v>
      </c>
      <c r="H110" t="s">
        <v>45</v>
      </c>
      <c r="I110" t="s">
        <v>34</v>
      </c>
      <c r="J110" t="s">
        <v>46</v>
      </c>
      <c r="K110" t="s">
        <v>41</v>
      </c>
      <c r="L110" t="s">
        <v>1021</v>
      </c>
      <c r="M110" t="s">
        <v>1022</v>
      </c>
      <c r="N110" t="s">
        <v>494</v>
      </c>
      <c r="O110" t="s">
        <v>69</v>
      </c>
      <c r="P110" t="s">
        <v>1023</v>
      </c>
      <c r="Q110" t="s">
        <v>97</v>
      </c>
      <c r="R110" t="s">
        <v>305</v>
      </c>
      <c r="S110">
        <v>1.55</v>
      </c>
      <c r="T110">
        <v>4173</v>
      </c>
      <c r="U110">
        <v>0</v>
      </c>
      <c r="V110">
        <v>4173</v>
      </c>
    </row>
    <row r="111" spans="1:22" x14ac:dyDescent="0.3">
      <c r="A111">
        <v>79452</v>
      </c>
      <c r="B111">
        <v>135213986</v>
      </c>
      <c r="C111" t="s">
        <v>1024</v>
      </c>
      <c r="D111" t="s">
        <v>1025</v>
      </c>
      <c r="E111" t="s">
        <v>490</v>
      </c>
      <c r="F111" t="s">
        <v>491</v>
      </c>
      <c r="G111" t="s">
        <v>44</v>
      </c>
      <c r="H111" t="s">
        <v>45</v>
      </c>
      <c r="I111" t="s">
        <v>34</v>
      </c>
      <c r="J111" t="s">
        <v>46</v>
      </c>
      <c r="K111" t="s">
        <v>41</v>
      </c>
      <c r="L111" t="s">
        <v>1026</v>
      </c>
      <c r="M111" t="s">
        <v>417</v>
      </c>
      <c r="N111" t="s">
        <v>494</v>
      </c>
      <c r="O111" t="s">
        <v>69</v>
      </c>
      <c r="P111" t="s">
        <v>1027</v>
      </c>
      <c r="Q111" t="s">
        <v>135</v>
      </c>
      <c r="R111" t="s">
        <v>928</v>
      </c>
      <c r="S111">
        <v>1.17</v>
      </c>
      <c r="T111">
        <v>3366</v>
      </c>
      <c r="U111">
        <v>0</v>
      </c>
      <c r="V111">
        <v>3366</v>
      </c>
    </row>
    <row r="112" spans="1:22" x14ac:dyDescent="0.3">
      <c r="A112">
        <v>79452</v>
      </c>
      <c r="B112">
        <v>135254528</v>
      </c>
      <c r="C112" t="s">
        <v>1028</v>
      </c>
      <c r="D112" t="s">
        <v>1029</v>
      </c>
      <c r="E112" t="s">
        <v>490</v>
      </c>
      <c r="F112" t="s">
        <v>491</v>
      </c>
      <c r="G112" t="s">
        <v>44</v>
      </c>
      <c r="H112" t="s">
        <v>45</v>
      </c>
      <c r="I112" t="s">
        <v>34</v>
      </c>
      <c r="J112" t="s">
        <v>46</v>
      </c>
      <c r="K112" t="s">
        <v>41</v>
      </c>
      <c r="L112" t="s">
        <v>1030</v>
      </c>
      <c r="M112" t="s">
        <v>464</v>
      </c>
      <c r="N112" t="s">
        <v>494</v>
      </c>
      <c r="O112" t="s">
        <v>69</v>
      </c>
      <c r="P112" t="s">
        <v>1031</v>
      </c>
      <c r="Q112" t="s">
        <v>83</v>
      </c>
      <c r="R112" t="s">
        <v>305</v>
      </c>
      <c r="S112">
        <v>1.29</v>
      </c>
      <c r="T112">
        <v>3366</v>
      </c>
      <c r="U112">
        <v>0</v>
      </c>
      <c r="V112">
        <v>3366</v>
      </c>
    </row>
    <row r="113" spans="1:22" x14ac:dyDescent="0.3">
      <c r="A113">
        <v>79452</v>
      </c>
      <c r="B113">
        <v>135230937</v>
      </c>
      <c r="C113" t="s">
        <v>1032</v>
      </c>
      <c r="D113" t="s">
        <v>1033</v>
      </c>
      <c r="E113" t="s">
        <v>490</v>
      </c>
      <c r="F113" t="s">
        <v>491</v>
      </c>
      <c r="G113" t="s">
        <v>44</v>
      </c>
      <c r="H113" t="s">
        <v>45</v>
      </c>
      <c r="I113" t="s">
        <v>34</v>
      </c>
      <c r="J113" t="s">
        <v>46</v>
      </c>
      <c r="K113" t="s">
        <v>41</v>
      </c>
      <c r="L113" t="s">
        <v>1034</v>
      </c>
      <c r="M113" t="s">
        <v>1035</v>
      </c>
      <c r="N113" t="s">
        <v>494</v>
      </c>
      <c r="O113" t="s">
        <v>69</v>
      </c>
      <c r="P113" t="s">
        <v>1036</v>
      </c>
      <c r="Q113" s="14" t="s">
        <v>89</v>
      </c>
      <c r="R113" t="s">
        <v>268</v>
      </c>
      <c r="S113">
        <v>1</v>
      </c>
      <c r="T113">
        <v>3753</v>
      </c>
      <c r="U113">
        <v>0</v>
      </c>
      <c r="V113">
        <v>3753</v>
      </c>
    </row>
    <row r="114" spans="1:22" x14ac:dyDescent="0.3">
      <c r="A114">
        <v>79452</v>
      </c>
      <c r="B114">
        <v>135254546</v>
      </c>
      <c r="C114" t="s">
        <v>1037</v>
      </c>
      <c r="D114" t="s">
        <v>1038</v>
      </c>
      <c r="E114" t="s">
        <v>490</v>
      </c>
      <c r="F114" t="s">
        <v>491</v>
      </c>
      <c r="G114" t="s">
        <v>44</v>
      </c>
      <c r="H114" t="s">
        <v>45</v>
      </c>
      <c r="I114" t="s">
        <v>34</v>
      </c>
      <c r="J114" t="s">
        <v>46</v>
      </c>
      <c r="K114" t="s">
        <v>41</v>
      </c>
      <c r="L114" t="s">
        <v>1039</v>
      </c>
      <c r="M114" t="s">
        <v>1040</v>
      </c>
      <c r="N114" t="s">
        <v>494</v>
      </c>
      <c r="O114" t="s">
        <v>69</v>
      </c>
      <c r="P114" t="s">
        <v>1041</v>
      </c>
      <c r="Q114" s="14" t="s">
        <v>98</v>
      </c>
      <c r="R114" t="s">
        <v>305</v>
      </c>
      <c r="S114">
        <v>1</v>
      </c>
      <c r="T114">
        <v>3366</v>
      </c>
      <c r="U114">
        <v>0</v>
      </c>
      <c r="V114">
        <v>3366</v>
      </c>
    </row>
    <row r="115" spans="1:22" x14ac:dyDescent="0.3">
      <c r="A115">
        <v>79452</v>
      </c>
      <c r="B115">
        <v>135214025</v>
      </c>
      <c r="C115" t="s">
        <v>1042</v>
      </c>
      <c r="D115" t="s">
        <v>1043</v>
      </c>
      <c r="E115" t="s">
        <v>490</v>
      </c>
      <c r="F115" t="s">
        <v>491</v>
      </c>
      <c r="G115" t="s">
        <v>44</v>
      </c>
      <c r="H115" t="s">
        <v>45</v>
      </c>
      <c r="I115" t="s">
        <v>34</v>
      </c>
      <c r="J115" t="s">
        <v>46</v>
      </c>
      <c r="K115" t="s">
        <v>41</v>
      </c>
      <c r="L115" t="s">
        <v>1044</v>
      </c>
      <c r="M115" t="s">
        <v>1045</v>
      </c>
      <c r="N115" t="s">
        <v>494</v>
      </c>
      <c r="O115" t="s">
        <v>69</v>
      </c>
      <c r="P115" t="s">
        <v>1046</v>
      </c>
      <c r="Q115" s="14" t="s">
        <v>86</v>
      </c>
      <c r="R115" t="s">
        <v>928</v>
      </c>
      <c r="S115">
        <v>0.93</v>
      </c>
      <c r="T115">
        <v>3366</v>
      </c>
      <c r="U115">
        <v>0</v>
      </c>
      <c r="V115">
        <v>3366</v>
      </c>
    </row>
    <row r="116" spans="1:22" x14ac:dyDescent="0.3">
      <c r="A116">
        <v>79452</v>
      </c>
      <c r="B116">
        <v>135213962</v>
      </c>
      <c r="C116" t="s">
        <v>1047</v>
      </c>
      <c r="D116" t="s">
        <v>1048</v>
      </c>
      <c r="E116" t="s">
        <v>490</v>
      </c>
      <c r="F116" t="s">
        <v>491</v>
      </c>
      <c r="G116" t="s">
        <v>44</v>
      </c>
      <c r="H116" t="s">
        <v>45</v>
      </c>
      <c r="I116" t="s">
        <v>34</v>
      </c>
      <c r="J116" t="s">
        <v>46</v>
      </c>
      <c r="K116" t="s">
        <v>41</v>
      </c>
      <c r="L116" t="s">
        <v>271</v>
      </c>
      <c r="M116" t="s">
        <v>1049</v>
      </c>
      <c r="N116" t="s">
        <v>494</v>
      </c>
      <c r="O116" t="s">
        <v>69</v>
      </c>
      <c r="P116" t="s">
        <v>1050</v>
      </c>
      <c r="Q116" s="14" t="s">
        <v>43</v>
      </c>
      <c r="R116" t="s">
        <v>1051</v>
      </c>
      <c r="S116">
        <v>0.6</v>
      </c>
      <c r="T116">
        <v>4067</v>
      </c>
      <c r="U116">
        <v>0</v>
      </c>
      <c r="V116">
        <v>4067</v>
      </c>
    </row>
    <row r="117" spans="1:22" x14ac:dyDescent="0.3">
      <c r="A117">
        <v>79452</v>
      </c>
      <c r="B117">
        <v>135213990</v>
      </c>
      <c r="C117" t="s">
        <v>1052</v>
      </c>
      <c r="D117" t="s">
        <v>1053</v>
      </c>
      <c r="E117" t="s">
        <v>490</v>
      </c>
      <c r="F117" t="s">
        <v>491</v>
      </c>
      <c r="G117" t="s">
        <v>44</v>
      </c>
      <c r="H117" t="s">
        <v>45</v>
      </c>
      <c r="I117" t="s">
        <v>34</v>
      </c>
      <c r="J117" t="s">
        <v>46</v>
      </c>
      <c r="K117" t="s">
        <v>41</v>
      </c>
      <c r="L117" t="s">
        <v>1054</v>
      </c>
      <c r="M117" t="s">
        <v>504</v>
      </c>
      <c r="N117" t="s">
        <v>494</v>
      </c>
      <c r="O117" t="s">
        <v>69</v>
      </c>
      <c r="P117" t="s">
        <v>505</v>
      </c>
      <c r="Q117" s="14" t="s">
        <v>93</v>
      </c>
      <c r="R117" t="s">
        <v>928</v>
      </c>
      <c r="S117">
        <v>0.65</v>
      </c>
      <c r="T117">
        <v>4067</v>
      </c>
      <c r="U117">
        <v>0</v>
      </c>
      <c r="V117">
        <v>4067</v>
      </c>
    </row>
    <row r="118" spans="1:22" x14ac:dyDescent="0.3">
      <c r="A118">
        <v>79452</v>
      </c>
      <c r="B118">
        <v>135214013</v>
      </c>
      <c r="C118" t="s">
        <v>1055</v>
      </c>
      <c r="D118" t="s">
        <v>1056</v>
      </c>
      <c r="E118" t="s">
        <v>490</v>
      </c>
      <c r="F118" t="s">
        <v>491</v>
      </c>
      <c r="G118" t="s">
        <v>44</v>
      </c>
      <c r="H118" t="s">
        <v>45</v>
      </c>
      <c r="I118" t="s">
        <v>34</v>
      </c>
      <c r="J118" t="s">
        <v>46</v>
      </c>
      <c r="K118" t="s">
        <v>41</v>
      </c>
      <c r="L118" t="s">
        <v>1057</v>
      </c>
      <c r="M118" t="s">
        <v>1058</v>
      </c>
      <c r="N118" t="s">
        <v>494</v>
      </c>
      <c r="O118" t="s">
        <v>69</v>
      </c>
      <c r="P118" t="s">
        <v>1059</v>
      </c>
      <c r="Q118" s="14" t="s">
        <v>89</v>
      </c>
      <c r="R118" t="s">
        <v>928</v>
      </c>
      <c r="S118">
        <v>1.1100000000000001</v>
      </c>
      <c r="T118">
        <v>3753</v>
      </c>
      <c r="U118">
        <v>0</v>
      </c>
      <c r="V118">
        <v>3753</v>
      </c>
    </row>
    <row r="119" spans="1:22" x14ac:dyDescent="0.3">
      <c r="A119">
        <v>79452</v>
      </c>
      <c r="B119">
        <v>135144950</v>
      </c>
      <c r="C119" t="s">
        <v>1060</v>
      </c>
      <c r="D119" t="s">
        <v>1061</v>
      </c>
      <c r="E119" t="s">
        <v>490</v>
      </c>
      <c r="F119" t="s">
        <v>491</v>
      </c>
      <c r="G119" t="s">
        <v>44</v>
      </c>
      <c r="H119" t="s">
        <v>45</v>
      </c>
      <c r="I119" t="s">
        <v>34</v>
      </c>
      <c r="J119" t="s">
        <v>46</v>
      </c>
      <c r="K119" t="s">
        <v>41</v>
      </c>
      <c r="L119" t="s">
        <v>1062</v>
      </c>
      <c r="M119" t="s">
        <v>1063</v>
      </c>
      <c r="N119" t="s">
        <v>494</v>
      </c>
      <c r="O119" t="s">
        <v>69</v>
      </c>
      <c r="P119" t="s">
        <v>1064</v>
      </c>
      <c r="Q119" s="14" t="s">
        <v>147</v>
      </c>
      <c r="R119" t="s">
        <v>1065</v>
      </c>
      <c r="S119">
        <v>1.2</v>
      </c>
      <c r="T119">
        <v>5759</v>
      </c>
      <c r="U119">
        <v>0</v>
      </c>
      <c r="V119">
        <v>5759</v>
      </c>
    </row>
    <row r="120" spans="1:22" x14ac:dyDescent="0.3">
      <c r="A120">
        <v>79452</v>
      </c>
      <c r="B120">
        <v>135214014</v>
      </c>
      <c r="C120" t="s">
        <v>1066</v>
      </c>
      <c r="D120" t="s">
        <v>1067</v>
      </c>
      <c r="E120" t="s">
        <v>490</v>
      </c>
      <c r="F120" t="s">
        <v>491</v>
      </c>
      <c r="G120" t="s">
        <v>44</v>
      </c>
      <c r="H120" t="s">
        <v>45</v>
      </c>
      <c r="I120" t="s">
        <v>34</v>
      </c>
      <c r="J120" t="s">
        <v>46</v>
      </c>
      <c r="K120" t="s">
        <v>41</v>
      </c>
      <c r="L120" t="s">
        <v>1068</v>
      </c>
      <c r="M120" t="s">
        <v>1069</v>
      </c>
      <c r="N120" t="s">
        <v>494</v>
      </c>
      <c r="O120" t="s">
        <v>69</v>
      </c>
      <c r="P120" t="s">
        <v>1070</v>
      </c>
      <c r="Q120" s="14" t="s">
        <v>92</v>
      </c>
      <c r="R120" t="s">
        <v>928</v>
      </c>
      <c r="S120">
        <v>1</v>
      </c>
      <c r="T120">
        <v>3753</v>
      </c>
      <c r="U120">
        <v>0</v>
      </c>
      <c r="V120">
        <v>3753</v>
      </c>
    </row>
    <row r="121" spans="1:22" x14ac:dyDescent="0.3">
      <c r="A121">
        <v>79452</v>
      </c>
      <c r="B121">
        <v>135213987</v>
      </c>
      <c r="C121" t="s">
        <v>1071</v>
      </c>
      <c r="D121" t="s">
        <v>1072</v>
      </c>
      <c r="E121" t="s">
        <v>490</v>
      </c>
      <c r="F121" t="s">
        <v>491</v>
      </c>
      <c r="G121" t="s">
        <v>44</v>
      </c>
      <c r="H121" t="s">
        <v>45</v>
      </c>
      <c r="I121" t="s">
        <v>34</v>
      </c>
      <c r="J121" t="s">
        <v>46</v>
      </c>
      <c r="K121" t="s">
        <v>41</v>
      </c>
      <c r="L121" t="s">
        <v>1073</v>
      </c>
      <c r="M121" t="s">
        <v>1074</v>
      </c>
      <c r="N121" t="s">
        <v>494</v>
      </c>
      <c r="O121" t="s">
        <v>69</v>
      </c>
      <c r="P121" t="s">
        <v>1075</v>
      </c>
      <c r="Q121" s="14" t="s">
        <v>135</v>
      </c>
      <c r="R121" t="s">
        <v>928</v>
      </c>
      <c r="S121">
        <v>0.86</v>
      </c>
      <c r="T121">
        <v>3366</v>
      </c>
      <c r="U121">
        <v>0</v>
      </c>
      <c r="V121">
        <v>3366</v>
      </c>
    </row>
    <row r="122" spans="1:22" x14ac:dyDescent="0.3">
      <c r="A122">
        <v>79452</v>
      </c>
      <c r="B122">
        <v>135213972</v>
      </c>
      <c r="C122" t="s">
        <v>1076</v>
      </c>
      <c r="D122" t="s">
        <v>1077</v>
      </c>
      <c r="E122" t="s">
        <v>490</v>
      </c>
      <c r="F122" t="s">
        <v>491</v>
      </c>
      <c r="G122" t="s">
        <v>44</v>
      </c>
      <c r="H122" t="s">
        <v>45</v>
      </c>
      <c r="I122" t="s">
        <v>34</v>
      </c>
      <c r="J122" t="s">
        <v>46</v>
      </c>
      <c r="K122" t="s">
        <v>41</v>
      </c>
      <c r="L122" t="s">
        <v>1078</v>
      </c>
      <c r="M122" t="s">
        <v>1079</v>
      </c>
      <c r="N122" t="s">
        <v>494</v>
      </c>
      <c r="O122" t="s">
        <v>69</v>
      </c>
      <c r="P122" t="s">
        <v>1080</v>
      </c>
      <c r="Q122" s="14" t="s">
        <v>77</v>
      </c>
      <c r="R122" t="s">
        <v>928</v>
      </c>
      <c r="S122">
        <v>0.93</v>
      </c>
      <c r="T122">
        <v>3753</v>
      </c>
      <c r="U122">
        <v>0</v>
      </c>
      <c r="V122">
        <v>3753</v>
      </c>
    </row>
    <row r="123" spans="1:22" x14ac:dyDescent="0.3">
      <c r="A123">
        <v>79452</v>
      </c>
      <c r="B123">
        <v>135230942</v>
      </c>
      <c r="C123" t="s">
        <v>1081</v>
      </c>
      <c r="D123" t="s">
        <v>1082</v>
      </c>
      <c r="E123" t="s">
        <v>490</v>
      </c>
      <c r="F123" t="s">
        <v>491</v>
      </c>
      <c r="G123" t="s">
        <v>44</v>
      </c>
      <c r="H123" t="s">
        <v>45</v>
      </c>
      <c r="I123" t="s">
        <v>34</v>
      </c>
      <c r="J123" t="s">
        <v>46</v>
      </c>
      <c r="K123" t="s">
        <v>41</v>
      </c>
      <c r="L123" t="s">
        <v>1083</v>
      </c>
      <c r="M123" t="s">
        <v>1084</v>
      </c>
      <c r="N123" t="s">
        <v>494</v>
      </c>
      <c r="O123" t="s">
        <v>69</v>
      </c>
      <c r="P123" t="s">
        <v>1085</v>
      </c>
      <c r="Q123" s="14" t="s">
        <v>102</v>
      </c>
      <c r="R123" t="s">
        <v>306</v>
      </c>
      <c r="S123">
        <v>0.72</v>
      </c>
      <c r="T123">
        <v>4693</v>
      </c>
      <c r="U123">
        <v>0</v>
      </c>
      <c r="V123">
        <v>4693</v>
      </c>
    </row>
    <row r="124" spans="1:22" x14ac:dyDescent="0.3">
      <c r="A124">
        <v>79452</v>
      </c>
      <c r="B124">
        <v>135213992</v>
      </c>
      <c r="C124" t="s">
        <v>1086</v>
      </c>
      <c r="D124" t="s">
        <v>1087</v>
      </c>
      <c r="E124" t="s">
        <v>490</v>
      </c>
      <c r="F124" t="s">
        <v>491</v>
      </c>
      <c r="G124" t="s">
        <v>44</v>
      </c>
      <c r="H124" t="s">
        <v>45</v>
      </c>
      <c r="I124" t="s">
        <v>34</v>
      </c>
      <c r="J124" t="s">
        <v>46</v>
      </c>
      <c r="K124" t="s">
        <v>41</v>
      </c>
      <c r="L124" t="s">
        <v>1088</v>
      </c>
      <c r="M124" t="s">
        <v>1089</v>
      </c>
      <c r="N124" t="s">
        <v>494</v>
      </c>
      <c r="O124" t="s">
        <v>69</v>
      </c>
      <c r="P124" t="s">
        <v>1090</v>
      </c>
      <c r="Q124" s="14" t="s">
        <v>89</v>
      </c>
      <c r="R124" t="s">
        <v>928</v>
      </c>
      <c r="S124">
        <v>0.73</v>
      </c>
      <c r="T124">
        <v>3753</v>
      </c>
      <c r="U124">
        <v>0</v>
      </c>
      <c r="V124">
        <v>3753</v>
      </c>
    </row>
    <row r="125" spans="1:22" x14ac:dyDescent="0.3">
      <c r="A125">
        <v>79452</v>
      </c>
      <c r="B125">
        <v>135187152</v>
      </c>
      <c r="C125" t="s">
        <v>1091</v>
      </c>
      <c r="D125" t="s">
        <v>1092</v>
      </c>
      <c r="E125" t="s">
        <v>490</v>
      </c>
      <c r="F125" t="s">
        <v>491</v>
      </c>
      <c r="G125" t="s">
        <v>44</v>
      </c>
      <c r="H125" t="s">
        <v>45</v>
      </c>
      <c r="I125" t="s">
        <v>34</v>
      </c>
      <c r="J125" t="s">
        <v>46</v>
      </c>
      <c r="K125" t="s">
        <v>41</v>
      </c>
      <c r="L125" t="s">
        <v>1093</v>
      </c>
      <c r="M125" t="s">
        <v>1094</v>
      </c>
      <c r="N125" t="s">
        <v>494</v>
      </c>
      <c r="O125" t="s">
        <v>69</v>
      </c>
      <c r="P125" t="s">
        <v>1095</v>
      </c>
      <c r="Q125" s="14" t="s">
        <v>203</v>
      </c>
      <c r="R125" t="s">
        <v>954</v>
      </c>
      <c r="S125">
        <v>0.94</v>
      </c>
      <c r="T125">
        <v>4067</v>
      </c>
      <c r="U125">
        <v>0</v>
      </c>
      <c r="V125">
        <v>4067</v>
      </c>
    </row>
    <row r="126" spans="1:22" x14ac:dyDescent="0.3">
      <c r="A126">
        <v>79452</v>
      </c>
      <c r="B126">
        <v>135230956</v>
      </c>
      <c r="C126" t="s">
        <v>1096</v>
      </c>
      <c r="D126" t="s">
        <v>1097</v>
      </c>
      <c r="E126" t="s">
        <v>490</v>
      </c>
      <c r="F126" t="s">
        <v>491</v>
      </c>
      <c r="G126" t="s">
        <v>44</v>
      </c>
      <c r="H126" t="s">
        <v>45</v>
      </c>
      <c r="I126" t="s">
        <v>34</v>
      </c>
      <c r="J126" t="s">
        <v>46</v>
      </c>
      <c r="K126" t="s">
        <v>41</v>
      </c>
      <c r="L126" t="s">
        <v>1098</v>
      </c>
      <c r="M126" t="s">
        <v>1099</v>
      </c>
      <c r="N126" t="s">
        <v>494</v>
      </c>
      <c r="O126" t="s">
        <v>69</v>
      </c>
      <c r="P126" t="s">
        <v>1100</v>
      </c>
      <c r="Q126" s="14" t="s">
        <v>92</v>
      </c>
      <c r="R126" t="s">
        <v>306</v>
      </c>
      <c r="S126">
        <v>1</v>
      </c>
      <c r="T126">
        <v>3753</v>
      </c>
      <c r="U126">
        <v>0</v>
      </c>
      <c r="V126">
        <v>3753</v>
      </c>
    </row>
    <row r="127" spans="1:22" x14ac:dyDescent="0.3">
      <c r="A127">
        <v>79452</v>
      </c>
      <c r="B127">
        <v>135254541</v>
      </c>
      <c r="C127" t="s">
        <v>1101</v>
      </c>
      <c r="D127" t="s">
        <v>1102</v>
      </c>
      <c r="E127" t="s">
        <v>490</v>
      </c>
      <c r="F127" t="s">
        <v>491</v>
      </c>
      <c r="G127" t="s">
        <v>44</v>
      </c>
      <c r="H127" t="s">
        <v>45</v>
      </c>
      <c r="I127" t="s">
        <v>34</v>
      </c>
      <c r="J127" t="s">
        <v>46</v>
      </c>
      <c r="K127" t="s">
        <v>41</v>
      </c>
      <c r="L127" t="s">
        <v>1103</v>
      </c>
      <c r="M127" t="s">
        <v>580</v>
      </c>
      <c r="N127" t="s">
        <v>494</v>
      </c>
      <c r="O127" t="s">
        <v>69</v>
      </c>
      <c r="P127" t="s">
        <v>581</v>
      </c>
      <c r="Q127" s="14" t="s">
        <v>78</v>
      </c>
      <c r="R127" t="s">
        <v>305</v>
      </c>
      <c r="S127">
        <v>1.07</v>
      </c>
      <c r="T127">
        <v>3366</v>
      </c>
      <c r="U127">
        <v>0</v>
      </c>
      <c r="V127">
        <v>3366</v>
      </c>
    </row>
    <row r="128" spans="1:22" x14ac:dyDescent="0.3">
      <c r="A128">
        <v>79452</v>
      </c>
      <c r="B128">
        <v>135180105</v>
      </c>
      <c r="C128" t="s">
        <v>1104</v>
      </c>
      <c r="D128" t="s">
        <v>1105</v>
      </c>
      <c r="E128" t="s">
        <v>490</v>
      </c>
      <c r="F128" t="s">
        <v>491</v>
      </c>
      <c r="G128" t="s">
        <v>44</v>
      </c>
      <c r="H128" t="s">
        <v>45</v>
      </c>
      <c r="I128" t="s">
        <v>34</v>
      </c>
      <c r="J128" t="s">
        <v>46</v>
      </c>
      <c r="K128" t="s">
        <v>41</v>
      </c>
      <c r="L128" t="s">
        <v>1106</v>
      </c>
      <c r="M128" t="s">
        <v>1107</v>
      </c>
      <c r="N128" t="s">
        <v>494</v>
      </c>
      <c r="O128" t="s">
        <v>69</v>
      </c>
      <c r="P128" t="s">
        <v>1108</v>
      </c>
      <c r="Q128" s="14" t="s">
        <v>164</v>
      </c>
      <c r="R128" t="s">
        <v>1109</v>
      </c>
      <c r="S128">
        <v>1.23</v>
      </c>
      <c r="T128">
        <v>3753</v>
      </c>
      <c r="U128">
        <v>0</v>
      </c>
      <c r="V128">
        <v>3753</v>
      </c>
    </row>
    <row r="129" spans="1:22" x14ac:dyDescent="0.3">
      <c r="A129">
        <v>79452</v>
      </c>
      <c r="B129">
        <v>135187171</v>
      </c>
      <c r="C129" t="s">
        <v>1110</v>
      </c>
      <c r="D129" t="s">
        <v>1111</v>
      </c>
      <c r="E129" t="s">
        <v>490</v>
      </c>
      <c r="F129" t="s">
        <v>491</v>
      </c>
      <c r="G129" t="s">
        <v>44</v>
      </c>
      <c r="H129" t="s">
        <v>45</v>
      </c>
      <c r="I129" t="s">
        <v>34</v>
      </c>
      <c r="J129" t="s">
        <v>46</v>
      </c>
      <c r="K129" t="s">
        <v>41</v>
      </c>
      <c r="L129" t="s">
        <v>1112</v>
      </c>
      <c r="M129" t="s">
        <v>1113</v>
      </c>
      <c r="N129" t="s">
        <v>494</v>
      </c>
      <c r="O129" t="s">
        <v>69</v>
      </c>
      <c r="P129" t="s">
        <v>1114</v>
      </c>
      <c r="Q129" s="14" t="s">
        <v>108</v>
      </c>
      <c r="R129" t="s">
        <v>954</v>
      </c>
      <c r="S129">
        <v>0.67</v>
      </c>
      <c r="T129">
        <v>3753</v>
      </c>
      <c r="U129">
        <v>0</v>
      </c>
      <c r="V129">
        <v>3753</v>
      </c>
    </row>
    <row r="130" spans="1:22" x14ac:dyDescent="0.3">
      <c r="A130">
        <v>79452</v>
      </c>
      <c r="B130">
        <v>134950259</v>
      </c>
      <c r="C130" t="s">
        <v>1115</v>
      </c>
      <c r="D130" t="s">
        <v>1116</v>
      </c>
      <c r="E130" t="s">
        <v>490</v>
      </c>
      <c r="F130" t="s">
        <v>491</v>
      </c>
      <c r="G130" t="s">
        <v>44</v>
      </c>
      <c r="H130" t="s">
        <v>45</v>
      </c>
      <c r="I130" t="s">
        <v>34</v>
      </c>
      <c r="J130" t="s">
        <v>46</v>
      </c>
      <c r="K130" t="s">
        <v>41</v>
      </c>
      <c r="L130" t="s">
        <v>1117</v>
      </c>
      <c r="M130" t="s">
        <v>1118</v>
      </c>
      <c r="N130" t="s">
        <v>494</v>
      </c>
      <c r="O130" t="s">
        <v>69</v>
      </c>
      <c r="P130" t="s">
        <v>1119</v>
      </c>
      <c r="Q130" s="14" t="s">
        <v>149</v>
      </c>
      <c r="R130" t="s">
        <v>1120</v>
      </c>
      <c r="S130">
        <v>1</v>
      </c>
      <c r="T130">
        <v>5759</v>
      </c>
      <c r="U130">
        <v>0</v>
      </c>
      <c r="V130">
        <v>5759</v>
      </c>
    </row>
    <row r="131" spans="1:22" x14ac:dyDescent="0.3">
      <c r="A131">
        <v>79452</v>
      </c>
      <c r="B131">
        <v>135213976</v>
      </c>
      <c r="C131" t="s">
        <v>1121</v>
      </c>
      <c r="D131" t="s">
        <v>1122</v>
      </c>
      <c r="E131" t="s">
        <v>490</v>
      </c>
      <c r="F131" t="s">
        <v>491</v>
      </c>
      <c r="G131" t="s">
        <v>44</v>
      </c>
      <c r="H131" t="s">
        <v>45</v>
      </c>
      <c r="I131" t="s">
        <v>34</v>
      </c>
      <c r="J131" t="s">
        <v>46</v>
      </c>
      <c r="K131" t="s">
        <v>41</v>
      </c>
      <c r="L131" t="s">
        <v>1123</v>
      </c>
      <c r="M131" t="s">
        <v>1124</v>
      </c>
      <c r="N131" t="s">
        <v>494</v>
      </c>
      <c r="O131" t="s">
        <v>69</v>
      </c>
      <c r="P131" t="s">
        <v>1125</v>
      </c>
      <c r="Q131" s="14" t="s">
        <v>107</v>
      </c>
      <c r="R131" t="s">
        <v>928</v>
      </c>
      <c r="S131">
        <v>1.21</v>
      </c>
      <c r="T131">
        <v>3784</v>
      </c>
      <c r="U131">
        <v>0</v>
      </c>
      <c r="V131">
        <v>3784</v>
      </c>
    </row>
    <row r="132" spans="1:22" x14ac:dyDescent="0.3">
      <c r="A132">
        <v>79452</v>
      </c>
      <c r="B132">
        <v>135214000</v>
      </c>
      <c r="C132" t="s">
        <v>1126</v>
      </c>
      <c r="D132" t="s">
        <v>1127</v>
      </c>
      <c r="E132" t="s">
        <v>490</v>
      </c>
      <c r="F132" t="s">
        <v>491</v>
      </c>
      <c r="G132" t="s">
        <v>44</v>
      </c>
      <c r="H132" t="s">
        <v>45</v>
      </c>
      <c r="I132" t="s">
        <v>34</v>
      </c>
      <c r="J132" t="s">
        <v>46</v>
      </c>
      <c r="K132" t="s">
        <v>41</v>
      </c>
      <c r="L132" t="s">
        <v>1128</v>
      </c>
      <c r="M132" t="s">
        <v>1129</v>
      </c>
      <c r="N132" t="s">
        <v>494</v>
      </c>
      <c r="O132" t="s">
        <v>69</v>
      </c>
      <c r="P132" t="s">
        <v>1130</v>
      </c>
      <c r="Q132" s="14" t="s">
        <v>107</v>
      </c>
      <c r="R132" t="s">
        <v>928</v>
      </c>
      <c r="S132">
        <v>0.86</v>
      </c>
      <c r="T132">
        <v>3784</v>
      </c>
      <c r="U132">
        <v>0</v>
      </c>
      <c r="V132">
        <v>3784</v>
      </c>
    </row>
    <row r="133" spans="1:22" x14ac:dyDescent="0.3">
      <c r="A133">
        <v>79452</v>
      </c>
      <c r="B133">
        <v>135254524</v>
      </c>
      <c r="C133" t="s">
        <v>1131</v>
      </c>
      <c r="D133" t="s">
        <v>1132</v>
      </c>
      <c r="E133" t="s">
        <v>490</v>
      </c>
      <c r="F133" t="s">
        <v>491</v>
      </c>
      <c r="G133" t="s">
        <v>44</v>
      </c>
      <c r="H133" t="s">
        <v>45</v>
      </c>
      <c r="I133" t="s">
        <v>34</v>
      </c>
      <c r="J133" t="s">
        <v>46</v>
      </c>
      <c r="K133" t="s">
        <v>41</v>
      </c>
      <c r="L133" t="s">
        <v>1133</v>
      </c>
      <c r="M133" t="s">
        <v>1134</v>
      </c>
      <c r="N133" t="s">
        <v>494</v>
      </c>
      <c r="O133" t="s">
        <v>69</v>
      </c>
      <c r="P133" t="s">
        <v>1135</v>
      </c>
      <c r="Q133" s="14" t="s">
        <v>61</v>
      </c>
      <c r="R133" t="s">
        <v>305</v>
      </c>
      <c r="S133">
        <v>1.19</v>
      </c>
      <c r="T133">
        <v>3870</v>
      </c>
      <c r="U133">
        <v>0</v>
      </c>
      <c r="V133">
        <v>3870</v>
      </c>
    </row>
    <row r="134" spans="1:22" x14ac:dyDescent="0.3">
      <c r="A134">
        <v>79452</v>
      </c>
      <c r="B134">
        <v>135213960</v>
      </c>
      <c r="C134" t="s">
        <v>1136</v>
      </c>
      <c r="D134" t="s">
        <v>1137</v>
      </c>
      <c r="E134" t="s">
        <v>490</v>
      </c>
      <c r="F134" t="s">
        <v>491</v>
      </c>
      <c r="G134" t="s">
        <v>44</v>
      </c>
      <c r="H134" t="s">
        <v>45</v>
      </c>
      <c r="I134" t="s">
        <v>34</v>
      </c>
      <c r="J134" t="s">
        <v>46</v>
      </c>
      <c r="K134" t="s">
        <v>41</v>
      </c>
      <c r="L134" t="s">
        <v>1138</v>
      </c>
      <c r="M134" t="s">
        <v>1139</v>
      </c>
      <c r="N134" t="s">
        <v>494</v>
      </c>
      <c r="O134" t="s">
        <v>69</v>
      </c>
      <c r="P134" t="s">
        <v>1140</v>
      </c>
      <c r="Q134" s="14" t="s">
        <v>179</v>
      </c>
      <c r="R134" t="s">
        <v>1051</v>
      </c>
      <c r="S134">
        <v>0.75</v>
      </c>
      <c r="T134">
        <v>3366</v>
      </c>
      <c r="U134">
        <v>0</v>
      </c>
      <c r="V134">
        <v>3366</v>
      </c>
    </row>
    <row r="135" spans="1:22" x14ac:dyDescent="0.3">
      <c r="A135">
        <v>79452</v>
      </c>
      <c r="B135">
        <v>135180113</v>
      </c>
      <c r="C135" t="s">
        <v>1141</v>
      </c>
      <c r="D135" t="s">
        <v>1142</v>
      </c>
      <c r="E135" t="s">
        <v>490</v>
      </c>
      <c r="F135" t="s">
        <v>491</v>
      </c>
      <c r="G135" t="s">
        <v>44</v>
      </c>
      <c r="H135" t="s">
        <v>45</v>
      </c>
      <c r="I135" t="s">
        <v>34</v>
      </c>
      <c r="J135" t="s">
        <v>46</v>
      </c>
      <c r="K135" t="s">
        <v>41</v>
      </c>
      <c r="L135" t="s">
        <v>1143</v>
      </c>
      <c r="M135" t="s">
        <v>1144</v>
      </c>
      <c r="N135" t="s">
        <v>494</v>
      </c>
      <c r="O135" t="s">
        <v>69</v>
      </c>
      <c r="P135" t="s">
        <v>1145</v>
      </c>
      <c r="Q135" s="14" t="s">
        <v>172</v>
      </c>
      <c r="R135" t="s">
        <v>1109</v>
      </c>
      <c r="S135">
        <v>0.85</v>
      </c>
      <c r="T135">
        <v>4881</v>
      </c>
      <c r="U135">
        <v>0</v>
      </c>
      <c r="V135">
        <v>4881</v>
      </c>
    </row>
    <row r="136" spans="1:22" x14ac:dyDescent="0.3">
      <c r="A136">
        <v>79452</v>
      </c>
      <c r="B136">
        <v>135254521</v>
      </c>
      <c r="C136" t="s">
        <v>1146</v>
      </c>
      <c r="D136" t="s">
        <v>1147</v>
      </c>
      <c r="E136" t="s">
        <v>490</v>
      </c>
      <c r="F136" t="s">
        <v>491</v>
      </c>
      <c r="G136" t="s">
        <v>44</v>
      </c>
      <c r="H136" t="s">
        <v>45</v>
      </c>
      <c r="I136" t="s">
        <v>34</v>
      </c>
      <c r="J136" t="s">
        <v>46</v>
      </c>
      <c r="K136" t="s">
        <v>41</v>
      </c>
      <c r="L136" t="s">
        <v>1148</v>
      </c>
      <c r="M136" t="s">
        <v>1149</v>
      </c>
      <c r="N136" t="s">
        <v>494</v>
      </c>
      <c r="O136" t="s">
        <v>69</v>
      </c>
      <c r="P136" t="s">
        <v>1150</v>
      </c>
      <c r="Q136" s="14" t="s">
        <v>78</v>
      </c>
      <c r="R136" t="s">
        <v>305</v>
      </c>
      <c r="S136">
        <v>1.56</v>
      </c>
      <c r="T136">
        <v>3366</v>
      </c>
      <c r="U136">
        <v>0</v>
      </c>
      <c r="V136">
        <v>3366</v>
      </c>
    </row>
    <row r="137" spans="1:22" x14ac:dyDescent="0.3">
      <c r="A137">
        <v>79452</v>
      </c>
      <c r="B137">
        <v>135269383</v>
      </c>
      <c r="C137" t="s">
        <v>1151</v>
      </c>
      <c r="D137" t="s">
        <v>1152</v>
      </c>
      <c r="E137" t="s">
        <v>490</v>
      </c>
      <c r="F137" t="s">
        <v>491</v>
      </c>
      <c r="G137" t="s">
        <v>44</v>
      </c>
      <c r="H137" t="s">
        <v>45</v>
      </c>
      <c r="I137" t="s">
        <v>34</v>
      </c>
      <c r="J137" t="s">
        <v>46</v>
      </c>
      <c r="K137" t="s">
        <v>41</v>
      </c>
      <c r="L137" t="s">
        <v>1153</v>
      </c>
      <c r="M137" t="s">
        <v>1154</v>
      </c>
      <c r="N137" t="s">
        <v>494</v>
      </c>
      <c r="O137" t="s">
        <v>69</v>
      </c>
      <c r="P137" t="s">
        <v>1155</v>
      </c>
      <c r="Q137" s="14" t="s">
        <v>86</v>
      </c>
      <c r="R137" t="s">
        <v>798</v>
      </c>
      <c r="S137">
        <v>1.27</v>
      </c>
      <c r="T137">
        <v>3366</v>
      </c>
      <c r="U137">
        <v>0</v>
      </c>
      <c r="V137">
        <v>3366</v>
      </c>
    </row>
    <row r="138" spans="1:22" x14ac:dyDescent="0.3">
      <c r="A138">
        <v>79452</v>
      </c>
      <c r="B138">
        <v>135144956</v>
      </c>
      <c r="C138" t="s">
        <v>1156</v>
      </c>
      <c r="D138" t="s">
        <v>1157</v>
      </c>
      <c r="E138" t="s">
        <v>490</v>
      </c>
      <c r="F138" t="s">
        <v>491</v>
      </c>
      <c r="G138" t="s">
        <v>44</v>
      </c>
      <c r="H138" t="s">
        <v>45</v>
      </c>
      <c r="I138" t="s">
        <v>34</v>
      </c>
      <c r="J138" t="s">
        <v>46</v>
      </c>
      <c r="K138" t="s">
        <v>41</v>
      </c>
      <c r="L138" t="s">
        <v>1158</v>
      </c>
      <c r="M138" t="s">
        <v>1159</v>
      </c>
      <c r="N138" t="s">
        <v>494</v>
      </c>
      <c r="O138" t="s">
        <v>69</v>
      </c>
      <c r="P138" t="s">
        <v>1160</v>
      </c>
      <c r="Q138" s="14" t="s">
        <v>60</v>
      </c>
      <c r="R138" t="s">
        <v>1065</v>
      </c>
      <c r="S138">
        <v>1.77</v>
      </c>
      <c r="T138">
        <v>5759</v>
      </c>
      <c r="U138">
        <v>0</v>
      </c>
      <c r="V138">
        <v>5759</v>
      </c>
    </row>
    <row r="139" spans="1:22" x14ac:dyDescent="0.3">
      <c r="A139">
        <v>79452</v>
      </c>
      <c r="B139">
        <v>135254535</v>
      </c>
      <c r="C139" t="s">
        <v>1161</v>
      </c>
      <c r="D139" t="s">
        <v>1162</v>
      </c>
      <c r="E139" t="s">
        <v>490</v>
      </c>
      <c r="F139" t="s">
        <v>491</v>
      </c>
      <c r="G139" t="s">
        <v>44</v>
      </c>
      <c r="H139" t="s">
        <v>45</v>
      </c>
      <c r="I139" t="s">
        <v>34</v>
      </c>
      <c r="J139" t="s">
        <v>46</v>
      </c>
      <c r="K139" t="s">
        <v>41</v>
      </c>
      <c r="L139" t="s">
        <v>1163</v>
      </c>
      <c r="M139" t="s">
        <v>1164</v>
      </c>
      <c r="N139" t="s">
        <v>494</v>
      </c>
      <c r="O139" t="s">
        <v>69</v>
      </c>
      <c r="P139" t="s">
        <v>1165</v>
      </c>
      <c r="Q139" s="14" t="s">
        <v>135</v>
      </c>
      <c r="R139" t="s">
        <v>305</v>
      </c>
      <c r="S139">
        <v>1</v>
      </c>
      <c r="T139">
        <v>3366</v>
      </c>
      <c r="U139">
        <v>0</v>
      </c>
      <c r="V139">
        <v>3366</v>
      </c>
    </row>
    <row r="140" spans="1:22" x14ac:dyDescent="0.3">
      <c r="A140">
        <v>79452</v>
      </c>
      <c r="B140">
        <v>135180116</v>
      </c>
      <c r="C140" t="s">
        <v>1166</v>
      </c>
      <c r="D140" t="s">
        <v>1167</v>
      </c>
      <c r="E140" t="s">
        <v>490</v>
      </c>
      <c r="F140" t="s">
        <v>491</v>
      </c>
      <c r="G140" t="s">
        <v>44</v>
      </c>
      <c r="H140" t="s">
        <v>45</v>
      </c>
      <c r="I140" t="s">
        <v>34</v>
      </c>
      <c r="J140" t="s">
        <v>46</v>
      </c>
      <c r="K140" t="s">
        <v>41</v>
      </c>
      <c r="L140" t="s">
        <v>1168</v>
      </c>
      <c r="M140" t="s">
        <v>715</v>
      </c>
      <c r="N140" t="s">
        <v>494</v>
      </c>
      <c r="O140" t="s">
        <v>69</v>
      </c>
      <c r="P140" t="s">
        <v>1169</v>
      </c>
      <c r="Q140" s="14" t="s">
        <v>58</v>
      </c>
      <c r="R140" t="s">
        <v>1109</v>
      </c>
      <c r="S140">
        <v>1.5</v>
      </c>
      <c r="T140">
        <v>4346</v>
      </c>
      <c r="U140">
        <v>0</v>
      </c>
      <c r="V140">
        <v>4346</v>
      </c>
    </row>
    <row r="141" spans="1:22" x14ac:dyDescent="0.3">
      <c r="A141">
        <v>79452</v>
      </c>
      <c r="B141">
        <v>135158632</v>
      </c>
      <c r="C141" t="s">
        <v>1170</v>
      </c>
      <c r="D141" t="s">
        <v>1171</v>
      </c>
      <c r="E141" t="s">
        <v>490</v>
      </c>
      <c r="F141" t="s">
        <v>491</v>
      </c>
      <c r="G141" t="s">
        <v>44</v>
      </c>
      <c r="H141" t="s">
        <v>45</v>
      </c>
      <c r="I141" t="s">
        <v>34</v>
      </c>
      <c r="J141" t="s">
        <v>46</v>
      </c>
      <c r="K141" t="s">
        <v>41</v>
      </c>
      <c r="L141" t="s">
        <v>1172</v>
      </c>
      <c r="M141" t="s">
        <v>1173</v>
      </c>
      <c r="N141" t="s">
        <v>494</v>
      </c>
      <c r="O141" t="s">
        <v>69</v>
      </c>
      <c r="P141" t="s">
        <v>1174</v>
      </c>
      <c r="Q141" s="14" t="s">
        <v>192</v>
      </c>
      <c r="R141" t="s">
        <v>264</v>
      </c>
      <c r="S141">
        <v>1</v>
      </c>
      <c r="T141">
        <v>4346</v>
      </c>
      <c r="U141">
        <v>0</v>
      </c>
      <c r="V141">
        <v>4346</v>
      </c>
    </row>
    <row r="142" spans="1:22" x14ac:dyDescent="0.3">
      <c r="A142">
        <v>79452</v>
      </c>
      <c r="B142">
        <v>135187166</v>
      </c>
      <c r="C142" t="s">
        <v>1175</v>
      </c>
      <c r="D142" t="s">
        <v>1176</v>
      </c>
      <c r="E142" t="s">
        <v>490</v>
      </c>
      <c r="F142" t="s">
        <v>491</v>
      </c>
      <c r="G142" t="s">
        <v>44</v>
      </c>
      <c r="H142" t="s">
        <v>45</v>
      </c>
      <c r="I142" t="s">
        <v>34</v>
      </c>
      <c r="J142" t="s">
        <v>46</v>
      </c>
      <c r="K142" t="s">
        <v>41</v>
      </c>
      <c r="L142" t="s">
        <v>258</v>
      </c>
      <c r="M142" t="s">
        <v>1177</v>
      </c>
      <c r="N142" t="s">
        <v>494</v>
      </c>
      <c r="O142" t="s">
        <v>69</v>
      </c>
      <c r="P142" t="s">
        <v>1178</v>
      </c>
      <c r="Q142" s="14" t="s">
        <v>160</v>
      </c>
      <c r="R142" t="s">
        <v>954</v>
      </c>
      <c r="S142">
        <v>1.3</v>
      </c>
      <c r="T142">
        <v>3753</v>
      </c>
      <c r="U142">
        <v>0</v>
      </c>
      <c r="V142">
        <v>3753</v>
      </c>
    </row>
    <row r="143" spans="1:22" x14ac:dyDescent="0.3">
      <c r="A143">
        <v>79452</v>
      </c>
      <c r="B143">
        <v>135187148</v>
      </c>
      <c r="C143" t="s">
        <v>1179</v>
      </c>
      <c r="D143" t="s">
        <v>1180</v>
      </c>
      <c r="E143" t="s">
        <v>490</v>
      </c>
      <c r="F143" t="s">
        <v>491</v>
      </c>
      <c r="G143" t="s">
        <v>44</v>
      </c>
      <c r="H143" t="s">
        <v>45</v>
      </c>
      <c r="I143" t="s">
        <v>34</v>
      </c>
      <c r="J143" t="s">
        <v>46</v>
      </c>
      <c r="K143" t="s">
        <v>41</v>
      </c>
      <c r="L143" t="s">
        <v>1181</v>
      </c>
      <c r="M143" t="s">
        <v>1182</v>
      </c>
      <c r="N143" t="s">
        <v>494</v>
      </c>
      <c r="O143" t="s">
        <v>69</v>
      </c>
      <c r="P143" t="s">
        <v>1183</v>
      </c>
      <c r="Q143" s="14" t="s">
        <v>168</v>
      </c>
      <c r="R143" t="s">
        <v>954</v>
      </c>
      <c r="S143">
        <v>0.57999999999999996</v>
      </c>
      <c r="T143">
        <v>7506</v>
      </c>
      <c r="U143">
        <v>0</v>
      </c>
      <c r="V143">
        <v>7506</v>
      </c>
    </row>
    <row r="144" spans="1:22" x14ac:dyDescent="0.3">
      <c r="A144">
        <v>79452</v>
      </c>
      <c r="B144">
        <v>135144955</v>
      </c>
      <c r="C144" t="s">
        <v>1184</v>
      </c>
      <c r="D144" t="s">
        <v>1185</v>
      </c>
      <c r="E144" t="s">
        <v>490</v>
      </c>
      <c r="F144" t="s">
        <v>491</v>
      </c>
      <c r="G144" t="s">
        <v>44</v>
      </c>
      <c r="H144" t="s">
        <v>45</v>
      </c>
      <c r="I144" t="s">
        <v>34</v>
      </c>
      <c r="J144" t="s">
        <v>46</v>
      </c>
      <c r="K144" t="s">
        <v>56</v>
      </c>
      <c r="L144" t="s">
        <v>57</v>
      </c>
      <c r="M144" t="s">
        <v>1186</v>
      </c>
      <c r="N144" t="s">
        <v>494</v>
      </c>
      <c r="O144" t="s">
        <v>69</v>
      </c>
      <c r="P144" t="s">
        <v>1187</v>
      </c>
      <c r="Q144" s="14" t="s">
        <v>58</v>
      </c>
      <c r="R144" t="s">
        <v>1065</v>
      </c>
      <c r="S144">
        <v>1.05</v>
      </c>
      <c r="T144">
        <v>4346</v>
      </c>
      <c r="U144">
        <v>0</v>
      </c>
      <c r="V144">
        <v>4346</v>
      </c>
    </row>
    <row r="145" spans="1:22" x14ac:dyDescent="0.3">
      <c r="A145">
        <v>79452</v>
      </c>
      <c r="B145">
        <v>135144965</v>
      </c>
      <c r="C145" t="s">
        <v>1188</v>
      </c>
      <c r="D145" t="s">
        <v>1189</v>
      </c>
      <c r="E145" t="s">
        <v>490</v>
      </c>
      <c r="F145" t="s">
        <v>491</v>
      </c>
      <c r="G145" t="s">
        <v>44</v>
      </c>
      <c r="H145" t="s">
        <v>45</v>
      </c>
      <c r="I145" t="s">
        <v>34</v>
      </c>
      <c r="J145" t="s">
        <v>46</v>
      </c>
      <c r="K145" t="s">
        <v>41</v>
      </c>
      <c r="L145" t="s">
        <v>1190</v>
      </c>
      <c r="M145" t="s">
        <v>1191</v>
      </c>
      <c r="N145" t="s">
        <v>494</v>
      </c>
      <c r="O145" t="s">
        <v>69</v>
      </c>
      <c r="P145" t="s">
        <v>1192</v>
      </c>
      <c r="Q145" s="14" t="s">
        <v>86</v>
      </c>
      <c r="R145" t="s">
        <v>1065</v>
      </c>
      <c r="S145">
        <v>1</v>
      </c>
      <c r="T145">
        <v>3366</v>
      </c>
      <c r="U145">
        <v>0</v>
      </c>
      <c r="V145">
        <v>3366</v>
      </c>
    </row>
    <row r="146" spans="1:22" x14ac:dyDescent="0.3">
      <c r="A146">
        <v>79452</v>
      </c>
      <c r="B146">
        <v>135236275</v>
      </c>
      <c r="C146" t="s">
        <v>1193</v>
      </c>
      <c r="D146" t="s">
        <v>1194</v>
      </c>
      <c r="E146" t="s">
        <v>490</v>
      </c>
      <c r="F146" t="s">
        <v>491</v>
      </c>
      <c r="G146" t="s">
        <v>44</v>
      </c>
      <c r="H146" t="s">
        <v>45</v>
      </c>
      <c r="I146" t="s">
        <v>34</v>
      </c>
      <c r="J146" t="s">
        <v>46</v>
      </c>
      <c r="K146" t="s">
        <v>41</v>
      </c>
      <c r="L146" t="s">
        <v>1195</v>
      </c>
      <c r="M146" t="s">
        <v>1196</v>
      </c>
      <c r="N146" t="s">
        <v>494</v>
      </c>
      <c r="O146" t="s">
        <v>69</v>
      </c>
      <c r="P146" t="s">
        <v>1197</v>
      </c>
      <c r="Q146" s="14" t="s">
        <v>42</v>
      </c>
      <c r="R146" t="s">
        <v>251</v>
      </c>
      <c r="S146">
        <v>0.59</v>
      </c>
      <c r="T146">
        <v>3501</v>
      </c>
      <c r="U146">
        <v>0</v>
      </c>
      <c r="V146">
        <v>3501</v>
      </c>
    </row>
    <row r="147" spans="1:22" x14ac:dyDescent="0.3">
      <c r="A147">
        <v>79452</v>
      </c>
      <c r="B147">
        <v>135180124</v>
      </c>
      <c r="C147" t="s">
        <v>1198</v>
      </c>
      <c r="D147" t="s">
        <v>1199</v>
      </c>
      <c r="E147" t="s">
        <v>490</v>
      </c>
      <c r="F147" t="s">
        <v>491</v>
      </c>
      <c r="G147" t="s">
        <v>44</v>
      </c>
      <c r="H147" t="s">
        <v>45</v>
      </c>
      <c r="I147" t="s">
        <v>34</v>
      </c>
      <c r="J147" t="s">
        <v>46</v>
      </c>
      <c r="K147" t="s">
        <v>41</v>
      </c>
      <c r="L147" t="s">
        <v>1200</v>
      </c>
      <c r="M147" t="s">
        <v>1201</v>
      </c>
      <c r="N147" t="s">
        <v>494</v>
      </c>
      <c r="O147" t="s">
        <v>69</v>
      </c>
      <c r="P147" t="s">
        <v>1202</v>
      </c>
      <c r="Q147" s="14" t="s">
        <v>42</v>
      </c>
      <c r="R147" t="s">
        <v>1109</v>
      </c>
      <c r="S147">
        <v>1.96</v>
      </c>
      <c r="T147">
        <v>3501</v>
      </c>
      <c r="U147">
        <v>0</v>
      </c>
      <c r="V147">
        <v>3501</v>
      </c>
    </row>
    <row r="148" spans="1:22" x14ac:dyDescent="0.3">
      <c r="A148">
        <v>79452</v>
      </c>
      <c r="B148">
        <v>135144949</v>
      </c>
      <c r="C148" t="s">
        <v>1203</v>
      </c>
      <c r="D148" t="s">
        <v>1204</v>
      </c>
      <c r="E148" t="s">
        <v>490</v>
      </c>
      <c r="F148" t="s">
        <v>491</v>
      </c>
      <c r="G148" t="s">
        <v>44</v>
      </c>
      <c r="H148" t="s">
        <v>45</v>
      </c>
      <c r="I148" t="s">
        <v>34</v>
      </c>
      <c r="J148" t="s">
        <v>46</v>
      </c>
      <c r="K148" t="s">
        <v>41</v>
      </c>
      <c r="L148" t="s">
        <v>1205</v>
      </c>
      <c r="M148" t="s">
        <v>1206</v>
      </c>
      <c r="N148" t="s">
        <v>494</v>
      </c>
      <c r="O148" t="s">
        <v>69</v>
      </c>
      <c r="P148" t="s">
        <v>1207</v>
      </c>
      <c r="Q148" s="14" t="s">
        <v>107</v>
      </c>
      <c r="R148" t="s">
        <v>1065</v>
      </c>
      <c r="S148">
        <v>1</v>
      </c>
      <c r="T148">
        <v>3784</v>
      </c>
      <c r="U148">
        <v>0</v>
      </c>
      <c r="V148">
        <v>3784</v>
      </c>
    </row>
    <row r="149" spans="1:22" x14ac:dyDescent="0.3">
      <c r="A149">
        <v>79452</v>
      </c>
      <c r="B149">
        <v>135180112</v>
      </c>
      <c r="C149" t="s">
        <v>1208</v>
      </c>
      <c r="D149" t="s">
        <v>1209</v>
      </c>
      <c r="E149" t="s">
        <v>490</v>
      </c>
      <c r="F149" t="s">
        <v>491</v>
      </c>
      <c r="G149" t="s">
        <v>44</v>
      </c>
      <c r="H149" t="s">
        <v>45</v>
      </c>
      <c r="I149" t="s">
        <v>34</v>
      </c>
      <c r="J149" t="s">
        <v>46</v>
      </c>
      <c r="K149" t="s">
        <v>41</v>
      </c>
      <c r="L149" t="s">
        <v>1210</v>
      </c>
      <c r="M149" t="s">
        <v>1211</v>
      </c>
      <c r="N149" t="s">
        <v>494</v>
      </c>
      <c r="O149" t="s">
        <v>69</v>
      </c>
      <c r="P149" t="s">
        <v>1212</v>
      </c>
      <c r="Q149" s="14" t="s">
        <v>108</v>
      </c>
      <c r="R149" t="s">
        <v>1109</v>
      </c>
      <c r="S149">
        <v>1.32</v>
      </c>
      <c r="T149">
        <v>3753</v>
      </c>
      <c r="U149">
        <v>0</v>
      </c>
      <c r="V149">
        <v>3753</v>
      </c>
    </row>
    <row r="150" spans="1:22" x14ac:dyDescent="0.3">
      <c r="A150">
        <v>79452</v>
      </c>
      <c r="B150">
        <v>135180115</v>
      </c>
      <c r="C150" t="s">
        <v>1213</v>
      </c>
      <c r="D150" t="s">
        <v>1214</v>
      </c>
      <c r="E150" t="s">
        <v>490</v>
      </c>
      <c r="F150" t="s">
        <v>491</v>
      </c>
      <c r="G150" t="s">
        <v>44</v>
      </c>
      <c r="H150" t="s">
        <v>45</v>
      </c>
      <c r="I150" t="s">
        <v>34</v>
      </c>
      <c r="J150" t="s">
        <v>46</v>
      </c>
      <c r="K150" t="s">
        <v>41</v>
      </c>
      <c r="L150" t="s">
        <v>1215</v>
      </c>
      <c r="M150" t="s">
        <v>1216</v>
      </c>
      <c r="N150" t="s">
        <v>494</v>
      </c>
      <c r="O150" t="s">
        <v>69</v>
      </c>
      <c r="P150" t="s">
        <v>1217</v>
      </c>
      <c r="Q150" s="14" t="s">
        <v>43</v>
      </c>
      <c r="R150" t="s">
        <v>1109</v>
      </c>
      <c r="S150">
        <v>0.81</v>
      </c>
      <c r="T150">
        <v>4067</v>
      </c>
      <c r="U150">
        <v>0</v>
      </c>
      <c r="V150">
        <v>4067</v>
      </c>
    </row>
    <row r="151" spans="1:22" x14ac:dyDescent="0.3">
      <c r="A151">
        <v>79452</v>
      </c>
      <c r="B151">
        <v>135144961</v>
      </c>
      <c r="C151" t="s">
        <v>1218</v>
      </c>
      <c r="D151" t="s">
        <v>1219</v>
      </c>
      <c r="E151" t="s">
        <v>490</v>
      </c>
      <c r="F151" t="s">
        <v>491</v>
      </c>
      <c r="G151" t="s">
        <v>44</v>
      </c>
      <c r="H151" t="s">
        <v>45</v>
      </c>
      <c r="I151" t="s">
        <v>34</v>
      </c>
      <c r="J151" t="s">
        <v>46</v>
      </c>
      <c r="K151" t="s">
        <v>41</v>
      </c>
      <c r="L151" t="s">
        <v>1220</v>
      </c>
      <c r="M151" t="s">
        <v>129</v>
      </c>
      <c r="N151" t="s">
        <v>494</v>
      </c>
      <c r="O151" t="s">
        <v>69</v>
      </c>
      <c r="P151" t="s">
        <v>1221</v>
      </c>
      <c r="Q151" s="14" t="s">
        <v>92</v>
      </c>
      <c r="R151" t="s">
        <v>1065</v>
      </c>
      <c r="S151">
        <v>1</v>
      </c>
      <c r="T151">
        <v>3753</v>
      </c>
      <c r="U151">
        <v>0</v>
      </c>
      <c r="V151">
        <v>3753</v>
      </c>
    </row>
    <row r="152" spans="1:22" x14ac:dyDescent="0.3">
      <c r="A152">
        <v>79452</v>
      </c>
      <c r="B152">
        <v>135180108</v>
      </c>
      <c r="C152" t="s">
        <v>1222</v>
      </c>
      <c r="D152" t="s">
        <v>1223</v>
      </c>
      <c r="E152" t="s">
        <v>490</v>
      </c>
      <c r="F152" t="s">
        <v>491</v>
      </c>
      <c r="G152" t="s">
        <v>44</v>
      </c>
      <c r="H152" t="s">
        <v>45</v>
      </c>
      <c r="I152" t="s">
        <v>34</v>
      </c>
      <c r="J152" t="s">
        <v>46</v>
      </c>
      <c r="K152" t="s">
        <v>56</v>
      </c>
      <c r="L152" t="s">
        <v>57</v>
      </c>
      <c r="M152" t="s">
        <v>1224</v>
      </c>
      <c r="N152" t="s">
        <v>494</v>
      </c>
      <c r="O152" t="s">
        <v>69</v>
      </c>
      <c r="P152" t="s">
        <v>1225</v>
      </c>
      <c r="Q152" s="14" t="s">
        <v>168</v>
      </c>
      <c r="R152" t="s">
        <v>1109</v>
      </c>
      <c r="S152">
        <v>1.1599999999999999</v>
      </c>
      <c r="T152">
        <v>7506</v>
      </c>
      <c r="U152">
        <v>0</v>
      </c>
      <c r="V152">
        <v>7506</v>
      </c>
    </row>
    <row r="153" spans="1:22" x14ac:dyDescent="0.3">
      <c r="A153">
        <v>79452</v>
      </c>
      <c r="B153">
        <v>134950257</v>
      </c>
      <c r="C153" t="s">
        <v>1226</v>
      </c>
      <c r="D153" t="s">
        <v>1227</v>
      </c>
      <c r="E153" t="s">
        <v>490</v>
      </c>
      <c r="F153" t="s">
        <v>491</v>
      </c>
      <c r="G153" t="s">
        <v>44</v>
      </c>
      <c r="H153" t="s">
        <v>45</v>
      </c>
      <c r="I153" t="s">
        <v>34</v>
      </c>
      <c r="J153" t="s">
        <v>46</v>
      </c>
      <c r="K153" t="s">
        <v>56</v>
      </c>
      <c r="L153" t="s">
        <v>57</v>
      </c>
      <c r="M153" t="s">
        <v>1228</v>
      </c>
      <c r="N153" t="s">
        <v>494</v>
      </c>
      <c r="O153" t="s">
        <v>69</v>
      </c>
      <c r="P153" t="s">
        <v>1229</v>
      </c>
      <c r="Q153" s="14" t="s">
        <v>149</v>
      </c>
      <c r="R153" t="s">
        <v>1120</v>
      </c>
      <c r="S153">
        <v>1</v>
      </c>
      <c r="T153">
        <v>5759</v>
      </c>
      <c r="U153">
        <v>0</v>
      </c>
      <c r="V153">
        <v>5759</v>
      </c>
    </row>
    <row r="154" spans="1:22" x14ac:dyDescent="0.3">
      <c r="A154">
        <v>79452</v>
      </c>
      <c r="B154">
        <v>135187163</v>
      </c>
      <c r="C154" t="s">
        <v>1230</v>
      </c>
      <c r="D154" t="s">
        <v>1231</v>
      </c>
      <c r="E154" t="s">
        <v>490</v>
      </c>
      <c r="F154" t="s">
        <v>491</v>
      </c>
      <c r="G154" t="s">
        <v>44</v>
      </c>
      <c r="H154" t="s">
        <v>45</v>
      </c>
      <c r="I154" t="s">
        <v>34</v>
      </c>
      <c r="J154" t="s">
        <v>46</v>
      </c>
      <c r="K154" t="s">
        <v>41</v>
      </c>
      <c r="L154" t="s">
        <v>1232</v>
      </c>
      <c r="M154" t="s">
        <v>632</v>
      </c>
      <c r="N154" t="s">
        <v>494</v>
      </c>
      <c r="O154" t="s">
        <v>69</v>
      </c>
      <c r="P154" t="s">
        <v>633</v>
      </c>
      <c r="Q154" s="14" t="s">
        <v>55</v>
      </c>
      <c r="R154" t="s">
        <v>954</v>
      </c>
      <c r="S154">
        <v>1.19</v>
      </c>
      <c r="T154">
        <v>3870</v>
      </c>
      <c r="U154">
        <v>0</v>
      </c>
      <c r="V154">
        <v>3870</v>
      </c>
    </row>
    <row r="155" spans="1:22" x14ac:dyDescent="0.3">
      <c r="A155">
        <v>79452</v>
      </c>
      <c r="B155">
        <v>135180093</v>
      </c>
      <c r="C155" t="s">
        <v>1233</v>
      </c>
      <c r="D155" t="s">
        <v>1234</v>
      </c>
      <c r="E155" t="s">
        <v>490</v>
      </c>
      <c r="F155" t="s">
        <v>491</v>
      </c>
      <c r="G155" t="s">
        <v>44</v>
      </c>
      <c r="H155" t="s">
        <v>45</v>
      </c>
      <c r="I155" t="s">
        <v>34</v>
      </c>
      <c r="J155" t="s">
        <v>46</v>
      </c>
      <c r="K155" t="s">
        <v>41</v>
      </c>
      <c r="L155" t="s">
        <v>1235</v>
      </c>
      <c r="M155" t="s">
        <v>1236</v>
      </c>
      <c r="N155" t="s">
        <v>494</v>
      </c>
      <c r="O155" t="s">
        <v>69</v>
      </c>
      <c r="P155" t="s">
        <v>1237</v>
      </c>
      <c r="Q155" s="14" t="s">
        <v>107</v>
      </c>
      <c r="R155" t="s">
        <v>1109</v>
      </c>
      <c r="S155">
        <v>1</v>
      </c>
      <c r="T155">
        <v>3784</v>
      </c>
      <c r="U155">
        <v>0</v>
      </c>
      <c r="V155">
        <v>3784</v>
      </c>
    </row>
    <row r="156" spans="1:22" x14ac:dyDescent="0.3">
      <c r="A156">
        <v>79452</v>
      </c>
      <c r="B156">
        <v>135187158</v>
      </c>
      <c r="C156" t="s">
        <v>1238</v>
      </c>
      <c r="D156" t="s">
        <v>1239</v>
      </c>
      <c r="E156" t="s">
        <v>490</v>
      </c>
      <c r="F156" t="s">
        <v>491</v>
      </c>
      <c r="G156" t="s">
        <v>44</v>
      </c>
      <c r="H156" t="s">
        <v>45</v>
      </c>
      <c r="I156" t="s">
        <v>34</v>
      </c>
      <c r="J156" t="s">
        <v>46</v>
      </c>
      <c r="K156" t="s">
        <v>41</v>
      </c>
      <c r="L156" t="s">
        <v>1240</v>
      </c>
      <c r="M156" t="s">
        <v>1241</v>
      </c>
      <c r="N156" t="s">
        <v>494</v>
      </c>
      <c r="O156" t="s">
        <v>69</v>
      </c>
      <c r="P156" t="s">
        <v>1242</v>
      </c>
      <c r="Q156" s="14" t="s">
        <v>135</v>
      </c>
      <c r="R156" t="s">
        <v>954</v>
      </c>
      <c r="S156">
        <v>1.54</v>
      </c>
      <c r="T156">
        <v>3366</v>
      </c>
      <c r="U156">
        <v>0</v>
      </c>
      <c r="V156">
        <v>3366</v>
      </c>
    </row>
    <row r="157" spans="1:22" x14ac:dyDescent="0.3">
      <c r="A157">
        <v>79452</v>
      </c>
      <c r="B157">
        <v>135123497</v>
      </c>
      <c r="C157" t="s">
        <v>1243</v>
      </c>
      <c r="D157" t="s">
        <v>1244</v>
      </c>
      <c r="E157" t="s">
        <v>490</v>
      </c>
      <c r="F157" t="s">
        <v>491</v>
      </c>
      <c r="G157" t="s">
        <v>44</v>
      </c>
      <c r="H157" t="s">
        <v>45</v>
      </c>
      <c r="I157" t="s">
        <v>34</v>
      </c>
      <c r="J157" t="s">
        <v>46</v>
      </c>
      <c r="K157" t="s">
        <v>41</v>
      </c>
      <c r="L157" t="s">
        <v>1245</v>
      </c>
      <c r="M157" t="s">
        <v>1246</v>
      </c>
      <c r="N157" t="s">
        <v>494</v>
      </c>
      <c r="O157" t="s">
        <v>69</v>
      </c>
      <c r="P157" t="s">
        <v>1247</v>
      </c>
      <c r="Q157" s="14" t="s">
        <v>146</v>
      </c>
      <c r="R157" t="s">
        <v>1248</v>
      </c>
      <c r="S157">
        <v>1</v>
      </c>
      <c r="T157">
        <v>5759</v>
      </c>
      <c r="U157">
        <v>0</v>
      </c>
      <c r="V157">
        <v>5759</v>
      </c>
    </row>
    <row r="158" spans="1:22" x14ac:dyDescent="0.3">
      <c r="A158">
        <v>79452</v>
      </c>
      <c r="B158">
        <v>135110880</v>
      </c>
      <c r="C158" t="s">
        <v>1249</v>
      </c>
      <c r="D158" t="s">
        <v>1250</v>
      </c>
      <c r="E158" t="s">
        <v>490</v>
      </c>
      <c r="F158" t="s">
        <v>491</v>
      </c>
      <c r="G158" t="s">
        <v>44</v>
      </c>
      <c r="H158" t="s">
        <v>45</v>
      </c>
      <c r="I158" t="s">
        <v>34</v>
      </c>
      <c r="J158" t="s">
        <v>46</v>
      </c>
      <c r="K158" t="s">
        <v>41</v>
      </c>
      <c r="L158" t="s">
        <v>1251</v>
      </c>
      <c r="M158" t="s">
        <v>1252</v>
      </c>
      <c r="N158" t="s">
        <v>494</v>
      </c>
      <c r="O158" t="s">
        <v>69</v>
      </c>
      <c r="P158" t="s">
        <v>1253</v>
      </c>
      <c r="Q158" s="14" t="s">
        <v>70</v>
      </c>
      <c r="R158" t="s">
        <v>487</v>
      </c>
      <c r="S158">
        <v>0.83</v>
      </c>
      <c r="T158">
        <v>5198</v>
      </c>
      <c r="U158">
        <v>0</v>
      </c>
      <c r="V158">
        <v>5198</v>
      </c>
    </row>
    <row r="159" spans="1:22" x14ac:dyDescent="0.3">
      <c r="A159">
        <v>79452</v>
      </c>
      <c r="B159">
        <v>135087769</v>
      </c>
      <c r="C159" t="s">
        <v>1254</v>
      </c>
      <c r="D159" t="s">
        <v>1255</v>
      </c>
      <c r="E159" t="s">
        <v>490</v>
      </c>
      <c r="F159" t="s">
        <v>491</v>
      </c>
      <c r="G159" t="s">
        <v>44</v>
      </c>
      <c r="H159" t="s">
        <v>45</v>
      </c>
      <c r="I159" t="s">
        <v>34</v>
      </c>
      <c r="J159" t="s">
        <v>46</v>
      </c>
      <c r="K159" t="s">
        <v>41</v>
      </c>
      <c r="L159" t="s">
        <v>1256</v>
      </c>
      <c r="M159" t="s">
        <v>1257</v>
      </c>
      <c r="N159" t="s">
        <v>494</v>
      </c>
      <c r="O159" t="s">
        <v>69</v>
      </c>
      <c r="P159" t="s">
        <v>1258</v>
      </c>
      <c r="Q159" s="14" t="s">
        <v>146</v>
      </c>
      <c r="R159" t="s">
        <v>1259</v>
      </c>
      <c r="S159">
        <v>1.2</v>
      </c>
      <c r="T159">
        <v>5759</v>
      </c>
      <c r="U159">
        <v>0</v>
      </c>
      <c r="V159">
        <v>5759</v>
      </c>
    </row>
    <row r="160" spans="1:22" x14ac:dyDescent="0.3">
      <c r="A160">
        <v>79452</v>
      </c>
      <c r="B160">
        <v>135158630</v>
      </c>
      <c r="C160" t="s">
        <v>1260</v>
      </c>
      <c r="D160" t="s">
        <v>1261</v>
      </c>
      <c r="E160" t="s">
        <v>490</v>
      </c>
      <c r="F160" t="s">
        <v>491</v>
      </c>
      <c r="G160" t="s">
        <v>44</v>
      </c>
      <c r="H160" t="s">
        <v>45</v>
      </c>
      <c r="I160" t="s">
        <v>34</v>
      </c>
      <c r="J160" t="s">
        <v>46</v>
      </c>
      <c r="K160" t="s">
        <v>41</v>
      </c>
      <c r="L160" t="s">
        <v>283</v>
      </c>
      <c r="M160" t="s">
        <v>672</v>
      </c>
      <c r="N160" t="s">
        <v>494</v>
      </c>
      <c r="O160" t="s">
        <v>69</v>
      </c>
      <c r="P160" t="s">
        <v>1262</v>
      </c>
      <c r="Q160" s="14" t="s">
        <v>151</v>
      </c>
      <c r="R160" t="s">
        <v>264</v>
      </c>
      <c r="S160">
        <v>1</v>
      </c>
      <c r="T160">
        <v>3366</v>
      </c>
      <c r="U160">
        <v>0</v>
      </c>
      <c r="V160">
        <v>3366</v>
      </c>
    </row>
    <row r="161" spans="1:22" x14ac:dyDescent="0.3">
      <c r="A161">
        <v>79452</v>
      </c>
      <c r="B161">
        <v>135110900</v>
      </c>
      <c r="C161" t="s">
        <v>1263</v>
      </c>
      <c r="D161" t="s">
        <v>1264</v>
      </c>
      <c r="E161" t="s">
        <v>490</v>
      </c>
      <c r="F161" t="s">
        <v>491</v>
      </c>
      <c r="G161" t="s">
        <v>44</v>
      </c>
      <c r="H161" t="s">
        <v>45</v>
      </c>
      <c r="I161" t="s">
        <v>34</v>
      </c>
      <c r="J161" t="s">
        <v>46</v>
      </c>
      <c r="K161" t="s">
        <v>41</v>
      </c>
      <c r="L161" t="s">
        <v>1265</v>
      </c>
      <c r="M161" t="s">
        <v>1266</v>
      </c>
      <c r="N161" t="s">
        <v>494</v>
      </c>
      <c r="O161" t="s">
        <v>69</v>
      </c>
      <c r="P161" t="s">
        <v>1267</v>
      </c>
      <c r="Q161" s="14" t="s">
        <v>174</v>
      </c>
      <c r="R161" t="s">
        <v>487</v>
      </c>
      <c r="S161">
        <v>1</v>
      </c>
      <c r="T161">
        <v>4067</v>
      </c>
      <c r="U161">
        <v>0</v>
      </c>
      <c r="V161">
        <v>4067</v>
      </c>
    </row>
    <row r="162" spans="1:22" x14ac:dyDescent="0.3">
      <c r="A162">
        <v>79452</v>
      </c>
      <c r="B162">
        <v>135144967</v>
      </c>
      <c r="C162" t="s">
        <v>1268</v>
      </c>
      <c r="D162" t="s">
        <v>1269</v>
      </c>
      <c r="E162" t="s">
        <v>490</v>
      </c>
      <c r="F162" t="s">
        <v>491</v>
      </c>
      <c r="G162" t="s">
        <v>44</v>
      </c>
      <c r="H162" t="s">
        <v>45</v>
      </c>
      <c r="I162" t="s">
        <v>34</v>
      </c>
      <c r="J162" t="s">
        <v>46</v>
      </c>
      <c r="K162" t="s">
        <v>41</v>
      </c>
      <c r="L162" t="s">
        <v>1270</v>
      </c>
      <c r="M162" t="s">
        <v>1134</v>
      </c>
      <c r="N162" t="s">
        <v>494</v>
      </c>
      <c r="O162" t="s">
        <v>69</v>
      </c>
      <c r="P162" t="s">
        <v>1135</v>
      </c>
      <c r="Q162" s="14" t="s">
        <v>61</v>
      </c>
      <c r="R162" t="s">
        <v>1065</v>
      </c>
      <c r="S162">
        <v>1</v>
      </c>
      <c r="T162">
        <v>3870</v>
      </c>
      <c r="U162">
        <v>0</v>
      </c>
      <c r="V162">
        <v>3870</v>
      </c>
    </row>
    <row r="163" spans="1:22" x14ac:dyDescent="0.3">
      <c r="A163">
        <v>79452</v>
      </c>
      <c r="B163">
        <v>135158638</v>
      </c>
      <c r="C163" t="s">
        <v>1271</v>
      </c>
      <c r="D163" t="s">
        <v>1272</v>
      </c>
      <c r="E163" t="s">
        <v>490</v>
      </c>
      <c r="F163" t="s">
        <v>491</v>
      </c>
      <c r="G163" t="s">
        <v>44</v>
      </c>
      <c r="H163" t="s">
        <v>45</v>
      </c>
      <c r="I163" t="s">
        <v>34</v>
      </c>
      <c r="J163" t="s">
        <v>46</v>
      </c>
      <c r="K163" t="s">
        <v>41</v>
      </c>
      <c r="L163" t="s">
        <v>1273</v>
      </c>
      <c r="M163" t="s">
        <v>1274</v>
      </c>
      <c r="N163" t="s">
        <v>494</v>
      </c>
      <c r="O163" t="s">
        <v>69</v>
      </c>
      <c r="P163" t="s">
        <v>1275</v>
      </c>
      <c r="Q163" s="14" t="s">
        <v>93</v>
      </c>
      <c r="R163" t="s">
        <v>264</v>
      </c>
      <c r="S163">
        <v>1</v>
      </c>
      <c r="T163">
        <v>4067</v>
      </c>
      <c r="U163">
        <v>0</v>
      </c>
      <c r="V163">
        <v>4067</v>
      </c>
    </row>
    <row r="164" spans="1:22" x14ac:dyDescent="0.3">
      <c r="A164">
        <v>79452</v>
      </c>
      <c r="B164">
        <v>135110892</v>
      </c>
      <c r="C164" t="s">
        <v>1276</v>
      </c>
      <c r="D164" t="s">
        <v>1277</v>
      </c>
      <c r="E164" t="s">
        <v>490</v>
      </c>
      <c r="F164" t="s">
        <v>491</v>
      </c>
      <c r="G164" t="s">
        <v>44</v>
      </c>
      <c r="H164" t="s">
        <v>45</v>
      </c>
      <c r="I164" t="s">
        <v>34</v>
      </c>
      <c r="J164" t="s">
        <v>46</v>
      </c>
      <c r="K164" t="s">
        <v>41</v>
      </c>
      <c r="L164" t="s">
        <v>1278</v>
      </c>
      <c r="M164" t="s">
        <v>1279</v>
      </c>
      <c r="N164" t="s">
        <v>494</v>
      </c>
      <c r="O164" t="s">
        <v>69</v>
      </c>
      <c r="P164" t="s">
        <v>1280</v>
      </c>
      <c r="Q164" s="14" t="s">
        <v>135</v>
      </c>
      <c r="R164" t="s">
        <v>487</v>
      </c>
      <c r="S164">
        <v>1</v>
      </c>
      <c r="T164">
        <v>3366</v>
      </c>
      <c r="U164">
        <v>0</v>
      </c>
      <c r="V164">
        <v>3366</v>
      </c>
    </row>
    <row r="165" spans="1:22" x14ac:dyDescent="0.3">
      <c r="A165">
        <v>79452</v>
      </c>
      <c r="B165">
        <v>135158658</v>
      </c>
      <c r="C165" t="s">
        <v>1281</v>
      </c>
      <c r="D165" t="s">
        <v>1282</v>
      </c>
      <c r="E165" t="s">
        <v>490</v>
      </c>
      <c r="F165" t="s">
        <v>491</v>
      </c>
      <c r="G165" t="s">
        <v>44</v>
      </c>
      <c r="H165" t="s">
        <v>45</v>
      </c>
      <c r="I165" t="s">
        <v>34</v>
      </c>
      <c r="J165" t="s">
        <v>46</v>
      </c>
      <c r="K165" t="s">
        <v>41</v>
      </c>
      <c r="L165" t="s">
        <v>1283</v>
      </c>
      <c r="M165" t="s">
        <v>1284</v>
      </c>
      <c r="N165" t="s">
        <v>494</v>
      </c>
      <c r="O165" t="s">
        <v>69</v>
      </c>
      <c r="P165" t="s">
        <v>1285</v>
      </c>
      <c r="Q165" s="14" t="s">
        <v>62</v>
      </c>
      <c r="R165" t="s">
        <v>264</v>
      </c>
      <c r="S165">
        <v>1</v>
      </c>
      <c r="T165">
        <v>4067</v>
      </c>
      <c r="U165">
        <v>0</v>
      </c>
      <c r="V165">
        <v>4067</v>
      </c>
    </row>
    <row r="166" spans="1:22" x14ac:dyDescent="0.3">
      <c r="A166">
        <v>79452</v>
      </c>
      <c r="B166">
        <v>135110877</v>
      </c>
      <c r="C166" t="s">
        <v>1286</v>
      </c>
      <c r="D166" t="s">
        <v>1287</v>
      </c>
      <c r="E166" t="s">
        <v>490</v>
      </c>
      <c r="F166" t="s">
        <v>491</v>
      </c>
      <c r="G166" t="s">
        <v>44</v>
      </c>
      <c r="H166" t="s">
        <v>45</v>
      </c>
      <c r="I166" t="s">
        <v>34</v>
      </c>
      <c r="J166" t="s">
        <v>46</v>
      </c>
      <c r="K166" t="s">
        <v>41</v>
      </c>
      <c r="L166" t="s">
        <v>1288</v>
      </c>
      <c r="M166" t="s">
        <v>133</v>
      </c>
      <c r="N166" t="s">
        <v>494</v>
      </c>
      <c r="O166" t="s">
        <v>69</v>
      </c>
      <c r="P166" t="s">
        <v>1289</v>
      </c>
      <c r="Q166" s="14" t="s">
        <v>77</v>
      </c>
      <c r="R166" t="s">
        <v>487</v>
      </c>
      <c r="S166">
        <v>1</v>
      </c>
      <c r="T166">
        <v>3753</v>
      </c>
      <c r="U166">
        <v>0</v>
      </c>
      <c r="V166">
        <v>3753</v>
      </c>
    </row>
    <row r="167" spans="1:22" x14ac:dyDescent="0.3">
      <c r="A167">
        <v>79452</v>
      </c>
      <c r="B167">
        <v>135123503</v>
      </c>
      <c r="C167" t="s">
        <v>1290</v>
      </c>
      <c r="D167" t="s">
        <v>1291</v>
      </c>
      <c r="E167" t="s">
        <v>490</v>
      </c>
      <c r="F167" t="s">
        <v>491</v>
      </c>
      <c r="G167" t="s">
        <v>44</v>
      </c>
      <c r="H167" t="s">
        <v>45</v>
      </c>
      <c r="I167" t="s">
        <v>34</v>
      </c>
      <c r="J167" t="s">
        <v>46</v>
      </c>
      <c r="K167" t="s">
        <v>41</v>
      </c>
      <c r="L167" t="s">
        <v>1292</v>
      </c>
      <c r="M167" t="s">
        <v>1293</v>
      </c>
      <c r="N167" t="s">
        <v>494</v>
      </c>
      <c r="O167" t="s">
        <v>69</v>
      </c>
      <c r="P167" t="s">
        <v>1294</v>
      </c>
      <c r="Q167" s="14" t="s">
        <v>43</v>
      </c>
      <c r="R167" t="s">
        <v>1248</v>
      </c>
      <c r="S167">
        <v>1</v>
      </c>
      <c r="T167">
        <v>4067</v>
      </c>
      <c r="U167">
        <v>0</v>
      </c>
      <c r="V167">
        <v>4067</v>
      </c>
    </row>
    <row r="168" spans="1:22" x14ac:dyDescent="0.3">
      <c r="A168">
        <v>79452</v>
      </c>
      <c r="B168">
        <v>135087787</v>
      </c>
      <c r="C168" t="s">
        <v>1295</v>
      </c>
      <c r="D168" t="s">
        <v>1296</v>
      </c>
      <c r="E168" t="s">
        <v>490</v>
      </c>
      <c r="F168" t="s">
        <v>491</v>
      </c>
      <c r="G168" t="s">
        <v>44</v>
      </c>
      <c r="H168" t="s">
        <v>45</v>
      </c>
      <c r="I168" t="s">
        <v>34</v>
      </c>
      <c r="J168" t="s">
        <v>46</v>
      </c>
      <c r="K168" t="s">
        <v>41</v>
      </c>
      <c r="L168" t="s">
        <v>1297</v>
      </c>
      <c r="M168" t="s">
        <v>1298</v>
      </c>
      <c r="N168" t="s">
        <v>494</v>
      </c>
      <c r="O168" t="s">
        <v>69</v>
      </c>
      <c r="P168" t="s">
        <v>1299</v>
      </c>
      <c r="Q168" s="14" t="s">
        <v>146</v>
      </c>
      <c r="R168" t="s">
        <v>1259</v>
      </c>
      <c r="S168">
        <v>1.27</v>
      </c>
      <c r="T168">
        <v>5759</v>
      </c>
      <c r="U168">
        <v>0</v>
      </c>
      <c r="V168">
        <v>5759</v>
      </c>
    </row>
    <row r="169" spans="1:22" x14ac:dyDescent="0.3">
      <c r="A169">
        <v>79452</v>
      </c>
      <c r="B169">
        <v>135110872</v>
      </c>
      <c r="C169" t="s">
        <v>1300</v>
      </c>
      <c r="D169" t="s">
        <v>1301</v>
      </c>
      <c r="E169" t="s">
        <v>490</v>
      </c>
      <c r="F169" t="s">
        <v>491</v>
      </c>
      <c r="G169" t="s">
        <v>44</v>
      </c>
      <c r="H169" t="s">
        <v>45</v>
      </c>
      <c r="I169" t="s">
        <v>34</v>
      </c>
      <c r="J169" t="s">
        <v>46</v>
      </c>
      <c r="K169" t="s">
        <v>41</v>
      </c>
      <c r="L169" t="s">
        <v>1302</v>
      </c>
      <c r="M169" t="s">
        <v>1303</v>
      </c>
      <c r="N169" t="s">
        <v>494</v>
      </c>
      <c r="O169" t="s">
        <v>69</v>
      </c>
      <c r="P169" t="s">
        <v>1304</v>
      </c>
      <c r="Q169" s="14" t="s">
        <v>86</v>
      </c>
      <c r="R169" t="s">
        <v>487</v>
      </c>
      <c r="S169">
        <v>1</v>
      </c>
      <c r="T169">
        <v>3366</v>
      </c>
      <c r="U169">
        <v>0</v>
      </c>
      <c r="V169">
        <v>3366</v>
      </c>
    </row>
    <row r="170" spans="1:22" x14ac:dyDescent="0.3">
      <c r="A170">
        <v>79452</v>
      </c>
      <c r="B170">
        <v>135110881</v>
      </c>
      <c r="C170" t="s">
        <v>1305</v>
      </c>
      <c r="D170" t="s">
        <v>1306</v>
      </c>
      <c r="E170" t="s">
        <v>490</v>
      </c>
      <c r="F170" t="s">
        <v>491</v>
      </c>
      <c r="G170" t="s">
        <v>44</v>
      </c>
      <c r="H170" t="s">
        <v>45</v>
      </c>
      <c r="I170" t="s">
        <v>34</v>
      </c>
      <c r="J170" t="s">
        <v>46</v>
      </c>
      <c r="K170" t="s">
        <v>41</v>
      </c>
      <c r="L170" t="s">
        <v>1307</v>
      </c>
      <c r="M170" t="s">
        <v>1308</v>
      </c>
      <c r="N170" t="s">
        <v>494</v>
      </c>
      <c r="O170" t="s">
        <v>69</v>
      </c>
      <c r="P170" t="s">
        <v>1309</v>
      </c>
      <c r="Q170" s="14" t="s">
        <v>102</v>
      </c>
      <c r="R170" t="s">
        <v>487</v>
      </c>
      <c r="S170">
        <v>1</v>
      </c>
      <c r="T170">
        <v>4693</v>
      </c>
      <c r="U170">
        <v>0</v>
      </c>
      <c r="V170">
        <v>4693</v>
      </c>
    </row>
    <row r="171" spans="1:22" x14ac:dyDescent="0.3">
      <c r="A171">
        <v>79452</v>
      </c>
      <c r="B171">
        <v>135144943</v>
      </c>
      <c r="C171" t="s">
        <v>1310</v>
      </c>
      <c r="D171" t="s">
        <v>1311</v>
      </c>
      <c r="E171" t="s">
        <v>490</v>
      </c>
      <c r="F171" t="s">
        <v>491</v>
      </c>
      <c r="G171" t="s">
        <v>44</v>
      </c>
      <c r="H171" t="s">
        <v>45</v>
      </c>
      <c r="I171" t="s">
        <v>34</v>
      </c>
      <c r="J171" t="s">
        <v>46</v>
      </c>
      <c r="K171" t="s">
        <v>41</v>
      </c>
      <c r="L171" t="s">
        <v>1312</v>
      </c>
      <c r="M171" t="s">
        <v>1313</v>
      </c>
      <c r="N171" t="s">
        <v>494</v>
      </c>
      <c r="O171" t="s">
        <v>69</v>
      </c>
      <c r="P171" t="s">
        <v>1314</v>
      </c>
      <c r="Q171" s="14" t="s">
        <v>86</v>
      </c>
      <c r="R171" t="s">
        <v>1065</v>
      </c>
      <c r="S171">
        <v>1</v>
      </c>
      <c r="T171">
        <v>3366</v>
      </c>
      <c r="U171">
        <v>0</v>
      </c>
      <c r="V171">
        <v>3366</v>
      </c>
    </row>
    <row r="172" spans="1:22" x14ac:dyDescent="0.3">
      <c r="A172">
        <v>79452</v>
      </c>
      <c r="B172">
        <v>135158654</v>
      </c>
      <c r="C172" t="s">
        <v>1315</v>
      </c>
      <c r="D172" t="s">
        <v>1316</v>
      </c>
      <c r="E172" t="s">
        <v>490</v>
      </c>
      <c r="F172" t="s">
        <v>491</v>
      </c>
      <c r="G172" t="s">
        <v>44</v>
      </c>
      <c r="H172" t="s">
        <v>45</v>
      </c>
      <c r="I172" t="s">
        <v>34</v>
      </c>
      <c r="J172" t="s">
        <v>46</v>
      </c>
      <c r="K172" t="s">
        <v>41</v>
      </c>
      <c r="L172" t="s">
        <v>1317</v>
      </c>
      <c r="M172" t="s">
        <v>1318</v>
      </c>
      <c r="N172" t="s">
        <v>494</v>
      </c>
      <c r="O172" t="s">
        <v>69</v>
      </c>
      <c r="P172" t="s">
        <v>1319</v>
      </c>
      <c r="Q172" s="14" t="s">
        <v>83</v>
      </c>
      <c r="R172" t="s">
        <v>264</v>
      </c>
      <c r="S172">
        <v>1</v>
      </c>
      <c r="T172">
        <v>3366</v>
      </c>
      <c r="U172">
        <v>0</v>
      </c>
      <c r="V172">
        <v>3366</v>
      </c>
    </row>
    <row r="173" spans="1:22" x14ac:dyDescent="0.3">
      <c r="A173">
        <v>79452</v>
      </c>
      <c r="B173">
        <v>135110875</v>
      </c>
      <c r="C173" t="s">
        <v>1320</v>
      </c>
      <c r="D173" t="s">
        <v>1321</v>
      </c>
      <c r="E173" t="s">
        <v>490</v>
      </c>
      <c r="F173" t="s">
        <v>491</v>
      </c>
      <c r="G173" t="s">
        <v>44</v>
      </c>
      <c r="H173" t="s">
        <v>45</v>
      </c>
      <c r="I173" t="s">
        <v>34</v>
      </c>
      <c r="J173" t="s">
        <v>46</v>
      </c>
      <c r="K173" t="s">
        <v>41</v>
      </c>
      <c r="L173" t="s">
        <v>1322</v>
      </c>
      <c r="M173" t="s">
        <v>1323</v>
      </c>
      <c r="N173" t="s">
        <v>494</v>
      </c>
      <c r="O173" t="s">
        <v>69</v>
      </c>
      <c r="P173" t="s">
        <v>1324</v>
      </c>
      <c r="Q173" s="14" t="s">
        <v>43</v>
      </c>
      <c r="R173" t="s">
        <v>487</v>
      </c>
      <c r="S173">
        <v>1</v>
      </c>
      <c r="T173">
        <v>4067</v>
      </c>
      <c r="U173">
        <v>0</v>
      </c>
      <c r="V173">
        <v>4067</v>
      </c>
    </row>
    <row r="174" spans="1:22" x14ac:dyDescent="0.3">
      <c r="A174">
        <v>79452</v>
      </c>
      <c r="B174">
        <v>135110874</v>
      </c>
      <c r="C174" t="s">
        <v>1325</v>
      </c>
      <c r="D174" t="s">
        <v>1326</v>
      </c>
      <c r="E174" t="s">
        <v>490</v>
      </c>
      <c r="F174" t="s">
        <v>491</v>
      </c>
      <c r="G174" t="s">
        <v>44</v>
      </c>
      <c r="H174" t="s">
        <v>45</v>
      </c>
      <c r="I174" t="s">
        <v>34</v>
      </c>
      <c r="J174" t="s">
        <v>46</v>
      </c>
      <c r="K174" t="s">
        <v>41</v>
      </c>
      <c r="L174" t="s">
        <v>1327</v>
      </c>
      <c r="M174" t="s">
        <v>1328</v>
      </c>
      <c r="N174" t="s">
        <v>494</v>
      </c>
      <c r="O174" t="s">
        <v>69</v>
      </c>
      <c r="P174" t="s">
        <v>1329</v>
      </c>
      <c r="Q174" s="14" t="s">
        <v>92</v>
      </c>
      <c r="R174" t="s">
        <v>487</v>
      </c>
      <c r="S174">
        <v>1</v>
      </c>
      <c r="T174">
        <v>3753</v>
      </c>
      <c r="U174">
        <v>0</v>
      </c>
      <c r="V174">
        <v>3753</v>
      </c>
    </row>
    <row r="175" spans="1:22" x14ac:dyDescent="0.3">
      <c r="A175">
        <v>79452</v>
      </c>
      <c r="B175">
        <v>135123487</v>
      </c>
      <c r="C175" t="s">
        <v>1330</v>
      </c>
      <c r="D175" t="s">
        <v>1331</v>
      </c>
      <c r="E175" t="s">
        <v>490</v>
      </c>
      <c r="F175" t="s">
        <v>491</v>
      </c>
      <c r="G175" t="s">
        <v>44</v>
      </c>
      <c r="H175" t="s">
        <v>45</v>
      </c>
      <c r="I175" t="s">
        <v>34</v>
      </c>
      <c r="J175" t="s">
        <v>46</v>
      </c>
      <c r="K175" t="s">
        <v>41</v>
      </c>
      <c r="L175" t="s">
        <v>1332</v>
      </c>
      <c r="M175" t="s">
        <v>1333</v>
      </c>
      <c r="N175" t="s">
        <v>494</v>
      </c>
      <c r="O175" t="s">
        <v>69</v>
      </c>
      <c r="P175" t="s">
        <v>1334</v>
      </c>
      <c r="Q175" s="14" t="s">
        <v>220</v>
      </c>
      <c r="R175" t="s">
        <v>1248</v>
      </c>
      <c r="S175">
        <v>1</v>
      </c>
      <c r="T175">
        <v>4542</v>
      </c>
      <c r="U175">
        <v>0</v>
      </c>
      <c r="V175">
        <v>4542</v>
      </c>
    </row>
    <row r="176" spans="1:22" x14ac:dyDescent="0.3">
      <c r="A176">
        <v>79452</v>
      </c>
      <c r="B176">
        <v>135110876</v>
      </c>
      <c r="C176" t="s">
        <v>1335</v>
      </c>
      <c r="D176" t="s">
        <v>1336</v>
      </c>
      <c r="E176" t="s">
        <v>490</v>
      </c>
      <c r="F176" t="s">
        <v>491</v>
      </c>
      <c r="G176" t="s">
        <v>44</v>
      </c>
      <c r="H176" t="s">
        <v>45</v>
      </c>
      <c r="I176" t="s">
        <v>34</v>
      </c>
      <c r="J176" t="s">
        <v>46</v>
      </c>
      <c r="K176" t="s">
        <v>41</v>
      </c>
      <c r="L176" t="s">
        <v>1337</v>
      </c>
      <c r="M176" t="s">
        <v>1338</v>
      </c>
      <c r="N176" t="s">
        <v>494</v>
      </c>
      <c r="O176" t="s">
        <v>69</v>
      </c>
      <c r="P176" t="s">
        <v>1339</v>
      </c>
      <c r="Q176" s="14" t="s">
        <v>90</v>
      </c>
      <c r="R176" t="s">
        <v>487</v>
      </c>
      <c r="S176">
        <v>1</v>
      </c>
      <c r="T176">
        <v>3366</v>
      </c>
      <c r="U176">
        <v>0</v>
      </c>
      <c r="V176">
        <v>3366</v>
      </c>
    </row>
    <row r="177" spans="1:22" x14ac:dyDescent="0.3">
      <c r="A177">
        <v>79452</v>
      </c>
      <c r="B177">
        <v>135110886</v>
      </c>
      <c r="C177" t="s">
        <v>1340</v>
      </c>
      <c r="D177" t="s">
        <v>1341</v>
      </c>
      <c r="E177" t="s">
        <v>490</v>
      </c>
      <c r="F177" t="s">
        <v>491</v>
      </c>
      <c r="G177" t="s">
        <v>44</v>
      </c>
      <c r="H177" t="s">
        <v>45</v>
      </c>
      <c r="I177" t="s">
        <v>34</v>
      </c>
      <c r="J177" t="s">
        <v>46</v>
      </c>
      <c r="K177" t="s">
        <v>41</v>
      </c>
      <c r="L177" t="s">
        <v>1342</v>
      </c>
      <c r="M177" t="s">
        <v>1343</v>
      </c>
      <c r="N177" t="s">
        <v>494</v>
      </c>
      <c r="O177" t="s">
        <v>69</v>
      </c>
      <c r="P177" t="s">
        <v>1344</v>
      </c>
      <c r="Q177" s="14" t="s">
        <v>98</v>
      </c>
      <c r="R177" t="s">
        <v>487</v>
      </c>
      <c r="S177">
        <v>1</v>
      </c>
      <c r="T177">
        <v>3366</v>
      </c>
      <c r="U177">
        <v>0</v>
      </c>
      <c r="V177">
        <v>3366</v>
      </c>
    </row>
    <row r="178" spans="1:22" x14ac:dyDescent="0.3">
      <c r="A178">
        <v>79452</v>
      </c>
      <c r="B178">
        <v>135123502</v>
      </c>
      <c r="C178" t="s">
        <v>1345</v>
      </c>
      <c r="D178" t="s">
        <v>1346</v>
      </c>
      <c r="E178" t="s">
        <v>490</v>
      </c>
      <c r="F178" t="s">
        <v>491</v>
      </c>
      <c r="G178" t="s">
        <v>44</v>
      </c>
      <c r="H178" t="s">
        <v>45</v>
      </c>
      <c r="I178" t="s">
        <v>34</v>
      </c>
      <c r="J178" t="s">
        <v>46</v>
      </c>
      <c r="K178" t="s">
        <v>41</v>
      </c>
      <c r="L178" t="s">
        <v>1347</v>
      </c>
      <c r="M178" t="s">
        <v>1348</v>
      </c>
      <c r="N178" t="s">
        <v>494</v>
      </c>
      <c r="O178" t="s">
        <v>69</v>
      </c>
      <c r="P178" t="s">
        <v>1349</v>
      </c>
      <c r="Q178" s="14" t="s">
        <v>86</v>
      </c>
      <c r="R178" t="s">
        <v>1248</v>
      </c>
      <c r="S178">
        <v>1</v>
      </c>
      <c r="T178">
        <v>3366</v>
      </c>
      <c r="U178">
        <v>0</v>
      </c>
      <c r="V178">
        <v>3366</v>
      </c>
    </row>
    <row r="179" spans="1:22" x14ac:dyDescent="0.3">
      <c r="A179">
        <v>79452</v>
      </c>
      <c r="B179">
        <v>135110889</v>
      </c>
      <c r="C179" t="s">
        <v>1350</v>
      </c>
      <c r="D179" t="s">
        <v>1351</v>
      </c>
      <c r="E179" t="s">
        <v>490</v>
      </c>
      <c r="F179" t="s">
        <v>491</v>
      </c>
      <c r="G179" t="s">
        <v>44</v>
      </c>
      <c r="H179" t="s">
        <v>45</v>
      </c>
      <c r="I179" t="s">
        <v>34</v>
      </c>
      <c r="J179" t="s">
        <v>46</v>
      </c>
      <c r="K179" t="s">
        <v>56</v>
      </c>
      <c r="L179" t="s">
        <v>57</v>
      </c>
      <c r="M179" t="s">
        <v>1352</v>
      </c>
      <c r="N179" t="s">
        <v>494</v>
      </c>
      <c r="O179" t="s">
        <v>69</v>
      </c>
      <c r="P179" t="s">
        <v>1353</v>
      </c>
      <c r="Q179" s="14" t="s">
        <v>107</v>
      </c>
      <c r="R179" t="s">
        <v>487</v>
      </c>
      <c r="S179">
        <v>1</v>
      </c>
      <c r="T179">
        <v>3784</v>
      </c>
      <c r="U179">
        <v>0</v>
      </c>
      <c r="V179">
        <v>3784</v>
      </c>
    </row>
    <row r="180" spans="1:22" x14ac:dyDescent="0.3">
      <c r="A180">
        <v>79452</v>
      </c>
      <c r="B180">
        <v>135144969</v>
      </c>
      <c r="C180" t="s">
        <v>1354</v>
      </c>
      <c r="D180" t="s">
        <v>1355</v>
      </c>
      <c r="E180" t="s">
        <v>490</v>
      </c>
      <c r="F180" t="s">
        <v>491</v>
      </c>
      <c r="G180" t="s">
        <v>44</v>
      </c>
      <c r="H180" t="s">
        <v>45</v>
      </c>
      <c r="I180" t="s">
        <v>34</v>
      </c>
      <c r="J180" t="s">
        <v>46</v>
      </c>
      <c r="K180" t="s">
        <v>41</v>
      </c>
      <c r="L180" t="s">
        <v>1356</v>
      </c>
      <c r="M180" t="s">
        <v>1357</v>
      </c>
      <c r="N180" t="s">
        <v>494</v>
      </c>
      <c r="O180" t="s">
        <v>69</v>
      </c>
      <c r="P180" t="s">
        <v>1358</v>
      </c>
      <c r="Q180" s="14" t="s">
        <v>114</v>
      </c>
      <c r="R180" t="s">
        <v>1065</v>
      </c>
      <c r="S180">
        <v>1</v>
      </c>
      <c r="T180">
        <v>3501</v>
      </c>
      <c r="U180">
        <v>0</v>
      </c>
      <c r="V180">
        <v>3501</v>
      </c>
    </row>
    <row r="181" spans="1:22" x14ac:dyDescent="0.3">
      <c r="A181">
        <v>79452</v>
      </c>
      <c r="B181">
        <v>135123514</v>
      </c>
      <c r="C181" t="s">
        <v>1359</v>
      </c>
      <c r="D181" t="s">
        <v>1360</v>
      </c>
      <c r="E181" t="s">
        <v>490</v>
      </c>
      <c r="F181" t="s">
        <v>491</v>
      </c>
      <c r="G181" t="s">
        <v>44</v>
      </c>
      <c r="H181" t="s">
        <v>45</v>
      </c>
      <c r="I181" t="s">
        <v>34</v>
      </c>
      <c r="J181" t="s">
        <v>46</v>
      </c>
      <c r="K181" t="s">
        <v>41</v>
      </c>
      <c r="L181" t="s">
        <v>1361</v>
      </c>
      <c r="M181" t="s">
        <v>1362</v>
      </c>
      <c r="N181" t="s">
        <v>494</v>
      </c>
      <c r="O181" t="s">
        <v>69</v>
      </c>
      <c r="P181" t="s">
        <v>1363</v>
      </c>
      <c r="Q181" s="14" t="s">
        <v>98</v>
      </c>
      <c r="R181" t="s">
        <v>1248</v>
      </c>
      <c r="S181">
        <v>1</v>
      </c>
      <c r="T181">
        <v>3366</v>
      </c>
      <c r="U181">
        <v>0</v>
      </c>
      <c r="V181">
        <v>3366</v>
      </c>
    </row>
    <row r="182" spans="1:22" x14ac:dyDescent="0.3">
      <c r="A182">
        <v>79452</v>
      </c>
      <c r="B182">
        <v>135158637</v>
      </c>
      <c r="C182" t="s">
        <v>1364</v>
      </c>
      <c r="D182" t="s">
        <v>1365</v>
      </c>
      <c r="E182" t="s">
        <v>490</v>
      </c>
      <c r="F182" t="s">
        <v>491</v>
      </c>
      <c r="G182" t="s">
        <v>44</v>
      </c>
      <c r="H182" t="s">
        <v>45</v>
      </c>
      <c r="I182" t="s">
        <v>34</v>
      </c>
      <c r="J182" t="s">
        <v>46</v>
      </c>
      <c r="K182" t="s">
        <v>41</v>
      </c>
      <c r="L182" t="s">
        <v>1366</v>
      </c>
      <c r="M182" t="s">
        <v>1367</v>
      </c>
      <c r="N182" t="s">
        <v>494</v>
      </c>
      <c r="O182" t="s">
        <v>69</v>
      </c>
      <c r="P182" t="s">
        <v>1368</v>
      </c>
      <c r="Q182" s="14" t="s">
        <v>78</v>
      </c>
      <c r="R182" t="s">
        <v>264</v>
      </c>
      <c r="S182">
        <v>1</v>
      </c>
      <c r="T182">
        <v>3366</v>
      </c>
      <c r="U182">
        <v>0</v>
      </c>
      <c r="V182">
        <v>3366</v>
      </c>
    </row>
    <row r="183" spans="1:22" x14ac:dyDescent="0.3">
      <c r="A183">
        <v>79452</v>
      </c>
      <c r="B183">
        <v>135158647</v>
      </c>
      <c r="C183" t="s">
        <v>1369</v>
      </c>
      <c r="D183" t="s">
        <v>1370</v>
      </c>
      <c r="E183" t="s">
        <v>490</v>
      </c>
      <c r="F183" t="s">
        <v>491</v>
      </c>
      <c r="G183" t="s">
        <v>44</v>
      </c>
      <c r="H183" t="s">
        <v>45</v>
      </c>
      <c r="I183" t="s">
        <v>34</v>
      </c>
      <c r="J183" t="s">
        <v>46</v>
      </c>
      <c r="K183" t="s">
        <v>41</v>
      </c>
      <c r="L183" t="s">
        <v>1371</v>
      </c>
      <c r="M183" t="s">
        <v>898</v>
      </c>
      <c r="N183" t="s">
        <v>494</v>
      </c>
      <c r="O183" t="s">
        <v>69</v>
      </c>
      <c r="P183" t="s">
        <v>899</v>
      </c>
      <c r="Q183" s="14" t="s">
        <v>74</v>
      </c>
      <c r="R183" t="s">
        <v>264</v>
      </c>
      <c r="S183">
        <v>1</v>
      </c>
      <c r="T183">
        <v>7506</v>
      </c>
      <c r="U183">
        <v>0</v>
      </c>
      <c r="V183">
        <v>7506</v>
      </c>
    </row>
    <row r="184" spans="1:22" x14ac:dyDescent="0.3">
      <c r="A184">
        <v>79452</v>
      </c>
      <c r="B184">
        <v>135072653</v>
      </c>
      <c r="C184" t="s">
        <v>1372</v>
      </c>
      <c r="D184" t="s">
        <v>1373</v>
      </c>
      <c r="E184" t="s">
        <v>490</v>
      </c>
      <c r="F184" t="s">
        <v>491</v>
      </c>
      <c r="G184" t="s">
        <v>44</v>
      </c>
      <c r="H184" t="s">
        <v>45</v>
      </c>
      <c r="I184" t="s">
        <v>34</v>
      </c>
      <c r="J184" t="s">
        <v>46</v>
      </c>
      <c r="K184" t="s">
        <v>41</v>
      </c>
      <c r="L184" t="s">
        <v>1374</v>
      </c>
      <c r="M184" t="s">
        <v>1375</v>
      </c>
      <c r="N184" t="s">
        <v>494</v>
      </c>
      <c r="O184" t="s">
        <v>69</v>
      </c>
      <c r="P184" t="s">
        <v>1376</v>
      </c>
      <c r="Q184" s="14" t="s">
        <v>160</v>
      </c>
      <c r="R184" t="s">
        <v>1377</v>
      </c>
      <c r="S184">
        <v>1.46</v>
      </c>
      <c r="T184">
        <v>3753</v>
      </c>
      <c r="U184">
        <v>0</v>
      </c>
      <c r="V184">
        <v>3753</v>
      </c>
    </row>
    <row r="185" spans="1:22" x14ac:dyDescent="0.3">
      <c r="A185">
        <v>79452</v>
      </c>
      <c r="B185">
        <v>135072654</v>
      </c>
      <c r="C185" t="s">
        <v>1378</v>
      </c>
      <c r="D185" t="s">
        <v>1379</v>
      </c>
      <c r="E185" t="s">
        <v>490</v>
      </c>
      <c r="F185" t="s">
        <v>491</v>
      </c>
      <c r="G185" t="s">
        <v>44</v>
      </c>
      <c r="H185" t="s">
        <v>45</v>
      </c>
      <c r="I185" t="s">
        <v>34</v>
      </c>
      <c r="J185" t="s">
        <v>46</v>
      </c>
      <c r="K185" t="s">
        <v>41</v>
      </c>
      <c r="L185" t="s">
        <v>1380</v>
      </c>
      <c r="M185" t="s">
        <v>1381</v>
      </c>
      <c r="N185" t="s">
        <v>494</v>
      </c>
      <c r="O185" t="s">
        <v>69</v>
      </c>
      <c r="P185" t="s">
        <v>1382</v>
      </c>
      <c r="Q185" s="14" t="s">
        <v>82</v>
      </c>
      <c r="R185" t="s">
        <v>1377</v>
      </c>
      <c r="S185">
        <v>1.96</v>
      </c>
      <c r="T185">
        <v>4067</v>
      </c>
      <c r="U185">
        <v>0</v>
      </c>
      <c r="V185">
        <v>4067</v>
      </c>
    </row>
    <row r="186" spans="1:22" x14ac:dyDescent="0.3">
      <c r="A186">
        <v>79452</v>
      </c>
      <c r="B186">
        <v>134940870</v>
      </c>
      <c r="C186" t="s">
        <v>1383</v>
      </c>
      <c r="D186" t="s">
        <v>1384</v>
      </c>
      <c r="E186" t="s">
        <v>490</v>
      </c>
      <c r="F186" t="s">
        <v>491</v>
      </c>
      <c r="G186" t="s">
        <v>44</v>
      </c>
      <c r="H186" t="s">
        <v>45</v>
      </c>
      <c r="I186" t="s">
        <v>34</v>
      </c>
      <c r="J186" t="s">
        <v>46</v>
      </c>
      <c r="K186" t="s">
        <v>41</v>
      </c>
      <c r="L186" t="s">
        <v>1385</v>
      </c>
      <c r="M186" t="s">
        <v>1386</v>
      </c>
      <c r="N186" t="s">
        <v>494</v>
      </c>
      <c r="O186" t="s">
        <v>69</v>
      </c>
      <c r="P186" t="s">
        <v>1387</v>
      </c>
      <c r="Q186" s="14" t="s">
        <v>60</v>
      </c>
      <c r="R186" t="s">
        <v>1388</v>
      </c>
      <c r="S186">
        <v>1</v>
      </c>
      <c r="T186">
        <v>5759</v>
      </c>
      <c r="U186">
        <v>0</v>
      </c>
      <c r="V186">
        <v>5759</v>
      </c>
    </row>
    <row r="187" spans="1:22" x14ac:dyDescent="0.3">
      <c r="A187">
        <v>79452</v>
      </c>
      <c r="B187">
        <v>134981437</v>
      </c>
      <c r="C187" t="s">
        <v>1389</v>
      </c>
      <c r="D187" t="s">
        <v>1390</v>
      </c>
      <c r="E187" t="s">
        <v>490</v>
      </c>
      <c r="F187" t="s">
        <v>491</v>
      </c>
      <c r="G187" t="s">
        <v>44</v>
      </c>
      <c r="H187" t="s">
        <v>45</v>
      </c>
      <c r="I187" t="s">
        <v>34</v>
      </c>
      <c r="J187" t="s">
        <v>46</v>
      </c>
      <c r="K187" t="s">
        <v>41</v>
      </c>
      <c r="L187" t="s">
        <v>1391</v>
      </c>
      <c r="M187" t="s">
        <v>1392</v>
      </c>
      <c r="N187" t="s">
        <v>494</v>
      </c>
      <c r="O187" t="s">
        <v>69</v>
      </c>
      <c r="P187" t="s">
        <v>1393</v>
      </c>
      <c r="Q187" s="14" t="s">
        <v>60</v>
      </c>
      <c r="R187" t="s">
        <v>483</v>
      </c>
      <c r="S187">
        <v>1</v>
      </c>
      <c r="T187">
        <v>5759</v>
      </c>
      <c r="U187">
        <v>0</v>
      </c>
      <c r="V187">
        <v>5759</v>
      </c>
    </row>
    <row r="188" spans="1:22" x14ac:dyDescent="0.3">
      <c r="A188">
        <v>79452</v>
      </c>
      <c r="B188">
        <v>135110868</v>
      </c>
      <c r="C188" t="s">
        <v>1394</v>
      </c>
      <c r="D188" t="s">
        <v>1395</v>
      </c>
      <c r="E188" t="s">
        <v>490</v>
      </c>
      <c r="F188" t="s">
        <v>491</v>
      </c>
      <c r="G188" t="s">
        <v>44</v>
      </c>
      <c r="H188" t="s">
        <v>45</v>
      </c>
      <c r="I188" t="s">
        <v>34</v>
      </c>
      <c r="J188" t="s">
        <v>46</v>
      </c>
      <c r="K188" t="s">
        <v>41</v>
      </c>
      <c r="L188" t="s">
        <v>1396</v>
      </c>
      <c r="M188" t="s">
        <v>1397</v>
      </c>
      <c r="N188" t="s">
        <v>494</v>
      </c>
      <c r="O188" t="s">
        <v>69</v>
      </c>
      <c r="P188" t="s">
        <v>1398</v>
      </c>
      <c r="Q188" s="14" t="s">
        <v>86</v>
      </c>
      <c r="R188" t="s">
        <v>487</v>
      </c>
      <c r="S188">
        <v>1.26</v>
      </c>
      <c r="T188">
        <v>3366</v>
      </c>
      <c r="U188">
        <v>0</v>
      </c>
      <c r="V188">
        <v>3366</v>
      </c>
    </row>
    <row r="189" spans="1:22" x14ac:dyDescent="0.3">
      <c r="A189">
        <v>79452</v>
      </c>
      <c r="B189">
        <v>135087824</v>
      </c>
      <c r="C189" t="s">
        <v>1399</v>
      </c>
      <c r="D189" t="s">
        <v>1400</v>
      </c>
      <c r="E189" t="s">
        <v>490</v>
      </c>
      <c r="F189" t="s">
        <v>491</v>
      </c>
      <c r="G189" t="s">
        <v>44</v>
      </c>
      <c r="H189" t="s">
        <v>45</v>
      </c>
      <c r="I189" t="s">
        <v>34</v>
      </c>
      <c r="J189" t="s">
        <v>46</v>
      </c>
      <c r="K189" t="s">
        <v>41</v>
      </c>
      <c r="L189" t="s">
        <v>1401</v>
      </c>
      <c r="M189" t="s">
        <v>1402</v>
      </c>
      <c r="N189" t="s">
        <v>494</v>
      </c>
      <c r="O189" t="s">
        <v>69</v>
      </c>
      <c r="P189" t="s">
        <v>1403</v>
      </c>
      <c r="Q189" s="14" t="s">
        <v>83</v>
      </c>
      <c r="R189" t="s">
        <v>1259</v>
      </c>
      <c r="S189">
        <v>0.65</v>
      </c>
      <c r="T189">
        <v>3366</v>
      </c>
      <c r="U189">
        <v>0</v>
      </c>
      <c r="V189">
        <v>3366</v>
      </c>
    </row>
    <row r="190" spans="1:22" x14ac:dyDescent="0.3">
      <c r="A190">
        <v>79452</v>
      </c>
      <c r="B190">
        <v>135001591</v>
      </c>
      <c r="C190" t="s">
        <v>1404</v>
      </c>
      <c r="D190" t="s">
        <v>1405</v>
      </c>
      <c r="E190" t="s">
        <v>490</v>
      </c>
      <c r="F190" t="s">
        <v>491</v>
      </c>
      <c r="G190" t="s">
        <v>44</v>
      </c>
      <c r="H190" t="s">
        <v>45</v>
      </c>
      <c r="I190" t="s">
        <v>34</v>
      </c>
      <c r="J190" t="s">
        <v>46</v>
      </c>
      <c r="K190" t="s">
        <v>41</v>
      </c>
      <c r="L190" t="s">
        <v>1406</v>
      </c>
      <c r="M190" t="s">
        <v>1407</v>
      </c>
      <c r="N190" t="s">
        <v>494</v>
      </c>
      <c r="O190" t="s">
        <v>69</v>
      </c>
      <c r="P190" t="s">
        <v>1408</v>
      </c>
      <c r="Q190" s="14" t="s">
        <v>60</v>
      </c>
      <c r="R190" t="s">
        <v>659</v>
      </c>
      <c r="S190">
        <v>1.29</v>
      </c>
      <c r="T190">
        <v>5759</v>
      </c>
      <c r="U190">
        <v>0</v>
      </c>
      <c r="V190">
        <v>5759</v>
      </c>
    </row>
    <row r="191" spans="1:22" x14ac:dyDescent="0.3">
      <c r="A191">
        <v>79452</v>
      </c>
      <c r="B191">
        <v>135001586</v>
      </c>
      <c r="C191" t="s">
        <v>1409</v>
      </c>
      <c r="D191" t="s">
        <v>1410</v>
      </c>
      <c r="E191" t="s">
        <v>490</v>
      </c>
      <c r="F191" t="s">
        <v>491</v>
      </c>
      <c r="G191" t="s">
        <v>44</v>
      </c>
      <c r="H191" t="s">
        <v>45</v>
      </c>
      <c r="I191" t="s">
        <v>34</v>
      </c>
      <c r="J191" t="s">
        <v>46</v>
      </c>
      <c r="K191" t="s">
        <v>41</v>
      </c>
      <c r="L191" t="s">
        <v>1411</v>
      </c>
      <c r="M191" t="s">
        <v>297</v>
      </c>
      <c r="N191" t="s">
        <v>494</v>
      </c>
      <c r="O191" t="s">
        <v>69</v>
      </c>
      <c r="P191" t="s">
        <v>1412</v>
      </c>
      <c r="Q191" s="14" t="s">
        <v>70</v>
      </c>
      <c r="R191" t="s">
        <v>659</v>
      </c>
      <c r="S191">
        <v>0.8</v>
      </c>
      <c r="T191">
        <v>5198</v>
      </c>
      <c r="U191">
        <v>0</v>
      </c>
      <c r="V191">
        <v>5198</v>
      </c>
    </row>
    <row r="192" spans="1:22" x14ac:dyDescent="0.3">
      <c r="A192">
        <v>79452</v>
      </c>
      <c r="B192">
        <v>134708936</v>
      </c>
      <c r="C192" t="s">
        <v>1413</v>
      </c>
      <c r="D192" t="s">
        <v>1414</v>
      </c>
      <c r="E192" t="s">
        <v>490</v>
      </c>
      <c r="F192" t="s">
        <v>491</v>
      </c>
      <c r="G192" t="s">
        <v>44</v>
      </c>
      <c r="H192" t="s">
        <v>45</v>
      </c>
      <c r="I192" t="s">
        <v>34</v>
      </c>
      <c r="J192" t="s">
        <v>46</v>
      </c>
      <c r="K192" t="s">
        <v>41</v>
      </c>
      <c r="L192" t="s">
        <v>1415</v>
      </c>
      <c r="M192" t="s">
        <v>1416</v>
      </c>
      <c r="N192" t="s">
        <v>494</v>
      </c>
      <c r="O192" t="s">
        <v>69</v>
      </c>
      <c r="P192" t="s">
        <v>1417</v>
      </c>
      <c r="Q192" s="14" t="s">
        <v>100</v>
      </c>
      <c r="R192" t="s">
        <v>1418</v>
      </c>
      <c r="S192">
        <v>1</v>
      </c>
      <c r="T192">
        <v>5759</v>
      </c>
      <c r="U192">
        <v>0</v>
      </c>
      <c r="V192">
        <v>5759</v>
      </c>
    </row>
    <row r="193" spans="1:22" x14ac:dyDescent="0.3">
      <c r="A193">
        <v>79452</v>
      </c>
      <c r="B193">
        <v>135087827</v>
      </c>
      <c r="C193" t="s">
        <v>1419</v>
      </c>
      <c r="D193" t="s">
        <v>1420</v>
      </c>
      <c r="E193" t="s">
        <v>490</v>
      </c>
      <c r="F193" t="s">
        <v>491</v>
      </c>
      <c r="G193" t="s">
        <v>44</v>
      </c>
      <c r="H193" t="s">
        <v>45</v>
      </c>
      <c r="I193" t="s">
        <v>34</v>
      </c>
      <c r="J193" t="s">
        <v>46</v>
      </c>
      <c r="K193" t="s">
        <v>41</v>
      </c>
      <c r="L193" t="s">
        <v>1421</v>
      </c>
      <c r="M193" t="s">
        <v>1422</v>
      </c>
      <c r="N193" t="s">
        <v>494</v>
      </c>
      <c r="O193" t="s">
        <v>69</v>
      </c>
      <c r="P193" t="s">
        <v>1423</v>
      </c>
      <c r="Q193" s="14" t="s">
        <v>81</v>
      </c>
      <c r="R193" t="s">
        <v>1259</v>
      </c>
      <c r="S193">
        <v>0.92</v>
      </c>
      <c r="T193">
        <v>3753</v>
      </c>
      <c r="U193">
        <v>0</v>
      </c>
      <c r="V193">
        <v>3753</v>
      </c>
    </row>
    <row r="194" spans="1:22" x14ac:dyDescent="0.3">
      <c r="A194">
        <v>79452</v>
      </c>
      <c r="B194">
        <v>135032456</v>
      </c>
      <c r="C194" t="s">
        <v>1424</v>
      </c>
      <c r="D194" t="s">
        <v>1425</v>
      </c>
      <c r="E194" t="s">
        <v>490</v>
      </c>
      <c r="F194" t="s">
        <v>491</v>
      </c>
      <c r="G194" t="s">
        <v>44</v>
      </c>
      <c r="H194" t="s">
        <v>45</v>
      </c>
      <c r="I194" t="s">
        <v>34</v>
      </c>
      <c r="J194" t="s">
        <v>46</v>
      </c>
      <c r="K194" t="s">
        <v>41</v>
      </c>
      <c r="L194" t="s">
        <v>1426</v>
      </c>
      <c r="M194" t="s">
        <v>1427</v>
      </c>
      <c r="N194" t="s">
        <v>494</v>
      </c>
      <c r="O194" t="s">
        <v>69</v>
      </c>
      <c r="P194" t="s">
        <v>1428</v>
      </c>
      <c r="Q194" s="14" t="s">
        <v>169</v>
      </c>
      <c r="R194" t="s">
        <v>685</v>
      </c>
      <c r="S194">
        <v>1.35</v>
      </c>
      <c r="T194">
        <v>4067</v>
      </c>
      <c r="U194">
        <v>0</v>
      </c>
      <c r="V194">
        <v>4067</v>
      </c>
    </row>
    <row r="195" spans="1:22" x14ac:dyDescent="0.3">
      <c r="A195">
        <v>79452</v>
      </c>
      <c r="B195">
        <v>135047271</v>
      </c>
      <c r="C195" t="s">
        <v>1429</v>
      </c>
      <c r="D195" t="s">
        <v>1430</v>
      </c>
      <c r="E195" t="s">
        <v>490</v>
      </c>
      <c r="F195" t="s">
        <v>491</v>
      </c>
      <c r="G195" t="s">
        <v>44</v>
      </c>
      <c r="H195" t="s">
        <v>45</v>
      </c>
      <c r="I195" t="s">
        <v>34</v>
      </c>
      <c r="J195" t="s">
        <v>46</v>
      </c>
      <c r="K195" t="s">
        <v>41</v>
      </c>
      <c r="L195" t="s">
        <v>1431</v>
      </c>
      <c r="M195" t="s">
        <v>1432</v>
      </c>
      <c r="N195" t="s">
        <v>494</v>
      </c>
      <c r="O195" t="s">
        <v>69</v>
      </c>
      <c r="P195" t="s">
        <v>1433</v>
      </c>
      <c r="Q195" s="14" t="s">
        <v>178</v>
      </c>
      <c r="R195" t="s">
        <v>276</v>
      </c>
      <c r="S195">
        <v>1.06</v>
      </c>
      <c r="T195">
        <v>5476</v>
      </c>
      <c r="U195">
        <v>0</v>
      </c>
      <c r="V195">
        <v>5476</v>
      </c>
    </row>
    <row r="196" spans="1:22" x14ac:dyDescent="0.3">
      <c r="A196">
        <v>79452</v>
      </c>
      <c r="B196">
        <v>135087790</v>
      </c>
      <c r="C196" t="s">
        <v>1434</v>
      </c>
      <c r="D196" t="s">
        <v>1435</v>
      </c>
      <c r="E196" t="s">
        <v>490</v>
      </c>
      <c r="F196" t="s">
        <v>491</v>
      </c>
      <c r="G196" t="s">
        <v>44</v>
      </c>
      <c r="H196" t="s">
        <v>45</v>
      </c>
      <c r="I196" t="s">
        <v>34</v>
      </c>
      <c r="J196" t="s">
        <v>46</v>
      </c>
      <c r="K196" t="s">
        <v>41</v>
      </c>
      <c r="L196" t="s">
        <v>1436</v>
      </c>
      <c r="M196" t="s">
        <v>1437</v>
      </c>
      <c r="N196" t="s">
        <v>494</v>
      </c>
      <c r="O196" t="s">
        <v>69</v>
      </c>
      <c r="P196" t="s">
        <v>1438</v>
      </c>
      <c r="Q196" s="14" t="s">
        <v>89</v>
      </c>
      <c r="R196" t="s">
        <v>1259</v>
      </c>
      <c r="S196">
        <v>0.84</v>
      </c>
      <c r="T196">
        <v>3753</v>
      </c>
      <c r="U196">
        <v>0</v>
      </c>
      <c r="V196">
        <v>3753</v>
      </c>
    </row>
    <row r="197" spans="1:22" x14ac:dyDescent="0.3">
      <c r="A197">
        <v>79452</v>
      </c>
      <c r="B197">
        <v>135072646</v>
      </c>
      <c r="C197" t="s">
        <v>1439</v>
      </c>
      <c r="D197" t="s">
        <v>1440</v>
      </c>
      <c r="E197" t="s">
        <v>490</v>
      </c>
      <c r="F197" t="s">
        <v>491</v>
      </c>
      <c r="G197" t="s">
        <v>44</v>
      </c>
      <c r="H197" t="s">
        <v>45</v>
      </c>
      <c r="I197" t="s">
        <v>34</v>
      </c>
      <c r="J197" t="s">
        <v>46</v>
      </c>
      <c r="K197" t="s">
        <v>41</v>
      </c>
      <c r="L197" t="s">
        <v>1441</v>
      </c>
      <c r="M197" t="s">
        <v>1442</v>
      </c>
      <c r="N197" t="s">
        <v>494</v>
      </c>
      <c r="O197" t="s">
        <v>69</v>
      </c>
      <c r="P197" t="s">
        <v>1443</v>
      </c>
      <c r="Q197" s="14" t="s">
        <v>92</v>
      </c>
      <c r="R197" t="s">
        <v>1377</v>
      </c>
      <c r="S197">
        <v>1.1000000000000001</v>
      </c>
      <c r="T197">
        <v>3753</v>
      </c>
      <c r="U197">
        <v>0</v>
      </c>
      <c r="V197">
        <v>3753</v>
      </c>
    </row>
    <row r="198" spans="1:22" x14ac:dyDescent="0.3">
      <c r="A198">
        <v>79452</v>
      </c>
      <c r="B198">
        <v>135047273</v>
      </c>
      <c r="C198" t="s">
        <v>1444</v>
      </c>
      <c r="D198" t="s">
        <v>1445</v>
      </c>
      <c r="E198" t="s">
        <v>490</v>
      </c>
      <c r="F198" t="s">
        <v>491</v>
      </c>
      <c r="G198" t="s">
        <v>44</v>
      </c>
      <c r="H198" t="s">
        <v>45</v>
      </c>
      <c r="I198" t="s">
        <v>34</v>
      </c>
      <c r="J198" t="s">
        <v>46</v>
      </c>
      <c r="K198" t="s">
        <v>41</v>
      </c>
      <c r="L198" t="s">
        <v>1446</v>
      </c>
      <c r="M198" t="s">
        <v>1447</v>
      </c>
      <c r="N198" t="s">
        <v>494</v>
      </c>
      <c r="O198" t="s">
        <v>69</v>
      </c>
      <c r="P198" t="s">
        <v>1448</v>
      </c>
      <c r="Q198" s="14" t="s">
        <v>60</v>
      </c>
      <c r="R198" t="s">
        <v>276</v>
      </c>
      <c r="S198">
        <v>1.59</v>
      </c>
      <c r="T198">
        <v>5759</v>
      </c>
      <c r="U198">
        <v>0</v>
      </c>
      <c r="V198">
        <v>5759</v>
      </c>
    </row>
    <row r="199" spans="1:22" x14ac:dyDescent="0.3">
      <c r="A199">
        <v>79452</v>
      </c>
      <c r="B199">
        <v>135087780</v>
      </c>
      <c r="C199" t="s">
        <v>1449</v>
      </c>
      <c r="D199" t="s">
        <v>1450</v>
      </c>
      <c r="E199" t="s">
        <v>490</v>
      </c>
      <c r="F199" t="s">
        <v>491</v>
      </c>
      <c r="G199" t="s">
        <v>44</v>
      </c>
      <c r="H199" t="s">
        <v>45</v>
      </c>
      <c r="I199" t="s">
        <v>34</v>
      </c>
      <c r="J199" t="s">
        <v>46</v>
      </c>
      <c r="K199" t="s">
        <v>41</v>
      </c>
      <c r="L199" t="s">
        <v>1451</v>
      </c>
      <c r="M199" t="s">
        <v>1452</v>
      </c>
      <c r="N199" t="s">
        <v>494</v>
      </c>
      <c r="O199" t="s">
        <v>69</v>
      </c>
      <c r="P199" t="s">
        <v>1453</v>
      </c>
      <c r="Q199" s="14" t="s">
        <v>98</v>
      </c>
      <c r="R199" t="s">
        <v>1259</v>
      </c>
      <c r="S199">
        <v>1.28</v>
      </c>
      <c r="T199">
        <v>3366</v>
      </c>
      <c r="U199">
        <v>0</v>
      </c>
      <c r="V199">
        <v>3366</v>
      </c>
    </row>
    <row r="200" spans="1:22" x14ac:dyDescent="0.3">
      <c r="A200">
        <v>79452</v>
      </c>
      <c r="B200">
        <v>135032448</v>
      </c>
      <c r="C200" t="s">
        <v>1454</v>
      </c>
      <c r="D200" t="s">
        <v>1455</v>
      </c>
      <c r="E200" t="s">
        <v>490</v>
      </c>
      <c r="F200" t="s">
        <v>491</v>
      </c>
      <c r="G200" t="s">
        <v>44</v>
      </c>
      <c r="H200" t="s">
        <v>45</v>
      </c>
      <c r="I200" t="s">
        <v>34</v>
      </c>
      <c r="J200" t="s">
        <v>46</v>
      </c>
      <c r="K200" t="s">
        <v>41</v>
      </c>
      <c r="L200" t="s">
        <v>1456</v>
      </c>
      <c r="M200" t="s">
        <v>1457</v>
      </c>
      <c r="N200" t="s">
        <v>494</v>
      </c>
      <c r="O200" t="s">
        <v>69</v>
      </c>
      <c r="P200" t="s">
        <v>1458</v>
      </c>
      <c r="Q200" s="14" t="s">
        <v>70</v>
      </c>
      <c r="R200" t="s">
        <v>685</v>
      </c>
      <c r="S200">
        <v>1.26</v>
      </c>
      <c r="T200">
        <v>5198</v>
      </c>
      <c r="U200">
        <v>0</v>
      </c>
      <c r="V200">
        <v>5198</v>
      </c>
    </row>
    <row r="201" spans="1:22" x14ac:dyDescent="0.3">
      <c r="A201">
        <v>79452</v>
      </c>
      <c r="B201">
        <v>135072657</v>
      </c>
      <c r="C201" t="s">
        <v>1459</v>
      </c>
      <c r="D201" t="s">
        <v>1460</v>
      </c>
      <c r="E201" t="s">
        <v>490</v>
      </c>
      <c r="F201" t="s">
        <v>491</v>
      </c>
      <c r="G201" t="s">
        <v>44</v>
      </c>
      <c r="H201" t="s">
        <v>45</v>
      </c>
      <c r="I201" t="s">
        <v>34</v>
      </c>
      <c r="J201" t="s">
        <v>46</v>
      </c>
      <c r="K201" t="s">
        <v>41</v>
      </c>
      <c r="L201" t="s">
        <v>1461</v>
      </c>
      <c r="M201" t="s">
        <v>1462</v>
      </c>
      <c r="N201" t="s">
        <v>494</v>
      </c>
      <c r="O201" t="s">
        <v>69</v>
      </c>
      <c r="P201" t="s">
        <v>1463</v>
      </c>
      <c r="Q201" s="14" t="s">
        <v>85</v>
      </c>
      <c r="R201" t="s">
        <v>1377</v>
      </c>
      <c r="S201">
        <v>0.76</v>
      </c>
      <c r="T201">
        <v>3784</v>
      </c>
      <c r="U201">
        <v>0</v>
      </c>
      <c r="V201">
        <v>3784</v>
      </c>
    </row>
    <row r="202" spans="1:22" x14ac:dyDescent="0.3">
      <c r="A202">
        <v>79452</v>
      </c>
      <c r="B202">
        <v>135087772</v>
      </c>
      <c r="C202" t="s">
        <v>1464</v>
      </c>
      <c r="D202" t="s">
        <v>1465</v>
      </c>
      <c r="E202" t="s">
        <v>490</v>
      </c>
      <c r="F202" t="s">
        <v>491</v>
      </c>
      <c r="G202" t="s">
        <v>44</v>
      </c>
      <c r="H202" t="s">
        <v>45</v>
      </c>
      <c r="I202" t="s">
        <v>34</v>
      </c>
      <c r="J202" t="s">
        <v>46</v>
      </c>
      <c r="K202" t="s">
        <v>41</v>
      </c>
      <c r="L202" t="s">
        <v>1466</v>
      </c>
      <c r="M202" t="s">
        <v>1467</v>
      </c>
      <c r="N202" t="s">
        <v>494</v>
      </c>
      <c r="O202" t="s">
        <v>69</v>
      </c>
      <c r="P202" t="s">
        <v>1468</v>
      </c>
      <c r="Q202" s="14" t="s">
        <v>66</v>
      </c>
      <c r="R202" t="s">
        <v>1259</v>
      </c>
      <c r="S202">
        <v>1.31</v>
      </c>
      <c r="T202">
        <v>3366</v>
      </c>
      <c r="U202">
        <v>0</v>
      </c>
      <c r="V202">
        <v>3366</v>
      </c>
    </row>
    <row r="203" spans="1:22" x14ac:dyDescent="0.3">
      <c r="A203">
        <v>79452</v>
      </c>
      <c r="B203">
        <v>135087777</v>
      </c>
      <c r="C203" t="s">
        <v>1469</v>
      </c>
      <c r="D203" t="s">
        <v>1470</v>
      </c>
      <c r="E203" t="s">
        <v>490</v>
      </c>
      <c r="F203" t="s">
        <v>491</v>
      </c>
      <c r="G203" t="s">
        <v>44</v>
      </c>
      <c r="H203" t="s">
        <v>45</v>
      </c>
      <c r="I203" t="s">
        <v>34</v>
      </c>
      <c r="J203" t="s">
        <v>46</v>
      </c>
      <c r="K203" t="s">
        <v>41</v>
      </c>
      <c r="L203" t="s">
        <v>1471</v>
      </c>
      <c r="M203" t="s">
        <v>1472</v>
      </c>
      <c r="N203" t="s">
        <v>494</v>
      </c>
      <c r="O203" t="s">
        <v>69</v>
      </c>
      <c r="P203" t="s">
        <v>1473</v>
      </c>
      <c r="Q203" s="14" t="s">
        <v>114</v>
      </c>
      <c r="R203" t="s">
        <v>1259</v>
      </c>
      <c r="S203">
        <v>0.98</v>
      </c>
      <c r="T203">
        <v>3501</v>
      </c>
      <c r="U203">
        <v>0</v>
      </c>
      <c r="V203">
        <v>3501</v>
      </c>
    </row>
    <row r="204" spans="1:22" x14ac:dyDescent="0.3">
      <c r="A204">
        <v>79452</v>
      </c>
      <c r="B204">
        <v>135087821</v>
      </c>
      <c r="C204" t="s">
        <v>1474</v>
      </c>
      <c r="D204" t="s">
        <v>1475</v>
      </c>
      <c r="E204" t="s">
        <v>490</v>
      </c>
      <c r="F204" t="s">
        <v>491</v>
      </c>
      <c r="G204" t="s">
        <v>44</v>
      </c>
      <c r="H204" t="s">
        <v>45</v>
      </c>
      <c r="I204" t="s">
        <v>34</v>
      </c>
      <c r="J204" t="s">
        <v>46</v>
      </c>
      <c r="K204" t="s">
        <v>41</v>
      </c>
      <c r="L204" t="s">
        <v>1476</v>
      </c>
      <c r="M204" t="s">
        <v>1477</v>
      </c>
      <c r="N204" t="s">
        <v>494</v>
      </c>
      <c r="O204" t="s">
        <v>69</v>
      </c>
      <c r="P204" t="s">
        <v>1478</v>
      </c>
      <c r="Q204" s="14" t="s">
        <v>43</v>
      </c>
      <c r="R204" t="s">
        <v>1259</v>
      </c>
      <c r="S204">
        <v>1.33</v>
      </c>
      <c r="T204">
        <v>4067</v>
      </c>
      <c r="U204">
        <v>0</v>
      </c>
      <c r="V204">
        <v>4067</v>
      </c>
    </row>
    <row r="205" spans="1:22" x14ac:dyDescent="0.3">
      <c r="A205">
        <v>79452</v>
      </c>
      <c r="B205">
        <v>134981489</v>
      </c>
      <c r="C205" t="s">
        <v>1479</v>
      </c>
      <c r="D205" t="s">
        <v>1480</v>
      </c>
      <c r="E205" t="s">
        <v>490</v>
      </c>
      <c r="F205" t="s">
        <v>491</v>
      </c>
      <c r="G205" t="s">
        <v>44</v>
      </c>
      <c r="H205" t="s">
        <v>45</v>
      </c>
      <c r="I205" t="s">
        <v>34</v>
      </c>
      <c r="J205" t="s">
        <v>46</v>
      </c>
      <c r="K205" t="s">
        <v>41</v>
      </c>
      <c r="L205" t="s">
        <v>1481</v>
      </c>
      <c r="M205" t="s">
        <v>1482</v>
      </c>
      <c r="N205" t="s">
        <v>494</v>
      </c>
      <c r="O205" t="s">
        <v>69</v>
      </c>
      <c r="P205" t="s">
        <v>1483</v>
      </c>
      <c r="Q205" s="14" t="s">
        <v>43</v>
      </c>
      <c r="R205" t="s">
        <v>386</v>
      </c>
      <c r="S205">
        <v>1.29</v>
      </c>
      <c r="T205">
        <v>4067</v>
      </c>
      <c r="U205">
        <v>0</v>
      </c>
      <c r="V205">
        <v>4067</v>
      </c>
    </row>
    <row r="206" spans="1:22" x14ac:dyDescent="0.3">
      <c r="A206">
        <v>79452</v>
      </c>
      <c r="B206">
        <v>134981490</v>
      </c>
      <c r="C206" t="s">
        <v>1484</v>
      </c>
      <c r="D206" t="s">
        <v>1485</v>
      </c>
      <c r="E206" t="s">
        <v>490</v>
      </c>
      <c r="F206" t="s">
        <v>491</v>
      </c>
      <c r="G206" t="s">
        <v>44</v>
      </c>
      <c r="H206" t="s">
        <v>45</v>
      </c>
      <c r="I206" t="s">
        <v>34</v>
      </c>
      <c r="J206" t="s">
        <v>46</v>
      </c>
      <c r="K206" t="s">
        <v>41</v>
      </c>
      <c r="L206" t="s">
        <v>1486</v>
      </c>
      <c r="M206" t="s">
        <v>1487</v>
      </c>
      <c r="N206" t="s">
        <v>494</v>
      </c>
      <c r="O206" t="s">
        <v>69</v>
      </c>
      <c r="P206" t="s">
        <v>1488</v>
      </c>
      <c r="Q206" s="14" t="s">
        <v>42</v>
      </c>
      <c r="R206" t="s">
        <v>386</v>
      </c>
      <c r="S206">
        <v>1</v>
      </c>
      <c r="T206">
        <v>3501</v>
      </c>
      <c r="U206">
        <v>0</v>
      </c>
      <c r="V206">
        <v>3501</v>
      </c>
    </row>
    <row r="207" spans="1:22" x14ac:dyDescent="0.3">
      <c r="A207">
        <v>79452</v>
      </c>
      <c r="B207">
        <v>135001588</v>
      </c>
      <c r="C207" t="s">
        <v>1489</v>
      </c>
      <c r="D207" t="s">
        <v>1490</v>
      </c>
      <c r="E207" t="s">
        <v>490</v>
      </c>
      <c r="F207" t="s">
        <v>491</v>
      </c>
      <c r="G207" t="s">
        <v>44</v>
      </c>
      <c r="H207" t="s">
        <v>45</v>
      </c>
      <c r="I207" t="s">
        <v>34</v>
      </c>
      <c r="J207" t="s">
        <v>46</v>
      </c>
      <c r="K207" t="s">
        <v>41</v>
      </c>
      <c r="L207" t="s">
        <v>1491</v>
      </c>
      <c r="M207" t="s">
        <v>1492</v>
      </c>
      <c r="N207" t="s">
        <v>494</v>
      </c>
      <c r="O207" t="s">
        <v>69</v>
      </c>
      <c r="P207" t="s">
        <v>1493</v>
      </c>
      <c r="Q207" s="14" t="s">
        <v>77</v>
      </c>
      <c r="R207" t="s">
        <v>659</v>
      </c>
      <c r="S207">
        <v>6.28</v>
      </c>
      <c r="T207">
        <v>5759</v>
      </c>
      <c r="U207">
        <v>0</v>
      </c>
      <c r="V207">
        <v>5759</v>
      </c>
    </row>
    <row r="208" spans="1:22" x14ac:dyDescent="0.3">
      <c r="A208">
        <v>79452</v>
      </c>
      <c r="B208">
        <v>134981468</v>
      </c>
      <c r="C208" t="s">
        <v>1494</v>
      </c>
      <c r="D208" t="s">
        <v>1495</v>
      </c>
      <c r="E208" t="s">
        <v>490</v>
      </c>
      <c r="F208" t="s">
        <v>491</v>
      </c>
      <c r="G208" t="s">
        <v>44</v>
      </c>
      <c r="H208" t="s">
        <v>45</v>
      </c>
      <c r="I208" t="s">
        <v>34</v>
      </c>
      <c r="J208" t="s">
        <v>46</v>
      </c>
      <c r="K208" t="s">
        <v>56</v>
      </c>
      <c r="L208" t="s">
        <v>57</v>
      </c>
      <c r="M208" t="s">
        <v>1496</v>
      </c>
      <c r="N208" t="s">
        <v>494</v>
      </c>
      <c r="O208" t="s">
        <v>69</v>
      </c>
      <c r="P208" t="s">
        <v>1497</v>
      </c>
      <c r="Q208" s="14" t="s">
        <v>70</v>
      </c>
      <c r="R208" t="s">
        <v>386</v>
      </c>
      <c r="S208">
        <v>3.1</v>
      </c>
      <c r="T208">
        <v>7484</v>
      </c>
      <c r="U208">
        <v>0</v>
      </c>
      <c r="V208">
        <v>7484</v>
      </c>
    </row>
    <row r="209" spans="1:22" x14ac:dyDescent="0.3">
      <c r="A209">
        <v>79452</v>
      </c>
      <c r="B209">
        <v>135032474</v>
      </c>
      <c r="C209" t="s">
        <v>1498</v>
      </c>
      <c r="D209" t="s">
        <v>1499</v>
      </c>
      <c r="E209" t="s">
        <v>490</v>
      </c>
      <c r="F209" t="s">
        <v>491</v>
      </c>
      <c r="G209" t="s">
        <v>44</v>
      </c>
      <c r="H209" t="s">
        <v>45</v>
      </c>
      <c r="I209" t="s">
        <v>34</v>
      </c>
      <c r="J209" t="s">
        <v>46</v>
      </c>
      <c r="K209" t="s">
        <v>41</v>
      </c>
      <c r="L209" t="s">
        <v>1500</v>
      </c>
      <c r="M209" t="s">
        <v>1501</v>
      </c>
      <c r="N209" t="s">
        <v>494</v>
      </c>
      <c r="O209" t="s">
        <v>69</v>
      </c>
      <c r="P209" t="s">
        <v>1502</v>
      </c>
      <c r="Q209" s="14" t="s">
        <v>209</v>
      </c>
      <c r="R209" t="s">
        <v>685</v>
      </c>
      <c r="S209">
        <v>0.87</v>
      </c>
      <c r="T209">
        <v>3784</v>
      </c>
      <c r="U209">
        <v>0</v>
      </c>
      <c r="V209">
        <v>3784</v>
      </c>
    </row>
    <row r="210" spans="1:22" x14ac:dyDescent="0.3">
      <c r="A210">
        <v>79452</v>
      </c>
      <c r="B210">
        <v>135047303</v>
      </c>
      <c r="C210" t="s">
        <v>1503</v>
      </c>
      <c r="D210" t="s">
        <v>1504</v>
      </c>
      <c r="E210" t="s">
        <v>490</v>
      </c>
      <c r="F210" t="s">
        <v>491</v>
      </c>
      <c r="G210" t="s">
        <v>44</v>
      </c>
      <c r="H210" t="s">
        <v>45</v>
      </c>
      <c r="I210" t="s">
        <v>34</v>
      </c>
      <c r="J210" t="s">
        <v>46</v>
      </c>
      <c r="K210" t="s">
        <v>41</v>
      </c>
      <c r="L210" t="s">
        <v>1505</v>
      </c>
      <c r="M210" t="s">
        <v>1506</v>
      </c>
      <c r="N210" t="s">
        <v>494</v>
      </c>
      <c r="O210" t="s">
        <v>69</v>
      </c>
      <c r="P210" t="s">
        <v>1507</v>
      </c>
      <c r="Q210" s="14" t="s">
        <v>43</v>
      </c>
      <c r="R210" t="s">
        <v>276</v>
      </c>
      <c r="S210">
        <v>2.15</v>
      </c>
      <c r="T210">
        <v>4067</v>
      </c>
      <c r="U210">
        <v>0</v>
      </c>
      <c r="V210">
        <v>4067</v>
      </c>
    </row>
    <row r="211" spans="1:22" x14ac:dyDescent="0.3">
      <c r="A211">
        <v>79452</v>
      </c>
      <c r="B211">
        <v>135032452</v>
      </c>
      <c r="C211" t="s">
        <v>1508</v>
      </c>
      <c r="D211" t="s">
        <v>1509</v>
      </c>
      <c r="E211" t="s">
        <v>490</v>
      </c>
      <c r="F211" t="s">
        <v>491</v>
      </c>
      <c r="G211" t="s">
        <v>44</v>
      </c>
      <c r="H211" t="s">
        <v>45</v>
      </c>
      <c r="I211" t="s">
        <v>34</v>
      </c>
      <c r="J211" t="s">
        <v>46</v>
      </c>
      <c r="K211" t="s">
        <v>41</v>
      </c>
      <c r="L211" t="s">
        <v>1510</v>
      </c>
      <c r="M211" t="s">
        <v>1511</v>
      </c>
      <c r="N211" t="s">
        <v>494</v>
      </c>
      <c r="O211" t="s">
        <v>69</v>
      </c>
      <c r="P211" t="s">
        <v>1512</v>
      </c>
      <c r="Q211" s="14" t="s">
        <v>89</v>
      </c>
      <c r="R211" t="s">
        <v>685</v>
      </c>
      <c r="S211">
        <v>1.32</v>
      </c>
      <c r="T211">
        <v>3753</v>
      </c>
      <c r="U211">
        <v>0</v>
      </c>
      <c r="V211">
        <v>3753</v>
      </c>
    </row>
    <row r="212" spans="1:22" x14ac:dyDescent="0.3">
      <c r="A212">
        <v>79452</v>
      </c>
      <c r="B212">
        <v>135047340</v>
      </c>
      <c r="C212" t="s">
        <v>1513</v>
      </c>
      <c r="D212" t="s">
        <v>1514</v>
      </c>
      <c r="E212" t="s">
        <v>490</v>
      </c>
      <c r="F212" t="s">
        <v>491</v>
      </c>
      <c r="G212" t="s">
        <v>44</v>
      </c>
      <c r="H212" t="s">
        <v>45</v>
      </c>
      <c r="I212" t="s">
        <v>34</v>
      </c>
      <c r="J212" t="s">
        <v>46</v>
      </c>
      <c r="K212" t="s">
        <v>41</v>
      </c>
      <c r="L212" t="s">
        <v>1515</v>
      </c>
      <c r="M212" t="s">
        <v>1516</v>
      </c>
      <c r="N212" t="s">
        <v>494</v>
      </c>
      <c r="O212" t="s">
        <v>69</v>
      </c>
      <c r="P212" t="s">
        <v>1517</v>
      </c>
      <c r="Q212" s="14" t="s">
        <v>160</v>
      </c>
      <c r="R212" t="s">
        <v>274</v>
      </c>
      <c r="S212">
        <v>1.23</v>
      </c>
      <c r="T212">
        <v>3753</v>
      </c>
      <c r="U212">
        <v>0</v>
      </c>
      <c r="V212">
        <v>3753</v>
      </c>
    </row>
    <row r="213" spans="1:22" x14ac:dyDescent="0.3">
      <c r="A213">
        <v>79452</v>
      </c>
      <c r="B213">
        <v>134981480</v>
      </c>
      <c r="C213" t="s">
        <v>1518</v>
      </c>
      <c r="D213" t="s">
        <v>1519</v>
      </c>
      <c r="E213" t="s">
        <v>490</v>
      </c>
      <c r="F213" t="s">
        <v>491</v>
      </c>
      <c r="G213" t="s">
        <v>44</v>
      </c>
      <c r="H213" t="s">
        <v>45</v>
      </c>
      <c r="I213" t="s">
        <v>34</v>
      </c>
      <c r="J213" t="s">
        <v>46</v>
      </c>
      <c r="K213" t="s">
        <v>41</v>
      </c>
      <c r="L213" t="s">
        <v>1520</v>
      </c>
      <c r="M213" t="s">
        <v>1521</v>
      </c>
      <c r="N213" t="s">
        <v>494</v>
      </c>
      <c r="O213" t="s">
        <v>69</v>
      </c>
      <c r="P213" t="s">
        <v>1522</v>
      </c>
      <c r="Q213" s="14" t="s">
        <v>114</v>
      </c>
      <c r="R213" t="s">
        <v>386</v>
      </c>
      <c r="S213">
        <v>1.17</v>
      </c>
      <c r="T213">
        <v>3501</v>
      </c>
      <c r="U213">
        <v>0</v>
      </c>
      <c r="V213">
        <v>3501</v>
      </c>
    </row>
    <row r="214" spans="1:22" x14ac:dyDescent="0.3">
      <c r="A214">
        <v>79452</v>
      </c>
      <c r="B214">
        <v>134981457</v>
      </c>
      <c r="C214" t="s">
        <v>1523</v>
      </c>
      <c r="D214" t="s">
        <v>1524</v>
      </c>
      <c r="E214" t="s">
        <v>490</v>
      </c>
      <c r="F214" t="s">
        <v>491</v>
      </c>
      <c r="G214" t="s">
        <v>44</v>
      </c>
      <c r="H214" t="s">
        <v>45</v>
      </c>
      <c r="I214" t="s">
        <v>34</v>
      </c>
      <c r="J214" t="s">
        <v>46</v>
      </c>
      <c r="K214" t="s">
        <v>41</v>
      </c>
      <c r="L214" t="s">
        <v>1525</v>
      </c>
      <c r="M214" t="s">
        <v>1526</v>
      </c>
      <c r="N214" t="s">
        <v>494</v>
      </c>
      <c r="O214" t="s">
        <v>69</v>
      </c>
      <c r="P214" t="s">
        <v>1527</v>
      </c>
      <c r="Q214" s="14" t="s">
        <v>178</v>
      </c>
      <c r="R214" t="s">
        <v>386</v>
      </c>
      <c r="S214">
        <v>1</v>
      </c>
      <c r="T214">
        <v>5476</v>
      </c>
      <c r="U214">
        <v>0</v>
      </c>
      <c r="V214">
        <v>5476</v>
      </c>
    </row>
    <row r="215" spans="1:22" x14ac:dyDescent="0.3">
      <c r="A215">
        <v>79452</v>
      </c>
      <c r="B215">
        <v>134981443</v>
      </c>
      <c r="C215" t="s">
        <v>1528</v>
      </c>
      <c r="D215" t="s">
        <v>1529</v>
      </c>
      <c r="E215" t="s">
        <v>490</v>
      </c>
      <c r="F215" t="s">
        <v>491</v>
      </c>
      <c r="G215" t="s">
        <v>44</v>
      </c>
      <c r="H215" t="s">
        <v>45</v>
      </c>
      <c r="I215" t="s">
        <v>34</v>
      </c>
      <c r="J215" t="s">
        <v>46</v>
      </c>
      <c r="K215" t="s">
        <v>41</v>
      </c>
      <c r="L215" t="s">
        <v>1530</v>
      </c>
      <c r="M215" t="s">
        <v>1531</v>
      </c>
      <c r="N215" t="s">
        <v>494</v>
      </c>
      <c r="O215" t="s">
        <v>69</v>
      </c>
      <c r="P215" t="s">
        <v>1532</v>
      </c>
      <c r="Q215" s="14" t="s">
        <v>70</v>
      </c>
      <c r="R215" t="s">
        <v>483</v>
      </c>
      <c r="S215">
        <v>2.11</v>
      </c>
      <c r="T215">
        <v>5198</v>
      </c>
      <c r="U215">
        <v>0</v>
      </c>
      <c r="V215">
        <v>5198</v>
      </c>
    </row>
    <row r="216" spans="1:22" x14ac:dyDescent="0.3">
      <c r="A216">
        <v>79452</v>
      </c>
      <c r="B216">
        <v>134981475</v>
      </c>
      <c r="C216" t="s">
        <v>1533</v>
      </c>
      <c r="D216" t="s">
        <v>1534</v>
      </c>
      <c r="E216" t="s">
        <v>490</v>
      </c>
      <c r="F216" t="s">
        <v>491</v>
      </c>
      <c r="G216" t="s">
        <v>44</v>
      </c>
      <c r="H216" t="s">
        <v>45</v>
      </c>
      <c r="I216" t="s">
        <v>34</v>
      </c>
      <c r="J216" t="s">
        <v>46</v>
      </c>
      <c r="K216" t="s">
        <v>41</v>
      </c>
      <c r="L216" t="s">
        <v>1535</v>
      </c>
      <c r="M216" t="s">
        <v>1536</v>
      </c>
      <c r="N216" t="s">
        <v>494</v>
      </c>
      <c r="O216" t="s">
        <v>69</v>
      </c>
      <c r="P216" t="s">
        <v>1537</v>
      </c>
      <c r="Q216" s="14" t="s">
        <v>108</v>
      </c>
      <c r="R216" t="s">
        <v>386</v>
      </c>
      <c r="S216">
        <v>1.41</v>
      </c>
      <c r="T216">
        <v>3753</v>
      </c>
      <c r="U216">
        <v>0</v>
      </c>
      <c r="V216">
        <v>3753</v>
      </c>
    </row>
    <row r="217" spans="1:22" x14ac:dyDescent="0.3">
      <c r="A217">
        <v>79452</v>
      </c>
      <c r="B217">
        <v>134981433</v>
      </c>
      <c r="C217" t="s">
        <v>1538</v>
      </c>
      <c r="D217" t="s">
        <v>1539</v>
      </c>
      <c r="E217" t="s">
        <v>490</v>
      </c>
      <c r="F217" t="s">
        <v>491</v>
      </c>
      <c r="G217" t="s">
        <v>44</v>
      </c>
      <c r="H217" t="s">
        <v>45</v>
      </c>
      <c r="I217" t="s">
        <v>34</v>
      </c>
      <c r="J217" t="s">
        <v>46</v>
      </c>
      <c r="K217" t="s">
        <v>41</v>
      </c>
      <c r="L217" t="s">
        <v>1540</v>
      </c>
      <c r="M217" t="s">
        <v>1541</v>
      </c>
      <c r="N217" t="s">
        <v>494</v>
      </c>
      <c r="O217" t="s">
        <v>69</v>
      </c>
      <c r="P217" t="s">
        <v>1542</v>
      </c>
      <c r="Q217" s="14" t="s">
        <v>70</v>
      </c>
      <c r="R217" t="s">
        <v>483</v>
      </c>
      <c r="S217">
        <v>2.0299999999999998</v>
      </c>
      <c r="T217">
        <v>5198</v>
      </c>
      <c r="U217">
        <v>0</v>
      </c>
      <c r="V217">
        <v>5198</v>
      </c>
    </row>
    <row r="218" spans="1:22" x14ac:dyDescent="0.3">
      <c r="A218">
        <v>79452</v>
      </c>
      <c r="B218">
        <v>135001599</v>
      </c>
      <c r="C218" t="s">
        <v>1543</v>
      </c>
      <c r="D218" t="s">
        <v>1544</v>
      </c>
      <c r="E218" t="s">
        <v>490</v>
      </c>
      <c r="F218" t="s">
        <v>491</v>
      </c>
      <c r="G218" t="s">
        <v>44</v>
      </c>
      <c r="H218" t="s">
        <v>45</v>
      </c>
      <c r="I218" t="s">
        <v>34</v>
      </c>
      <c r="J218" t="s">
        <v>46</v>
      </c>
      <c r="K218" t="s">
        <v>41</v>
      </c>
      <c r="L218" t="s">
        <v>1545</v>
      </c>
      <c r="M218" t="s">
        <v>1546</v>
      </c>
      <c r="N218" t="s">
        <v>494</v>
      </c>
      <c r="O218" t="s">
        <v>69</v>
      </c>
      <c r="P218" t="s">
        <v>1547</v>
      </c>
      <c r="Q218" s="14" t="s">
        <v>58</v>
      </c>
      <c r="R218" t="s">
        <v>659</v>
      </c>
      <c r="S218">
        <v>0.89</v>
      </c>
      <c r="T218">
        <v>4346</v>
      </c>
      <c r="U218">
        <v>0</v>
      </c>
      <c r="V218">
        <v>4346</v>
      </c>
    </row>
    <row r="219" spans="1:22" x14ac:dyDescent="0.3">
      <c r="A219">
        <v>79452</v>
      </c>
      <c r="B219">
        <v>135001579</v>
      </c>
      <c r="C219" t="s">
        <v>1548</v>
      </c>
      <c r="D219" t="s">
        <v>1549</v>
      </c>
      <c r="E219" t="s">
        <v>490</v>
      </c>
      <c r="F219" t="s">
        <v>491</v>
      </c>
      <c r="G219" t="s">
        <v>44</v>
      </c>
      <c r="H219" t="s">
        <v>45</v>
      </c>
      <c r="I219" t="s">
        <v>34</v>
      </c>
      <c r="J219" t="s">
        <v>46</v>
      </c>
      <c r="K219" t="s">
        <v>41</v>
      </c>
      <c r="L219" t="s">
        <v>1550</v>
      </c>
      <c r="M219" t="s">
        <v>1551</v>
      </c>
      <c r="N219" t="s">
        <v>494</v>
      </c>
      <c r="O219" t="s">
        <v>69</v>
      </c>
      <c r="P219" t="s">
        <v>1552</v>
      </c>
      <c r="Q219" s="14" t="s">
        <v>83</v>
      </c>
      <c r="R219" t="s">
        <v>659</v>
      </c>
      <c r="S219">
        <v>0.74</v>
      </c>
      <c r="T219">
        <v>3366</v>
      </c>
      <c r="U219">
        <v>0</v>
      </c>
      <c r="V219">
        <v>3366</v>
      </c>
    </row>
    <row r="220" spans="1:22" x14ac:dyDescent="0.3">
      <c r="A220">
        <v>79452</v>
      </c>
      <c r="B220">
        <v>135032463</v>
      </c>
      <c r="C220" t="s">
        <v>1553</v>
      </c>
      <c r="D220" t="s">
        <v>1554</v>
      </c>
      <c r="E220" t="s">
        <v>490</v>
      </c>
      <c r="F220" t="s">
        <v>491</v>
      </c>
      <c r="G220" t="s">
        <v>44</v>
      </c>
      <c r="H220" t="s">
        <v>45</v>
      </c>
      <c r="I220" t="s">
        <v>34</v>
      </c>
      <c r="J220" t="s">
        <v>46</v>
      </c>
      <c r="K220" t="s">
        <v>41</v>
      </c>
      <c r="L220" t="s">
        <v>1555</v>
      </c>
      <c r="M220" t="s">
        <v>1556</v>
      </c>
      <c r="N220" t="s">
        <v>494</v>
      </c>
      <c r="O220" t="s">
        <v>69</v>
      </c>
      <c r="P220" t="s">
        <v>1557</v>
      </c>
      <c r="Q220" s="14" t="s">
        <v>82</v>
      </c>
      <c r="R220" t="s">
        <v>685</v>
      </c>
      <c r="S220">
        <v>0.77</v>
      </c>
      <c r="T220">
        <v>4067</v>
      </c>
      <c r="U220">
        <v>0</v>
      </c>
      <c r="V220">
        <v>4067</v>
      </c>
    </row>
    <row r="221" spans="1:22" x14ac:dyDescent="0.3">
      <c r="A221">
        <v>79452</v>
      </c>
      <c r="B221">
        <v>134981492</v>
      </c>
      <c r="C221" t="s">
        <v>1558</v>
      </c>
      <c r="D221" t="s">
        <v>1559</v>
      </c>
      <c r="E221" t="s">
        <v>490</v>
      </c>
      <c r="F221" t="s">
        <v>491</v>
      </c>
      <c r="G221" t="s">
        <v>44</v>
      </c>
      <c r="H221" t="s">
        <v>45</v>
      </c>
      <c r="I221" t="s">
        <v>34</v>
      </c>
      <c r="J221" t="s">
        <v>46</v>
      </c>
      <c r="K221" t="s">
        <v>41</v>
      </c>
      <c r="L221" t="s">
        <v>1560</v>
      </c>
      <c r="M221" t="s">
        <v>1561</v>
      </c>
      <c r="N221" t="s">
        <v>494</v>
      </c>
      <c r="O221" t="s">
        <v>69</v>
      </c>
      <c r="P221" t="s">
        <v>1562</v>
      </c>
      <c r="Q221" s="14" t="s">
        <v>83</v>
      </c>
      <c r="R221" t="s">
        <v>386</v>
      </c>
      <c r="S221">
        <v>1.48</v>
      </c>
      <c r="T221">
        <v>3366</v>
      </c>
      <c r="U221">
        <v>0</v>
      </c>
      <c r="V221">
        <v>3366</v>
      </c>
    </row>
    <row r="222" spans="1:22" x14ac:dyDescent="0.3">
      <c r="A222">
        <v>79452</v>
      </c>
      <c r="B222">
        <v>135001568</v>
      </c>
      <c r="C222" t="s">
        <v>1563</v>
      </c>
      <c r="D222" t="s">
        <v>1564</v>
      </c>
      <c r="E222" t="s">
        <v>490</v>
      </c>
      <c r="F222" t="s">
        <v>491</v>
      </c>
      <c r="G222" t="s">
        <v>44</v>
      </c>
      <c r="H222" t="s">
        <v>45</v>
      </c>
      <c r="I222" t="s">
        <v>34</v>
      </c>
      <c r="J222" t="s">
        <v>46</v>
      </c>
      <c r="K222" t="s">
        <v>41</v>
      </c>
      <c r="L222" t="s">
        <v>1565</v>
      </c>
      <c r="M222" t="s">
        <v>1566</v>
      </c>
      <c r="N222" t="s">
        <v>494</v>
      </c>
      <c r="O222" t="s">
        <v>69</v>
      </c>
      <c r="P222" t="s">
        <v>1567</v>
      </c>
      <c r="Q222" s="14" t="s">
        <v>107</v>
      </c>
      <c r="R222" t="s">
        <v>659</v>
      </c>
      <c r="S222">
        <v>1.2</v>
      </c>
      <c r="T222">
        <v>3784</v>
      </c>
      <c r="U222">
        <v>0</v>
      </c>
      <c r="V222">
        <v>3784</v>
      </c>
    </row>
    <row r="223" spans="1:22" x14ac:dyDescent="0.3">
      <c r="A223">
        <v>79452</v>
      </c>
      <c r="B223">
        <v>135047306</v>
      </c>
      <c r="C223" t="s">
        <v>1568</v>
      </c>
      <c r="D223" t="s">
        <v>1569</v>
      </c>
      <c r="E223" t="s">
        <v>490</v>
      </c>
      <c r="F223" t="s">
        <v>491</v>
      </c>
      <c r="G223" t="s">
        <v>44</v>
      </c>
      <c r="H223" t="s">
        <v>45</v>
      </c>
      <c r="I223" t="s">
        <v>34</v>
      </c>
      <c r="J223" t="s">
        <v>46</v>
      </c>
      <c r="K223" t="s">
        <v>41</v>
      </c>
      <c r="L223" t="s">
        <v>1570</v>
      </c>
      <c r="M223" t="s">
        <v>1571</v>
      </c>
      <c r="N223" t="s">
        <v>494</v>
      </c>
      <c r="O223" t="s">
        <v>69</v>
      </c>
      <c r="P223" t="s">
        <v>1572</v>
      </c>
      <c r="Q223" s="14" t="s">
        <v>158</v>
      </c>
      <c r="R223" t="s">
        <v>276</v>
      </c>
      <c r="S223">
        <v>0.78</v>
      </c>
      <c r="T223">
        <v>4067</v>
      </c>
      <c r="U223">
        <v>0</v>
      </c>
      <c r="V223">
        <v>4067</v>
      </c>
    </row>
    <row r="224" spans="1:22" x14ac:dyDescent="0.3">
      <c r="A224">
        <v>79452</v>
      </c>
      <c r="B224">
        <v>135047267</v>
      </c>
      <c r="C224" t="s">
        <v>1573</v>
      </c>
      <c r="D224" t="s">
        <v>1574</v>
      </c>
      <c r="E224" t="s">
        <v>490</v>
      </c>
      <c r="F224" t="s">
        <v>491</v>
      </c>
      <c r="G224" t="s">
        <v>44</v>
      </c>
      <c r="H224" t="s">
        <v>45</v>
      </c>
      <c r="I224" t="s">
        <v>34</v>
      </c>
      <c r="J224" t="s">
        <v>46</v>
      </c>
      <c r="K224" t="s">
        <v>41</v>
      </c>
      <c r="L224" t="s">
        <v>1575</v>
      </c>
      <c r="M224" t="s">
        <v>1576</v>
      </c>
      <c r="N224" t="s">
        <v>494</v>
      </c>
      <c r="O224" t="s">
        <v>69</v>
      </c>
      <c r="P224" t="s">
        <v>1577</v>
      </c>
      <c r="Q224" s="14" t="s">
        <v>92</v>
      </c>
      <c r="R224" t="s">
        <v>276</v>
      </c>
      <c r="S224">
        <v>1</v>
      </c>
      <c r="T224">
        <v>3753</v>
      </c>
      <c r="U224">
        <v>0</v>
      </c>
      <c r="V224">
        <v>3753</v>
      </c>
    </row>
    <row r="225" spans="1:22" x14ac:dyDescent="0.3">
      <c r="A225">
        <v>79452</v>
      </c>
      <c r="B225">
        <v>135032468</v>
      </c>
      <c r="C225" t="s">
        <v>1578</v>
      </c>
      <c r="D225" t="s">
        <v>1579</v>
      </c>
      <c r="E225" t="s">
        <v>490</v>
      </c>
      <c r="F225" t="s">
        <v>491</v>
      </c>
      <c r="G225" t="s">
        <v>44</v>
      </c>
      <c r="H225" t="s">
        <v>45</v>
      </c>
      <c r="I225" t="s">
        <v>34</v>
      </c>
      <c r="J225" t="s">
        <v>46</v>
      </c>
      <c r="K225" t="s">
        <v>41</v>
      </c>
      <c r="L225" t="s">
        <v>1580</v>
      </c>
      <c r="M225" t="s">
        <v>1581</v>
      </c>
      <c r="N225" t="s">
        <v>494</v>
      </c>
      <c r="O225" t="s">
        <v>69</v>
      </c>
      <c r="P225" t="s">
        <v>1582</v>
      </c>
      <c r="Q225" s="14" t="s">
        <v>43</v>
      </c>
      <c r="R225" t="s">
        <v>685</v>
      </c>
      <c r="S225">
        <v>1.06</v>
      </c>
      <c r="T225">
        <v>4067</v>
      </c>
      <c r="U225">
        <v>0</v>
      </c>
      <c r="V225">
        <v>4067</v>
      </c>
    </row>
    <row r="226" spans="1:22" x14ac:dyDescent="0.3">
      <c r="A226">
        <v>79452</v>
      </c>
      <c r="B226">
        <v>134981485</v>
      </c>
      <c r="C226" t="s">
        <v>1583</v>
      </c>
      <c r="D226" t="s">
        <v>1584</v>
      </c>
      <c r="E226" t="s">
        <v>490</v>
      </c>
      <c r="F226" t="s">
        <v>491</v>
      </c>
      <c r="G226" t="s">
        <v>44</v>
      </c>
      <c r="H226" t="s">
        <v>45</v>
      </c>
      <c r="I226" t="s">
        <v>34</v>
      </c>
      <c r="J226" t="s">
        <v>46</v>
      </c>
      <c r="K226" t="s">
        <v>41</v>
      </c>
      <c r="L226" t="s">
        <v>1585</v>
      </c>
      <c r="M226" t="s">
        <v>1586</v>
      </c>
      <c r="N226" t="s">
        <v>494</v>
      </c>
      <c r="O226" t="s">
        <v>69</v>
      </c>
      <c r="P226" t="s">
        <v>1587</v>
      </c>
      <c r="Q226" s="14" t="s">
        <v>82</v>
      </c>
      <c r="R226" t="s">
        <v>386</v>
      </c>
      <c r="S226">
        <v>0.8</v>
      </c>
      <c r="T226">
        <v>4067</v>
      </c>
      <c r="U226">
        <v>0</v>
      </c>
      <c r="V226">
        <v>4067</v>
      </c>
    </row>
    <row r="227" spans="1:22" x14ac:dyDescent="0.3">
      <c r="A227">
        <v>79452</v>
      </c>
      <c r="B227">
        <v>135001606</v>
      </c>
      <c r="C227" t="s">
        <v>1588</v>
      </c>
      <c r="D227" t="s">
        <v>1589</v>
      </c>
      <c r="E227" t="s">
        <v>490</v>
      </c>
      <c r="F227" t="s">
        <v>491</v>
      </c>
      <c r="G227" t="s">
        <v>44</v>
      </c>
      <c r="H227" t="s">
        <v>45</v>
      </c>
      <c r="I227" t="s">
        <v>34</v>
      </c>
      <c r="J227" t="s">
        <v>46</v>
      </c>
      <c r="K227" t="s">
        <v>41</v>
      </c>
      <c r="L227" t="s">
        <v>1590</v>
      </c>
      <c r="M227" t="s">
        <v>1591</v>
      </c>
      <c r="N227" t="s">
        <v>494</v>
      </c>
      <c r="O227" t="s">
        <v>69</v>
      </c>
      <c r="P227" t="s">
        <v>1592</v>
      </c>
      <c r="Q227" s="14" t="s">
        <v>73</v>
      </c>
      <c r="R227" t="s">
        <v>659</v>
      </c>
      <c r="S227">
        <v>1.34</v>
      </c>
      <c r="T227">
        <v>3366</v>
      </c>
      <c r="U227">
        <v>0</v>
      </c>
      <c r="V227">
        <v>3366</v>
      </c>
    </row>
    <row r="228" spans="1:22" x14ac:dyDescent="0.3">
      <c r="A228">
        <v>79452</v>
      </c>
      <c r="B228">
        <v>135032462</v>
      </c>
      <c r="C228" t="s">
        <v>1593</v>
      </c>
      <c r="D228" t="s">
        <v>1594</v>
      </c>
      <c r="E228" t="s">
        <v>490</v>
      </c>
      <c r="F228" t="s">
        <v>491</v>
      </c>
      <c r="G228" t="s">
        <v>44</v>
      </c>
      <c r="H228" t="s">
        <v>45</v>
      </c>
      <c r="I228" t="s">
        <v>34</v>
      </c>
      <c r="J228" t="s">
        <v>46</v>
      </c>
      <c r="K228" t="s">
        <v>41</v>
      </c>
      <c r="L228" t="s">
        <v>1595</v>
      </c>
      <c r="M228" t="s">
        <v>1596</v>
      </c>
      <c r="N228" t="s">
        <v>494</v>
      </c>
      <c r="O228" t="s">
        <v>69</v>
      </c>
      <c r="P228" t="s">
        <v>1597</v>
      </c>
      <c r="Q228" s="14" t="s">
        <v>83</v>
      </c>
      <c r="R228" t="s">
        <v>685</v>
      </c>
      <c r="S228">
        <v>1.04</v>
      </c>
      <c r="T228">
        <v>3366</v>
      </c>
      <c r="U228">
        <v>0</v>
      </c>
      <c r="V228">
        <v>3366</v>
      </c>
    </row>
    <row r="229" spans="1:22" x14ac:dyDescent="0.3">
      <c r="A229">
        <v>79452</v>
      </c>
      <c r="B229">
        <v>135047275</v>
      </c>
      <c r="C229" t="s">
        <v>1598</v>
      </c>
      <c r="D229" t="s">
        <v>1599</v>
      </c>
      <c r="E229" t="s">
        <v>490</v>
      </c>
      <c r="F229" t="s">
        <v>491</v>
      </c>
      <c r="G229" t="s">
        <v>44</v>
      </c>
      <c r="H229" t="s">
        <v>45</v>
      </c>
      <c r="I229" t="s">
        <v>34</v>
      </c>
      <c r="J229" t="s">
        <v>46</v>
      </c>
      <c r="K229" t="s">
        <v>41</v>
      </c>
      <c r="L229" t="s">
        <v>1600</v>
      </c>
      <c r="M229" t="s">
        <v>1601</v>
      </c>
      <c r="N229" t="s">
        <v>494</v>
      </c>
      <c r="O229" t="s">
        <v>69</v>
      </c>
      <c r="P229" t="s">
        <v>1602</v>
      </c>
      <c r="Q229" s="14" t="s">
        <v>109</v>
      </c>
      <c r="R229" t="s">
        <v>276</v>
      </c>
      <c r="S229">
        <v>2.65</v>
      </c>
      <c r="T229">
        <v>3784</v>
      </c>
      <c r="U229">
        <v>0</v>
      </c>
      <c r="V229">
        <v>3784</v>
      </c>
    </row>
    <row r="230" spans="1:22" x14ac:dyDescent="0.3">
      <c r="A230">
        <v>79452</v>
      </c>
      <c r="B230">
        <v>134981484</v>
      </c>
      <c r="C230" t="s">
        <v>1603</v>
      </c>
      <c r="D230" t="s">
        <v>1604</v>
      </c>
      <c r="E230" t="s">
        <v>490</v>
      </c>
      <c r="F230" t="s">
        <v>491</v>
      </c>
      <c r="G230" t="s">
        <v>44</v>
      </c>
      <c r="H230" t="s">
        <v>45</v>
      </c>
      <c r="I230" t="s">
        <v>34</v>
      </c>
      <c r="J230" t="s">
        <v>46</v>
      </c>
      <c r="K230" t="s">
        <v>41</v>
      </c>
      <c r="L230" t="s">
        <v>1605</v>
      </c>
      <c r="M230" t="s">
        <v>1606</v>
      </c>
      <c r="N230" t="s">
        <v>494</v>
      </c>
      <c r="O230" t="s">
        <v>69</v>
      </c>
      <c r="P230" t="s">
        <v>1607</v>
      </c>
      <c r="Q230" s="14" t="s">
        <v>98</v>
      </c>
      <c r="R230" t="s">
        <v>386</v>
      </c>
      <c r="S230">
        <v>1.02</v>
      </c>
      <c r="T230">
        <v>3366</v>
      </c>
      <c r="U230">
        <v>0</v>
      </c>
      <c r="V230">
        <v>3366</v>
      </c>
    </row>
    <row r="231" spans="1:22" x14ac:dyDescent="0.3">
      <c r="A231">
        <v>79452</v>
      </c>
      <c r="B231">
        <v>134981483</v>
      </c>
      <c r="C231" t="s">
        <v>1608</v>
      </c>
      <c r="D231" t="s">
        <v>1609</v>
      </c>
      <c r="E231" t="s">
        <v>490</v>
      </c>
      <c r="F231" t="s">
        <v>491</v>
      </c>
      <c r="G231" t="s">
        <v>44</v>
      </c>
      <c r="H231" t="s">
        <v>45</v>
      </c>
      <c r="I231" t="s">
        <v>34</v>
      </c>
      <c r="J231" t="s">
        <v>46</v>
      </c>
      <c r="K231" t="s">
        <v>41</v>
      </c>
      <c r="L231" t="s">
        <v>1610</v>
      </c>
      <c r="M231" t="s">
        <v>1611</v>
      </c>
      <c r="N231" t="s">
        <v>494</v>
      </c>
      <c r="O231" t="s">
        <v>69</v>
      </c>
      <c r="P231" t="s">
        <v>1612</v>
      </c>
      <c r="Q231" s="14" t="s">
        <v>42</v>
      </c>
      <c r="R231" t="s">
        <v>386</v>
      </c>
      <c r="S231">
        <v>1</v>
      </c>
      <c r="T231">
        <v>3501</v>
      </c>
      <c r="U231">
        <v>0</v>
      </c>
      <c r="V231">
        <v>3501</v>
      </c>
    </row>
    <row r="232" spans="1:22" x14ac:dyDescent="0.3">
      <c r="A232">
        <v>79452</v>
      </c>
      <c r="B232">
        <v>135001563</v>
      </c>
      <c r="C232" t="s">
        <v>1613</v>
      </c>
      <c r="D232" t="s">
        <v>1614</v>
      </c>
      <c r="E232" t="s">
        <v>490</v>
      </c>
      <c r="F232" t="s">
        <v>491</v>
      </c>
      <c r="G232" t="s">
        <v>44</v>
      </c>
      <c r="H232" t="s">
        <v>45</v>
      </c>
      <c r="I232" t="s">
        <v>34</v>
      </c>
      <c r="J232" t="s">
        <v>46</v>
      </c>
      <c r="K232" t="s">
        <v>41</v>
      </c>
      <c r="L232" t="s">
        <v>1615</v>
      </c>
      <c r="M232" t="s">
        <v>1616</v>
      </c>
      <c r="N232" t="s">
        <v>494</v>
      </c>
      <c r="O232" t="s">
        <v>69</v>
      </c>
      <c r="P232" t="s">
        <v>1617</v>
      </c>
      <c r="Q232" s="14" t="s">
        <v>78</v>
      </c>
      <c r="R232" t="s">
        <v>659</v>
      </c>
      <c r="S232">
        <v>1.33</v>
      </c>
      <c r="T232">
        <v>3366</v>
      </c>
      <c r="U232">
        <v>0</v>
      </c>
      <c r="V232">
        <v>3366</v>
      </c>
    </row>
    <row r="233" spans="1:22" x14ac:dyDescent="0.3">
      <c r="A233">
        <v>79452</v>
      </c>
      <c r="B233">
        <v>135001549</v>
      </c>
      <c r="C233" t="s">
        <v>1618</v>
      </c>
      <c r="D233" t="s">
        <v>1619</v>
      </c>
      <c r="E233" t="s">
        <v>490</v>
      </c>
      <c r="F233" t="s">
        <v>491</v>
      </c>
      <c r="G233" t="s">
        <v>44</v>
      </c>
      <c r="H233" t="s">
        <v>45</v>
      </c>
      <c r="I233" t="s">
        <v>34</v>
      </c>
      <c r="J233" t="s">
        <v>46</v>
      </c>
      <c r="K233" t="s">
        <v>41</v>
      </c>
      <c r="L233" t="s">
        <v>1620</v>
      </c>
      <c r="M233" t="s">
        <v>374</v>
      </c>
      <c r="N233" t="s">
        <v>494</v>
      </c>
      <c r="O233" t="s">
        <v>69</v>
      </c>
      <c r="P233" t="s">
        <v>1621</v>
      </c>
      <c r="Q233" s="14" t="s">
        <v>135</v>
      </c>
      <c r="R233" t="s">
        <v>659</v>
      </c>
      <c r="S233">
        <v>0.68</v>
      </c>
      <c r="T233">
        <v>3366</v>
      </c>
      <c r="U233">
        <v>0</v>
      </c>
      <c r="V233">
        <v>3366</v>
      </c>
    </row>
    <row r="234" spans="1:22" x14ac:dyDescent="0.3">
      <c r="A234">
        <v>79452</v>
      </c>
      <c r="B234">
        <v>134981474</v>
      </c>
      <c r="C234" t="s">
        <v>1622</v>
      </c>
      <c r="D234" t="s">
        <v>1623</v>
      </c>
      <c r="E234" t="s">
        <v>490</v>
      </c>
      <c r="F234" t="s">
        <v>491</v>
      </c>
      <c r="G234" t="s">
        <v>44</v>
      </c>
      <c r="H234" t="s">
        <v>45</v>
      </c>
      <c r="I234" t="s">
        <v>34</v>
      </c>
      <c r="J234" t="s">
        <v>46</v>
      </c>
      <c r="K234" t="s">
        <v>41</v>
      </c>
      <c r="L234" t="s">
        <v>1624</v>
      </c>
      <c r="M234" t="s">
        <v>1625</v>
      </c>
      <c r="N234" t="s">
        <v>494</v>
      </c>
      <c r="O234" t="s">
        <v>69</v>
      </c>
      <c r="P234" t="s">
        <v>1626</v>
      </c>
      <c r="Q234" s="14" t="s">
        <v>92</v>
      </c>
      <c r="R234" t="s">
        <v>386</v>
      </c>
      <c r="S234">
        <v>1.1000000000000001</v>
      </c>
      <c r="T234">
        <v>3753</v>
      </c>
      <c r="U234">
        <v>0</v>
      </c>
      <c r="V234">
        <v>3753</v>
      </c>
    </row>
    <row r="235" spans="1:22" x14ac:dyDescent="0.3">
      <c r="A235">
        <v>79452</v>
      </c>
      <c r="B235">
        <v>135047299</v>
      </c>
      <c r="C235" t="s">
        <v>1627</v>
      </c>
      <c r="D235" t="s">
        <v>1628</v>
      </c>
      <c r="E235" t="s">
        <v>490</v>
      </c>
      <c r="F235" t="s">
        <v>491</v>
      </c>
      <c r="G235" t="s">
        <v>44</v>
      </c>
      <c r="H235" t="s">
        <v>45</v>
      </c>
      <c r="I235" t="s">
        <v>34</v>
      </c>
      <c r="J235" t="s">
        <v>46</v>
      </c>
      <c r="K235" t="s">
        <v>41</v>
      </c>
      <c r="L235" t="s">
        <v>1629</v>
      </c>
      <c r="M235" t="s">
        <v>1630</v>
      </c>
      <c r="N235" t="s">
        <v>494</v>
      </c>
      <c r="O235" t="s">
        <v>69</v>
      </c>
      <c r="P235" t="s">
        <v>1631</v>
      </c>
      <c r="Q235" s="14" t="s">
        <v>89</v>
      </c>
      <c r="R235" t="s">
        <v>276</v>
      </c>
      <c r="S235">
        <v>0.68</v>
      </c>
      <c r="T235">
        <v>3753</v>
      </c>
      <c r="U235">
        <v>0</v>
      </c>
      <c r="V235">
        <v>3753</v>
      </c>
    </row>
    <row r="236" spans="1:22" x14ac:dyDescent="0.3">
      <c r="A236">
        <v>79452</v>
      </c>
      <c r="B236">
        <v>135032455</v>
      </c>
      <c r="C236" t="s">
        <v>1632</v>
      </c>
      <c r="D236" t="s">
        <v>1633</v>
      </c>
      <c r="E236" t="s">
        <v>490</v>
      </c>
      <c r="F236" t="s">
        <v>491</v>
      </c>
      <c r="G236" t="s">
        <v>44</v>
      </c>
      <c r="H236" t="s">
        <v>45</v>
      </c>
      <c r="I236" t="s">
        <v>34</v>
      </c>
      <c r="J236" t="s">
        <v>46</v>
      </c>
      <c r="K236" t="s">
        <v>41</v>
      </c>
      <c r="L236" t="s">
        <v>1634</v>
      </c>
      <c r="M236" t="s">
        <v>1635</v>
      </c>
      <c r="N236" t="s">
        <v>494</v>
      </c>
      <c r="O236" t="s">
        <v>69</v>
      </c>
      <c r="P236" t="s">
        <v>1636</v>
      </c>
      <c r="Q236" s="14" t="s">
        <v>168</v>
      </c>
      <c r="R236" t="s">
        <v>685</v>
      </c>
      <c r="S236">
        <v>0.8</v>
      </c>
      <c r="T236">
        <v>7506</v>
      </c>
      <c r="U236">
        <v>0</v>
      </c>
      <c r="V236">
        <v>7506</v>
      </c>
    </row>
    <row r="237" spans="1:22" x14ac:dyDescent="0.3">
      <c r="A237">
        <v>79452</v>
      </c>
      <c r="B237">
        <v>135001578</v>
      </c>
      <c r="C237" t="s">
        <v>1637</v>
      </c>
      <c r="D237" t="s">
        <v>1638</v>
      </c>
      <c r="E237" t="s">
        <v>490</v>
      </c>
      <c r="F237" t="s">
        <v>491</v>
      </c>
      <c r="G237" t="s">
        <v>44</v>
      </c>
      <c r="H237" t="s">
        <v>45</v>
      </c>
      <c r="I237" t="s">
        <v>34</v>
      </c>
      <c r="J237" t="s">
        <v>46</v>
      </c>
      <c r="K237" t="s">
        <v>41</v>
      </c>
      <c r="L237" t="s">
        <v>1639</v>
      </c>
      <c r="M237" t="s">
        <v>1640</v>
      </c>
      <c r="N237" t="s">
        <v>494</v>
      </c>
      <c r="O237" t="s">
        <v>69</v>
      </c>
      <c r="P237" t="s">
        <v>1641</v>
      </c>
      <c r="Q237" s="14" t="s">
        <v>168</v>
      </c>
      <c r="R237" t="s">
        <v>659</v>
      </c>
      <c r="S237">
        <v>0.78</v>
      </c>
      <c r="T237">
        <v>7506</v>
      </c>
      <c r="U237">
        <v>0</v>
      </c>
      <c r="V237">
        <v>7506</v>
      </c>
    </row>
    <row r="238" spans="1:22" x14ac:dyDescent="0.3">
      <c r="A238">
        <v>79452</v>
      </c>
      <c r="B238">
        <v>135001607</v>
      </c>
      <c r="C238" t="s">
        <v>1642</v>
      </c>
      <c r="D238" t="s">
        <v>1643</v>
      </c>
      <c r="E238" t="s">
        <v>490</v>
      </c>
      <c r="F238" t="s">
        <v>491</v>
      </c>
      <c r="G238" t="s">
        <v>44</v>
      </c>
      <c r="H238" t="s">
        <v>45</v>
      </c>
      <c r="I238" t="s">
        <v>34</v>
      </c>
      <c r="J238" t="s">
        <v>46</v>
      </c>
      <c r="K238" t="s">
        <v>41</v>
      </c>
      <c r="L238" t="s">
        <v>1644</v>
      </c>
      <c r="M238" t="s">
        <v>1645</v>
      </c>
      <c r="N238" t="s">
        <v>494</v>
      </c>
      <c r="O238" t="s">
        <v>69</v>
      </c>
      <c r="P238" t="s">
        <v>1646</v>
      </c>
      <c r="Q238" s="14" t="s">
        <v>86</v>
      </c>
      <c r="R238" t="s">
        <v>659</v>
      </c>
      <c r="S238">
        <v>1</v>
      </c>
      <c r="T238">
        <v>3366</v>
      </c>
      <c r="U238">
        <v>0</v>
      </c>
      <c r="V238">
        <v>3366</v>
      </c>
    </row>
    <row r="239" spans="1:22" x14ac:dyDescent="0.3">
      <c r="A239">
        <v>79452</v>
      </c>
      <c r="B239">
        <v>134981488</v>
      </c>
      <c r="C239" t="s">
        <v>1647</v>
      </c>
      <c r="D239" t="s">
        <v>1648</v>
      </c>
      <c r="E239" t="s">
        <v>490</v>
      </c>
      <c r="F239" t="s">
        <v>491</v>
      </c>
      <c r="G239" t="s">
        <v>44</v>
      </c>
      <c r="H239" t="s">
        <v>45</v>
      </c>
      <c r="I239" t="s">
        <v>34</v>
      </c>
      <c r="J239" t="s">
        <v>46</v>
      </c>
      <c r="K239" t="s">
        <v>41</v>
      </c>
      <c r="L239" t="s">
        <v>1649</v>
      </c>
      <c r="M239" t="s">
        <v>1650</v>
      </c>
      <c r="N239" t="s">
        <v>494</v>
      </c>
      <c r="O239" t="s">
        <v>69</v>
      </c>
      <c r="P239" t="s">
        <v>1651</v>
      </c>
      <c r="Q239" s="14" t="s">
        <v>85</v>
      </c>
      <c r="R239" t="s">
        <v>386</v>
      </c>
      <c r="S239">
        <v>1.25</v>
      </c>
      <c r="T239">
        <v>3784</v>
      </c>
      <c r="U239">
        <v>0</v>
      </c>
      <c r="V239">
        <v>3784</v>
      </c>
    </row>
    <row r="240" spans="1:22" x14ac:dyDescent="0.3">
      <c r="A240">
        <v>79452</v>
      </c>
      <c r="B240">
        <v>134981431</v>
      </c>
      <c r="C240" t="s">
        <v>1652</v>
      </c>
      <c r="D240" t="s">
        <v>1653</v>
      </c>
      <c r="E240" t="s">
        <v>490</v>
      </c>
      <c r="F240" t="s">
        <v>491</v>
      </c>
      <c r="G240" t="s">
        <v>44</v>
      </c>
      <c r="H240" t="s">
        <v>45</v>
      </c>
      <c r="I240" t="s">
        <v>34</v>
      </c>
      <c r="J240" t="s">
        <v>46</v>
      </c>
      <c r="K240" t="s">
        <v>41</v>
      </c>
      <c r="L240" t="s">
        <v>1654</v>
      </c>
      <c r="M240" t="s">
        <v>1655</v>
      </c>
      <c r="N240" t="s">
        <v>494</v>
      </c>
      <c r="O240" t="s">
        <v>69</v>
      </c>
      <c r="P240" t="s">
        <v>1656</v>
      </c>
      <c r="Q240" s="14" t="s">
        <v>70</v>
      </c>
      <c r="R240" t="s">
        <v>483</v>
      </c>
      <c r="S240">
        <v>0.9</v>
      </c>
      <c r="T240">
        <v>5198</v>
      </c>
      <c r="U240">
        <v>0</v>
      </c>
      <c r="V240">
        <v>5198</v>
      </c>
    </row>
    <row r="241" spans="1:22" x14ac:dyDescent="0.3">
      <c r="A241">
        <v>79452</v>
      </c>
      <c r="B241">
        <v>134940863</v>
      </c>
      <c r="C241" t="s">
        <v>1657</v>
      </c>
      <c r="D241" t="s">
        <v>1658</v>
      </c>
      <c r="E241" t="s">
        <v>490</v>
      </c>
      <c r="F241" t="s">
        <v>491</v>
      </c>
      <c r="G241" t="s">
        <v>44</v>
      </c>
      <c r="H241" t="s">
        <v>45</v>
      </c>
      <c r="I241" t="s">
        <v>34</v>
      </c>
      <c r="J241" t="s">
        <v>46</v>
      </c>
      <c r="K241" t="s">
        <v>41</v>
      </c>
      <c r="L241" t="s">
        <v>1659</v>
      </c>
      <c r="M241" t="s">
        <v>1660</v>
      </c>
      <c r="N241" t="s">
        <v>494</v>
      </c>
      <c r="O241" t="s">
        <v>69</v>
      </c>
      <c r="P241" t="s">
        <v>1661</v>
      </c>
      <c r="Q241" s="14" t="s">
        <v>169</v>
      </c>
      <c r="R241" t="s">
        <v>1388</v>
      </c>
      <c r="S241">
        <v>1.37</v>
      </c>
      <c r="T241">
        <v>4067</v>
      </c>
      <c r="U241">
        <v>0</v>
      </c>
      <c r="V241">
        <v>4067</v>
      </c>
    </row>
    <row r="242" spans="1:22" x14ac:dyDescent="0.3">
      <c r="A242">
        <v>79452</v>
      </c>
      <c r="B242">
        <v>134981470</v>
      </c>
      <c r="C242" t="s">
        <v>1662</v>
      </c>
      <c r="D242" t="s">
        <v>1663</v>
      </c>
      <c r="E242" t="s">
        <v>490</v>
      </c>
      <c r="F242" t="s">
        <v>491</v>
      </c>
      <c r="G242" t="s">
        <v>44</v>
      </c>
      <c r="H242" t="s">
        <v>45</v>
      </c>
      <c r="I242" t="s">
        <v>34</v>
      </c>
      <c r="J242" t="s">
        <v>46</v>
      </c>
      <c r="K242" t="s">
        <v>41</v>
      </c>
      <c r="L242" t="s">
        <v>1664</v>
      </c>
      <c r="M242" t="s">
        <v>407</v>
      </c>
      <c r="N242" t="s">
        <v>494</v>
      </c>
      <c r="O242" t="s">
        <v>69</v>
      </c>
      <c r="P242" t="s">
        <v>408</v>
      </c>
      <c r="Q242" s="14" t="s">
        <v>108</v>
      </c>
      <c r="R242" t="s">
        <v>386</v>
      </c>
      <c r="S242">
        <v>1</v>
      </c>
      <c r="T242">
        <v>3753</v>
      </c>
      <c r="U242">
        <v>0</v>
      </c>
      <c r="V242">
        <v>3753</v>
      </c>
    </row>
    <row r="243" spans="1:22" x14ac:dyDescent="0.3">
      <c r="A243">
        <v>79452</v>
      </c>
      <c r="B243">
        <v>134981438</v>
      </c>
      <c r="C243" t="s">
        <v>1665</v>
      </c>
      <c r="D243" t="s">
        <v>1666</v>
      </c>
      <c r="E243" t="s">
        <v>490</v>
      </c>
      <c r="F243" t="s">
        <v>491</v>
      </c>
      <c r="G243" t="s">
        <v>44</v>
      </c>
      <c r="H243" t="s">
        <v>45</v>
      </c>
      <c r="I243" t="s">
        <v>34</v>
      </c>
      <c r="J243" t="s">
        <v>46</v>
      </c>
      <c r="K243" t="s">
        <v>41</v>
      </c>
      <c r="L243" t="s">
        <v>1667</v>
      </c>
      <c r="M243" t="s">
        <v>1668</v>
      </c>
      <c r="N243" t="s">
        <v>494</v>
      </c>
      <c r="O243" t="s">
        <v>69</v>
      </c>
      <c r="P243" t="s">
        <v>1669</v>
      </c>
      <c r="Q243" s="14" t="s">
        <v>78</v>
      </c>
      <c r="R243" t="s">
        <v>483</v>
      </c>
      <c r="S243">
        <v>1.01</v>
      </c>
      <c r="T243">
        <v>3366</v>
      </c>
      <c r="U243">
        <v>0</v>
      </c>
      <c r="V243">
        <v>3366</v>
      </c>
    </row>
    <row r="244" spans="1:22" x14ac:dyDescent="0.3">
      <c r="A244">
        <v>79452</v>
      </c>
      <c r="B244">
        <v>134981435</v>
      </c>
      <c r="C244" t="s">
        <v>1670</v>
      </c>
      <c r="D244" t="s">
        <v>1671</v>
      </c>
      <c r="E244" t="s">
        <v>490</v>
      </c>
      <c r="F244" t="s">
        <v>491</v>
      </c>
      <c r="G244" t="s">
        <v>44</v>
      </c>
      <c r="H244" t="s">
        <v>45</v>
      </c>
      <c r="I244" t="s">
        <v>34</v>
      </c>
      <c r="J244" t="s">
        <v>46</v>
      </c>
      <c r="K244" t="s">
        <v>41</v>
      </c>
      <c r="L244" t="s">
        <v>1672</v>
      </c>
      <c r="M244" t="s">
        <v>1673</v>
      </c>
      <c r="N244" t="s">
        <v>494</v>
      </c>
      <c r="O244" t="s">
        <v>69</v>
      </c>
      <c r="P244" t="s">
        <v>1674</v>
      </c>
      <c r="Q244" s="14" t="s">
        <v>135</v>
      </c>
      <c r="R244" t="s">
        <v>483</v>
      </c>
      <c r="S244">
        <v>1</v>
      </c>
      <c r="T244">
        <v>3366</v>
      </c>
      <c r="U244">
        <v>0</v>
      </c>
      <c r="V244">
        <v>3366</v>
      </c>
    </row>
    <row r="245" spans="1:22" x14ac:dyDescent="0.3">
      <c r="A245">
        <v>79452</v>
      </c>
      <c r="B245">
        <v>134981459</v>
      </c>
      <c r="C245" t="s">
        <v>1675</v>
      </c>
      <c r="D245" t="s">
        <v>1676</v>
      </c>
      <c r="E245" t="s">
        <v>490</v>
      </c>
      <c r="F245" t="s">
        <v>491</v>
      </c>
      <c r="G245" t="s">
        <v>44</v>
      </c>
      <c r="H245" t="s">
        <v>45</v>
      </c>
      <c r="I245" t="s">
        <v>34</v>
      </c>
      <c r="J245" t="s">
        <v>46</v>
      </c>
      <c r="K245" t="s">
        <v>41</v>
      </c>
      <c r="L245" t="s">
        <v>1677</v>
      </c>
      <c r="M245" t="s">
        <v>1678</v>
      </c>
      <c r="N245" t="s">
        <v>494</v>
      </c>
      <c r="O245" t="s">
        <v>69</v>
      </c>
      <c r="P245" t="s">
        <v>1679</v>
      </c>
      <c r="Q245" s="14" t="s">
        <v>82</v>
      </c>
      <c r="R245" t="s">
        <v>386</v>
      </c>
      <c r="S245">
        <v>1</v>
      </c>
      <c r="T245">
        <v>4067</v>
      </c>
      <c r="U245">
        <v>0</v>
      </c>
      <c r="V245">
        <v>4067</v>
      </c>
    </row>
    <row r="246" spans="1:22" x14ac:dyDescent="0.3">
      <c r="A246">
        <v>79452</v>
      </c>
      <c r="B246">
        <v>134981442</v>
      </c>
      <c r="C246" t="s">
        <v>1680</v>
      </c>
      <c r="D246" t="s">
        <v>1681</v>
      </c>
      <c r="E246" t="s">
        <v>490</v>
      </c>
      <c r="F246" t="s">
        <v>491</v>
      </c>
      <c r="G246" t="s">
        <v>44</v>
      </c>
      <c r="H246" t="s">
        <v>45</v>
      </c>
      <c r="I246" t="s">
        <v>34</v>
      </c>
      <c r="J246" t="s">
        <v>46</v>
      </c>
      <c r="K246" t="s">
        <v>41</v>
      </c>
      <c r="L246" t="s">
        <v>1682</v>
      </c>
      <c r="M246" t="s">
        <v>1683</v>
      </c>
      <c r="N246" t="s">
        <v>494</v>
      </c>
      <c r="O246" t="s">
        <v>69</v>
      </c>
      <c r="P246" t="s">
        <v>1684</v>
      </c>
      <c r="Q246" s="14" t="s">
        <v>82</v>
      </c>
      <c r="R246" t="s">
        <v>483</v>
      </c>
      <c r="S246">
        <v>0.85</v>
      </c>
      <c r="T246">
        <v>4067</v>
      </c>
      <c r="U246">
        <v>0</v>
      </c>
      <c r="V246">
        <v>4067</v>
      </c>
    </row>
    <row r="247" spans="1:22" x14ac:dyDescent="0.3">
      <c r="A247">
        <v>79452</v>
      </c>
      <c r="B247">
        <v>134981446</v>
      </c>
      <c r="C247" t="s">
        <v>1685</v>
      </c>
      <c r="D247" t="s">
        <v>1686</v>
      </c>
      <c r="E247" t="s">
        <v>490</v>
      </c>
      <c r="F247" t="s">
        <v>491</v>
      </c>
      <c r="G247" t="s">
        <v>44</v>
      </c>
      <c r="H247" t="s">
        <v>45</v>
      </c>
      <c r="I247" t="s">
        <v>34</v>
      </c>
      <c r="J247" t="s">
        <v>46</v>
      </c>
      <c r="K247" t="s">
        <v>41</v>
      </c>
      <c r="L247" t="s">
        <v>1068</v>
      </c>
      <c r="M247" t="s">
        <v>1687</v>
      </c>
      <c r="N247" t="s">
        <v>494</v>
      </c>
      <c r="O247" t="s">
        <v>69</v>
      </c>
      <c r="P247" t="s">
        <v>1688</v>
      </c>
      <c r="Q247" s="14" t="s">
        <v>92</v>
      </c>
      <c r="R247" t="s">
        <v>483</v>
      </c>
      <c r="S247">
        <v>0.66</v>
      </c>
      <c r="T247">
        <v>3753</v>
      </c>
      <c r="U247">
        <v>0</v>
      </c>
      <c r="V247">
        <v>3753</v>
      </c>
    </row>
    <row r="248" spans="1:22" x14ac:dyDescent="0.3">
      <c r="A248">
        <v>79452</v>
      </c>
      <c r="B248">
        <v>134940877</v>
      </c>
      <c r="C248" t="s">
        <v>1689</v>
      </c>
      <c r="D248" t="s">
        <v>1690</v>
      </c>
      <c r="E248" t="s">
        <v>490</v>
      </c>
      <c r="F248" t="s">
        <v>491</v>
      </c>
      <c r="G248" t="s">
        <v>44</v>
      </c>
      <c r="H248" t="s">
        <v>45</v>
      </c>
      <c r="I248" t="s">
        <v>34</v>
      </c>
      <c r="J248" t="s">
        <v>46</v>
      </c>
      <c r="K248" t="s">
        <v>41</v>
      </c>
      <c r="L248" t="s">
        <v>1691</v>
      </c>
      <c r="M248" t="s">
        <v>1692</v>
      </c>
      <c r="N248" t="s">
        <v>494</v>
      </c>
      <c r="O248" t="s">
        <v>69</v>
      </c>
      <c r="P248" t="s">
        <v>1693</v>
      </c>
      <c r="Q248" s="14" t="s">
        <v>70</v>
      </c>
      <c r="R248" t="s">
        <v>1388</v>
      </c>
      <c r="S248">
        <v>1</v>
      </c>
      <c r="T248">
        <v>5198</v>
      </c>
      <c r="U248">
        <v>0</v>
      </c>
      <c r="V248">
        <v>5198</v>
      </c>
    </row>
    <row r="249" spans="1:22" x14ac:dyDescent="0.3">
      <c r="A249">
        <v>79452</v>
      </c>
      <c r="B249">
        <v>134615214</v>
      </c>
      <c r="C249" t="s">
        <v>1694</v>
      </c>
      <c r="D249" t="s">
        <v>1695</v>
      </c>
      <c r="E249" t="s">
        <v>490</v>
      </c>
      <c r="F249" t="s">
        <v>491</v>
      </c>
      <c r="G249" t="s">
        <v>44</v>
      </c>
      <c r="H249" t="s">
        <v>45</v>
      </c>
      <c r="I249" t="s">
        <v>34</v>
      </c>
      <c r="J249" t="s">
        <v>46</v>
      </c>
      <c r="K249" t="s">
        <v>41</v>
      </c>
      <c r="L249" t="s">
        <v>1696</v>
      </c>
      <c r="M249" t="s">
        <v>1697</v>
      </c>
      <c r="N249" t="s">
        <v>494</v>
      </c>
      <c r="O249" t="s">
        <v>69</v>
      </c>
      <c r="P249" t="s">
        <v>1698</v>
      </c>
      <c r="Q249" s="14" t="s">
        <v>100</v>
      </c>
      <c r="R249" t="s">
        <v>1699</v>
      </c>
      <c r="S249">
        <v>1</v>
      </c>
      <c r="T249">
        <v>5759</v>
      </c>
      <c r="U249">
        <v>0</v>
      </c>
      <c r="V249">
        <v>5759</v>
      </c>
    </row>
    <row r="250" spans="1:22" x14ac:dyDescent="0.3">
      <c r="A250">
        <v>79452</v>
      </c>
      <c r="B250">
        <v>134981453</v>
      </c>
      <c r="C250" t="s">
        <v>1700</v>
      </c>
      <c r="D250" t="s">
        <v>1701</v>
      </c>
      <c r="E250" t="s">
        <v>490</v>
      </c>
      <c r="F250" t="s">
        <v>491</v>
      </c>
      <c r="G250" t="s">
        <v>44</v>
      </c>
      <c r="H250" t="s">
        <v>45</v>
      </c>
      <c r="I250" t="s">
        <v>34</v>
      </c>
      <c r="J250" t="s">
        <v>46</v>
      </c>
      <c r="K250" t="s">
        <v>41</v>
      </c>
      <c r="L250" t="s">
        <v>1702</v>
      </c>
      <c r="M250" t="s">
        <v>1177</v>
      </c>
      <c r="N250" t="s">
        <v>494</v>
      </c>
      <c r="O250" t="s">
        <v>69</v>
      </c>
      <c r="P250" t="s">
        <v>1703</v>
      </c>
      <c r="Q250" s="14" t="s">
        <v>160</v>
      </c>
      <c r="R250" t="s">
        <v>483</v>
      </c>
      <c r="S250">
        <v>0.64</v>
      </c>
      <c r="T250">
        <v>3753</v>
      </c>
      <c r="U250">
        <v>0</v>
      </c>
      <c r="V250">
        <v>3753</v>
      </c>
    </row>
    <row r="251" spans="1:22" x14ac:dyDescent="0.3">
      <c r="A251">
        <v>79452</v>
      </c>
      <c r="B251">
        <v>134877323</v>
      </c>
      <c r="C251" t="s">
        <v>1704</v>
      </c>
      <c r="D251" t="s">
        <v>1705</v>
      </c>
      <c r="E251" t="s">
        <v>490</v>
      </c>
      <c r="F251" t="s">
        <v>491</v>
      </c>
      <c r="G251" t="s">
        <v>44</v>
      </c>
      <c r="H251" t="s">
        <v>45</v>
      </c>
      <c r="I251" t="s">
        <v>34</v>
      </c>
      <c r="J251" t="s">
        <v>46</v>
      </c>
      <c r="K251" t="s">
        <v>41</v>
      </c>
      <c r="L251" t="s">
        <v>1706</v>
      </c>
      <c r="M251" t="s">
        <v>1707</v>
      </c>
      <c r="N251" t="s">
        <v>494</v>
      </c>
      <c r="O251" t="s">
        <v>69</v>
      </c>
      <c r="P251" t="s">
        <v>1708</v>
      </c>
      <c r="Q251" s="14" t="s">
        <v>160</v>
      </c>
      <c r="R251" t="s">
        <v>281</v>
      </c>
      <c r="S251">
        <v>1</v>
      </c>
      <c r="T251">
        <v>3753</v>
      </c>
      <c r="U251">
        <v>0</v>
      </c>
      <c r="V251">
        <v>3753</v>
      </c>
    </row>
    <row r="252" spans="1:22" x14ac:dyDescent="0.3">
      <c r="A252">
        <v>79452</v>
      </c>
      <c r="B252">
        <v>134950255</v>
      </c>
      <c r="C252" t="s">
        <v>1709</v>
      </c>
      <c r="D252" t="s">
        <v>1710</v>
      </c>
      <c r="E252" t="s">
        <v>490</v>
      </c>
      <c r="F252" t="s">
        <v>491</v>
      </c>
      <c r="G252" t="s">
        <v>44</v>
      </c>
      <c r="H252" t="s">
        <v>45</v>
      </c>
      <c r="I252" t="s">
        <v>34</v>
      </c>
      <c r="J252" t="s">
        <v>46</v>
      </c>
      <c r="K252" t="s">
        <v>41</v>
      </c>
      <c r="L252" t="s">
        <v>1711</v>
      </c>
      <c r="M252" t="s">
        <v>1712</v>
      </c>
      <c r="N252" t="s">
        <v>494</v>
      </c>
      <c r="O252" t="s">
        <v>69</v>
      </c>
      <c r="P252" t="s">
        <v>1713</v>
      </c>
      <c r="Q252" s="14" t="s">
        <v>58</v>
      </c>
      <c r="R252" t="s">
        <v>1120</v>
      </c>
      <c r="S252">
        <v>1</v>
      </c>
      <c r="T252">
        <v>4346</v>
      </c>
      <c r="U252">
        <v>0</v>
      </c>
      <c r="V252">
        <v>4346</v>
      </c>
    </row>
    <row r="253" spans="1:22" x14ac:dyDescent="0.3">
      <c r="A253">
        <v>79452</v>
      </c>
      <c r="B253">
        <v>134981455</v>
      </c>
      <c r="C253" t="s">
        <v>1714</v>
      </c>
      <c r="D253" t="s">
        <v>1715</v>
      </c>
      <c r="E253" t="s">
        <v>490</v>
      </c>
      <c r="F253" t="s">
        <v>491</v>
      </c>
      <c r="G253" t="s">
        <v>44</v>
      </c>
      <c r="H253" t="s">
        <v>45</v>
      </c>
      <c r="I253" t="s">
        <v>34</v>
      </c>
      <c r="J253" t="s">
        <v>46</v>
      </c>
      <c r="K253" t="s">
        <v>116</v>
      </c>
      <c r="L253" t="s">
        <v>248</v>
      </c>
      <c r="M253" t="s">
        <v>1716</v>
      </c>
      <c r="N253" t="s">
        <v>494</v>
      </c>
      <c r="O253" t="s">
        <v>69</v>
      </c>
      <c r="P253" t="s">
        <v>1717</v>
      </c>
      <c r="Q253" s="14" t="s">
        <v>109</v>
      </c>
      <c r="R253" t="s">
        <v>483</v>
      </c>
      <c r="S253">
        <v>1.1599999999999999</v>
      </c>
      <c r="T253">
        <v>3784</v>
      </c>
      <c r="U253">
        <v>0</v>
      </c>
      <c r="V253">
        <v>3784</v>
      </c>
    </row>
    <row r="254" spans="1:22" x14ac:dyDescent="0.3">
      <c r="A254">
        <v>79452</v>
      </c>
      <c r="B254">
        <v>134902214</v>
      </c>
      <c r="C254" t="s">
        <v>1718</v>
      </c>
      <c r="D254" t="s">
        <v>1719</v>
      </c>
      <c r="E254" t="s">
        <v>490</v>
      </c>
      <c r="F254" t="s">
        <v>491</v>
      </c>
      <c r="G254" t="s">
        <v>44</v>
      </c>
      <c r="H254" t="s">
        <v>45</v>
      </c>
      <c r="I254" t="s">
        <v>34</v>
      </c>
      <c r="J254" t="s">
        <v>46</v>
      </c>
      <c r="K254" t="s">
        <v>41</v>
      </c>
      <c r="L254" t="s">
        <v>258</v>
      </c>
      <c r="M254" t="s">
        <v>292</v>
      </c>
      <c r="N254" t="s">
        <v>494</v>
      </c>
      <c r="O254" t="s">
        <v>69</v>
      </c>
      <c r="P254" t="s">
        <v>1720</v>
      </c>
      <c r="Q254" s="14" t="s">
        <v>192</v>
      </c>
      <c r="R254" t="s">
        <v>1721</v>
      </c>
      <c r="S254">
        <v>1.04</v>
      </c>
      <c r="T254">
        <v>4346</v>
      </c>
      <c r="U254">
        <v>0</v>
      </c>
      <c r="V254">
        <v>4346</v>
      </c>
    </row>
    <row r="255" spans="1:22" x14ac:dyDescent="0.3">
      <c r="A255">
        <v>79452</v>
      </c>
      <c r="B255">
        <v>134709006</v>
      </c>
      <c r="C255" t="s">
        <v>1722</v>
      </c>
      <c r="D255" t="s">
        <v>1723</v>
      </c>
      <c r="E255" t="s">
        <v>490</v>
      </c>
      <c r="F255" t="s">
        <v>491</v>
      </c>
      <c r="G255" t="s">
        <v>44</v>
      </c>
      <c r="H255" t="s">
        <v>45</v>
      </c>
      <c r="I255" t="s">
        <v>34</v>
      </c>
      <c r="J255" t="s">
        <v>46</v>
      </c>
      <c r="K255" t="s">
        <v>41</v>
      </c>
      <c r="L255" t="s">
        <v>1724</v>
      </c>
      <c r="M255" t="s">
        <v>1725</v>
      </c>
      <c r="N255" t="s">
        <v>494</v>
      </c>
      <c r="O255" t="s">
        <v>69</v>
      </c>
      <c r="P255" t="s">
        <v>1726</v>
      </c>
      <c r="Q255" s="14" t="s">
        <v>100</v>
      </c>
      <c r="R255" t="s">
        <v>1727</v>
      </c>
      <c r="S255">
        <v>0.95</v>
      </c>
      <c r="T255">
        <v>5759</v>
      </c>
      <c r="U255">
        <v>0</v>
      </c>
      <c r="V255">
        <v>5759</v>
      </c>
    </row>
    <row r="256" spans="1:22" x14ac:dyDescent="0.3">
      <c r="A256">
        <v>79452</v>
      </c>
      <c r="B256">
        <v>134708925</v>
      </c>
      <c r="C256" t="s">
        <v>1728</v>
      </c>
      <c r="D256" t="s">
        <v>1729</v>
      </c>
      <c r="E256" t="s">
        <v>490</v>
      </c>
      <c r="F256" t="s">
        <v>491</v>
      </c>
      <c r="G256" t="s">
        <v>44</v>
      </c>
      <c r="H256" t="s">
        <v>45</v>
      </c>
      <c r="I256" t="s">
        <v>34</v>
      </c>
      <c r="J256" t="s">
        <v>46</v>
      </c>
      <c r="K256" t="s">
        <v>41</v>
      </c>
      <c r="L256" t="s">
        <v>1730</v>
      </c>
      <c r="M256" t="s">
        <v>1731</v>
      </c>
      <c r="N256" t="s">
        <v>494</v>
      </c>
      <c r="O256" t="s">
        <v>69</v>
      </c>
      <c r="P256" t="s">
        <v>1732</v>
      </c>
      <c r="Q256" s="14" t="s">
        <v>149</v>
      </c>
      <c r="R256" t="s">
        <v>1418</v>
      </c>
      <c r="S256">
        <v>1.77</v>
      </c>
      <c r="T256">
        <v>5759</v>
      </c>
      <c r="U256">
        <v>0</v>
      </c>
      <c r="V256">
        <v>5759</v>
      </c>
    </row>
    <row r="257" spans="1:22" x14ac:dyDescent="0.3">
      <c r="A257">
        <v>79452</v>
      </c>
      <c r="B257">
        <v>134950252</v>
      </c>
      <c r="C257" t="s">
        <v>1733</v>
      </c>
      <c r="D257" t="s">
        <v>1734</v>
      </c>
      <c r="E257" t="s">
        <v>490</v>
      </c>
      <c r="F257" t="s">
        <v>491</v>
      </c>
      <c r="G257" t="s">
        <v>44</v>
      </c>
      <c r="H257" t="s">
        <v>45</v>
      </c>
      <c r="I257" t="s">
        <v>34</v>
      </c>
      <c r="J257" t="s">
        <v>46</v>
      </c>
      <c r="K257" t="s">
        <v>41</v>
      </c>
      <c r="L257" t="s">
        <v>1735</v>
      </c>
      <c r="M257" t="s">
        <v>133</v>
      </c>
      <c r="N257" t="s">
        <v>494</v>
      </c>
      <c r="O257" t="s">
        <v>69</v>
      </c>
      <c r="P257" t="s">
        <v>1736</v>
      </c>
      <c r="Q257" s="14" t="s">
        <v>77</v>
      </c>
      <c r="R257" t="s">
        <v>1120</v>
      </c>
      <c r="S257">
        <v>1.89</v>
      </c>
      <c r="T257">
        <v>3753</v>
      </c>
      <c r="U257">
        <v>0</v>
      </c>
      <c r="V257">
        <v>3753</v>
      </c>
    </row>
    <row r="258" spans="1:22" x14ac:dyDescent="0.3">
      <c r="A258">
        <v>79452</v>
      </c>
      <c r="B258">
        <v>134940862</v>
      </c>
      <c r="C258" t="s">
        <v>1737</v>
      </c>
      <c r="D258" t="s">
        <v>1738</v>
      </c>
      <c r="E258" t="s">
        <v>490</v>
      </c>
      <c r="F258" t="s">
        <v>491</v>
      </c>
      <c r="G258" t="s">
        <v>44</v>
      </c>
      <c r="H258" t="s">
        <v>45</v>
      </c>
      <c r="I258" t="s">
        <v>34</v>
      </c>
      <c r="J258" t="s">
        <v>46</v>
      </c>
      <c r="K258" t="s">
        <v>41</v>
      </c>
      <c r="L258" t="s">
        <v>1739</v>
      </c>
      <c r="M258" t="s">
        <v>1740</v>
      </c>
      <c r="N258" t="s">
        <v>494</v>
      </c>
      <c r="O258" t="s">
        <v>69</v>
      </c>
      <c r="P258" t="s">
        <v>1741</v>
      </c>
      <c r="Q258" s="14" t="s">
        <v>85</v>
      </c>
      <c r="R258" t="s">
        <v>1388</v>
      </c>
      <c r="S258">
        <v>1</v>
      </c>
      <c r="T258">
        <v>3784</v>
      </c>
      <c r="U258">
        <v>0</v>
      </c>
      <c r="V258">
        <v>3784</v>
      </c>
    </row>
    <row r="259" spans="1:22" x14ac:dyDescent="0.3">
      <c r="A259">
        <v>79452</v>
      </c>
      <c r="B259">
        <v>134940867</v>
      </c>
      <c r="C259" t="s">
        <v>1742</v>
      </c>
      <c r="D259" t="s">
        <v>1743</v>
      </c>
      <c r="E259" t="s">
        <v>490</v>
      </c>
      <c r="F259" t="s">
        <v>491</v>
      </c>
      <c r="G259" t="s">
        <v>44</v>
      </c>
      <c r="H259" t="s">
        <v>45</v>
      </c>
      <c r="I259" t="s">
        <v>34</v>
      </c>
      <c r="J259" t="s">
        <v>46</v>
      </c>
      <c r="K259" t="s">
        <v>41</v>
      </c>
      <c r="L259" t="s">
        <v>1744</v>
      </c>
      <c r="M259" t="s">
        <v>1745</v>
      </c>
      <c r="N259" t="s">
        <v>494</v>
      </c>
      <c r="O259" t="s">
        <v>69</v>
      </c>
      <c r="P259" t="s">
        <v>1746</v>
      </c>
      <c r="Q259" s="14" t="s">
        <v>85</v>
      </c>
      <c r="R259" t="s">
        <v>1388</v>
      </c>
      <c r="S259">
        <v>0.59</v>
      </c>
      <c r="T259">
        <v>3784</v>
      </c>
      <c r="U259">
        <v>0</v>
      </c>
      <c r="V259">
        <v>3784</v>
      </c>
    </row>
    <row r="260" spans="1:22" x14ac:dyDescent="0.3">
      <c r="A260">
        <v>79452</v>
      </c>
      <c r="B260">
        <v>134940865</v>
      </c>
      <c r="C260" t="s">
        <v>1747</v>
      </c>
      <c r="D260" t="s">
        <v>1748</v>
      </c>
      <c r="E260" t="s">
        <v>490</v>
      </c>
      <c r="F260" t="s">
        <v>491</v>
      </c>
      <c r="G260" t="s">
        <v>44</v>
      </c>
      <c r="H260" t="s">
        <v>45</v>
      </c>
      <c r="I260" t="s">
        <v>34</v>
      </c>
      <c r="J260" t="s">
        <v>46</v>
      </c>
      <c r="K260" t="s">
        <v>41</v>
      </c>
      <c r="L260" t="s">
        <v>1749</v>
      </c>
      <c r="M260" t="s">
        <v>1750</v>
      </c>
      <c r="N260" t="s">
        <v>494</v>
      </c>
      <c r="O260" t="s">
        <v>69</v>
      </c>
      <c r="P260" t="s">
        <v>1751</v>
      </c>
      <c r="Q260" s="14" t="s">
        <v>233</v>
      </c>
      <c r="R260" t="s">
        <v>1388</v>
      </c>
      <c r="S260">
        <v>1</v>
      </c>
      <c r="T260">
        <v>3366</v>
      </c>
      <c r="U260">
        <v>0</v>
      </c>
      <c r="V260">
        <v>3366</v>
      </c>
    </row>
    <row r="261" spans="1:22" x14ac:dyDescent="0.3">
      <c r="A261">
        <v>79452</v>
      </c>
      <c r="B261">
        <v>134950250</v>
      </c>
      <c r="C261" t="s">
        <v>1752</v>
      </c>
      <c r="D261" t="s">
        <v>1753</v>
      </c>
      <c r="E261" t="s">
        <v>490</v>
      </c>
      <c r="F261" t="s">
        <v>491</v>
      </c>
      <c r="G261" t="s">
        <v>44</v>
      </c>
      <c r="H261" t="s">
        <v>45</v>
      </c>
      <c r="I261" t="s">
        <v>34</v>
      </c>
      <c r="J261" t="s">
        <v>46</v>
      </c>
      <c r="K261" t="s">
        <v>41</v>
      </c>
      <c r="L261" t="s">
        <v>1754</v>
      </c>
      <c r="M261" t="s">
        <v>1755</v>
      </c>
      <c r="N261" t="s">
        <v>494</v>
      </c>
      <c r="O261" t="s">
        <v>69</v>
      </c>
      <c r="P261" t="s">
        <v>1756</v>
      </c>
      <c r="Q261" s="14" t="s">
        <v>92</v>
      </c>
      <c r="R261" t="s">
        <v>1120</v>
      </c>
      <c r="S261">
        <v>1</v>
      </c>
      <c r="T261">
        <v>3753</v>
      </c>
      <c r="U261">
        <v>0</v>
      </c>
      <c r="V261">
        <v>3753</v>
      </c>
    </row>
    <row r="262" spans="1:22" x14ac:dyDescent="0.3">
      <c r="A262">
        <v>79452</v>
      </c>
      <c r="B262">
        <v>134950247</v>
      </c>
      <c r="C262" t="s">
        <v>1757</v>
      </c>
      <c r="D262" t="s">
        <v>1758</v>
      </c>
      <c r="E262" t="s">
        <v>490</v>
      </c>
      <c r="F262" t="s">
        <v>491</v>
      </c>
      <c r="G262" t="s">
        <v>44</v>
      </c>
      <c r="H262" t="s">
        <v>45</v>
      </c>
      <c r="I262" t="s">
        <v>34</v>
      </c>
      <c r="J262" t="s">
        <v>46</v>
      </c>
      <c r="K262" t="s">
        <v>41</v>
      </c>
      <c r="L262" t="s">
        <v>1759</v>
      </c>
      <c r="M262" t="s">
        <v>1760</v>
      </c>
      <c r="N262" t="s">
        <v>494</v>
      </c>
      <c r="O262" t="s">
        <v>69</v>
      </c>
      <c r="P262" t="s">
        <v>1761</v>
      </c>
      <c r="Q262" s="14" t="s">
        <v>85</v>
      </c>
      <c r="R262" t="s">
        <v>1120</v>
      </c>
      <c r="S262">
        <v>0.97</v>
      </c>
      <c r="T262">
        <v>3784</v>
      </c>
      <c r="U262">
        <v>0</v>
      </c>
      <c r="V262">
        <v>3784</v>
      </c>
    </row>
    <row r="263" spans="1:22" x14ac:dyDescent="0.3">
      <c r="A263">
        <v>79452</v>
      </c>
      <c r="B263">
        <v>134917178</v>
      </c>
      <c r="C263" t="s">
        <v>1762</v>
      </c>
      <c r="D263" t="s">
        <v>1763</v>
      </c>
      <c r="E263" t="s">
        <v>490</v>
      </c>
      <c r="F263" t="s">
        <v>491</v>
      </c>
      <c r="G263" t="s">
        <v>44</v>
      </c>
      <c r="H263" t="s">
        <v>45</v>
      </c>
      <c r="I263" t="s">
        <v>34</v>
      </c>
      <c r="J263" t="s">
        <v>46</v>
      </c>
      <c r="K263" t="s">
        <v>41</v>
      </c>
      <c r="L263" t="s">
        <v>1764</v>
      </c>
      <c r="M263" t="s">
        <v>1094</v>
      </c>
      <c r="N263" t="s">
        <v>494</v>
      </c>
      <c r="O263" t="s">
        <v>69</v>
      </c>
      <c r="P263" t="s">
        <v>1765</v>
      </c>
      <c r="Q263" s="14" t="s">
        <v>203</v>
      </c>
      <c r="R263" t="s">
        <v>267</v>
      </c>
      <c r="S263">
        <v>0.9</v>
      </c>
      <c r="T263">
        <v>4067</v>
      </c>
      <c r="U263">
        <v>0</v>
      </c>
      <c r="V263">
        <v>4067</v>
      </c>
    </row>
    <row r="264" spans="1:22" x14ac:dyDescent="0.3">
      <c r="A264">
        <v>79452</v>
      </c>
      <c r="B264">
        <v>134831228</v>
      </c>
      <c r="C264" t="s">
        <v>1766</v>
      </c>
      <c r="D264" t="s">
        <v>1767</v>
      </c>
      <c r="E264" t="s">
        <v>490</v>
      </c>
      <c r="F264" t="s">
        <v>491</v>
      </c>
      <c r="G264" t="s">
        <v>44</v>
      </c>
      <c r="H264" t="s">
        <v>45</v>
      </c>
      <c r="I264" t="s">
        <v>34</v>
      </c>
      <c r="J264" t="s">
        <v>46</v>
      </c>
      <c r="K264" t="s">
        <v>41</v>
      </c>
      <c r="L264" t="s">
        <v>1768</v>
      </c>
      <c r="M264" t="s">
        <v>1769</v>
      </c>
      <c r="N264" t="s">
        <v>494</v>
      </c>
      <c r="O264" t="s">
        <v>69</v>
      </c>
      <c r="P264" t="s">
        <v>1770</v>
      </c>
      <c r="Q264" s="14" t="s">
        <v>98</v>
      </c>
      <c r="R264" t="s">
        <v>324</v>
      </c>
      <c r="S264">
        <v>1</v>
      </c>
      <c r="T264">
        <v>3366</v>
      </c>
      <c r="U264">
        <v>0</v>
      </c>
      <c r="V264">
        <v>3366</v>
      </c>
    </row>
    <row r="265" spans="1:22" x14ac:dyDescent="0.3">
      <c r="A265">
        <v>79452</v>
      </c>
      <c r="B265">
        <v>134902227</v>
      </c>
      <c r="C265" t="s">
        <v>1771</v>
      </c>
      <c r="D265" t="s">
        <v>1772</v>
      </c>
      <c r="E265" t="s">
        <v>490</v>
      </c>
      <c r="F265" t="s">
        <v>491</v>
      </c>
      <c r="G265" t="s">
        <v>44</v>
      </c>
      <c r="H265" t="s">
        <v>45</v>
      </c>
      <c r="I265" t="s">
        <v>34</v>
      </c>
      <c r="J265" t="s">
        <v>46</v>
      </c>
      <c r="K265" t="s">
        <v>41</v>
      </c>
      <c r="L265" t="s">
        <v>1773</v>
      </c>
      <c r="M265" t="s">
        <v>1774</v>
      </c>
      <c r="N265" t="s">
        <v>494</v>
      </c>
      <c r="O265" t="s">
        <v>69</v>
      </c>
      <c r="P265" t="s">
        <v>1775</v>
      </c>
      <c r="Q265" s="14" t="s">
        <v>145</v>
      </c>
      <c r="R265" t="s">
        <v>1721</v>
      </c>
      <c r="S265">
        <v>6.78</v>
      </c>
      <c r="T265">
        <v>6888</v>
      </c>
      <c r="U265">
        <v>0</v>
      </c>
      <c r="V265">
        <v>6888</v>
      </c>
    </row>
    <row r="266" spans="1:22" x14ac:dyDescent="0.3">
      <c r="A266">
        <v>79452</v>
      </c>
      <c r="B266">
        <v>134813816</v>
      </c>
      <c r="C266" t="s">
        <v>1776</v>
      </c>
      <c r="D266" t="s">
        <v>1777</v>
      </c>
      <c r="E266" t="s">
        <v>490</v>
      </c>
      <c r="F266" t="s">
        <v>491</v>
      </c>
      <c r="G266" t="s">
        <v>44</v>
      </c>
      <c r="H266" t="s">
        <v>45</v>
      </c>
      <c r="I266" t="s">
        <v>34</v>
      </c>
      <c r="J266" t="s">
        <v>46</v>
      </c>
      <c r="K266" t="s">
        <v>41</v>
      </c>
      <c r="L266" t="s">
        <v>1778</v>
      </c>
      <c r="M266" t="s">
        <v>1779</v>
      </c>
      <c r="N266" t="s">
        <v>494</v>
      </c>
      <c r="O266" t="s">
        <v>69</v>
      </c>
      <c r="P266" t="s">
        <v>1780</v>
      </c>
      <c r="Q266" s="14" t="s">
        <v>145</v>
      </c>
      <c r="R266" t="s">
        <v>1781</v>
      </c>
      <c r="S266">
        <v>1</v>
      </c>
      <c r="T266">
        <v>4346</v>
      </c>
      <c r="U266">
        <v>0</v>
      </c>
      <c r="V266">
        <v>4346</v>
      </c>
    </row>
    <row r="267" spans="1:22" x14ac:dyDescent="0.3">
      <c r="A267">
        <v>79452</v>
      </c>
      <c r="B267">
        <v>134860706</v>
      </c>
      <c r="C267" t="s">
        <v>1782</v>
      </c>
      <c r="D267" t="s">
        <v>1783</v>
      </c>
      <c r="E267" t="s">
        <v>490</v>
      </c>
      <c r="F267" t="s">
        <v>491</v>
      </c>
      <c r="G267" t="s">
        <v>44</v>
      </c>
      <c r="H267" t="s">
        <v>45</v>
      </c>
      <c r="I267" t="s">
        <v>34</v>
      </c>
      <c r="J267" t="s">
        <v>46</v>
      </c>
      <c r="K267" t="s">
        <v>41</v>
      </c>
      <c r="L267" t="s">
        <v>1784</v>
      </c>
      <c r="M267" t="s">
        <v>1785</v>
      </c>
      <c r="N267" t="s">
        <v>494</v>
      </c>
      <c r="O267" t="s">
        <v>69</v>
      </c>
      <c r="P267" t="s">
        <v>1786</v>
      </c>
      <c r="Q267" s="14" t="s">
        <v>169</v>
      </c>
      <c r="R267" t="s">
        <v>1787</v>
      </c>
      <c r="S267">
        <v>1.07</v>
      </c>
      <c r="T267">
        <v>4067</v>
      </c>
      <c r="U267">
        <v>0</v>
      </c>
      <c r="V267">
        <v>4067</v>
      </c>
    </row>
    <row r="268" spans="1:22" x14ac:dyDescent="0.3">
      <c r="A268">
        <v>79452</v>
      </c>
      <c r="B268">
        <v>134917196</v>
      </c>
      <c r="C268" t="s">
        <v>1788</v>
      </c>
      <c r="D268" t="s">
        <v>1789</v>
      </c>
      <c r="E268" t="s">
        <v>490</v>
      </c>
      <c r="F268" t="s">
        <v>491</v>
      </c>
      <c r="G268" t="s">
        <v>44</v>
      </c>
      <c r="H268" t="s">
        <v>45</v>
      </c>
      <c r="I268" t="s">
        <v>34</v>
      </c>
      <c r="J268" t="s">
        <v>46</v>
      </c>
      <c r="K268" t="s">
        <v>41</v>
      </c>
      <c r="L268" t="s">
        <v>1790</v>
      </c>
      <c r="M268" t="s">
        <v>1791</v>
      </c>
      <c r="N268" t="s">
        <v>494</v>
      </c>
      <c r="O268" t="s">
        <v>69</v>
      </c>
      <c r="P268" t="s">
        <v>1792</v>
      </c>
      <c r="Q268" s="14" t="s">
        <v>81</v>
      </c>
      <c r="R268" t="s">
        <v>267</v>
      </c>
      <c r="S268">
        <v>0.56000000000000005</v>
      </c>
      <c r="T268">
        <v>3753</v>
      </c>
      <c r="U268">
        <v>0</v>
      </c>
      <c r="V268">
        <v>3753</v>
      </c>
    </row>
    <row r="269" spans="1:22" x14ac:dyDescent="0.3">
      <c r="A269">
        <v>79452</v>
      </c>
      <c r="B269">
        <v>134917183</v>
      </c>
      <c r="C269" t="s">
        <v>1793</v>
      </c>
      <c r="D269" t="s">
        <v>1794</v>
      </c>
      <c r="E269" t="s">
        <v>490</v>
      </c>
      <c r="F269" t="s">
        <v>491</v>
      </c>
      <c r="G269" t="s">
        <v>44</v>
      </c>
      <c r="H269" t="s">
        <v>45</v>
      </c>
      <c r="I269" t="s">
        <v>34</v>
      </c>
      <c r="J269" t="s">
        <v>46</v>
      </c>
      <c r="K269" t="s">
        <v>41</v>
      </c>
      <c r="L269" t="s">
        <v>1795</v>
      </c>
      <c r="M269" t="s">
        <v>1796</v>
      </c>
      <c r="N269" t="s">
        <v>494</v>
      </c>
      <c r="O269" t="s">
        <v>69</v>
      </c>
      <c r="P269" t="s">
        <v>1797</v>
      </c>
      <c r="Q269" s="14" t="s">
        <v>178</v>
      </c>
      <c r="R269" t="s">
        <v>267</v>
      </c>
      <c r="S269">
        <v>0.96</v>
      </c>
      <c r="T269">
        <v>5476</v>
      </c>
      <c r="U269">
        <v>0</v>
      </c>
      <c r="V269">
        <v>5476</v>
      </c>
    </row>
    <row r="270" spans="1:22" x14ac:dyDescent="0.3">
      <c r="A270">
        <v>79452</v>
      </c>
      <c r="B270">
        <v>134917197</v>
      </c>
      <c r="C270" t="s">
        <v>1798</v>
      </c>
      <c r="D270" t="s">
        <v>1799</v>
      </c>
      <c r="E270" t="s">
        <v>490</v>
      </c>
      <c r="F270" t="s">
        <v>491</v>
      </c>
      <c r="G270" t="s">
        <v>44</v>
      </c>
      <c r="H270" t="s">
        <v>45</v>
      </c>
      <c r="I270" t="s">
        <v>34</v>
      </c>
      <c r="J270" t="s">
        <v>46</v>
      </c>
      <c r="K270" t="s">
        <v>41</v>
      </c>
      <c r="L270" t="s">
        <v>1800</v>
      </c>
      <c r="M270" t="s">
        <v>1801</v>
      </c>
      <c r="N270" t="s">
        <v>494</v>
      </c>
      <c r="O270" t="s">
        <v>69</v>
      </c>
      <c r="P270" t="s">
        <v>1802</v>
      </c>
      <c r="Q270" s="14" t="s">
        <v>68</v>
      </c>
      <c r="R270" t="s">
        <v>267</v>
      </c>
      <c r="S270">
        <v>1.07</v>
      </c>
      <c r="T270">
        <v>3784</v>
      </c>
      <c r="U270">
        <v>0</v>
      </c>
      <c r="V270">
        <v>3784</v>
      </c>
    </row>
    <row r="271" spans="1:22" x14ac:dyDescent="0.3">
      <c r="A271">
        <v>79452</v>
      </c>
      <c r="B271">
        <v>134902218</v>
      </c>
      <c r="C271" t="s">
        <v>1803</v>
      </c>
      <c r="D271" t="s">
        <v>1804</v>
      </c>
      <c r="E271" t="s">
        <v>490</v>
      </c>
      <c r="F271" t="s">
        <v>491</v>
      </c>
      <c r="G271" t="s">
        <v>44</v>
      </c>
      <c r="H271" t="s">
        <v>45</v>
      </c>
      <c r="I271" t="s">
        <v>34</v>
      </c>
      <c r="J271" t="s">
        <v>46</v>
      </c>
      <c r="K271" t="s">
        <v>41</v>
      </c>
      <c r="L271" t="s">
        <v>1805</v>
      </c>
      <c r="M271" t="s">
        <v>1806</v>
      </c>
      <c r="N271" t="s">
        <v>494</v>
      </c>
      <c r="O271" t="s">
        <v>69</v>
      </c>
      <c r="P271" t="s">
        <v>1807</v>
      </c>
      <c r="Q271" s="14" t="s">
        <v>62</v>
      </c>
      <c r="R271" t="s">
        <v>1721</v>
      </c>
      <c r="S271">
        <v>1.7</v>
      </c>
      <c r="T271">
        <v>4067</v>
      </c>
      <c r="U271">
        <v>0</v>
      </c>
      <c r="V271">
        <v>4067</v>
      </c>
    </row>
    <row r="272" spans="1:22" x14ac:dyDescent="0.3">
      <c r="A272">
        <v>79452</v>
      </c>
      <c r="B272">
        <v>134902221</v>
      </c>
      <c r="C272" t="s">
        <v>1808</v>
      </c>
      <c r="D272" t="s">
        <v>1809</v>
      </c>
      <c r="E272" t="s">
        <v>490</v>
      </c>
      <c r="F272" t="s">
        <v>491</v>
      </c>
      <c r="G272" t="s">
        <v>44</v>
      </c>
      <c r="H272" t="s">
        <v>45</v>
      </c>
      <c r="I272" t="s">
        <v>34</v>
      </c>
      <c r="J272" t="s">
        <v>46</v>
      </c>
      <c r="K272" t="s">
        <v>41</v>
      </c>
      <c r="L272" t="s">
        <v>1810</v>
      </c>
      <c r="M272" t="s">
        <v>1811</v>
      </c>
      <c r="N272" t="s">
        <v>494</v>
      </c>
      <c r="O272" t="s">
        <v>69</v>
      </c>
      <c r="P272" t="s">
        <v>1812</v>
      </c>
      <c r="Q272" s="14" t="s">
        <v>108</v>
      </c>
      <c r="R272" t="s">
        <v>1721</v>
      </c>
      <c r="S272">
        <v>1</v>
      </c>
      <c r="T272">
        <v>3753</v>
      </c>
      <c r="U272">
        <v>0</v>
      </c>
      <c r="V272">
        <v>3753</v>
      </c>
    </row>
    <row r="273" spans="1:22" x14ac:dyDescent="0.3">
      <c r="A273">
        <v>79452</v>
      </c>
      <c r="B273">
        <v>134902223</v>
      </c>
      <c r="C273" t="s">
        <v>1813</v>
      </c>
      <c r="D273" t="s">
        <v>1814</v>
      </c>
      <c r="E273" t="s">
        <v>490</v>
      </c>
      <c r="F273" t="s">
        <v>491</v>
      </c>
      <c r="G273" t="s">
        <v>44</v>
      </c>
      <c r="H273" t="s">
        <v>45</v>
      </c>
      <c r="I273" t="s">
        <v>34</v>
      </c>
      <c r="J273" t="s">
        <v>46</v>
      </c>
      <c r="K273" t="s">
        <v>41</v>
      </c>
      <c r="L273" t="s">
        <v>1815</v>
      </c>
      <c r="M273" t="s">
        <v>1816</v>
      </c>
      <c r="N273" t="s">
        <v>494</v>
      </c>
      <c r="O273" t="s">
        <v>69</v>
      </c>
      <c r="P273" t="s">
        <v>1817</v>
      </c>
      <c r="Q273" s="14" t="s">
        <v>89</v>
      </c>
      <c r="R273" t="s">
        <v>1721</v>
      </c>
      <c r="S273">
        <v>1</v>
      </c>
      <c r="T273">
        <v>3753</v>
      </c>
      <c r="U273">
        <v>0</v>
      </c>
      <c r="V273">
        <v>3753</v>
      </c>
    </row>
    <row r="274" spans="1:22" x14ac:dyDescent="0.3">
      <c r="A274">
        <v>79452</v>
      </c>
      <c r="B274">
        <v>134877315</v>
      </c>
      <c r="C274" t="s">
        <v>1818</v>
      </c>
      <c r="D274" t="s">
        <v>1819</v>
      </c>
      <c r="E274" t="s">
        <v>490</v>
      </c>
      <c r="F274" t="s">
        <v>491</v>
      </c>
      <c r="G274" t="s">
        <v>44</v>
      </c>
      <c r="H274" t="s">
        <v>45</v>
      </c>
      <c r="I274" t="s">
        <v>34</v>
      </c>
      <c r="J274" t="s">
        <v>46</v>
      </c>
      <c r="K274" t="s">
        <v>41</v>
      </c>
      <c r="L274" t="s">
        <v>1820</v>
      </c>
      <c r="M274" t="s">
        <v>1821</v>
      </c>
      <c r="N274" t="s">
        <v>494</v>
      </c>
      <c r="O274" t="s">
        <v>69</v>
      </c>
      <c r="P274" t="s">
        <v>1822</v>
      </c>
      <c r="Q274" s="14" t="s">
        <v>178</v>
      </c>
      <c r="R274" t="s">
        <v>281</v>
      </c>
      <c r="S274">
        <v>1</v>
      </c>
      <c r="T274">
        <v>5476</v>
      </c>
      <c r="U274">
        <v>0</v>
      </c>
      <c r="V274">
        <v>5476</v>
      </c>
    </row>
    <row r="275" spans="1:22" x14ac:dyDescent="0.3">
      <c r="A275">
        <v>79452</v>
      </c>
      <c r="B275">
        <v>134779898</v>
      </c>
      <c r="C275" t="s">
        <v>1823</v>
      </c>
      <c r="D275" t="s">
        <v>1824</v>
      </c>
      <c r="E275" t="s">
        <v>490</v>
      </c>
      <c r="F275" t="s">
        <v>491</v>
      </c>
      <c r="G275" t="s">
        <v>44</v>
      </c>
      <c r="H275" t="s">
        <v>45</v>
      </c>
      <c r="I275" t="s">
        <v>34</v>
      </c>
      <c r="J275" t="s">
        <v>46</v>
      </c>
      <c r="K275" t="s">
        <v>41</v>
      </c>
      <c r="L275" t="s">
        <v>1825</v>
      </c>
      <c r="M275" t="s">
        <v>1826</v>
      </c>
      <c r="N275" t="s">
        <v>494</v>
      </c>
      <c r="O275" t="s">
        <v>69</v>
      </c>
      <c r="P275" t="s">
        <v>1827</v>
      </c>
      <c r="Q275" s="14" t="s">
        <v>146</v>
      </c>
      <c r="R275" t="s">
        <v>256</v>
      </c>
      <c r="S275">
        <v>1.1200000000000001</v>
      </c>
      <c r="T275">
        <v>5759</v>
      </c>
      <c r="U275">
        <v>0</v>
      </c>
      <c r="V275">
        <v>5759</v>
      </c>
    </row>
    <row r="276" spans="1:22" x14ac:dyDescent="0.3">
      <c r="A276">
        <v>79452</v>
      </c>
      <c r="B276">
        <v>134902234</v>
      </c>
      <c r="C276" t="s">
        <v>1828</v>
      </c>
      <c r="D276" t="s">
        <v>1829</v>
      </c>
      <c r="E276" t="s">
        <v>490</v>
      </c>
      <c r="F276" t="s">
        <v>491</v>
      </c>
      <c r="G276" t="s">
        <v>44</v>
      </c>
      <c r="H276" t="s">
        <v>45</v>
      </c>
      <c r="I276" t="s">
        <v>34</v>
      </c>
      <c r="J276" t="s">
        <v>46</v>
      </c>
      <c r="K276" t="s">
        <v>41</v>
      </c>
      <c r="L276" t="s">
        <v>1830</v>
      </c>
      <c r="M276" t="s">
        <v>1831</v>
      </c>
      <c r="N276" t="s">
        <v>494</v>
      </c>
      <c r="O276" t="s">
        <v>69</v>
      </c>
      <c r="P276" t="s">
        <v>1832</v>
      </c>
      <c r="Q276" s="14" t="s">
        <v>90</v>
      </c>
      <c r="R276" t="s">
        <v>1721</v>
      </c>
      <c r="S276">
        <v>1</v>
      </c>
      <c r="T276">
        <v>3366</v>
      </c>
      <c r="U276">
        <v>0</v>
      </c>
      <c r="V276">
        <v>3366</v>
      </c>
    </row>
    <row r="277" spans="1:22" x14ac:dyDescent="0.3">
      <c r="A277">
        <v>79452</v>
      </c>
      <c r="B277">
        <v>134813817</v>
      </c>
      <c r="C277" t="s">
        <v>1833</v>
      </c>
      <c r="D277" t="s">
        <v>1834</v>
      </c>
      <c r="E277" t="s">
        <v>490</v>
      </c>
      <c r="F277" t="s">
        <v>491</v>
      </c>
      <c r="G277" t="s">
        <v>44</v>
      </c>
      <c r="H277" t="s">
        <v>45</v>
      </c>
      <c r="I277" t="s">
        <v>34</v>
      </c>
      <c r="J277" t="s">
        <v>46</v>
      </c>
      <c r="K277" t="s">
        <v>41</v>
      </c>
      <c r="L277" t="s">
        <v>1835</v>
      </c>
      <c r="M277" t="s">
        <v>1836</v>
      </c>
      <c r="N277" t="s">
        <v>494</v>
      </c>
      <c r="O277" t="s">
        <v>69</v>
      </c>
      <c r="P277" t="s">
        <v>1837</v>
      </c>
      <c r="Q277" s="14" t="s">
        <v>164</v>
      </c>
      <c r="R277" t="s">
        <v>1781</v>
      </c>
      <c r="S277">
        <v>1</v>
      </c>
      <c r="T277">
        <v>3753</v>
      </c>
      <c r="U277">
        <v>0</v>
      </c>
      <c r="V277">
        <v>3753</v>
      </c>
    </row>
    <row r="278" spans="1:22" x14ac:dyDescent="0.3">
      <c r="A278">
        <v>79452</v>
      </c>
      <c r="B278">
        <v>134917200</v>
      </c>
      <c r="C278" t="s">
        <v>1838</v>
      </c>
      <c r="D278" t="s">
        <v>1839</v>
      </c>
      <c r="E278" t="s">
        <v>490</v>
      </c>
      <c r="F278" t="s">
        <v>491</v>
      </c>
      <c r="G278" t="s">
        <v>44</v>
      </c>
      <c r="H278" t="s">
        <v>45</v>
      </c>
      <c r="I278" t="s">
        <v>34</v>
      </c>
      <c r="J278" t="s">
        <v>46</v>
      </c>
      <c r="K278" t="s">
        <v>41</v>
      </c>
      <c r="L278" t="s">
        <v>1840</v>
      </c>
      <c r="M278" t="s">
        <v>1841</v>
      </c>
      <c r="N278" t="s">
        <v>494</v>
      </c>
      <c r="O278" t="s">
        <v>69</v>
      </c>
      <c r="P278" t="s">
        <v>1842</v>
      </c>
      <c r="Q278" s="14" t="s">
        <v>83</v>
      </c>
      <c r="R278" t="s">
        <v>266</v>
      </c>
      <c r="S278">
        <v>1.21</v>
      </c>
      <c r="T278">
        <v>3366</v>
      </c>
      <c r="U278">
        <v>0</v>
      </c>
      <c r="V278">
        <v>3366</v>
      </c>
    </row>
    <row r="279" spans="1:22" x14ac:dyDescent="0.3">
      <c r="A279">
        <v>79452</v>
      </c>
      <c r="B279">
        <v>134902224</v>
      </c>
      <c r="C279" t="s">
        <v>1843</v>
      </c>
      <c r="D279" t="s">
        <v>1844</v>
      </c>
      <c r="E279" t="s">
        <v>490</v>
      </c>
      <c r="F279" t="s">
        <v>491</v>
      </c>
      <c r="G279" t="s">
        <v>44</v>
      </c>
      <c r="H279" t="s">
        <v>45</v>
      </c>
      <c r="I279" t="s">
        <v>34</v>
      </c>
      <c r="J279" t="s">
        <v>46</v>
      </c>
      <c r="K279" t="s">
        <v>41</v>
      </c>
      <c r="L279" t="s">
        <v>1845</v>
      </c>
      <c r="M279" t="s">
        <v>1846</v>
      </c>
      <c r="N279" t="s">
        <v>494</v>
      </c>
      <c r="O279" t="s">
        <v>69</v>
      </c>
      <c r="P279" t="s">
        <v>1847</v>
      </c>
      <c r="Q279" s="14" t="s">
        <v>108</v>
      </c>
      <c r="R279" t="s">
        <v>1721</v>
      </c>
      <c r="S279">
        <v>0.91</v>
      </c>
      <c r="T279">
        <v>3753</v>
      </c>
      <c r="U279">
        <v>0</v>
      </c>
      <c r="V279">
        <v>3753</v>
      </c>
    </row>
    <row r="280" spans="1:22" x14ac:dyDescent="0.3">
      <c r="A280">
        <v>79452</v>
      </c>
      <c r="B280">
        <v>134917175</v>
      </c>
      <c r="C280" t="s">
        <v>1848</v>
      </c>
      <c r="D280" t="s">
        <v>1849</v>
      </c>
      <c r="E280" t="s">
        <v>490</v>
      </c>
      <c r="F280" t="s">
        <v>491</v>
      </c>
      <c r="G280" t="s">
        <v>44</v>
      </c>
      <c r="H280" t="s">
        <v>45</v>
      </c>
      <c r="I280" t="s">
        <v>34</v>
      </c>
      <c r="J280" t="s">
        <v>46</v>
      </c>
      <c r="K280" t="s">
        <v>41</v>
      </c>
      <c r="L280" t="s">
        <v>1850</v>
      </c>
      <c r="M280" t="s">
        <v>1851</v>
      </c>
      <c r="N280" t="s">
        <v>494</v>
      </c>
      <c r="O280" t="s">
        <v>69</v>
      </c>
      <c r="P280" t="s">
        <v>1852</v>
      </c>
      <c r="Q280" s="14" t="s">
        <v>85</v>
      </c>
      <c r="R280" t="s">
        <v>267</v>
      </c>
      <c r="S280">
        <v>0.96</v>
      </c>
      <c r="T280">
        <v>3784</v>
      </c>
      <c r="U280">
        <v>0</v>
      </c>
      <c r="V280">
        <v>3784</v>
      </c>
    </row>
    <row r="281" spans="1:22" x14ac:dyDescent="0.3">
      <c r="A281">
        <v>79452</v>
      </c>
      <c r="B281">
        <v>134917198</v>
      </c>
      <c r="C281" t="s">
        <v>1853</v>
      </c>
      <c r="D281" t="s">
        <v>1854</v>
      </c>
      <c r="E281" t="s">
        <v>490</v>
      </c>
      <c r="F281" t="s">
        <v>491</v>
      </c>
      <c r="G281" t="s">
        <v>44</v>
      </c>
      <c r="H281" t="s">
        <v>45</v>
      </c>
      <c r="I281" t="s">
        <v>34</v>
      </c>
      <c r="J281" t="s">
        <v>46</v>
      </c>
      <c r="K281" t="s">
        <v>41</v>
      </c>
      <c r="L281" t="s">
        <v>1855</v>
      </c>
      <c r="M281" t="s">
        <v>1856</v>
      </c>
      <c r="N281" t="s">
        <v>494</v>
      </c>
      <c r="O281" t="s">
        <v>69</v>
      </c>
      <c r="P281" t="s">
        <v>1857</v>
      </c>
      <c r="Q281" s="14" t="s">
        <v>135</v>
      </c>
      <c r="R281" t="s">
        <v>267</v>
      </c>
      <c r="S281">
        <v>0.81</v>
      </c>
      <c r="T281">
        <v>3366</v>
      </c>
      <c r="U281">
        <v>0</v>
      </c>
      <c r="V281">
        <v>3366</v>
      </c>
    </row>
    <row r="282" spans="1:22" x14ac:dyDescent="0.3">
      <c r="A282">
        <v>79452</v>
      </c>
      <c r="B282">
        <v>134902228</v>
      </c>
      <c r="C282" t="s">
        <v>1858</v>
      </c>
      <c r="D282" t="s">
        <v>1859</v>
      </c>
      <c r="E282" t="s">
        <v>490</v>
      </c>
      <c r="F282" t="s">
        <v>491</v>
      </c>
      <c r="G282" t="s">
        <v>44</v>
      </c>
      <c r="H282" t="s">
        <v>45</v>
      </c>
      <c r="I282" t="s">
        <v>34</v>
      </c>
      <c r="J282" t="s">
        <v>46</v>
      </c>
      <c r="K282" t="s">
        <v>56</v>
      </c>
      <c r="L282" t="s">
        <v>57</v>
      </c>
      <c r="M282" t="s">
        <v>1860</v>
      </c>
      <c r="N282" t="s">
        <v>494</v>
      </c>
      <c r="O282" t="s">
        <v>69</v>
      </c>
      <c r="P282" t="s">
        <v>1861</v>
      </c>
      <c r="Q282" s="14" t="s">
        <v>89</v>
      </c>
      <c r="R282" t="s">
        <v>1721</v>
      </c>
      <c r="S282">
        <v>1.27</v>
      </c>
      <c r="T282">
        <v>3753</v>
      </c>
      <c r="U282">
        <v>0</v>
      </c>
      <c r="V282">
        <v>3753</v>
      </c>
    </row>
    <row r="283" spans="1:22" x14ac:dyDescent="0.3">
      <c r="A283">
        <v>79452</v>
      </c>
      <c r="B283">
        <v>134917192</v>
      </c>
      <c r="C283" t="s">
        <v>1862</v>
      </c>
      <c r="D283" t="s">
        <v>1863</v>
      </c>
      <c r="E283" t="s">
        <v>490</v>
      </c>
      <c r="F283" t="s">
        <v>491</v>
      </c>
      <c r="G283" t="s">
        <v>44</v>
      </c>
      <c r="H283" t="s">
        <v>45</v>
      </c>
      <c r="I283" t="s">
        <v>34</v>
      </c>
      <c r="J283" t="s">
        <v>46</v>
      </c>
      <c r="K283" t="s">
        <v>41</v>
      </c>
      <c r="L283" t="s">
        <v>1864</v>
      </c>
      <c r="M283" t="s">
        <v>1865</v>
      </c>
      <c r="N283" t="s">
        <v>494</v>
      </c>
      <c r="O283" t="s">
        <v>69</v>
      </c>
      <c r="P283" t="s">
        <v>1866</v>
      </c>
      <c r="Q283" s="14" t="s">
        <v>114</v>
      </c>
      <c r="R283" t="s">
        <v>267</v>
      </c>
      <c r="S283">
        <v>0.91</v>
      </c>
      <c r="T283">
        <v>3501</v>
      </c>
      <c r="U283">
        <v>0</v>
      </c>
      <c r="V283">
        <v>3501</v>
      </c>
    </row>
    <row r="284" spans="1:22" x14ac:dyDescent="0.3">
      <c r="A284">
        <v>79452</v>
      </c>
      <c r="B284">
        <v>134732884</v>
      </c>
      <c r="C284" t="s">
        <v>1867</v>
      </c>
      <c r="D284" t="s">
        <v>1868</v>
      </c>
      <c r="E284" t="s">
        <v>490</v>
      </c>
      <c r="F284" t="s">
        <v>491</v>
      </c>
      <c r="G284" t="s">
        <v>44</v>
      </c>
      <c r="H284" t="s">
        <v>45</v>
      </c>
      <c r="I284" t="s">
        <v>34</v>
      </c>
      <c r="J284" t="s">
        <v>46</v>
      </c>
      <c r="K284" t="s">
        <v>41</v>
      </c>
      <c r="L284" t="s">
        <v>1869</v>
      </c>
      <c r="M284" t="s">
        <v>1870</v>
      </c>
      <c r="N284" t="s">
        <v>494</v>
      </c>
      <c r="O284" t="s">
        <v>69</v>
      </c>
      <c r="P284" t="s">
        <v>1871</v>
      </c>
      <c r="Q284" s="14" t="s">
        <v>178</v>
      </c>
      <c r="R284" t="s">
        <v>329</v>
      </c>
      <c r="S284">
        <v>1</v>
      </c>
      <c r="T284">
        <v>5476</v>
      </c>
      <c r="U284">
        <v>0</v>
      </c>
      <c r="V284">
        <v>5476</v>
      </c>
    </row>
    <row r="285" spans="1:22" x14ac:dyDescent="0.3">
      <c r="A285">
        <v>79452</v>
      </c>
      <c r="B285">
        <v>134732877</v>
      </c>
      <c r="C285" t="s">
        <v>1872</v>
      </c>
      <c r="D285" t="s">
        <v>1873</v>
      </c>
      <c r="E285" t="s">
        <v>490</v>
      </c>
      <c r="F285" t="s">
        <v>491</v>
      </c>
      <c r="G285" t="s">
        <v>44</v>
      </c>
      <c r="H285" t="s">
        <v>45</v>
      </c>
      <c r="I285" t="s">
        <v>34</v>
      </c>
      <c r="J285" t="s">
        <v>46</v>
      </c>
      <c r="K285" t="s">
        <v>41</v>
      </c>
      <c r="L285" t="s">
        <v>1874</v>
      </c>
      <c r="M285" t="s">
        <v>1875</v>
      </c>
      <c r="N285" t="s">
        <v>494</v>
      </c>
      <c r="O285" t="s">
        <v>69</v>
      </c>
      <c r="P285" t="s">
        <v>1876</v>
      </c>
      <c r="Q285" s="14" t="s">
        <v>70</v>
      </c>
      <c r="R285" t="s">
        <v>329</v>
      </c>
      <c r="S285">
        <v>1</v>
      </c>
      <c r="T285">
        <v>5198</v>
      </c>
      <c r="U285">
        <v>0</v>
      </c>
      <c r="V285">
        <v>5198</v>
      </c>
    </row>
    <row r="286" spans="1:22" x14ac:dyDescent="0.3">
      <c r="A286">
        <v>79452</v>
      </c>
      <c r="B286">
        <v>134732865</v>
      </c>
      <c r="C286" t="s">
        <v>1877</v>
      </c>
      <c r="D286" t="s">
        <v>1878</v>
      </c>
      <c r="E286" t="s">
        <v>490</v>
      </c>
      <c r="F286" t="s">
        <v>491</v>
      </c>
      <c r="G286" t="s">
        <v>44</v>
      </c>
      <c r="H286" t="s">
        <v>45</v>
      </c>
      <c r="I286" t="s">
        <v>34</v>
      </c>
      <c r="J286" t="s">
        <v>46</v>
      </c>
      <c r="K286" t="s">
        <v>41</v>
      </c>
      <c r="L286" t="s">
        <v>1879</v>
      </c>
      <c r="M286" t="s">
        <v>1880</v>
      </c>
      <c r="N286" t="s">
        <v>494</v>
      </c>
      <c r="O286" t="s">
        <v>69</v>
      </c>
      <c r="P286" t="s">
        <v>1881</v>
      </c>
      <c r="Q286" s="14" t="s">
        <v>182</v>
      </c>
      <c r="R286" t="s">
        <v>329</v>
      </c>
      <c r="S286">
        <v>1</v>
      </c>
      <c r="T286">
        <v>3784</v>
      </c>
      <c r="U286">
        <v>0</v>
      </c>
      <c r="V286">
        <v>3784</v>
      </c>
    </row>
    <row r="287" spans="1:22" x14ac:dyDescent="0.3">
      <c r="A287">
        <v>79452</v>
      </c>
      <c r="B287">
        <v>134708934</v>
      </c>
      <c r="C287" t="s">
        <v>1882</v>
      </c>
      <c r="D287" t="s">
        <v>1883</v>
      </c>
      <c r="E287" t="s">
        <v>490</v>
      </c>
      <c r="F287" t="s">
        <v>491</v>
      </c>
      <c r="G287" t="s">
        <v>44</v>
      </c>
      <c r="H287" t="s">
        <v>45</v>
      </c>
      <c r="I287" t="s">
        <v>34</v>
      </c>
      <c r="J287" t="s">
        <v>46</v>
      </c>
      <c r="K287" t="s">
        <v>41</v>
      </c>
      <c r="L287" t="s">
        <v>1884</v>
      </c>
      <c r="M287" t="s">
        <v>1885</v>
      </c>
      <c r="N287" t="s">
        <v>494</v>
      </c>
      <c r="O287" t="s">
        <v>69</v>
      </c>
      <c r="P287" t="s">
        <v>1886</v>
      </c>
      <c r="Q287" s="14" t="s">
        <v>60</v>
      </c>
      <c r="R287" t="s">
        <v>1418</v>
      </c>
      <c r="S287">
        <v>1.08</v>
      </c>
      <c r="T287">
        <v>5759</v>
      </c>
      <c r="U287">
        <v>0</v>
      </c>
      <c r="V287">
        <v>5759</v>
      </c>
    </row>
    <row r="288" spans="1:22" x14ac:dyDescent="0.3">
      <c r="A288">
        <v>79452</v>
      </c>
      <c r="B288">
        <v>134831232</v>
      </c>
      <c r="C288" t="s">
        <v>1887</v>
      </c>
      <c r="D288" t="s">
        <v>1888</v>
      </c>
      <c r="E288" t="s">
        <v>490</v>
      </c>
      <c r="F288" t="s">
        <v>491</v>
      </c>
      <c r="G288" t="s">
        <v>44</v>
      </c>
      <c r="H288" t="s">
        <v>45</v>
      </c>
      <c r="I288" t="s">
        <v>34</v>
      </c>
      <c r="J288" t="s">
        <v>46</v>
      </c>
      <c r="K288" t="s">
        <v>41</v>
      </c>
      <c r="L288" t="s">
        <v>1889</v>
      </c>
      <c r="M288" t="s">
        <v>1890</v>
      </c>
      <c r="N288" t="s">
        <v>494</v>
      </c>
      <c r="O288" t="s">
        <v>69</v>
      </c>
      <c r="P288" t="s">
        <v>1891</v>
      </c>
      <c r="Q288" s="14" t="s">
        <v>89</v>
      </c>
      <c r="R288" t="s">
        <v>324</v>
      </c>
      <c r="S288">
        <v>1</v>
      </c>
      <c r="T288">
        <v>3753</v>
      </c>
      <c r="U288">
        <v>0</v>
      </c>
      <c r="V288">
        <v>3753</v>
      </c>
    </row>
    <row r="289" spans="1:22" x14ac:dyDescent="0.3">
      <c r="A289">
        <v>79452</v>
      </c>
      <c r="B289">
        <v>134709034</v>
      </c>
      <c r="C289" t="s">
        <v>1892</v>
      </c>
      <c r="D289" t="s">
        <v>1893</v>
      </c>
      <c r="E289" t="s">
        <v>490</v>
      </c>
      <c r="F289" t="s">
        <v>491</v>
      </c>
      <c r="G289" t="s">
        <v>44</v>
      </c>
      <c r="H289" t="s">
        <v>45</v>
      </c>
      <c r="I289" t="s">
        <v>34</v>
      </c>
      <c r="J289" t="s">
        <v>46</v>
      </c>
      <c r="K289" t="s">
        <v>41</v>
      </c>
      <c r="L289" t="s">
        <v>1894</v>
      </c>
      <c r="M289" t="s">
        <v>1895</v>
      </c>
      <c r="N289" t="s">
        <v>494</v>
      </c>
      <c r="O289" t="s">
        <v>69</v>
      </c>
      <c r="P289" t="s">
        <v>1896</v>
      </c>
      <c r="Q289" s="14" t="s">
        <v>70</v>
      </c>
      <c r="R289" t="s">
        <v>1727</v>
      </c>
      <c r="S289">
        <v>0.68</v>
      </c>
      <c r="T289">
        <v>5198</v>
      </c>
      <c r="U289">
        <v>0</v>
      </c>
      <c r="V289">
        <v>5198</v>
      </c>
    </row>
    <row r="290" spans="1:22" x14ac:dyDescent="0.3">
      <c r="A290">
        <v>79452</v>
      </c>
      <c r="B290">
        <v>134860693</v>
      </c>
      <c r="C290" t="s">
        <v>1897</v>
      </c>
      <c r="D290" t="s">
        <v>1898</v>
      </c>
      <c r="E290" t="s">
        <v>490</v>
      </c>
      <c r="F290" t="s">
        <v>491</v>
      </c>
      <c r="G290" t="s">
        <v>44</v>
      </c>
      <c r="H290" t="s">
        <v>45</v>
      </c>
      <c r="I290" t="s">
        <v>34</v>
      </c>
      <c r="J290" t="s">
        <v>46</v>
      </c>
      <c r="K290" t="s">
        <v>41</v>
      </c>
      <c r="L290" t="s">
        <v>1899</v>
      </c>
      <c r="M290" t="s">
        <v>1900</v>
      </c>
      <c r="N290" t="s">
        <v>494</v>
      </c>
      <c r="O290" t="s">
        <v>69</v>
      </c>
      <c r="P290" t="s">
        <v>1901</v>
      </c>
      <c r="Q290" s="14" t="s">
        <v>89</v>
      </c>
      <c r="R290" t="s">
        <v>1787</v>
      </c>
      <c r="S290">
        <v>1</v>
      </c>
      <c r="T290">
        <v>3753</v>
      </c>
      <c r="U290">
        <v>0</v>
      </c>
      <c r="V290">
        <v>3753</v>
      </c>
    </row>
    <row r="291" spans="1:22" x14ac:dyDescent="0.3">
      <c r="A291">
        <v>79452</v>
      </c>
      <c r="B291">
        <v>134831233</v>
      </c>
      <c r="C291" t="s">
        <v>1902</v>
      </c>
      <c r="D291" t="s">
        <v>1903</v>
      </c>
      <c r="E291" t="s">
        <v>490</v>
      </c>
      <c r="F291" t="s">
        <v>491</v>
      </c>
      <c r="G291" t="s">
        <v>44</v>
      </c>
      <c r="H291" t="s">
        <v>45</v>
      </c>
      <c r="I291" t="s">
        <v>34</v>
      </c>
      <c r="J291" t="s">
        <v>46</v>
      </c>
      <c r="K291" t="s">
        <v>41</v>
      </c>
      <c r="L291" t="s">
        <v>1904</v>
      </c>
      <c r="M291" t="s">
        <v>1905</v>
      </c>
      <c r="N291" t="s">
        <v>494</v>
      </c>
      <c r="O291" t="s">
        <v>69</v>
      </c>
      <c r="P291" t="s">
        <v>1906</v>
      </c>
      <c r="Q291" s="14" t="s">
        <v>85</v>
      </c>
      <c r="R291" t="s">
        <v>324</v>
      </c>
      <c r="S291">
        <v>1</v>
      </c>
      <c r="T291">
        <v>3784</v>
      </c>
      <c r="U291">
        <v>0</v>
      </c>
      <c r="V291">
        <v>3784</v>
      </c>
    </row>
    <row r="292" spans="1:22" x14ac:dyDescent="0.3">
      <c r="A292">
        <v>79452</v>
      </c>
      <c r="B292">
        <v>134709095</v>
      </c>
      <c r="C292" t="s">
        <v>1907</v>
      </c>
      <c r="D292" t="s">
        <v>1908</v>
      </c>
      <c r="E292" t="s">
        <v>490</v>
      </c>
      <c r="F292" t="s">
        <v>491</v>
      </c>
      <c r="G292" t="s">
        <v>44</v>
      </c>
      <c r="H292" t="s">
        <v>45</v>
      </c>
      <c r="I292" t="s">
        <v>34</v>
      </c>
      <c r="J292" t="s">
        <v>46</v>
      </c>
      <c r="K292" t="s">
        <v>41</v>
      </c>
      <c r="L292" t="s">
        <v>1909</v>
      </c>
      <c r="M292" t="s">
        <v>1910</v>
      </c>
      <c r="N292" t="s">
        <v>494</v>
      </c>
      <c r="O292" t="s">
        <v>69</v>
      </c>
      <c r="P292" t="s">
        <v>1911</v>
      </c>
      <c r="Q292" s="14" t="s">
        <v>178</v>
      </c>
      <c r="R292" t="s">
        <v>1912</v>
      </c>
      <c r="S292">
        <v>1.28</v>
      </c>
      <c r="T292">
        <v>5476</v>
      </c>
      <c r="U292">
        <v>0</v>
      </c>
      <c r="V292">
        <v>5476</v>
      </c>
    </row>
    <row r="293" spans="1:22" x14ac:dyDescent="0.3">
      <c r="A293">
        <v>79452</v>
      </c>
      <c r="B293">
        <v>134860712</v>
      </c>
      <c r="C293" t="s">
        <v>1913</v>
      </c>
      <c r="D293" t="s">
        <v>1914</v>
      </c>
      <c r="E293" t="s">
        <v>490</v>
      </c>
      <c r="F293" t="s">
        <v>491</v>
      </c>
      <c r="G293" t="s">
        <v>44</v>
      </c>
      <c r="H293" t="s">
        <v>45</v>
      </c>
      <c r="I293" t="s">
        <v>34</v>
      </c>
      <c r="J293" t="s">
        <v>46</v>
      </c>
      <c r="K293" t="s">
        <v>41</v>
      </c>
      <c r="L293" t="s">
        <v>1915</v>
      </c>
      <c r="M293" t="s">
        <v>1916</v>
      </c>
      <c r="N293" t="s">
        <v>494</v>
      </c>
      <c r="O293" t="s">
        <v>69</v>
      </c>
      <c r="P293" t="s">
        <v>1917</v>
      </c>
      <c r="Q293" s="14" t="s">
        <v>233</v>
      </c>
      <c r="R293" t="s">
        <v>1787</v>
      </c>
      <c r="S293">
        <v>1</v>
      </c>
      <c r="T293">
        <v>3366</v>
      </c>
      <c r="U293">
        <v>0</v>
      </c>
      <c r="V293">
        <v>3366</v>
      </c>
    </row>
    <row r="294" spans="1:22" x14ac:dyDescent="0.3">
      <c r="A294">
        <v>79452</v>
      </c>
      <c r="B294">
        <v>134831235</v>
      </c>
      <c r="C294" t="s">
        <v>1918</v>
      </c>
      <c r="D294" t="s">
        <v>1919</v>
      </c>
      <c r="E294" t="s">
        <v>490</v>
      </c>
      <c r="F294" t="s">
        <v>491</v>
      </c>
      <c r="G294" t="s">
        <v>44</v>
      </c>
      <c r="H294" t="s">
        <v>45</v>
      </c>
      <c r="I294" t="s">
        <v>34</v>
      </c>
      <c r="J294" t="s">
        <v>46</v>
      </c>
      <c r="K294" t="s">
        <v>41</v>
      </c>
      <c r="L294" t="s">
        <v>1920</v>
      </c>
      <c r="M294" t="s">
        <v>1921</v>
      </c>
      <c r="N294" t="s">
        <v>494</v>
      </c>
      <c r="O294" t="s">
        <v>69</v>
      </c>
      <c r="P294" t="s">
        <v>1922</v>
      </c>
      <c r="Q294" s="14" t="s">
        <v>83</v>
      </c>
      <c r="R294" t="s">
        <v>324</v>
      </c>
      <c r="S294">
        <v>1</v>
      </c>
      <c r="T294">
        <v>3366</v>
      </c>
      <c r="U294">
        <v>0</v>
      </c>
      <c r="V294">
        <v>3366</v>
      </c>
    </row>
    <row r="295" spans="1:22" x14ac:dyDescent="0.3">
      <c r="A295">
        <v>79452</v>
      </c>
      <c r="B295">
        <v>134813832</v>
      </c>
      <c r="C295" t="s">
        <v>1923</v>
      </c>
      <c r="D295" t="s">
        <v>1924</v>
      </c>
      <c r="E295" t="s">
        <v>490</v>
      </c>
      <c r="F295" t="s">
        <v>491</v>
      </c>
      <c r="G295" t="s">
        <v>44</v>
      </c>
      <c r="H295" t="s">
        <v>45</v>
      </c>
      <c r="I295" t="s">
        <v>34</v>
      </c>
      <c r="J295" t="s">
        <v>46</v>
      </c>
      <c r="K295" t="s">
        <v>41</v>
      </c>
      <c r="L295" t="s">
        <v>1925</v>
      </c>
      <c r="M295" t="s">
        <v>1926</v>
      </c>
      <c r="N295" t="s">
        <v>494</v>
      </c>
      <c r="O295" t="s">
        <v>69</v>
      </c>
      <c r="P295" t="s">
        <v>1927</v>
      </c>
      <c r="Q295" s="14" t="s">
        <v>114</v>
      </c>
      <c r="R295" t="s">
        <v>1781</v>
      </c>
      <c r="S295">
        <v>1</v>
      </c>
      <c r="T295">
        <v>3501</v>
      </c>
      <c r="U295">
        <v>0</v>
      </c>
      <c r="V295">
        <v>3501</v>
      </c>
    </row>
    <row r="296" spans="1:22" x14ac:dyDescent="0.3">
      <c r="A296">
        <v>79452</v>
      </c>
      <c r="B296">
        <v>134813821</v>
      </c>
      <c r="C296" t="s">
        <v>1928</v>
      </c>
      <c r="D296" t="s">
        <v>1929</v>
      </c>
      <c r="E296" t="s">
        <v>490</v>
      </c>
      <c r="F296" t="s">
        <v>491</v>
      </c>
      <c r="G296" t="s">
        <v>44</v>
      </c>
      <c r="H296" t="s">
        <v>45</v>
      </c>
      <c r="I296" t="s">
        <v>34</v>
      </c>
      <c r="J296" t="s">
        <v>46</v>
      </c>
      <c r="K296" t="s">
        <v>41</v>
      </c>
      <c r="L296" t="s">
        <v>1930</v>
      </c>
      <c r="M296" t="s">
        <v>1931</v>
      </c>
      <c r="N296" t="s">
        <v>494</v>
      </c>
      <c r="O296" t="s">
        <v>69</v>
      </c>
      <c r="P296" t="s">
        <v>1932</v>
      </c>
      <c r="Q296" s="14" t="s">
        <v>93</v>
      </c>
      <c r="R296" t="s">
        <v>1781</v>
      </c>
      <c r="S296">
        <v>1</v>
      </c>
      <c r="T296">
        <v>4067</v>
      </c>
      <c r="U296">
        <v>0</v>
      </c>
      <c r="V296">
        <v>4067</v>
      </c>
    </row>
    <row r="297" spans="1:22" x14ac:dyDescent="0.3">
      <c r="A297">
        <v>79452</v>
      </c>
      <c r="B297">
        <v>134831258</v>
      </c>
      <c r="C297" t="s">
        <v>1933</v>
      </c>
      <c r="D297" t="s">
        <v>1934</v>
      </c>
      <c r="E297" t="s">
        <v>490</v>
      </c>
      <c r="F297" t="s">
        <v>491</v>
      </c>
      <c r="G297" t="s">
        <v>44</v>
      </c>
      <c r="H297" t="s">
        <v>45</v>
      </c>
      <c r="I297" t="s">
        <v>34</v>
      </c>
      <c r="J297" t="s">
        <v>46</v>
      </c>
      <c r="K297" t="s">
        <v>116</v>
      </c>
      <c r="L297" t="s">
        <v>248</v>
      </c>
      <c r="M297" t="s">
        <v>1935</v>
      </c>
      <c r="N297" t="s">
        <v>494</v>
      </c>
      <c r="O297" t="s">
        <v>69</v>
      </c>
      <c r="P297" t="s">
        <v>1936</v>
      </c>
      <c r="Q297" s="14" t="s">
        <v>93</v>
      </c>
      <c r="R297" t="s">
        <v>1937</v>
      </c>
      <c r="S297">
        <v>1</v>
      </c>
      <c r="T297">
        <v>4067</v>
      </c>
      <c r="U297">
        <v>0</v>
      </c>
      <c r="V297">
        <v>4067</v>
      </c>
    </row>
    <row r="298" spans="1:22" x14ac:dyDescent="0.3">
      <c r="A298">
        <v>79452</v>
      </c>
      <c r="B298">
        <v>134813824</v>
      </c>
      <c r="C298" t="s">
        <v>1938</v>
      </c>
      <c r="D298" t="s">
        <v>1939</v>
      </c>
      <c r="E298" t="s">
        <v>490</v>
      </c>
      <c r="F298" t="s">
        <v>491</v>
      </c>
      <c r="G298" t="s">
        <v>44</v>
      </c>
      <c r="H298" t="s">
        <v>45</v>
      </c>
      <c r="I298" t="s">
        <v>34</v>
      </c>
      <c r="J298" t="s">
        <v>46</v>
      </c>
      <c r="K298" t="s">
        <v>41</v>
      </c>
      <c r="L298" t="s">
        <v>1940</v>
      </c>
      <c r="M298" t="s">
        <v>1941</v>
      </c>
      <c r="N298" t="s">
        <v>494</v>
      </c>
      <c r="O298" t="s">
        <v>69</v>
      </c>
      <c r="P298" t="s">
        <v>1942</v>
      </c>
      <c r="Q298" s="14" t="s">
        <v>114</v>
      </c>
      <c r="R298" t="s">
        <v>1781</v>
      </c>
      <c r="S298">
        <v>1</v>
      </c>
      <c r="T298">
        <v>3501</v>
      </c>
      <c r="U298">
        <v>0</v>
      </c>
      <c r="V298">
        <v>3501</v>
      </c>
    </row>
    <row r="299" spans="1:22" x14ac:dyDescent="0.3">
      <c r="A299">
        <v>79452</v>
      </c>
      <c r="B299">
        <v>134813841</v>
      </c>
      <c r="C299" t="s">
        <v>1943</v>
      </c>
      <c r="D299" t="s">
        <v>1944</v>
      </c>
      <c r="E299" t="s">
        <v>490</v>
      </c>
      <c r="F299" t="s">
        <v>491</v>
      </c>
      <c r="G299" t="s">
        <v>44</v>
      </c>
      <c r="H299" t="s">
        <v>45</v>
      </c>
      <c r="I299" t="s">
        <v>34</v>
      </c>
      <c r="J299" t="s">
        <v>46</v>
      </c>
      <c r="K299" t="s">
        <v>41</v>
      </c>
      <c r="L299" t="s">
        <v>1945</v>
      </c>
      <c r="M299" t="s">
        <v>1946</v>
      </c>
      <c r="N299" t="s">
        <v>494</v>
      </c>
      <c r="O299" t="s">
        <v>69</v>
      </c>
      <c r="P299" t="s">
        <v>1947</v>
      </c>
      <c r="Q299" s="14" t="s">
        <v>114</v>
      </c>
      <c r="R299" t="s">
        <v>1781</v>
      </c>
      <c r="S299">
        <v>1</v>
      </c>
      <c r="T299">
        <v>3501</v>
      </c>
      <c r="U299">
        <v>0</v>
      </c>
      <c r="V299">
        <v>3501</v>
      </c>
    </row>
    <row r="300" spans="1:22" x14ac:dyDescent="0.3">
      <c r="A300">
        <v>79452</v>
      </c>
      <c r="B300">
        <v>134813842</v>
      </c>
      <c r="C300" t="s">
        <v>1948</v>
      </c>
      <c r="D300" t="s">
        <v>1949</v>
      </c>
      <c r="E300" t="s">
        <v>490</v>
      </c>
      <c r="F300" t="s">
        <v>491</v>
      </c>
      <c r="G300" t="s">
        <v>44</v>
      </c>
      <c r="H300" t="s">
        <v>45</v>
      </c>
      <c r="I300" t="s">
        <v>34</v>
      </c>
      <c r="J300" t="s">
        <v>46</v>
      </c>
      <c r="K300" t="s">
        <v>41</v>
      </c>
      <c r="L300" t="s">
        <v>1950</v>
      </c>
      <c r="M300" t="s">
        <v>1951</v>
      </c>
      <c r="N300" t="s">
        <v>494</v>
      </c>
      <c r="O300" t="s">
        <v>69</v>
      </c>
      <c r="P300" t="s">
        <v>1952</v>
      </c>
      <c r="Q300" s="14" t="s">
        <v>90</v>
      </c>
      <c r="R300" t="s">
        <v>1781</v>
      </c>
      <c r="S300">
        <v>1</v>
      </c>
      <c r="T300">
        <v>3366</v>
      </c>
      <c r="U300">
        <v>0</v>
      </c>
      <c r="V300">
        <v>3366</v>
      </c>
    </row>
    <row r="301" spans="1:22" x14ac:dyDescent="0.3">
      <c r="A301">
        <v>79452</v>
      </c>
      <c r="B301">
        <v>134732864</v>
      </c>
      <c r="C301" t="s">
        <v>1953</v>
      </c>
      <c r="D301" t="s">
        <v>1954</v>
      </c>
      <c r="E301" t="s">
        <v>490</v>
      </c>
      <c r="F301" t="s">
        <v>491</v>
      </c>
      <c r="G301" t="s">
        <v>44</v>
      </c>
      <c r="H301" t="s">
        <v>45</v>
      </c>
      <c r="I301" t="s">
        <v>34</v>
      </c>
      <c r="J301" t="s">
        <v>46</v>
      </c>
      <c r="K301" t="s">
        <v>41</v>
      </c>
      <c r="L301" t="s">
        <v>1955</v>
      </c>
      <c r="M301" t="s">
        <v>1956</v>
      </c>
      <c r="N301" t="s">
        <v>494</v>
      </c>
      <c r="O301" t="s">
        <v>69</v>
      </c>
      <c r="P301" t="s">
        <v>1957</v>
      </c>
      <c r="Q301" s="14" t="s">
        <v>82</v>
      </c>
      <c r="R301" t="s">
        <v>329</v>
      </c>
      <c r="S301">
        <v>1</v>
      </c>
      <c r="T301">
        <v>4067</v>
      </c>
      <c r="U301">
        <v>0</v>
      </c>
      <c r="V301">
        <v>4067</v>
      </c>
    </row>
    <row r="302" spans="1:22" x14ac:dyDescent="0.3">
      <c r="A302">
        <v>79452</v>
      </c>
      <c r="B302">
        <v>134732887</v>
      </c>
      <c r="C302" t="s">
        <v>1958</v>
      </c>
      <c r="D302" t="s">
        <v>1959</v>
      </c>
      <c r="E302" t="s">
        <v>490</v>
      </c>
      <c r="F302" t="s">
        <v>491</v>
      </c>
      <c r="G302" t="s">
        <v>44</v>
      </c>
      <c r="H302" t="s">
        <v>45</v>
      </c>
      <c r="I302" t="s">
        <v>34</v>
      </c>
      <c r="J302" t="s">
        <v>46</v>
      </c>
      <c r="K302" t="s">
        <v>41</v>
      </c>
      <c r="L302" t="s">
        <v>1960</v>
      </c>
      <c r="M302" t="s">
        <v>1961</v>
      </c>
      <c r="N302" t="s">
        <v>494</v>
      </c>
      <c r="O302" t="s">
        <v>69</v>
      </c>
      <c r="P302" t="s">
        <v>1962</v>
      </c>
      <c r="Q302" s="14" t="s">
        <v>60</v>
      </c>
      <c r="R302" t="s">
        <v>329</v>
      </c>
      <c r="S302">
        <v>2.99</v>
      </c>
      <c r="T302">
        <v>5759</v>
      </c>
      <c r="U302">
        <v>0</v>
      </c>
      <c r="V302">
        <v>5759</v>
      </c>
    </row>
    <row r="303" spans="1:22" x14ac:dyDescent="0.3">
      <c r="A303">
        <v>79452</v>
      </c>
      <c r="B303">
        <v>134860703</v>
      </c>
      <c r="C303" t="s">
        <v>1963</v>
      </c>
      <c r="D303" t="s">
        <v>1964</v>
      </c>
      <c r="E303" t="s">
        <v>490</v>
      </c>
      <c r="F303" t="s">
        <v>491</v>
      </c>
      <c r="G303" t="s">
        <v>44</v>
      </c>
      <c r="H303" t="s">
        <v>45</v>
      </c>
      <c r="I303" t="s">
        <v>34</v>
      </c>
      <c r="J303" t="s">
        <v>46</v>
      </c>
      <c r="K303" t="s">
        <v>41</v>
      </c>
      <c r="L303" t="s">
        <v>1965</v>
      </c>
      <c r="M303" t="s">
        <v>1966</v>
      </c>
      <c r="N303" t="s">
        <v>494</v>
      </c>
      <c r="O303" t="s">
        <v>69</v>
      </c>
      <c r="P303" t="s">
        <v>1967</v>
      </c>
      <c r="Q303" s="14" t="s">
        <v>107</v>
      </c>
      <c r="R303" t="s">
        <v>1787</v>
      </c>
      <c r="S303">
        <v>1</v>
      </c>
      <c r="T303">
        <v>3784</v>
      </c>
      <c r="U303">
        <v>0</v>
      </c>
      <c r="V303">
        <v>3784</v>
      </c>
    </row>
    <row r="304" spans="1:22" x14ac:dyDescent="0.3">
      <c r="A304">
        <v>79452</v>
      </c>
      <c r="B304">
        <v>134813837</v>
      </c>
      <c r="C304" t="s">
        <v>1968</v>
      </c>
      <c r="D304" t="s">
        <v>1969</v>
      </c>
      <c r="E304" t="s">
        <v>490</v>
      </c>
      <c r="F304" t="s">
        <v>491</v>
      </c>
      <c r="G304" t="s">
        <v>44</v>
      </c>
      <c r="H304" t="s">
        <v>45</v>
      </c>
      <c r="I304" t="s">
        <v>34</v>
      </c>
      <c r="J304" t="s">
        <v>46</v>
      </c>
      <c r="K304" t="s">
        <v>41</v>
      </c>
      <c r="L304" t="s">
        <v>1970</v>
      </c>
      <c r="M304" t="s">
        <v>1971</v>
      </c>
      <c r="N304" t="s">
        <v>494</v>
      </c>
      <c r="O304" t="s">
        <v>69</v>
      </c>
      <c r="P304" t="s">
        <v>1972</v>
      </c>
      <c r="Q304" s="14" t="s">
        <v>83</v>
      </c>
      <c r="R304" t="s">
        <v>1781</v>
      </c>
      <c r="S304">
        <v>2.2599999999999998</v>
      </c>
      <c r="T304">
        <v>3366</v>
      </c>
      <c r="U304">
        <v>0</v>
      </c>
      <c r="V304">
        <v>3366</v>
      </c>
    </row>
    <row r="305" spans="1:22" x14ac:dyDescent="0.3">
      <c r="A305">
        <v>79452</v>
      </c>
      <c r="B305">
        <v>134732862</v>
      </c>
      <c r="C305" t="s">
        <v>1973</v>
      </c>
      <c r="D305" t="s">
        <v>1974</v>
      </c>
      <c r="E305" t="s">
        <v>490</v>
      </c>
      <c r="F305" t="s">
        <v>491</v>
      </c>
      <c r="G305" t="s">
        <v>44</v>
      </c>
      <c r="H305" t="s">
        <v>45</v>
      </c>
      <c r="I305" t="s">
        <v>34</v>
      </c>
      <c r="J305" t="s">
        <v>46</v>
      </c>
      <c r="K305" t="s">
        <v>41</v>
      </c>
      <c r="L305" t="s">
        <v>283</v>
      </c>
      <c r="M305" t="s">
        <v>1975</v>
      </c>
      <c r="N305" t="s">
        <v>494</v>
      </c>
      <c r="O305" t="s">
        <v>69</v>
      </c>
      <c r="P305" t="s">
        <v>1976</v>
      </c>
      <c r="Q305" s="14" t="s">
        <v>151</v>
      </c>
      <c r="R305" t="s">
        <v>329</v>
      </c>
      <c r="S305">
        <v>1</v>
      </c>
      <c r="T305">
        <v>3366</v>
      </c>
      <c r="U305">
        <v>0</v>
      </c>
      <c r="V305">
        <v>3366</v>
      </c>
    </row>
    <row r="306" spans="1:22" x14ac:dyDescent="0.3">
      <c r="A306">
        <v>79452</v>
      </c>
      <c r="B306">
        <v>134877330</v>
      </c>
      <c r="C306" t="s">
        <v>1977</v>
      </c>
      <c r="D306" t="s">
        <v>1978</v>
      </c>
      <c r="E306" t="s">
        <v>490</v>
      </c>
      <c r="F306" t="s">
        <v>491</v>
      </c>
      <c r="G306" t="s">
        <v>44</v>
      </c>
      <c r="H306" t="s">
        <v>45</v>
      </c>
      <c r="I306" t="s">
        <v>34</v>
      </c>
      <c r="J306" t="s">
        <v>46</v>
      </c>
      <c r="K306" t="s">
        <v>41</v>
      </c>
      <c r="L306" t="s">
        <v>1979</v>
      </c>
      <c r="M306" t="s">
        <v>431</v>
      </c>
      <c r="N306" t="s">
        <v>494</v>
      </c>
      <c r="O306" t="s">
        <v>69</v>
      </c>
      <c r="P306" t="s">
        <v>1980</v>
      </c>
      <c r="Q306" s="14" t="s">
        <v>98</v>
      </c>
      <c r="R306" t="s">
        <v>281</v>
      </c>
      <c r="S306">
        <v>1.46</v>
      </c>
      <c r="T306">
        <v>3366</v>
      </c>
      <c r="U306">
        <v>0</v>
      </c>
      <c r="V306">
        <v>3366</v>
      </c>
    </row>
    <row r="307" spans="1:22" x14ac:dyDescent="0.3">
      <c r="A307">
        <v>79452</v>
      </c>
      <c r="B307">
        <v>134877332</v>
      </c>
      <c r="C307" t="s">
        <v>1981</v>
      </c>
      <c r="D307" t="s">
        <v>1982</v>
      </c>
      <c r="E307" t="s">
        <v>490</v>
      </c>
      <c r="F307" t="s">
        <v>491</v>
      </c>
      <c r="G307" t="s">
        <v>44</v>
      </c>
      <c r="H307" t="s">
        <v>45</v>
      </c>
      <c r="I307" t="s">
        <v>34</v>
      </c>
      <c r="J307" t="s">
        <v>46</v>
      </c>
      <c r="K307" t="s">
        <v>41</v>
      </c>
      <c r="L307" t="s">
        <v>1983</v>
      </c>
      <c r="M307" t="s">
        <v>431</v>
      </c>
      <c r="N307" t="s">
        <v>494</v>
      </c>
      <c r="O307" t="s">
        <v>69</v>
      </c>
      <c r="P307" t="s">
        <v>1980</v>
      </c>
      <c r="Q307" s="14" t="s">
        <v>98</v>
      </c>
      <c r="R307" t="s">
        <v>281</v>
      </c>
      <c r="S307">
        <v>1</v>
      </c>
      <c r="T307">
        <v>3366</v>
      </c>
      <c r="U307">
        <v>0</v>
      </c>
      <c r="V307">
        <v>3366</v>
      </c>
    </row>
    <row r="308" spans="1:22" x14ac:dyDescent="0.3">
      <c r="A308">
        <v>79452</v>
      </c>
      <c r="B308">
        <v>134732852</v>
      </c>
      <c r="C308" t="s">
        <v>1984</v>
      </c>
      <c r="D308" t="s">
        <v>1985</v>
      </c>
      <c r="E308" t="s">
        <v>490</v>
      </c>
      <c r="F308" t="s">
        <v>491</v>
      </c>
      <c r="G308" t="s">
        <v>44</v>
      </c>
      <c r="H308" t="s">
        <v>45</v>
      </c>
      <c r="I308" t="s">
        <v>34</v>
      </c>
      <c r="J308" t="s">
        <v>46</v>
      </c>
      <c r="K308" t="s">
        <v>41</v>
      </c>
      <c r="L308" t="s">
        <v>1986</v>
      </c>
      <c r="M308" t="s">
        <v>1987</v>
      </c>
      <c r="N308" t="s">
        <v>494</v>
      </c>
      <c r="O308" t="s">
        <v>69</v>
      </c>
      <c r="P308" t="s">
        <v>1988</v>
      </c>
      <c r="Q308" s="14" t="s">
        <v>62</v>
      </c>
      <c r="R308" t="s">
        <v>329</v>
      </c>
      <c r="S308">
        <v>1</v>
      </c>
      <c r="T308">
        <v>4067</v>
      </c>
      <c r="U308">
        <v>0</v>
      </c>
      <c r="V308">
        <v>4067</v>
      </c>
    </row>
    <row r="309" spans="1:22" x14ac:dyDescent="0.3">
      <c r="A309">
        <v>79452</v>
      </c>
      <c r="B309">
        <v>134831261</v>
      </c>
      <c r="C309" t="s">
        <v>1989</v>
      </c>
      <c r="D309" t="s">
        <v>1990</v>
      </c>
      <c r="E309" t="s">
        <v>490</v>
      </c>
      <c r="F309" t="s">
        <v>491</v>
      </c>
      <c r="G309" t="s">
        <v>44</v>
      </c>
      <c r="H309" t="s">
        <v>45</v>
      </c>
      <c r="I309" t="s">
        <v>34</v>
      </c>
      <c r="J309" t="s">
        <v>46</v>
      </c>
      <c r="K309" t="s">
        <v>41</v>
      </c>
      <c r="L309" t="s">
        <v>1991</v>
      </c>
      <c r="M309" t="s">
        <v>1992</v>
      </c>
      <c r="N309" t="s">
        <v>494</v>
      </c>
      <c r="O309" t="s">
        <v>69</v>
      </c>
      <c r="P309" t="s">
        <v>1993</v>
      </c>
      <c r="Q309" s="14" t="s">
        <v>42</v>
      </c>
      <c r="R309" t="s">
        <v>1937</v>
      </c>
      <c r="S309">
        <v>1</v>
      </c>
      <c r="T309">
        <v>3501</v>
      </c>
      <c r="U309">
        <v>0</v>
      </c>
      <c r="V309">
        <v>3501</v>
      </c>
    </row>
    <row r="310" spans="1:22" x14ac:dyDescent="0.3">
      <c r="A310">
        <v>79452</v>
      </c>
      <c r="B310">
        <v>134732863</v>
      </c>
      <c r="C310" t="s">
        <v>1994</v>
      </c>
      <c r="D310" t="s">
        <v>1995</v>
      </c>
      <c r="E310" t="s">
        <v>490</v>
      </c>
      <c r="F310" t="s">
        <v>491</v>
      </c>
      <c r="G310" t="s">
        <v>44</v>
      </c>
      <c r="H310" t="s">
        <v>45</v>
      </c>
      <c r="I310" t="s">
        <v>34</v>
      </c>
      <c r="J310" t="s">
        <v>46</v>
      </c>
      <c r="K310" t="s">
        <v>41</v>
      </c>
      <c r="L310" t="s">
        <v>1996</v>
      </c>
      <c r="M310" t="s">
        <v>1997</v>
      </c>
      <c r="N310" t="s">
        <v>494</v>
      </c>
      <c r="O310" t="s">
        <v>69</v>
      </c>
      <c r="P310" t="s">
        <v>1998</v>
      </c>
      <c r="Q310" s="14" t="s">
        <v>42</v>
      </c>
      <c r="R310" t="s">
        <v>329</v>
      </c>
      <c r="S310">
        <v>1</v>
      </c>
      <c r="T310">
        <v>3501</v>
      </c>
      <c r="U310">
        <v>0</v>
      </c>
      <c r="V310">
        <v>3501</v>
      </c>
    </row>
    <row r="311" spans="1:22" x14ac:dyDescent="0.3">
      <c r="A311">
        <v>79452</v>
      </c>
      <c r="B311">
        <v>134877335</v>
      </c>
      <c r="C311" t="s">
        <v>1999</v>
      </c>
      <c r="D311" t="s">
        <v>2000</v>
      </c>
      <c r="E311" t="s">
        <v>490</v>
      </c>
      <c r="F311" t="s">
        <v>491</v>
      </c>
      <c r="G311" t="s">
        <v>44</v>
      </c>
      <c r="H311" t="s">
        <v>45</v>
      </c>
      <c r="I311" t="s">
        <v>34</v>
      </c>
      <c r="J311" t="s">
        <v>46</v>
      </c>
      <c r="K311" t="s">
        <v>41</v>
      </c>
      <c r="L311" t="s">
        <v>2001</v>
      </c>
      <c r="M311" t="s">
        <v>2002</v>
      </c>
      <c r="N311" t="s">
        <v>494</v>
      </c>
      <c r="O311" t="s">
        <v>69</v>
      </c>
      <c r="P311" t="s">
        <v>2003</v>
      </c>
      <c r="Q311" s="14" t="s">
        <v>89</v>
      </c>
      <c r="R311" t="s">
        <v>281</v>
      </c>
      <c r="S311">
        <v>1</v>
      </c>
      <c r="T311">
        <v>3753</v>
      </c>
      <c r="U311">
        <v>0</v>
      </c>
      <c r="V311">
        <v>3753</v>
      </c>
    </row>
    <row r="312" spans="1:22" x14ac:dyDescent="0.3">
      <c r="A312">
        <v>79452</v>
      </c>
      <c r="B312">
        <v>134831262</v>
      </c>
      <c r="C312" t="s">
        <v>2004</v>
      </c>
      <c r="D312" t="s">
        <v>2005</v>
      </c>
      <c r="E312" t="s">
        <v>490</v>
      </c>
      <c r="F312" t="s">
        <v>491</v>
      </c>
      <c r="G312" t="s">
        <v>44</v>
      </c>
      <c r="H312" t="s">
        <v>45</v>
      </c>
      <c r="I312" t="s">
        <v>34</v>
      </c>
      <c r="J312" t="s">
        <v>46</v>
      </c>
      <c r="K312" t="s">
        <v>41</v>
      </c>
      <c r="L312" t="s">
        <v>2006</v>
      </c>
      <c r="M312" t="s">
        <v>2007</v>
      </c>
      <c r="N312" t="s">
        <v>494</v>
      </c>
      <c r="O312" t="s">
        <v>69</v>
      </c>
      <c r="P312" t="s">
        <v>2008</v>
      </c>
      <c r="Q312" s="14" t="s">
        <v>42</v>
      </c>
      <c r="R312" t="s">
        <v>1937</v>
      </c>
      <c r="S312">
        <v>1</v>
      </c>
      <c r="T312">
        <v>3501</v>
      </c>
      <c r="U312">
        <v>0</v>
      </c>
      <c r="V312">
        <v>3501</v>
      </c>
    </row>
    <row r="313" spans="1:22" x14ac:dyDescent="0.3">
      <c r="A313">
        <v>79452</v>
      </c>
      <c r="B313">
        <v>134732850</v>
      </c>
      <c r="C313" t="s">
        <v>2009</v>
      </c>
      <c r="D313" t="s">
        <v>2010</v>
      </c>
      <c r="E313" t="s">
        <v>490</v>
      </c>
      <c r="F313" t="s">
        <v>491</v>
      </c>
      <c r="G313" t="s">
        <v>44</v>
      </c>
      <c r="H313" t="s">
        <v>45</v>
      </c>
      <c r="I313" t="s">
        <v>34</v>
      </c>
      <c r="J313" t="s">
        <v>46</v>
      </c>
      <c r="K313" t="s">
        <v>41</v>
      </c>
      <c r="L313" t="s">
        <v>2011</v>
      </c>
      <c r="M313" t="s">
        <v>2012</v>
      </c>
      <c r="N313" t="s">
        <v>494</v>
      </c>
      <c r="O313" t="s">
        <v>69</v>
      </c>
      <c r="P313" t="s">
        <v>2013</v>
      </c>
      <c r="Q313" s="14" t="s">
        <v>86</v>
      </c>
      <c r="R313" t="s">
        <v>329</v>
      </c>
      <c r="S313">
        <v>1</v>
      </c>
      <c r="T313">
        <v>3366</v>
      </c>
      <c r="U313">
        <v>0</v>
      </c>
      <c r="V313">
        <v>3366</v>
      </c>
    </row>
    <row r="314" spans="1:22" x14ac:dyDescent="0.3">
      <c r="A314">
        <v>79452</v>
      </c>
      <c r="B314">
        <v>134813825</v>
      </c>
      <c r="C314" t="s">
        <v>2014</v>
      </c>
      <c r="D314" t="s">
        <v>2015</v>
      </c>
      <c r="E314" t="s">
        <v>490</v>
      </c>
      <c r="F314" t="s">
        <v>491</v>
      </c>
      <c r="G314" t="s">
        <v>44</v>
      </c>
      <c r="H314" t="s">
        <v>45</v>
      </c>
      <c r="I314" t="s">
        <v>34</v>
      </c>
      <c r="J314" t="s">
        <v>46</v>
      </c>
      <c r="K314" t="s">
        <v>41</v>
      </c>
      <c r="L314" t="s">
        <v>2016</v>
      </c>
      <c r="M314" t="s">
        <v>2017</v>
      </c>
      <c r="N314" t="s">
        <v>494</v>
      </c>
      <c r="O314" t="s">
        <v>69</v>
      </c>
      <c r="P314" t="s">
        <v>2018</v>
      </c>
      <c r="Q314" s="14" t="s">
        <v>77</v>
      </c>
      <c r="R314" t="s">
        <v>1781</v>
      </c>
      <c r="S314">
        <v>1</v>
      </c>
      <c r="T314">
        <v>3753</v>
      </c>
      <c r="U314">
        <v>0</v>
      </c>
      <c r="V314">
        <v>3753</v>
      </c>
    </row>
    <row r="315" spans="1:22" x14ac:dyDescent="0.3">
      <c r="A315">
        <v>79452</v>
      </c>
      <c r="B315">
        <v>134813839</v>
      </c>
      <c r="C315" t="s">
        <v>2019</v>
      </c>
      <c r="D315" t="s">
        <v>2020</v>
      </c>
      <c r="E315" t="s">
        <v>490</v>
      </c>
      <c r="F315" t="s">
        <v>491</v>
      </c>
      <c r="G315" t="s">
        <v>44</v>
      </c>
      <c r="H315" t="s">
        <v>45</v>
      </c>
      <c r="I315" t="s">
        <v>34</v>
      </c>
      <c r="J315" t="s">
        <v>46</v>
      </c>
      <c r="K315" t="s">
        <v>41</v>
      </c>
      <c r="L315" t="s">
        <v>2021</v>
      </c>
      <c r="M315" t="s">
        <v>2022</v>
      </c>
      <c r="N315" t="s">
        <v>494</v>
      </c>
      <c r="O315" t="s">
        <v>69</v>
      </c>
      <c r="P315" t="s">
        <v>2023</v>
      </c>
      <c r="Q315" s="14" t="s">
        <v>89</v>
      </c>
      <c r="R315" t="s">
        <v>1781</v>
      </c>
      <c r="S315">
        <v>1</v>
      </c>
      <c r="T315">
        <v>3753</v>
      </c>
      <c r="U315">
        <v>0</v>
      </c>
      <c r="V315">
        <v>3753</v>
      </c>
    </row>
    <row r="316" spans="1:22" x14ac:dyDescent="0.3">
      <c r="A316">
        <v>79452</v>
      </c>
      <c r="B316">
        <v>134709070</v>
      </c>
      <c r="C316" t="s">
        <v>2024</v>
      </c>
      <c r="D316" t="s">
        <v>2025</v>
      </c>
      <c r="E316" t="s">
        <v>490</v>
      </c>
      <c r="F316" t="s">
        <v>491</v>
      </c>
      <c r="G316" t="s">
        <v>44</v>
      </c>
      <c r="H316" t="s">
        <v>45</v>
      </c>
      <c r="I316" t="s">
        <v>34</v>
      </c>
      <c r="J316" t="s">
        <v>46</v>
      </c>
      <c r="K316" t="s">
        <v>41</v>
      </c>
      <c r="L316" t="s">
        <v>2026</v>
      </c>
      <c r="M316" t="s">
        <v>2027</v>
      </c>
      <c r="N316" t="s">
        <v>494</v>
      </c>
      <c r="O316" t="s">
        <v>69</v>
      </c>
      <c r="P316" t="s">
        <v>2028</v>
      </c>
      <c r="Q316" s="14" t="s">
        <v>145</v>
      </c>
      <c r="R316" t="s">
        <v>1912</v>
      </c>
      <c r="S316">
        <v>0.82</v>
      </c>
      <c r="T316">
        <v>4346</v>
      </c>
      <c r="U316">
        <v>0</v>
      </c>
      <c r="V316">
        <v>4346</v>
      </c>
    </row>
    <row r="317" spans="1:22" x14ac:dyDescent="0.3">
      <c r="A317">
        <v>79452</v>
      </c>
      <c r="B317">
        <v>134732880</v>
      </c>
      <c r="C317" t="s">
        <v>2029</v>
      </c>
      <c r="D317" t="s">
        <v>2030</v>
      </c>
      <c r="E317" t="s">
        <v>490</v>
      </c>
      <c r="F317" t="s">
        <v>491</v>
      </c>
      <c r="G317" t="s">
        <v>44</v>
      </c>
      <c r="H317" t="s">
        <v>45</v>
      </c>
      <c r="I317" t="s">
        <v>34</v>
      </c>
      <c r="J317" t="s">
        <v>46</v>
      </c>
      <c r="K317" t="s">
        <v>41</v>
      </c>
      <c r="L317" t="s">
        <v>2031</v>
      </c>
      <c r="M317" t="s">
        <v>2032</v>
      </c>
      <c r="N317" t="s">
        <v>494</v>
      </c>
      <c r="O317" t="s">
        <v>69</v>
      </c>
      <c r="P317" t="s">
        <v>2033</v>
      </c>
      <c r="Q317" s="14" t="s">
        <v>55</v>
      </c>
      <c r="R317" t="s">
        <v>329</v>
      </c>
      <c r="S317">
        <v>1</v>
      </c>
      <c r="T317">
        <v>3870</v>
      </c>
      <c r="U317">
        <v>0</v>
      </c>
      <c r="V317">
        <v>3870</v>
      </c>
    </row>
    <row r="318" spans="1:22" x14ac:dyDescent="0.3">
      <c r="A318">
        <v>79452</v>
      </c>
      <c r="B318">
        <v>134708960</v>
      </c>
      <c r="C318" t="s">
        <v>2034</v>
      </c>
      <c r="D318" t="s">
        <v>2035</v>
      </c>
      <c r="E318" t="s">
        <v>490</v>
      </c>
      <c r="F318" t="s">
        <v>491</v>
      </c>
      <c r="G318" t="s">
        <v>44</v>
      </c>
      <c r="H318" t="s">
        <v>45</v>
      </c>
      <c r="I318" t="s">
        <v>34</v>
      </c>
      <c r="J318" t="s">
        <v>46</v>
      </c>
      <c r="K318" t="s">
        <v>41</v>
      </c>
      <c r="L318" t="s">
        <v>2036</v>
      </c>
      <c r="M318" t="s">
        <v>2037</v>
      </c>
      <c r="N318" t="s">
        <v>494</v>
      </c>
      <c r="O318" t="s">
        <v>69</v>
      </c>
      <c r="P318" t="s">
        <v>2038</v>
      </c>
      <c r="Q318" s="14" t="s">
        <v>70</v>
      </c>
      <c r="R318" t="s">
        <v>1727</v>
      </c>
      <c r="S318">
        <v>2.27</v>
      </c>
      <c r="T318">
        <v>5198</v>
      </c>
      <c r="U318">
        <v>0</v>
      </c>
      <c r="V318">
        <v>5198</v>
      </c>
    </row>
    <row r="319" spans="1:22" x14ac:dyDescent="0.3">
      <c r="A319">
        <v>79452</v>
      </c>
      <c r="B319">
        <v>134709051</v>
      </c>
      <c r="C319" t="s">
        <v>2039</v>
      </c>
      <c r="D319" t="s">
        <v>2040</v>
      </c>
      <c r="E319" t="s">
        <v>490</v>
      </c>
      <c r="F319" t="s">
        <v>491</v>
      </c>
      <c r="G319" t="s">
        <v>44</v>
      </c>
      <c r="H319" t="s">
        <v>45</v>
      </c>
      <c r="I319" t="s">
        <v>34</v>
      </c>
      <c r="J319" t="s">
        <v>46</v>
      </c>
      <c r="K319" t="s">
        <v>41</v>
      </c>
      <c r="L319" t="s">
        <v>2041</v>
      </c>
      <c r="M319" t="s">
        <v>2042</v>
      </c>
      <c r="N319" t="s">
        <v>494</v>
      </c>
      <c r="O319" t="s">
        <v>69</v>
      </c>
      <c r="P319" t="s">
        <v>2043</v>
      </c>
      <c r="Q319" s="14" t="s">
        <v>60</v>
      </c>
      <c r="R319" t="s">
        <v>1727</v>
      </c>
      <c r="S319">
        <v>1</v>
      </c>
      <c r="T319">
        <v>5759</v>
      </c>
      <c r="U319">
        <v>0</v>
      </c>
      <c r="V319">
        <v>5759</v>
      </c>
    </row>
    <row r="320" spans="1:22" x14ac:dyDescent="0.3">
      <c r="A320">
        <v>79452</v>
      </c>
      <c r="B320">
        <v>134860689</v>
      </c>
      <c r="C320" t="s">
        <v>2044</v>
      </c>
      <c r="D320" t="s">
        <v>2045</v>
      </c>
      <c r="E320" t="s">
        <v>490</v>
      </c>
      <c r="F320" t="s">
        <v>491</v>
      </c>
      <c r="G320" t="s">
        <v>44</v>
      </c>
      <c r="H320" t="s">
        <v>45</v>
      </c>
      <c r="I320" t="s">
        <v>34</v>
      </c>
      <c r="J320" t="s">
        <v>46</v>
      </c>
      <c r="K320" t="s">
        <v>41</v>
      </c>
      <c r="L320" t="s">
        <v>2046</v>
      </c>
      <c r="M320" t="s">
        <v>2047</v>
      </c>
      <c r="N320" t="s">
        <v>494</v>
      </c>
      <c r="O320" t="s">
        <v>69</v>
      </c>
      <c r="P320" t="s">
        <v>2048</v>
      </c>
      <c r="Q320" s="14" t="s">
        <v>77</v>
      </c>
      <c r="R320" t="s">
        <v>1787</v>
      </c>
      <c r="S320">
        <v>1</v>
      </c>
      <c r="T320">
        <v>3753</v>
      </c>
      <c r="U320">
        <v>0</v>
      </c>
      <c r="V320">
        <v>3753</v>
      </c>
    </row>
    <row r="321" spans="1:22" x14ac:dyDescent="0.3">
      <c r="A321">
        <v>79452</v>
      </c>
      <c r="B321">
        <v>134831227</v>
      </c>
      <c r="C321" t="s">
        <v>2049</v>
      </c>
      <c r="D321" t="s">
        <v>2050</v>
      </c>
      <c r="E321" t="s">
        <v>490</v>
      </c>
      <c r="F321" t="s">
        <v>491</v>
      </c>
      <c r="G321" t="s">
        <v>44</v>
      </c>
      <c r="H321" t="s">
        <v>45</v>
      </c>
      <c r="I321" t="s">
        <v>34</v>
      </c>
      <c r="J321" t="s">
        <v>46</v>
      </c>
      <c r="K321" t="s">
        <v>41</v>
      </c>
      <c r="L321" t="s">
        <v>2051</v>
      </c>
      <c r="M321" t="s">
        <v>2052</v>
      </c>
      <c r="N321" t="s">
        <v>494</v>
      </c>
      <c r="O321" t="s">
        <v>69</v>
      </c>
      <c r="P321" t="s">
        <v>2053</v>
      </c>
      <c r="Q321" s="14" t="s">
        <v>42</v>
      </c>
      <c r="R321" t="s">
        <v>324</v>
      </c>
      <c r="S321">
        <v>1</v>
      </c>
      <c r="T321">
        <v>3501</v>
      </c>
      <c r="U321">
        <v>0</v>
      </c>
      <c r="V321">
        <v>3501</v>
      </c>
    </row>
    <row r="322" spans="1:22" x14ac:dyDescent="0.3">
      <c r="A322">
        <v>79452</v>
      </c>
      <c r="B322">
        <v>134732882</v>
      </c>
      <c r="C322" t="s">
        <v>2054</v>
      </c>
      <c r="D322" t="s">
        <v>2055</v>
      </c>
      <c r="E322" t="s">
        <v>490</v>
      </c>
      <c r="F322" t="s">
        <v>491</v>
      </c>
      <c r="G322" t="s">
        <v>44</v>
      </c>
      <c r="H322" t="s">
        <v>45</v>
      </c>
      <c r="I322" t="s">
        <v>34</v>
      </c>
      <c r="J322" t="s">
        <v>46</v>
      </c>
      <c r="K322" t="s">
        <v>41</v>
      </c>
      <c r="L322" t="s">
        <v>2056</v>
      </c>
      <c r="M322" t="s">
        <v>2057</v>
      </c>
      <c r="N322" t="s">
        <v>494</v>
      </c>
      <c r="O322" t="s">
        <v>69</v>
      </c>
      <c r="P322" t="s">
        <v>2058</v>
      </c>
      <c r="Q322" s="14" t="s">
        <v>73</v>
      </c>
      <c r="R322" t="s">
        <v>329</v>
      </c>
      <c r="S322">
        <v>1</v>
      </c>
      <c r="T322">
        <v>3366</v>
      </c>
      <c r="U322">
        <v>0</v>
      </c>
      <c r="V322">
        <v>3366</v>
      </c>
    </row>
    <row r="323" spans="1:22" x14ac:dyDescent="0.3">
      <c r="A323">
        <v>79452</v>
      </c>
      <c r="B323">
        <v>134831270</v>
      </c>
      <c r="C323" t="s">
        <v>2059</v>
      </c>
      <c r="D323" t="s">
        <v>2060</v>
      </c>
      <c r="E323" t="s">
        <v>490</v>
      </c>
      <c r="F323" t="s">
        <v>491</v>
      </c>
      <c r="G323" t="s">
        <v>44</v>
      </c>
      <c r="H323" t="s">
        <v>45</v>
      </c>
      <c r="I323" t="s">
        <v>34</v>
      </c>
      <c r="J323" t="s">
        <v>46</v>
      </c>
      <c r="K323" t="s">
        <v>41</v>
      </c>
      <c r="L323" t="s">
        <v>2061</v>
      </c>
      <c r="M323" t="s">
        <v>2062</v>
      </c>
      <c r="N323" t="s">
        <v>494</v>
      </c>
      <c r="O323" t="s">
        <v>69</v>
      </c>
      <c r="P323" t="s">
        <v>2063</v>
      </c>
      <c r="Q323" s="14" t="s">
        <v>150</v>
      </c>
      <c r="R323" t="s">
        <v>1937</v>
      </c>
      <c r="S323">
        <v>1</v>
      </c>
      <c r="T323">
        <v>3753</v>
      </c>
      <c r="U323">
        <v>0</v>
      </c>
      <c r="V323">
        <v>3753</v>
      </c>
    </row>
    <row r="324" spans="1:22" x14ac:dyDescent="0.3">
      <c r="A324">
        <v>79452</v>
      </c>
      <c r="B324">
        <v>134761713</v>
      </c>
      <c r="C324" t="s">
        <v>2064</v>
      </c>
      <c r="D324" t="s">
        <v>2065</v>
      </c>
      <c r="E324" t="s">
        <v>490</v>
      </c>
      <c r="F324" t="s">
        <v>491</v>
      </c>
      <c r="G324" t="s">
        <v>44</v>
      </c>
      <c r="H324" t="s">
        <v>45</v>
      </c>
      <c r="I324" t="s">
        <v>34</v>
      </c>
      <c r="J324" t="s">
        <v>46</v>
      </c>
      <c r="K324" t="s">
        <v>41</v>
      </c>
      <c r="L324" t="s">
        <v>2066</v>
      </c>
      <c r="M324" t="s">
        <v>126</v>
      </c>
      <c r="N324" t="s">
        <v>494</v>
      </c>
      <c r="O324" t="s">
        <v>69</v>
      </c>
      <c r="P324" t="s">
        <v>127</v>
      </c>
      <c r="Q324" s="14" t="s">
        <v>150</v>
      </c>
      <c r="R324" t="s">
        <v>2067</v>
      </c>
      <c r="S324">
        <v>1</v>
      </c>
      <c r="T324">
        <v>3753</v>
      </c>
      <c r="U324">
        <v>0</v>
      </c>
      <c r="V324">
        <v>3753</v>
      </c>
    </row>
    <row r="325" spans="1:22" x14ac:dyDescent="0.3">
      <c r="A325">
        <v>79452</v>
      </c>
      <c r="B325">
        <v>134860715</v>
      </c>
      <c r="C325" t="s">
        <v>2068</v>
      </c>
      <c r="D325" t="s">
        <v>2069</v>
      </c>
      <c r="E325" t="s">
        <v>490</v>
      </c>
      <c r="F325" t="s">
        <v>491</v>
      </c>
      <c r="G325" t="s">
        <v>44</v>
      </c>
      <c r="H325" t="s">
        <v>45</v>
      </c>
      <c r="I325" t="s">
        <v>34</v>
      </c>
      <c r="J325" t="s">
        <v>46</v>
      </c>
      <c r="K325" t="s">
        <v>41</v>
      </c>
      <c r="L325" t="s">
        <v>2070</v>
      </c>
      <c r="M325" t="s">
        <v>2071</v>
      </c>
      <c r="N325" t="s">
        <v>494</v>
      </c>
      <c r="O325" t="s">
        <v>69</v>
      </c>
      <c r="P325" t="s">
        <v>2072</v>
      </c>
      <c r="Q325" s="14" t="s">
        <v>109</v>
      </c>
      <c r="R325" t="s">
        <v>1787</v>
      </c>
      <c r="S325">
        <v>1</v>
      </c>
      <c r="T325">
        <v>3784</v>
      </c>
      <c r="U325">
        <v>0</v>
      </c>
      <c r="V325">
        <v>3784</v>
      </c>
    </row>
    <row r="326" spans="1:22" x14ac:dyDescent="0.3">
      <c r="A326">
        <v>79452</v>
      </c>
      <c r="B326">
        <v>134732856</v>
      </c>
      <c r="C326" t="s">
        <v>2073</v>
      </c>
      <c r="D326" t="s">
        <v>2074</v>
      </c>
      <c r="E326" t="s">
        <v>490</v>
      </c>
      <c r="F326" t="s">
        <v>491</v>
      </c>
      <c r="G326" t="s">
        <v>44</v>
      </c>
      <c r="H326" t="s">
        <v>45</v>
      </c>
      <c r="I326" t="s">
        <v>34</v>
      </c>
      <c r="J326" t="s">
        <v>46</v>
      </c>
      <c r="K326" t="s">
        <v>41</v>
      </c>
      <c r="L326" t="s">
        <v>2075</v>
      </c>
      <c r="M326" t="s">
        <v>2076</v>
      </c>
      <c r="N326" t="s">
        <v>494</v>
      </c>
      <c r="O326" t="s">
        <v>69</v>
      </c>
      <c r="P326" t="s">
        <v>2077</v>
      </c>
      <c r="Q326" s="14" t="s">
        <v>85</v>
      </c>
      <c r="R326" t="s">
        <v>329</v>
      </c>
      <c r="S326">
        <v>1</v>
      </c>
      <c r="T326">
        <v>3784</v>
      </c>
      <c r="U326">
        <v>0</v>
      </c>
      <c r="V326">
        <v>3784</v>
      </c>
    </row>
    <row r="327" spans="1:22" x14ac:dyDescent="0.3">
      <c r="A327">
        <v>79452</v>
      </c>
      <c r="B327">
        <v>134709014</v>
      </c>
      <c r="C327" t="s">
        <v>2078</v>
      </c>
      <c r="D327" t="s">
        <v>2079</v>
      </c>
      <c r="E327" t="s">
        <v>490</v>
      </c>
      <c r="F327" t="s">
        <v>491</v>
      </c>
      <c r="G327" t="s">
        <v>44</v>
      </c>
      <c r="H327" t="s">
        <v>45</v>
      </c>
      <c r="I327" t="s">
        <v>34</v>
      </c>
      <c r="J327" t="s">
        <v>46</v>
      </c>
      <c r="K327" t="s">
        <v>41</v>
      </c>
      <c r="L327" t="s">
        <v>2080</v>
      </c>
      <c r="M327" t="s">
        <v>2081</v>
      </c>
      <c r="N327" t="s">
        <v>494</v>
      </c>
      <c r="O327" t="s">
        <v>69</v>
      </c>
      <c r="P327" t="s">
        <v>2082</v>
      </c>
      <c r="Q327" s="14" t="s">
        <v>70</v>
      </c>
      <c r="R327" t="s">
        <v>1727</v>
      </c>
      <c r="S327">
        <v>1.19</v>
      </c>
      <c r="T327">
        <v>5198</v>
      </c>
      <c r="U327">
        <v>0</v>
      </c>
      <c r="V327">
        <v>5198</v>
      </c>
    </row>
    <row r="328" spans="1:22" x14ac:dyDescent="0.3">
      <c r="A328">
        <v>79452</v>
      </c>
      <c r="B328">
        <v>134877305</v>
      </c>
      <c r="C328" t="s">
        <v>2083</v>
      </c>
      <c r="D328" t="s">
        <v>2084</v>
      </c>
      <c r="E328" t="s">
        <v>490</v>
      </c>
      <c r="F328" t="s">
        <v>491</v>
      </c>
      <c r="G328" t="s">
        <v>44</v>
      </c>
      <c r="H328" t="s">
        <v>45</v>
      </c>
      <c r="I328" t="s">
        <v>34</v>
      </c>
      <c r="J328" t="s">
        <v>46</v>
      </c>
      <c r="K328" t="s">
        <v>41</v>
      </c>
      <c r="L328" t="s">
        <v>2085</v>
      </c>
      <c r="M328" t="s">
        <v>2086</v>
      </c>
      <c r="N328" t="s">
        <v>494</v>
      </c>
      <c r="O328" t="s">
        <v>69</v>
      </c>
      <c r="P328" t="s">
        <v>2087</v>
      </c>
      <c r="Q328" s="14" t="s">
        <v>108</v>
      </c>
      <c r="R328" t="s">
        <v>281</v>
      </c>
      <c r="S328">
        <v>1</v>
      </c>
      <c r="T328">
        <v>3753</v>
      </c>
      <c r="U328">
        <v>0</v>
      </c>
      <c r="V328">
        <v>3753</v>
      </c>
    </row>
    <row r="329" spans="1:22" x14ac:dyDescent="0.3">
      <c r="A329">
        <v>79452</v>
      </c>
      <c r="B329">
        <v>134831230</v>
      </c>
      <c r="C329" t="s">
        <v>2088</v>
      </c>
      <c r="D329" t="s">
        <v>2089</v>
      </c>
      <c r="E329" t="s">
        <v>490</v>
      </c>
      <c r="F329" t="s">
        <v>491</v>
      </c>
      <c r="G329" t="s">
        <v>44</v>
      </c>
      <c r="H329" t="s">
        <v>45</v>
      </c>
      <c r="I329" t="s">
        <v>34</v>
      </c>
      <c r="J329" t="s">
        <v>46</v>
      </c>
      <c r="K329" t="s">
        <v>41</v>
      </c>
      <c r="L329" t="s">
        <v>2090</v>
      </c>
      <c r="M329" t="s">
        <v>2091</v>
      </c>
      <c r="N329" t="s">
        <v>494</v>
      </c>
      <c r="O329" t="s">
        <v>69</v>
      </c>
      <c r="P329" t="s">
        <v>2092</v>
      </c>
      <c r="Q329" s="14" t="s">
        <v>107</v>
      </c>
      <c r="R329" t="s">
        <v>324</v>
      </c>
      <c r="S329">
        <v>1</v>
      </c>
      <c r="T329">
        <v>3784</v>
      </c>
      <c r="U329">
        <v>0</v>
      </c>
      <c r="V329">
        <v>3784</v>
      </c>
    </row>
    <row r="330" spans="1:22" x14ac:dyDescent="0.3">
      <c r="A330">
        <v>79452</v>
      </c>
      <c r="B330">
        <v>134709033</v>
      </c>
      <c r="C330" t="s">
        <v>2093</v>
      </c>
      <c r="D330" t="s">
        <v>2094</v>
      </c>
      <c r="E330" t="s">
        <v>490</v>
      </c>
      <c r="F330" t="s">
        <v>491</v>
      </c>
      <c r="G330" t="s">
        <v>44</v>
      </c>
      <c r="H330" t="s">
        <v>45</v>
      </c>
      <c r="I330" t="s">
        <v>34</v>
      </c>
      <c r="J330" t="s">
        <v>46</v>
      </c>
      <c r="K330" t="s">
        <v>41</v>
      </c>
      <c r="L330" t="s">
        <v>2095</v>
      </c>
      <c r="M330" t="s">
        <v>2096</v>
      </c>
      <c r="N330" t="s">
        <v>494</v>
      </c>
      <c r="O330" t="s">
        <v>69</v>
      </c>
      <c r="P330" t="s">
        <v>2097</v>
      </c>
      <c r="Q330" s="14" t="s">
        <v>43</v>
      </c>
      <c r="R330" t="s">
        <v>1727</v>
      </c>
      <c r="S330">
        <v>0.98</v>
      </c>
      <c r="T330">
        <v>4067</v>
      </c>
      <c r="U330">
        <v>0</v>
      </c>
      <c r="V330">
        <v>4067</v>
      </c>
    </row>
    <row r="331" spans="1:22" x14ac:dyDescent="0.3">
      <c r="A331">
        <v>79452</v>
      </c>
      <c r="B331">
        <v>134761711</v>
      </c>
      <c r="C331" t="s">
        <v>2098</v>
      </c>
      <c r="D331" t="s">
        <v>2099</v>
      </c>
      <c r="E331" t="s">
        <v>490</v>
      </c>
      <c r="F331" t="s">
        <v>491</v>
      </c>
      <c r="G331" t="s">
        <v>44</v>
      </c>
      <c r="H331" t="s">
        <v>45</v>
      </c>
      <c r="I331" t="s">
        <v>34</v>
      </c>
      <c r="J331" t="s">
        <v>46</v>
      </c>
      <c r="K331" t="s">
        <v>41</v>
      </c>
      <c r="L331" t="s">
        <v>2100</v>
      </c>
      <c r="M331" t="s">
        <v>2101</v>
      </c>
      <c r="N331" t="s">
        <v>494</v>
      </c>
      <c r="O331" t="s">
        <v>69</v>
      </c>
      <c r="P331" t="s">
        <v>2102</v>
      </c>
      <c r="Q331" s="14" t="s">
        <v>145</v>
      </c>
      <c r="R331" t="s">
        <v>2067</v>
      </c>
      <c r="S331">
        <v>0.84</v>
      </c>
      <c r="T331">
        <v>4346</v>
      </c>
      <c r="U331">
        <v>0</v>
      </c>
      <c r="V331">
        <v>4346</v>
      </c>
    </row>
    <row r="332" spans="1:22" x14ac:dyDescent="0.3">
      <c r="A332">
        <v>79452</v>
      </c>
      <c r="B332">
        <v>134708996</v>
      </c>
      <c r="C332" t="s">
        <v>2103</v>
      </c>
      <c r="D332" t="s">
        <v>2104</v>
      </c>
      <c r="E332" t="s">
        <v>490</v>
      </c>
      <c r="F332" t="s">
        <v>491</v>
      </c>
      <c r="G332" t="s">
        <v>44</v>
      </c>
      <c r="H332" t="s">
        <v>45</v>
      </c>
      <c r="I332" t="s">
        <v>34</v>
      </c>
      <c r="J332" t="s">
        <v>46</v>
      </c>
      <c r="K332" t="s">
        <v>41</v>
      </c>
      <c r="L332" t="s">
        <v>2105</v>
      </c>
      <c r="M332" t="s">
        <v>2106</v>
      </c>
      <c r="N332" t="s">
        <v>494</v>
      </c>
      <c r="O332" t="s">
        <v>69</v>
      </c>
      <c r="P332" t="s">
        <v>2107</v>
      </c>
      <c r="Q332" s="14" t="s">
        <v>83</v>
      </c>
      <c r="R332" t="s">
        <v>1727</v>
      </c>
      <c r="S332">
        <v>1.58</v>
      </c>
      <c r="T332">
        <v>3366</v>
      </c>
      <c r="U332">
        <v>0</v>
      </c>
      <c r="V332">
        <v>3366</v>
      </c>
    </row>
    <row r="333" spans="1:22" x14ac:dyDescent="0.3">
      <c r="A333">
        <v>79452</v>
      </c>
      <c r="B333">
        <v>134709013</v>
      </c>
      <c r="C333" t="s">
        <v>2108</v>
      </c>
      <c r="D333" t="s">
        <v>2109</v>
      </c>
      <c r="E333" t="s">
        <v>490</v>
      </c>
      <c r="F333" t="s">
        <v>491</v>
      </c>
      <c r="G333" t="s">
        <v>44</v>
      </c>
      <c r="H333" t="s">
        <v>45</v>
      </c>
      <c r="I333" t="s">
        <v>34</v>
      </c>
      <c r="J333" t="s">
        <v>46</v>
      </c>
      <c r="K333" t="s">
        <v>41</v>
      </c>
      <c r="L333" t="s">
        <v>2110</v>
      </c>
      <c r="M333" t="s">
        <v>2111</v>
      </c>
      <c r="N333" t="s">
        <v>494</v>
      </c>
      <c r="O333" t="s">
        <v>69</v>
      </c>
      <c r="P333" t="s">
        <v>2112</v>
      </c>
      <c r="Q333" s="14" t="s">
        <v>60</v>
      </c>
      <c r="R333" t="s">
        <v>1727</v>
      </c>
      <c r="S333">
        <v>1.74</v>
      </c>
      <c r="T333">
        <v>5759</v>
      </c>
      <c r="U333">
        <v>0</v>
      </c>
      <c r="V333">
        <v>5759</v>
      </c>
    </row>
    <row r="334" spans="1:22" x14ac:dyDescent="0.3">
      <c r="A334">
        <v>79452</v>
      </c>
      <c r="B334">
        <v>134732888</v>
      </c>
      <c r="C334" t="s">
        <v>2113</v>
      </c>
      <c r="D334" t="s">
        <v>2114</v>
      </c>
      <c r="E334" t="s">
        <v>490</v>
      </c>
      <c r="F334" t="s">
        <v>491</v>
      </c>
      <c r="G334" t="s">
        <v>44</v>
      </c>
      <c r="H334" t="s">
        <v>45</v>
      </c>
      <c r="I334" t="s">
        <v>34</v>
      </c>
      <c r="J334" t="s">
        <v>46</v>
      </c>
      <c r="K334" t="s">
        <v>41</v>
      </c>
      <c r="L334" t="s">
        <v>2115</v>
      </c>
      <c r="M334" t="s">
        <v>2116</v>
      </c>
      <c r="N334" t="s">
        <v>494</v>
      </c>
      <c r="O334" t="s">
        <v>69</v>
      </c>
      <c r="P334" t="s">
        <v>2117</v>
      </c>
      <c r="Q334" s="14" t="s">
        <v>135</v>
      </c>
      <c r="R334" t="s">
        <v>329</v>
      </c>
      <c r="S334">
        <v>1.75</v>
      </c>
      <c r="T334">
        <v>3366</v>
      </c>
      <c r="U334">
        <v>0</v>
      </c>
      <c r="V334">
        <v>3366</v>
      </c>
    </row>
    <row r="335" spans="1:22" x14ac:dyDescent="0.3">
      <c r="A335">
        <v>79452</v>
      </c>
      <c r="B335">
        <v>134779890</v>
      </c>
      <c r="C335" t="s">
        <v>2118</v>
      </c>
      <c r="D335" t="s">
        <v>2119</v>
      </c>
      <c r="E335" t="s">
        <v>490</v>
      </c>
      <c r="F335" t="s">
        <v>491</v>
      </c>
      <c r="G335" t="s">
        <v>44</v>
      </c>
      <c r="H335" t="s">
        <v>45</v>
      </c>
      <c r="I335" t="s">
        <v>34</v>
      </c>
      <c r="J335" t="s">
        <v>46</v>
      </c>
      <c r="K335" t="s">
        <v>41</v>
      </c>
      <c r="L335" t="s">
        <v>2120</v>
      </c>
      <c r="M335" t="s">
        <v>2121</v>
      </c>
      <c r="N335" t="s">
        <v>494</v>
      </c>
      <c r="O335" t="s">
        <v>69</v>
      </c>
      <c r="P335" t="s">
        <v>2122</v>
      </c>
      <c r="Q335" s="14" t="s">
        <v>114</v>
      </c>
      <c r="R335" t="s">
        <v>256</v>
      </c>
      <c r="S335">
        <v>1.63</v>
      </c>
      <c r="T335">
        <v>3501</v>
      </c>
      <c r="U335">
        <v>0</v>
      </c>
      <c r="V335">
        <v>3501</v>
      </c>
    </row>
    <row r="336" spans="1:22" x14ac:dyDescent="0.3">
      <c r="A336">
        <v>79452</v>
      </c>
      <c r="B336">
        <v>134709075</v>
      </c>
      <c r="C336" t="s">
        <v>2123</v>
      </c>
      <c r="D336" t="s">
        <v>2124</v>
      </c>
      <c r="E336" t="s">
        <v>490</v>
      </c>
      <c r="F336" t="s">
        <v>491</v>
      </c>
      <c r="G336" t="s">
        <v>44</v>
      </c>
      <c r="H336" t="s">
        <v>45</v>
      </c>
      <c r="I336" t="s">
        <v>34</v>
      </c>
      <c r="J336" t="s">
        <v>46</v>
      </c>
      <c r="K336" t="s">
        <v>41</v>
      </c>
      <c r="L336" t="s">
        <v>2125</v>
      </c>
      <c r="M336" t="s">
        <v>2126</v>
      </c>
      <c r="N336" t="s">
        <v>494</v>
      </c>
      <c r="O336" t="s">
        <v>69</v>
      </c>
      <c r="P336" t="s">
        <v>2127</v>
      </c>
      <c r="Q336" s="14" t="s">
        <v>108</v>
      </c>
      <c r="R336" t="s">
        <v>1912</v>
      </c>
      <c r="S336">
        <v>0.97</v>
      </c>
      <c r="T336">
        <v>3753</v>
      </c>
      <c r="U336">
        <v>0</v>
      </c>
      <c r="V336">
        <v>3753</v>
      </c>
    </row>
    <row r="337" spans="1:22" x14ac:dyDescent="0.3">
      <c r="A337">
        <v>79452</v>
      </c>
      <c r="B337">
        <v>134708978</v>
      </c>
      <c r="C337" t="s">
        <v>2128</v>
      </c>
      <c r="D337" t="s">
        <v>2129</v>
      </c>
      <c r="E337" t="s">
        <v>490</v>
      </c>
      <c r="F337" t="s">
        <v>491</v>
      </c>
      <c r="G337" t="s">
        <v>44</v>
      </c>
      <c r="H337" t="s">
        <v>45</v>
      </c>
      <c r="I337" t="s">
        <v>34</v>
      </c>
      <c r="J337" t="s">
        <v>46</v>
      </c>
      <c r="K337" t="s">
        <v>41</v>
      </c>
      <c r="L337" t="s">
        <v>2130</v>
      </c>
      <c r="M337" t="s">
        <v>2131</v>
      </c>
      <c r="N337" t="s">
        <v>494</v>
      </c>
      <c r="O337" t="s">
        <v>69</v>
      </c>
      <c r="P337" t="s">
        <v>2132</v>
      </c>
      <c r="Q337" s="14" t="s">
        <v>79</v>
      </c>
      <c r="R337" t="s">
        <v>1727</v>
      </c>
      <c r="S337">
        <v>1.42</v>
      </c>
      <c r="T337">
        <v>3753</v>
      </c>
      <c r="U337">
        <v>0</v>
      </c>
      <c r="V337">
        <v>3753</v>
      </c>
    </row>
    <row r="338" spans="1:22" x14ac:dyDescent="0.3">
      <c r="A338">
        <v>79452</v>
      </c>
      <c r="B338">
        <v>134709035</v>
      </c>
      <c r="C338" t="s">
        <v>2133</v>
      </c>
      <c r="D338" t="s">
        <v>2134</v>
      </c>
      <c r="E338" t="s">
        <v>490</v>
      </c>
      <c r="F338" t="s">
        <v>491</v>
      </c>
      <c r="G338" t="s">
        <v>44</v>
      </c>
      <c r="H338" t="s">
        <v>45</v>
      </c>
      <c r="I338" t="s">
        <v>34</v>
      </c>
      <c r="J338" t="s">
        <v>46</v>
      </c>
      <c r="K338" t="s">
        <v>41</v>
      </c>
      <c r="L338" t="s">
        <v>2135</v>
      </c>
      <c r="M338" t="s">
        <v>2136</v>
      </c>
      <c r="N338" t="s">
        <v>494</v>
      </c>
      <c r="O338" t="s">
        <v>69</v>
      </c>
      <c r="P338" t="s">
        <v>2137</v>
      </c>
      <c r="Q338" s="14" t="s">
        <v>70</v>
      </c>
      <c r="R338" t="s">
        <v>1727</v>
      </c>
      <c r="S338">
        <v>1.92</v>
      </c>
      <c r="T338">
        <v>5198</v>
      </c>
      <c r="U338">
        <v>0</v>
      </c>
      <c r="V338">
        <v>5198</v>
      </c>
    </row>
    <row r="339" spans="1:22" x14ac:dyDescent="0.3">
      <c r="A339">
        <v>79452</v>
      </c>
      <c r="B339">
        <v>134708921</v>
      </c>
      <c r="C339" t="s">
        <v>2138</v>
      </c>
      <c r="D339" t="s">
        <v>2139</v>
      </c>
      <c r="E339" t="s">
        <v>490</v>
      </c>
      <c r="F339" t="s">
        <v>491</v>
      </c>
      <c r="G339" t="s">
        <v>44</v>
      </c>
      <c r="H339" t="s">
        <v>45</v>
      </c>
      <c r="I339" t="s">
        <v>34</v>
      </c>
      <c r="J339" t="s">
        <v>46</v>
      </c>
      <c r="K339" t="s">
        <v>41</v>
      </c>
      <c r="L339" t="s">
        <v>2140</v>
      </c>
      <c r="M339" t="s">
        <v>2141</v>
      </c>
      <c r="N339" t="s">
        <v>494</v>
      </c>
      <c r="O339" t="s">
        <v>69</v>
      </c>
      <c r="P339" t="s">
        <v>2142</v>
      </c>
      <c r="Q339" s="14" t="s">
        <v>70</v>
      </c>
      <c r="R339" t="s">
        <v>1418</v>
      </c>
      <c r="S339">
        <v>1.67</v>
      </c>
      <c r="T339">
        <v>5198</v>
      </c>
      <c r="U339">
        <v>0</v>
      </c>
      <c r="V339">
        <v>5198</v>
      </c>
    </row>
    <row r="340" spans="1:22" x14ac:dyDescent="0.3">
      <c r="A340">
        <v>79452</v>
      </c>
      <c r="B340">
        <v>134761717</v>
      </c>
      <c r="C340" t="s">
        <v>2143</v>
      </c>
      <c r="D340" t="s">
        <v>2144</v>
      </c>
      <c r="E340" t="s">
        <v>490</v>
      </c>
      <c r="F340" t="s">
        <v>491</v>
      </c>
      <c r="G340" t="s">
        <v>44</v>
      </c>
      <c r="H340" t="s">
        <v>45</v>
      </c>
      <c r="I340" t="s">
        <v>34</v>
      </c>
      <c r="J340" t="s">
        <v>46</v>
      </c>
      <c r="K340" t="s">
        <v>41</v>
      </c>
      <c r="L340" t="s">
        <v>2145</v>
      </c>
      <c r="M340" t="s">
        <v>1816</v>
      </c>
      <c r="N340" t="s">
        <v>494</v>
      </c>
      <c r="O340" t="s">
        <v>69</v>
      </c>
      <c r="P340" t="s">
        <v>1817</v>
      </c>
      <c r="Q340" s="14" t="s">
        <v>89</v>
      </c>
      <c r="R340" t="s">
        <v>2067</v>
      </c>
      <c r="S340">
        <v>1.27</v>
      </c>
      <c r="T340">
        <v>3753</v>
      </c>
      <c r="U340">
        <v>0</v>
      </c>
      <c r="V340">
        <v>3753</v>
      </c>
    </row>
    <row r="341" spans="1:22" x14ac:dyDescent="0.3">
      <c r="A341">
        <v>79452</v>
      </c>
      <c r="B341">
        <v>134761708</v>
      </c>
      <c r="C341" t="s">
        <v>2146</v>
      </c>
      <c r="D341" t="s">
        <v>2147</v>
      </c>
      <c r="E341" t="s">
        <v>490</v>
      </c>
      <c r="F341" t="s">
        <v>491</v>
      </c>
      <c r="G341" t="s">
        <v>44</v>
      </c>
      <c r="H341" t="s">
        <v>45</v>
      </c>
      <c r="I341" t="s">
        <v>34</v>
      </c>
      <c r="J341" t="s">
        <v>46</v>
      </c>
      <c r="K341" t="s">
        <v>41</v>
      </c>
      <c r="L341" t="s">
        <v>418</v>
      </c>
      <c r="M341" t="s">
        <v>1402</v>
      </c>
      <c r="N341" t="s">
        <v>494</v>
      </c>
      <c r="O341" t="s">
        <v>69</v>
      </c>
      <c r="P341" t="s">
        <v>1403</v>
      </c>
      <c r="Q341" s="14" t="s">
        <v>83</v>
      </c>
      <c r="R341" t="s">
        <v>2067</v>
      </c>
      <c r="S341">
        <v>1.1299999999999999</v>
      </c>
      <c r="T341">
        <v>3366</v>
      </c>
      <c r="U341">
        <v>0</v>
      </c>
      <c r="V341">
        <v>3366</v>
      </c>
    </row>
    <row r="342" spans="1:22" x14ac:dyDescent="0.3">
      <c r="A342">
        <v>79452</v>
      </c>
      <c r="B342">
        <v>134709050</v>
      </c>
      <c r="C342" t="s">
        <v>2148</v>
      </c>
      <c r="D342" t="s">
        <v>2149</v>
      </c>
      <c r="E342" t="s">
        <v>490</v>
      </c>
      <c r="F342" t="s">
        <v>491</v>
      </c>
      <c r="G342" t="s">
        <v>44</v>
      </c>
      <c r="H342" t="s">
        <v>45</v>
      </c>
      <c r="I342" t="s">
        <v>34</v>
      </c>
      <c r="J342" t="s">
        <v>46</v>
      </c>
      <c r="K342" t="s">
        <v>41</v>
      </c>
      <c r="L342" t="s">
        <v>2150</v>
      </c>
      <c r="M342" t="s">
        <v>2151</v>
      </c>
      <c r="N342" t="s">
        <v>494</v>
      </c>
      <c r="O342" t="s">
        <v>69</v>
      </c>
      <c r="P342" t="s">
        <v>2152</v>
      </c>
      <c r="Q342" s="14" t="s">
        <v>85</v>
      </c>
      <c r="R342" t="s">
        <v>1727</v>
      </c>
      <c r="S342">
        <v>1</v>
      </c>
      <c r="T342">
        <v>3784</v>
      </c>
      <c r="U342">
        <v>0</v>
      </c>
      <c r="V342">
        <v>3784</v>
      </c>
    </row>
    <row r="343" spans="1:22" x14ac:dyDescent="0.3">
      <c r="A343">
        <v>79452</v>
      </c>
      <c r="B343">
        <v>134732893</v>
      </c>
      <c r="C343" t="s">
        <v>2153</v>
      </c>
      <c r="D343" t="s">
        <v>2154</v>
      </c>
      <c r="E343" t="s">
        <v>490</v>
      </c>
      <c r="F343" t="s">
        <v>491</v>
      </c>
      <c r="G343" t="s">
        <v>44</v>
      </c>
      <c r="H343" t="s">
        <v>45</v>
      </c>
      <c r="I343" t="s">
        <v>34</v>
      </c>
      <c r="J343" t="s">
        <v>46</v>
      </c>
      <c r="K343" t="s">
        <v>41</v>
      </c>
      <c r="L343" t="s">
        <v>2155</v>
      </c>
      <c r="M343" t="s">
        <v>2156</v>
      </c>
      <c r="N343" t="s">
        <v>494</v>
      </c>
      <c r="O343" t="s">
        <v>69</v>
      </c>
      <c r="P343" t="s">
        <v>2157</v>
      </c>
      <c r="Q343" s="14" t="s">
        <v>89</v>
      </c>
      <c r="R343" t="s">
        <v>329</v>
      </c>
      <c r="S343">
        <v>0.97</v>
      </c>
      <c r="T343">
        <v>3753</v>
      </c>
      <c r="U343">
        <v>0</v>
      </c>
      <c r="V343">
        <v>3753</v>
      </c>
    </row>
    <row r="344" spans="1:22" x14ac:dyDescent="0.3">
      <c r="A344">
        <v>79452</v>
      </c>
      <c r="B344">
        <v>134708920</v>
      </c>
      <c r="C344" t="s">
        <v>2158</v>
      </c>
      <c r="D344" t="s">
        <v>2159</v>
      </c>
      <c r="E344" t="s">
        <v>490</v>
      </c>
      <c r="F344" t="s">
        <v>491</v>
      </c>
      <c r="G344" t="s">
        <v>44</v>
      </c>
      <c r="H344" t="s">
        <v>45</v>
      </c>
      <c r="I344" t="s">
        <v>34</v>
      </c>
      <c r="J344" t="s">
        <v>46</v>
      </c>
      <c r="K344" t="s">
        <v>41</v>
      </c>
      <c r="L344" t="s">
        <v>2160</v>
      </c>
      <c r="M344" t="s">
        <v>2161</v>
      </c>
      <c r="N344" t="s">
        <v>494</v>
      </c>
      <c r="O344" t="s">
        <v>69</v>
      </c>
      <c r="P344" t="s">
        <v>2162</v>
      </c>
      <c r="Q344" s="14" t="s">
        <v>164</v>
      </c>
      <c r="R344" t="s">
        <v>1418</v>
      </c>
      <c r="S344">
        <v>0.96</v>
      </c>
      <c r="T344">
        <v>3753</v>
      </c>
      <c r="U344">
        <v>0</v>
      </c>
      <c r="V344">
        <v>3753</v>
      </c>
    </row>
    <row r="345" spans="1:22" x14ac:dyDescent="0.3">
      <c r="A345">
        <v>79452</v>
      </c>
      <c r="B345">
        <v>134708942</v>
      </c>
      <c r="C345" t="s">
        <v>2163</v>
      </c>
      <c r="D345" t="s">
        <v>2164</v>
      </c>
      <c r="E345" t="s">
        <v>490</v>
      </c>
      <c r="F345" t="s">
        <v>491</v>
      </c>
      <c r="G345" t="s">
        <v>44</v>
      </c>
      <c r="H345" t="s">
        <v>45</v>
      </c>
      <c r="I345" t="s">
        <v>34</v>
      </c>
      <c r="J345" t="s">
        <v>46</v>
      </c>
      <c r="K345" t="s">
        <v>41</v>
      </c>
      <c r="L345" t="s">
        <v>2165</v>
      </c>
      <c r="M345" t="s">
        <v>2166</v>
      </c>
      <c r="N345" t="s">
        <v>494</v>
      </c>
      <c r="O345" t="s">
        <v>69</v>
      </c>
      <c r="P345" t="s">
        <v>2167</v>
      </c>
      <c r="Q345" s="14" t="s">
        <v>82</v>
      </c>
      <c r="R345" t="s">
        <v>1418</v>
      </c>
      <c r="S345">
        <v>0.7</v>
      </c>
      <c r="T345">
        <v>4067</v>
      </c>
      <c r="U345">
        <v>0</v>
      </c>
      <c r="V345">
        <v>4067</v>
      </c>
    </row>
    <row r="346" spans="1:22" x14ac:dyDescent="0.3">
      <c r="A346">
        <v>79452</v>
      </c>
      <c r="B346">
        <v>134708927</v>
      </c>
      <c r="C346" t="s">
        <v>2168</v>
      </c>
      <c r="D346" t="s">
        <v>2169</v>
      </c>
      <c r="E346" t="s">
        <v>490</v>
      </c>
      <c r="F346" t="s">
        <v>491</v>
      </c>
      <c r="G346" t="s">
        <v>44</v>
      </c>
      <c r="H346" t="s">
        <v>45</v>
      </c>
      <c r="I346" t="s">
        <v>34</v>
      </c>
      <c r="J346" t="s">
        <v>46</v>
      </c>
      <c r="K346" t="s">
        <v>41</v>
      </c>
      <c r="L346" t="s">
        <v>2170</v>
      </c>
      <c r="M346" t="s">
        <v>346</v>
      </c>
      <c r="N346" t="s">
        <v>494</v>
      </c>
      <c r="O346" t="s">
        <v>69</v>
      </c>
      <c r="P346" t="s">
        <v>2171</v>
      </c>
      <c r="Q346" s="14" t="s">
        <v>89</v>
      </c>
      <c r="R346" t="s">
        <v>1418</v>
      </c>
      <c r="S346">
        <v>0.61</v>
      </c>
      <c r="T346">
        <v>3753</v>
      </c>
      <c r="U346">
        <v>0</v>
      </c>
      <c r="V346">
        <v>3753</v>
      </c>
    </row>
    <row r="347" spans="1:22" x14ac:dyDescent="0.3">
      <c r="A347">
        <v>79452</v>
      </c>
      <c r="B347">
        <v>134708932</v>
      </c>
      <c r="C347" t="s">
        <v>2172</v>
      </c>
      <c r="D347" t="s">
        <v>2173</v>
      </c>
      <c r="E347" t="s">
        <v>490</v>
      </c>
      <c r="F347" t="s">
        <v>491</v>
      </c>
      <c r="G347" t="s">
        <v>44</v>
      </c>
      <c r="H347" t="s">
        <v>45</v>
      </c>
      <c r="I347" t="s">
        <v>34</v>
      </c>
      <c r="J347" t="s">
        <v>46</v>
      </c>
      <c r="K347" t="s">
        <v>41</v>
      </c>
      <c r="L347" t="s">
        <v>2174</v>
      </c>
      <c r="M347" t="s">
        <v>2175</v>
      </c>
      <c r="N347" t="s">
        <v>494</v>
      </c>
      <c r="O347" t="s">
        <v>69</v>
      </c>
      <c r="P347" t="s">
        <v>2176</v>
      </c>
      <c r="Q347" s="14" t="s">
        <v>98</v>
      </c>
      <c r="R347" t="s">
        <v>1418</v>
      </c>
      <c r="S347">
        <v>1.02</v>
      </c>
      <c r="T347">
        <v>3366</v>
      </c>
      <c r="U347">
        <v>0</v>
      </c>
      <c r="V347">
        <v>3366</v>
      </c>
    </row>
    <row r="348" spans="1:22" x14ac:dyDescent="0.3">
      <c r="A348">
        <v>79452</v>
      </c>
      <c r="B348">
        <v>134708931</v>
      </c>
      <c r="C348" t="s">
        <v>2177</v>
      </c>
      <c r="D348" t="s">
        <v>2178</v>
      </c>
      <c r="E348" t="s">
        <v>490</v>
      </c>
      <c r="F348" t="s">
        <v>491</v>
      </c>
      <c r="G348" t="s">
        <v>44</v>
      </c>
      <c r="H348" t="s">
        <v>45</v>
      </c>
      <c r="I348" t="s">
        <v>34</v>
      </c>
      <c r="J348" t="s">
        <v>46</v>
      </c>
      <c r="K348" t="s">
        <v>41</v>
      </c>
      <c r="L348" t="s">
        <v>2179</v>
      </c>
      <c r="M348" t="s">
        <v>2180</v>
      </c>
      <c r="N348" t="s">
        <v>494</v>
      </c>
      <c r="O348" t="s">
        <v>69</v>
      </c>
      <c r="P348" t="s">
        <v>2181</v>
      </c>
      <c r="Q348" s="14" t="s">
        <v>85</v>
      </c>
      <c r="R348" t="s">
        <v>1418</v>
      </c>
      <c r="S348">
        <v>0.9</v>
      </c>
      <c r="T348">
        <v>3784</v>
      </c>
      <c r="U348">
        <v>0</v>
      </c>
      <c r="V348">
        <v>3784</v>
      </c>
    </row>
    <row r="349" spans="1:22" x14ac:dyDescent="0.3">
      <c r="A349">
        <v>79452</v>
      </c>
      <c r="B349">
        <v>134709080</v>
      </c>
      <c r="C349" t="s">
        <v>2182</v>
      </c>
      <c r="D349" t="s">
        <v>2183</v>
      </c>
      <c r="E349" t="s">
        <v>490</v>
      </c>
      <c r="F349" t="s">
        <v>491</v>
      </c>
      <c r="G349" t="s">
        <v>44</v>
      </c>
      <c r="H349" t="s">
        <v>45</v>
      </c>
      <c r="I349" t="s">
        <v>34</v>
      </c>
      <c r="J349" t="s">
        <v>46</v>
      </c>
      <c r="K349" t="s">
        <v>41</v>
      </c>
      <c r="L349" t="s">
        <v>2184</v>
      </c>
      <c r="M349" t="s">
        <v>2185</v>
      </c>
      <c r="N349" t="s">
        <v>494</v>
      </c>
      <c r="O349" t="s">
        <v>69</v>
      </c>
      <c r="P349" t="s">
        <v>2186</v>
      </c>
      <c r="Q349" s="14" t="s">
        <v>98</v>
      </c>
      <c r="R349" t="s">
        <v>1912</v>
      </c>
      <c r="S349">
        <v>1.0900000000000001</v>
      </c>
      <c r="T349">
        <v>3366</v>
      </c>
      <c r="U349">
        <v>0</v>
      </c>
      <c r="V349">
        <v>3366</v>
      </c>
    </row>
    <row r="350" spans="1:22" x14ac:dyDescent="0.3">
      <c r="A350">
        <v>79452</v>
      </c>
      <c r="B350">
        <v>134708980</v>
      </c>
      <c r="C350" t="s">
        <v>2187</v>
      </c>
      <c r="D350" t="s">
        <v>2188</v>
      </c>
      <c r="E350" t="s">
        <v>490</v>
      </c>
      <c r="F350" t="s">
        <v>491</v>
      </c>
      <c r="G350" t="s">
        <v>44</v>
      </c>
      <c r="H350" t="s">
        <v>45</v>
      </c>
      <c r="I350" t="s">
        <v>34</v>
      </c>
      <c r="J350" t="s">
        <v>46</v>
      </c>
      <c r="K350" t="s">
        <v>41</v>
      </c>
      <c r="L350" t="s">
        <v>2189</v>
      </c>
      <c r="M350" t="s">
        <v>2190</v>
      </c>
      <c r="N350" t="s">
        <v>494</v>
      </c>
      <c r="O350" t="s">
        <v>69</v>
      </c>
      <c r="P350" t="s">
        <v>2191</v>
      </c>
      <c r="Q350" s="14" t="s">
        <v>178</v>
      </c>
      <c r="R350" t="s">
        <v>1727</v>
      </c>
      <c r="S350">
        <v>1.26</v>
      </c>
      <c r="T350">
        <v>5476</v>
      </c>
      <c r="U350">
        <v>0</v>
      </c>
      <c r="V350">
        <v>5476</v>
      </c>
    </row>
    <row r="351" spans="1:22" x14ac:dyDescent="0.3">
      <c r="A351">
        <v>79452</v>
      </c>
      <c r="B351">
        <v>134545134</v>
      </c>
      <c r="C351" t="s">
        <v>2192</v>
      </c>
      <c r="D351" t="s">
        <v>2193</v>
      </c>
      <c r="E351" t="s">
        <v>490</v>
      </c>
      <c r="F351" t="s">
        <v>491</v>
      </c>
      <c r="G351" t="s">
        <v>44</v>
      </c>
      <c r="H351" t="s">
        <v>45</v>
      </c>
      <c r="I351" t="s">
        <v>34</v>
      </c>
      <c r="J351" t="s">
        <v>46</v>
      </c>
      <c r="K351" t="s">
        <v>41</v>
      </c>
      <c r="L351" t="s">
        <v>2194</v>
      </c>
      <c r="M351" t="s">
        <v>2195</v>
      </c>
      <c r="N351" t="s">
        <v>494</v>
      </c>
      <c r="O351" t="s">
        <v>69</v>
      </c>
      <c r="P351" t="s">
        <v>2196</v>
      </c>
      <c r="Q351" s="14" t="s">
        <v>100</v>
      </c>
      <c r="R351" t="s">
        <v>2197</v>
      </c>
      <c r="S351">
        <v>1</v>
      </c>
      <c r="T351">
        <v>5759</v>
      </c>
      <c r="U351">
        <v>0</v>
      </c>
      <c r="V351">
        <v>5759</v>
      </c>
    </row>
    <row r="352" spans="1:22" x14ac:dyDescent="0.3">
      <c r="A352">
        <v>79452</v>
      </c>
      <c r="B352">
        <v>134709057</v>
      </c>
      <c r="C352" t="s">
        <v>2198</v>
      </c>
      <c r="D352" t="s">
        <v>2199</v>
      </c>
      <c r="E352" t="s">
        <v>490</v>
      </c>
      <c r="F352" t="s">
        <v>491</v>
      </c>
      <c r="G352" t="s">
        <v>44</v>
      </c>
      <c r="H352" t="s">
        <v>45</v>
      </c>
      <c r="I352" t="s">
        <v>34</v>
      </c>
      <c r="J352" t="s">
        <v>46</v>
      </c>
      <c r="K352" t="s">
        <v>41</v>
      </c>
      <c r="L352" t="s">
        <v>2200</v>
      </c>
      <c r="M352" t="s">
        <v>2201</v>
      </c>
      <c r="N352" t="s">
        <v>494</v>
      </c>
      <c r="O352" t="s">
        <v>69</v>
      </c>
      <c r="P352" t="s">
        <v>2202</v>
      </c>
      <c r="Q352" s="14" t="s">
        <v>108</v>
      </c>
      <c r="R352" t="s">
        <v>1727</v>
      </c>
      <c r="S352">
        <v>1</v>
      </c>
      <c r="T352">
        <v>3753</v>
      </c>
      <c r="U352">
        <v>0</v>
      </c>
      <c r="V352">
        <v>3753</v>
      </c>
    </row>
    <row r="353" spans="1:22" x14ac:dyDescent="0.3">
      <c r="A353">
        <v>79452</v>
      </c>
      <c r="B353">
        <v>134708965</v>
      </c>
      <c r="C353" t="s">
        <v>2203</v>
      </c>
      <c r="D353" t="s">
        <v>2204</v>
      </c>
      <c r="E353" t="s">
        <v>490</v>
      </c>
      <c r="F353" t="s">
        <v>491</v>
      </c>
      <c r="G353" t="s">
        <v>44</v>
      </c>
      <c r="H353" t="s">
        <v>45</v>
      </c>
      <c r="I353" t="s">
        <v>34</v>
      </c>
      <c r="J353" t="s">
        <v>46</v>
      </c>
      <c r="K353" t="s">
        <v>41</v>
      </c>
      <c r="L353" t="s">
        <v>2205</v>
      </c>
      <c r="M353" t="s">
        <v>2206</v>
      </c>
      <c r="N353" t="s">
        <v>494</v>
      </c>
      <c r="O353" t="s">
        <v>69</v>
      </c>
      <c r="P353" t="s">
        <v>2207</v>
      </c>
      <c r="Q353" s="14" t="s">
        <v>70</v>
      </c>
      <c r="R353" t="s">
        <v>1727</v>
      </c>
      <c r="S353">
        <v>1</v>
      </c>
      <c r="T353">
        <v>5198</v>
      </c>
      <c r="U353">
        <v>0</v>
      </c>
      <c r="V353">
        <v>5198</v>
      </c>
    </row>
    <row r="354" spans="1:22" x14ac:dyDescent="0.3">
      <c r="A354">
        <v>79452</v>
      </c>
      <c r="B354">
        <v>134779883</v>
      </c>
      <c r="C354" t="s">
        <v>2208</v>
      </c>
      <c r="D354" t="s">
        <v>2209</v>
      </c>
      <c r="E354" t="s">
        <v>490</v>
      </c>
      <c r="F354" t="s">
        <v>491</v>
      </c>
      <c r="G354" t="s">
        <v>44</v>
      </c>
      <c r="H354" t="s">
        <v>45</v>
      </c>
      <c r="I354" t="s">
        <v>34</v>
      </c>
      <c r="J354" t="s">
        <v>46</v>
      </c>
      <c r="K354" t="s">
        <v>41</v>
      </c>
      <c r="L354" t="s">
        <v>2210</v>
      </c>
      <c r="M354" t="s">
        <v>2211</v>
      </c>
      <c r="N354" t="s">
        <v>494</v>
      </c>
      <c r="O354" t="s">
        <v>69</v>
      </c>
      <c r="P354" t="s">
        <v>2212</v>
      </c>
      <c r="Q354" s="14" t="s">
        <v>139</v>
      </c>
      <c r="R354" t="s">
        <v>256</v>
      </c>
      <c r="S354">
        <v>1.5</v>
      </c>
      <c r="T354">
        <v>3366</v>
      </c>
      <c r="U354">
        <v>0</v>
      </c>
      <c r="V354">
        <v>3366</v>
      </c>
    </row>
    <row r="355" spans="1:22" x14ac:dyDescent="0.3">
      <c r="A355">
        <v>79452</v>
      </c>
      <c r="B355">
        <v>134709069</v>
      </c>
      <c r="C355" t="s">
        <v>2213</v>
      </c>
      <c r="D355" t="s">
        <v>2214</v>
      </c>
      <c r="E355" t="s">
        <v>490</v>
      </c>
      <c r="F355" t="s">
        <v>491</v>
      </c>
      <c r="G355" t="s">
        <v>44</v>
      </c>
      <c r="H355" t="s">
        <v>45</v>
      </c>
      <c r="I355" t="s">
        <v>34</v>
      </c>
      <c r="J355" t="s">
        <v>46</v>
      </c>
      <c r="K355" t="s">
        <v>41</v>
      </c>
      <c r="L355" t="s">
        <v>2215</v>
      </c>
      <c r="M355" t="s">
        <v>2216</v>
      </c>
      <c r="N355" t="s">
        <v>494</v>
      </c>
      <c r="O355" t="s">
        <v>69</v>
      </c>
      <c r="P355" t="s">
        <v>2217</v>
      </c>
      <c r="Q355" s="14" t="s">
        <v>43</v>
      </c>
      <c r="R355" t="s">
        <v>1912</v>
      </c>
      <c r="S355">
        <v>0.77</v>
      </c>
      <c r="T355">
        <v>4067</v>
      </c>
      <c r="U355">
        <v>0</v>
      </c>
      <c r="V355">
        <v>4067</v>
      </c>
    </row>
    <row r="356" spans="1:22" x14ac:dyDescent="0.3">
      <c r="A356">
        <v>79452</v>
      </c>
      <c r="B356">
        <v>134779896</v>
      </c>
      <c r="C356" t="s">
        <v>2218</v>
      </c>
      <c r="D356" t="s">
        <v>2219</v>
      </c>
      <c r="E356" t="s">
        <v>490</v>
      </c>
      <c r="F356" t="s">
        <v>491</v>
      </c>
      <c r="G356" t="s">
        <v>44</v>
      </c>
      <c r="H356" t="s">
        <v>45</v>
      </c>
      <c r="I356" t="s">
        <v>34</v>
      </c>
      <c r="J356" t="s">
        <v>46</v>
      </c>
      <c r="K356" t="s">
        <v>41</v>
      </c>
      <c r="L356" t="s">
        <v>2220</v>
      </c>
      <c r="M356" t="s">
        <v>1462</v>
      </c>
      <c r="N356" t="s">
        <v>494</v>
      </c>
      <c r="O356" t="s">
        <v>69</v>
      </c>
      <c r="P356" t="s">
        <v>1463</v>
      </c>
      <c r="Q356" s="14" t="s">
        <v>85</v>
      </c>
      <c r="R356" t="s">
        <v>256</v>
      </c>
      <c r="S356">
        <v>1</v>
      </c>
      <c r="T356">
        <v>3784</v>
      </c>
      <c r="U356">
        <v>0</v>
      </c>
      <c r="V356">
        <v>3784</v>
      </c>
    </row>
    <row r="357" spans="1:22" x14ac:dyDescent="0.3">
      <c r="A357">
        <v>79452</v>
      </c>
      <c r="B357">
        <v>134709030</v>
      </c>
      <c r="C357" t="s">
        <v>2221</v>
      </c>
      <c r="D357" t="s">
        <v>2222</v>
      </c>
      <c r="E357" t="s">
        <v>490</v>
      </c>
      <c r="F357" t="s">
        <v>491</v>
      </c>
      <c r="G357" t="s">
        <v>44</v>
      </c>
      <c r="H357" t="s">
        <v>45</v>
      </c>
      <c r="I357" t="s">
        <v>34</v>
      </c>
      <c r="J357" t="s">
        <v>46</v>
      </c>
      <c r="K357" t="s">
        <v>41</v>
      </c>
      <c r="L357" t="s">
        <v>2223</v>
      </c>
      <c r="M357" t="s">
        <v>2224</v>
      </c>
      <c r="N357" t="s">
        <v>494</v>
      </c>
      <c r="O357" t="s">
        <v>69</v>
      </c>
      <c r="P357" t="s">
        <v>2225</v>
      </c>
      <c r="Q357" s="14" t="s">
        <v>85</v>
      </c>
      <c r="R357" t="s">
        <v>1727</v>
      </c>
      <c r="S357">
        <v>0.77</v>
      </c>
      <c r="T357">
        <v>3784</v>
      </c>
      <c r="U357">
        <v>0</v>
      </c>
      <c r="V357">
        <v>3784</v>
      </c>
    </row>
    <row r="358" spans="1:22" x14ac:dyDescent="0.3">
      <c r="A358">
        <v>79452</v>
      </c>
      <c r="B358">
        <v>134732890</v>
      </c>
      <c r="C358" t="s">
        <v>2226</v>
      </c>
      <c r="D358" t="s">
        <v>2227</v>
      </c>
      <c r="E358" t="s">
        <v>490</v>
      </c>
      <c r="F358" t="s">
        <v>491</v>
      </c>
      <c r="G358" t="s">
        <v>44</v>
      </c>
      <c r="H358" t="s">
        <v>45</v>
      </c>
      <c r="I358" t="s">
        <v>34</v>
      </c>
      <c r="J358" t="s">
        <v>46</v>
      </c>
      <c r="K358" t="s">
        <v>41</v>
      </c>
      <c r="L358" t="s">
        <v>2228</v>
      </c>
      <c r="M358" t="s">
        <v>2229</v>
      </c>
      <c r="N358" t="s">
        <v>494</v>
      </c>
      <c r="O358" t="s">
        <v>69</v>
      </c>
      <c r="P358" t="s">
        <v>2230</v>
      </c>
      <c r="Q358" s="14" t="s">
        <v>179</v>
      </c>
      <c r="R358" t="s">
        <v>329</v>
      </c>
      <c r="S358">
        <v>1.07</v>
      </c>
      <c r="T358">
        <v>3366</v>
      </c>
      <c r="U358">
        <v>0</v>
      </c>
      <c r="V358">
        <v>3366</v>
      </c>
    </row>
    <row r="359" spans="1:22" x14ac:dyDescent="0.3">
      <c r="A359">
        <v>79452</v>
      </c>
      <c r="B359">
        <v>134709048</v>
      </c>
      <c r="C359" t="s">
        <v>2231</v>
      </c>
      <c r="D359" t="s">
        <v>2232</v>
      </c>
      <c r="E359" t="s">
        <v>490</v>
      </c>
      <c r="F359" t="s">
        <v>491</v>
      </c>
      <c r="G359" t="s">
        <v>44</v>
      </c>
      <c r="H359" t="s">
        <v>45</v>
      </c>
      <c r="I359" t="s">
        <v>34</v>
      </c>
      <c r="J359" t="s">
        <v>46</v>
      </c>
      <c r="K359" t="s">
        <v>41</v>
      </c>
      <c r="L359" t="s">
        <v>2233</v>
      </c>
      <c r="M359" t="s">
        <v>2234</v>
      </c>
      <c r="N359" t="s">
        <v>494</v>
      </c>
      <c r="O359" t="s">
        <v>69</v>
      </c>
      <c r="P359" t="s">
        <v>2235</v>
      </c>
      <c r="Q359" s="14" t="s">
        <v>109</v>
      </c>
      <c r="R359" t="s">
        <v>1727</v>
      </c>
      <c r="S359">
        <v>1.27</v>
      </c>
      <c r="T359">
        <v>3784</v>
      </c>
      <c r="U359">
        <v>0</v>
      </c>
      <c r="V359">
        <v>3784</v>
      </c>
    </row>
    <row r="360" spans="1:22" x14ac:dyDescent="0.3">
      <c r="A360">
        <v>79452</v>
      </c>
      <c r="B360">
        <v>134708958</v>
      </c>
      <c r="C360" t="s">
        <v>2236</v>
      </c>
      <c r="D360" t="s">
        <v>2237</v>
      </c>
      <c r="E360" t="s">
        <v>490</v>
      </c>
      <c r="F360" t="s">
        <v>491</v>
      </c>
      <c r="G360" t="s">
        <v>44</v>
      </c>
      <c r="H360" t="s">
        <v>45</v>
      </c>
      <c r="I360" t="s">
        <v>34</v>
      </c>
      <c r="J360" t="s">
        <v>46</v>
      </c>
      <c r="K360" t="s">
        <v>41</v>
      </c>
      <c r="L360" t="s">
        <v>2238</v>
      </c>
      <c r="M360" t="s">
        <v>2239</v>
      </c>
      <c r="N360" t="s">
        <v>494</v>
      </c>
      <c r="O360" t="s">
        <v>69</v>
      </c>
      <c r="P360" t="s">
        <v>2240</v>
      </c>
      <c r="Q360" s="14" t="s">
        <v>58</v>
      </c>
      <c r="R360" t="s">
        <v>1418</v>
      </c>
      <c r="S360">
        <v>1.33</v>
      </c>
      <c r="T360">
        <v>4346</v>
      </c>
      <c r="U360">
        <v>0</v>
      </c>
      <c r="V360">
        <v>4346</v>
      </c>
    </row>
    <row r="361" spans="1:22" x14ac:dyDescent="0.3">
      <c r="A361">
        <v>79452</v>
      </c>
      <c r="B361">
        <v>134779914</v>
      </c>
      <c r="C361" t="s">
        <v>2241</v>
      </c>
      <c r="D361" t="s">
        <v>2242</v>
      </c>
      <c r="E361" t="s">
        <v>490</v>
      </c>
      <c r="F361" t="s">
        <v>491</v>
      </c>
      <c r="G361" t="s">
        <v>44</v>
      </c>
      <c r="H361" t="s">
        <v>45</v>
      </c>
      <c r="I361" t="s">
        <v>34</v>
      </c>
      <c r="J361" t="s">
        <v>46</v>
      </c>
      <c r="K361" t="s">
        <v>41</v>
      </c>
      <c r="L361" t="s">
        <v>2243</v>
      </c>
      <c r="M361" t="s">
        <v>2244</v>
      </c>
      <c r="N361" t="s">
        <v>494</v>
      </c>
      <c r="O361" t="s">
        <v>69</v>
      </c>
      <c r="P361" t="s">
        <v>2245</v>
      </c>
      <c r="Q361" s="14" t="s">
        <v>235</v>
      </c>
      <c r="R361" t="s">
        <v>256</v>
      </c>
      <c r="S361">
        <v>1</v>
      </c>
      <c r="T361">
        <v>3753</v>
      </c>
      <c r="U361">
        <v>0</v>
      </c>
      <c r="V361">
        <v>3753</v>
      </c>
    </row>
    <row r="362" spans="1:22" x14ac:dyDescent="0.3">
      <c r="A362">
        <v>79452</v>
      </c>
      <c r="B362">
        <v>134708938</v>
      </c>
      <c r="C362" t="s">
        <v>2246</v>
      </c>
      <c r="D362" t="s">
        <v>2247</v>
      </c>
      <c r="E362" t="s">
        <v>490</v>
      </c>
      <c r="F362" t="s">
        <v>491</v>
      </c>
      <c r="G362" t="s">
        <v>44</v>
      </c>
      <c r="H362" t="s">
        <v>45</v>
      </c>
      <c r="I362" t="s">
        <v>34</v>
      </c>
      <c r="J362" t="s">
        <v>46</v>
      </c>
      <c r="K362" t="s">
        <v>41</v>
      </c>
      <c r="L362" t="s">
        <v>2248</v>
      </c>
      <c r="M362" t="s">
        <v>2249</v>
      </c>
      <c r="N362" t="s">
        <v>494</v>
      </c>
      <c r="O362" t="s">
        <v>69</v>
      </c>
      <c r="P362" t="s">
        <v>2250</v>
      </c>
      <c r="Q362" s="14" t="s">
        <v>60</v>
      </c>
      <c r="R362" t="s">
        <v>1418</v>
      </c>
      <c r="S362">
        <v>1.01</v>
      </c>
      <c r="T362">
        <v>5759</v>
      </c>
      <c r="U362">
        <v>0</v>
      </c>
      <c r="V362">
        <v>5759</v>
      </c>
    </row>
    <row r="363" spans="1:22" x14ac:dyDescent="0.3">
      <c r="A363">
        <v>79452</v>
      </c>
      <c r="B363">
        <v>134709040</v>
      </c>
      <c r="C363" t="s">
        <v>2251</v>
      </c>
      <c r="D363" t="s">
        <v>2252</v>
      </c>
      <c r="E363" t="s">
        <v>490</v>
      </c>
      <c r="F363" t="s">
        <v>491</v>
      </c>
      <c r="G363" t="s">
        <v>44</v>
      </c>
      <c r="H363" t="s">
        <v>45</v>
      </c>
      <c r="I363" t="s">
        <v>34</v>
      </c>
      <c r="J363" t="s">
        <v>46</v>
      </c>
      <c r="K363" t="s">
        <v>41</v>
      </c>
      <c r="L363" t="s">
        <v>2253</v>
      </c>
      <c r="M363" t="s">
        <v>2254</v>
      </c>
      <c r="N363" t="s">
        <v>494</v>
      </c>
      <c r="O363" t="s">
        <v>69</v>
      </c>
      <c r="P363" t="s">
        <v>2255</v>
      </c>
      <c r="Q363" s="14" t="s">
        <v>85</v>
      </c>
      <c r="R363" t="s">
        <v>1727</v>
      </c>
      <c r="S363">
        <v>0.18</v>
      </c>
      <c r="T363">
        <v>3449</v>
      </c>
      <c r="U363">
        <v>0</v>
      </c>
      <c r="V363">
        <v>3449</v>
      </c>
    </row>
    <row r="364" spans="1:22" x14ac:dyDescent="0.3">
      <c r="A364">
        <v>79452</v>
      </c>
      <c r="B364">
        <v>134708986</v>
      </c>
      <c r="C364" t="s">
        <v>2256</v>
      </c>
      <c r="D364" t="s">
        <v>2257</v>
      </c>
      <c r="E364" t="s">
        <v>490</v>
      </c>
      <c r="F364" t="s">
        <v>491</v>
      </c>
      <c r="G364" t="s">
        <v>44</v>
      </c>
      <c r="H364" t="s">
        <v>45</v>
      </c>
      <c r="I364" t="s">
        <v>34</v>
      </c>
      <c r="J364" t="s">
        <v>46</v>
      </c>
      <c r="K364" t="s">
        <v>41</v>
      </c>
      <c r="L364" t="s">
        <v>258</v>
      </c>
      <c r="M364" t="s">
        <v>2258</v>
      </c>
      <c r="N364" t="s">
        <v>494</v>
      </c>
      <c r="O364" t="s">
        <v>69</v>
      </c>
      <c r="P364" t="s">
        <v>2259</v>
      </c>
      <c r="Q364" s="14" t="s">
        <v>81</v>
      </c>
      <c r="R364" t="s">
        <v>1727</v>
      </c>
      <c r="S364">
        <v>1.07</v>
      </c>
      <c r="T364">
        <v>3753</v>
      </c>
      <c r="U364">
        <v>0</v>
      </c>
      <c r="V364">
        <v>3753</v>
      </c>
    </row>
    <row r="365" spans="1:22" x14ac:dyDescent="0.3">
      <c r="A365">
        <v>79452</v>
      </c>
      <c r="B365">
        <v>134709021</v>
      </c>
      <c r="C365" t="s">
        <v>2260</v>
      </c>
      <c r="D365" t="s">
        <v>2261</v>
      </c>
      <c r="E365" t="s">
        <v>490</v>
      </c>
      <c r="F365" t="s">
        <v>491</v>
      </c>
      <c r="G365" t="s">
        <v>44</v>
      </c>
      <c r="H365" t="s">
        <v>45</v>
      </c>
      <c r="I365" t="s">
        <v>34</v>
      </c>
      <c r="J365" t="s">
        <v>46</v>
      </c>
      <c r="K365" t="s">
        <v>41</v>
      </c>
      <c r="L365" t="s">
        <v>2262</v>
      </c>
      <c r="M365" t="s">
        <v>2263</v>
      </c>
      <c r="N365" t="s">
        <v>494</v>
      </c>
      <c r="O365" t="s">
        <v>69</v>
      </c>
      <c r="P365" t="s">
        <v>2264</v>
      </c>
      <c r="Q365" s="14" t="s">
        <v>89</v>
      </c>
      <c r="R365" t="s">
        <v>1727</v>
      </c>
      <c r="S365">
        <v>1</v>
      </c>
      <c r="T365">
        <v>3753</v>
      </c>
      <c r="U365">
        <v>0</v>
      </c>
      <c r="V365">
        <v>3753</v>
      </c>
    </row>
    <row r="366" spans="1:22" x14ac:dyDescent="0.3">
      <c r="A366">
        <v>79452</v>
      </c>
      <c r="B366">
        <v>134708928</v>
      </c>
      <c r="C366" t="s">
        <v>2265</v>
      </c>
      <c r="D366" t="s">
        <v>2266</v>
      </c>
      <c r="E366" t="s">
        <v>490</v>
      </c>
      <c r="F366" t="s">
        <v>491</v>
      </c>
      <c r="G366" t="s">
        <v>44</v>
      </c>
      <c r="H366" t="s">
        <v>45</v>
      </c>
      <c r="I366" t="s">
        <v>34</v>
      </c>
      <c r="J366" t="s">
        <v>46</v>
      </c>
      <c r="K366" t="s">
        <v>41</v>
      </c>
      <c r="L366" t="s">
        <v>2267</v>
      </c>
      <c r="M366" t="s">
        <v>301</v>
      </c>
      <c r="N366" t="s">
        <v>494</v>
      </c>
      <c r="O366" t="s">
        <v>69</v>
      </c>
      <c r="P366" t="s">
        <v>2268</v>
      </c>
      <c r="Q366" s="14" t="s">
        <v>82</v>
      </c>
      <c r="R366" t="s">
        <v>1418</v>
      </c>
      <c r="S366">
        <v>1.61</v>
      </c>
      <c r="T366">
        <v>4067</v>
      </c>
      <c r="U366">
        <v>0</v>
      </c>
      <c r="V366">
        <v>4067</v>
      </c>
    </row>
    <row r="367" spans="1:22" x14ac:dyDescent="0.3">
      <c r="A367">
        <v>79452</v>
      </c>
      <c r="B367">
        <v>134708948</v>
      </c>
      <c r="C367" t="s">
        <v>2269</v>
      </c>
      <c r="D367" t="s">
        <v>2270</v>
      </c>
      <c r="E367" t="s">
        <v>490</v>
      </c>
      <c r="F367" t="s">
        <v>491</v>
      </c>
      <c r="G367" t="s">
        <v>44</v>
      </c>
      <c r="H367" t="s">
        <v>45</v>
      </c>
      <c r="I367" t="s">
        <v>34</v>
      </c>
      <c r="J367" t="s">
        <v>46</v>
      </c>
      <c r="K367" t="s">
        <v>41</v>
      </c>
      <c r="L367" t="s">
        <v>2271</v>
      </c>
      <c r="M367" t="s">
        <v>2272</v>
      </c>
      <c r="N367" t="s">
        <v>494</v>
      </c>
      <c r="O367" t="s">
        <v>69</v>
      </c>
      <c r="P367" t="s">
        <v>2273</v>
      </c>
      <c r="Q367" s="14" t="s">
        <v>43</v>
      </c>
      <c r="R367" t="s">
        <v>1418</v>
      </c>
      <c r="S367">
        <v>1.24</v>
      </c>
      <c r="T367">
        <v>4067</v>
      </c>
      <c r="U367">
        <v>0</v>
      </c>
      <c r="V367">
        <v>4067</v>
      </c>
    </row>
    <row r="368" spans="1:22" x14ac:dyDescent="0.3">
      <c r="A368">
        <v>79452</v>
      </c>
      <c r="B368">
        <v>134615217</v>
      </c>
      <c r="C368" t="s">
        <v>2274</v>
      </c>
      <c r="D368" t="s">
        <v>2275</v>
      </c>
      <c r="E368" t="s">
        <v>490</v>
      </c>
      <c r="F368" t="s">
        <v>491</v>
      </c>
      <c r="G368" t="s">
        <v>44</v>
      </c>
      <c r="H368" t="s">
        <v>45</v>
      </c>
      <c r="I368" t="s">
        <v>34</v>
      </c>
      <c r="J368" t="s">
        <v>46</v>
      </c>
      <c r="K368" t="s">
        <v>41</v>
      </c>
      <c r="L368" t="s">
        <v>2276</v>
      </c>
      <c r="M368" t="s">
        <v>2277</v>
      </c>
      <c r="N368" t="s">
        <v>494</v>
      </c>
      <c r="O368" t="s">
        <v>69</v>
      </c>
      <c r="P368" t="s">
        <v>2278</v>
      </c>
      <c r="Q368" s="14" t="s">
        <v>107</v>
      </c>
      <c r="R368" t="s">
        <v>1699</v>
      </c>
      <c r="S368">
        <v>1.78</v>
      </c>
      <c r="T368">
        <v>3784</v>
      </c>
      <c r="U368">
        <v>0</v>
      </c>
      <c r="V368">
        <v>3784</v>
      </c>
    </row>
    <row r="369" spans="1:22" x14ac:dyDescent="0.3">
      <c r="A369">
        <v>79452</v>
      </c>
      <c r="B369">
        <v>134708991</v>
      </c>
      <c r="C369" t="s">
        <v>2279</v>
      </c>
      <c r="D369" t="s">
        <v>2280</v>
      </c>
      <c r="E369" t="s">
        <v>490</v>
      </c>
      <c r="F369" t="s">
        <v>491</v>
      </c>
      <c r="G369" t="s">
        <v>44</v>
      </c>
      <c r="H369" t="s">
        <v>45</v>
      </c>
      <c r="I369" t="s">
        <v>34</v>
      </c>
      <c r="J369" t="s">
        <v>46</v>
      </c>
      <c r="K369" t="s">
        <v>41</v>
      </c>
      <c r="L369" t="s">
        <v>2281</v>
      </c>
      <c r="M369" t="s">
        <v>2282</v>
      </c>
      <c r="N369" t="s">
        <v>494</v>
      </c>
      <c r="O369" t="s">
        <v>69</v>
      </c>
      <c r="P369" t="s">
        <v>2283</v>
      </c>
      <c r="Q369" s="14" t="s">
        <v>83</v>
      </c>
      <c r="R369" t="s">
        <v>1727</v>
      </c>
      <c r="S369">
        <v>0.69</v>
      </c>
      <c r="T369">
        <v>3366</v>
      </c>
      <c r="U369">
        <v>0</v>
      </c>
      <c r="V369">
        <v>3366</v>
      </c>
    </row>
    <row r="370" spans="1:22" x14ac:dyDescent="0.3">
      <c r="A370">
        <v>79452</v>
      </c>
      <c r="B370">
        <v>134708935</v>
      </c>
      <c r="C370" t="s">
        <v>2284</v>
      </c>
      <c r="D370" t="s">
        <v>2285</v>
      </c>
      <c r="E370" t="s">
        <v>490</v>
      </c>
      <c r="F370" t="s">
        <v>491</v>
      </c>
      <c r="G370" t="s">
        <v>44</v>
      </c>
      <c r="H370" t="s">
        <v>45</v>
      </c>
      <c r="I370" t="s">
        <v>34</v>
      </c>
      <c r="J370" t="s">
        <v>46</v>
      </c>
      <c r="K370" t="s">
        <v>41</v>
      </c>
      <c r="L370" t="s">
        <v>2286</v>
      </c>
      <c r="M370" t="s">
        <v>2287</v>
      </c>
      <c r="N370" t="s">
        <v>494</v>
      </c>
      <c r="O370" t="s">
        <v>69</v>
      </c>
      <c r="P370" t="s">
        <v>2288</v>
      </c>
      <c r="Q370" s="14" t="s">
        <v>89</v>
      </c>
      <c r="R370" t="s">
        <v>1418</v>
      </c>
      <c r="S370">
        <v>1.45</v>
      </c>
      <c r="T370">
        <v>3753</v>
      </c>
      <c r="U370">
        <v>0</v>
      </c>
      <c r="V370">
        <v>3753</v>
      </c>
    </row>
    <row r="371" spans="1:22" x14ac:dyDescent="0.3">
      <c r="A371">
        <v>79452</v>
      </c>
      <c r="B371">
        <v>134709072</v>
      </c>
      <c r="C371" t="s">
        <v>2289</v>
      </c>
      <c r="D371" t="s">
        <v>2290</v>
      </c>
      <c r="E371" t="s">
        <v>490</v>
      </c>
      <c r="F371" t="s">
        <v>491</v>
      </c>
      <c r="G371" t="s">
        <v>44</v>
      </c>
      <c r="H371" t="s">
        <v>45</v>
      </c>
      <c r="I371" t="s">
        <v>34</v>
      </c>
      <c r="J371" t="s">
        <v>46</v>
      </c>
      <c r="K371" t="s">
        <v>41</v>
      </c>
      <c r="L371" t="s">
        <v>2291</v>
      </c>
      <c r="M371" t="s">
        <v>2292</v>
      </c>
      <c r="N371" t="s">
        <v>494</v>
      </c>
      <c r="O371" t="s">
        <v>69</v>
      </c>
      <c r="P371" t="s">
        <v>2293</v>
      </c>
      <c r="Q371" s="14" t="s">
        <v>222</v>
      </c>
      <c r="R371" t="s">
        <v>1912</v>
      </c>
      <c r="S371">
        <v>1.1000000000000001</v>
      </c>
      <c r="T371">
        <v>3784</v>
      </c>
      <c r="U371">
        <v>0</v>
      </c>
      <c r="V371">
        <v>3784</v>
      </c>
    </row>
    <row r="372" spans="1:22" x14ac:dyDescent="0.3">
      <c r="A372">
        <v>79452</v>
      </c>
      <c r="B372">
        <v>134709039</v>
      </c>
      <c r="C372" t="s">
        <v>2294</v>
      </c>
      <c r="D372" t="s">
        <v>2295</v>
      </c>
      <c r="E372" t="s">
        <v>490</v>
      </c>
      <c r="F372" t="s">
        <v>491</v>
      </c>
      <c r="G372" t="s">
        <v>44</v>
      </c>
      <c r="H372" t="s">
        <v>45</v>
      </c>
      <c r="I372" t="s">
        <v>34</v>
      </c>
      <c r="J372" t="s">
        <v>46</v>
      </c>
      <c r="K372" t="s">
        <v>41</v>
      </c>
      <c r="L372" t="s">
        <v>455</v>
      </c>
      <c r="M372" t="s">
        <v>912</v>
      </c>
      <c r="N372" t="s">
        <v>494</v>
      </c>
      <c r="O372" t="s">
        <v>69</v>
      </c>
      <c r="P372" t="s">
        <v>913</v>
      </c>
      <c r="Q372" s="14" t="s">
        <v>83</v>
      </c>
      <c r="R372" t="s">
        <v>1727</v>
      </c>
      <c r="S372">
        <v>1.1000000000000001</v>
      </c>
      <c r="T372">
        <v>3366</v>
      </c>
      <c r="U372">
        <v>0</v>
      </c>
      <c r="V372">
        <v>3366</v>
      </c>
    </row>
    <row r="373" spans="1:22" x14ac:dyDescent="0.3">
      <c r="A373">
        <v>79452</v>
      </c>
      <c r="B373">
        <v>134709022</v>
      </c>
      <c r="C373" t="s">
        <v>2296</v>
      </c>
      <c r="D373" t="s">
        <v>2297</v>
      </c>
      <c r="E373" t="s">
        <v>490</v>
      </c>
      <c r="F373" t="s">
        <v>491</v>
      </c>
      <c r="G373" t="s">
        <v>44</v>
      </c>
      <c r="H373" t="s">
        <v>45</v>
      </c>
      <c r="I373" t="s">
        <v>34</v>
      </c>
      <c r="J373" t="s">
        <v>46</v>
      </c>
      <c r="K373" t="s">
        <v>41</v>
      </c>
      <c r="L373" t="s">
        <v>2298</v>
      </c>
      <c r="M373" t="s">
        <v>2299</v>
      </c>
      <c r="N373" t="s">
        <v>494</v>
      </c>
      <c r="O373" t="s">
        <v>69</v>
      </c>
      <c r="P373" t="s">
        <v>2300</v>
      </c>
      <c r="Q373" s="14" t="s">
        <v>179</v>
      </c>
      <c r="R373" t="s">
        <v>1727</v>
      </c>
      <c r="S373">
        <v>1.8</v>
      </c>
      <c r="T373">
        <v>3366</v>
      </c>
      <c r="U373">
        <v>0</v>
      </c>
      <c r="V373">
        <v>3366</v>
      </c>
    </row>
    <row r="374" spans="1:22" x14ac:dyDescent="0.3">
      <c r="A374">
        <v>79452</v>
      </c>
      <c r="B374">
        <v>134615210</v>
      </c>
      <c r="C374" t="s">
        <v>2301</v>
      </c>
      <c r="D374" t="s">
        <v>2302</v>
      </c>
      <c r="E374" t="s">
        <v>490</v>
      </c>
      <c r="F374" t="s">
        <v>491</v>
      </c>
      <c r="G374" t="s">
        <v>44</v>
      </c>
      <c r="H374" t="s">
        <v>45</v>
      </c>
      <c r="I374" t="s">
        <v>34</v>
      </c>
      <c r="J374" t="s">
        <v>46</v>
      </c>
      <c r="K374" t="s">
        <v>41</v>
      </c>
      <c r="L374" t="s">
        <v>2303</v>
      </c>
      <c r="M374" t="s">
        <v>2304</v>
      </c>
      <c r="N374" t="s">
        <v>494</v>
      </c>
      <c r="O374" t="s">
        <v>69</v>
      </c>
      <c r="P374" t="s">
        <v>2305</v>
      </c>
      <c r="Q374" s="14" t="s">
        <v>89</v>
      </c>
      <c r="R374" t="s">
        <v>1699</v>
      </c>
      <c r="S374">
        <v>1.6</v>
      </c>
      <c r="T374">
        <v>3753</v>
      </c>
      <c r="U374">
        <v>0</v>
      </c>
      <c r="V374">
        <v>3753</v>
      </c>
    </row>
    <row r="375" spans="1:22" x14ac:dyDescent="0.3">
      <c r="A375">
        <v>79452</v>
      </c>
      <c r="B375">
        <v>134708945</v>
      </c>
      <c r="C375" t="s">
        <v>2306</v>
      </c>
      <c r="D375" t="s">
        <v>2307</v>
      </c>
      <c r="E375" t="s">
        <v>490</v>
      </c>
      <c r="F375" t="s">
        <v>491</v>
      </c>
      <c r="G375" t="s">
        <v>44</v>
      </c>
      <c r="H375" t="s">
        <v>45</v>
      </c>
      <c r="I375" t="s">
        <v>34</v>
      </c>
      <c r="J375" t="s">
        <v>46</v>
      </c>
      <c r="K375" t="s">
        <v>41</v>
      </c>
      <c r="L375" t="s">
        <v>2308</v>
      </c>
      <c r="M375" t="s">
        <v>2309</v>
      </c>
      <c r="N375" t="s">
        <v>494</v>
      </c>
      <c r="O375" t="s">
        <v>69</v>
      </c>
      <c r="P375" t="s">
        <v>2310</v>
      </c>
      <c r="Q375" s="14" t="s">
        <v>206</v>
      </c>
      <c r="R375" t="s">
        <v>1418</v>
      </c>
      <c r="S375">
        <v>2.08</v>
      </c>
      <c r="T375">
        <v>4616</v>
      </c>
      <c r="U375">
        <v>0</v>
      </c>
      <c r="V375">
        <v>4616</v>
      </c>
    </row>
    <row r="376" spans="1:22" x14ac:dyDescent="0.3">
      <c r="A376">
        <v>79452</v>
      </c>
      <c r="B376">
        <v>134709024</v>
      </c>
      <c r="C376" t="s">
        <v>2311</v>
      </c>
      <c r="D376" t="s">
        <v>2312</v>
      </c>
      <c r="E376" t="s">
        <v>490</v>
      </c>
      <c r="F376" t="s">
        <v>491</v>
      </c>
      <c r="G376" t="s">
        <v>44</v>
      </c>
      <c r="H376" t="s">
        <v>45</v>
      </c>
      <c r="I376" t="s">
        <v>34</v>
      </c>
      <c r="J376" t="s">
        <v>46</v>
      </c>
      <c r="K376" t="s">
        <v>41</v>
      </c>
      <c r="L376" t="s">
        <v>2313</v>
      </c>
      <c r="M376" t="s">
        <v>2314</v>
      </c>
      <c r="N376" t="s">
        <v>494</v>
      </c>
      <c r="O376" t="s">
        <v>69</v>
      </c>
      <c r="P376" t="s">
        <v>2315</v>
      </c>
      <c r="Q376" s="14" t="s">
        <v>43</v>
      </c>
      <c r="R376" t="s">
        <v>1727</v>
      </c>
      <c r="S376">
        <v>1</v>
      </c>
      <c r="T376">
        <v>4067</v>
      </c>
      <c r="U376">
        <v>0</v>
      </c>
      <c r="V376">
        <v>4067</v>
      </c>
    </row>
    <row r="377" spans="1:22" x14ac:dyDescent="0.3">
      <c r="A377">
        <v>79452</v>
      </c>
      <c r="B377">
        <v>134708939</v>
      </c>
      <c r="C377" t="s">
        <v>2316</v>
      </c>
      <c r="D377" t="s">
        <v>2317</v>
      </c>
      <c r="E377" t="s">
        <v>490</v>
      </c>
      <c r="F377" t="s">
        <v>491</v>
      </c>
      <c r="G377" t="s">
        <v>44</v>
      </c>
      <c r="H377" t="s">
        <v>45</v>
      </c>
      <c r="I377" t="s">
        <v>34</v>
      </c>
      <c r="J377" t="s">
        <v>46</v>
      </c>
      <c r="K377" t="s">
        <v>41</v>
      </c>
      <c r="L377" t="s">
        <v>2318</v>
      </c>
      <c r="M377" t="s">
        <v>2319</v>
      </c>
      <c r="N377" t="s">
        <v>494</v>
      </c>
      <c r="O377" t="s">
        <v>69</v>
      </c>
      <c r="P377" t="s">
        <v>2320</v>
      </c>
      <c r="Q377" s="14" t="s">
        <v>85</v>
      </c>
      <c r="R377" t="s">
        <v>1418</v>
      </c>
      <c r="S377">
        <v>1.59</v>
      </c>
      <c r="T377">
        <v>3784</v>
      </c>
      <c r="U377">
        <v>0</v>
      </c>
      <c r="V377">
        <v>3784</v>
      </c>
    </row>
    <row r="378" spans="1:22" x14ac:dyDescent="0.3">
      <c r="A378">
        <v>79452</v>
      </c>
      <c r="B378">
        <v>134709055</v>
      </c>
      <c r="C378" t="s">
        <v>2321</v>
      </c>
      <c r="D378" t="s">
        <v>2322</v>
      </c>
      <c r="E378" t="s">
        <v>490</v>
      </c>
      <c r="F378" t="s">
        <v>491</v>
      </c>
      <c r="G378" t="s">
        <v>44</v>
      </c>
      <c r="H378" t="s">
        <v>45</v>
      </c>
      <c r="I378" t="s">
        <v>34</v>
      </c>
      <c r="J378" t="s">
        <v>46</v>
      </c>
      <c r="K378" t="s">
        <v>41</v>
      </c>
      <c r="L378" t="s">
        <v>1840</v>
      </c>
      <c r="M378" t="s">
        <v>1841</v>
      </c>
      <c r="N378" t="s">
        <v>494</v>
      </c>
      <c r="O378" t="s">
        <v>69</v>
      </c>
      <c r="P378" t="s">
        <v>1842</v>
      </c>
      <c r="Q378" s="14" t="s">
        <v>83</v>
      </c>
      <c r="R378" t="s">
        <v>1727</v>
      </c>
      <c r="S378">
        <v>0.83</v>
      </c>
      <c r="T378">
        <v>3366</v>
      </c>
      <c r="U378">
        <v>0</v>
      </c>
      <c r="V378">
        <v>3366</v>
      </c>
    </row>
    <row r="379" spans="1:22" x14ac:dyDescent="0.3">
      <c r="A379">
        <v>79452</v>
      </c>
      <c r="B379">
        <v>134708977</v>
      </c>
      <c r="C379" t="s">
        <v>2323</v>
      </c>
      <c r="D379" t="s">
        <v>2324</v>
      </c>
      <c r="E379" t="s">
        <v>490</v>
      </c>
      <c r="F379" t="s">
        <v>491</v>
      </c>
      <c r="G379" t="s">
        <v>44</v>
      </c>
      <c r="H379" t="s">
        <v>45</v>
      </c>
      <c r="I379" t="s">
        <v>34</v>
      </c>
      <c r="J379" t="s">
        <v>46</v>
      </c>
      <c r="K379" t="s">
        <v>41</v>
      </c>
      <c r="L379" t="s">
        <v>2325</v>
      </c>
      <c r="M379" t="s">
        <v>1124</v>
      </c>
      <c r="N379" t="s">
        <v>494</v>
      </c>
      <c r="O379" t="s">
        <v>69</v>
      </c>
      <c r="P379" t="s">
        <v>2326</v>
      </c>
      <c r="Q379" s="14" t="s">
        <v>107</v>
      </c>
      <c r="R379" t="s">
        <v>1727</v>
      </c>
      <c r="S379">
        <v>0.73</v>
      </c>
      <c r="T379">
        <v>3784</v>
      </c>
      <c r="U379">
        <v>0</v>
      </c>
      <c r="V379">
        <v>3784</v>
      </c>
    </row>
    <row r="380" spans="1:22" x14ac:dyDescent="0.3">
      <c r="A380">
        <v>79452</v>
      </c>
      <c r="B380">
        <v>134709067</v>
      </c>
      <c r="C380" t="s">
        <v>2327</v>
      </c>
      <c r="D380" t="s">
        <v>2328</v>
      </c>
      <c r="E380" t="s">
        <v>490</v>
      </c>
      <c r="F380" t="s">
        <v>491</v>
      </c>
      <c r="G380" t="s">
        <v>44</v>
      </c>
      <c r="H380" t="s">
        <v>45</v>
      </c>
      <c r="I380" t="s">
        <v>34</v>
      </c>
      <c r="J380" t="s">
        <v>46</v>
      </c>
      <c r="K380" t="s">
        <v>41</v>
      </c>
      <c r="L380" t="s">
        <v>2329</v>
      </c>
      <c r="M380" t="s">
        <v>2330</v>
      </c>
      <c r="N380" t="s">
        <v>494</v>
      </c>
      <c r="O380" t="s">
        <v>69</v>
      </c>
      <c r="P380" t="s">
        <v>2331</v>
      </c>
      <c r="Q380" s="14" t="s">
        <v>107</v>
      </c>
      <c r="R380" t="s">
        <v>1727</v>
      </c>
      <c r="S380">
        <v>1.41</v>
      </c>
      <c r="T380">
        <v>3784</v>
      </c>
      <c r="U380">
        <v>0</v>
      </c>
      <c r="V380">
        <v>3784</v>
      </c>
    </row>
    <row r="381" spans="1:22" x14ac:dyDescent="0.3">
      <c r="A381">
        <v>79452</v>
      </c>
      <c r="B381">
        <v>134709065</v>
      </c>
      <c r="C381" t="s">
        <v>2332</v>
      </c>
      <c r="D381" t="s">
        <v>2333</v>
      </c>
      <c r="E381" t="s">
        <v>490</v>
      </c>
      <c r="F381" t="s">
        <v>491</v>
      </c>
      <c r="G381" t="s">
        <v>44</v>
      </c>
      <c r="H381" t="s">
        <v>45</v>
      </c>
      <c r="I381" t="s">
        <v>34</v>
      </c>
      <c r="J381" t="s">
        <v>46</v>
      </c>
      <c r="K381" t="s">
        <v>41</v>
      </c>
      <c r="L381" t="s">
        <v>2334</v>
      </c>
      <c r="M381" t="s">
        <v>2335</v>
      </c>
      <c r="N381" t="s">
        <v>494</v>
      </c>
      <c r="O381" t="s">
        <v>69</v>
      </c>
      <c r="P381" t="s">
        <v>2336</v>
      </c>
      <c r="Q381" s="14" t="s">
        <v>107</v>
      </c>
      <c r="R381" t="s">
        <v>1727</v>
      </c>
      <c r="S381">
        <v>1.99</v>
      </c>
      <c r="T381">
        <v>3784</v>
      </c>
      <c r="U381">
        <v>0</v>
      </c>
      <c r="V381">
        <v>3784</v>
      </c>
    </row>
    <row r="382" spans="1:22" x14ac:dyDescent="0.3">
      <c r="A382">
        <v>79452</v>
      </c>
      <c r="B382">
        <v>134709066</v>
      </c>
      <c r="C382" t="s">
        <v>2337</v>
      </c>
      <c r="D382" t="s">
        <v>2338</v>
      </c>
      <c r="E382" t="s">
        <v>490</v>
      </c>
      <c r="F382" t="s">
        <v>491</v>
      </c>
      <c r="G382" t="s">
        <v>44</v>
      </c>
      <c r="H382" t="s">
        <v>45</v>
      </c>
      <c r="I382" t="s">
        <v>34</v>
      </c>
      <c r="J382" t="s">
        <v>46</v>
      </c>
      <c r="K382" t="s">
        <v>41</v>
      </c>
      <c r="L382" t="s">
        <v>2339</v>
      </c>
      <c r="M382" t="s">
        <v>2340</v>
      </c>
      <c r="N382" t="s">
        <v>494</v>
      </c>
      <c r="O382" t="s">
        <v>69</v>
      </c>
      <c r="P382" t="s">
        <v>2341</v>
      </c>
      <c r="Q382" s="14" t="s">
        <v>83</v>
      </c>
      <c r="R382" t="s">
        <v>1727</v>
      </c>
      <c r="S382">
        <v>1.19</v>
      </c>
      <c r="T382">
        <v>3366</v>
      </c>
      <c r="U382">
        <v>0</v>
      </c>
      <c r="V382">
        <v>3366</v>
      </c>
    </row>
    <row r="383" spans="1:22" x14ac:dyDescent="0.3">
      <c r="A383">
        <v>79452</v>
      </c>
      <c r="B383">
        <v>134709002</v>
      </c>
      <c r="C383" t="s">
        <v>2342</v>
      </c>
      <c r="D383" t="s">
        <v>2343</v>
      </c>
      <c r="E383" t="s">
        <v>490</v>
      </c>
      <c r="F383" t="s">
        <v>491</v>
      </c>
      <c r="G383" t="s">
        <v>44</v>
      </c>
      <c r="H383" t="s">
        <v>45</v>
      </c>
      <c r="I383" t="s">
        <v>34</v>
      </c>
      <c r="J383" t="s">
        <v>46</v>
      </c>
      <c r="K383" t="s">
        <v>41</v>
      </c>
      <c r="L383" t="s">
        <v>2344</v>
      </c>
      <c r="M383" t="s">
        <v>2345</v>
      </c>
      <c r="N383" t="s">
        <v>494</v>
      </c>
      <c r="O383" t="s">
        <v>69</v>
      </c>
      <c r="P383" t="s">
        <v>2346</v>
      </c>
      <c r="Q383" s="14" t="s">
        <v>62</v>
      </c>
      <c r="R383" t="s">
        <v>1727</v>
      </c>
      <c r="S383">
        <v>1.51</v>
      </c>
      <c r="T383">
        <v>4067</v>
      </c>
      <c r="U383">
        <v>0</v>
      </c>
      <c r="V383">
        <v>4067</v>
      </c>
    </row>
    <row r="384" spans="1:22" x14ac:dyDescent="0.3">
      <c r="A384">
        <v>79452</v>
      </c>
      <c r="B384">
        <v>134708946</v>
      </c>
      <c r="C384" t="s">
        <v>2347</v>
      </c>
      <c r="D384" t="s">
        <v>2348</v>
      </c>
      <c r="E384" t="s">
        <v>490</v>
      </c>
      <c r="F384" t="s">
        <v>491</v>
      </c>
      <c r="G384" t="s">
        <v>44</v>
      </c>
      <c r="H384" t="s">
        <v>45</v>
      </c>
      <c r="I384" t="s">
        <v>34</v>
      </c>
      <c r="J384" t="s">
        <v>46</v>
      </c>
      <c r="K384" t="s">
        <v>41</v>
      </c>
      <c r="L384" t="s">
        <v>2349</v>
      </c>
      <c r="M384" t="s">
        <v>2350</v>
      </c>
      <c r="N384" t="s">
        <v>494</v>
      </c>
      <c r="O384" t="s">
        <v>69</v>
      </c>
      <c r="P384" t="s">
        <v>2351</v>
      </c>
      <c r="Q384" s="14" t="s">
        <v>73</v>
      </c>
      <c r="R384" t="s">
        <v>1418</v>
      </c>
      <c r="S384">
        <v>1</v>
      </c>
      <c r="T384">
        <v>3366</v>
      </c>
      <c r="U384">
        <v>0</v>
      </c>
      <c r="V384">
        <v>3366</v>
      </c>
    </row>
    <row r="385" spans="1:22" x14ac:dyDescent="0.3">
      <c r="A385">
        <v>79452</v>
      </c>
      <c r="B385">
        <v>134709017</v>
      </c>
      <c r="C385" t="s">
        <v>2352</v>
      </c>
      <c r="D385" t="s">
        <v>2353</v>
      </c>
      <c r="E385" t="s">
        <v>490</v>
      </c>
      <c r="F385" t="s">
        <v>491</v>
      </c>
      <c r="G385" t="s">
        <v>44</v>
      </c>
      <c r="H385" t="s">
        <v>45</v>
      </c>
      <c r="I385" t="s">
        <v>34</v>
      </c>
      <c r="J385" t="s">
        <v>46</v>
      </c>
      <c r="K385" t="s">
        <v>41</v>
      </c>
      <c r="L385" t="s">
        <v>2354</v>
      </c>
      <c r="M385" t="s">
        <v>1206</v>
      </c>
      <c r="N385" t="s">
        <v>494</v>
      </c>
      <c r="O385" t="s">
        <v>69</v>
      </c>
      <c r="P385" t="s">
        <v>1207</v>
      </c>
      <c r="Q385" s="14" t="s">
        <v>107</v>
      </c>
      <c r="R385" t="s">
        <v>1727</v>
      </c>
      <c r="S385">
        <v>1.04</v>
      </c>
      <c r="T385">
        <v>3784</v>
      </c>
      <c r="U385">
        <v>0</v>
      </c>
      <c r="V385">
        <v>3784</v>
      </c>
    </row>
    <row r="386" spans="1:22" x14ac:dyDescent="0.3">
      <c r="A386">
        <v>79452</v>
      </c>
      <c r="B386">
        <v>134709058</v>
      </c>
      <c r="C386" t="s">
        <v>2355</v>
      </c>
      <c r="D386" t="s">
        <v>2356</v>
      </c>
      <c r="E386" t="s">
        <v>490</v>
      </c>
      <c r="F386" t="s">
        <v>491</v>
      </c>
      <c r="G386" t="s">
        <v>44</v>
      </c>
      <c r="H386" t="s">
        <v>45</v>
      </c>
      <c r="I386" t="s">
        <v>34</v>
      </c>
      <c r="J386" t="s">
        <v>46</v>
      </c>
      <c r="K386" t="s">
        <v>41</v>
      </c>
      <c r="L386" t="s">
        <v>2357</v>
      </c>
      <c r="M386" t="s">
        <v>2358</v>
      </c>
      <c r="N386" t="s">
        <v>494</v>
      </c>
      <c r="O386" t="s">
        <v>69</v>
      </c>
      <c r="P386" t="s">
        <v>2359</v>
      </c>
      <c r="Q386" s="14" t="s">
        <v>108</v>
      </c>
      <c r="R386" t="s">
        <v>1727</v>
      </c>
      <c r="S386">
        <v>29.58</v>
      </c>
      <c r="T386">
        <v>17120</v>
      </c>
      <c r="U386">
        <v>0</v>
      </c>
      <c r="V386">
        <v>17120</v>
      </c>
    </row>
    <row r="387" spans="1:22" x14ac:dyDescent="0.3">
      <c r="A387">
        <v>79452</v>
      </c>
      <c r="B387">
        <v>134708979</v>
      </c>
      <c r="C387" t="s">
        <v>2360</v>
      </c>
      <c r="D387" t="s">
        <v>2361</v>
      </c>
      <c r="E387" t="s">
        <v>490</v>
      </c>
      <c r="F387" t="s">
        <v>491</v>
      </c>
      <c r="G387" t="s">
        <v>44</v>
      </c>
      <c r="H387" t="s">
        <v>45</v>
      </c>
      <c r="I387" t="s">
        <v>34</v>
      </c>
      <c r="J387" t="s">
        <v>46</v>
      </c>
      <c r="K387" t="s">
        <v>41</v>
      </c>
      <c r="L387" t="s">
        <v>2362</v>
      </c>
      <c r="M387" t="s">
        <v>420</v>
      </c>
      <c r="N387" t="s">
        <v>494</v>
      </c>
      <c r="O387" t="s">
        <v>69</v>
      </c>
      <c r="P387" t="s">
        <v>2363</v>
      </c>
      <c r="Q387" s="14" t="s">
        <v>168</v>
      </c>
      <c r="R387" t="s">
        <v>1727</v>
      </c>
      <c r="S387">
        <v>1.34</v>
      </c>
      <c r="T387">
        <v>7506</v>
      </c>
      <c r="U387">
        <v>0</v>
      </c>
      <c r="V387">
        <v>7506</v>
      </c>
    </row>
    <row r="388" spans="1:22" x14ac:dyDescent="0.3">
      <c r="A388">
        <v>79452</v>
      </c>
      <c r="B388">
        <v>134709060</v>
      </c>
      <c r="C388" t="s">
        <v>2364</v>
      </c>
      <c r="D388" t="s">
        <v>2365</v>
      </c>
      <c r="E388" t="s">
        <v>490</v>
      </c>
      <c r="F388" t="s">
        <v>491</v>
      </c>
      <c r="G388" t="s">
        <v>44</v>
      </c>
      <c r="H388" t="s">
        <v>45</v>
      </c>
      <c r="I388" t="s">
        <v>34</v>
      </c>
      <c r="J388" t="s">
        <v>46</v>
      </c>
      <c r="K388" t="s">
        <v>41</v>
      </c>
      <c r="L388" t="s">
        <v>2366</v>
      </c>
      <c r="M388" t="s">
        <v>2367</v>
      </c>
      <c r="N388" t="s">
        <v>494</v>
      </c>
      <c r="O388" t="s">
        <v>69</v>
      </c>
      <c r="P388" t="s">
        <v>2368</v>
      </c>
      <c r="Q388" s="14" t="s">
        <v>152</v>
      </c>
      <c r="R388" t="s">
        <v>1727</v>
      </c>
      <c r="S388">
        <v>1.55</v>
      </c>
      <c r="T388">
        <v>3366</v>
      </c>
      <c r="U388">
        <v>0</v>
      </c>
      <c r="V388">
        <v>3366</v>
      </c>
    </row>
    <row r="389" spans="1:22" x14ac:dyDescent="0.3">
      <c r="A389">
        <v>79452</v>
      </c>
      <c r="B389">
        <v>134708957</v>
      </c>
      <c r="C389" t="s">
        <v>2369</v>
      </c>
      <c r="D389" t="s">
        <v>2370</v>
      </c>
      <c r="E389" t="s">
        <v>490</v>
      </c>
      <c r="F389" t="s">
        <v>491</v>
      </c>
      <c r="G389" t="s">
        <v>44</v>
      </c>
      <c r="H389" t="s">
        <v>45</v>
      </c>
      <c r="I389" t="s">
        <v>34</v>
      </c>
      <c r="J389" t="s">
        <v>46</v>
      </c>
      <c r="K389" t="s">
        <v>41</v>
      </c>
      <c r="L389" t="s">
        <v>2371</v>
      </c>
      <c r="M389" t="s">
        <v>2372</v>
      </c>
      <c r="N389" t="s">
        <v>494</v>
      </c>
      <c r="O389" t="s">
        <v>69</v>
      </c>
      <c r="P389" t="s">
        <v>130</v>
      </c>
      <c r="Q389" s="14" t="s">
        <v>86</v>
      </c>
      <c r="R389" t="s">
        <v>1418</v>
      </c>
      <c r="S389">
        <v>0.72</v>
      </c>
      <c r="T389">
        <v>3366</v>
      </c>
      <c r="U389">
        <v>0</v>
      </c>
      <c r="V389">
        <v>3366</v>
      </c>
    </row>
    <row r="390" spans="1:22" x14ac:dyDescent="0.3">
      <c r="A390">
        <v>79452</v>
      </c>
      <c r="B390">
        <v>134615198</v>
      </c>
      <c r="C390" t="s">
        <v>2373</v>
      </c>
      <c r="D390" t="s">
        <v>2374</v>
      </c>
      <c r="E390" t="s">
        <v>490</v>
      </c>
      <c r="F390" t="s">
        <v>491</v>
      </c>
      <c r="G390" t="s">
        <v>44</v>
      </c>
      <c r="H390" t="s">
        <v>45</v>
      </c>
      <c r="I390" t="s">
        <v>34</v>
      </c>
      <c r="J390" t="s">
        <v>46</v>
      </c>
      <c r="K390" t="s">
        <v>41</v>
      </c>
      <c r="L390" t="s">
        <v>2375</v>
      </c>
      <c r="M390" t="s">
        <v>2376</v>
      </c>
      <c r="N390" t="s">
        <v>494</v>
      </c>
      <c r="O390" t="s">
        <v>69</v>
      </c>
      <c r="P390" t="s">
        <v>2377</v>
      </c>
      <c r="Q390" s="14" t="s">
        <v>60</v>
      </c>
      <c r="R390" t="s">
        <v>1699</v>
      </c>
      <c r="S390">
        <v>1</v>
      </c>
      <c r="T390">
        <v>5759</v>
      </c>
      <c r="U390">
        <v>0</v>
      </c>
      <c r="V390">
        <v>5759</v>
      </c>
    </row>
    <row r="391" spans="1:22" x14ac:dyDescent="0.3">
      <c r="A391">
        <v>79452</v>
      </c>
      <c r="B391">
        <v>134615211</v>
      </c>
      <c r="C391" t="s">
        <v>2378</v>
      </c>
      <c r="D391" t="s">
        <v>2379</v>
      </c>
      <c r="E391" t="s">
        <v>490</v>
      </c>
      <c r="F391" t="s">
        <v>491</v>
      </c>
      <c r="G391" t="s">
        <v>44</v>
      </c>
      <c r="H391" t="s">
        <v>45</v>
      </c>
      <c r="I391" t="s">
        <v>34</v>
      </c>
      <c r="J391" t="s">
        <v>46</v>
      </c>
      <c r="K391" t="s">
        <v>56</v>
      </c>
      <c r="L391" t="s">
        <v>57</v>
      </c>
      <c r="M391" t="s">
        <v>2380</v>
      </c>
      <c r="N391" t="s">
        <v>494</v>
      </c>
      <c r="O391" t="s">
        <v>69</v>
      </c>
      <c r="P391" t="s">
        <v>2381</v>
      </c>
      <c r="Q391" s="14" t="s">
        <v>70</v>
      </c>
      <c r="R391" t="s">
        <v>1699</v>
      </c>
      <c r="S391">
        <v>1</v>
      </c>
      <c r="T391">
        <v>5198</v>
      </c>
      <c r="U391">
        <v>0</v>
      </c>
      <c r="V391">
        <v>5198</v>
      </c>
    </row>
    <row r="392" spans="1:22" x14ac:dyDescent="0.3">
      <c r="A392">
        <v>79452</v>
      </c>
      <c r="B392">
        <v>134594848</v>
      </c>
      <c r="C392" t="s">
        <v>2382</v>
      </c>
      <c r="D392" t="s">
        <v>2383</v>
      </c>
      <c r="E392" t="s">
        <v>490</v>
      </c>
      <c r="F392" t="s">
        <v>491</v>
      </c>
      <c r="G392" t="s">
        <v>44</v>
      </c>
      <c r="H392" t="s">
        <v>45</v>
      </c>
      <c r="I392" t="s">
        <v>34</v>
      </c>
      <c r="J392" t="s">
        <v>46</v>
      </c>
      <c r="K392" t="s">
        <v>41</v>
      </c>
      <c r="L392" t="s">
        <v>2384</v>
      </c>
      <c r="M392" t="s">
        <v>480</v>
      </c>
      <c r="N392" t="s">
        <v>494</v>
      </c>
      <c r="O392" t="s">
        <v>69</v>
      </c>
      <c r="P392" t="s">
        <v>2385</v>
      </c>
      <c r="Q392" s="14" t="s">
        <v>70</v>
      </c>
      <c r="R392" t="s">
        <v>343</v>
      </c>
      <c r="S392">
        <v>1</v>
      </c>
      <c r="T392">
        <v>5198</v>
      </c>
      <c r="U392">
        <v>0</v>
      </c>
      <c r="V392">
        <v>5198</v>
      </c>
    </row>
    <row r="393" spans="1:22" x14ac:dyDescent="0.3">
      <c r="A393">
        <v>79452</v>
      </c>
      <c r="B393">
        <v>134588244</v>
      </c>
      <c r="C393" t="s">
        <v>2386</v>
      </c>
      <c r="D393" t="s">
        <v>2387</v>
      </c>
      <c r="E393" t="s">
        <v>490</v>
      </c>
      <c r="F393" t="s">
        <v>491</v>
      </c>
      <c r="G393" t="s">
        <v>44</v>
      </c>
      <c r="H393" t="s">
        <v>45</v>
      </c>
      <c r="I393" t="s">
        <v>34</v>
      </c>
      <c r="J393" t="s">
        <v>46</v>
      </c>
      <c r="K393" t="s">
        <v>41</v>
      </c>
      <c r="L393" t="s">
        <v>2388</v>
      </c>
      <c r="M393" t="s">
        <v>1094</v>
      </c>
      <c r="N393" t="s">
        <v>494</v>
      </c>
      <c r="O393" t="s">
        <v>69</v>
      </c>
      <c r="P393" t="s">
        <v>2389</v>
      </c>
      <c r="Q393" s="14" t="s">
        <v>203</v>
      </c>
      <c r="R393" t="s">
        <v>328</v>
      </c>
      <c r="S393">
        <v>1</v>
      </c>
      <c r="T393">
        <v>4067</v>
      </c>
      <c r="U393">
        <v>0</v>
      </c>
      <c r="V393">
        <v>4067</v>
      </c>
    </row>
    <row r="394" spans="1:22" x14ac:dyDescent="0.3">
      <c r="A394">
        <v>79452</v>
      </c>
      <c r="B394">
        <v>134545159</v>
      </c>
      <c r="C394" t="s">
        <v>2390</v>
      </c>
      <c r="D394" t="s">
        <v>2391</v>
      </c>
      <c r="E394" t="s">
        <v>490</v>
      </c>
      <c r="F394" t="s">
        <v>491</v>
      </c>
      <c r="G394" t="s">
        <v>44</v>
      </c>
      <c r="H394" t="s">
        <v>45</v>
      </c>
      <c r="I394" t="s">
        <v>34</v>
      </c>
      <c r="J394" t="s">
        <v>46</v>
      </c>
      <c r="K394" t="s">
        <v>41</v>
      </c>
      <c r="L394" t="s">
        <v>2392</v>
      </c>
      <c r="M394" t="s">
        <v>2393</v>
      </c>
      <c r="N394" t="s">
        <v>494</v>
      </c>
      <c r="O394" t="s">
        <v>69</v>
      </c>
      <c r="P394" t="s">
        <v>2394</v>
      </c>
      <c r="Q394" s="14" t="s">
        <v>145</v>
      </c>
      <c r="R394" t="s">
        <v>2197</v>
      </c>
      <c r="S394">
        <v>1</v>
      </c>
      <c r="T394">
        <v>4346</v>
      </c>
      <c r="U394">
        <v>0</v>
      </c>
      <c r="V394">
        <v>4346</v>
      </c>
    </row>
    <row r="395" spans="1:22" x14ac:dyDescent="0.3">
      <c r="A395">
        <v>79452</v>
      </c>
      <c r="B395">
        <v>134625818</v>
      </c>
      <c r="C395" t="s">
        <v>2395</v>
      </c>
      <c r="D395" t="s">
        <v>2396</v>
      </c>
      <c r="E395" t="s">
        <v>490</v>
      </c>
      <c r="F395" t="s">
        <v>491</v>
      </c>
      <c r="G395" t="s">
        <v>44</v>
      </c>
      <c r="H395" t="s">
        <v>45</v>
      </c>
      <c r="I395" t="s">
        <v>34</v>
      </c>
      <c r="J395" t="s">
        <v>46</v>
      </c>
      <c r="K395" t="s">
        <v>41</v>
      </c>
      <c r="L395" t="s">
        <v>2397</v>
      </c>
      <c r="M395" t="s">
        <v>2398</v>
      </c>
      <c r="N395" t="s">
        <v>494</v>
      </c>
      <c r="O395" t="s">
        <v>69</v>
      </c>
      <c r="P395" t="s">
        <v>2399</v>
      </c>
      <c r="Q395" s="14" t="s">
        <v>70</v>
      </c>
      <c r="R395" t="s">
        <v>322</v>
      </c>
      <c r="S395">
        <v>1</v>
      </c>
      <c r="T395">
        <v>5198</v>
      </c>
      <c r="U395">
        <v>0</v>
      </c>
      <c r="V395">
        <v>5198</v>
      </c>
    </row>
    <row r="396" spans="1:22" x14ac:dyDescent="0.3">
      <c r="A396">
        <v>79452</v>
      </c>
      <c r="B396">
        <v>134615216</v>
      </c>
      <c r="C396" t="s">
        <v>2400</v>
      </c>
      <c r="D396" t="s">
        <v>2401</v>
      </c>
      <c r="E396" t="s">
        <v>490</v>
      </c>
      <c r="F396" t="s">
        <v>491</v>
      </c>
      <c r="G396" t="s">
        <v>44</v>
      </c>
      <c r="H396" t="s">
        <v>45</v>
      </c>
      <c r="I396" t="s">
        <v>34</v>
      </c>
      <c r="J396" t="s">
        <v>46</v>
      </c>
      <c r="K396" t="s">
        <v>41</v>
      </c>
      <c r="L396" t="s">
        <v>2402</v>
      </c>
      <c r="M396" t="s">
        <v>2403</v>
      </c>
      <c r="N396" t="s">
        <v>494</v>
      </c>
      <c r="O396" t="s">
        <v>69</v>
      </c>
      <c r="P396" t="s">
        <v>2404</v>
      </c>
      <c r="Q396" s="14" t="s">
        <v>173</v>
      </c>
      <c r="R396" t="s">
        <v>1699</v>
      </c>
      <c r="S396">
        <v>1</v>
      </c>
      <c r="T396">
        <v>4881</v>
      </c>
      <c r="U396">
        <v>0</v>
      </c>
      <c r="V396">
        <v>4881</v>
      </c>
    </row>
    <row r="397" spans="1:22" x14ac:dyDescent="0.3">
      <c r="A397">
        <v>79452</v>
      </c>
      <c r="B397">
        <v>134615219</v>
      </c>
      <c r="C397" t="s">
        <v>2405</v>
      </c>
      <c r="D397" t="s">
        <v>2406</v>
      </c>
      <c r="E397" t="s">
        <v>490</v>
      </c>
      <c r="F397" t="s">
        <v>491</v>
      </c>
      <c r="G397" t="s">
        <v>44</v>
      </c>
      <c r="H397" t="s">
        <v>45</v>
      </c>
      <c r="I397" t="s">
        <v>34</v>
      </c>
      <c r="J397" t="s">
        <v>46</v>
      </c>
      <c r="K397" t="s">
        <v>41</v>
      </c>
      <c r="L397" t="s">
        <v>2407</v>
      </c>
      <c r="M397" t="s">
        <v>2408</v>
      </c>
      <c r="N397" t="s">
        <v>494</v>
      </c>
      <c r="O397" t="s">
        <v>69</v>
      </c>
      <c r="P397" t="s">
        <v>2409</v>
      </c>
      <c r="Q397" s="14" t="s">
        <v>178</v>
      </c>
      <c r="R397" t="s">
        <v>1699</v>
      </c>
      <c r="S397">
        <v>1</v>
      </c>
      <c r="T397">
        <v>5476</v>
      </c>
      <c r="U397">
        <v>0</v>
      </c>
      <c r="V397">
        <v>5476</v>
      </c>
    </row>
    <row r="398" spans="1:22" x14ac:dyDescent="0.3">
      <c r="A398">
        <v>79452</v>
      </c>
      <c r="B398">
        <v>134625812</v>
      </c>
      <c r="C398" t="s">
        <v>2410</v>
      </c>
      <c r="D398" t="s">
        <v>2411</v>
      </c>
      <c r="E398" t="s">
        <v>490</v>
      </c>
      <c r="F398" t="s">
        <v>491</v>
      </c>
      <c r="G398" t="s">
        <v>44</v>
      </c>
      <c r="H398" t="s">
        <v>45</v>
      </c>
      <c r="I398" t="s">
        <v>34</v>
      </c>
      <c r="J398" t="s">
        <v>46</v>
      </c>
      <c r="K398" t="s">
        <v>41</v>
      </c>
      <c r="L398" t="s">
        <v>416</v>
      </c>
      <c r="M398" t="s">
        <v>2412</v>
      </c>
      <c r="N398" t="s">
        <v>494</v>
      </c>
      <c r="O398" t="s">
        <v>69</v>
      </c>
      <c r="P398" t="s">
        <v>2413</v>
      </c>
      <c r="Q398" s="14" t="s">
        <v>60</v>
      </c>
      <c r="R398" t="s">
        <v>322</v>
      </c>
      <c r="S398">
        <v>1</v>
      </c>
      <c r="T398">
        <v>5759</v>
      </c>
      <c r="U398">
        <v>0</v>
      </c>
      <c r="V398">
        <v>5759</v>
      </c>
    </row>
    <row r="399" spans="1:22" x14ac:dyDescent="0.3">
      <c r="A399">
        <v>79452</v>
      </c>
      <c r="B399">
        <v>134625798</v>
      </c>
      <c r="C399" t="s">
        <v>2414</v>
      </c>
      <c r="D399" t="s">
        <v>2415</v>
      </c>
      <c r="E399" t="s">
        <v>490</v>
      </c>
      <c r="F399" t="s">
        <v>491</v>
      </c>
      <c r="G399" t="s">
        <v>44</v>
      </c>
      <c r="H399" t="s">
        <v>45</v>
      </c>
      <c r="I399" t="s">
        <v>34</v>
      </c>
      <c r="J399" t="s">
        <v>46</v>
      </c>
      <c r="K399" t="s">
        <v>41</v>
      </c>
      <c r="L399" t="s">
        <v>2416</v>
      </c>
      <c r="M399" t="s">
        <v>677</v>
      </c>
      <c r="N399" t="s">
        <v>494</v>
      </c>
      <c r="O399" t="s">
        <v>69</v>
      </c>
      <c r="P399" t="s">
        <v>2417</v>
      </c>
      <c r="Q399" s="14" t="s">
        <v>60</v>
      </c>
      <c r="R399" t="s">
        <v>322</v>
      </c>
      <c r="S399">
        <v>1</v>
      </c>
      <c r="T399">
        <v>5759</v>
      </c>
      <c r="U399">
        <v>0</v>
      </c>
      <c r="V399">
        <v>5759</v>
      </c>
    </row>
    <row r="400" spans="1:22" x14ac:dyDescent="0.3">
      <c r="A400">
        <v>79452</v>
      </c>
      <c r="B400">
        <v>134588274</v>
      </c>
      <c r="C400" t="s">
        <v>2418</v>
      </c>
      <c r="D400" t="s">
        <v>2419</v>
      </c>
      <c r="E400" t="s">
        <v>490</v>
      </c>
      <c r="F400" t="s">
        <v>491</v>
      </c>
      <c r="G400" t="s">
        <v>44</v>
      </c>
      <c r="H400" t="s">
        <v>45</v>
      </c>
      <c r="I400" t="s">
        <v>34</v>
      </c>
      <c r="J400" t="s">
        <v>46</v>
      </c>
      <c r="K400" t="s">
        <v>41</v>
      </c>
      <c r="L400" t="s">
        <v>2420</v>
      </c>
      <c r="M400" t="s">
        <v>1785</v>
      </c>
      <c r="N400" t="s">
        <v>494</v>
      </c>
      <c r="O400" t="s">
        <v>69</v>
      </c>
      <c r="P400" t="s">
        <v>1786</v>
      </c>
      <c r="Q400" s="14" t="s">
        <v>169</v>
      </c>
      <c r="R400" t="s">
        <v>2421</v>
      </c>
      <c r="S400">
        <v>1</v>
      </c>
      <c r="T400">
        <v>4067</v>
      </c>
      <c r="U400">
        <v>0</v>
      </c>
      <c r="V400">
        <v>4067</v>
      </c>
    </row>
    <row r="401" spans="1:22" x14ac:dyDescent="0.3">
      <c r="A401">
        <v>79452</v>
      </c>
      <c r="B401">
        <v>134594851</v>
      </c>
      <c r="C401" t="s">
        <v>2422</v>
      </c>
      <c r="D401" t="s">
        <v>2423</v>
      </c>
      <c r="E401" t="s">
        <v>490</v>
      </c>
      <c r="F401" t="s">
        <v>491</v>
      </c>
      <c r="G401" t="s">
        <v>44</v>
      </c>
      <c r="H401" t="s">
        <v>45</v>
      </c>
      <c r="I401" t="s">
        <v>34</v>
      </c>
      <c r="J401" t="s">
        <v>46</v>
      </c>
      <c r="K401" t="s">
        <v>41</v>
      </c>
      <c r="L401" t="s">
        <v>2424</v>
      </c>
      <c r="M401" t="s">
        <v>2425</v>
      </c>
      <c r="N401" t="s">
        <v>494</v>
      </c>
      <c r="O401" t="s">
        <v>69</v>
      </c>
      <c r="P401" t="s">
        <v>2426</v>
      </c>
      <c r="Q401" s="14" t="s">
        <v>178</v>
      </c>
      <c r="R401" t="s">
        <v>343</v>
      </c>
      <c r="S401">
        <v>1</v>
      </c>
      <c r="T401">
        <v>5476</v>
      </c>
      <c r="U401">
        <v>0</v>
      </c>
      <c r="V401">
        <v>5476</v>
      </c>
    </row>
    <row r="402" spans="1:22" x14ac:dyDescent="0.3">
      <c r="A402">
        <v>79452</v>
      </c>
      <c r="B402">
        <v>134588280</v>
      </c>
      <c r="C402" t="s">
        <v>2427</v>
      </c>
      <c r="D402" t="s">
        <v>2428</v>
      </c>
      <c r="E402" t="s">
        <v>490</v>
      </c>
      <c r="F402" t="s">
        <v>491</v>
      </c>
      <c r="G402" t="s">
        <v>44</v>
      </c>
      <c r="H402" t="s">
        <v>45</v>
      </c>
      <c r="I402" t="s">
        <v>34</v>
      </c>
      <c r="J402" t="s">
        <v>46</v>
      </c>
      <c r="K402" t="s">
        <v>41</v>
      </c>
      <c r="L402" t="s">
        <v>1550</v>
      </c>
      <c r="M402" t="s">
        <v>1551</v>
      </c>
      <c r="N402" t="s">
        <v>494</v>
      </c>
      <c r="O402" t="s">
        <v>69</v>
      </c>
      <c r="P402" t="s">
        <v>1552</v>
      </c>
      <c r="Q402" s="14" t="s">
        <v>83</v>
      </c>
      <c r="R402" t="s">
        <v>2421</v>
      </c>
      <c r="S402">
        <v>1</v>
      </c>
      <c r="T402">
        <v>3366</v>
      </c>
      <c r="U402">
        <v>0</v>
      </c>
      <c r="V402">
        <v>3366</v>
      </c>
    </row>
    <row r="403" spans="1:22" x14ac:dyDescent="0.3">
      <c r="A403">
        <v>79452</v>
      </c>
      <c r="B403">
        <v>134625803</v>
      </c>
      <c r="C403" t="s">
        <v>2429</v>
      </c>
      <c r="D403" t="s">
        <v>2430</v>
      </c>
      <c r="E403" t="s">
        <v>490</v>
      </c>
      <c r="F403" t="s">
        <v>491</v>
      </c>
      <c r="G403" t="s">
        <v>44</v>
      </c>
      <c r="H403" t="s">
        <v>45</v>
      </c>
      <c r="I403" t="s">
        <v>34</v>
      </c>
      <c r="J403" t="s">
        <v>46</v>
      </c>
      <c r="K403" t="s">
        <v>41</v>
      </c>
      <c r="L403" t="s">
        <v>2431</v>
      </c>
      <c r="M403" t="s">
        <v>1971</v>
      </c>
      <c r="N403" t="s">
        <v>494</v>
      </c>
      <c r="O403" t="s">
        <v>69</v>
      </c>
      <c r="P403" t="s">
        <v>1972</v>
      </c>
      <c r="Q403" s="14" t="s">
        <v>83</v>
      </c>
      <c r="R403" t="s">
        <v>322</v>
      </c>
      <c r="S403">
        <v>1</v>
      </c>
      <c r="T403">
        <v>3366</v>
      </c>
      <c r="U403">
        <v>0</v>
      </c>
      <c r="V403">
        <v>3366</v>
      </c>
    </row>
    <row r="404" spans="1:22" x14ac:dyDescent="0.3">
      <c r="A404">
        <v>79452</v>
      </c>
      <c r="B404">
        <v>134625808</v>
      </c>
      <c r="C404" t="s">
        <v>2432</v>
      </c>
      <c r="D404" t="s">
        <v>2433</v>
      </c>
      <c r="E404" t="s">
        <v>490</v>
      </c>
      <c r="F404" t="s">
        <v>491</v>
      </c>
      <c r="G404" t="s">
        <v>44</v>
      </c>
      <c r="H404" t="s">
        <v>45</v>
      </c>
      <c r="I404" t="s">
        <v>34</v>
      </c>
      <c r="J404" t="s">
        <v>46</v>
      </c>
      <c r="K404" t="s">
        <v>41</v>
      </c>
      <c r="L404" t="s">
        <v>2434</v>
      </c>
      <c r="M404" t="s">
        <v>2435</v>
      </c>
      <c r="N404" t="s">
        <v>494</v>
      </c>
      <c r="O404" t="s">
        <v>69</v>
      </c>
      <c r="P404" t="s">
        <v>2436</v>
      </c>
      <c r="Q404" s="14" t="s">
        <v>85</v>
      </c>
      <c r="R404" t="s">
        <v>322</v>
      </c>
      <c r="S404">
        <v>1</v>
      </c>
      <c r="T404">
        <v>3784</v>
      </c>
      <c r="U404">
        <v>0</v>
      </c>
      <c r="V404">
        <v>3784</v>
      </c>
    </row>
    <row r="405" spans="1:22" x14ac:dyDescent="0.3">
      <c r="A405">
        <v>79452</v>
      </c>
      <c r="B405">
        <v>134588281</v>
      </c>
      <c r="C405" t="s">
        <v>2437</v>
      </c>
      <c r="D405" t="s">
        <v>2438</v>
      </c>
      <c r="E405" t="s">
        <v>490</v>
      </c>
      <c r="F405" t="s">
        <v>491</v>
      </c>
      <c r="G405" t="s">
        <v>44</v>
      </c>
      <c r="H405" t="s">
        <v>45</v>
      </c>
      <c r="I405" t="s">
        <v>34</v>
      </c>
      <c r="J405" t="s">
        <v>46</v>
      </c>
      <c r="K405" t="s">
        <v>41</v>
      </c>
      <c r="L405" t="s">
        <v>2439</v>
      </c>
      <c r="M405" t="s">
        <v>2440</v>
      </c>
      <c r="N405" t="s">
        <v>494</v>
      </c>
      <c r="O405" t="s">
        <v>69</v>
      </c>
      <c r="P405" t="s">
        <v>2441</v>
      </c>
      <c r="Q405" s="14" t="s">
        <v>170</v>
      </c>
      <c r="R405" t="s">
        <v>2421</v>
      </c>
      <c r="S405">
        <v>1</v>
      </c>
      <c r="T405">
        <v>3501</v>
      </c>
      <c r="U405">
        <v>0</v>
      </c>
      <c r="V405">
        <v>3501</v>
      </c>
    </row>
    <row r="406" spans="1:22" x14ac:dyDescent="0.3">
      <c r="A406">
        <v>79452</v>
      </c>
      <c r="B406">
        <v>134588252</v>
      </c>
      <c r="C406" t="s">
        <v>2442</v>
      </c>
      <c r="D406" t="s">
        <v>2443</v>
      </c>
      <c r="E406" t="s">
        <v>490</v>
      </c>
      <c r="F406" t="s">
        <v>491</v>
      </c>
      <c r="G406" t="s">
        <v>44</v>
      </c>
      <c r="H406" t="s">
        <v>45</v>
      </c>
      <c r="I406" t="s">
        <v>34</v>
      </c>
      <c r="J406" t="s">
        <v>46</v>
      </c>
      <c r="K406" t="s">
        <v>41</v>
      </c>
      <c r="L406" t="s">
        <v>2444</v>
      </c>
      <c r="M406" t="s">
        <v>2445</v>
      </c>
      <c r="N406" t="s">
        <v>494</v>
      </c>
      <c r="O406" t="s">
        <v>69</v>
      </c>
      <c r="P406" t="s">
        <v>2446</v>
      </c>
      <c r="Q406" s="14" t="s">
        <v>58</v>
      </c>
      <c r="R406" t="s">
        <v>2421</v>
      </c>
      <c r="S406">
        <v>1</v>
      </c>
      <c r="T406">
        <v>4346</v>
      </c>
      <c r="U406">
        <v>0</v>
      </c>
      <c r="V406">
        <v>4346</v>
      </c>
    </row>
    <row r="407" spans="1:22" x14ac:dyDescent="0.3">
      <c r="A407">
        <v>79452</v>
      </c>
      <c r="B407">
        <v>134615209</v>
      </c>
      <c r="C407" t="s">
        <v>2447</v>
      </c>
      <c r="D407" t="s">
        <v>2448</v>
      </c>
      <c r="E407" t="s">
        <v>490</v>
      </c>
      <c r="F407" t="s">
        <v>491</v>
      </c>
      <c r="G407" t="s">
        <v>44</v>
      </c>
      <c r="H407" t="s">
        <v>45</v>
      </c>
      <c r="I407" t="s">
        <v>34</v>
      </c>
      <c r="J407" t="s">
        <v>46</v>
      </c>
      <c r="K407" t="s">
        <v>41</v>
      </c>
      <c r="L407" t="s">
        <v>2449</v>
      </c>
      <c r="M407" t="s">
        <v>2450</v>
      </c>
      <c r="N407" t="s">
        <v>494</v>
      </c>
      <c r="O407" t="s">
        <v>69</v>
      </c>
      <c r="P407" t="s">
        <v>2451</v>
      </c>
      <c r="Q407" s="14" t="s">
        <v>81</v>
      </c>
      <c r="R407" t="s">
        <v>1699</v>
      </c>
      <c r="S407">
        <v>1</v>
      </c>
      <c r="T407">
        <v>3753</v>
      </c>
      <c r="U407">
        <v>0</v>
      </c>
      <c r="V407">
        <v>3753</v>
      </c>
    </row>
    <row r="408" spans="1:22" x14ac:dyDescent="0.3">
      <c r="A408">
        <v>79452</v>
      </c>
      <c r="B408">
        <v>134588257</v>
      </c>
      <c r="C408" t="s">
        <v>2452</v>
      </c>
      <c r="D408" t="s">
        <v>2453</v>
      </c>
      <c r="E408" t="s">
        <v>490</v>
      </c>
      <c r="F408" t="s">
        <v>491</v>
      </c>
      <c r="G408" t="s">
        <v>44</v>
      </c>
      <c r="H408" t="s">
        <v>45</v>
      </c>
      <c r="I408" t="s">
        <v>34</v>
      </c>
      <c r="J408" t="s">
        <v>46</v>
      </c>
      <c r="K408" t="s">
        <v>41</v>
      </c>
      <c r="L408" t="s">
        <v>2454</v>
      </c>
      <c r="M408" t="s">
        <v>2455</v>
      </c>
      <c r="N408" t="s">
        <v>494</v>
      </c>
      <c r="O408" t="s">
        <v>69</v>
      </c>
      <c r="P408" t="s">
        <v>2456</v>
      </c>
      <c r="Q408" s="14" t="s">
        <v>68</v>
      </c>
      <c r="R408" t="s">
        <v>2421</v>
      </c>
      <c r="S408">
        <v>1.73</v>
      </c>
      <c r="T408">
        <v>3784</v>
      </c>
      <c r="U408">
        <v>0</v>
      </c>
      <c r="V408">
        <v>3784</v>
      </c>
    </row>
    <row r="409" spans="1:22" x14ac:dyDescent="0.3">
      <c r="A409">
        <v>79452</v>
      </c>
      <c r="B409">
        <v>134588224</v>
      </c>
      <c r="C409" t="s">
        <v>2457</v>
      </c>
      <c r="D409" t="s">
        <v>2458</v>
      </c>
      <c r="E409" t="s">
        <v>490</v>
      </c>
      <c r="F409" t="s">
        <v>491</v>
      </c>
      <c r="G409" t="s">
        <v>44</v>
      </c>
      <c r="H409" t="s">
        <v>45</v>
      </c>
      <c r="I409" t="s">
        <v>34</v>
      </c>
      <c r="J409" t="s">
        <v>46</v>
      </c>
      <c r="K409" t="s">
        <v>41</v>
      </c>
      <c r="L409" t="s">
        <v>2459</v>
      </c>
      <c r="M409" t="s">
        <v>2460</v>
      </c>
      <c r="N409" t="s">
        <v>494</v>
      </c>
      <c r="O409" t="s">
        <v>69</v>
      </c>
      <c r="P409" t="s">
        <v>2461</v>
      </c>
      <c r="Q409" s="14" t="s">
        <v>81</v>
      </c>
      <c r="R409" t="s">
        <v>328</v>
      </c>
      <c r="S409">
        <v>1</v>
      </c>
      <c r="T409">
        <v>3753</v>
      </c>
      <c r="U409">
        <v>0</v>
      </c>
      <c r="V409">
        <v>3753</v>
      </c>
    </row>
    <row r="410" spans="1:22" x14ac:dyDescent="0.3">
      <c r="A410">
        <v>79452</v>
      </c>
      <c r="B410">
        <v>134615197</v>
      </c>
      <c r="C410" t="s">
        <v>2462</v>
      </c>
      <c r="D410" t="s">
        <v>2463</v>
      </c>
      <c r="E410" t="s">
        <v>490</v>
      </c>
      <c r="F410" t="s">
        <v>491</v>
      </c>
      <c r="G410" t="s">
        <v>44</v>
      </c>
      <c r="H410" t="s">
        <v>45</v>
      </c>
      <c r="I410" t="s">
        <v>34</v>
      </c>
      <c r="J410" t="s">
        <v>46</v>
      </c>
      <c r="K410" t="s">
        <v>41</v>
      </c>
      <c r="L410" t="s">
        <v>2464</v>
      </c>
      <c r="M410" t="s">
        <v>2465</v>
      </c>
      <c r="N410" t="s">
        <v>494</v>
      </c>
      <c r="O410" t="s">
        <v>69</v>
      </c>
      <c r="P410" t="s">
        <v>2466</v>
      </c>
      <c r="Q410" s="14" t="s">
        <v>83</v>
      </c>
      <c r="R410" t="s">
        <v>1699</v>
      </c>
      <c r="S410">
        <v>1</v>
      </c>
      <c r="T410">
        <v>3366</v>
      </c>
      <c r="U410">
        <v>0</v>
      </c>
      <c r="V410">
        <v>3366</v>
      </c>
    </row>
    <row r="411" spans="1:22" x14ac:dyDescent="0.3">
      <c r="A411">
        <v>79452</v>
      </c>
      <c r="B411">
        <v>134625800</v>
      </c>
      <c r="C411" t="s">
        <v>2467</v>
      </c>
      <c r="D411" t="s">
        <v>2468</v>
      </c>
      <c r="E411" t="s">
        <v>490</v>
      </c>
      <c r="F411" t="s">
        <v>491</v>
      </c>
      <c r="G411" t="s">
        <v>44</v>
      </c>
      <c r="H411" t="s">
        <v>45</v>
      </c>
      <c r="I411" t="s">
        <v>34</v>
      </c>
      <c r="J411" t="s">
        <v>46</v>
      </c>
      <c r="K411" t="s">
        <v>41</v>
      </c>
      <c r="L411" t="s">
        <v>2469</v>
      </c>
      <c r="M411" t="s">
        <v>410</v>
      </c>
      <c r="N411" t="s">
        <v>494</v>
      </c>
      <c r="O411" t="s">
        <v>69</v>
      </c>
      <c r="P411" t="s">
        <v>2470</v>
      </c>
      <c r="Q411" s="14" t="s">
        <v>135</v>
      </c>
      <c r="R411" t="s">
        <v>322</v>
      </c>
      <c r="S411">
        <v>1</v>
      </c>
      <c r="T411">
        <v>3366</v>
      </c>
      <c r="U411">
        <v>0</v>
      </c>
      <c r="V411">
        <v>3366</v>
      </c>
    </row>
    <row r="412" spans="1:22" x14ac:dyDescent="0.3">
      <c r="A412">
        <v>79452</v>
      </c>
      <c r="B412">
        <v>134594852</v>
      </c>
      <c r="C412" t="s">
        <v>2471</v>
      </c>
      <c r="D412" t="s">
        <v>2472</v>
      </c>
      <c r="E412" t="s">
        <v>490</v>
      </c>
      <c r="F412" t="s">
        <v>491</v>
      </c>
      <c r="G412" t="s">
        <v>44</v>
      </c>
      <c r="H412" t="s">
        <v>45</v>
      </c>
      <c r="I412" t="s">
        <v>34</v>
      </c>
      <c r="J412" t="s">
        <v>46</v>
      </c>
      <c r="K412" t="s">
        <v>41</v>
      </c>
      <c r="L412" t="s">
        <v>2473</v>
      </c>
      <c r="M412" t="s">
        <v>2474</v>
      </c>
      <c r="N412" t="s">
        <v>494</v>
      </c>
      <c r="O412" t="s">
        <v>69</v>
      </c>
      <c r="P412" t="s">
        <v>2475</v>
      </c>
      <c r="Q412" s="14" t="s">
        <v>89</v>
      </c>
      <c r="R412" t="s">
        <v>343</v>
      </c>
      <c r="S412">
        <v>1</v>
      </c>
      <c r="T412">
        <v>3753</v>
      </c>
      <c r="U412">
        <v>0</v>
      </c>
      <c r="V412">
        <v>3753</v>
      </c>
    </row>
    <row r="413" spans="1:22" x14ac:dyDescent="0.3">
      <c r="A413">
        <v>79452</v>
      </c>
      <c r="B413">
        <v>134615218</v>
      </c>
      <c r="C413" t="s">
        <v>2476</v>
      </c>
      <c r="D413" t="s">
        <v>2477</v>
      </c>
      <c r="E413" t="s">
        <v>490</v>
      </c>
      <c r="F413" t="s">
        <v>491</v>
      </c>
      <c r="G413" t="s">
        <v>44</v>
      </c>
      <c r="H413" t="s">
        <v>45</v>
      </c>
      <c r="I413" t="s">
        <v>34</v>
      </c>
      <c r="J413" t="s">
        <v>46</v>
      </c>
      <c r="K413" t="s">
        <v>41</v>
      </c>
      <c r="L413" t="s">
        <v>2478</v>
      </c>
      <c r="M413" t="s">
        <v>2479</v>
      </c>
      <c r="N413" t="s">
        <v>494</v>
      </c>
      <c r="O413" t="s">
        <v>69</v>
      </c>
      <c r="P413" t="s">
        <v>2480</v>
      </c>
      <c r="Q413" s="14" t="s">
        <v>73</v>
      </c>
      <c r="R413" t="s">
        <v>1699</v>
      </c>
      <c r="S413">
        <v>0.81</v>
      </c>
      <c r="T413">
        <v>3366</v>
      </c>
      <c r="U413">
        <v>0</v>
      </c>
      <c r="V413">
        <v>3366</v>
      </c>
    </row>
    <row r="414" spans="1:22" x14ac:dyDescent="0.3">
      <c r="A414">
        <v>79452</v>
      </c>
      <c r="B414">
        <v>134594839</v>
      </c>
      <c r="C414" t="s">
        <v>2481</v>
      </c>
      <c r="D414" t="s">
        <v>2482</v>
      </c>
      <c r="E414" t="s">
        <v>490</v>
      </c>
      <c r="F414" t="s">
        <v>491</v>
      </c>
      <c r="G414" t="s">
        <v>44</v>
      </c>
      <c r="H414" t="s">
        <v>45</v>
      </c>
      <c r="I414" t="s">
        <v>34</v>
      </c>
      <c r="J414" t="s">
        <v>46</v>
      </c>
      <c r="K414" t="s">
        <v>41</v>
      </c>
      <c r="L414" t="s">
        <v>2483</v>
      </c>
      <c r="M414" t="s">
        <v>2484</v>
      </c>
      <c r="N414" t="s">
        <v>494</v>
      </c>
      <c r="O414" t="s">
        <v>69</v>
      </c>
      <c r="P414" t="s">
        <v>2485</v>
      </c>
      <c r="Q414" s="14" t="s">
        <v>89</v>
      </c>
      <c r="R414" t="s">
        <v>343</v>
      </c>
      <c r="S414">
        <v>1</v>
      </c>
      <c r="T414">
        <v>3753</v>
      </c>
      <c r="U414">
        <v>0</v>
      </c>
      <c r="V414">
        <v>3753</v>
      </c>
    </row>
    <row r="415" spans="1:22" x14ac:dyDescent="0.3">
      <c r="A415">
        <v>79452</v>
      </c>
      <c r="B415">
        <v>134588295</v>
      </c>
      <c r="C415" t="s">
        <v>2486</v>
      </c>
      <c r="D415" t="s">
        <v>2487</v>
      </c>
      <c r="E415" t="s">
        <v>490</v>
      </c>
      <c r="F415" t="s">
        <v>491</v>
      </c>
      <c r="G415" t="s">
        <v>44</v>
      </c>
      <c r="H415" t="s">
        <v>45</v>
      </c>
      <c r="I415" t="s">
        <v>34</v>
      </c>
      <c r="J415" t="s">
        <v>46</v>
      </c>
      <c r="K415" t="s">
        <v>41</v>
      </c>
      <c r="L415" t="s">
        <v>2488</v>
      </c>
      <c r="M415" t="s">
        <v>2489</v>
      </c>
      <c r="N415" t="s">
        <v>494</v>
      </c>
      <c r="O415" t="s">
        <v>69</v>
      </c>
      <c r="P415" t="s">
        <v>2490</v>
      </c>
      <c r="Q415" s="14" t="s">
        <v>81</v>
      </c>
      <c r="R415" t="s">
        <v>2421</v>
      </c>
      <c r="S415">
        <v>1</v>
      </c>
      <c r="T415">
        <v>3753</v>
      </c>
      <c r="U415">
        <v>0</v>
      </c>
      <c r="V415">
        <v>3753</v>
      </c>
    </row>
    <row r="416" spans="1:22" x14ac:dyDescent="0.3">
      <c r="A416">
        <v>79452</v>
      </c>
      <c r="B416">
        <v>134594849</v>
      </c>
      <c r="C416" t="s">
        <v>2491</v>
      </c>
      <c r="D416" t="s">
        <v>2492</v>
      </c>
      <c r="E416" t="s">
        <v>490</v>
      </c>
      <c r="F416" t="s">
        <v>491</v>
      </c>
      <c r="G416" t="s">
        <v>44</v>
      </c>
      <c r="H416" t="s">
        <v>45</v>
      </c>
      <c r="I416" t="s">
        <v>34</v>
      </c>
      <c r="J416" t="s">
        <v>46</v>
      </c>
      <c r="K416" t="s">
        <v>41</v>
      </c>
      <c r="L416" t="s">
        <v>2493</v>
      </c>
      <c r="M416" t="s">
        <v>2494</v>
      </c>
      <c r="N416" t="s">
        <v>494</v>
      </c>
      <c r="O416" t="s">
        <v>69</v>
      </c>
      <c r="P416" t="s">
        <v>2495</v>
      </c>
      <c r="Q416" s="14" t="s">
        <v>53</v>
      </c>
      <c r="R416" t="s">
        <v>343</v>
      </c>
      <c r="S416">
        <v>1</v>
      </c>
      <c r="T416">
        <v>4067</v>
      </c>
      <c r="U416">
        <v>0</v>
      </c>
      <c r="V416">
        <v>4067</v>
      </c>
    </row>
    <row r="417" spans="1:22" x14ac:dyDescent="0.3">
      <c r="A417">
        <v>79452</v>
      </c>
      <c r="B417">
        <v>134615232</v>
      </c>
      <c r="C417" t="s">
        <v>2496</v>
      </c>
      <c r="D417" t="s">
        <v>2497</v>
      </c>
      <c r="E417" t="s">
        <v>490</v>
      </c>
      <c r="F417" t="s">
        <v>491</v>
      </c>
      <c r="G417" t="s">
        <v>44</v>
      </c>
      <c r="H417" t="s">
        <v>45</v>
      </c>
      <c r="I417" t="s">
        <v>34</v>
      </c>
      <c r="J417" t="s">
        <v>46</v>
      </c>
      <c r="K417" t="s">
        <v>41</v>
      </c>
      <c r="L417" t="s">
        <v>2498</v>
      </c>
      <c r="M417" t="s">
        <v>2499</v>
      </c>
      <c r="N417" t="s">
        <v>494</v>
      </c>
      <c r="O417" t="s">
        <v>69</v>
      </c>
      <c r="P417" t="s">
        <v>2500</v>
      </c>
      <c r="Q417" s="14" t="s">
        <v>77</v>
      </c>
      <c r="R417" t="s">
        <v>1699</v>
      </c>
      <c r="S417">
        <v>1</v>
      </c>
      <c r="T417">
        <v>3753</v>
      </c>
      <c r="U417">
        <v>0</v>
      </c>
      <c r="V417">
        <v>3753</v>
      </c>
    </row>
    <row r="418" spans="1:22" x14ac:dyDescent="0.3">
      <c r="A418">
        <v>79452</v>
      </c>
      <c r="B418">
        <v>134588259</v>
      </c>
      <c r="C418" t="s">
        <v>2501</v>
      </c>
      <c r="D418" t="s">
        <v>2502</v>
      </c>
      <c r="E418" t="s">
        <v>490</v>
      </c>
      <c r="F418" t="s">
        <v>491</v>
      </c>
      <c r="G418" t="s">
        <v>44</v>
      </c>
      <c r="H418" t="s">
        <v>45</v>
      </c>
      <c r="I418" t="s">
        <v>34</v>
      </c>
      <c r="J418" t="s">
        <v>46</v>
      </c>
      <c r="K418" t="s">
        <v>41</v>
      </c>
      <c r="L418" t="s">
        <v>2503</v>
      </c>
      <c r="M418" t="s">
        <v>2504</v>
      </c>
      <c r="N418" t="s">
        <v>494</v>
      </c>
      <c r="O418" t="s">
        <v>69</v>
      </c>
      <c r="P418" t="s">
        <v>2505</v>
      </c>
      <c r="Q418" s="14" t="s">
        <v>99</v>
      </c>
      <c r="R418" t="s">
        <v>2421</v>
      </c>
      <c r="S418">
        <v>1</v>
      </c>
      <c r="T418">
        <v>4067</v>
      </c>
      <c r="U418">
        <v>0</v>
      </c>
      <c r="V418">
        <v>4067</v>
      </c>
    </row>
    <row r="419" spans="1:22" x14ac:dyDescent="0.3">
      <c r="A419">
        <v>79452</v>
      </c>
      <c r="B419">
        <v>134588297</v>
      </c>
      <c r="C419" t="s">
        <v>2506</v>
      </c>
      <c r="D419" t="s">
        <v>2507</v>
      </c>
      <c r="E419" t="s">
        <v>490</v>
      </c>
      <c r="F419" t="s">
        <v>491</v>
      </c>
      <c r="G419" t="s">
        <v>44</v>
      </c>
      <c r="H419" t="s">
        <v>45</v>
      </c>
      <c r="I419" t="s">
        <v>34</v>
      </c>
      <c r="J419" t="s">
        <v>46</v>
      </c>
      <c r="K419" t="s">
        <v>41</v>
      </c>
      <c r="L419" t="s">
        <v>2508</v>
      </c>
      <c r="M419" t="s">
        <v>2509</v>
      </c>
      <c r="N419" t="s">
        <v>494</v>
      </c>
      <c r="O419" t="s">
        <v>69</v>
      </c>
      <c r="P419" t="s">
        <v>2510</v>
      </c>
      <c r="Q419" s="14" t="s">
        <v>114</v>
      </c>
      <c r="R419" t="s">
        <v>2421</v>
      </c>
      <c r="S419">
        <v>1</v>
      </c>
      <c r="T419">
        <v>3501</v>
      </c>
      <c r="U419">
        <v>0</v>
      </c>
      <c r="V419">
        <v>3501</v>
      </c>
    </row>
    <row r="420" spans="1:22" x14ac:dyDescent="0.3">
      <c r="A420">
        <v>79452</v>
      </c>
      <c r="B420">
        <v>134615240</v>
      </c>
      <c r="C420" t="s">
        <v>2511</v>
      </c>
      <c r="D420" t="s">
        <v>2512</v>
      </c>
      <c r="E420" t="s">
        <v>490</v>
      </c>
      <c r="F420" t="s">
        <v>491</v>
      </c>
      <c r="G420" t="s">
        <v>44</v>
      </c>
      <c r="H420" t="s">
        <v>45</v>
      </c>
      <c r="I420" t="s">
        <v>34</v>
      </c>
      <c r="J420" t="s">
        <v>46</v>
      </c>
      <c r="K420" t="s">
        <v>41</v>
      </c>
      <c r="L420" t="s">
        <v>2513</v>
      </c>
      <c r="M420" t="s">
        <v>2514</v>
      </c>
      <c r="N420" t="s">
        <v>494</v>
      </c>
      <c r="O420" t="s">
        <v>69</v>
      </c>
      <c r="P420" t="s">
        <v>2515</v>
      </c>
      <c r="Q420" s="14" t="s">
        <v>89</v>
      </c>
      <c r="R420" t="s">
        <v>1699</v>
      </c>
      <c r="S420">
        <v>1.69</v>
      </c>
      <c r="T420">
        <v>3753</v>
      </c>
      <c r="U420">
        <v>0</v>
      </c>
      <c r="V420">
        <v>3753</v>
      </c>
    </row>
    <row r="421" spans="1:22" x14ac:dyDescent="0.3">
      <c r="A421">
        <v>79452</v>
      </c>
      <c r="B421">
        <v>134588249</v>
      </c>
      <c r="C421" t="s">
        <v>2516</v>
      </c>
      <c r="D421" t="s">
        <v>2517</v>
      </c>
      <c r="E421" t="s">
        <v>490</v>
      </c>
      <c r="F421" t="s">
        <v>491</v>
      </c>
      <c r="G421" t="s">
        <v>44</v>
      </c>
      <c r="H421" t="s">
        <v>45</v>
      </c>
      <c r="I421" t="s">
        <v>34</v>
      </c>
      <c r="J421" t="s">
        <v>46</v>
      </c>
      <c r="K421" t="s">
        <v>41</v>
      </c>
      <c r="L421" t="s">
        <v>2518</v>
      </c>
      <c r="M421" t="s">
        <v>333</v>
      </c>
      <c r="N421" t="s">
        <v>494</v>
      </c>
      <c r="O421" t="s">
        <v>69</v>
      </c>
      <c r="P421" t="s">
        <v>2519</v>
      </c>
      <c r="Q421" s="14" t="s">
        <v>42</v>
      </c>
      <c r="R421" t="s">
        <v>328</v>
      </c>
      <c r="S421">
        <v>1</v>
      </c>
      <c r="T421">
        <v>3501</v>
      </c>
      <c r="U421">
        <v>0</v>
      </c>
      <c r="V421">
        <v>3501</v>
      </c>
    </row>
    <row r="422" spans="1:22" x14ac:dyDescent="0.3">
      <c r="A422">
        <v>79452</v>
      </c>
      <c r="B422">
        <v>134588255</v>
      </c>
      <c r="C422" t="s">
        <v>2520</v>
      </c>
      <c r="D422" t="s">
        <v>2521</v>
      </c>
      <c r="E422" t="s">
        <v>490</v>
      </c>
      <c r="F422" t="s">
        <v>491</v>
      </c>
      <c r="G422" t="s">
        <v>44</v>
      </c>
      <c r="H422" t="s">
        <v>45</v>
      </c>
      <c r="I422" t="s">
        <v>34</v>
      </c>
      <c r="J422" t="s">
        <v>46</v>
      </c>
      <c r="K422" t="s">
        <v>41</v>
      </c>
      <c r="L422" t="s">
        <v>2522</v>
      </c>
      <c r="M422" t="s">
        <v>2523</v>
      </c>
      <c r="N422" t="s">
        <v>494</v>
      </c>
      <c r="O422" t="s">
        <v>69</v>
      </c>
      <c r="P422" t="s">
        <v>2524</v>
      </c>
      <c r="Q422" s="14" t="s">
        <v>85</v>
      </c>
      <c r="R422" t="s">
        <v>2421</v>
      </c>
      <c r="S422">
        <v>1</v>
      </c>
      <c r="T422">
        <v>3784</v>
      </c>
      <c r="U422">
        <v>0</v>
      </c>
      <c r="V422">
        <v>3784</v>
      </c>
    </row>
    <row r="423" spans="1:22" x14ac:dyDescent="0.3">
      <c r="A423">
        <v>79452</v>
      </c>
      <c r="B423">
        <v>134588245</v>
      </c>
      <c r="C423" t="s">
        <v>2525</v>
      </c>
      <c r="D423" t="s">
        <v>2526</v>
      </c>
      <c r="E423" t="s">
        <v>490</v>
      </c>
      <c r="F423" t="s">
        <v>491</v>
      </c>
      <c r="G423" t="s">
        <v>44</v>
      </c>
      <c r="H423" t="s">
        <v>45</v>
      </c>
      <c r="I423" t="s">
        <v>34</v>
      </c>
      <c r="J423" t="s">
        <v>46</v>
      </c>
      <c r="K423" t="s">
        <v>41</v>
      </c>
      <c r="L423" t="s">
        <v>2527</v>
      </c>
      <c r="M423" t="s">
        <v>937</v>
      </c>
      <c r="N423" t="s">
        <v>494</v>
      </c>
      <c r="O423" t="s">
        <v>69</v>
      </c>
      <c r="P423" t="s">
        <v>938</v>
      </c>
      <c r="Q423" s="14" t="s">
        <v>86</v>
      </c>
      <c r="R423" t="s">
        <v>328</v>
      </c>
      <c r="S423">
        <v>1</v>
      </c>
      <c r="T423">
        <v>3366</v>
      </c>
      <c r="U423">
        <v>0</v>
      </c>
      <c r="V423">
        <v>3366</v>
      </c>
    </row>
    <row r="424" spans="1:22" x14ac:dyDescent="0.3">
      <c r="A424">
        <v>79452</v>
      </c>
      <c r="B424">
        <v>134625821</v>
      </c>
      <c r="C424" t="s">
        <v>2528</v>
      </c>
      <c r="D424" t="s">
        <v>2529</v>
      </c>
      <c r="E424" t="s">
        <v>490</v>
      </c>
      <c r="F424" t="s">
        <v>491</v>
      </c>
      <c r="G424" t="s">
        <v>44</v>
      </c>
      <c r="H424" t="s">
        <v>45</v>
      </c>
      <c r="I424" t="s">
        <v>34</v>
      </c>
      <c r="J424" t="s">
        <v>46</v>
      </c>
      <c r="K424" t="s">
        <v>41</v>
      </c>
      <c r="L424" t="s">
        <v>2530</v>
      </c>
      <c r="M424" t="s">
        <v>1313</v>
      </c>
      <c r="N424" t="s">
        <v>494</v>
      </c>
      <c r="O424" t="s">
        <v>69</v>
      </c>
      <c r="P424" t="s">
        <v>1314</v>
      </c>
      <c r="Q424" s="14" t="s">
        <v>86</v>
      </c>
      <c r="R424" t="s">
        <v>322</v>
      </c>
      <c r="S424">
        <v>4.43</v>
      </c>
      <c r="T424">
        <v>3797</v>
      </c>
      <c r="U424">
        <v>0</v>
      </c>
      <c r="V424">
        <v>3797</v>
      </c>
    </row>
    <row r="425" spans="1:22" x14ac:dyDescent="0.3">
      <c r="A425">
        <v>79452</v>
      </c>
      <c r="B425">
        <v>134501977</v>
      </c>
      <c r="C425" t="s">
        <v>2531</v>
      </c>
      <c r="D425" t="s">
        <v>2532</v>
      </c>
      <c r="E425" t="s">
        <v>490</v>
      </c>
      <c r="F425" t="s">
        <v>491</v>
      </c>
      <c r="G425" t="s">
        <v>44</v>
      </c>
      <c r="H425" t="s">
        <v>45</v>
      </c>
      <c r="I425" t="s">
        <v>34</v>
      </c>
      <c r="J425" t="s">
        <v>46</v>
      </c>
      <c r="K425" t="s">
        <v>41</v>
      </c>
      <c r="L425" t="s">
        <v>2533</v>
      </c>
      <c r="M425" t="s">
        <v>2534</v>
      </c>
      <c r="N425" t="s">
        <v>494</v>
      </c>
      <c r="O425" t="s">
        <v>69</v>
      </c>
      <c r="P425" t="s">
        <v>2535</v>
      </c>
      <c r="Q425" s="14" t="s">
        <v>90</v>
      </c>
      <c r="R425" t="s">
        <v>2536</v>
      </c>
      <c r="S425">
        <v>1.48</v>
      </c>
      <c r="T425">
        <v>3366</v>
      </c>
      <c r="U425">
        <v>0</v>
      </c>
      <c r="V425">
        <v>3366</v>
      </c>
    </row>
    <row r="426" spans="1:22" x14ac:dyDescent="0.3">
      <c r="A426">
        <v>79452</v>
      </c>
      <c r="B426">
        <v>134588285</v>
      </c>
      <c r="C426" t="s">
        <v>2537</v>
      </c>
      <c r="D426" t="s">
        <v>2538</v>
      </c>
      <c r="E426" t="s">
        <v>490</v>
      </c>
      <c r="F426" t="s">
        <v>491</v>
      </c>
      <c r="G426" t="s">
        <v>44</v>
      </c>
      <c r="H426" t="s">
        <v>45</v>
      </c>
      <c r="I426" t="s">
        <v>34</v>
      </c>
      <c r="J426" t="s">
        <v>46</v>
      </c>
      <c r="K426" t="s">
        <v>41</v>
      </c>
      <c r="L426" t="s">
        <v>2539</v>
      </c>
      <c r="M426" t="s">
        <v>2540</v>
      </c>
      <c r="N426" t="s">
        <v>494</v>
      </c>
      <c r="O426" t="s">
        <v>69</v>
      </c>
      <c r="P426" t="s">
        <v>2541</v>
      </c>
      <c r="Q426" s="14" t="s">
        <v>89</v>
      </c>
      <c r="R426" t="s">
        <v>2421</v>
      </c>
      <c r="S426">
        <v>1</v>
      </c>
      <c r="T426">
        <v>3753</v>
      </c>
      <c r="U426">
        <v>0</v>
      </c>
      <c r="V426">
        <v>3753</v>
      </c>
    </row>
    <row r="427" spans="1:22" x14ac:dyDescent="0.3">
      <c r="A427">
        <v>79452</v>
      </c>
      <c r="B427">
        <v>134501957</v>
      </c>
      <c r="C427" t="s">
        <v>2542</v>
      </c>
      <c r="D427" t="s">
        <v>2543</v>
      </c>
      <c r="E427" t="s">
        <v>490</v>
      </c>
      <c r="F427" t="s">
        <v>491</v>
      </c>
      <c r="G427" t="s">
        <v>44</v>
      </c>
      <c r="H427" t="s">
        <v>45</v>
      </c>
      <c r="I427" t="s">
        <v>34</v>
      </c>
      <c r="J427" t="s">
        <v>46</v>
      </c>
      <c r="K427" t="s">
        <v>41</v>
      </c>
      <c r="L427" t="s">
        <v>2544</v>
      </c>
      <c r="M427" t="s">
        <v>663</v>
      </c>
      <c r="N427" t="s">
        <v>494</v>
      </c>
      <c r="O427" t="s">
        <v>69</v>
      </c>
      <c r="P427" t="s">
        <v>664</v>
      </c>
      <c r="Q427" s="14" t="s">
        <v>217</v>
      </c>
      <c r="R427" t="s">
        <v>2536</v>
      </c>
      <c r="S427">
        <v>1</v>
      </c>
      <c r="T427">
        <v>5476</v>
      </c>
      <c r="U427">
        <v>0</v>
      </c>
      <c r="V427">
        <v>5476</v>
      </c>
    </row>
    <row r="428" spans="1:22" x14ac:dyDescent="0.3">
      <c r="A428">
        <v>79452</v>
      </c>
      <c r="B428">
        <v>134594837</v>
      </c>
      <c r="C428" t="s">
        <v>2545</v>
      </c>
      <c r="D428" t="s">
        <v>2546</v>
      </c>
      <c r="E428" t="s">
        <v>490</v>
      </c>
      <c r="F428" t="s">
        <v>491</v>
      </c>
      <c r="G428" t="s">
        <v>44</v>
      </c>
      <c r="H428" t="s">
        <v>45</v>
      </c>
      <c r="I428" t="s">
        <v>34</v>
      </c>
      <c r="J428" t="s">
        <v>46</v>
      </c>
      <c r="K428" t="s">
        <v>41</v>
      </c>
      <c r="L428" t="s">
        <v>2547</v>
      </c>
      <c r="M428" t="s">
        <v>2548</v>
      </c>
      <c r="N428" t="s">
        <v>494</v>
      </c>
      <c r="O428" t="s">
        <v>69</v>
      </c>
      <c r="P428" t="s">
        <v>2549</v>
      </c>
      <c r="Q428" s="14" t="s">
        <v>135</v>
      </c>
      <c r="R428" t="s">
        <v>343</v>
      </c>
      <c r="S428">
        <v>1</v>
      </c>
      <c r="T428">
        <v>3366</v>
      </c>
      <c r="U428">
        <v>0</v>
      </c>
      <c r="V428">
        <v>3366</v>
      </c>
    </row>
    <row r="429" spans="1:22" x14ac:dyDescent="0.3">
      <c r="A429">
        <v>79452</v>
      </c>
      <c r="B429">
        <v>134588235</v>
      </c>
      <c r="C429" t="s">
        <v>2550</v>
      </c>
      <c r="D429" t="s">
        <v>2551</v>
      </c>
      <c r="E429" t="s">
        <v>490</v>
      </c>
      <c r="F429" t="s">
        <v>491</v>
      </c>
      <c r="G429" t="s">
        <v>44</v>
      </c>
      <c r="H429" t="s">
        <v>45</v>
      </c>
      <c r="I429" t="s">
        <v>34</v>
      </c>
      <c r="J429" t="s">
        <v>46</v>
      </c>
      <c r="K429" t="s">
        <v>41</v>
      </c>
      <c r="L429" t="s">
        <v>2552</v>
      </c>
      <c r="M429" t="s">
        <v>310</v>
      </c>
      <c r="N429" t="s">
        <v>494</v>
      </c>
      <c r="O429" t="s">
        <v>69</v>
      </c>
      <c r="P429" t="s">
        <v>2553</v>
      </c>
      <c r="Q429" s="14" t="s">
        <v>93</v>
      </c>
      <c r="R429" t="s">
        <v>328</v>
      </c>
      <c r="S429">
        <v>1</v>
      </c>
      <c r="T429">
        <v>4067</v>
      </c>
      <c r="U429">
        <v>0</v>
      </c>
      <c r="V429">
        <v>4067</v>
      </c>
    </row>
    <row r="430" spans="1:22" x14ac:dyDescent="0.3">
      <c r="A430">
        <v>79452</v>
      </c>
      <c r="B430">
        <v>134588227</v>
      </c>
      <c r="C430" t="s">
        <v>2554</v>
      </c>
      <c r="D430" t="s">
        <v>2555</v>
      </c>
      <c r="E430" t="s">
        <v>490</v>
      </c>
      <c r="F430" t="s">
        <v>491</v>
      </c>
      <c r="G430" t="s">
        <v>44</v>
      </c>
      <c r="H430" t="s">
        <v>45</v>
      </c>
      <c r="I430" t="s">
        <v>34</v>
      </c>
      <c r="J430" t="s">
        <v>46</v>
      </c>
      <c r="K430" t="s">
        <v>41</v>
      </c>
      <c r="L430" t="s">
        <v>2556</v>
      </c>
      <c r="M430" t="s">
        <v>2557</v>
      </c>
      <c r="N430" t="s">
        <v>494</v>
      </c>
      <c r="O430" t="s">
        <v>69</v>
      </c>
      <c r="P430" t="s">
        <v>2558</v>
      </c>
      <c r="Q430" s="14" t="s">
        <v>107</v>
      </c>
      <c r="R430" t="s">
        <v>328</v>
      </c>
      <c r="S430">
        <v>1</v>
      </c>
      <c r="T430">
        <v>3784</v>
      </c>
      <c r="U430">
        <v>0</v>
      </c>
      <c r="V430">
        <v>3784</v>
      </c>
    </row>
    <row r="431" spans="1:22" x14ac:dyDescent="0.3">
      <c r="A431">
        <v>79452</v>
      </c>
      <c r="B431">
        <v>134625816</v>
      </c>
      <c r="C431" t="s">
        <v>2559</v>
      </c>
      <c r="D431" t="s">
        <v>2560</v>
      </c>
      <c r="E431" t="s">
        <v>490</v>
      </c>
      <c r="F431" t="s">
        <v>491</v>
      </c>
      <c r="G431" t="s">
        <v>44</v>
      </c>
      <c r="H431" t="s">
        <v>45</v>
      </c>
      <c r="I431" t="s">
        <v>34</v>
      </c>
      <c r="J431" t="s">
        <v>46</v>
      </c>
      <c r="K431" t="s">
        <v>41</v>
      </c>
      <c r="L431" t="s">
        <v>2561</v>
      </c>
      <c r="M431" t="s">
        <v>2562</v>
      </c>
      <c r="N431" t="s">
        <v>494</v>
      </c>
      <c r="O431" t="s">
        <v>69</v>
      </c>
      <c r="P431" t="s">
        <v>2563</v>
      </c>
      <c r="Q431" s="14" t="s">
        <v>86</v>
      </c>
      <c r="R431" t="s">
        <v>322</v>
      </c>
      <c r="S431">
        <v>1</v>
      </c>
      <c r="T431">
        <v>3366</v>
      </c>
      <c r="U431">
        <v>0</v>
      </c>
      <c r="V431">
        <v>3366</v>
      </c>
    </row>
    <row r="432" spans="1:22" x14ac:dyDescent="0.3">
      <c r="A432">
        <v>79452</v>
      </c>
      <c r="B432">
        <v>134625819</v>
      </c>
      <c r="C432" t="s">
        <v>2564</v>
      </c>
      <c r="D432" t="s">
        <v>2565</v>
      </c>
      <c r="E432" t="s">
        <v>490</v>
      </c>
      <c r="F432" t="s">
        <v>491</v>
      </c>
      <c r="G432" t="s">
        <v>44</v>
      </c>
      <c r="H432" t="s">
        <v>45</v>
      </c>
      <c r="I432" t="s">
        <v>34</v>
      </c>
      <c r="J432" t="s">
        <v>46</v>
      </c>
      <c r="K432" t="s">
        <v>41</v>
      </c>
      <c r="L432" t="s">
        <v>2561</v>
      </c>
      <c r="M432" t="s">
        <v>2562</v>
      </c>
      <c r="N432" t="s">
        <v>494</v>
      </c>
      <c r="O432" t="s">
        <v>69</v>
      </c>
      <c r="P432" t="s">
        <v>2563</v>
      </c>
      <c r="Q432" s="14" t="s">
        <v>86</v>
      </c>
      <c r="R432" t="s">
        <v>322</v>
      </c>
      <c r="S432">
        <v>1</v>
      </c>
      <c r="T432">
        <v>3366</v>
      </c>
      <c r="U432">
        <v>0</v>
      </c>
      <c r="V432">
        <v>3366</v>
      </c>
    </row>
    <row r="433" spans="1:22" x14ac:dyDescent="0.3">
      <c r="A433">
        <v>79452</v>
      </c>
      <c r="B433">
        <v>134588247</v>
      </c>
      <c r="C433" t="s">
        <v>2566</v>
      </c>
      <c r="D433" t="s">
        <v>2567</v>
      </c>
      <c r="E433" t="s">
        <v>490</v>
      </c>
      <c r="F433" t="s">
        <v>491</v>
      </c>
      <c r="G433" t="s">
        <v>44</v>
      </c>
      <c r="H433" t="s">
        <v>45</v>
      </c>
      <c r="I433" t="s">
        <v>34</v>
      </c>
      <c r="J433" t="s">
        <v>46</v>
      </c>
      <c r="K433" t="s">
        <v>41</v>
      </c>
      <c r="L433" t="s">
        <v>2568</v>
      </c>
      <c r="M433" t="s">
        <v>2569</v>
      </c>
      <c r="N433" t="s">
        <v>494</v>
      </c>
      <c r="O433" t="s">
        <v>69</v>
      </c>
      <c r="P433" t="s">
        <v>2570</v>
      </c>
      <c r="Q433" s="14" t="s">
        <v>66</v>
      </c>
      <c r="R433" t="s">
        <v>328</v>
      </c>
      <c r="S433">
        <v>1.41</v>
      </c>
      <c r="T433">
        <v>3366</v>
      </c>
      <c r="U433">
        <v>0</v>
      </c>
      <c r="V433">
        <v>3366</v>
      </c>
    </row>
    <row r="434" spans="1:22" x14ac:dyDescent="0.3">
      <c r="A434">
        <v>79452</v>
      </c>
      <c r="B434">
        <v>135745451</v>
      </c>
      <c r="C434" t="s">
        <v>2571</v>
      </c>
      <c r="D434" t="s">
        <v>2572</v>
      </c>
      <c r="E434" t="s">
        <v>490</v>
      </c>
      <c r="F434" t="s">
        <v>491</v>
      </c>
      <c r="G434" t="s">
        <v>104</v>
      </c>
      <c r="H434" t="s">
        <v>105</v>
      </c>
      <c r="I434" t="s">
        <v>34</v>
      </c>
      <c r="J434" t="s">
        <v>106</v>
      </c>
      <c r="K434" t="s">
        <v>41</v>
      </c>
      <c r="L434" t="s">
        <v>2573</v>
      </c>
      <c r="M434" t="s">
        <v>2574</v>
      </c>
      <c r="N434" t="s">
        <v>494</v>
      </c>
      <c r="O434" t="s">
        <v>69</v>
      </c>
      <c r="P434" t="s">
        <v>2575</v>
      </c>
      <c r="Q434" s="14" t="s">
        <v>113</v>
      </c>
      <c r="R434" t="s">
        <v>2576</v>
      </c>
      <c r="S434">
        <v>1.33</v>
      </c>
      <c r="T434">
        <v>3950</v>
      </c>
      <c r="U434">
        <v>599.79999999999995</v>
      </c>
      <c r="V434">
        <v>4549.8</v>
      </c>
    </row>
    <row r="435" spans="1:22" x14ac:dyDescent="0.3">
      <c r="A435">
        <v>79452</v>
      </c>
      <c r="B435">
        <v>135745404</v>
      </c>
      <c r="C435" t="s">
        <v>2577</v>
      </c>
      <c r="D435" t="s">
        <v>2578</v>
      </c>
      <c r="E435" t="s">
        <v>490</v>
      </c>
      <c r="F435" t="s">
        <v>491</v>
      </c>
      <c r="G435" t="s">
        <v>104</v>
      </c>
      <c r="H435" t="s">
        <v>105</v>
      </c>
      <c r="I435" t="s">
        <v>34</v>
      </c>
      <c r="J435" t="s">
        <v>106</v>
      </c>
      <c r="K435" t="s">
        <v>41</v>
      </c>
      <c r="L435" t="s">
        <v>2579</v>
      </c>
      <c r="M435" t="s">
        <v>2580</v>
      </c>
      <c r="N435" t="s">
        <v>494</v>
      </c>
      <c r="O435" t="s">
        <v>69</v>
      </c>
      <c r="P435" t="s">
        <v>2581</v>
      </c>
      <c r="Q435" s="14" t="s">
        <v>113</v>
      </c>
      <c r="R435" t="s">
        <v>2582</v>
      </c>
      <c r="S435">
        <v>0.54</v>
      </c>
      <c r="T435">
        <v>3735</v>
      </c>
      <c r="U435">
        <v>399.9</v>
      </c>
      <c r="V435">
        <v>4134.8999999999996</v>
      </c>
    </row>
    <row r="436" spans="1:22" x14ac:dyDescent="0.3">
      <c r="A436">
        <v>79452</v>
      </c>
      <c r="B436">
        <v>135706488</v>
      </c>
      <c r="C436" t="s">
        <v>2583</v>
      </c>
      <c r="D436" t="s">
        <v>2584</v>
      </c>
      <c r="E436" t="s">
        <v>490</v>
      </c>
      <c r="F436" t="s">
        <v>491</v>
      </c>
      <c r="G436" t="s">
        <v>104</v>
      </c>
      <c r="H436" t="s">
        <v>105</v>
      </c>
      <c r="I436" t="s">
        <v>34</v>
      </c>
      <c r="J436" t="s">
        <v>106</v>
      </c>
      <c r="K436" t="s">
        <v>41</v>
      </c>
      <c r="L436" t="s">
        <v>2585</v>
      </c>
      <c r="M436" t="s">
        <v>2586</v>
      </c>
      <c r="N436" t="s">
        <v>494</v>
      </c>
      <c r="O436" t="s">
        <v>69</v>
      </c>
      <c r="P436" t="s">
        <v>2587</v>
      </c>
      <c r="Q436" s="14" t="s">
        <v>205</v>
      </c>
      <c r="R436" t="s">
        <v>2588</v>
      </c>
      <c r="S436">
        <v>1.1399999999999999</v>
      </c>
      <c r="T436">
        <v>7337</v>
      </c>
      <c r="U436">
        <v>699.8</v>
      </c>
      <c r="V436">
        <v>8036.8</v>
      </c>
    </row>
    <row r="437" spans="1:22" x14ac:dyDescent="0.3">
      <c r="A437">
        <v>79452</v>
      </c>
      <c r="B437">
        <v>135845044</v>
      </c>
      <c r="C437" t="s">
        <v>2589</v>
      </c>
      <c r="D437" t="s">
        <v>2590</v>
      </c>
      <c r="E437" t="s">
        <v>490</v>
      </c>
      <c r="F437" t="s">
        <v>491</v>
      </c>
      <c r="G437" t="s">
        <v>104</v>
      </c>
      <c r="H437" t="s">
        <v>105</v>
      </c>
      <c r="I437" t="s">
        <v>34</v>
      </c>
      <c r="J437" t="s">
        <v>106</v>
      </c>
      <c r="K437" t="s">
        <v>41</v>
      </c>
      <c r="L437" t="s">
        <v>2591</v>
      </c>
      <c r="M437" t="s">
        <v>2592</v>
      </c>
      <c r="N437" t="s">
        <v>494</v>
      </c>
      <c r="O437" t="s">
        <v>69</v>
      </c>
      <c r="P437" t="s">
        <v>2593</v>
      </c>
      <c r="Q437" s="14" t="s">
        <v>231</v>
      </c>
      <c r="R437" t="s">
        <v>2594</v>
      </c>
      <c r="S437">
        <v>0.97</v>
      </c>
      <c r="T437">
        <v>9840</v>
      </c>
      <c r="U437">
        <v>599.79999999999995</v>
      </c>
      <c r="V437">
        <v>10439.799999999999</v>
      </c>
    </row>
    <row r="438" spans="1:22" x14ac:dyDescent="0.3">
      <c r="A438">
        <v>79452</v>
      </c>
      <c r="B438">
        <v>135792458</v>
      </c>
      <c r="C438" t="s">
        <v>2595</v>
      </c>
      <c r="D438" t="s">
        <v>2596</v>
      </c>
      <c r="E438" t="s">
        <v>490</v>
      </c>
      <c r="F438" t="s">
        <v>491</v>
      </c>
      <c r="G438" t="s">
        <v>104</v>
      </c>
      <c r="H438" t="s">
        <v>105</v>
      </c>
      <c r="I438" t="s">
        <v>34</v>
      </c>
      <c r="J438" t="s">
        <v>106</v>
      </c>
      <c r="K438" t="s">
        <v>41</v>
      </c>
      <c r="L438" t="s">
        <v>2597</v>
      </c>
      <c r="M438" t="s">
        <v>2598</v>
      </c>
      <c r="N438" t="s">
        <v>494</v>
      </c>
      <c r="O438" t="s">
        <v>69</v>
      </c>
      <c r="P438" t="s">
        <v>2599</v>
      </c>
      <c r="Q438" s="14" t="s">
        <v>94</v>
      </c>
      <c r="R438" t="s">
        <v>414</v>
      </c>
      <c r="S438">
        <v>0.48</v>
      </c>
      <c r="T438">
        <v>5317</v>
      </c>
      <c r="U438">
        <v>299.89999999999998</v>
      </c>
      <c r="V438">
        <v>5616.9</v>
      </c>
    </row>
    <row r="439" spans="1:22" x14ac:dyDescent="0.3">
      <c r="A439">
        <v>79452</v>
      </c>
      <c r="B439">
        <v>135706539</v>
      </c>
      <c r="C439" t="s">
        <v>2600</v>
      </c>
      <c r="D439" t="s">
        <v>2601</v>
      </c>
      <c r="E439" t="s">
        <v>490</v>
      </c>
      <c r="F439" t="s">
        <v>491</v>
      </c>
      <c r="G439" t="s">
        <v>104</v>
      </c>
      <c r="H439" t="s">
        <v>105</v>
      </c>
      <c r="I439" t="s">
        <v>34</v>
      </c>
      <c r="J439" t="s">
        <v>106</v>
      </c>
      <c r="K439" t="s">
        <v>265</v>
      </c>
      <c r="L439" t="s">
        <v>2602</v>
      </c>
      <c r="M439" t="s">
        <v>2603</v>
      </c>
      <c r="N439" t="s">
        <v>494</v>
      </c>
      <c r="O439" t="s">
        <v>69</v>
      </c>
      <c r="P439" t="s">
        <v>2604</v>
      </c>
      <c r="Q439" s="14" t="s">
        <v>216</v>
      </c>
      <c r="R439" t="s">
        <v>2588</v>
      </c>
      <c r="S439">
        <v>1.06</v>
      </c>
      <c r="T439">
        <v>8624</v>
      </c>
      <c r="U439">
        <v>674.8</v>
      </c>
      <c r="V439">
        <v>9298.7999999999993</v>
      </c>
    </row>
    <row r="440" spans="1:22" x14ac:dyDescent="0.3">
      <c r="A440">
        <v>79452</v>
      </c>
      <c r="B440">
        <v>135844944</v>
      </c>
      <c r="C440" t="s">
        <v>2605</v>
      </c>
      <c r="D440" t="s">
        <v>2606</v>
      </c>
      <c r="E440" t="s">
        <v>490</v>
      </c>
      <c r="F440" t="s">
        <v>491</v>
      </c>
      <c r="G440" t="s">
        <v>104</v>
      </c>
      <c r="H440" t="s">
        <v>105</v>
      </c>
      <c r="I440" t="s">
        <v>34</v>
      </c>
      <c r="J440" t="s">
        <v>106</v>
      </c>
      <c r="K440" t="s">
        <v>364</v>
      </c>
      <c r="L440" t="s">
        <v>2607</v>
      </c>
      <c r="M440" t="s">
        <v>2608</v>
      </c>
      <c r="N440" t="s">
        <v>494</v>
      </c>
      <c r="O440" t="s">
        <v>69</v>
      </c>
      <c r="P440" t="s">
        <v>2609</v>
      </c>
      <c r="Q440" s="14" t="s">
        <v>304</v>
      </c>
      <c r="R440" t="s">
        <v>2610</v>
      </c>
      <c r="S440">
        <v>0.27</v>
      </c>
      <c r="T440">
        <v>10717</v>
      </c>
      <c r="U440">
        <v>149.94999999999999</v>
      </c>
      <c r="V440">
        <v>10866.95</v>
      </c>
    </row>
    <row r="441" spans="1:22" x14ac:dyDescent="0.3">
      <c r="A441">
        <v>79452</v>
      </c>
      <c r="B441">
        <v>135666471</v>
      </c>
      <c r="C441" t="s">
        <v>2611</v>
      </c>
      <c r="D441" t="s">
        <v>2612</v>
      </c>
      <c r="E441" t="s">
        <v>490</v>
      </c>
      <c r="F441" t="s">
        <v>491</v>
      </c>
      <c r="G441" t="s">
        <v>104</v>
      </c>
      <c r="H441" t="s">
        <v>105</v>
      </c>
      <c r="I441" t="s">
        <v>34</v>
      </c>
      <c r="J441" t="s">
        <v>106</v>
      </c>
      <c r="K441" t="s">
        <v>41</v>
      </c>
      <c r="L441" t="s">
        <v>2613</v>
      </c>
      <c r="M441" t="s">
        <v>2614</v>
      </c>
      <c r="N441" t="s">
        <v>494</v>
      </c>
      <c r="O441" t="s">
        <v>69</v>
      </c>
      <c r="P441" t="s">
        <v>2615</v>
      </c>
      <c r="Q441" s="14" t="s">
        <v>205</v>
      </c>
      <c r="R441" t="s">
        <v>291</v>
      </c>
      <c r="S441">
        <v>0.24</v>
      </c>
      <c r="T441">
        <v>6381</v>
      </c>
      <c r="U441">
        <v>149.94999999999999</v>
      </c>
      <c r="V441">
        <v>6530.95</v>
      </c>
    </row>
    <row r="442" spans="1:22" x14ac:dyDescent="0.3">
      <c r="A442">
        <v>79452</v>
      </c>
      <c r="B442">
        <v>135605885</v>
      </c>
      <c r="C442" t="s">
        <v>2616</v>
      </c>
      <c r="D442" t="s">
        <v>2617</v>
      </c>
      <c r="E442" t="s">
        <v>490</v>
      </c>
      <c r="F442" t="s">
        <v>491</v>
      </c>
      <c r="G442" t="s">
        <v>104</v>
      </c>
      <c r="H442" t="s">
        <v>105</v>
      </c>
      <c r="I442" t="s">
        <v>34</v>
      </c>
      <c r="J442" t="s">
        <v>106</v>
      </c>
      <c r="K442" t="s">
        <v>41</v>
      </c>
      <c r="L442" t="s">
        <v>2618</v>
      </c>
      <c r="M442" t="s">
        <v>2619</v>
      </c>
      <c r="N442" t="s">
        <v>494</v>
      </c>
      <c r="O442" t="s">
        <v>69</v>
      </c>
      <c r="P442" t="s">
        <v>2620</v>
      </c>
      <c r="Q442" s="14" t="s">
        <v>113</v>
      </c>
      <c r="R442" t="s">
        <v>466</v>
      </c>
      <c r="S442">
        <v>0.52</v>
      </c>
      <c r="T442">
        <v>3735</v>
      </c>
      <c r="U442">
        <v>299.89999999999998</v>
      </c>
      <c r="V442">
        <v>4034.9</v>
      </c>
    </row>
    <row r="443" spans="1:22" x14ac:dyDescent="0.3">
      <c r="A443">
        <v>79452</v>
      </c>
      <c r="B443">
        <v>135554259</v>
      </c>
      <c r="C443" t="s">
        <v>2621</v>
      </c>
      <c r="D443" t="s">
        <v>2622</v>
      </c>
      <c r="E443" t="s">
        <v>490</v>
      </c>
      <c r="F443" t="s">
        <v>491</v>
      </c>
      <c r="G443" t="s">
        <v>104</v>
      </c>
      <c r="H443" t="s">
        <v>105</v>
      </c>
      <c r="I443" t="s">
        <v>34</v>
      </c>
      <c r="J443" t="s">
        <v>106</v>
      </c>
      <c r="K443" t="s">
        <v>41</v>
      </c>
      <c r="L443" t="s">
        <v>2623</v>
      </c>
      <c r="M443" t="s">
        <v>2624</v>
      </c>
      <c r="N443" t="s">
        <v>494</v>
      </c>
      <c r="O443" t="s">
        <v>69</v>
      </c>
      <c r="P443" t="s">
        <v>2625</v>
      </c>
      <c r="Q443" s="14" t="s">
        <v>76</v>
      </c>
      <c r="R443" t="s">
        <v>308</v>
      </c>
      <c r="S443">
        <v>0.81</v>
      </c>
      <c r="T443">
        <v>5317</v>
      </c>
      <c r="U443">
        <v>449.85</v>
      </c>
      <c r="V443">
        <v>5766.85</v>
      </c>
    </row>
    <row r="444" spans="1:22" x14ac:dyDescent="0.3">
      <c r="A444">
        <v>79452</v>
      </c>
      <c r="B444">
        <v>135472925</v>
      </c>
      <c r="C444" t="s">
        <v>2626</v>
      </c>
      <c r="D444" t="s">
        <v>2627</v>
      </c>
      <c r="E444" t="s">
        <v>490</v>
      </c>
      <c r="F444" t="s">
        <v>491</v>
      </c>
      <c r="G444" t="s">
        <v>104</v>
      </c>
      <c r="H444" t="s">
        <v>105</v>
      </c>
      <c r="I444" t="s">
        <v>34</v>
      </c>
      <c r="J444" t="s">
        <v>106</v>
      </c>
      <c r="K444" t="s">
        <v>41</v>
      </c>
      <c r="L444" t="s">
        <v>2628</v>
      </c>
      <c r="M444" t="s">
        <v>2629</v>
      </c>
      <c r="N444" t="s">
        <v>494</v>
      </c>
      <c r="O444" t="s">
        <v>69</v>
      </c>
      <c r="P444" t="s">
        <v>2630</v>
      </c>
      <c r="Q444" s="14" t="s">
        <v>76</v>
      </c>
      <c r="R444" t="s">
        <v>2631</v>
      </c>
      <c r="S444">
        <v>0.83</v>
      </c>
      <c r="T444">
        <v>5317</v>
      </c>
      <c r="U444">
        <v>149.94999999999999</v>
      </c>
      <c r="V444">
        <v>5466.95</v>
      </c>
    </row>
    <row r="445" spans="1:22" x14ac:dyDescent="0.3">
      <c r="A445">
        <v>79452</v>
      </c>
      <c r="B445">
        <v>135504044</v>
      </c>
      <c r="C445" t="s">
        <v>2632</v>
      </c>
      <c r="D445" t="s">
        <v>2633</v>
      </c>
      <c r="E445" t="s">
        <v>490</v>
      </c>
      <c r="F445" t="s">
        <v>491</v>
      </c>
      <c r="G445" t="s">
        <v>104</v>
      </c>
      <c r="H445" t="s">
        <v>105</v>
      </c>
      <c r="I445" t="s">
        <v>34</v>
      </c>
      <c r="J445" t="s">
        <v>106</v>
      </c>
      <c r="K445" t="s">
        <v>41</v>
      </c>
      <c r="L445" t="s">
        <v>2634</v>
      </c>
      <c r="M445" t="s">
        <v>2635</v>
      </c>
      <c r="N445" t="s">
        <v>494</v>
      </c>
      <c r="O445" t="s">
        <v>69</v>
      </c>
      <c r="P445" t="s">
        <v>2636</v>
      </c>
      <c r="Q445" s="14" t="s">
        <v>162</v>
      </c>
      <c r="R445" t="s">
        <v>2637</v>
      </c>
      <c r="S445">
        <v>0.41</v>
      </c>
      <c r="T445">
        <v>6077</v>
      </c>
      <c r="U445">
        <v>149.94999999999999</v>
      </c>
      <c r="V445">
        <v>6226.95</v>
      </c>
    </row>
    <row r="446" spans="1:22" x14ac:dyDescent="0.3">
      <c r="A446">
        <v>79452</v>
      </c>
      <c r="B446">
        <v>135421237</v>
      </c>
      <c r="C446" t="s">
        <v>2638</v>
      </c>
      <c r="D446" t="s">
        <v>2639</v>
      </c>
      <c r="E446" t="s">
        <v>490</v>
      </c>
      <c r="F446" t="s">
        <v>491</v>
      </c>
      <c r="G446" t="s">
        <v>104</v>
      </c>
      <c r="H446" t="s">
        <v>105</v>
      </c>
      <c r="I446" t="s">
        <v>34</v>
      </c>
      <c r="J446" t="s">
        <v>106</v>
      </c>
      <c r="K446" t="s">
        <v>41</v>
      </c>
      <c r="L446" t="s">
        <v>2640</v>
      </c>
      <c r="M446" t="s">
        <v>2641</v>
      </c>
      <c r="N446" t="s">
        <v>494</v>
      </c>
      <c r="O446" t="s">
        <v>69</v>
      </c>
      <c r="P446" t="s">
        <v>2642</v>
      </c>
      <c r="Q446" s="14" t="s">
        <v>113</v>
      </c>
      <c r="R446" t="s">
        <v>506</v>
      </c>
      <c r="S446">
        <v>0.27</v>
      </c>
      <c r="T446">
        <v>3735</v>
      </c>
      <c r="U446">
        <v>149.94999999999999</v>
      </c>
      <c r="V446">
        <v>3884.95</v>
      </c>
    </row>
    <row r="447" spans="1:22" x14ac:dyDescent="0.3">
      <c r="A447">
        <v>79452</v>
      </c>
      <c r="B447">
        <v>135032461</v>
      </c>
      <c r="C447" t="s">
        <v>2643</v>
      </c>
      <c r="D447" t="s">
        <v>2644</v>
      </c>
      <c r="E447" t="s">
        <v>490</v>
      </c>
      <c r="F447" t="s">
        <v>491</v>
      </c>
      <c r="G447" t="s">
        <v>104</v>
      </c>
      <c r="H447" t="s">
        <v>105</v>
      </c>
      <c r="I447" t="s">
        <v>34</v>
      </c>
      <c r="J447" t="s">
        <v>106</v>
      </c>
      <c r="K447" t="s">
        <v>41</v>
      </c>
      <c r="L447" t="s">
        <v>2645</v>
      </c>
      <c r="M447" t="s">
        <v>2646</v>
      </c>
      <c r="N447" t="s">
        <v>494</v>
      </c>
      <c r="O447" t="s">
        <v>69</v>
      </c>
      <c r="P447" t="s">
        <v>2647</v>
      </c>
      <c r="Q447" s="14" t="s">
        <v>113</v>
      </c>
      <c r="R447" t="s">
        <v>685</v>
      </c>
      <c r="S447">
        <v>0.28000000000000003</v>
      </c>
      <c r="T447">
        <v>3735</v>
      </c>
      <c r="U447">
        <v>149.94999999999999</v>
      </c>
      <c r="V447">
        <v>3884.95</v>
      </c>
    </row>
    <row r="448" spans="1:22" x14ac:dyDescent="0.3">
      <c r="A448">
        <v>79452</v>
      </c>
      <c r="B448">
        <v>135412530</v>
      </c>
      <c r="C448" t="s">
        <v>2648</v>
      </c>
      <c r="D448" t="s">
        <v>2649</v>
      </c>
      <c r="E448" t="s">
        <v>490</v>
      </c>
      <c r="F448" t="s">
        <v>491</v>
      </c>
      <c r="G448" t="s">
        <v>104</v>
      </c>
      <c r="H448" t="s">
        <v>105</v>
      </c>
      <c r="I448" t="s">
        <v>34</v>
      </c>
      <c r="J448" t="s">
        <v>106</v>
      </c>
      <c r="K448" t="s">
        <v>41</v>
      </c>
      <c r="L448" t="s">
        <v>2650</v>
      </c>
      <c r="M448" t="s">
        <v>2651</v>
      </c>
      <c r="N448" t="s">
        <v>494</v>
      </c>
      <c r="O448" t="s">
        <v>69</v>
      </c>
      <c r="P448" t="s">
        <v>2652</v>
      </c>
      <c r="Q448" s="14" t="s">
        <v>165</v>
      </c>
      <c r="R448" t="s">
        <v>591</v>
      </c>
      <c r="S448">
        <v>0.27</v>
      </c>
      <c r="T448">
        <v>4481</v>
      </c>
      <c r="U448">
        <v>149.94999999999999</v>
      </c>
      <c r="V448">
        <v>4630.95</v>
      </c>
    </row>
    <row r="449" spans="1:22" x14ac:dyDescent="0.3">
      <c r="A449">
        <v>79452</v>
      </c>
      <c r="B449">
        <v>135421213</v>
      </c>
      <c r="C449" t="s">
        <v>2653</v>
      </c>
      <c r="D449" t="s">
        <v>2654</v>
      </c>
      <c r="E449" t="s">
        <v>490</v>
      </c>
      <c r="F449" t="s">
        <v>491</v>
      </c>
      <c r="G449" t="s">
        <v>104</v>
      </c>
      <c r="H449" t="s">
        <v>105</v>
      </c>
      <c r="I449" t="s">
        <v>34</v>
      </c>
      <c r="J449" t="s">
        <v>106</v>
      </c>
      <c r="K449" t="s">
        <v>41</v>
      </c>
      <c r="L449" t="s">
        <v>2655</v>
      </c>
      <c r="M449" t="s">
        <v>2656</v>
      </c>
      <c r="N449" t="s">
        <v>494</v>
      </c>
      <c r="O449" t="s">
        <v>69</v>
      </c>
      <c r="P449" t="s">
        <v>2657</v>
      </c>
      <c r="Q449" s="14" t="s">
        <v>244</v>
      </c>
      <c r="R449" t="s">
        <v>506</v>
      </c>
      <c r="S449">
        <v>0.62</v>
      </c>
      <c r="T449">
        <v>5064</v>
      </c>
      <c r="U449">
        <v>299.89999999999998</v>
      </c>
      <c r="V449">
        <v>5363.9</v>
      </c>
    </row>
    <row r="450" spans="1:22" x14ac:dyDescent="0.3">
      <c r="A450">
        <v>79452</v>
      </c>
      <c r="B450">
        <v>135392538</v>
      </c>
      <c r="C450" t="s">
        <v>2658</v>
      </c>
      <c r="D450" t="s">
        <v>2659</v>
      </c>
      <c r="E450" t="s">
        <v>490</v>
      </c>
      <c r="F450" t="s">
        <v>491</v>
      </c>
      <c r="G450" t="s">
        <v>104</v>
      </c>
      <c r="H450" t="s">
        <v>105</v>
      </c>
      <c r="I450" t="s">
        <v>34</v>
      </c>
      <c r="J450" t="s">
        <v>106</v>
      </c>
      <c r="K450" t="s">
        <v>41</v>
      </c>
      <c r="L450" t="s">
        <v>2660</v>
      </c>
      <c r="M450" t="s">
        <v>2661</v>
      </c>
      <c r="N450" t="s">
        <v>494</v>
      </c>
      <c r="O450" t="s">
        <v>69</v>
      </c>
      <c r="P450" t="s">
        <v>2662</v>
      </c>
      <c r="Q450" s="14" t="s">
        <v>205</v>
      </c>
      <c r="R450" t="s">
        <v>679</v>
      </c>
      <c r="S450">
        <v>1.29</v>
      </c>
      <c r="T450">
        <v>7337</v>
      </c>
      <c r="U450">
        <v>649.85</v>
      </c>
      <c r="V450">
        <v>7986.85</v>
      </c>
    </row>
    <row r="451" spans="1:22" x14ac:dyDescent="0.3">
      <c r="A451">
        <v>79452</v>
      </c>
      <c r="B451">
        <v>135377356</v>
      </c>
      <c r="C451" t="s">
        <v>2663</v>
      </c>
      <c r="D451" t="s">
        <v>2664</v>
      </c>
      <c r="E451" t="s">
        <v>490</v>
      </c>
      <c r="F451" t="s">
        <v>491</v>
      </c>
      <c r="G451" t="s">
        <v>104</v>
      </c>
      <c r="H451" t="s">
        <v>105</v>
      </c>
      <c r="I451" t="s">
        <v>34</v>
      </c>
      <c r="J451" t="s">
        <v>106</v>
      </c>
      <c r="K451" t="s">
        <v>41</v>
      </c>
      <c r="L451" t="s">
        <v>2665</v>
      </c>
      <c r="M451" t="s">
        <v>2666</v>
      </c>
      <c r="N451" t="s">
        <v>494</v>
      </c>
      <c r="O451" t="s">
        <v>69</v>
      </c>
      <c r="P451" t="s">
        <v>2667</v>
      </c>
      <c r="Q451" s="14" t="s">
        <v>76</v>
      </c>
      <c r="R451" t="s">
        <v>696</v>
      </c>
      <c r="S451">
        <v>0.79</v>
      </c>
      <c r="T451">
        <v>5317</v>
      </c>
      <c r="U451">
        <v>449.85</v>
      </c>
      <c r="V451">
        <v>5766.85</v>
      </c>
    </row>
    <row r="452" spans="1:22" x14ac:dyDescent="0.3">
      <c r="A452">
        <v>79452</v>
      </c>
      <c r="B452">
        <v>135392561</v>
      </c>
      <c r="C452" t="s">
        <v>2668</v>
      </c>
      <c r="D452" t="s">
        <v>2669</v>
      </c>
      <c r="E452" t="s">
        <v>490</v>
      </c>
      <c r="F452" t="s">
        <v>491</v>
      </c>
      <c r="G452" t="s">
        <v>104</v>
      </c>
      <c r="H452" t="s">
        <v>105</v>
      </c>
      <c r="I452" t="s">
        <v>34</v>
      </c>
      <c r="J452" t="s">
        <v>106</v>
      </c>
      <c r="K452" t="s">
        <v>41</v>
      </c>
      <c r="L452" t="s">
        <v>2670</v>
      </c>
      <c r="M452" t="s">
        <v>2671</v>
      </c>
      <c r="N452" t="s">
        <v>494</v>
      </c>
      <c r="O452" t="s">
        <v>69</v>
      </c>
      <c r="P452" t="s">
        <v>2672</v>
      </c>
      <c r="Q452" s="14" t="s">
        <v>229</v>
      </c>
      <c r="R452" t="s">
        <v>679</v>
      </c>
      <c r="S452">
        <v>0.8</v>
      </c>
      <c r="T452">
        <v>6351</v>
      </c>
      <c r="U452">
        <v>249.95</v>
      </c>
      <c r="V452">
        <v>6600.95</v>
      </c>
    </row>
    <row r="453" spans="1:22" x14ac:dyDescent="0.3">
      <c r="A453">
        <v>79452</v>
      </c>
      <c r="B453">
        <v>135297466</v>
      </c>
      <c r="C453" t="s">
        <v>2673</v>
      </c>
      <c r="D453" t="s">
        <v>2674</v>
      </c>
      <c r="E453" t="s">
        <v>490</v>
      </c>
      <c r="F453" t="s">
        <v>491</v>
      </c>
      <c r="G453" t="s">
        <v>104</v>
      </c>
      <c r="H453" t="s">
        <v>105</v>
      </c>
      <c r="I453" t="s">
        <v>34</v>
      </c>
      <c r="J453" t="s">
        <v>106</v>
      </c>
      <c r="K453" t="s">
        <v>41</v>
      </c>
      <c r="L453" t="s">
        <v>2675</v>
      </c>
      <c r="M453" t="s">
        <v>2676</v>
      </c>
      <c r="N453" t="s">
        <v>494</v>
      </c>
      <c r="O453" t="s">
        <v>69</v>
      </c>
      <c r="P453" t="s">
        <v>2677</v>
      </c>
      <c r="Q453" s="14" t="s">
        <v>144</v>
      </c>
      <c r="R453" t="s">
        <v>783</v>
      </c>
      <c r="S453">
        <v>1.04</v>
      </c>
      <c r="T453">
        <v>8079</v>
      </c>
      <c r="U453">
        <v>299.89999999999998</v>
      </c>
      <c r="V453">
        <v>8378.9</v>
      </c>
    </row>
    <row r="454" spans="1:22" x14ac:dyDescent="0.3">
      <c r="A454">
        <v>79452</v>
      </c>
      <c r="B454">
        <v>135297469</v>
      </c>
      <c r="C454" t="s">
        <v>2678</v>
      </c>
      <c r="D454" t="s">
        <v>2679</v>
      </c>
      <c r="E454" t="s">
        <v>490</v>
      </c>
      <c r="F454" t="s">
        <v>491</v>
      </c>
      <c r="G454" t="s">
        <v>104</v>
      </c>
      <c r="H454" t="s">
        <v>105</v>
      </c>
      <c r="I454" t="s">
        <v>34</v>
      </c>
      <c r="J454" t="s">
        <v>106</v>
      </c>
      <c r="K454" t="s">
        <v>41</v>
      </c>
      <c r="L454" t="s">
        <v>2680</v>
      </c>
      <c r="M454" t="s">
        <v>2681</v>
      </c>
      <c r="N454" t="s">
        <v>494</v>
      </c>
      <c r="O454" t="s">
        <v>69</v>
      </c>
      <c r="P454" t="s">
        <v>2682</v>
      </c>
      <c r="Q454" s="14" t="s">
        <v>165</v>
      </c>
      <c r="R454" t="s">
        <v>783</v>
      </c>
      <c r="S454">
        <v>0.49</v>
      </c>
      <c r="T454">
        <v>4481</v>
      </c>
      <c r="U454">
        <v>299.89999999999998</v>
      </c>
      <c r="V454">
        <v>4780.8999999999996</v>
      </c>
    </row>
    <row r="455" spans="1:22" x14ac:dyDescent="0.3">
      <c r="A455">
        <v>79452</v>
      </c>
      <c r="B455">
        <v>135213988</v>
      </c>
      <c r="C455" t="s">
        <v>2683</v>
      </c>
      <c r="D455" t="s">
        <v>2684</v>
      </c>
      <c r="E455" t="s">
        <v>490</v>
      </c>
      <c r="F455" t="s">
        <v>491</v>
      </c>
      <c r="G455" t="s">
        <v>104</v>
      </c>
      <c r="H455" t="s">
        <v>105</v>
      </c>
      <c r="I455" t="s">
        <v>34</v>
      </c>
      <c r="J455" t="s">
        <v>106</v>
      </c>
      <c r="K455" t="s">
        <v>41</v>
      </c>
      <c r="L455" t="s">
        <v>2685</v>
      </c>
      <c r="M455" t="s">
        <v>2686</v>
      </c>
      <c r="N455" t="s">
        <v>494</v>
      </c>
      <c r="O455" t="s">
        <v>69</v>
      </c>
      <c r="P455" t="s">
        <v>2687</v>
      </c>
      <c r="Q455" s="14" t="s">
        <v>165</v>
      </c>
      <c r="R455" t="s">
        <v>928</v>
      </c>
      <c r="S455">
        <v>0.49</v>
      </c>
      <c r="T455">
        <v>4481</v>
      </c>
      <c r="U455">
        <v>299.89999999999998</v>
      </c>
      <c r="V455">
        <v>4780.8999999999996</v>
      </c>
    </row>
    <row r="456" spans="1:22" x14ac:dyDescent="0.3">
      <c r="A456">
        <v>79452</v>
      </c>
      <c r="B456">
        <v>135187169</v>
      </c>
      <c r="C456" t="s">
        <v>2688</v>
      </c>
      <c r="D456" t="s">
        <v>2689</v>
      </c>
      <c r="E456" t="s">
        <v>490</v>
      </c>
      <c r="F456" t="s">
        <v>491</v>
      </c>
      <c r="G456" t="s">
        <v>104</v>
      </c>
      <c r="H456" t="s">
        <v>105</v>
      </c>
      <c r="I456" t="s">
        <v>34</v>
      </c>
      <c r="J456" t="s">
        <v>106</v>
      </c>
      <c r="K456" t="s">
        <v>41</v>
      </c>
      <c r="L456" t="s">
        <v>2690</v>
      </c>
      <c r="M456" t="s">
        <v>2691</v>
      </c>
      <c r="N456" t="s">
        <v>494</v>
      </c>
      <c r="O456" t="s">
        <v>69</v>
      </c>
      <c r="P456" t="s">
        <v>2692</v>
      </c>
      <c r="Q456" s="14" t="s">
        <v>245</v>
      </c>
      <c r="R456" t="s">
        <v>954</v>
      </c>
      <c r="S456">
        <v>0.57999999999999996</v>
      </c>
      <c r="T456">
        <v>10610</v>
      </c>
      <c r="U456">
        <v>299.89999999999998</v>
      </c>
      <c r="V456">
        <v>10909.9</v>
      </c>
    </row>
    <row r="457" spans="1:22" x14ac:dyDescent="0.3">
      <c r="A457">
        <v>79452</v>
      </c>
      <c r="B457">
        <v>135087826</v>
      </c>
      <c r="C457" t="s">
        <v>2693</v>
      </c>
      <c r="D457" t="s">
        <v>2694</v>
      </c>
      <c r="E457" t="s">
        <v>490</v>
      </c>
      <c r="F457" t="s">
        <v>491</v>
      </c>
      <c r="G457" t="s">
        <v>104</v>
      </c>
      <c r="H457" t="s">
        <v>105</v>
      </c>
      <c r="I457" t="s">
        <v>34</v>
      </c>
      <c r="J457" t="s">
        <v>106</v>
      </c>
      <c r="K457" t="s">
        <v>41</v>
      </c>
      <c r="L457" t="s">
        <v>2695</v>
      </c>
      <c r="M457" t="s">
        <v>2696</v>
      </c>
      <c r="N457" t="s">
        <v>494</v>
      </c>
      <c r="O457" t="s">
        <v>69</v>
      </c>
      <c r="P457" t="s">
        <v>2697</v>
      </c>
      <c r="Q457" s="14" t="s">
        <v>148</v>
      </c>
      <c r="R457" t="s">
        <v>1259</v>
      </c>
      <c r="S457">
        <v>0.49</v>
      </c>
      <c r="T457">
        <v>5605</v>
      </c>
      <c r="U457">
        <v>224.93</v>
      </c>
      <c r="V457">
        <v>5829.93</v>
      </c>
    </row>
    <row r="458" spans="1:22" x14ac:dyDescent="0.3">
      <c r="A458">
        <v>79452</v>
      </c>
      <c r="B458">
        <v>135158635</v>
      </c>
      <c r="C458" t="s">
        <v>2698</v>
      </c>
      <c r="D458" t="s">
        <v>2699</v>
      </c>
      <c r="E458" t="s">
        <v>490</v>
      </c>
      <c r="F458" t="s">
        <v>491</v>
      </c>
      <c r="G458" t="s">
        <v>104</v>
      </c>
      <c r="H458" t="s">
        <v>105</v>
      </c>
      <c r="I458" t="s">
        <v>34</v>
      </c>
      <c r="J458" t="s">
        <v>106</v>
      </c>
      <c r="K458" t="s">
        <v>41</v>
      </c>
      <c r="L458" t="s">
        <v>2700</v>
      </c>
      <c r="M458" t="s">
        <v>2701</v>
      </c>
      <c r="N458" t="s">
        <v>494</v>
      </c>
      <c r="O458" t="s">
        <v>69</v>
      </c>
      <c r="P458" t="s">
        <v>2702</v>
      </c>
      <c r="Q458" s="14" t="s">
        <v>94</v>
      </c>
      <c r="R458" t="s">
        <v>264</v>
      </c>
      <c r="S458">
        <v>0.55000000000000004</v>
      </c>
      <c r="T458">
        <v>5317</v>
      </c>
      <c r="U458">
        <v>299.89999999999998</v>
      </c>
      <c r="V458">
        <v>5616.9</v>
      </c>
    </row>
    <row r="459" spans="1:22" x14ac:dyDescent="0.3">
      <c r="A459">
        <v>79452</v>
      </c>
      <c r="B459">
        <v>135123506</v>
      </c>
      <c r="C459" t="s">
        <v>2703</v>
      </c>
      <c r="D459" t="s">
        <v>2704</v>
      </c>
      <c r="E459" t="s">
        <v>490</v>
      </c>
      <c r="F459" t="s">
        <v>491</v>
      </c>
      <c r="G459" t="s">
        <v>104</v>
      </c>
      <c r="H459" t="s">
        <v>105</v>
      </c>
      <c r="I459" t="s">
        <v>34</v>
      </c>
      <c r="J459" t="s">
        <v>106</v>
      </c>
      <c r="K459" t="s">
        <v>41</v>
      </c>
      <c r="L459" t="s">
        <v>2705</v>
      </c>
      <c r="M459" t="s">
        <v>2671</v>
      </c>
      <c r="N459" t="s">
        <v>494</v>
      </c>
      <c r="O459" t="s">
        <v>69</v>
      </c>
      <c r="P459" t="s">
        <v>2672</v>
      </c>
      <c r="Q459" s="14" t="s">
        <v>229</v>
      </c>
      <c r="R459" t="s">
        <v>1248</v>
      </c>
      <c r="S459">
        <v>0.28999999999999998</v>
      </c>
      <c r="T459">
        <v>6351</v>
      </c>
      <c r="U459">
        <v>149.94999999999999</v>
      </c>
      <c r="V459">
        <v>6500.95</v>
      </c>
    </row>
    <row r="460" spans="1:22" x14ac:dyDescent="0.3">
      <c r="A460">
        <v>79452</v>
      </c>
      <c r="B460">
        <v>135144952</v>
      </c>
      <c r="C460" t="s">
        <v>2706</v>
      </c>
      <c r="D460" t="s">
        <v>2707</v>
      </c>
      <c r="E460" t="s">
        <v>490</v>
      </c>
      <c r="F460" t="s">
        <v>491</v>
      </c>
      <c r="G460" t="s">
        <v>104</v>
      </c>
      <c r="H460" t="s">
        <v>105</v>
      </c>
      <c r="I460" t="s">
        <v>34</v>
      </c>
      <c r="J460" t="s">
        <v>106</v>
      </c>
      <c r="K460" t="s">
        <v>41</v>
      </c>
      <c r="L460" t="s">
        <v>2708</v>
      </c>
      <c r="M460" t="s">
        <v>2709</v>
      </c>
      <c r="N460" t="s">
        <v>494</v>
      </c>
      <c r="O460" t="s">
        <v>69</v>
      </c>
      <c r="P460" t="s">
        <v>2710</v>
      </c>
      <c r="Q460" s="14" t="s">
        <v>176</v>
      </c>
      <c r="R460" t="s">
        <v>1065</v>
      </c>
      <c r="S460">
        <v>0.99</v>
      </c>
      <c r="T460">
        <v>6595</v>
      </c>
      <c r="U460">
        <v>299.89999999999998</v>
      </c>
      <c r="V460">
        <v>6894.9</v>
      </c>
    </row>
    <row r="461" spans="1:22" x14ac:dyDescent="0.3">
      <c r="A461">
        <v>79452</v>
      </c>
      <c r="B461">
        <v>135032466</v>
      </c>
      <c r="C461" t="s">
        <v>2711</v>
      </c>
      <c r="D461" t="s">
        <v>2712</v>
      </c>
      <c r="E461" t="s">
        <v>490</v>
      </c>
      <c r="F461" t="s">
        <v>491</v>
      </c>
      <c r="G461" t="s">
        <v>104</v>
      </c>
      <c r="H461" t="s">
        <v>105</v>
      </c>
      <c r="I461" t="s">
        <v>34</v>
      </c>
      <c r="J461" t="s">
        <v>106</v>
      </c>
      <c r="K461" t="s">
        <v>41</v>
      </c>
      <c r="L461" t="s">
        <v>2713</v>
      </c>
      <c r="M461" t="s">
        <v>2714</v>
      </c>
      <c r="N461" t="s">
        <v>494</v>
      </c>
      <c r="O461" t="s">
        <v>69</v>
      </c>
      <c r="P461" t="s">
        <v>2715</v>
      </c>
      <c r="Q461" s="14" t="s">
        <v>245</v>
      </c>
      <c r="R461" t="s">
        <v>685</v>
      </c>
      <c r="S461">
        <v>0.26</v>
      </c>
      <c r="T461">
        <v>10610</v>
      </c>
      <c r="U461">
        <v>149.94999999999999</v>
      </c>
      <c r="V461">
        <v>10759.95</v>
      </c>
    </row>
    <row r="462" spans="1:22" x14ac:dyDescent="0.3">
      <c r="A462">
        <v>79452</v>
      </c>
      <c r="B462">
        <v>135001576</v>
      </c>
      <c r="C462" t="s">
        <v>2716</v>
      </c>
      <c r="D462" t="s">
        <v>2717</v>
      </c>
      <c r="E462" t="s">
        <v>490</v>
      </c>
      <c r="F462" t="s">
        <v>491</v>
      </c>
      <c r="G462" t="s">
        <v>104</v>
      </c>
      <c r="H462" t="s">
        <v>105</v>
      </c>
      <c r="I462" t="s">
        <v>34</v>
      </c>
      <c r="J462" t="s">
        <v>106</v>
      </c>
      <c r="K462" t="s">
        <v>41</v>
      </c>
      <c r="L462" t="s">
        <v>2718</v>
      </c>
      <c r="M462" t="s">
        <v>2719</v>
      </c>
      <c r="N462" t="s">
        <v>494</v>
      </c>
      <c r="O462" t="s">
        <v>69</v>
      </c>
      <c r="P462" t="s">
        <v>2720</v>
      </c>
      <c r="Q462" s="14" t="s">
        <v>76</v>
      </c>
      <c r="R462" t="s">
        <v>659</v>
      </c>
      <c r="S462">
        <v>0.49</v>
      </c>
      <c r="T462">
        <v>5317</v>
      </c>
      <c r="U462">
        <v>299.89999999999998</v>
      </c>
      <c r="V462">
        <v>5616.9</v>
      </c>
    </row>
    <row r="463" spans="1:22" x14ac:dyDescent="0.3">
      <c r="A463">
        <v>79452</v>
      </c>
      <c r="B463">
        <v>135001602</v>
      </c>
      <c r="C463" t="s">
        <v>2721</v>
      </c>
      <c r="D463" t="s">
        <v>2722</v>
      </c>
      <c r="E463" t="s">
        <v>490</v>
      </c>
      <c r="F463" t="s">
        <v>491</v>
      </c>
      <c r="G463" t="s">
        <v>104</v>
      </c>
      <c r="H463" t="s">
        <v>105</v>
      </c>
      <c r="I463" t="s">
        <v>34</v>
      </c>
      <c r="J463" t="s">
        <v>106</v>
      </c>
      <c r="K463" t="s">
        <v>41</v>
      </c>
      <c r="L463" t="s">
        <v>2723</v>
      </c>
      <c r="M463" t="s">
        <v>2724</v>
      </c>
      <c r="N463" t="s">
        <v>494</v>
      </c>
      <c r="O463" t="s">
        <v>69</v>
      </c>
      <c r="P463" t="s">
        <v>2725</v>
      </c>
      <c r="Q463" s="14" t="s">
        <v>94</v>
      </c>
      <c r="R463" t="s">
        <v>659</v>
      </c>
      <c r="S463">
        <v>0.61</v>
      </c>
      <c r="T463">
        <v>5317</v>
      </c>
      <c r="U463">
        <v>299.89999999999998</v>
      </c>
      <c r="V463">
        <v>5616.9</v>
      </c>
    </row>
    <row r="464" spans="1:22" x14ac:dyDescent="0.3">
      <c r="A464">
        <v>79452</v>
      </c>
      <c r="B464">
        <v>134860690</v>
      </c>
      <c r="C464" t="s">
        <v>2726</v>
      </c>
      <c r="D464" t="s">
        <v>2727</v>
      </c>
      <c r="E464" t="s">
        <v>490</v>
      </c>
      <c r="F464" t="s">
        <v>491</v>
      </c>
      <c r="G464" t="s">
        <v>104</v>
      </c>
      <c r="H464" t="s">
        <v>105</v>
      </c>
      <c r="I464" t="s">
        <v>34</v>
      </c>
      <c r="J464" t="s">
        <v>106</v>
      </c>
      <c r="K464" t="s">
        <v>41</v>
      </c>
      <c r="L464" t="s">
        <v>2728</v>
      </c>
      <c r="M464" t="s">
        <v>2729</v>
      </c>
      <c r="N464" t="s">
        <v>494</v>
      </c>
      <c r="O464" t="s">
        <v>69</v>
      </c>
      <c r="P464" t="s">
        <v>2730</v>
      </c>
      <c r="Q464" s="14" t="s">
        <v>67</v>
      </c>
      <c r="R464" t="s">
        <v>1787</v>
      </c>
      <c r="S464">
        <v>0.28999999999999998</v>
      </c>
      <c r="T464">
        <v>5807</v>
      </c>
      <c r="U464">
        <v>149.94999999999999</v>
      </c>
      <c r="V464">
        <v>5956.95</v>
      </c>
    </row>
    <row r="465" spans="1:22" x14ac:dyDescent="0.3">
      <c r="A465">
        <v>79452</v>
      </c>
      <c r="B465">
        <v>134831238</v>
      </c>
      <c r="C465" t="s">
        <v>2731</v>
      </c>
      <c r="D465" t="s">
        <v>2732</v>
      </c>
      <c r="E465" t="s">
        <v>490</v>
      </c>
      <c r="F465" t="s">
        <v>491</v>
      </c>
      <c r="G465" t="s">
        <v>104</v>
      </c>
      <c r="H465" t="s">
        <v>105</v>
      </c>
      <c r="I465" t="s">
        <v>34</v>
      </c>
      <c r="J465" t="s">
        <v>106</v>
      </c>
      <c r="K465" t="s">
        <v>41</v>
      </c>
      <c r="L465" t="s">
        <v>2733</v>
      </c>
      <c r="M465" t="s">
        <v>119</v>
      </c>
      <c r="N465" t="s">
        <v>494</v>
      </c>
      <c r="O465" t="s">
        <v>69</v>
      </c>
      <c r="P465" t="s">
        <v>2734</v>
      </c>
      <c r="Q465" s="14" t="s">
        <v>181</v>
      </c>
      <c r="R465" t="s">
        <v>1937</v>
      </c>
      <c r="S465">
        <v>0.4</v>
      </c>
      <c r="T465">
        <v>6678</v>
      </c>
      <c r="U465">
        <v>299.89999999999998</v>
      </c>
      <c r="V465">
        <v>6977.9</v>
      </c>
    </row>
    <row r="466" spans="1:22" x14ac:dyDescent="0.3">
      <c r="A466">
        <v>79452</v>
      </c>
      <c r="B466">
        <v>134877334</v>
      </c>
      <c r="C466" t="s">
        <v>2735</v>
      </c>
      <c r="D466" t="s">
        <v>2736</v>
      </c>
      <c r="E466" t="s">
        <v>490</v>
      </c>
      <c r="F466" t="s">
        <v>491</v>
      </c>
      <c r="G466" t="s">
        <v>104</v>
      </c>
      <c r="H466" t="s">
        <v>105</v>
      </c>
      <c r="I466" t="s">
        <v>34</v>
      </c>
      <c r="J466" t="s">
        <v>106</v>
      </c>
      <c r="K466" t="s">
        <v>41</v>
      </c>
      <c r="L466" t="s">
        <v>2737</v>
      </c>
      <c r="M466" t="s">
        <v>320</v>
      </c>
      <c r="N466" t="s">
        <v>494</v>
      </c>
      <c r="O466" t="s">
        <v>69</v>
      </c>
      <c r="P466" t="s">
        <v>2738</v>
      </c>
      <c r="Q466" s="14" t="s">
        <v>240</v>
      </c>
      <c r="R466" t="s">
        <v>281</v>
      </c>
      <c r="S466">
        <v>1</v>
      </c>
      <c r="T466">
        <v>5738</v>
      </c>
      <c r="U466">
        <v>149.94999999999999</v>
      </c>
      <c r="V466">
        <v>5887.95</v>
      </c>
    </row>
    <row r="467" spans="1:22" x14ac:dyDescent="0.3">
      <c r="A467">
        <v>79452</v>
      </c>
      <c r="B467">
        <v>134761719</v>
      </c>
      <c r="C467" t="s">
        <v>2739</v>
      </c>
      <c r="D467" t="s">
        <v>2740</v>
      </c>
      <c r="E467" t="s">
        <v>490</v>
      </c>
      <c r="F467" t="s">
        <v>491</v>
      </c>
      <c r="G467" t="s">
        <v>104</v>
      </c>
      <c r="H467" t="s">
        <v>105</v>
      </c>
      <c r="I467" t="s">
        <v>34</v>
      </c>
      <c r="J467" t="s">
        <v>106</v>
      </c>
      <c r="K467" t="s">
        <v>41</v>
      </c>
      <c r="L467" t="s">
        <v>2741</v>
      </c>
      <c r="M467" t="s">
        <v>2742</v>
      </c>
      <c r="N467" t="s">
        <v>494</v>
      </c>
      <c r="O467" t="s">
        <v>69</v>
      </c>
      <c r="P467" t="s">
        <v>2743</v>
      </c>
      <c r="Q467" s="14" t="s">
        <v>113</v>
      </c>
      <c r="R467" t="s">
        <v>2067</v>
      </c>
      <c r="S467">
        <v>0.46</v>
      </c>
      <c r="T467">
        <v>3735</v>
      </c>
      <c r="U467">
        <v>299.89999999999998</v>
      </c>
      <c r="V467">
        <v>4034.9</v>
      </c>
    </row>
    <row r="468" spans="1:22" x14ac:dyDescent="0.3">
      <c r="A468">
        <v>79452</v>
      </c>
      <c r="B468">
        <v>134732868</v>
      </c>
      <c r="C468" t="s">
        <v>2744</v>
      </c>
      <c r="D468" t="s">
        <v>2745</v>
      </c>
      <c r="E468" t="s">
        <v>490</v>
      </c>
      <c r="F468" t="s">
        <v>491</v>
      </c>
      <c r="G468" t="s">
        <v>104</v>
      </c>
      <c r="H468" t="s">
        <v>105</v>
      </c>
      <c r="I468" t="s">
        <v>34</v>
      </c>
      <c r="J468" t="s">
        <v>106</v>
      </c>
      <c r="K468" t="s">
        <v>41</v>
      </c>
      <c r="L468" t="s">
        <v>2746</v>
      </c>
      <c r="M468" t="s">
        <v>2747</v>
      </c>
      <c r="N468" t="s">
        <v>494</v>
      </c>
      <c r="O468" t="s">
        <v>69</v>
      </c>
      <c r="P468" t="s">
        <v>2748</v>
      </c>
      <c r="Q468" s="14" t="s">
        <v>113</v>
      </c>
      <c r="R468" t="s">
        <v>329</v>
      </c>
      <c r="S468">
        <v>0.27</v>
      </c>
      <c r="T468">
        <v>3735</v>
      </c>
      <c r="U468">
        <v>249.95</v>
      </c>
      <c r="V468">
        <v>3984.95</v>
      </c>
    </row>
    <row r="469" spans="1:22" x14ac:dyDescent="0.3">
      <c r="A469">
        <v>79452</v>
      </c>
      <c r="B469">
        <v>134779900</v>
      </c>
      <c r="C469" t="s">
        <v>2749</v>
      </c>
      <c r="D469" t="s">
        <v>2750</v>
      </c>
      <c r="E469" t="s">
        <v>490</v>
      </c>
      <c r="F469" t="s">
        <v>491</v>
      </c>
      <c r="G469" t="s">
        <v>104</v>
      </c>
      <c r="H469" t="s">
        <v>105</v>
      </c>
      <c r="I469" t="s">
        <v>34</v>
      </c>
      <c r="J469" t="s">
        <v>106</v>
      </c>
      <c r="K469" t="s">
        <v>41</v>
      </c>
      <c r="L469" t="s">
        <v>2751</v>
      </c>
      <c r="M469" t="s">
        <v>2752</v>
      </c>
      <c r="N469" t="s">
        <v>494</v>
      </c>
      <c r="O469" t="s">
        <v>69</v>
      </c>
      <c r="P469" t="s">
        <v>2753</v>
      </c>
      <c r="Q469" s="14" t="s">
        <v>219</v>
      </c>
      <c r="R469" t="s">
        <v>256</v>
      </c>
      <c r="S469">
        <v>0.28000000000000003</v>
      </c>
      <c r="T469">
        <v>5704</v>
      </c>
      <c r="U469">
        <v>149.94999999999999</v>
      </c>
      <c r="V469">
        <v>5853.95</v>
      </c>
    </row>
    <row r="470" spans="1:22" x14ac:dyDescent="0.3">
      <c r="A470">
        <v>79452</v>
      </c>
      <c r="B470">
        <v>134708970</v>
      </c>
      <c r="C470" t="s">
        <v>2754</v>
      </c>
      <c r="D470" t="s">
        <v>2755</v>
      </c>
      <c r="E470" t="s">
        <v>490</v>
      </c>
      <c r="F470" t="s">
        <v>491</v>
      </c>
      <c r="G470" t="s">
        <v>104</v>
      </c>
      <c r="H470" t="s">
        <v>105</v>
      </c>
      <c r="I470" t="s">
        <v>34</v>
      </c>
      <c r="J470" t="s">
        <v>106</v>
      </c>
      <c r="K470" t="s">
        <v>41</v>
      </c>
      <c r="L470" t="s">
        <v>2756</v>
      </c>
      <c r="M470" t="s">
        <v>2757</v>
      </c>
      <c r="N470" t="s">
        <v>494</v>
      </c>
      <c r="O470" t="s">
        <v>69</v>
      </c>
      <c r="P470" t="s">
        <v>2758</v>
      </c>
      <c r="Q470" s="14" t="s">
        <v>113</v>
      </c>
      <c r="R470" t="s">
        <v>1727</v>
      </c>
      <c r="S470">
        <v>0.28999999999999998</v>
      </c>
      <c r="T470">
        <v>3735</v>
      </c>
      <c r="U470">
        <v>149.94999999999999</v>
      </c>
      <c r="V470">
        <v>3884.95</v>
      </c>
    </row>
    <row r="471" spans="1:22" x14ac:dyDescent="0.3">
      <c r="A471">
        <v>79452</v>
      </c>
      <c r="B471">
        <v>134709085</v>
      </c>
      <c r="C471" t="s">
        <v>2759</v>
      </c>
      <c r="D471" t="s">
        <v>2760</v>
      </c>
      <c r="E471" t="s">
        <v>490</v>
      </c>
      <c r="F471" t="s">
        <v>491</v>
      </c>
      <c r="G471" t="s">
        <v>104</v>
      </c>
      <c r="H471" t="s">
        <v>105</v>
      </c>
      <c r="I471" t="s">
        <v>34</v>
      </c>
      <c r="J471" t="s">
        <v>106</v>
      </c>
      <c r="K471" t="s">
        <v>41</v>
      </c>
      <c r="L471" t="s">
        <v>2761</v>
      </c>
      <c r="M471" t="s">
        <v>299</v>
      </c>
      <c r="N471" t="s">
        <v>494</v>
      </c>
      <c r="O471" t="s">
        <v>69</v>
      </c>
      <c r="P471" t="s">
        <v>2762</v>
      </c>
      <c r="Q471" s="14" t="s">
        <v>165</v>
      </c>
      <c r="R471" t="s">
        <v>1912</v>
      </c>
      <c r="S471">
        <v>0.26</v>
      </c>
      <c r="T471">
        <v>4481</v>
      </c>
      <c r="U471">
        <v>149.94999999999999</v>
      </c>
      <c r="V471">
        <v>4630.95</v>
      </c>
    </row>
    <row r="472" spans="1:22" x14ac:dyDescent="0.3">
      <c r="A472">
        <v>79452</v>
      </c>
      <c r="B472">
        <v>134708933</v>
      </c>
      <c r="C472" t="s">
        <v>2763</v>
      </c>
      <c r="D472" t="s">
        <v>2764</v>
      </c>
      <c r="E472" t="s">
        <v>490</v>
      </c>
      <c r="F472" t="s">
        <v>491</v>
      </c>
      <c r="G472" t="s">
        <v>104</v>
      </c>
      <c r="H472" t="s">
        <v>105</v>
      </c>
      <c r="I472" t="s">
        <v>34</v>
      </c>
      <c r="J472" t="s">
        <v>106</v>
      </c>
      <c r="K472" t="s">
        <v>41</v>
      </c>
      <c r="L472" t="s">
        <v>2765</v>
      </c>
      <c r="M472" t="s">
        <v>2766</v>
      </c>
      <c r="N472" t="s">
        <v>494</v>
      </c>
      <c r="O472" t="s">
        <v>69</v>
      </c>
      <c r="P472" t="s">
        <v>2767</v>
      </c>
      <c r="Q472" s="14" t="s">
        <v>76</v>
      </c>
      <c r="R472" t="s">
        <v>1418</v>
      </c>
      <c r="S472">
        <v>0.44</v>
      </c>
      <c r="T472">
        <v>5317</v>
      </c>
      <c r="U472">
        <v>299.89999999999998</v>
      </c>
      <c r="V472">
        <v>5616.9</v>
      </c>
    </row>
    <row r="473" spans="1:22" x14ac:dyDescent="0.3">
      <c r="A473">
        <v>79452</v>
      </c>
      <c r="B473">
        <v>135180090</v>
      </c>
      <c r="C473" t="s">
        <v>2768</v>
      </c>
      <c r="D473" t="s">
        <v>2769</v>
      </c>
      <c r="E473" t="s">
        <v>490</v>
      </c>
      <c r="F473" t="s">
        <v>491</v>
      </c>
      <c r="G473" t="s">
        <v>49</v>
      </c>
      <c r="H473" t="s">
        <v>50</v>
      </c>
      <c r="I473" t="s">
        <v>34</v>
      </c>
      <c r="J473" t="s">
        <v>51</v>
      </c>
      <c r="K473" t="s">
        <v>41</v>
      </c>
      <c r="L473" t="s">
        <v>52</v>
      </c>
      <c r="M473" t="s">
        <v>2770</v>
      </c>
      <c r="N473" t="s">
        <v>494</v>
      </c>
      <c r="O473" t="s">
        <v>69</v>
      </c>
      <c r="P473" t="s">
        <v>2771</v>
      </c>
      <c r="Q473" s="14" t="s">
        <v>72</v>
      </c>
      <c r="R473" t="s">
        <v>1109</v>
      </c>
      <c r="S473">
        <v>0.51</v>
      </c>
      <c r="T473">
        <v>6125</v>
      </c>
      <c r="U473">
        <v>0</v>
      </c>
      <c r="V473">
        <v>6125</v>
      </c>
    </row>
    <row r="474" spans="1:22" x14ac:dyDescent="0.3">
      <c r="A474">
        <v>79452</v>
      </c>
      <c r="B474">
        <v>135214001</v>
      </c>
      <c r="C474" t="s">
        <v>2772</v>
      </c>
      <c r="D474" t="s">
        <v>2773</v>
      </c>
      <c r="E474" t="s">
        <v>490</v>
      </c>
      <c r="F474" t="s">
        <v>491</v>
      </c>
      <c r="G474" t="s">
        <v>49</v>
      </c>
      <c r="H474" t="s">
        <v>50</v>
      </c>
      <c r="I474" t="s">
        <v>34</v>
      </c>
      <c r="J474" t="s">
        <v>51</v>
      </c>
      <c r="K474" t="s">
        <v>41</v>
      </c>
      <c r="L474" t="s">
        <v>52</v>
      </c>
      <c r="M474" t="s">
        <v>2774</v>
      </c>
      <c r="N474" t="s">
        <v>494</v>
      </c>
      <c r="O474" t="s">
        <v>69</v>
      </c>
      <c r="P474" t="s">
        <v>2775</v>
      </c>
      <c r="Q474" s="14" t="s">
        <v>190</v>
      </c>
      <c r="R474" t="s">
        <v>928</v>
      </c>
      <c r="S474">
        <v>0.49</v>
      </c>
      <c r="T474">
        <v>5789</v>
      </c>
      <c r="U474">
        <v>0</v>
      </c>
      <c r="V474">
        <v>5789</v>
      </c>
    </row>
    <row r="475" spans="1:22" x14ac:dyDescent="0.3">
      <c r="A475">
        <v>79452</v>
      </c>
      <c r="B475">
        <v>135377353</v>
      </c>
      <c r="C475" t="s">
        <v>2776</v>
      </c>
      <c r="D475" t="s">
        <v>2777</v>
      </c>
      <c r="E475" t="s">
        <v>490</v>
      </c>
      <c r="F475" t="s">
        <v>491</v>
      </c>
      <c r="G475" t="s">
        <v>49</v>
      </c>
      <c r="H475" t="s">
        <v>50</v>
      </c>
      <c r="I475" t="s">
        <v>34</v>
      </c>
      <c r="J475" t="s">
        <v>51</v>
      </c>
      <c r="K475" t="s">
        <v>41</v>
      </c>
      <c r="L475" t="s">
        <v>52</v>
      </c>
      <c r="M475" t="s">
        <v>2778</v>
      </c>
      <c r="N475" t="s">
        <v>494</v>
      </c>
      <c r="O475" t="s">
        <v>69</v>
      </c>
      <c r="P475" t="s">
        <v>2779</v>
      </c>
      <c r="Q475" s="14" t="s">
        <v>171</v>
      </c>
      <c r="R475" t="s">
        <v>696</v>
      </c>
      <c r="S475">
        <v>0.41</v>
      </c>
      <c r="T475">
        <v>3776</v>
      </c>
      <c r="U475">
        <v>0</v>
      </c>
      <c r="V475">
        <v>3776</v>
      </c>
    </row>
    <row r="476" spans="1:22" x14ac:dyDescent="0.3">
      <c r="A476">
        <v>79452</v>
      </c>
      <c r="B476">
        <v>135412535</v>
      </c>
      <c r="C476" t="s">
        <v>2780</v>
      </c>
      <c r="D476" t="s">
        <v>2781</v>
      </c>
      <c r="E476" t="s">
        <v>490</v>
      </c>
      <c r="F476" t="s">
        <v>491</v>
      </c>
      <c r="G476" t="s">
        <v>49</v>
      </c>
      <c r="H476" t="s">
        <v>50</v>
      </c>
      <c r="I476" t="s">
        <v>34</v>
      </c>
      <c r="J476" t="s">
        <v>51</v>
      </c>
      <c r="K476" t="s">
        <v>41</v>
      </c>
      <c r="L476" t="s">
        <v>52</v>
      </c>
      <c r="M476" t="s">
        <v>2782</v>
      </c>
      <c r="N476" t="s">
        <v>494</v>
      </c>
      <c r="O476" t="s">
        <v>69</v>
      </c>
      <c r="P476" t="s">
        <v>2783</v>
      </c>
      <c r="Q476" s="14" t="s">
        <v>59</v>
      </c>
      <c r="R476" t="s">
        <v>591</v>
      </c>
      <c r="S476">
        <v>0.24</v>
      </c>
      <c r="T476">
        <v>3776</v>
      </c>
      <c r="U476">
        <v>0</v>
      </c>
      <c r="V476">
        <v>3776</v>
      </c>
    </row>
    <row r="477" spans="1:22" x14ac:dyDescent="0.3">
      <c r="A477">
        <v>79452</v>
      </c>
      <c r="B477">
        <v>135311694</v>
      </c>
      <c r="C477" t="s">
        <v>2784</v>
      </c>
      <c r="D477" t="s">
        <v>2785</v>
      </c>
      <c r="E477" t="s">
        <v>490</v>
      </c>
      <c r="F477" t="s">
        <v>491</v>
      </c>
      <c r="G477" t="s">
        <v>49</v>
      </c>
      <c r="H477" t="s">
        <v>50</v>
      </c>
      <c r="I477" t="s">
        <v>34</v>
      </c>
      <c r="J477" t="s">
        <v>51</v>
      </c>
      <c r="K477" t="s">
        <v>41</v>
      </c>
      <c r="L477" t="s">
        <v>52</v>
      </c>
      <c r="M477" t="s">
        <v>2786</v>
      </c>
      <c r="N477" t="s">
        <v>494</v>
      </c>
      <c r="O477" t="s">
        <v>69</v>
      </c>
      <c r="P477" t="s">
        <v>2787</v>
      </c>
      <c r="Q477" s="14" t="s">
        <v>143</v>
      </c>
      <c r="R477" t="s">
        <v>665</v>
      </c>
      <c r="S477">
        <v>0.47</v>
      </c>
      <c r="T477">
        <v>3776</v>
      </c>
      <c r="U477">
        <v>0</v>
      </c>
      <c r="V477">
        <v>3776</v>
      </c>
    </row>
    <row r="478" spans="1:22" x14ac:dyDescent="0.3">
      <c r="A478">
        <v>79452</v>
      </c>
      <c r="B478">
        <v>135336824</v>
      </c>
      <c r="C478" t="s">
        <v>2788</v>
      </c>
      <c r="D478" t="s">
        <v>2789</v>
      </c>
      <c r="E478" t="s">
        <v>490</v>
      </c>
      <c r="F478" t="s">
        <v>491</v>
      </c>
      <c r="G478" t="s">
        <v>49</v>
      </c>
      <c r="H478" t="s">
        <v>50</v>
      </c>
      <c r="I478" t="s">
        <v>34</v>
      </c>
      <c r="J478" t="s">
        <v>51</v>
      </c>
      <c r="K478" t="s">
        <v>41</v>
      </c>
      <c r="L478" t="s">
        <v>52</v>
      </c>
      <c r="M478" t="s">
        <v>2790</v>
      </c>
      <c r="N478" t="s">
        <v>494</v>
      </c>
      <c r="O478" t="s">
        <v>69</v>
      </c>
      <c r="P478" t="s">
        <v>2791</v>
      </c>
      <c r="Q478" s="14" t="s">
        <v>208</v>
      </c>
      <c r="R478" t="s">
        <v>481</v>
      </c>
      <c r="S478">
        <v>0.45</v>
      </c>
      <c r="T478">
        <v>5733</v>
      </c>
      <c r="U478">
        <v>0</v>
      </c>
      <c r="V478">
        <v>5733</v>
      </c>
    </row>
    <row r="479" spans="1:22" x14ac:dyDescent="0.3">
      <c r="A479">
        <v>79452</v>
      </c>
      <c r="B479">
        <v>135377366</v>
      </c>
      <c r="C479" t="s">
        <v>2792</v>
      </c>
      <c r="D479" t="s">
        <v>2793</v>
      </c>
      <c r="E479" t="s">
        <v>490</v>
      </c>
      <c r="F479" t="s">
        <v>491</v>
      </c>
      <c r="G479" t="s">
        <v>49</v>
      </c>
      <c r="H479" t="s">
        <v>50</v>
      </c>
      <c r="I479" t="s">
        <v>34</v>
      </c>
      <c r="J479" t="s">
        <v>51</v>
      </c>
      <c r="K479" t="s">
        <v>41</v>
      </c>
      <c r="L479" t="s">
        <v>52</v>
      </c>
      <c r="M479" t="s">
        <v>2794</v>
      </c>
      <c r="N479" t="s">
        <v>494</v>
      </c>
      <c r="O479" t="s">
        <v>69</v>
      </c>
      <c r="P479" t="s">
        <v>2795</v>
      </c>
      <c r="Q479" s="14" t="s">
        <v>59</v>
      </c>
      <c r="R479" t="s">
        <v>702</v>
      </c>
      <c r="S479">
        <v>1.05</v>
      </c>
      <c r="T479">
        <v>3915</v>
      </c>
      <c r="U479">
        <v>0</v>
      </c>
      <c r="V479">
        <v>3915</v>
      </c>
    </row>
    <row r="480" spans="1:22" x14ac:dyDescent="0.3">
      <c r="A480">
        <v>79452</v>
      </c>
      <c r="B480">
        <v>135421236</v>
      </c>
      <c r="C480" t="s">
        <v>2796</v>
      </c>
      <c r="D480" t="s">
        <v>2797</v>
      </c>
      <c r="E480" t="s">
        <v>490</v>
      </c>
      <c r="F480" t="s">
        <v>491</v>
      </c>
      <c r="G480" t="s">
        <v>49</v>
      </c>
      <c r="H480" t="s">
        <v>50</v>
      </c>
      <c r="I480" t="s">
        <v>34</v>
      </c>
      <c r="J480" t="s">
        <v>51</v>
      </c>
      <c r="K480" t="s">
        <v>41</v>
      </c>
      <c r="L480" t="s">
        <v>52</v>
      </c>
      <c r="M480" t="s">
        <v>2798</v>
      </c>
      <c r="N480" t="s">
        <v>494</v>
      </c>
      <c r="O480" t="s">
        <v>69</v>
      </c>
      <c r="P480" t="s">
        <v>2799</v>
      </c>
      <c r="Q480" s="14" t="s">
        <v>75</v>
      </c>
      <c r="R480" t="s">
        <v>506</v>
      </c>
      <c r="S480">
        <v>0.54</v>
      </c>
      <c r="T480">
        <v>3915</v>
      </c>
      <c r="U480">
        <v>0</v>
      </c>
      <c r="V480">
        <v>3915</v>
      </c>
    </row>
    <row r="481" spans="1:22" x14ac:dyDescent="0.3">
      <c r="A481">
        <v>79452</v>
      </c>
      <c r="B481">
        <v>135352449</v>
      </c>
      <c r="C481" t="s">
        <v>2800</v>
      </c>
      <c r="D481" t="s">
        <v>2801</v>
      </c>
      <c r="E481" t="s">
        <v>490</v>
      </c>
      <c r="F481" t="s">
        <v>491</v>
      </c>
      <c r="G481" t="s">
        <v>49</v>
      </c>
      <c r="H481" t="s">
        <v>50</v>
      </c>
      <c r="I481" t="s">
        <v>34</v>
      </c>
      <c r="J481" t="s">
        <v>51</v>
      </c>
      <c r="K481" t="s">
        <v>41</v>
      </c>
      <c r="L481" t="s">
        <v>52</v>
      </c>
      <c r="M481" t="s">
        <v>2802</v>
      </c>
      <c r="N481" t="s">
        <v>494</v>
      </c>
      <c r="O481" t="s">
        <v>69</v>
      </c>
      <c r="P481" t="s">
        <v>2803</v>
      </c>
      <c r="Q481" s="14" t="s">
        <v>71</v>
      </c>
      <c r="R481" t="s">
        <v>690</v>
      </c>
      <c r="S481">
        <v>0.61</v>
      </c>
      <c r="T481">
        <v>5992</v>
      </c>
      <c r="U481">
        <v>0</v>
      </c>
      <c r="V481">
        <v>5992</v>
      </c>
    </row>
    <row r="482" spans="1:22" x14ac:dyDescent="0.3">
      <c r="A482">
        <v>79452</v>
      </c>
      <c r="B482">
        <v>135449431</v>
      </c>
      <c r="C482" t="s">
        <v>2804</v>
      </c>
      <c r="D482" t="s">
        <v>2805</v>
      </c>
      <c r="E482" t="s">
        <v>490</v>
      </c>
      <c r="F482" t="s">
        <v>491</v>
      </c>
      <c r="G482" t="s">
        <v>49</v>
      </c>
      <c r="H482" t="s">
        <v>50</v>
      </c>
      <c r="I482" t="s">
        <v>34</v>
      </c>
      <c r="J482" t="s">
        <v>51</v>
      </c>
      <c r="K482" t="s">
        <v>41</v>
      </c>
      <c r="L482" t="s">
        <v>52</v>
      </c>
      <c r="M482" t="s">
        <v>2806</v>
      </c>
      <c r="N482" t="s">
        <v>494</v>
      </c>
      <c r="O482" t="s">
        <v>69</v>
      </c>
      <c r="P482" t="s">
        <v>2807</v>
      </c>
      <c r="Q482" s="14" t="s">
        <v>59</v>
      </c>
      <c r="R482" t="s">
        <v>396</v>
      </c>
      <c r="S482">
        <v>0.39</v>
      </c>
      <c r="T482">
        <v>3776</v>
      </c>
      <c r="U482">
        <v>0</v>
      </c>
      <c r="V482">
        <v>3776</v>
      </c>
    </row>
    <row r="483" spans="1:22" x14ac:dyDescent="0.3">
      <c r="A483">
        <v>79452</v>
      </c>
      <c r="B483">
        <v>135421210</v>
      </c>
      <c r="C483" t="s">
        <v>2808</v>
      </c>
      <c r="D483" t="s">
        <v>2809</v>
      </c>
      <c r="E483" t="s">
        <v>490</v>
      </c>
      <c r="F483" t="s">
        <v>491</v>
      </c>
      <c r="G483" t="s">
        <v>49</v>
      </c>
      <c r="H483" t="s">
        <v>50</v>
      </c>
      <c r="I483" t="s">
        <v>34</v>
      </c>
      <c r="J483" t="s">
        <v>51</v>
      </c>
      <c r="K483" t="s">
        <v>41</v>
      </c>
      <c r="L483" t="s">
        <v>52</v>
      </c>
      <c r="M483" t="s">
        <v>2810</v>
      </c>
      <c r="N483" t="s">
        <v>494</v>
      </c>
      <c r="O483" t="s">
        <v>69</v>
      </c>
      <c r="P483" t="s">
        <v>2811</v>
      </c>
      <c r="Q483" s="14" t="s">
        <v>236</v>
      </c>
      <c r="R483" t="s">
        <v>506</v>
      </c>
      <c r="S483">
        <v>0.65</v>
      </c>
      <c r="T483">
        <v>7402</v>
      </c>
      <c r="U483">
        <v>0</v>
      </c>
      <c r="V483">
        <v>7402</v>
      </c>
    </row>
    <row r="484" spans="1:22" x14ac:dyDescent="0.3">
      <c r="A484">
        <v>79452</v>
      </c>
      <c r="B484">
        <v>135187157</v>
      </c>
      <c r="C484" t="s">
        <v>2812</v>
      </c>
      <c r="D484" t="s">
        <v>2813</v>
      </c>
      <c r="E484" t="s">
        <v>490</v>
      </c>
      <c r="F484" t="s">
        <v>491</v>
      </c>
      <c r="G484" t="s">
        <v>49</v>
      </c>
      <c r="H484" t="s">
        <v>50</v>
      </c>
      <c r="I484" t="s">
        <v>34</v>
      </c>
      <c r="J484" t="s">
        <v>51</v>
      </c>
      <c r="K484" t="s">
        <v>41</v>
      </c>
      <c r="L484" t="s">
        <v>52</v>
      </c>
      <c r="M484" t="s">
        <v>2814</v>
      </c>
      <c r="N484" t="s">
        <v>494</v>
      </c>
      <c r="O484" t="s">
        <v>69</v>
      </c>
      <c r="P484" t="s">
        <v>2815</v>
      </c>
      <c r="Q484" s="14" t="s">
        <v>207</v>
      </c>
      <c r="R484" t="s">
        <v>954</v>
      </c>
      <c r="S484">
        <v>0.44</v>
      </c>
      <c r="T484">
        <v>3776</v>
      </c>
      <c r="U484">
        <v>0</v>
      </c>
      <c r="V484">
        <v>3776</v>
      </c>
    </row>
    <row r="485" spans="1:22" x14ac:dyDescent="0.3">
      <c r="A485">
        <v>79452</v>
      </c>
      <c r="B485">
        <v>135213966</v>
      </c>
      <c r="C485" t="s">
        <v>2816</v>
      </c>
      <c r="D485" t="s">
        <v>2817</v>
      </c>
      <c r="E485" t="s">
        <v>490</v>
      </c>
      <c r="F485" t="s">
        <v>491</v>
      </c>
      <c r="G485" t="s">
        <v>49</v>
      </c>
      <c r="H485" t="s">
        <v>50</v>
      </c>
      <c r="I485" t="s">
        <v>34</v>
      </c>
      <c r="J485" t="s">
        <v>51</v>
      </c>
      <c r="K485" t="s">
        <v>41</v>
      </c>
      <c r="L485" t="s">
        <v>52</v>
      </c>
      <c r="M485" t="s">
        <v>2818</v>
      </c>
      <c r="N485" t="s">
        <v>494</v>
      </c>
      <c r="O485" t="s">
        <v>69</v>
      </c>
      <c r="P485" t="s">
        <v>2819</v>
      </c>
      <c r="Q485" s="14" t="s">
        <v>183</v>
      </c>
      <c r="R485" t="s">
        <v>928</v>
      </c>
      <c r="S485">
        <v>1.08</v>
      </c>
      <c r="T485">
        <v>6381</v>
      </c>
      <c r="U485">
        <v>0</v>
      </c>
      <c r="V485">
        <v>6381</v>
      </c>
    </row>
    <row r="486" spans="1:22" x14ac:dyDescent="0.3">
      <c r="A486">
        <v>79452</v>
      </c>
      <c r="B486">
        <v>135187153</v>
      </c>
      <c r="C486" t="s">
        <v>2820</v>
      </c>
      <c r="D486" t="s">
        <v>2821</v>
      </c>
      <c r="E486" t="s">
        <v>490</v>
      </c>
      <c r="F486" t="s">
        <v>491</v>
      </c>
      <c r="G486" t="s">
        <v>49</v>
      </c>
      <c r="H486" t="s">
        <v>50</v>
      </c>
      <c r="I486" t="s">
        <v>34</v>
      </c>
      <c r="J486" t="s">
        <v>51</v>
      </c>
      <c r="K486" t="s">
        <v>41</v>
      </c>
      <c r="L486" t="s">
        <v>52</v>
      </c>
      <c r="M486" t="s">
        <v>2822</v>
      </c>
      <c r="N486" t="s">
        <v>494</v>
      </c>
      <c r="O486" t="s">
        <v>69</v>
      </c>
      <c r="P486" t="s">
        <v>2823</v>
      </c>
      <c r="Q486" s="14" t="s">
        <v>75</v>
      </c>
      <c r="R486" t="s">
        <v>954</v>
      </c>
      <c r="S486">
        <v>1.65</v>
      </c>
      <c r="T486">
        <v>4168</v>
      </c>
      <c r="U486">
        <v>0</v>
      </c>
      <c r="V486">
        <v>4168</v>
      </c>
    </row>
    <row r="487" spans="1:22" x14ac:dyDescent="0.3">
      <c r="A487">
        <v>79452</v>
      </c>
      <c r="B487">
        <v>135352430</v>
      </c>
      <c r="C487" t="s">
        <v>2824</v>
      </c>
      <c r="D487" t="s">
        <v>2825</v>
      </c>
      <c r="E487" t="s">
        <v>490</v>
      </c>
      <c r="F487" t="s">
        <v>491</v>
      </c>
      <c r="G487" t="s">
        <v>49</v>
      </c>
      <c r="H487" t="s">
        <v>50</v>
      </c>
      <c r="I487" t="s">
        <v>34</v>
      </c>
      <c r="J487" t="s">
        <v>51</v>
      </c>
      <c r="K487" t="s">
        <v>41</v>
      </c>
      <c r="L487" t="s">
        <v>52</v>
      </c>
      <c r="M487" t="s">
        <v>2826</v>
      </c>
      <c r="N487" t="s">
        <v>494</v>
      </c>
      <c r="O487" t="s">
        <v>69</v>
      </c>
      <c r="P487" t="s">
        <v>2827</v>
      </c>
      <c r="Q487" s="14" t="s">
        <v>71</v>
      </c>
      <c r="R487" t="s">
        <v>690</v>
      </c>
      <c r="S487">
        <v>2.38</v>
      </c>
      <c r="T487">
        <v>6800</v>
      </c>
      <c r="U487">
        <v>0</v>
      </c>
      <c r="V487">
        <v>6800</v>
      </c>
    </row>
    <row r="488" spans="1:22" x14ac:dyDescent="0.3">
      <c r="A488">
        <v>79452</v>
      </c>
      <c r="B488">
        <v>135254538</v>
      </c>
      <c r="C488" t="s">
        <v>2828</v>
      </c>
      <c r="D488" t="s">
        <v>2829</v>
      </c>
      <c r="E488" t="s">
        <v>490</v>
      </c>
      <c r="F488" t="s">
        <v>491</v>
      </c>
      <c r="G488" t="s">
        <v>49</v>
      </c>
      <c r="H488" t="s">
        <v>50</v>
      </c>
      <c r="I488" t="s">
        <v>34</v>
      </c>
      <c r="J488" t="s">
        <v>51</v>
      </c>
      <c r="K488" t="s">
        <v>41</v>
      </c>
      <c r="L488" t="s">
        <v>52</v>
      </c>
      <c r="M488" t="s">
        <v>2830</v>
      </c>
      <c r="N488" t="s">
        <v>494</v>
      </c>
      <c r="O488" t="s">
        <v>69</v>
      </c>
      <c r="P488" t="s">
        <v>2831</v>
      </c>
      <c r="Q488" s="14" t="s">
        <v>59</v>
      </c>
      <c r="R488" t="s">
        <v>305</v>
      </c>
      <c r="S488">
        <v>0.57999999999999996</v>
      </c>
      <c r="T488">
        <v>3915</v>
      </c>
      <c r="U488">
        <v>0</v>
      </c>
      <c r="V488">
        <v>3915</v>
      </c>
    </row>
    <row r="489" spans="1:22" x14ac:dyDescent="0.3">
      <c r="A489">
        <v>79452</v>
      </c>
      <c r="B489">
        <v>135072651</v>
      </c>
      <c r="C489" t="s">
        <v>2832</v>
      </c>
      <c r="D489" t="s">
        <v>2833</v>
      </c>
      <c r="E489" t="s">
        <v>490</v>
      </c>
      <c r="F489" t="s">
        <v>491</v>
      </c>
      <c r="G489" t="s">
        <v>49</v>
      </c>
      <c r="H489" t="s">
        <v>50</v>
      </c>
      <c r="I489" t="s">
        <v>34</v>
      </c>
      <c r="J489" t="s">
        <v>51</v>
      </c>
      <c r="K489" t="s">
        <v>41</v>
      </c>
      <c r="L489" t="s">
        <v>52</v>
      </c>
      <c r="M489" t="s">
        <v>2834</v>
      </c>
      <c r="N489" t="s">
        <v>494</v>
      </c>
      <c r="O489" t="s">
        <v>69</v>
      </c>
      <c r="P489" t="s">
        <v>2835</v>
      </c>
      <c r="Q489" s="14" t="s">
        <v>75</v>
      </c>
      <c r="R489" t="s">
        <v>1377</v>
      </c>
      <c r="S489">
        <v>0.73</v>
      </c>
      <c r="T489">
        <v>3915</v>
      </c>
      <c r="U489">
        <v>0</v>
      </c>
      <c r="V489">
        <v>3915</v>
      </c>
    </row>
    <row r="490" spans="1:22" x14ac:dyDescent="0.3">
      <c r="A490">
        <v>79452</v>
      </c>
      <c r="B490">
        <v>135144962</v>
      </c>
      <c r="C490" t="s">
        <v>2836</v>
      </c>
      <c r="D490" t="s">
        <v>2837</v>
      </c>
      <c r="E490" t="s">
        <v>490</v>
      </c>
      <c r="F490" t="s">
        <v>491</v>
      </c>
      <c r="G490" t="s">
        <v>49</v>
      </c>
      <c r="H490" t="s">
        <v>50</v>
      </c>
      <c r="I490" t="s">
        <v>34</v>
      </c>
      <c r="J490" t="s">
        <v>51</v>
      </c>
      <c r="K490" t="s">
        <v>41</v>
      </c>
      <c r="L490" t="s">
        <v>52</v>
      </c>
      <c r="M490" t="s">
        <v>2838</v>
      </c>
      <c r="N490" t="s">
        <v>494</v>
      </c>
      <c r="O490" t="s">
        <v>69</v>
      </c>
      <c r="P490" t="s">
        <v>2839</v>
      </c>
      <c r="Q490" s="14" t="s">
        <v>75</v>
      </c>
      <c r="R490" t="s">
        <v>1065</v>
      </c>
      <c r="S490">
        <v>0.82</v>
      </c>
      <c r="T490">
        <v>3915</v>
      </c>
      <c r="U490">
        <v>0</v>
      </c>
      <c r="V490">
        <v>3915</v>
      </c>
    </row>
    <row r="491" spans="1:22" x14ac:dyDescent="0.3">
      <c r="A491">
        <v>79452</v>
      </c>
      <c r="B491">
        <v>134981447</v>
      </c>
      <c r="C491" t="s">
        <v>2840</v>
      </c>
      <c r="D491" t="s">
        <v>2841</v>
      </c>
      <c r="E491" t="s">
        <v>490</v>
      </c>
      <c r="F491" t="s">
        <v>491</v>
      </c>
      <c r="G491" t="s">
        <v>49</v>
      </c>
      <c r="H491" t="s">
        <v>50</v>
      </c>
      <c r="I491" t="s">
        <v>34</v>
      </c>
      <c r="J491" t="s">
        <v>51</v>
      </c>
      <c r="K491" t="s">
        <v>41</v>
      </c>
      <c r="L491" t="s">
        <v>52</v>
      </c>
      <c r="M491" t="s">
        <v>2842</v>
      </c>
      <c r="N491" t="s">
        <v>494</v>
      </c>
      <c r="O491" t="s">
        <v>69</v>
      </c>
      <c r="P491" t="s">
        <v>2843</v>
      </c>
      <c r="Q491" s="14" t="s">
        <v>142</v>
      </c>
      <c r="R491" t="s">
        <v>483</v>
      </c>
      <c r="S491">
        <v>0.75</v>
      </c>
      <c r="T491">
        <v>6064</v>
      </c>
      <c r="U491">
        <v>0</v>
      </c>
      <c r="V491">
        <v>6064</v>
      </c>
    </row>
    <row r="492" spans="1:22" x14ac:dyDescent="0.3">
      <c r="A492">
        <v>79452</v>
      </c>
      <c r="B492">
        <v>134981432</v>
      </c>
      <c r="C492" t="s">
        <v>2844</v>
      </c>
      <c r="D492" t="s">
        <v>2845</v>
      </c>
      <c r="E492" t="s">
        <v>490</v>
      </c>
      <c r="F492" t="s">
        <v>491</v>
      </c>
      <c r="G492" t="s">
        <v>49</v>
      </c>
      <c r="H492" t="s">
        <v>50</v>
      </c>
      <c r="I492" t="s">
        <v>34</v>
      </c>
      <c r="J492" t="s">
        <v>51</v>
      </c>
      <c r="K492" t="s">
        <v>41</v>
      </c>
      <c r="L492" t="s">
        <v>52</v>
      </c>
      <c r="M492" t="s">
        <v>2846</v>
      </c>
      <c r="N492" t="s">
        <v>494</v>
      </c>
      <c r="O492" t="s">
        <v>69</v>
      </c>
      <c r="P492" t="s">
        <v>2847</v>
      </c>
      <c r="Q492" s="14" t="s">
        <v>136</v>
      </c>
      <c r="R492" t="s">
        <v>483</v>
      </c>
      <c r="S492">
        <v>0.51</v>
      </c>
      <c r="T492">
        <v>7552</v>
      </c>
      <c r="U492">
        <v>0</v>
      </c>
      <c r="V492">
        <v>7552</v>
      </c>
    </row>
    <row r="493" spans="1:22" x14ac:dyDescent="0.3">
      <c r="A493">
        <v>79452</v>
      </c>
      <c r="B493">
        <v>135158657</v>
      </c>
      <c r="C493" t="s">
        <v>2848</v>
      </c>
      <c r="D493" t="s">
        <v>2849</v>
      </c>
      <c r="E493" t="s">
        <v>490</v>
      </c>
      <c r="F493" t="s">
        <v>491</v>
      </c>
      <c r="G493" t="s">
        <v>49</v>
      </c>
      <c r="H493" t="s">
        <v>50</v>
      </c>
      <c r="I493" t="s">
        <v>34</v>
      </c>
      <c r="J493" t="s">
        <v>51</v>
      </c>
      <c r="K493" t="s">
        <v>41</v>
      </c>
      <c r="L493" t="s">
        <v>52</v>
      </c>
      <c r="M493" t="s">
        <v>2850</v>
      </c>
      <c r="N493" t="s">
        <v>494</v>
      </c>
      <c r="O493" t="s">
        <v>69</v>
      </c>
      <c r="P493" t="s">
        <v>2851</v>
      </c>
      <c r="Q493" s="14" t="s">
        <v>54</v>
      </c>
      <c r="R493" t="s">
        <v>264</v>
      </c>
      <c r="S493">
        <v>0.26</v>
      </c>
      <c r="T493">
        <v>5601</v>
      </c>
      <c r="U493">
        <v>0</v>
      </c>
      <c r="V493">
        <v>5601</v>
      </c>
    </row>
    <row r="494" spans="1:22" x14ac:dyDescent="0.3">
      <c r="A494">
        <v>79452</v>
      </c>
      <c r="B494">
        <v>135047291</v>
      </c>
      <c r="C494" t="s">
        <v>2852</v>
      </c>
      <c r="D494" t="s">
        <v>2853</v>
      </c>
      <c r="E494" t="s">
        <v>490</v>
      </c>
      <c r="F494" t="s">
        <v>491</v>
      </c>
      <c r="G494" t="s">
        <v>49</v>
      </c>
      <c r="H494" t="s">
        <v>50</v>
      </c>
      <c r="I494" t="s">
        <v>34</v>
      </c>
      <c r="J494" t="s">
        <v>51</v>
      </c>
      <c r="K494" t="s">
        <v>41</v>
      </c>
      <c r="L494" t="s">
        <v>52</v>
      </c>
      <c r="M494" t="s">
        <v>2854</v>
      </c>
      <c r="N494" t="s">
        <v>494</v>
      </c>
      <c r="O494" t="s">
        <v>69</v>
      </c>
      <c r="P494" t="s">
        <v>2855</v>
      </c>
      <c r="Q494" s="14" t="s">
        <v>72</v>
      </c>
      <c r="R494" t="s">
        <v>276</v>
      </c>
      <c r="S494">
        <v>0.35</v>
      </c>
      <c r="T494">
        <v>5789</v>
      </c>
      <c r="U494">
        <v>0</v>
      </c>
      <c r="V494">
        <v>5789</v>
      </c>
    </row>
    <row r="495" spans="1:22" x14ac:dyDescent="0.3">
      <c r="A495">
        <v>79452</v>
      </c>
      <c r="B495">
        <v>134981441</v>
      </c>
      <c r="C495" t="s">
        <v>2856</v>
      </c>
      <c r="D495" t="s">
        <v>2857</v>
      </c>
      <c r="E495" t="s">
        <v>490</v>
      </c>
      <c r="F495" t="s">
        <v>491</v>
      </c>
      <c r="G495" t="s">
        <v>49</v>
      </c>
      <c r="H495" t="s">
        <v>50</v>
      </c>
      <c r="I495" t="s">
        <v>34</v>
      </c>
      <c r="J495" t="s">
        <v>51</v>
      </c>
      <c r="K495" t="s">
        <v>41</v>
      </c>
      <c r="L495" t="s">
        <v>52</v>
      </c>
      <c r="M495" t="s">
        <v>2858</v>
      </c>
      <c r="N495" t="s">
        <v>494</v>
      </c>
      <c r="O495" t="s">
        <v>69</v>
      </c>
      <c r="P495" t="s">
        <v>2859</v>
      </c>
      <c r="Q495" s="14" t="s">
        <v>59</v>
      </c>
      <c r="R495" t="s">
        <v>483</v>
      </c>
      <c r="S495">
        <v>0.28000000000000003</v>
      </c>
      <c r="T495">
        <v>3776</v>
      </c>
      <c r="U495">
        <v>0</v>
      </c>
      <c r="V495">
        <v>3776</v>
      </c>
    </row>
    <row r="496" spans="1:22" x14ac:dyDescent="0.3">
      <c r="A496">
        <v>79452</v>
      </c>
      <c r="B496">
        <v>135047305</v>
      </c>
      <c r="C496" t="s">
        <v>2860</v>
      </c>
      <c r="D496" t="s">
        <v>2861</v>
      </c>
      <c r="E496" t="s">
        <v>490</v>
      </c>
      <c r="F496" t="s">
        <v>491</v>
      </c>
      <c r="G496" t="s">
        <v>49</v>
      </c>
      <c r="H496" t="s">
        <v>50</v>
      </c>
      <c r="I496" t="s">
        <v>34</v>
      </c>
      <c r="J496" t="s">
        <v>51</v>
      </c>
      <c r="K496" t="s">
        <v>41</v>
      </c>
      <c r="L496" t="s">
        <v>52</v>
      </c>
      <c r="M496" t="s">
        <v>2862</v>
      </c>
      <c r="N496" t="s">
        <v>494</v>
      </c>
      <c r="O496" t="s">
        <v>69</v>
      </c>
      <c r="P496" t="s">
        <v>2863</v>
      </c>
      <c r="Q496" s="14" t="s">
        <v>54</v>
      </c>
      <c r="R496" t="s">
        <v>276</v>
      </c>
      <c r="S496">
        <v>0.28999999999999998</v>
      </c>
      <c r="T496">
        <v>5601</v>
      </c>
      <c r="U496">
        <v>0</v>
      </c>
      <c r="V496">
        <v>5601</v>
      </c>
    </row>
    <row r="497" spans="1:22" x14ac:dyDescent="0.3">
      <c r="A497">
        <v>79452</v>
      </c>
      <c r="B497">
        <v>135158628</v>
      </c>
      <c r="C497" t="s">
        <v>2864</v>
      </c>
      <c r="D497" t="s">
        <v>2865</v>
      </c>
      <c r="E497" t="s">
        <v>490</v>
      </c>
      <c r="F497" t="s">
        <v>491</v>
      </c>
      <c r="G497" t="s">
        <v>49</v>
      </c>
      <c r="H497" t="s">
        <v>50</v>
      </c>
      <c r="I497" t="s">
        <v>34</v>
      </c>
      <c r="J497" t="s">
        <v>51</v>
      </c>
      <c r="K497" t="s">
        <v>41</v>
      </c>
      <c r="L497" t="s">
        <v>52</v>
      </c>
      <c r="M497" t="s">
        <v>2866</v>
      </c>
      <c r="N497" t="s">
        <v>494</v>
      </c>
      <c r="O497" t="s">
        <v>69</v>
      </c>
      <c r="P497" t="s">
        <v>2867</v>
      </c>
      <c r="Q497" s="14" t="s">
        <v>54</v>
      </c>
      <c r="R497" t="s">
        <v>264</v>
      </c>
      <c r="S497">
        <v>0.26</v>
      </c>
      <c r="T497">
        <v>5601</v>
      </c>
      <c r="U497">
        <v>0</v>
      </c>
      <c r="V497">
        <v>5601</v>
      </c>
    </row>
    <row r="498" spans="1:22" x14ac:dyDescent="0.3">
      <c r="A498">
        <v>79452</v>
      </c>
      <c r="B498">
        <v>134779899</v>
      </c>
      <c r="C498" t="s">
        <v>2868</v>
      </c>
      <c r="D498" t="s">
        <v>2869</v>
      </c>
      <c r="E498" t="s">
        <v>490</v>
      </c>
      <c r="F498" t="s">
        <v>491</v>
      </c>
      <c r="G498" t="s">
        <v>49</v>
      </c>
      <c r="H498" t="s">
        <v>50</v>
      </c>
      <c r="I498" t="s">
        <v>34</v>
      </c>
      <c r="J498" t="s">
        <v>51</v>
      </c>
      <c r="K498" t="s">
        <v>41</v>
      </c>
      <c r="L498" t="s">
        <v>52</v>
      </c>
      <c r="M498" t="s">
        <v>2870</v>
      </c>
      <c r="N498" t="s">
        <v>494</v>
      </c>
      <c r="O498" t="s">
        <v>69</v>
      </c>
      <c r="P498" t="s">
        <v>2871</v>
      </c>
      <c r="Q498" s="14" t="s">
        <v>142</v>
      </c>
      <c r="R498" t="s">
        <v>256</v>
      </c>
      <c r="S498">
        <v>0.71</v>
      </c>
      <c r="T498">
        <v>6064</v>
      </c>
      <c r="U498">
        <v>0</v>
      </c>
      <c r="V498">
        <v>6064</v>
      </c>
    </row>
    <row r="499" spans="1:22" x14ac:dyDescent="0.3">
      <c r="A499">
        <v>79452</v>
      </c>
      <c r="B499">
        <v>134860708</v>
      </c>
      <c r="C499" t="s">
        <v>2872</v>
      </c>
      <c r="D499" t="s">
        <v>2873</v>
      </c>
      <c r="E499" t="s">
        <v>490</v>
      </c>
      <c r="F499" t="s">
        <v>491</v>
      </c>
      <c r="G499" t="s">
        <v>49</v>
      </c>
      <c r="H499" t="s">
        <v>50</v>
      </c>
      <c r="I499" t="s">
        <v>34</v>
      </c>
      <c r="J499" t="s">
        <v>51</v>
      </c>
      <c r="K499" t="s">
        <v>41</v>
      </c>
      <c r="L499" t="s">
        <v>52</v>
      </c>
      <c r="M499" t="s">
        <v>2874</v>
      </c>
      <c r="N499" t="s">
        <v>494</v>
      </c>
      <c r="O499" t="s">
        <v>69</v>
      </c>
      <c r="P499" t="s">
        <v>2875</v>
      </c>
      <c r="Q499" s="14" t="s">
        <v>190</v>
      </c>
      <c r="R499" t="s">
        <v>1787</v>
      </c>
      <c r="S499">
        <v>0.72</v>
      </c>
      <c r="T499">
        <v>6125</v>
      </c>
      <c r="U499">
        <v>0</v>
      </c>
      <c r="V499">
        <v>6125</v>
      </c>
    </row>
    <row r="500" spans="1:22" x14ac:dyDescent="0.3">
      <c r="A500">
        <v>79452</v>
      </c>
      <c r="B500">
        <v>134708982</v>
      </c>
      <c r="C500" t="s">
        <v>2876</v>
      </c>
      <c r="D500" t="s">
        <v>2877</v>
      </c>
      <c r="E500" t="s">
        <v>490</v>
      </c>
      <c r="F500" t="s">
        <v>491</v>
      </c>
      <c r="G500" t="s">
        <v>49</v>
      </c>
      <c r="H500" t="s">
        <v>50</v>
      </c>
      <c r="I500" t="s">
        <v>34</v>
      </c>
      <c r="J500" t="s">
        <v>51</v>
      </c>
      <c r="K500" t="s">
        <v>41</v>
      </c>
      <c r="L500" t="s">
        <v>52</v>
      </c>
      <c r="M500" t="s">
        <v>2878</v>
      </c>
      <c r="N500" t="s">
        <v>494</v>
      </c>
      <c r="O500" t="s">
        <v>69</v>
      </c>
      <c r="P500" t="s">
        <v>2879</v>
      </c>
      <c r="Q500" s="14" t="s">
        <v>59</v>
      </c>
      <c r="R500" t="s">
        <v>1727</v>
      </c>
      <c r="S500">
        <v>0.76</v>
      </c>
      <c r="T500">
        <v>3915</v>
      </c>
      <c r="U500">
        <v>0</v>
      </c>
      <c r="V500">
        <v>3915</v>
      </c>
    </row>
    <row r="501" spans="1:22" x14ac:dyDescent="0.3">
      <c r="A501">
        <v>79452</v>
      </c>
      <c r="B501">
        <v>134779913</v>
      </c>
      <c r="C501" t="s">
        <v>2880</v>
      </c>
      <c r="D501" t="s">
        <v>2881</v>
      </c>
      <c r="E501" t="s">
        <v>490</v>
      </c>
      <c r="F501" t="s">
        <v>491</v>
      </c>
      <c r="G501" t="s">
        <v>49</v>
      </c>
      <c r="H501" t="s">
        <v>50</v>
      </c>
      <c r="I501" t="s">
        <v>34</v>
      </c>
      <c r="J501" t="s">
        <v>51</v>
      </c>
      <c r="K501" t="s">
        <v>41</v>
      </c>
      <c r="L501" t="s">
        <v>52</v>
      </c>
      <c r="M501" t="s">
        <v>2882</v>
      </c>
      <c r="N501" t="s">
        <v>494</v>
      </c>
      <c r="O501" t="s">
        <v>69</v>
      </c>
      <c r="P501" t="s">
        <v>2883</v>
      </c>
      <c r="Q501" s="14" t="s">
        <v>75</v>
      </c>
      <c r="R501" t="s">
        <v>256</v>
      </c>
      <c r="S501">
        <v>0.22</v>
      </c>
      <c r="T501">
        <v>3776</v>
      </c>
      <c r="U501">
        <v>0</v>
      </c>
      <c r="V501">
        <v>3776</v>
      </c>
    </row>
    <row r="502" spans="1:22" x14ac:dyDescent="0.3">
      <c r="A502">
        <v>79452</v>
      </c>
      <c r="B502">
        <v>134709026</v>
      </c>
      <c r="C502" t="s">
        <v>2884</v>
      </c>
      <c r="D502" t="s">
        <v>2885</v>
      </c>
      <c r="E502" t="s">
        <v>490</v>
      </c>
      <c r="F502" t="s">
        <v>491</v>
      </c>
      <c r="G502" t="s">
        <v>49</v>
      </c>
      <c r="H502" t="s">
        <v>50</v>
      </c>
      <c r="I502" t="s">
        <v>34</v>
      </c>
      <c r="J502" t="s">
        <v>51</v>
      </c>
      <c r="K502" t="s">
        <v>41</v>
      </c>
      <c r="L502" t="s">
        <v>52</v>
      </c>
      <c r="M502" t="s">
        <v>2886</v>
      </c>
      <c r="N502" t="s">
        <v>494</v>
      </c>
      <c r="O502" t="s">
        <v>69</v>
      </c>
      <c r="P502" t="s">
        <v>2887</v>
      </c>
      <c r="Q502" s="14" t="s">
        <v>65</v>
      </c>
      <c r="R502" t="s">
        <v>1727</v>
      </c>
      <c r="S502">
        <v>1.1299999999999999</v>
      </c>
      <c r="T502">
        <v>6064</v>
      </c>
      <c r="U502">
        <v>0</v>
      </c>
      <c r="V502">
        <v>6064</v>
      </c>
    </row>
    <row r="503" spans="1:22" x14ac:dyDescent="0.3">
      <c r="A503">
        <v>79452</v>
      </c>
      <c r="B503">
        <v>134902230</v>
      </c>
      <c r="C503" t="s">
        <v>2888</v>
      </c>
      <c r="D503" t="s">
        <v>2889</v>
      </c>
      <c r="E503" t="s">
        <v>490</v>
      </c>
      <c r="F503" t="s">
        <v>491</v>
      </c>
      <c r="G503" t="s">
        <v>49</v>
      </c>
      <c r="H503" t="s">
        <v>50</v>
      </c>
      <c r="I503" t="s">
        <v>34</v>
      </c>
      <c r="J503" t="s">
        <v>51</v>
      </c>
      <c r="K503" t="s">
        <v>41</v>
      </c>
      <c r="L503" t="s">
        <v>52</v>
      </c>
      <c r="M503" t="s">
        <v>303</v>
      </c>
      <c r="N503" t="s">
        <v>494</v>
      </c>
      <c r="O503" t="s">
        <v>69</v>
      </c>
      <c r="P503" t="s">
        <v>2890</v>
      </c>
      <c r="Q503" s="14" t="s">
        <v>59</v>
      </c>
      <c r="R503" t="s">
        <v>1721</v>
      </c>
      <c r="S503">
        <v>2.66</v>
      </c>
      <c r="T503">
        <v>4168</v>
      </c>
      <c r="U503">
        <v>0</v>
      </c>
      <c r="V503">
        <v>4168</v>
      </c>
    </row>
    <row r="504" spans="1:22" x14ac:dyDescent="0.3">
      <c r="A504">
        <v>79452</v>
      </c>
      <c r="B504">
        <v>134708990</v>
      </c>
      <c r="C504" t="s">
        <v>2891</v>
      </c>
      <c r="D504" t="s">
        <v>2892</v>
      </c>
      <c r="E504" t="s">
        <v>490</v>
      </c>
      <c r="F504" t="s">
        <v>491</v>
      </c>
      <c r="G504" t="s">
        <v>49</v>
      </c>
      <c r="H504" t="s">
        <v>50</v>
      </c>
      <c r="I504" t="s">
        <v>34</v>
      </c>
      <c r="J504" t="s">
        <v>51</v>
      </c>
      <c r="K504" t="s">
        <v>41</v>
      </c>
      <c r="L504" t="s">
        <v>52</v>
      </c>
      <c r="M504" t="s">
        <v>422</v>
      </c>
      <c r="N504" t="s">
        <v>494</v>
      </c>
      <c r="O504" t="s">
        <v>69</v>
      </c>
      <c r="P504" t="s">
        <v>2893</v>
      </c>
      <c r="Q504" s="14" t="s">
        <v>54</v>
      </c>
      <c r="R504" t="s">
        <v>1727</v>
      </c>
      <c r="S504">
        <v>2.61</v>
      </c>
      <c r="T504">
        <v>6800</v>
      </c>
      <c r="U504">
        <v>0</v>
      </c>
      <c r="V504">
        <v>6800</v>
      </c>
    </row>
    <row r="505" spans="1:22" x14ac:dyDescent="0.3">
      <c r="A505">
        <v>79452</v>
      </c>
      <c r="B505">
        <v>134877326</v>
      </c>
      <c r="C505" t="s">
        <v>2894</v>
      </c>
      <c r="D505" t="s">
        <v>2895</v>
      </c>
      <c r="E505" t="s">
        <v>490</v>
      </c>
      <c r="F505" t="s">
        <v>491</v>
      </c>
      <c r="G505" t="s">
        <v>49</v>
      </c>
      <c r="H505" t="s">
        <v>50</v>
      </c>
      <c r="I505" t="s">
        <v>34</v>
      </c>
      <c r="J505" t="s">
        <v>51</v>
      </c>
      <c r="K505" t="s">
        <v>41</v>
      </c>
      <c r="L505" t="s">
        <v>52</v>
      </c>
      <c r="M505" t="s">
        <v>2896</v>
      </c>
      <c r="N505" t="s">
        <v>494</v>
      </c>
      <c r="O505" t="s">
        <v>69</v>
      </c>
      <c r="P505" t="s">
        <v>2897</v>
      </c>
      <c r="Q505" s="14" t="s">
        <v>103</v>
      </c>
      <c r="R505" t="s">
        <v>281</v>
      </c>
      <c r="S505">
        <v>0.67</v>
      </c>
      <c r="T505">
        <v>3915</v>
      </c>
      <c r="U505">
        <v>0</v>
      </c>
      <c r="V505">
        <v>3915</v>
      </c>
    </row>
    <row r="506" spans="1:22" x14ac:dyDescent="0.3">
      <c r="A506">
        <v>79452</v>
      </c>
      <c r="B506">
        <v>134860709</v>
      </c>
      <c r="C506" t="s">
        <v>2898</v>
      </c>
      <c r="D506" t="s">
        <v>2899</v>
      </c>
      <c r="E506" t="s">
        <v>490</v>
      </c>
      <c r="F506" t="s">
        <v>491</v>
      </c>
      <c r="G506" t="s">
        <v>49</v>
      </c>
      <c r="H506" t="s">
        <v>50</v>
      </c>
      <c r="I506" t="s">
        <v>34</v>
      </c>
      <c r="J506" t="s">
        <v>51</v>
      </c>
      <c r="K506" t="s">
        <v>41</v>
      </c>
      <c r="L506" t="s">
        <v>52</v>
      </c>
      <c r="M506" t="s">
        <v>436</v>
      </c>
      <c r="N506" t="s">
        <v>494</v>
      </c>
      <c r="O506" t="s">
        <v>69</v>
      </c>
      <c r="P506" t="s">
        <v>2900</v>
      </c>
      <c r="Q506" s="14" t="s">
        <v>143</v>
      </c>
      <c r="R506" t="s">
        <v>1787</v>
      </c>
      <c r="S506">
        <v>2.4</v>
      </c>
      <c r="T506">
        <v>4168</v>
      </c>
      <c r="U506">
        <v>0</v>
      </c>
      <c r="V506">
        <v>4168</v>
      </c>
    </row>
    <row r="507" spans="1:22" x14ac:dyDescent="0.3">
      <c r="A507">
        <v>79452</v>
      </c>
      <c r="B507">
        <v>134708916</v>
      </c>
      <c r="C507" t="s">
        <v>2901</v>
      </c>
      <c r="D507" t="s">
        <v>2902</v>
      </c>
      <c r="E507" t="s">
        <v>490</v>
      </c>
      <c r="F507" t="s">
        <v>491</v>
      </c>
      <c r="G507" t="s">
        <v>49</v>
      </c>
      <c r="H507" t="s">
        <v>50</v>
      </c>
      <c r="I507" t="s">
        <v>34</v>
      </c>
      <c r="J507" t="s">
        <v>51</v>
      </c>
      <c r="K507" t="s">
        <v>41</v>
      </c>
      <c r="L507" t="s">
        <v>52</v>
      </c>
      <c r="M507" t="s">
        <v>2903</v>
      </c>
      <c r="N507" t="s">
        <v>494</v>
      </c>
      <c r="O507" t="s">
        <v>69</v>
      </c>
      <c r="P507" t="s">
        <v>2904</v>
      </c>
      <c r="Q507" s="14" t="s">
        <v>54</v>
      </c>
      <c r="R507" t="s">
        <v>1418</v>
      </c>
      <c r="S507">
        <v>0.27</v>
      </c>
      <c r="T507">
        <v>5601</v>
      </c>
      <c r="U507">
        <v>0</v>
      </c>
      <c r="V507">
        <v>5601</v>
      </c>
    </row>
    <row r="508" spans="1:22" x14ac:dyDescent="0.3">
      <c r="A508">
        <v>79452</v>
      </c>
      <c r="B508">
        <v>134813828</v>
      </c>
      <c r="C508" t="s">
        <v>2905</v>
      </c>
      <c r="D508" t="s">
        <v>2906</v>
      </c>
      <c r="E508" t="s">
        <v>490</v>
      </c>
      <c r="F508" t="s">
        <v>491</v>
      </c>
      <c r="G508" t="s">
        <v>49</v>
      </c>
      <c r="H508" t="s">
        <v>50</v>
      </c>
      <c r="I508" t="s">
        <v>34</v>
      </c>
      <c r="J508" t="s">
        <v>51</v>
      </c>
      <c r="K508" t="s">
        <v>41</v>
      </c>
      <c r="L508" t="s">
        <v>52</v>
      </c>
      <c r="M508" t="s">
        <v>2907</v>
      </c>
      <c r="N508" t="s">
        <v>494</v>
      </c>
      <c r="O508" t="s">
        <v>69</v>
      </c>
      <c r="P508" t="s">
        <v>2908</v>
      </c>
      <c r="Q508" s="14" t="s">
        <v>183</v>
      </c>
      <c r="R508" t="s">
        <v>1781</v>
      </c>
      <c r="S508">
        <v>0.5</v>
      </c>
      <c r="T508">
        <v>5964</v>
      </c>
      <c r="U508">
        <v>0</v>
      </c>
      <c r="V508">
        <v>5964</v>
      </c>
    </row>
    <row r="509" spans="1:22" x14ac:dyDescent="0.3">
      <c r="A509">
        <v>79452</v>
      </c>
      <c r="B509">
        <v>134779917</v>
      </c>
      <c r="C509" t="s">
        <v>2909</v>
      </c>
      <c r="D509" t="s">
        <v>2910</v>
      </c>
      <c r="E509" t="s">
        <v>490</v>
      </c>
      <c r="F509" t="s">
        <v>491</v>
      </c>
      <c r="G509" t="s">
        <v>49</v>
      </c>
      <c r="H509" t="s">
        <v>50</v>
      </c>
      <c r="I509" t="s">
        <v>34</v>
      </c>
      <c r="J509" t="s">
        <v>51</v>
      </c>
      <c r="K509" t="s">
        <v>41</v>
      </c>
      <c r="L509" t="s">
        <v>52</v>
      </c>
      <c r="M509" t="s">
        <v>2882</v>
      </c>
      <c r="N509" t="s">
        <v>494</v>
      </c>
      <c r="O509" t="s">
        <v>69</v>
      </c>
      <c r="P509" t="s">
        <v>2883</v>
      </c>
      <c r="Q509" s="14" t="s">
        <v>75</v>
      </c>
      <c r="R509" t="s">
        <v>256</v>
      </c>
      <c r="S509">
        <v>0.65</v>
      </c>
      <c r="T509">
        <v>3915</v>
      </c>
      <c r="U509">
        <v>0</v>
      </c>
      <c r="V509">
        <v>3915</v>
      </c>
    </row>
    <row r="510" spans="1:22" x14ac:dyDescent="0.3">
      <c r="A510">
        <v>79452</v>
      </c>
      <c r="B510">
        <v>134708964</v>
      </c>
      <c r="C510" t="s">
        <v>2911</v>
      </c>
      <c r="D510" t="s">
        <v>2912</v>
      </c>
      <c r="E510" t="s">
        <v>490</v>
      </c>
      <c r="F510" t="s">
        <v>491</v>
      </c>
      <c r="G510" t="s">
        <v>49</v>
      </c>
      <c r="H510" t="s">
        <v>50</v>
      </c>
      <c r="I510" t="s">
        <v>34</v>
      </c>
      <c r="J510" t="s">
        <v>51</v>
      </c>
      <c r="K510" t="s">
        <v>41</v>
      </c>
      <c r="L510" t="s">
        <v>52</v>
      </c>
      <c r="M510" t="s">
        <v>2913</v>
      </c>
      <c r="N510" t="s">
        <v>494</v>
      </c>
      <c r="O510" t="s">
        <v>69</v>
      </c>
      <c r="P510" t="s">
        <v>2914</v>
      </c>
      <c r="Q510" s="14" t="s">
        <v>171</v>
      </c>
      <c r="R510" t="s">
        <v>1727</v>
      </c>
      <c r="S510">
        <v>1.63</v>
      </c>
      <c r="T510">
        <v>4168</v>
      </c>
      <c r="U510">
        <v>0</v>
      </c>
      <c r="V510">
        <v>4168</v>
      </c>
    </row>
    <row r="511" spans="1:22" x14ac:dyDescent="0.3">
      <c r="A511">
        <v>79452</v>
      </c>
      <c r="B511">
        <v>134779901</v>
      </c>
      <c r="C511" t="s">
        <v>2915</v>
      </c>
      <c r="D511" t="s">
        <v>2916</v>
      </c>
      <c r="E511" t="s">
        <v>490</v>
      </c>
      <c r="F511" t="s">
        <v>491</v>
      </c>
      <c r="G511" t="s">
        <v>49</v>
      </c>
      <c r="H511" t="s">
        <v>50</v>
      </c>
      <c r="I511" t="s">
        <v>34</v>
      </c>
      <c r="J511" t="s">
        <v>51</v>
      </c>
      <c r="K511" t="s">
        <v>41</v>
      </c>
      <c r="L511" t="s">
        <v>52</v>
      </c>
      <c r="M511" t="s">
        <v>123</v>
      </c>
      <c r="N511" t="s">
        <v>494</v>
      </c>
      <c r="O511" t="s">
        <v>69</v>
      </c>
      <c r="P511" t="s">
        <v>2917</v>
      </c>
      <c r="Q511" s="14" t="s">
        <v>59</v>
      </c>
      <c r="R511" t="s">
        <v>256</v>
      </c>
      <c r="S511">
        <v>0.28999999999999998</v>
      </c>
      <c r="T511">
        <v>3776</v>
      </c>
      <c r="U511">
        <v>0</v>
      </c>
      <c r="V511">
        <v>3776</v>
      </c>
    </row>
    <row r="512" spans="1:22" x14ac:dyDescent="0.3">
      <c r="A512">
        <v>79452</v>
      </c>
      <c r="B512">
        <v>134708923</v>
      </c>
      <c r="C512" t="s">
        <v>2918</v>
      </c>
      <c r="D512" t="s">
        <v>2919</v>
      </c>
      <c r="E512" t="s">
        <v>490</v>
      </c>
      <c r="F512" t="s">
        <v>491</v>
      </c>
      <c r="G512" t="s">
        <v>49</v>
      </c>
      <c r="H512" t="s">
        <v>50</v>
      </c>
      <c r="I512" t="s">
        <v>34</v>
      </c>
      <c r="J512" t="s">
        <v>51</v>
      </c>
      <c r="K512" t="s">
        <v>41</v>
      </c>
      <c r="L512" t="s">
        <v>52</v>
      </c>
      <c r="M512" t="s">
        <v>2920</v>
      </c>
      <c r="N512" t="s">
        <v>494</v>
      </c>
      <c r="O512" t="s">
        <v>69</v>
      </c>
      <c r="P512" t="s">
        <v>2921</v>
      </c>
      <c r="Q512" s="14" t="s">
        <v>84</v>
      </c>
      <c r="R512" t="s">
        <v>1418</v>
      </c>
      <c r="S512">
        <v>0.27</v>
      </c>
      <c r="T512">
        <v>5733</v>
      </c>
      <c r="U512">
        <v>0</v>
      </c>
      <c r="V512">
        <v>5733</v>
      </c>
    </row>
    <row r="513" spans="1:22" x14ac:dyDescent="0.3">
      <c r="A513">
        <v>79452</v>
      </c>
      <c r="B513">
        <v>134615192</v>
      </c>
      <c r="C513" t="s">
        <v>2922</v>
      </c>
      <c r="D513" t="s">
        <v>2923</v>
      </c>
      <c r="E513" t="s">
        <v>490</v>
      </c>
      <c r="F513" t="s">
        <v>491</v>
      </c>
      <c r="G513" t="s">
        <v>49</v>
      </c>
      <c r="H513" t="s">
        <v>50</v>
      </c>
      <c r="I513" t="s">
        <v>34</v>
      </c>
      <c r="J513" t="s">
        <v>51</v>
      </c>
      <c r="K513" t="s">
        <v>41</v>
      </c>
      <c r="L513" t="s">
        <v>52</v>
      </c>
      <c r="M513" t="s">
        <v>2924</v>
      </c>
      <c r="N513" t="s">
        <v>494</v>
      </c>
      <c r="O513" t="s">
        <v>69</v>
      </c>
      <c r="P513" t="s">
        <v>2925</v>
      </c>
      <c r="Q513" s="14" t="s">
        <v>87</v>
      </c>
      <c r="R513" t="s">
        <v>2926</v>
      </c>
      <c r="S513">
        <v>0.73</v>
      </c>
      <c r="T513">
        <v>5992</v>
      </c>
      <c r="U513">
        <v>0</v>
      </c>
      <c r="V513">
        <v>5992</v>
      </c>
    </row>
    <row r="514" spans="1:22" x14ac:dyDescent="0.3">
      <c r="A514">
        <v>79452</v>
      </c>
      <c r="B514">
        <v>134588253</v>
      </c>
      <c r="C514" t="s">
        <v>2927</v>
      </c>
      <c r="D514" t="s">
        <v>2928</v>
      </c>
      <c r="E514" t="s">
        <v>490</v>
      </c>
      <c r="F514" t="s">
        <v>491</v>
      </c>
      <c r="G514" t="s">
        <v>49</v>
      </c>
      <c r="H514" t="s">
        <v>50</v>
      </c>
      <c r="I514" t="s">
        <v>34</v>
      </c>
      <c r="J514" t="s">
        <v>51</v>
      </c>
      <c r="K514" t="s">
        <v>41</v>
      </c>
      <c r="L514" t="s">
        <v>52</v>
      </c>
      <c r="M514" t="s">
        <v>2802</v>
      </c>
      <c r="N514" t="s">
        <v>494</v>
      </c>
      <c r="O514" t="s">
        <v>69</v>
      </c>
      <c r="P514" t="s">
        <v>2929</v>
      </c>
      <c r="Q514" s="14" t="s">
        <v>71</v>
      </c>
      <c r="R514" t="s">
        <v>2421</v>
      </c>
      <c r="S514">
        <v>0.7</v>
      </c>
      <c r="T514">
        <v>5992</v>
      </c>
      <c r="U514">
        <v>0</v>
      </c>
      <c r="V514">
        <v>5992</v>
      </c>
    </row>
    <row r="515" spans="1:22" x14ac:dyDescent="0.3">
      <c r="A515">
        <v>79452</v>
      </c>
      <c r="B515">
        <v>134545157</v>
      </c>
      <c r="C515" t="s">
        <v>2930</v>
      </c>
      <c r="D515" t="s">
        <v>2931</v>
      </c>
      <c r="E515" t="s">
        <v>490</v>
      </c>
      <c r="F515" t="s">
        <v>491</v>
      </c>
      <c r="G515" t="s">
        <v>49</v>
      </c>
      <c r="H515" t="s">
        <v>50</v>
      </c>
      <c r="I515" t="s">
        <v>34</v>
      </c>
      <c r="J515" t="s">
        <v>51</v>
      </c>
      <c r="K515" t="s">
        <v>41</v>
      </c>
      <c r="L515" t="s">
        <v>52</v>
      </c>
      <c r="M515" t="s">
        <v>2932</v>
      </c>
      <c r="N515" t="s">
        <v>494</v>
      </c>
      <c r="O515" t="s">
        <v>69</v>
      </c>
      <c r="P515" t="s">
        <v>2933</v>
      </c>
      <c r="Q515" s="14" t="s">
        <v>207</v>
      </c>
      <c r="R515" t="s">
        <v>2197</v>
      </c>
      <c r="S515">
        <v>0.3</v>
      </c>
      <c r="T515">
        <v>3776</v>
      </c>
      <c r="U515">
        <v>0</v>
      </c>
      <c r="V515">
        <v>3776</v>
      </c>
    </row>
    <row r="516" spans="1:22" x14ac:dyDescent="0.3">
      <c r="A516">
        <v>79452</v>
      </c>
      <c r="B516">
        <v>134502015</v>
      </c>
      <c r="C516" t="s">
        <v>2934</v>
      </c>
      <c r="D516" t="s">
        <v>2935</v>
      </c>
      <c r="E516" t="s">
        <v>490</v>
      </c>
      <c r="F516" t="s">
        <v>491</v>
      </c>
      <c r="G516" t="s">
        <v>49</v>
      </c>
      <c r="H516" t="s">
        <v>50</v>
      </c>
      <c r="I516" t="s">
        <v>34</v>
      </c>
      <c r="J516" t="s">
        <v>51</v>
      </c>
      <c r="K516" t="s">
        <v>41</v>
      </c>
      <c r="L516" t="s">
        <v>52</v>
      </c>
      <c r="M516" t="s">
        <v>2936</v>
      </c>
      <c r="N516" t="s">
        <v>494</v>
      </c>
      <c r="O516" t="s">
        <v>69</v>
      </c>
      <c r="P516" t="s">
        <v>2937</v>
      </c>
      <c r="Q516" s="14" t="s">
        <v>71</v>
      </c>
      <c r="R516" t="s">
        <v>2938</v>
      </c>
      <c r="S516">
        <v>0.31</v>
      </c>
      <c r="T516">
        <v>5601</v>
      </c>
      <c r="U516">
        <v>0</v>
      </c>
      <c r="V516">
        <v>5601</v>
      </c>
    </row>
    <row r="517" spans="1:22" x14ac:dyDescent="0.3">
      <c r="A517">
        <v>79452</v>
      </c>
      <c r="B517">
        <v>134501973</v>
      </c>
      <c r="C517" t="s">
        <v>2939</v>
      </c>
      <c r="D517" t="s">
        <v>2940</v>
      </c>
      <c r="E517" t="s">
        <v>490</v>
      </c>
      <c r="F517" t="s">
        <v>491</v>
      </c>
      <c r="G517" t="s">
        <v>49</v>
      </c>
      <c r="H517" t="s">
        <v>50</v>
      </c>
      <c r="I517" t="s">
        <v>34</v>
      </c>
      <c r="J517" t="s">
        <v>51</v>
      </c>
      <c r="K517" t="s">
        <v>41</v>
      </c>
      <c r="L517" t="s">
        <v>52</v>
      </c>
      <c r="M517" t="s">
        <v>2941</v>
      </c>
      <c r="N517" t="s">
        <v>494</v>
      </c>
      <c r="O517" t="s">
        <v>69</v>
      </c>
      <c r="P517" t="s">
        <v>2942</v>
      </c>
      <c r="Q517" s="14" t="s">
        <v>75</v>
      </c>
      <c r="R517" t="s">
        <v>2536</v>
      </c>
      <c r="S517">
        <v>0.81</v>
      </c>
      <c r="T517">
        <v>3915</v>
      </c>
      <c r="U517">
        <v>0</v>
      </c>
      <c r="V517">
        <v>3915</v>
      </c>
    </row>
    <row r="518" spans="1:22" x14ac:dyDescent="0.3">
      <c r="A518">
        <v>79452</v>
      </c>
      <c r="B518">
        <v>134517730</v>
      </c>
      <c r="C518" t="s">
        <v>2943</v>
      </c>
      <c r="D518" t="s">
        <v>2944</v>
      </c>
      <c r="E518" t="s">
        <v>490</v>
      </c>
      <c r="F518" t="s">
        <v>491</v>
      </c>
      <c r="G518" t="s">
        <v>49</v>
      </c>
      <c r="H518" t="s">
        <v>50</v>
      </c>
      <c r="I518" t="s">
        <v>34</v>
      </c>
      <c r="J518" t="s">
        <v>51</v>
      </c>
      <c r="K518" t="s">
        <v>41</v>
      </c>
      <c r="L518" t="s">
        <v>52</v>
      </c>
      <c r="M518" t="s">
        <v>2945</v>
      </c>
      <c r="N518" t="s">
        <v>494</v>
      </c>
      <c r="O518" t="s">
        <v>69</v>
      </c>
      <c r="P518" t="s">
        <v>2946</v>
      </c>
      <c r="Q518" s="14" t="s">
        <v>171</v>
      </c>
      <c r="R518" t="s">
        <v>2947</v>
      </c>
      <c r="S518">
        <v>0.27</v>
      </c>
      <c r="T518">
        <v>3776</v>
      </c>
      <c r="U518">
        <v>0</v>
      </c>
      <c r="V518">
        <v>3776</v>
      </c>
    </row>
    <row r="519" spans="1:22" x14ac:dyDescent="0.3">
      <c r="A519">
        <v>79452</v>
      </c>
      <c r="B519">
        <v>134501975</v>
      </c>
      <c r="C519" t="s">
        <v>2948</v>
      </c>
      <c r="D519" t="s">
        <v>2949</v>
      </c>
      <c r="E519" t="s">
        <v>490</v>
      </c>
      <c r="F519" t="s">
        <v>491</v>
      </c>
      <c r="G519" t="s">
        <v>49</v>
      </c>
      <c r="H519" t="s">
        <v>50</v>
      </c>
      <c r="I519" t="s">
        <v>34</v>
      </c>
      <c r="J519" t="s">
        <v>51</v>
      </c>
      <c r="K519" t="s">
        <v>41</v>
      </c>
      <c r="L519" t="s">
        <v>52</v>
      </c>
      <c r="M519" t="s">
        <v>2838</v>
      </c>
      <c r="N519" t="s">
        <v>494</v>
      </c>
      <c r="O519" t="s">
        <v>69</v>
      </c>
      <c r="P519" t="s">
        <v>2839</v>
      </c>
      <c r="Q519" s="14" t="s">
        <v>75</v>
      </c>
      <c r="R519" t="s">
        <v>2536</v>
      </c>
      <c r="S519">
        <v>0.42</v>
      </c>
      <c r="T519">
        <v>3776</v>
      </c>
      <c r="U519">
        <v>0</v>
      </c>
      <c r="V519">
        <v>3776</v>
      </c>
    </row>
    <row r="520" spans="1:22" x14ac:dyDescent="0.3">
      <c r="A520">
        <v>79452</v>
      </c>
      <c r="B520">
        <v>134615194</v>
      </c>
      <c r="C520" t="s">
        <v>2950</v>
      </c>
      <c r="D520" t="s">
        <v>2951</v>
      </c>
      <c r="E520" t="s">
        <v>490</v>
      </c>
      <c r="F520" t="s">
        <v>491</v>
      </c>
      <c r="G520" t="s">
        <v>49</v>
      </c>
      <c r="H520" t="s">
        <v>50</v>
      </c>
      <c r="I520" t="s">
        <v>34</v>
      </c>
      <c r="J520" t="s">
        <v>51</v>
      </c>
      <c r="K520" t="s">
        <v>41</v>
      </c>
      <c r="L520" t="s">
        <v>52</v>
      </c>
      <c r="M520" t="s">
        <v>2952</v>
      </c>
      <c r="N520" t="s">
        <v>494</v>
      </c>
      <c r="O520" t="s">
        <v>69</v>
      </c>
      <c r="P520" t="s">
        <v>2953</v>
      </c>
      <c r="Q520" s="14" t="s">
        <v>239</v>
      </c>
      <c r="R520" t="s">
        <v>1699</v>
      </c>
      <c r="S520">
        <v>0.67</v>
      </c>
      <c r="T520">
        <v>6064</v>
      </c>
      <c r="U520">
        <v>0</v>
      </c>
      <c r="V520">
        <v>6064</v>
      </c>
    </row>
    <row r="521" spans="1:22" x14ac:dyDescent="0.3">
      <c r="A521">
        <v>79452</v>
      </c>
      <c r="B521">
        <v>134501986</v>
      </c>
      <c r="C521" t="s">
        <v>2954</v>
      </c>
      <c r="D521" t="s">
        <v>2955</v>
      </c>
      <c r="E521" t="s">
        <v>490</v>
      </c>
      <c r="F521" t="s">
        <v>491</v>
      </c>
      <c r="G521" t="s">
        <v>49</v>
      </c>
      <c r="H521" t="s">
        <v>50</v>
      </c>
      <c r="I521" t="s">
        <v>34</v>
      </c>
      <c r="J521" t="s">
        <v>51</v>
      </c>
      <c r="K521" t="s">
        <v>56</v>
      </c>
      <c r="L521" t="s">
        <v>2956</v>
      </c>
      <c r="M521" t="s">
        <v>2957</v>
      </c>
      <c r="N521" t="s">
        <v>494</v>
      </c>
      <c r="O521" t="s">
        <v>69</v>
      </c>
      <c r="P521" t="s">
        <v>2958</v>
      </c>
      <c r="Q521" s="14" t="s">
        <v>183</v>
      </c>
      <c r="R521" t="s">
        <v>2536</v>
      </c>
      <c r="S521">
        <v>0.36</v>
      </c>
      <c r="T521">
        <v>5964</v>
      </c>
      <c r="U521">
        <v>0</v>
      </c>
      <c r="V521">
        <v>5964</v>
      </c>
    </row>
    <row r="522" spans="1:22" x14ac:dyDescent="0.3">
      <c r="A522">
        <v>79452</v>
      </c>
      <c r="B522">
        <v>134615202</v>
      </c>
      <c r="C522" t="s">
        <v>2959</v>
      </c>
      <c r="D522" t="s">
        <v>2960</v>
      </c>
      <c r="E522" t="s">
        <v>490</v>
      </c>
      <c r="F522" t="s">
        <v>491</v>
      </c>
      <c r="G522" t="s">
        <v>49</v>
      </c>
      <c r="H522" t="s">
        <v>50</v>
      </c>
      <c r="I522" t="s">
        <v>34</v>
      </c>
      <c r="J522" t="s">
        <v>51</v>
      </c>
      <c r="K522" t="s">
        <v>41</v>
      </c>
      <c r="L522" t="s">
        <v>52</v>
      </c>
      <c r="M522" t="s">
        <v>2961</v>
      </c>
      <c r="N522" t="s">
        <v>494</v>
      </c>
      <c r="O522" t="s">
        <v>69</v>
      </c>
      <c r="P522" t="s">
        <v>2962</v>
      </c>
      <c r="Q522" s="14" t="s">
        <v>188</v>
      </c>
      <c r="R522" t="s">
        <v>1699</v>
      </c>
      <c r="S522">
        <v>1.1399999999999999</v>
      </c>
      <c r="T522">
        <v>6381</v>
      </c>
      <c r="U522">
        <v>0</v>
      </c>
      <c r="V522">
        <v>6381</v>
      </c>
    </row>
    <row r="523" spans="1:22" x14ac:dyDescent="0.3">
      <c r="A523">
        <v>79452</v>
      </c>
      <c r="B523">
        <v>134588238</v>
      </c>
      <c r="C523" t="s">
        <v>2963</v>
      </c>
      <c r="D523" t="s">
        <v>2964</v>
      </c>
      <c r="E523" t="s">
        <v>490</v>
      </c>
      <c r="F523" t="s">
        <v>491</v>
      </c>
      <c r="G523" t="s">
        <v>49</v>
      </c>
      <c r="H523" t="s">
        <v>50</v>
      </c>
      <c r="I523" t="s">
        <v>34</v>
      </c>
      <c r="J523" t="s">
        <v>51</v>
      </c>
      <c r="K523" t="s">
        <v>41</v>
      </c>
      <c r="L523" t="s">
        <v>52</v>
      </c>
      <c r="M523" t="s">
        <v>2965</v>
      </c>
      <c r="N523" t="s">
        <v>494</v>
      </c>
      <c r="O523" t="s">
        <v>69</v>
      </c>
      <c r="P523" t="s">
        <v>2966</v>
      </c>
      <c r="Q523" s="14" t="s">
        <v>80</v>
      </c>
      <c r="R523" t="s">
        <v>328</v>
      </c>
      <c r="S523">
        <v>0.53</v>
      </c>
      <c r="T523">
        <v>3915</v>
      </c>
      <c r="U523">
        <v>0</v>
      </c>
      <c r="V523">
        <v>3915</v>
      </c>
    </row>
    <row r="524" spans="1:22" x14ac:dyDescent="0.3">
      <c r="A524">
        <v>79452</v>
      </c>
      <c r="B524">
        <v>134479362</v>
      </c>
      <c r="C524" t="s">
        <v>2967</v>
      </c>
      <c r="D524" t="s">
        <v>2968</v>
      </c>
      <c r="E524" t="s">
        <v>490</v>
      </c>
      <c r="F524" t="s">
        <v>491</v>
      </c>
      <c r="G524" t="s">
        <v>49</v>
      </c>
      <c r="H524" t="s">
        <v>50</v>
      </c>
      <c r="I524" t="s">
        <v>34</v>
      </c>
      <c r="J524" t="s">
        <v>51</v>
      </c>
      <c r="K524" t="s">
        <v>41</v>
      </c>
      <c r="L524" t="s">
        <v>52</v>
      </c>
      <c r="M524" t="s">
        <v>2969</v>
      </c>
      <c r="N524" t="s">
        <v>494</v>
      </c>
      <c r="O524" t="s">
        <v>69</v>
      </c>
      <c r="P524" t="s">
        <v>2970</v>
      </c>
      <c r="Q524" s="14" t="s">
        <v>54</v>
      </c>
      <c r="R524" t="s">
        <v>2971</v>
      </c>
      <c r="S524">
        <v>2.93</v>
      </c>
      <c r="T524">
        <v>6800</v>
      </c>
      <c r="U524">
        <v>0</v>
      </c>
      <c r="V524">
        <v>6800</v>
      </c>
    </row>
    <row r="525" spans="1:22" x14ac:dyDescent="0.3">
      <c r="A525">
        <v>79452</v>
      </c>
      <c r="B525">
        <v>134358201</v>
      </c>
      <c r="C525" t="s">
        <v>2972</v>
      </c>
      <c r="D525" t="s">
        <v>2973</v>
      </c>
      <c r="E525" t="s">
        <v>490</v>
      </c>
      <c r="F525" t="s">
        <v>491</v>
      </c>
      <c r="G525" t="s">
        <v>49</v>
      </c>
      <c r="H525" t="s">
        <v>50</v>
      </c>
      <c r="I525" t="s">
        <v>34</v>
      </c>
      <c r="J525" t="s">
        <v>51</v>
      </c>
      <c r="K525" t="s">
        <v>41</v>
      </c>
      <c r="L525" t="s">
        <v>52</v>
      </c>
      <c r="M525" t="s">
        <v>2974</v>
      </c>
      <c r="N525" t="s">
        <v>494</v>
      </c>
      <c r="O525" t="s">
        <v>69</v>
      </c>
      <c r="P525" t="s">
        <v>2975</v>
      </c>
      <c r="Q525" s="14" t="s">
        <v>88</v>
      </c>
      <c r="R525" t="s">
        <v>2976</v>
      </c>
      <c r="S525">
        <v>0.7</v>
      </c>
      <c r="T525">
        <v>5910</v>
      </c>
      <c r="U525">
        <v>0</v>
      </c>
      <c r="V525">
        <v>5910</v>
      </c>
    </row>
    <row r="526" spans="1:22" x14ac:dyDescent="0.3">
      <c r="A526">
        <v>79452</v>
      </c>
      <c r="B526">
        <v>134479375</v>
      </c>
      <c r="C526" t="s">
        <v>2977</v>
      </c>
      <c r="D526" t="s">
        <v>2978</v>
      </c>
      <c r="E526" t="s">
        <v>490</v>
      </c>
      <c r="F526" t="s">
        <v>491</v>
      </c>
      <c r="G526" t="s">
        <v>49</v>
      </c>
      <c r="H526" t="s">
        <v>50</v>
      </c>
      <c r="I526" t="s">
        <v>34</v>
      </c>
      <c r="J526" t="s">
        <v>51</v>
      </c>
      <c r="K526" t="s">
        <v>41</v>
      </c>
      <c r="L526" t="s">
        <v>52</v>
      </c>
      <c r="M526" t="s">
        <v>2979</v>
      </c>
      <c r="N526" t="s">
        <v>494</v>
      </c>
      <c r="O526" t="s">
        <v>69</v>
      </c>
      <c r="P526" t="s">
        <v>2980</v>
      </c>
      <c r="Q526" s="14" t="s">
        <v>103</v>
      </c>
      <c r="R526" t="s">
        <v>2971</v>
      </c>
      <c r="S526">
        <v>1.02</v>
      </c>
      <c r="T526">
        <v>3915</v>
      </c>
      <c r="U526">
        <v>0</v>
      </c>
      <c r="V526">
        <v>3915</v>
      </c>
    </row>
    <row r="527" spans="1:22" x14ac:dyDescent="0.3">
      <c r="A527">
        <v>80147</v>
      </c>
      <c r="B527">
        <v>135072597</v>
      </c>
      <c r="C527" t="s">
        <v>2981</v>
      </c>
      <c r="D527" t="s">
        <v>2982</v>
      </c>
      <c r="E527" t="s">
        <v>2983</v>
      </c>
      <c r="F527" t="s">
        <v>491</v>
      </c>
      <c r="G527" t="s">
        <v>44</v>
      </c>
      <c r="H527" t="s">
        <v>45</v>
      </c>
      <c r="I527" t="s">
        <v>34</v>
      </c>
      <c r="J527" t="s">
        <v>46</v>
      </c>
      <c r="K527" t="s">
        <v>41</v>
      </c>
      <c r="L527" t="s">
        <v>2984</v>
      </c>
      <c r="M527" t="s">
        <v>2985</v>
      </c>
      <c r="N527" t="s">
        <v>494</v>
      </c>
      <c r="O527" t="s">
        <v>69</v>
      </c>
      <c r="P527" t="s">
        <v>2986</v>
      </c>
      <c r="Q527" s="14" t="s">
        <v>149</v>
      </c>
      <c r="R527" t="s">
        <v>2987</v>
      </c>
      <c r="S527">
        <v>4.9800000000000004</v>
      </c>
      <c r="T527">
        <v>8008</v>
      </c>
      <c r="U527">
        <v>0</v>
      </c>
      <c r="V527">
        <v>8008</v>
      </c>
    </row>
    <row r="528" spans="1:22" x14ac:dyDescent="0.3">
      <c r="A528">
        <v>80147</v>
      </c>
      <c r="B528">
        <v>135214162</v>
      </c>
      <c r="C528" t="s">
        <v>2988</v>
      </c>
      <c r="D528" t="s">
        <v>2989</v>
      </c>
      <c r="E528" t="s">
        <v>2983</v>
      </c>
      <c r="F528" t="s">
        <v>491</v>
      </c>
      <c r="G528" t="s">
        <v>44</v>
      </c>
      <c r="H528" t="s">
        <v>45</v>
      </c>
      <c r="I528" t="s">
        <v>34</v>
      </c>
      <c r="J528" t="s">
        <v>46</v>
      </c>
      <c r="K528" t="s">
        <v>41</v>
      </c>
      <c r="L528" t="s">
        <v>2990</v>
      </c>
      <c r="M528" t="s">
        <v>2991</v>
      </c>
      <c r="N528" t="s">
        <v>494</v>
      </c>
      <c r="O528" t="s">
        <v>69</v>
      </c>
      <c r="P528" t="s">
        <v>2992</v>
      </c>
      <c r="Q528" s="14" t="s">
        <v>100</v>
      </c>
      <c r="R528" t="s">
        <v>2993</v>
      </c>
      <c r="S528">
        <v>5.47</v>
      </c>
      <c r="T528">
        <v>8008</v>
      </c>
      <c r="U528">
        <v>0</v>
      </c>
      <c r="V528">
        <v>8008</v>
      </c>
    </row>
    <row r="529" spans="1:22" x14ac:dyDescent="0.3">
      <c r="A529">
        <v>80147</v>
      </c>
      <c r="B529">
        <v>135352703</v>
      </c>
      <c r="C529" t="s">
        <v>2994</v>
      </c>
      <c r="D529" t="s">
        <v>2995</v>
      </c>
      <c r="E529" t="s">
        <v>2983</v>
      </c>
      <c r="F529" t="s">
        <v>491</v>
      </c>
      <c r="G529" t="s">
        <v>44</v>
      </c>
      <c r="H529" t="s">
        <v>45</v>
      </c>
      <c r="I529" t="s">
        <v>34</v>
      </c>
      <c r="J529" t="s">
        <v>46</v>
      </c>
      <c r="K529" t="s">
        <v>41</v>
      </c>
      <c r="L529" t="s">
        <v>2996</v>
      </c>
      <c r="M529" t="s">
        <v>2997</v>
      </c>
      <c r="N529" t="s">
        <v>494</v>
      </c>
      <c r="O529" t="s">
        <v>69</v>
      </c>
      <c r="P529" t="s">
        <v>2998</v>
      </c>
      <c r="Q529" s="14" t="s">
        <v>178</v>
      </c>
      <c r="R529" t="s">
        <v>389</v>
      </c>
      <c r="S529">
        <v>6.06</v>
      </c>
      <c r="T529">
        <v>10562</v>
      </c>
      <c r="U529">
        <v>0</v>
      </c>
      <c r="V529">
        <v>10562</v>
      </c>
    </row>
    <row r="530" spans="1:22" x14ac:dyDescent="0.3">
      <c r="A530">
        <v>80147</v>
      </c>
      <c r="B530">
        <v>135392699</v>
      </c>
      <c r="C530" t="s">
        <v>2999</v>
      </c>
      <c r="D530" t="s">
        <v>3000</v>
      </c>
      <c r="E530" t="s">
        <v>2983</v>
      </c>
      <c r="F530" t="s">
        <v>491</v>
      </c>
      <c r="G530" t="s">
        <v>44</v>
      </c>
      <c r="H530" t="s">
        <v>45</v>
      </c>
      <c r="I530" t="s">
        <v>34</v>
      </c>
      <c r="J530" t="s">
        <v>46</v>
      </c>
      <c r="K530" t="s">
        <v>41</v>
      </c>
      <c r="L530" t="s">
        <v>3001</v>
      </c>
      <c r="M530" t="s">
        <v>3002</v>
      </c>
      <c r="N530" t="s">
        <v>494</v>
      </c>
      <c r="O530" t="s">
        <v>69</v>
      </c>
      <c r="P530" t="s">
        <v>3003</v>
      </c>
      <c r="Q530" s="14" t="s">
        <v>54</v>
      </c>
      <c r="R530" t="s">
        <v>452</v>
      </c>
      <c r="S530">
        <v>2.64</v>
      </c>
      <c r="T530">
        <v>3366</v>
      </c>
      <c r="U530">
        <v>0</v>
      </c>
      <c r="V530">
        <v>3366</v>
      </c>
    </row>
    <row r="531" spans="1:22" x14ac:dyDescent="0.3">
      <c r="A531">
        <v>80147</v>
      </c>
      <c r="B531">
        <v>135312214</v>
      </c>
      <c r="C531" t="s">
        <v>3004</v>
      </c>
      <c r="D531" t="s">
        <v>3005</v>
      </c>
      <c r="E531" t="s">
        <v>2983</v>
      </c>
      <c r="F531" t="s">
        <v>491</v>
      </c>
      <c r="G531" t="s">
        <v>44</v>
      </c>
      <c r="H531" t="s">
        <v>45</v>
      </c>
      <c r="I531" t="s">
        <v>34</v>
      </c>
      <c r="J531" t="s">
        <v>46</v>
      </c>
      <c r="K531" t="s">
        <v>41</v>
      </c>
      <c r="L531" t="s">
        <v>3006</v>
      </c>
      <c r="M531" t="s">
        <v>3007</v>
      </c>
      <c r="N531" t="s">
        <v>494</v>
      </c>
      <c r="O531" t="s">
        <v>69</v>
      </c>
      <c r="P531" t="s">
        <v>3008</v>
      </c>
      <c r="Q531" s="14" t="s">
        <v>70</v>
      </c>
      <c r="R531" t="s">
        <v>3009</v>
      </c>
      <c r="S531">
        <v>3.52</v>
      </c>
      <c r="T531">
        <v>7484</v>
      </c>
      <c r="U531">
        <v>0</v>
      </c>
      <c r="V531">
        <v>7484</v>
      </c>
    </row>
    <row r="532" spans="1:22" x14ac:dyDescent="0.3">
      <c r="A532">
        <v>80147</v>
      </c>
      <c r="B532">
        <v>135352705</v>
      </c>
      <c r="C532" t="s">
        <v>3010</v>
      </c>
      <c r="D532" t="s">
        <v>3011</v>
      </c>
      <c r="E532" t="s">
        <v>2983</v>
      </c>
      <c r="F532" t="s">
        <v>491</v>
      </c>
      <c r="G532" t="s">
        <v>44</v>
      </c>
      <c r="H532" t="s">
        <v>45</v>
      </c>
      <c r="I532" t="s">
        <v>34</v>
      </c>
      <c r="J532" t="s">
        <v>46</v>
      </c>
      <c r="K532" t="s">
        <v>118</v>
      </c>
      <c r="L532" t="s">
        <v>270</v>
      </c>
      <c r="M532" t="s">
        <v>3012</v>
      </c>
      <c r="N532" t="s">
        <v>494</v>
      </c>
      <c r="O532" t="s">
        <v>69</v>
      </c>
      <c r="P532" t="s">
        <v>3013</v>
      </c>
      <c r="Q532" s="14" t="s">
        <v>43</v>
      </c>
      <c r="R532" t="s">
        <v>389</v>
      </c>
      <c r="S532">
        <v>5.08</v>
      </c>
      <c r="T532">
        <v>5111</v>
      </c>
      <c r="U532">
        <v>0</v>
      </c>
      <c r="V532">
        <v>5111</v>
      </c>
    </row>
    <row r="533" spans="1:22" x14ac:dyDescent="0.3">
      <c r="A533">
        <v>80147</v>
      </c>
      <c r="B533">
        <v>135337001</v>
      </c>
      <c r="C533" t="s">
        <v>3014</v>
      </c>
      <c r="D533" t="s">
        <v>3015</v>
      </c>
      <c r="E533" t="s">
        <v>2983</v>
      </c>
      <c r="F533" t="s">
        <v>491</v>
      </c>
      <c r="G533" t="s">
        <v>44</v>
      </c>
      <c r="H533" t="s">
        <v>45</v>
      </c>
      <c r="I533" t="s">
        <v>34</v>
      </c>
      <c r="J533" t="s">
        <v>46</v>
      </c>
      <c r="K533" t="s">
        <v>41</v>
      </c>
      <c r="L533" t="s">
        <v>3016</v>
      </c>
      <c r="M533" t="s">
        <v>3017</v>
      </c>
      <c r="N533" t="s">
        <v>494</v>
      </c>
      <c r="O533" t="s">
        <v>69</v>
      </c>
      <c r="P533" t="s">
        <v>3018</v>
      </c>
      <c r="Q533" s="14" t="s">
        <v>153</v>
      </c>
      <c r="R533" t="s">
        <v>3019</v>
      </c>
      <c r="S533">
        <v>5.79</v>
      </c>
      <c r="T533">
        <v>3797</v>
      </c>
      <c r="U533">
        <v>0</v>
      </c>
      <c r="V533">
        <v>3797</v>
      </c>
    </row>
    <row r="534" spans="1:22" x14ac:dyDescent="0.3">
      <c r="A534">
        <v>80147</v>
      </c>
      <c r="B534">
        <v>135269459</v>
      </c>
      <c r="C534" t="s">
        <v>3020</v>
      </c>
      <c r="D534" t="s">
        <v>3021</v>
      </c>
      <c r="E534" t="s">
        <v>2983</v>
      </c>
      <c r="F534" t="s">
        <v>491</v>
      </c>
      <c r="G534" t="s">
        <v>44</v>
      </c>
      <c r="H534" t="s">
        <v>45</v>
      </c>
      <c r="I534" t="s">
        <v>34</v>
      </c>
      <c r="J534" t="s">
        <v>46</v>
      </c>
      <c r="K534" t="s">
        <v>41</v>
      </c>
      <c r="L534" t="s">
        <v>3022</v>
      </c>
      <c r="M534" t="s">
        <v>3023</v>
      </c>
      <c r="N534" t="s">
        <v>494</v>
      </c>
      <c r="O534" t="s">
        <v>69</v>
      </c>
      <c r="P534" t="s">
        <v>3024</v>
      </c>
      <c r="Q534" s="14" t="s">
        <v>98</v>
      </c>
      <c r="R534" t="s">
        <v>3025</v>
      </c>
      <c r="S534">
        <v>1.1499999999999999</v>
      </c>
      <c r="T534">
        <v>3366</v>
      </c>
      <c r="U534">
        <v>0</v>
      </c>
      <c r="V534">
        <v>3366</v>
      </c>
    </row>
    <row r="535" spans="1:22" x14ac:dyDescent="0.3">
      <c r="A535">
        <v>80147</v>
      </c>
      <c r="B535">
        <v>135254467</v>
      </c>
      <c r="C535" t="s">
        <v>3026</v>
      </c>
      <c r="D535" t="s">
        <v>3027</v>
      </c>
      <c r="E535" t="s">
        <v>2983</v>
      </c>
      <c r="F535" t="s">
        <v>491</v>
      </c>
      <c r="G535" t="s">
        <v>44</v>
      </c>
      <c r="H535" t="s">
        <v>45</v>
      </c>
      <c r="I535" t="s">
        <v>34</v>
      </c>
      <c r="J535" t="s">
        <v>46</v>
      </c>
      <c r="K535" t="s">
        <v>41</v>
      </c>
      <c r="L535" t="s">
        <v>3028</v>
      </c>
      <c r="M535" t="s">
        <v>3029</v>
      </c>
      <c r="N535" t="s">
        <v>494</v>
      </c>
      <c r="O535" t="s">
        <v>69</v>
      </c>
      <c r="P535" t="s">
        <v>3030</v>
      </c>
      <c r="Q535" s="14" t="s">
        <v>70</v>
      </c>
      <c r="R535" t="s">
        <v>3031</v>
      </c>
      <c r="S535">
        <v>4.62</v>
      </c>
      <c r="T535">
        <v>7484</v>
      </c>
      <c r="U535">
        <v>0</v>
      </c>
      <c r="V535">
        <v>7484</v>
      </c>
    </row>
    <row r="536" spans="1:22" x14ac:dyDescent="0.3">
      <c r="A536">
        <v>80147</v>
      </c>
      <c r="B536">
        <v>135269452</v>
      </c>
      <c r="C536" t="s">
        <v>3032</v>
      </c>
      <c r="D536" t="s">
        <v>3033</v>
      </c>
      <c r="E536" t="s">
        <v>2983</v>
      </c>
      <c r="F536" t="s">
        <v>491</v>
      </c>
      <c r="G536" t="s">
        <v>44</v>
      </c>
      <c r="H536" t="s">
        <v>45</v>
      </c>
      <c r="I536" t="s">
        <v>34</v>
      </c>
      <c r="J536" t="s">
        <v>46</v>
      </c>
      <c r="K536" t="s">
        <v>41</v>
      </c>
      <c r="L536" t="s">
        <v>3034</v>
      </c>
      <c r="M536" t="s">
        <v>3035</v>
      </c>
      <c r="N536" t="s">
        <v>494</v>
      </c>
      <c r="O536" t="s">
        <v>69</v>
      </c>
      <c r="P536" t="s">
        <v>3036</v>
      </c>
      <c r="Q536" s="14" t="s">
        <v>62</v>
      </c>
      <c r="R536" t="s">
        <v>3025</v>
      </c>
      <c r="S536">
        <v>5.2</v>
      </c>
      <c r="T536">
        <v>5111</v>
      </c>
      <c r="U536">
        <v>0</v>
      </c>
      <c r="V536">
        <v>5111</v>
      </c>
    </row>
    <row r="537" spans="1:22" x14ac:dyDescent="0.3">
      <c r="A537">
        <v>80147</v>
      </c>
      <c r="B537">
        <v>135297399</v>
      </c>
      <c r="C537" t="s">
        <v>3037</v>
      </c>
      <c r="D537" t="s">
        <v>3038</v>
      </c>
      <c r="E537" t="s">
        <v>2983</v>
      </c>
      <c r="F537" t="s">
        <v>491</v>
      </c>
      <c r="G537" t="s">
        <v>44</v>
      </c>
      <c r="H537" t="s">
        <v>45</v>
      </c>
      <c r="I537" t="s">
        <v>34</v>
      </c>
      <c r="J537" t="s">
        <v>46</v>
      </c>
      <c r="K537" t="s">
        <v>41</v>
      </c>
      <c r="L537" t="s">
        <v>3039</v>
      </c>
      <c r="M537" t="s">
        <v>3040</v>
      </c>
      <c r="N537" t="s">
        <v>494</v>
      </c>
      <c r="O537" t="s">
        <v>69</v>
      </c>
      <c r="P537" t="s">
        <v>3041</v>
      </c>
      <c r="Q537" s="14" t="s">
        <v>86</v>
      </c>
      <c r="R537" t="s">
        <v>3042</v>
      </c>
      <c r="S537">
        <v>2.97</v>
      </c>
      <c r="T537">
        <v>3366</v>
      </c>
      <c r="U537">
        <v>0</v>
      </c>
      <c r="V537">
        <v>3366</v>
      </c>
    </row>
    <row r="538" spans="1:22" x14ac:dyDescent="0.3">
      <c r="A538">
        <v>80147</v>
      </c>
      <c r="B538">
        <v>135297400</v>
      </c>
      <c r="C538" t="s">
        <v>3043</v>
      </c>
      <c r="D538" t="s">
        <v>3044</v>
      </c>
      <c r="E538" t="s">
        <v>2983</v>
      </c>
      <c r="F538" t="s">
        <v>491</v>
      </c>
      <c r="G538" t="s">
        <v>44</v>
      </c>
      <c r="H538" t="s">
        <v>45</v>
      </c>
      <c r="I538" t="s">
        <v>34</v>
      </c>
      <c r="J538" t="s">
        <v>46</v>
      </c>
      <c r="K538" t="s">
        <v>41</v>
      </c>
      <c r="L538" t="s">
        <v>3045</v>
      </c>
      <c r="M538" t="s">
        <v>3046</v>
      </c>
      <c r="N538" t="s">
        <v>494</v>
      </c>
      <c r="O538" t="s">
        <v>69</v>
      </c>
      <c r="P538" t="s">
        <v>3047</v>
      </c>
      <c r="Q538" s="14" t="s">
        <v>108</v>
      </c>
      <c r="R538" t="s">
        <v>3042</v>
      </c>
      <c r="S538">
        <v>5.07</v>
      </c>
      <c r="T538">
        <v>4322</v>
      </c>
      <c r="U538">
        <v>0</v>
      </c>
      <c r="V538">
        <v>4322</v>
      </c>
    </row>
    <row r="539" spans="1:22" x14ac:dyDescent="0.3">
      <c r="A539">
        <v>80147</v>
      </c>
      <c r="B539">
        <v>135297401</v>
      </c>
      <c r="C539" t="s">
        <v>3048</v>
      </c>
      <c r="D539" t="s">
        <v>3049</v>
      </c>
      <c r="E539" t="s">
        <v>2983</v>
      </c>
      <c r="F539" t="s">
        <v>491</v>
      </c>
      <c r="G539" t="s">
        <v>44</v>
      </c>
      <c r="H539" t="s">
        <v>45</v>
      </c>
      <c r="I539" t="s">
        <v>34</v>
      </c>
      <c r="J539" t="s">
        <v>46</v>
      </c>
      <c r="K539" t="s">
        <v>41</v>
      </c>
      <c r="L539" t="s">
        <v>3050</v>
      </c>
      <c r="M539" t="s">
        <v>131</v>
      </c>
      <c r="N539" t="s">
        <v>494</v>
      </c>
      <c r="O539" t="s">
        <v>69</v>
      </c>
      <c r="P539" t="s">
        <v>132</v>
      </c>
      <c r="Q539" s="14" t="s">
        <v>55</v>
      </c>
      <c r="R539" t="s">
        <v>3042</v>
      </c>
      <c r="S539">
        <v>5.63</v>
      </c>
      <c r="T539">
        <v>4366</v>
      </c>
      <c r="U539">
        <v>0</v>
      </c>
      <c r="V539">
        <v>4366</v>
      </c>
    </row>
    <row r="540" spans="1:22" x14ac:dyDescent="0.3">
      <c r="A540">
        <v>80147</v>
      </c>
      <c r="B540">
        <v>135254472</v>
      </c>
      <c r="C540" t="s">
        <v>3051</v>
      </c>
      <c r="D540" t="s">
        <v>3052</v>
      </c>
      <c r="E540" t="s">
        <v>2983</v>
      </c>
      <c r="F540" t="s">
        <v>491</v>
      </c>
      <c r="G540" t="s">
        <v>44</v>
      </c>
      <c r="H540" t="s">
        <v>45</v>
      </c>
      <c r="I540" t="s">
        <v>34</v>
      </c>
      <c r="J540" t="s">
        <v>46</v>
      </c>
      <c r="K540" t="s">
        <v>41</v>
      </c>
      <c r="L540" t="s">
        <v>3053</v>
      </c>
      <c r="M540" t="s">
        <v>3054</v>
      </c>
      <c r="N540" t="s">
        <v>494</v>
      </c>
      <c r="O540" t="s">
        <v>69</v>
      </c>
      <c r="P540" t="s">
        <v>3055</v>
      </c>
      <c r="Q540" s="14" t="s">
        <v>54</v>
      </c>
      <c r="R540" t="s">
        <v>3031</v>
      </c>
      <c r="S540">
        <v>4.37</v>
      </c>
      <c r="T540">
        <v>3797</v>
      </c>
      <c r="U540">
        <v>0</v>
      </c>
      <c r="V540">
        <v>3797</v>
      </c>
    </row>
    <row r="541" spans="1:22" x14ac:dyDescent="0.3">
      <c r="A541">
        <v>80147</v>
      </c>
      <c r="B541">
        <v>135187276</v>
      </c>
      <c r="C541" t="s">
        <v>3056</v>
      </c>
      <c r="D541" t="s">
        <v>3057</v>
      </c>
      <c r="E541" t="s">
        <v>2983</v>
      </c>
      <c r="F541" t="s">
        <v>491</v>
      </c>
      <c r="G541" t="s">
        <v>44</v>
      </c>
      <c r="H541" t="s">
        <v>45</v>
      </c>
      <c r="I541" t="s">
        <v>34</v>
      </c>
      <c r="J541" t="s">
        <v>46</v>
      </c>
      <c r="K541" t="s">
        <v>41</v>
      </c>
      <c r="L541" t="s">
        <v>3058</v>
      </c>
      <c r="M541" t="s">
        <v>3059</v>
      </c>
      <c r="N541" t="s">
        <v>494</v>
      </c>
      <c r="O541" t="s">
        <v>69</v>
      </c>
      <c r="P541" t="s">
        <v>3060</v>
      </c>
      <c r="Q541" s="14" t="s">
        <v>70</v>
      </c>
      <c r="R541" t="s">
        <v>3061</v>
      </c>
      <c r="S541">
        <v>1</v>
      </c>
      <c r="T541">
        <v>5198</v>
      </c>
      <c r="U541">
        <v>0</v>
      </c>
      <c r="V541">
        <v>5198</v>
      </c>
    </row>
    <row r="542" spans="1:22" x14ac:dyDescent="0.3">
      <c r="A542">
        <v>80147</v>
      </c>
      <c r="B542">
        <v>135187277</v>
      </c>
      <c r="C542" t="s">
        <v>3062</v>
      </c>
      <c r="D542" t="s">
        <v>3063</v>
      </c>
      <c r="E542" t="s">
        <v>2983</v>
      </c>
      <c r="F542" t="s">
        <v>491</v>
      </c>
      <c r="G542" t="s">
        <v>44</v>
      </c>
      <c r="H542" t="s">
        <v>45</v>
      </c>
      <c r="I542" t="s">
        <v>34</v>
      </c>
      <c r="J542" t="s">
        <v>46</v>
      </c>
      <c r="K542" t="s">
        <v>56</v>
      </c>
      <c r="L542" t="s">
        <v>57</v>
      </c>
      <c r="M542" t="s">
        <v>3064</v>
      </c>
      <c r="N542" t="s">
        <v>494</v>
      </c>
      <c r="O542" t="s">
        <v>69</v>
      </c>
      <c r="P542" t="s">
        <v>3065</v>
      </c>
      <c r="Q542" s="14" t="s">
        <v>109</v>
      </c>
      <c r="R542" t="s">
        <v>3061</v>
      </c>
      <c r="S542">
        <v>1</v>
      </c>
      <c r="T542">
        <v>3784</v>
      </c>
      <c r="U542">
        <v>0</v>
      </c>
      <c r="V542">
        <v>3784</v>
      </c>
    </row>
    <row r="543" spans="1:22" x14ac:dyDescent="0.3">
      <c r="A543">
        <v>80147</v>
      </c>
      <c r="B543">
        <v>135214164</v>
      </c>
      <c r="C543" t="s">
        <v>3066</v>
      </c>
      <c r="D543" t="s">
        <v>3067</v>
      </c>
      <c r="E543" t="s">
        <v>2983</v>
      </c>
      <c r="F543" t="s">
        <v>491</v>
      </c>
      <c r="G543" t="s">
        <v>44</v>
      </c>
      <c r="H543" t="s">
        <v>45</v>
      </c>
      <c r="I543" t="s">
        <v>34</v>
      </c>
      <c r="J543" t="s">
        <v>46</v>
      </c>
      <c r="K543" t="s">
        <v>41</v>
      </c>
      <c r="L543" t="s">
        <v>3068</v>
      </c>
      <c r="M543" t="s">
        <v>3069</v>
      </c>
      <c r="N543" t="s">
        <v>494</v>
      </c>
      <c r="O543" t="s">
        <v>69</v>
      </c>
      <c r="P543" t="s">
        <v>3070</v>
      </c>
      <c r="Q543" s="14" t="s">
        <v>62</v>
      </c>
      <c r="R543" t="s">
        <v>2993</v>
      </c>
      <c r="S543">
        <v>5.88</v>
      </c>
      <c r="T543">
        <v>5111</v>
      </c>
      <c r="U543">
        <v>0</v>
      </c>
      <c r="V543">
        <v>5111</v>
      </c>
    </row>
    <row r="544" spans="1:22" x14ac:dyDescent="0.3">
      <c r="A544">
        <v>80147</v>
      </c>
      <c r="B544">
        <v>135180318</v>
      </c>
      <c r="C544" t="s">
        <v>3071</v>
      </c>
      <c r="D544" t="s">
        <v>3072</v>
      </c>
      <c r="E544" t="s">
        <v>2983</v>
      </c>
      <c r="F544" t="s">
        <v>491</v>
      </c>
      <c r="G544" t="s">
        <v>44</v>
      </c>
      <c r="H544" t="s">
        <v>45</v>
      </c>
      <c r="I544" t="s">
        <v>34</v>
      </c>
      <c r="J544" t="s">
        <v>46</v>
      </c>
      <c r="K544" t="s">
        <v>41</v>
      </c>
      <c r="L544" t="s">
        <v>3073</v>
      </c>
      <c r="M544" t="s">
        <v>3074</v>
      </c>
      <c r="N544" t="s">
        <v>494</v>
      </c>
      <c r="O544" t="s">
        <v>69</v>
      </c>
      <c r="P544" t="s">
        <v>3075</v>
      </c>
      <c r="Q544" s="14" t="s">
        <v>135</v>
      </c>
      <c r="R544" t="s">
        <v>3076</v>
      </c>
      <c r="S544">
        <v>1</v>
      </c>
      <c r="T544">
        <v>3366</v>
      </c>
      <c r="U544">
        <v>0</v>
      </c>
      <c r="V544">
        <v>3366</v>
      </c>
    </row>
    <row r="545" spans="1:22" x14ac:dyDescent="0.3">
      <c r="A545">
        <v>80147</v>
      </c>
      <c r="B545">
        <v>135180319</v>
      </c>
      <c r="C545" t="s">
        <v>3077</v>
      </c>
      <c r="D545" t="s">
        <v>3078</v>
      </c>
      <c r="E545" t="s">
        <v>2983</v>
      </c>
      <c r="F545" t="s">
        <v>491</v>
      </c>
      <c r="G545" t="s">
        <v>44</v>
      </c>
      <c r="H545" t="s">
        <v>45</v>
      </c>
      <c r="I545" t="s">
        <v>34</v>
      </c>
      <c r="J545" t="s">
        <v>46</v>
      </c>
      <c r="K545" t="s">
        <v>41</v>
      </c>
      <c r="L545" t="s">
        <v>3079</v>
      </c>
      <c r="M545" t="s">
        <v>3080</v>
      </c>
      <c r="N545" t="s">
        <v>494</v>
      </c>
      <c r="O545" t="s">
        <v>69</v>
      </c>
      <c r="P545" t="s">
        <v>3081</v>
      </c>
      <c r="Q545" s="14" t="s">
        <v>107</v>
      </c>
      <c r="R545" t="s">
        <v>3076</v>
      </c>
      <c r="S545">
        <v>0.6</v>
      </c>
      <c r="T545">
        <v>3784</v>
      </c>
      <c r="U545">
        <v>0</v>
      </c>
      <c r="V545">
        <v>3784</v>
      </c>
    </row>
    <row r="546" spans="1:22" x14ac:dyDescent="0.3">
      <c r="A546">
        <v>80147</v>
      </c>
      <c r="B546">
        <v>135214157</v>
      </c>
      <c r="C546" t="s">
        <v>3082</v>
      </c>
      <c r="D546" t="s">
        <v>3083</v>
      </c>
      <c r="E546" t="s">
        <v>2983</v>
      </c>
      <c r="F546" t="s">
        <v>491</v>
      </c>
      <c r="G546" t="s">
        <v>44</v>
      </c>
      <c r="H546" t="s">
        <v>45</v>
      </c>
      <c r="I546" t="s">
        <v>34</v>
      </c>
      <c r="J546" t="s">
        <v>46</v>
      </c>
      <c r="K546" t="s">
        <v>41</v>
      </c>
      <c r="L546" t="s">
        <v>3084</v>
      </c>
      <c r="M546" t="s">
        <v>3085</v>
      </c>
      <c r="N546" t="s">
        <v>494</v>
      </c>
      <c r="O546" t="s">
        <v>69</v>
      </c>
      <c r="P546" t="s">
        <v>3086</v>
      </c>
      <c r="Q546" s="14" t="s">
        <v>83</v>
      </c>
      <c r="R546" t="s">
        <v>3087</v>
      </c>
      <c r="S546">
        <v>1</v>
      </c>
      <c r="T546">
        <v>3366</v>
      </c>
      <c r="U546">
        <v>0</v>
      </c>
      <c r="V546">
        <v>3366</v>
      </c>
    </row>
    <row r="547" spans="1:22" x14ac:dyDescent="0.3">
      <c r="A547">
        <v>80147</v>
      </c>
      <c r="B547">
        <v>135145092</v>
      </c>
      <c r="C547" t="s">
        <v>3088</v>
      </c>
      <c r="D547" t="s">
        <v>3089</v>
      </c>
      <c r="E547" t="s">
        <v>2983</v>
      </c>
      <c r="F547" t="s">
        <v>491</v>
      </c>
      <c r="G547" t="s">
        <v>44</v>
      </c>
      <c r="H547" t="s">
        <v>45</v>
      </c>
      <c r="I547" t="s">
        <v>34</v>
      </c>
      <c r="J547" t="s">
        <v>46</v>
      </c>
      <c r="K547" t="s">
        <v>41</v>
      </c>
      <c r="L547" t="s">
        <v>3090</v>
      </c>
      <c r="M547" t="s">
        <v>3091</v>
      </c>
      <c r="N547" t="s">
        <v>494</v>
      </c>
      <c r="O547" t="s">
        <v>69</v>
      </c>
      <c r="P547" t="s">
        <v>3092</v>
      </c>
      <c r="Q547" s="14" t="s">
        <v>60</v>
      </c>
      <c r="R547" t="s">
        <v>3093</v>
      </c>
      <c r="S547">
        <v>1</v>
      </c>
      <c r="T547">
        <v>5759</v>
      </c>
      <c r="U547">
        <v>0</v>
      </c>
      <c r="V547">
        <v>5759</v>
      </c>
    </row>
    <row r="548" spans="1:22" x14ac:dyDescent="0.3">
      <c r="A548">
        <v>80147</v>
      </c>
      <c r="B548">
        <v>135159799</v>
      </c>
      <c r="C548" t="s">
        <v>3094</v>
      </c>
      <c r="D548" t="s">
        <v>3095</v>
      </c>
      <c r="E548" t="s">
        <v>2983</v>
      </c>
      <c r="F548" t="s">
        <v>491</v>
      </c>
      <c r="G548" t="s">
        <v>44</v>
      </c>
      <c r="H548" t="s">
        <v>45</v>
      </c>
      <c r="I548" t="s">
        <v>34</v>
      </c>
      <c r="J548" t="s">
        <v>46</v>
      </c>
      <c r="K548" t="s">
        <v>41</v>
      </c>
      <c r="L548" t="s">
        <v>3096</v>
      </c>
      <c r="M548" t="s">
        <v>3097</v>
      </c>
      <c r="N548" t="s">
        <v>494</v>
      </c>
      <c r="O548" t="s">
        <v>69</v>
      </c>
      <c r="P548" t="s">
        <v>3098</v>
      </c>
      <c r="Q548" s="14" t="s">
        <v>178</v>
      </c>
      <c r="R548" t="s">
        <v>485</v>
      </c>
      <c r="S548">
        <v>3.25</v>
      </c>
      <c r="T548">
        <v>7749</v>
      </c>
      <c r="U548">
        <v>0</v>
      </c>
      <c r="V548">
        <v>7749</v>
      </c>
    </row>
    <row r="549" spans="1:22" x14ac:dyDescent="0.3">
      <c r="A549">
        <v>80147</v>
      </c>
      <c r="B549">
        <v>135145089</v>
      </c>
      <c r="C549" t="s">
        <v>3099</v>
      </c>
      <c r="D549" t="s">
        <v>3100</v>
      </c>
      <c r="E549" t="s">
        <v>2983</v>
      </c>
      <c r="F549" t="s">
        <v>491</v>
      </c>
      <c r="G549" t="s">
        <v>44</v>
      </c>
      <c r="H549" t="s">
        <v>45</v>
      </c>
      <c r="I549" t="s">
        <v>34</v>
      </c>
      <c r="J549" t="s">
        <v>46</v>
      </c>
      <c r="K549" t="s">
        <v>41</v>
      </c>
      <c r="L549" t="s">
        <v>3101</v>
      </c>
      <c r="M549" t="s">
        <v>3102</v>
      </c>
      <c r="N549" t="s">
        <v>494</v>
      </c>
      <c r="O549" t="s">
        <v>69</v>
      </c>
      <c r="P549" t="s">
        <v>3103</v>
      </c>
      <c r="Q549" s="14" t="s">
        <v>146</v>
      </c>
      <c r="R549" t="s">
        <v>3093</v>
      </c>
      <c r="S549">
        <v>5.61</v>
      </c>
      <c r="T549">
        <v>8538</v>
      </c>
      <c r="U549">
        <v>0</v>
      </c>
      <c r="V549">
        <v>8538</v>
      </c>
    </row>
    <row r="550" spans="1:22" x14ac:dyDescent="0.3">
      <c r="A550">
        <v>80147</v>
      </c>
      <c r="B550">
        <v>135145093</v>
      </c>
      <c r="C550" t="s">
        <v>3104</v>
      </c>
      <c r="D550" t="s">
        <v>3105</v>
      </c>
      <c r="E550" t="s">
        <v>2983</v>
      </c>
      <c r="F550" t="s">
        <v>491</v>
      </c>
      <c r="G550" t="s">
        <v>44</v>
      </c>
      <c r="H550" t="s">
        <v>45</v>
      </c>
      <c r="I550" t="s">
        <v>34</v>
      </c>
      <c r="J550" t="s">
        <v>46</v>
      </c>
      <c r="K550" t="s">
        <v>41</v>
      </c>
      <c r="L550" t="s">
        <v>3106</v>
      </c>
      <c r="M550" t="s">
        <v>486</v>
      </c>
      <c r="N550" t="s">
        <v>494</v>
      </c>
      <c r="O550" t="s">
        <v>69</v>
      </c>
      <c r="P550" t="s">
        <v>3107</v>
      </c>
      <c r="Q550" s="14" t="s">
        <v>89</v>
      </c>
      <c r="R550" t="s">
        <v>3093</v>
      </c>
      <c r="S550">
        <v>1</v>
      </c>
      <c r="T550">
        <v>3753</v>
      </c>
      <c r="U550">
        <v>0</v>
      </c>
      <c r="V550">
        <v>3753</v>
      </c>
    </row>
    <row r="551" spans="1:22" x14ac:dyDescent="0.3">
      <c r="A551">
        <v>80147</v>
      </c>
      <c r="B551">
        <v>135159802</v>
      </c>
      <c r="C551" t="s">
        <v>3108</v>
      </c>
      <c r="D551" t="s">
        <v>3109</v>
      </c>
      <c r="E551" t="s">
        <v>2983</v>
      </c>
      <c r="F551" t="s">
        <v>491</v>
      </c>
      <c r="G551" t="s">
        <v>44</v>
      </c>
      <c r="H551" t="s">
        <v>45</v>
      </c>
      <c r="I551" t="s">
        <v>34</v>
      </c>
      <c r="J551" t="s">
        <v>46</v>
      </c>
      <c r="K551" t="s">
        <v>41</v>
      </c>
      <c r="L551" t="s">
        <v>3110</v>
      </c>
      <c r="M551" t="s">
        <v>3111</v>
      </c>
      <c r="N551" t="s">
        <v>494</v>
      </c>
      <c r="O551" t="s">
        <v>69</v>
      </c>
      <c r="P551" t="s">
        <v>344</v>
      </c>
      <c r="Q551" s="14" t="s">
        <v>54</v>
      </c>
      <c r="R551" t="s">
        <v>485</v>
      </c>
      <c r="S551">
        <v>1</v>
      </c>
      <c r="T551">
        <v>3366</v>
      </c>
      <c r="U551">
        <v>0</v>
      </c>
      <c r="V551">
        <v>3366</v>
      </c>
    </row>
    <row r="552" spans="1:22" x14ac:dyDescent="0.3">
      <c r="A552">
        <v>80147</v>
      </c>
      <c r="B552">
        <v>135002011</v>
      </c>
      <c r="C552" t="s">
        <v>3112</v>
      </c>
      <c r="D552" t="s">
        <v>3113</v>
      </c>
      <c r="E552" t="s">
        <v>2983</v>
      </c>
      <c r="F552" t="s">
        <v>491</v>
      </c>
      <c r="G552" t="s">
        <v>44</v>
      </c>
      <c r="H552" t="s">
        <v>45</v>
      </c>
      <c r="I552" t="s">
        <v>34</v>
      </c>
      <c r="J552" t="s">
        <v>46</v>
      </c>
      <c r="K552" t="s">
        <v>41</v>
      </c>
      <c r="L552" t="s">
        <v>3114</v>
      </c>
      <c r="M552" t="s">
        <v>3115</v>
      </c>
      <c r="N552" t="s">
        <v>494</v>
      </c>
      <c r="O552" t="s">
        <v>69</v>
      </c>
      <c r="P552" t="s">
        <v>3116</v>
      </c>
      <c r="Q552" s="14" t="s">
        <v>202</v>
      </c>
      <c r="R552" t="s">
        <v>3117</v>
      </c>
      <c r="S552">
        <v>1</v>
      </c>
      <c r="T552">
        <v>5476</v>
      </c>
      <c r="U552">
        <v>0</v>
      </c>
      <c r="V552">
        <v>5476</v>
      </c>
    </row>
    <row r="553" spans="1:22" x14ac:dyDescent="0.3">
      <c r="A553">
        <v>80147</v>
      </c>
      <c r="B553">
        <v>135111021</v>
      </c>
      <c r="C553" t="s">
        <v>3118</v>
      </c>
      <c r="D553" t="s">
        <v>3119</v>
      </c>
      <c r="E553" t="s">
        <v>2983</v>
      </c>
      <c r="F553" t="s">
        <v>491</v>
      </c>
      <c r="G553" t="s">
        <v>44</v>
      </c>
      <c r="H553" t="s">
        <v>45</v>
      </c>
      <c r="I553" t="s">
        <v>34</v>
      </c>
      <c r="J553" t="s">
        <v>46</v>
      </c>
      <c r="K553" t="s">
        <v>41</v>
      </c>
      <c r="L553" t="s">
        <v>3120</v>
      </c>
      <c r="M553" t="s">
        <v>3121</v>
      </c>
      <c r="N553" t="s">
        <v>494</v>
      </c>
      <c r="O553" t="s">
        <v>69</v>
      </c>
      <c r="P553" t="s">
        <v>3122</v>
      </c>
      <c r="Q553" s="14" t="s">
        <v>152</v>
      </c>
      <c r="R553" t="s">
        <v>3123</v>
      </c>
      <c r="S553">
        <v>11.32</v>
      </c>
      <c r="T553">
        <v>6400</v>
      </c>
      <c r="U553">
        <v>0</v>
      </c>
      <c r="V553">
        <v>6400</v>
      </c>
    </row>
    <row r="554" spans="1:22" x14ac:dyDescent="0.3">
      <c r="A554">
        <v>80147</v>
      </c>
      <c r="B554">
        <v>135123934</v>
      </c>
      <c r="C554" t="s">
        <v>3124</v>
      </c>
      <c r="D554" t="s">
        <v>3125</v>
      </c>
      <c r="E554" t="s">
        <v>2983</v>
      </c>
      <c r="F554" t="s">
        <v>491</v>
      </c>
      <c r="G554" t="s">
        <v>44</v>
      </c>
      <c r="H554" t="s">
        <v>45</v>
      </c>
      <c r="I554" t="s">
        <v>34</v>
      </c>
      <c r="J554" t="s">
        <v>46</v>
      </c>
      <c r="K554" t="s">
        <v>41</v>
      </c>
      <c r="L554" t="s">
        <v>3126</v>
      </c>
      <c r="M554" t="s">
        <v>3127</v>
      </c>
      <c r="N554" t="s">
        <v>494</v>
      </c>
      <c r="O554" t="s">
        <v>69</v>
      </c>
      <c r="P554" t="s">
        <v>3128</v>
      </c>
      <c r="Q554" s="14" t="s">
        <v>201</v>
      </c>
      <c r="R554" t="s">
        <v>467</v>
      </c>
      <c r="S554">
        <v>1</v>
      </c>
      <c r="T554">
        <v>3366</v>
      </c>
      <c r="U554">
        <v>0</v>
      </c>
      <c r="V554">
        <v>3366</v>
      </c>
    </row>
    <row r="555" spans="1:22" x14ac:dyDescent="0.3">
      <c r="A555">
        <v>80147</v>
      </c>
      <c r="B555">
        <v>135111020</v>
      </c>
      <c r="C555" t="s">
        <v>3129</v>
      </c>
      <c r="D555" t="s">
        <v>3130</v>
      </c>
      <c r="E555" t="s">
        <v>2983</v>
      </c>
      <c r="F555" t="s">
        <v>491</v>
      </c>
      <c r="G555" t="s">
        <v>44</v>
      </c>
      <c r="H555" t="s">
        <v>45</v>
      </c>
      <c r="I555" t="s">
        <v>34</v>
      </c>
      <c r="J555" t="s">
        <v>46</v>
      </c>
      <c r="K555" t="s">
        <v>41</v>
      </c>
      <c r="L555" t="s">
        <v>3131</v>
      </c>
      <c r="M555" t="s">
        <v>3132</v>
      </c>
      <c r="N555" t="s">
        <v>494</v>
      </c>
      <c r="O555" t="s">
        <v>69</v>
      </c>
      <c r="P555" t="s">
        <v>3133</v>
      </c>
      <c r="Q555" s="14" t="s">
        <v>220</v>
      </c>
      <c r="R555" t="s">
        <v>3123</v>
      </c>
      <c r="S555">
        <v>8.6199999999999992</v>
      </c>
      <c r="T555">
        <v>7017</v>
      </c>
      <c r="U555">
        <v>0</v>
      </c>
      <c r="V555">
        <v>7017</v>
      </c>
    </row>
    <row r="556" spans="1:22" x14ac:dyDescent="0.3">
      <c r="A556">
        <v>80147</v>
      </c>
      <c r="B556">
        <v>135111019</v>
      </c>
      <c r="C556" t="s">
        <v>3134</v>
      </c>
      <c r="D556" t="s">
        <v>3135</v>
      </c>
      <c r="E556" t="s">
        <v>2983</v>
      </c>
      <c r="F556" t="s">
        <v>491</v>
      </c>
      <c r="G556" t="s">
        <v>44</v>
      </c>
      <c r="H556" t="s">
        <v>45</v>
      </c>
      <c r="I556" t="s">
        <v>34</v>
      </c>
      <c r="J556" t="s">
        <v>46</v>
      </c>
      <c r="K556" t="s">
        <v>41</v>
      </c>
      <c r="L556" t="s">
        <v>3136</v>
      </c>
      <c r="M556" t="s">
        <v>3080</v>
      </c>
      <c r="N556" t="s">
        <v>494</v>
      </c>
      <c r="O556" t="s">
        <v>69</v>
      </c>
      <c r="P556" t="s">
        <v>3137</v>
      </c>
      <c r="Q556" s="14" t="s">
        <v>107</v>
      </c>
      <c r="R556" t="s">
        <v>3123</v>
      </c>
      <c r="S556">
        <v>0.53</v>
      </c>
      <c r="T556">
        <v>3784</v>
      </c>
      <c r="U556">
        <v>0</v>
      </c>
      <c r="V556">
        <v>3784</v>
      </c>
    </row>
    <row r="557" spans="1:22" x14ac:dyDescent="0.3">
      <c r="A557">
        <v>80147</v>
      </c>
      <c r="B557">
        <v>134941110</v>
      </c>
      <c r="C557" t="s">
        <v>3138</v>
      </c>
      <c r="D557" t="s">
        <v>3139</v>
      </c>
      <c r="E557" t="s">
        <v>2983</v>
      </c>
      <c r="F557" t="s">
        <v>491</v>
      </c>
      <c r="G557" t="s">
        <v>44</v>
      </c>
      <c r="H557" t="s">
        <v>45</v>
      </c>
      <c r="I557" t="s">
        <v>34</v>
      </c>
      <c r="J557" t="s">
        <v>46</v>
      </c>
      <c r="K557" t="s">
        <v>41</v>
      </c>
      <c r="L557" t="s">
        <v>3140</v>
      </c>
      <c r="M557" t="s">
        <v>3141</v>
      </c>
      <c r="N557" t="s">
        <v>494</v>
      </c>
      <c r="O557" t="s">
        <v>69</v>
      </c>
      <c r="P557" t="s">
        <v>3142</v>
      </c>
      <c r="Q557" s="14" t="s">
        <v>60</v>
      </c>
      <c r="R557" t="s">
        <v>3143</v>
      </c>
      <c r="S557">
        <v>1</v>
      </c>
      <c r="T557">
        <v>5759</v>
      </c>
      <c r="U557">
        <v>0</v>
      </c>
      <c r="V557">
        <v>5759</v>
      </c>
    </row>
    <row r="558" spans="1:22" x14ac:dyDescent="0.3">
      <c r="A558">
        <v>80147</v>
      </c>
      <c r="B558">
        <v>135047557</v>
      </c>
      <c r="C558" t="s">
        <v>3144</v>
      </c>
      <c r="D558" t="s">
        <v>3145</v>
      </c>
      <c r="E558" t="s">
        <v>2983</v>
      </c>
      <c r="F558" t="s">
        <v>491</v>
      </c>
      <c r="G558" t="s">
        <v>44</v>
      </c>
      <c r="H558" t="s">
        <v>45</v>
      </c>
      <c r="I558" t="s">
        <v>34</v>
      </c>
      <c r="J558" t="s">
        <v>46</v>
      </c>
      <c r="K558" t="s">
        <v>41</v>
      </c>
      <c r="L558" t="s">
        <v>3146</v>
      </c>
      <c r="M558" t="s">
        <v>3147</v>
      </c>
      <c r="N558" t="s">
        <v>494</v>
      </c>
      <c r="O558" t="s">
        <v>69</v>
      </c>
      <c r="P558" t="s">
        <v>3148</v>
      </c>
      <c r="Q558" s="14" t="s">
        <v>60</v>
      </c>
      <c r="R558" t="s">
        <v>273</v>
      </c>
      <c r="S558">
        <v>0.59</v>
      </c>
      <c r="T558">
        <v>5759</v>
      </c>
      <c r="U558">
        <v>0</v>
      </c>
      <c r="V558">
        <v>5759</v>
      </c>
    </row>
    <row r="559" spans="1:22" x14ac:dyDescent="0.3">
      <c r="A559">
        <v>80147</v>
      </c>
      <c r="B559">
        <v>134981692</v>
      </c>
      <c r="C559" t="s">
        <v>3149</v>
      </c>
      <c r="D559" t="s">
        <v>3150</v>
      </c>
      <c r="E559" t="s">
        <v>2983</v>
      </c>
      <c r="F559" t="s">
        <v>491</v>
      </c>
      <c r="G559" t="s">
        <v>44</v>
      </c>
      <c r="H559" t="s">
        <v>45</v>
      </c>
      <c r="I559" t="s">
        <v>34</v>
      </c>
      <c r="J559" t="s">
        <v>46</v>
      </c>
      <c r="K559" t="s">
        <v>41</v>
      </c>
      <c r="L559" t="s">
        <v>3151</v>
      </c>
      <c r="M559" t="s">
        <v>3152</v>
      </c>
      <c r="N559" t="s">
        <v>494</v>
      </c>
      <c r="O559" t="s">
        <v>69</v>
      </c>
      <c r="P559" t="s">
        <v>3153</v>
      </c>
      <c r="Q559" s="14" t="s">
        <v>70</v>
      </c>
      <c r="R559" t="s">
        <v>3154</v>
      </c>
      <c r="S559">
        <v>1</v>
      </c>
      <c r="T559">
        <v>5198</v>
      </c>
      <c r="U559">
        <v>0</v>
      </c>
      <c r="V559">
        <v>5198</v>
      </c>
    </row>
    <row r="560" spans="1:22" x14ac:dyDescent="0.3">
      <c r="A560">
        <v>80147</v>
      </c>
      <c r="B560">
        <v>135072599</v>
      </c>
      <c r="C560" t="s">
        <v>3155</v>
      </c>
      <c r="D560" t="s">
        <v>3156</v>
      </c>
      <c r="E560" t="s">
        <v>2983</v>
      </c>
      <c r="F560" t="s">
        <v>491</v>
      </c>
      <c r="G560" t="s">
        <v>44</v>
      </c>
      <c r="H560" t="s">
        <v>45</v>
      </c>
      <c r="I560" t="s">
        <v>34</v>
      </c>
      <c r="J560" t="s">
        <v>46</v>
      </c>
      <c r="K560" t="s">
        <v>41</v>
      </c>
      <c r="L560" t="s">
        <v>3157</v>
      </c>
      <c r="M560" t="s">
        <v>3158</v>
      </c>
      <c r="N560" t="s">
        <v>494</v>
      </c>
      <c r="O560" t="s">
        <v>69</v>
      </c>
      <c r="P560" t="s">
        <v>3159</v>
      </c>
      <c r="Q560" s="14" t="s">
        <v>86</v>
      </c>
      <c r="R560" t="s">
        <v>2987</v>
      </c>
      <c r="S560">
        <v>6.09</v>
      </c>
      <c r="T560">
        <v>5198</v>
      </c>
      <c r="U560">
        <v>0</v>
      </c>
      <c r="V560">
        <v>5198</v>
      </c>
    </row>
    <row r="561" spans="1:22" x14ac:dyDescent="0.3">
      <c r="A561">
        <v>80147</v>
      </c>
      <c r="B561">
        <v>135088204</v>
      </c>
      <c r="C561" t="s">
        <v>3160</v>
      </c>
      <c r="D561" t="s">
        <v>3161</v>
      </c>
      <c r="E561" t="s">
        <v>2983</v>
      </c>
      <c r="F561" t="s">
        <v>491</v>
      </c>
      <c r="G561" t="s">
        <v>44</v>
      </c>
      <c r="H561" t="s">
        <v>45</v>
      </c>
      <c r="I561" t="s">
        <v>34</v>
      </c>
      <c r="J561" t="s">
        <v>46</v>
      </c>
      <c r="K561" t="s">
        <v>56</v>
      </c>
      <c r="L561" t="s">
        <v>57</v>
      </c>
      <c r="M561" t="s">
        <v>3162</v>
      </c>
      <c r="N561" t="s">
        <v>494</v>
      </c>
      <c r="O561" t="s">
        <v>69</v>
      </c>
      <c r="P561" t="s">
        <v>3163</v>
      </c>
      <c r="Q561" s="14" t="s">
        <v>58</v>
      </c>
      <c r="R561" t="s">
        <v>316</v>
      </c>
      <c r="S561">
        <v>6.32</v>
      </c>
      <c r="T561">
        <v>6888</v>
      </c>
      <c r="U561">
        <v>0</v>
      </c>
      <c r="V561">
        <v>6888</v>
      </c>
    </row>
    <row r="562" spans="1:22" x14ac:dyDescent="0.3">
      <c r="A562">
        <v>80147</v>
      </c>
      <c r="B562">
        <v>134981686</v>
      </c>
      <c r="C562" t="s">
        <v>3164</v>
      </c>
      <c r="D562" t="s">
        <v>3165</v>
      </c>
      <c r="E562" t="s">
        <v>2983</v>
      </c>
      <c r="F562" t="s">
        <v>491</v>
      </c>
      <c r="G562" t="s">
        <v>44</v>
      </c>
      <c r="H562" t="s">
        <v>45</v>
      </c>
      <c r="I562" t="s">
        <v>34</v>
      </c>
      <c r="J562" t="s">
        <v>46</v>
      </c>
      <c r="K562" t="s">
        <v>41</v>
      </c>
      <c r="L562" t="s">
        <v>3166</v>
      </c>
      <c r="M562" t="s">
        <v>3167</v>
      </c>
      <c r="N562" t="s">
        <v>494</v>
      </c>
      <c r="O562" t="s">
        <v>69</v>
      </c>
      <c r="P562" t="s">
        <v>3168</v>
      </c>
      <c r="Q562" s="14" t="s">
        <v>85</v>
      </c>
      <c r="R562" t="s">
        <v>3154</v>
      </c>
      <c r="S562">
        <v>0.9</v>
      </c>
      <c r="T562">
        <v>3784</v>
      </c>
      <c r="U562">
        <v>0</v>
      </c>
      <c r="V562">
        <v>3784</v>
      </c>
    </row>
    <row r="563" spans="1:22" x14ac:dyDescent="0.3">
      <c r="A563">
        <v>80147</v>
      </c>
      <c r="B563">
        <v>134981676</v>
      </c>
      <c r="C563" t="s">
        <v>3169</v>
      </c>
      <c r="D563" t="s">
        <v>3170</v>
      </c>
      <c r="E563" t="s">
        <v>2983</v>
      </c>
      <c r="F563" t="s">
        <v>491</v>
      </c>
      <c r="G563" t="s">
        <v>44</v>
      </c>
      <c r="H563" t="s">
        <v>45</v>
      </c>
      <c r="I563" t="s">
        <v>34</v>
      </c>
      <c r="J563" t="s">
        <v>46</v>
      </c>
      <c r="K563" t="s">
        <v>41</v>
      </c>
      <c r="L563" t="s">
        <v>3171</v>
      </c>
      <c r="M563" t="s">
        <v>3172</v>
      </c>
      <c r="N563" t="s">
        <v>494</v>
      </c>
      <c r="O563" t="s">
        <v>69</v>
      </c>
      <c r="P563" t="s">
        <v>3173</v>
      </c>
      <c r="Q563" s="14" t="s">
        <v>82</v>
      </c>
      <c r="R563" t="s">
        <v>3154</v>
      </c>
      <c r="S563">
        <v>1</v>
      </c>
      <c r="T563">
        <v>4067</v>
      </c>
      <c r="U563">
        <v>0</v>
      </c>
      <c r="V563">
        <v>4067</v>
      </c>
    </row>
    <row r="564" spans="1:22" x14ac:dyDescent="0.3">
      <c r="A564">
        <v>80147</v>
      </c>
      <c r="B564">
        <v>135002007</v>
      </c>
      <c r="C564" t="s">
        <v>3174</v>
      </c>
      <c r="D564" t="s">
        <v>3175</v>
      </c>
      <c r="E564" t="s">
        <v>2983</v>
      </c>
      <c r="F564" t="s">
        <v>491</v>
      </c>
      <c r="G564" t="s">
        <v>44</v>
      </c>
      <c r="H564" t="s">
        <v>45</v>
      </c>
      <c r="I564" t="s">
        <v>34</v>
      </c>
      <c r="J564" t="s">
        <v>46</v>
      </c>
      <c r="K564" t="s">
        <v>41</v>
      </c>
      <c r="L564" t="s">
        <v>3176</v>
      </c>
      <c r="M564" t="s">
        <v>3177</v>
      </c>
      <c r="N564" t="s">
        <v>494</v>
      </c>
      <c r="O564" t="s">
        <v>69</v>
      </c>
      <c r="P564" t="s">
        <v>3178</v>
      </c>
      <c r="Q564" s="14" t="s">
        <v>58</v>
      </c>
      <c r="R564" t="s">
        <v>3117</v>
      </c>
      <c r="S564">
        <v>1</v>
      </c>
      <c r="T564">
        <v>4346</v>
      </c>
      <c r="U564">
        <v>0</v>
      </c>
      <c r="V564">
        <v>4346</v>
      </c>
    </row>
    <row r="565" spans="1:22" x14ac:dyDescent="0.3">
      <c r="A565">
        <v>80147</v>
      </c>
      <c r="B565">
        <v>135032397</v>
      </c>
      <c r="C565" t="s">
        <v>3179</v>
      </c>
      <c r="D565" t="s">
        <v>3180</v>
      </c>
      <c r="E565" t="s">
        <v>2983</v>
      </c>
      <c r="F565" t="s">
        <v>491</v>
      </c>
      <c r="G565" t="s">
        <v>44</v>
      </c>
      <c r="H565" t="s">
        <v>45</v>
      </c>
      <c r="I565" t="s">
        <v>34</v>
      </c>
      <c r="J565" t="s">
        <v>46</v>
      </c>
      <c r="K565" t="s">
        <v>41</v>
      </c>
      <c r="L565" t="s">
        <v>3181</v>
      </c>
      <c r="M565" t="s">
        <v>3182</v>
      </c>
      <c r="N565" t="s">
        <v>494</v>
      </c>
      <c r="O565" t="s">
        <v>69</v>
      </c>
      <c r="P565" t="s">
        <v>3183</v>
      </c>
      <c r="Q565" s="14" t="s">
        <v>230</v>
      </c>
      <c r="R565" t="s">
        <v>3184</v>
      </c>
      <c r="S565">
        <v>0.6</v>
      </c>
      <c r="T565">
        <v>3366</v>
      </c>
      <c r="U565">
        <v>0</v>
      </c>
      <c r="V565">
        <v>3366</v>
      </c>
    </row>
    <row r="566" spans="1:22" x14ac:dyDescent="0.3">
      <c r="A566">
        <v>80147</v>
      </c>
      <c r="B566">
        <v>135032396</v>
      </c>
      <c r="C566" t="s">
        <v>3185</v>
      </c>
      <c r="D566" t="s">
        <v>3186</v>
      </c>
      <c r="E566" t="s">
        <v>2983</v>
      </c>
      <c r="F566" t="s">
        <v>491</v>
      </c>
      <c r="G566" t="s">
        <v>44</v>
      </c>
      <c r="H566" t="s">
        <v>45</v>
      </c>
      <c r="I566" t="s">
        <v>34</v>
      </c>
      <c r="J566" t="s">
        <v>46</v>
      </c>
      <c r="K566" t="s">
        <v>41</v>
      </c>
      <c r="L566" t="s">
        <v>3187</v>
      </c>
      <c r="M566" t="s">
        <v>3188</v>
      </c>
      <c r="N566" t="s">
        <v>494</v>
      </c>
      <c r="O566" t="s">
        <v>69</v>
      </c>
      <c r="P566" t="s">
        <v>3189</v>
      </c>
      <c r="Q566" s="14" t="s">
        <v>66</v>
      </c>
      <c r="R566" t="s">
        <v>3184</v>
      </c>
      <c r="S566">
        <v>1</v>
      </c>
      <c r="T566">
        <v>3366</v>
      </c>
      <c r="U566">
        <v>0</v>
      </c>
      <c r="V566">
        <v>3366</v>
      </c>
    </row>
    <row r="567" spans="1:22" x14ac:dyDescent="0.3">
      <c r="A567">
        <v>80147</v>
      </c>
      <c r="B567">
        <v>134981675</v>
      </c>
      <c r="C567" t="s">
        <v>3190</v>
      </c>
      <c r="D567" t="s">
        <v>3191</v>
      </c>
      <c r="E567" t="s">
        <v>2983</v>
      </c>
      <c r="F567" t="s">
        <v>491</v>
      </c>
      <c r="G567" t="s">
        <v>44</v>
      </c>
      <c r="H567" t="s">
        <v>45</v>
      </c>
      <c r="I567" t="s">
        <v>34</v>
      </c>
      <c r="J567" t="s">
        <v>46</v>
      </c>
      <c r="K567" t="s">
        <v>41</v>
      </c>
      <c r="L567" t="s">
        <v>3192</v>
      </c>
      <c r="M567" t="s">
        <v>3193</v>
      </c>
      <c r="N567" t="s">
        <v>494</v>
      </c>
      <c r="O567" t="s">
        <v>69</v>
      </c>
      <c r="P567" t="s">
        <v>3194</v>
      </c>
      <c r="Q567" s="14" t="s">
        <v>114</v>
      </c>
      <c r="R567" t="s">
        <v>3154</v>
      </c>
      <c r="S567">
        <v>1</v>
      </c>
      <c r="T567">
        <v>3501</v>
      </c>
      <c r="U567">
        <v>0</v>
      </c>
      <c r="V567">
        <v>3501</v>
      </c>
    </row>
    <row r="568" spans="1:22" x14ac:dyDescent="0.3">
      <c r="A568">
        <v>80147</v>
      </c>
      <c r="B568">
        <v>134981677</v>
      </c>
      <c r="C568" t="s">
        <v>3195</v>
      </c>
      <c r="D568" t="s">
        <v>3196</v>
      </c>
      <c r="E568" t="s">
        <v>2983</v>
      </c>
      <c r="F568" t="s">
        <v>491</v>
      </c>
      <c r="G568" t="s">
        <v>44</v>
      </c>
      <c r="H568" t="s">
        <v>45</v>
      </c>
      <c r="I568" t="s">
        <v>34</v>
      </c>
      <c r="J568" t="s">
        <v>46</v>
      </c>
      <c r="K568" t="s">
        <v>41</v>
      </c>
      <c r="L568" t="s">
        <v>3197</v>
      </c>
      <c r="M568" t="s">
        <v>3198</v>
      </c>
      <c r="N568" t="s">
        <v>494</v>
      </c>
      <c r="O568" t="s">
        <v>69</v>
      </c>
      <c r="P568" t="s">
        <v>3199</v>
      </c>
      <c r="Q568" s="14" t="s">
        <v>93</v>
      </c>
      <c r="R568" t="s">
        <v>3154</v>
      </c>
      <c r="S568">
        <v>1</v>
      </c>
      <c r="T568">
        <v>4067</v>
      </c>
      <c r="U568">
        <v>0</v>
      </c>
      <c r="V568">
        <v>4067</v>
      </c>
    </row>
    <row r="569" spans="1:22" x14ac:dyDescent="0.3">
      <c r="A569">
        <v>80147</v>
      </c>
      <c r="B569">
        <v>134981683</v>
      </c>
      <c r="C569" t="s">
        <v>3200</v>
      </c>
      <c r="D569" t="s">
        <v>3201</v>
      </c>
      <c r="E569" t="s">
        <v>2983</v>
      </c>
      <c r="F569" t="s">
        <v>491</v>
      </c>
      <c r="G569" t="s">
        <v>44</v>
      </c>
      <c r="H569" t="s">
        <v>45</v>
      </c>
      <c r="I569" t="s">
        <v>34</v>
      </c>
      <c r="J569" t="s">
        <v>46</v>
      </c>
      <c r="K569" t="s">
        <v>41</v>
      </c>
      <c r="L569" t="s">
        <v>3202</v>
      </c>
      <c r="M569" t="s">
        <v>3203</v>
      </c>
      <c r="N569" t="s">
        <v>494</v>
      </c>
      <c r="O569" t="s">
        <v>69</v>
      </c>
      <c r="P569" t="s">
        <v>3204</v>
      </c>
      <c r="Q569" s="14" t="s">
        <v>86</v>
      </c>
      <c r="R569" t="s">
        <v>3154</v>
      </c>
      <c r="S569">
        <v>1</v>
      </c>
      <c r="T569">
        <v>3366</v>
      </c>
      <c r="U569">
        <v>0</v>
      </c>
      <c r="V569">
        <v>3366</v>
      </c>
    </row>
    <row r="570" spans="1:22" x14ac:dyDescent="0.3">
      <c r="A570">
        <v>80147</v>
      </c>
      <c r="B570">
        <v>134981680</v>
      </c>
      <c r="C570" t="s">
        <v>3205</v>
      </c>
      <c r="D570" t="s">
        <v>3206</v>
      </c>
      <c r="E570" t="s">
        <v>2983</v>
      </c>
      <c r="F570" t="s">
        <v>491</v>
      </c>
      <c r="G570" t="s">
        <v>44</v>
      </c>
      <c r="H570" t="s">
        <v>45</v>
      </c>
      <c r="I570" t="s">
        <v>34</v>
      </c>
      <c r="J570" t="s">
        <v>46</v>
      </c>
      <c r="K570" t="s">
        <v>56</v>
      </c>
      <c r="L570" t="s">
        <v>57</v>
      </c>
      <c r="M570" t="s">
        <v>3207</v>
      </c>
      <c r="N570" t="s">
        <v>494</v>
      </c>
      <c r="O570" t="s">
        <v>69</v>
      </c>
      <c r="P570" t="s">
        <v>3208</v>
      </c>
      <c r="Q570" s="14" t="s">
        <v>43</v>
      </c>
      <c r="R570" t="s">
        <v>3154</v>
      </c>
      <c r="S570">
        <v>1</v>
      </c>
      <c r="T570">
        <v>4067</v>
      </c>
      <c r="U570">
        <v>0</v>
      </c>
      <c r="V570">
        <v>4067</v>
      </c>
    </row>
    <row r="571" spans="1:22" x14ac:dyDescent="0.3">
      <c r="A571">
        <v>80147</v>
      </c>
      <c r="B571">
        <v>135002010</v>
      </c>
      <c r="C571" t="s">
        <v>3209</v>
      </c>
      <c r="D571" t="s">
        <v>3210</v>
      </c>
      <c r="E571" t="s">
        <v>2983</v>
      </c>
      <c r="F571" t="s">
        <v>491</v>
      </c>
      <c r="G571" t="s">
        <v>44</v>
      </c>
      <c r="H571" t="s">
        <v>45</v>
      </c>
      <c r="I571" t="s">
        <v>34</v>
      </c>
      <c r="J571" t="s">
        <v>46</v>
      </c>
      <c r="K571" t="s">
        <v>41</v>
      </c>
      <c r="L571" t="s">
        <v>3211</v>
      </c>
      <c r="M571" t="s">
        <v>3212</v>
      </c>
      <c r="N571" t="s">
        <v>494</v>
      </c>
      <c r="O571" t="s">
        <v>69</v>
      </c>
      <c r="P571" t="s">
        <v>3213</v>
      </c>
      <c r="Q571" s="14" t="s">
        <v>83</v>
      </c>
      <c r="R571" t="s">
        <v>3117</v>
      </c>
      <c r="S571">
        <v>1</v>
      </c>
      <c r="T571">
        <v>3366</v>
      </c>
      <c r="U571">
        <v>0</v>
      </c>
      <c r="V571">
        <v>3366</v>
      </c>
    </row>
    <row r="572" spans="1:22" x14ac:dyDescent="0.3">
      <c r="A572">
        <v>80147</v>
      </c>
      <c r="B572">
        <v>134941112</v>
      </c>
      <c r="C572" t="s">
        <v>3214</v>
      </c>
      <c r="D572" t="s">
        <v>3215</v>
      </c>
      <c r="E572" t="s">
        <v>2983</v>
      </c>
      <c r="F572" t="s">
        <v>491</v>
      </c>
      <c r="G572" t="s">
        <v>44</v>
      </c>
      <c r="H572" t="s">
        <v>45</v>
      </c>
      <c r="I572" t="s">
        <v>34</v>
      </c>
      <c r="J572" t="s">
        <v>46</v>
      </c>
      <c r="K572" t="s">
        <v>56</v>
      </c>
      <c r="L572" t="s">
        <v>57</v>
      </c>
      <c r="M572" t="s">
        <v>3216</v>
      </c>
      <c r="N572" t="s">
        <v>494</v>
      </c>
      <c r="O572" t="s">
        <v>69</v>
      </c>
      <c r="P572" t="s">
        <v>3217</v>
      </c>
      <c r="Q572" s="14" t="s">
        <v>83</v>
      </c>
      <c r="R572" t="s">
        <v>3143</v>
      </c>
      <c r="S572">
        <v>1</v>
      </c>
      <c r="T572">
        <v>3366</v>
      </c>
      <c r="U572">
        <v>0</v>
      </c>
      <c r="V572">
        <v>3366</v>
      </c>
    </row>
    <row r="573" spans="1:22" x14ac:dyDescent="0.3">
      <c r="A573">
        <v>80147</v>
      </c>
      <c r="B573">
        <v>134981691</v>
      </c>
      <c r="C573" t="s">
        <v>3218</v>
      </c>
      <c r="D573" t="s">
        <v>3219</v>
      </c>
      <c r="E573" t="s">
        <v>2983</v>
      </c>
      <c r="F573" t="s">
        <v>491</v>
      </c>
      <c r="G573" t="s">
        <v>44</v>
      </c>
      <c r="H573" t="s">
        <v>45</v>
      </c>
      <c r="I573" t="s">
        <v>34</v>
      </c>
      <c r="J573" t="s">
        <v>46</v>
      </c>
      <c r="K573" t="s">
        <v>41</v>
      </c>
      <c r="L573" t="s">
        <v>3220</v>
      </c>
      <c r="M573" t="s">
        <v>3221</v>
      </c>
      <c r="N573" t="s">
        <v>494</v>
      </c>
      <c r="O573" t="s">
        <v>69</v>
      </c>
      <c r="P573" t="s">
        <v>3222</v>
      </c>
      <c r="Q573" s="14" t="s">
        <v>73</v>
      </c>
      <c r="R573" t="s">
        <v>3154</v>
      </c>
      <c r="S573">
        <v>1</v>
      </c>
      <c r="T573">
        <v>3366</v>
      </c>
      <c r="U573">
        <v>0</v>
      </c>
      <c r="V573">
        <v>3366</v>
      </c>
    </row>
    <row r="574" spans="1:22" x14ac:dyDescent="0.3">
      <c r="A574">
        <v>80147</v>
      </c>
      <c r="B574">
        <v>134941113</v>
      </c>
      <c r="C574" t="s">
        <v>3223</v>
      </c>
      <c r="D574" t="s">
        <v>3224</v>
      </c>
      <c r="E574" t="s">
        <v>2983</v>
      </c>
      <c r="F574" t="s">
        <v>491</v>
      </c>
      <c r="G574" t="s">
        <v>44</v>
      </c>
      <c r="H574" t="s">
        <v>45</v>
      </c>
      <c r="I574" t="s">
        <v>34</v>
      </c>
      <c r="J574" t="s">
        <v>46</v>
      </c>
      <c r="K574" t="s">
        <v>41</v>
      </c>
      <c r="L574" t="s">
        <v>3225</v>
      </c>
      <c r="M574" t="s">
        <v>121</v>
      </c>
      <c r="N574" t="s">
        <v>494</v>
      </c>
      <c r="O574" t="s">
        <v>69</v>
      </c>
      <c r="P574" t="s">
        <v>3226</v>
      </c>
      <c r="Q574" s="14" t="s">
        <v>150</v>
      </c>
      <c r="R574" t="s">
        <v>3143</v>
      </c>
      <c r="S574">
        <v>1</v>
      </c>
      <c r="T574">
        <v>3753</v>
      </c>
      <c r="U574">
        <v>0</v>
      </c>
      <c r="V574">
        <v>3753</v>
      </c>
    </row>
    <row r="575" spans="1:22" x14ac:dyDescent="0.3">
      <c r="A575">
        <v>80147</v>
      </c>
      <c r="B575">
        <v>134981682</v>
      </c>
      <c r="C575" t="s">
        <v>3227</v>
      </c>
      <c r="D575" t="s">
        <v>3228</v>
      </c>
      <c r="E575" t="s">
        <v>2983</v>
      </c>
      <c r="F575" t="s">
        <v>491</v>
      </c>
      <c r="G575" t="s">
        <v>44</v>
      </c>
      <c r="H575" t="s">
        <v>45</v>
      </c>
      <c r="I575" t="s">
        <v>34</v>
      </c>
      <c r="J575" t="s">
        <v>46</v>
      </c>
      <c r="K575" t="s">
        <v>41</v>
      </c>
      <c r="L575" t="s">
        <v>3229</v>
      </c>
      <c r="M575" t="s">
        <v>1124</v>
      </c>
      <c r="N575" t="s">
        <v>494</v>
      </c>
      <c r="O575" t="s">
        <v>69</v>
      </c>
      <c r="P575" t="s">
        <v>3230</v>
      </c>
      <c r="Q575" s="14" t="s">
        <v>107</v>
      </c>
      <c r="R575" t="s">
        <v>3154</v>
      </c>
      <c r="S575">
        <v>1</v>
      </c>
      <c r="T575">
        <v>3784</v>
      </c>
      <c r="U575">
        <v>0</v>
      </c>
      <c r="V575">
        <v>3784</v>
      </c>
    </row>
    <row r="576" spans="1:22" x14ac:dyDescent="0.3">
      <c r="A576">
        <v>80147</v>
      </c>
      <c r="B576">
        <v>135047562</v>
      </c>
      <c r="C576" t="s">
        <v>3231</v>
      </c>
      <c r="D576" t="s">
        <v>3232</v>
      </c>
      <c r="E576" t="s">
        <v>2983</v>
      </c>
      <c r="F576" t="s">
        <v>491</v>
      </c>
      <c r="G576" t="s">
        <v>44</v>
      </c>
      <c r="H576" t="s">
        <v>45</v>
      </c>
      <c r="I576" t="s">
        <v>34</v>
      </c>
      <c r="J576" t="s">
        <v>46</v>
      </c>
      <c r="K576" t="s">
        <v>41</v>
      </c>
      <c r="L576" t="s">
        <v>3233</v>
      </c>
      <c r="M576" t="s">
        <v>3234</v>
      </c>
      <c r="N576" t="s">
        <v>494</v>
      </c>
      <c r="O576" t="s">
        <v>69</v>
      </c>
      <c r="P576" t="s">
        <v>3235</v>
      </c>
      <c r="Q576" s="14" t="s">
        <v>83</v>
      </c>
      <c r="R576" t="s">
        <v>273</v>
      </c>
      <c r="S576">
        <v>1</v>
      </c>
      <c r="T576">
        <v>3366</v>
      </c>
      <c r="U576">
        <v>0</v>
      </c>
      <c r="V576">
        <v>3366</v>
      </c>
    </row>
    <row r="577" spans="1:22" x14ac:dyDescent="0.3">
      <c r="A577">
        <v>80147</v>
      </c>
      <c r="B577">
        <v>135047560</v>
      </c>
      <c r="C577" t="s">
        <v>3236</v>
      </c>
      <c r="D577" t="s">
        <v>3237</v>
      </c>
      <c r="E577" t="s">
        <v>2983</v>
      </c>
      <c r="F577" t="s">
        <v>491</v>
      </c>
      <c r="G577" t="s">
        <v>44</v>
      </c>
      <c r="H577" t="s">
        <v>45</v>
      </c>
      <c r="I577" t="s">
        <v>34</v>
      </c>
      <c r="J577" t="s">
        <v>46</v>
      </c>
      <c r="K577" t="s">
        <v>41</v>
      </c>
      <c r="L577" t="s">
        <v>3238</v>
      </c>
      <c r="M577" t="s">
        <v>3239</v>
      </c>
      <c r="N577" t="s">
        <v>494</v>
      </c>
      <c r="O577" t="s">
        <v>69</v>
      </c>
      <c r="P577" t="s">
        <v>3240</v>
      </c>
      <c r="Q577" s="14" t="s">
        <v>109</v>
      </c>
      <c r="R577" t="s">
        <v>273</v>
      </c>
      <c r="S577">
        <v>1</v>
      </c>
      <c r="T577">
        <v>3784</v>
      </c>
      <c r="U577">
        <v>0</v>
      </c>
      <c r="V577">
        <v>3784</v>
      </c>
    </row>
    <row r="578" spans="1:22" x14ac:dyDescent="0.3">
      <c r="A578">
        <v>80147</v>
      </c>
      <c r="B578">
        <v>134981674</v>
      </c>
      <c r="C578" t="s">
        <v>3241</v>
      </c>
      <c r="D578" t="s">
        <v>3242</v>
      </c>
      <c r="E578" t="s">
        <v>2983</v>
      </c>
      <c r="F578" t="s">
        <v>491</v>
      </c>
      <c r="G578" t="s">
        <v>44</v>
      </c>
      <c r="H578" t="s">
        <v>45</v>
      </c>
      <c r="I578" t="s">
        <v>34</v>
      </c>
      <c r="J578" t="s">
        <v>46</v>
      </c>
      <c r="K578" t="s">
        <v>41</v>
      </c>
      <c r="L578" t="s">
        <v>3243</v>
      </c>
      <c r="M578" t="s">
        <v>3244</v>
      </c>
      <c r="N578" t="s">
        <v>494</v>
      </c>
      <c r="O578" t="s">
        <v>69</v>
      </c>
      <c r="P578" t="s">
        <v>3245</v>
      </c>
      <c r="Q578" s="14" t="s">
        <v>96</v>
      </c>
      <c r="R578" t="s">
        <v>3154</v>
      </c>
      <c r="S578">
        <v>1</v>
      </c>
      <c r="T578">
        <v>3753</v>
      </c>
      <c r="U578">
        <v>0</v>
      </c>
      <c r="V578">
        <v>3753</v>
      </c>
    </row>
    <row r="579" spans="1:22" x14ac:dyDescent="0.3">
      <c r="A579">
        <v>80147</v>
      </c>
      <c r="B579">
        <v>134981685</v>
      </c>
      <c r="C579" t="s">
        <v>3246</v>
      </c>
      <c r="D579" t="s">
        <v>3247</v>
      </c>
      <c r="E579" t="s">
        <v>2983</v>
      </c>
      <c r="F579" t="s">
        <v>491</v>
      </c>
      <c r="G579" t="s">
        <v>44</v>
      </c>
      <c r="H579" t="s">
        <v>45</v>
      </c>
      <c r="I579" t="s">
        <v>34</v>
      </c>
      <c r="J579" t="s">
        <v>46</v>
      </c>
      <c r="K579" t="s">
        <v>41</v>
      </c>
      <c r="L579" t="s">
        <v>3248</v>
      </c>
      <c r="M579" t="s">
        <v>3249</v>
      </c>
      <c r="N579" t="s">
        <v>494</v>
      </c>
      <c r="O579" t="s">
        <v>69</v>
      </c>
      <c r="P579" t="s">
        <v>3250</v>
      </c>
      <c r="Q579" s="14" t="s">
        <v>86</v>
      </c>
      <c r="R579" t="s">
        <v>3154</v>
      </c>
      <c r="S579">
        <v>1</v>
      </c>
      <c r="T579">
        <v>3366</v>
      </c>
      <c r="U579">
        <v>0</v>
      </c>
      <c r="V579">
        <v>3366</v>
      </c>
    </row>
    <row r="580" spans="1:22" x14ac:dyDescent="0.3">
      <c r="A580">
        <v>80147</v>
      </c>
      <c r="B580">
        <v>134860875</v>
      </c>
      <c r="C580" t="s">
        <v>3251</v>
      </c>
      <c r="D580" t="s">
        <v>3252</v>
      </c>
      <c r="E580" t="s">
        <v>2983</v>
      </c>
      <c r="F580" t="s">
        <v>491</v>
      </c>
      <c r="G580" t="s">
        <v>44</v>
      </c>
      <c r="H580" t="s">
        <v>45</v>
      </c>
      <c r="I580" t="s">
        <v>34</v>
      </c>
      <c r="J580" t="s">
        <v>46</v>
      </c>
      <c r="K580" t="s">
        <v>41</v>
      </c>
      <c r="L580" t="s">
        <v>3253</v>
      </c>
      <c r="M580" t="s">
        <v>3254</v>
      </c>
      <c r="N580" t="s">
        <v>494</v>
      </c>
      <c r="O580" t="s">
        <v>69</v>
      </c>
      <c r="P580" t="s">
        <v>3255</v>
      </c>
      <c r="Q580" s="14" t="s">
        <v>146</v>
      </c>
      <c r="R580" t="s">
        <v>3256</v>
      </c>
      <c r="S580">
        <v>1</v>
      </c>
      <c r="T580">
        <v>5759</v>
      </c>
      <c r="U580">
        <v>0</v>
      </c>
      <c r="V580">
        <v>5759</v>
      </c>
    </row>
    <row r="581" spans="1:22" x14ac:dyDescent="0.3">
      <c r="A581">
        <v>80147</v>
      </c>
      <c r="B581">
        <v>134814091</v>
      </c>
      <c r="C581" t="s">
        <v>3257</v>
      </c>
      <c r="D581" t="s">
        <v>3258</v>
      </c>
      <c r="E581" t="s">
        <v>2983</v>
      </c>
      <c r="F581" t="s">
        <v>491</v>
      </c>
      <c r="G581" t="s">
        <v>44</v>
      </c>
      <c r="H581" t="s">
        <v>45</v>
      </c>
      <c r="I581" t="s">
        <v>34</v>
      </c>
      <c r="J581" t="s">
        <v>46</v>
      </c>
      <c r="K581" t="s">
        <v>41</v>
      </c>
      <c r="L581" t="s">
        <v>3259</v>
      </c>
      <c r="M581" t="s">
        <v>3260</v>
      </c>
      <c r="N581" t="s">
        <v>494</v>
      </c>
      <c r="O581" t="s">
        <v>69</v>
      </c>
      <c r="P581" t="s">
        <v>3261</v>
      </c>
      <c r="Q581" s="14" t="s">
        <v>146</v>
      </c>
      <c r="R581" t="s">
        <v>3262</v>
      </c>
      <c r="S581">
        <v>1</v>
      </c>
      <c r="T581">
        <v>5759</v>
      </c>
      <c r="U581">
        <v>0</v>
      </c>
      <c r="V581">
        <v>5759</v>
      </c>
    </row>
    <row r="582" spans="1:22" x14ac:dyDescent="0.3">
      <c r="A582">
        <v>80147</v>
      </c>
      <c r="B582">
        <v>134917884</v>
      </c>
      <c r="C582" t="s">
        <v>3263</v>
      </c>
      <c r="D582" t="s">
        <v>3264</v>
      </c>
      <c r="E582" t="s">
        <v>2983</v>
      </c>
      <c r="F582" t="s">
        <v>491</v>
      </c>
      <c r="G582" t="s">
        <v>44</v>
      </c>
      <c r="H582" t="s">
        <v>45</v>
      </c>
      <c r="I582" t="s">
        <v>34</v>
      </c>
      <c r="J582" t="s">
        <v>46</v>
      </c>
      <c r="K582" t="s">
        <v>41</v>
      </c>
      <c r="L582" t="s">
        <v>3265</v>
      </c>
      <c r="M582" t="s">
        <v>3266</v>
      </c>
      <c r="N582" t="s">
        <v>494</v>
      </c>
      <c r="O582" t="s">
        <v>69</v>
      </c>
      <c r="P582" t="s">
        <v>3267</v>
      </c>
      <c r="Q582" s="14" t="s">
        <v>178</v>
      </c>
      <c r="R582" t="s">
        <v>402</v>
      </c>
      <c r="S582">
        <v>1</v>
      </c>
      <c r="T582">
        <v>5476</v>
      </c>
      <c r="U582">
        <v>0</v>
      </c>
      <c r="V582">
        <v>5476</v>
      </c>
    </row>
    <row r="583" spans="1:22" x14ac:dyDescent="0.3">
      <c r="A583">
        <v>80147</v>
      </c>
      <c r="B583">
        <v>134902163</v>
      </c>
      <c r="C583" t="s">
        <v>3268</v>
      </c>
      <c r="D583" t="s">
        <v>3269</v>
      </c>
      <c r="E583" t="s">
        <v>2983</v>
      </c>
      <c r="F583" t="s">
        <v>491</v>
      </c>
      <c r="G583" t="s">
        <v>44</v>
      </c>
      <c r="H583" t="s">
        <v>45</v>
      </c>
      <c r="I583" t="s">
        <v>34</v>
      </c>
      <c r="J583" t="s">
        <v>46</v>
      </c>
      <c r="K583" t="s">
        <v>41</v>
      </c>
      <c r="L583" t="s">
        <v>3270</v>
      </c>
      <c r="M583" t="s">
        <v>3271</v>
      </c>
      <c r="N583" t="s">
        <v>494</v>
      </c>
      <c r="O583" t="s">
        <v>69</v>
      </c>
      <c r="P583" t="s">
        <v>3272</v>
      </c>
      <c r="Q583" s="14" t="s">
        <v>178</v>
      </c>
      <c r="R583" t="s">
        <v>3273</v>
      </c>
      <c r="S583">
        <v>1</v>
      </c>
      <c r="T583">
        <v>5476</v>
      </c>
      <c r="U583">
        <v>0</v>
      </c>
      <c r="V583">
        <v>5476</v>
      </c>
    </row>
    <row r="584" spans="1:22" x14ac:dyDescent="0.3">
      <c r="A584">
        <v>80147</v>
      </c>
      <c r="B584">
        <v>134502326</v>
      </c>
      <c r="C584" t="s">
        <v>3274</v>
      </c>
      <c r="D584" t="s">
        <v>3275</v>
      </c>
      <c r="E584" t="s">
        <v>2983</v>
      </c>
      <c r="F584" t="s">
        <v>491</v>
      </c>
      <c r="G584" t="s">
        <v>44</v>
      </c>
      <c r="H584" t="s">
        <v>45</v>
      </c>
      <c r="I584" t="s">
        <v>34</v>
      </c>
      <c r="J584" t="s">
        <v>46</v>
      </c>
      <c r="K584" t="s">
        <v>41</v>
      </c>
      <c r="L584" t="s">
        <v>3276</v>
      </c>
      <c r="M584" t="s">
        <v>3277</v>
      </c>
      <c r="N584" t="s">
        <v>494</v>
      </c>
      <c r="O584" t="s">
        <v>69</v>
      </c>
      <c r="P584" t="s">
        <v>3278</v>
      </c>
      <c r="Q584" s="14" t="s">
        <v>199</v>
      </c>
      <c r="R584" t="s">
        <v>3279</v>
      </c>
      <c r="S584">
        <v>5.17</v>
      </c>
      <c r="T584">
        <v>8008</v>
      </c>
      <c r="U584">
        <v>0</v>
      </c>
      <c r="V584">
        <v>8008</v>
      </c>
    </row>
    <row r="585" spans="1:22" x14ac:dyDescent="0.3">
      <c r="A585">
        <v>80147</v>
      </c>
      <c r="B585">
        <v>134833624</v>
      </c>
      <c r="C585" t="s">
        <v>3280</v>
      </c>
      <c r="D585" t="s">
        <v>3281</v>
      </c>
      <c r="E585" t="s">
        <v>2983</v>
      </c>
      <c r="F585" t="s">
        <v>491</v>
      </c>
      <c r="G585" t="s">
        <v>44</v>
      </c>
      <c r="H585" t="s">
        <v>45</v>
      </c>
      <c r="I585" t="s">
        <v>34</v>
      </c>
      <c r="J585" t="s">
        <v>46</v>
      </c>
      <c r="K585" t="s">
        <v>41</v>
      </c>
      <c r="L585" t="s">
        <v>3282</v>
      </c>
      <c r="M585" t="s">
        <v>3283</v>
      </c>
      <c r="N585" t="s">
        <v>494</v>
      </c>
      <c r="O585" t="s">
        <v>69</v>
      </c>
      <c r="P585" t="s">
        <v>3284</v>
      </c>
      <c r="Q585" s="14" t="s">
        <v>60</v>
      </c>
      <c r="R585" t="s">
        <v>3285</v>
      </c>
      <c r="S585">
        <v>6.14</v>
      </c>
      <c r="T585">
        <v>10562</v>
      </c>
      <c r="U585">
        <v>0</v>
      </c>
      <c r="V585">
        <v>10562</v>
      </c>
    </row>
    <row r="586" spans="1:22" x14ac:dyDescent="0.3">
      <c r="A586">
        <v>80147</v>
      </c>
      <c r="B586">
        <v>134902157</v>
      </c>
      <c r="C586" t="s">
        <v>3286</v>
      </c>
      <c r="D586" t="s">
        <v>3287</v>
      </c>
      <c r="E586" t="s">
        <v>2983</v>
      </c>
      <c r="F586" t="s">
        <v>491</v>
      </c>
      <c r="G586" t="s">
        <v>44</v>
      </c>
      <c r="H586" t="s">
        <v>45</v>
      </c>
      <c r="I586" t="s">
        <v>34</v>
      </c>
      <c r="J586" t="s">
        <v>46</v>
      </c>
      <c r="K586" t="s">
        <v>41</v>
      </c>
      <c r="L586" t="s">
        <v>3288</v>
      </c>
      <c r="M586" t="s">
        <v>3289</v>
      </c>
      <c r="N586" t="s">
        <v>494</v>
      </c>
      <c r="O586" t="s">
        <v>69</v>
      </c>
      <c r="P586" t="s">
        <v>3290</v>
      </c>
      <c r="Q586" s="14" t="s">
        <v>210</v>
      </c>
      <c r="R586" t="s">
        <v>3273</v>
      </c>
      <c r="S586">
        <v>1</v>
      </c>
      <c r="T586">
        <v>4352</v>
      </c>
      <c r="U586">
        <v>0</v>
      </c>
      <c r="V586">
        <v>4352</v>
      </c>
    </row>
    <row r="587" spans="1:22" x14ac:dyDescent="0.3">
      <c r="A587">
        <v>80147</v>
      </c>
      <c r="B587">
        <v>134877908</v>
      </c>
      <c r="C587" t="s">
        <v>3291</v>
      </c>
      <c r="D587" t="s">
        <v>3292</v>
      </c>
      <c r="E587" t="s">
        <v>2983</v>
      </c>
      <c r="F587" t="s">
        <v>491</v>
      </c>
      <c r="G587" t="s">
        <v>44</v>
      </c>
      <c r="H587" t="s">
        <v>45</v>
      </c>
      <c r="I587" t="s">
        <v>34</v>
      </c>
      <c r="J587" t="s">
        <v>46</v>
      </c>
      <c r="K587" t="s">
        <v>41</v>
      </c>
      <c r="L587" t="s">
        <v>3293</v>
      </c>
      <c r="M587" t="s">
        <v>3294</v>
      </c>
      <c r="N587" t="s">
        <v>494</v>
      </c>
      <c r="O587" t="s">
        <v>69</v>
      </c>
      <c r="P587" t="s">
        <v>3295</v>
      </c>
      <c r="Q587" s="14" t="s">
        <v>70</v>
      </c>
      <c r="R587" t="s">
        <v>260</v>
      </c>
      <c r="S587">
        <v>7.82</v>
      </c>
      <c r="T587">
        <v>9710</v>
      </c>
      <c r="U587">
        <v>0</v>
      </c>
      <c r="V587">
        <v>9710</v>
      </c>
    </row>
    <row r="588" spans="1:22" x14ac:dyDescent="0.3">
      <c r="A588">
        <v>80147</v>
      </c>
      <c r="B588">
        <v>134902155</v>
      </c>
      <c r="C588" t="s">
        <v>3296</v>
      </c>
      <c r="D588" t="s">
        <v>3297</v>
      </c>
      <c r="E588" t="s">
        <v>2983</v>
      </c>
      <c r="F588" t="s">
        <v>491</v>
      </c>
      <c r="G588" t="s">
        <v>44</v>
      </c>
      <c r="H588" t="s">
        <v>45</v>
      </c>
      <c r="I588" t="s">
        <v>34</v>
      </c>
      <c r="J588" t="s">
        <v>46</v>
      </c>
      <c r="K588" t="s">
        <v>41</v>
      </c>
      <c r="L588" t="s">
        <v>3298</v>
      </c>
      <c r="M588" t="s">
        <v>3299</v>
      </c>
      <c r="N588" t="s">
        <v>494</v>
      </c>
      <c r="O588" t="s">
        <v>69</v>
      </c>
      <c r="P588" t="s">
        <v>3300</v>
      </c>
      <c r="Q588" s="14" t="s">
        <v>77</v>
      </c>
      <c r="R588" t="s">
        <v>3273</v>
      </c>
      <c r="S588">
        <v>5.78</v>
      </c>
      <c r="T588">
        <v>4456</v>
      </c>
      <c r="U588">
        <v>0</v>
      </c>
      <c r="V588">
        <v>4456</v>
      </c>
    </row>
    <row r="589" spans="1:22" x14ac:dyDescent="0.3">
      <c r="A589">
        <v>80147</v>
      </c>
      <c r="B589">
        <v>134877914</v>
      </c>
      <c r="C589" t="s">
        <v>3301</v>
      </c>
      <c r="D589" t="s">
        <v>3302</v>
      </c>
      <c r="E589" t="s">
        <v>2983</v>
      </c>
      <c r="F589" t="s">
        <v>491</v>
      </c>
      <c r="G589" t="s">
        <v>44</v>
      </c>
      <c r="H589" t="s">
        <v>45</v>
      </c>
      <c r="I589" t="s">
        <v>34</v>
      </c>
      <c r="J589" t="s">
        <v>46</v>
      </c>
      <c r="K589" t="s">
        <v>41</v>
      </c>
      <c r="L589" t="s">
        <v>3303</v>
      </c>
      <c r="M589" t="s">
        <v>3304</v>
      </c>
      <c r="N589" t="s">
        <v>494</v>
      </c>
      <c r="O589" t="s">
        <v>69</v>
      </c>
      <c r="P589" t="s">
        <v>3305</v>
      </c>
      <c r="Q589" s="14" t="s">
        <v>178</v>
      </c>
      <c r="R589" t="s">
        <v>260</v>
      </c>
      <c r="S589">
        <v>6.4</v>
      </c>
      <c r="T589">
        <v>10562</v>
      </c>
      <c r="U589">
        <v>0</v>
      </c>
      <c r="V589">
        <v>10562</v>
      </c>
    </row>
    <row r="590" spans="1:22" x14ac:dyDescent="0.3">
      <c r="A590">
        <v>80147</v>
      </c>
      <c r="B590">
        <v>134877910</v>
      </c>
      <c r="C590" t="s">
        <v>3306</v>
      </c>
      <c r="D590" t="s">
        <v>3307</v>
      </c>
      <c r="E590" t="s">
        <v>2983</v>
      </c>
      <c r="F590" t="s">
        <v>491</v>
      </c>
      <c r="G590" t="s">
        <v>44</v>
      </c>
      <c r="H590" t="s">
        <v>45</v>
      </c>
      <c r="I590" t="s">
        <v>34</v>
      </c>
      <c r="J590" t="s">
        <v>46</v>
      </c>
      <c r="K590" t="s">
        <v>41</v>
      </c>
      <c r="L590" t="s">
        <v>3308</v>
      </c>
      <c r="M590" t="s">
        <v>3309</v>
      </c>
      <c r="N590" t="s">
        <v>494</v>
      </c>
      <c r="O590" t="s">
        <v>69</v>
      </c>
      <c r="P590" t="s">
        <v>3310</v>
      </c>
      <c r="Q590" s="14" t="s">
        <v>70</v>
      </c>
      <c r="R590" t="s">
        <v>260</v>
      </c>
      <c r="S590">
        <v>1</v>
      </c>
      <c r="T590">
        <v>5198</v>
      </c>
      <c r="U590">
        <v>0</v>
      </c>
      <c r="V590">
        <v>5198</v>
      </c>
    </row>
    <row r="591" spans="1:22" x14ac:dyDescent="0.3">
      <c r="A591">
        <v>80147</v>
      </c>
      <c r="B591">
        <v>134902161</v>
      </c>
      <c r="C591" t="s">
        <v>3311</v>
      </c>
      <c r="D591" t="s">
        <v>3312</v>
      </c>
      <c r="E591" t="s">
        <v>2983</v>
      </c>
      <c r="F591" t="s">
        <v>491</v>
      </c>
      <c r="G591" t="s">
        <v>44</v>
      </c>
      <c r="H591" t="s">
        <v>45</v>
      </c>
      <c r="I591" t="s">
        <v>34</v>
      </c>
      <c r="J591" t="s">
        <v>46</v>
      </c>
      <c r="K591" t="s">
        <v>41</v>
      </c>
      <c r="L591" t="s">
        <v>3313</v>
      </c>
      <c r="M591" t="s">
        <v>440</v>
      </c>
      <c r="N591" t="s">
        <v>494</v>
      </c>
      <c r="O591" t="s">
        <v>69</v>
      </c>
      <c r="P591" t="s">
        <v>3314</v>
      </c>
      <c r="Q591" s="14" t="s">
        <v>114</v>
      </c>
      <c r="R591" t="s">
        <v>3273</v>
      </c>
      <c r="S591">
        <v>1</v>
      </c>
      <c r="T591">
        <v>3501</v>
      </c>
      <c r="U591">
        <v>0</v>
      </c>
      <c r="V591">
        <v>3501</v>
      </c>
    </row>
    <row r="592" spans="1:22" x14ac:dyDescent="0.3">
      <c r="A592">
        <v>80147</v>
      </c>
      <c r="B592">
        <v>134902156</v>
      </c>
      <c r="C592" t="s">
        <v>3315</v>
      </c>
      <c r="D592" t="s">
        <v>3316</v>
      </c>
      <c r="E592" t="s">
        <v>2983</v>
      </c>
      <c r="F592" t="s">
        <v>491</v>
      </c>
      <c r="G592" t="s">
        <v>44</v>
      </c>
      <c r="H592" t="s">
        <v>45</v>
      </c>
      <c r="I592" t="s">
        <v>34</v>
      </c>
      <c r="J592" t="s">
        <v>46</v>
      </c>
      <c r="K592" t="s">
        <v>41</v>
      </c>
      <c r="L592" t="s">
        <v>3317</v>
      </c>
      <c r="M592" t="s">
        <v>3318</v>
      </c>
      <c r="N592" t="s">
        <v>494</v>
      </c>
      <c r="O592" t="s">
        <v>69</v>
      </c>
      <c r="P592" t="s">
        <v>3319</v>
      </c>
      <c r="Q592" s="14" t="s">
        <v>83</v>
      </c>
      <c r="R592" t="s">
        <v>3273</v>
      </c>
      <c r="S592">
        <v>1</v>
      </c>
      <c r="T592">
        <v>3366</v>
      </c>
      <c r="U592">
        <v>0</v>
      </c>
      <c r="V592">
        <v>3366</v>
      </c>
    </row>
    <row r="593" spans="1:22" x14ac:dyDescent="0.3">
      <c r="A593">
        <v>80147</v>
      </c>
      <c r="B593">
        <v>134709133</v>
      </c>
      <c r="C593" t="s">
        <v>3320</v>
      </c>
      <c r="D593" t="s">
        <v>3321</v>
      </c>
      <c r="E593" t="s">
        <v>2983</v>
      </c>
      <c r="F593" t="s">
        <v>491</v>
      </c>
      <c r="G593" t="s">
        <v>44</v>
      </c>
      <c r="H593" t="s">
        <v>45</v>
      </c>
      <c r="I593" t="s">
        <v>34</v>
      </c>
      <c r="J593" t="s">
        <v>46</v>
      </c>
      <c r="K593" t="s">
        <v>41</v>
      </c>
      <c r="L593" t="s">
        <v>3322</v>
      </c>
      <c r="M593" t="s">
        <v>438</v>
      </c>
      <c r="N593" t="s">
        <v>494</v>
      </c>
      <c r="O593" t="s">
        <v>69</v>
      </c>
      <c r="P593" t="s">
        <v>3323</v>
      </c>
      <c r="Q593" s="14" t="s">
        <v>70</v>
      </c>
      <c r="R593" t="s">
        <v>3324</v>
      </c>
      <c r="S593">
        <v>1</v>
      </c>
      <c r="T593">
        <v>5198</v>
      </c>
      <c r="U593">
        <v>0</v>
      </c>
      <c r="V593">
        <v>5198</v>
      </c>
    </row>
    <row r="594" spans="1:22" x14ac:dyDescent="0.3">
      <c r="A594">
        <v>80147</v>
      </c>
      <c r="B594">
        <v>134814098</v>
      </c>
      <c r="C594" t="s">
        <v>3325</v>
      </c>
      <c r="D594" t="s">
        <v>3326</v>
      </c>
      <c r="E594" t="s">
        <v>2983</v>
      </c>
      <c r="F594" t="s">
        <v>491</v>
      </c>
      <c r="G594" t="s">
        <v>44</v>
      </c>
      <c r="H594" t="s">
        <v>45</v>
      </c>
      <c r="I594" t="s">
        <v>34</v>
      </c>
      <c r="J594" t="s">
        <v>46</v>
      </c>
      <c r="K594" t="s">
        <v>41</v>
      </c>
      <c r="L594" t="s">
        <v>3327</v>
      </c>
      <c r="M594" t="s">
        <v>3328</v>
      </c>
      <c r="N594" t="s">
        <v>494</v>
      </c>
      <c r="O594" t="s">
        <v>69</v>
      </c>
      <c r="P594" t="s">
        <v>3329</v>
      </c>
      <c r="Q594" s="14" t="s">
        <v>210</v>
      </c>
      <c r="R594" t="s">
        <v>3262</v>
      </c>
      <c r="S594">
        <v>5.96</v>
      </c>
      <c r="T594">
        <v>5274</v>
      </c>
      <c r="U594">
        <v>0</v>
      </c>
      <c r="V594">
        <v>5274</v>
      </c>
    </row>
    <row r="595" spans="1:22" x14ac:dyDescent="0.3">
      <c r="A595">
        <v>80147</v>
      </c>
      <c r="B595">
        <v>134814097</v>
      </c>
      <c r="C595" t="s">
        <v>3330</v>
      </c>
      <c r="D595" t="s">
        <v>3331</v>
      </c>
      <c r="E595" t="s">
        <v>2983</v>
      </c>
      <c r="F595" t="s">
        <v>491</v>
      </c>
      <c r="G595" t="s">
        <v>44</v>
      </c>
      <c r="H595" t="s">
        <v>45</v>
      </c>
      <c r="I595" t="s">
        <v>34</v>
      </c>
      <c r="J595" t="s">
        <v>46</v>
      </c>
      <c r="K595" t="s">
        <v>41</v>
      </c>
      <c r="L595" t="s">
        <v>3332</v>
      </c>
      <c r="M595" t="s">
        <v>3333</v>
      </c>
      <c r="N595" t="s">
        <v>494</v>
      </c>
      <c r="O595" t="s">
        <v>69</v>
      </c>
      <c r="P595" t="s">
        <v>3334</v>
      </c>
      <c r="Q595" s="14" t="s">
        <v>83</v>
      </c>
      <c r="R595" t="s">
        <v>3262</v>
      </c>
      <c r="S595">
        <v>5.35</v>
      </c>
      <c r="T595">
        <v>3797</v>
      </c>
      <c r="U595">
        <v>0</v>
      </c>
      <c r="V595">
        <v>3797</v>
      </c>
    </row>
    <row r="596" spans="1:22" x14ac:dyDescent="0.3">
      <c r="A596">
        <v>80147</v>
      </c>
      <c r="B596">
        <v>134814096</v>
      </c>
      <c r="C596" t="s">
        <v>3335</v>
      </c>
      <c r="D596" t="s">
        <v>3336</v>
      </c>
      <c r="E596" t="s">
        <v>2983</v>
      </c>
      <c r="F596" t="s">
        <v>491</v>
      </c>
      <c r="G596" t="s">
        <v>44</v>
      </c>
      <c r="H596" t="s">
        <v>45</v>
      </c>
      <c r="I596" t="s">
        <v>34</v>
      </c>
      <c r="J596" t="s">
        <v>46</v>
      </c>
      <c r="K596" t="s">
        <v>41</v>
      </c>
      <c r="L596" t="s">
        <v>3337</v>
      </c>
      <c r="M596" t="s">
        <v>3338</v>
      </c>
      <c r="N596" t="s">
        <v>494</v>
      </c>
      <c r="O596" t="s">
        <v>69</v>
      </c>
      <c r="P596" t="s">
        <v>3339</v>
      </c>
      <c r="Q596" s="14" t="s">
        <v>218</v>
      </c>
      <c r="R596" t="s">
        <v>3262</v>
      </c>
      <c r="S596">
        <v>5.96</v>
      </c>
      <c r="T596">
        <v>4585</v>
      </c>
      <c r="U596">
        <v>0</v>
      </c>
      <c r="V596">
        <v>4585</v>
      </c>
    </row>
    <row r="597" spans="1:22" x14ac:dyDescent="0.3">
      <c r="A597">
        <v>80147</v>
      </c>
      <c r="B597">
        <v>134814100</v>
      </c>
      <c r="C597" t="s">
        <v>3340</v>
      </c>
      <c r="D597" t="s">
        <v>3341</v>
      </c>
      <c r="E597" t="s">
        <v>2983</v>
      </c>
      <c r="F597" t="s">
        <v>491</v>
      </c>
      <c r="G597" t="s">
        <v>44</v>
      </c>
      <c r="H597" t="s">
        <v>45</v>
      </c>
      <c r="I597" t="s">
        <v>34</v>
      </c>
      <c r="J597" t="s">
        <v>46</v>
      </c>
      <c r="K597" t="s">
        <v>41</v>
      </c>
      <c r="L597" t="s">
        <v>3342</v>
      </c>
      <c r="M597" t="s">
        <v>3343</v>
      </c>
      <c r="N597" t="s">
        <v>494</v>
      </c>
      <c r="O597" t="s">
        <v>69</v>
      </c>
      <c r="P597" t="s">
        <v>3344</v>
      </c>
      <c r="Q597" s="14" t="s">
        <v>58</v>
      </c>
      <c r="R597" t="s">
        <v>3262</v>
      </c>
      <c r="S597">
        <v>5.97</v>
      </c>
      <c r="T597">
        <v>5376</v>
      </c>
      <c r="U597">
        <v>0</v>
      </c>
      <c r="V597">
        <v>5376</v>
      </c>
    </row>
    <row r="598" spans="1:22" x14ac:dyDescent="0.3">
      <c r="A598">
        <v>80147</v>
      </c>
      <c r="B598">
        <v>134860872</v>
      </c>
      <c r="C598" t="s">
        <v>3345</v>
      </c>
      <c r="D598" t="s">
        <v>3346</v>
      </c>
      <c r="E598" t="s">
        <v>2983</v>
      </c>
      <c r="F598" t="s">
        <v>491</v>
      </c>
      <c r="G598" t="s">
        <v>44</v>
      </c>
      <c r="H598" t="s">
        <v>45</v>
      </c>
      <c r="I598" t="s">
        <v>34</v>
      </c>
      <c r="J598" t="s">
        <v>46</v>
      </c>
      <c r="K598" t="s">
        <v>41</v>
      </c>
      <c r="L598" t="s">
        <v>3347</v>
      </c>
      <c r="M598" t="s">
        <v>3348</v>
      </c>
      <c r="N598" t="s">
        <v>494</v>
      </c>
      <c r="O598" t="s">
        <v>69</v>
      </c>
      <c r="P598" t="s">
        <v>3349</v>
      </c>
      <c r="Q598" s="14" t="s">
        <v>68</v>
      </c>
      <c r="R598" t="s">
        <v>3256</v>
      </c>
      <c r="S598">
        <v>5.39</v>
      </c>
      <c r="T598">
        <v>4585</v>
      </c>
      <c r="U598">
        <v>0</v>
      </c>
      <c r="V598">
        <v>4585</v>
      </c>
    </row>
    <row r="599" spans="1:22" x14ac:dyDescent="0.3">
      <c r="A599">
        <v>80147</v>
      </c>
      <c r="B599">
        <v>134860876</v>
      </c>
      <c r="C599" t="s">
        <v>3350</v>
      </c>
      <c r="D599" t="s">
        <v>3351</v>
      </c>
      <c r="E599" t="s">
        <v>2983</v>
      </c>
      <c r="F599" t="s">
        <v>491</v>
      </c>
      <c r="G599" t="s">
        <v>44</v>
      </c>
      <c r="H599" t="s">
        <v>45</v>
      </c>
      <c r="I599" t="s">
        <v>34</v>
      </c>
      <c r="J599" t="s">
        <v>46</v>
      </c>
      <c r="K599" t="s">
        <v>41</v>
      </c>
      <c r="L599" t="s">
        <v>3352</v>
      </c>
      <c r="M599" t="s">
        <v>3353</v>
      </c>
      <c r="N599" t="s">
        <v>494</v>
      </c>
      <c r="O599" t="s">
        <v>69</v>
      </c>
      <c r="P599" t="s">
        <v>3354</v>
      </c>
      <c r="Q599" s="14" t="s">
        <v>179</v>
      </c>
      <c r="R599" t="s">
        <v>471</v>
      </c>
      <c r="S599">
        <v>1</v>
      </c>
      <c r="T599">
        <v>3366</v>
      </c>
      <c r="U599">
        <v>0</v>
      </c>
      <c r="V599">
        <v>3366</v>
      </c>
    </row>
    <row r="600" spans="1:22" x14ac:dyDescent="0.3">
      <c r="A600">
        <v>80147</v>
      </c>
      <c r="B600">
        <v>134877902</v>
      </c>
      <c r="C600" t="s">
        <v>3355</v>
      </c>
      <c r="D600" t="s">
        <v>3356</v>
      </c>
      <c r="E600" t="s">
        <v>2983</v>
      </c>
      <c r="F600" t="s">
        <v>491</v>
      </c>
      <c r="G600" t="s">
        <v>44</v>
      </c>
      <c r="H600" t="s">
        <v>45</v>
      </c>
      <c r="I600" t="s">
        <v>34</v>
      </c>
      <c r="J600" t="s">
        <v>46</v>
      </c>
      <c r="K600" t="s">
        <v>41</v>
      </c>
      <c r="L600" t="s">
        <v>3357</v>
      </c>
      <c r="M600" t="s">
        <v>3132</v>
      </c>
      <c r="N600" t="s">
        <v>494</v>
      </c>
      <c r="O600" t="s">
        <v>69</v>
      </c>
      <c r="P600" t="s">
        <v>3358</v>
      </c>
      <c r="Q600" s="14" t="s">
        <v>220</v>
      </c>
      <c r="R600" t="s">
        <v>260</v>
      </c>
      <c r="S600">
        <v>1</v>
      </c>
      <c r="T600">
        <v>4542</v>
      </c>
      <c r="U600">
        <v>0</v>
      </c>
      <c r="V600">
        <v>4542</v>
      </c>
    </row>
    <row r="601" spans="1:22" x14ac:dyDescent="0.3">
      <c r="A601">
        <v>80147</v>
      </c>
      <c r="B601">
        <v>134877903</v>
      </c>
      <c r="C601" t="s">
        <v>3359</v>
      </c>
      <c r="D601" t="s">
        <v>3360</v>
      </c>
      <c r="E601" t="s">
        <v>2983</v>
      </c>
      <c r="F601" t="s">
        <v>491</v>
      </c>
      <c r="G601" t="s">
        <v>44</v>
      </c>
      <c r="H601" t="s">
        <v>45</v>
      </c>
      <c r="I601" t="s">
        <v>34</v>
      </c>
      <c r="J601" t="s">
        <v>46</v>
      </c>
      <c r="K601" t="s">
        <v>41</v>
      </c>
      <c r="L601" t="s">
        <v>3361</v>
      </c>
      <c r="M601" t="s">
        <v>3362</v>
      </c>
      <c r="N601" t="s">
        <v>494</v>
      </c>
      <c r="O601" t="s">
        <v>69</v>
      </c>
      <c r="P601" t="s">
        <v>3363</v>
      </c>
      <c r="Q601" s="14" t="s">
        <v>109</v>
      </c>
      <c r="R601" t="s">
        <v>260</v>
      </c>
      <c r="S601">
        <v>5.84</v>
      </c>
      <c r="T601">
        <v>4585</v>
      </c>
      <c r="U601">
        <v>0</v>
      </c>
      <c r="V601">
        <v>4585</v>
      </c>
    </row>
    <row r="602" spans="1:22" x14ac:dyDescent="0.3">
      <c r="A602">
        <v>80147</v>
      </c>
      <c r="B602">
        <v>134709130</v>
      </c>
      <c r="C602" t="s">
        <v>3364</v>
      </c>
      <c r="D602" t="s">
        <v>3365</v>
      </c>
      <c r="E602" t="s">
        <v>2983</v>
      </c>
      <c r="F602" t="s">
        <v>491</v>
      </c>
      <c r="G602" t="s">
        <v>44</v>
      </c>
      <c r="H602" t="s">
        <v>45</v>
      </c>
      <c r="I602" t="s">
        <v>34</v>
      </c>
      <c r="J602" t="s">
        <v>46</v>
      </c>
      <c r="K602" t="s">
        <v>56</v>
      </c>
      <c r="L602" t="s">
        <v>57</v>
      </c>
      <c r="M602" t="s">
        <v>3366</v>
      </c>
      <c r="N602" t="s">
        <v>494</v>
      </c>
      <c r="O602" t="s">
        <v>69</v>
      </c>
      <c r="P602" t="s">
        <v>3367</v>
      </c>
      <c r="Q602" s="14" t="s">
        <v>70</v>
      </c>
      <c r="R602" t="s">
        <v>3324</v>
      </c>
      <c r="S602">
        <v>1</v>
      </c>
      <c r="T602">
        <v>5198</v>
      </c>
      <c r="U602">
        <v>0</v>
      </c>
      <c r="V602">
        <v>5198</v>
      </c>
    </row>
    <row r="603" spans="1:22" x14ac:dyDescent="0.3">
      <c r="A603">
        <v>80147</v>
      </c>
      <c r="B603">
        <v>134709141</v>
      </c>
      <c r="C603" t="s">
        <v>3368</v>
      </c>
      <c r="D603" t="s">
        <v>3369</v>
      </c>
      <c r="E603" t="s">
        <v>2983</v>
      </c>
      <c r="F603" t="s">
        <v>491</v>
      </c>
      <c r="G603" t="s">
        <v>44</v>
      </c>
      <c r="H603" t="s">
        <v>45</v>
      </c>
      <c r="I603" t="s">
        <v>34</v>
      </c>
      <c r="J603" t="s">
        <v>46</v>
      </c>
      <c r="K603" t="s">
        <v>41</v>
      </c>
      <c r="L603" t="s">
        <v>3370</v>
      </c>
      <c r="M603" t="s">
        <v>3371</v>
      </c>
      <c r="N603" t="s">
        <v>494</v>
      </c>
      <c r="O603" t="s">
        <v>69</v>
      </c>
      <c r="P603" t="s">
        <v>3372</v>
      </c>
      <c r="Q603" s="14" t="s">
        <v>146</v>
      </c>
      <c r="R603" t="s">
        <v>3324</v>
      </c>
      <c r="S603">
        <v>5.4</v>
      </c>
      <c r="T603">
        <v>8538</v>
      </c>
      <c r="U603">
        <v>0</v>
      </c>
      <c r="V603">
        <v>8538</v>
      </c>
    </row>
    <row r="604" spans="1:22" x14ac:dyDescent="0.3">
      <c r="A604">
        <v>80147</v>
      </c>
      <c r="B604">
        <v>134709140</v>
      </c>
      <c r="C604" t="s">
        <v>3373</v>
      </c>
      <c r="D604" t="s">
        <v>3374</v>
      </c>
      <c r="E604" t="s">
        <v>2983</v>
      </c>
      <c r="F604" t="s">
        <v>491</v>
      </c>
      <c r="G604" t="s">
        <v>44</v>
      </c>
      <c r="H604" t="s">
        <v>45</v>
      </c>
      <c r="I604" t="s">
        <v>34</v>
      </c>
      <c r="J604" t="s">
        <v>46</v>
      </c>
      <c r="K604" t="s">
        <v>41</v>
      </c>
      <c r="L604" t="s">
        <v>3375</v>
      </c>
      <c r="M604" t="s">
        <v>3376</v>
      </c>
      <c r="N604" t="s">
        <v>494</v>
      </c>
      <c r="O604" t="s">
        <v>69</v>
      </c>
      <c r="P604" t="s">
        <v>3377</v>
      </c>
      <c r="Q604" s="14" t="s">
        <v>60</v>
      </c>
      <c r="R604" t="s">
        <v>3324</v>
      </c>
      <c r="S604">
        <v>6.03</v>
      </c>
      <c r="T604">
        <v>10562</v>
      </c>
      <c r="U604">
        <v>0</v>
      </c>
      <c r="V604">
        <v>10562</v>
      </c>
    </row>
    <row r="605" spans="1:22" x14ac:dyDescent="0.3">
      <c r="A605">
        <v>80147</v>
      </c>
      <c r="B605">
        <v>134709153</v>
      </c>
      <c r="C605" t="s">
        <v>3378</v>
      </c>
      <c r="D605" t="s">
        <v>3379</v>
      </c>
      <c r="E605" t="s">
        <v>2983</v>
      </c>
      <c r="F605" t="s">
        <v>491</v>
      </c>
      <c r="G605" t="s">
        <v>44</v>
      </c>
      <c r="H605" t="s">
        <v>45</v>
      </c>
      <c r="I605" t="s">
        <v>34</v>
      </c>
      <c r="J605" t="s">
        <v>46</v>
      </c>
      <c r="K605" t="s">
        <v>41</v>
      </c>
      <c r="L605" t="s">
        <v>3380</v>
      </c>
      <c r="M605" t="s">
        <v>3381</v>
      </c>
      <c r="N605" t="s">
        <v>494</v>
      </c>
      <c r="O605" t="s">
        <v>69</v>
      </c>
      <c r="P605" t="s">
        <v>3382</v>
      </c>
      <c r="Q605" s="14" t="s">
        <v>54</v>
      </c>
      <c r="R605" t="s">
        <v>3383</v>
      </c>
      <c r="S605">
        <v>8.27</v>
      </c>
      <c r="T605">
        <v>5198</v>
      </c>
      <c r="U605">
        <v>0</v>
      </c>
      <c r="V605">
        <v>5198</v>
      </c>
    </row>
    <row r="606" spans="1:22" x14ac:dyDescent="0.3">
      <c r="A606">
        <v>80147</v>
      </c>
      <c r="B606">
        <v>134763629</v>
      </c>
      <c r="C606" t="s">
        <v>3384</v>
      </c>
      <c r="D606" t="s">
        <v>3385</v>
      </c>
      <c r="E606" t="s">
        <v>2983</v>
      </c>
      <c r="F606" t="s">
        <v>491</v>
      </c>
      <c r="G606" t="s">
        <v>44</v>
      </c>
      <c r="H606" t="s">
        <v>45</v>
      </c>
      <c r="I606" t="s">
        <v>34</v>
      </c>
      <c r="J606" t="s">
        <v>46</v>
      </c>
      <c r="K606" t="s">
        <v>41</v>
      </c>
      <c r="L606" t="s">
        <v>3386</v>
      </c>
      <c r="M606" t="s">
        <v>3387</v>
      </c>
      <c r="N606" t="s">
        <v>494</v>
      </c>
      <c r="O606" t="s">
        <v>69</v>
      </c>
      <c r="P606" t="s">
        <v>3388</v>
      </c>
      <c r="Q606" s="14" t="s">
        <v>107</v>
      </c>
      <c r="R606" t="s">
        <v>3389</v>
      </c>
      <c r="S606">
        <v>8.24</v>
      </c>
      <c r="T606">
        <v>5759</v>
      </c>
      <c r="U606">
        <v>0</v>
      </c>
      <c r="V606">
        <v>5759</v>
      </c>
    </row>
    <row r="607" spans="1:22" x14ac:dyDescent="0.3">
      <c r="A607">
        <v>80147</v>
      </c>
      <c r="B607">
        <v>134709134</v>
      </c>
      <c r="C607" t="s">
        <v>3390</v>
      </c>
      <c r="D607" t="s">
        <v>3391</v>
      </c>
      <c r="E607" t="s">
        <v>2983</v>
      </c>
      <c r="F607" t="s">
        <v>491</v>
      </c>
      <c r="G607" t="s">
        <v>44</v>
      </c>
      <c r="H607" t="s">
        <v>45</v>
      </c>
      <c r="I607" t="s">
        <v>34</v>
      </c>
      <c r="J607" t="s">
        <v>46</v>
      </c>
      <c r="K607" t="s">
        <v>41</v>
      </c>
      <c r="L607" t="s">
        <v>3392</v>
      </c>
      <c r="M607" t="s">
        <v>3393</v>
      </c>
      <c r="N607" t="s">
        <v>494</v>
      </c>
      <c r="O607" t="s">
        <v>69</v>
      </c>
      <c r="P607" t="s">
        <v>3394</v>
      </c>
      <c r="Q607" s="14" t="s">
        <v>86</v>
      </c>
      <c r="R607" t="s">
        <v>3324</v>
      </c>
      <c r="S607">
        <v>7.09</v>
      </c>
      <c r="T607">
        <v>5198</v>
      </c>
      <c r="U607">
        <v>0</v>
      </c>
      <c r="V607">
        <v>5198</v>
      </c>
    </row>
    <row r="608" spans="1:22" x14ac:dyDescent="0.3">
      <c r="A608">
        <v>80147</v>
      </c>
      <c r="B608">
        <v>134709156</v>
      </c>
      <c r="C608" t="s">
        <v>3395</v>
      </c>
      <c r="D608" t="s">
        <v>3396</v>
      </c>
      <c r="E608" t="s">
        <v>2983</v>
      </c>
      <c r="F608" t="s">
        <v>491</v>
      </c>
      <c r="G608" t="s">
        <v>44</v>
      </c>
      <c r="H608" t="s">
        <v>45</v>
      </c>
      <c r="I608" t="s">
        <v>34</v>
      </c>
      <c r="J608" t="s">
        <v>46</v>
      </c>
      <c r="K608" t="s">
        <v>41</v>
      </c>
      <c r="L608" t="s">
        <v>3397</v>
      </c>
      <c r="M608" t="s">
        <v>456</v>
      </c>
      <c r="N608" t="s">
        <v>494</v>
      </c>
      <c r="O608" t="s">
        <v>69</v>
      </c>
      <c r="P608" t="s">
        <v>3398</v>
      </c>
      <c r="Q608" s="14" t="s">
        <v>58</v>
      </c>
      <c r="R608" t="s">
        <v>3383</v>
      </c>
      <c r="S608">
        <v>1</v>
      </c>
      <c r="T608">
        <v>4346</v>
      </c>
      <c r="U608">
        <v>0</v>
      </c>
      <c r="V608">
        <v>4346</v>
      </c>
    </row>
    <row r="609" spans="1:22" x14ac:dyDescent="0.3">
      <c r="A609">
        <v>80147</v>
      </c>
      <c r="B609">
        <v>134763627</v>
      </c>
      <c r="C609" t="s">
        <v>3399</v>
      </c>
      <c r="D609" t="s">
        <v>3400</v>
      </c>
      <c r="E609" t="s">
        <v>2983</v>
      </c>
      <c r="F609" t="s">
        <v>491</v>
      </c>
      <c r="G609" t="s">
        <v>44</v>
      </c>
      <c r="H609" t="s">
        <v>45</v>
      </c>
      <c r="I609" t="s">
        <v>34</v>
      </c>
      <c r="J609" t="s">
        <v>46</v>
      </c>
      <c r="K609" t="s">
        <v>41</v>
      </c>
      <c r="L609" t="s">
        <v>3401</v>
      </c>
      <c r="M609" t="s">
        <v>3402</v>
      </c>
      <c r="N609" t="s">
        <v>494</v>
      </c>
      <c r="O609" t="s">
        <v>69</v>
      </c>
      <c r="P609" t="s">
        <v>3403</v>
      </c>
      <c r="Q609" s="14" t="s">
        <v>62</v>
      </c>
      <c r="R609" t="s">
        <v>3389</v>
      </c>
      <c r="S609">
        <v>5.65</v>
      </c>
      <c r="T609">
        <v>5111</v>
      </c>
      <c r="U609">
        <v>0</v>
      </c>
      <c r="V609">
        <v>5111</v>
      </c>
    </row>
    <row r="610" spans="1:22" x14ac:dyDescent="0.3">
      <c r="A610">
        <v>80147</v>
      </c>
      <c r="B610">
        <v>134780750</v>
      </c>
      <c r="C610" t="s">
        <v>3404</v>
      </c>
      <c r="D610" t="s">
        <v>3405</v>
      </c>
      <c r="E610" t="s">
        <v>2983</v>
      </c>
      <c r="F610" t="s">
        <v>491</v>
      </c>
      <c r="G610" t="s">
        <v>44</v>
      </c>
      <c r="H610" t="s">
        <v>45</v>
      </c>
      <c r="I610" t="s">
        <v>34</v>
      </c>
      <c r="J610" t="s">
        <v>46</v>
      </c>
      <c r="K610" t="s">
        <v>41</v>
      </c>
      <c r="L610" t="s">
        <v>3406</v>
      </c>
      <c r="M610" t="s">
        <v>3407</v>
      </c>
      <c r="N610" t="s">
        <v>494</v>
      </c>
      <c r="O610" t="s">
        <v>69</v>
      </c>
      <c r="P610" t="s">
        <v>3408</v>
      </c>
      <c r="Q610" s="14" t="s">
        <v>58</v>
      </c>
      <c r="R610" t="s">
        <v>321</v>
      </c>
      <c r="S610">
        <v>1</v>
      </c>
      <c r="T610">
        <v>4346</v>
      </c>
      <c r="U610">
        <v>0</v>
      </c>
      <c r="V610">
        <v>4346</v>
      </c>
    </row>
    <row r="611" spans="1:22" x14ac:dyDescent="0.3">
      <c r="A611">
        <v>80147</v>
      </c>
      <c r="B611">
        <v>134709146</v>
      </c>
      <c r="C611" t="s">
        <v>3409</v>
      </c>
      <c r="D611" t="s">
        <v>3410</v>
      </c>
      <c r="E611" t="s">
        <v>2983</v>
      </c>
      <c r="F611" t="s">
        <v>491</v>
      </c>
      <c r="G611" t="s">
        <v>44</v>
      </c>
      <c r="H611" t="s">
        <v>45</v>
      </c>
      <c r="I611" t="s">
        <v>34</v>
      </c>
      <c r="J611" t="s">
        <v>46</v>
      </c>
      <c r="K611" t="s">
        <v>41</v>
      </c>
      <c r="L611" t="s">
        <v>3411</v>
      </c>
      <c r="M611" t="s">
        <v>3412</v>
      </c>
      <c r="N611" t="s">
        <v>494</v>
      </c>
      <c r="O611" t="s">
        <v>69</v>
      </c>
      <c r="P611" t="s">
        <v>3413</v>
      </c>
      <c r="Q611" s="14" t="s">
        <v>145</v>
      </c>
      <c r="R611" t="s">
        <v>3324</v>
      </c>
      <c r="S611">
        <v>5.94</v>
      </c>
      <c r="T611">
        <v>5376</v>
      </c>
      <c r="U611">
        <v>0</v>
      </c>
      <c r="V611">
        <v>5376</v>
      </c>
    </row>
    <row r="612" spans="1:22" x14ac:dyDescent="0.3">
      <c r="A612">
        <v>80147</v>
      </c>
      <c r="B612">
        <v>134732635</v>
      </c>
      <c r="C612" t="s">
        <v>3414</v>
      </c>
      <c r="D612" t="s">
        <v>3415</v>
      </c>
      <c r="E612" t="s">
        <v>2983</v>
      </c>
      <c r="F612" t="s">
        <v>491</v>
      </c>
      <c r="G612" t="s">
        <v>44</v>
      </c>
      <c r="H612" t="s">
        <v>45</v>
      </c>
      <c r="I612" t="s">
        <v>34</v>
      </c>
      <c r="J612" t="s">
        <v>46</v>
      </c>
      <c r="K612" t="s">
        <v>41</v>
      </c>
      <c r="L612" t="s">
        <v>3416</v>
      </c>
      <c r="M612" t="s">
        <v>3417</v>
      </c>
      <c r="N612" t="s">
        <v>494</v>
      </c>
      <c r="O612" t="s">
        <v>69</v>
      </c>
      <c r="P612" t="s">
        <v>3418</v>
      </c>
      <c r="Q612" s="14" t="s">
        <v>55</v>
      </c>
      <c r="R612" t="s">
        <v>3419</v>
      </c>
      <c r="S612">
        <v>5.94</v>
      </c>
      <c r="T612">
        <v>4366</v>
      </c>
      <c r="U612">
        <v>0</v>
      </c>
      <c r="V612">
        <v>4366</v>
      </c>
    </row>
    <row r="613" spans="1:22" x14ac:dyDescent="0.3">
      <c r="A613">
        <v>80147</v>
      </c>
      <c r="B613">
        <v>134709149</v>
      </c>
      <c r="C613" t="s">
        <v>3420</v>
      </c>
      <c r="D613" t="s">
        <v>3421</v>
      </c>
      <c r="E613" t="s">
        <v>2983</v>
      </c>
      <c r="F613" t="s">
        <v>491</v>
      </c>
      <c r="G613" t="s">
        <v>44</v>
      </c>
      <c r="H613" t="s">
        <v>45</v>
      </c>
      <c r="I613" t="s">
        <v>34</v>
      </c>
      <c r="J613" t="s">
        <v>46</v>
      </c>
      <c r="K613" t="s">
        <v>41</v>
      </c>
      <c r="L613" t="s">
        <v>3422</v>
      </c>
      <c r="M613" t="s">
        <v>3423</v>
      </c>
      <c r="N613" t="s">
        <v>494</v>
      </c>
      <c r="O613" t="s">
        <v>69</v>
      </c>
      <c r="P613" t="s">
        <v>3424</v>
      </c>
      <c r="Q613" s="14" t="s">
        <v>77</v>
      </c>
      <c r="R613" t="s">
        <v>3383</v>
      </c>
      <c r="S613">
        <v>3.3</v>
      </c>
      <c r="T613">
        <v>4456</v>
      </c>
      <c r="U613">
        <v>0</v>
      </c>
      <c r="V613">
        <v>4456</v>
      </c>
    </row>
    <row r="614" spans="1:22" x14ac:dyDescent="0.3">
      <c r="A614">
        <v>80147</v>
      </c>
      <c r="B614">
        <v>134732631</v>
      </c>
      <c r="C614" t="s">
        <v>3425</v>
      </c>
      <c r="D614" t="s">
        <v>3426</v>
      </c>
      <c r="E614" t="s">
        <v>2983</v>
      </c>
      <c r="F614" t="s">
        <v>491</v>
      </c>
      <c r="G614" t="s">
        <v>44</v>
      </c>
      <c r="H614" t="s">
        <v>45</v>
      </c>
      <c r="I614" t="s">
        <v>34</v>
      </c>
      <c r="J614" t="s">
        <v>46</v>
      </c>
      <c r="K614" t="s">
        <v>41</v>
      </c>
      <c r="L614" t="s">
        <v>3427</v>
      </c>
      <c r="M614" t="s">
        <v>3428</v>
      </c>
      <c r="N614" t="s">
        <v>494</v>
      </c>
      <c r="O614" t="s">
        <v>69</v>
      </c>
      <c r="P614" t="s">
        <v>3429</v>
      </c>
      <c r="Q614" s="14" t="s">
        <v>83</v>
      </c>
      <c r="R614" t="s">
        <v>3419</v>
      </c>
      <c r="S614">
        <v>1</v>
      </c>
      <c r="T614">
        <v>3366</v>
      </c>
      <c r="U614">
        <v>0</v>
      </c>
      <c r="V614">
        <v>3366</v>
      </c>
    </row>
    <row r="615" spans="1:22" x14ac:dyDescent="0.3">
      <c r="A615">
        <v>80147</v>
      </c>
      <c r="B615">
        <v>134780753</v>
      </c>
      <c r="C615" t="s">
        <v>3430</v>
      </c>
      <c r="D615" t="s">
        <v>3431</v>
      </c>
      <c r="E615" t="s">
        <v>2983</v>
      </c>
      <c r="F615" t="s">
        <v>491</v>
      </c>
      <c r="G615" t="s">
        <v>44</v>
      </c>
      <c r="H615" t="s">
        <v>45</v>
      </c>
      <c r="I615" t="s">
        <v>34</v>
      </c>
      <c r="J615" t="s">
        <v>46</v>
      </c>
      <c r="K615" t="s">
        <v>41</v>
      </c>
      <c r="L615" t="s">
        <v>3432</v>
      </c>
      <c r="M615" t="s">
        <v>3433</v>
      </c>
      <c r="N615" t="s">
        <v>494</v>
      </c>
      <c r="O615" t="s">
        <v>69</v>
      </c>
      <c r="P615" t="s">
        <v>3434</v>
      </c>
      <c r="Q615" s="14" t="s">
        <v>73</v>
      </c>
      <c r="R615" t="s">
        <v>321</v>
      </c>
      <c r="S615">
        <v>5.9</v>
      </c>
      <c r="T615">
        <v>3797</v>
      </c>
      <c r="U615">
        <v>0</v>
      </c>
      <c r="V615">
        <v>3797</v>
      </c>
    </row>
    <row r="616" spans="1:22" x14ac:dyDescent="0.3">
      <c r="A616">
        <v>80147</v>
      </c>
      <c r="B616">
        <v>134709127</v>
      </c>
      <c r="C616" t="s">
        <v>3435</v>
      </c>
      <c r="D616" t="s">
        <v>3436</v>
      </c>
      <c r="E616" t="s">
        <v>2983</v>
      </c>
      <c r="F616" t="s">
        <v>491</v>
      </c>
      <c r="G616" t="s">
        <v>44</v>
      </c>
      <c r="H616" t="s">
        <v>45</v>
      </c>
      <c r="I616" t="s">
        <v>34</v>
      </c>
      <c r="J616" t="s">
        <v>46</v>
      </c>
      <c r="K616" t="s">
        <v>41</v>
      </c>
      <c r="L616" t="s">
        <v>3437</v>
      </c>
      <c r="M616" t="s">
        <v>3438</v>
      </c>
      <c r="N616" t="s">
        <v>494</v>
      </c>
      <c r="O616" t="s">
        <v>69</v>
      </c>
      <c r="P616" t="s">
        <v>3439</v>
      </c>
      <c r="Q616" s="14" t="s">
        <v>185</v>
      </c>
      <c r="R616" t="s">
        <v>3324</v>
      </c>
      <c r="S616">
        <v>10.28</v>
      </c>
      <c r="T616">
        <v>8595</v>
      </c>
      <c r="U616">
        <v>0</v>
      </c>
      <c r="V616">
        <v>8595</v>
      </c>
    </row>
    <row r="617" spans="1:22" x14ac:dyDescent="0.3">
      <c r="A617">
        <v>80147</v>
      </c>
      <c r="B617">
        <v>134763630</v>
      </c>
      <c r="C617" t="s">
        <v>3440</v>
      </c>
      <c r="D617" t="s">
        <v>3441</v>
      </c>
      <c r="E617" t="s">
        <v>2983</v>
      </c>
      <c r="F617" t="s">
        <v>491</v>
      </c>
      <c r="G617" t="s">
        <v>44</v>
      </c>
      <c r="H617" t="s">
        <v>45</v>
      </c>
      <c r="I617" t="s">
        <v>34</v>
      </c>
      <c r="J617" t="s">
        <v>46</v>
      </c>
      <c r="K617" t="s">
        <v>41</v>
      </c>
      <c r="L617" t="s">
        <v>3442</v>
      </c>
      <c r="M617" t="s">
        <v>3443</v>
      </c>
      <c r="N617" t="s">
        <v>494</v>
      </c>
      <c r="O617" t="s">
        <v>69</v>
      </c>
      <c r="P617" t="s">
        <v>3444</v>
      </c>
      <c r="Q617" s="14" t="s">
        <v>218</v>
      </c>
      <c r="R617" t="s">
        <v>3389</v>
      </c>
      <c r="S617">
        <v>1</v>
      </c>
      <c r="T617">
        <v>3784</v>
      </c>
      <c r="U617">
        <v>0</v>
      </c>
      <c r="V617">
        <v>3784</v>
      </c>
    </row>
    <row r="618" spans="1:22" x14ac:dyDescent="0.3">
      <c r="A618">
        <v>80147</v>
      </c>
      <c r="B618">
        <v>134709154</v>
      </c>
      <c r="C618" t="s">
        <v>3445</v>
      </c>
      <c r="D618" t="s">
        <v>3446</v>
      </c>
      <c r="E618" t="s">
        <v>2983</v>
      </c>
      <c r="F618" t="s">
        <v>491</v>
      </c>
      <c r="G618" t="s">
        <v>44</v>
      </c>
      <c r="H618" t="s">
        <v>45</v>
      </c>
      <c r="I618" t="s">
        <v>34</v>
      </c>
      <c r="J618" t="s">
        <v>46</v>
      </c>
      <c r="K618" t="s">
        <v>41</v>
      </c>
      <c r="L618" t="s">
        <v>3447</v>
      </c>
      <c r="M618" t="s">
        <v>3448</v>
      </c>
      <c r="N618" t="s">
        <v>494</v>
      </c>
      <c r="O618" t="s">
        <v>69</v>
      </c>
      <c r="P618" t="s">
        <v>3449</v>
      </c>
      <c r="Q618" s="14" t="s">
        <v>61</v>
      </c>
      <c r="R618" t="s">
        <v>3383</v>
      </c>
      <c r="S618">
        <v>1</v>
      </c>
      <c r="T618">
        <v>3870</v>
      </c>
      <c r="U618">
        <v>0</v>
      </c>
      <c r="V618">
        <v>3870</v>
      </c>
    </row>
    <row r="619" spans="1:22" x14ac:dyDescent="0.3">
      <c r="A619">
        <v>80147</v>
      </c>
      <c r="B619">
        <v>134732639</v>
      </c>
      <c r="C619" t="s">
        <v>3450</v>
      </c>
      <c r="D619" t="s">
        <v>3451</v>
      </c>
      <c r="E619" t="s">
        <v>2983</v>
      </c>
      <c r="F619" t="s">
        <v>491</v>
      </c>
      <c r="G619" t="s">
        <v>44</v>
      </c>
      <c r="H619" t="s">
        <v>45</v>
      </c>
      <c r="I619" t="s">
        <v>34</v>
      </c>
      <c r="J619" t="s">
        <v>46</v>
      </c>
      <c r="K619" t="s">
        <v>41</v>
      </c>
      <c r="L619" t="s">
        <v>3452</v>
      </c>
      <c r="M619" t="s">
        <v>3453</v>
      </c>
      <c r="N619" t="s">
        <v>494</v>
      </c>
      <c r="O619" t="s">
        <v>69</v>
      </c>
      <c r="P619" t="s">
        <v>3454</v>
      </c>
      <c r="Q619" s="14" t="s">
        <v>77</v>
      </c>
      <c r="R619" t="s">
        <v>3419</v>
      </c>
      <c r="S619">
        <v>2.95</v>
      </c>
      <c r="T619">
        <v>3753</v>
      </c>
      <c r="U619">
        <v>0</v>
      </c>
      <c r="V619">
        <v>3753</v>
      </c>
    </row>
    <row r="620" spans="1:22" x14ac:dyDescent="0.3">
      <c r="A620">
        <v>80147</v>
      </c>
      <c r="B620">
        <v>134780749</v>
      </c>
      <c r="C620" t="s">
        <v>3455</v>
      </c>
      <c r="D620" t="s">
        <v>3456</v>
      </c>
      <c r="E620" t="s">
        <v>2983</v>
      </c>
      <c r="F620" t="s">
        <v>491</v>
      </c>
      <c r="G620" t="s">
        <v>44</v>
      </c>
      <c r="H620" t="s">
        <v>45</v>
      </c>
      <c r="I620" t="s">
        <v>34</v>
      </c>
      <c r="J620" t="s">
        <v>46</v>
      </c>
      <c r="K620" t="s">
        <v>41</v>
      </c>
      <c r="L620" t="s">
        <v>3457</v>
      </c>
      <c r="M620" t="s">
        <v>3458</v>
      </c>
      <c r="N620" t="s">
        <v>494</v>
      </c>
      <c r="O620" t="s">
        <v>69</v>
      </c>
      <c r="P620" t="s">
        <v>3459</v>
      </c>
      <c r="Q620" s="14" t="s">
        <v>152</v>
      </c>
      <c r="R620" t="s">
        <v>321</v>
      </c>
      <c r="S620">
        <v>8.23</v>
      </c>
      <c r="T620">
        <v>5198</v>
      </c>
      <c r="U620">
        <v>0</v>
      </c>
      <c r="V620">
        <v>5198</v>
      </c>
    </row>
    <row r="621" spans="1:22" x14ac:dyDescent="0.3">
      <c r="A621">
        <v>80147</v>
      </c>
      <c r="B621">
        <v>134763636</v>
      </c>
      <c r="C621" t="s">
        <v>3460</v>
      </c>
      <c r="D621" t="s">
        <v>3461</v>
      </c>
      <c r="E621" t="s">
        <v>2983</v>
      </c>
      <c r="F621" t="s">
        <v>491</v>
      </c>
      <c r="G621" t="s">
        <v>44</v>
      </c>
      <c r="H621" t="s">
        <v>45</v>
      </c>
      <c r="I621" t="s">
        <v>34</v>
      </c>
      <c r="J621" t="s">
        <v>46</v>
      </c>
      <c r="K621" t="s">
        <v>41</v>
      </c>
      <c r="L621" t="s">
        <v>3462</v>
      </c>
      <c r="M621" t="s">
        <v>290</v>
      </c>
      <c r="N621" t="s">
        <v>494</v>
      </c>
      <c r="O621" t="s">
        <v>69</v>
      </c>
      <c r="P621" t="s">
        <v>3463</v>
      </c>
      <c r="Q621" s="14" t="s">
        <v>73</v>
      </c>
      <c r="R621" t="s">
        <v>3389</v>
      </c>
      <c r="S621">
        <v>1</v>
      </c>
      <c r="T621">
        <v>3366</v>
      </c>
      <c r="U621">
        <v>0</v>
      </c>
      <c r="V621">
        <v>3366</v>
      </c>
    </row>
    <row r="622" spans="1:22" x14ac:dyDescent="0.3">
      <c r="A622">
        <v>80147</v>
      </c>
      <c r="B622">
        <v>134709139</v>
      </c>
      <c r="C622" t="s">
        <v>3464</v>
      </c>
      <c r="D622" t="s">
        <v>3465</v>
      </c>
      <c r="E622" t="s">
        <v>2983</v>
      </c>
      <c r="F622" t="s">
        <v>491</v>
      </c>
      <c r="G622" t="s">
        <v>44</v>
      </c>
      <c r="H622" t="s">
        <v>45</v>
      </c>
      <c r="I622" t="s">
        <v>34</v>
      </c>
      <c r="J622" t="s">
        <v>46</v>
      </c>
      <c r="K622" t="s">
        <v>41</v>
      </c>
      <c r="L622" t="s">
        <v>3466</v>
      </c>
      <c r="M622" t="s">
        <v>3467</v>
      </c>
      <c r="N622" t="s">
        <v>494</v>
      </c>
      <c r="O622" t="s">
        <v>69</v>
      </c>
      <c r="P622" t="s">
        <v>3468</v>
      </c>
      <c r="Q622" s="14" t="s">
        <v>152</v>
      </c>
      <c r="R622" t="s">
        <v>3324</v>
      </c>
      <c r="S622">
        <v>1</v>
      </c>
      <c r="T622">
        <v>3366</v>
      </c>
      <c r="U622">
        <v>0</v>
      </c>
      <c r="V622">
        <v>3366</v>
      </c>
    </row>
    <row r="623" spans="1:22" x14ac:dyDescent="0.3">
      <c r="A623">
        <v>80147</v>
      </c>
      <c r="B623">
        <v>134709144</v>
      </c>
      <c r="C623" t="s">
        <v>3469</v>
      </c>
      <c r="D623" t="s">
        <v>3470</v>
      </c>
      <c r="E623" t="s">
        <v>2983</v>
      </c>
      <c r="F623" t="s">
        <v>491</v>
      </c>
      <c r="G623" t="s">
        <v>44</v>
      </c>
      <c r="H623" t="s">
        <v>45</v>
      </c>
      <c r="I623" t="s">
        <v>34</v>
      </c>
      <c r="J623" t="s">
        <v>46</v>
      </c>
      <c r="K623" t="s">
        <v>41</v>
      </c>
      <c r="L623" t="s">
        <v>3471</v>
      </c>
      <c r="M623" t="s">
        <v>3472</v>
      </c>
      <c r="N623" t="s">
        <v>494</v>
      </c>
      <c r="O623" t="s">
        <v>69</v>
      </c>
      <c r="P623" t="s">
        <v>3473</v>
      </c>
      <c r="Q623" s="14" t="s">
        <v>86</v>
      </c>
      <c r="R623" t="s">
        <v>3324</v>
      </c>
      <c r="S623">
        <v>0.9</v>
      </c>
      <c r="T623">
        <v>3366</v>
      </c>
      <c r="U623">
        <v>0</v>
      </c>
      <c r="V623">
        <v>3366</v>
      </c>
    </row>
    <row r="624" spans="1:22" x14ac:dyDescent="0.3">
      <c r="A624">
        <v>80147</v>
      </c>
      <c r="B624">
        <v>134615337</v>
      </c>
      <c r="C624" t="s">
        <v>3474</v>
      </c>
      <c r="D624" t="s">
        <v>3475</v>
      </c>
      <c r="E624" t="s">
        <v>2983</v>
      </c>
      <c r="F624" t="s">
        <v>491</v>
      </c>
      <c r="G624" t="s">
        <v>44</v>
      </c>
      <c r="H624" t="s">
        <v>45</v>
      </c>
      <c r="I624" t="s">
        <v>34</v>
      </c>
      <c r="J624" t="s">
        <v>46</v>
      </c>
      <c r="K624" t="s">
        <v>41</v>
      </c>
      <c r="L624" t="s">
        <v>3476</v>
      </c>
      <c r="M624" t="s">
        <v>3477</v>
      </c>
      <c r="N624" t="s">
        <v>494</v>
      </c>
      <c r="O624" t="s">
        <v>69</v>
      </c>
      <c r="P624" t="s">
        <v>3478</v>
      </c>
      <c r="Q624" s="14" t="s">
        <v>70</v>
      </c>
      <c r="R624" t="s">
        <v>3479</v>
      </c>
      <c r="S624">
        <v>0.97</v>
      </c>
      <c r="T624">
        <v>5198</v>
      </c>
      <c r="U624">
        <v>0</v>
      </c>
      <c r="V624">
        <v>5198</v>
      </c>
    </row>
    <row r="625" spans="1:22" x14ac:dyDescent="0.3">
      <c r="A625">
        <v>80147</v>
      </c>
      <c r="B625">
        <v>134589454</v>
      </c>
      <c r="C625" t="s">
        <v>3480</v>
      </c>
      <c r="D625" t="s">
        <v>3481</v>
      </c>
      <c r="E625" t="s">
        <v>2983</v>
      </c>
      <c r="F625" t="s">
        <v>491</v>
      </c>
      <c r="G625" t="s">
        <v>44</v>
      </c>
      <c r="H625" t="s">
        <v>45</v>
      </c>
      <c r="I625" t="s">
        <v>34</v>
      </c>
      <c r="J625" t="s">
        <v>46</v>
      </c>
      <c r="K625" t="s">
        <v>41</v>
      </c>
      <c r="L625" t="s">
        <v>3482</v>
      </c>
      <c r="M625" t="s">
        <v>3483</v>
      </c>
      <c r="N625" t="s">
        <v>494</v>
      </c>
      <c r="O625" t="s">
        <v>69</v>
      </c>
      <c r="P625" t="s">
        <v>3484</v>
      </c>
      <c r="Q625" s="14" t="s">
        <v>70</v>
      </c>
      <c r="R625" t="s">
        <v>3485</v>
      </c>
      <c r="S625">
        <v>1</v>
      </c>
      <c r="T625">
        <v>5198</v>
      </c>
      <c r="U625">
        <v>0</v>
      </c>
      <c r="V625">
        <v>5198</v>
      </c>
    </row>
    <row r="626" spans="1:22" x14ac:dyDescent="0.3">
      <c r="A626">
        <v>80147</v>
      </c>
      <c r="B626">
        <v>134589461</v>
      </c>
      <c r="C626" t="s">
        <v>3486</v>
      </c>
      <c r="D626" t="s">
        <v>3487</v>
      </c>
      <c r="E626" t="s">
        <v>2983</v>
      </c>
      <c r="F626" t="s">
        <v>491</v>
      </c>
      <c r="G626" t="s">
        <v>44</v>
      </c>
      <c r="H626" t="s">
        <v>45</v>
      </c>
      <c r="I626" t="s">
        <v>34</v>
      </c>
      <c r="J626" t="s">
        <v>46</v>
      </c>
      <c r="K626" t="s">
        <v>41</v>
      </c>
      <c r="L626" t="s">
        <v>3488</v>
      </c>
      <c r="M626" t="s">
        <v>3489</v>
      </c>
      <c r="N626" t="s">
        <v>494</v>
      </c>
      <c r="O626" t="s">
        <v>69</v>
      </c>
      <c r="P626" t="s">
        <v>3490</v>
      </c>
      <c r="Q626" s="14" t="s">
        <v>147</v>
      </c>
      <c r="R626" t="s">
        <v>3485</v>
      </c>
      <c r="S626">
        <v>1</v>
      </c>
      <c r="T626">
        <v>5759</v>
      </c>
      <c r="U626">
        <v>0</v>
      </c>
      <c r="V626">
        <v>5759</v>
      </c>
    </row>
    <row r="627" spans="1:22" x14ac:dyDescent="0.3">
      <c r="A627">
        <v>80147</v>
      </c>
      <c r="B627">
        <v>134589452</v>
      </c>
      <c r="C627" t="s">
        <v>3491</v>
      </c>
      <c r="D627" t="s">
        <v>3492</v>
      </c>
      <c r="E627" t="s">
        <v>2983</v>
      </c>
      <c r="F627" t="s">
        <v>491</v>
      </c>
      <c r="G627" t="s">
        <v>44</v>
      </c>
      <c r="H627" t="s">
        <v>45</v>
      </c>
      <c r="I627" t="s">
        <v>34</v>
      </c>
      <c r="J627" t="s">
        <v>46</v>
      </c>
      <c r="K627" t="s">
        <v>41</v>
      </c>
      <c r="L627" t="s">
        <v>3493</v>
      </c>
      <c r="M627" t="s">
        <v>392</v>
      </c>
      <c r="N627" t="s">
        <v>494</v>
      </c>
      <c r="O627" t="s">
        <v>69</v>
      </c>
      <c r="P627" t="s">
        <v>3494</v>
      </c>
      <c r="Q627" s="14" t="s">
        <v>70</v>
      </c>
      <c r="R627" t="s">
        <v>3485</v>
      </c>
      <c r="S627">
        <v>1</v>
      </c>
      <c r="T627">
        <v>5198</v>
      </c>
      <c r="U627">
        <v>0</v>
      </c>
      <c r="V627">
        <v>5198</v>
      </c>
    </row>
    <row r="628" spans="1:22" x14ac:dyDescent="0.3">
      <c r="A628">
        <v>80147</v>
      </c>
      <c r="B628">
        <v>134615338</v>
      </c>
      <c r="C628" t="s">
        <v>3495</v>
      </c>
      <c r="D628" t="s">
        <v>3496</v>
      </c>
      <c r="E628" t="s">
        <v>2983</v>
      </c>
      <c r="F628" t="s">
        <v>491</v>
      </c>
      <c r="G628" t="s">
        <v>44</v>
      </c>
      <c r="H628" t="s">
        <v>45</v>
      </c>
      <c r="I628" t="s">
        <v>34</v>
      </c>
      <c r="J628" t="s">
        <v>46</v>
      </c>
      <c r="K628" t="s">
        <v>41</v>
      </c>
      <c r="L628" t="s">
        <v>3497</v>
      </c>
      <c r="M628" t="s">
        <v>3498</v>
      </c>
      <c r="N628" t="s">
        <v>494</v>
      </c>
      <c r="O628" t="s">
        <v>69</v>
      </c>
      <c r="P628" t="s">
        <v>3499</v>
      </c>
      <c r="Q628" s="14" t="s">
        <v>77</v>
      </c>
      <c r="R628" t="s">
        <v>3479</v>
      </c>
      <c r="S628">
        <v>6.48</v>
      </c>
      <c r="T628">
        <v>5759</v>
      </c>
      <c r="U628">
        <v>0</v>
      </c>
      <c r="V628">
        <v>5759</v>
      </c>
    </row>
    <row r="629" spans="1:22" x14ac:dyDescent="0.3">
      <c r="A629">
        <v>80147</v>
      </c>
      <c r="B629">
        <v>134589446</v>
      </c>
      <c r="C629" t="s">
        <v>3500</v>
      </c>
      <c r="D629" t="s">
        <v>3501</v>
      </c>
      <c r="E629" t="s">
        <v>2983</v>
      </c>
      <c r="F629" t="s">
        <v>491</v>
      </c>
      <c r="G629" t="s">
        <v>44</v>
      </c>
      <c r="H629" t="s">
        <v>45</v>
      </c>
      <c r="I629" t="s">
        <v>34</v>
      </c>
      <c r="J629" t="s">
        <v>46</v>
      </c>
      <c r="K629" t="s">
        <v>41</v>
      </c>
      <c r="L629" t="s">
        <v>3502</v>
      </c>
      <c r="M629" t="s">
        <v>3503</v>
      </c>
      <c r="N629" t="s">
        <v>494</v>
      </c>
      <c r="O629" t="s">
        <v>69</v>
      </c>
      <c r="P629" t="s">
        <v>3504</v>
      </c>
      <c r="Q629" s="14" t="s">
        <v>169</v>
      </c>
      <c r="R629" t="s">
        <v>3485</v>
      </c>
      <c r="S629">
        <v>1</v>
      </c>
      <c r="T629">
        <v>4067</v>
      </c>
      <c r="U629">
        <v>0</v>
      </c>
      <c r="V629">
        <v>4067</v>
      </c>
    </row>
    <row r="630" spans="1:22" x14ac:dyDescent="0.3">
      <c r="A630">
        <v>80147</v>
      </c>
      <c r="B630">
        <v>135709948</v>
      </c>
      <c r="C630" t="s">
        <v>3505</v>
      </c>
      <c r="D630" t="s">
        <v>3506</v>
      </c>
      <c r="E630" t="s">
        <v>2983</v>
      </c>
      <c r="F630" t="s">
        <v>491</v>
      </c>
      <c r="G630" t="s">
        <v>104</v>
      </c>
      <c r="H630" t="s">
        <v>105</v>
      </c>
      <c r="I630" t="s">
        <v>34</v>
      </c>
      <c r="J630" t="s">
        <v>106</v>
      </c>
      <c r="K630" t="s">
        <v>41</v>
      </c>
      <c r="L630" t="s">
        <v>3507</v>
      </c>
      <c r="M630" t="s">
        <v>383</v>
      </c>
      <c r="N630" t="s">
        <v>494</v>
      </c>
      <c r="O630" t="s">
        <v>69</v>
      </c>
      <c r="P630" t="s">
        <v>3508</v>
      </c>
      <c r="Q630" s="14" t="s">
        <v>171</v>
      </c>
      <c r="R630" t="s">
        <v>475</v>
      </c>
      <c r="S630">
        <v>2.98</v>
      </c>
      <c r="T630">
        <v>3950</v>
      </c>
      <c r="U630">
        <v>224.95</v>
      </c>
      <c r="V630">
        <v>4174.95</v>
      </c>
    </row>
    <row r="631" spans="1:22" x14ac:dyDescent="0.3">
      <c r="A631">
        <v>80147</v>
      </c>
      <c r="B631">
        <v>135072598</v>
      </c>
      <c r="C631" t="s">
        <v>3509</v>
      </c>
      <c r="D631" t="s">
        <v>3510</v>
      </c>
      <c r="E631" t="s">
        <v>2983</v>
      </c>
      <c r="F631" t="s">
        <v>491</v>
      </c>
      <c r="G631" t="s">
        <v>104</v>
      </c>
      <c r="H631" t="s">
        <v>105</v>
      </c>
      <c r="I631" t="s">
        <v>34</v>
      </c>
      <c r="J631" t="s">
        <v>106</v>
      </c>
      <c r="K631" t="s">
        <v>41</v>
      </c>
      <c r="L631" t="s">
        <v>3511</v>
      </c>
      <c r="M631" t="s">
        <v>3512</v>
      </c>
      <c r="N631" t="s">
        <v>494</v>
      </c>
      <c r="O631" t="s">
        <v>69</v>
      </c>
      <c r="P631" t="s">
        <v>3513</v>
      </c>
      <c r="Q631" s="14" t="s">
        <v>165</v>
      </c>
      <c r="R631" t="s">
        <v>2987</v>
      </c>
      <c r="S631">
        <v>2.31</v>
      </c>
      <c r="T631">
        <v>4738</v>
      </c>
      <c r="U631">
        <v>174.95</v>
      </c>
      <c r="V631">
        <v>4912.95</v>
      </c>
    </row>
    <row r="632" spans="1:22" x14ac:dyDescent="0.3">
      <c r="A632">
        <v>80147</v>
      </c>
      <c r="B632">
        <v>134981689</v>
      </c>
      <c r="C632" t="s">
        <v>3514</v>
      </c>
      <c r="D632" t="s">
        <v>3515</v>
      </c>
      <c r="E632" t="s">
        <v>2983</v>
      </c>
      <c r="F632" t="s">
        <v>491</v>
      </c>
      <c r="G632" t="s">
        <v>104</v>
      </c>
      <c r="H632" t="s">
        <v>105</v>
      </c>
      <c r="I632" t="s">
        <v>34</v>
      </c>
      <c r="J632" t="s">
        <v>106</v>
      </c>
      <c r="K632" t="s">
        <v>41</v>
      </c>
      <c r="L632" t="s">
        <v>3516</v>
      </c>
      <c r="M632" t="s">
        <v>3517</v>
      </c>
      <c r="N632" t="s">
        <v>494</v>
      </c>
      <c r="O632" t="s">
        <v>69</v>
      </c>
      <c r="P632" t="s">
        <v>3518</v>
      </c>
      <c r="Q632" s="14" t="s">
        <v>171</v>
      </c>
      <c r="R632" t="s">
        <v>3154</v>
      </c>
      <c r="S632">
        <v>2.99</v>
      </c>
      <c r="T632">
        <v>3950</v>
      </c>
      <c r="U632">
        <v>224.95</v>
      </c>
      <c r="V632">
        <v>4174.95</v>
      </c>
    </row>
    <row r="633" spans="1:22" x14ac:dyDescent="0.3">
      <c r="A633">
        <v>80147</v>
      </c>
      <c r="B633">
        <v>134860874</v>
      </c>
      <c r="C633" t="s">
        <v>3519</v>
      </c>
      <c r="D633" t="s">
        <v>3520</v>
      </c>
      <c r="E633" t="s">
        <v>2983</v>
      </c>
      <c r="F633" t="s">
        <v>491</v>
      </c>
      <c r="G633" t="s">
        <v>104</v>
      </c>
      <c r="H633" t="s">
        <v>105</v>
      </c>
      <c r="I633" t="s">
        <v>34</v>
      </c>
      <c r="J633" t="s">
        <v>106</v>
      </c>
      <c r="K633" t="s">
        <v>41</v>
      </c>
      <c r="L633" t="s">
        <v>3521</v>
      </c>
      <c r="M633" t="s">
        <v>3522</v>
      </c>
      <c r="N633" t="s">
        <v>494</v>
      </c>
      <c r="O633" t="s">
        <v>69</v>
      </c>
      <c r="P633" t="s">
        <v>3523</v>
      </c>
      <c r="Q633" s="14" t="s">
        <v>171</v>
      </c>
      <c r="R633" t="s">
        <v>3256</v>
      </c>
      <c r="S633">
        <v>2.99</v>
      </c>
      <c r="T633">
        <v>3950</v>
      </c>
      <c r="U633">
        <v>224.95</v>
      </c>
      <c r="V633">
        <v>4174.95</v>
      </c>
    </row>
    <row r="634" spans="1:22" x14ac:dyDescent="0.3">
      <c r="A634">
        <v>80147</v>
      </c>
      <c r="B634">
        <v>134709159</v>
      </c>
      <c r="C634" t="s">
        <v>3524</v>
      </c>
      <c r="D634" t="s">
        <v>3525</v>
      </c>
      <c r="E634" t="s">
        <v>2983</v>
      </c>
      <c r="F634" t="s">
        <v>491</v>
      </c>
      <c r="G634" t="s">
        <v>104</v>
      </c>
      <c r="H634" t="s">
        <v>105</v>
      </c>
      <c r="I634" t="s">
        <v>34</v>
      </c>
      <c r="J634" t="s">
        <v>106</v>
      </c>
      <c r="K634" t="s">
        <v>41</v>
      </c>
      <c r="L634" t="s">
        <v>3526</v>
      </c>
      <c r="M634" t="s">
        <v>286</v>
      </c>
      <c r="N634" t="s">
        <v>494</v>
      </c>
      <c r="O634" t="s">
        <v>69</v>
      </c>
      <c r="P634" t="s">
        <v>3527</v>
      </c>
      <c r="Q634" s="14" t="s">
        <v>212</v>
      </c>
      <c r="R634" t="s">
        <v>3383</v>
      </c>
      <c r="S634">
        <v>2.97</v>
      </c>
      <c r="T634">
        <v>8624</v>
      </c>
      <c r="U634">
        <v>224.95</v>
      </c>
      <c r="V634">
        <v>8848.9500000000007</v>
      </c>
    </row>
    <row r="635" spans="1:22" x14ac:dyDescent="0.3">
      <c r="A635">
        <v>80147</v>
      </c>
      <c r="B635">
        <v>134709131</v>
      </c>
      <c r="C635" t="s">
        <v>3528</v>
      </c>
      <c r="D635" t="s">
        <v>3529</v>
      </c>
      <c r="E635" t="s">
        <v>2983</v>
      </c>
      <c r="F635" t="s">
        <v>491</v>
      </c>
      <c r="G635" t="s">
        <v>104</v>
      </c>
      <c r="H635" t="s">
        <v>105</v>
      </c>
      <c r="I635" t="s">
        <v>34</v>
      </c>
      <c r="J635" t="s">
        <v>106</v>
      </c>
      <c r="K635" t="s">
        <v>41</v>
      </c>
      <c r="L635" t="s">
        <v>3530</v>
      </c>
      <c r="M635" t="s">
        <v>3531</v>
      </c>
      <c r="N635" t="s">
        <v>494</v>
      </c>
      <c r="O635" t="s">
        <v>69</v>
      </c>
      <c r="P635" t="s">
        <v>3532</v>
      </c>
      <c r="Q635" s="14" t="s">
        <v>110</v>
      </c>
      <c r="R635" t="s">
        <v>3324</v>
      </c>
      <c r="S635">
        <v>2.94</v>
      </c>
      <c r="T635">
        <v>3950</v>
      </c>
      <c r="U635">
        <v>224.95</v>
      </c>
      <c r="V635">
        <v>4174.95</v>
      </c>
    </row>
    <row r="636" spans="1:22" x14ac:dyDescent="0.3">
      <c r="A636">
        <v>80147</v>
      </c>
      <c r="B636">
        <v>135312206</v>
      </c>
      <c r="C636" t="s">
        <v>3533</v>
      </c>
      <c r="D636" t="s">
        <v>3534</v>
      </c>
      <c r="E636" t="s">
        <v>2983</v>
      </c>
      <c r="F636" t="s">
        <v>491</v>
      </c>
      <c r="G636" t="s">
        <v>49</v>
      </c>
      <c r="H636" t="s">
        <v>50</v>
      </c>
      <c r="I636" t="s">
        <v>34</v>
      </c>
      <c r="J636" t="s">
        <v>51</v>
      </c>
      <c r="K636" t="s">
        <v>41</v>
      </c>
      <c r="L636" t="s">
        <v>52</v>
      </c>
      <c r="M636" t="s">
        <v>3535</v>
      </c>
      <c r="N636" t="s">
        <v>494</v>
      </c>
      <c r="O636" t="s">
        <v>69</v>
      </c>
      <c r="P636" t="s">
        <v>3536</v>
      </c>
      <c r="Q636" s="14" t="s">
        <v>193</v>
      </c>
      <c r="R636" t="s">
        <v>3009</v>
      </c>
      <c r="S636">
        <v>5.6</v>
      </c>
      <c r="T636">
        <v>7449</v>
      </c>
      <c r="U636">
        <v>0</v>
      </c>
      <c r="V636">
        <v>7449</v>
      </c>
    </row>
    <row r="637" spans="1:22" x14ac:dyDescent="0.3">
      <c r="A637">
        <v>80147</v>
      </c>
      <c r="B637">
        <v>135392696</v>
      </c>
      <c r="C637" t="s">
        <v>3537</v>
      </c>
      <c r="D637" t="s">
        <v>3538</v>
      </c>
      <c r="E637" t="s">
        <v>2983</v>
      </c>
      <c r="F637" t="s">
        <v>491</v>
      </c>
      <c r="G637" t="s">
        <v>49</v>
      </c>
      <c r="H637" t="s">
        <v>50</v>
      </c>
      <c r="I637" t="s">
        <v>34</v>
      </c>
      <c r="J637" t="s">
        <v>51</v>
      </c>
      <c r="K637" t="s">
        <v>41</v>
      </c>
      <c r="L637" t="s">
        <v>52</v>
      </c>
      <c r="M637" t="s">
        <v>3539</v>
      </c>
      <c r="N637" t="s">
        <v>494</v>
      </c>
      <c r="O637" t="s">
        <v>69</v>
      </c>
      <c r="P637" t="s">
        <v>3540</v>
      </c>
      <c r="Q637" s="14" t="s">
        <v>228</v>
      </c>
      <c r="R637" t="s">
        <v>452</v>
      </c>
      <c r="S637">
        <v>5.41</v>
      </c>
      <c r="T637">
        <v>7224</v>
      </c>
      <c r="U637">
        <v>0</v>
      </c>
      <c r="V637">
        <v>7224</v>
      </c>
    </row>
    <row r="638" spans="1:22" x14ac:dyDescent="0.3">
      <c r="A638">
        <v>80147</v>
      </c>
      <c r="B638">
        <v>134981690</v>
      </c>
      <c r="C638" t="s">
        <v>3541</v>
      </c>
      <c r="D638" t="s">
        <v>3542</v>
      </c>
      <c r="E638" t="s">
        <v>2983</v>
      </c>
      <c r="F638" t="s">
        <v>491</v>
      </c>
      <c r="G638" t="s">
        <v>49</v>
      </c>
      <c r="H638" t="s">
        <v>50</v>
      </c>
      <c r="I638" t="s">
        <v>34</v>
      </c>
      <c r="J638" t="s">
        <v>51</v>
      </c>
      <c r="K638" t="s">
        <v>41</v>
      </c>
      <c r="L638" t="s">
        <v>52</v>
      </c>
      <c r="M638" t="s">
        <v>3543</v>
      </c>
      <c r="N638" t="s">
        <v>494</v>
      </c>
      <c r="O638" t="s">
        <v>69</v>
      </c>
      <c r="P638" t="s">
        <v>3544</v>
      </c>
      <c r="Q638" s="14" t="s">
        <v>241</v>
      </c>
      <c r="R638" t="s">
        <v>3154</v>
      </c>
      <c r="S638">
        <v>9.75</v>
      </c>
      <c r="T638">
        <v>16656</v>
      </c>
      <c r="U638">
        <v>0</v>
      </c>
      <c r="V638">
        <v>16656</v>
      </c>
    </row>
    <row r="639" spans="1:22" x14ac:dyDescent="0.3">
      <c r="A639">
        <v>80147</v>
      </c>
      <c r="B639">
        <v>135159803</v>
      </c>
      <c r="C639" t="s">
        <v>3545</v>
      </c>
      <c r="D639" t="s">
        <v>3546</v>
      </c>
      <c r="E639" t="s">
        <v>2983</v>
      </c>
      <c r="F639" t="s">
        <v>491</v>
      </c>
      <c r="G639" t="s">
        <v>49</v>
      </c>
      <c r="H639" t="s">
        <v>50</v>
      </c>
      <c r="I639" t="s">
        <v>34</v>
      </c>
      <c r="J639" t="s">
        <v>51</v>
      </c>
      <c r="K639" t="s">
        <v>41</v>
      </c>
      <c r="L639" t="s">
        <v>52</v>
      </c>
      <c r="M639" t="s">
        <v>3547</v>
      </c>
      <c r="N639" t="s">
        <v>494</v>
      </c>
      <c r="O639" t="s">
        <v>69</v>
      </c>
      <c r="P639" t="s">
        <v>3548</v>
      </c>
      <c r="Q639" s="14" t="s">
        <v>59</v>
      </c>
      <c r="R639" t="s">
        <v>485</v>
      </c>
      <c r="S639">
        <v>15.74</v>
      </c>
      <c r="T639">
        <v>5714</v>
      </c>
      <c r="U639">
        <v>0</v>
      </c>
      <c r="V639">
        <v>5714</v>
      </c>
    </row>
    <row r="640" spans="1:22" x14ac:dyDescent="0.3">
      <c r="A640">
        <v>80147</v>
      </c>
      <c r="B640">
        <v>134981678</v>
      </c>
      <c r="C640" t="s">
        <v>3549</v>
      </c>
      <c r="D640" t="s">
        <v>3550</v>
      </c>
      <c r="E640" t="s">
        <v>2983</v>
      </c>
      <c r="F640" t="s">
        <v>491</v>
      </c>
      <c r="G640" t="s">
        <v>49</v>
      </c>
      <c r="H640" t="s">
        <v>50</v>
      </c>
      <c r="I640" t="s">
        <v>34</v>
      </c>
      <c r="J640" t="s">
        <v>51</v>
      </c>
      <c r="K640" t="s">
        <v>41</v>
      </c>
      <c r="L640" t="s">
        <v>52</v>
      </c>
      <c r="M640" t="s">
        <v>3551</v>
      </c>
      <c r="N640" t="s">
        <v>494</v>
      </c>
      <c r="O640" t="s">
        <v>69</v>
      </c>
      <c r="P640" t="s">
        <v>3552</v>
      </c>
      <c r="Q640" s="14" t="s">
        <v>208</v>
      </c>
      <c r="R640" t="s">
        <v>3154</v>
      </c>
      <c r="S640">
        <v>5.6</v>
      </c>
      <c r="T640">
        <v>7224</v>
      </c>
      <c r="U640">
        <v>0</v>
      </c>
      <c r="V640">
        <v>7224</v>
      </c>
    </row>
    <row r="641" spans="1:22" x14ac:dyDescent="0.3">
      <c r="A641">
        <v>80147</v>
      </c>
      <c r="B641">
        <v>134780751</v>
      </c>
      <c r="C641" t="s">
        <v>3553</v>
      </c>
      <c r="D641" t="s">
        <v>3554</v>
      </c>
      <c r="E641" t="s">
        <v>2983</v>
      </c>
      <c r="F641" t="s">
        <v>491</v>
      </c>
      <c r="G641" t="s">
        <v>49</v>
      </c>
      <c r="H641" t="s">
        <v>50</v>
      </c>
      <c r="I641" t="s">
        <v>34</v>
      </c>
      <c r="J641" t="s">
        <v>51</v>
      </c>
      <c r="K641" t="s">
        <v>41</v>
      </c>
      <c r="L641" t="s">
        <v>52</v>
      </c>
      <c r="M641" t="s">
        <v>3555</v>
      </c>
      <c r="N641" t="s">
        <v>494</v>
      </c>
      <c r="O641" t="s">
        <v>69</v>
      </c>
      <c r="P641" t="s">
        <v>3556</v>
      </c>
      <c r="Q641" s="14" t="s">
        <v>94</v>
      </c>
      <c r="R641" t="s">
        <v>321</v>
      </c>
      <c r="S641">
        <v>6.02</v>
      </c>
      <c r="T641">
        <v>9782</v>
      </c>
      <c r="U641">
        <v>0</v>
      </c>
      <c r="V641">
        <v>9782</v>
      </c>
    </row>
    <row r="642" spans="1:22" x14ac:dyDescent="0.3">
      <c r="A642">
        <v>80147</v>
      </c>
      <c r="B642">
        <v>134833623</v>
      </c>
      <c r="C642" t="s">
        <v>3557</v>
      </c>
      <c r="D642" t="s">
        <v>3558</v>
      </c>
      <c r="E642" t="s">
        <v>2983</v>
      </c>
      <c r="F642" t="s">
        <v>491</v>
      </c>
      <c r="G642" t="s">
        <v>49</v>
      </c>
      <c r="H642" t="s">
        <v>50</v>
      </c>
      <c r="I642" t="s">
        <v>34</v>
      </c>
      <c r="J642" t="s">
        <v>51</v>
      </c>
      <c r="K642" t="s">
        <v>41</v>
      </c>
      <c r="L642" t="s">
        <v>52</v>
      </c>
      <c r="M642" t="s">
        <v>3559</v>
      </c>
      <c r="N642" t="s">
        <v>494</v>
      </c>
      <c r="O642" t="s">
        <v>69</v>
      </c>
      <c r="P642" t="s">
        <v>3560</v>
      </c>
      <c r="Q642" s="14" t="s">
        <v>228</v>
      </c>
      <c r="R642" t="s">
        <v>3285</v>
      </c>
      <c r="S642">
        <v>11.81</v>
      </c>
      <c r="T642">
        <v>10732</v>
      </c>
      <c r="U642">
        <v>0</v>
      </c>
      <c r="V642">
        <v>10732</v>
      </c>
    </row>
    <row r="643" spans="1:22" x14ac:dyDescent="0.3">
      <c r="A643">
        <v>80147</v>
      </c>
      <c r="B643">
        <v>134709158</v>
      </c>
      <c r="C643" t="s">
        <v>3561</v>
      </c>
      <c r="D643" t="s">
        <v>3562</v>
      </c>
      <c r="E643" t="s">
        <v>2983</v>
      </c>
      <c r="F643" t="s">
        <v>491</v>
      </c>
      <c r="G643" t="s">
        <v>49</v>
      </c>
      <c r="H643" t="s">
        <v>50</v>
      </c>
      <c r="I643" t="s">
        <v>34</v>
      </c>
      <c r="J643" t="s">
        <v>51</v>
      </c>
      <c r="K643" t="s">
        <v>41</v>
      </c>
      <c r="L643" t="s">
        <v>52</v>
      </c>
      <c r="M643" t="s">
        <v>3563</v>
      </c>
      <c r="N643" t="s">
        <v>494</v>
      </c>
      <c r="O643" t="s">
        <v>69</v>
      </c>
      <c r="P643" t="s">
        <v>3564</v>
      </c>
      <c r="Q643" s="14" t="s">
        <v>238</v>
      </c>
      <c r="R643" t="s">
        <v>3383</v>
      </c>
      <c r="S643">
        <v>5.12</v>
      </c>
      <c r="T643">
        <v>7943</v>
      </c>
      <c r="U643">
        <v>0</v>
      </c>
      <c r="V643">
        <v>7943</v>
      </c>
    </row>
    <row r="644" spans="1:22" x14ac:dyDescent="0.3">
      <c r="A644">
        <v>80147</v>
      </c>
      <c r="B644">
        <v>134480722</v>
      </c>
      <c r="C644" t="s">
        <v>3565</v>
      </c>
      <c r="D644" t="s">
        <v>3566</v>
      </c>
      <c r="E644" t="s">
        <v>2983</v>
      </c>
      <c r="F644" t="s">
        <v>491</v>
      </c>
      <c r="G644" t="s">
        <v>49</v>
      </c>
      <c r="H644" t="s">
        <v>50</v>
      </c>
      <c r="I644" t="s">
        <v>34</v>
      </c>
      <c r="J644" t="s">
        <v>51</v>
      </c>
      <c r="K644" t="s">
        <v>41</v>
      </c>
      <c r="L644" t="s">
        <v>52</v>
      </c>
      <c r="M644" t="s">
        <v>3567</v>
      </c>
      <c r="N644" t="s">
        <v>494</v>
      </c>
      <c r="O644" t="s">
        <v>69</v>
      </c>
      <c r="P644" t="s">
        <v>3568</v>
      </c>
      <c r="Q644" s="14" t="s">
        <v>245</v>
      </c>
      <c r="R644" t="s">
        <v>3569</v>
      </c>
      <c r="S644">
        <v>7.92</v>
      </c>
      <c r="T644">
        <v>23485</v>
      </c>
      <c r="U644">
        <v>0</v>
      </c>
      <c r="V644">
        <v>23485</v>
      </c>
    </row>
    <row r="645" spans="1:22" x14ac:dyDescent="0.3">
      <c r="A645">
        <v>80147</v>
      </c>
      <c r="B645">
        <v>134518209</v>
      </c>
      <c r="C645" t="s">
        <v>3570</v>
      </c>
      <c r="D645" t="s">
        <v>3571</v>
      </c>
      <c r="E645" t="s">
        <v>2983</v>
      </c>
      <c r="F645" t="s">
        <v>491</v>
      </c>
      <c r="G645" t="s">
        <v>49</v>
      </c>
      <c r="H645" t="s">
        <v>50</v>
      </c>
      <c r="I645" t="s">
        <v>34</v>
      </c>
      <c r="J645" t="s">
        <v>51</v>
      </c>
      <c r="K645" t="s">
        <v>41</v>
      </c>
      <c r="L645" t="s">
        <v>52</v>
      </c>
      <c r="M645" t="s">
        <v>3572</v>
      </c>
      <c r="N645" t="s">
        <v>494</v>
      </c>
      <c r="O645" t="s">
        <v>69</v>
      </c>
      <c r="P645" t="s">
        <v>3573</v>
      </c>
      <c r="Q645" s="14" t="s">
        <v>75</v>
      </c>
      <c r="R645" t="s">
        <v>269</v>
      </c>
      <c r="S645">
        <v>8.83</v>
      </c>
      <c r="T645">
        <v>5255</v>
      </c>
      <c r="U645">
        <v>0</v>
      </c>
      <c r="V645">
        <v>5255</v>
      </c>
    </row>
    <row r="646" spans="1:22" x14ac:dyDescent="0.3">
      <c r="A646">
        <v>80147</v>
      </c>
      <c r="B646">
        <v>134480735</v>
      </c>
      <c r="C646" t="s">
        <v>3574</v>
      </c>
      <c r="D646" t="s">
        <v>3575</v>
      </c>
      <c r="E646" t="s">
        <v>2983</v>
      </c>
      <c r="F646" t="s">
        <v>491</v>
      </c>
      <c r="G646" t="s">
        <v>49</v>
      </c>
      <c r="H646" t="s">
        <v>50</v>
      </c>
      <c r="I646" t="s">
        <v>34</v>
      </c>
      <c r="J646" t="s">
        <v>51</v>
      </c>
      <c r="K646" t="s">
        <v>41</v>
      </c>
      <c r="L646" t="s">
        <v>52</v>
      </c>
      <c r="M646" t="s">
        <v>3576</v>
      </c>
      <c r="N646" t="s">
        <v>494</v>
      </c>
      <c r="O646" t="s">
        <v>69</v>
      </c>
      <c r="P646" t="s">
        <v>3577</v>
      </c>
      <c r="Q646" s="14" t="s">
        <v>71</v>
      </c>
      <c r="R646" t="s">
        <v>3569</v>
      </c>
      <c r="S646">
        <v>7.76</v>
      </c>
      <c r="T646">
        <v>8693</v>
      </c>
      <c r="U646">
        <v>0</v>
      </c>
      <c r="V646">
        <v>8693</v>
      </c>
    </row>
    <row r="647" spans="1:22" x14ac:dyDescent="0.3">
      <c r="A647">
        <v>187694</v>
      </c>
      <c r="B647">
        <v>134925878</v>
      </c>
      <c r="C647" t="s">
        <v>3578</v>
      </c>
      <c r="D647" t="s">
        <v>3579</v>
      </c>
      <c r="E647" t="s">
        <v>3580</v>
      </c>
      <c r="F647" t="s">
        <v>491</v>
      </c>
      <c r="G647" t="s">
        <v>44</v>
      </c>
      <c r="H647" t="s">
        <v>45</v>
      </c>
      <c r="I647" t="s">
        <v>34</v>
      </c>
      <c r="J647" t="s">
        <v>46</v>
      </c>
      <c r="K647" t="s">
        <v>41</v>
      </c>
      <c r="L647" t="s">
        <v>3581</v>
      </c>
      <c r="M647" t="s">
        <v>3582</v>
      </c>
      <c r="N647" t="s">
        <v>494</v>
      </c>
      <c r="O647" t="s">
        <v>69</v>
      </c>
      <c r="P647" t="s">
        <v>3583</v>
      </c>
      <c r="Q647" s="14" t="s">
        <v>92</v>
      </c>
      <c r="R647" t="s">
        <v>3584</v>
      </c>
      <c r="S647">
        <v>1.75</v>
      </c>
      <c r="T647">
        <v>3753</v>
      </c>
      <c r="U647">
        <v>0</v>
      </c>
      <c r="V647">
        <v>3753</v>
      </c>
    </row>
    <row r="648" spans="1:22" x14ac:dyDescent="0.3">
      <c r="A648">
        <v>187694</v>
      </c>
      <c r="B648">
        <v>134841831</v>
      </c>
      <c r="C648" t="s">
        <v>3585</v>
      </c>
      <c r="D648" t="s">
        <v>3586</v>
      </c>
      <c r="E648" t="s">
        <v>3580</v>
      </c>
      <c r="F648" t="s">
        <v>491</v>
      </c>
      <c r="G648" t="s">
        <v>44</v>
      </c>
      <c r="H648" t="s">
        <v>45</v>
      </c>
      <c r="I648" t="s">
        <v>34</v>
      </c>
      <c r="J648" t="s">
        <v>46</v>
      </c>
      <c r="K648" t="s">
        <v>41</v>
      </c>
      <c r="L648" t="s">
        <v>3587</v>
      </c>
      <c r="M648" t="s">
        <v>285</v>
      </c>
      <c r="N648" t="s">
        <v>494</v>
      </c>
      <c r="O648" t="s">
        <v>69</v>
      </c>
      <c r="P648" t="s">
        <v>3588</v>
      </c>
      <c r="Q648" s="14" t="s">
        <v>220</v>
      </c>
      <c r="R648" t="s">
        <v>339</v>
      </c>
      <c r="S648">
        <v>2.25</v>
      </c>
      <c r="T648">
        <v>4542</v>
      </c>
      <c r="U648">
        <v>0</v>
      </c>
      <c r="V648">
        <v>4542</v>
      </c>
    </row>
    <row r="649" spans="1:22" x14ac:dyDescent="0.3">
      <c r="A649">
        <v>187694</v>
      </c>
      <c r="B649">
        <v>134841842</v>
      </c>
      <c r="C649" t="s">
        <v>3589</v>
      </c>
      <c r="D649" t="s">
        <v>3590</v>
      </c>
      <c r="E649" t="s">
        <v>3580</v>
      </c>
      <c r="F649" t="s">
        <v>491</v>
      </c>
      <c r="G649" t="s">
        <v>44</v>
      </c>
      <c r="H649" t="s">
        <v>45</v>
      </c>
      <c r="I649" t="s">
        <v>34</v>
      </c>
      <c r="J649" t="s">
        <v>46</v>
      </c>
      <c r="K649" t="s">
        <v>41</v>
      </c>
      <c r="L649" t="s">
        <v>3591</v>
      </c>
      <c r="M649" t="s">
        <v>3592</v>
      </c>
      <c r="N649" t="s">
        <v>494</v>
      </c>
      <c r="O649" t="s">
        <v>69</v>
      </c>
      <c r="P649" t="s">
        <v>3593</v>
      </c>
      <c r="Q649" s="14" t="s">
        <v>151</v>
      </c>
      <c r="R649" t="s">
        <v>339</v>
      </c>
      <c r="S649">
        <v>0.6</v>
      </c>
      <c r="T649">
        <v>3366</v>
      </c>
      <c r="U649">
        <v>0</v>
      </c>
      <c r="V649">
        <v>3366</v>
      </c>
    </row>
    <row r="650" spans="1:22" x14ac:dyDescent="0.3">
      <c r="A650">
        <v>187694</v>
      </c>
      <c r="B650">
        <v>134740166</v>
      </c>
      <c r="C650" t="s">
        <v>3594</v>
      </c>
      <c r="D650" t="s">
        <v>3595</v>
      </c>
      <c r="E650" t="s">
        <v>3580</v>
      </c>
      <c r="F650" t="s">
        <v>491</v>
      </c>
      <c r="G650" t="s">
        <v>44</v>
      </c>
      <c r="H650" t="s">
        <v>45</v>
      </c>
      <c r="I650" t="s">
        <v>34</v>
      </c>
      <c r="J650" t="s">
        <v>46</v>
      </c>
      <c r="K650" t="s">
        <v>41</v>
      </c>
      <c r="L650" t="s">
        <v>3596</v>
      </c>
      <c r="M650" t="s">
        <v>3597</v>
      </c>
      <c r="N650" t="s">
        <v>494</v>
      </c>
      <c r="O650" t="s">
        <v>69</v>
      </c>
      <c r="P650" t="s">
        <v>3598</v>
      </c>
      <c r="Q650" s="14" t="s">
        <v>68</v>
      </c>
      <c r="R650" t="s">
        <v>377</v>
      </c>
      <c r="S650">
        <v>1.63</v>
      </c>
      <c r="T650">
        <v>3784</v>
      </c>
      <c r="U650">
        <v>0</v>
      </c>
      <c r="V650">
        <v>3784</v>
      </c>
    </row>
    <row r="651" spans="1:22" x14ac:dyDescent="0.3">
      <c r="A651">
        <v>187694</v>
      </c>
      <c r="B651">
        <v>134634930</v>
      </c>
      <c r="C651" t="s">
        <v>3599</v>
      </c>
      <c r="D651" t="s">
        <v>3600</v>
      </c>
      <c r="E651" t="s">
        <v>3580</v>
      </c>
      <c r="F651" t="s">
        <v>491</v>
      </c>
      <c r="G651" t="s">
        <v>44</v>
      </c>
      <c r="H651" t="s">
        <v>45</v>
      </c>
      <c r="I651" t="s">
        <v>34</v>
      </c>
      <c r="J651" t="s">
        <v>46</v>
      </c>
      <c r="K651" t="s">
        <v>41</v>
      </c>
      <c r="L651" t="s">
        <v>3601</v>
      </c>
      <c r="M651" t="s">
        <v>3602</v>
      </c>
      <c r="N651" t="s">
        <v>494</v>
      </c>
      <c r="O651" t="s">
        <v>69</v>
      </c>
      <c r="P651" t="s">
        <v>3603</v>
      </c>
      <c r="Q651" s="14" t="s">
        <v>89</v>
      </c>
      <c r="R651" t="s">
        <v>371</v>
      </c>
      <c r="S651">
        <v>0.6</v>
      </c>
      <c r="T651">
        <v>3753</v>
      </c>
      <c r="U651">
        <v>0</v>
      </c>
      <c r="V651">
        <v>3753</v>
      </c>
    </row>
    <row r="652" spans="1:22" x14ac:dyDescent="0.3">
      <c r="A652">
        <v>187694</v>
      </c>
      <c r="B652">
        <v>135055300</v>
      </c>
      <c r="C652" t="s">
        <v>3604</v>
      </c>
      <c r="D652" t="s">
        <v>3605</v>
      </c>
      <c r="E652" t="s">
        <v>3580</v>
      </c>
      <c r="F652" t="s">
        <v>491</v>
      </c>
      <c r="G652" t="s">
        <v>104</v>
      </c>
      <c r="H652" t="s">
        <v>105</v>
      </c>
      <c r="I652" t="s">
        <v>34</v>
      </c>
      <c r="J652" t="s">
        <v>106</v>
      </c>
      <c r="K652" t="s">
        <v>41</v>
      </c>
      <c r="L652" t="s">
        <v>3606</v>
      </c>
      <c r="M652" t="s">
        <v>3607</v>
      </c>
      <c r="N652" t="s">
        <v>494</v>
      </c>
      <c r="O652" t="s">
        <v>69</v>
      </c>
      <c r="P652" t="s">
        <v>3608</v>
      </c>
      <c r="Q652" s="14" t="s">
        <v>113</v>
      </c>
      <c r="R652" t="s">
        <v>3609</v>
      </c>
      <c r="S652">
        <v>1.43</v>
      </c>
      <c r="T652">
        <v>3950</v>
      </c>
      <c r="U652">
        <v>269.95</v>
      </c>
      <c r="V652">
        <v>4219.95</v>
      </c>
    </row>
    <row r="653" spans="1:22" x14ac:dyDescent="0.3">
      <c r="A653">
        <v>187694</v>
      </c>
      <c r="B653">
        <v>134841828</v>
      </c>
      <c r="C653" t="s">
        <v>3610</v>
      </c>
      <c r="D653" t="s">
        <v>3611</v>
      </c>
      <c r="E653" t="s">
        <v>3580</v>
      </c>
      <c r="F653" t="s">
        <v>491</v>
      </c>
      <c r="G653" t="s">
        <v>49</v>
      </c>
      <c r="H653" t="s">
        <v>50</v>
      </c>
      <c r="I653" t="s">
        <v>34</v>
      </c>
      <c r="J653" t="s">
        <v>51</v>
      </c>
      <c r="K653" t="s">
        <v>41</v>
      </c>
      <c r="L653" t="s">
        <v>52</v>
      </c>
      <c r="M653" t="s">
        <v>3612</v>
      </c>
      <c r="N653" t="s">
        <v>494</v>
      </c>
      <c r="O653" t="s">
        <v>69</v>
      </c>
      <c r="P653" t="s">
        <v>3613</v>
      </c>
      <c r="Q653" s="14" t="s">
        <v>80</v>
      </c>
      <c r="R653" t="s">
        <v>339</v>
      </c>
      <c r="S653">
        <v>2.69</v>
      </c>
      <c r="T653">
        <v>4168</v>
      </c>
      <c r="U653">
        <v>0</v>
      </c>
      <c r="V653">
        <v>4168</v>
      </c>
    </row>
    <row r="654" spans="1:22" x14ac:dyDescent="0.3">
      <c r="A654">
        <v>152577</v>
      </c>
      <c r="B654">
        <v>134516569</v>
      </c>
      <c r="C654" t="s">
        <v>3614</v>
      </c>
      <c r="D654" t="s">
        <v>3615</v>
      </c>
      <c r="E654" t="s">
        <v>3616</v>
      </c>
      <c r="F654" t="s">
        <v>491</v>
      </c>
      <c r="G654" t="s">
        <v>44</v>
      </c>
      <c r="H654" t="s">
        <v>45</v>
      </c>
      <c r="I654" t="s">
        <v>34</v>
      </c>
      <c r="J654" t="s">
        <v>46</v>
      </c>
      <c r="K654" t="s">
        <v>56</v>
      </c>
      <c r="L654" t="s">
        <v>57</v>
      </c>
      <c r="M654" t="s">
        <v>3617</v>
      </c>
      <c r="N654" t="s">
        <v>494</v>
      </c>
      <c r="O654" t="s">
        <v>69</v>
      </c>
      <c r="P654" t="s">
        <v>3618</v>
      </c>
      <c r="Q654" s="14" t="s">
        <v>156</v>
      </c>
      <c r="R654" t="s">
        <v>3619</v>
      </c>
      <c r="S654">
        <v>2.14</v>
      </c>
      <c r="T654">
        <v>10724.79</v>
      </c>
      <c r="U654">
        <v>0</v>
      </c>
      <c r="V654">
        <v>10724.79</v>
      </c>
    </row>
    <row r="655" spans="1:22" x14ac:dyDescent="0.3">
      <c r="A655">
        <v>152577</v>
      </c>
      <c r="B655">
        <v>135323069</v>
      </c>
      <c r="C655" t="s">
        <v>3620</v>
      </c>
      <c r="D655" t="s">
        <v>3621</v>
      </c>
      <c r="E655" t="s">
        <v>3616</v>
      </c>
      <c r="F655" t="s">
        <v>491</v>
      </c>
      <c r="G655" t="s">
        <v>44</v>
      </c>
      <c r="H655" t="s">
        <v>45</v>
      </c>
      <c r="I655" t="s">
        <v>34</v>
      </c>
      <c r="J655" t="s">
        <v>46</v>
      </c>
      <c r="K655" t="s">
        <v>41</v>
      </c>
      <c r="L655" t="s">
        <v>3622</v>
      </c>
      <c r="M655" t="s">
        <v>443</v>
      </c>
      <c r="N655" t="s">
        <v>494</v>
      </c>
      <c r="O655" t="s">
        <v>69</v>
      </c>
      <c r="P655" t="s">
        <v>3623</v>
      </c>
      <c r="Q655" s="14" t="s">
        <v>230</v>
      </c>
      <c r="R655" t="s">
        <v>461</v>
      </c>
      <c r="S655">
        <v>0.4</v>
      </c>
      <c r="T655">
        <v>3299</v>
      </c>
      <c r="U655">
        <v>0</v>
      </c>
      <c r="V655">
        <v>3299</v>
      </c>
    </row>
    <row r="656" spans="1:22" x14ac:dyDescent="0.3">
      <c r="A656">
        <v>152577</v>
      </c>
      <c r="B656">
        <v>135323048</v>
      </c>
      <c r="C656" t="s">
        <v>3624</v>
      </c>
      <c r="D656" t="s">
        <v>3625</v>
      </c>
      <c r="E656" t="s">
        <v>3616</v>
      </c>
      <c r="F656" t="s">
        <v>491</v>
      </c>
      <c r="G656" t="s">
        <v>44</v>
      </c>
      <c r="H656" t="s">
        <v>45</v>
      </c>
      <c r="I656" t="s">
        <v>34</v>
      </c>
      <c r="J656" t="s">
        <v>46</v>
      </c>
      <c r="K656" t="s">
        <v>41</v>
      </c>
      <c r="L656" t="s">
        <v>3626</v>
      </c>
      <c r="M656" t="s">
        <v>3627</v>
      </c>
      <c r="N656" t="s">
        <v>494</v>
      </c>
      <c r="O656" t="s">
        <v>69</v>
      </c>
      <c r="P656" t="s">
        <v>3628</v>
      </c>
      <c r="Q656" s="14" t="s">
        <v>86</v>
      </c>
      <c r="R656" t="s">
        <v>461</v>
      </c>
      <c r="S656">
        <v>1.64</v>
      </c>
      <c r="T656">
        <v>3366</v>
      </c>
      <c r="U656">
        <v>0</v>
      </c>
      <c r="V656">
        <v>3366</v>
      </c>
    </row>
    <row r="657" spans="1:22" x14ac:dyDescent="0.3">
      <c r="A657">
        <v>152577</v>
      </c>
      <c r="B657">
        <v>135239677</v>
      </c>
      <c r="C657" t="s">
        <v>3629</v>
      </c>
      <c r="D657" t="s">
        <v>3630</v>
      </c>
      <c r="E657" t="s">
        <v>3616</v>
      </c>
      <c r="F657" t="s">
        <v>491</v>
      </c>
      <c r="G657" t="s">
        <v>44</v>
      </c>
      <c r="H657" t="s">
        <v>45</v>
      </c>
      <c r="I657" t="s">
        <v>34</v>
      </c>
      <c r="J657" t="s">
        <v>46</v>
      </c>
      <c r="K657" t="s">
        <v>41</v>
      </c>
      <c r="L657" t="s">
        <v>3631</v>
      </c>
      <c r="M657" t="s">
        <v>3632</v>
      </c>
      <c r="N657" t="s">
        <v>494</v>
      </c>
      <c r="O657" t="s">
        <v>69</v>
      </c>
      <c r="P657" t="s">
        <v>3633</v>
      </c>
      <c r="Q657" s="14" t="s">
        <v>77</v>
      </c>
      <c r="R657" t="s">
        <v>3634</v>
      </c>
      <c r="S657">
        <v>0.83</v>
      </c>
      <c r="T657">
        <v>3753</v>
      </c>
      <c r="U657">
        <v>0</v>
      </c>
      <c r="V657">
        <v>3753</v>
      </c>
    </row>
    <row r="658" spans="1:22" x14ac:dyDescent="0.3">
      <c r="A658">
        <v>152577</v>
      </c>
      <c r="B658">
        <v>135239678</v>
      </c>
      <c r="C658" t="s">
        <v>3635</v>
      </c>
      <c r="D658" t="s">
        <v>3636</v>
      </c>
      <c r="E658" t="s">
        <v>3616</v>
      </c>
      <c r="F658" t="s">
        <v>491</v>
      </c>
      <c r="G658" t="s">
        <v>44</v>
      </c>
      <c r="H658" t="s">
        <v>45</v>
      </c>
      <c r="I658" t="s">
        <v>34</v>
      </c>
      <c r="J658" t="s">
        <v>46</v>
      </c>
      <c r="K658" t="s">
        <v>41</v>
      </c>
      <c r="L658" t="s">
        <v>3637</v>
      </c>
      <c r="M658" t="s">
        <v>3638</v>
      </c>
      <c r="N658" t="s">
        <v>494</v>
      </c>
      <c r="O658" t="s">
        <v>69</v>
      </c>
      <c r="P658" t="s">
        <v>3639</v>
      </c>
      <c r="Q658" s="14" t="s">
        <v>55</v>
      </c>
      <c r="R658" t="s">
        <v>3634</v>
      </c>
      <c r="S658">
        <v>0.4</v>
      </c>
      <c r="T658">
        <v>3794</v>
      </c>
      <c r="U658">
        <v>0</v>
      </c>
      <c r="V658">
        <v>3794</v>
      </c>
    </row>
    <row r="659" spans="1:22" x14ac:dyDescent="0.3">
      <c r="A659">
        <v>152577</v>
      </c>
      <c r="B659">
        <v>135239654</v>
      </c>
      <c r="C659" t="s">
        <v>3640</v>
      </c>
      <c r="D659" t="s">
        <v>3641</v>
      </c>
      <c r="E659" t="s">
        <v>3616</v>
      </c>
      <c r="F659" t="s">
        <v>491</v>
      </c>
      <c r="G659" t="s">
        <v>44</v>
      </c>
      <c r="H659" t="s">
        <v>45</v>
      </c>
      <c r="I659" t="s">
        <v>34</v>
      </c>
      <c r="J659" t="s">
        <v>46</v>
      </c>
      <c r="K659" t="s">
        <v>41</v>
      </c>
      <c r="L659" t="s">
        <v>3642</v>
      </c>
      <c r="M659" t="s">
        <v>3643</v>
      </c>
      <c r="N659" t="s">
        <v>494</v>
      </c>
      <c r="O659" t="s">
        <v>69</v>
      </c>
      <c r="P659" t="s">
        <v>3644</v>
      </c>
      <c r="Q659" s="14" t="s">
        <v>75</v>
      </c>
      <c r="R659" t="s">
        <v>3634</v>
      </c>
      <c r="S659">
        <v>0.4</v>
      </c>
      <c r="T659">
        <v>3263</v>
      </c>
      <c r="U659">
        <v>0</v>
      </c>
      <c r="V659">
        <v>3263</v>
      </c>
    </row>
    <row r="660" spans="1:22" x14ac:dyDescent="0.3">
      <c r="A660">
        <v>152577</v>
      </c>
      <c r="B660">
        <v>135234500</v>
      </c>
      <c r="C660" t="s">
        <v>3645</v>
      </c>
      <c r="D660" t="s">
        <v>3646</v>
      </c>
      <c r="E660" t="s">
        <v>3616</v>
      </c>
      <c r="F660" t="s">
        <v>491</v>
      </c>
      <c r="G660" t="s">
        <v>44</v>
      </c>
      <c r="H660" t="s">
        <v>45</v>
      </c>
      <c r="I660" t="s">
        <v>34</v>
      </c>
      <c r="J660" t="s">
        <v>46</v>
      </c>
      <c r="K660" t="s">
        <v>41</v>
      </c>
      <c r="L660" t="s">
        <v>3647</v>
      </c>
      <c r="M660" t="s">
        <v>3648</v>
      </c>
      <c r="N660" t="s">
        <v>494</v>
      </c>
      <c r="O660" t="s">
        <v>69</v>
      </c>
      <c r="P660" t="s">
        <v>3649</v>
      </c>
      <c r="Q660" s="14" t="s">
        <v>55</v>
      </c>
      <c r="R660" t="s">
        <v>3650</v>
      </c>
      <c r="S660">
        <v>1.87</v>
      </c>
      <c r="T660">
        <v>3870</v>
      </c>
      <c r="U660">
        <v>0</v>
      </c>
      <c r="V660">
        <v>3870</v>
      </c>
    </row>
    <row r="661" spans="1:22" x14ac:dyDescent="0.3">
      <c r="A661">
        <v>152577</v>
      </c>
      <c r="B661">
        <v>135239613</v>
      </c>
      <c r="C661" t="s">
        <v>3651</v>
      </c>
      <c r="D661" t="s">
        <v>3652</v>
      </c>
      <c r="E661" t="s">
        <v>3616</v>
      </c>
      <c r="F661" t="s">
        <v>491</v>
      </c>
      <c r="G661" t="s">
        <v>44</v>
      </c>
      <c r="H661" t="s">
        <v>45</v>
      </c>
      <c r="I661" t="s">
        <v>34</v>
      </c>
      <c r="J661" t="s">
        <v>46</v>
      </c>
      <c r="K661" t="s">
        <v>41</v>
      </c>
      <c r="L661" t="s">
        <v>3653</v>
      </c>
      <c r="M661" t="s">
        <v>3654</v>
      </c>
      <c r="N661" t="s">
        <v>494</v>
      </c>
      <c r="O661" t="s">
        <v>69</v>
      </c>
      <c r="P661" t="s">
        <v>3655</v>
      </c>
      <c r="Q661" s="14" t="s">
        <v>75</v>
      </c>
      <c r="R661" t="s">
        <v>360</v>
      </c>
      <c r="S661">
        <v>1.1100000000000001</v>
      </c>
      <c r="T661">
        <v>3335</v>
      </c>
      <c r="U661">
        <v>0</v>
      </c>
      <c r="V661">
        <v>3335</v>
      </c>
    </row>
    <row r="662" spans="1:22" x14ac:dyDescent="0.3">
      <c r="A662">
        <v>152577</v>
      </c>
      <c r="B662">
        <v>135180204</v>
      </c>
      <c r="C662" t="s">
        <v>3656</v>
      </c>
      <c r="D662" t="s">
        <v>3657</v>
      </c>
      <c r="E662" t="s">
        <v>3616</v>
      </c>
      <c r="F662" t="s">
        <v>491</v>
      </c>
      <c r="G662" t="s">
        <v>44</v>
      </c>
      <c r="H662" t="s">
        <v>45</v>
      </c>
      <c r="I662" t="s">
        <v>34</v>
      </c>
      <c r="J662" t="s">
        <v>46</v>
      </c>
      <c r="K662" t="s">
        <v>41</v>
      </c>
      <c r="L662" t="s">
        <v>3658</v>
      </c>
      <c r="M662" t="s">
        <v>3659</v>
      </c>
      <c r="N662" t="s">
        <v>494</v>
      </c>
      <c r="O662" t="s">
        <v>69</v>
      </c>
      <c r="P662" t="s">
        <v>3660</v>
      </c>
      <c r="Q662" s="14" t="s">
        <v>135</v>
      </c>
      <c r="R662" t="s">
        <v>3661</v>
      </c>
      <c r="S662">
        <v>0.92</v>
      </c>
      <c r="T662">
        <v>3366</v>
      </c>
      <c r="U662">
        <v>0</v>
      </c>
      <c r="V662">
        <v>3366</v>
      </c>
    </row>
    <row r="663" spans="1:22" x14ac:dyDescent="0.3">
      <c r="A663">
        <v>152577</v>
      </c>
      <c r="B663">
        <v>135167673</v>
      </c>
      <c r="C663" t="s">
        <v>3662</v>
      </c>
      <c r="D663" t="s">
        <v>3663</v>
      </c>
      <c r="E663" t="s">
        <v>3616</v>
      </c>
      <c r="F663" t="s">
        <v>491</v>
      </c>
      <c r="G663" t="s">
        <v>44</v>
      </c>
      <c r="H663" t="s">
        <v>45</v>
      </c>
      <c r="I663" t="s">
        <v>34</v>
      </c>
      <c r="J663" t="s">
        <v>46</v>
      </c>
      <c r="K663" t="s">
        <v>41</v>
      </c>
      <c r="L663" t="s">
        <v>3664</v>
      </c>
      <c r="M663" t="s">
        <v>3665</v>
      </c>
      <c r="N663" t="s">
        <v>494</v>
      </c>
      <c r="O663" t="s">
        <v>69</v>
      </c>
      <c r="P663" t="s">
        <v>3666</v>
      </c>
      <c r="Q663" s="14" t="s">
        <v>77</v>
      </c>
      <c r="R663" t="s">
        <v>252</v>
      </c>
      <c r="S663">
        <v>0.48</v>
      </c>
      <c r="T663">
        <v>3680</v>
      </c>
      <c r="U663">
        <v>0</v>
      </c>
      <c r="V663">
        <v>3680</v>
      </c>
    </row>
    <row r="664" spans="1:22" x14ac:dyDescent="0.3">
      <c r="A664">
        <v>152577</v>
      </c>
      <c r="B664">
        <v>135163102</v>
      </c>
      <c r="C664" t="s">
        <v>3667</v>
      </c>
      <c r="D664" t="s">
        <v>3668</v>
      </c>
      <c r="E664" t="s">
        <v>3616</v>
      </c>
      <c r="F664" t="s">
        <v>491</v>
      </c>
      <c r="G664" t="s">
        <v>44</v>
      </c>
      <c r="H664" t="s">
        <v>45</v>
      </c>
      <c r="I664" t="s">
        <v>34</v>
      </c>
      <c r="J664" t="s">
        <v>46</v>
      </c>
      <c r="K664" t="s">
        <v>41</v>
      </c>
      <c r="L664" t="s">
        <v>3669</v>
      </c>
      <c r="M664" t="s">
        <v>3670</v>
      </c>
      <c r="N664" t="s">
        <v>494</v>
      </c>
      <c r="O664" t="s">
        <v>69</v>
      </c>
      <c r="P664" t="s">
        <v>3671</v>
      </c>
      <c r="Q664" s="14" t="s">
        <v>77</v>
      </c>
      <c r="R664" t="s">
        <v>250</v>
      </c>
      <c r="S664">
        <v>1</v>
      </c>
      <c r="T664">
        <v>3753</v>
      </c>
      <c r="U664">
        <v>0</v>
      </c>
      <c r="V664">
        <v>3753</v>
      </c>
    </row>
    <row r="665" spans="1:22" x14ac:dyDescent="0.3">
      <c r="A665">
        <v>152577</v>
      </c>
      <c r="B665">
        <v>135163882</v>
      </c>
      <c r="C665" t="s">
        <v>3672</v>
      </c>
      <c r="D665" t="s">
        <v>3673</v>
      </c>
      <c r="E665" t="s">
        <v>3616</v>
      </c>
      <c r="F665" t="s">
        <v>491</v>
      </c>
      <c r="G665" t="s">
        <v>44</v>
      </c>
      <c r="H665" t="s">
        <v>45</v>
      </c>
      <c r="I665" t="s">
        <v>34</v>
      </c>
      <c r="J665" t="s">
        <v>46</v>
      </c>
      <c r="K665" t="s">
        <v>41</v>
      </c>
      <c r="L665" t="s">
        <v>3674</v>
      </c>
      <c r="M665" t="s">
        <v>3675</v>
      </c>
      <c r="N665" t="s">
        <v>494</v>
      </c>
      <c r="O665" t="s">
        <v>69</v>
      </c>
      <c r="P665" t="s">
        <v>3676</v>
      </c>
      <c r="Q665" s="14" t="s">
        <v>83</v>
      </c>
      <c r="R665" t="s">
        <v>257</v>
      </c>
      <c r="S665">
        <v>1.1200000000000001</v>
      </c>
      <c r="T665">
        <v>3366</v>
      </c>
      <c r="U665">
        <v>0</v>
      </c>
      <c r="V665">
        <v>3366</v>
      </c>
    </row>
    <row r="666" spans="1:22" x14ac:dyDescent="0.3">
      <c r="A666">
        <v>152577</v>
      </c>
      <c r="B666">
        <v>135164586</v>
      </c>
      <c r="C666" t="s">
        <v>3677</v>
      </c>
      <c r="D666" t="s">
        <v>3678</v>
      </c>
      <c r="E666" t="s">
        <v>3616</v>
      </c>
      <c r="F666" t="s">
        <v>491</v>
      </c>
      <c r="G666" t="s">
        <v>44</v>
      </c>
      <c r="H666" t="s">
        <v>45</v>
      </c>
      <c r="I666" t="s">
        <v>34</v>
      </c>
      <c r="J666" t="s">
        <v>46</v>
      </c>
      <c r="K666" t="s">
        <v>41</v>
      </c>
      <c r="L666" t="s">
        <v>3679</v>
      </c>
      <c r="M666" t="s">
        <v>3680</v>
      </c>
      <c r="N666" t="s">
        <v>494</v>
      </c>
      <c r="O666" t="s">
        <v>69</v>
      </c>
      <c r="P666" t="s">
        <v>3681</v>
      </c>
      <c r="Q666" s="14" t="s">
        <v>163</v>
      </c>
      <c r="R666" t="s">
        <v>272</v>
      </c>
      <c r="S666">
        <v>0.4</v>
      </c>
      <c r="T666">
        <v>3680</v>
      </c>
      <c r="U666">
        <v>0</v>
      </c>
      <c r="V666">
        <v>3680</v>
      </c>
    </row>
    <row r="667" spans="1:22" x14ac:dyDescent="0.3">
      <c r="A667">
        <v>152577</v>
      </c>
      <c r="B667">
        <v>135164661</v>
      </c>
      <c r="C667" t="s">
        <v>3682</v>
      </c>
      <c r="D667" t="s">
        <v>3683</v>
      </c>
      <c r="E667" t="s">
        <v>3616</v>
      </c>
      <c r="F667" t="s">
        <v>491</v>
      </c>
      <c r="G667" t="s">
        <v>44</v>
      </c>
      <c r="H667" t="s">
        <v>45</v>
      </c>
      <c r="I667" t="s">
        <v>34</v>
      </c>
      <c r="J667" t="s">
        <v>46</v>
      </c>
      <c r="K667" t="s">
        <v>41</v>
      </c>
      <c r="L667" t="s">
        <v>3684</v>
      </c>
      <c r="M667" t="s">
        <v>442</v>
      </c>
      <c r="N667" t="s">
        <v>494</v>
      </c>
      <c r="O667" t="s">
        <v>69</v>
      </c>
      <c r="P667" t="s">
        <v>3685</v>
      </c>
      <c r="Q667" s="14" t="s">
        <v>43</v>
      </c>
      <c r="R667" t="s">
        <v>275</v>
      </c>
      <c r="S667">
        <v>0.4</v>
      </c>
      <c r="T667">
        <v>3680</v>
      </c>
      <c r="U667">
        <v>0</v>
      </c>
      <c r="V667">
        <v>3680</v>
      </c>
    </row>
    <row r="668" spans="1:22" x14ac:dyDescent="0.3">
      <c r="A668">
        <v>152577</v>
      </c>
      <c r="B668">
        <v>135122683</v>
      </c>
      <c r="C668" t="s">
        <v>3686</v>
      </c>
      <c r="D668" t="s">
        <v>3687</v>
      </c>
      <c r="E668" t="s">
        <v>3616</v>
      </c>
      <c r="F668" t="s">
        <v>491</v>
      </c>
      <c r="G668" t="s">
        <v>44</v>
      </c>
      <c r="H668" t="s">
        <v>45</v>
      </c>
      <c r="I668" t="s">
        <v>34</v>
      </c>
      <c r="J668" t="s">
        <v>46</v>
      </c>
      <c r="K668" t="s">
        <v>41</v>
      </c>
      <c r="L668" t="s">
        <v>3688</v>
      </c>
      <c r="M668" t="s">
        <v>3689</v>
      </c>
      <c r="N668" t="s">
        <v>494</v>
      </c>
      <c r="O668" t="s">
        <v>69</v>
      </c>
      <c r="P668" t="s">
        <v>3690</v>
      </c>
      <c r="Q668" s="14" t="s">
        <v>135</v>
      </c>
      <c r="R668" t="s">
        <v>336</v>
      </c>
      <c r="S668">
        <v>1.03</v>
      </c>
      <c r="T668">
        <v>3366</v>
      </c>
      <c r="U668">
        <v>0</v>
      </c>
      <c r="V668">
        <v>3366</v>
      </c>
    </row>
    <row r="669" spans="1:22" x14ac:dyDescent="0.3">
      <c r="A669">
        <v>152577</v>
      </c>
      <c r="B669">
        <v>135122735</v>
      </c>
      <c r="C669" t="s">
        <v>3691</v>
      </c>
      <c r="D669" t="s">
        <v>3692</v>
      </c>
      <c r="E669" t="s">
        <v>3616</v>
      </c>
      <c r="F669" t="s">
        <v>491</v>
      </c>
      <c r="G669" t="s">
        <v>44</v>
      </c>
      <c r="H669" t="s">
        <v>45</v>
      </c>
      <c r="I669" t="s">
        <v>34</v>
      </c>
      <c r="J669" t="s">
        <v>46</v>
      </c>
      <c r="K669" t="s">
        <v>41</v>
      </c>
      <c r="L669" t="s">
        <v>3693</v>
      </c>
      <c r="M669" t="s">
        <v>3694</v>
      </c>
      <c r="N669" t="s">
        <v>494</v>
      </c>
      <c r="O669" t="s">
        <v>69</v>
      </c>
      <c r="P669" t="s">
        <v>3695</v>
      </c>
      <c r="Q669" s="14" t="s">
        <v>89</v>
      </c>
      <c r="R669" t="s">
        <v>307</v>
      </c>
      <c r="S669">
        <v>1.46</v>
      </c>
      <c r="T669">
        <v>3753</v>
      </c>
      <c r="U669">
        <v>0</v>
      </c>
      <c r="V669">
        <v>3753</v>
      </c>
    </row>
    <row r="670" spans="1:22" x14ac:dyDescent="0.3">
      <c r="A670">
        <v>152577</v>
      </c>
      <c r="B670">
        <v>135125354</v>
      </c>
      <c r="C670" t="s">
        <v>3696</v>
      </c>
      <c r="D670" t="s">
        <v>3697</v>
      </c>
      <c r="E670" t="s">
        <v>3616</v>
      </c>
      <c r="F670" t="s">
        <v>491</v>
      </c>
      <c r="G670" t="s">
        <v>44</v>
      </c>
      <c r="H670" t="s">
        <v>45</v>
      </c>
      <c r="I670" t="s">
        <v>34</v>
      </c>
      <c r="J670" t="s">
        <v>46</v>
      </c>
      <c r="K670" t="s">
        <v>41</v>
      </c>
      <c r="L670" t="s">
        <v>3698</v>
      </c>
      <c r="M670" t="s">
        <v>3699</v>
      </c>
      <c r="N670" t="s">
        <v>494</v>
      </c>
      <c r="O670" t="s">
        <v>69</v>
      </c>
      <c r="P670" t="s">
        <v>3700</v>
      </c>
      <c r="Q670" s="14" t="s">
        <v>89</v>
      </c>
      <c r="R670" t="s">
        <v>345</v>
      </c>
      <c r="S670">
        <v>2.15</v>
      </c>
      <c r="T670">
        <v>3753</v>
      </c>
      <c r="U670">
        <v>0</v>
      </c>
      <c r="V670">
        <v>3753</v>
      </c>
    </row>
    <row r="671" spans="1:22" x14ac:dyDescent="0.3">
      <c r="A671">
        <v>152577</v>
      </c>
      <c r="B671">
        <v>135102655</v>
      </c>
      <c r="C671" t="s">
        <v>3701</v>
      </c>
      <c r="D671" t="s">
        <v>3702</v>
      </c>
      <c r="E671" t="s">
        <v>3616</v>
      </c>
      <c r="F671" t="s">
        <v>491</v>
      </c>
      <c r="G671" t="s">
        <v>44</v>
      </c>
      <c r="H671" t="s">
        <v>45</v>
      </c>
      <c r="I671" t="s">
        <v>34</v>
      </c>
      <c r="J671" t="s">
        <v>46</v>
      </c>
      <c r="K671" t="s">
        <v>41</v>
      </c>
      <c r="L671" t="s">
        <v>3703</v>
      </c>
      <c r="M671" t="s">
        <v>3704</v>
      </c>
      <c r="N671" t="s">
        <v>494</v>
      </c>
      <c r="O671" t="s">
        <v>69</v>
      </c>
      <c r="P671" t="s">
        <v>3705</v>
      </c>
      <c r="Q671" s="14" t="s">
        <v>85</v>
      </c>
      <c r="R671" t="s">
        <v>331</v>
      </c>
      <c r="S671">
        <v>1.74</v>
      </c>
      <c r="T671">
        <v>3784</v>
      </c>
      <c r="U671">
        <v>0</v>
      </c>
      <c r="V671">
        <v>3784</v>
      </c>
    </row>
    <row r="672" spans="1:22" x14ac:dyDescent="0.3">
      <c r="A672">
        <v>152577</v>
      </c>
      <c r="B672">
        <v>135092141</v>
      </c>
      <c r="C672" t="s">
        <v>3706</v>
      </c>
      <c r="D672" t="s">
        <v>3707</v>
      </c>
      <c r="E672" t="s">
        <v>3616</v>
      </c>
      <c r="F672" t="s">
        <v>491</v>
      </c>
      <c r="G672" t="s">
        <v>44</v>
      </c>
      <c r="H672" t="s">
        <v>45</v>
      </c>
      <c r="I672" t="s">
        <v>34</v>
      </c>
      <c r="J672" t="s">
        <v>46</v>
      </c>
      <c r="K672" t="s">
        <v>41</v>
      </c>
      <c r="L672" t="s">
        <v>3708</v>
      </c>
      <c r="M672" t="s">
        <v>3709</v>
      </c>
      <c r="N672" t="s">
        <v>494</v>
      </c>
      <c r="O672" t="s">
        <v>69</v>
      </c>
      <c r="P672" t="s">
        <v>3710</v>
      </c>
      <c r="Q672" s="14" t="s">
        <v>70</v>
      </c>
      <c r="R672" t="s">
        <v>3711</v>
      </c>
      <c r="S672">
        <v>1.67</v>
      </c>
      <c r="T672">
        <v>5198</v>
      </c>
      <c r="U672">
        <v>0</v>
      </c>
      <c r="V672">
        <v>5198</v>
      </c>
    </row>
    <row r="673" spans="1:22" x14ac:dyDescent="0.3">
      <c r="A673">
        <v>152577</v>
      </c>
      <c r="B673">
        <v>135088360</v>
      </c>
      <c r="C673" t="s">
        <v>3712</v>
      </c>
      <c r="D673" t="s">
        <v>3713</v>
      </c>
      <c r="E673" t="s">
        <v>3616</v>
      </c>
      <c r="F673" t="s">
        <v>491</v>
      </c>
      <c r="G673" t="s">
        <v>44</v>
      </c>
      <c r="H673" t="s">
        <v>45</v>
      </c>
      <c r="I673" t="s">
        <v>34</v>
      </c>
      <c r="J673" t="s">
        <v>46</v>
      </c>
      <c r="K673" t="s">
        <v>41</v>
      </c>
      <c r="L673" t="s">
        <v>3714</v>
      </c>
      <c r="M673" t="s">
        <v>3715</v>
      </c>
      <c r="N673" t="s">
        <v>494</v>
      </c>
      <c r="O673" t="s">
        <v>69</v>
      </c>
      <c r="P673" t="s">
        <v>3716</v>
      </c>
      <c r="Q673" s="14" t="s">
        <v>83</v>
      </c>
      <c r="R673" t="s">
        <v>349</v>
      </c>
      <c r="S673">
        <v>2.7</v>
      </c>
      <c r="T673">
        <v>3366</v>
      </c>
      <c r="U673">
        <v>0</v>
      </c>
      <c r="V673">
        <v>3366</v>
      </c>
    </row>
    <row r="674" spans="1:22" x14ac:dyDescent="0.3">
      <c r="A674">
        <v>152577</v>
      </c>
      <c r="B674">
        <v>134813959</v>
      </c>
      <c r="C674" t="s">
        <v>3717</v>
      </c>
      <c r="D674" t="s">
        <v>3718</v>
      </c>
      <c r="E674" t="s">
        <v>3616</v>
      </c>
      <c r="F674" t="s">
        <v>491</v>
      </c>
      <c r="G674" t="s">
        <v>44</v>
      </c>
      <c r="H674" t="s">
        <v>45</v>
      </c>
      <c r="I674" t="s">
        <v>34</v>
      </c>
      <c r="J674" t="s">
        <v>46</v>
      </c>
      <c r="K674" t="s">
        <v>41</v>
      </c>
      <c r="L674" t="s">
        <v>3719</v>
      </c>
      <c r="M674" t="s">
        <v>3720</v>
      </c>
      <c r="N674" t="s">
        <v>494</v>
      </c>
      <c r="O674" t="s">
        <v>69</v>
      </c>
      <c r="P674" t="s">
        <v>3721</v>
      </c>
      <c r="Q674" s="14" t="s">
        <v>43</v>
      </c>
      <c r="R674" t="s">
        <v>446</v>
      </c>
      <c r="S674">
        <v>0.25</v>
      </c>
      <c r="T674">
        <v>3680</v>
      </c>
      <c r="U674">
        <v>0</v>
      </c>
      <c r="V674">
        <v>3680</v>
      </c>
    </row>
    <row r="675" spans="1:22" x14ac:dyDescent="0.3">
      <c r="A675">
        <v>152577</v>
      </c>
      <c r="B675">
        <v>135057604</v>
      </c>
      <c r="C675" t="s">
        <v>3722</v>
      </c>
      <c r="D675" t="s">
        <v>3723</v>
      </c>
      <c r="E675" t="s">
        <v>3616</v>
      </c>
      <c r="F675" t="s">
        <v>491</v>
      </c>
      <c r="G675" t="s">
        <v>44</v>
      </c>
      <c r="H675" t="s">
        <v>45</v>
      </c>
      <c r="I675" t="s">
        <v>34</v>
      </c>
      <c r="J675" t="s">
        <v>46</v>
      </c>
      <c r="K675" t="s">
        <v>41</v>
      </c>
      <c r="L675" t="s">
        <v>3724</v>
      </c>
      <c r="M675" t="s">
        <v>3725</v>
      </c>
      <c r="N675" t="s">
        <v>494</v>
      </c>
      <c r="O675" t="s">
        <v>69</v>
      </c>
      <c r="P675" t="s">
        <v>3726</v>
      </c>
      <c r="Q675" s="14" t="s">
        <v>203</v>
      </c>
      <c r="R675" t="s">
        <v>3727</v>
      </c>
      <c r="S675">
        <v>1.22</v>
      </c>
      <c r="T675">
        <v>4067</v>
      </c>
      <c r="U675">
        <v>0</v>
      </c>
      <c r="V675">
        <v>4067</v>
      </c>
    </row>
    <row r="676" spans="1:22" x14ac:dyDescent="0.3">
      <c r="A676">
        <v>152577</v>
      </c>
      <c r="B676">
        <v>135088478</v>
      </c>
      <c r="C676" t="s">
        <v>3728</v>
      </c>
      <c r="D676" t="s">
        <v>3729</v>
      </c>
      <c r="E676" t="s">
        <v>3616</v>
      </c>
      <c r="F676" t="s">
        <v>491</v>
      </c>
      <c r="G676" t="s">
        <v>44</v>
      </c>
      <c r="H676" t="s">
        <v>45</v>
      </c>
      <c r="I676" t="s">
        <v>34</v>
      </c>
      <c r="J676" t="s">
        <v>46</v>
      </c>
      <c r="K676" t="s">
        <v>41</v>
      </c>
      <c r="L676" t="s">
        <v>3730</v>
      </c>
      <c r="M676" t="s">
        <v>3731</v>
      </c>
      <c r="N676" t="s">
        <v>494</v>
      </c>
      <c r="O676" t="s">
        <v>69</v>
      </c>
      <c r="P676" t="s">
        <v>3732</v>
      </c>
      <c r="Q676" s="14" t="s">
        <v>83</v>
      </c>
      <c r="R676" t="s">
        <v>315</v>
      </c>
      <c r="S676">
        <v>2.17</v>
      </c>
      <c r="T676">
        <v>3366</v>
      </c>
      <c r="U676">
        <v>0</v>
      </c>
      <c r="V676">
        <v>3366</v>
      </c>
    </row>
    <row r="677" spans="1:22" x14ac:dyDescent="0.3">
      <c r="A677">
        <v>152577</v>
      </c>
      <c r="B677">
        <v>135088414</v>
      </c>
      <c r="C677" t="s">
        <v>3733</v>
      </c>
      <c r="D677" t="s">
        <v>3734</v>
      </c>
      <c r="E677" t="s">
        <v>3616</v>
      </c>
      <c r="F677" t="s">
        <v>491</v>
      </c>
      <c r="G677" t="s">
        <v>44</v>
      </c>
      <c r="H677" t="s">
        <v>45</v>
      </c>
      <c r="I677" t="s">
        <v>34</v>
      </c>
      <c r="J677" t="s">
        <v>46</v>
      </c>
      <c r="K677" t="s">
        <v>41</v>
      </c>
      <c r="L677" t="s">
        <v>3735</v>
      </c>
      <c r="M677" t="s">
        <v>3736</v>
      </c>
      <c r="N677" t="s">
        <v>494</v>
      </c>
      <c r="O677" t="s">
        <v>69</v>
      </c>
      <c r="P677" t="s">
        <v>3737</v>
      </c>
      <c r="Q677" s="14" t="s">
        <v>86</v>
      </c>
      <c r="R677" t="s">
        <v>3738</v>
      </c>
      <c r="S677">
        <v>0.49</v>
      </c>
      <c r="T677">
        <v>3299</v>
      </c>
      <c r="U677">
        <v>0</v>
      </c>
      <c r="V677">
        <v>3299</v>
      </c>
    </row>
    <row r="678" spans="1:22" x14ac:dyDescent="0.3">
      <c r="A678">
        <v>152577</v>
      </c>
      <c r="B678">
        <v>135096940</v>
      </c>
      <c r="C678" t="s">
        <v>3739</v>
      </c>
      <c r="D678" t="s">
        <v>3740</v>
      </c>
      <c r="E678" t="s">
        <v>3616</v>
      </c>
      <c r="F678" t="s">
        <v>491</v>
      </c>
      <c r="G678" t="s">
        <v>44</v>
      </c>
      <c r="H678" t="s">
        <v>45</v>
      </c>
      <c r="I678" t="s">
        <v>34</v>
      </c>
      <c r="J678" t="s">
        <v>46</v>
      </c>
      <c r="K678" t="s">
        <v>56</v>
      </c>
      <c r="L678" t="s">
        <v>57</v>
      </c>
      <c r="M678" t="s">
        <v>3741</v>
      </c>
      <c r="N678" t="s">
        <v>494</v>
      </c>
      <c r="O678" t="s">
        <v>69</v>
      </c>
      <c r="P678" t="s">
        <v>3742</v>
      </c>
      <c r="Q678" s="14" t="s">
        <v>54</v>
      </c>
      <c r="R678" t="s">
        <v>3743</v>
      </c>
      <c r="S678">
        <v>2.38</v>
      </c>
      <c r="T678">
        <v>3366</v>
      </c>
      <c r="U678">
        <v>0</v>
      </c>
      <c r="V678">
        <v>3366</v>
      </c>
    </row>
    <row r="679" spans="1:22" x14ac:dyDescent="0.3">
      <c r="A679">
        <v>152577</v>
      </c>
      <c r="B679">
        <v>135092116</v>
      </c>
      <c r="C679" t="s">
        <v>3744</v>
      </c>
      <c r="D679" t="s">
        <v>3745</v>
      </c>
      <c r="E679" t="s">
        <v>3616</v>
      </c>
      <c r="F679" t="s">
        <v>491</v>
      </c>
      <c r="G679" t="s">
        <v>44</v>
      </c>
      <c r="H679" t="s">
        <v>45</v>
      </c>
      <c r="I679" t="s">
        <v>34</v>
      </c>
      <c r="J679" t="s">
        <v>46</v>
      </c>
      <c r="K679" t="s">
        <v>41</v>
      </c>
      <c r="L679" t="s">
        <v>3746</v>
      </c>
      <c r="M679" t="s">
        <v>3747</v>
      </c>
      <c r="N679" t="s">
        <v>494</v>
      </c>
      <c r="O679" t="s">
        <v>69</v>
      </c>
      <c r="P679" t="s">
        <v>3748</v>
      </c>
      <c r="Q679" s="14" t="s">
        <v>73</v>
      </c>
      <c r="R679" t="s">
        <v>263</v>
      </c>
      <c r="S679">
        <v>2.52</v>
      </c>
      <c r="T679">
        <v>3366</v>
      </c>
      <c r="U679">
        <v>0</v>
      </c>
      <c r="V679">
        <v>3366</v>
      </c>
    </row>
    <row r="680" spans="1:22" x14ac:dyDescent="0.3">
      <c r="A680">
        <v>152577</v>
      </c>
      <c r="B680">
        <v>135011171</v>
      </c>
      <c r="C680" t="s">
        <v>3749</v>
      </c>
      <c r="D680" t="s">
        <v>3750</v>
      </c>
      <c r="E680" t="s">
        <v>3616</v>
      </c>
      <c r="F680" t="s">
        <v>491</v>
      </c>
      <c r="G680" t="s">
        <v>44</v>
      </c>
      <c r="H680" t="s">
        <v>45</v>
      </c>
      <c r="I680" t="s">
        <v>34</v>
      </c>
      <c r="J680" t="s">
        <v>46</v>
      </c>
      <c r="K680" t="s">
        <v>41</v>
      </c>
      <c r="L680" t="s">
        <v>3751</v>
      </c>
      <c r="M680" t="s">
        <v>3752</v>
      </c>
      <c r="N680" t="s">
        <v>494</v>
      </c>
      <c r="O680" t="s">
        <v>69</v>
      </c>
      <c r="P680" t="s">
        <v>3753</v>
      </c>
      <c r="Q680" s="14" t="s">
        <v>101</v>
      </c>
      <c r="R680" t="s">
        <v>3754</v>
      </c>
      <c r="S680">
        <v>1.18</v>
      </c>
      <c r="T680">
        <v>6729</v>
      </c>
      <c r="U680">
        <v>0</v>
      </c>
      <c r="V680">
        <v>6729</v>
      </c>
    </row>
    <row r="681" spans="1:22" x14ac:dyDescent="0.3">
      <c r="A681">
        <v>152577</v>
      </c>
      <c r="B681">
        <v>135088613</v>
      </c>
      <c r="C681" t="s">
        <v>3755</v>
      </c>
      <c r="D681" t="s">
        <v>3756</v>
      </c>
      <c r="E681" t="s">
        <v>3616</v>
      </c>
      <c r="F681" t="s">
        <v>491</v>
      </c>
      <c r="G681" t="s">
        <v>44</v>
      </c>
      <c r="H681" t="s">
        <v>45</v>
      </c>
      <c r="I681" t="s">
        <v>34</v>
      </c>
      <c r="J681" t="s">
        <v>46</v>
      </c>
      <c r="K681" t="s">
        <v>41</v>
      </c>
      <c r="L681" t="s">
        <v>3757</v>
      </c>
      <c r="M681" t="s">
        <v>3758</v>
      </c>
      <c r="N681" t="s">
        <v>494</v>
      </c>
      <c r="O681" t="s">
        <v>69</v>
      </c>
      <c r="P681" t="s">
        <v>3759</v>
      </c>
      <c r="Q681" s="14" t="s">
        <v>86</v>
      </c>
      <c r="R681" t="s">
        <v>406</v>
      </c>
      <c r="S681">
        <v>2.35</v>
      </c>
      <c r="T681">
        <v>3366</v>
      </c>
      <c r="U681">
        <v>0</v>
      </c>
      <c r="V681">
        <v>3366</v>
      </c>
    </row>
    <row r="682" spans="1:22" x14ac:dyDescent="0.3">
      <c r="A682">
        <v>152577</v>
      </c>
      <c r="B682">
        <v>135022574</v>
      </c>
      <c r="C682" t="s">
        <v>3760</v>
      </c>
      <c r="D682" t="s">
        <v>3761</v>
      </c>
      <c r="E682" t="s">
        <v>3616</v>
      </c>
      <c r="F682" t="s">
        <v>491</v>
      </c>
      <c r="G682" t="s">
        <v>44</v>
      </c>
      <c r="H682" t="s">
        <v>45</v>
      </c>
      <c r="I682" t="s">
        <v>34</v>
      </c>
      <c r="J682" t="s">
        <v>46</v>
      </c>
      <c r="K682" t="s">
        <v>41</v>
      </c>
      <c r="L682" t="s">
        <v>3762</v>
      </c>
      <c r="M682" t="s">
        <v>3763</v>
      </c>
      <c r="N682" t="s">
        <v>494</v>
      </c>
      <c r="O682" t="s">
        <v>69</v>
      </c>
      <c r="P682" t="s">
        <v>3764</v>
      </c>
      <c r="Q682" s="14" t="s">
        <v>89</v>
      </c>
      <c r="R682" t="s">
        <v>362</v>
      </c>
      <c r="S682">
        <v>0.93</v>
      </c>
      <c r="T682">
        <v>3753</v>
      </c>
      <c r="U682">
        <v>0</v>
      </c>
      <c r="V682">
        <v>3753</v>
      </c>
    </row>
    <row r="683" spans="1:22" x14ac:dyDescent="0.3">
      <c r="A683">
        <v>152577</v>
      </c>
      <c r="B683">
        <v>135010944</v>
      </c>
      <c r="C683" t="s">
        <v>3765</v>
      </c>
      <c r="D683" t="s">
        <v>3766</v>
      </c>
      <c r="E683" t="s">
        <v>3616</v>
      </c>
      <c r="F683" t="s">
        <v>491</v>
      </c>
      <c r="G683" t="s">
        <v>44</v>
      </c>
      <c r="H683" t="s">
        <v>45</v>
      </c>
      <c r="I683" t="s">
        <v>34</v>
      </c>
      <c r="J683" t="s">
        <v>46</v>
      </c>
      <c r="K683" t="s">
        <v>41</v>
      </c>
      <c r="L683" t="s">
        <v>3767</v>
      </c>
      <c r="M683" t="s">
        <v>3768</v>
      </c>
      <c r="N683" t="s">
        <v>494</v>
      </c>
      <c r="O683" t="s">
        <v>69</v>
      </c>
      <c r="P683" t="s">
        <v>3769</v>
      </c>
      <c r="Q683" s="14" t="s">
        <v>180</v>
      </c>
      <c r="R683" t="s">
        <v>279</v>
      </c>
      <c r="S683">
        <v>0.8</v>
      </c>
      <c r="T683">
        <v>3366</v>
      </c>
      <c r="U683">
        <v>0</v>
      </c>
      <c r="V683">
        <v>3366</v>
      </c>
    </row>
    <row r="684" spans="1:22" x14ac:dyDescent="0.3">
      <c r="A684">
        <v>152577</v>
      </c>
      <c r="B684">
        <v>135010894</v>
      </c>
      <c r="C684" t="s">
        <v>3770</v>
      </c>
      <c r="D684" t="s">
        <v>3771</v>
      </c>
      <c r="E684" t="s">
        <v>3616</v>
      </c>
      <c r="F684" t="s">
        <v>491</v>
      </c>
      <c r="G684" t="s">
        <v>44</v>
      </c>
      <c r="H684" t="s">
        <v>45</v>
      </c>
      <c r="I684" t="s">
        <v>34</v>
      </c>
      <c r="J684" t="s">
        <v>46</v>
      </c>
      <c r="K684" t="s">
        <v>41</v>
      </c>
      <c r="L684" t="s">
        <v>3772</v>
      </c>
      <c r="M684" t="s">
        <v>3773</v>
      </c>
      <c r="N684" t="s">
        <v>494</v>
      </c>
      <c r="O684" t="s">
        <v>69</v>
      </c>
      <c r="P684" t="s">
        <v>3774</v>
      </c>
      <c r="Q684" s="14" t="s">
        <v>43</v>
      </c>
      <c r="R684" t="s">
        <v>280</v>
      </c>
      <c r="S684">
        <v>0.86</v>
      </c>
      <c r="T684">
        <v>4067</v>
      </c>
      <c r="U684">
        <v>0</v>
      </c>
      <c r="V684">
        <v>4067</v>
      </c>
    </row>
    <row r="685" spans="1:22" x14ac:dyDescent="0.3">
      <c r="A685">
        <v>152577</v>
      </c>
      <c r="B685">
        <v>135009648</v>
      </c>
      <c r="C685" t="s">
        <v>3775</v>
      </c>
      <c r="D685" t="s">
        <v>3776</v>
      </c>
      <c r="E685" t="s">
        <v>3616</v>
      </c>
      <c r="F685" t="s">
        <v>491</v>
      </c>
      <c r="G685" t="s">
        <v>44</v>
      </c>
      <c r="H685" t="s">
        <v>45</v>
      </c>
      <c r="I685" t="s">
        <v>34</v>
      </c>
      <c r="J685" t="s">
        <v>46</v>
      </c>
      <c r="K685" t="s">
        <v>41</v>
      </c>
      <c r="L685" t="s">
        <v>3777</v>
      </c>
      <c r="M685" t="s">
        <v>3778</v>
      </c>
      <c r="N685" t="s">
        <v>494</v>
      </c>
      <c r="O685" t="s">
        <v>69</v>
      </c>
      <c r="P685" t="s">
        <v>3779</v>
      </c>
      <c r="Q685" s="14" t="s">
        <v>158</v>
      </c>
      <c r="R685" t="s">
        <v>387</v>
      </c>
      <c r="S685">
        <v>0.87</v>
      </c>
      <c r="T685">
        <v>4067</v>
      </c>
      <c r="U685">
        <v>0</v>
      </c>
      <c r="V685">
        <v>4067</v>
      </c>
    </row>
    <row r="686" spans="1:22" x14ac:dyDescent="0.3">
      <c r="A686">
        <v>152577</v>
      </c>
      <c r="B686">
        <v>134940082</v>
      </c>
      <c r="C686" t="s">
        <v>3780</v>
      </c>
      <c r="D686" t="s">
        <v>3781</v>
      </c>
      <c r="E686" t="s">
        <v>3616</v>
      </c>
      <c r="F686" t="s">
        <v>491</v>
      </c>
      <c r="G686" t="s">
        <v>44</v>
      </c>
      <c r="H686" t="s">
        <v>45</v>
      </c>
      <c r="I686" t="s">
        <v>34</v>
      </c>
      <c r="J686" t="s">
        <v>46</v>
      </c>
      <c r="K686" t="s">
        <v>41</v>
      </c>
      <c r="L686" t="s">
        <v>3782</v>
      </c>
      <c r="M686" t="s">
        <v>3783</v>
      </c>
      <c r="N686" t="s">
        <v>494</v>
      </c>
      <c r="O686" t="s">
        <v>69</v>
      </c>
      <c r="P686" t="s">
        <v>3784</v>
      </c>
      <c r="Q686" s="14" t="s">
        <v>135</v>
      </c>
      <c r="R686" t="s">
        <v>3785</v>
      </c>
      <c r="S686">
        <v>2.12</v>
      </c>
      <c r="T686">
        <v>3366</v>
      </c>
      <c r="U686">
        <v>0</v>
      </c>
      <c r="V686">
        <v>3366</v>
      </c>
    </row>
    <row r="687" spans="1:22" x14ac:dyDescent="0.3">
      <c r="A687">
        <v>152577</v>
      </c>
      <c r="B687">
        <v>135007390</v>
      </c>
      <c r="C687" t="s">
        <v>3786</v>
      </c>
      <c r="D687" t="s">
        <v>3787</v>
      </c>
      <c r="E687" t="s">
        <v>3616</v>
      </c>
      <c r="F687" t="s">
        <v>491</v>
      </c>
      <c r="G687" t="s">
        <v>44</v>
      </c>
      <c r="H687" t="s">
        <v>45</v>
      </c>
      <c r="I687" t="s">
        <v>34</v>
      </c>
      <c r="J687" t="s">
        <v>46</v>
      </c>
      <c r="K687" t="s">
        <v>41</v>
      </c>
      <c r="L687" t="s">
        <v>3788</v>
      </c>
      <c r="M687" t="s">
        <v>3789</v>
      </c>
      <c r="N687" t="s">
        <v>494</v>
      </c>
      <c r="O687" t="s">
        <v>69</v>
      </c>
      <c r="P687" t="s">
        <v>3790</v>
      </c>
      <c r="Q687" s="14" t="s">
        <v>180</v>
      </c>
      <c r="R687" t="s">
        <v>317</v>
      </c>
      <c r="S687">
        <v>0.4</v>
      </c>
      <c r="T687">
        <v>3299</v>
      </c>
      <c r="U687">
        <v>0</v>
      </c>
      <c r="V687">
        <v>3299</v>
      </c>
    </row>
    <row r="688" spans="1:22" x14ac:dyDescent="0.3">
      <c r="A688">
        <v>152577</v>
      </c>
      <c r="B688">
        <v>135007467</v>
      </c>
      <c r="C688" t="s">
        <v>3791</v>
      </c>
      <c r="D688" t="s">
        <v>3792</v>
      </c>
      <c r="E688" t="s">
        <v>3616</v>
      </c>
      <c r="F688" t="s">
        <v>491</v>
      </c>
      <c r="G688" t="s">
        <v>44</v>
      </c>
      <c r="H688" t="s">
        <v>45</v>
      </c>
      <c r="I688" t="s">
        <v>34</v>
      </c>
      <c r="J688" t="s">
        <v>46</v>
      </c>
      <c r="K688" t="s">
        <v>41</v>
      </c>
      <c r="L688" t="s">
        <v>3793</v>
      </c>
      <c r="M688" t="s">
        <v>3794</v>
      </c>
      <c r="N688" t="s">
        <v>494</v>
      </c>
      <c r="O688" t="s">
        <v>69</v>
      </c>
      <c r="P688" t="s">
        <v>3795</v>
      </c>
      <c r="Q688" s="14" t="s">
        <v>54</v>
      </c>
      <c r="R688" t="s">
        <v>3796</v>
      </c>
      <c r="S688">
        <v>1.6</v>
      </c>
      <c r="T688">
        <v>3366</v>
      </c>
      <c r="U688">
        <v>0</v>
      </c>
      <c r="V688">
        <v>3366</v>
      </c>
    </row>
    <row r="689" spans="1:22" x14ac:dyDescent="0.3">
      <c r="A689">
        <v>152577</v>
      </c>
      <c r="B689">
        <v>134886705</v>
      </c>
      <c r="C689" t="s">
        <v>3797</v>
      </c>
      <c r="D689" t="s">
        <v>3798</v>
      </c>
      <c r="E689" t="s">
        <v>3616</v>
      </c>
      <c r="F689" t="s">
        <v>491</v>
      </c>
      <c r="G689" t="s">
        <v>44</v>
      </c>
      <c r="H689" t="s">
        <v>45</v>
      </c>
      <c r="I689" t="s">
        <v>34</v>
      </c>
      <c r="J689" t="s">
        <v>46</v>
      </c>
      <c r="K689" t="s">
        <v>41</v>
      </c>
      <c r="L689" t="s">
        <v>3799</v>
      </c>
      <c r="M689" t="s">
        <v>3800</v>
      </c>
      <c r="N689" t="s">
        <v>494</v>
      </c>
      <c r="O689" t="s">
        <v>69</v>
      </c>
      <c r="P689" t="s">
        <v>3801</v>
      </c>
      <c r="Q689" s="14" t="s">
        <v>145</v>
      </c>
      <c r="R689" t="s">
        <v>3802</v>
      </c>
      <c r="S689">
        <v>2.04</v>
      </c>
      <c r="T689">
        <v>4346</v>
      </c>
      <c r="U689">
        <v>0</v>
      </c>
      <c r="V689">
        <v>4346</v>
      </c>
    </row>
    <row r="690" spans="1:22" x14ac:dyDescent="0.3">
      <c r="A690">
        <v>152577</v>
      </c>
      <c r="B690">
        <v>134886746</v>
      </c>
      <c r="C690" t="s">
        <v>3803</v>
      </c>
      <c r="D690" t="s">
        <v>3804</v>
      </c>
      <c r="E690" t="s">
        <v>3616</v>
      </c>
      <c r="F690" t="s">
        <v>491</v>
      </c>
      <c r="G690" t="s">
        <v>44</v>
      </c>
      <c r="H690" t="s">
        <v>45</v>
      </c>
      <c r="I690" t="s">
        <v>34</v>
      </c>
      <c r="J690" t="s">
        <v>46</v>
      </c>
      <c r="K690" t="s">
        <v>41</v>
      </c>
      <c r="L690" t="s">
        <v>3805</v>
      </c>
      <c r="M690" t="s">
        <v>3806</v>
      </c>
      <c r="N690" t="s">
        <v>494</v>
      </c>
      <c r="O690" t="s">
        <v>69</v>
      </c>
      <c r="P690" t="s">
        <v>3807</v>
      </c>
      <c r="Q690" s="14" t="s">
        <v>198</v>
      </c>
      <c r="R690" t="s">
        <v>3802</v>
      </c>
      <c r="S690">
        <v>0.47</v>
      </c>
      <c r="T690">
        <v>5172</v>
      </c>
      <c r="U690">
        <v>0</v>
      </c>
      <c r="V690">
        <v>5172</v>
      </c>
    </row>
    <row r="691" spans="1:22" x14ac:dyDescent="0.3">
      <c r="A691">
        <v>152577</v>
      </c>
      <c r="B691">
        <v>134927700</v>
      </c>
      <c r="C691" t="s">
        <v>3808</v>
      </c>
      <c r="D691" t="s">
        <v>3809</v>
      </c>
      <c r="E691" t="s">
        <v>3616</v>
      </c>
      <c r="F691" t="s">
        <v>491</v>
      </c>
      <c r="G691" t="s">
        <v>44</v>
      </c>
      <c r="H691" t="s">
        <v>45</v>
      </c>
      <c r="I691" t="s">
        <v>34</v>
      </c>
      <c r="J691" t="s">
        <v>46</v>
      </c>
      <c r="K691" t="s">
        <v>41</v>
      </c>
      <c r="L691" t="s">
        <v>3810</v>
      </c>
      <c r="M691" t="s">
        <v>3811</v>
      </c>
      <c r="N691" t="s">
        <v>494</v>
      </c>
      <c r="O691" t="s">
        <v>69</v>
      </c>
      <c r="P691" t="s">
        <v>3812</v>
      </c>
      <c r="Q691" s="14" t="s">
        <v>98</v>
      </c>
      <c r="R691" t="s">
        <v>409</v>
      </c>
      <c r="S691">
        <v>2.2799999999999998</v>
      </c>
      <c r="T691">
        <v>3366</v>
      </c>
      <c r="U691">
        <v>0</v>
      </c>
      <c r="V691">
        <v>3366</v>
      </c>
    </row>
    <row r="692" spans="1:22" x14ac:dyDescent="0.3">
      <c r="A692">
        <v>152577</v>
      </c>
      <c r="B692">
        <v>134886719</v>
      </c>
      <c r="C692" t="s">
        <v>3813</v>
      </c>
      <c r="D692" t="s">
        <v>3814</v>
      </c>
      <c r="E692" t="s">
        <v>3616</v>
      </c>
      <c r="F692" t="s">
        <v>491</v>
      </c>
      <c r="G692" t="s">
        <v>44</v>
      </c>
      <c r="H692" t="s">
        <v>45</v>
      </c>
      <c r="I692" t="s">
        <v>34</v>
      </c>
      <c r="J692" t="s">
        <v>46</v>
      </c>
      <c r="K692" t="s">
        <v>41</v>
      </c>
      <c r="L692" t="s">
        <v>3815</v>
      </c>
      <c r="M692" t="s">
        <v>3816</v>
      </c>
      <c r="N692" t="s">
        <v>494</v>
      </c>
      <c r="O692" t="s">
        <v>69</v>
      </c>
      <c r="P692" t="s">
        <v>3817</v>
      </c>
      <c r="Q692" s="14" t="s">
        <v>109</v>
      </c>
      <c r="R692" t="s">
        <v>3802</v>
      </c>
      <c r="S692">
        <v>2.2200000000000002</v>
      </c>
      <c r="T692">
        <v>3784</v>
      </c>
      <c r="U692">
        <v>0</v>
      </c>
      <c r="V692">
        <v>3784</v>
      </c>
    </row>
    <row r="693" spans="1:22" x14ac:dyDescent="0.3">
      <c r="A693">
        <v>152577</v>
      </c>
      <c r="B693">
        <v>134862606</v>
      </c>
      <c r="C693" t="s">
        <v>3818</v>
      </c>
      <c r="D693" t="s">
        <v>3819</v>
      </c>
      <c r="E693" t="s">
        <v>3616</v>
      </c>
      <c r="F693" t="s">
        <v>491</v>
      </c>
      <c r="G693" t="s">
        <v>44</v>
      </c>
      <c r="H693" t="s">
        <v>45</v>
      </c>
      <c r="I693" t="s">
        <v>34</v>
      </c>
      <c r="J693" t="s">
        <v>46</v>
      </c>
      <c r="K693" t="s">
        <v>41</v>
      </c>
      <c r="L693" t="s">
        <v>3820</v>
      </c>
      <c r="M693" t="s">
        <v>3821</v>
      </c>
      <c r="N693" t="s">
        <v>494</v>
      </c>
      <c r="O693" t="s">
        <v>69</v>
      </c>
      <c r="P693" t="s">
        <v>3822</v>
      </c>
      <c r="Q693" s="14" t="s">
        <v>145</v>
      </c>
      <c r="R693" t="s">
        <v>3823</v>
      </c>
      <c r="S693">
        <v>0.4</v>
      </c>
      <c r="T693">
        <v>3680</v>
      </c>
      <c r="U693">
        <v>0</v>
      </c>
      <c r="V693">
        <v>3680</v>
      </c>
    </row>
    <row r="694" spans="1:22" x14ac:dyDescent="0.3">
      <c r="A694">
        <v>152577</v>
      </c>
      <c r="B694">
        <v>134894983</v>
      </c>
      <c r="C694" t="s">
        <v>3824</v>
      </c>
      <c r="D694" t="s">
        <v>3825</v>
      </c>
      <c r="E694" t="s">
        <v>3616</v>
      </c>
      <c r="F694" t="s">
        <v>491</v>
      </c>
      <c r="G694" t="s">
        <v>44</v>
      </c>
      <c r="H694" t="s">
        <v>45</v>
      </c>
      <c r="I694" t="s">
        <v>34</v>
      </c>
      <c r="J694" t="s">
        <v>46</v>
      </c>
      <c r="K694" t="s">
        <v>41</v>
      </c>
      <c r="L694" t="s">
        <v>3826</v>
      </c>
      <c r="M694" t="s">
        <v>3827</v>
      </c>
      <c r="N694" t="s">
        <v>494</v>
      </c>
      <c r="O694" t="s">
        <v>69</v>
      </c>
      <c r="P694" t="s">
        <v>3828</v>
      </c>
      <c r="Q694" s="14" t="s">
        <v>108</v>
      </c>
      <c r="R694" t="s">
        <v>337</v>
      </c>
      <c r="S694">
        <v>0.49</v>
      </c>
      <c r="T694">
        <v>3680</v>
      </c>
      <c r="U694">
        <v>0</v>
      </c>
      <c r="V694">
        <v>3680</v>
      </c>
    </row>
    <row r="695" spans="1:22" x14ac:dyDescent="0.3">
      <c r="A695">
        <v>152577</v>
      </c>
      <c r="B695">
        <v>134796875</v>
      </c>
      <c r="C695" t="s">
        <v>3829</v>
      </c>
      <c r="D695" t="s">
        <v>3830</v>
      </c>
      <c r="E695" t="s">
        <v>3616</v>
      </c>
      <c r="F695" t="s">
        <v>491</v>
      </c>
      <c r="G695" t="s">
        <v>44</v>
      </c>
      <c r="H695" t="s">
        <v>45</v>
      </c>
      <c r="I695" t="s">
        <v>34</v>
      </c>
      <c r="J695" t="s">
        <v>46</v>
      </c>
      <c r="K695" t="s">
        <v>41</v>
      </c>
      <c r="L695" t="s">
        <v>3831</v>
      </c>
      <c r="M695" t="s">
        <v>3832</v>
      </c>
      <c r="N695" t="s">
        <v>494</v>
      </c>
      <c r="O695" t="s">
        <v>69</v>
      </c>
      <c r="P695" t="s">
        <v>3833</v>
      </c>
      <c r="Q695" s="14" t="s">
        <v>225</v>
      </c>
      <c r="R695" t="s">
        <v>314</v>
      </c>
      <c r="S695">
        <v>0.4</v>
      </c>
      <c r="T695">
        <v>5172</v>
      </c>
      <c r="U695">
        <v>0</v>
      </c>
      <c r="V695">
        <v>5172</v>
      </c>
    </row>
    <row r="696" spans="1:22" x14ac:dyDescent="0.3">
      <c r="A696">
        <v>152577</v>
      </c>
      <c r="B696">
        <v>134886692</v>
      </c>
      <c r="C696" t="s">
        <v>3834</v>
      </c>
      <c r="D696" t="s">
        <v>3835</v>
      </c>
      <c r="E696" t="s">
        <v>3616</v>
      </c>
      <c r="F696" t="s">
        <v>491</v>
      </c>
      <c r="G696" t="s">
        <v>44</v>
      </c>
      <c r="H696" t="s">
        <v>45</v>
      </c>
      <c r="I696" t="s">
        <v>34</v>
      </c>
      <c r="J696" t="s">
        <v>46</v>
      </c>
      <c r="K696" t="s">
        <v>41</v>
      </c>
      <c r="L696" t="s">
        <v>3836</v>
      </c>
      <c r="M696" t="s">
        <v>3837</v>
      </c>
      <c r="N696" t="s">
        <v>494</v>
      </c>
      <c r="O696" t="s">
        <v>69</v>
      </c>
      <c r="P696" t="s">
        <v>3838</v>
      </c>
      <c r="Q696" s="14" t="s">
        <v>75</v>
      </c>
      <c r="R696" t="s">
        <v>478</v>
      </c>
      <c r="S696">
        <v>1.28</v>
      </c>
      <c r="T696">
        <v>3335</v>
      </c>
      <c r="U696">
        <v>0</v>
      </c>
      <c r="V696">
        <v>3335</v>
      </c>
    </row>
    <row r="697" spans="1:22" x14ac:dyDescent="0.3">
      <c r="A697">
        <v>152577</v>
      </c>
      <c r="B697">
        <v>134862262</v>
      </c>
      <c r="C697" t="s">
        <v>3839</v>
      </c>
      <c r="D697" t="s">
        <v>3840</v>
      </c>
      <c r="E697" t="s">
        <v>3616</v>
      </c>
      <c r="F697" t="s">
        <v>491</v>
      </c>
      <c r="G697" t="s">
        <v>44</v>
      </c>
      <c r="H697" t="s">
        <v>45</v>
      </c>
      <c r="I697" t="s">
        <v>34</v>
      </c>
      <c r="J697" t="s">
        <v>46</v>
      </c>
      <c r="K697" t="s">
        <v>41</v>
      </c>
      <c r="L697" t="s">
        <v>3841</v>
      </c>
      <c r="M697" t="s">
        <v>3842</v>
      </c>
      <c r="N697" t="s">
        <v>494</v>
      </c>
      <c r="O697" t="s">
        <v>69</v>
      </c>
      <c r="P697" t="s">
        <v>3671</v>
      </c>
      <c r="Q697" s="14" t="s">
        <v>77</v>
      </c>
      <c r="R697" t="s">
        <v>3843</v>
      </c>
      <c r="S697">
        <v>13.85</v>
      </c>
      <c r="T697">
        <v>7031</v>
      </c>
      <c r="U697">
        <v>0</v>
      </c>
      <c r="V697">
        <v>7031</v>
      </c>
    </row>
    <row r="698" spans="1:22" x14ac:dyDescent="0.3">
      <c r="A698">
        <v>152577</v>
      </c>
      <c r="B698">
        <v>134886729</v>
      </c>
      <c r="C698" t="s">
        <v>3844</v>
      </c>
      <c r="D698" t="s">
        <v>3845</v>
      </c>
      <c r="E698" t="s">
        <v>3616</v>
      </c>
      <c r="F698" t="s">
        <v>491</v>
      </c>
      <c r="G698" t="s">
        <v>44</v>
      </c>
      <c r="H698" t="s">
        <v>45</v>
      </c>
      <c r="I698" t="s">
        <v>34</v>
      </c>
      <c r="J698" t="s">
        <v>46</v>
      </c>
      <c r="K698" t="s">
        <v>41</v>
      </c>
      <c r="L698" t="s">
        <v>3846</v>
      </c>
      <c r="M698" t="s">
        <v>3847</v>
      </c>
      <c r="N698" t="s">
        <v>494</v>
      </c>
      <c r="O698" t="s">
        <v>69</v>
      </c>
      <c r="P698" t="s">
        <v>3848</v>
      </c>
      <c r="Q698" s="14" t="s">
        <v>93</v>
      </c>
      <c r="R698" t="s">
        <v>3802</v>
      </c>
      <c r="S698">
        <v>0.4</v>
      </c>
      <c r="T698">
        <v>3680</v>
      </c>
      <c r="U698">
        <v>0</v>
      </c>
      <c r="V698">
        <v>3680</v>
      </c>
    </row>
    <row r="699" spans="1:22" x14ac:dyDescent="0.3">
      <c r="A699">
        <v>152577</v>
      </c>
      <c r="B699">
        <v>134862425</v>
      </c>
      <c r="C699" t="s">
        <v>3849</v>
      </c>
      <c r="D699" t="s">
        <v>3850</v>
      </c>
      <c r="E699" t="s">
        <v>3616</v>
      </c>
      <c r="F699" t="s">
        <v>491</v>
      </c>
      <c r="G699" t="s">
        <v>44</v>
      </c>
      <c r="H699" t="s">
        <v>45</v>
      </c>
      <c r="I699" t="s">
        <v>34</v>
      </c>
      <c r="J699" t="s">
        <v>46</v>
      </c>
      <c r="K699" t="s">
        <v>41</v>
      </c>
      <c r="L699" t="s">
        <v>3851</v>
      </c>
      <c r="M699" t="s">
        <v>3852</v>
      </c>
      <c r="N699" t="s">
        <v>494</v>
      </c>
      <c r="O699" t="s">
        <v>69</v>
      </c>
      <c r="P699" t="s">
        <v>3853</v>
      </c>
      <c r="Q699" s="14" t="s">
        <v>42</v>
      </c>
      <c r="R699" t="s">
        <v>3854</v>
      </c>
      <c r="S699">
        <v>2.23</v>
      </c>
      <c r="T699">
        <v>3501</v>
      </c>
      <c r="U699">
        <v>0</v>
      </c>
      <c r="V699">
        <v>3501</v>
      </c>
    </row>
    <row r="700" spans="1:22" x14ac:dyDescent="0.3">
      <c r="A700">
        <v>152577</v>
      </c>
      <c r="B700">
        <v>134862756</v>
      </c>
      <c r="C700" t="s">
        <v>3855</v>
      </c>
      <c r="D700" t="s">
        <v>3856</v>
      </c>
      <c r="E700" t="s">
        <v>3616</v>
      </c>
      <c r="F700" t="s">
        <v>491</v>
      </c>
      <c r="G700" t="s">
        <v>44</v>
      </c>
      <c r="H700" t="s">
        <v>45</v>
      </c>
      <c r="I700" t="s">
        <v>34</v>
      </c>
      <c r="J700" t="s">
        <v>46</v>
      </c>
      <c r="K700" t="s">
        <v>41</v>
      </c>
      <c r="L700" t="s">
        <v>3857</v>
      </c>
      <c r="M700" t="s">
        <v>3858</v>
      </c>
      <c r="N700" t="s">
        <v>494</v>
      </c>
      <c r="O700" t="s">
        <v>69</v>
      </c>
      <c r="P700" t="s">
        <v>3859</v>
      </c>
      <c r="Q700" s="14" t="s">
        <v>97</v>
      </c>
      <c r="R700" t="s">
        <v>385</v>
      </c>
      <c r="S700">
        <v>0.4</v>
      </c>
      <c r="T700">
        <v>4091</v>
      </c>
      <c r="U700">
        <v>0</v>
      </c>
      <c r="V700">
        <v>4091</v>
      </c>
    </row>
    <row r="701" spans="1:22" x14ac:dyDescent="0.3">
      <c r="A701">
        <v>152577</v>
      </c>
      <c r="B701">
        <v>134763258</v>
      </c>
      <c r="C701" t="s">
        <v>3860</v>
      </c>
      <c r="D701" t="s">
        <v>3861</v>
      </c>
      <c r="E701" t="s">
        <v>3616</v>
      </c>
      <c r="F701" t="s">
        <v>491</v>
      </c>
      <c r="G701" t="s">
        <v>44</v>
      </c>
      <c r="H701" t="s">
        <v>45</v>
      </c>
      <c r="I701" t="s">
        <v>34</v>
      </c>
      <c r="J701" t="s">
        <v>46</v>
      </c>
      <c r="K701" t="s">
        <v>41</v>
      </c>
      <c r="L701" t="s">
        <v>3862</v>
      </c>
      <c r="M701" t="s">
        <v>3768</v>
      </c>
      <c r="N701" t="s">
        <v>494</v>
      </c>
      <c r="O701" t="s">
        <v>69</v>
      </c>
      <c r="P701" t="s">
        <v>3769</v>
      </c>
      <c r="Q701" s="14" t="s">
        <v>180</v>
      </c>
      <c r="R701" t="s">
        <v>3863</v>
      </c>
      <c r="S701">
        <v>1.79</v>
      </c>
      <c r="T701">
        <v>3366</v>
      </c>
      <c r="U701">
        <v>0</v>
      </c>
      <c r="V701">
        <v>3366</v>
      </c>
    </row>
    <row r="702" spans="1:22" x14ac:dyDescent="0.3">
      <c r="A702">
        <v>152577</v>
      </c>
      <c r="B702">
        <v>134886774</v>
      </c>
      <c r="C702" t="s">
        <v>3864</v>
      </c>
      <c r="D702" t="s">
        <v>3865</v>
      </c>
      <c r="E702" t="s">
        <v>3616</v>
      </c>
      <c r="F702" t="s">
        <v>491</v>
      </c>
      <c r="G702" t="s">
        <v>44</v>
      </c>
      <c r="H702" t="s">
        <v>45</v>
      </c>
      <c r="I702" t="s">
        <v>34</v>
      </c>
      <c r="J702" t="s">
        <v>46</v>
      </c>
      <c r="K702" t="s">
        <v>41</v>
      </c>
      <c r="L702" t="s">
        <v>3866</v>
      </c>
      <c r="M702" t="s">
        <v>3867</v>
      </c>
      <c r="N702" t="s">
        <v>494</v>
      </c>
      <c r="O702" t="s">
        <v>69</v>
      </c>
      <c r="P702" t="s">
        <v>3868</v>
      </c>
      <c r="Q702" s="14" t="s">
        <v>83</v>
      </c>
      <c r="R702" t="s">
        <v>112</v>
      </c>
      <c r="S702">
        <v>0.98</v>
      </c>
      <c r="T702">
        <v>3366</v>
      </c>
      <c r="U702">
        <v>0</v>
      </c>
      <c r="V702">
        <v>3366</v>
      </c>
    </row>
    <row r="703" spans="1:22" x14ac:dyDescent="0.3">
      <c r="A703">
        <v>152577</v>
      </c>
      <c r="B703">
        <v>134886798</v>
      </c>
      <c r="C703" t="s">
        <v>3869</v>
      </c>
      <c r="D703" t="s">
        <v>3870</v>
      </c>
      <c r="E703" t="s">
        <v>3616</v>
      </c>
      <c r="F703" t="s">
        <v>491</v>
      </c>
      <c r="G703" t="s">
        <v>44</v>
      </c>
      <c r="H703" t="s">
        <v>45</v>
      </c>
      <c r="I703" t="s">
        <v>34</v>
      </c>
      <c r="J703" t="s">
        <v>46</v>
      </c>
      <c r="K703" t="s">
        <v>41</v>
      </c>
      <c r="L703" t="s">
        <v>3871</v>
      </c>
      <c r="M703" t="s">
        <v>469</v>
      </c>
      <c r="N703" t="s">
        <v>494</v>
      </c>
      <c r="O703" t="s">
        <v>69</v>
      </c>
      <c r="P703" t="s">
        <v>3872</v>
      </c>
      <c r="Q703" s="14" t="s">
        <v>86</v>
      </c>
      <c r="R703" t="s">
        <v>112</v>
      </c>
      <c r="S703">
        <v>2.0499999999999998</v>
      </c>
      <c r="T703">
        <v>3366</v>
      </c>
      <c r="U703">
        <v>0</v>
      </c>
      <c r="V703">
        <v>3366</v>
      </c>
    </row>
    <row r="704" spans="1:22" x14ac:dyDescent="0.3">
      <c r="A704">
        <v>152577</v>
      </c>
      <c r="B704">
        <v>134862489</v>
      </c>
      <c r="C704" t="s">
        <v>3873</v>
      </c>
      <c r="D704" t="s">
        <v>3874</v>
      </c>
      <c r="E704" t="s">
        <v>3616</v>
      </c>
      <c r="F704" t="s">
        <v>491</v>
      </c>
      <c r="G704" t="s">
        <v>44</v>
      </c>
      <c r="H704" t="s">
        <v>45</v>
      </c>
      <c r="I704" t="s">
        <v>34</v>
      </c>
      <c r="J704" t="s">
        <v>46</v>
      </c>
      <c r="K704" t="s">
        <v>41</v>
      </c>
      <c r="L704" t="s">
        <v>3875</v>
      </c>
      <c r="M704" t="s">
        <v>3876</v>
      </c>
      <c r="N704" t="s">
        <v>494</v>
      </c>
      <c r="O704" t="s">
        <v>69</v>
      </c>
      <c r="P704" t="s">
        <v>3877</v>
      </c>
      <c r="Q704" s="14" t="s">
        <v>83</v>
      </c>
      <c r="R704" t="s">
        <v>3878</v>
      </c>
      <c r="S704">
        <v>2.08</v>
      </c>
      <c r="T704">
        <v>3366</v>
      </c>
      <c r="U704">
        <v>0</v>
      </c>
      <c r="V704">
        <v>3366</v>
      </c>
    </row>
    <row r="705" spans="1:22" x14ac:dyDescent="0.3">
      <c r="A705">
        <v>152577</v>
      </c>
      <c r="B705">
        <v>134742562</v>
      </c>
      <c r="C705" t="s">
        <v>3879</v>
      </c>
      <c r="D705" t="s">
        <v>3880</v>
      </c>
      <c r="E705" t="s">
        <v>3616</v>
      </c>
      <c r="F705" t="s">
        <v>491</v>
      </c>
      <c r="G705" t="s">
        <v>44</v>
      </c>
      <c r="H705" t="s">
        <v>45</v>
      </c>
      <c r="I705" t="s">
        <v>34</v>
      </c>
      <c r="J705" t="s">
        <v>46</v>
      </c>
      <c r="K705" t="s">
        <v>41</v>
      </c>
      <c r="L705" t="s">
        <v>3881</v>
      </c>
      <c r="M705" t="s">
        <v>3882</v>
      </c>
      <c r="N705" t="s">
        <v>494</v>
      </c>
      <c r="O705" t="s">
        <v>69</v>
      </c>
      <c r="P705" t="s">
        <v>3883</v>
      </c>
      <c r="Q705" s="14" t="s">
        <v>176</v>
      </c>
      <c r="R705" t="s">
        <v>3884</v>
      </c>
      <c r="S705">
        <v>0.47</v>
      </c>
      <c r="T705">
        <v>3680</v>
      </c>
      <c r="U705">
        <v>0</v>
      </c>
      <c r="V705">
        <v>3680</v>
      </c>
    </row>
    <row r="706" spans="1:22" x14ac:dyDescent="0.3">
      <c r="A706">
        <v>152577</v>
      </c>
      <c r="B706">
        <v>134763309</v>
      </c>
      <c r="C706" t="s">
        <v>3885</v>
      </c>
      <c r="D706" t="s">
        <v>3886</v>
      </c>
      <c r="E706" t="s">
        <v>3616</v>
      </c>
      <c r="F706" t="s">
        <v>491</v>
      </c>
      <c r="G706" t="s">
        <v>44</v>
      </c>
      <c r="H706" t="s">
        <v>45</v>
      </c>
      <c r="I706" t="s">
        <v>34</v>
      </c>
      <c r="J706" t="s">
        <v>46</v>
      </c>
      <c r="K706" t="s">
        <v>41</v>
      </c>
      <c r="L706" t="s">
        <v>3887</v>
      </c>
      <c r="M706" t="s">
        <v>3888</v>
      </c>
      <c r="N706" t="s">
        <v>494</v>
      </c>
      <c r="O706" t="s">
        <v>69</v>
      </c>
      <c r="P706" t="s">
        <v>3889</v>
      </c>
      <c r="Q706" s="14" t="s">
        <v>178</v>
      </c>
      <c r="R706" t="s">
        <v>350</v>
      </c>
      <c r="S706">
        <v>1.91</v>
      </c>
      <c r="T706">
        <v>5476</v>
      </c>
      <c r="U706">
        <v>0</v>
      </c>
      <c r="V706">
        <v>5476</v>
      </c>
    </row>
    <row r="707" spans="1:22" x14ac:dyDescent="0.3">
      <c r="A707">
        <v>152577</v>
      </c>
      <c r="B707">
        <v>134763230</v>
      </c>
      <c r="C707" t="s">
        <v>3890</v>
      </c>
      <c r="D707" t="s">
        <v>3891</v>
      </c>
      <c r="E707" t="s">
        <v>3616</v>
      </c>
      <c r="F707" t="s">
        <v>491</v>
      </c>
      <c r="G707" t="s">
        <v>44</v>
      </c>
      <c r="H707" t="s">
        <v>45</v>
      </c>
      <c r="I707" t="s">
        <v>34</v>
      </c>
      <c r="J707" t="s">
        <v>46</v>
      </c>
      <c r="K707" t="s">
        <v>41</v>
      </c>
      <c r="L707" t="s">
        <v>3892</v>
      </c>
      <c r="M707" t="s">
        <v>477</v>
      </c>
      <c r="N707" t="s">
        <v>494</v>
      </c>
      <c r="O707" t="s">
        <v>69</v>
      </c>
      <c r="P707" t="s">
        <v>3893</v>
      </c>
      <c r="Q707" s="14" t="s">
        <v>43</v>
      </c>
      <c r="R707" t="s">
        <v>3863</v>
      </c>
      <c r="S707">
        <v>2.2799999999999998</v>
      </c>
      <c r="T707">
        <v>4067</v>
      </c>
      <c r="U707">
        <v>0</v>
      </c>
      <c r="V707">
        <v>4067</v>
      </c>
    </row>
    <row r="708" spans="1:22" x14ac:dyDescent="0.3">
      <c r="A708">
        <v>152577</v>
      </c>
      <c r="B708">
        <v>134763207</v>
      </c>
      <c r="C708" t="s">
        <v>3894</v>
      </c>
      <c r="D708" t="s">
        <v>3895</v>
      </c>
      <c r="E708" t="s">
        <v>3616</v>
      </c>
      <c r="F708" t="s">
        <v>491</v>
      </c>
      <c r="G708" t="s">
        <v>44</v>
      </c>
      <c r="H708" t="s">
        <v>45</v>
      </c>
      <c r="I708" t="s">
        <v>34</v>
      </c>
      <c r="J708" t="s">
        <v>46</v>
      </c>
      <c r="K708" t="s">
        <v>41</v>
      </c>
      <c r="L708" t="s">
        <v>255</v>
      </c>
      <c r="M708" t="s">
        <v>3896</v>
      </c>
      <c r="N708" t="s">
        <v>494</v>
      </c>
      <c r="O708" t="s">
        <v>69</v>
      </c>
      <c r="P708" t="s">
        <v>3897</v>
      </c>
      <c r="Q708" s="14" t="s">
        <v>63</v>
      </c>
      <c r="R708" t="s">
        <v>3898</v>
      </c>
      <c r="S708">
        <v>2</v>
      </c>
      <c r="T708">
        <v>4067</v>
      </c>
      <c r="U708">
        <v>0</v>
      </c>
      <c r="V708">
        <v>4067</v>
      </c>
    </row>
    <row r="709" spans="1:22" x14ac:dyDescent="0.3">
      <c r="A709">
        <v>152577</v>
      </c>
      <c r="B709">
        <v>134763291</v>
      </c>
      <c r="C709" t="s">
        <v>3899</v>
      </c>
      <c r="D709" t="s">
        <v>3900</v>
      </c>
      <c r="E709" t="s">
        <v>3616</v>
      </c>
      <c r="F709" t="s">
        <v>491</v>
      </c>
      <c r="G709" t="s">
        <v>44</v>
      </c>
      <c r="H709" t="s">
        <v>45</v>
      </c>
      <c r="I709" t="s">
        <v>34</v>
      </c>
      <c r="J709" t="s">
        <v>46</v>
      </c>
      <c r="K709" t="s">
        <v>41</v>
      </c>
      <c r="L709" t="s">
        <v>3901</v>
      </c>
      <c r="M709" t="s">
        <v>3902</v>
      </c>
      <c r="N709" t="s">
        <v>494</v>
      </c>
      <c r="O709" t="s">
        <v>69</v>
      </c>
      <c r="P709" t="s">
        <v>3903</v>
      </c>
      <c r="Q709" s="14" t="s">
        <v>43</v>
      </c>
      <c r="R709" t="s">
        <v>350</v>
      </c>
      <c r="S709">
        <v>0.4</v>
      </c>
      <c r="T709">
        <v>3680</v>
      </c>
      <c r="U709">
        <v>0</v>
      </c>
      <c r="V709">
        <v>3680</v>
      </c>
    </row>
    <row r="710" spans="1:22" x14ac:dyDescent="0.3">
      <c r="A710">
        <v>152577</v>
      </c>
      <c r="B710">
        <v>134439613</v>
      </c>
      <c r="C710" t="s">
        <v>3904</v>
      </c>
      <c r="D710" t="s">
        <v>3905</v>
      </c>
      <c r="E710" t="s">
        <v>3616</v>
      </c>
      <c r="F710" t="s">
        <v>491</v>
      </c>
      <c r="G710" t="s">
        <v>44</v>
      </c>
      <c r="H710" t="s">
        <v>45</v>
      </c>
      <c r="I710" t="s">
        <v>34</v>
      </c>
      <c r="J710" t="s">
        <v>46</v>
      </c>
      <c r="K710" t="s">
        <v>41</v>
      </c>
      <c r="L710" t="s">
        <v>3906</v>
      </c>
      <c r="M710" t="s">
        <v>298</v>
      </c>
      <c r="N710" t="s">
        <v>494</v>
      </c>
      <c r="O710" t="s">
        <v>69</v>
      </c>
      <c r="P710" t="s">
        <v>3907</v>
      </c>
      <c r="Q710" s="14" t="s">
        <v>149</v>
      </c>
      <c r="R710" t="s">
        <v>473</v>
      </c>
      <c r="S710">
        <v>0.49</v>
      </c>
      <c r="T710">
        <v>5367</v>
      </c>
      <c r="U710">
        <v>0</v>
      </c>
      <c r="V710">
        <v>5367</v>
      </c>
    </row>
    <row r="711" spans="1:22" x14ac:dyDescent="0.3">
      <c r="A711">
        <v>152577</v>
      </c>
      <c r="B711">
        <v>134815104</v>
      </c>
      <c r="C711" t="s">
        <v>3908</v>
      </c>
      <c r="D711" t="s">
        <v>3909</v>
      </c>
      <c r="E711" t="s">
        <v>3616</v>
      </c>
      <c r="F711" t="s">
        <v>491</v>
      </c>
      <c r="G711" t="s">
        <v>44</v>
      </c>
      <c r="H711" t="s">
        <v>45</v>
      </c>
      <c r="I711" t="s">
        <v>34</v>
      </c>
      <c r="J711" t="s">
        <v>46</v>
      </c>
      <c r="K711" t="s">
        <v>41</v>
      </c>
      <c r="L711" t="s">
        <v>3910</v>
      </c>
      <c r="M711" t="s">
        <v>3911</v>
      </c>
      <c r="N711" t="s">
        <v>494</v>
      </c>
      <c r="O711" t="s">
        <v>69</v>
      </c>
      <c r="P711" t="s">
        <v>3716</v>
      </c>
      <c r="Q711" s="14" t="s">
        <v>83</v>
      </c>
      <c r="R711" t="s">
        <v>3912</v>
      </c>
      <c r="S711">
        <v>1</v>
      </c>
      <c r="T711">
        <v>3366</v>
      </c>
      <c r="U711">
        <v>0</v>
      </c>
      <c r="V711">
        <v>3366</v>
      </c>
    </row>
    <row r="712" spans="1:22" x14ac:dyDescent="0.3">
      <c r="A712">
        <v>152577</v>
      </c>
      <c r="B712">
        <v>134742563</v>
      </c>
      <c r="C712" t="s">
        <v>3913</v>
      </c>
      <c r="D712" t="s">
        <v>3914</v>
      </c>
      <c r="E712" t="s">
        <v>3616</v>
      </c>
      <c r="F712" t="s">
        <v>491</v>
      </c>
      <c r="G712" t="s">
        <v>44</v>
      </c>
      <c r="H712" t="s">
        <v>45</v>
      </c>
      <c r="I712" t="s">
        <v>34</v>
      </c>
      <c r="J712" t="s">
        <v>46</v>
      </c>
      <c r="K712" t="s">
        <v>56</v>
      </c>
      <c r="L712" t="s">
        <v>57</v>
      </c>
      <c r="M712" t="s">
        <v>3915</v>
      </c>
      <c r="N712" t="s">
        <v>494</v>
      </c>
      <c r="O712" t="s">
        <v>69</v>
      </c>
      <c r="P712" t="s">
        <v>3916</v>
      </c>
      <c r="Q712" s="14" t="s">
        <v>48</v>
      </c>
      <c r="R712" t="s">
        <v>3884</v>
      </c>
      <c r="S712">
        <v>0.8</v>
      </c>
      <c r="T712">
        <v>4067</v>
      </c>
      <c r="U712">
        <v>0</v>
      </c>
      <c r="V712">
        <v>4067</v>
      </c>
    </row>
    <row r="713" spans="1:22" x14ac:dyDescent="0.3">
      <c r="A713">
        <v>152577</v>
      </c>
      <c r="B713">
        <v>134570591</v>
      </c>
      <c r="C713" t="s">
        <v>3917</v>
      </c>
      <c r="D713" t="s">
        <v>3918</v>
      </c>
      <c r="E713" t="s">
        <v>3616</v>
      </c>
      <c r="F713" t="s">
        <v>491</v>
      </c>
      <c r="G713" t="s">
        <v>44</v>
      </c>
      <c r="H713" t="s">
        <v>45</v>
      </c>
      <c r="I713" t="s">
        <v>34</v>
      </c>
      <c r="J713" t="s">
        <v>46</v>
      </c>
      <c r="K713" t="s">
        <v>41</v>
      </c>
      <c r="L713" t="s">
        <v>3919</v>
      </c>
      <c r="M713" t="s">
        <v>3920</v>
      </c>
      <c r="N713" t="s">
        <v>494</v>
      </c>
      <c r="O713" t="s">
        <v>69</v>
      </c>
      <c r="P713" t="s">
        <v>3921</v>
      </c>
      <c r="Q713" s="14" t="s">
        <v>77</v>
      </c>
      <c r="R713" t="s">
        <v>3922</v>
      </c>
      <c r="S713">
        <v>0.9</v>
      </c>
      <c r="T713">
        <v>3753</v>
      </c>
      <c r="U713">
        <v>0</v>
      </c>
      <c r="V713">
        <v>3753</v>
      </c>
    </row>
    <row r="714" spans="1:22" x14ac:dyDescent="0.3">
      <c r="A714">
        <v>152577</v>
      </c>
      <c r="B714">
        <v>134429537</v>
      </c>
      <c r="C714" t="s">
        <v>3923</v>
      </c>
      <c r="D714" t="s">
        <v>3924</v>
      </c>
      <c r="E714" t="s">
        <v>3616</v>
      </c>
      <c r="F714" t="s">
        <v>491</v>
      </c>
      <c r="G714" t="s">
        <v>44</v>
      </c>
      <c r="H714" t="s">
        <v>45</v>
      </c>
      <c r="I714" t="s">
        <v>34</v>
      </c>
      <c r="J714" t="s">
        <v>46</v>
      </c>
      <c r="K714" t="s">
        <v>41</v>
      </c>
      <c r="L714" t="s">
        <v>3925</v>
      </c>
      <c r="M714" t="s">
        <v>3926</v>
      </c>
      <c r="N714" t="s">
        <v>494</v>
      </c>
      <c r="O714" t="s">
        <v>69</v>
      </c>
      <c r="P714" t="s">
        <v>3927</v>
      </c>
      <c r="Q714" s="14" t="s">
        <v>70</v>
      </c>
      <c r="R714" t="s">
        <v>3928</v>
      </c>
      <c r="S714">
        <v>1.74</v>
      </c>
      <c r="T714">
        <v>5198</v>
      </c>
      <c r="U714">
        <v>0</v>
      </c>
      <c r="V714">
        <v>5198</v>
      </c>
    </row>
    <row r="715" spans="1:22" x14ac:dyDescent="0.3">
      <c r="A715">
        <v>152577</v>
      </c>
      <c r="B715">
        <v>134624218</v>
      </c>
      <c r="C715" t="s">
        <v>3929</v>
      </c>
      <c r="D715" t="s">
        <v>3930</v>
      </c>
      <c r="E715" t="s">
        <v>3616</v>
      </c>
      <c r="F715" t="s">
        <v>491</v>
      </c>
      <c r="G715" t="s">
        <v>44</v>
      </c>
      <c r="H715" t="s">
        <v>45</v>
      </c>
      <c r="I715" t="s">
        <v>34</v>
      </c>
      <c r="J715" t="s">
        <v>46</v>
      </c>
      <c r="K715" t="s">
        <v>41</v>
      </c>
      <c r="L715" t="s">
        <v>3931</v>
      </c>
      <c r="M715" t="s">
        <v>3932</v>
      </c>
      <c r="N715" t="s">
        <v>494</v>
      </c>
      <c r="O715" t="s">
        <v>69</v>
      </c>
      <c r="P715" t="s">
        <v>3933</v>
      </c>
      <c r="Q715" s="14" t="s">
        <v>70</v>
      </c>
      <c r="R715" t="s">
        <v>366</v>
      </c>
      <c r="S715">
        <v>1.99</v>
      </c>
      <c r="T715">
        <v>5198</v>
      </c>
      <c r="U715">
        <v>0</v>
      </c>
      <c r="V715">
        <v>5198</v>
      </c>
    </row>
    <row r="716" spans="1:22" x14ac:dyDescent="0.3">
      <c r="A716">
        <v>152577</v>
      </c>
      <c r="B716">
        <v>134741060</v>
      </c>
      <c r="C716" t="s">
        <v>3934</v>
      </c>
      <c r="D716" t="s">
        <v>3935</v>
      </c>
      <c r="E716" t="s">
        <v>3616</v>
      </c>
      <c r="F716" t="s">
        <v>491</v>
      </c>
      <c r="G716" t="s">
        <v>44</v>
      </c>
      <c r="H716" t="s">
        <v>45</v>
      </c>
      <c r="I716" t="s">
        <v>34</v>
      </c>
      <c r="J716" t="s">
        <v>46</v>
      </c>
      <c r="K716" t="s">
        <v>41</v>
      </c>
      <c r="L716" t="s">
        <v>3936</v>
      </c>
      <c r="M716" t="s">
        <v>3937</v>
      </c>
      <c r="N716" t="s">
        <v>494</v>
      </c>
      <c r="O716" t="s">
        <v>69</v>
      </c>
      <c r="P716" t="s">
        <v>3938</v>
      </c>
      <c r="Q716" s="14" t="s">
        <v>85</v>
      </c>
      <c r="R716" t="s">
        <v>309</v>
      </c>
      <c r="S716">
        <v>0.83</v>
      </c>
      <c r="T716">
        <v>3784</v>
      </c>
      <c r="U716">
        <v>0</v>
      </c>
      <c r="V716">
        <v>3784</v>
      </c>
    </row>
    <row r="717" spans="1:22" x14ac:dyDescent="0.3">
      <c r="A717">
        <v>152577</v>
      </c>
      <c r="B717">
        <v>134742566</v>
      </c>
      <c r="C717" t="s">
        <v>3939</v>
      </c>
      <c r="D717" t="s">
        <v>3940</v>
      </c>
      <c r="E717" t="s">
        <v>3616</v>
      </c>
      <c r="F717" t="s">
        <v>491</v>
      </c>
      <c r="G717" t="s">
        <v>44</v>
      </c>
      <c r="H717" t="s">
        <v>45</v>
      </c>
      <c r="I717" t="s">
        <v>34</v>
      </c>
      <c r="J717" t="s">
        <v>46</v>
      </c>
      <c r="K717" t="s">
        <v>41</v>
      </c>
      <c r="L717" t="s">
        <v>3941</v>
      </c>
      <c r="M717" t="s">
        <v>3942</v>
      </c>
      <c r="N717" t="s">
        <v>494</v>
      </c>
      <c r="O717" t="s">
        <v>69</v>
      </c>
      <c r="P717" t="s">
        <v>3943</v>
      </c>
      <c r="Q717" s="14" t="s">
        <v>220</v>
      </c>
      <c r="R717" t="s">
        <v>3884</v>
      </c>
      <c r="S717">
        <v>0.4</v>
      </c>
      <c r="T717">
        <v>4453</v>
      </c>
      <c r="U717">
        <v>0</v>
      </c>
      <c r="V717">
        <v>4453</v>
      </c>
    </row>
    <row r="718" spans="1:22" x14ac:dyDescent="0.3">
      <c r="A718">
        <v>152577</v>
      </c>
      <c r="B718">
        <v>134740860</v>
      </c>
      <c r="C718" t="s">
        <v>3944</v>
      </c>
      <c r="D718" t="s">
        <v>3945</v>
      </c>
      <c r="E718" t="s">
        <v>3616</v>
      </c>
      <c r="F718" t="s">
        <v>491</v>
      </c>
      <c r="G718" t="s">
        <v>44</v>
      </c>
      <c r="H718" t="s">
        <v>45</v>
      </c>
      <c r="I718" t="s">
        <v>34</v>
      </c>
      <c r="J718" t="s">
        <v>46</v>
      </c>
      <c r="K718" t="s">
        <v>41</v>
      </c>
      <c r="L718" t="s">
        <v>283</v>
      </c>
      <c r="M718" t="s">
        <v>3946</v>
      </c>
      <c r="N718" t="s">
        <v>494</v>
      </c>
      <c r="O718" t="s">
        <v>69</v>
      </c>
      <c r="P718" t="s">
        <v>3947</v>
      </c>
      <c r="Q718" s="14" t="s">
        <v>151</v>
      </c>
      <c r="R718" t="s">
        <v>3948</v>
      </c>
      <c r="S718">
        <v>0.49</v>
      </c>
      <c r="T718">
        <v>3299</v>
      </c>
      <c r="U718">
        <v>0</v>
      </c>
      <c r="V718">
        <v>3299</v>
      </c>
    </row>
    <row r="719" spans="1:22" x14ac:dyDescent="0.3">
      <c r="A719">
        <v>152577</v>
      </c>
      <c r="B719">
        <v>134634933</v>
      </c>
      <c r="C719" t="s">
        <v>3949</v>
      </c>
      <c r="D719" t="s">
        <v>3950</v>
      </c>
      <c r="E719" t="s">
        <v>3616</v>
      </c>
      <c r="F719" t="s">
        <v>491</v>
      </c>
      <c r="G719" t="s">
        <v>44</v>
      </c>
      <c r="H719" t="s">
        <v>45</v>
      </c>
      <c r="I719" t="s">
        <v>34</v>
      </c>
      <c r="J719" t="s">
        <v>46</v>
      </c>
      <c r="K719" t="s">
        <v>41</v>
      </c>
      <c r="L719" t="s">
        <v>3951</v>
      </c>
      <c r="M719" t="s">
        <v>3952</v>
      </c>
      <c r="N719" t="s">
        <v>494</v>
      </c>
      <c r="O719" t="s">
        <v>69</v>
      </c>
      <c r="P719" t="s">
        <v>3953</v>
      </c>
      <c r="Q719" s="14" t="s">
        <v>70</v>
      </c>
      <c r="R719" t="s">
        <v>371</v>
      </c>
      <c r="S719">
        <v>0.4</v>
      </c>
      <c r="T719">
        <v>4067</v>
      </c>
      <c r="U719">
        <v>0</v>
      </c>
      <c r="V719">
        <v>4067</v>
      </c>
    </row>
    <row r="720" spans="1:22" x14ac:dyDescent="0.3">
      <c r="A720">
        <v>152577</v>
      </c>
      <c r="B720">
        <v>134570597</v>
      </c>
      <c r="C720" t="s">
        <v>3954</v>
      </c>
      <c r="D720" t="s">
        <v>3955</v>
      </c>
      <c r="E720" t="s">
        <v>3616</v>
      </c>
      <c r="F720" t="s">
        <v>491</v>
      </c>
      <c r="G720" t="s">
        <v>44</v>
      </c>
      <c r="H720" t="s">
        <v>45</v>
      </c>
      <c r="I720" t="s">
        <v>34</v>
      </c>
      <c r="J720" t="s">
        <v>46</v>
      </c>
      <c r="K720" t="s">
        <v>41</v>
      </c>
      <c r="L720" t="s">
        <v>3956</v>
      </c>
      <c r="M720" t="s">
        <v>122</v>
      </c>
      <c r="N720" t="s">
        <v>494</v>
      </c>
      <c r="O720" t="s">
        <v>69</v>
      </c>
      <c r="P720" t="s">
        <v>3957</v>
      </c>
      <c r="Q720" s="14" t="s">
        <v>73</v>
      </c>
      <c r="R720" t="s">
        <v>3922</v>
      </c>
      <c r="S720">
        <v>0.4</v>
      </c>
      <c r="T720">
        <v>3299</v>
      </c>
      <c r="U720">
        <v>0</v>
      </c>
      <c r="V720">
        <v>3299</v>
      </c>
    </row>
    <row r="721" spans="1:22" x14ac:dyDescent="0.3">
      <c r="A721">
        <v>152577</v>
      </c>
      <c r="B721">
        <v>134570594</v>
      </c>
      <c r="C721" t="s">
        <v>3958</v>
      </c>
      <c r="D721" t="s">
        <v>3959</v>
      </c>
      <c r="E721" t="s">
        <v>3616</v>
      </c>
      <c r="F721" t="s">
        <v>491</v>
      </c>
      <c r="G721" t="s">
        <v>44</v>
      </c>
      <c r="H721" t="s">
        <v>45</v>
      </c>
      <c r="I721" t="s">
        <v>34</v>
      </c>
      <c r="J721" t="s">
        <v>46</v>
      </c>
      <c r="K721" t="s">
        <v>41</v>
      </c>
      <c r="L721" t="s">
        <v>3960</v>
      </c>
      <c r="M721" t="s">
        <v>3961</v>
      </c>
      <c r="N721" t="s">
        <v>494</v>
      </c>
      <c r="O721" t="s">
        <v>69</v>
      </c>
      <c r="P721" t="s">
        <v>3962</v>
      </c>
      <c r="Q721" s="14" t="s">
        <v>210</v>
      </c>
      <c r="R721" t="s">
        <v>3922</v>
      </c>
      <c r="S721">
        <v>0.4</v>
      </c>
      <c r="T721">
        <v>3967</v>
      </c>
      <c r="U721">
        <v>0</v>
      </c>
      <c r="V721">
        <v>3967</v>
      </c>
    </row>
    <row r="722" spans="1:22" x14ac:dyDescent="0.3">
      <c r="A722">
        <v>152577</v>
      </c>
      <c r="B722">
        <v>134634925</v>
      </c>
      <c r="C722" t="s">
        <v>3963</v>
      </c>
      <c r="D722" t="s">
        <v>3964</v>
      </c>
      <c r="E722" t="s">
        <v>3616</v>
      </c>
      <c r="F722" t="s">
        <v>491</v>
      </c>
      <c r="G722" t="s">
        <v>44</v>
      </c>
      <c r="H722" t="s">
        <v>45</v>
      </c>
      <c r="I722" t="s">
        <v>34</v>
      </c>
      <c r="J722" t="s">
        <v>46</v>
      </c>
      <c r="K722" t="s">
        <v>56</v>
      </c>
      <c r="L722" t="s">
        <v>57</v>
      </c>
      <c r="M722" t="s">
        <v>3965</v>
      </c>
      <c r="N722" t="s">
        <v>494</v>
      </c>
      <c r="O722" t="s">
        <v>69</v>
      </c>
      <c r="P722" t="s">
        <v>3966</v>
      </c>
      <c r="Q722" s="14" t="s">
        <v>101</v>
      </c>
      <c r="R722" t="s">
        <v>371</v>
      </c>
      <c r="S722">
        <v>2.83</v>
      </c>
      <c r="T722">
        <v>6729</v>
      </c>
      <c r="U722">
        <v>0</v>
      </c>
      <c r="V722">
        <v>6729</v>
      </c>
    </row>
    <row r="723" spans="1:22" x14ac:dyDescent="0.3">
      <c r="A723">
        <v>152577</v>
      </c>
      <c r="B723">
        <v>134634924</v>
      </c>
      <c r="C723" t="s">
        <v>3967</v>
      </c>
      <c r="D723" t="s">
        <v>3968</v>
      </c>
      <c r="E723" t="s">
        <v>3616</v>
      </c>
      <c r="F723" t="s">
        <v>491</v>
      </c>
      <c r="G723" t="s">
        <v>44</v>
      </c>
      <c r="H723" t="s">
        <v>45</v>
      </c>
      <c r="I723" t="s">
        <v>34</v>
      </c>
      <c r="J723" t="s">
        <v>46</v>
      </c>
      <c r="K723" t="s">
        <v>41</v>
      </c>
      <c r="L723" t="s">
        <v>3969</v>
      </c>
      <c r="M723" t="s">
        <v>3970</v>
      </c>
      <c r="N723" t="s">
        <v>494</v>
      </c>
      <c r="O723" t="s">
        <v>69</v>
      </c>
      <c r="P723" t="s">
        <v>3971</v>
      </c>
      <c r="Q723" s="14" t="s">
        <v>145</v>
      </c>
      <c r="R723" t="s">
        <v>371</v>
      </c>
      <c r="S723">
        <v>0.52</v>
      </c>
      <c r="T723">
        <v>4346</v>
      </c>
      <c r="U723">
        <v>0</v>
      </c>
      <c r="V723">
        <v>4346</v>
      </c>
    </row>
    <row r="724" spans="1:22" x14ac:dyDescent="0.3">
      <c r="A724">
        <v>152577</v>
      </c>
      <c r="B724">
        <v>134634920</v>
      </c>
      <c r="C724" t="s">
        <v>3972</v>
      </c>
      <c r="D724" t="s">
        <v>3973</v>
      </c>
      <c r="E724" t="s">
        <v>3616</v>
      </c>
      <c r="F724" t="s">
        <v>491</v>
      </c>
      <c r="G724" t="s">
        <v>44</v>
      </c>
      <c r="H724" t="s">
        <v>45</v>
      </c>
      <c r="I724" t="s">
        <v>34</v>
      </c>
      <c r="J724" t="s">
        <v>46</v>
      </c>
      <c r="K724" t="s">
        <v>41</v>
      </c>
      <c r="L724" t="s">
        <v>3974</v>
      </c>
      <c r="M724" t="s">
        <v>3975</v>
      </c>
      <c r="N724" t="s">
        <v>494</v>
      </c>
      <c r="O724" t="s">
        <v>69</v>
      </c>
      <c r="P724" t="s">
        <v>474</v>
      </c>
      <c r="Q724" s="14" t="s">
        <v>54</v>
      </c>
      <c r="R724" t="s">
        <v>323</v>
      </c>
      <c r="S724">
        <v>0.8</v>
      </c>
      <c r="T724">
        <v>3366</v>
      </c>
      <c r="U724">
        <v>0</v>
      </c>
      <c r="V724">
        <v>3366</v>
      </c>
    </row>
    <row r="725" spans="1:22" x14ac:dyDescent="0.3">
      <c r="A725">
        <v>152577</v>
      </c>
      <c r="B725">
        <v>134624219</v>
      </c>
      <c r="C725" t="s">
        <v>3976</v>
      </c>
      <c r="D725" t="s">
        <v>3977</v>
      </c>
      <c r="E725" t="s">
        <v>3616</v>
      </c>
      <c r="F725" t="s">
        <v>491</v>
      </c>
      <c r="G725" t="s">
        <v>44</v>
      </c>
      <c r="H725" t="s">
        <v>45</v>
      </c>
      <c r="I725" t="s">
        <v>34</v>
      </c>
      <c r="J725" t="s">
        <v>46</v>
      </c>
      <c r="K725" t="s">
        <v>56</v>
      </c>
      <c r="L725" t="s">
        <v>57</v>
      </c>
      <c r="M725" t="s">
        <v>3978</v>
      </c>
      <c r="N725" t="s">
        <v>494</v>
      </c>
      <c r="O725" t="s">
        <v>69</v>
      </c>
      <c r="P725" t="s">
        <v>3979</v>
      </c>
      <c r="Q725" s="14" t="s">
        <v>73</v>
      </c>
      <c r="R725" t="s">
        <v>366</v>
      </c>
      <c r="S725">
        <v>0.52</v>
      </c>
      <c r="T725">
        <v>3366</v>
      </c>
      <c r="U725">
        <v>0</v>
      </c>
      <c r="V725">
        <v>3366</v>
      </c>
    </row>
    <row r="726" spans="1:22" x14ac:dyDescent="0.3">
      <c r="A726">
        <v>152577</v>
      </c>
      <c r="B726">
        <v>134635125</v>
      </c>
      <c r="C726" t="s">
        <v>3980</v>
      </c>
      <c r="D726" t="s">
        <v>3981</v>
      </c>
      <c r="E726" t="s">
        <v>3616</v>
      </c>
      <c r="F726" t="s">
        <v>491</v>
      </c>
      <c r="G726" t="s">
        <v>44</v>
      </c>
      <c r="H726" t="s">
        <v>45</v>
      </c>
      <c r="I726" t="s">
        <v>34</v>
      </c>
      <c r="J726" t="s">
        <v>46</v>
      </c>
      <c r="K726" t="s">
        <v>41</v>
      </c>
      <c r="L726" t="s">
        <v>3982</v>
      </c>
      <c r="M726" t="s">
        <v>3983</v>
      </c>
      <c r="N726" t="s">
        <v>494</v>
      </c>
      <c r="O726" t="s">
        <v>69</v>
      </c>
      <c r="P726" t="s">
        <v>3984</v>
      </c>
      <c r="Q726" s="14" t="s">
        <v>109</v>
      </c>
      <c r="R726" t="s">
        <v>3985</v>
      </c>
      <c r="S726">
        <v>0.4</v>
      </c>
      <c r="T726">
        <v>3449</v>
      </c>
      <c r="U726">
        <v>0</v>
      </c>
      <c r="V726">
        <v>3449</v>
      </c>
    </row>
    <row r="727" spans="1:22" x14ac:dyDescent="0.3">
      <c r="A727">
        <v>152577</v>
      </c>
      <c r="B727">
        <v>134570600</v>
      </c>
      <c r="C727" t="s">
        <v>3986</v>
      </c>
      <c r="D727" t="s">
        <v>3987</v>
      </c>
      <c r="E727" t="s">
        <v>3616</v>
      </c>
      <c r="F727" t="s">
        <v>491</v>
      </c>
      <c r="G727" t="s">
        <v>44</v>
      </c>
      <c r="H727" t="s">
        <v>45</v>
      </c>
      <c r="I727" t="s">
        <v>34</v>
      </c>
      <c r="J727" t="s">
        <v>46</v>
      </c>
      <c r="K727" t="s">
        <v>41</v>
      </c>
      <c r="L727" t="s">
        <v>3988</v>
      </c>
      <c r="M727" t="s">
        <v>3989</v>
      </c>
      <c r="N727" t="s">
        <v>494</v>
      </c>
      <c r="O727" t="s">
        <v>69</v>
      </c>
      <c r="P727" t="s">
        <v>3990</v>
      </c>
      <c r="Q727" s="14" t="s">
        <v>93</v>
      </c>
      <c r="R727" t="s">
        <v>3922</v>
      </c>
      <c r="S727">
        <v>0.4</v>
      </c>
      <c r="T727">
        <v>3680</v>
      </c>
      <c r="U727">
        <v>0</v>
      </c>
      <c r="V727">
        <v>3680</v>
      </c>
    </row>
    <row r="728" spans="1:22" x14ac:dyDescent="0.3">
      <c r="A728">
        <v>152577</v>
      </c>
      <c r="B728">
        <v>135320338</v>
      </c>
      <c r="C728" t="s">
        <v>3991</v>
      </c>
      <c r="D728" t="s">
        <v>3992</v>
      </c>
      <c r="E728" t="s">
        <v>3616</v>
      </c>
      <c r="F728" t="s">
        <v>491</v>
      </c>
      <c r="G728" t="s">
        <v>104</v>
      </c>
      <c r="H728" t="s">
        <v>105</v>
      </c>
      <c r="I728" t="s">
        <v>34</v>
      </c>
      <c r="J728" t="s">
        <v>106</v>
      </c>
      <c r="K728" t="s">
        <v>41</v>
      </c>
      <c r="L728" t="s">
        <v>3993</v>
      </c>
      <c r="M728" t="s">
        <v>3994</v>
      </c>
      <c r="N728" t="s">
        <v>494</v>
      </c>
      <c r="O728" t="s">
        <v>69</v>
      </c>
      <c r="P728" t="s">
        <v>3995</v>
      </c>
      <c r="Q728" s="14" t="s">
        <v>76</v>
      </c>
      <c r="R728" t="s">
        <v>3996</v>
      </c>
      <c r="S728">
        <v>1.08</v>
      </c>
      <c r="T728">
        <v>6115</v>
      </c>
      <c r="U728">
        <v>724.85</v>
      </c>
      <c r="V728">
        <v>6839.85</v>
      </c>
    </row>
    <row r="729" spans="1:22" x14ac:dyDescent="0.3">
      <c r="A729">
        <v>152577</v>
      </c>
      <c r="B729">
        <v>134763277</v>
      </c>
      <c r="C729" t="s">
        <v>3997</v>
      </c>
      <c r="D729" t="s">
        <v>3998</v>
      </c>
      <c r="E729" t="s">
        <v>3616</v>
      </c>
      <c r="F729" t="s">
        <v>491</v>
      </c>
      <c r="G729" t="s">
        <v>104</v>
      </c>
      <c r="H729" t="s">
        <v>105</v>
      </c>
      <c r="I729" t="s">
        <v>34</v>
      </c>
      <c r="J729" t="s">
        <v>106</v>
      </c>
      <c r="K729" t="s">
        <v>41</v>
      </c>
      <c r="L729" t="s">
        <v>3999</v>
      </c>
      <c r="M729" t="s">
        <v>4000</v>
      </c>
      <c r="N729" t="s">
        <v>494</v>
      </c>
      <c r="O729" t="s">
        <v>69</v>
      </c>
      <c r="P729" t="s">
        <v>4001</v>
      </c>
      <c r="Q729" s="14" t="s">
        <v>94</v>
      </c>
      <c r="R729" t="s">
        <v>394</v>
      </c>
      <c r="S729">
        <v>0.46</v>
      </c>
      <c r="T729">
        <v>5317</v>
      </c>
      <c r="U729">
        <v>349.95</v>
      </c>
      <c r="V729">
        <v>5666.95</v>
      </c>
    </row>
    <row r="730" spans="1:22" x14ac:dyDescent="0.3">
      <c r="A730">
        <v>152577</v>
      </c>
      <c r="B730">
        <v>134862451</v>
      </c>
      <c r="C730" t="s">
        <v>4002</v>
      </c>
      <c r="D730" t="s">
        <v>4003</v>
      </c>
      <c r="E730" t="s">
        <v>3616</v>
      </c>
      <c r="F730" t="s">
        <v>491</v>
      </c>
      <c r="G730" t="s">
        <v>49</v>
      </c>
      <c r="H730" t="s">
        <v>50</v>
      </c>
      <c r="I730" t="s">
        <v>34</v>
      </c>
      <c r="J730" t="s">
        <v>51</v>
      </c>
      <c r="K730" t="s">
        <v>41</v>
      </c>
      <c r="L730" t="s">
        <v>52</v>
      </c>
      <c r="M730" t="s">
        <v>4004</v>
      </c>
      <c r="N730" t="s">
        <v>494</v>
      </c>
      <c r="O730" t="s">
        <v>69</v>
      </c>
      <c r="P730" t="s">
        <v>4005</v>
      </c>
      <c r="Q730" s="14" t="s">
        <v>143</v>
      </c>
      <c r="R730" t="s">
        <v>4006</v>
      </c>
      <c r="S730">
        <v>1.23</v>
      </c>
      <c r="T730">
        <v>3915</v>
      </c>
      <c r="U730">
        <v>0</v>
      </c>
      <c r="V730">
        <v>3915</v>
      </c>
    </row>
    <row r="731" spans="1:22" x14ac:dyDescent="0.3">
      <c r="A731">
        <v>152577</v>
      </c>
      <c r="B731">
        <v>134940016</v>
      </c>
      <c r="C731" t="s">
        <v>4007</v>
      </c>
      <c r="D731" t="s">
        <v>4008</v>
      </c>
      <c r="E731" t="s">
        <v>3616</v>
      </c>
      <c r="F731" t="s">
        <v>491</v>
      </c>
      <c r="G731" t="s">
        <v>49</v>
      </c>
      <c r="H731" t="s">
        <v>50</v>
      </c>
      <c r="I731" t="s">
        <v>34</v>
      </c>
      <c r="J731" t="s">
        <v>51</v>
      </c>
      <c r="K731" t="s">
        <v>41</v>
      </c>
      <c r="L731" t="s">
        <v>52</v>
      </c>
      <c r="M731" t="s">
        <v>4009</v>
      </c>
      <c r="N731" t="s">
        <v>494</v>
      </c>
      <c r="O731" t="s">
        <v>69</v>
      </c>
      <c r="P731" t="s">
        <v>4010</v>
      </c>
      <c r="Q731" s="14" t="s">
        <v>175</v>
      </c>
      <c r="R731" t="s">
        <v>326</v>
      </c>
      <c r="S731">
        <v>0.38</v>
      </c>
      <c r="T731">
        <v>6692</v>
      </c>
      <c r="U731">
        <v>0</v>
      </c>
      <c r="V731">
        <v>6692</v>
      </c>
    </row>
    <row r="732" spans="1:22" x14ac:dyDescent="0.3">
      <c r="A732">
        <v>152577</v>
      </c>
      <c r="B732">
        <v>134621550</v>
      </c>
      <c r="C732" t="s">
        <v>4011</v>
      </c>
      <c r="D732" t="s">
        <v>4012</v>
      </c>
      <c r="E732" t="s">
        <v>3616</v>
      </c>
      <c r="F732" t="s">
        <v>491</v>
      </c>
      <c r="G732" t="s">
        <v>49</v>
      </c>
      <c r="H732" t="s">
        <v>50</v>
      </c>
      <c r="I732" t="s">
        <v>34</v>
      </c>
      <c r="J732" t="s">
        <v>51</v>
      </c>
      <c r="K732" t="s">
        <v>41</v>
      </c>
      <c r="L732" t="s">
        <v>52</v>
      </c>
      <c r="M732" t="s">
        <v>4013</v>
      </c>
      <c r="N732" t="s">
        <v>494</v>
      </c>
      <c r="O732" t="s">
        <v>69</v>
      </c>
      <c r="P732" t="s">
        <v>4014</v>
      </c>
      <c r="Q732" s="14" t="s">
        <v>184</v>
      </c>
      <c r="R732" t="s">
        <v>4015</v>
      </c>
      <c r="S732">
        <v>2.34</v>
      </c>
      <c r="T732">
        <v>4168</v>
      </c>
      <c r="U732">
        <v>0</v>
      </c>
      <c r="V732">
        <v>4168</v>
      </c>
    </row>
    <row r="733" spans="1:22" x14ac:dyDescent="0.3">
      <c r="A733">
        <v>152577</v>
      </c>
      <c r="B733">
        <v>134568031</v>
      </c>
      <c r="C733" t="s">
        <v>4016</v>
      </c>
      <c r="D733" t="s">
        <v>4017</v>
      </c>
      <c r="E733" t="s">
        <v>3616</v>
      </c>
      <c r="F733" t="s">
        <v>491</v>
      </c>
      <c r="G733" t="s">
        <v>49</v>
      </c>
      <c r="H733" t="s">
        <v>50</v>
      </c>
      <c r="I733" t="s">
        <v>34</v>
      </c>
      <c r="J733" t="s">
        <v>51</v>
      </c>
      <c r="K733" t="s">
        <v>41</v>
      </c>
      <c r="L733" t="s">
        <v>52</v>
      </c>
      <c r="M733" t="s">
        <v>4018</v>
      </c>
      <c r="N733" t="s">
        <v>494</v>
      </c>
      <c r="O733" t="s">
        <v>69</v>
      </c>
      <c r="P733" t="s">
        <v>4019</v>
      </c>
      <c r="Q733" s="14" t="s">
        <v>80</v>
      </c>
      <c r="R733" t="s">
        <v>4020</v>
      </c>
      <c r="S733">
        <v>2.04</v>
      </c>
      <c r="T733">
        <v>4168</v>
      </c>
      <c r="U733">
        <v>0</v>
      </c>
      <c r="V733">
        <v>4168</v>
      </c>
    </row>
    <row r="734" spans="1:22" x14ac:dyDescent="0.3">
      <c r="A734">
        <v>152577</v>
      </c>
      <c r="B734">
        <v>134570582</v>
      </c>
      <c r="C734" t="s">
        <v>4021</v>
      </c>
      <c r="D734" t="s">
        <v>4022</v>
      </c>
      <c r="E734" t="s">
        <v>3616</v>
      </c>
      <c r="F734" t="s">
        <v>491</v>
      </c>
      <c r="G734" t="s">
        <v>49</v>
      </c>
      <c r="H734" t="s">
        <v>50</v>
      </c>
      <c r="I734" t="s">
        <v>34</v>
      </c>
      <c r="J734" t="s">
        <v>51</v>
      </c>
      <c r="K734" t="s">
        <v>41</v>
      </c>
      <c r="L734" t="s">
        <v>52</v>
      </c>
      <c r="M734" t="s">
        <v>4023</v>
      </c>
      <c r="N734" t="s">
        <v>494</v>
      </c>
      <c r="O734" t="s">
        <v>69</v>
      </c>
      <c r="P734" t="s">
        <v>4024</v>
      </c>
      <c r="Q734" s="14" t="s">
        <v>143</v>
      </c>
      <c r="R734" t="s">
        <v>4025</v>
      </c>
      <c r="S734">
        <v>1.26</v>
      </c>
      <c r="T734">
        <v>3915</v>
      </c>
      <c r="U734">
        <v>0</v>
      </c>
      <c r="V734">
        <v>3915</v>
      </c>
    </row>
    <row r="735" spans="1:22" x14ac:dyDescent="0.3">
      <c r="A735">
        <v>152577</v>
      </c>
      <c r="B735">
        <v>134464050</v>
      </c>
      <c r="C735" t="s">
        <v>4026</v>
      </c>
      <c r="D735" t="s">
        <v>4027</v>
      </c>
      <c r="E735" t="s">
        <v>3616</v>
      </c>
      <c r="F735" t="s">
        <v>491</v>
      </c>
      <c r="G735" t="s">
        <v>49</v>
      </c>
      <c r="H735" t="s">
        <v>50</v>
      </c>
      <c r="I735" t="s">
        <v>34</v>
      </c>
      <c r="J735" t="s">
        <v>51</v>
      </c>
      <c r="K735" t="s">
        <v>41</v>
      </c>
      <c r="L735" t="s">
        <v>52</v>
      </c>
      <c r="M735" t="s">
        <v>4028</v>
      </c>
      <c r="N735" t="s">
        <v>494</v>
      </c>
      <c r="O735" t="s">
        <v>69</v>
      </c>
      <c r="P735" t="s">
        <v>4029</v>
      </c>
      <c r="Q735" s="14" t="s">
        <v>143</v>
      </c>
      <c r="R735" t="s">
        <v>4030</v>
      </c>
      <c r="S735">
        <v>1.28</v>
      </c>
      <c r="T735">
        <v>3915</v>
      </c>
      <c r="U735">
        <v>0</v>
      </c>
      <c r="V735">
        <v>3915</v>
      </c>
    </row>
    <row r="736" spans="1:22" x14ac:dyDescent="0.3">
      <c r="A736">
        <v>187830</v>
      </c>
      <c r="B736">
        <v>134502363</v>
      </c>
      <c r="C736" t="s">
        <v>4031</v>
      </c>
      <c r="D736" t="s">
        <v>4032</v>
      </c>
      <c r="E736" t="s">
        <v>4033</v>
      </c>
      <c r="F736" t="s">
        <v>491</v>
      </c>
      <c r="G736" t="s">
        <v>44</v>
      </c>
      <c r="H736" t="s">
        <v>45</v>
      </c>
      <c r="I736" t="s">
        <v>34</v>
      </c>
      <c r="J736" t="s">
        <v>46</v>
      </c>
      <c r="K736" t="s">
        <v>56</v>
      </c>
      <c r="L736" t="s">
        <v>57</v>
      </c>
      <c r="M736" t="s">
        <v>4034</v>
      </c>
      <c r="N736" t="s">
        <v>494</v>
      </c>
      <c r="O736" t="s">
        <v>69</v>
      </c>
      <c r="P736" t="s">
        <v>4035</v>
      </c>
      <c r="Q736" s="14" t="s">
        <v>111</v>
      </c>
      <c r="R736" t="s">
        <v>4036</v>
      </c>
      <c r="S736">
        <v>2.0499999999999998</v>
      </c>
      <c r="T736">
        <v>10420.16</v>
      </c>
      <c r="U736">
        <v>0</v>
      </c>
      <c r="V736">
        <v>10420.16</v>
      </c>
    </row>
    <row r="737" spans="1:22" x14ac:dyDescent="0.3">
      <c r="A737">
        <v>187830</v>
      </c>
      <c r="B737">
        <v>135412681</v>
      </c>
      <c r="C737" t="s">
        <v>4037</v>
      </c>
      <c r="D737" t="s">
        <v>4038</v>
      </c>
      <c r="E737" t="s">
        <v>4033</v>
      </c>
      <c r="F737" t="s">
        <v>491</v>
      </c>
      <c r="G737" t="s">
        <v>44</v>
      </c>
      <c r="H737" t="s">
        <v>45</v>
      </c>
      <c r="I737" t="s">
        <v>34</v>
      </c>
      <c r="J737" t="s">
        <v>46</v>
      </c>
      <c r="K737" t="s">
        <v>41</v>
      </c>
      <c r="L737" t="s">
        <v>4039</v>
      </c>
      <c r="M737" t="s">
        <v>4040</v>
      </c>
      <c r="N737" t="s">
        <v>494</v>
      </c>
      <c r="O737" t="s">
        <v>69</v>
      </c>
      <c r="P737" t="s">
        <v>4041</v>
      </c>
      <c r="Q737" s="14" t="s">
        <v>218</v>
      </c>
      <c r="R737" t="s">
        <v>4042</v>
      </c>
      <c r="S737">
        <v>1.9</v>
      </c>
      <c r="T737">
        <v>3784</v>
      </c>
      <c r="U737">
        <v>0</v>
      </c>
      <c r="V737">
        <v>3784</v>
      </c>
    </row>
    <row r="738" spans="1:22" x14ac:dyDescent="0.3">
      <c r="A738">
        <v>187830</v>
      </c>
      <c r="B738">
        <v>135422579</v>
      </c>
      <c r="C738" t="s">
        <v>4043</v>
      </c>
      <c r="D738" t="s">
        <v>4044</v>
      </c>
      <c r="E738" t="s">
        <v>4033</v>
      </c>
      <c r="F738" t="s">
        <v>491</v>
      </c>
      <c r="G738" t="s">
        <v>44</v>
      </c>
      <c r="H738" t="s">
        <v>45</v>
      </c>
      <c r="I738" t="s">
        <v>34</v>
      </c>
      <c r="J738" t="s">
        <v>46</v>
      </c>
      <c r="K738" t="s">
        <v>41</v>
      </c>
      <c r="L738" t="s">
        <v>4045</v>
      </c>
      <c r="M738" t="s">
        <v>4046</v>
      </c>
      <c r="N738" t="s">
        <v>494</v>
      </c>
      <c r="O738" t="s">
        <v>69</v>
      </c>
      <c r="P738" t="s">
        <v>4047</v>
      </c>
      <c r="Q738" s="14" t="s">
        <v>89</v>
      </c>
      <c r="R738" t="s">
        <v>4048</v>
      </c>
      <c r="S738">
        <v>1</v>
      </c>
      <c r="T738">
        <v>3753</v>
      </c>
      <c r="U738">
        <v>0</v>
      </c>
      <c r="V738">
        <v>3753</v>
      </c>
    </row>
    <row r="739" spans="1:22" x14ac:dyDescent="0.3">
      <c r="A739">
        <v>187830</v>
      </c>
      <c r="B739">
        <v>135377155</v>
      </c>
      <c r="C739" t="s">
        <v>4049</v>
      </c>
      <c r="D739" t="s">
        <v>4050</v>
      </c>
      <c r="E739" t="s">
        <v>4033</v>
      </c>
      <c r="F739" t="s">
        <v>491</v>
      </c>
      <c r="G739" t="s">
        <v>44</v>
      </c>
      <c r="H739" t="s">
        <v>45</v>
      </c>
      <c r="I739" t="s">
        <v>34</v>
      </c>
      <c r="J739" t="s">
        <v>46</v>
      </c>
      <c r="K739" t="s">
        <v>41</v>
      </c>
      <c r="L739" t="s">
        <v>4051</v>
      </c>
      <c r="M739" t="s">
        <v>411</v>
      </c>
      <c r="N739" t="s">
        <v>494</v>
      </c>
      <c r="O739" t="s">
        <v>69</v>
      </c>
      <c r="P739" t="s">
        <v>4052</v>
      </c>
      <c r="Q739" s="14" t="s">
        <v>107</v>
      </c>
      <c r="R739" t="s">
        <v>4053</v>
      </c>
      <c r="S739">
        <v>2.52</v>
      </c>
      <c r="T739">
        <v>3784</v>
      </c>
      <c r="U739">
        <v>0</v>
      </c>
      <c r="V739">
        <v>3784</v>
      </c>
    </row>
    <row r="740" spans="1:22" x14ac:dyDescent="0.3">
      <c r="A740">
        <v>187830</v>
      </c>
      <c r="B740">
        <v>135337063</v>
      </c>
      <c r="C740" t="s">
        <v>4054</v>
      </c>
      <c r="D740" t="s">
        <v>4055</v>
      </c>
      <c r="E740" t="s">
        <v>4033</v>
      </c>
      <c r="F740" t="s">
        <v>491</v>
      </c>
      <c r="G740" t="s">
        <v>44</v>
      </c>
      <c r="H740" t="s">
        <v>45</v>
      </c>
      <c r="I740" t="s">
        <v>34</v>
      </c>
      <c r="J740" t="s">
        <v>46</v>
      </c>
      <c r="K740" t="s">
        <v>41</v>
      </c>
      <c r="L740" t="s">
        <v>4056</v>
      </c>
      <c r="M740" t="s">
        <v>4057</v>
      </c>
      <c r="N740" t="s">
        <v>494</v>
      </c>
      <c r="O740" t="s">
        <v>69</v>
      </c>
      <c r="P740" t="s">
        <v>4058</v>
      </c>
      <c r="Q740" s="14" t="s">
        <v>93</v>
      </c>
      <c r="R740" t="s">
        <v>4059</v>
      </c>
      <c r="S740">
        <v>2.92</v>
      </c>
      <c r="T740">
        <v>4067</v>
      </c>
      <c r="U740">
        <v>0</v>
      </c>
      <c r="V740">
        <v>4067</v>
      </c>
    </row>
    <row r="741" spans="1:22" x14ac:dyDescent="0.3">
      <c r="A741">
        <v>187830</v>
      </c>
      <c r="B741">
        <v>135188230</v>
      </c>
      <c r="C741" t="s">
        <v>4060</v>
      </c>
      <c r="D741" t="s">
        <v>4061</v>
      </c>
      <c r="E741" t="s">
        <v>4033</v>
      </c>
      <c r="F741" t="s">
        <v>491</v>
      </c>
      <c r="G741" t="s">
        <v>44</v>
      </c>
      <c r="H741" t="s">
        <v>45</v>
      </c>
      <c r="I741" t="s">
        <v>34</v>
      </c>
      <c r="J741" t="s">
        <v>46</v>
      </c>
      <c r="K741" t="s">
        <v>41</v>
      </c>
      <c r="L741" t="s">
        <v>4062</v>
      </c>
      <c r="M741" t="s">
        <v>4063</v>
      </c>
      <c r="N741" t="s">
        <v>494</v>
      </c>
      <c r="O741" t="s">
        <v>69</v>
      </c>
      <c r="P741" t="s">
        <v>4064</v>
      </c>
      <c r="Q741" s="14" t="s">
        <v>89</v>
      </c>
      <c r="R741" t="s">
        <v>4065</v>
      </c>
      <c r="S741">
        <v>1</v>
      </c>
      <c r="T741">
        <v>3753</v>
      </c>
      <c r="U741">
        <v>0</v>
      </c>
      <c r="V741">
        <v>3753</v>
      </c>
    </row>
    <row r="742" spans="1:22" x14ac:dyDescent="0.3">
      <c r="A742">
        <v>187830</v>
      </c>
      <c r="B742">
        <v>135271800</v>
      </c>
      <c r="C742" t="s">
        <v>4066</v>
      </c>
      <c r="D742" t="s">
        <v>4067</v>
      </c>
      <c r="E742" t="s">
        <v>4033</v>
      </c>
      <c r="F742" t="s">
        <v>491</v>
      </c>
      <c r="G742" t="s">
        <v>44</v>
      </c>
      <c r="H742" t="s">
        <v>45</v>
      </c>
      <c r="I742" t="s">
        <v>34</v>
      </c>
      <c r="J742" t="s">
        <v>46</v>
      </c>
      <c r="K742" t="s">
        <v>41</v>
      </c>
      <c r="L742" t="s">
        <v>4068</v>
      </c>
      <c r="M742" t="s">
        <v>4069</v>
      </c>
      <c r="N742" t="s">
        <v>494</v>
      </c>
      <c r="O742" t="s">
        <v>69</v>
      </c>
      <c r="P742" t="s">
        <v>4070</v>
      </c>
      <c r="Q742" s="14" t="s">
        <v>70</v>
      </c>
      <c r="R742" t="s">
        <v>4071</v>
      </c>
      <c r="S742">
        <v>1.08</v>
      </c>
      <c r="T742">
        <v>5198</v>
      </c>
      <c r="U742">
        <v>0</v>
      </c>
      <c r="V742">
        <v>5198</v>
      </c>
    </row>
    <row r="743" spans="1:22" x14ac:dyDescent="0.3">
      <c r="A743">
        <v>187830</v>
      </c>
      <c r="B743">
        <v>135315291</v>
      </c>
      <c r="C743" t="s">
        <v>4072</v>
      </c>
      <c r="D743" t="s">
        <v>4073</v>
      </c>
      <c r="E743" t="s">
        <v>4033</v>
      </c>
      <c r="F743" t="s">
        <v>491</v>
      </c>
      <c r="G743" t="s">
        <v>44</v>
      </c>
      <c r="H743" t="s">
        <v>45</v>
      </c>
      <c r="I743" t="s">
        <v>34</v>
      </c>
      <c r="J743" t="s">
        <v>46</v>
      </c>
      <c r="K743" t="s">
        <v>41</v>
      </c>
      <c r="L743" t="s">
        <v>4074</v>
      </c>
      <c r="M743" t="s">
        <v>4075</v>
      </c>
      <c r="N743" t="s">
        <v>494</v>
      </c>
      <c r="O743" t="s">
        <v>69</v>
      </c>
      <c r="P743" t="s">
        <v>4076</v>
      </c>
      <c r="Q743" s="14" t="s">
        <v>83</v>
      </c>
      <c r="R743" t="s">
        <v>261</v>
      </c>
      <c r="S743">
        <v>0.22</v>
      </c>
      <c r="T743">
        <v>3299</v>
      </c>
      <c r="U743">
        <v>0</v>
      </c>
      <c r="V743">
        <v>3299</v>
      </c>
    </row>
    <row r="744" spans="1:22" x14ac:dyDescent="0.3">
      <c r="A744">
        <v>187830</v>
      </c>
      <c r="B744">
        <v>135235808</v>
      </c>
      <c r="C744" t="s">
        <v>4077</v>
      </c>
      <c r="D744" t="s">
        <v>4078</v>
      </c>
      <c r="E744" t="s">
        <v>4033</v>
      </c>
      <c r="F744" t="s">
        <v>491</v>
      </c>
      <c r="G744" t="s">
        <v>44</v>
      </c>
      <c r="H744" t="s">
        <v>45</v>
      </c>
      <c r="I744" t="s">
        <v>34</v>
      </c>
      <c r="J744" t="s">
        <v>46</v>
      </c>
      <c r="K744" t="s">
        <v>41</v>
      </c>
      <c r="L744" t="s">
        <v>4079</v>
      </c>
      <c r="M744" t="s">
        <v>4080</v>
      </c>
      <c r="N744" t="s">
        <v>494</v>
      </c>
      <c r="O744" t="s">
        <v>69</v>
      </c>
      <c r="P744" t="s">
        <v>4081</v>
      </c>
      <c r="Q744" s="14" t="s">
        <v>182</v>
      </c>
      <c r="R744" t="s">
        <v>253</v>
      </c>
      <c r="S744">
        <v>2.13</v>
      </c>
      <c r="T744">
        <v>3784</v>
      </c>
      <c r="U744">
        <v>0</v>
      </c>
      <c r="V744">
        <v>3784</v>
      </c>
    </row>
    <row r="745" spans="1:22" x14ac:dyDescent="0.3">
      <c r="A745">
        <v>187830</v>
      </c>
      <c r="B745">
        <v>135315287</v>
      </c>
      <c r="C745" t="s">
        <v>4082</v>
      </c>
      <c r="D745" t="s">
        <v>4083</v>
      </c>
      <c r="E745" t="s">
        <v>4033</v>
      </c>
      <c r="F745" t="s">
        <v>491</v>
      </c>
      <c r="G745" t="s">
        <v>44</v>
      </c>
      <c r="H745" t="s">
        <v>45</v>
      </c>
      <c r="I745" t="s">
        <v>34</v>
      </c>
      <c r="J745" t="s">
        <v>46</v>
      </c>
      <c r="K745" t="s">
        <v>41</v>
      </c>
      <c r="L745" t="s">
        <v>4084</v>
      </c>
      <c r="M745" t="s">
        <v>4085</v>
      </c>
      <c r="N745" t="s">
        <v>494</v>
      </c>
      <c r="O745" t="s">
        <v>69</v>
      </c>
      <c r="P745" t="s">
        <v>4086</v>
      </c>
      <c r="Q745" s="14" t="s">
        <v>135</v>
      </c>
      <c r="R745" t="s">
        <v>261</v>
      </c>
      <c r="S745">
        <v>0.22</v>
      </c>
      <c r="T745">
        <v>3299</v>
      </c>
      <c r="U745">
        <v>0</v>
      </c>
      <c r="V745">
        <v>3299</v>
      </c>
    </row>
    <row r="746" spans="1:22" x14ac:dyDescent="0.3">
      <c r="A746">
        <v>187830</v>
      </c>
      <c r="B746">
        <v>135214389</v>
      </c>
      <c r="C746" t="s">
        <v>4087</v>
      </c>
      <c r="D746" t="s">
        <v>4088</v>
      </c>
      <c r="E746" t="s">
        <v>4033</v>
      </c>
      <c r="F746" t="s">
        <v>491</v>
      </c>
      <c r="G746" t="s">
        <v>44</v>
      </c>
      <c r="H746" t="s">
        <v>45</v>
      </c>
      <c r="I746" t="s">
        <v>34</v>
      </c>
      <c r="J746" t="s">
        <v>46</v>
      </c>
      <c r="K746" t="s">
        <v>41</v>
      </c>
      <c r="L746" t="s">
        <v>4089</v>
      </c>
      <c r="M746" t="s">
        <v>4090</v>
      </c>
      <c r="N746" t="s">
        <v>494</v>
      </c>
      <c r="O746" t="s">
        <v>69</v>
      </c>
      <c r="P746" t="s">
        <v>4091</v>
      </c>
      <c r="Q746" s="14" t="s">
        <v>62</v>
      </c>
      <c r="R746" t="s">
        <v>4092</v>
      </c>
      <c r="S746">
        <v>2.0099999999999998</v>
      </c>
      <c r="T746">
        <v>4067</v>
      </c>
      <c r="U746">
        <v>0</v>
      </c>
      <c r="V746">
        <v>4067</v>
      </c>
    </row>
    <row r="747" spans="1:22" x14ac:dyDescent="0.3">
      <c r="A747">
        <v>187830</v>
      </c>
      <c r="B747">
        <v>135188228</v>
      </c>
      <c r="C747" t="s">
        <v>4093</v>
      </c>
      <c r="D747" t="s">
        <v>4094</v>
      </c>
      <c r="E747" t="s">
        <v>4033</v>
      </c>
      <c r="F747" t="s">
        <v>491</v>
      </c>
      <c r="G747" t="s">
        <v>44</v>
      </c>
      <c r="H747" t="s">
        <v>45</v>
      </c>
      <c r="I747" t="s">
        <v>34</v>
      </c>
      <c r="J747" t="s">
        <v>46</v>
      </c>
      <c r="K747" t="s">
        <v>41</v>
      </c>
      <c r="L747" t="s">
        <v>4095</v>
      </c>
      <c r="M747" t="s">
        <v>4096</v>
      </c>
      <c r="N747" t="s">
        <v>494</v>
      </c>
      <c r="O747" t="s">
        <v>69</v>
      </c>
      <c r="P747" t="s">
        <v>4097</v>
      </c>
      <c r="Q747" s="14" t="s">
        <v>98</v>
      </c>
      <c r="R747" t="s">
        <v>4065</v>
      </c>
      <c r="S747">
        <v>1</v>
      </c>
      <c r="T747">
        <v>3366</v>
      </c>
      <c r="U747">
        <v>0</v>
      </c>
      <c r="V747">
        <v>3366</v>
      </c>
    </row>
    <row r="748" spans="1:22" x14ac:dyDescent="0.3">
      <c r="A748">
        <v>187830</v>
      </c>
      <c r="B748">
        <v>135214385</v>
      </c>
      <c r="C748" t="s">
        <v>4098</v>
      </c>
      <c r="D748" t="s">
        <v>4099</v>
      </c>
      <c r="E748" t="s">
        <v>4033</v>
      </c>
      <c r="F748" t="s">
        <v>491</v>
      </c>
      <c r="G748" t="s">
        <v>44</v>
      </c>
      <c r="H748" t="s">
        <v>45</v>
      </c>
      <c r="I748" t="s">
        <v>34</v>
      </c>
      <c r="J748" t="s">
        <v>46</v>
      </c>
      <c r="K748" t="s">
        <v>41</v>
      </c>
      <c r="L748" t="s">
        <v>4100</v>
      </c>
      <c r="M748" t="s">
        <v>4101</v>
      </c>
      <c r="N748" t="s">
        <v>494</v>
      </c>
      <c r="O748" t="s">
        <v>69</v>
      </c>
      <c r="P748" t="s">
        <v>4102</v>
      </c>
      <c r="Q748" s="14" t="s">
        <v>62</v>
      </c>
      <c r="R748" t="s">
        <v>4092</v>
      </c>
      <c r="S748">
        <v>1</v>
      </c>
      <c r="T748">
        <v>4067</v>
      </c>
      <c r="U748">
        <v>0</v>
      </c>
      <c r="V748">
        <v>4067</v>
      </c>
    </row>
    <row r="749" spans="1:22" x14ac:dyDescent="0.3">
      <c r="A749">
        <v>187830</v>
      </c>
      <c r="B749">
        <v>135254346</v>
      </c>
      <c r="C749" t="s">
        <v>4103</v>
      </c>
      <c r="D749" t="s">
        <v>4104</v>
      </c>
      <c r="E749" t="s">
        <v>4033</v>
      </c>
      <c r="F749" t="s">
        <v>491</v>
      </c>
      <c r="G749" t="s">
        <v>44</v>
      </c>
      <c r="H749" t="s">
        <v>45</v>
      </c>
      <c r="I749" t="s">
        <v>34</v>
      </c>
      <c r="J749" t="s">
        <v>46</v>
      </c>
      <c r="K749" t="s">
        <v>41</v>
      </c>
      <c r="L749" t="s">
        <v>4105</v>
      </c>
      <c r="M749" t="s">
        <v>4106</v>
      </c>
      <c r="N749" t="s">
        <v>494</v>
      </c>
      <c r="O749" t="s">
        <v>69</v>
      </c>
      <c r="P749" t="s">
        <v>4107</v>
      </c>
      <c r="Q749" s="14" t="s">
        <v>92</v>
      </c>
      <c r="R749" t="s">
        <v>4108</v>
      </c>
      <c r="S749">
        <v>1</v>
      </c>
      <c r="T749">
        <v>3753</v>
      </c>
      <c r="U749">
        <v>0</v>
      </c>
      <c r="V749">
        <v>3753</v>
      </c>
    </row>
    <row r="750" spans="1:22" x14ac:dyDescent="0.3">
      <c r="A750">
        <v>187830</v>
      </c>
      <c r="B750">
        <v>135214386</v>
      </c>
      <c r="C750" t="s">
        <v>4109</v>
      </c>
      <c r="D750" t="s">
        <v>4110</v>
      </c>
      <c r="E750" t="s">
        <v>4033</v>
      </c>
      <c r="F750" t="s">
        <v>491</v>
      </c>
      <c r="G750" t="s">
        <v>44</v>
      </c>
      <c r="H750" t="s">
        <v>45</v>
      </c>
      <c r="I750" t="s">
        <v>34</v>
      </c>
      <c r="J750" t="s">
        <v>46</v>
      </c>
      <c r="K750" t="s">
        <v>41</v>
      </c>
      <c r="L750" t="s">
        <v>4111</v>
      </c>
      <c r="M750" t="s">
        <v>4112</v>
      </c>
      <c r="N750" t="s">
        <v>494</v>
      </c>
      <c r="O750" t="s">
        <v>69</v>
      </c>
      <c r="P750" t="s">
        <v>4113</v>
      </c>
      <c r="Q750" s="14" t="s">
        <v>107</v>
      </c>
      <c r="R750" t="s">
        <v>4092</v>
      </c>
      <c r="S750">
        <v>1</v>
      </c>
      <c r="T750">
        <v>3784</v>
      </c>
      <c r="U750">
        <v>0</v>
      </c>
      <c r="V750">
        <v>3784</v>
      </c>
    </row>
    <row r="751" spans="1:22" x14ac:dyDescent="0.3">
      <c r="A751">
        <v>187830</v>
      </c>
      <c r="B751">
        <v>135180472</v>
      </c>
      <c r="C751" t="s">
        <v>4114</v>
      </c>
      <c r="D751" t="s">
        <v>4115</v>
      </c>
      <c r="E751" t="s">
        <v>4033</v>
      </c>
      <c r="F751" t="s">
        <v>491</v>
      </c>
      <c r="G751" t="s">
        <v>44</v>
      </c>
      <c r="H751" t="s">
        <v>45</v>
      </c>
      <c r="I751" t="s">
        <v>34</v>
      </c>
      <c r="J751" t="s">
        <v>46</v>
      </c>
      <c r="K751" t="s">
        <v>41</v>
      </c>
      <c r="L751" t="s">
        <v>4116</v>
      </c>
      <c r="M751" t="s">
        <v>4117</v>
      </c>
      <c r="N751" t="s">
        <v>494</v>
      </c>
      <c r="O751" t="s">
        <v>69</v>
      </c>
      <c r="P751" t="s">
        <v>4118</v>
      </c>
      <c r="Q751" s="14" t="s">
        <v>89</v>
      </c>
      <c r="R751" t="s">
        <v>4119</v>
      </c>
      <c r="S751">
        <v>0.22</v>
      </c>
      <c r="T751">
        <v>3680</v>
      </c>
      <c r="U751">
        <v>0</v>
      </c>
      <c r="V751">
        <v>3680</v>
      </c>
    </row>
    <row r="752" spans="1:22" x14ac:dyDescent="0.3">
      <c r="A752">
        <v>187830</v>
      </c>
      <c r="B752">
        <v>135111067</v>
      </c>
      <c r="C752" t="s">
        <v>4120</v>
      </c>
      <c r="D752" t="s">
        <v>4121</v>
      </c>
      <c r="E752" t="s">
        <v>4033</v>
      </c>
      <c r="F752" t="s">
        <v>491</v>
      </c>
      <c r="G752" t="s">
        <v>44</v>
      </c>
      <c r="H752" t="s">
        <v>45</v>
      </c>
      <c r="I752" t="s">
        <v>34</v>
      </c>
      <c r="J752" t="s">
        <v>46</v>
      </c>
      <c r="K752" t="s">
        <v>41</v>
      </c>
      <c r="L752" t="s">
        <v>4122</v>
      </c>
      <c r="M752" t="s">
        <v>4123</v>
      </c>
      <c r="N752" t="s">
        <v>494</v>
      </c>
      <c r="O752" t="s">
        <v>69</v>
      </c>
      <c r="P752" t="s">
        <v>4124</v>
      </c>
      <c r="Q752" s="14" t="s">
        <v>83</v>
      </c>
      <c r="R752" t="s">
        <v>4125</v>
      </c>
      <c r="S752">
        <v>1</v>
      </c>
      <c r="T752">
        <v>3366</v>
      </c>
      <c r="U752">
        <v>0</v>
      </c>
      <c r="V752">
        <v>3366</v>
      </c>
    </row>
    <row r="753" spans="1:22" x14ac:dyDescent="0.3">
      <c r="A753">
        <v>187830</v>
      </c>
      <c r="B753">
        <v>135145354</v>
      </c>
      <c r="C753" t="s">
        <v>4126</v>
      </c>
      <c r="D753" t="s">
        <v>4127</v>
      </c>
      <c r="E753" t="s">
        <v>4033</v>
      </c>
      <c r="F753" t="s">
        <v>491</v>
      </c>
      <c r="G753" t="s">
        <v>44</v>
      </c>
      <c r="H753" t="s">
        <v>45</v>
      </c>
      <c r="I753" t="s">
        <v>34</v>
      </c>
      <c r="J753" t="s">
        <v>46</v>
      </c>
      <c r="K753" t="s">
        <v>41</v>
      </c>
      <c r="L753" t="s">
        <v>4128</v>
      </c>
      <c r="M753" t="s">
        <v>4129</v>
      </c>
      <c r="N753" t="s">
        <v>494</v>
      </c>
      <c r="O753" t="s">
        <v>69</v>
      </c>
      <c r="P753" t="s">
        <v>4130</v>
      </c>
      <c r="Q753" s="14" t="s">
        <v>58</v>
      </c>
      <c r="R753" t="s">
        <v>4131</v>
      </c>
      <c r="S753">
        <v>1</v>
      </c>
      <c r="T753">
        <v>4346</v>
      </c>
      <c r="U753">
        <v>0</v>
      </c>
      <c r="V753">
        <v>4346</v>
      </c>
    </row>
    <row r="754" spans="1:22" x14ac:dyDescent="0.3">
      <c r="A754">
        <v>187830</v>
      </c>
      <c r="B754">
        <v>135126705</v>
      </c>
      <c r="C754" t="s">
        <v>4132</v>
      </c>
      <c r="D754" t="s">
        <v>4133</v>
      </c>
      <c r="E754" t="s">
        <v>4033</v>
      </c>
      <c r="F754" t="s">
        <v>491</v>
      </c>
      <c r="G754" t="s">
        <v>44</v>
      </c>
      <c r="H754" t="s">
        <v>45</v>
      </c>
      <c r="I754" t="s">
        <v>34</v>
      </c>
      <c r="J754" t="s">
        <v>46</v>
      </c>
      <c r="K754" t="s">
        <v>41</v>
      </c>
      <c r="L754" t="s">
        <v>4134</v>
      </c>
      <c r="M754" t="s">
        <v>4135</v>
      </c>
      <c r="N754" t="s">
        <v>494</v>
      </c>
      <c r="O754" t="s">
        <v>69</v>
      </c>
      <c r="P754" t="s">
        <v>4136</v>
      </c>
      <c r="Q754" s="14" t="s">
        <v>62</v>
      </c>
      <c r="R754" t="s">
        <v>4137</v>
      </c>
      <c r="S754">
        <v>3.17</v>
      </c>
      <c r="T754">
        <v>5111</v>
      </c>
      <c r="U754">
        <v>0</v>
      </c>
      <c r="V754">
        <v>5111</v>
      </c>
    </row>
    <row r="755" spans="1:22" x14ac:dyDescent="0.3">
      <c r="A755">
        <v>187830</v>
      </c>
      <c r="B755">
        <v>135111066</v>
      </c>
      <c r="C755" t="s">
        <v>4138</v>
      </c>
      <c r="D755" t="s">
        <v>4139</v>
      </c>
      <c r="E755" t="s">
        <v>4033</v>
      </c>
      <c r="F755" t="s">
        <v>491</v>
      </c>
      <c r="G755" t="s">
        <v>44</v>
      </c>
      <c r="H755" t="s">
        <v>45</v>
      </c>
      <c r="I755" t="s">
        <v>34</v>
      </c>
      <c r="J755" t="s">
        <v>46</v>
      </c>
      <c r="K755" t="s">
        <v>41</v>
      </c>
      <c r="L755" t="s">
        <v>4140</v>
      </c>
      <c r="M755" t="s">
        <v>4141</v>
      </c>
      <c r="N755" t="s">
        <v>494</v>
      </c>
      <c r="O755" t="s">
        <v>69</v>
      </c>
      <c r="P755" t="s">
        <v>4142</v>
      </c>
      <c r="Q755" s="14" t="s">
        <v>107</v>
      </c>
      <c r="R755" t="s">
        <v>4125</v>
      </c>
      <c r="S755">
        <v>1</v>
      </c>
      <c r="T755">
        <v>3784</v>
      </c>
      <c r="U755">
        <v>0</v>
      </c>
      <c r="V755">
        <v>3784</v>
      </c>
    </row>
    <row r="756" spans="1:22" x14ac:dyDescent="0.3">
      <c r="A756">
        <v>187830</v>
      </c>
      <c r="B756">
        <v>135126702</v>
      </c>
      <c r="C756" t="s">
        <v>4143</v>
      </c>
      <c r="D756" t="s">
        <v>4144</v>
      </c>
      <c r="E756" t="s">
        <v>4033</v>
      </c>
      <c r="F756" t="s">
        <v>491</v>
      </c>
      <c r="G756" t="s">
        <v>44</v>
      </c>
      <c r="H756" t="s">
        <v>45</v>
      </c>
      <c r="I756" t="s">
        <v>34</v>
      </c>
      <c r="J756" t="s">
        <v>46</v>
      </c>
      <c r="K756" t="s">
        <v>41</v>
      </c>
      <c r="L756" t="s">
        <v>4145</v>
      </c>
      <c r="M756" t="s">
        <v>4146</v>
      </c>
      <c r="N756" t="s">
        <v>494</v>
      </c>
      <c r="O756" t="s">
        <v>69</v>
      </c>
      <c r="P756" t="s">
        <v>4147</v>
      </c>
      <c r="Q756" s="14" t="s">
        <v>114</v>
      </c>
      <c r="R756" t="s">
        <v>4137</v>
      </c>
      <c r="S756">
        <v>3.35</v>
      </c>
      <c r="T756">
        <v>4322</v>
      </c>
      <c r="U756">
        <v>0</v>
      </c>
      <c r="V756">
        <v>4322</v>
      </c>
    </row>
    <row r="757" spans="1:22" x14ac:dyDescent="0.3">
      <c r="A757">
        <v>187830</v>
      </c>
      <c r="B757">
        <v>135091928</v>
      </c>
      <c r="C757" t="s">
        <v>4148</v>
      </c>
      <c r="D757" t="s">
        <v>4149</v>
      </c>
      <c r="E757" t="s">
        <v>4033</v>
      </c>
      <c r="F757" t="s">
        <v>491</v>
      </c>
      <c r="G757" t="s">
        <v>44</v>
      </c>
      <c r="H757" t="s">
        <v>45</v>
      </c>
      <c r="I757" t="s">
        <v>34</v>
      </c>
      <c r="J757" t="s">
        <v>46</v>
      </c>
      <c r="K757" t="s">
        <v>41</v>
      </c>
      <c r="L757" t="s">
        <v>4150</v>
      </c>
      <c r="M757" t="s">
        <v>4151</v>
      </c>
      <c r="N757" t="s">
        <v>494</v>
      </c>
      <c r="O757" t="s">
        <v>69</v>
      </c>
      <c r="P757" t="s">
        <v>4152</v>
      </c>
      <c r="Q757" s="14" t="s">
        <v>86</v>
      </c>
      <c r="R757" t="s">
        <v>262</v>
      </c>
      <c r="S757">
        <v>1</v>
      </c>
      <c r="T757">
        <v>3366</v>
      </c>
      <c r="U757">
        <v>0</v>
      </c>
      <c r="V757">
        <v>3366</v>
      </c>
    </row>
    <row r="758" spans="1:22" x14ac:dyDescent="0.3">
      <c r="A758">
        <v>187830</v>
      </c>
      <c r="B758">
        <v>135006881</v>
      </c>
      <c r="C758" t="s">
        <v>4153</v>
      </c>
      <c r="D758" t="s">
        <v>4154</v>
      </c>
      <c r="E758" t="s">
        <v>4033</v>
      </c>
      <c r="F758" t="s">
        <v>491</v>
      </c>
      <c r="G758" t="s">
        <v>44</v>
      </c>
      <c r="H758" t="s">
        <v>45</v>
      </c>
      <c r="I758" t="s">
        <v>34</v>
      </c>
      <c r="J758" t="s">
        <v>46</v>
      </c>
      <c r="K758" t="s">
        <v>41</v>
      </c>
      <c r="L758" t="s">
        <v>4155</v>
      </c>
      <c r="M758" t="s">
        <v>4156</v>
      </c>
      <c r="N758" t="s">
        <v>494</v>
      </c>
      <c r="O758" t="s">
        <v>69</v>
      </c>
      <c r="P758" t="s">
        <v>4157</v>
      </c>
      <c r="Q758" s="14" t="s">
        <v>70</v>
      </c>
      <c r="R758" t="s">
        <v>341</v>
      </c>
      <c r="S758">
        <v>1.33</v>
      </c>
      <c r="T758">
        <v>5198</v>
      </c>
      <c r="U758">
        <v>0</v>
      </c>
      <c r="V758">
        <v>5198</v>
      </c>
    </row>
    <row r="759" spans="1:22" x14ac:dyDescent="0.3">
      <c r="A759">
        <v>187830</v>
      </c>
      <c r="B759">
        <v>135091932</v>
      </c>
      <c r="C759" t="s">
        <v>4158</v>
      </c>
      <c r="D759" t="s">
        <v>4159</v>
      </c>
      <c r="E759" t="s">
        <v>4033</v>
      </c>
      <c r="F759" t="s">
        <v>491</v>
      </c>
      <c r="G759" t="s">
        <v>44</v>
      </c>
      <c r="H759" t="s">
        <v>45</v>
      </c>
      <c r="I759" t="s">
        <v>34</v>
      </c>
      <c r="J759" t="s">
        <v>46</v>
      </c>
      <c r="K759" t="s">
        <v>41</v>
      </c>
      <c r="L759" t="s">
        <v>4160</v>
      </c>
      <c r="M759" t="s">
        <v>4161</v>
      </c>
      <c r="N759" t="s">
        <v>494</v>
      </c>
      <c r="O759" t="s">
        <v>69</v>
      </c>
      <c r="P759" t="s">
        <v>4162</v>
      </c>
      <c r="Q759" s="14" t="s">
        <v>58</v>
      </c>
      <c r="R759" t="s">
        <v>262</v>
      </c>
      <c r="S759">
        <v>2.21</v>
      </c>
      <c r="T759">
        <v>4346</v>
      </c>
      <c r="U759">
        <v>0</v>
      </c>
      <c r="V759">
        <v>4346</v>
      </c>
    </row>
    <row r="760" spans="1:22" x14ac:dyDescent="0.3">
      <c r="A760">
        <v>187830</v>
      </c>
      <c r="B760">
        <v>135051590</v>
      </c>
      <c r="C760" t="s">
        <v>4163</v>
      </c>
      <c r="D760" t="s">
        <v>4164</v>
      </c>
      <c r="E760" t="s">
        <v>4033</v>
      </c>
      <c r="F760" t="s">
        <v>491</v>
      </c>
      <c r="G760" t="s">
        <v>44</v>
      </c>
      <c r="H760" t="s">
        <v>45</v>
      </c>
      <c r="I760" t="s">
        <v>34</v>
      </c>
      <c r="J760" t="s">
        <v>46</v>
      </c>
      <c r="K760" t="s">
        <v>41</v>
      </c>
      <c r="L760" t="s">
        <v>4165</v>
      </c>
      <c r="M760" t="s">
        <v>4166</v>
      </c>
      <c r="N760" t="s">
        <v>494</v>
      </c>
      <c r="O760" t="s">
        <v>69</v>
      </c>
      <c r="P760" t="s">
        <v>4167</v>
      </c>
      <c r="Q760" s="14" t="s">
        <v>145</v>
      </c>
      <c r="R760" t="s">
        <v>405</v>
      </c>
      <c r="S760">
        <v>3.35</v>
      </c>
      <c r="T760">
        <v>5376</v>
      </c>
      <c r="U760">
        <v>0</v>
      </c>
      <c r="V760">
        <v>5376</v>
      </c>
    </row>
    <row r="761" spans="1:22" x14ac:dyDescent="0.3">
      <c r="A761">
        <v>187830</v>
      </c>
      <c r="B761">
        <v>134982111</v>
      </c>
      <c r="C761" t="s">
        <v>4168</v>
      </c>
      <c r="D761" t="s">
        <v>4169</v>
      </c>
      <c r="E761" t="s">
        <v>4033</v>
      </c>
      <c r="F761" t="s">
        <v>491</v>
      </c>
      <c r="G761" t="s">
        <v>44</v>
      </c>
      <c r="H761" t="s">
        <v>45</v>
      </c>
      <c r="I761" t="s">
        <v>34</v>
      </c>
      <c r="J761" t="s">
        <v>46</v>
      </c>
      <c r="K761" t="s">
        <v>41</v>
      </c>
      <c r="L761" t="s">
        <v>4170</v>
      </c>
      <c r="M761" t="s">
        <v>4171</v>
      </c>
      <c r="N761" t="s">
        <v>494</v>
      </c>
      <c r="O761" t="s">
        <v>69</v>
      </c>
      <c r="P761" t="s">
        <v>4172</v>
      </c>
      <c r="Q761" s="14" t="s">
        <v>185</v>
      </c>
      <c r="R761" t="s">
        <v>4173</v>
      </c>
      <c r="S761">
        <v>1.1100000000000001</v>
      </c>
      <c r="T761">
        <v>4346</v>
      </c>
      <c r="U761">
        <v>0</v>
      </c>
      <c r="V761">
        <v>4346</v>
      </c>
    </row>
    <row r="762" spans="1:22" x14ac:dyDescent="0.3">
      <c r="A762">
        <v>187830</v>
      </c>
      <c r="B762">
        <v>135051593</v>
      </c>
      <c r="C762" t="s">
        <v>4174</v>
      </c>
      <c r="D762" t="s">
        <v>4175</v>
      </c>
      <c r="E762" t="s">
        <v>4033</v>
      </c>
      <c r="F762" t="s">
        <v>491</v>
      </c>
      <c r="G762" t="s">
        <v>44</v>
      </c>
      <c r="H762" t="s">
        <v>45</v>
      </c>
      <c r="I762" t="s">
        <v>34</v>
      </c>
      <c r="J762" t="s">
        <v>46</v>
      </c>
      <c r="K762" t="s">
        <v>41</v>
      </c>
      <c r="L762" t="s">
        <v>4176</v>
      </c>
      <c r="M762" t="s">
        <v>4177</v>
      </c>
      <c r="N762" t="s">
        <v>494</v>
      </c>
      <c r="O762" t="s">
        <v>69</v>
      </c>
      <c r="P762" t="s">
        <v>4178</v>
      </c>
      <c r="Q762" s="14" t="s">
        <v>107</v>
      </c>
      <c r="R762" t="s">
        <v>405</v>
      </c>
      <c r="S762">
        <v>1.61</v>
      </c>
      <c r="T762">
        <v>3784</v>
      </c>
      <c r="U762">
        <v>0</v>
      </c>
      <c r="V762">
        <v>3784</v>
      </c>
    </row>
    <row r="763" spans="1:22" x14ac:dyDescent="0.3">
      <c r="A763">
        <v>187830</v>
      </c>
      <c r="B763">
        <v>135051597</v>
      </c>
      <c r="C763" t="s">
        <v>4179</v>
      </c>
      <c r="D763" t="s">
        <v>4180</v>
      </c>
      <c r="E763" t="s">
        <v>4033</v>
      </c>
      <c r="F763" t="s">
        <v>491</v>
      </c>
      <c r="G763" t="s">
        <v>44</v>
      </c>
      <c r="H763" t="s">
        <v>45</v>
      </c>
      <c r="I763" t="s">
        <v>34</v>
      </c>
      <c r="J763" t="s">
        <v>46</v>
      </c>
      <c r="K763" t="s">
        <v>41</v>
      </c>
      <c r="L763" t="s">
        <v>4181</v>
      </c>
      <c r="M763" t="s">
        <v>4182</v>
      </c>
      <c r="N763" t="s">
        <v>494</v>
      </c>
      <c r="O763" t="s">
        <v>69</v>
      </c>
      <c r="P763" t="s">
        <v>4183</v>
      </c>
      <c r="Q763" s="14" t="s">
        <v>83</v>
      </c>
      <c r="R763" t="s">
        <v>405</v>
      </c>
      <c r="S763">
        <v>1.94</v>
      </c>
      <c r="T763">
        <v>3366</v>
      </c>
      <c r="U763">
        <v>0</v>
      </c>
      <c r="V763">
        <v>3366</v>
      </c>
    </row>
    <row r="764" spans="1:22" x14ac:dyDescent="0.3">
      <c r="A764">
        <v>187830</v>
      </c>
      <c r="B764">
        <v>135091929</v>
      </c>
      <c r="C764" t="s">
        <v>4184</v>
      </c>
      <c r="D764" t="s">
        <v>4185</v>
      </c>
      <c r="E764" t="s">
        <v>4033</v>
      </c>
      <c r="F764" t="s">
        <v>491</v>
      </c>
      <c r="G764" t="s">
        <v>44</v>
      </c>
      <c r="H764" t="s">
        <v>45</v>
      </c>
      <c r="I764" t="s">
        <v>34</v>
      </c>
      <c r="J764" t="s">
        <v>46</v>
      </c>
      <c r="K764" t="s">
        <v>41</v>
      </c>
      <c r="L764" t="s">
        <v>4186</v>
      </c>
      <c r="M764" t="s">
        <v>4187</v>
      </c>
      <c r="N764" t="s">
        <v>494</v>
      </c>
      <c r="O764" t="s">
        <v>69</v>
      </c>
      <c r="P764" t="s">
        <v>4188</v>
      </c>
      <c r="Q764" s="14" t="s">
        <v>85</v>
      </c>
      <c r="R764" t="s">
        <v>262</v>
      </c>
      <c r="S764">
        <v>2.21</v>
      </c>
      <c r="T764">
        <v>3784</v>
      </c>
      <c r="U764">
        <v>0</v>
      </c>
      <c r="V764">
        <v>3784</v>
      </c>
    </row>
    <row r="765" spans="1:22" x14ac:dyDescent="0.3">
      <c r="A765">
        <v>187830</v>
      </c>
      <c r="B765">
        <v>134982113</v>
      </c>
      <c r="C765" t="s">
        <v>4189</v>
      </c>
      <c r="D765" t="s">
        <v>4190</v>
      </c>
      <c r="E765" t="s">
        <v>4033</v>
      </c>
      <c r="F765" t="s">
        <v>491</v>
      </c>
      <c r="G765" t="s">
        <v>44</v>
      </c>
      <c r="H765" t="s">
        <v>45</v>
      </c>
      <c r="I765" t="s">
        <v>34</v>
      </c>
      <c r="J765" t="s">
        <v>46</v>
      </c>
      <c r="K765" t="s">
        <v>41</v>
      </c>
      <c r="L765" t="s">
        <v>4191</v>
      </c>
      <c r="M765" t="s">
        <v>4192</v>
      </c>
      <c r="N765" t="s">
        <v>494</v>
      </c>
      <c r="O765" t="s">
        <v>69</v>
      </c>
      <c r="P765" t="s">
        <v>4193</v>
      </c>
      <c r="Q765" s="14" t="s">
        <v>89</v>
      </c>
      <c r="R765" t="s">
        <v>332</v>
      </c>
      <c r="S765">
        <v>1.24</v>
      </c>
      <c r="T765">
        <v>3753</v>
      </c>
      <c r="U765">
        <v>0</v>
      </c>
      <c r="V765">
        <v>3753</v>
      </c>
    </row>
    <row r="766" spans="1:22" x14ac:dyDescent="0.3">
      <c r="A766">
        <v>187830</v>
      </c>
      <c r="B766">
        <v>135091931</v>
      </c>
      <c r="C766" t="s">
        <v>4194</v>
      </c>
      <c r="D766" t="s">
        <v>4195</v>
      </c>
      <c r="E766" t="s">
        <v>4033</v>
      </c>
      <c r="F766" t="s">
        <v>491</v>
      </c>
      <c r="G766" t="s">
        <v>44</v>
      </c>
      <c r="H766" t="s">
        <v>45</v>
      </c>
      <c r="I766" t="s">
        <v>34</v>
      </c>
      <c r="J766" t="s">
        <v>46</v>
      </c>
      <c r="K766" t="s">
        <v>41</v>
      </c>
      <c r="L766" t="s">
        <v>4196</v>
      </c>
      <c r="M766" t="s">
        <v>4197</v>
      </c>
      <c r="N766" t="s">
        <v>494</v>
      </c>
      <c r="O766" t="s">
        <v>69</v>
      </c>
      <c r="P766" t="s">
        <v>4198</v>
      </c>
      <c r="Q766" s="14" t="s">
        <v>109</v>
      </c>
      <c r="R766" t="s">
        <v>262</v>
      </c>
      <c r="S766">
        <v>2.25</v>
      </c>
      <c r="T766">
        <v>3784</v>
      </c>
      <c r="U766">
        <v>0</v>
      </c>
      <c r="V766">
        <v>3784</v>
      </c>
    </row>
    <row r="767" spans="1:22" x14ac:dyDescent="0.3">
      <c r="A767">
        <v>187830</v>
      </c>
      <c r="B767">
        <v>135032205</v>
      </c>
      <c r="C767" t="s">
        <v>4199</v>
      </c>
      <c r="D767" t="s">
        <v>4200</v>
      </c>
      <c r="E767" t="s">
        <v>4033</v>
      </c>
      <c r="F767" t="s">
        <v>491</v>
      </c>
      <c r="G767" t="s">
        <v>44</v>
      </c>
      <c r="H767" t="s">
        <v>45</v>
      </c>
      <c r="I767" t="s">
        <v>34</v>
      </c>
      <c r="J767" t="s">
        <v>46</v>
      </c>
      <c r="K767" t="s">
        <v>41</v>
      </c>
      <c r="L767" t="s">
        <v>4201</v>
      </c>
      <c r="M767" t="s">
        <v>433</v>
      </c>
      <c r="N767" t="s">
        <v>494</v>
      </c>
      <c r="O767" t="s">
        <v>69</v>
      </c>
      <c r="P767" t="s">
        <v>4202</v>
      </c>
      <c r="Q767" s="14" t="s">
        <v>83</v>
      </c>
      <c r="R767" t="s">
        <v>382</v>
      </c>
      <c r="S767">
        <v>0.75</v>
      </c>
      <c r="T767">
        <v>3366</v>
      </c>
      <c r="U767">
        <v>0</v>
      </c>
      <c r="V767">
        <v>3366</v>
      </c>
    </row>
    <row r="768" spans="1:22" x14ac:dyDescent="0.3">
      <c r="A768">
        <v>187830</v>
      </c>
      <c r="B768">
        <v>134982108</v>
      </c>
      <c r="C768" t="s">
        <v>4203</v>
      </c>
      <c r="D768" t="s">
        <v>4204</v>
      </c>
      <c r="E768" t="s">
        <v>4033</v>
      </c>
      <c r="F768" t="s">
        <v>491</v>
      </c>
      <c r="G768" t="s">
        <v>44</v>
      </c>
      <c r="H768" t="s">
        <v>45</v>
      </c>
      <c r="I768" t="s">
        <v>34</v>
      </c>
      <c r="J768" t="s">
        <v>46</v>
      </c>
      <c r="K768" t="s">
        <v>41</v>
      </c>
      <c r="L768" t="s">
        <v>4205</v>
      </c>
      <c r="M768" t="s">
        <v>4206</v>
      </c>
      <c r="N768" t="s">
        <v>494</v>
      </c>
      <c r="O768" t="s">
        <v>69</v>
      </c>
      <c r="P768" t="s">
        <v>4207</v>
      </c>
      <c r="Q768" s="14" t="s">
        <v>55</v>
      </c>
      <c r="R768" t="s">
        <v>4173</v>
      </c>
      <c r="S768">
        <v>0.97</v>
      </c>
      <c r="T768">
        <v>3870</v>
      </c>
      <c r="U768">
        <v>0</v>
      </c>
      <c r="V768">
        <v>3870</v>
      </c>
    </row>
    <row r="769" spans="1:22" x14ac:dyDescent="0.3">
      <c r="A769">
        <v>187830</v>
      </c>
      <c r="B769">
        <v>135006883</v>
      </c>
      <c r="C769" t="s">
        <v>4208</v>
      </c>
      <c r="D769" t="s">
        <v>4209</v>
      </c>
      <c r="E769" t="s">
        <v>4033</v>
      </c>
      <c r="F769" t="s">
        <v>491</v>
      </c>
      <c r="G769" t="s">
        <v>44</v>
      </c>
      <c r="H769" t="s">
        <v>45</v>
      </c>
      <c r="I769" t="s">
        <v>34</v>
      </c>
      <c r="J769" t="s">
        <v>46</v>
      </c>
      <c r="K769" t="s">
        <v>41</v>
      </c>
      <c r="L769" t="s">
        <v>4210</v>
      </c>
      <c r="M769" t="s">
        <v>4211</v>
      </c>
      <c r="N769" t="s">
        <v>494</v>
      </c>
      <c r="O769" t="s">
        <v>69</v>
      </c>
      <c r="P769" t="s">
        <v>4212</v>
      </c>
      <c r="Q769" s="14" t="s">
        <v>92</v>
      </c>
      <c r="R769" t="s">
        <v>341</v>
      </c>
      <c r="S769">
        <v>0.98</v>
      </c>
      <c r="T769">
        <v>3753</v>
      </c>
      <c r="U769">
        <v>0</v>
      </c>
      <c r="V769">
        <v>3753</v>
      </c>
    </row>
    <row r="770" spans="1:22" x14ac:dyDescent="0.3">
      <c r="A770">
        <v>187830</v>
      </c>
      <c r="B770">
        <v>135006880</v>
      </c>
      <c r="C770" t="s">
        <v>4213</v>
      </c>
      <c r="D770" t="s">
        <v>4214</v>
      </c>
      <c r="E770" t="s">
        <v>4033</v>
      </c>
      <c r="F770" t="s">
        <v>491</v>
      </c>
      <c r="G770" t="s">
        <v>44</v>
      </c>
      <c r="H770" t="s">
        <v>45</v>
      </c>
      <c r="I770" t="s">
        <v>34</v>
      </c>
      <c r="J770" t="s">
        <v>46</v>
      </c>
      <c r="K770" t="s">
        <v>41</v>
      </c>
      <c r="L770" t="s">
        <v>4215</v>
      </c>
      <c r="M770" t="s">
        <v>4216</v>
      </c>
      <c r="N770" t="s">
        <v>494</v>
      </c>
      <c r="O770" t="s">
        <v>69</v>
      </c>
      <c r="P770" t="s">
        <v>4217</v>
      </c>
      <c r="Q770" s="14" t="s">
        <v>60</v>
      </c>
      <c r="R770" t="s">
        <v>341</v>
      </c>
      <c r="S770">
        <v>3.47</v>
      </c>
      <c r="T770">
        <v>8008</v>
      </c>
      <c r="U770">
        <v>0</v>
      </c>
      <c r="V770">
        <v>8008</v>
      </c>
    </row>
    <row r="771" spans="1:22" x14ac:dyDescent="0.3">
      <c r="A771">
        <v>187830</v>
      </c>
      <c r="B771">
        <v>134329275</v>
      </c>
      <c r="C771" t="s">
        <v>4218</v>
      </c>
      <c r="D771" t="s">
        <v>4219</v>
      </c>
      <c r="E771" t="s">
        <v>4033</v>
      </c>
      <c r="F771" t="s">
        <v>491</v>
      </c>
      <c r="G771" t="s">
        <v>44</v>
      </c>
      <c r="H771" t="s">
        <v>45</v>
      </c>
      <c r="I771" t="s">
        <v>34</v>
      </c>
      <c r="J771" t="s">
        <v>46</v>
      </c>
      <c r="K771" t="s">
        <v>41</v>
      </c>
      <c r="L771" t="s">
        <v>4220</v>
      </c>
      <c r="M771" t="s">
        <v>4161</v>
      </c>
      <c r="N771" t="s">
        <v>494</v>
      </c>
      <c r="O771" t="s">
        <v>69</v>
      </c>
      <c r="P771" t="s">
        <v>4162</v>
      </c>
      <c r="Q771" s="14" t="s">
        <v>58</v>
      </c>
      <c r="R771" t="s">
        <v>4221</v>
      </c>
      <c r="S771">
        <v>1.03</v>
      </c>
      <c r="T771">
        <v>4346</v>
      </c>
      <c r="U771">
        <v>0</v>
      </c>
      <c r="V771">
        <v>4346</v>
      </c>
    </row>
    <row r="772" spans="1:22" x14ac:dyDescent="0.3">
      <c r="A772">
        <v>187830</v>
      </c>
      <c r="B772">
        <v>134941205</v>
      </c>
      <c r="C772" t="s">
        <v>4222</v>
      </c>
      <c r="D772" t="s">
        <v>4223</v>
      </c>
      <c r="E772" t="s">
        <v>4033</v>
      </c>
      <c r="F772" t="s">
        <v>491</v>
      </c>
      <c r="G772" t="s">
        <v>44</v>
      </c>
      <c r="H772" t="s">
        <v>45</v>
      </c>
      <c r="I772" t="s">
        <v>34</v>
      </c>
      <c r="J772" t="s">
        <v>46</v>
      </c>
      <c r="K772" t="s">
        <v>41</v>
      </c>
      <c r="L772" t="s">
        <v>4224</v>
      </c>
      <c r="M772" t="s">
        <v>4225</v>
      </c>
      <c r="N772" t="s">
        <v>494</v>
      </c>
      <c r="O772" t="s">
        <v>69</v>
      </c>
      <c r="P772" t="s">
        <v>4226</v>
      </c>
      <c r="Q772" s="14" t="s">
        <v>85</v>
      </c>
      <c r="R772" t="s">
        <v>4227</v>
      </c>
      <c r="S772">
        <v>0.82</v>
      </c>
      <c r="T772">
        <v>3784</v>
      </c>
      <c r="U772">
        <v>0</v>
      </c>
      <c r="V772">
        <v>3784</v>
      </c>
    </row>
    <row r="773" spans="1:22" x14ac:dyDescent="0.3">
      <c r="A773">
        <v>187830</v>
      </c>
      <c r="B773">
        <v>134952327</v>
      </c>
      <c r="C773" t="s">
        <v>4228</v>
      </c>
      <c r="D773" t="s">
        <v>4229</v>
      </c>
      <c r="E773" t="s">
        <v>4033</v>
      </c>
      <c r="F773" t="s">
        <v>491</v>
      </c>
      <c r="G773" t="s">
        <v>44</v>
      </c>
      <c r="H773" t="s">
        <v>45</v>
      </c>
      <c r="I773" t="s">
        <v>34</v>
      </c>
      <c r="J773" t="s">
        <v>46</v>
      </c>
      <c r="K773" t="s">
        <v>41</v>
      </c>
      <c r="L773" t="s">
        <v>4230</v>
      </c>
      <c r="M773" t="s">
        <v>4231</v>
      </c>
      <c r="N773" t="s">
        <v>494</v>
      </c>
      <c r="O773" t="s">
        <v>69</v>
      </c>
      <c r="P773" t="s">
        <v>4232</v>
      </c>
      <c r="Q773" s="14" t="s">
        <v>93</v>
      </c>
      <c r="R773" t="s">
        <v>4233</v>
      </c>
      <c r="S773">
        <v>1.52</v>
      </c>
      <c r="T773">
        <v>4067</v>
      </c>
      <c r="U773">
        <v>0</v>
      </c>
      <c r="V773">
        <v>4067</v>
      </c>
    </row>
    <row r="774" spans="1:22" x14ac:dyDescent="0.3">
      <c r="A774">
        <v>187830</v>
      </c>
      <c r="B774">
        <v>134100835</v>
      </c>
      <c r="C774" t="s">
        <v>4234</v>
      </c>
      <c r="D774" t="s">
        <v>4235</v>
      </c>
      <c r="E774" t="s">
        <v>4033</v>
      </c>
      <c r="F774" t="s">
        <v>491</v>
      </c>
      <c r="G774" t="s">
        <v>44</v>
      </c>
      <c r="H774" t="s">
        <v>45</v>
      </c>
      <c r="I774" t="s">
        <v>34</v>
      </c>
      <c r="J774" t="s">
        <v>46</v>
      </c>
      <c r="K774" t="s">
        <v>41</v>
      </c>
      <c r="L774" t="s">
        <v>4236</v>
      </c>
      <c r="M774" t="s">
        <v>4237</v>
      </c>
      <c r="N774" t="s">
        <v>494</v>
      </c>
      <c r="O774" t="s">
        <v>69</v>
      </c>
      <c r="P774" t="s">
        <v>4238</v>
      </c>
      <c r="Q774" s="14" t="s">
        <v>149</v>
      </c>
      <c r="R774" t="s">
        <v>4239</v>
      </c>
      <c r="S774">
        <v>1</v>
      </c>
      <c r="T774">
        <v>5759</v>
      </c>
      <c r="U774">
        <v>0</v>
      </c>
      <c r="V774">
        <v>5759</v>
      </c>
    </row>
    <row r="775" spans="1:22" x14ac:dyDescent="0.3">
      <c r="A775">
        <v>187830</v>
      </c>
      <c r="B775">
        <v>134921047</v>
      </c>
      <c r="C775" t="s">
        <v>4240</v>
      </c>
      <c r="D775" t="s">
        <v>4241</v>
      </c>
      <c r="E775" t="s">
        <v>4033</v>
      </c>
      <c r="F775" t="s">
        <v>491</v>
      </c>
      <c r="G775" t="s">
        <v>44</v>
      </c>
      <c r="H775" t="s">
        <v>45</v>
      </c>
      <c r="I775" t="s">
        <v>34</v>
      </c>
      <c r="J775" t="s">
        <v>46</v>
      </c>
      <c r="K775" t="s">
        <v>41</v>
      </c>
      <c r="L775" t="s">
        <v>4242</v>
      </c>
      <c r="M775" t="s">
        <v>4243</v>
      </c>
      <c r="N775" t="s">
        <v>494</v>
      </c>
      <c r="O775" t="s">
        <v>69</v>
      </c>
      <c r="P775" t="s">
        <v>4244</v>
      </c>
      <c r="Q775" s="14" t="s">
        <v>164</v>
      </c>
      <c r="R775" t="s">
        <v>311</v>
      </c>
      <c r="S775">
        <v>0.22</v>
      </c>
      <c r="T775">
        <v>3680</v>
      </c>
      <c r="U775">
        <v>0</v>
      </c>
      <c r="V775">
        <v>3680</v>
      </c>
    </row>
    <row r="776" spans="1:22" x14ac:dyDescent="0.3">
      <c r="A776">
        <v>187830</v>
      </c>
      <c r="B776">
        <v>134741674</v>
      </c>
      <c r="C776" t="s">
        <v>4245</v>
      </c>
      <c r="D776" t="s">
        <v>4246</v>
      </c>
      <c r="E776" t="s">
        <v>4033</v>
      </c>
      <c r="F776" t="s">
        <v>491</v>
      </c>
      <c r="G776" t="s">
        <v>44</v>
      </c>
      <c r="H776" t="s">
        <v>45</v>
      </c>
      <c r="I776" t="s">
        <v>34</v>
      </c>
      <c r="J776" t="s">
        <v>46</v>
      </c>
      <c r="K776" t="s">
        <v>41</v>
      </c>
      <c r="L776" t="s">
        <v>4247</v>
      </c>
      <c r="M776" t="s">
        <v>4248</v>
      </c>
      <c r="N776" t="s">
        <v>494</v>
      </c>
      <c r="O776" t="s">
        <v>69</v>
      </c>
      <c r="P776" t="s">
        <v>4249</v>
      </c>
      <c r="Q776" s="14" t="s">
        <v>149</v>
      </c>
      <c r="R776" t="s">
        <v>404</v>
      </c>
      <c r="S776">
        <v>1.54</v>
      </c>
      <c r="T776">
        <v>5759</v>
      </c>
      <c r="U776">
        <v>0</v>
      </c>
      <c r="V776">
        <v>5759</v>
      </c>
    </row>
    <row r="777" spans="1:22" x14ac:dyDescent="0.3">
      <c r="A777">
        <v>187830</v>
      </c>
      <c r="B777">
        <v>134615528</v>
      </c>
      <c r="C777" t="s">
        <v>4250</v>
      </c>
      <c r="D777" t="s">
        <v>4251</v>
      </c>
      <c r="E777" t="s">
        <v>4033</v>
      </c>
      <c r="F777" t="s">
        <v>491</v>
      </c>
      <c r="G777" t="s">
        <v>44</v>
      </c>
      <c r="H777" t="s">
        <v>45</v>
      </c>
      <c r="I777" t="s">
        <v>34</v>
      </c>
      <c r="J777" t="s">
        <v>46</v>
      </c>
      <c r="K777" t="s">
        <v>41</v>
      </c>
      <c r="L777" t="s">
        <v>4252</v>
      </c>
      <c r="M777" t="s">
        <v>4253</v>
      </c>
      <c r="N777" t="s">
        <v>494</v>
      </c>
      <c r="O777" t="s">
        <v>69</v>
      </c>
      <c r="P777" t="s">
        <v>4254</v>
      </c>
      <c r="Q777" s="14" t="s">
        <v>149</v>
      </c>
      <c r="R777" t="s">
        <v>4255</v>
      </c>
      <c r="S777">
        <v>2.4500000000000002</v>
      </c>
      <c r="T777">
        <v>5759</v>
      </c>
      <c r="U777">
        <v>0</v>
      </c>
      <c r="V777">
        <v>5759</v>
      </c>
    </row>
    <row r="778" spans="1:22" x14ac:dyDescent="0.3">
      <c r="A778">
        <v>187830</v>
      </c>
      <c r="B778">
        <v>134229555</v>
      </c>
      <c r="C778" t="s">
        <v>4256</v>
      </c>
      <c r="D778" t="s">
        <v>4257</v>
      </c>
      <c r="E778" t="s">
        <v>4033</v>
      </c>
      <c r="F778" t="s">
        <v>491</v>
      </c>
      <c r="G778" t="s">
        <v>44</v>
      </c>
      <c r="H778" t="s">
        <v>45</v>
      </c>
      <c r="I778" t="s">
        <v>34</v>
      </c>
      <c r="J778" t="s">
        <v>46</v>
      </c>
      <c r="K778" t="s">
        <v>41</v>
      </c>
      <c r="L778" t="s">
        <v>4258</v>
      </c>
      <c r="M778" t="s">
        <v>4259</v>
      </c>
      <c r="N778" t="s">
        <v>494</v>
      </c>
      <c r="O778" t="s">
        <v>69</v>
      </c>
      <c r="P778" t="s">
        <v>4260</v>
      </c>
      <c r="Q778" s="14" t="s">
        <v>178</v>
      </c>
      <c r="R778" t="s">
        <v>4261</v>
      </c>
      <c r="S778">
        <v>6.38</v>
      </c>
      <c r="T778">
        <v>10562</v>
      </c>
      <c r="U778">
        <v>0</v>
      </c>
      <c r="V778">
        <v>10562</v>
      </c>
    </row>
    <row r="779" spans="1:22" x14ac:dyDescent="0.3">
      <c r="A779">
        <v>187830</v>
      </c>
      <c r="B779">
        <v>134861123</v>
      </c>
      <c r="C779" t="s">
        <v>4262</v>
      </c>
      <c r="D779" t="s">
        <v>4263</v>
      </c>
      <c r="E779" t="s">
        <v>4033</v>
      </c>
      <c r="F779" t="s">
        <v>491</v>
      </c>
      <c r="G779" t="s">
        <v>44</v>
      </c>
      <c r="H779" t="s">
        <v>45</v>
      </c>
      <c r="I779" t="s">
        <v>34</v>
      </c>
      <c r="J779" t="s">
        <v>46</v>
      </c>
      <c r="K779" t="s">
        <v>41</v>
      </c>
      <c r="L779" t="s">
        <v>4264</v>
      </c>
      <c r="M779" t="s">
        <v>4265</v>
      </c>
      <c r="N779" t="s">
        <v>494</v>
      </c>
      <c r="O779" t="s">
        <v>69</v>
      </c>
      <c r="P779" t="s">
        <v>4266</v>
      </c>
      <c r="Q779" s="14" t="s">
        <v>42</v>
      </c>
      <c r="R779" t="s">
        <v>470</v>
      </c>
      <c r="S779">
        <v>1.1000000000000001</v>
      </c>
      <c r="T779">
        <v>3501</v>
      </c>
      <c r="U779">
        <v>0</v>
      </c>
      <c r="V779">
        <v>3501</v>
      </c>
    </row>
    <row r="780" spans="1:22" x14ac:dyDescent="0.3">
      <c r="A780">
        <v>187830</v>
      </c>
      <c r="B780">
        <v>134861122</v>
      </c>
      <c r="C780" t="s">
        <v>4267</v>
      </c>
      <c r="D780" t="s">
        <v>4268</v>
      </c>
      <c r="E780" t="s">
        <v>4033</v>
      </c>
      <c r="F780" t="s">
        <v>491</v>
      </c>
      <c r="G780" t="s">
        <v>44</v>
      </c>
      <c r="H780" t="s">
        <v>45</v>
      </c>
      <c r="I780" t="s">
        <v>34</v>
      </c>
      <c r="J780" t="s">
        <v>46</v>
      </c>
      <c r="K780" t="s">
        <v>41</v>
      </c>
      <c r="L780" t="s">
        <v>4269</v>
      </c>
      <c r="M780" t="s">
        <v>4270</v>
      </c>
      <c r="N780" t="s">
        <v>494</v>
      </c>
      <c r="O780" t="s">
        <v>69</v>
      </c>
      <c r="P780" t="s">
        <v>4271</v>
      </c>
      <c r="Q780" s="14" t="s">
        <v>109</v>
      </c>
      <c r="R780" t="s">
        <v>470</v>
      </c>
      <c r="S780">
        <v>1</v>
      </c>
      <c r="T780">
        <v>3784</v>
      </c>
      <c r="U780">
        <v>0</v>
      </c>
      <c r="V780">
        <v>3784</v>
      </c>
    </row>
    <row r="781" spans="1:22" x14ac:dyDescent="0.3">
      <c r="A781">
        <v>187830</v>
      </c>
      <c r="B781">
        <v>134229553</v>
      </c>
      <c r="C781" t="s">
        <v>4272</v>
      </c>
      <c r="D781" t="s">
        <v>4273</v>
      </c>
      <c r="E781" t="s">
        <v>4033</v>
      </c>
      <c r="F781" t="s">
        <v>491</v>
      </c>
      <c r="G781" t="s">
        <v>44</v>
      </c>
      <c r="H781" t="s">
        <v>45</v>
      </c>
      <c r="I781" t="s">
        <v>34</v>
      </c>
      <c r="J781" t="s">
        <v>46</v>
      </c>
      <c r="K781" t="s">
        <v>41</v>
      </c>
      <c r="L781" t="s">
        <v>4274</v>
      </c>
      <c r="M781" t="s">
        <v>4275</v>
      </c>
      <c r="N781" t="s">
        <v>494</v>
      </c>
      <c r="O781" t="s">
        <v>69</v>
      </c>
      <c r="P781" t="s">
        <v>4276</v>
      </c>
      <c r="Q781" s="14" t="s">
        <v>83</v>
      </c>
      <c r="R781" t="s">
        <v>4261</v>
      </c>
      <c r="S781">
        <v>0.22</v>
      </c>
      <c r="T781">
        <v>3299</v>
      </c>
      <c r="U781">
        <v>0</v>
      </c>
      <c r="V781">
        <v>3299</v>
      </c>
    </row>
    <row r="782" spans="1:22" x14ac:dyDescent="0.3">
      <c r="A782">
        <v>187830</v>
      </c>
      <c r="B782">
        <v>134879868</v>
      </c>
      <c r="C782" t="s">
        <v>4277</v>
      </c>
      <c r="D782" t="s">
        <v>4278</v>
      </c>
      <c r="E782" t="s">
        <v>4033</v>
      </c>
      <c r="F782" t="s">
        <v>491</v>
      </c>
      <c r="G782" t="s">
        <v>44</v>
      </c>
      <c r="H782" t="s">
        <v>45</v>
      </c>
      <c r="I782" t="s">
        <v>34</v>
      </c>
      <c r="J782" t="s">
        <v>46</v>
      </c>
      <c r="K782" t="s">
        <v>41</v>
      </c>
      <c r="L782" t="s">
        <v>4279</v>
      </c>
      <c r="M782" t="s">
        <v>4280</v>
      </c>
      <c r="N782" t="s">
        <v>494</v>
      </c>
      <c r="O782" t="s">
        <v>69</v>
      </c>
      <c r="P782" t="s">
        <v>4281</v>
      </c>
      <c r="Q782" s="14" t="s">
        <v>107</v>
      </c>
      <c r="R782" t="s">
        <v>259</v>
      </c>
      <c r="S782">
        <v>2.4</v>
      </c>
      <c r="T782">
        <v>3784</v>
      </c>
      <c r="U782">
        <v>0</v>
      </c>
      <c r="V782">
        <v>3784</v>
      </c>
    </row>
    <row r="783" spans="1:22" x14ac:dyDescent="0.3">
      <c r="A783">
        <v>187830</v>
      </c>
      <c r="B783">
        <v>134229552</v>
      </c>
      <c r="C783" t="s">
        <v>4282</v>
      </c>
      <c r="D783" t="s">
        <v>4283</v>
      </c>
      <c r="E783" t="s">
        <v>4033</v>
      </c>
      <c r="F783" t="s">
        <v>491</v>
      </c>
      <c r="G783" t="s">
        <v>44</v>
      </c>
      <c r="H783" t="s">
        <v>45</v>
      </c>
      <c r="I783" t="s">
        <v>34</v>
      </c>
      <c r="J783" t="s">
        <v>46</v>
      </c>
      <c r="K783" t="s">
        <v>41</v>
      </c>
      <c r="L783" t="s">
        <v>4284</v>
      </c>
      <c r="M783" t="s">
        <v>4285</v>
      </c>
      <c r="N783" t="s">
        <v>494</v>
      </c>
      <c r="O783" t="s">
        <v>69</v>
      </c>
      <c r="P783" t="s">
        <v>4286</v>
      </c>
      <c r="Q783" s="14" t="s">
        <v>151</v>
      </c>
      <c r="R783" t="s">
        <v>4261</v>
      </c>
      <c r="S783">
        <v>1</v>
      </c>
      <c r="T783">
        <v>3366</v>
      </c>
      <c r="U783">
        <v>0</v>
      </c>
      <c r="V783">
        <v>3366</v>
      </c>
    </row>
    <row r="784" spans="1:22" x14ac:dyDescent="0.3">
      <c r="A784">
        <v>187830</v>
      </c>
      <c r="B784">
        <v>134545700</v>
      </c>
      <c r="C784" t="s">
        <v>4287</v>
      </c>
      <c r="D784" t="s">
        <v>4288</v>
      </c>
      <c r="E784" t="s">
        <v>4033</v>
      </c>
      <c r="F784" t="s">
        <v>491</v>
      </c>
      <c r="G784" t="s">
        <v>44</v>
      </c>
      <c r="H784" t="s">
        <v>45</v>
      </c>
      <c r="I784" t="s">
        <v>34</v>
      </c>
      <c r="J784" t="s">
        <v>46</v>
      </c>
      <c r="K784" t="s">
        <v>41</v>
      </c>
      <c r="L784" t="s">
        <v>4289</v>
      </c>
      <c r="M784" t="s">
        <v>4290</v>
      </c>
      <c r="N784" t="s">
        <v>494</v>
      </c>
      <c r="O784" t="s">
        <v>69</v>
      </c>
      <c r="P784" t="s">
        <v>4291</v>
      </c>
      <c r="Q784" s="14" t="s">
        <v>149</v>
      </c>
      <c r="R784" t="s">
        <v>4292</v>
      </c>
      <c r="S784">
        <v>1</v>
      </c>
      <c r="T784">
        <v>5759</v>
      </c>
      <c r="U784">
        <v>0</v>
      </c>
      <c r="V784">
        <v>5759</v>
      </c>
    </row>
    <row r="785" spans="1:22" x14ac:dyDescent="0.3">
      <c r="A785">
        <v>187830</v>
      </c>
      <c r="B785">
        <v>134842316</v>
      </c>
      <c r="C785" t="s">
        <v>4293</v>
      </c>
      <c r="D785" t="s">
        <v>4294</v>
      </c>
      <c r="E785" t="s">
        <v>4033</v>
      </c>
      <c r="F785" t="s">
        <v>491</v>
      </c>
      <c r="G785" t="s">
        <v>44</v>
      </c>
      <c r="H785" t="s">
        <v>45</v>
      </c>
      <c r="I785" t="s">
        <v>34</v>
      </c>
      <c r="J785" t="s">
        <v>46</v>
      </c>
      <c r="K785" t="s">
        <v>41</v>
      </c>
      <c r="L785" t="s">
        <v>4295</v>
      </c>
      <c r="M785" t="s">
        <v>4296</v>
      </c>
      <c r="N785" t="s">
        <v>494</v>
      </c>
      <c r="O785" t="s">
        <v>69</v>
      </c>
      <c r="P785" t="s">
        <v>4297</v>
      </c>
      <c r="Q785" s="14" t="s">
        <v>174</v>
      </c>
      <c r="R785" t="s">
        <v>378</v>
      </c>
      <c r="S785">
        <v>1.93</v>
      </c>
      <c r="T785">
        <v>4067</v>
      </c>
      <c r="U785">
        <v>0</v>
      </c>
      <c r="V785">
        <v>4067</v>
      </c>
    </row>
    <row r="786" spans="1:22" x14ac:dyDescent="0.3">
      <c r="A786">
        <v>187830</v>
      </c>
      <c r="B786">
        <v>134741664</v>
      </c>
      <c r="C786" t="s">
        <v>4298</v>
      </c>
      <c r="D786" t="s">
        <v>4299</v>
      </c>
      <c r="E786" t="s">
        <v>4033</v>
      </c>
      <c r="F786" t="s">
        <v>491</v>
      </c>
      <c r="G786" t="s">
        <v>44</v>
      </c>
      <c r="H786" t="s">
        <v>45</v>
      </c>
      <c r="I786" t="s">
        <v>34</v>
      </c>
      <c r="J786" t="s">
        <v>46</v>
      </c>
      <c r="K786" t="s">
        <v>41</v>
      </c>
      <c r="L786" t="s">
        <v>4300</v>
      </c>
      <c r="M786" t="s">
        <v>4301</v>
      </c>
      <c r="N786" t="s">
        <v>494</v>
      </c>
      <c r="O786" t="s">
        <v>69</v>
      </c>
      <c r="P786" t="s">
        <v>4302</v>
      </c>
      <c r="Q786" s="14" t="s">
        <v>60</v>
      </c>
      <c r="R786" t="s">
        <v>404</v>
      </c>
      <c r="S786">
        <v>1.48</v>
      </c>
      <c r="T786">
        <v>5759</v>
      </c>
      <c r="U786">
        <v>0</v>
      </c>
      <c r="V786">
        <v>5759</v>
      </c>
    </row>
    <row r="787" spans="1:22" x14ac:dyDescent="0.3">
      <c r="A787">
        <v>187830</v>
      </c>
      <c r="B787">
        <v>134741643</v>
      </c>
      <c r="C787" t="s">
        <v>4303</v>
      </c>
      <c r="D787" t="s">
        <v>4304</v>
      </c>
      <c r="E787" t="s">
        <v>4033</v>
      </c>
      <c r="F787" t="s">
        <v>491</v>
      </c>
      <c r="G787" t="s">
        <v>44</v>
      </c>
      <c r="H787" t="s">
        <v>45</v>
      </c>
      <c r="I787" t="s">
        <v>34</v>
      </c>
      <c r="J787" t="s">
        <v>46</v>
      </c>
      <c r="K787" t="s">
        <v>41</v>
      </c>
      <c r="L787" t="s">
        <v>4305</v>
      </c>
      <c r="M787" t="s">
        <v>4306</v>
      </c>
      <c r="N787" t="s">
        <v>494</v>
      </c>
      <c r="O787" t="s">
        <v>69</v>
      </c>
      <c r="P787" t="s">
        <v>4307</v>
      </c>
      <c r="Q787" s="14" t="s">
        <v>70</v>
      </c>
      <c r="R787" t="s">
        <v>479</v>
      </c>
      <c r="S787">
        <v>1.3</v>
      </c>
      <c r="T787">
        <v>5198</v>
      </c>
      <c r="U787">
        <v>0</v>
      </c>
      <c r="V787">
        <v>5198</v>
      </c>
    </row>
    <row r="788" spans="1:22" x14ac:dyDescent="0.3">
      <c r="A788">
        <v>187830</v>
      </c>
      <c r="B788">
        <v>134741658</v>
      </c>
      <c r="C788" t="s">
        <v>4308</v>
      </c>
      <c r="D788" t="s">
        <v>4309</v>
      </c>
      <c r="E788" t="s">
        <v>4033</v>
      </c>
      <c r="F788" t="s">
        <v>491</v>
      </c>
      <c r="G788" t="s">
        <v>44</v>
      </c>
      <c r="H788" t="s">
        <v>45</v>
      </c>
      <c r="I788" t="s">
        <v>34</v>
      </c>
      <c r="J788" t="s">
        <v>46</v>
      </c>
      <c r="K788" t="s">
        <v>41</v>
      </c>
      <c r="L788" t="s">
        <v>4310</v>
      </c>
      <c r="M788" t="s">
        <v>4311</v>
      </c>
      <c r="N788" t="s">
        <v>494</v>
      </c>
      <c r="O788" t="s">
        <v>69</v>
      </c>
      <c r="P788" t="s">
        <v>4312</v>
      </c>
      <c r="Q788" s="14" t="s">
        <v>158</v>
      </c>
      <c r="R788" t="s">
        <v>404</v>
      </c>
      <c r="S788">
        <v>1</v>
      </c>
      <c r="T788">
        <v>4067</v>
      </c>
      <c r="U788">
        <v>0</v>
      </c>
      <c r="V788">
        <v>4067</v>
      </c>
    </row>
    <row r="789" spans="1:22" x14ac:dyDescent="0.3">
      <c r="A789">
        <v>187830</v>
      </c>
      <c r="B789">
        <v>134741657</v>
      </c>
      <c r="C789" t="s">
        <v>4313</v>
      </c>
      <c r="D789" t="s">
        <v>4314</v>
      </c>
      <c r="E789" t="s">
        <v>4033</v>
      </c>
      <c r="F789" t="s">
        <v>491</v>
      </c>
      <c r="G789" t="s">
        <v>44</v>
      </c>
      <c r="H789" t="s">
        <v>45</v>
      </c>
      <c r="I789" t="s">
        <v>34</v>
      </c>
      <c r="J789" t="s">
        <v>46</v>
      </c>
      <c r="K789" t="s">
        <v>41</v>
      </c>
      <c r="L789" t="s">
        <v>4315</v>
      </c>
      <c r="M789" t="s">
        <v>4316</v>
      </c>
      <c r="N789" t="s">
        <v>494</v>
      </c>
      <c r="O789" t="s">
        <v>69</v>
      </c>
      <c r="P789" t="s">
        <v>4317</v>
      </c>
      <c r="Q789" s="14" t="s">
        <v>70</v>
      </c>
      <c r="R789" t="s">
        <v>404</v>
      </c>
      <c r="S789">
        <v>2.8</v>
      </c>
      <c r="T789">
        <v>5198</v>
      </c>
      <c r="U789">
        <v>0</v>
      </c>
      <c r="V789">
        <v>5198</v>
      </c>
    </row>
    <row r="790" spans="1:22" x14ac:dyDescent="0.3">
      <c r="A790">
        <v>187830</v>
      </c>
      <c r="B790">
        <v>134786431</v>
      </c>
      <c r="C790" t="s">
        <v>4318</v>
      </c>
      <c r="D790" t="s">
        <v>4319</v>
      </c>
      <c r="E790" t="s">
        <v>4033</v>
      </c>
      <c r="F790" t="s">
        <v>491</v>
      </c>
      <c r="G790" t="s">
        <v>44</v>
      </c>
      <c r="H790" t="s">
        <v>45</v>
      </c>
      <c r="I790" t="s">
        <v>34</v>
      </c>
      <c r="J790" t="s">
        <v>46</v>
      </c>
      <c r="K790" t="s">
        <v>41</v>
      </c>
      <c r="L790" t="s">
        <v>4320</v>
      </c>
      <c r="M790" t="s">
        <v>4321</v>
      </c>
      <c r="N790" t="s">
        <v>494</v>
      </c>
      <c r="O790" t="s">
        <v>69</v>
      </c>
      <c r="P790" t="s">
        <v>4322</v>
      </c>
      <c r="Q790" s="14" t="s">
        <v>83</v>
      </c>
      <c r="R790" t="s">
        <v>4323</v>
      </c>
      <c r="S790">
        <v>1</v>
      </c>
      <c r="T790">
        <v>3366</v>
      </c>
      <c r="U790">
        <v>0</v>
      </c>
      <c r="V790">
        <v>3366</v>
      </c>
    </row>
    <row r="791" spans="1:22" x14ac:dyDescent="0.3">
      <c r="A791">
        <v>187830</v>
      </c>
      <c r="B791">
        <v>134741683</v>
      </c>
      <c r="C791" t="s">
        <v>4324</v>
      </c>
      <c r="D791" t="s">
        <v>4325</v>
      </c>
      <c r="E791" t="s">
        <v>4033</v>
      </c>
      <c r="F791" t="s">
        <v>491</v>
      </c>
      <c r="G791" t="s">
        <v>44</v>
      </c>
      <c r="H791" t="s">
        <v>45</v>
      </c>
      <c r="I791" t="s">
        <v>34</v>
      </c>
      <c r="J791" t="s">
        <v>46</v>
      </c>
      <c r="K791" t="s">
        <v>41</v>
      </c>
      <c r="L791" t="s">
        <v>4326</v>
      </c>
      <c r="M791" t="s">
        <v>4327</v>
      </c>
      <c r="N791" t="s">
        <v>494</v>
      </c>
      <c r="O791" t="s">
        <v>69</v>
      </c>
      <c r="P791" t="s">
        <v>4328</v>
      </c>
      <c r="Q791" s="14" t="s">
        <v>135</v>
      </c>
      <c r="R791" t="s">
        <v>404</v>
      </c>
      <c r="S791">
        <v>2.11</v>
      </c>
      <c r="T791">
        <v>3366</v>
      </c>
      <c r="U791">
        <v>0</v>
      </c>
      <c r="V791">
        <v>3366</v>
      </c>
    </row>
    <row r="792" spans="1:22" x14ac:dyDescent="0.3">
      <c r="A792">
        <v>187830</v>
      </c>
      <c r="B792">
        <v>134835624</v>
      </c>
      <c r="C792" t="s">
        <v>4329</v>
      </c>
      <c r="D792" t="s">
        <v>4330</v>
      </c>
      <c r="E792" t="s">
        <v>4033</v>
      </c>
      <c r="F792" t="s">
        <v>491</v>
      </c>
      <c r="G792" t="s">
        <v>44</v>
      </c>
      <c r="H792" t="s">
        <v>45</v>
      </c>
      <c r="I792" t="s">
        <v>34</v>
      </c>
      <c r="J792" t="s">
        <v>46</v>
      </c>
      <c r="K792" t="s">
        <v>41</v>
      </c>
      <c r="L792" t="s">
        <v>4331</v>
      </c>
      <c r="M792" t="s">
        <v>4332</v>
      </c>
      <c r="N792" t="s">
        <v>494</v>
      </c>
      <c r="O792" t="s">
        <v>69</v>
      </c>
      <c r="P792" t="s">
        <v>4333</v>
      </c>
      <c r="Q792" s="14" t="s">
        <v>43</v>
      </c>
      <c r="R792" t="s">
        <v>4334</v>
      </c>
      <c r="S792">
        <v>1.87</v>
      </c>
      <c r="T792">
        <v>4067</v>
      </c>
      <c r="U792">
        <v>0</v>
      </c>
      <c r="V792">
        <v>4067</v>
      </c>
    </row>
    <row r="793" spans="1:22" x14ac:dyDescent="0.3">
      <c r="A793">
        <v>187830</v>
      </c>
      <c r="B793">
        <v>134741633</v>
      </c>
      <c r="C793" t="s">
        <v>4335</v>
      </c>
      <c r="D793" t="s">
        <v>4336</v>
      </c>
      <c r="E793" t="s">
        <v>4033</v>
      </c>
      <c r="F793" t="s">
        <v>491</v>
      </c>
      <c r="G793" t="s">
        <v>44</v>
      </c>
      <c r="H793" t="s">
        <v>45</v>
      </c>
      <c r="I793" t="s">
        <v>34</v>
      </c>
      <c r="J793" t="s">
        <v>46</v>
      </c>
      <c r="K793" t="s">
        <v>41</v>
      </c>
      <c r="L793" t="s">
        <v>4337</v>
      </c>
      <c r="M793" t="s">
        <v>4338</v>
      </c>
      <c r="N793" t="s">
        <v>494</v>
      </c>
      <c r="O793" t="s">
        <v>69</v>
      </c>
      <c r="P793" t="s">
        <v>4339</v>
      </c>
      <c r="Q793" s="14" t="s">
        <v>203</v>
      </c>
      <c r="R793" t="s">
        <v>479</v>
      </c>
      <c r="S793">
        <v>0.98</v>
      </c>
      <c r="T793">
        <v>4067</v>
      </c>
      <c r="U793">
        <v>0</v>
      </c>
      <c r="V793">
        <v>4067</v>
      </c>
    </row>
    <row r="794" spans="1:22" x14ac:dyDescent="0.3">
      <c r="A794">
        <v>187830</v>
      </c>
      <c r="B794">
        <v>134835627</v>
      </c>
      <c r="C794" t="s">
        <v>4340</v>
      </c>
      <c r="D794" t="s">
        <v>4341</v>
      </c>
      <c r="E794" t="s">
        <v>4033</v>
      </c>
      <c r="F794" t="s">
        <v>491</v>
      </c>
      <c r="G794" t="s">
        <v>44</v>
      </c>
      <c r="H794" t="s">
        <v>45</v>
      </c>
      <c r="I794" t="s">
        <v>34</v>
      </c>
      <c r="J794" t="s">
        <v>46</v>
      </c>
      <c r="K794" t="s">
        <v>41</v>
      </c>
      <c r="L794" t="s">
        <v>4342</v>
      </c>
      <c r="M794" t="s">
        <v>4343</v>
      </c>
      <c r="N794" t="s">
        <v>494</v>
      </c>
      <c r="O794" t="s">
        <v>69</v>
      </c>
      <c r="P794" t="s">
        <v>4344</v>
      </c>
      <c r="Q794" s="14" t="s">
        <v>43</v>
      </c>
      <c r="R794" t="s">
        <v>4334</v>
      </c>
      <c r="S794">
        <v>1.5</v>
      </c>
      <c r="T794">
        <v>4067</v>
      </c>
      <c r="U794">
        <v>0</v>
      </c>
      <c r="V794">
        <v>4067</v>
      </c>
    </row>
    <row r="795" spans="1:22" x14ac:dyDescent="0.3">
      <c r="A795">
        <v>187830</v>
      </c>
      <c r="B795">
        <v>134814447</v>
      </c>
      <c r="C795" t="s">
        <v>4345</v>
      </c>
      <c r="D795" t="s">
        <v>4346</v>
      </c>
      <c r="E795" t="s">
        <v>4033</v>
      </c>
      <c r="F795" t="s">
        <v>491</v>
      </c>
      <c r="G795" t="s">
        <v>44</v>
      </c>
      <c r="H795" t="s">
        <v>45</v>
      </c>
      <c r="I795" t="s">
        <v>34</v>
      </c>
      <c r="J795" t="s">
        <v>46</v>
      </c>
      <c r="K795" t="s">
        <v>41</v>
      </c>
      <c r="L795" t="s">
        <v>4347</v>
      </c>
      <c r="M795" t="s">
        <v>4348</v>
      </c>
      <c r="N795" t="s">
        <v>494</v>
      </c>
      <c r="O795" t="s">
        <v>69</v>
      </c>
      <c r="P795" t="s">
        <v>4349</v>
      </c>
      <c r="Q795" s="14" t="s">
        <v>82</v>
      </c>
      <c r="R795" t="s">
        <v>313</v>
      </c>
      <c r="S795">
        <v>3.33</v>
      </c>
      <c r="T795">
        <v>4852</v>
      </c>
      <c r="U795">
        <v>0</v>
      </c>
      <c r="V795">
        <v>4852</v>
      </c>
    </row>
    <row r="796" spans="1:22" x14ac:dyDescent="0.3">
      <c r="A796">
        <v>187830</v>
      </c>
      <c r="B796">
        <v>134741666</v>
      </c>
      <c r="C796" t="s">
        <v>4350</v>
      </c>
      <c r="D796" t="s">
        <v>4351</v>
      </c>
      <c r="E796" t="s">
        <v>4033</v>
      </c>
      <c r="F796" t="s">
        <v>491</v>
      </c>
      <c r="G796" t="s">
        <v>44</v>
      </c>
      <c r="H796" t="s">
        <v>45</v>
      </c>
      <c r="I796" t="s">
        <v>34</v>
      </c>
      <c r="J796" t="s">
        <v>46</v>
      </c>
      <c r="K796" t="s">
        <v>41</v>
      </c>
      <c r="L796" t="s">
        <v>4352</v>
      </c>
      <c r="M796" t="s">
        <v>4353</v>
      </c>
      <c r="N796" t="s">
        <v>494</v>
      </c>
      <c r="O796" t="s">
        <v>69</v>
      </c>
      <c r="P796" t="s">
        <v>4354</v>
      </c>
      <c r="Q796" s="14" t="s">
        <v>178</v>
      </c>
      <c r="R796" t="s">
        <v>404</v>
      </c>
      <c r="S796">
        <v>1.8</v>
      </c>
      <c r="T796">
        <v>5476</v>
      </c>
      <c r="U796">
        <v>0</v>
      </c>
      <c r="V796">
        <v>5476</v>
      </c>
    </row>
    <row r="797" spans="1:22" x14ac:dyDescent="0.3">
      <c r="A797">
        <v>187830</v>
      </c>
      <c r="B797">
        <v>134741670</v>
      </c>
      <c r="C797" t="s">
        <v>4355</v>
      </c>
      <c r="D797" t="s">
        <v>4356</v>
      </c>
      <c r="E797" t="s">
        <v>4033</v>
      </c>
      <c r="F797" t="s">
        <v>491</v>
      </c>
      <c r="G797" t="s">
        <v>44</v>
      </c>
      <c r="H797" t="s">
        <v>45</v>
      </c>
      <c r="I797" t="s">
        <v>34</v>
      </c>
      <c r="J797" t="s">
        <v>46</v>
      </c>
      <c r="K797" t="s">
        <v>41</v>
      </c>
      <c r="L797" t="s">
        <v>4357</v>
      </c>
      <c r="M797" t="s">
        <v>4358</v>
      </c>
      <c r="N797" t="s">
        <v>494</v>
      </c>
      <c r="O797" t="s">
        <v>69</v>
      </c>
      <c r="P797" t="s">
        <v>4359</v>
      </c>
      <c r="Q797" s="14" t="s">
        <v>83</v>
      </c>
      <c r="R797" t="s">
        <v>404</v>
      </c>
      <c r="S797">
        <v>0.89</v>
      </c>
      <c r="T797">
        <v>3366</v>
      </c>
      <c r="U797">
        <v>0</v>
      </c>
      <c r="V797">
        <v>3366</v>
      </c>
    </row>
    <row r="798" spans="1:22" x14ac:dyDescent="0.3">
      <c r="A798">
        <v>187830</v>
      </c>
      <c r="B798">
        <v>134763756</v>
      </c>
      <c r="C798" t="s">
        <v>4360</v>
      </c>
      <c r="D798" t="s">
        <v>4361</v>
      </c>
      <c r="E798" t="s">
        <v>4033</v>
      </c>
      <c r="F798" t="s">
        <v>491</v>
      </c>
      <c r="G798" t="s">
        <v>44</v>
      </c>
      <c r="H798" t="s">
        <v>45</v>
      </c>
      <c r="I798" t="s">
        <v>34</v>
      </c>
      <c r="J798" t="s">
        <v>46</v>
      </c>
      <c r="K798" t="s">
        <v>41</v>
      </c>
      <c r="L798" t="s">
        <v>4362</v>
      </c>
      <c r="M798" t="s">
        <v>4363</v>
      </c>
      <c r="N798" t="s">
        <v>494</v>
      </c>
      <c r="O798" t="s">
        <v>69</v>
      </c>
      <c r="P798" t="s">
        <v>4364</v>
      </c>
      <c r="Q798" s="14" t="s">
        <v>89</v>
      </c>
      <c r="R798" t="s">
        <v>4365</v>
      </c>
      <c r="S798">
        <v>1.25</v>
      </c>
      <c r="T798">
        <v>3753</v>
      </c>
      <c r="U798">
        <v>0</v>
      </c>
      <c r="V798">
        <v>3753</v>
      </c>
    </row>
    <row r="799" spans="1:22" x14ac:dyDescent="0.3">
      <c r="A799">
        <v>187830</v>
      </c>
      <c r="B799">
        <v>134741644</v>
      </c>
      <c r="C799" t="s">
        <v>4366</v>
      </c>
      <c r="D799" t="s">
        <v>4367</v>
      </c>
      <c r="E799" t="s">
        <v>4033</v>
      </c>
      <c r="F799" t="s">
        <v>491</v>
      </c>
      <c r="G799" t="s">
        <v>44</v>
      </c>
      <c r="H799" t="s">
        <v>45</v>
      </c>
      <c r="I799" t="s">
        <v>34</v>
      </c>
      <c r="J799" t="s">
        <v>46</v>
      </c>
      <c r="K799" t="s">
        <v>56</v>
      </c>
      <c r="L799" t="s">
        <v>57</v>
      </c>
      <c r="M799" t="s">
        <v>4368</v>
      </c>
      <c r="N799" t="s">
        <v>494</v>
      </c>
      <c r="O799" t="s">
        <v>69</v>
      </c>
      <c r="P799" t="s">
        <v>4369</v>
      </c>
      <c r="Q799" s="14" t="s">
        <v>99</v>
      </c>
      <c r="R799" t="s">
        <v>479</v>
      </c>
      <c r="S799">
        <v>1.41</v>
      </c>
      <c r="T799">
        <v>4067</v>
      </c>
      <c r="U799">
        <v>0</v>
      </c>
      <c r="V799">
        <v>4067</v>
      </c>
    </row>
    <row r="800" spans="1:22" x14ac:dyDescent="0.3">
      <c r="A800">
        <v>187830</v>
      </c>
      <c r="B800">
        <v>134741687</v>
      </c>
      <c r="C800" t="s">
        <v>4370</v>
      </c>
      <c r="D800" t="s">
        <v>4371</v>
      </c>
      <c r="E800" t="s">
        <v>4033</v>
      </c>
      <c r="F800" t="s">
        <v>491</v>
      </c>
      <c r="G800" t="s">
        <v>44</v>
      </c>
      <c r="H800" t="s">
        <v>45</v>
      </c>
      <c r="I800" t="s">
        <v>34</v>
      </c>
      <c r="J800" t="s">
        <v>46</v>
      </c>
      <c r="K800" t="s">
        <v>41</v>
      </c>
      <c r="L800" t="s">
        <v>4372</v>
      </c>
      <c r="M800" t="s">
        <v>4373</v>
      </c>
      <c r="N800" t="s">
        <v>494</v>
      </c>
      <c r="O800" t="s">
        <v>69</v>
      </c>
      <c r="P800" t="s">
        <v>4374</v>
      </c>
      <c r="Q800" s="14" t="s">
        <v>83</v>
      </c>
      <c r="R800" t="s">
        <v>404</v>
      </c>
      <c r="S800">
        <v>1</v>
      </c>
      <c r="T800">
        <v>3366</v>
      </c>
      <c r="U800">
        <v>0</v>
      </c>
      <c r="V800">
        <v>3366</v>
      </c>
    </row>
    <row r="801" spans="1:22" x14ac:dyDescent="0.3">
      <c r="A801">
        <v>187830</v>
      </c>
      <c r="B801">
        <v>134763752</v>
      </c>
      <c r="C801" t="s">
        <v>4375</v>
      </c>
      <c r="D801" t="s">
        <v>4376</v>
      </c>
      <c r="E801" t="s">
        <v>4033</v>
      </c>
      <c r="F801" t="s">
        <v>491</v>
      </c>
      <c r="G801" t="s">
        <v>44</v>
      </c>
      <c r="H801" t="s">
        <v>45</v>
      </c>
      <c r="I801" t="s">
        <v>34</v>
      </c>
      <c r="J801" t="s">
        <v>46</v>
      </c>
      <c r="K801" t="s">
        <v>41</v>
      </c>
      <c r="L801" t="s">
        <v>4377</v>
      </c>
      <c r="M801" t="s">
        <v>4378</v>
      </c>
      <c r="N801" t="s">
        <v>494</v>
      </c>
      <c r="O801" t="s">
        <v>69</v>
      </c>
      <c r="P801" t="s">
        <v>4379</v>
      </c>
      <c r="Q801" s="14" t="s">
        <v>98</v>
      </c>
      <c r="R801" t="s">
        <v>4365</v>
      </c>
      <c r="S801">
        <v>1.08</v>
      </c>
      <c r="T801">
        <v>3366</v>
      </c>
      <c r="U801">
        <v>0</v>
      </c>
      <c r="V801">
        <v>3366</v>
      </c>
    </row>
    <row r="802" spans="1:22" x14ac:dyDescent="0.3">
      <c r="A802">
        <v>187830</v>
      </c>
      <c r="B802">
        <v>134741662</v>
      </c>
      <c r="C802" t="s">
        <v>4380</v>
      </c>
      <c r="D802" t="s">
        <v>4381</v>
      </c>
      <c r="E802" t="s">
        <v>4033</v>
      </c>
      <c r="F802" t="s">
        <v>491</v>
      </c>
      <c r="G802" t="s">
        <v>44</v>
      </c>
      <c r="H802" t="s">
        <v>45</v>
      </c>
      <c r="I802" t="s">
        <v>34</v>
      </c>
      <c r="J802" t="s">
        <v>46</v>
      </c>
      <c r="K802" t="s">
        <v>41</v>
      </c>
      <c r="L802" t="s">
        <v>4382</v>
      </c>
      <c r="M802" t="s">
        <v>4383</v>
      </c>
      <c r="N802" t="s">
        <v>494</v>
      </c>
      <c r="O802" t="s">
        <v>69</v>
      </c>
      <c r="P802" t="s">
        <v>4384</v>
      </c>
      <c r="Q802" s="14" t="s">
        <v>141</v>
      </c>
      <c r="R802" t="s">
        <v>404</v>
      </c>
      <c r="S802">
        <v>0.79</v>
      </c>
      <c r="T802">
        <v>3753</v>
      </c>
      <c r="U802">
        <v>0</v>
      </c>
      <c r="V802">
        <v>3753</v>
      </c>
    </row>
    <row r="803" spans="1:22" x14ac:dyDescent="0.3">
      <c r="A803">
        <v>187830</v>
      </c>
      <c r="B803">
        <v>134741636</v>
      </c>
      <c r="C803" t="s">
        <v>4385</v>
      </c>
      <c r="D803" t="s">
        <v>4386</v>
      </c>
      <c r="E803" t="s">
        <v>4033</v>
      </c>
      <c r="F803" t="s">
        <v>491</v>
      </c>
      <c r="G803" t="s">
        <v>44</v>
      </c>
      <c r="H803" t="s">
        <v>45</v>
      </c>
      <c r="I803" t="s">
        <v>34</v>
      </c>
      <c r="J803" t="s">
        <v>46</v>
      </c>
      <c r="K803" t="s">
        <v>41</v>
      </c>
      <c r="L803" t="s">
        <v>4387</v>
      </c>
      <c r="M803" t="s">
        <v>4388</v>
      </c>
      <c r="N803" t="s">
        <v>494</v>
      </c>
      <c r="O803" t="s">
        <v>69</v>
      </c>
      <c r="P803" t="s">
        <v>4389</v>
      </c>
      <c r="Q803" s="14" t="s">
        <v>157</v>
      </c>
      <c r="R803" t="s">
        <v>479</v>
      </c>
      <c r="S803">
        <v>1</v>
      </c>
      <c r="T803">
        <v>3753</v>
      </c>
      <c r="U803">
        <v>0</v>
      </c>
      <c r="V803">
        <v>3753</v>
      </c>
    </row>
    <row r="804" spans="1:22" x14ac:dyDescent="0.3">
      <c r="A804">
        <v>187830</v>
      </c>
      <c r="B804">
        <v>134741678</v>
      </c>
      <c r="C804" t="s">
        <v>4390</v>
      </c>
      <c r="D804" t="s">
        <v>4391</v>
      </c>
      <c r="E804" t="s">
        <v>4033</v>
      </c>
      <c r="F804" t="s">
        <v>491</v>
      </c>
      <c r="G804" t="s">
        <v>44</v>
      </c>
      <c r="H804" t="s">
        <v>45</v>
      </c>
      <c r="I804" t="s">
        <v>34</v>
      </c>
      <c r="J804" t="s">
        <v>46</v>
      </c>
      <c r="K804" t="s">
        <v>41</v>
      </c>
      <c r="L804" t="s">
        <v>4392</v>
      </c>
      <c r="M804" t="s">
        <v>4393</v>
      </c>
      <c r="N804" t="s">
        <v>494</v>
      </c>
      <c r="O804" t="s">
        <v>69</v>
      </c>
      <c r="P804" t="s">
        <v>4394</v>
      </c>
      <c r="Q804" s="14" t="s">
        <v>109</v>
      </c>
      <c r="R804" t="s">
        <v>404</v>
      </c>
      <c r="S804">
        <v>2.86</v>
      </c>
      <c r="T804">
        <v>3784</v>
      </c>
      <c r="U804">
        <v>0</v>
      </c>
      <c r="V804">
        <v>3784</v>
      </c>
    </row>
    <row r="805" spans="1:22" x14ac:dyDescent="0.3">
      <c r="A805">
        <v>187830</v>
      </c>
      <c r="B805">
        <v>134741642</v>
      </c>
      <c r="C805" t="s">
        <v>4395</v>
      </c>
      <c r="D805" t="s">
        <v>4396</v>
      </c>
      <c r="E805" t="s">
        <v>4033</v>
      </c>
      <c r="F805" t="s">
        <v>491</v>
      </c>
      <c r="G805" t="s">
        <v>44</v>
      </c>
      <c r="H805" t="s">
        <v>45</v>
      </c>
      <c r="I805" t="s">
        <v>34</v>
      </c>
      <c r="J805" t="s">
        <v>46</v>
      </c>
      <c r="K805" t="s">
        <v>41</v>
      </c>
      <c r="L805" t="s">
        <v>4397</v>
      </c>
      <c r="M805" t="s">
        <v>4398</v>
      </c>
      <c r="N805" t="s">
        <v>494</v>
      </c>
      <c r="O805" t="s">
        <v>69</v>
      </c>
      <c r="P805" t="s">
        <v>4399</v>
      </c>
      <c r="Q805" s="14" t="s">
        <v>42</v>
      </c>
      <c r="R805" t="s">
        <v>479</v>
      </c>
      <c r="S805">
        <v>1</v>
      </c>
      <c r="T805">
        <v>3501</v>
      </c>
      <c r="U805">
        <v>0</v>
      </c>
      <c r="V805">
        <v>3501</v>
      </c>
    </row>
    <row r="806" spans="1:22" x14ac:dyDescent="0.3">
      <c r="A806">
        <v>187830</v>
      </c>
      <c r="B806">
        <v>134229551</v>
      </c>
      <c r="C806" t="s">
        <v>4400</v>
      </c>
      <c r="D806" t="s">
        <v>4401</v>
      </c>
      <c r="E806" t="s">
        <v>4033</v>
      </c>
      <c r="F806" t="s">
        <v>491</v>
      </c>
      <c r="G806" t="s">
        <v>44</v>
      </c>
      <c r="H806" t="s">
        <v>45</v>
      </c>
      <c r="I806" t="s">
        <v>34</v>
      </c>
      <c r="J806" t="s">
        <v>46</v>
      </c>
      <c r="K806" t="s">
        <v>41</v>
      </c>
      <c r="L806" t="s">
        <v>4402</v>
      </c>
      <c r="M806" t="s">
        <v>4403</v>
      </c>
      <c r="N806" t="s">
        <v>494</v>
      </c>
      <c r="O806" t="s">
        <v>69</v>
      </c>
      <c r="P806" t="s">
        <v>4404</v>
      </c>
      <c r="Q806" s="14" t="s">
        <v>178</v>
      </c>
      <c r="R806" t="s">
        <v>4261</v>
      </c>
      <c r="S806">
        <v>2.4500000000000002</v>
      </c>
      <c r="T806">
        <v>5476</v>
      </c>
      <c r="U806">
        <v>0</v>
      </c>
      <c r="V806">
        <v>5476</v>
      </c>
    </row>
    <row r="807" spans="1:22" x14ac:dyDescent="0.3">
      <c r="A807">
        <v>187830</v>
      </c>
      <c r="B807">
        <v>134329279</v>
      </c>
      <c r="C807" t="s">
        <v>4405</v>
      </c>
      <c r="D807" t="s">
        <v>4406</v>
      </c>
      <c r="E807" t="s">
        <v>4033</v>
      </c>
      <c r="F807" t="s">
        <v>491</v>
      </c>
      <c r="G807" t="s">
        <v>44</v>
      </c>
      <c r="H807" t="s">
        <v>45</v>
      </c>
      <c r="I807" t="s">
        <v>34</v>
      </c>
      <c r="J807" t="s">
        <v>46</v>
      </c>
      <c r="K807" t="s">
        <v>41</v>
      </c>
      <c r="L807" t="s">
        <v>4407</v>
      </c>
      <c r="M807" t="s">
        <v>4408</v>
      </c>
      <c r="N807" t="s">
        <v>494</v>
      </c>
      <c r="O807" t="s">
        <v>69</v>
      </c>
      <c r="P807" t="s">
        <v>4409</v>
      </c>
      <c r="Q807" s="14" t="s">
        <v>77</v>
      </c>
      <c r="R807" t="s">
        <v>4221</v>
      </c>
      <c r="S807">
        <v>0.72</v>
      </c>
      <c r="T807">
        <v>3753</v>
      </c>
      <c r="U807">
        <v>0</v>
      </c>
      <c r="V807">
        <v>3753</v>
      </c>
    </row>
    <row r="808" spans="1:22" x14ac:dyDescent="0.3">
      <c r="A808">
        <v>187830</v>
      </c>
      <c r="B808">
        <v>134741653</v>
      </c>
      <c r="C808" t="s">
        <v>4410</v>
      </c>
      <c r="D808" t="s">
        <v>4411</v>
      </c>
      <c r="E808" t="s">
        <v>4033</v>
      </c>
      <c r="F808" t="s">
        <v>491</v>
      </c>
      <c r="G808" t="s">
        <v>44</v>
      </c>
      <c r="H808" t="s">
        <v>45</v>
      </c>
      <c r="I808" t="s">
        <v>34</v>
      </c>
      <c r="J808" t="s">
        <v>46</v>
      </c>
      <c r="K808" t="s">
        <v>41</v>
      </c>
      <c r="L808" t="s">
        <v>4412</v>
      </c>
      <c r="M808" t="s">
        <v>4413</v>
      </c>
      <c r="N808" t="s">
        <v>494</v>
      </c>
      <c r="O808" t="s">
        <v>69</v>
      </c>
      <c r="P808" t="s">
        <v>4414</v>
      </c>
      <c r="Q808" s="14" t="s">
        <v>135</v>
      </c>
      <c r="R808" t="s">
        <v>404</v>
      </c>
      <c r="S808">
        <v>1.64</v>
      </c>
      <c r="T808">
        <v>3366</v>
      </c>
      <c r="U808">
        <v>0</v>
      </c>
      <c r="V808">
        <v>3366</v>
      </c>
    </row>
    <row r="809" spans="1:22" x14ac:dyDescent="0.3">
      <c r="A809">
        <v>187830</v>
      </c>
      <c r="B809">
        <v>134763759</v>
      </c>
      <c r="C809" t="s">
        <v>4415</v>
      </c>
      <c r="D809" t="s">
        <v>4416</v>
      </c>
      <c r="E809" t="s">
        <v>4033</v>
      </c>
      <c r="F809" t="s">
        <v>491</v>
      </c>
      <c r="G809" t="s">
        <v>44</v>
      </c>
      <c r="H809" t="s">
        <v>45</v>
      </c>
      <c r="I809" t="s">
        <v>34</v>
      </c>
      <c r="J809" t="s">
        <v>46</v>
      </c>
      <c r="K809" t="s">
        <v>41</v>
      </c>
      <c r="L809" t="s">
        <v>4417</v>
      </c>
      <c r="M809" t="s">
        <v>4418</v>
      </c>
      <c r="N809" t="s">
        <v>494</v>
      </c>
      <c r="O809" t="s">
        <v>69</v>
      </c>
      <c r="P809" t="s">
        <v>4419</v>
      </c>
      <c r="Q809" s="14" t="s">
        <v>68</v>
      </c>
      <c r="R809" t="s">
        <v>4365</v>
      </c>
      <c r="S809">
        <v>2.79</v>
      </c>
      <c r="T809">
        <v>3784</v>
      </c>
      <c r="U809">
        <v>0</v>
      </c>
      <c r="V809">
        <v>3784</v>
      </c>
    </row>
    <row r="810" spans="1:22" x14ac:dyDescent="0.3">
      <c r="A810">
        <v>187830</v>
      </c>
      <c r="B810">
        <v>134741646</v>
      </c>
      <c r="C810" t="s">
        <v>4420</v>
      </c>
      <c r="D810" t="s">
        <v>4421</v>
      </c>
      <c r="E810" t="s">
        <v>4033</v>
      </c>
      <c r="F810" t="s">
        <v>491</v>
      </c>
      <c r="G810" t="s">
        <v>44</v>
      </c>
      <c r="H810" t="s">
        <v>45</v>
      </c>
      <c r="I810" t="s">
        <v>34</v>
      </c>
      <c r="J810" t="s">
        <v>46</v>
      </c>
      <c r="K810" t="s">
        <v>41</v>
      </c>
      <c r="L810" t="s">
        <v>4422</v>
      </c>
      <c r="M810" t="s">
        <v>4423</v>
      </c>
      <c r="N810" t="s">
        <v>494</v>
      </c>
      <c r="O810" t="s">
        <v>69</v>
      </c>
      <c r="P810" t="s">
        <v>4424</v>
      </c>
      <c r="Q810" s="14" t="s">
        <v>85</v>
      </c>
      <c r="R810" t="s">
        <v>479</v>
      </c>
      <c r="S810">
        <v>2.19</v>
      </c>
      <c r="T810">
        <v>3784</v>
      </c>
      <c r="U810">
        <v>0</v>
      </c>
      <c r="V810">
        <v>3784</v>
      </c>
    </row>
    <row r="811" spans="1:22" x14ac:dyDescent="0.3">
      <c r="A811">
        <v>187830</v>
      </c>
      <c r="B811">
        <v>134741632</v>
      </c>
      <c r="C811" t="s">
        <v>4425</v>
      </c>
      <c r="D811" t="s">
        <v>4426</v>
      </c>
      <c r="E811" t="s">
        <v>4033</v>
      </c>
      <c r="F811" t="s">
        <v>491</v>
      </c>
      <c r="G811" t="s">
        <v>44</v>
      </c>
      <c r="H811" t="s">
        <v>45</v>
      </c>
      <c r="I811" t="s">
        <v>34</v>
      </c>
      <c r="J811" t="s">
        <v>46</v>
      </c>
      <c r="K811" t="s">
        <v>41</v>
      </c>
      <c r="L811" t="s">
        <v>4427</v>
      </c>
      <c r="M811" t="s">
        <v>4428</v>
      </c>
      <c r="N811" t="s">
        <v>494</v>
      </c>
      <c r="O811" t="s">
        <v>69</v>
      </c>
      <c r="P811" t="s">
        <v>4429</v>
      </c>
      <c r="Q811" s="14" t="s">
        <v>93</v>
      </c>
      <c r="R811" t="s">
        <v>479</v>
      </c>
      <c r="S811">
        <v>2.14</v>
      </c>
      <c r="T811">
        <v>4067</v>
      </c>
      <c r="U811">
        <v>0</v>
      </c>
      <c r="V811">
        <v>4067</v>
      </c>
    </row>
    <row r="812" spans="1:22" x14ac:dyDescent="0.3">
      <c r="A812">
        <v>187830</v>
      </c>
      <c r="B812">
        <v>134741652</v>
      </c>
      <c r="C812" t="s">
        <v>4430</v>
      </c>
      <c r="D812" t="s">
        <v>4431</v>
      </c>
      <c r="E812" t="s">
        <v>4033</v>
      </c>
      <c r="F812" t="s">
        <v>491</v>
      </c>
      <c r="G812" t="s">
        <v>44</v>
      </c>
      <c r="H812" t="s">
        <v>45</v>
      </c>
      <c r="I812" t="s">
        <v>34</v>
      </c>
      <c r="J812" t="s">
        <v>46</v>
      </c>
      <c r="K812" t="s">
        <v>41</v>
      </c>
      <c r="L812" t="s">
        <v>4432</v>
      </c>
      <c r="M812" t="s">
        <v>4433</v>
      </c>
      <c r="N812" t="s">
        <v>494</v>
      </c>
      <c r="O812" t="s">
        <v>69</v>
      </c>
      <c r="P812" t="s">
        <v>4434</v>
      </c>
      <c r="Q812" s="14" t="s">
        <v>43</v>
      </c>
      <c r="R812" t="s">
        <v>404</v>
      </c>
      <c r="S812">
        <v>3.6</v>
      </c>
      <c r="T812">
        <v>5111</v>
      </c>
      <c r="U812">
        <v>0</v>
      </c>
      <c r="V812">
        <v>5111</v>
      </c>
    </row>
    <row r="813" spans="1:22" x14ac:dyDescent="0.3">
      <c r="A813">
        <v>187830</v>
      </c>
      <c r="B813">
        <v>134229554</v>
      </c>
      <c r="C813" t="s">
        <v>4435</v>
      </c>
      <c r="D813" t="s">
        <v>4436</v>
      </c>
      <c r="E813" t="s">
        <v>4033</v>
      </c>
      <c r="F813" t="s">
        <v>491</v>
      </c>
      <c r="G813" t="s">
        <v>44</v>
      </c>
      <c r="H813" t="s">
        <v>45</v>
      </c>
      <c r="I813" t="s">
        <v>34</v>
      </c>
      <c r="J813" t="s">
        <v>46</v>
      </c>
      <c r="K813" t="s">
        <v>41</v>
      </c>
      <c r="L813" t="s">
        <v>4437</v>
      </c>
      <c r="M813" t="s">
        <v>4438</v>
      </c>
      <c r="N813" t="s">
        <v>494</v>
      </c>
      <c r="O813" t="s">
        <v>69</v>
      </c>
      <c r="P813" t="s">
        <v>4439</v>
      </c>
      <c r="Q813" s="14" t="s">
        <v>62</v>
      </c>
      <c r="R813" t="s">
        <v>4261</v>
      </c>
      <c r="S813">
        <v>1.64</v>
      </c>
      <c r="T813">
        <v>4067</v>
      </c>
      <c r="U813">
        <v>0</v>
      </c>
      <c r="V813">
        <v>4067</v>
      </c>
    </row>
    <row r="814" spans="1:22" x14ac:dyDescent="0.3">
      <c r="A814">
        <v>187830</v>
      </c>
      <c r="B814">
        <v>134741639</v>
      </c>
      <c r="C814" t="s">
        <v>4440</v>
      </c>
      <c r="D814" t="s">
        <v>4441</v>
      </c>
      <c r="E814" t="s">
        <v>4033</v>
      </c>
      <c r="F814" t="s">
        <v>491</v>
      </c>
      <c r="G814" t="s">
        <v>44</v>
      </c>
      <c r="H814" t="s">
        <v>45</v>
      </c>
      <c r="I814" t="s">
        <v>34</v>
      </c>
      <c r="J814" t="s">
        <v>46</v>
      </c>
      <c r="K814" t="s">
        <v>41</v>
      </c>
      <c r="L814" t="s">
        <v>4442</v>
      </c>
      <c r="M814" t="s">
        <v>4443</v>
      </c>
      <c r="N814" t="s">
        <v>494</v>
      </c>
      <c r="O814" t="s">
        <v>69</v>
      </c>
      <c r="P814" t="s">
        <v>4444</v>
      </c>
      <c r="Q814" s="14" t="s">
        <v>98</v>
      </c>
      <c r="R814" t="s">
        <v>479</v>
      </c>
      <c r="S814">
        <v>1.41</v>
      </c>
      <c r="T814">
        <v>3366</v>
      </c>
      <c r="U814">
        <v>0</v>
      </c>
      <c r="V814">
        <v>3366</v>
      </c>
    </row>
    <row r="815" spans="1:22" x14ac:dyDescent="0.3">
      <c r="A815">
        <v>187830</v>
      </c>
      <c r="B815">
        <v>134763754</v>
      </c>
      <c r="C815" t="s">
        <v>4445</v>
      </c>
      <c r="D815" t="s">
        <v>4446</v>
      </c>
      <c r="E815" t="s">
        <v>4033</v>
      </c>
      <c r="F815" t="s">
        <v>491</v>
      </c>
      <c r="G815" t="s">
        <v>44</v>
      </c>
      <c r="H815" t="s">
        <v>45</v>
      </c>
      <c r="I815" t="s">
        <v>34</v>
      </c>
      <c r="J815" t="s">
        <v>46</v>
      </c>
      <c r="K815" t="s">
        <v>41</v>
      </c>
      <c r="L815" t="s">
        <v>4447</v>
      </c>
      <c r="M815" t="s">
        <v>4448</v>
      </c>
      <c r="N815" t="s">
        <v>494</v>
      </c>
      <c r="O815" t="s">
        <v>69</v>
      </c>
      <c r="P815" t="s">
        <v>4449</v>
      </c>
      <c r="Q815" s="14" t="s">
        <v>109</v>
      </c>
      <c r="R815" t="s">
        <v>4365</v>
      </c>
      <c r="S815">
        <v>1.48</v>
      </c>
      <c r="T815">
        <v>3784</v>
      </c>
      <c r="U815">
        <v>0</v>
      </c>
      <c r="V815">
        <v>3784</v>
      </c>
    </row>
    <row r="816" spans="1:22" x14ac:dyDescent="0.3">
      <c r="A816">
        <v>187830</v>
      </c>
      <c r="B816">
        <v>134741635</v>
      </c>
      <c r="C816" t="s">
        <v>4450</v>
      </c>
      <c r="D816" t="s">
        <v>4451</v>
      </c>
      <c r="E816" t="s">
        <v>4033</v>
      </c>
      <c r="F816" t="s">
        <v>491</v>
      </c>
      <c r="G816" t="s">
        <v>44</v>
      </c>
      <c r="H816" t="s">
        <v>45</v>
      </c>
      <c r="I816" t="s">
        <v>34</v>
      </c>
      <c r="J816" t="s">
        <v>46</v>
      </c>
      <c r="K816" t="s">
        <v>41</v>
      </c>
      <c r="L816" t="s">
        <v>4452</v>
      </c>
      <c r="M816" t="s">
        <v>4453</v>
      </c>
      <c r="N816" t="s">
        <v>494</v>
      </c>
      <c r="O816" t="s">
        <v>69</v>
      </c>
      <c r="P816" t="s">
        <v>4454</v>
      </c>
      <c r="Q816" s="14" t="s">
        <v>83</v>
      </c>
      <c r="R816" t="s">
        <v>479</v>
      </c>
      <c r="S816">
        <v>0.98</v>
      </c>
      <c r="T816">
        <v>3366</v>
      </c>
      <c r="U816">
        <v>0</v>
      </c>
      <c r="V816">
        <v>3366</v>
      </c>
    </row>
    <row r="817" spans="1:22" x14ac:dyDescent="0.3">
      <c r="A817">
        <v>187830</v>
      </c>
      <c r="B817">
        <v>134634629</v>
      </c>
      <c r="C817" t="s">
        <v>4455</v>
      </c>
      <c r="D817" t="s">
        <v>4456</v>
      </c>
      <c r="E817" t="s">
        <v>4033</v>
      </c>
      <c r="F817" t="s">
        <v>491</v>
      </c>
      <c r="G817" t="s">
        <v>44</v>
      </c>
      <c r="H817" t="s">
        <v>45</v>
      </c>
      <c r="I817" t="s">
        <v>34</v>
      </c>
      <c r="J817" t="s">
        <v>46</v>
      </c>
      <c r="K817" t="s">
        <v>41</v>
      </c>
      <c r="L817" t="s">
        <v>4457</v>
      </c>
      <c r="M817" t="s">
        <v>4458</v>
      </c>
      <c r="N817" t="s">
        <v>494</v>
      </c>
      <c r="O817" t="s">
        <v>69</v>
      </c>
      <c r="P817" t="s">
        <v>4459</v>
      </c>
      <c r="Q817" s="14" t="s">
        <v>146</v>
      </c>
      <c r="R817" t="s">
        <v>4460</v>
      </c>
      <c r="S817">
        <v>1</v>
      </c>
      <c r="T817">
        <v>5759</v>
      </c>
      <c r="U817">
        <v>0</v>
      </c>
      <c r="V817">
        <v>5759</v>
      </c>
    </row>
    <row r="818" spans="1:22" x14ac:dyDescent="0.3">
      <c r="A818">
        <v>187830</v>
      </c>
      <c r="B818">
        <v>134741680</v>
      </c>
      <c r="C818" t="s">
        <v>4461</v>
      </c>
      <c r="D818" t="s">
        <v>4462</v>
      </c>
      <c r="E818" t="s">
        <v>4033</v>
      </c>
      <c r="F818" t="s">
        <v>491</v>
      </c>
      <c r="G818" t="s">
        <v>44</v>
      </c>
      <c r="H818" t="s">
        <v>45</v>
      </c>
      <c r="I818" t="s">
        <v>34</v>
      </c>
      <c r="J818" t="s">
        <v>46</v>
      </c>
      <c r="K818" t="s">
        <v>41</v>
      </c>
      <c r="L818" t="s">
        <v>4463</v>
      </c>
      <c r="M818" t="s">
        <v>457</v>
      </c>
      <c r="N818" t="s">
        <v>494</v>
      </c>
      <c r="O818" t="s">
        <v>69</v>
      </c>
      <c r="P818" t="s">
        <v>458</v>
      </c>
      <c r="Q818" s="14" t="s">
        <v>156</v>
      </c>
      <c r="R818" t="s">
        <v>404</v>
      </c>
      <c r="S818">
        <v>1</v>
      </c>
      <c r="T818">
        <v>3870</v>
      </c>
      <c r="U818">
        <v>0</v>
      </c>
      <c r="V818">
        <v>3870</v>
      </c>
    </row>
    <row r="819" spans="1:22" x14ac:dyDescent="0.3">
      <c r="A819">
        <v>187830</v>
      </c>
      <c r="B819">
        <v>134741634</v>
      </c>
      <c r="C819" t="s">
        <v>4464</v>
      </c>
      <c r="D819" t="s">
        <v>4465</v>
      </c>
      <c r="E819" t="s">
        <v>4033</v>
      </c>
      <c r="F819" t="s">
        <v>491</v>
      </c>
      <c r="G819" t="s">
        <v>44</v>
      </c>
      <c r="H819" t="s">
        <v>45</v>
      </c>
      <c r="I819" t="s">
        <v>34</v>
      </c>
      <c r="J819" t="s">
        <v>46</v>
      </c>
      <c r="K819" t="s">
        <v>41</v>
      </c>
      <c r="L819" t="s">
        <v>4466</v>
      </c>
      <c r="M819" t="s">
        <v>4467</v>
      </c>
      <c r="N819" t="s">
        <v>494</v>
      </c>
      <c r="O819" t="s">
        <v>69</v>
      </c>
      <c r="P819" t="s">
        <v>4468</v>
      </c>
      <c r="Q819" s="14" t="s">
        <v>89</v>
      </c>
      <c r="R819" t="s">
        <v>479</v>
      </c>
      <c r="S819">
        <v>1.48</v>
      </c>
      <c r="T819">
        <v>3753</v>
      </c>
      <c r="U819">
        <v>0</v>
      </c>
      <c r="V819">
        <v>3753</v>
      </c>
    </row>
    <row r="820" spans="1:22" x14ac:dyDescent="0.3">
      <c r="A820">
        <v>187830</v>
      </c>
      <c r="B820">
        <v>134741682</v>
      </c>
      <c r="C820" t="s">
        <v>4469</v>
      </c>
      <c r="D820" t="s">
        <v>4470</v>
      </c>
      <c r="E820" t="s">
        <v>4033</v>
      </c>
      <c r="F820" t="s">
        <v>491</v>
      </c>
      <c r="G820" t="s">
        <v>44</v>
      </c>
      <c r="H820" t="s">
        <v>45</v>
      </c>
      <c r="I820" t="s">
        <v>34</v>
      </c>
      <c r="J820" t="s">
        <v>46</v>
      </c>
      <c r="K820" t="s">
        <v>41</v>
      </c>
      <c r="L820" t="s">
        <v>4471</v>
      </c>
      <c r="M820" t="s">
        <v>4472</v>
      </c>
      <c r="N820" t="s">
        <v>494</v>
      </c>
      <c r="O820" t="s">
        <v>69</v>
      </c>
      <c r="P820" t="s">
        <v>4473</v>
      </c>
      <c r="Q820" s="14" t="s">
        <v>89</v>
      </c>
      <c r="R820" t="s">
        <v>404</v>
      </c>
      <c r="S820">
        <v>0.22</v>
      </c>
      <c r="T820">
        <v>3680</v>
      </c>
      <c r="U820">
        <v>0</v>
      </c>
      <c r="V820">
        <v>3680</v>
      </c>
    </row>
    <row r="821" spans="1:22" x14ac:dyDescent="0.3">
      <c r="A821">
        <v>187830</v>
      </c>
      <c r="B821">
        <v>134763751</v>
      </c>
      <c r="C821" t="s">
        <v>4474</v>
      </c>
      <c r="D821" t="s">
        <v>4475</v>
      </c>
      <c r="E821" t="s">
        <v>4033</v>
      </c>
      <c r="F821" t="s">
        <v>491</v>
      </c>
      <c r="G821" t="s">
        <v>44</v>
      </c>
      <c r="H821" t="s">
        <v>45</v>
      </c>
      <c r="I821" t="s">
        <v>34</v>
      </c>
      <c r="J821" t="s">
        <v>46</v>
      </c>
      <c r="K821" t="s">
        <v>41</v>
      </c>
      <c r="L821" t="s">
        <v>4476</v>
      </c>
      <c r="M821" t="s">
        <v>4477</v>
      </c>
      <c r="N821" t="s">
        <v>494</v>
      </c>
      <c r="O821" t="s">
        <v>69</v>
      </c>
      <c r="P821" t="s">
        <v>4478</v>
      </c>
      <c r="Q821" s="14" t="s">
        <v>62</v>
      </c>
      <c r="R821" t="s">
        <v>4365</v>
      </c>
      <c r="S821">
        <v>2.1</v>
      </c>
      <c r="T821">
        <v>4067</v>
      </c>
      <c r="U821">
        <v>0</v>
      </c>
      <c r="V821">
        <v>4067</v>
      </c>
    </row>
    <row r="822" spans="1:22" x14ac:dyDescent="0.3">
      <c r="A822">
        <v>187830</v>
      </c>
      <c r="B822">
        <v>134763758</v>
      </c>
      <c r="C822" t="s">
        <v>4479</v>
      </c>
      <c r="D822" t="s">
        <v>4480</v>
      </c>
      <c r="E822" t="s">
        <v>4033</v>
      </c>
      <c r="F822" t="s">
        <v>491</v>
      </c>
      <c r="G822" t="s">
        <v>44</v>
      </c>
      <c r="H822" t="s">
        <v>45</v>
      </c>
      <c r="I822" t="s">
        <v>34</v>
      </c>
      <c r="J822" t="s">
        <v>46</v>
      </c>
      <c r="K822" t="s">
        <v>41</v>
      </c>
      <c r="L822" t="s">
        <v>4481</v>
      </c>
      <c r="M822" t="s">
        <v>4482</v>
      </c>
      <c r="N822" t="s">
        <v>494</v>
      </c>
      <c r="O822" t="s">
        <v>69</v>
      </c>
      <c r="P822" t="s">
        <v>4483</v>
      </c>
      <c r="Q822" s="14" t="s">
        <v>43</v>
      </c>
      <c r="R822" t="s">
        <v>4365</v>
      </c>
      <c r="S822">
        <v>1.6</v>
      </c>
      <c r="T822">
        <v>4067</v>
      </c>
      <c r="U822">
        <v>0</v>
      </c>
      <c r="V822">
        <v>4067</v>
      </c>
    </row>
    <row r="823" spans="1:22" x14ac:dyDescent="0.3">
      <c r="A823">
        <v>187830</v>
      </c>
      <c r="B823">
        <v>134741688</v>
      </c>
      <c r="C823" t="s">
        <v>4484</v>
      </c>
      <c r="D823" t="s">
        <v>4485</v>
      </c>
      <c r="E823" t="s">
        <v>4033</v>
      </c>
      <c r="F823" t="s">
        <v>491</v>
      </c>
      <c r="G823" t="s">
        <v>44</v>
      </c>
      <c r="H823" t="s">
        <v>45</v>
      </c>
      <c r="I823" t="s">
        <v>34</v>
      </c>
      <c r="J823" t="s">
        <v>46</v>
      </c>
      <c r="K823" t="s">
        <v>41</v>
      </c>
      <c r="L823" t="s">
        <v>4486</v>
      </c>
      <c r="M823" t="s">
        <v>987</v>
      </c>
      <c r="N823" t="s">
        <v>494</v>
      </c>
      <c r="O823" t="s">
        <v>69</v>
      </c>
      <c r="P823" t="s">
        <v>4487</v>
      </c>
      <c r="Q823" s="14" t="s">
        <v>83</v>
      </c>
      <c r="R823" t="s">
        <v>404</v>
      </c>
      <c r="S823">
        <v>1.85</v>
      </c>
      <c r="T823">
        <v>3366</v>
      </c>
      <c r="U823">
        <v>0</v>
      </c>
      <c r="V823">
        <v>3366</v>
      </c>
    </row>
    <row r="824" spans="1:22" x14ac:dyDescent="0.3">
      <c r="A824">
        <v>187830</v>
      </c>
      <c r="B824">
        <v>134741665</v>
      </c>
      <c r="C824" t="s">
        <v>4488</v>
      </c>
      <c r="D824" t="s">
        <v>4489</v>
      </c>
      <c r="E824" t="s">
        <v>4033</v>
      </c>
      <c r="F824" t="s">
        <v>491</v>
      </c>
      <c r="G824" t="s">
        <v>44</v>
      </c>
      <c r="H824" t="s">
        <v>45</v>
      </c>
      <c r="I824" t="s">
        <v>34</v>
      </c>
      <c r="J824" t="s">
        <v>46</v>
      </c>
      <c r="K824" t="s">
        <v>41</v>
      </c>
      <c r="L824" t="s">
        <v>4490</v>
      </c>
      <c r="M824" t="s">
        <v>4491</v>
      </c>
      <c r="N824" t="s">
        <v>494</v>
      </c>
      <c r="O824" t="s">
        <v>69</v>
      </c>
      <c r="P824" t="s">
        <v>4492</v>
      </c>
      <c r="Q824" s="14" t="s">
        <v>201</v>
      </c>
      <c r="R824" t="s">
        <v>404</v>
      </c>
      <c r="S824">
        <v>1.65</v>
      </c>
      <c r="T824">
        <v>3366</v>
      </c>
      <c r="U824">
        <v>0</v>
      </c>
      <c r="V824">
        <v>3366</v>
      </c>
    </row>
    <row r="825" spans="1:22" x14ac:dyDescent="0.3">
      <c r="A825">
        <v>187830</v>
      </c>
      <c r="B825">
        <v>134615544</v>
      </c>
      <c r="C825" t="s">
        <v>4493</v>
      </c>
      <c r="D825" t="s">
        <v>4494</v>
      </c>
      <c r="E825" t="s">
        <v>4033</v>
      </c>
      <c r="F825" t="s">
        <v>491</v>
      </c>
      <c r="G825" t="s">
        <v>44</v>
      </c>
      <c r="H825" t="s">
        <v>45</v>
      </c>
      <c r="I825" t="s">
        <v>34</v>
      </c>
      <c r="J825" t="s">
        <v>46</v>
      </c>
      <c r="K825" t="s">
        <v>41</v>
      </c>
      <c r="L825" t="s">
        <v>4495</v>
      </c>
      <c r="M825" t="s">
        <v>4496</v>
      </c>
      <c r="N825" t="s">
        <v>494</v>
      </c>
      <c r="O825" t="s">
        <v>69</v>
      </c>
      <c r="P825" t="s">
        <v>4497</v>
      </c>
      <c r="Q825" s="14" t="s">
        <v>43</v>
      </c>
      <c r="R825" t="s">
        <v>4255</v>
      </c>
      <c r="S825">
        <v>1.4</v>
      </c>
      <c r="T825">
        <v>4067</v>
      </c>
      <c r="U825">
        <v>0</v>
      </c>
      <c r="V825">
        <v>4067</v>
      </c>
    </row>
    <row r="826" spans="1:22" x14ac:dyDescent="0.3">
      <c r="A826">
        <v>187830</v>
      </c>
      <c r="B826">
        <v>134615530</v>
      </c>
      <c r="C826" t="s">
        <v>4498</v>
      </c>
      <c r="D826" t="s">
        <v>4499</v>
      </c>
      <c r="E826" t="s">
        <v>4033</v>
      </c>
      <c r="F826" t="s">
        <v>491</v>
      </c>
      <c r="G826" t="s">
        <v>44</v>
      </c>
      <c r="H826" t="s">
        <v>45</v>
      </c>
      <c r="I826" t="s">
        <v>34</v>
      </c>
      <c r="J826" t="s">
        <v>46</v>
      </c>
      <c r="K826" t="s">
        <v>41</v>
      </c>
      <c r="L826" t="s">
        <v>4500</v>
      </c>
      <c r="M826" t="s">
        <v>4501</v>
      </c>
      <c r="N826" t="s">
        <v>494</v>
      </c>
      <c r="O826" t="s">
        <v>69</v>
      </c>
      <c r="P826" t="s">
        <v>4502</v>
      </c>
      <c r="Q826" s="14" t="s">
        <v>70</v>
      </c>
      <c r="R826" t="s">
        <v>4255</v>
      </c>
      <c r="S826">
        <v>2.91</v>
      </c>
      <c r="T826">
        <v>5198</v>
      </c>
      <c r="U826">
        <v>0</v>
      </c>
      <c r="V826">
        <v>5198</v>
      </c>
    </row>
    <row r="827" spans="1:22" x14ac:dyDescent="0.3">
      <c r="A827">
        <v>187830</v>
      </c>
      <c r="B827">
        <v>134615531</v>
      </c>
      <c r="C827" t="s">
        <v>4503</v>
      </c>
      <c r="D827" t="s">
        <v>4504</v>
      </c>
      <c r="E827" t="s">
        <v>4033</v>
      </c>
      <c r="F827" t="s">
        <v>491</v>
      </c>
      <c r="G827" t="s">
        <v>44</v>
      </c>
      <c r="H827" t="s">
        <v>45</v>
      </c>
      <c r="I827" t="s">
        <v>34</v>
      </c>
      <c r="J827" t="s">
        <v>46</v>
      </c>
      <c r="K827" t="s">
        <v>41</v>
      </c>
      <c r="L827" t="s">
        <v>4505</v>
      </c>
      <c r="M827" t="s">
        <v>4506</v>
      </c>
      <c r="N827" t="s">
        <v>494</v>
      </c>
      <c r="O827" t="s">
        <v>69</v>
      </c>
      <c r="P827" t="s">
        <v>4507</v>
      </c>
      <c r="Q827" s="14" t="s">
        <v>89</v>
      </c>
      <c r="R827" t="s">
        <v>4255</v>
      </c>
      <c r="S827">
        <v>1.55</v>
      </c>
      <c r="T827">
        <v>3753</v>
      </c>
      <c r="U827">
        <v>0</v>
      </c>
      <c r="V827">
        <v>3753</v>
      </c>
    </row>
    <row r="828" spans="1:22" x14ac:dyDescent="0.3">
      <c r="A828">
        <v>187830</v>
      </c>
      <c r="B828">
        <v>134634634</v>
      </c>
      <c r="C828" t="s">
        <v>4508</v>
      </c>
      <c r="D828" t="s">
        <v>4509</v>
      </c>
      <c r="E828" t="s">
        <v>4033</v>
      </c>
      <c r="F828" t="s">
        <v>491</v>
      </c>
      <c r="G828" t="s">
        <v>44</v>
      </c>
      <c r="H828" t="s">
        <v>45</v>
      </c>
      <c r="I828" t="s">
        <v>34</v>
      </c>
      <c r="J828" t="s">
        <v>46</v>
      </c>
      <c r="K828" t="s">
        <v>41</v>
      </c>
      <c r="L828" t="s">
        <v>4510</v>
      </c>
      <c r="M828" t="s">
        <v>4511</v>
      </c>
      <c r="N828" t="s">
        <v>494</v>
      </c>
      <c r="O828" t="s">
        <v>69</v>
      </c>
      <c r="P828" t="s">
        <v>4512</v>
      </c>
      <c r="Q828" s="14" t="s">
        <v>70</v>
      </c>
      <c r="R828" t="s">
        <v>4460</v>
      </c>
      <c r="S828">
        <v>1</v>
      </c>
      <c r="T828">
        <v>5198</v>
      </c>
      <c r="U828">
        <v>0</v>
      </c>
      <c r="V828">
        <v>5198</v>
      </c>
    </row>
    <row r="829" spans="1:22" x14ac:dyDescent="0.3">
      <c r="A829">
        <v>187830</v>
      </c>
      <c r="B829">
        <v>134615553</v>
      </c>
      <c r="C829" t="s">
        <v>4513</v>
      </c>
      <c r="D829" t="s">
        <v>4514</v>
      </c>
      <c r="E829" t="s">
        <v>4033</v>
      </c>
      <c r="F829" t="s">
        <v>491</v>
      </c>
      <c r="G829" t="s">
        <v>44</v>
      </c>
      <c r="H829" t="s">
        <v>45</v>
      </c>
      <c r="I829" t="s">
        <v>34</v>
      </c>
      <c r="J829" t="s">
        <v>46</v>
      </c>
      <c r="K829" t="s">
        <v>41</v>
      </c>
      <c r="L829" t="s">
        <v>4515</v>
      </c>
      <c r="M829" t="s">
        <v>4516</v>
      </c>
      <c r="N829" t="s">
        <v>494</v>
      </c>
      <c r="O829" t="s">
        <v>69</v>
      </c>
      <c r="P829" t="s">
        <v>4517</v>
      </c>
      <c r="Q829" s="14" t="s">
        <v>53</v>
      </c>
      <c r="R829" t="s">
        <v>4255</v>
      </c>
      <c r="S829">
        <v>2.98</v>
      </c>
      <c r="T829">
        <v>4067</v>
      </c>
      <c r="U829">
        <v>0</v>
      </c>
      <c r="V829">
        <v>4067</v>
      </c>
    </row>
    <row r="830" spans="1:22" x14ac:dyDescent="0.3">
      <c r="A830">
        <v>187830</v>
      </c>
      <c r="B830">
        <v>134615552</v>
      </c>
      <c r="C830" t="s">
        <v>4518</v>
      </c>
      <c r="D830" t="s">
        <v>4519</v>
      </c>
      <c r="E830" t="s">
        <v>4033</v>
      </c>
      <c r="F830" t="s">
        <v>491</v>
      </c>
      <c r="G830" t="s">
        <v>44</v>
      </c>
      <c r="H830" t="s">
        <v>45</v>
      </c>
      <c r="I830" t="s">
        <v>34</v>
      </c>
      <c r="J830" t="s">
        <v>46</v>
      </c>
      <c r="K830" t="s">
        <v>56</v>
      </c>
      <c r="L830" t="s">
        <v>57</v>
      </c>
      <c r="M830" t="s">
        <v>4520</v>
      </c>
      <c r="N830" t="s">
        <v>494</v>
      </c>
      <c r="O830" t="s">
        <v>69</v>
      </c>
      <c r="P830" t="s">
        <v>4521</v>
      </c>
      <c r="Q830" s="14" t="s">
        <v>218</v>
      </c>
      <c r="R830" t="s">
        <v>4255</v>
      </c>
      <c r="S830">
        <v>1</v>
      </c>
      <c r="T830">
        <v>3784</v>
      </c>
      <c r="U830">
        <v>0</v>
      </c>
      <c r="V830">
        <v>3784</v>
      </c>
    </row>
    <row r="831" spans="1:22" x14ac:dyDescent="0.3">
      <c r="A831">
        <v>187830</v>
      </c>
      <c r="B831">
        <v>134615542</v>
      </c>
      <c r="C831" t="s">
        <v>4522</v>
      </c>
      <c r="D831" t="s">
        <v>4523</v>
      </c>
      <c r="E831" t="s">
        <v>4033</v>
      </c>
      <c r="F831" t="s">
        <v>491</v>
      </c>
      <c r="G831" t="s">
        <v>44</v>
      </c>
      <c r="H831" t="s">
        <v>45</v>
      </c>
      <c r="I831" t="s">
        <v>34</v>
      </c>
      <c r="J831" t="s">
        <v>46</v>
      </c>
      <c r="K831" t="s">
        <v>41</v>
      </c>
      <c r="L831" t="s">
        <v>4524</v>
      </c>
      <c r="M831" t="s">
        <v>4525</v>
      </c>
      <c r="N831" t="s">
        <v>494</v>
      </c>
      <c r="O831" t="s">
        <v>69</v>
      </c>
      <c r="P831" t="s">
        <v>4526</v>
      </c>
      <c r="Q831" s="14" t="s">
        <v>152</v>
      </c>
      <c r="R831" t="s">
        <v>4255</v>
      </c>
      <c r="S831">
        <v>1</v>
      </c>
      <c r="T831">
        <v>3366</v>
      </c>
      <c r="U831">
        <v>0</v>
      </c>
      <c r="V831">
        <v>3366</v>
      </c>
    </row>
    <row r="832" spans="1:22" x14ac:dyDescent="0.3">
      <c r="A832">
        <v>187830</v>
      </c>
      <c r="B832">
        <v>134615556</v>
      </c>
      <c r="C832" t="s">
        <v>4527</v>
      </c>
      <c r="D832" t="s">
        <v>4528</v>
      </c>
      <c r="E832" t="s">
        <v>4033</v>
      </c>
      <c r="F832" t="s">
        <v>491</v>
      </c>
      <c r="G832" t="s">
        <v>44</v>
      </c>
      <c r="H832" t="s">
        <v>45</v>
      </c>
      <c r="I832" t="s">
        <v>34</v>
      </c>
      <c r="J832" t="s">
        <v>46</v>
      </c>
      <c r="K832" t="s">
        <v>41</v>
      </c>
      <c r="L832" t="s">
        <v>4529</v>
      </c>
      <c r="M832" t="s">
        <v>4530</v>
      </c>
      <c r="N832" t="s">
        <v>494</v>
      </c>
      <c r="O832" t="s">
        <v>69</v>
      </c>
      <c r="P832" t="s">
        <v>4531</v>
      </c>
      <c r="Q832" s="14" t="s">
        <v>186</v>
      </c>
      <c r="R832" t="s">
        <v>4255</v>
      </c>
      <c r="S832">
        <v>1</v>
      </c>
      <c r="T832">
        <v>3784</v>
      </c>
      <c r="U832">
        <v>0</v>
      </c>
      <c r="V832">
        <v>3784</v>
      </c>
    </row>
    <row r="833" spans="1:22" x14ac:dyDescent="0.3">
      <c r="A833">
        <v>187830</v>
      </c>
      <c r="B833">
        <v>134634627</v>
      </c>
      <c r="C833" t="s">
        <v>4532</v>
      </c>
      <c r="D833" t="s">
        <v>4533</v>
      </c>
      <c r="E833" t="s">
        <v>4033</v>
      </c>
      <c r="F833" t="s">
        <v>491</v>
      </c>
      <c r="G833" t="s">
        <v>44</v>
      </c>
      <c r="H833" t="s">
        <v>45</v>
      </c>
      <c r="I833" t="s">
        <v>34</v>
      </c>
      <c r="J833" t="s">
        <v>46</v>
      </c>
      <c r="K833" t="s">
        <v>41</v>
      </c>
      <c r="L833" t="s">
        <v>4534</v>
      </c>
      <c r="M833" t="s">
        <v>4275</v>
      </c>
      <c r="N833" t="s">
        <v>494</v>
      </c>
      <c r="O833" t="s">
        <v>69</v>
      </c>
      <c r="P833" t="s">
        <v>4276</v>
      </c>
      <c r="Q833" s="14" t="s">
        <v>83</v>
      </c>
      <c r="R833" t="s">
        <v>4460</v>
      </c>
      <c r="S833">
        <v>0.22</v>
      </c>
      <c r="T833">
        <v>3299</v>
      </c>
      <c r="U833">
        <v>0</v>
      </c>
      <c r="V833">
        <v>3299</v>
      </c>
    </row>
    <row r="834" spans="1:22" x14ac:dyDescent="0.3">
      <c r="A834">
        <v>187830</v>
      </c>
      <c r="B834">
        <v>134634632</v>
      </c>
      <c r="C834" t="s">
        <v>4535</v>
      </c>
      <c r="D834" t="s">
        <v>4536</v>
      </c>
      <c r="E834" t="s">
        <v>4033</v>
      </c>
      <c r="F834" t="s">
        <v>491</v>
      </c>
      <c r="G834" t="s">
        <v>44</v>
      </c>
      <c r="H834" t="s">
        <v>45</v>
      </c>
      <c r="I834" t="s">
        <v>34</v>
      </c>
      <c r="J834" t="s">
        <v>46</v>
      </c>
      <c r="K834" t="s">
        <v>41</v>
      </c>
      <c r="L834" t="s">
        <v>4537</v>
      </c>
      <c r="M834" t="s">
        <v>4538</v>
      </c>
      <c r="N834" t="s">
        <v>494</v>
      </c>
      <c r="O834" t="s">
        <v>69</v>
      </c>
      <c r="P834" t="s">
        <v>4539</v>
      </c>
      <c r="Q834" s="14" t="s">
        <v>98</v>
      </c>
      <c r="R834" t="s">
        <v>4460</v>
      </c>
      <c r="S834">
        <v>1.98</v>
      </c>
      <c r="T834">
        <v>3366</v>
      </c>
      <c r="U834">
        <v>0</v>
      </c>
      <c r="V834">
        <v>3366</v>
      </c>
    </row>
    <row r="835" spans="1:22" x14ac:dyDescent="0.3">
      <c r="A835">
        <v>187830</v>
      </c>
      <c r="B835">
        <v>134615537</v>
      </c>
      <c r="C835" t="s">
        <v>4540</v>
      </c>
      <c r="D835" t="s">
        <v>4541</v>
      </c>
      <c r="E835" t="s">
        <v>4033</v>
      </c>
      <c r="F835" t="s">
        <v>491</v>
      </c>
      <c r="G835" t="s">
        <v>44</v>
      </c>
      <c r="H835" t="s">
        <v>45</v>
      </c>
      <c r="I835" t="s">
        <v>34</v>
      </c>
      <c r="J835" t="s">
        <v>46</v>
      </c>
      <c r="K835" t="s">
        <v>41</v>
      </c>
      <c r="L835" t="s">
        <v>4542</v>
      </c>
      <c r="M835" t="s">
        <v>4543</v>
      </c>
      <c r="N835" t="s">
        <v>494</v>
      </c>
      <c r="O835" t="s">
        <v>69</v>
      </c>
      <c r="P835" t="s">
        <v>4544</v>
      </c>
      <c r="Q835" s="14" t="s">
        <v>107</v>
      </c>
      <c r="R835" t="s">
        <v>4255</v>
      </c>
      <c r="S835">
        <v>1</v>
      </c>
      <c r="T835">
        <v>3784</v>
      </c>
      <c r="U835">
        <v>0</v>
      </c>
      <c r="V835">
        <v>3784</v>
      </c>
    </row>
    <row r="836" spans="1:22" x14ac:dyDescent="0.3">
      <c r="A836">
        <v>187830</v>
      </c>
      <c r="B836">
        <v>134615551</v>
      </c>
      <c r="C836" t="s">
        <v>4545</v>
      </c>
      <c r="D836" t="s">
        <v>4546</v>
      </c>
      <c r="E836" t="s">
        <v>4033</v>
      </c>
      <c r="F836" t="s">
        <v>491</v>
      </c>
      <c r="G836" t="s">
        <v>44</v>
      </c>
      <c r="H836" t="s">
        <v>45</v>
      </c>
      <c r="I836" t="s">
        <v>34</v>
      </c>
      <c r="J836" t="s">
        <v>46</v>
      </c>
      <c r="K836" t="s">
        <v>41</v>
      </c>
      <c r="L836" t="s">
        <v>4547</v>
      </c>
      <c r="M836" t="s">
        <v>4548</v>
      </c>
      <c r="N836" t="s">
        <v>494</v>
      </c>
      <c r="O836" t="s">
        <v>69</v>
      </c>
      <c r="P836" t="s">
        <v>4549</v>
      </c>
      <c r="Q836" s="14" t="s">
        <v>89</v>
      </c>
      <c r="R836" t="s">
        <v>4255</v>
      </c>
      <c r="S836">
        <v>2</v>
      </c>
      <c r="T836">
        <v>3753</v>
      </c>
      <c r="U836">
        <v>0</v>
      </c>
      <c r="V836">
        <v>3753</v>
      </c>
    </row>
    <row r="837" spans="1:22" x14ac:dyDescent="0.3">
      <c r="A837">
        <v>187830</v>
      </c>
      <c r="B837">
        <v>134615554</v>
      </c>
      <c r="C837" t="s">
        <v>4550</v>
      </c>
      <c r="D837" t="s">
        <v>4551</v>
      </c>
      <c r="E837" t="s">
        <v>4033</v>
      </c>
      <c r="F837" t="s">
        <v>491</v>
      </c>
      <c r="G837" t="s">
        <v>44</v>
      </c>
      <c r="H837" t="s">
        <v>45</v>
      </c>
      <c r="I837" t="s">
        <v>34</v>
      </c>
      <c r="J837" t="s">
        <v>46</v>
      </c>
      <c r="K837" t="s">
        <v>56</v>
      </c>
      <c r="L837" t="s">
        <v>57</v>
      </c>
      <c r="M837" t="s">
        <v>4552</v>
      </c>
      <c r="N837" t="s">
        <v>494</v>
      </c>
      <c r="O837" t="s">
        <v>69</v>
      </c>
      <c r="P837" t="s">
        <v>4553</v>
      </c>
      <c r="Q837" s="14" t="s">
        <v>92</v>
      </c>
      <c r="R837" t="s">
        <v>4255</v>
      </c>
      <c r="S837">
        <v>1</v>
      </c>
      <c r="T837">
        <v>3753</v>
      </c>
      <c r="U837">
        <v>0</v>
      </c>
      <c r="V837">
        <v>3753</v>
      </c>
    </row>
    <row r="838" spans="1:22" x14ac:dyDescent="0.3">
      <c r="A838">
        <v>187830</v>
      </c>
      <c r="B838">
        <v>134615547</v>
      </c>
      <c r="C838" t="s">
        <v>4554</v>
      </c>
      <c r="D838" t="s">
        <v>4555</v>
      </c>
      <c r="E838" t="s">
        <v>4033</v>
      </c>
      <c r="F838" t="s">
        <v>491</v>
      </c>
      <c r="G838" t="s">
        <v>44</v>
      </c>
      <c r="H838" t="s">
        <v>45</v>
      </c>
      <c r="I838" t="s">
        <v>34</v>
      </c>
      <c r="J838" t="s">
        <v>46</v>
      </c>
      <c r="K838" t="s">
        <v>41</v>
      </c>
      <c r="L838" t="s">
        <v>4556</v>
      </c>
      <c r="M838" t="s">
        <v>4557</v>
      </c>
      <c r="N838" t="s">
        <v>494</v>
      </c>
      <c r="O838" t="s">
        <v>69</v>
      </c>
      <c r="P838" t="s">
        <v>4558</v>
      </c>
      <c r="Q838" s="14" t="s">
        <v>108</v>
      </c>
      <c r="R838" t="s">
        <v>4255</v>
      </c>
      <c r="S838">
        <v>1.76</v>
      </c>
      <c r="T838">
        <v>3753</v>
      </c>
      <c r="U838">
        <v>0</v>
      </c>
      <c r="V838">
        <v>3753</v>
      </c>
    </row>
    <row r="839" spans="1:22" x14ac:dyDescent="0.3">
      <c r="A839">
        <v>187830</v>
      </c>
      <c r="B839">
        <v>134741638</v>
      </c>
      <c r="C839" t="s">
        <v>4559</v>
      </c>
      <c r="D839" t="s">
        <v>4560</v>
      </c>
      <c r="E839" t="s">
        <v>4033</v>
      </c>
      <c r="F839" t="s">
        <v>491</v>
      </c>
      <c r="G839" t="s">
        <v>44</v>
      </c>
      <c r="H839" t="s">
        <v>45</v>
      </c>
      <c r="I839" t="s">
        <v>34</v>
      </c>
      <c r="J839" t="s">
        <v>46</v>
      </c>
      <c r="K839" t="s">
        <v>41</v>
      </c>
      <c r="L839" t="s">
        <v>4561</v>
      </c>
      <c r="M839" t="s">
        <v>4562</v>
      </c>
      <c r="N839" t="s">
        <v>494</v>
      </c>
      <c r="O839" t="s">
        <v>69</v>
      </c>
      <c r="P839" t="s">
        <v>4563</v>
      </c>
      <c r="Q839" s="14" t="s">
        <v>43</v>
      </c>
      <c r="R839" t="s">
        <v>479</v>
      </c>
      <c r="S839">
        <v>1.58</v>
      </c>
      <c r="T839">
        <v>4351</v>
      </c>
      <c r="U839">
        <v>0</v>
      </c>
      <c r="V839">
        <v>4351</v>
      </c>
    </row>
    <row r="840" spans="1:22" x14ac:dyDescent="0.3">
      <c r="A840">
        <v>187830</v>
      </c>
      <c r="B840">
        <v>135377153</v>
      </c>
      <c r="C840" t="s">
        <v>4564</v>
      </c>
      <c r="D840" t="s">
        <v>4565</v>
      </c>
      <c r="E840" t="s">
        <v>4033</v>
      </c>
      <c r="F840" t="s">
        <v>491</v>
      </c>
      <c r="G840" t="s">
        <v>104</v>
      </c>
      <c r="H840" t="s">
        <v>105</v>
      </c>
      <c r="I840" t="s">
        <v>34</v>
      </c>
      <c r="J840" t="s">
        <v>106</v>
      </c>
      <c r="K840" t="s">
        <v>41</v>
      </c>
      <c r="L840" t="s">
        <v>4566</v>
      </c>
      <c r="M840" t="s">
        <v>4567</v>
      </c>
      <c r="N840" t="s">
        <v>494</v>
      </c>
      <c r="O840" t="s">
        <v>69</v>
      </c>
      <c r="P840" t="s">
        <v>4568</v>
      </c>
      <c r="Q840" s="14" t="s">
        <v>76</v>
      </c>
      <c r="R840" t="s">
        <v>4053</v>
      </c>
      <c r="S840">
        <v>0.68</v>
      </c>
      <c r="T840">
        <v>5317</v>
      </c>
      <c r="U840">
        <v>319.89999999999998</v>
      </c>
      <c r="V840">
        <v>5636.9</v>
      </c>
    </row>
    <row r="841" spans="1:22" x14ac:dyDescent="0.3">
      <c r="A841">
        <v>187830</v>
      </c>
      <c r="B841">
        <v>135091930</v>
      </c>
      <c r="C841" t="s">
        <v>4569</v>
      </c>
      <c r="D841" t="s">
        <v>4570</v>
      </c>
      <c r="E841" t="s">
        <v>4033</v>
      </c>
      <c r="F841" t="s">
        <v>491</v>
      </c>
      <c r="G841" t="s">
        <v>104</v>
      </c>
      <c r="H841" t="s">
        <v>105</v>
      </c>
      <c r="I841" t="s">
        <v>34</v>
      </c>
      <c r="J841" t="s">
        <v>106</v>
      </c>
      <c r="K841" t="s">
        <v>41</v>
      </c>
      <c r="L841" t="s">
        <v>4571</v>
      </c>
      <c r="M841" t="s">
        <v>4572</v>
      </c>
      <c r="N841" t="s">
        <v>494</v>
      </c>
      <c r="O841" t="s">
        <v>69</v>
      </c>
      <c r="P841" t="s">
        <v>4573</v>
      </c>
      <c r="Q841" s="14" t="s">
        <v>176</v>
      </c>
      <c r="R841" t="s">
        <v>262</v>
      </c>
      <c r="S841">
        <v>0.63</v>
      </c>
      <c r="T841">
        <v>6595</v>
      </c>
      <c r="U841">
        <v>199.95</v>
      </c>
      <c r="V841">
        <v>6794.95</v>
      </c>
    </row>
    <row r="842" spans="1:22" x14ac:dyDescent="0.3">
      <c r="A842">
        <v>187830</v>
      </c>
      <c r="B842">
        <v>135051594</v>
      </c>
      <c r="C842" t="s">
        <v>4574</v>
      </c>
      <c r="D842" t="s">
        <v>4575</v>
      </c>
      <c r="E842" t="s">
        <v>4033</v>
      </c>
      <c r="F842" t="s">
        <v>491</v>
      </c>
      <c r="G842" t="s">
        <v>104</v>
      </c>
      <c r="H842" t="s">
        <v>105</v>
      </c>
      <c r="I842" t="s">
        <v>34</v>
      </c>
      <c r="J842" t="s">
        <v>106</v>
      </c>
      <c r="K842" t="s">
        <v>41</v>
      </c>
      <c r="L842" t="s">
        <v>4576</v>
      </c>
      <c r="M842" t="s">
        <v>413</v>
      </c>
      <c r="N842" t="s">
        <v>494</v>
      </c>
      <c r="O842" t="s">
        <v>69</v>
      </c>
      <c r="P842" t="s">
        <v>4577</v>
      </c>
      <c r="Q842" s="14" t="s">
        <v>165</v>
      </c>
      <c r="R842" t="s">
        <v>405</v>
      </c>
      <c r="S842">
        <v>1.1399999999999999</v>
      </c>
      <c r="T842">
        <v>4738</v>
      </c>
      <c r="U842">
        <v>479.4</v>
      </c>
      <c r="V842">
        <v>5217.3999999999996</v>
      </c>
    </row>
    <row r="843" spans="1:22" x14ac:dyDescent="0.3">
      <c r="A843">
        <v>187830</v>
      </c>
      <c r="B843">
        <v>134781367</v>
      </c>
      <c r="C843" t="s">
        <v>4578</v>
      </c>
      <c r="D843" t="s">
        <v>4579</v>
      </c>
      <c r="E843" t="s">
        <v>4033</v>
      </c>
      <c r="F843" t="s">
        <v>491</v>
      </c>
      <c r="G843" t="s">
        <v>104</v>
      </c>
      <c r="H843" t="s">
        <v>105</v>
      </c>
      <c r="I843" t="s">
        <v>34</v>
      </c>
      <c r="J843" t="s">
        <v>106</v>
      </c>
      <c r="K843" t="s">
        <v>41</v>
      </c>
      <c r="L843" t="s">
        <v>4580</v>
      </c>
      <c r="M843" t="s">
        <v>4581</v>
      </c>
      <c r="N843" t="s">
        <v>494</v>
      </c>
      <c r="O843" t="s">
        <v>69</v>
      </c>
      <c r="P843" t="s">
        <v>4582</v>
      </c>
      <c r="Q843" s="14" t="s">
        <v>113</v>
      </c>
      <c r="R843" t="s">
        <v>399</v>
      </c>
      <c r="S843">
        <v>1.04</v>
      </c>
      <c r="T843">
        <v>3950</v>
      </c>
      <c r="U843">
        <v>199.95</v>
      </c>
      <c r="V843">
        <v>4149.95</v>
      </c>
    </row>
    <row r="844" spans="1:22" x14ac:dyDescent="0.3">
      <c r="A844">
        <v>187830</v>
      </c>
      <c r="B844">
        <v>134741637</v>
      </c>
      <c r="C844" t="s">
        <v>4583</v>
      </c>
      <c r="D844" t="s">
        <v>4584</v>
      </c>
      <c r="E844" t="s">
        <v>4033</v>
      </c>
      <c r="F844" t="s">
        <v>491</v>
      </c>
      <c r="G844" t="s">
        <v>104</v>
      </c>
      <c r="H844" t="s">
        <v>105</v>
      </c>
      <c r="I844" t="s">
        <v>34</v>
      </c>
      <c r="J844" t="s">
        <v>106</v>
      </c>
      <c r="K844" t="s">
        <v>41</v>
      </c>
      <c r="L844" t="s">
        <v>4585</v>
      </c>
      <c r="M844" t="s">
        <v>4586</v>
      </c>
      <c r="N844" t="s">
        <v>494</v>
      </c>
      <c r="O844" t="s">
        <v>69</v>
      </c>
      <c r="P844" t="s">
        <v>4587</v>
      </c>
      <c r="Q844" s="14" t="s">
        <v>165</v>
      </c>
      <c r="R844" t="s">
        <v>479</v>
      </c>
      <c r="S844">
        <v>0.83</v>
      </c>
      <c r="T844">
        <v>4481</v>
      </c>
      <c r="U844">
        <v>264.89999999999998</v>
      </c>
      <c r="V844">
        <v>4745.8999999999996</v>
      </c>
    </row>
    <row r="845" spans="1:22" x14ac:dyDescent="0.3">
      <c r="A845">
        <v>187830</v>
      </c>
      <c r="B845">
        <v>134741681</v>
      </c>
      <c r="C845" t="s">
        <v>4588</v>
      </c>
      <c r="D845" t="s">
        <v>4589</v>
      </c>
      <c r="E845" t="s">
        <v>4033</v>
      </c>
      <c r="F845" t="s">
        <v>491</v>
      </c>
      <c r="G845" t="s">
        <v>104</v>
      </c>
      <c r="H845" t="s">
        <v>105</v>
      </c>
      <c r="I845" t="s">
        <v>34</v>
      </c>
      <c r="J845" t="s">
        <v>106</v>
      </c>
      <c r="K845" t="s">
        <v>41</v>
      </c>
      <c r="L845" t="s">
        <v>4590</v>
      </c>
      <c r="M845" t="s">
        <v>4591</v>
      </c>
      <c r="N845" t="s">
        <v>494</v>
      </c>
      <c r="O845" t="s">
        <v>69</v>
      </c>
      <c r="P845" t="s">
        <v>4592</v>
      </c>
      <c r="Q845" s="14" t="s">
        <v>165</v>
      </c>
      <c r="R845" t="s">
        <v>404</v>
      </c>
      <c r="S845">
        <v>0.35</v>
      </c>
      <c r="T845">
        <v>4481</v>
      </c>
      <c r="U845">
        <v>189.45</v>
      </c>
      <c r="V845">
        <v>4670.45</v>
      </c>
    </row>
    <row r="846" spans="1:22" x14ac:dyDescent="0.3">
      <c r="A846">
        <v>187830</v>
      </c>
      <c r="B846">
        <v>134741663</v>
      </c>
      <c r="C846" t="s">
        <v>4593</v>
      </c>
      <c r="D846" t="s">
        <v>4594</v>
      </c>
      <c r="E846" t="s">
        <v>4033</v>
      </c>
      <c r="F846" t="s">
        <v>491</v>
      </c>
      <c r="G846" t="s">
        <v>104</v>
      </c>
      <c r="H846" t="s">
        <v>105</v>
      </c>
      <c r="I846" t="s">
        <v>34</v>
      </c>
      <c r="J846" t="s">
        <v>106</v>
      </c>
      <c r="K846" t="s">
        <v>41</v>
      </c>
      <c r="L846" t="s">
        <v>4595</v>
      </c>
      <c r="M846" t="s">
        <v>4596</v>
      </c>
      <c r="N846" t="s">
        <v>494</v>
      </c>
      <c r="O846" t="s">
        <v>69</v>
      </c>
      <c r="P846" t="s">
        <v>4597</v>
      </c>
      <c r="Q846" s="14" t="s">
        <v>165</v>
      </c>
      <c r="R846" t="s">
        <v>404</v>
      </c>
      <c r="S846">
        <v>1.1000000000000001</v>
      </c>
      <c r="T846">
        <v>4738</v>
      </c>
      <c r="U846">
        <v>164.95</v>
      </c>
      <c r="V846">
        <v>4902.95</v>
      </c>
    </row>
    <row r="847" spans="1:22" x14ac:dyDescent="0.3">
      <c r="A847">
        <v>187830</v>
      </c>
      <c r="B847">
        <v>134741661</v>
      </c>
      <c r="C847" t="s">
        <v>4598</v>
      </c>
      <c r="D847" t="s">
        <v>4599</v>
      </c>
      <c r="E847" t="s">
        <v>4033</v>
      </c>
      <c r="F847" t="s">
        <v>491</v>
      </c>
      <c r="G847" t="s">
        <v>104</v>
      </c>
      <c r="H847" t="s">
        <v>105</v>
      </c>
      <c r="I847" t="s">
        <v>34</v>
      </c>
      <c r="J847" t="s">
        <v>106</v>
      </c>
      <c r="K847" t="s">
        <v>41</v>
      </c>
      <c r="L847" t="s">
        <v>4600</v>
      </c>
      <c r="M847" t="s">
        <v>4567</v>
      </c>
      <c r="N847" t="s">
        <v>494</v>
      </c>
      <c r="O847" t="s">
        <v>69</v>
      </c>
      <c r="P847" t="s">
        <v>4568</v>
      </c>
      <c r="Q847" s="14" t="s">
        <v>76</v>
      </c>
      <c r="R847" t="s">
        <v>404</v>
      </c>
      <c r="S847">
        <v>0.87</v>
      </c>
      <c r="T847">
        <v>5317</v>
      </c>
      <c r="U847">
        <v>339.85</v>
      </c>
      <c r="V847">
        <v>5656.85</v>
      </c>
    </row>
    <row r="848" spans="1:22" x14ac:dyDescent="0.3">
      <c r="A848">
        <v>187830</v>
      </c>
      <c r="B848">
        <v>134741654</v>
      </c>
      <c r="C848" t="s">
        <v>4601</v>
      </c>
      <c r="D848" t="s">
        <v>4602</v>
      </c>
      <c r="E848" t="s">
        <v>4033</v>
      </c>
      <c r="F848" t="s">
        <v>491</v>
      </c>
      <c r="G848" t="s">
        <v>104</v>
      </c>
      <c r="H848" t="s">
        <v>105</v>
      </c>
      <c r="I848" t="s">
        <v>34</v>
      </c>
      <c r="J848" t="s">
        <v>106</v>
      </c>
      <c r="K848" t="s">
        <v>41</v>
      </c>
      <c r="L848" t="s">
        <v>4603</v>
      </c>
      <c r="M848" t="s">
        <v>4604</v>
      </c>
      <c r="N848" t="s">
        <v>494</v>
      </c>
      <c r="O848" t="s">
        <v>69</v>
      </c>
      <c r="P848" t="s">
        <v>4605</v>
      </c>
      <c r="Q848" s="14" t="s">
        <v>94</v>
      </c>
      <c r="R848" t="s">
        <v>404</v>
      </c>
      <c r="S848">
        <v>0.63</v>
      </c>
      <c r="T848">
        <v>5317</v>
      </c>
      <c r="U848">
        <v>164.95</v>
      </c>
      <c r="V848">
        <v>5481.95</v>
      </c>
    </row>
    <row r="849" spans="1:22" x14ac:dyDescent="0.3">
      <c r="A849">
        <v>187830</v>
      </c>
      <c r="B849">
        <v>135235807</v>
      </c>
      <c r="C849" t="s">
        <v>4606</v>
      </c>
      <c r="D849" t="s">
        <v>4607</v>
      </c>
      <c r="E849" t="s">
        <v>4033</v>
      </c>
      <c r="F849" t="s">
        <v>491</v>
      </c>
      <c r="G849" t="s">
        <v>49</v>
      </c>
      <c r="H849" t="s">
        <v>50</v>
      </c>
      <c r="I849" t="s">
        <v>34</v>
      </c>
      <c r="J849" t="s">
        <v>51</v>
      </c>
      <c r="K849" t="s">
        <v>41</v>
      </c>
      <c r="L849" t="s">
        <v>52</v>
      </c>
      <c r="M849" t="s">
        <v>4608</v>
      </c>
      <c r="N849" t="s">
        <v>494</v>
      </c>
      <c r="O849" t="s">
        <v>69</v>
      </c>
      <c r="P849" t="s">
        <v>4609</v>
      </c>
      <c r="Q849" s="14" t="s">
        <v>136</v>
      </c>
      <c r="R849" t="s">
        <v>253</v>
      </c>
      <c r="S849">
        <v>1.77</v>
      </c>
      <c r="T849">
        <v>8410</v>
      </c>
      <c r="U849">
        <v>0</v>
      </c>
      <c r="V849">
        <v>8410</v>
      </c>
    </row>
    <row r="850" spans="1:22" x14ac:dyDescent="0.3">
      <c r="A850">
        <v>187830</v>
      </c>
      <c r="B850">
        <v>134741672</v>
      </c>
      <c r="C850" t="s">
        <v>4610</v>
      </c>
      <c r="D850" t="s">
        <v>4611</v>
      </c>
      <c r="E850" t="s">
        <v>4033</v>
      </c>
      <c r="F850" t="s">
        <v>491</v>
      </c>
      <c r="G850" t="s">
        <v>49</v>
      </c>
      <c r="H850" t="s">
        <v>50</v>
      </c>
      <c r="I850" t="s">
        <v>34</v>
      </c>
      <c r="J850" t="s">
        <v>51</v>
      </c>
      <c r="K850" t="s">
        <v>41</v>
      </c>
      <c r="L850" t="s">
        <v>52</v>
      </c>
      <c r="M850" t="s">
        <v>4612</v>
      </c>
      <c r="N850" t="s">
        <v>494</v>
      </c>
      <c r="O850" t="s">
        <v>69</v>
      </c>
      <c r="P850" t="s">
        <v>4613</v>
      </c>
      <c r="Q850" s="14" t="s">
        <v>194</v>
      </c>
      <c r="R850" t="s">
        <v>404</v>
      </c>
      <c r="S850">
        <v>0.46</v>
      </c>
      <c r="T850">
        <v>5733</v>
      </c>
      <c r="U850">
        <v>0</v>
      </c>
      <c r="V850">
        <v>5733</v>
      </c>
    </row>
    <row r="851" spans="1:22" x14ac:dyDescent="0.3">
      <c r="A851">
        <v>187830</v>
      </c>
      <c r="B851">
        <v>134879870</v>
      </c>
      <c r="C851" t="s">
        <v>4614</v>
      </c>
      <c r="D851" t="s">
        <v>4615</v>
      </c>
      <c r="E851" t="s">
        <v>4033</v>
      </c>
      <c r="F851" t="s">
        <v>491</v>
      </c>
      <c r="G851" t="s">
        <v>49</v>
      </c>
      <c r="H851" t="s">
        <v>50</v>
      </c>
      <c r="I851" t="s">
        <v>34</v>
      </c>
      <c r="J851" t="s">
        <v>51</v>
      </c>
      <c r="K851" t="s">
        <v>41</v>
      </c>
      <c r="L851" t="s">
        <v>52</v>
      </c>
      <c r="M851" t="s">
        <v>4616</v>
      </c>
      <c r="N851" t="s">
        <v>494</v>
      </c>
      <c r="O851" t="s">
        <v>69</v>
      </c>
      <c r="P851" t="s">
        <v>4617</v>
      </c>
      <c r="Q851" s="14" t="s">
        <v>71</v>
      </c>
      <c r="R851" t="s">
        <v>259</v>
      </c>
      <c r="S851">
        <v>1.91</v>
      </c>
      <c r="T851">
        <v>6800</v>
      </c>
      <c r="U851">
        <v>0</v>
      </c>
      <c r="V851">
        <v>6800</v>
      </c>
    </row>
    <row r="852" spans="1:22" x14ac:dyDescent="0.3">
      <c r="A852">
        <v>187830</v>
      </c>
      <c r="B852">
        <v>134741656</v>
      </c>
      <c r="C852" t="s">
        <v>4618</v>
      </c>
      <c r="D852" t="s">
        <v>4619</v>
      </c>
      <c r="E852" t="s">
        <v>4033</v>
      </c>
      <c r="F852" t="s">
        <v>491</v>
      </c>
      <c r="G852" t="s">
        <v>49</v>
      </c>
      <c r="H852" t="s">
        <v>50</v>
      </c>
      <c r="I852" t="s">
        <v>34</v>
      </c>
      <c r="J852" t="s">
        <v>51</v>
      </c>
      <c r="K852" t="s">
        <v>41</v>
      </c>
      <c r="L852" t="s">
        <v>52</v>
      </c>
      <c r="M852" t="s">
        <v>4620</v>
      </c>
      <c r="N852" t="s">
        <v>494</v>
      </c>
      <c r="O852" t="s">
        <v>69</v>
      </c>
      <c r="P852" t="s">
        <v>4621</v>
      </c>
      <c r="Q852" s="14" t="s">
        <v>54</v>
      </c>
      <c r="R852" t="s">
        <v>404</v>
      </c>
      <c r="S852">
        <v>0.36</v>
      </c>
      <c r="T852">
        <v>5601</v>
      </c>
      <c r="U852">
        <v>0</v>
      </c>
      <c r="V852">
        <v>5601</v>
      </c>
    </row>
    <row r="853" spans="1:22" x14ac:dyDescent="0.3">
      <c r="A853">
        <v>187830</v>
      </c>
      <c r="B853">
        <v>134741655</v>
      </c>
      <c r="C853" t="s">
        <v>4622</v>
      </c>
      <c r="D853" t="s">
        <v>4623</v>
      </c>
      <c r="E853" t="s">
        <v>4033</v>
      </c>
      <c r="F853" t="s">
        <v>491</v>
      </c>
      <c r="G853" t="s">
        <v>49</v>
      </c>
      <c r="H853" t="s">
        <v>50</v>
      </c>
      <c r="I853" t="s">
        <v>34</v>
      </c>
      <c r="J853" t="s">
        <v>51</v>
      </c>
      <c r="K853" t="s">
        <v>41</v>
      </c>
      <c r="L853" t="s">
        <v>52</v>
      </c>
      <c r="M853" t="s">
        <v>4624</v>
      </c>
      <c r="N853" t="s">
        <v>494</v>
      </c>
      <c r="O853" t="s">
        <v>69</v>
      </c>
      <c r="P853" t="s">
        <v>4625</v>
      </c>
      <c r="Q853" s="14" t="s">
        <v>171</v>
      </c>
      <c r="R853" t="s">
        <v>404</v>
      </c>
      <c r="S853">
        <v>3.36</v>
      </c>
      <c r="T853">
        <v>4537</v>
      </c>
      <c r="U853">
        <v>0</v>
      </c>
      <c r="V853">
        <v>4537</v>
      </c>
    </row>
    <row r="854" spans="1:22" x14ac:dyDescent="0.3">
      <c r="A854">
        <v>187830</v>
      </c>
      <c r="B854">
        <v>134634626</v>
      </c>
      <c r="C854" t="s">
        <v>4626</v>
      </c>
      <c r="D854" t="s">
        <v>4627</v>
      </c>
      <c r="E854" t="s">
        <v>4033</v>
      </c>
      <c r="F854" t="s">
        <v>491</v>
      </c>
      <c r="G854" t="s">
        <v>49</v>
      </c>
      <c r="H854" t="s">
        <v>50</v>
      </c>
      <c r="I854" t="s">
        <v>34</v>
      </c>
      <c r="J854" t="s">
        <v>51</v>
      </c>
      <c r="K854" t="s">
        <v>41</v>
      </c>
      <c r="L854" t="s">
        <v>52</v>
      </c>
      <c r="M854" t="s">
        <v>4628</v>
      </c>
      <c r="N854" t="s">
        <v>494</v>
      </c>
      <c r="O854" t="s">
        <v>69</v>
      </c>
      <c r="P854" t="s">
        <v>4629</v>
      </c>
      <c r="Q854" s="14" t="s">
        <v>213</v>
      </c>
      <c r="R854" t="s">
        <v>4460</v>
      </c>
      <c r="S854">
        <v>1.8</v>
      </c>
      <c r="T854">
        <v>11918</v>
      </c>
      <c r="U854">
        <v>0</v>
      </c>
      <c r="V854">
        <v>11918</v>
      </c>
    </row>
    <row r="855" spans="1:22" x14ac:dyDescent="0.3">
      <c r="A855">
        <v>187830</v>
      </c>
      <c r="B855">
        <v>134329268</v>
      </c>
      <c r="C855" t="s">
        <v>4630</v>
      </c>
      <c r="D855" t="s">
        <v>4631</v>
      </c>
      <c r="E855" t="s">
        <v>4033</v>
      </c>
      <c r="F855" t="s">
        <v>491</v>
      </c>
      <c r="G855" t="s">
        <v>49</v>
      </c>
      <c r="H855" t="s">
        <v>50</v>
      </c>
      <c r="I855" t="s">
        <v>34</v>
      </c>
      <c r="J855" t="s">
        <v>51</v>
      </c>
      <c r="K855" t="s">
        <v>41</v>
      </c>
      <c r="L855" t="s">
        <v>52</v>
      </c>
      <c r="M855" t="s">
        <v>4632</v>
      </c>
      <c r="N855" t="s">
        <v>494</v>
      </c>
      <c r="O855" t="s">
        <v>69</v>
      </c>
      <c r="P855" t="s">
        <v>4633</v>
      </c>
      <c r="Q855" s="14" t="s">
        <v>80</v>
      </c>
      <c r="R855" t="s">
        <v>4634</v>
      </c>
      <c r="S855">
        <v>2.08</v>
      </c>
      <c r="T855">
        <v>6708</v>
      </c>
      <c r="U855">
        <v>0</v>
      </c>
      <c r="V855">
        <v>6708</v>
      </c>
    </row>
    <row r="856" spans="1:22" x14ac:dyDescent="0.3">
      <c r="A856">
        <v>148303</v>
      </c>
      <c r="B856">
        <v>135198026</v>
      </c>
      <c r="C856" t="s">
        <v>4635</v>
      </c>
      <c r="D856" t="s">
        <v>4636</v>
      </c>
      <c r="E856" t="s">
        <v>4637</v>
      </c>
      <c r="F856" t="s">
        <v>491</v>
      </c>
      <c r="G856" t="s">
        <v>44</v>
      </c>
      <c r="H856" t="s">
        <v>45</v>
      </c>
      <c r="I856" t="s">
        <v>34</v>
      </c>
      <c r="J856" t="s">
        <v>46</v>
      </c>
      <c r="K856" t="s">
        <v>41</v>
      </c>
      <c r="L856" t="s">
        <v>4638</v>
      </c>
      <c r="M856" t="s">
        <v>4639</v>
      </c>
      <c r="N856" t="s">
        <v>494</v>
      </c>
      <c r="O856" t="s">
        <v>69</v>
      </c>
      <c r="P856" t="s">
        <v>4640</v>
      </c>
      <c r="Q856" s="14" t="s">
        <v>145</v>
      </c>
      <c r="R856" t="s">
        <v>4641</v>
      </c>
      <c r="S856">
        <v>15.22</v>
      </c>
      <c r="T856">
        <v>15005</v>
      </c>
      <c r="U856">
        <v>0</v>
      </c>
      <c r="V856">
        <v>15005</v>
      </c>
    </row>
    <row r="857" spans="1:22" x14ac:dyDescent="0.3">
      <c r="A857">
        <v>148303</v>
      </c>
      <c r="B857">
        <v>135344115</v>
      </c>
      <c r="C857" t="s">
        <v>4642</v>
      </c>
      <c r="D857" t="s">
        <v>4643</v>
      </c>
      <c r="E857" t="s">
        <v>4637</v>
      </c>
      <c r="F857" t="s">
        <v>491</v>
      </c>
      <c r="G857" t="s">
        <v>49</v>
      </c>
      <c r="H857" t="s">
        <v>50</v>
      </c>
      <c r="I857" t="s">
        <v>34</v>
      </c>
      <c r="J857" t="s">
        <v>51</v>
      </c>
      <c r="K857" t="s">
        <v>41</v>
      </c>
      <c r="L857" t="s">
        <v>52</v>
      </c>
      <c r="M857" t="s">
        <v>4644</v>
      </c>
      <c r="N857" t="s">
        <v>494</v>
      </c>
      <c r="O857" t="s">
        <v>69</v>
      </c>
      <c r="P857" t="s">
        <v>4645</v>
      </c>
      <c r="Q857" s="14" t="s">
        <v>86</v>
      </c>
      <c r="R857" t="s">
        <v>4646</v>
      </c>
      <c r="S857">
        <v>8.5500000000000007</v>
      </c>
      <c r="T857">
        <v>8930</v>
      </c>
      <c r="U857">
        <v>0</v>
      </c>
      <c r="V857">
        <v>8930</v>
      </c>
    </row>
    <row r="858" spans="1:22" x14ac:dyDescent="0.3">
      <c r="A858">
        <v>148303</v>
      </c>
      <c r="B858">
        <v>135169202</v>
      </c>
      <c r="C858" t="s">
        <v>4647</v>
      </c>
      <c r="D858" t="s">
        <v>4648</v>
      </c>
      <c r="E858" t="s">
        <v>4637</v>
      </c>
      <c r="F858" t="s">
        <v>491</v>
      </c>
      <c r="G858" t="s">
        <v>49</v>
      </c>
      <c r="H858" t="s">
        <v>50</v>
      </c>
      <c r="I858" t="s">
        <v>34</v>
      </c>
      <c r="J858" t="s">
        <v>51</v>
      </c>
      <c r="K858" t="s">
        <v>41</v>
      </c>
      <c r="L858" t="s">
        <v>52</v>
      </c>
      <c r="M858" t="s">
        <v>429</v>
      </c>
      <c r="N858" t="s">
        <v>494</v>
      </c>
      <c r="O858" t="s">
        <v>69</v>
      </c>
      <c r="P858" t="s">
        <v>4649</v>
      </c>
      <c r="Q858" s="14" t="s">
        <v>171</v>
      </c>
      <c r="R858" t="s">
        <v>4650</v>
      </c>
      <c r="S858">
        <v>1.46</v>
      </c>
      <c r="T858">
        <v>3915</v>
      </c>
      <c r="U858">
        <v>0</v>
      </c>
      <c r="V858">
        <v>3915</v>
      </c>
    </row>
    <row r="859" spans="1:22" x14ac:dyDescent="0.3">
      <c r="A859">
        <v>148303</v>
      </c>
      <c r="B859">
        <v>135178551</v>
      </c>
      <c r="C859" t="s">
        <v>4651</v>
      </c>
      <c r="D859" t="s">
        <v>4652</v>
      </c>
      <c r="E859" t="s">
        <v>4637</v>
      </c>
      <c r="F859" t="s">
        <v>491</v>
      </c>
      <c r="G859" t="s">
        <v>49</v>
      </c>
      <c r="H859" t="s">
        <v>50</v>
      </c>
      <c r="I859" t="s">
        <v>34</v>
      </c>
      <c r="J859" t="s">
        <v>51</v>
      </c>
      <c r="K859" t="s">
        <v>120</v>
      </c>
      <c r="L859" t="s">
        <v>4653</v>
      </c>
      <c r="M859" t="s">
        <v>4654</v>
      </c>
      <c r="N859" t="s">
        <v>494</v>
      </c>
      <c r="O859" t="s">
        <v>69</v>
      </c>
      <c r="P859" t="s">
        <v>4655</v>
      </c>
      <c r="Q859" s="14" t="s">
        <v>232</v>
      </c>
      <c r="R859" t="s">
        <v>4656</v>
      </c>
      <c r="S859">
        <v>3.19</v>
      </c>
      <c r="T859">
        <v>11171</v>
      </c>
      <c r="U859">
        <v>0</v>
      </c>
      <c r="V859">
        <v>11171</v>
      </c>
    </row>
    <row r="860" spans="1:22" x14ac:dyDescent="0.3">
      <c r="A860">
        <v>148303</v>
      </c>
      <c r="B860">
        <v>135215966</v>
      </c>
      <c r="C860" t="s">
        <v>4657</v>
      </c>
      <c r="D860" t="s">
        <v>4658</v>
      </c>
      <c r="E860" t="s">
        <v>4637</v>
      </c>
      <c r="F860" t="s">
        <v>491</v>
      </c>
      <c r="G860" t="s">
        <v>49</v>
      </c>
      <c r="H860" t="s">
        <v>50</v>
      </c>
      <c r="I860" t="s">
        <v>34</v>
      </c>
      <c r="J860" t="s">
        <v>51</v>
      </c>
      <c r="K860" t="s">
        <v>41</v>
      </c>
      <c r="L860" t="s">
        <v>52</v>
      </c>
      <c r="M860" t="s">
        <v>4659</v>
      </c>
      <c r="N860" t="s">
        <v>494</v>
      </c>
      <c r="O860" t="s">
        <v>69</v>
      </c>
      <c r="P860" t="s">
        <v>4660</v>
      </c>
      <c r="Q860" s="14" t="s">
        <v>43</v>
      </c>
      <c r="R860" t="s">
        <v>4661</v>
      </c>
      <c r="S860">
        <v>2.77</v>
      </c>
      <c r="T860">
        <v>8410</v>
      </c>
      <c r="U860">
        <v>0</v>
      </c>
      <c r="V860">
        <v>8410</v>
      </c>
    </row>
    <row r="861" spans="1:22" x14ac:dyDescent="0.3">
      <c r="A861">
        <v>148303</v>
      </c>
      <c r="B861">
        <v>135189326</v>
      </c>
      <c r="C861" t="s">
        <v>4662</v>
      </c>
      <c r="D861" t="s">
        <v>4663</v>
      </c>
      <c r="E861" t="s">
        <v>4637</v>
      </c>
      <c r="F861" t="s">
        <v>491</v>
      </c>
      <c r="G861" t="s">
        <v>49</v>
      </c>
      <c r="H861" t="s">
        <v>50</v>
      </c>
      <c r="I861" t="s">
        <v>34</v>
      </c>
      <c r="J861" t="s">
        <v>51</v>
      </c>
      <c r="K861" t="s">
        <v>41</v>
      </c>
      <c r="L861" t="s">
        <v>52</v>
      </c>
      <c r="M861" t="s">
        <v>4664</v>
      </c>
      <c r="N861" t="s">
        <v>494</v>
      </c>
      <c r="O861" t="s">
        <v>69</v>
      </c>
      <c r="P861" t="s">
        <v>4665</v>
      </c>
      <c r="Q861" s="14" t="s">
        <v>83</v>
      </c>
      <c r="R861" t="s">
        <v>4666</v>
      </c>
      <c r="S861">
        <v>0.13</v>
      </c>
      <c r="T861">
        <v>5601</v>
      </c>
      <c r="U861">
        <v>0</v>
      </c>
      <c r="V861">
        <v>5601</v>
      </c>
    </row>
    <row r="862" spans="1:22" x14ac:dyDescent="0.3">
      <c r="A862">
        <v>148303</v>
      </c>
      <c r="B862">
        <v>135195492</v>
      </c>
      <c r="C862" t="s">
        <v>4667</v>
      </c>
      <c r="D862" t="s">
        <v>4668</v>
      </c>
      <c r="E862" t="s">
        <v>4637</v>
      </c>
      <c r="F862" t="s">
        <v>491</v>
      </c>
      <c r="G862" t="s">
        <v>49</v>
      </c>
      <c r="H862" t="s">
        <v>50</v>
      </c>
      <c r="I862" t="s">
        <v>34</v>
      </c>
      <c r="J862" t="s">
        <v>51</v>
      </c>
      <c r="K862" t="s">
        <v>41</v>
      </c>
      <c r="L862" t="s">
        <v>4669</v>
      </c>
      <c r="M862" t="s">
        <v>4670</v>
      </c>
      <c r="N862" t="s">
        <v>494</v>
      </c>
      <c r="O862" t="s">
        <v>69</v>
      </c>
      <c r="P862" t="s">
        <v>4671</v>
      </c>
      <c r="Q862" s="14" t="s">
        <v>182</v>
      </c>
      <c r="R862" t="s">
        <v>4672</v>
      </c>
      <c r="S862">
        <v>5.07</v>
      </c>
      <c r="T862">
        <v>8305</v>
      </c>
      <c r="U862">
        <v>0</v>
      </c>
      <c r="V862">
        <v>8305</v>
      </c>
    </row>
    <row r="863" spans="1:22" x14ac:dyDescent="0.3">
      <c r="A863">
        <v>148303</v>
      </c>
      <c r="B863">
        <v>135177430</v>
      </c>
      <c r="C863" t="s">
        <v>367</v>
      </c>
      <c r="D863" t="s">
        <v>4673</v>
      </c>
      <c r="E863" t="s">
        <v>4637</v>
      </c>
      <c r="F863" t="s">
        <v>491</v>
      </c>
      <c r="G863" t="s">
        <v>49</v>
      </c>
      <c r="H863" t="s">
        <v>50</v>
      </c>
      <c r="I863" t="s">
        <v>34</v>
      </c>
      <c r="J863" t="s">
        <v>51</v>
      </c>
      <c r="K863" t="s">
        <v>41</v>
      </c>
      <c r="L863" t="s">
        <v>52</v>
      </c>
      <c r="M863" t="s">
        <v>4674</v>
      </c>
      <c r="N863" t="s">
        <v>494</v>
      </c>
      <c r="O863" t="s">
        <v>69</v>
      </c>
      <c r="P863" t="s">
        <v>4675</v>
      </c>
      <c r="Q863" s="14" t="s">
        <v>58</v>
      </c>
      <c r="R863" t="s">
        <v>459</v>
      </c>
      <c r="S863">
        <v>2.77</v>
      </c>
      <c r="T863">
        <v>8940</v>
      </c>
      <c r="U863">
        <v>0</v>
      </c>
      <c r="V863">
        <v>8940</v>
      </c>
    </row>
    <row r="864" spans="1:22" x14ac:dyDescent="0.3">
      <c r="A864">
        <v>148303</v>
      </c>
      <c r="B864">
        <v>135200332</v>
      </c>
      <c r="C864" t="s">
        <v>352</v>
      </c>
      <c r="D864" t="s">
        <v>4676</v>
      </c>
      <c r="E864" t="s">
        <v>4637</v>
      </c>
      <c r="F864" t="s">
        <v>491</v>
      </c>
      <c r="G864" t="s">
        <v>49</v>
      </c>
      <c r="H864" t="s">
        <v>50</v>
      </c>
      <c r="I864" t="s">
        <v>34</v>
      </c>
      <c r="J864" t="s">
        <v>51</v>
      </c>
      <c r="K864" t="s">
        <v>41</v>
      </c>
      <c r="L864" t="s">
        <v>4677</v>
      </c>
      <c r="M864" t="s">
        <v>4678</v>
      </c>
      <c r="N864" t="s">
        <v>494</v>
      </c>
      <c r="O864" t="s">
        <v>69</v>
      </c>
      <c r="P864" t="s">
        <v>4679</v>
      </c>
      <c r="Q864" s="14" t="s">
        <v>109</v>
      </c>
      <c r="R864" t="s">
        <v>4680</v>
      </c>
      <c r="S864">
        <v>2.73</v>
      </c>
      <c r="T864">
        <v>8101</v>
      </c>
      <c r="U864">
        <v>0</v>
      </c>
      <c r="V864">
        <v>8101</v>
      </c>
    </row>
    <row r="865" spans="1:22" x14ac:dyDescent="0.3">
      <c r="A865">
        <v>148303</v>
      </c>
      <c r="B865">
        <v>135205589</v>
      </c>
      <c r="C865" t="s">
        <v>4681</v>
      </c>
      <c r="D865" t="s">
        <v>4682</v>
      </c>
      <c r="E865" t="s">
        <v>4637</v>
      </c>
      <c r="F865" t="s">
        <v>491</v>
      </c>
      <c r="G865" t="s">
        <v>49</v>
      </c>
      <c r="H865" t="s">
        <v>50</v>
      </c>
      <c r="I865" t="s">
        <v>34</v>
      </c>
      <c r="J865" t="s">
        <v>51</v>
      </c>
      <c r="K865" t="s">
        <v>41</v>
      </c>
      <c r="L865" t="s">
        <v>52</v>
      </c>
      <c r="M865" t="s">
        <v>4683</v>
      </c>
      <c r="N865" t="s">
        <v>494</v>
      </c>
      <c r="O865" t="s">
        <v>69</v>
      </c>
      <c r="P865" t="s">
        <v>4684</v>
      </c>
      <c r="Q865" s="14" t="s">
        <v>141</v>
      </c>
      <c r="R865" t="s">
        <v>4685</v>
      </c>
      <c r="S865">
        <v>1.51</v>
      </c>
      <c r="T865">
        <v>11918</v>
      </c>
      <c r="U865">
        <v>0</v>
      </c>
      <c r="V865">
        <v>11918</v>
      </c>
    </row>
    <row r="866" spans="1:22" x14ac:dyDescent="0.3">
      <c r="A866">
        <v>148303</v>
      </c>
      <c r="B866">
        <v>135201207</v>
      </c>
      <c r="C866" t="s">
        <v>4686</v>
      </c>
      <c r="D866" t="s">
        <v>4687</v>
      </c>
      <c r="E866" t="s">
        <v>4637</v>
      </c>
      <c r="F866" t="s">
        <v>491</v>
      </c>
      <c r="G866" t="s">
        <v>49</v>
      </c>
      <c r="H866" t="s">
        <v>50</v>
      </c>
      <c r="I866" t="s">
        <v>34</v>
      </c>
      <c r="J866" t="s">
        <v>51</v>
      </c>
      <c r="K866" t="s">
        <v>41</v>
      </c>
      <c r="L866" t="s">
        <v>52</v>
      </c>
      <c r="M866" t="s">
        <v>4688</v>
      </c>
      <c r="N866" t="s">
        <v>494</v>
      </c>
      <c r="O866" t="s">
        <v>69</v>
      </c>
      <c r="P866" t="s">
        <v>4689</v>
      </c>
      <c r="Q866" s="14" t="s">
        <v>77</v>
      </c>
      <c r="R866" t="s">
        <v>4690</v>
      </c>
      <c r="S866">
        <v>2.69</v>
      </c>
      <c r="T866">
        <v>7945</v>
      </c>
      <c r="U866">
        <v>0</v>
      </c>
      <c r="V866">
        <v>7945</v>
      </c>
    </row>
    <row r="867" spans="1:22" x14ac:dyDescent="0.3">
      <c r="A867">
        <v>148303</v>
      </c>
      <c r="B867">
        <v>135216815</v>
      </c>
      <c r="C867" t="s">
        <v>4691</v>
      </c>
      <c r="D867" t="s">
        <v>4692</v>
      </c>
      <c r="E867" t="s">
        <v>4637</v>
      </c>
      <c r="F867" t="s">
        <v>491</v>
      </c>
      <c r="G867" t="s">
        <v>49</v>
      </c>
      <c r="H867" t="s">
        <v>50</v>
      </c>
      <c r="I867" t="s">
        <v>34</v>
      </c>
      <c r="J867" t="s">
        <v>51</v>
      </c>
      <c r="K867" t="s">
        <v>41</v>
      </c>
      <c r="L867" t="s">
        <v>52</v>
      </c>
      <c r="M867" t="s">
        <v>4693</v>
      </c>
      <c r="N867" t="s">
        <v>494</v>
      </c>
      <c r="O867" t="s">
        <v>69</v>
      </c>
      <c r="P867" t="s">
        <v>4694</v>
      </c>
      <c r="Q867" s="14" t="s">
        <v>62</v>
      </c>
      <c r="R867" t="s">
        <v>4695</v>
      </c>
      <c r="S867">
        <v>3.53</v>
      </c>
      <c r="T867">
        <v>8964</v>
      </c>
      <c r="U867">
        <v>0</v>
      </c>
      <c r="V867">
        <v>8964</v>
      </c>
    </row>
    <row r="868" spans="1:22" x14ac:dyDescent="0.3">
      <c r="A868">
        <v>148303</v>
      </c>
      <c r="B868">
        <v>135216818</v>
      </c>
      <c r="C868" t="s">
        <v>4696</v>
      </c>
      <c r="D868" t="s">
        <v>4697</v>
      </c>
      <c r="E868" t="s">
        <v>4637</v>
      </c>
      <c r="F868" t="s">
        <v>491</v>
      </c>
      <c r="G868" t="s">
        <v>49</v>
      </c>
      <c r="H868" t="s">
        <v>50</v>
      </c>
      <c r="I868" t="s">
        <v>34</v>
      </c>
      <c r="J868" t="s">
        <v>51</v>
      </c>
      <c r="K868" t="s">
        <v>41</v>
      </c>
      <c r="L868" t="s">
        <v>4698</v>
      </c>
      <c r="M868" t="s">
        <v>4699</v>
      </c>
      <c r="N868" t="s">
        <v>494</v>
      </c>
      <c r="O868" t="s">
        <v>69</v>
      </c>
      <c r="P868" t="s">
        <v>4700</v>
      </c>
      <c r="Q868" s="14" t="s">
        <v>62</v>
      </c>
      <c r="R868" t="s">
        <v>4695</v>
      </c>
      <c r="S868">
        <v>3.96</v>
      </c>
      <c r="T868">
        <v>8964</v>
      </c>
      <c r="U868">
        <v>0</v>
      </c>
      <c r="V868">
        <v>8964</v>
      </c>
    </row>
    <row r="869" spans="1:22" x14ac:dyDescent="0.3">
      <c r="A869">
        <v>148303</v>
      </c>
      <c r="B869">
        <v>135287543</v>
      </c>
      <c r="C869" t="s">
        <v>4701</v>
      </c>
      <c r="D869" t="s">
        <v>4702</v>
      </c>
      <c r="E869" t="s">
        <v>4637</v>
      </c>
      <c r="F869" t="s">
        <v>491</v>
      </c>
      <c r="G869" t="s">
        <v>49</v>
      </c>
      <c r="H869" t="s">
        <v>50</v>
      </c>
      <c r="I869" t="s">
        <v>34</v>
      </c>
      <c r="J869" t="s">
        <v>51</v>
      </c>
      <c r="K869" t="s">
        <v>41</v>
      </c>
      <c r="L869" t="s">
        <v>4703</v>
      </c>
      <c r="M869" t="s">
        <v>4704</v>
      </c>
      <c r="N869" t="s">
        <v>494</v>
      </c>
      <c r="O869" t="s">
        <v>69</v>
      </c>
      <c r="P869" t="s">
        <v>4705</v>
      </c>
      <c r="Q869" s="14" t="s">
        <v>152</v>
      </c>
      <c r="R869" t="s">
        <v>359</v>
      </c>
      <c r="S869">
        <v>0.22</v>
      </c>
      <c r="T869">
        <v>5733</v>
      </c>
      <c r="U869">
        <v>0</v>
      </c>
      <c r="V869">
        <v>5733</v>
      </c>
    </row>
    <row r="870" spans="1:22" x14ac:dyDescent="0.3">
      <c r="A870">
        <v>148303</v>
      </c>
      <c r="B870">
        <v>135292951</v>
      </c>
      <c r="C870" t="s">
        <v>353</v>
      </c>
      <c r="D870" t="s">
        <v>4706</v>
      </c>
      <c r="E870" t="s">
        <v>4637</v>
      </c>
      <c r="F870" t="s">
        <v>491</v>
      </c>
      <c r="G870" t="s">
        <v>49</v>
      </c>
      <c r="H870" t="s">
        <v>50</v>
      </c>
      <c r="I870" t="s">
        <v>34</v>
      </c>
      <c r="J870" t="s">
        <v>51</v>
      </c>
      <c r="K870" t="s">
        <v>41</v>
      </c>
      <c r="L870" t="s">
        <v>52</v>
      </c>
      <c r="M870" t="s">
        <v>4707</v>
      </c>
      <c r="N870" t="s">
        <v>494</v>
      </c>
      <c r="O870" t="s">
        <v>69</v>
      </c>
      <c r="P870" t="s">
        <v>4708</v>
      </c>
      <c r="Q870" s="14" t="s">
        <v>149</v>
      </c>
      <c r="R870" t="s">
        <v>4709</v>
      </c>
      <c r="S870">
        <v>3.23</v>
      </c>
      <c r="T870">
        <v>12587</v>
      </c>
      <c r="U870">
        <v>0</v>
      </c>
      <c r="V870">
        <v>12587</v>
      </c>
    </row>
    <row r="871" spans="1:22" x14ac:dyDescent="0.3">
      <c r="A871">
        <v>148303</v>
      </c>
      <c r="B871">
        <v>135199832</v>
      </c>
      <c r="C871" t="s">
        <v>354</v>
      </c>
      <c r="D871" t="s">
        <v>4710</v>
      </c>
      <c r="E871" t="s">
        <v>4637</v>
      </c>
      <c r="F871" t="s">
        <v>491</v>
      </c>
      <c r="G871" t="s">
        <v>49</v>
      </c>
      <c r="H871" t="s">
        <v>50</v>
      </c>
      <c r="I871" t="s">
        <v>34</v>
      </c>
      <c r="J871" t="s">
        <v>51</v>
      </c>
      <c r="K871" t="s">
        <v>41</v>
      </c>
      <c r="L871" t="s">
        <v>52</v>
      </c>
      <c r="M871" t="s">
        <v>4711</v>
      </c>
      <c r="N871" t="s">
        <v>494</v>
      </c>
      <c r="O871" t="s">
        <v>69</v>
      </c>
      <c r="P871" t="s">
        <v>4712</v>
      </c>
      <c r="Q871" s="14" t="s">
        <v>83</v>
      </c>
      <c r="R871" t="s">
        <v>4713</v>
      </c>
      <c r="S871">
        <v>3.88</v>
      </c>
      <c r="T871">
        <v>7129</v>
      </c>
      <c r="U871">
        <v>0</v>
      </c>
      <c r="V871">
        <v>7129</v>
      </c>
    </row>
    <row r="872" spans="1:22" x14ac:dyDescent="0.3">
      <c r="A872">
        <v>148303</v>
      </c>
      <c r="B872">
        <v>135250063</v>
      </c>
      <c r="C872" t="s">
        <v>4714</v>
      </c>
      <c r="D872" t="s">
        <v>4715</v>
      </c>
      <c r="E872" t="s">
        <v>4637</v>
      </c>
      <c r="F872" t="s">
        <v>491</v>
      </c>
      <c r="G872" t="s">
        <v>49</v>
      </c>
      <c r="H872" t="s">
        <v>50</v>
      </c>
      <c r="I872" t="s">
        <v>34</v>
      </c>
      <c r="J872" t="s">
        <v>51</v>
      </c>
      <c r="K872" t="s">
        <v>41</v>
      </c>
      <c r="L872" t="s">
        <v>52</v>
      </c>
      <c r="M872" t="s">
        <v>462</v>
      </c>
      <c r="N872" t="s">
        <v>494</v>
      </c>
      <c r="O872" t="s">
        <v>69</v>
      </c>
      <c r="P872" t="s">
        <v>4716</v>
      </c>
      <c r="Q872" s="14" t="s">
        <v>83</v>
      </c>
      <c r="R872" t="s">
        <v>4717</v>
      </c>
      <c r="S872">
        <v>2.65</v>
      </c>
      <c r="T872">
        <v>6800</v>
      </c>
      <c r="U872">
        <v>0</v>
      </c>
      <c r="V872">
        <v>6800</v>
      </c>
    </row>
    <row r="873" spans="1:22" x14ac:dyDescent="0.3">
      <c r="A873">
        <v>148303</v>
      </c>
      <c r="B873">
        <v>135250301</v>
      </c>
      <c r="C873" t="s">
        <v>361</v>
      </c>
      <c r="D873" t="s">
        <v>4718</v>
      </c>
      <c r="E873" t="s">
        <v>4637</v>
      </c>
      <c r="F873" t="s">
        <v>491</v>
      </c>
      <c r="G873" t="s">
        <v>49</v>
      </c>
      <c r="H873" t="s">
        <v>50</v>
      </c>
      <c r="I873" t="s">
        <v>34</v>
      </c>
      <c r="J873" t="s">
        <v>51</v>
      </c>
      <c r="K873" t="s">
        <v>41</v>
      </c>
      <c r="L873" t="s">
        <v>52</v>
      </c>
      <c r="M873" t="s">
        <v>4719</v>
      </c>
      <c r="N873" t="s">
        <v>494</v>
      </c>
      <c r="O873" t="s">
        <v>69</v>
      </c>
      <c r="P873" t="s">
        <v>4720</v>
      </c>
      <c r="Q873" s="14" t="s">
        <v>89</v>
      </c>
      <c r="R873" t="s">
        <v>4721</v>
      </c>
      <c r="S873">
        <v>3.44</v>
      </c>
      <c r="T873">
        <v>8022</v>
      </c>
      <c r="U873">
        <v>0</v>
      </c>
      <c r="V873">
        <v>8022</v>
      </c>
    </row>
    <row r="874" spans="1:22" x14ac:dyDescent="0.3">
      <c r="A874">
        <v>148303</v>
      </c>
      <c r="B874">
        <v>135060565</v>
      </c>
      <c r="C874" t="s">
        <v>4722</v>
      </c>
      <c r="D874" t="s">
        <v>4723</v>
      </c>
      <c r="E874" t="s">
        <v>4637</v>
      </c>
      <c r="F874" t="s">
        <v>491</v>
      </c>
      <c r="G874" t="s">
        <v>49</v>
      </c>
      <c r="H874" t="s">
        <v>50</v>
      </c>
      <c r="I874" t="s">
        <v>34</v>
      </c>
      <c r="J874" t="s">
        <v>51</v>
      </c>
      <c r="K874" t="s">
        <v>41</v>
      </c>
      <c r="L874" t="s">
        <v>52</v>
      </c>
      <c r="M874" t="s">
        <v>4724</v>
      </c>
      <c r="N874" t="s">
        <v>494</v>
      </c>
      <c r="O874" t="s">
        <v>69</v>
      </c>
      <c r="P874" t="s">
        <v>4725</v>
      </c>
      <c r="Q874" s="14" t="s">
        <v>201</v>
      </c>
      <c r="R874" t="s">
        <v>451</v>
      </c>
      <c r="S874">
        <v>1.59</v>
      </c>
      <c r="T874">
        <v>7087</v>
      </c>
      <c r="U874">
        <v>0</v>
      </c>
      <c r="V874">
        <v>7087</v>
      </c>
    </row>
    <row r="875" spans="1:22" x14ac:dyDescent="0.3">
      <c r="A875">
        <v>148303</v>
      </c>
      <c r="B875">
        <v>134969021</v>
      </c>
      <c r="C875" t="s">
        <v>365</v>
      </c>
      <c r="D875" t="s">
        <v>4726</v>
      </c>
      <c r="E875" t="s">
        <v>4637</v>
      </c>
      <c r="F875" t="s">
        <v>491</v>
      </c>
      <c r="G875" t="s">
        <v>49</v>
      </c>
      <c r="H875" t="s">
        <v>50</v>
      </c>
      <c r="I875" t="s">
        <v>34</v>
      </c>
      <c r="J875" t="s">
        <v>51</v>
      </c>
      <c r="K875" t="s">
        <v>41</v>
      </c>
      <c r="L875" t="s">
        <v>52</v>
      </c>
      <c r="M875" t="s">
        <v>4727</v>
      </c>
      <c r="N875" t="s">
        <v>494</v>
      </c>
      <c r="O875" t="s">
        <v>69</v>
      </c>
      <c r="P875" t="s">
        <v>4728</v>
      </c>
      <c r="Q875" s="14" t="s">
        <v>107</v>
      </c>
      <c r="R875" t="s">
        <v>4729</v>
      </c>
      <c r="S875">
        <v>3.19</v>
      </c>
      <c r="T875">
        <v>8305</v>
      </c>
      <c r="U875">
        <v>0</v>
      </c>
      <c r="V875">
        <v>8305</v>
      </c>
    </row>
    <row r="876" spans="1:22" x14ac:dyDescent="0.3">
      <c r="A876">
        <v>148303</v>
      </c>
      <c r="B876">
        <v>134971561</v>
      </c>
      <c r="C876" t="s">
        <v>356</v>
      </c>
      <c r="D876" t="s">
        <v>4730</v>
      </c>
      <c r="E876" t="s">
        <v>4637</v>
      </c>
      <c r="F876" t="s">
        <v>491</v>
      </c>
      <c r="G876" t="s">
        <v>49</v>
      </c>
      <c r="H876" t="s">
        <v>50</v>
      </c>
      <c r="I876" t="s">
        <v>34</v>
      </c>
      <c r="J876" t="s">
        <v>51</v>
      </c>
      <c r="K876" t="s">
        <v>41</v>
      </c>
      <c r="L876" t="s">
        <v>52</v>
      </c>
      <c r="M876" t="s">
        <v>4731</v>
      </c>
      <c r="N876" t="s">
        <v>494</v>
      </c>
      <c r="O876" t="s">
        <v>69</v>
      </c>
      <c r="P876" t="s">
        <v>4732</v>
      </c>
      <c r="Q876" s="14" t="s">
        <v>42</v>
      </c>
      <c r="R876" t="s">
        <v>4733</v>
      </c>
      <c r="S876">
        <v>3.31</v>
      </c>
      <c r="T876">
        <v>7449</v>
      </c>
      <c r="U876">
        <v>0</v>
      </c>
      <c r="V876">
        <v>7449</v>
      </c>
    </row>
    <row r="877" spans="1:22" x14ac:dyDescent="0.3">
      <c r="A877">
        <v>148303</v>
      </c>
      <c r="B877">
        <v>134969299</v>
      </c>
      <c r="C877" t="s">
        <v>4734</v>
      </c>
      <c r="D877" t="s">
        <v>4735</v>
      </c>
      <c r="E877" t="s">
        <v>4637</v>
      </c>
      <c r="F877" t="s">
        <v>491</v>
      </c>
      <c r="G877" t="s">
        <v>49</v>
      </c>
      <c r="H877" t="s">
        <v>50</v>
      </c>
      <c r="I877" t="s">
        <v>34</v>
      </c>
      <c r="J877" t="s">
        <v>51</v>
      </c>
      <c r="K877" t="s">
        <v>41</v>
      </c>
      <c r="L877" t="s">
        <v>52</v>
      </c>
      <c r="M877" t="s">
        <v>4736</v>
      </c>
      <c r="N877" t="s">
        <v>494</v>
      </c>
      <c r="O877" t="s">
        <v>69</v>
      </c>
      <c r="P877" t="s">
        <v>4737</v>
      </c>
      <c r="Q877" s="14" t="s">
        <v>203</v>
      </c>
      <c r="R877" t="s">
        <v>4738</v>
      </c>
      <c r="S877">
        <v>2.4300000000000002</v>
      </c>
      <c r="T877">
        <v>8410</v>
      </c>
      <c r="U877">
        <v>0</v>
      </c>
      <c r="V877">
        <v>8410</v>
      </c>
    </row>
    <row r="878" spans="1:22" x14ac:dyDescent="0.3">
      <c r="A878">
        <v>148303</v>
      </c>
      <c r="B878">
        <v>135030909</v>
      </c>
      <c r="C878" t="s">
        <v>4739</v>
      </c>
      <c r="D878" t="s">
        <v>4740</v>
      </c>
      <c r="E878" t="s">
        <v>4637</v>
      </c>
      <c r="F878" t="s">
        <v>491</v>
      </c>
      <c r="G878" t="s">
        <v>49</v>
      </c>
      <c r="H878" t="s">
        <v>50</v>
      </c>
      <c r="I878" t="s">
        <v>34</v>
      </c>
      <c r="J878" t="s">
        <v>51</v>
      </c>
      <c r="K878" t="s">
        <v>41</v>
      </c>
      <c r="L878" t="s">
        <v>52</v>
      </c>
      <c r="M878" t="s">
        <v>4741</v>
      </c>
      <c r="N878" t="s">
        <v>494</v>
      </c>
      <c r="O878" t="s">
        <v>69</v>
      </c>
      <c r="P878" t="s">
        <v>4742</v>
      </c>
      <c r="Q878" s="14" t="s">
        <v>98</v>
      </c>
      <c r="R878" t="s">
        <v>4743</v>
      </c>
      <c r="S878">
        <v>11.6</v>
      </c>
      <c r="T878">
        <v>10008</v>
      </c>
      <c r="U878">
        <v>0</v>
      </c>
      <c r="V878">
        <v>10008</v>
      </c>
    </row>
    <row r="879" spans="1:22" x14ac:dyDescent="0.3">
      <c r="A879">
        <v>148303</v>
      </c>
      <c r="B879">
        <v>135028362</v>
      </c>
      <c r="C879" t="s">
        <v>4744</v>
      </c>
      <c r="D879" t="s">
        <v>4745</v>
      </c>
      <c r="E879" t="s">
        <v>4637</v>
      </c>
      <c r="F879" t="s">
        <v>491</v>
      </c>
      <c r="G879" t="s">
        <v>49</v>
      </c>
      <c r="H879" t="s">
        <v>50</v>
      </c>
      <c r="I879" t="s">
        <v>34</v>
      </c>
      <c r="J879" t="s">
        <v>51</v>
      </c>
      <c r="K879" t="s">
        <v>41</v>
      </c>
      <c r="L879" t="s">
        <v>52</v>
      </c>
      <c r="M879" t="s">
        <v>4746</v>
      </c>
      <c r="N879" t="s">
        <v>494</v>
      </c>
      <c r="O879" t="s">
        <v>69</v>
      </c>
      <c r="P879" t="s">
        <v>4747</v>
      </c>
      <c r="Q879" s="14" t="s">
        <v>70</v>
      </c>
      <c r="R879" t="s">
        <v>295</v>
      </c>
      <c r="S879">
        <v>8.98</v>
      </c>
      <c r="T879">
        <v>12556</v>
      </c>
      <c r="U879">
        <v>0</v>
      </c>
      <c r="V879">
        <v>12556</v>
      </c>
    </row>
    <row r="880" spans="1:22" x14ac:dyDescent="0.3">
      <c r="A880">
        <v>148303</v>
      </c>
      <c r="B880">
        <v>134953380</v>
      </c>
      <c r="C880" t="s">
        <v>4748</v>
      </c>
      <c r="D880" t="s">
        <v>4749</v>
      </c>
      <c r="E880" t="s">
        <v>4637</v>
      </c>
      <c r="F880" t="s">
        <v>491</v>
      </c>
      <c r="G880" t="s">
        <v>49</v>
      </c>
      <c r="H880" t="s">
        <v>50</v>
      </c>
      <c r="I880" t="s">
        <v>34</v>
      </c>
      <c r="J880" t="s">
        <v>51</v>
      </c>
      <c r="K880" t="s">
        <v>41</v>
      </c>
      <c r="L880" t="s">
        <v>52</v>
      </c>
      <c r="M880" t="s">
        <v>4750</v>
      </c>
      <c r="N880" t="s">
        <v>494</v>
      </c>
      <c r="O880" t="s">
        <v>69</v>
      </c>
      <c r="P880" t="s">
        <v>4751</v>
      </c>
      <c r="Q880" s="14" t="s">
        <v>212</v>
      </c>
      <c r="R880" t="s">
        <v>4752</v>
      </c>
      <c r="S880">
        <v>2.46</v>
      </c>
      <c r="T880">
        <v>16868</v>
      </c>
      <c r="U880">
        <v>0</v>
      </c>
      <c r="V880">
        <v>16868</v>
      </c>
    </row>
    <row r="881" spans="1:22" x14ac:dyDescent="0.3">
      <c r="A881">
        <v>148303</v>
      </c>
      <c r="B881">
        <v>135111555</v>
      </c>
      <c r="C881" t="s">
        <v>368</v>
      </c>
      <c r="D881" t="s">
        <v>4753</v>
      </c>
      <c r="E881" t="s">
        <v>4637</v>
      </c>
      <c r="F881" t="s">
        <v>491</v>
      </c>
      <c r="G881" t="s">
        <v>49</v>
      </c>
      <c r="H881" t="s">
        <v>50</v>
      </c>
      <c r="I881" t="s">
        <v>34</v>
      </c>
      <c r="J881" t="s">
        <v>51</v>
      </c>
      <c r="K881" t="s">
        <v>41</v>
      </c>
      <c r="L881" t="s">
        <v>52</v>
      </c>
      <c r="M881" t="s">
        <v>4754</v>
      </c>
      <c r="N881" t="s">
        <v>494</v>
      </c>
      <c r="O881" t="s">
        <v>69</v>
      </c>
      <c r="P881" t="s">
        <v>4755</v>
      </c>
      <c r="Q881" s="14" t="s">
        <v>76</v>
      </c>
      <c r="R881" t="s">
        <v>415</v>
      </c>
      <c r="S881">
        <v>2.91</v>
      </c>
      <c r="T881">
        <v>7326</v>
      </c>
      <c r="U881">
        <v>0</v>
      </c>
      <c r="V881">
        <v>7326</v>
      </c>
    </row>
    <row r="882" spans="1:22" x14ac:dyDescent="0.3">
      <c r="A882">
        <v>148303</v>
      </c>
      <c r="B882">
        <v>135074927</v>
      </c>
      <c r="C882" t="s">
        <v>4756</v>
      </c>
      <c r="D882" t="s">
        <v>4757</v>
      </c>
      <c r="E882" t="s">
        <v>4637</v>
      </c>
      <c r="F882" t="s">
        <v>491</v>
      </c>
      <c r="G882" t="s">
        <v>49</v>
      </c>
      <c r="H882" t="s">
        <v>50</v>
      </c>
      <c r="I882" t="s">
        <v>34</v>
      </c>
      <c r="J882" t="s">
        <v>51</v>
      </c>
      <c r="K882" t="s">
        <v>56</v>
      </c>
      <c r="L882" t="s">
        <v>4758</v>
      </c>
      <c r="M882" t="s">
        <v>4759</v>
      </c>
      <c r="N882" t="s">
        <v>494</v>
      </c>
      <c r="O882" t="s">
        <v>69</v>
      </c>
      <c r="P882" t="s">
        <v>4760</v>
      </c>
      <c r="Q882" s="14" t="s">
        <v>43</v>
      </c>
      <c r="R882" t="s">
        <v>388</v>
      </c>
      <c r="S882">
        <v>2.25</v>
      </c>
      <c r="T882">
        <v>8410</v>
      </c>
      <c r="U882">
        <v>0</v>
      </c>
      <c r="V882">
        <v>8410</v>
      </c>
    </row>
    <row r="883" spans="1:22" x14ac:dyDescent="0.3">
      <c r="A883">
        <v>148303</v>
      </c>
      <c r="B883">
        <v>135111891</v>
      </c>
      <c r="C883" t="s">
        <v>363</v>
      </c>
      <c r="D883" t="s">
        <v>4761</v>
      </c>
      <c r="E883" t="s">
        <v>4637</v>
      </c>
      <c r="F883" t="s">
        <v>491</v>
      </c>
      <c r="G883" t="s">
        <v>49</v>
      </c>
      <c r="H883" t="s">
        <v>50</v>
      </c>
      <c r="I883" t="s">
        <v>34</v>
      </c>
      <c r="J883" t="s">
        <v>51</v>
      </c>
      <c r="K883" t="s">
        <v>41</v>
      </c>
      <c r="L883" t="s">
        <v>52</v>
      </c>
      <c r="M883" t="s">
        <v>4762</v>
      </c>
      <c r="N883" t="s">
        <v>494</v>
      </c>
      <c r="O883" t="s">
        <v>69</v>
      </c>
      <c r="P883" t="s">
        <v>4763</v>
      </c>
      <c r="Q883" s="14" t="s">
        <v>151</v>
      </c>
      <c r="R883" t="s">
        <v>472</v>
      </c>
      <c r="S883">
        <v>1.5</v>
      </c>
      <c r="T883">
        <v>5992</v>
      </c>
      <c r="U883">
        <v>0</v>
      </c>
      <c r="V883">
        <v>5992</v>
      </c>
    </row>
    <row r="884" spans="1:22" x14ac:dyDescent="0.3">
      <c r="A884">
        <v>148303</v>
      </c>
      <c r="B884">
        <v>135050795</v>
      </c>
      <c r="C884" t="s">
        <v>4764</v>
      </c>
      <c r="D884" t="s">
        <v>4765</v>
      </c>
      <c r="E884" t="s">
        <v>4637</v>
      </c>
      <c r="F884" t="s">
        <v>491</v>
      </c>
      <c r="G884" t="s">
        <v>49</v>
      </c>
      <c r="H884" t="s">
        <v>50</v>
      </c>
      <c r="I884" t="s">
        <v>34</v>
      </c>
      <c r="J884" t="s">
        <v>51</v>
      </c>
      <c r="K884" t="s">
        <v>41</v>
      </c>
      <c r="L884" t="s">
        <v>52</v>
      </c>
      <c r="M884" t="s">
        <v>4766</v>
      </c>
      <c r="N884" t="s">
        <v>494</v>
      </c>
      <c r="O884" t="s">
        <v>69</v>
      </c>
      <c r="P884" t="s">
        <v>4767</v>
      </c>
      <c r="Q884" s="14" t="s">
        <v>55</v>
      </c>
      <c r="R884" t="s">
        <v>277</v>
      </c>
      <c r="S884">
        <v>3.26</v>
      </c>
      <c r="T884">
        <v>7224</v>
      </c>
      <c r="U884">
        <v>0</v>
      </c>
      <c r="V884">
        <v>7224</v>
      </c>
    </row>
    <row r="885" spans="1:22" x14ac:dyDescent="0.3">
      <c r="A885">
        <v>148303</v>
      </c>
      <c r="B885">
        <v>134980693</v>
      </c>
      <c r="C885" t="s">
        <v>355</v>
      </c>
      <c r="D885" t="s">
        <v>4768</v>
      </c>
      <c r="E885" t="s">
        <v>4637</v>
      </c>
      <c r="F885" t="s">
        <v>491</v>
      </c>
      <c r="G885" t="s">
        <v>49</v>
      </c>
      <c r="H885" t="s">
        <v>50</v>
      </c>
      <c r="I885" t="s">
        <v>34</v>
      </c>
      <c r="J885" t="s">
        <v>51</v>
      </c>
      <c r="K885" t="s">
        <v>41</v>
      </c>
      <c r="L885" t="s">
        <v>52</v>
      </c>
      <c r="M885" t="s">
        <v>4769</v>
      </c>
      <c r="N885" t="s">
        <v>494</v>
      </c>
      <c r="O885" t="s">
        <v>69</v>
      </c>
      <c r="P885" t="s">
        <v>4770</v>
      </c>
      <c r="Q885" s="14" t="s">
        <v>114</v>
      </c>
      <c r="R885" t="s">
        <v>312</v>
      </c>
      <c r="S885">
        <v>1.59</v>
      </c>
      <c r="T885">
        <v>7326</v>
      </c>
      <c r="U885">
        <v>0</v>
      </c>
      <c r="V885">
        <v>7326</v>
      </c>
    </row>
    <row r="886" spans="1:22" x14ac:dyDescent="0.3">
      <c r="A886">
        <v>148303</v>
      </c>
      <c r="B886">
        <v>134694773</v>
      </c>
      <c r="C886" t="s">
        <v>445</v>
      </c>
      <c r="D886" t="s">
        <v>4771</v>
      </c>
      <c r="E886" t="s">
        <v>4637</v>
      </c>
      <c r="F886" t="s">
        <v>491</v>
      </c>
      <c r="G886" t="s">
        <v>49</v>
      </c>
      <c r="H886" t="s">
        <v>50</v>
      </c>
      <c r="I886" t="s">
        <v>34</v>
      </c>
      <c r="J886" t="s">
        <v>51</v>
      </c>
      <c r="K886" t="s">
        <v>41</v>
      </c>
      <c r="L886" t="s">
        <v>52</v>
      </c>
      <c r="M886" t="s">
        <v>4772</v>
      </c>
      <c r="N886" t="s">
        <v>494</v>
      </c>
      <c r="O886" t="s">
        <v>69</v>
      </c>
      <c r="P886" t="s">
        <v>4773</v>
      </c>
      <c r="Q886" s="14" t="s">
        <v>167</v>
      </c>
      <c r="R886" t="s">
        <v>4774</v>
      </c>
      <c r="S886">
        <v>1.39</v>
      </c>
      <c r="T886">
        <v>11659</v>
      </c>
      <c r="U886">
        <v>0</v>
      </c>
      <c r="V886">
        <v>11659</v>
      </c>
    </row>
    <row r="887" spans="1:22" x14ac:dyDescent="0.3">
      <c r="A887">
        <v>148303</v>
      </c>
      <c r="B887">
        <v>134612398</v>
      </c>
      <c r="C887" t="s">
        <v>4775</v>
      </c>
      <c r="D887" t="s">
        <v>4776</v>
      </c>
      <c r="E887" t="s">
        <v>4637</v>
      </c>
      <c r="F887" t="s">
        <v>491</v>
      </c>
      <c r="G887" t="s">
        <v>49</v>
      </c>
      <c r="H887" t="s">
        <v>50</v>
      </c>
      <c r="I887" t="s">
        <v>34</v>
      </c>
      <c r="J887" t="s">
        <v>51</v>
      </c>
      <c r="K887" t="s">
        <v>41</v>
      </c>
      <c r="L887" t="s">
        <v>52</v>
      </c>
      <c r="M887" t="s">
        <v>4777</v>
      </c>
      <c r="N887" t="s">
        <v>494</v>
      </c>
      <c r="O887" t="s">
        <v>69</v>
      </c>
      <c r="P887" t="s">
        <v>4778</v>
      </c>
      <c r="Q887" s="14" t="s">
        <v>81</v>
      </c>
      <c r="R887" t="s">
        <v>4779</v>
      </c>
      <c r="S887">
        <v>2.6</v>
      </c>
      <c r="T887">
        <v>7945</v>
      </c>
      <c r="U887">
        <v>0</v>
      </c>
      <c r="V887">
        <v>7945</v>
      </c>
    </row>
    <row r="888" spans="1:22" x14ac:dyDescent="0.3">
      <c r="A888">
        <v>148303</v>
      </c>
      <c r="B888">
        <v>134784713</v>
      </c>
      <c r="C888" t="s">
        <v>4780</v>
      </c>
      <c r="D888" t="s">
        <v>4781</v>
      </c>
      <c r="E888" t="s">
        <v>4637</v>
      </c>
      <c r="F888" t="s">
        <v>491</v>
      </c>
      <c r="G888" t="s">
        <v>49</v>
      </c>
      <c r="H888" t="s">
        <v>50</v>
      </c>
      <c r="I888" t="s">
        <v>34</v>
      </c>
      <c r="J888" t="s">
        <v>51</v>
      </c>
      <c r="K888" t="s">
        <v>41</v>
      </c>
      <c r="L888" t="s">
        <v>52</v>
      </c>
      <c r="M888" t="s">
        <v>296</v>
      </c>
      <c r="N888" t="s">
        <v>494</v>
      </c>
      <c r="O888" t="s">
        <v>69</v>
      </c>
      <c r="P888" t="s">
        <v>4782</v>
      </c>
      <c r="Q888" s="14" t="s">
        <v>149</v>
      </c>
      <c r="R888" t="s">
        <v>4783</v>
      </c>
      <c r="S888">
        <v>1.44</v>
      </c>
      <c r="T888">
        <v>10346</v>
      </c>
      <c r="U888">
        <v>0</v>
      </c>
      <c r="V888">
        <v>10346</v>
      </c>
    </row>
    <row r="889" spans="1:22" x14ac:dyDescent="0.3">
      <c r="A889">
        <v>148303</v>
      </c>
      <c r="B889">
        <v>134741941</v>
      </c>
      <c r="C889" t="s">
        <v>4784</v>
      </c>
      <c r="D889" t="s">
        <v>4785</v>
      </c>
      <c r="E889" t="s">
        <v>4637</v>
      </c>
      <c r="F889" t="s">
        <v>491</v>
      </c>
      <c r="G889" t="s">
        <v>49</v>
      </c>
      <c r="H889" t="s">
        <v>50</v>
      </c>
      <c r="I889" t="s">
        <v>34</v>
      </c>
      <c r="J889" t="s">
        <v>51</v>
      </c>
      <c r="K889" t="s">
        <v>41</v>
      </c>
      <c r="L889" t="s">
        <v>52</v>
      </c>
      <c r="M889" t="s">
        <v>4786</v>
      </c>
      <c r="N889" t="s">
        <v>494</v>
      </c>
      <c r="O889" t="s">
        <v>69</v>
      </c>
      <c r="P889" t="s">
        <v>4787</v>
      </c>
      <c r="Q889" s="14" t="s">
        <v>54</v>
      </c>
      <c r="R889" t="s">
        <v>4788</v>
      </c>
      <c r="S889">
        <v>6.04</v>
      </c>
      <c r="T889">
        <v>8855</v>
      </c>
      <c r="U889">
        <v>0</v>
      </c>
      <c r="V889">
        <v>8855</v>
      </c>
    </row>
    <row r="890" spans="1:22" x14ac:dyDescent="0.3">
      <c r="A890">
        <v>148303</v>
      </c>
      <c r="B890">
        <v>134877759</v>
      </c>
      <c r="C890" t="s">
        <v>4789</v>
      </c>
      <c r="D890" t="s">
        <v>4790</v>
      </c>
      <c r="E890" t="s">
        <v>4637</v>
      </c>
      <c r="F890" t="s">
        <v>491</v>
      </c>
      <c r="G890" t="s">
        <v>49</v>
      </c>
      <c r="H890" t="s">
        <v>50</v>
      </c>
      <c r="I890" t="s">
        <v>34</v>
      </c>
      <c r="J890" t="s">
        <v>51</v>
      </c>
      <c r="K890" t="s">
        <v>41</v>
      </c>
      <c r="L890" t="s">
        <v>52</v>
      </c>
      <c r="M890" t="s">
        <v>4791</v>
      </c>
      <c r="N890" t="s">
        <v>494</v>
      </c>
      <c r="O890" t="s">
        <v>69</v>
      </c>
      <c r="P890" t="s">
        <v>4792</v>
      </c>
      <c r="Q890" s="14" t="s">
        <v>86</v>
      </c>
      <c r="R890" t="s">
        <v>282</v>
      </c>
      <c r="S890">
        <v>2.59</v>
      </c>
      <c r="T890">
        <v>7015</v>
      </c>
      <c r="U890">
        <v>0</v>
      </c>
      <c r="V890">
        <v>7015</v>
      </c>
    </row>
    <row r="891" spans="1:22" x14ac:dyDescent="0.3">
      <c r="A891">
        <v>148303</v>
      </c>
      <c r="B891">
        <v>134900009</v>
      </c>
      <c r="C891" t="s">
        <v>4793</v>
      </c>
      <c r="D891" t="s">
        <v>4794</v>
      </c>
      <c r="E891" t="s">
        <v>4637</v>
      </c>
      <c r="F891" t="s">
        <v>491</v>
      </c>
      <c r="G891" t="s">
        <v>49</v>
      </c>
      <c r="H891" t="s">
        <v>50</v>
      </c>
      <c r="I891" t="s">
        <v>34</v>
      </c>
      <c r="J891" t="s">
        <v>51</v>
      </c>
      <c r="K891" t="s">
        <v>41</v>
      </c>
      <c r="L891" t="s">
        <v>52</v>
      </c>
      <c r="M891" t="s">
        <v>4795</v>
      </c>
      <c r="N891" t="s">
        <v>494</v>
      </c>
      <c r="O891" t="s">
        <v>69</v>
      </c>
      <c r="P891" t="s">
        <v>4796</v>
      </c>
      <c r="Q891" s="14" t="s">
        <v>77</v>
      </c>
      <c r="R891" t="s">
        <v>448</v>
      </c>
      <c r="S891">
        <v>3.11</v>
      </c>
      <c r="T891">
        <v>8022</v>
      </c>
      <c r="U891">
        <v>0</v>
      </c>
      <c r="V891">
        <v>8022</v>
      </c>
    </row>
    <row r="892" spans="1:22" x14ac:dyDescent="0.3">
      <c r="A892">
        <v>148303</v>
      </c>
      <c r="B892">
        <v>134665188</v>
      </c>
      <c r="C892" t="s">
        <v>4797</v>
      </c>
      <c r="D892" t="s">
        <v>4798</v>
      </c>
      <c r="E892" t="s">
        <v>4637</v>
      </c>
      <c r="F892" t="s">
        <v>491</v>
      </c>
      <c r="G892" t="s">
        <v>49</v>
      </c>
      <c r="H892" t="s">
        <v>50</v>
      </c>
      <c r="I892" t="s">
        <v>34</v>
      </c>
      <c r="J892" t="s">
        <v>51</v>
      </c>
      <c r="K892" t="s">
        <v>41</v>
      </c>
      <c r="L892" t="s">
        <v>52</v>
      </c>
      <c r="M892" t="s">
        <v>4799</v>
      </c>
      <c r="N892" t="s">
        <v>494</v>
      </c>
      <c r="O892" t="s">
        <v>69</v>
      </c>
      <c r="P892" t="s">
        <v>4800</v>
      </c>
      <c r="Q892" s="14" t="s">
        <v>58</v>
      </c>
      <c r="R892" t="s">
        <v>4801</v>
      </c>
      <c r="S892">
        <v>3.2</v>
      </c>
      <c r="T892">
        <v>8849</v>
      </c>
      <c r="U892">
        <v>0</v>
      </c>
      <c r="V892">
        <v>8849</v>
      </c>
    </row>
    <row r="893" spans="1:22" x14ac:dyDescent="0.3">
      <c r="A893">
        <v>148303</v>
      </c>
      <c r="B893">
        <v>134636019</v>
      </c>
      <c r="C893" t="s">
        <v>4802</v>
      </c>
      <c r="D893" t="s">
        <v>4803</v>
      </c>
      <c r="E893" t="s">
        <v>4637</v>
      </c>
      <c r="F893" t="s">
        <v>491</v>
      </c>
      <c r="G893" t="s">
        <v>49</v>
      </c>
      <c r="H893" t="s">
        <v>50</v>
      </c>
      <c r="I893" t="s">
        <v>34</v>
      </c>
      <c r="J893" t="s">
        <v>51</v>
      </c>
      <c r="K893" t="s">
        <v>41</v>
      </c>
      <c r="L893" t="s">
        <v>52</v>
      </c>
      <c r="M893" t="s">
        <v>4804</v>
      </c>
      <c r="N893" t="s">
        <v>494</v>
      </c>
      <c r="O893" t="s">
        <v>69</v>
      </c>
      <c r="P893" t="s">
        <v>4805</v>
      </c>
      <c r="Q893" s="14" t="s">
        <v>43</v>
      </c>
      <c r="R893" t="s">
        <v>4806</v>
      </c>
      <c r="S893">
        <v>1.84</v>
      </c>
      <c r="T893">
        <v>8410</v>
      </c>
      <c r="U893">
        <v>0</v>
      </c>
      <c r="V893">
        <v>8410</v>
      </c>
    </row>
    <row r="894" spans="1:22" x14ac:dyDescent="0.3">
      <c r="A894">
        <v>148303</v>
      </c>
      <c r="B894">
        <v>134675049</v>
      </c>
      <c r="C894" t="s">
        <v>4807</v>
      </c>
      <c r="D894" t="s">
        <v>4808</v>
      </c>
      <c r="E894" t="s">
        <v>4637</v>
      </c>
      <c r="F894" t="s">
        <v>491</v>
      </c>
      <c r="G894" t="s">
        <v>49</v>
      </c>
      <c r="H894" t="s">
        <v>50</v>
      </c>
      <c r="I894" t="s">
        <v>34</v>
      </c>
      <c r="J894" t="s">
        <v>51</v>
      </c>
      <c r="K894" t="s">
        <v>56</v>
      </c>
      <c r="L894" t="s">
        <v>4809</v>
      </c>
      <c r="M894" t="s">
        <v>4810</v>
      </c>
      <c r="N894" t="s">
        <v>494</v>
      </c>
      <c r="O894" t="s">
        <v>69</v>
      </c>
      <c r="P894" t="s">
        <v>4811</v>
      </c>
      <c r="Q894" s="14" t="s">
        <v>242</v>
      </c>
      <c r="R894" t="s">
        <v>4812</v>
      </c>
      <c r="S894">
        <v>2.5</v>
      </c>
      <c r="T894">
        <v>10200</v>
      </c>
      <c r="U894">
        <v>0</v>
      </c>
      <c r="V894">
        <v>10200</v>
      </c>
    </row>
    <row r="895" spans="1:22" x14ac:dyDescent="0.3">
      <c r="A895">
        <v>148303</v>
      </c>
      <c r="B895">
        <v>134701124</v>
      </c>
      <c r="C895" t="s">
        <v>4813</v>
      </c>
      <c r="D895" t="s">
        <v>4814</v>
      </c>
      <c r="E895" t="s">
        <v>4637</v>
      </c>
      <c r="F895" t="s">
        <v>491</v>
      </c>
      <c r="G895" t="s">
        <v>49</v>
      </c>
      <c r="H895" t="s">
        <v>50</v>
      </c>
      <c r="I895" t="s">
        <v>34</v>
      </c>
      <c r="J895" t="s">
        <v>51</v>
      </c>
      <c r="K895" t="s">
        <v>41</v>
      </c>
      <c r="L895" t="s">
        <v>52</v>
      </c>
      <c r="M895" t="s">
        <v>4815</v>
      </c>
      <c r="N895" t="s">
        <v>494</v>
      </c>
      <c r="O895" t="s">
        <v>69</v>
      </c>
      <c r="P895" t="s">
        <v>4816</v>
      </c>
      <c r="Q895" s="14" t="s">
        <v>135</v>
      </c>
      <c r="R895" t="s">
        <v>4817</v>
      </c>
      <c r="S895">
        <v>1.44</v>
      </c>
      <c r="T895">
        <v>5992</v>
      </c>
      <c r="U895">
        <v>0</v>
      </c>
      <c r="V895">
        <v>5992</v>
      </c>
    </row>
    <row r="896" spans="1:22" x14ac:dyDescent="0.3">
      <c r="A896">
        <v>148303</v>
      </c>
      <c r="B896">
        <v>134733492</v>
      </c>
      <c r="C896" t="s">
        <v>4818</v>
      </c>
      <c r="D896" t="s">
        <v>4819</v>
      </c>
      <c r="E896" t="s">
        <v>4637</v>
      </c>
      <c r="F896" t="s">
        <v>491</v>
      </c>
      <c r="G896" t="s">
        <v>49</v>
      </c>
      <c r="H896" t="s">
        <v>50</v>
      </c>
      <c r="I896" t="s">
        <v>34</v>
      </c>
      <c r="J896" t="s">
        <v>51</v>
      </c>
      <c r="K896" t="s">
        <v>41</v>
      </c>
      <c r="L896" t="s">
        <v>52</v>
      </c>
      <c r="M896" t="s">
        <v>4820</v>
      </c>
      <c r="N896" t="s">
        <v>494</v>
      </c>
      <c r="O896" t="s">
        <v>69</v>
      </c>
      <c r="P896" t="s">
        <v>4821</v>
      </c>
      <c r="Q896" s="14" t="s">
        <v>42</v>
      </c>
      <c r="R896" t="s">
        <v>370</v>
      </c>
      <c r="S896">
        <v>2.44</v>
      </c>
      <c r="T896">
        <v>7326</v>
      </c>
      <c r="U896">
        <v>0</v>
      </c>
      <c r="V896">
        <v>7326</v>
      </c>
    </row>
    <row r="897" spans="1:22" x14ac:dyDescent="0.3">
      <c r="A897">
        <v>148303</v>
      </c>
      <c r="B897">
        <v>134843073</v>
      </c>
      <c r="C897" t="s">
        <v>4822</v>
      </c>
      <c r="D897" t="s">
        <v>4823</v>
      </c>
      <c r="E897" t="s">
        <v>4637</v>
      </c>
      <c r="F897" t="s">
        <v>491</v>
      </c>
      <c r="G897" t="s">
        <v>49</v>
      </c>
      <c r="H897" t="s">
        <v>50</v>
      </c>
      <c r="I897" t="s">
        <v>34</v>
      </c>
      <c r="J897" t="s">
        <v>51</v>
      </c>
      <c r="K897" t="s">
        <v>41</v>
      </c>
      <c r="L897" t="s">
        <v>52</v>
      </c>
      <c r="M897" t="s">
        <v>4824</v>
      </c>
      <c r="N897" t="s">
        <v>494</v>
      </c>
      <c r="O897" t="s">
        <v>69</v>
      </c>
      <c r="P897" t="s">
        <v>4825</v>
      </c>
      <c r="Q897" s="14" t="s">
        <v>43</v>
      </c>
      <c r="R897" t="s">
        <v>379</v>
      </c>
      <c r="S897">
        <v>1.64</v>
      </c>
      <c r="T897">
        <v>8410</v>
      </c>
      <c r="U897">
        <v>0</v>
      </c>
      <c r="V897">
        <v>8410</v>
      </c>
    </row>
    <row r="898" spans="1:22" x14ac:dyDescent="0.3">
      <c r="A898">
        <v>148303</v>
      </c>
      <c r="B898">
        <v>134843037</v>
      </c>
      <c r="C898" t="s">
        <v>4826</v>
      </c>
      <c r="D898" t="s">
        <v>4827</v>
      </c>
      <c r="E898" t="s">
        <v>4637</v>
      </c>
      <c r="F898" t="s">
        <v>491</v>
      </c>
      <c r="G898" t="s">
        <v>49</v>
      </c>
      <c r="H898" t="s">
        <v>50</v>
      </c>
      <c r="I898" t="s">
        <v>34</v>
      </c>
      <c r="J898" t="s">
        <v>51</v>
      </c>
      <c r="K898" t="s">
        <v>41</v>
      </c>
      <c r="L898" t="s">
        <v>52</v>
      </c>
      <c r="M898" t="s">
        <v>4828</v>
      </c>
      <c r="N898" t="s">
        <v>494</v>
      </c>
      <c r="O898" t="s">
        <v>69</v>
      </c>
      <c r="P898" t="s">
        <v>4829</v>
      </c>
      <c r="Q898" s="14" t="s">
        <v>108</v>
      </c>
      <c r="R898" t="s">
        <v>379</v>
      </c>
      <c r="S898">
        <v>1.39</v>
      </c>
      <c r="T898">
        <v>7146</v>
      </c>
      <c r="U898">
        <v>0</v>
      </c>
      <c r="V898">
        <v>7146</v>
      </c>
    </row>
    <row r="899" spans="1:22" x14ac:dyDescent="0.3">
      <c r="A899">
        <v>148303</v>
      </c>
      <c r="B899">
        <v>134835114</v>
      </c>
      <c r="C899" t="s">
        <v>4830</v>
      </c>
      <c r="D899" t="s">
        <v>4831</v>
      </c>
      <c r="E899" t="s">
        <v>4637</v>
      </c>
      <c r="F899" t="s">
        <v>491</v>
      </c>
      <c r="G899" t="s">
        <v>49</v>
      </c>
      <c r="H899" t="s">
        <v>50</v>
      </c>
      <c r="I899" t="s">
        <v>34</v>
      </c>
      <c r="J899" t="s">
        <v>51</v>
      </c>
      <c r="K899" t="s">
        <v>41</v>
      </c>
      <c r="L899" t="s">
        <v>52</v>
      </c>
      <c r="M899" t="s">
        <v>4832</v>
      </c>
      <c r="N899" t="s">
        <v>494</v>
      </c>
      <c r="O899" t="s">
        <v>69</v>
      </c>
      <c r="P899" t="s">
        <v>4833</v>
      </c>
      <c r="Q899" s="14" t="s">
        <v>85</v>
      </c>
      <c r="R899" t="s">
        <v>4834</v>
      </c>
      <c r="S899">
        <v>5.83</v>
      </c>
      <c r="T899">
        <v>8106</v>
      </c>
      <c r="U899">
        <v>0</v>
      </c>
      <c r="V899">
        <v>8106</v>
      </c>
    </row>
    <row r="900" spans="1:22" x14ac:dyDescent="0.3">
      <c r="A900">
        <v>148303</v>
      </c>
      <c r="B900">
        <v>134751863</v>
      </c>
      <c r="C900" t="s">
        <v>4835</v>
      </c>
      <c r="D900" t="s">
        <v>4836</v>
      </c>
      <c r="E900" t="s">
        <v>4637</v>
      </c>
      <c r="F900" t="s">
        <v>491</v>
      </c>
      <c r="G900" t="s">
        <v>49</v>
      </c>
      <c r="H900" t="s">
        <v>50</v>
      </c>
      <c r="I900" t="s">
        <v>34</v>
      </c>
      <c r="J900" t="s">
        <v>51</v>
      </c>
      <c r="K900" t="s">
        <v>41</v>
      </c>
      <c r="L900" t="s">
        <v>52</v>
      </c>
      <c r="M900" t="s">
        <v>4837</v>
      </c>
      <c r="N900" t="s">
        <v>494</v>
      </c>
      <c r="O900" t="s">
        <v>69</v>
      </c>
      <c r="P900" t="s">
        <v>4838</v>
      </c>
      <c r="Q900" s="14" t="s">
        <v>179</v>
      </c>
      <c r="R900" t="s">
        <v>4839</v>
      </c>
      <c r="S900">
        <v>2.92</v>
      </c>
      <c r="T900">
        <v>7015</v>
      </c>
      <c r="U900">
        <v>0</v>
      </c>
      <c r="V900">
        <v>7015</v>
      </c>
    </row>
    <row r="901" spans="1:22" x14ac:dyDescent="0.3">
      <c r="A901">
        <v>148303</v>
      </c>
      <c r="B901">
        <v>134740842</v>
      </c>
      <c r="C901" t="s">
        <v>4840</v>
      </c>
      <c r="D901" t="s">
        <v>4841</v>
      </c>
      <c r="E901" t="s">
        <v>4637</v>
      </c>
      <c r="F901" t="s">
        <v>491</v>
      </c>
      <c r="G901" t="s">
        <v>49</v>
      </c>
      <c r="H901" t="s">
        <v>50</v>
      </c>
      <c r="I901" t="s">
        <v>34</v>
      </c>
      <c r="J901" t="s">
        <v>51</v>
      </c>
      <c r="K901" t="s">
        <v>41</v>
      </c>
      <c r="L901" t="s">
        <v>52</v>
      </c>
      <c r="M901" t="s">
        <v>4842</v>
      </c>
      <c r="N901" t="s">
        <v>494</v>
      </c>
      <c r="O901" t="s">
        <v>69</v>
      </c>
      <c r="P901" t="s">
        <v>4843</v>
      </c>
      <c r="Q901" s="14" t="s">
        <v>187</v>
      </c>
      <c r="R901" t="s">
        <v>450</v>
      </c>
      <c r="S901">
        <v>2.79</v>
      </c>
      <c r="T901">
        <v>7326</v>
      </c>
      <c r="U901">
        <v>0</v>
      </c>
      <c r="V901">
        <v>7326</v>
      </c>
    </row>
    <row r="902" spans="1:22" x14ac:dyDescent="0.3">
      <c r="A902">
        <v>148303</v>
      </c>
      <c r="B902">
        <v>134898874</v>
      </c>
      <c r="C902" t="s">
        <v>357</v>
      </c>
      <c r="D902" t="s">
        <v>4844</v>
      </c>
      <c r="E902" t="s">
        <v>4637</v>
      </c>
      <c r="F902" t="s">
        <v>491</v>
      </c>
      <c r="G902" t="s">
        <v>49</v>
      </c>
      <c r="H902" t="s">
        <v>50</v>
      </c>
      <c r="I902" t="s">
        <v>34</v>
      </c>
      <c r="J902" t="s">
        <v>51</v>
      </c>
      <c r="K902" t="s">
        <v>124</v>
      </c>
      <c r="L902" t="s">
        <v>325</v>
      </c>
      <c r="M902" t="s">
        <v>4845</v>
      </c>
      <c r="N902" t="s">
        <v>494</v>
      </c>
      <c r="O902" t="s">
        <v>69</v>
      </c>
      <c r="P902" t="s">
        <v>4846</v>
      </c>
      <c r="Q902" s="14" t="s">
        <v>70</v>
      </c>
      <c r="R902" t="s">
        <v>380</v>
      </c>
      <c r="S902">
        <v>11.15</v>
      </c>
      <c r="T902">
        <v>16572</v>
      </c>
      <c r="U902">
        <v>0</v>
      </c>
      <c r="V902">
        <v>16572</v>
      </c>
    </row>
    <row r="903" spans="1:22" x14ac:dyDescent="0.3">
      <c r="A903">
        <v>148303</v>
      </c>
      <c r="B903">
        <v>134665225</v>
      </c>
      <c r="C903" t="s">
        <v>4847</v>
      </c>
      <c r="D903" t="s">
        <v>4848</v>
      </c>
      <c r="E903" t="s">
        <v>4637</v>
      </c>
      <c r="F903" t="s">
        <v>491</v>
      </c>
      <c r="G903" t="s">
        <v>49</v>
      </c>
      <c r="H903" t="s">
        <v>50</v>
      </c>
      <c r="I903" t="s">
        <v>34</v>
      </c>
      <c r="J903" t="s">
        <v>51</v>
      </c>
      <c r="K903" t="s">
        <v>41</v>
      </c>
      <c r="L903" t="s">
        <v>52</v>
      </c>
      <c r="M903" t="s">
        <v>134</v>
      </c>
      <c r="N903" t="s">
        <v>494</v>
      </c>
      <c r="O903" t="s">
        <v>69</v>
      </c>
      <c r="P903" t="s">
        <v>4849</v>
      </c>
      <c r="Q903" s="14" t="s">
        <v>75</v>
      </c>
      <c r="R903" t="s">
        <v>4850</v>
      </c>
      <c r="S903">
        <v>5.63</v>
      </c>
      <c r="T903">
        <v>4537</v>
      </c>
      <c r="U903">
        <v>0</v>
      </c>
      <c r="V903">
        <v>4537</v>
      </c>
    </row>
    <row r="904" spans="1:22" x14ac:dyDescent="0.3">
      <c r="A904">
        <v>148303</v>
      </c>
      <c r="B904">
        <v>134756685</v>
      </c>
      <c r="C904" t="s">
        <v>4851</v>
      </c>
      <c r="D904" t="s">
        <v>4852</v>
      </c>
      <c r="E904" t="s">
        <v>4637</v>
      </c>
      <c r="F904" t="s">
        <v>491</v>
      </c>
      <c r="G904" t="s">
        <v>49</v>
      </c>
      <c r="H904" t="s">
        <v>50</v>
      </c>
      <c r="I904" t="s">
        <v>34</v>
      </c>
      <c r="J904" t="s">
        <v>51</v>
      </c>
      <c r="K904" t="s">
        <v>41</v>
      </c>
      <c r="L904" t="s">
        <v>52</v>
      </c>
      <c r="M904" t="s">
        <v>4853</v>
      </c>
      <c r="N904" t="s">
        <v>494</v>
      </c>
      <c r="O904" t="s">
        <v>69</v>
      </c>
      <c r="P904" t="s">
        <v>4854</v>
      </c>
      <c r="Q904" s="14" t="s">
        <v>232</v>
      </c>
      <c r="R904" t="s">
        <v>4855</v>
      </c>
      <c r="S904">
        <v>5.95</v>
      </c>
      <c r="T904">
        <v>11171</v>
      </c>
      <c r="U904">
        <v>0</v>
      </c>
      <c r="V904">
        <v>11171</v>
      </c>
    </row>
    <row r="905" spans="1:22" x14ac:dyDescent="0.3">
      <c r="A905">
        <v>148303</v>
      </c>
      <c r="B905">
        <v>134726110</v>
      </c>
      <c r="C905" t="s">
        <v>358</v>
      </c>
      <c r="D905" t="s">
        <v>4856</v>
      </c>
      <c r="E905" t="s">
        <v>4637</v>
      </c>
      <c r="F905" t="s">
        <v>491</v>
      </c>
      <c r="G905" t="s">
        <v>49</v>
      </c>
      <c r="H905" t="s">
        <v>50</v>
      </c>
      <c r="I905" t="s">
        <v>34</v>
      </c>
      <c r="J905" t="s">
        <v>51</v>
      </c>
      <c r="K905" t="s">
        <v>41</v>
      </c>
      <c r="L905" t="s">
        <v>52</v>
      </c>
      <c r="M905" t="s">
        <v>4857</v>
      </c>
      <c r="N905" t="s">
        <v>494</v>
      </c>
      <c r="O905" t="s">
        <v>69</v>
      </c>
      <c r="P905" t="s">
        <v>4858</v>
      </c>
      <c r="Q905" s="14" t="s">
        <v>143</v>
      </c>
      <c r="R905" t="s">
        <v>4859</v>
      </c>
      <c r="S905">
        <v>2.38</v>
      </c>
      <c r="T905">
        <v>4168</v>
      </c>
      <c r="U905">
        <v>0</v>
      </c>
      <c r="V905">
        <v>4168</v>
      </c>
    </row>
    <row r="906" spans="1:22" x14ac:dyDescent="0.3">
      <c r="A906">
        <v>148303</v>
      </c>
      <c r="B906">
        <v>134806662</v>
      </c>
      <c r="C906" t="s">
        <v>4860</v>
      </c>
      <c r="D906" t="s">
        <v>4861</v>
      </c>
      <c r="E906" t="s">
        <v>4637</v>
      </c>
      <c r="F906" t="s">
        <v>491</v>
      </c>
      <c r="G906" t="s">
        <v>49</v>
      </c>
      <c r="H906" t="s">
        <v>50</v>
      </c>
      <c r="I906" t="s">
        <v>34</v>
      </c>
      <c r="J906" t="s">
        <v>51</v>
      </c>
      <c r="K906" t="s">
        <v>41</v>
      </c>
      <c r="L906" t="s">
        <v>52</v>
      </c>
      <c r="M906" t="s">
        <v>4862</v>
      </c>
      <c r="N906" t="s">
        <v>494</v>
      </c>
      <c r="O906" t="s">
        <v>69</v>
      </c>
      <c r="P906" t="s">
        <v>4863</v>
      </c>
      <c r="Q906" s="14" t="s">
        <v>83</v>
      </c>
      <c r="R906" t="s">
        <v>4864</v>
      </c>
      <c r="S906">
        <v>1.53</v>
      </c>
      <c r="T906">
        <v>6800</v>
      </c>
      <c r="U906">
        <v>0</v>
      </c>
      <c r="V906">
        <v>6800</v>
      </c>
    </row>
    <row r="907" spans="1:22" x14ac:dyDescent="0.3">
      <c r="A907">
        <v>148303</v>
      </c>
      <c r="B907">
        <v>134579628</v>
      </c>
      <c r="C907" t="s">
        <v>4865</v>
      </c>
      <c r="D907" t="s">
        <v>4866</v>
      </c>
      <c r="E907" t="s">
        <v>4637</v>
      </c>
      <c r="F907" t="s">
        <v>491</v>
      </c>
      <c r="G907" t="s">
        <v>49</v>
      </c>
      <c r="H907" t="s">
        <v>50</v>
      </c>
      <c r="I907" t="s">
        <v>34</v>
      </c>
      <c r="J907" t="s">
        <v>51</v>
      </c>
      <c r="K907" t="s">
        <v>41</v>
      </c>
      <c r="L907" t="s">
        <v>52</v>
      </c>
      <c r="M907" t="s">
        <v>4867</v>
      </c>
      <c r="N907" t="s">
        <v>494</v>
      </c>
      <c r="O907" t="s">
        <v>69</v>
      </c>
      <c r="P907" t="s">
        <v>4868</v>
      </c>
      <c r="Q907" s="14" t="s">
        <v>81</v>
      </c>
      <c r="R907" t="s">
        <v>4869</v>
      </c>
      <c r="S907">
        <v>2.87</v>
      </c>
      <c r="T907">
        <v>7945</v>
      </c>
      <c r="U907">
        <v>0</v>
      </c>
      <c r="V907">
        <v>7945</v>
      </c>
    </row>
    <row r="908" spans="1:22" x14ac:dyDescent="0.3">
      <c r="A908">
        <v>148303</v>
      </c>
      <c r="B908">
        <v>134579182</v>
      </c>
      <c r="C908" t="s">
        <v>4870</v>
      </c>
      <c r="D908" t="s">
        <v>4871</v>
      </c>
      <c r="E908" t="s">
        <v>4637</v>
      </c>
      <c r="F908" t="s">
        <v>491</v>
      </c>
      <c r="G908" t="s">
        <v>49</v>
      </c>
      <c r="H908" t="s">
        <v>50</v>
      </c>
      <c r="I908" t="s">
        <v>34</v>
      </c>
      <c r="J908" t="s">
        <v>51</v>
      </c>
      <c r="K908" t="s">
        <v>41</v>
      </c>
      <c r="L908" t="s">
        <v>52</v>
      </c>
      <c r="M908" t="s">
        <v>4872</v>
      </c>
      <c r="N908" t="s">
        <v>494</v>
      </c>
      <c r="O908" t="s">
        <v>69</v>
      </c>
      <c r="P908" t="s">
        <v>4873</v>
      </c>
      <c r="Q908" s="14" t="s">
        <v>223</v>
      </c>
      <c r="R908" t="s">
        <v>4874</v>
      </c>
      <c r="S908">
        <v>2.31</v>
      </c>
      <c r="T908">
        <v>7015</v>
      </c>
      <c r="U908">
        <v>0</v>
      </c>
      <c r="V908">
        <v>7015</v>
      </c>
    </row>
    <row r="909" spans="1:22" x14ac:dyDescent="0.3">
      <c r="A909">
        <v>148303</v>
      </c>
      <c r="B909">
        <v>134554940</v>
      </c>
      <c r="C909" t="s">
        <v>4875</v>
      </c>
      <c r="D909" t="s">
        <v>4876</v>
      </c>
      <c r="E909" t="s">
        <v>4637</v>
      </c>
      <c r="F909" t="s">
        <v>491</v>
      </c>
      <c r="G909" t="s">
        <v>49</v>
      </c>
      <c r="H909" t="s">
        <v>50</v>
      </c>
      <c r="I909" t="s">
        <v>34</v>
      </c>
      <c r="J909" t="s">
        <v>51</v>
      </c>
      <c r="K909" t="s">
        <v>41</v>
      </c>
      <c r="L909" t="s">
        <v>52</v>
      </c>
      <c r="M909" t="s">
        <v>4877</v>
      </c>
      <c r="N909" t="s">
        <v>494</v>
      </c>
      <c r="O909" t="s">
        <v>69</v>
      </c>
      <c r="P909" t="s">
        <v>4878</v>
      </c>
      <c r="Q909" s="14" t="s">
        <v>78</v>
      </c>
      <c r="R909" t="s">
        <v>4879</v>
      </c>
      <c r="S909">
        <v>3.03</v>
      </c>
      <c r="T909">
        <v>7297</v>
      </c>
      <c r="U909">
        <v>0</v>
      </c>
      <c r="V909">
        <v>7297</v>
      </c>
    </row>
    <row r="910" spans="1:22" x14ac:dyDescent="0.3">
      <c r="A910">
        <v>148303</v>
      </c>
      <c r="B910">
        <v>134532866</v>
      </c>
      <c r="C910" t="s">
        <v>4880</v>
      </c>
      <c r="D910" t="s">
        <v>4881</v>
      </c>
      <c r="E910" t="s">
        <v>4637</v>
      </c>
      <c r="F910" t="s">
        <v>491</v>
      </c>
      <c r="G910" t="s">
        <v>49</v>
      </c>
      <c r="H910" t="s">
        <v>50</v>
      </c>
      <c r="I910" t="s">
        <v>34</v>
      </c>
      <c r="J910" t="s">
        <v>51</v>
      </c>
      <c r="K910" t="s">
        <v>41</v>
      </c>
      <c r="L910" t="s">
        <v>52</v>
      </c>
      <c r="M910" t="s">
        <v>4882</v>
      </c>
      <c r="N910" t="s">
        <v>494</v>
      </c>
      <c r="O910" t="s">
        <v>69</v>
      </c>
      <c r="P910" t="s">
        <v>4883</v>
      </c>
      <c r="Q910" s="14" t="s">
        <v>83</v>
      </c>
      <c r="R910" t="s">
        <v>4884</v>
      </c>
      <c r="S910">
        <v>3.12</v>
      </c>
      <c r="T910">
        <v>7129</v>
      </c>
      <c r="U910">
        <v>0</v>
      </c>
      <c r="V910">
        <v>7129</v>
      </c>
    </row>
    <row r="911" spans="1:22" x14ac:dyDescent="0.3">
      <c r="A911">
        <v>148303</v>
      </c>
      <c r="B911">
        <v>134527578</v>
      </c>
      <c r="C911" t="s">
        <v>4885</v>
      </c>
      <c r="D911" t="s">
        <v>4886</v>
      </c>
      <c r="E911" t="s">
        <v>4637</v>
      </c>
      <c r="F911" t="s">
        <v>491</v>
      </c>
      <c r="G911" t="s">
        <v>49</v>
      </c>
      <c r="H911" t="s">
        <v>50</v>
      </c>
      <c r="I911" t="s">
        <v>34</v>
      </c>
      <c r="J911" t="s">
        <v>51</v>
      </c>
      <c r="K911" t="s">
        <v>41</v>
      </c>
      <c r="L911" t="s">
        <v>52</v>
      </c>
      <c r="M911" t="s">
        <v>4887</v>
      </c>
      <c r="N911" t="s">
        <v>494</v>
      </c>
      <c r="O911" t="s">
        <v>69</v>
      </c>
      <c r="P911" t="s">
        <v>4888</v>
      </c>
      <c r="Q911" s="14" t="s">
        <v>176</v>
      </c>
      <c r="R911" t="s">
        <v>4889</v>
      </c>
      <c r="S911">
        <v>1.77</v>
      </c>
      <c r="T911">
        <v>11246</v>
      </c>
      <c r="U911">
        <v>0</v>
      </c>
      <c r="V911">
        <v>11246</v>
      </c>
    </row>
    <row r="912" spans="1:22" x14ac:dyDescent="0.3">
      <c r="A912">
        <v>148303</v>
      </c>
      <c r="B912">
        <v>134559456</v>
      </c>
      <c r="C912" t="s">
        <v>4890</v>
      </c>
      <c r="D912" t="s">
        <v>4891</v>
      </c>
      <c r="E912" t="s">
        <v>4637</v>
      </c>
      <c r="F912" t="s">
        <v>491</v>
      </c>
      <c r="G912" t="s">
        <v>49</v>
      </c>
      <c r="H912" t="s">
        <v>50</v>
      </c>
      <c r="I912" t="s">
        <v>34</v>
      </c>
      <c r="J912" t="s">
        <v>51</v>
      </c>
      <c r="K912" t="s">
        <v>41</v>
      </c>
      <c r="L912" t="s">
        <v>52</v>
      </c>
      <c r="M912" t="s">
        <v>4892</v>
      </c>
      <c r="N912" t="s">
        <v>494</v>
      </c>
      <c r="O912" t="s">
        <v>69</v>
      </c>
      <c r="P912" t="s">
        <v>4893</v>
      </c>
      <c r="Q912" s="14" t="s">
        <v>85</v>
      </c>
      <c r="R912" t="s">
        <v>4894</v>
      </c>
      <c r="S912">
        <v>2.76</v>
      </c>
      <c r="T912">
        <v>8101</v>
      </c>
      <c r="U912">
        <v>0</v>
      </c>
      <c r="V912">
        <v>8101</v>
      </c>
    </row>
    <row r="913" spans="1:22" x14ac:dyDescent="0.3">
      <c r="A913">
        <v>148303</v>
      </c>
      <c r="B913">
        <v>134440761</v>
      </c>
      <c r="C913" t="s">
        <v>4895</v>
      </c>
      <c r="D913" t="s">
        <v>4896</v>
      </c>
      <c r="E913" t="s">
        <v>4637</v>
      </c>
      <c r="F913" t="s">
        <v>491</v>
      </c>
      <c r="G913" t="s">
        <v>49</v>
      </c>
      <c r="H913" t="s">
        <v>50</v>
      </c>
      <c r="I913" t="s">
        <v>34</v>
      </c>
      <c r="J913" t="s">
        <v>51</v>
      </c>
      <c r="K913" t="s">
        <v>41</v>
      </c>
      <c r="L913" t="s">
        <v>52</v>
      </c>
      <c r="M913" t="s">
        <v>302</v>
      </c>
      <c r="N913" t="s">
        <v>494</v>
      </c>
      <c r="O913" t="s">
        <v>69</v>
      </c>
      <c r="P913" t="s">
        <v>4897</v>
      </c>
      <c r="Q913" s="14" t="s">
        <v>59</v>
      </c>
      <c r="R913" t="s">
        <v>4898</v>
      </c>
      <c r="S913">
        <v>1.45</v>
      </c>
      <c r="T913">
        <v>3915</v>
      </c>
      <c r="U913">
        <v>0</v>
      </c>
      <c r="V913">
        <v>3915</v>
      </c>
    </row>
    <row r="914" spans="1:22" x14ac:dyDescent="0.3">
      <c r="A914">
        <v>186607</v>
      </c>
      <c r="B914">
        <v>135072466</v>
      </c>
      <c r="C914" t="s">
        <v>4899</v>
      </c>
      <c r="D914" t="s">
        <v>4900</v>
      </c>
      <c r="E914" t="s">
        <v>4901</v>
      </c>
      <c r="F914" t="s">
        <v>491</v>
      </c>
      <c r="G914" t="s">
        <v>44</v>
      </c>
      <c r="H914" t="s">
        <v>45</v>
      </c>
      <c r="I914" t="s">
        <v>34</v>
      </c>
      <c r="J914" t="s">
        <v>46</v>
      </c>
      <c r="K914" t="s">
        <v>41</v>
      </c>
      <c r="L914" t="s">
        <v>4902</v>
      </c>
      <c r="M914" t="s">
        <v>4903</v>
      </c>
      <c r="N914" t="s">
        <v>4904</v>
      </c>
      <c r="O914" t="s">
        <v>91</v>
      </c>
      <c r="P914" t="s">
        <v>4905</v>
      </c>
      <c r="Q914" s="14" t="s">
        <v>149</v>
      </c>
      <c r="R914" t="s">
        <v>4906</v>
      </c>
      <c r="S914">
        <v>0.5</v>
      </c>
      <c r="T914">
        <v>5367</v>
      </c>
      <c r="U914">
        <v>0</v>
      </c>
      <c r="V914">
        <v>5367</v>
      </c>
    </row>
    <row r="915" spans="1:22" x14ac:dyDescent="0.3">
      <c r="A915">
        <v>186607</v>
      </c>
      <c r="B915">
        <v>135159879</v>
      </c>
      <c r="C915" t="s">
        <v>4907</v>
      </c>
      <c r="D915" t="s">
        <v>4908</v>
      </c>
      <c r="E915" t="s">
        <v>4901</v>
      </c>
      <c r="F915" t="s">
        <v>491</v>
      </c>
      <c r="G915" t="s">
        <v>44</v>
      </c>
      <c r="H915" t="s">
        <v>45</v>
      </c>
      <c r="I915" t="s">
        <v>34</v>
      </c>
      <c r="J915" t="s">
        <v>46</v>
      </c>
      <c r="K915" t="s">
        <v>41</v>
      </c>
      <c r="L915" t="s">
        <v>41</v>
      </c>
      <c r="M915" t="s">
        <v>4909</v>
      </c>
      <c r="N915" t="s">
        <v>4904</v>
      </c>
      <c r="O915" t="s">
        <v>91</v>
      </c>
      <c r="P915" t="s">
        <v>4910</v>
      </c>
      <c r="Q915" s="14" t="s">
        <v>149</v>
      </c>
      <c r="R915" t="s">
        <v>476</v>
      </c>
      <c r="S915">
        <v>2.5499999999999998</v>
      </c>
      <c r="T915">
        <v>5759</v>
      </c>
      <c r="U915">
        <v>0</v>
      </c>
      <c r="V915">
        <v>5759</v>
      </c>
    </row>
    <row r="916" spans="1:22" x14ac:dyDescent="0.3">
      <c r="A916">
        <v>186607</v>
      </c>
      <c r="B916">
        <v>135231371</v>
      </c>
      <c r="C916" t="s">
        <v>4911</v>
      </c>
      <c r="D916" t="s">
        <v>4912</v>
      </c>
      <c r="E916" t="s">
        <v>4901</v>
      </c>
      <c r="F916" t="s">
        <v>491</v>
      </c>
      <c r="G916" t="s">
        <v>44</v>
      </c>
      <c r="H916" t="s">
        <v>45</v>
      </c>
      <c r="I916" t="s">
        <v>34</v>
      </c>
      <c r="J916" t="s">
        <v>46</v>
      </c>
      <c r="K916" t="s">
        <v>41</v>
      </c>
      <c r="L916" t="s">
        <v>4913</v>
      </c>
      <c r="M916" t="s">
        <v>4914</v>
      </c>
      <c r="N916" t="s">
        <v>4904</v>
      </c>
      <c r="O916" t="s">
        <v>91</v>
      </c>
      <c r="P916" t="s">
        <v>4915</v>
      </c>
      <c r="Q916" s="14" t="s">
        <v>100</v>
      </c>
      <c r="R916" t="s">
        <v>4916</v>
      </c>
      <c r="S916">
        <v>0.5</v>
      </c>
      <c r="T916">
        <v>5367</v>
      </c>
      <c r="U916">
        <v>0</v>
      </c>
      <c r="V916">
        <v>5367</v>
      </c>
    </row>
    <row r="917" spans="1:22" x14ac:dyDescent="0.3">
      <c r="A917">
        <v>186607</v>
      </c>
      <c r="B917">
        <v>135180391</v>
      </c>
      <c r="C917" t="s">
        <v>4917</v>
      </c>
      <c r="D917" t="s">
        <v>4918</v>
      </c>
      <c r="E917" t="s">
        <v>4901</v>
      </c>
      <c r="F917" t="s">
        <v>491</v>
      </c>
      <c r="G917" t="s">
        <v>44</v>
      </c>
      <c r="H917" t="s">
        <v>45</v>
      </c>
      <c r="I917" t="s">
        <v>34</v>
      </c>
      <c r="J917" t="s">
        <v>46</v>
      </c>
      <c r="K917" t="s">
        <v>265</v>
      </c>
      <c r="L917" t="s">
        <v>248</v>
      </c>
      <c r="M917" t="s">
        <v>4919</v>
      </c>
      <c r="N917" t="s">
        <v>4904</v>
      </c>
      <c r="O917" t="s">
        <v>91</v>
      </c>
      <c r="P917" t="s">
        <v>4920</v>
      </c>
      <c r="Q917" s="14" t="s">
        <v>61</v>
      </c>
      <c r="R917" t="s">
        <v>4921</v>
      </c>
      <c r="S917">
        <v>4.29</v>
      </c>
      <c r="T917">
        <v>4366</v>
      </c>
      <c r="U917">
        <v>0</v>
      </c>
      <c r="V917">
        <v>4366</v>
      </c>
    </row>
    <row r="918" spans="1:22" x14ac:dyDescent="0.3">
      <c r="A918">
        <v>186607</v>
      </c>
      <c r="B918">
        <v>135072475</v>
      </c>
      <c r="C918" t="s">
        <v>4922</v>
      </c>
      <c r="D918" t="s">
        <v>4923</v>
      </c>
      <c r="E918" t="s">
        <v>4901</v>
      </c>
      <c r="F918" t="s">
        <v>491</v>
      </c>
      <c r="G918" t="s">
        <v>44</v>
      </c>
      <c r="H918" t="s">
        <v>45</v>
      </c>
      <c r="I918" t="s">
        <v>34</v>
      </c>
      <c r="J918" t="s">
        <v>46</v>
      </c>
      <c r="K918" t="s">
        <v>41</v>
      </c>
      <c r="L918" t="s">
        <v>4924</v>
      </c>
      <c r="M918" t="s">
        <v>4925</v>
      </c>
      <c r="N918" t="s">
        <v>4904</v>
      </c>
      <c r="O918" t="s">
        <v>91</v>
      </c>
      <c r="P918" t="s">
        <v>4926</v>
      </c>
      <c r="Q918" s="14" t="s">
        <v>149</v>
      </c>
      <c r="R918" t="s">
        <v>4906</v>
      </c>
      <c r="S918">
        <v>0.5</v>
      </c>
      <c r="T918">
        <v>5367</v>
      </c>
      <c r="U918">
        <v>0</v>
      </c>
      <c r="V918">
        <v>5367</v>
      </c>
    </row>
    <row r="919" spans="1:22" x14ac:dyDescent="0.3">
      <c r="A919">
        <v>186607</v>
      </c>
      <c r="B919">
        <v>135336902</v>
      </c>
      <c r="C919" t="s">
        <v>4927</v>
      </c>
      <c r="D919" t="s">
        <v>4928</v>
      </c>
      <c r="E919" t="s">
        <v>4901</v>
      </c>
      <c r="F919" t="s">
        <v>491</v>
      </c>
      <c r="G919" t="s">
        <v>44</v>
      </c>
      <c r="H919" t="s">
        <v>45</v>
      </c>
      <c r="I919" t="s">
        <v>34</v>
      </c>
      <c r="J919" t="s">
        <v>46</v>
      </c>
      <c r="K919" t="s">
        <v>41</v>
      </c>
      <c r="L919" t="s">
        <v>4929</v>
      </c>
      <c r="M919" t="s">
        <v>4930</v>
      </c>
      <c r="N919" t="s">
        <v>4904</v>
      </c>
      <c r="O919" t="s">
        <v>91</v>
      </c>
      <c r="P919" t="s">
        <v>4931</v>
      </c>
      <c r="Q919" s="14" t="s">
        <v>191</v>
      </c>
      <c r="R919" t="s">
        <v>4932</v>
      </c>
      <c r="S919">
        <v>0.5</v>
      </c>
      <c r="T919">
        <v>5019</v>
      </c>
      <c r="U919">
        <v>0</v>
      </c>
      <c r="V919">
        <v>5019</v>
      </c>
    </row>
    <row r="920" spans="1:22" x14ac:dyDescent="0.3">
      <c r="A920">
        <v>186607</v>
      </c>
      <c r="B920">
        <v>135145142</v>
      </c>
      <c r="C920" t="s">
        <v>4933</v>
      </c>
      <c r="D920" t="s">
        <v>4934</v>
      </c>
      <c r="E920" t="s">
        <v>4901</v>
      </c>
      <c r="F920" t="s">
        <v>491</v>
      </c>
      <c r="G920" t="s">
        <v>44</v>
      </c>
      <c r="H920" t="s">
        <v>45</v>
      </c>
      <c r="I920" t="s">
        <v>34</v>
      </c>
      <c r="J920" t="s">
        <v>46</v>
      </c>
      <c r="K920" t="s">
        <v>41</v>
      </c>
      <c r="L920" t="s">
        <v>4935</v>
      </c>
      <c r="M920" t="s">
        <v>4936</v>
      </c>
      <c r="N920" t="s">
        <v>4904</v>
      </c>
      <c r="O920" t="s">
        <v>91</v>
      </c>
      <c r="P920" t="s">
        <v>4937</v>
      </c>
      <c r="Q920" s="14" t="s">
        <v>149</v>
      </c>
      <c r="R920" t="s">
        <v>4938</v>
      </c>
      <c r="S920">
        <v>3.68</v>
      </c>
      <c r="T920">
        <v>8008</v>
      </c>
      <c r="U920">
        <v>0</v>
      </c>
      <c r="V920">
        <v>8008</v>
      </c>
    </row>
    <row r="921" spans="1:22" x14ac:dyDescent="0.3">
      <c r="A921">
        <v>186607</v>
      </c>
      <c r="B921">
        <v>135377486</v>
      </c>
      <c r="C921" t="s">
        <v>4939</v>
      </c>
      <c r="D921" t="s">
        <v>4940</v>
      </c>
      <c r="E921" t="s">
        <v>4901</v>
      </c>
      <c r="F921" t="s">
        <v>491</v>
      </c>
      <c r="G921" t="s">
        <v>44</v>
      </c>
      <c r="H921" t="s">
        <v>45</v>
      </c>
      <c r="I921" t="s">
        <v>34</v>
      </c>
      <c r="J921" t="s">
        <v>46</v>
      </c>
      <c r="K921" t="s">
        <v>41</v>
      </c>
      <c r="L921" t="s">
        <v>4941</v>
      </c>
      <c r="M921" t="s">
        <v>4942</v>
      </c>
      <c r="N921" t="s">
        <v>4904</v>
      </c>
      <c r="O921" t="s">
        <v>91</v>
      </c>
      <c r="P921" t="s">
        <v>4943</v>
      </c>
      <c r="Q921" s="14" t="s">
        <v>60</v>
      </c>
      <c r="R921" t="s">
        <v>4944</v>
      </c>
      <c r="S921">
        <v>2.78</v>
      </c>
      <c r="T921">
        <v>5759</v>
      </c>
      <c r="U921">
        <v>0</v>
      </c>
      <c r="V921">
        <v>5759</v>
      </c>
    </row>
    <row r="922" spans="1:22" x14ac:dyDescent="0.3">
      <c r="A922">
        <v>186607</v>
      </c>
      <c r="B922">
        <v>135392758</v>
      </c>
      <c r="C922" t="s">
        <v>4945</v>
      </c>
      <c r="D922" t="s">
        <v>4946</v>
      </c>
      <c r="E922" t="s">
        <v>4901</v>
      </c>
      <c r="F922" t="s">
        <v>491</v>
      </c>
      <c r="G922" t="s">
        <v>44</v>
      </c>
      <c r="H922" t="s">
        <v>45</v>
      </c>
      <c r="I922" t="s">
        <v>34</v>
      </c>
      <c r="J922" t="s">
        <v>46</v>
      </c>
      <c r="K922" t="s">
        <v>41</v>
      </c>
      <c r="L922" t="s">
        <v>4947</v>
      </c>
      <c r="M922" t="s">
        <v>4948</v>
      </c>
      <c r="N922" t="s">
        <v>4904</v>
      </c>
      <c r="O922" t="s">
        <v>91</v>
      </c>
      <c r="P922" t="s">
        <v>4949</v>
      </c>
      <c r="Q922" s="14" t="s">
        <v>60</v>
      </c>
      <c r="R922" t="s">
        <v>4950</v>
      </c>
      <c r="S922">
        <v>4.93</v>
      </c>
      <c r="T922">
        <v>8008</v>
      </c>
      <c r="U922">
        <v>0</v>
      </c>
      <c r="V922">
        <v>8008</v>
      </c>
    </row>
    <row r="923" spans="1:22" x14ac:dyDescent="0.3">
      <c r="A923">
        <v>186607</v>
      </c>
      <c r="B923">
        <v>135336892</v>
      </c>
      <c r="C923" t="s">
        <v>4951</v>
      </c>
      <c r="D923" t="s">
        <v>4952</v>
      </c>
      <c r="E923" t="s">
        <v>4901</v>
      </c>
      <c r="F923" t="s">
        <v>491</v>
      </c>
      <c r="G923" t="s">
        <v>44</v>
      </c>
      <c r="H923" t="s">
        <v>45</v>
      </c>
      <c r="I923" t="s">
        <v>34</v>
      </c>
      <c r="J923" t="s">
        <v>46</v>
      </c>
      <c r="K923" t="s">
        <v>41</v>
      </c>
      <c r="L923" t="s">
        <v>4953</v>
      </c>
      <c r="M923" t="s">
        <v>4954</v>
      </c>
      <c r="N923" t="s">
        <v>4904</v>
      </c>
      <c r="O923" t="s">
        <v>91</v>
      </c>
      <c r="P923" t="s">
        <v>4955</v>
      </c>
      <c r="Q923" s="14" t="s">
        <v>237</v>
      </c>
      <c r="R923" t="s">
        <v>4932</v>
      </c>
      <c r="S923">
        <v>0.5</v>
      </c>
      <c r="T923">
        <v>3680</v>
      </c>
      <c r="U923">
        <v>0</v>
      </c>
      <c r="V923">
        <v>3680</v>
      </c>
    </row>
    <row r="924" spans="1:22" x14ac:dyDescent="0.3">
      <c r="A924">
        <v>186607</v>
      </c>
      <c r="B924">
        <v>135352786</v>
      </c>
      <c r="C924" t="s">
        <v>4956</v>
      </c>
      <c r="D924" t="s">
        <v>4957</v>
      </c>
      <c r="E924" t="s">
        <v>4901</v>
      </c>
      <c r="F924" t="s">
        <v>491</v>
      </c>
      <c r="G924" t="s">
        <v>44</v>
      </c>
      <c r="H924" t="s">
        <v>45</v>
      </c>
      <c r="I924" t="s">
        <v>34</v>
      </c>
      <c r="J924" t="s">
        <v>46</v>
      </c>
      <c r="K924" t="s">
        <v>41</v>
      </c>
      <c r="L924" t="s">
        <v>4958</v>
      </c>
      <c r="M924" t="s">
        <v>4959</v>
      </c>
      <c r="N924" t="s">
        <v>4904</v>
      </c>
      <c r="O924" t="s">
        <v>91</v>
      </c>
      <c r="P924" t="s">
        <v>4960</v>
      </c>
      <c r="Q924" s="14" t="s">
        <v>60</v>
      </c>
      <c r="R924" t="s">
        <v>4961</v>
      </c>
      <c r="S924">
        <v>2.44</v>
      </c>
      <c r="T924">
        <v>5759</v>
      </c>
      <c r="U924">
        <v>0</v>
      </c>
      <c r="V924">
        <v>5759</v>
      </c>
    </row>
    <row r="925" spans="1:22" x14ac:dyDescent="0.3">
      <c r="A925">
        <v>186607</v>
      </c>
      <c r="B925">
        <v>135336908</v>
      </c>
      <c r="C925" t="s">
        <v>4962</v>
      </c>
      <c r="D925" t="s">
        <v>4963</v>
      </c>
      <c r="E925" t="s">
        <v>4901</v>
      </c>
      <c r="F925" t="s">
        <v>491</v>
      </c>
      <c r="G925" t="s">
        <v>44</v>
      </c>
      <c r="H925" t="s">
        <v>45</v>
      </c>
      <c r="I925" t="s">
        <v>34</v>
      </c>
      <c r="J925" t="s">
        <v>46</v>
      </c>
      <c r="K925" t="s">
        <v>41</v>
      </c>
      <c r="L925" t="s">
        <v>4964</v>
      </c>
      <c r="M925" t="s">
        <v>4965</v>
      </c>
      <c r="N925" t="s">
        <v>4904</v>
      </c>
      <c r="O925" t="s">
        <v>91</v>
      </c>
      <c r="P925" t="s">
        <v>4966</v>
      </c>
      <c r="Q925" s="14" t="s">
        <v>70</v>
      </c>
      <c r="R925" t="s">
        <v>4932</v>
      </c>
      <c r="S925">
        <v>2.48</v>
      </c>
      <c r="T925">
        <v>5198</v>
      </c>
      <c r="U925">
        <v>0</v>
      </c>
      <c r="V925">
        <v>5198</v>
      </c>
    </row>
    <row r="926" spans="1:22" x14ac:dyDescent="0.3">
      <c r="A926">
        <v>186607</v>
      </c>
      <c r="B926">
        <v>135377481</v>
      </c>
      <c r="C926" t="s">
        <v>4967</v>
      </c>
      <c r="D926" t="s">
        <v>4968</v>
      </c>
      <c r="E926" t="s">
        <v>4901</v>
      </c>
      <c r="F926" t="s">
        <v>491</v>
      </c>
      <c r="G926" t="s">
        <v>44</v>
      </c>
      <c r="H926" t="s">
        <v>45</v>
      </c>
      <c r="I926" t="s">
        <v>34</v>
      </c>
      <c r="J926" t="s">
        <v>46</v>
      </c>
      <c r="K926" t="s">
        <v>41</v>
      </c>
      <c r="L926" t="s">
        <v>4969</v>
      </c>
      <c r="M926" t="s">
        <v>4970</v>
      </c>
      <c r="N926" t="s">
        <v>4904</v>
      </c>
      <c r="O926" t="s">
        <v>91</v>
      </c>
      <c r="P926" t="s">
        <v>4971</v>
      </c>
      <c r="Q926" s="14" t="s">
        <v>85</v>
      </c>
      <c r="R926" t="s">
        <v>4944</v>
      </c>
      <c r="S926">
        <v>2.39</v>
      </c>
      <c r="T926">
        <v>3784</v>
      </c>
      <c r="U926">
        <v>0</v>
      </c>
      <c r="V926">
        <v>3784</v>
      </c>
    </row>
    <row r="927" spans="1:22" x14ac:dyDescent="0.3">
      <c r="A927">
        <v>186607</v>
      </c>
      <c r="B927">
        <v>135392765</v>
      </c>
      <c r="C927" t="s">
        <v>4972</v>
      </c>
      <c r="D927" t="s">
        <v>4973</v>
      </c>
      <c r="E927" t="s">
        <v>4901</v>
      </c>
      <c r="F927" t="s">
        <v>491</v>
      </c>
      <c r="G927" t="s">
        <v>44</v>
      </c>
      <c r="H927" t="s">
        <v>45</v>
      </c>
      <c r="I927" t="s">
        <v>34</v>
      </c>
      <c r="J927" t="s">
        <v>46</v>
      </c>
      <c r="K927" t="s">
        <v>41</v>
      </c>
      <c r="L927" t="s">
        <v>4974</v>
      </c>
      <c r="M927" t="s">
        <v>4975</v>
      </c>
      <c r="N927" t="s">
        <v>4904</v>
      </c>
      <c r="O927" t="s">
        <v>91</v>
      </c>
      <c r="P927" t="s">
        <v>4976</v>
      </c>
      <c r="Q927" s="14" t="s">
        <v>89</v>
      </c>
      <c r="R927" t="s">
        <v>4950</v>
      </c>
      <c r="S927">
        <v>4.26</v>
      </c>
      <c r="T927">
        <v>4456</v>
      </c>
      <c r="U927">
        <v>0</v>
      </c>
      <c r="V927">
        <v>4456</v>
      </c>
    </row>
    <row r="928" spans="1:22" x14ac:dyDescent="0.3">
      <c r="A928">
        <v>186607</v>
      </c>
      <c r="B928">
        <v>135392756</v>
      </c>
      <c r="C928" t="s">
        <v>4977</v>
      </c>
      <c r="D928" t="s">
        <v>4978</v>
      </c>
      <c r="E928" t="s">
        <v>4901</v>
      </c>
      <c r="F928" t="s">
        <v>491</v>
      </c>
      <c r="G928" t="s">
        <v>44</v>
      </c>
      <c r="H928" t="s">
        <v>45</v>
      </c>
      <c r="I928" t="s">
        <v>34</v>
      </c>
      <c r="J928" t="s">
        <v>46</v>
      </c>
      <c r="K928" t="s">
        <v>41</v>
      </c>
      <c r="L928" t="s">
        <v>4979</v>
      </c>
      <c r="M928" t="s">
        <v>4980</v>
      </c>
      <c r="N928" t="s">
        <v>4904</v>
      </c>
      <c r="O928" t="s">
        <v>91</v>
      </c>
      <c r="P928" t="s">
        <v>4981</v>
      </c>
      <c r="Q928" s="14" t="s">
        <v>58</v>
      </c>
      <c r="R928" t="s">
        <v>4950</v>
      </c>
      <c r="S928">
        <v>4.7</v>
      </c>
      <c r="T928">
        <v>5376</v>
      </c>
      <c r="U928">
        <v>0</v>
      </c>
      <c r="V928">
        <v>5376</v>
      </c>
    </row>
    <row r="929" spans="1:22" x14ac:dyDescent="0.3">
      <c r="A929">
        <v>186607</v>
      </c>
      <c r="B929">
        <v>135392754</v>
      </c>
      <c r="C929" t="s">
        <v>4982</v>
      </c>
      <c r="D929" t="s">
        <v>4983</v>
      </c>
      <c r="E929" t="s">
        <v>4901</v>
      </c>
      <c r="F929" t="s">
        <v>491</v>
      </c>
      <c r="G929" t="s">
        <v>44</v>
      </c>
      <c r="H929" t="s">
        <v>45</v>
      </c>
      <c r="I929" t="s">
        <v>34</v>
      </c>
      <c r="J929" t="s">
        <v>46</v>
      </c>
      <c r="K929" t="s">
        <v>41</v>
      </c>
      <c r="L929" t="s">
        <v>4984</v>
      </c>
      <c r="M929" t="s">
        <v>4985</v>
      </c>
      <c r="N929" t="s">
        <v>4904</v>
      </c>
      <c r="O929" t="s">
        <v>91</v>
      </c>
      <c r="P929" t="s">
        <v>4986</v>
      </c>
      <c r="Q929" s="14" t="s">
        <v>85</v>
      </c>
      <c r="R929" t="s">
        <v>4950</v>
      </c>
      <c r="S929">
        <v>2.44</v>
      </c>
      <c r="T929">
        <v>3784</v>
      </c>
      <c r="U929">
        <v>0</v>
      </c>
      <c r="V929">
        <v>3784</v>
      </c>
    </row>
    <row r="930" spans="1:22" x14ac:dyDescent="0.3">
      <c r="A930">
        <v>186607</v>
      </c>
      <c r="B930">
        <v>135377494</v>
      </c>
      <c r="C930" t="s">
        <v>4987</v>
      </c>
      <c r="D930" t="s">
        <v>4988</v>
      </c>
      <c r="E930" t="s">
        <v>4901</v>
      </c>
      <c r="F930" t="s">
        <v>491</v>
      </c>
      <c r="G930" t="s">
        <v>44</v>
      </c>
      <c r="H930" t="s">
        <v>45</v>
      </c>
      <c r="I930" t="s">
        <v>34</v>
      </c>
      <c r="J930" t="s">
        <v>46</v>
      </c>
      <c r="K930" t="s">
        <v>41</v>
      </c>
      <c r="L930" t="s">
        <v>4989</v>
      </c>
      <c r="M930" t="s">
        <v>4990</v>
      </c>
      <c r="N930" t="s">
        <v>4904</v>
      </c>
      <c r="O930" t="s">
        <v>91</v>
      </c>
      <c r="P930" t="s">
        <v>4991</v>
      </c>
      <c r="Q930" s="14" t="s">
        <v>68</v>
      </c>
      <c r="R930" t="s">
        <v>4944</v>
      </c>
      <c r="S930">
        <v>4.91</v>
      </c>
      <c r="T930">
        <v>4585</v>
      </c>
      <c r="U930">
        <v>0</v>
      </c>
      <c r="V930">
        <v>4585</v>
      </c>
    </row>
    <row r="931" spans="1:22" x14ac:dyDescent="0.3">
      <c r="A931">
        <v>186607</v>
      </c>
      <c r="B931">
        <v>134588841</v>
      </c>
      <c r="C931" t="s">
        <v>4992</v>
      </c>
      <c r="D931" t="s">
        <v>4993</v>
      </c>
      <c r="E931" t="s">
        <v>4901</v>
      </c>
      <c r="F931" t="s">
        <v>491</v>
      </c>
      <c r="G931" t="s">
        <v>44</v>
      </c>
      <c r="H931" t="s">
        <v>45</v>
      </c>
      <c r="I931" t="s">
        <v>34</v>
      </c>
      <c r="J931" t="s">
        <v>46</v>
      </c>
      <c r="K931" t="s">
        <v>41</v>
      </c>
      <c r="L931" t="s">
        <v>4994</v>
      </c>
      <c r="M931" t="s">
        <v>4995</v>
      </c>
      <c r="N931" t="s">
        <v>4904</v>
      </c>
      <c r="O931" t="s">
        <v>91</v>
      </c>
      <c r="P931" t="s">
        <v>4996</v>
      </c>
      <c r="Q931" s="14" t="s">
        <v>199</v>
      </c>
      <c r="R931" t="s">
        <v>351</v>
      </c>
      <c r="S931">
        <v>0.5</v>
      </c>
      <c r="T931">
        <v>5367</v>
      </c>
      <c r="U931">
        <v>0</v>
      </c>
      <c r="V931">
        <v>5367</v>
      </c>
    </row>
    <row r="932" spans="1:22" x14ac:dyDescent="0.3">
      <c r="A932">
        <v>186607</v>
      </c>
      <c r="B932">
        <v>135377492</v>
      </c>
      <c r="C932" t="s">
        <v>4997</v>
      </c>
      <c r="D932" t="s">
        <v>4998</v>
      </c>
      <c r="E932" t="s">
        <v>4901</v>
      </c>
      <c r="F932" t="s">
        <v>491</v>
      </c>
      <c r="G932" t="s">
        <v>44</v>
      </c>
      <c r="H932" t="s">
        <v>45</v>
      </c>
      <c r="I932" t="s">
        <v>34</v>
      </c>
      <c r="J932" t="s">
        <v>46</v>
      </c>
      <c r="K932" t="s">
        <v>41</v>
      </c>
      <c r="L932" t="s">
        <v>4999</v>
      </c>
      <c r="M932" t="s">
        <v>5000</v>
      </c>
      <c r="N932" t="s">
        <v>4904</v>
      </c>
      <c r="O932" t="s">
        <v>91</v>
      </c>
      <c r="P932" t="s">
        <v>5001</v>
      </c>
      <c r="Q932" s="14" t="s">
        <v>62</v>
      </c>
      <c r="R932" t="s">
        <v>4944</v>
      </c>
      <c r="S932">
        <v>4.45</v>
      </c>
      <c r="T932">
        <v>5111</v>
      </c>
      <c r="U932">
        <v>0</v>
      </c>
      <c r="V932">
        <v>5111</v>
      </c>
    </row>
    <row r="933" spans="1:22" x14ac:dyDescent="0.3">
      <c r="A933">
        <v>186607</v>
      </c>
      <c r="B933">
        <v>135336910</v>
      </c>
      <c r="C933" t="s">
        <v>5002</v>
      </c>
      <c r="D933" t="s">
        <v>5003</v>
      </c>
      <c r="E933" t="s">
        <v>4901</v>
      </c>
      <c r="F933" t="s">
        <v>491</v>
      </c>
      <c r="G933" t="s">
        <v>44</v>
      </c>
      <c r="H933" t="s">
        <v>45</v>
      </c>
      <c r="I933" t="s">
        <v>34</v>
      </c>
      <c r="J933" t="s">
        <v>46</v>
      </c>
      <c r="K933" t="s">
        <v>41</v>
      </c>
      <c r="L933" t="s">
        <v>5004</v>
      </c>
      <c r="M933" t="s">
        <v>5005</v>
      </c>
      <c r="N933" t="s">
        <v>4904</v>
      </c>
      <c r="O933" t="s">
        <v>91</v>
      </c>
      <c r="P933" t="s">
        <v>5006</v>
      </c>
      <c r="Q933" s="14" t="s">
        <v>182</v>
      </c>
      <c r="R933" t="s">
        <v>4932</v>
      </c>
      <c r="S933">
        <v>0.5</v>
      </c>
      <c r="T933">
        <v>3680</v>
      </c>
      <c r="U933">
        <v>0</v>
      </c>
      <c r="V933">
        <v>3680</v>
      </c>
    </row>
    <row r="934" spans="1:22" x14ac:dyDescent="0.3">
      <c r="A934">
        <v>186607</v>
      </c>
      <c r="B934">
        <v>135392760</v>
      </c>
      <c r="C934" t="s">
        <v>5007</v>
      </c>
      <c r="D934" t="s">
        <v>5008</v>
      </c>
      <c r="E934" t="s">
        <v>4901</v>
      </c>
      <c r="F934" t="s">
        <v>491</v>
      </c>
      <c r="G934" t="s">
        <v>44</v>
      </c>
      <c r="H934" t="s">
        <v>45</v>
      </c>
      <c r="I934" t="s">
        <v>34</v>
      </c>
      <c r="J934" t="s">
        <v>46</v>
      </c>
      <c r="K934" t="s">
        <v>41</v>
      </c>
      <c r="L934" t="s">
        <v>5009</v>
      </c>
      <c r="M934" t="s">
        <v>5010</v>
      </c>
      <c r="N934" t="s">
        <v>4904</v>
      </c>
      <c r="O934" t="s">
        <v>91</v>
      </c>
      <c r="P934" t="s">
        <v>5011</v>
      </c>
      <c r="Q934" s="14" t="s">
        <v>201</v>
      </c>
      <c r="R934" t="s">
        <v>4950</v>
      </c>
      <c r="S934">
        <v>3.15</v>
      </c>
      <c r="T934">
        <v>3797</v>
      </c>
      <c r="U934">
        <v>0</v>
      </c>
      <c r="V934">
        <v>3797</v>
      </c>
    </row>
    <row r="935" spans="1:22" x14ac:dyDescent="0.3">
      <c r="A935">
        <v>186607</v>
      </c>
      <c r="B935">
        <v>135377493</v>
      </c>
      <c r="C935" t="s">
        <v>5012</v>
      </c>
      <c r="D935" t="s">
        <v>5013</v>
      </c>
      <c r="E935" t="s">
        <v>4901</v>
      </c>
      <c r="F935" t="s">
        <v>491</v>
      </c>
      <c r="G935" t="s">
        <v>44</v>
      </c>
      <c r="H935" t="s">
        <v>45</v>
      </c>
      <c r="I935" t="s">
        <v>34</v>
      </c>
      <c r="J935" t="s">
        <v>46</v>
      </c>
      <c r="K935" t="s">
        <v>41</v>
      </c>
      <c r="L935" t="s">
        <v>5014</v>
      </c>
      <c r="M935" t="s">
        <v>5015</v>
      </c>
      <c r="N935" t="s">
        <v>4904</v>
      </c>
      <c r="O935" t="s">
        <v>91</v>
      </c>
      <c r="P935" t="s">
        <v>5016</v>
      </c>
      <c r="Q935" s="14" t="s">
        <v>135</v>
      </c>
      <c r="R935" t="s">
        <v>4944</v>
      </c>
      <c r="S935">
        <v>4.7</v>
      </c>
      <c r="T935">
        <v>3797</v>
      </c>
      <c r="U935">
        <v>0</v>
      </c>
      <c r="V935">
        <v>3797</v>
      </c>
    </row>
    <row r="936" spans="1:22" x14ac:dyDescent="0.3">
      <c r="A936">
        <v>186607</v>
      </c>
      <c r="B936">
        <v>135392763</v>
      </c>
      <c r="C936" t="s">
        <v>5017</v>
      </c>
      <c r="D936" t="s">
        <v>5018</v>
      </c>
      <c r="E936" t="s">
        <v>4901</v>
      </c>
      <c r="F936" t="s">
        <v>491</v>
      </c>
      <c r="G936" t="s">
        <v>44</v>
      </c>
      <c r="H936" t="s">
        <v>45</v>
      </c>
      <c r="I936" t="s">
        <v>34</v>
      </c>
      <c r="J936" t="s">
        <v>46</v>
      </c>
      <c r="K936" t="s">
        <v>41</v>
      </c>
      <c r="L936" t="s">
        <v>5019</v>
      </c>
      <c r="M936" t="s">
        <v>5020</v>
      </c>
      <c r="N936" t="s">
        <v>4904</v>
      </c>
      <c r="O936" t="s">
        <v>91</v>
      </c>
      <c r="P936" t="s">
        <v>5021</v>
      </c>
      <c r="Q936" s="14" t="s">
        <v>135</v>
      </c>
      <c r="R936" t="s">
        <v>4950</v>
      </c>
      <c r="S936">
        <v>4.7</v>
      </c>
      <c r="T936">
        <v>3797</v>
      </c>
      <c r="U936">
        <v>0</v>
      </c>
      <c r="V936">
        <v>3797</v>
      </c>
    </row>
    <row r="937" spans="1:22" x14ac:dyDescent="0.3">
      <c r="A937">
        <v>186607</v>
      </c>
      <c r="B937">
        <v>135269540</v>
      </c>
      <c r="C937" t="s">
        <v>5022</v>
      </c>
      <c r="D937" t="s">
        <v>5023</v>
      </c>
      <c r="E937" t="s">
        <v>4901</v>
      </c>
      <c r="F937" t="s">
        <v>491</v>
      </c>
      <c r="G937" t="s">
        <v>44</v>
      </c>
      <c r="H937" t="s">
        <v>45</v>
      </c>
      <c r="I937" t="s">
        <v>34</v>
      </c>
      <c r="J937" t="s">
        <v>46</v>
      </c>
      <c r="K937" t="s">
        <v>41</v>
      </c>
      <c r="L937" t="s">
        <v>5024</v>
      </c>
      <c r="M937" t="s">
        <v>5025</v>
      </c>
      <c r="N937" t="s">
        <v>4904</v>
      </c>
      <c r="O937" t="s">
        <v>91</v>
      </c>
      <c r="P937" t="s">
        <v>5026</v>
      </c>
      <c r="Q937" s="14" t="s">
        <v>161</v>
      </c>
      <c r="R937" t="s">
        <v>482</v>
      </c>
      <c r="S937">
        <v>3.84</v>
      </c>
      <c r="T937">
        <v>4852</v>
      </c>
      <c r="U937">
        <v>0</v>
      </c>
      <c r="V937">
        <v>4852</v>
      </c>
    </row>
    <row r="938" spans="1:22" x14ac:dyDescent="0.3">
      <c r="A938">
        <v>186607</v>
      </c>
      <c r="B938">
        <v>135377485</v>
      </c>
      <c r="C938" t="s">
        <v>5027</v>
      </c>
      <c r="D938" t="s">
        <v>5028</v>
      </c>
      <c r="E938" t="s">
        <v>4901</v>
      </c>
      <c r="F938" t="s">
        <v>491</v>
      </c>
      <c r="G938" t="s">
        <v>44</v>
      </c>
      <c r="H938" t="s">
        <v>45</v>
      </c>
      <c r="I938" t="s">
        <v>34</v>
      </c>
      <c r="J938" t="s">
        <v>46</v>
      </c>
      <c r="K938" t="s">
        <v>41</v>
      </c>
      <c r="L938" t="s">
        <v>5029</v>
      </c>
      <c r="M938" t="s">
        <v>5030</v>
      </c>
      <c r="N938" t="s">
        <v>4904</v>
      </c>
      <c r="O938" t="s">
        <v>91</v>
      </c>
      <c r="P938" t="s">
        <v>5031</v>
      </c>
      <c r="Q938" s="14" t="s">
        <v>86</v>
      </c>
      <c r="R938" t="s">
        <v>4944</v>
      </c>
      <c r="S938">
        <v>3.1</v>
      </c>
      <c r="T938">
        <v>3797</v>
      </c>
      <c r="U938">
        <v>0</v>
      </c>
      <c r="V938">
        <v>3797</v>
      </c>
    </row>
    <row r="939" spans="1:22" x14ac:dyDescent="0.3">
      <c r="A939">
        <v>186607</v>
      </c>
      <c r="B939">
        <v>135352774</v>
      </c>
      <c r="C939" t="s">
        <v>5032</v>
      </c>
      <c r="D939" t="s">
        <v>5033</v>
      </c>
      <c r="E939" t="s">
        <v>4901</v>
      </c>
      <c r="F939" t="s">
        <v>491</v>
      </c>
      <c r="G939" t="s">
        <v>44</v>
      </c>
      <c r="H939" t="s">
        <v>45</v>
      </c>
      <c r="I939" t="s">
        <v>34</v>
      </c>
      <c r="J939" t="s">
        <v>46</v>
      </c>
      <c r="K939" t="s">
        <v>41</v>
      </c>
      <c r="L939" t="s">
        <v>5034</v>
      </c>
      <c r="M939" t="s">
        <v>5035</v>
      </c>
      <c r="N939" t="s">
        <v>4904</v>
      </c>
      <c r="O939" t="s">
        <v>91</v>
      </c>
      <c r="P939" t="s">
        <v>5036</v>
      </c>
      <c r="Q939" s="14" t="s">
        <v>70</v>
      </c>
      <c r="R939" t="s">
        <v>4961</v>
      </c>
      <c r="S939">
        <v>0.5</v>
      </c>
      <c r="T939">
        <v>4067</v>
      </c>
      <c r="U939">
        <v>0</v>
      </c>
      <c r="V939">
        <v>4067</v>
      </c>
    </row>
    <row r="940" spans="1:22" x14ac:dyDescent="0.3">
      <c r="A940">
        <v>186607</v>
      </c>
      <c r="B940">
        <v>135392750</v>
      </c>
      <c r="C940" t="s">
        <v>5037</v>
      </c>
      <c r="D940" t="s">
        <v>5038</v>
      </c>
      <c r="E940" t="s">
        <v>4901</v>
      </c>
      <c r="F940" t="s">
        <v>491</v>
      </c>
      <c r="G940" t="s">
        <v>44</v>
      </c>
      <c r="H940" t="s">
        <v>45</v>
      </c>
      <c r="I940" t="s">
        <v>34</v>
      </c>
      <c r="J940" t="s">
        <v>46</v>
      </c>
      <c r="K940" t="s">
        <v>41</v>
      </c>
      <c r="L940" t="s">
        <v>5039</v>
      </c>
      <c r="M940" t="s">
        <v>5040</v>
      </c>
      <c r="N940" t="s">
        <v>4904</v>
      </c>
      <c r="O940" t="s">
        <v>91</v>
      </c>
      <c r="P940" t="s">
        <v>5041</v>
      </c>
      <c r="Q940" s="14" t="s">
        <v>78</v>
      </c>
      <c r="R940" t="s">
        <v>4950</v>
      </c>
      <c r="S940">
        <v>0.5</v>
      </c>
      <c r="T940">
        <v>3299</v>
      </c>
      <c r="U940">
        <v>0</v>
      </c>
      <c r="V940">
        <v>3299</v>
      </c>
    </row>
    <row r="941" spans="1:22" x14ac:dyDescent="0.3">
      <c r="A941">
        <v>186607</v>
      </c>
      <c r="B941">
        <v>135336891</v>
      </c>
      <c r="C941" t="s">
        <v>5042</v>
      </c>
      <c r="D941" t="s">
        <v>5043</v>
      </c>
      <c r="E941" t="s">
        <v>4901</v>
      </c>
      <c r="F941" t="s">
        <v>491</v>
      </c>
      <c r="G941" t="s">
        <v>44</v>
      </c>
      <c r="H941" t="s">
        <v>45</v>
      </c>
      <c r="I941" t="s">
        <v>34</v>
      </c>
      <c r="J941" t="s">
        <v>46</v>
      </c>
      <c r="K941" t="s">
        <v>41</v>
      </c>
      <c r="L941" t="s">
        <v>5044</v>
      </c>
      <c r="M941" t="s">
        <v>5045</v>
      </c>
      <c r="N941" t="s">
        <v>4904</v>
      </c>
      <c r="O941" t="s">
        <v>91</v>
      </c>
      <c r="P941" t="s">
        <v>5046</v>
      </c>
      <c r="Q941" s="14" t="s">
        <v>82</v>
      </c>
      <c r="R941" t="s">
        <v>4932</v>
      </c>
      <c r="S941">
        <v>6.81</v>
      </c>
      <c r="T941">
        <v>6328</v>
      </c>
      <c r="U941">
        <v>0</v>
      </c>
      <c r="V941">
        <v>6328</v>
      </c>
    </row>
    <row r="942" spans="1:22" x14ac:dyDescent="0.3">
      <c r="A942">
        <v>186607</v>
      </c>
      <c r="B942">
        <v>135336915</v>
      </c>
      <c r="C942" t="s">
        <v>5047</v>
      </c>
      <c r="D942" t="s">
        <v>5048</v>
      </c>
      <c r="E942" t="s">
        <v>4901</v>
      </c>
      <c r="F942" t="s">
        <v>491</v>
      </c>
      <c r="G942" t="s">
        <v>44</v>
      </c>
      <c r="H942" t="s">
        <v>45</v>
      </c>
      <c r="I942" t="s">
        <v>34</v>
      </c>
      <c r="J942" t="s">
        <v>46</v>
      </c>
      <c r="K942" t="s">
        <v>41</v>
      </c>
      <c r="L942" t="s">
        <v>5049</v>
      </c>
      <c r="M942" t="s">
        <v>5050</v>
      </c>
      <c r="N942" t="s">
        <v>4904</v>
      </c>
      <c r="O942" t="s">
        <v>91</v>
      </c>
      <c r="P942" t="s">
        <v>5051</v>
      </c>
      <c r="Q942" s="14" t="s">
        <v>85</v>
      </c>
      <c r="R942" t="s">
        <v>4932</v>
      </c>
      <c r="S942">
        <v>4.3099999999999996</v>
      </c>
      <c r="T942">
        <v>4585</v>
      </c>
      <c r="U942">
        <v>0</v>
      </c>
      <c r="V942">
        <v>4585</v>
      </c>
    </row>
    <row r="943" spans="1:22" x14ac:dyDescent="0.3">
      <c r="A943">
        <v>186607</v>
      </c>
      <c r="B943">
        <v>135032325</v>
      </c>
      <c r="C943" t="s">
        <v>5052</v>
      </c>
      <c r="D943" t="s">
        <v>5053</v>
      </c>
      <c r="E943" t="s">
        <v>4901</v>
      </c>
      <c r="F943" t="s">
        <v>491</v>
      </c>
      <c r="G943" t="s">
        <v>44</v>
      </c>
      <c r="H943" t="s">
        <v>45</v>
      </c>
      <c r="I943" t="s">
        <v>34</v>
      </c>
      <c r="J943" t="s">
        <v>46</v>
      </c>
      <c r="K943" t="s">
        <v>41</v>
      </c>
      <c r="L943" t="s">
        <v>5054</v>
      </c>
      <c r="M943" t="s">
        <v>5055</v>
      </c>
      <c r="N943" t="s">
        <v>4904</v>
      </c>
      <c r="O943" t="s">
        <v>91</v>
      </c>
      <c r="P943" t="s">
        <v>5056</v>
      </c>
      <c r="Q943" s="14" t="s">
        <v>149</v>
      </c>
      <c r="R943" t="s">
        <v>5057</v>
      </c>
      <c r="S943">
        <v>0.79</v>
      </c>
      <c r="T943">
        <v>5759</v>
      </c>
      <c r="U943">
        <v>0</v>
      </c>
      <c r="V943">
        <v>5759</v>
      </c>
    </row>
    <row r="944" spans="1:22" x14ac:dyDescent="0.3">
      <c r="A944">
        <v>186607</v>
      </c>
      <c r="B944">
        <v>135297304</v>
      </c>
      <c r="C944" t="s">
        <v>5058</v>
      </c>
      <c r="D944" t="s">
        <v>5059</v>
      </c>
      <c r="E944" t="s">
        <v>4901</v>
      </c>
      <c r="F944" t="s">
        <v>491</v>
      </c>
      <c r="G944" t="s">
        <v>44</v>
      </c>
      <c r="H944" t="s">
        <v>45</v>
      </c>
      <c r="I944" t="s">
        <v>34</v>
      </c>
      <c r="J944" t="s">
        <v>46</v>
      </c>
      <c r="K944" t="s">
        <v>41</v>
      </c>
      <c r="L944" t="s">
        <v>5060</v>
      </c>
      <c r="M944" t="s">
        <v>5061</v>
      </c>
      <c r="N944" t="s">
        <v>4904</v>
      </c>
      <c r="O944" t="s">
        <v>91</v>
      </c>
      <c r="P944" t="s">
        <v>5062</v>
      </c>
      <c r="Q944" s="14" t="s">
        <v>70</v>
      </c>
      <c r="R944" t="s">
        <v>5063</v>
      </c>
      <c r="S944">
        <v>4.1900000000000004</v>
      </c>
      <c r="T944">
        <v>7484</v>
      </c>
      <c r="U944">
        <v>0</v>
      </c>
      <c r="V944">
        <v>7484</v>
      </c>
    </row>
    <row r="945" spans="1:22" x14ac:dyDescent="0.3">
      <c r="A945">
        <v>186607</v>
      </c>
      <c r="B945">
        <v>135336907</v>
      </c>
      <c r="C945" t="s">
        <v>5064</v>
      </c>
      <c r="D945" t="s">
        <v>5065</v>
      </c>
      <c r="E945" t="s">
        <v>4901</v>
      </c>
      <c r="F945" t="s">
        <v>491</v>
      </c>
      <c r="G945" t="s">
        <v>44</v>
      </c>
      <c r="H945" t="s">
        <v>45</v>
      </c>
      <c r="I945" t="s">
        <v>34</v>
      </c>
      <c r="J945" t="s">
        <v>46</v>
      </c>
      <c r="K945" t="s">
        <v>41</v>
      </c>
      <c r="L945" t="s">
        <v>5066</v>
      </c>
      <c r="M945" t="s">
        <v>5067</v>
      </c>
      <c r="N945" t="s">
        <v>4904</v>
      </c>
      <c r="O945" t="s">
        <v>91</v>
      </c>
      <c r="P945" t="s">
        <v>5068</v>
      </c>
      <c r="Q945" s="14" t="s">
        <v>62</v>
      </c>
      <c r="R945" t="s">
        <v>4932</v>
      </c>
      <c r="S945">
        <v>0.5</v>
      </c>
      <c r="T945">
        <v>3680</v>
      </c>
      <c r="U945">
        <v>0</v>
      </c>
      <c r="V945">
        <v>3680</v>
      </c>
    </row>
    <row r="946" spans="1:22" x14ac:dyDescent="0.3">
      <c r="A946">
        <v>186607</v>
      </c>
      <c r="B946">
        <v>135352783</v>
      </c>
      <c r="C946" t="s">
        <v>5069</v>
      </c>
      <c r="D946" t="s">
        <v>5070</v>
      </c>
      <c r="E946" t="s">
        <v>4901</v>
      </c>
      <c r="F946" t="s">
        <v>491</v>
      </c>
      <c r="G946" t="s">
        <v>44</v>
      </c>
      <c r="H946" t="s">
        <v>45</v>
      </c>
      <c r="I946" t="s">
        <v>34</v>
      </c>
      <c r="J946" t="s">
        <v>46</v>
      </c>
      <c r="K946" t="s">
        <v>41</v>
      </c>
      <c r="L946" t="s">
        <v>5071</v>
      </c>
      <c r="M946" t="s">
        <v>5072</v>
      </c>
      <c r="N946" t="s">
        <v>4904</v>
      </c>
      <c r="O946" t="s">
        <v>91</v>
      </c>
      <c r="P946" t="s">
        <v>5073</v>
      </c>
      <c r="Q946" s="14" t="s">
        <v>89</v>
      </c>
      <c r="R946" t="s">
        <v>4961</v>
      </c>
      <c r="S946">
        <v>0.5</v>
      </c>
      <c r="T946">
        <v>3680</v>
      </c>
      <c r="U946">
        <v>0</v>
      </c>
      <c r="V946">
        <v>3680</v>
      </c>
    </row>
    <row r="947" spans="1:22" x14ac:dyDescent="0.3">
      <c r="A947">
        <v>186607</v>
      </c>
      <c r="B947">
        <v>135352773</v>
      </c>
      <c r="C947" t="s">
        <v>5074</v>
      </c>
      <c r="D947" t="s">
        <v>5075</v>
      </c>
      <c r="E947" t="s">
        <v>4901</v>
      </c>
      <c r="F947" t="s">
        <v>491</v>
      </c>
      <c r="G947" t="s">
        <v>44</v>
      </c>
      <c r="H947" t="s">
        <v>45</v>
      </c>
      <c r="I947" t="s">
        <v>34</v>
      </c>
      <c r="J947" t="s">
        <v>46</v>
      </c>
      <c r="K947" t="s">
        <v>41</v>
      </c>
      <c r="L947" t="s">
        <v>5076</v>
      </c>
      <c r="M947" t="s">
        <v>5077</v>
      </c>
      <c r="N947" t="s">
        <v>4904</v>
      </c>
      <c r="O947" t="s">
        <v>91</v>
      </c>
      <c r="P947" t="s">
        <v>5078</v>
      </c>
      <c r="Q947" s="14" t="s">
        <v>77</v>
      </c>
      <c r="R947" t="s">
        <v>4961</v>
      </c>
      <c r="S947">
        <v>0.5</v>
      </c>
      <c r="T947">
        <v>3680</v>
      </c>
      <c r="U947">
        <v>0</v>
      </c>
      <c r="V947">
        <v>3680</v>
      </c>
    </row>
    <row r="948" spans="1:22" x14ac:dyDescent="0.3">
      <c r="A948">
        <v>186607</v>
      </c>
      <c r="B948">
        <v>135269538</v>
      </c>
      <c r="C948" t="s">
        <v>5079</v>
      </c>
      <c r="D948" t="s">
        <v>5080</v>
      </c>
      <c r="E948" t="s">
        <v>4901</v>
      </c>
      <c r="F948" t="s">
        <v>491</v>
      </c>
      <c r="G948" t="s">
        <v>44</v>
      </c>
      <c r="H948" t="s">
        <v>45</v>
      </c>
      <c r="I948" t="s">
        <v>34</v>
      </c>
      <c r="J948" t="s">
        <v>46</v>
      </c>
      <c r="K948" t="s">
        <v>41</v>
      </c>
      <c r="L948" t="s">
        <v>5081</v>
      </c>
      <c r="M948" t="s">
        <v>5082</v>
      </c>
      <c r="N948" t="s">
        <v>4904</v>
      </c>
      <c r="O948" t="s">
        <v>91</v>
      </c>
      <c r="P948" t="s">
        <v>5083</v>
      </c>
      <c r="Q948" s="14" t="s">
        <v>170</v>
      </c>
      <c r="R948" t="s">
        <v>482</v>
      </c>
      <c r="S948">
        <v>4.1900000000000004</v>
      </c>
      <c r="T948">
        <v>4322</v>
      </c>
      <c r="U948">
        <v>0</v>
      </c>
      <c r="V948">
        <v>4322</v>
      </c>
    </row>
    <row r="949" spans="1:22" x14ac:dyDescent="0.3">
      <c r="A949">
        <v>186607</v>
      </c>
      <c r="B949">
        <v>135297296</v>
      </c>
      <c r="C949" t="s">
        <v>5084</v>
      </c>
      <c r="D949" t="s">
        <v>5085</v>
      </c>
      <c r="E949" t="s">
        <v>4901</v>
      </c>
      <c r="F949" t="s">
        <v>491</v>
      </c>
      <c r="G949" t="s">
        <v>44</v>
      </c>
      <c r="H949" t="s">
        <v>45</v>
      </c>
      <c r="I949" t="s">
        <v>34</v>
      </c>
      <c r="J949" t="s">
        <v>46</v>
      </c>
      <c r="K949" t="s">
        <v>41</v>
      </c>
      <c r="L949" t="s">
        <v>5086</v>
      </c>
      <c r="M949" t="s">
        <v>5087</v>
      </c>
      <c r="N949" t="s">
        <v>4904</v>
      </c>
      <c r="O949" t="s">
        <v>91</v>
      </c>
      <c r="P949" t="s">
        <v>5088</v>
      </c>
      <c r="Q949" s="14" t="s">
        <v>182</v>
      </c>
      <c r="R949" t="s">
        <v>5063</v>
      </c>
      <c r="S949">
        <v>1.75</v>
      </c>
      <c r="T949">
        <v>3784</v>
      </c>
      <c r="U949">
        <v>0</v>
      </c>
      <c r="V949">
        <v>3784</v>
      </c>
    </row>
    <row r="950" spans="1:22" x14ac:dyDescent="0.3">
      <c r="A950">
        <v>186607</v>
      </c>
      <c r="B950">
        <v>135336913</v>
      </c>
      <c r="C950" t="s">
        <v>5089</v>
      </c>
      <c r="D950" t="s">
        <v>5090</v>
      </c>
      <c r="E950" t="s">
        <v>4901</v>
      </c>
      <c r="F950" t="s">
        <v>491</v>
      </c>
      <c r="G950" t="s">
        <v>44</v>
      </c>
      <c r="H950" t="s">
        <v>45</v>
      </c>
      <c r="I950" t="s">
        <v>34</v>
      </c>
      <c r="J950" t="s">
        <v>46</v>
      </c>
      <c r="K950" t="s">
        <v>41</v>
      </c>
      <c r="L950" t="s">
        <v>5091</v>
      </c>
      <c r="M950" t="s">
        <v>5092</v>
      </c>
      <c r="N950" t="s">
        <v>4904</v>
      </c>
      <c r="O950" t="s">
        <v>91</v>
      </c>
      <c r="P950" t="s">
        <v>5093</v>
      </c>
      <c r="Q950" s="14" t="s">
        <v>108</v>
      </c>
      <c r="R950" t="s">
        <v>4932</v>
      </c>
      <c r="S950">
        <v>0.5</v>
      </c>
      <c r="T950">
        <v>3680</v>
      </c>
      <c r="U950">
        <v>0</v>
      </c>
      <c r="V950">
        <v>3680</v>
      </c>
    </row>
    <row r="951" spans="1:22" x14ac:dyDescent="0.3">
      <c r="A951">
        <v>186607</v>
      </c>
      <c r="B951">
        <v>135336901</v>
      </c>
      <c r="C951" t="s">
        <v>5094</v>
      </c>
      <c r="D951" t="s">
        <v>5095</v>
      </c>
      <c r="E951" t="s">
        <v>4901</v>
      </c>
      <c r="F951" t="s">
        <v>491</v>
      </c>
      <c r="G951" t="s">
        <v>44</v>
      </c>
      <c r="H951" t="s">
        <v>45</v>
      </c>
      <c r="I951" t="s">
        <v>34</v>
      </c>
      <c r="J951" t="s">
        <v>46</v>
      </c>
      <c r="K951" t="s">
        <v>41</v>
      </c>
      <c r="L951" t="s">
        <v>5096</v>
      </c>
      <c r="M951" t="s">
        <v>5097</v>
      </c>
      <c r="N951" t="s">
        <v>4904</v>
      </c>
      <c r="O951" t="s">
        <v>91</v>
      </c>
      <c r="P951" t="s">
        <v>5098</v>
      </c>
      <c r="Q951" s="14" t="s">
        <v>83</v>
      </c>
      <c r="R951" t="s">
        <v>4932</v>
      </c>
      <c r="S951">
        <v>2.77</v>
      </c>
      <c r="T951">
        <v>3366</v>
      </c>
      <c r="U951">
        <v>0</v>
      </c>
      <c r="V951">
        <v>3366</v>
      </c>
    </row>
    <row r="952" spans="1:22" x14ac:dyDescent="0.3">
      <c r="A952">
        <v>186607</v>
      </c>
      <c r="B952">
        <v>135352768</v>
      </c>
      <c r="C952" t="s">
        <v>5099</v>
      </c>
      <c r="D952" t="s">
        <v>5100</v>
      </c>
      <c r="E952" t="s">
        <v>4901</v>
      </c>
      <c r="F952" t="s">
        <v>491</v>
      </c>
      <c r="G952" t="s">
        <v>44</v>
      </c>
      <c r="H952" t="s">
        <v>45</v>
      </c>
      <c r="I952" t="s">
        <v>34</v>
      </c>
      <c r="J952" t="s">
        <v>46</v>
      </c>
      <c r="K952" t="s">
        <v>116</v>
      </c>
      <c r="L952" t="s">
        <v>248</v>
      </c>
      <c r="M952" t="s">
        <v>5101</v>
      </c>
      <c r="N952" t="s">
        <v>4904</v>
      </c>
      <c r="O952" t="s">
        <v>91</v>
      </c>
      <c r="P952" t="s">
        <v>5102</v>
      </c>
      <c r="Q952" s="14" t="s">
        <v>77</v>
      </c>
      <c r="R952" t="s">
        <v>4961</v>
      </c>
      <c r="S952">
        <v>0.5</v>
      </c>
      <c r="T952">
        <v>3680</v>
      </c>
      <c r="U952">
        <v>0</v>
      </c>
      <c r="V952">
        <v>3680</v>
      </c>
    </row>
    <row r="953" spans="1:22" x14ac:dyDescent="0.3">
      <c r="A953">
        <v>186607</v>
      </c>
      <c r="B953">
        <v>134981810</v>
      </c>
      <c r="C953" t="s">
        <v>5103</v>
      </c>
      <c r="D953" t="s">
        <v>5104</v>
      </c>
      <c r="E953" t="s">
        <v>4901</v>
      </c>
      <c r="F953" t="s">
        <v>491</v>
      </c>
      <c r="G953" t="s">
        <v>44</v>
      </c>
      <c r="H953" t="s">
        <v>45</v>
      </c>
      <c r="I953" t="s">
        <v>34</v>
      </c>
      <c r="J953" t="s">
        <v>46</v>
      </c>
      <c r="K953" t="s">
        <v>41</v>
      </c>
      <c r="L953" t="s">
        <v>5105</v>
      </c>
      <c r="M953" t="s">
        <v>5106</v>
      </c>
      <c r="N953" t="s">
        <v>4904</v>
      </c>
      <c r="O953" t="s">
        <v>91</v>
      </c>
      <c r="P953" t="s">
        <v>5107</v>
      </c>
      <c r="Q953" s="14" t="s">
        <v>149</v>
      </c>
      <c r="R953" t="s">
        <v>5108</v>
      </c>
      <c r="S953">
        <v>0.5</v>
      </c>
      <c r="T953">
        <v>5367</v>
      </c>
      <c r="U953">
        <v>0</v>
      </c>
      <c r="V953">
        <v>5367</v>
      </c>
    </row>
    <row r="954" spans="1:22" x14ac:dyDescent="0.3">
      <c r="A954">
        <v>186607</v>
      </c>
      <c r="B954">
        <v>135002187</v>
      </c>
      <c r="C954" t="s">
        <v>5109</v>
      </c>
      <c r="D954" t="s">
        <v>5110</v>
      </c>
      <c r="E954" t="s">
        <v>4901</v>
      </c>
      <c r="F954" t="s">
        <v>491</v>
      </c>
      <c r="G954" t="s">
        <v>44</v>
      </c>
      <c r="H954" t="s">
        <v>45</v>
      </c>
      <c r="I954" t="s">
        <v>34</v>
      </c>
      <c r="J954" t="s">
        <v>46</v>
      </c>
      <c r="K954" t="s">
        <v>41</v>
      </c>
      <c r="L954" t="s">
        <v>5111</v>
      </c>
      <c r="M954" t="s">
        <v>5112</v>
      </c>
      <c r="N954" t="s">
        <v>4904</v>
      </c>
      <c r="O954" t="s">
        <v>91</v>
      </c>
      <c r="P954" t="s">
        <v>5113</v>
      </c>
      <c r="Q954" s="14" t="s">
        <v>149</v>
      </c>
      <c r="R954" t="s">
        <v>453</v>
      </c>
      <c r="S954">
        <v>0.5</v>
      </c>
      <c r="T954">
        <v>5367</v>
      </c>
      <c r="U954">
        <v>0</v>
      </c>
      <c r="V954">
        <v>5367</v>
      </c>
    </row>
    <row r="955" spans="1:22" x14ac:dyDescent="0.3">
      <c r="A955">
        <v>186607</v>
      </c>
      <c r="B955">
        <v>135231360</v>
      </c>
      <c r="C955" t="s">
        <v>5114</v>
      </c>
      <c r="D955" t="s">
        <v>5115</v>
      </c>
      <c r="E955" t="s">
        <v>4901</v>
      </c>
      <c r="F955" t="s">
        <v>491</v>
      </c>
      <c r="G955" t="s">
        <v>44</v>
      </c>
      <c r="H955" t="s">
        <v>45</v>
      </c>
      <c r="I955" t="s">
        <v>34</v>
      </c>
      <c r="J955" t="s">
        <v>46</v>
      </c>
      <c r="K955" t="s">
        <v>41</v>
      </c>
      <c r="L955" t="s">
        <v>5116</v>
      </c>
      <c r="M955" t="s">
        <v>5117</v>
      </c>
      <c r="N955" t="s">
        <v>4904</v>
      </c>
      <c r="O955" t="s">
        <v>91</v>
      </c>
      <c r="P955" t="s">
        <v>5118</v>
      </c>
      <c r="Q955" s="14" t="s">
        <v>85</v>
      </c>
      <c r="R955" t="s">
        <v>4916</v>
      </c>
      <c r="S955">
        <v>1.67</v>
      </c>
      <c r="T955">
        <v>3784</v>
      </c>
      <c r="U955">
        <v>0</v>
      </c>
      <c r="V955">
        <v>3784</v>
      </c>
    </row>
    <row r="956" spans="1:22" x14ac:dyDescent="0.3">
      <c r="A956">
        <v>186607</v>
      </c>
      <c r="B956">
        <v>135269533</v>
      </c>
      <c r="C956" t="s">
        <v>5119</v>
      </c>
      <c r="D956" t="s">
        <v>5120</v>
      </c>
      <c r="E956" t="s">
        <v>4901</v>
      </c>
      <c r="F956" t="s">
        <v>491</v>
      </c>
      <c r="G956" t="s">
        <v>44</v>
      </c>
      <c r="H956" t="s">
        <v>45</v>
      </c>
      <c r="I956" t="s">
        <v>34</v>
      </c>
      <c r="J956" t="s">
        <v>46</v>
      </c>
      <c r="K956" t="s">
        <v>41</v>
      </c>
      <c r="L956" t="s">
        <v>5121</v>
      </c>
      <c r="M956" t="s">
        <v>5122</v>
      </c>
      <c r="N956" t="s">
        <v>4904</v>
      </c>
      <c r="O956" t="s">
        <v>91</v>
      </c>
      <c r="P956" t="s">
        <v>5123</v>
      </c>
      <c r="Q956" s="14" t="s">
        <v>83</v>
      </c>
      <c r="R956" t="s">
        <v>482</v>
      </c>
      <c r="S956">
        <v>1.75</v>
      </c>
      <c r="T956">
        <v>3366</v>
      </c>
      <c r="U956">
        <v>0</v>
      </c>
      <c r="V956">
        <v>3366</v>
      </c>
    </row>
    <row r="957" spans="1:22" x14ac:dyDescent="0.3">
      <c r="A957">
        <v>186607</v>
      </c>
      <c r="B957">
        <v>135297294</v>
      </c>
      <c r="C957" t="s">
        <v>5124</v>
      </c>
      <c r="D957" t="s">
        <v>5125</v>
      </c>
      <c r="E957" t="s">
        <v>4901</v>
      </c>
      <c r="F957" t="s">
        <v>491</v>
      </c>
      <c r="G957" t="s">
        <v>44</v>
      </c>
      <c r="H957" t="s">
        <v>45</v>
      </c>
      <c r="I957" t="s">
        <v>34</v>
      </c>
      <c r="J957" t="s">
        <v>46</v>
      </c>
      <c r="K957" t="s">
        <v>41</v>
      </c>
      <c r="L957" t="s">
        <v>5126</v>
      </c>
      <c r="M957" t="s">
        <v>5127</v>
      </c>
      <c r="N957" t="s">
        <v>4904</v>
      </c>
      <c r="O957" t="s">
        <v>91</v>
      </c>
      <c r="P957" t="s">
        <v>5128</v>
      </c>
      <c r="Q957" s="14" t="s">
        <v>42</v>
      </c>
      <c r="R957" t="s">
        <v>5063</v>
      </c>
      <c r="S957">
        <v>1.75</v>
      </c>
      <c r="T957">
        <v>3501</v>
      </c>
      <c r="U957">
        <v>0</v>
      </c>
      <c r="V957">
        <v>3501</v>
      </c>
    </row>
    <row r="958" spans="1:22" x14ac:dyDescent="0.3">
      <c r="A958">
        <v>186607</v>
      </c>
      <c r="B958">
        <v>135214273</v>
      </c>
      <c r="C958" t="s">
        <v>5129</v>
      </c>
      <c r="D958" t="s">
        <v>5130</v>
      </c>
      <c r="E958" t="s">
        <v>4901</v>
      </c>
      <c r="F958" t="s">
        <v>491</v>
      </c>
      <c r="G958" t="s">
        <v>44</v>
      </c>
      <c r="H958" t="s">
        <v>45</v>
      </c>
      <c r="I958" t="s">
        <v>34</v>
      </c>
      <c r="J958" t="s">
        <v>46</v>
      </c>
      <c r="K958" t="s">
        <v>56</v>
      </c>
      <c r="L958" t="s">
        <v>57</v>
      </c>
      <c r="M958" t="s">
        <v>5131</v>
      </c>
      <c r="N958" t="s">
        <v>4904</v>
      </c>
      <c r="O958" t="s">
        <v>91</v>
      </c>
      <c r="P958" t="s">
        <v>5132</v>
      </c>
      <c r="Q958" s="14" t="s">
        <v>146</v>
      </c>
      <c r="R958" t="s">
        <v>330</v>
      </c>
      <c r="S958">
        <v>2.39</v>
      </c>
      <c r="T958">
        <v>5759</v>
      </c>
      <c r="U958">
        <v>0</v>
      </c>
      <c r="V958">
        <v>5759</v>
      </c>
    </row>
    <row r="959" spans="1:22" x14ac:dyDescent="0.3">
      <c r="A959">
        <v>186607</v>
      </c>
      <c r="B959">
        <v>135312524</v>
      </c>
      <c r="C959" t="s">
        <v>5133</v>
      </c>
      <c r="D959" t="s">
        <v>5134</v>
      </c>
      <c r="E959" t="s">
        <v>4901</v>
      </c>
      <c r="F959" t="s">
        <v>491</v>
      </c>
      <c r="G959" t="s">
        <v>44</v>
      </c>
      <c r="H959" t="s">
        <v>45</v>
      </c>
      <c r="I959" t="s">
        <v>34</v>
      </c>
      <c r="J959" t="s">
        <v>46</v>
      </c>
      <c r="K959" t="s">
        <v>41</v>
      </c>
      <c r="L959" t="s">
        <v>5135</v>
      </c>
      <c r="M959" t="s">
        <v>5136</v>
      </c>
      <c r="N959" t="s">
        <v>4904</v>
      </c>
      <c r="O959" t="s">
        <v>91</v>
      </c>
      <c r="P959" t="s">
        <v>5137</v>
      </c>
      <c r="Q959" s="14" t="s">
        <v>85</v>
      </c>
      <c r="R959" t="s">
        <v>5138</v>
      </c>
      <c r="S959">
        <v>1.81</v>
      </c>
      <c r="T959">
        <v>3784</v>
      </c>
      <c r="U959">
        <v>0</v>
      </c>
      <c r="V959">
        <v>3784</v>
      </c>
    </row>
    <row r="960" spans="1:22" x14ac:dyDescent="0.3">
      <c r="A960">
        <v>186607</v>
      </c>
      <c r="B960">
        <v>135269531</v>
      </c>
      <c r="C960" t="s">
        <v>5139</v>
      </c>
      <c r="D960" t="s">
        <v>5140</v>
      </c>
      <c r="E960" t="s">
        <v>4901</v>
      </c>
      <c r="F960" t="s">
        <v>491</v>
      </c>
      <c r="G960" t="s">
        <v>44</v>
      </c>
      <c r="H960" t="s">
        <v>45</v>
      </c>
      <c r="I960" t="s">
        <v>34</v>
      </c>
      <c r="J960" t="s">
        <v>46</v>
      </c>
      <c r="K960" t="s">
        <v>41</v>
      </c>
      <c r="L960" t="s">
        <v>5141</v>
      </c>
      <c r="M960" t="s">
        <v>5142</v>
      </c>
      <c r="N960" t="s">
        <v>4904</v>
      </c>
      <c r="O960" t="s">
        <v>91</v>
      </c>
      <c r="P960" t="s">
        <v>5143</v>
      </c>
      <c r="Q960" s="14" t="s">
        <v>235</v>
      </c>
      <c r="R960" t="s">
        <v>482</v>
      </c>
      <c r="S960">
        <v>1.85</v>
      </c>
      <c r="T960">
        <v>3753</v>
      </c>
      <c r="U960">
        <v>0</v>
      </c>
      <c r="V960">
        <v>3753</v>
      </c>
    </row>
    <row r="961" spans="1:22" x14ac:dyDescent="0.3">
      <c r="A961">
        <v>186607</v>
      </c>
      <c r="B961">
        <v>135187305</v>
      </c>
      <c r="C961" t="s">
        <v>5144</v>
      </c>
      <c r="D961" t="s">
        <v>5145</v>
      </c>
      <c r="E961" t="s">
        <v>4901</v>
      </c>
      <c r="F961" t="s">
        <v>491</v>
      </c>
      <c r="G961" t="s">
        <v>44</v>
      </c>
      <c r="H961" t="s">
        <v>45</v>
      </c>
      <c r="I961" t="s">
        <v>34</v>
      </c>
      <c r="J961" t="s">
        <v>46</v>
      </c>
      <c r="K961" t="s">
        <v>41</v>
      </c>
      <c r="L961" t="s">
        <v>5146</v>
      </c>
      <c r="M961" t="s">
        <v>5147</v>
      </c>
      <c r="N961" t="s">
        <v>4904</v>
      </c>
      <c r="O961" t="s">
        <v>91</v>
      </c>
      <c r="P961" t="s">
        <v>5148</v>
      </c>
      <c r="Q961" s="14" t="s">
        <v>58</v>
      </c>
      <c r="R961" t="s">
        <v>5149</v>
      </c>
      <c r="S961">
        <v>7.16</v>
      </c>
      <c r="T961">
        <v>6888</v>
      </c>
      <c r="U961">
        <v>0</v>
      </c>
      <c r="V961">
        <v>6888</v>
      </c>
    </row>
    <row r="962" spans="1:22" x14ac:dyDescent="0.3">
      <c r="A962">
        <v>186607</v>
      </c>
      <c r="B962">
        <v>135254421</v>
      </c>
      <c r="C962" t="s">
        <v>5150</v>
      </c>
      <c r="D962" t="s">
        <v>5151</v>
      </c>
      <c r="E962" t="s">
        <v>4901</v>
      </c>
      <c r="F962" t="s">
        <v>491</v>
      </c>
      <c r="G962" t="s">
        <v>44</v>
      </c>
      <c r="H962" t="s">
        <v>45</v>
      </c>
      <c r="I962" t="s">
        <v>34</v>
      </c>
      <c r="J962" t="s">
        <v>46</v>
      </c>
      <c r="K962" t="s">
        <v>41</v>
      </c>
      <c r="L962" t="s">
        <v>5152</v>
      </c>
      <c r="M962" t="s">
        <v>5153</v>
      </c>
      <c r="N962" t="s">
        <v>4904</v>
      </c>
      <c r="O962" t="s">
        <v>91</v>
      </c>
      <c r="P962" t="s">
        <v>5154</v>
      </c>
      <c r="Q962" s="14" t="s">
        <v>43</v>
      </c>
      <c r="R962" t="s">
        <v>5155</v>
      </c>
      <c r="S962">
        <v>3.28</v>
      </c>
      <c r="T962">
        <v>5111</v>
      </c>
      <c r="U962">
        <v>0</v>
      </c>
      <c r="V962">
        <v>5111</v>
      </c>
    </row>
    <row r="963" spans="1:22" x14ac:dyDescent="0.3">
      <c r="A963">
        <v>186607</v>
      </c>
      <c r="B963">
        <v>135254407</v>
      </c>
      <c r="C963" t="s">
        <v>5156</v>
      </c>
      <c r="D963" t="s">
        <v>5157</v>
      </c>
      <c r="E963" t="s">
        <v>4901</v>
      </c>
      <c r="F963" t="s">
        <v>491</v>
      </c>
      <c r="G963" t="s">
        <v>44</v>
      </c>
      <c r="H963" t="s">
        <v>45</v>
      </c>
      <c r="I963" t="s">
        <v>34</v>
      </c>
      <c r="J963" t="s">
        <v>46</v>
      </c>
      <c r="K963" t="s">
        <v>41</v>
      </c>
      <c r="L963" t="s">
        <v>5158</v>
      </c>
      <c r="M963" t="s">
        <v>5159</v>
      </c>
      <c r="N963" t="s">
        <v>4904</v>
      </c>
      <c r="O963" t="s">
        <v>91</v>
      </c>
      <c r="P963" t="s">
        <v>5160</v>
      </c>
      <c r="Q963" s="14" t="s">
        <v>98</v>
      </c>
      <c r="R963" t="s">
        <v>5155</v>
      </c>
      <c r="S963">
        <v>1.75</v>
      </c>
      <c r="T963">
        <v>3366</v>
      </c>
      <c r="U963">
        <v>0</v>
      </c>
      <c r="V963">
        <v>3366</v>
      </c>
    </row>
    <row r="964" spans="1:22" x14ac:dyDescent="0.3">
      <c r="A964">
        <v>186607</v>
      </c>
      <c r="B964">
        <v>135180380</v>
      </c>
      <c r="C964" t="s">
        <v>5161</v>
      </c>
      <c r="D964" t="s">
        <v>5162</v>
      </c>
      <c r="E964" t="s">
        <v>4901</v>
      </c>
      <c r="F964" t="s">
        <v>491</v>
      </c>
      <c r="G964" t="s">
        <v>44</v>
      </c>
      <c r="H964" t="s">
        <v>45</v>
      </c>
      <c r="I964" t="s">
        <v>34</v>
      </c>
      <c r="J964" t="s">
        <v>46</v>
      </c>
      <c r="K964" t="s">
        <v>41</v>
      </c>
      <c r="L964" t="s">
        <v>5163</v>
      </c>
      <c r="M964" t="s">
        <v>5164</v>
      </c>
      <c r="N964" t="s">
        <v>4904</v>
      </c>
      <c r="O964" t="s">
        <v>91</v>
      </c>
      <c r="P964" t="s">
        <v>5165</v>
      </c>
      <c r="Q964" s="14" t="s">
        <v>70</v>
      </c>
      <c r="R964" t="s">
        <v>4921</v>
      </c>
      <c r="S964">
        <v>0.5</v>
      </c>
      <c r="T964">
        <v>4067</v>
      </c>
      <c r="U964">
        <v>0</v>
      </c>
      <c r="V964">
        <v>4067</v>
      </c>
    </row>
    <row r="965" spans="1:22" x14ac:dyDescent="0.3">
      <c r="A965">
        <v>186607</v>
      </c>
      <c r="B965">
        <v>135214263</v>
      </c>
      <c r="C965" t="s">
        <v>5166</v>
      </c>
      <c r="D965" t="s">
        <v>5167</v>
      </c>
      <c r="E965" t="s">
        <v>4901</v>
      </c>
      <c r="F965" t="s">
        <v>491</v>
      </c>
      <c r="G965" t="s">
        <v>44</v>
      </c>
      <c r="H965" t="s">
        <v>45</v>
      </c>
      <c r="I965" t="s">
        <v>34</v>
      </c>
      <c r="J965" t="s">
        <v>46</v>
      </c>
      <c r="K965" t="s">
        <v>41</v>
      </c>
      <c r="L965" t="s">
        <v>5168</v>
      </c>
      <c r="M965" t="s">
        <v>5169</v>
      </c>
      <c r="N965" t="s">
        <v>4904</v>
      </c>
      <c r="O965" t="s">
        <v>91</v>
      </c>
      <c r="P965" t="s">
        <v>5170</v>
      </c>
      <c r="Q965" s="14" t="s">
        <v>70</v>
      </c>
      <c r="R965" t="s">
        <v>330</v>
      </c>
      <c r="S965">
        <v>0.5</v>
      </c>
      <c r="T965">
        <v>4067</v>
      </c>
      <c r="U965">
        <v>0</v>
      </c>
      <c r="V965">
        <v>4067</v>
      </c>
    </row>
    <row r="966" spans="1:22" x14ac:dyDescent="0.3">
      <c r="A966">
        <v>186607</v>
      </c>
      <c r="B966">
        <v>135254412</v>
      </c>
      <c r="C966" t="s">
        <v>5171</v>
      </c>
      <c r="D966" t="s">
        <v>5172</v>
      </c>
      <c r="E966" t="s">
        <v>4901</v>
      </c>
      <c r="F966" t="s">
        <v>491</v>
      </c>
      <c r="G966" t="s">
        <v>44</v>
      </c>
      <c r="H966" t="s">
        <v>45</v>
      </c>
      <c r="I966" t="s">
        <v>34</v>
      </c>
      <c r="J966" t="s">
        <v>46</v>
      </c>
      <c r="K966" t="s">
        <v>41</v>
      </c>
      <c r="L966" t="s">
        <v>5173</v>
      </c>
      <c r="M966" t="s">
        <v>5174</v>
      </c>
      <c r="N966" t="s">
        <v>4904</v>
      </c>
      <c r="O966" t="s">
        <v>91</v>
      </c>
      <c r="P966" t="s">
        <v>5175</v>
      </c>
      <c r="Q966" s="14" t="s">
        <v>135</v>
      </c>
      <c r="R966" t="s">
        <v>5155</v>
      </c>
      <c r="S966">
        <v>1.75</v>
      </c>
      <c r="T966">
        <v>3366</v>
      </c>
      <c r="U966">
        <v>0</v>
      </c>
      <c r="V966">
        <v>3366</v>
      </c>
    </row>
    <row r="967" spans="1:22" x14ac:dyDescent="0.3">
      <c r="A967">
        <v>186607</v>
      </c>
      <c r="B967">
        <v>134981784</v>
      </c>
      <c r="C967" t="s">
        <v>5176</v>
      </c>
      <c r="D967" t="s">
        <v>5177</v>
      </c>
      <c r="E967" t="s">
        <v>4901</v>
      </c>
      <c r="F967" t="s">
        <v>491</v>
      </c>
      <c r="G967" t="s">
        <v>44</v>
      </c>
      <c r="H967" t="s">
        <v>45</v>
      </c>
      <c r="I967" t="s">
        <v>34</v>
      </c>
      <c r="J967" t="s">
        <v>46</v>
      </c>
      <c r="K967" t="s">
        <v>41</v>
      </c>
      <c r="L967" t="s">
        <v>5178</v>
      </c>
      <c r="M967" t="s">
        <v>5179</v>
      </c>
      <c r="N967" t="s">
        <v>4904</v>
      </c>
      <c r="O967" t="s">
        <v>91</v>
      </c>
      <c r="P967" t="s">
        <v>5180</v>
      </c>
      <c r="Q967" s="14" t="s">
        <v>149</v>
      </c>
      <c r="R967" t="s">
        <v>381</v>
      </c>
      <c r="S967">
        <v>2.71</v>
      </c>
      <c r="T967">
        <v>5759</v>
      </c>
      <c r="U967">
        <v>0</v>
      </c>
      <c r="V967">
        <v>5759</v>
      </c>
    </row>
    <row r="968" spans="1:22" x14ac:dyDescent="0.3">
      <c r="A968">
        <v>186607</v>
      </c>
      <c r="B968">
        <v>135254408</v>
      </c>
      <c r="C968" t="s">
        <v>5181</v>
      </c>
      <c r="D968" t="s">
        <v>5182</v>
      </c>
      <c r="E968" t="s">
        <v>4901</v>
      </c>
      <c r="F968" t="s">
        <v>491</v>
      </c>
      <c r="G968" t="s">
        <v>44</v>
      </c>
      <c r="H968" t="s">
        <v>45</v>
      </c>
      <c r="I968" t="s">
        <v>34</v>
      </c>
      <c r="J968" t="s">
        <v>46</v>
      </c>
      <c r="K968" t="s">
        <v>56</v>
      </c>
      <c r="L968" t="s">
        <v>57</v>
      </c>
      <c r="M968" t="s">
        <v>5183</v>
      </c>
      <c r="N968" t="s">
        <v>4904</v>
      </c>
      <c r="O968" t="s">
        <v>91</v>
      </c>
      <c r="P968" t="s">
        <v>5184</v>
      </c>
      <c r="Q968" s="14" t="s">
        <v>145</v>
      </c>
      <c r="R968" t="s">
        <v>5155</v>
      </c>
      <c r="S968">
        <v>1.72</v>
      </c>
      <c r="T968">
        <v>4346</v>
      </c>
      <c r="U968">
        <v>0</v>
      </c>
      <c r="V968">
        <v>4346</v>
      </c>
    </row>
    <row r="969" spans="1:22" x14ac:dyDescent="0.3">
      <c r="A969">
        <v>186607</v>
      </c>
      <c r="B969">
        <v>135187301</v>
      </c>
      <c r="C969" t="s">
        <v>5185</v>
      </c>
      <c r="D969" t="s">
        <v>5186</v>
      </c>
      <c r="E969" t="s">
        <v>4901</v>
      </c>
      <c r="F969" t="s">
        <v>491</v>
      </c>
      <c r="G969" t="s">
        <v>44</v>
      </c>
      <c r="H969" t="s">
        <v>45</v>
      </c>
      <c r="I969" t="s">
        <v>34</v>
      </c>
      <c r="J969" t="s">
        <v>46</v>
      </c>
      <c r="K969" t="s">
        <v>41</v>
      </c>
      <c r="L969" t="s">
        <v>5187</v>
      </c>
      <c r="M969" t="s">
        <v>5188</v>
      </c>
      <c r="N969" t="s">
        <v>4904</v>
      </c>
      <c r="O969" t="s">
        <v>91</v>
      </c>
      <c r="P969" t="s">
        <v>5189</v>
      </c>
      <c r="Q969" s="14" t="s">
        <v>178</v>
      </c>
      <c r="R969" t="s">
        <v>5149</v>
      </c>
      <c r="S969">
        <v>9.44</v>
      </c>
      <c r="T969">
        <v>10562</v>
      </c>
      <c r="U969">
        <v>0</v>
      </c>
      <c r="V969">
        <v>10562</v>
      </c>
    </row>
    <row r="970" spans="1:22" x14ac:dyDescent="0.3">
      <c r="A970">
        <v>186607</v>
      </c>
      <c r="B970">
        <v>135254405</v>
      </c>
      <c r="C970" t="s">
        <v>5190</v>
      </c>
      <c r="D970" t="s">
        <v>5191</v>
      </c>
      <c r="E970" t="s">
        <v>4901</v>
      </c>
      <c r="F970" t="s">
        <v>491</v>
      </c>
      <c r="G970" t="s">
        <v>44</v>
      </c>
      <c r="H970" t="s">
        <v>45</v>
      </c>
      <c r="I970" t="s">
        <v>34</v>
      </c>
      <c r="J970" t="s">
        <v>46</v>
      </c>
      <c r="K970" t="s">
        <v>41</v>
      </c>
      <c r="L970" t="s">
        <v>5192</v>
      </c>
      <c r="M970" t="s">
        <v>426</v>
      </c>
      <c r="N970" t="s">
        <v>4904</v>
      </c>
      <c r="O970" t="s">
        <v>91</v>
      </c>
      <c r="P970" t="s">
        <v>5193</v>
      </c>
      <c r="Q970" s="14" t="s">
        <v>86</v>
      </c>
      <c r="R970" t="s">
        <v>5155</v>
      </c>
      <c r="S970">
        <v>3.82</v>
      </c>
      <c r="T970">
        <v>3797</v>
      </c>
      <c r="U970">
        <v>0</v>
      </c>
      <c r="V970">
        <v>3797</v>
      </c>
    </row>
    <row r="971" spans="1:22" x14ac:dyDescent="0.3">
      <c r="A971">
        <v>186607</v>
      </c>
      <c r="B971">
        <v>135254414</v>
      </c>
      <c r="C971" t="s">
        <v>5194</v>
      </c>
      <c r="D971" t="s">
        <v>5195</v>
      </c>
      <c r="E971" t="s">
        <v>4901</v>
      </c>
      <c r="F971" t="s">
        <v>491</v>
      </c>
      <c r="G971" t="s">
        <v>44</v>
      </c>
      <c r="H971" t="s">
        <v>45</v>
      </c>
      <c r="I971" t="s">
        <v>34</v>
      </c>
      <c r="J971" t="s">
        <v>46</v>
      </c>
      <c r="K971" t="s">
        <v>41</v>
      </c>
      <c r="L971" t="s">
        <v>5196</v>
      </c>
      <c r="M971" t="s">
        <v>5197</v>
      </c>
      <c r="N971" t="s">
        <v>4904</v>
      </c>
      <c r="O971" t="s">
        <v>91</v>
      </c>
      <c r="P971" t="s">
        <v>5198</v>
      </c>
      <c r="Q971" s="14" t="s">
        <v>62</v>
      </c>
      <c r="R971" t="s">
        <v>5155</v>
      </c>
      <c r="S971">
        <v>2.1800000000000002</v>
      </c>
      <c r="T971">
        <v>4067</v>
      </c>
      <c r="U971">
        <v>0</v>
      </c>
      <c r="V971">
        <v>4067</v>
      </c>
    </row>
    <row r="972" spans="1:22" x14ac:dyDescent="0.3">
      <c r="A972">
        <v>186607</v>
      </c>
      <c r="B972">
        <v>135254404</v>
      </c>
      <c r="C972" t="s">
        <v>5199</v>
      </c>
      <c r="D972" t="s">
        <v>5200</v>
      </c>
      <c r="E972" t="s">
        <v>4901</v>
      </c>
      <c r="F972" t="s">
        <v>491</v>
      </c>
      <c r="G972" t="s">
        <v>44</v>
      </c>
      <c r="H972" t="s">
        <v>45</v>
      </c>
      <c r="I972" t="s">
        <v>34</v>
      </c>
      <c r="J972" t="s">
        <v>46</v>
      </c>
      <c r="K972" t="s">
        <v>116</v>
      </c>
      <c r="L972" t="s">
        <v>248</v>
      </c>
      <c r="M972" t="s">
        <v>5201</v>
      </c>
      <c r="N972" t="s">
        <v>4904</v>
      </c>
      <c r="O972" t="s">
        <v>91</v>
      </c>
      <c r="P972" t="s">
        <v>5202</v>
      </c>
      <c r="Q972" s="14" t="s">
        <v>77</v>
      </c>
      <c r="R972" t="s">
        <v>5155</v>
      </c>
      <c r="S972">
        <v>2.1800000000000002</v>
      </c>
      <c r="T972">
        <v>3753</v>
      </c>
      <c r="U972">
        <v>0</v>
      </c>
      <c r="V972">
        <v>3753</v>
      </c>
    </row>
    <row r="973" spans="1:22" x14ac:dyDescent="0.3">
      <c r="A973">
        <v>186607</v>
      </c>
      <c r="B973">
        <v>135254415</v>
      </c>
      <c r="C973" t="s">
        <v>5203</v>
      </c>
      <c r="D973" t="s">
        <v>5204</v>
      </c>
      <c r="E973" t="s">
        <v>4901</v>
      </c>
      <c r="F973" t="s">
        <v>491</v>
      </c>
      <c r="G973" t="s">
        <v>44</v>
      </c>
      <c r="H973" t="s">
        <v>45</v>
      </c>
      <c r="I973" t="s">
        <v>34</v>
      </c>
      <c r="J973" t="s">
        <v>46</v>
      </c>
      <c r="K973" t="s">
        <v>56</v>
      </c>
      <c r="L973" t="s">
        <v>57</v>
      </c>
      <c r="M973" t="s">
        <v>5205</v>
      </c>
      <c r="N973" t="s">
        <v>4904</v>
      </c>
      <c r="O973" t="s">
        <v>91</v>
      </c>
      <c r="P973" t="s">
        <v>5206</v>
      </c>
      <c r="Q973" s="14" t="s">
        <v>43</v>
      </c>
      <c r="R973" t="s">
        <v>5155</v>
      </c>
      <c r="S973">
        <v>2.1800000000000002</v>
      </c>
      <c r="T973">
        <v>4067</v>
      </c>
      <c r="U973">
        <v>0</v>
      </c>
      <c r="V973">
        <v>4067</v>
      </c>
    </row>
    <row r="974" spans="1:22" x14ac:dyDescent="0.3">
      <c r="A974">
        <v>186607</v>
      </c>
      <c r="B974">
        <v>134517758</v>
      </c>
      <c r="C974" t="s">
        <v>5207</v>
      </c>
      <c r="D974" t="s">
        <v>5208</v>
      </c>
      <c r="E974" t="s">
        <v>4901</v>
      </c>
      <c r="F974" t="s">
        <v>491</v>
      </c>
      <c r="G974" t="s">
        <v>44</v>
      </c>
      <c r="H974" t="s">
        <v>45</v>
      </c>
      <c r="I974" t="s">
        <v>34</v>
      </c>
      <c r="J974" t="s">
        <v>46</v>
      </c>
      <c r="K974" t="s">
        <v>41</v>
      </c>
      <c r="L974" t="s">
        <v>5209</v>
      </c>
      <c r="M974" t="s">
        <v>5210</v>
      </c>
      <c r="N974" t="s">
        <v>4904</v>
      </c>
      <c r="O974" t="s">
        <v>91</v>
      </c>
      <c r="P974" t="s">
        <v>5211</v>
      </c>
      <c r="Q974" s="14" t="s">
        <v>149</v>
      </c>
      <c r="R974" t="s">
        <v>2947</v>
      </c>
      <c r="S974">
        <v>1</v>
      </c>
      <c r="T974">
        <v>5759</v>
      </c>
      <c r="U974">
        <v>0</v>
      </c>
      <c r="V974">
        <v>5759</v>
      </c>
    </row>
    <row r="975" spans="1:22" x14ac:dyDescent="0.3">
      <c r="A975">
        <v>186607</v>
      </c>
      <c r="B975">
        <v>135231352</v>
      </c>
      <c r="C975" t="s">
        <v>5212</v>
      </c>
      <c r="D975" t="s">
        <v>5213</v>
      </c>
      <c r="E975" t="s">
        <v>4901</v>
      </c>
      <c r="F975" t="s">
        <v>491</v>
      </c>
      <c r="G975" t="s">
        <v>44</v>
      </c>
      <c r="H975" t="s">
        <v>45</v>
      </c>
      <c r="I975" t="s">
        <v>34</v>
      </c>
      <c r="J975" t="s">
        <v>46</v>
      </c>
      <c r="K975" t="s">
        <v>41</v>
      </c>
      <c r="L975" t="s">
        <v>5214</v>
      </c>
      <c r="M975" t="s">
        <v>5215</v>
      </c>
      <c r="N975" t="s">
        <v>4904</v>
      </c>
      <c r="O975" t="s">
        <v>91</v>
      </c>
      <c r="P975" t="s">
        <v>5216</v>
      </c>
      <c r="Q975" s="14" t="s">
        <v>178</v>
      </c>
      <c r="R975" t="s">
        <v>4916</v>
      </c>
      <c r="S975">
        <v>0.5</v>
      </c>
      <c r="T975">
        <v>4067</v>
      </c>
      <c r="U975">
        <v>0</v>
      </c>
      <c r="V975">
        <v>4067</v>
      </c>
    </row>
    <row r="976" spans="1:22" x14ac:dyDescent="0.3">
      <c r="A976">
        <v>186607</v>
      </c>
      <c r="B976">
        <v>135214275</v>
      </c>
      <c r="C976" t="s">
        <v>5217</v>
      </c>
      <c r="D976" t="s">
        <v>5218</v>
      </c>
      <c r="E976" t="s">
        <v>4901</v>
      </c>
      <c r="F976" t="s">
        <v>491</v>
      </c>
      <c r="G976" t="s">
        <v>44</v>
      </c>
      <c r="H976" t="s">
        <v>45</v>
      </c>
      <c r="I976" t="s">
        <v>34</v>
      </c>
      <c r="J976" t="s">
        <v>46</v>
      </c>
      <c r="K976" t="s">
        <v>41</v>
      </c>
      <c r="L976" t="s">
        <v>398</v>
      </c>
      <c r="M976" t="s">
        <v>5219</v>
      </c>
      <c r="N976" t="s">
        <v>4904</v>
      </c>
      <c r="O976" t="s">
        <v>91</v>
      </c>
      <c r="P976" t="s">
        <v>5220</v>
      </c>
      <c r="Q976" s="14" t="s">
        <v>147</v>
      </c>
      <c r="R976" t="s">
        <v>330</v>
      </c>
      <c r="S976">
        <v>3.02</v>
      </c>
      <c r="T976">
        <v>8008</v>
      </c>
      <c r="U976">
        <v>0</v>
      </c>
      <c r="V976">
        <v>8008</v>
      </c>
    </row>
    <row r="977" spans="1:22" x14ac:dyDescent="0.3">
      <c r="A977">
        <v>186607</v>
      </c>
      <c r="B977">
        <v>135254424</v>
      </c>
      <c r="C977" t="s">
        <v>5221</v>
      </c>
      <c r="D977" t="s">
        <v>5222</v>
      </c>
      <c r="E977" t="s">
        <v>4901</v>
      </c>
      <c r="F977" t="s">
        <v>491</v>
      </c>
      <c r="G977" t="s">
        <v>44</v>
      </c>
      <c r="H977" t="s">
        <v>45</v>
      </c>
      <c r="I977" t="s">
        <v>34</v>
      </c>
      <c r="J977" t="s">
        <v>46</v>
      </c>
      <c r="K977" t="s">
        <v>41</v>
      </c>
      <c r="L977" t="s">
        <v>5223</v>
      </c>
      <c r="M977" t="s">
        <v>5224</v>
      </c>
      <c r="N977" t="s">
        <v>4904</v>
      </c>
      <c r="O977" t="s">
        <v>91</v>
      </c>
      <c r="P977" t="s">
        <v>5225</v>
      </c>
      <c r="Q977" s="14" t="s">
        <v>107</v>
      </c>
      <c r="R977" t="s">
        <v>5155</v>
      </c>
      <c r="S977">
        <v>2.23</v>
      </c>
      <c r="T977">
        <v>3784</v>
      </c>
      <c r="U977">
        <v>0</v>
      </c>
      <c r="V977">
        <v>3784</v>
      </c>
    </row>
    <row r="978" spans="1:22" x14ac:dyDescent="0.3">
      <c r="A978">
        <v>186607</v>
      </c>
      <c r="B978">
        <v>135214260</v>
      </c>
      <c r="C978" t="s">
        <v>5226</v>
      </c>
      <c r="D978" t="s">
        <v>5227</v>
      </c>
      <c r="E978" t="s">
        <v>4901</v>
      </c>
      <c r="F978" t="s">
        <v>491</v>
      </c>
      <c r="G978" t="s">
        <v>44</v>
      </c>
      <c r="H978" t="s">
        <v>45</v>
      </c>
      <c r="I978" t="s">
        <v>34</v>
      </c>
      <c r="J978" t="s">
        <v>46</v>
      </c>
      <c r="K978" t="s">
        <v>41</v>
      </c>
      <c r="L978" t="s">
        <v>5228</v>
      </c>
      <c r="M978" t="s">
        <v>5229</v>
      </c>
      <c r="N978" t="s">
        <v>4904</v>
      </c>
      <c r="O978" t="s">
        <v>91</v>
      </c>
      <c r="P978" t="s">
        <v>5230</v>
      </c>
      <c r="Q978" s="14" t="s">
        <v>43</v>
      </c>
      <c r="R978" t="s">
        <v>330</v>
      </c>
      <c r="S978">
        <v>0.5</v>
      </c>
      <c r="T978">
        <v>3680</v>
      </c>
      <c r="U978">
        <v>0</v>
      </c>
      <c r="V978">
        <v>3680</v>
      </c>
    </row>
    <row r="979" spans="1:22" x14ac:dyDescent="0.3">
      <c r="A979">
        <v>186607</v>
      </c>
      <c r="B979">
        <v>135231358</v>
      </c>
      <c r="C979" t="s">
        <v>5231</v>
      </c>
      <c r="D979" t="s">
        <v>5232</v>
      </c>
      <c r="E979" t="s">
        <v>4901</v>
      </c>
      <c r="F979" t="s">
        <v>491</v>
      </c>
      <c r="G979" t="s">
        <v>44</v>
      </c>
      <c r="H979" t="s">
        <v>45</v>
      </c>
      <c r="I979" t="s">
        <v>34</v>
      </c>
      <c r="J979" t="s">
        <v>46</v>
      </c>
      <c r="K979" t="s">
        <v>56</v>
      </c>
      <c r="L979" t="s">
        <v>57</v>
      </c>
      <c r="M979" t="s">
        <v>5233</v>
      </c>
      <c r="N979" t="s">
        <v>4904</v>
      </c>
      <c r="O979" t="s">
        <v>91</v>
      </c>
      <c r="P979" t="s">
        <v>5234</v>
      </c>
      <c r="Q979" s="14" t="s">
        <v>93</v>
      </c>
      <c r="R979" t="s">
        <v>4916</v>
      </c>
      <c r="S979">
        <v>1.55</v>
      </c>
      <c r="T979">
        <v>4067</v>
      </c>
      <c r="U979">
        <v>0</v>
      </c>
      <c r="V979">
        <v>4067</v>
      </c>
    </row>
    <row r="980" spans="1:22" x14ac:dyDescent="0.3">
      <c r="A980">
        <v>186607</v>
      </c>
      <c r="B980">
        <v>135231366</v>
      </c>
      <c r="C980" t="s">
        <v>5235</v>
      </c>
      <c r="D980" t="s">
        <v>5236</v>
      </c>
      <c r="E980" t="s">
        <v>4901</v>
      </c>
      <c r="F980" t="s">
        <v>491</v>
      </c>
      <c r="G980" t="s">
        <v>44</v>
      </c>
      <c r="H980" t="s">
        <v>45</v>
      </c>
      <c r="I980" t="s">
        <v>34</v>
      </c>
      <c r="J980" t="s">
        <v>46</v>
      </c>
      <c r="K980" t="s">
        <v>41</v>
      </c>
      <c r="L980" t="s">
        <v>5237</v>
      </c>
      <c r="M980" t="s">
        <v>5238</v>
      </c>
      <c r="N980" t="s">
        <v>4904</v>
      </c>
      <c r="O980" t="s">
        <v>91</v>
      </c>
      <c r="P980" t="s">
        <v>5239</v>
      </c>
      <c r="Q980" s="14" t="s">
        <v>83</v>
      </c>
      <c r="R980" t="s">
        <v>4916</v>
      </c>
      <c r="S980">
        <v>2.38</v>
      </c>
      <c r="T980">
        <v>3366</v>
      </c>
      <c r="U980">
        <v>0</v>
      </c>
      <c r="V980">
        <v>3366</v>
      </c>
    </row>
    <row r="981" spans="1:22" x14ac:dyDescent="0.3">
      <c r="A981">
        <v>186607</v>
      </c>
      <c r="B981">
        <v>135231349</v>
      </c>
      <c r="C981" t="s">
        <v>5240</v>
      </c>
      <c r="D981" t="s">
        <v>5241</v>
      </c>
      <c r="E981" t="s">
        <v>4901</v>
      </c>
      <c r="F981" t="s">
        <v>491</v>
      </c>
      <c r="G981" t="s">
        <v>44</v>
      </c>
      <c r="H981" t="s">
        <v>45</v>
      </c>
      <c r="I981" t="s">
        <v>34</v>
      </c>
      <c r="J981" t="s">
        <v>46</v>
      </c>
      <c r="K981" t="s">
        <v>41</v>
      </c>
      <c r="L981" t="s">
        <v>5242</v>
      </c>
      <c r="M981" t="s">
        <v>5243</v>
      </c>
      <c r="N981" t="s">
        <v>4904</v>
      </c>
      <c r="O981" t="s">
        <v>91</v>
      </c>
      <c r="P981" t="s">
        <v>5244</v>
      </c>
      <c r="Q981" s="14" t="s">
        <v>152</v>
      </c>
      <c r="R981" t="s">
        <v>4916</v>
      </c>
      <c r="S981">
        <v>1</v>
      </c>
      <c r="T981">
        <v>3366</v>
      </c>
      <c r="U981">
        <v>0</v>
      </c>
      <c r="V981">
        <v>3366</v>
      </c>
    </row>
    <row r="982" spans="1:22" x14ac:dyDescent="0.3">
      <c r="A982">
        <v>186607</v>
      </c>
      <c r="B982">
        <v>135180381</v>
      </c>
      <c r="C982" t="s">
        <v>5245</v>
      </c>
      <c r="D982" t="s">
        <v>5246</v>
      </c>
      <c r="E982" t="s">
        <v>4901</v>
      </c>
      <c r="F982" t="s">
        <v>491</v>
      </c>
      <c r="G982" t="s">
        <v>44</v>
      </c>
      <c r="H982" t="s">
        <v>45</v>
      </c>
      <c r="I982" t="s">
        <v>34</v>
      </c>
      <c r="J982" t="s">
        <v>46</v>
      </c>
      <c r="K982" t="s">
        <v>41</v>
      </c>
      <c r="L982" t="s">
        <v>5247</v>
      </c>
      <c r="M982" t="s">
        <v>5248</v>
      </c>
      <c r="N982" t="s">
        <v>4904</v>
      </c>
      <c r="O982" t="s">
        <v>91</v>
      </c>
      <c r="P982" t="s">
        <v>5249</v>
      </c>
      <c r="Q982" s="14" t="s">
        <v>83</v>
      </c>
      <c r="R982" t="s">
        <v>4921</v>
      </c>
      <c r="S982">
        <v>2.97</v>
      </c>
      <c r="T982">
        <v>3366</v>
      </c>
      <c r="U982">
        <v>0</v>
      </c>
      <c r="V982">
        <v>3366</v>
      </c>
    </row>
    <row r="983" spans="1:22" x14ac:dyDescent="0.3">
      <c r="A983">
        <v>186607</v>
      </c>
      <c r="B983">
        <v>135214272</v>
      </c>
      <c r="C983" t="s">
        <v>5250</v>
      </c>
      <c r="D983" t="s">
        <v>5251</v>
      </c>
      <c r="E983" t="s">
        <v>4901</v>
      </c>
      <c r="F983" t="s">
        <v>491</v>
      </c>
      <c r="G983" t="s">
        <v>44</v>
      </c>
      <c r="H983" t="s">
        <v>45</v>
      </c>
      <c r="I983" t="s">
        <v>34</v>
      </c>
      <c r="J983" t="s">
        <v>46</v>
      </c>
      <c r="K983" t="s">
        <v>41</v>
      </c>
      <c r="L983" t="s">
        <v>5252</v>
      </c>
      <c r="M983" t="s">
        <v>5253</v>
      </c>
      <c r="N983" t="s">
        <v>4904</v>
      </c>
      <c r="O983" t="s">
        <v>91</v>
      </c>
      <c r="P983" t="s">
        <v>5254</v>
      </c>
      <c r="Q983" s="14" t="s">
        <v>43</v>
      </c>
      <c r="R983" t="s">
        <v>330</v>
      </c>
      <c r="S983">
        <v>1.45</v>
      </c>
      <c r="T983">
        <v>4067</v>
      </c>
      <c r="U983">
        <v>0</v>
      </c>
      <c r="V983">
        <v>4067</v>
      </c>
    </row>
    <row r="984" spans="1:22" x14ac:dyDescent="0.3">
      <c r="A984">
        <v>186607</v>
      </c>
      <c r="B984">
        <v>135214278</v>
      </c>
      <c r="C984" t="s">
        <v>5255</v>
      </c>
      <c r="D984" t="s">
        <v>5256</v>
      </c>
      <c r="E984" t="s">
        <v>4901</v>
      </c>
      <c r="F984" t="s">
        <v>491</v>
      </c>
      <c r="G984" t="s">
        <v>44</v>
      </c>
      <c r="H984" t="s">
        <v>45</v>
      </c>
      <c r="I984" t="s">
        <v>34</v>
      </c>
      <c r="J984" t="s">
        <v>46</v>
      </c>
      <c r="K984" t="s">
        <v>41</v>
      </c>
      <c r="L984" t="s">
        <v>5257</v>
      </c>
      <c r="M984" t="s">
        <v>5258</v>
      </c>
      <c r="N984" t="s">
        <v>4904</v>
      </c>
      <c r="O984" t="s">
        <v>91</v>
      </c>
      <c r="P984" t="s">
        <v>5259</v>
      </c>
      <c r="Q984" s="14" t="s">
        <v>43</v>
      </c>
      <c r="R984" t="s">
        <v>330</v>
      </c>
      <c r="S984">
        <v>1.45</v>
      </c>
      <c r="T984">
        <v>4067</v>
      </c>
      <c r="U984">
        <v>0</v>
      </c>
      <c r="V984">
        <v>4067</v>
      </c>
    </row>
    <row r="985" spans="1:22" x14ac:dyDescent="0.3">
      <c r="A985">
        <v>186607</v>
      </c>
      <c r="B985">
        <v>135072462</v>
      </c>
      <c r="C985" t="s">
        <v>5260</v>
      </c>
      <c r="D985" t="s">
        <v>5261</v>
      </c>
      <c r="E985" t="s">
        <v>4901</v>
      </c>
      <c r="F985" t="s">
        <v>491</v>
      </c>
      <c r="G985" t="s">
        <v>44</v>
      </c>
      <c r="H985" t="s">
        <v>45</v>
      </c>
      <c r="I985" t="s">
        <v>34</v>
      </c>
      <c r="J985" t="s">
        <v>46</v>
      </c>
      <c r="K985" t="s">
        <v>41</v>
      </c>
      <c r="L985" t="s">
        <v>5262</v>
      </c>
      <c r="M985" t="s">
        <v>288</v>
      </c>
      <c r="N985" t="s">
        <v>4904</v>
      </c>
      <c r="O985" t="s">
        <v>91</v>
      </c>
      <c r="P985" t="s">
        <v>5263</v>
      </c>
      <c r="Q985" s="14" t="s">
        <v>93</v>
      </c>
      <c r="R985" t="s">
        <v>4906</v>
      </c>
      <c r="S985">
        <v>0.5</v>
      </c>
      <c r="T985">
        <v>3680</v>
      </c>
      <c r="U985">
        <v>0</v>
      </c>
      <c r="V985">
        <v>3680</v>
      </c>
    </row>
    <row r="986" spans="1:22" x14ac:dyDescent="0.3">
      <c r="A986">
        <v>186607</v>
      </c>
      <c r="B986">
        <v>134814257</v>
      </c>
      <c r="C986" t="s">
        <v>5264</v>
      </c>
      <c r="D986" t="s">
        <v>5265</v>
      </c>
      <c r="E986" t="s">
        <v>4901</v>
      </c>
      <c r="F986" t="s">
        <v>491</v>
      </c>
      <c r="G986" t="s">
        <v>44</v>
      </c>
      <c r="H986" t="s">
        <v>45</v>
      </c>
      <c r="I986" t="s">
        <v>34</v>
      </c>
      <c r="J986" t="s">
        <v>46</v>
      </c>
      <c r="K986" t="s">
        <v>41</v>
      </c>
      <c r="L986" t="s">
        <v>5266</v>
      </c>
      <c r="M986" t="s">
        <v>5267</v>
      </c>
      <c r="N986" t="s">
        <v>4904</v>
      </c>
      <c r="O986" t="s">
        <v>91</v>
      </c>
      <c r="P986" t="s">
        <v>5268</v>
      </c>
      <c r="Q986" s="14" t="s">
        <v>149</v>
      </c>
      <c r="R986" t="s">
        <v>5269</v>
      </c>
      <c r="S986">
        <v>0.5</v>
      </c>
      <c r="T986">
        <v>5367</v>
      </c>
      <c r="U986">
        <v>0</v>
      </c>
      <c r="V986">
        <v>5367</v>
      </c>
    </row>
    <row r="987" spans="1:22" x14ac:dyDescent="0.3">
      <c r="A987">
        <v>186607</v>
      </c>
      <c r="B987">
        <v>135214253</v>
      </c>
      <c r="C987" t="s">
        <v>5270</v>
      </c>
      <c r="D987" t="s">
        <v>5271</v>
      </c>
      <c r="E987" t="s">
        <v>4901</v>
      </c>
      <c r="F987" t="s">
        <v>491</v>
      </c>
      <c r="G987" t="s">
        <v>44</v>
      </c>
      <c r="H987" t="s">
        <v>45</v>
      </c>
      <c r="I987" t="s">
        <v>34</v>
      </c>
      <c r="J987" t="s">
        <v>46</v>
      </c>
      <c r="K987" t="s">
        <v>41</v>
      </c>
      <c r="L987" t="s">
        <v>5272</v>
      </c>
      <c r="M987" t="s">
        <v>5273</v>
      </c>
      <c r="N987" t="s">
        <v>4904</v>
      </c>
      <c r="O987" t="s">
        <v>91</v>
      </c>
      <c r="P987" t="s">
        <v>5274</v>
      </c>
      <c r="Q987" s="14" t="s">
        <v>86</v>
      </c>
      <c r="R987" t="s">
        <v>330</v>
      </c>
      <c r="S987">
        <v>0.5</v>
      </c>
      <c r="T987">
        <v>3299</v>
      </c>
      <c r="U987">
        <v>0</v>
      </c>
      <c r="V987">
        <v>3299</v>
      </c>
    </row>
    <row r="988" spans="1:22" x14ac:dyDescent="0.3">
      <c r="A988">
        <v>186607</v>
      </c>
      <c r="B988">
        <v>135187300</v>
      </c>
      <c r="C988" t="s">
        <v>5275</v>
      </c>
      <c r="D988" t="s">
        <v>5276</v>
      </c>
      <c r="E988" t="s">
        <v>4901</v>
      </c>
      <c r="F988" t="s">
        <v>491</v>
      </c>
      <c r="G988" t="s">
        <v>44</v>
      </c>
      <c r="H988" t="s">
        <v>45</v>
      </c>
      <c r="I988" t="s">
        <v>34</v>
      </c>
      <c r="J988" t="s">
        <v>46</v>
      </c>
      <c r="K988" t="s">
        <v>41</v>
      </c>
      <c r="L988" t="s">
        <v>5277</v>
      </c>
      <c r="M988" t="s">
        <v>5278</v>
      </c>
      <c r="N988" t="s">
        <v>4904</v>
      </c>
      <c r="O988" t="s">
        <v>91</v>
      </c>
      <c r="P988" t="s">
        <v>5279</v>
      </c>
      <c r="Q988" s="14" t="s">
        <v>73</v>
      </c>
      <c r="R988" t="s">
        <v>5149</v>
      </c>
      <c r="S988">
        <v>0.5</v>
      </c>
      <c r="T988">
        <v>3299</v>
      </c>
      <c r="U988">
        <v>0</v>
      </c>
      <c r="V988">
        <v>3299</v>
      </c>
    </row>
    <row r="989" spans="1:22" x14ac:dyDescent="0.3">
      <c r="A989">
        <v>186607</v>
      </c>
      <c r="B989">
        <v>135214264</v>
      </c>
      <c r="C989" t="s">
        <v>5280</v>
      </c>
      <c r="D989" t="s">
        <v>5281</v>
      </c>
      <c r="E989" t="s">
        <v>4901</v>
      </c>
      <c r="F989" t="s">
        <v>491</v>
      </c>
      <c r="G989" t="s">
        <v>44</v>
      </c>
      <c r="H989" t="s">
        <v>45</v>
      </c>
      <c r="I989" t="s">
        <v>34</v>
      </c>
      <c r="J989" t="s">
        <v>46</v>
      </c>
      <c r="K989" t="s">
        <v>41</v>
      </c>
      <c r="L989" t="s">
        <v>5282</v>
      </c>
      <c r="M989" t="s">
        <v>5283</v>
      </c>
      <c r="N989" t="s">
        <v>4904</v>
      </c>
      <c r="O989" t="s">
        <v>91</v>
      </c>
      <c r="P989" t="s">
        <v>5284</v>
      </c>
      <c r="Q989" s="14" t="s">
        <v>42</v>
      </c>
      <c r="R989" t="s">
        <v>330</v>
      </c>
      <c r="S989">
        <v>0.5</v>
      </c>
      <c r="T989">
        <v>3449</v>
      </c>
      <c r="U989">
        <v>0</v>
      </c>
      <c r="V989">
        <v>3449</v>
      </c>
    </row>
    <row r="990" spans="1:22" x14ac:dyDescent="0.3">
      <c r="A990">
        <v>186607</v>
      </c>
      <c r="B990">
        <v>135214247</v>
      </c>
      <c r="C990" t="s">
        <v>5285</v>
      </c>
      <c r="D990" t="s">
        <v>5286</v>
      </c>
      <c r="E990" t="s">
        <v>4901</v>
      </c>
      <c r="F990" t="s">
        <v>491</v>
      </c>
      <c r="G990" t="s">
        <v>44</v>
      </c>
      <c r="H990" t="s">
        <v>45</v>
      </c>
      <c r="I990" t="s">
        <v>34</v>
      </c>
      <c r="J990" t="s">
        <v>46</v>
      </c>
      <c r="K990" t="s">
        <v>41</v>
      </c>
      <c r="L990" t="s">
        <v>5287</v>
      </c>
      <c r="M990" t="s">
        <v>5288</v>
      </c>
      <c r="N990" t="s">
        <v>4904</v>
      </c>
      <c r="O990" t="s">
        <v>91</v>
      </c>
      <c r="P990" t="s">
        <v>5289</v>
      </c>
      <c r="Q990" s="14" t="s">
        <v>83</v>
      </c>
      <c r="R990" t="s">
        <v>330</v>
      </c>
      <c r="S990">
        <v>0.5</v>
      </c>
      <c r="T990">
        <v>3299</v>
      </c>
      <c r="U990">
        <v>0</v>
      </c>
      <c r="V990">
        <v>3299</v>
      </c>
    </row>
    <row r="991" spans="1:22" x14ac:dyDescent="0.3">
      <c r="A991">
        <v>186607</v>
      </c>
      <c r="B991">
        <v>135187297</v>
      </c>
      <c r="C991" t="s">
        <v>5290</v>
      </c>
      <c r="D991" t="s">
        <v>5291</v>
      </c>
      <c r="E991" t="s">
        <v>4901</v>
      </c>
      <c r="F991" t="s">
        <v>491</v>
      </c>
      <c r="G991" t="s">
        <v>44</v>
      </c>
      <c r="H991" t="s">
        <v>45</v>
      </c>
      <c r="I991" t="s">
        <v>34</v>
      </c>
      <c r="J991" t="s">
        <v>46</v>
      </c>
      <c r="K991" t="s">
        <v>41</v>
      </c>
      <c r="L991" t="s">
        <v>5292</v>
      </c>
      <c r="M991" t="s">
        <v>5293</v>
      </c>
      <c r="N991" t="s">
        <v>4904</v>
      </c>
      <c r="O991" t="s">
        <v>91</v>
      </c>
      <c r="P991" t="s">
        <v>5294</v>
      </c>
      <c r="Q991" s="14" t="s">
        <v>85</v>
      </c>
      <c r="R991" t="s">
        <v>5149</v>
      </c>
      <c r="S991">
        <v>0.5</v>
      </c>
      <c r="T991">
        <v>3449</v>
      </c>
      <c r="U991">
        <v>0</v>
      </c>
      <c r="V991">
        <v>3449</v>
      </c>
    </row>
    <row r="992" spans="1:22" x14ac:dyDescent="0.3">
      <c r="A992">
        <v>186607</v>
      </c>
      <c r="B992">
        <v>135231376</v>
      </c>
      <c r="C992" t="s">
        <v>5295</v>
      </c>
      <c r="D992" t="s">
        <v>5296</v>
      </c>
      <c r="E992" t="s">
        <v>4901</v>
      </c>
      <c r="F992" t="s">
        <v>491</v>
      </c>
      <c r="G992" t="s">
        <v>44</v>
      </c>
      <c r="H992" t="s">
        <v>45</v>
      </c>
      <c r="I992" t="s">
        <v>34</v>
      </c>
      <c r="J992" t="s">
        <v>46</v>
      </c>
      <c r="K992" t="s">
        <v>41</v>
      </c>
      <c r="L992" t="s">
        <v>5297</v>
      </c>
      <c r="M992" t="s">
        <v>5298</v>
      </c>
      <c r="N992" t="s">
        <v>4904</v>
      </c>
      <c r="O992" t="s">
        <v>91</v>
      </c>
      <c r="P992" t="s">
        <v>5299</v>
      </c>
      <c r="Q992" s="14" t="s">
        <v>107</v>
      </c>
      <c r="R992" t="s">
        <v>4916</v>
      </c>
      <c r="S992">
        <v>0.5</v>
      </c>
      <c r="T992">
        <v>3680</v>
      </c>
      <c r="U992">
        <v>0</v>
      </c>
      <c r="V992">
        <v>3680</v>
      </c>
    </row>
    <row r="993" spans="1:22" x14ac:dyDescent="0.3">
      <c r="A993">
        <v>186607</v>
      </c>
      <c r="B993">
        <v>135231353</v>
      </c>
      <c r="C993" t="s">
        <v>5300</v>
      </c>
      <c r="D993" t="s">
        <v>5301</v>
      </c>
      <c r="E993" t="s">
        <v>4901</v>
      </c>
      <c r="F993" t="s">
        <v>491</v>
      </c>
      <c r="G993" t="s">
        <v>44</v>
      </c>
      <c r="H993" t="s">
        <v>45</v>
      </c>
      <c r="I993" t="s">
        <v>34</v>
      </c>
      <c r="J993" t="s">
        <v>46</v>
      </c>
      <c r="K993" t="s">
        <v>41</v>
      </c>
      <c r="L993" t="s">
        <v>5302</v>
      </c>
      <c r="M993" t="s">
        <v>5303</v>
      </c>
      <c r="N993" t="s">
        <v>4904</v>
      </c>
      <c r="O993" t="s">
        <v>91</v>
      </c>
      <c r="P993" t="s">
        <v>5304</v>
      </c>
      <c r="Q993" s="14" t="s">
        <v>81</v>
      </c>
      <c r="R993" t="s">
        <v>4916</v>
      </c>
      <c r="S993">
        <v>1.43</v>
      </c>
      <c r="T993">
        <v>3753</v>
      </c>
      <c r="U993">
        <v>0</v>
      </c>
      <c r="V993">
        <v>3753</v>
      </c>
    </row>
    <row r="994" spans="1:22" x14ac:dyDescent="0.3">
      <c r="A994">
        <v>186607</v>
      </c>
      <c r="B994">
        <v>135214276</v>
      </c>
      <c r="C994" t="s">
        <v>5305</v>
      </c>
      <c r="D994" t="s">
        <v>5306</v>
      </c>
      <c r="E994" t="s">
        <v>4901</v>
      </c>
      <c r="F994" t="s">
        <v>491</v>
      </c>
      <c r="G994" t="s">
        <v>44</v>
      </c>
      <c r="H994" t="s">
        <v>45</v>
      </c>
      <c r="I994" t="s">
        <v>34</v>
      </c>
      <c r="J994" t="s">
        <v>46</v>
      </c>
      <c r="K994" t="s">
        <v>41</v>
      </c>
      <c r="L994" t="s">
        <v>5307</v>
      </c>
      <c r="M994" t="s">
        <v>372</v>
      </c>
      <c r="N994" t="s">
        <v>4904</v>
      </c>
      <c r="O994" t="s">
        <v>91</v>
      </c>
      <c r="P994" t="s">
        <v>5308</v>
      </c>
      <c r="Q994" s="14" t="s">
        <v>85</v>
      </c>
      <c r="R994" t="s">
        <v>330</v>
      </c>
      <c r="S994">
        <v>2.5299999999999998</v>
      </c>
      <c r="T994">
        <v>3784</v>
      </c>
      <c r="U994">
        <v>0</v>
      </c>
      <c r="V994">
        <v>3784</v>
      </c>
    </row>
    <row r="995" spans="1:22" x14ac:dyDescent="0.3">
      <c r="A995">
        <v>186607</v>
      </c>
      <c r="B995">
        <v>135214277</v>
      </c>
      <c r="C995" t="s">
        <v>5309</v>
      </c>
      <c r="D995" t="s">
        <v>5310</v>
      </c>
      <c r="E995" t="s">
        <v>4901</v>
      </c>
      <c r="F995" t="s">
        <v>491</v>
      </c>
      <c r="G995" t="s">
        <v>44</v>
      </c>
      <c r="H995" t="s">
        <v>45</v>
      </c>
      <c r="I995" t="s">
        <v>34</v>
      </c>
      <c r="J995" t="s">
        <v>46</v>
      </c>
      <c r="K995" t="s">
        <v>41</v>
      </c>
      <c r="L995" t="s">
        <v>5311</v>
      </c>
      <c r="M995" t="s">
        <v>5312</v>
      </c>
      <c r="N995" t="s">
        <v>4904</v>
      </c>
      <c r="O995" t="s">
        <v>91</v>
      </c>
      <c r="P995" t="s">
        <v>5313</v>
      </c>
      <c r="Q995" s="14" t="s">
        <v>108</v>
      </c>
      <c r="R995" t="s">
        <v>330</v>
      </c>
      <c r="S995">
        <v>0.5</v>
      </c>
      <c r="T995">
        <v>3680</v>
      </c>
      <c r="U995">
        <v>0</v>
      </c>
      <c r="V995">
        <v>3680</v>
      </c>
    </row>
    <row r="996" spans="1:22" x14ac:dyDescent="0.3">
      <c r="A996">
        <v>186607</v>
      </c>
      <c r="B996">
        <v>135214252</v>
      </c>
      <c r="C996" t="s">
        <v>5314</v>
      </c>
      <c r="D996" t="s">
        <v>5315</v>
      </c>
      <c r="E996" t="s">
        <v>4901</v>
      </c>
      <c r="F996" t="s">
        <v>491</v>
      </c>
      <c r="G996" t="s">
        <v>44</v>
      </c>
      <c r="H996" t="s">
        <v>45</v>
      </c>
      <c r="I996" t="s">
        <v>34</v>
      </c>
      <c r="J996" t="s">
        <v>46</v>
      </c>
      <c r="K996" t="s">
        <v>41</v>
      </c>
      <c r="L996" t="s">
        <v>5316</v>
      </c>
      <c r="M996" t="s">
        <v>5317</v>
      </c>
      <c r="N996" t="s">
        <v>4904</v>
      </c>
      <c r="O996" t="s">
        <v>91</v>
      </c>
      <c r="P996" t="s">
        <v>5318</v>
      </c>
      <c r="Q996" s="14" t="s">
        <v>86</v>
      </c>
      <c r="R996" t="s">
        <v>330</v>
      </c>
      <c r="S996">
        <v>0.5</v>
      </c>
      <c r="T996">
        <v>3299</v>
      </c>
      <c r="U996">
        <v>0</v>
      </c>
      <c r="V996">
        <v>3299</v>
      </c>
    </row>
    <row r="997" spans="1:22" x14ac:dyDescent="0.3">
      <c r="A997">
        <v>186607</v>
      </c>
      <c r="B997">
        <v>135180385</v>
      </c>
      <c r="C997" t="s">
        <v>5319</v>
      </c>
      <c r="D997" t="s">
        <v>5320</v>
      </c>
      <c r="E997" t="s">
        <v>4901</v>
      </c>
      <c r="F997" t="s">
        <v>491</v>
      </c>
      <c r="G997" t="s">
        <v>44</v>
      </c>
      <c r="H997" t="s">
        <v>45</v>
      </c>
      <c r="I997" t="s">
        <v>34</v>
      </c>
      <c r="J997" t="s">
        <v>46</v>
      </c>
      <c r="K997" t="s">
        <v>41</v>
      </c>
      <c r="L997" t="s">
        <v>5321</v>
      </c>
      <c r="M997" t="s">
        <v>5322</v>
      </c>
      <c r="N997" t="s">
        <v>4904</v>
      </c>
      <c r="O997" t="s">
        <v>91</v>
      </c>
      <c r="P997" t="s">
        <v>5323</v>
      </c>
      <c r="Q997" s="14" t="s">
        <v>77</v>
      </c>
      <c r="R997" t="s">
        <v>4921</v>
      </c>
      <c r="S997">
        <v>1</v>
      </c>
      <c r="T997">
        <v>3753</v>
      </c>
      <c r="U997">
        <v>0</v>
      </c>
      <c r="V997">
        <v>3753</v>
      </c>
    </row>
    <row r="998" spans="1:22" x14ac:dyDescent="0.3">
      <c r="A998">
        <v>186607</v>
      </c>
      <c r="B998">
        <v>135214266</v>
      </c>
      <c r="C998" t="s">
        <v>5324</v>
      </c>
      <c r="D998" t="s">
        <v>5325</v>
      </c>
      <c r="E998" t="s">
        <v>4901</v>
      </c>
      <c r="F998" t="s">
        <v>491</v>
      </c>
      <c r="G998" t="s">
        <v>44</v>
      </c>
      <c r="H998" t="s">
        <v>45</v>
      </c>
      <c r="I998" t="s">
        <v>34</v>
      </c>
      <c r="J998" t="s">
        <v>46</v>
      </c>
      <c r="K998" t="s">
        <v>41</v>
      </c>
      <c r="L998" t="s">
        <v>5326</v>
      </c>
      <c r="M998" t="s">
        <v>5327</v>
      </c>
      <c r="N998" t="s">
        <v>4904</v>
      </c>
      <c r="O998" t="s">
        <v>91</v>
      </c>
      <c r="P998" t="s">
        <v>5328</v>
      </c>
      <c r="Q998" s="14" t="s">
        <v>85</v>
      </c>
      <c r="R998" t="s">
        <v>330</v>
      </c>
      <c r="S998">
        <v>5.35</v>
      </c>
      <c r="T998">
        <v>4585</v>
      </c>
      <c r="U998">
        <v>0</v>
      </c>
      <c r="V998">
        <v>4585</v>
      </c>
    </row>
    <row r="999" spans="1:22" x14ac:dyDescent="0.3">
      <c r="A999">
        <v>186607</v>
      </c>
      <c r="B999">
        <v>135231359</v>
      </c>
      <c r="C999" t="s">
        <v>5329</v>
      </c>
      <c r="D999" t="s">
        <v>5330</v>
      </c>
      <c r="E999" t="s">
        <v>4901</v>
      </c>
      <c r="F999" t="s">
        <v>491</v>
      </c>
      <c r="G999" t="s">
        <v>44</v>
      </c>
      <c r="H999" t="s">
        <v>45</v>
      </c>
      <c r="I999" t="s">
        <v>34</v>
      </c>
      <c r="J999" t="s">
        <v>46</v>
      </c>
      <c r="K999" t="s">
        <v>41</v>
      </c>
      <c r="L999" t="s">
        <v>5331</v>
      </c>
      <c r="M999" t="s">
        <v>5332</v>
      </c>
      <c r="N999" t="s">
        <v>4904</v>
      </c>
      <c r="O999" t="s">
        <v>91</v>
      </c>
      <c r="P999" t="s">
        <v>5333</v>
      </c>
      <c r="Q999" s="14" t="s">
        <v>73</v>
      </c>
      <c r="R999" t="s">
        <v>4916</v>
      </c>
      <c r="S999">
        <v>0.5</v>
      </c>
      <c r="T999">
        <v>3299</v>
      </c>
      <c r="U999">
        <v>0</v>
      </c>
      <c r="V999">
        <v>3299</v>
      </c>
    </row>
    <row r="1000" spans="1:22" x14ac:dyDescent="0.3">
      <c r="A1000">
        <v>186607</v>
      </c>
      <c r="B1000">
        <v>135214265</v>
      </c>
      <c r="C1000" t="s">
        <v>5334</v>
      </c>
      <c r="D1000" t="s">
        <v>5335</v>
      </c>
      <c r="E1000" t="s">
        <v>4901</v>
      </c>
      <c r="F1000" t="s">
        <v>491</v>
      </c>
      <c r="G1000" t="s">
        <v>44</v>
      </c>
      <c r="H1000" t="s">
        <v>45</v>
      </c>
      <c r="I1000" t="s">
        <v>34</v>
      </c>
      <c r="J1000" t="s">
        <v>46</v>
      </c>
      <c r="K1000" t="s">
        <v>41</v>
      </c>
      <c r="L1000" t="s">
        <v>5336</v>
      </c>
      <c r="M1000" t="s">
        <v>5337</v>
      </c>
      <c r="N1000" t="s">
        <v>4904</v>
      </c>
      <c r="O1000" t="s">
        <v>91</v>
      </c>
      <c r="P1000" t="s">
        <v>5338</v>
      </c>
      <c r="Q1000" s="14" t="s">
        <v>83</v>
      </c>
      <c r="R1000" t="s">
        <v>330</v>
      </c>
      <c r="S1000">
        <v>1.5</v>
      </c>
      <c r="T1000">
        <v>3366</v>
      </c>
      <c r="U1000">
        <v>0</v>
      </c>
      <c r="V1000">
        <v>3366</v>
      </c>
    </row>
    <row r="1001" spans="1:22" x14ac:dyDescent="0.3">
      <c r="A1001">
        <v>186607</v>
      </c>
      <c r="B1001">
        <v>135231351</v>
      </c>
      <c r="C1001" t="s">
        <v>5339</v>
      </c>
      <c r="D1001" t="s">
        <v>5340</v>
      </c>
      <c r="E1001" t="s">
        <v>4901</v>
      </c>
      <c r="F1001" t="s">
        <v>491</v>
      </c>
      <c r="G1001" t="s">
        <v>44</v>
      </c>
      <c r="H1001" t="s">
        <v>45</v>
      </c>
      <c r="I1001" t="s">
        <v>34</v>
      </c>
      <c r="J1001" t="s">
        <v>46</v>
      </c>
      <c r="K1001" t="s">
        <v>41</v>
      </c>
      <c r="L1001" t="s">
        <v>5341</v>
      </c>
      <c r="M1001" t="s">
        <v>5342</v>
      </c>
      <c r="N1001" t="s">
        <v>4904</v>
      </c>
      <c r="O1001" t="s">
        <v>91</v>
      </c>
      <c r="P1001" t="s">
        <v>5343</v>
      </c>
      <c r="Q1001" s="14" t="s">
        <v>107</v>
      </c>
      <c r="R1001" t="s">
        <v>4916</v>
      </c>
      <c r="S1001">
        <v>0.5</v>
      </c>
      <c r="T1001">
        <v>3680</v>
      </c>
      <c r="U1001">
        <v>0</v>
      </c>
      <c r="V1001">
        <v>3680</v>
      </c>
    </row>
    <row r="1002" spans="1:22" x14ac:dyDescent="0.3">
      <c r="A1002">
        <v>186607</v>
      </c>
      <c r="B1002">
        <v>135214257</v>
      </c>
      <c r="C1002" t="s">
        <v>5344</v>
      </c>
      <c r="D1002" t="s">
        <v>5345</v>
      </c>
      <c r="E1002" t="s">
        <v>4901</v>
      </c>
      <c r="F1002" t="s">
        <v>491</v>
      </c>
      <c r="G1002" t="s">
        <v>44</v>
      </c>
      <c r="H1002" t="s">
        <v>45</v>
      </c>
      <c r="I1002" t="s">
        <v>34</v>
      </c>
      <c r="J1002" t="s">
        <v>46</v>
      </c>
      <c r="K1002" t="s">
        <v>41</v>
      </c>
      <c r="L1002" t="s">
        <v>5346</v>
      </c>
      <c r="M1002" t="s">
        <v>5347</v>
      </c>
      <c r="N1002" t="s">
        <v>4904</v>
      </c>
      <c r="O1002" t="s">
        <v>91</v>
      </c>
      <c r="P1002" t="s">
        <v>5348</v>
      </c>
      <c r="Q1002" s="14" t="s">
        <v>98</v>
      </c>
      <c r="R1002" t="s">
        <v>330</v>
      </c>
      <c r="S1002">
        <v>0.5</v>
      </c>
      <c r="T1002">
        <v>3299</v>
      </c>
      <c r="U1002">
        <v>0</v>
      </c>
      <c r="V1002">
        <v>3299</v>
      </c>
    </row>
    <row r="1003" spans="1:22" x14ac:dyDescent="0.3">
      <c r="A1003">
        <v>186607</v>
      </c>
      <c r="B1003">
        <v>135214254</v>
      </c>
      <c r="C1003" t="s">
        <v>5349</v>
      </c>
      <c r="D1003" t="s">
        <v>5350</v>
      </c>
      <c r="E1003" t="s">
        <v>4901</v>
      </c>
      <c r="F1003" t="s">
        <v>491</v>
      </c>
      <c r="G1003" t="s">
        <v>44</v>
      </c>
      <c r="H1003" t="s">
        <v>45</v>
      </c>
      <c r="I1003" t="s">
        <v>34</v>
      </c>
      <c r="J1003" t="s">
        <v>46</v>
      </c>
      <c r="K1003" t="s">
        <v>41</v>
      </c>
      <c r="L1003" t="s">
        <v>5351</v>
      </c>
      <c r="M1003" t="s">
        <v>5352</v>
      </c>
      <c r="N1003" t="s">
        <v>4904</v>
      </c>
      <c r="O1003" t="s">
        <v>91</v>
      </c>
      <c r="P1003" t="s">
        <v>5353</v>
      </c>
      <c r="Q1003" s="14" t="s">
        <v>58</v>
      </c>
      <c r="R1003" t="s">
        <v>330</v>
      </c>
      <c r="S1003">
        <v>1.31</v>
      </c>
      <c r="T1003">
        <v>4346</v>
      </c>
      <c r="U1003">
        <v>0</v>
      </c>
      <c r="V1003">
        <v>4346</v>
      </c>
    </row>
    <row r="1004" spans="1:22" x14ac:dyDescent="0.3">
      <c r="A1004">
        <v>186607</v>
      </c>
      <c r="B1004">
        <v>135187304</v>
      </c>
      <c r="C1004" t="s">
        <v>5354</v>
      </c>
      <c r="D1004" t="s">
        <v>5355</v>
      </c>
      <c r="E1004" t="s">
        <v>4901</v>
      </c>
      <c r="F1004" t="s">
        <v>491</v>
      </c>
      <c r="G1004" t="s">
        <v>44</v>
      </c>
      <c r="H1004" t="s">
        <v>45</v>
      </c>
      <c r="I1004" t="s">
        <v>34</v>
      </c>
      <c r="J1004" t="s">
        <v>46</v>
      </c>
      <c r="K1004" t="s">
        <v>41</v>
      </c>
      <c r="L1004" t="s">
        <v>5356</v>
      </c>
      <c r="M1004" t="s">
        <v>5357</v>
      </c>
      <c r="N1004" t="s">
        <v>4904</v>
      </c>
      <c r="O1004" t="s">
        <v>91</v>
      </c>
      <c r="P1004" t="s">
        <v>5358</v>
      </c>
      <c r="Q1004" s="14" t="s">
        <v>85</v>
      </c>
      <c r="R1004" t="s">
        <v>5149</v>
      </c>
      <c r="S1004">
        <v>80.290000000000006</v>
      </c>
      <c r="T1004">
        <v>55561</v>
      </c>
      <c r="U1004">
        <v>0</v>
      </c>
      <c r="V1004">
        <v>55561</v>
      </c>
    </row>
    <row r="1005" spans="1:22" x14ac:dyDescent="0.3">
      <c r="A1005">
        <v>186607</v>
      </c>
      <c r="B1005">
        <v>135145147</v>
      </c>
      <c r="C1005" t="s">
        <v>5359</v>
      </c>
      <c r="D1005" t="s">
        <v>5360</v>
      </c>
      <c r="E1005" t="s">
        <v>4901</v>
      </c>
      <c r="F1005" t="s">
        <v>491</v>
      </c>
      <c r="G1005" t="s">
        <v>44</v>
      </c>
      <c r="H1005" t="s">
        <v>45</v>
      </c>
      <c r="I1005" t="s">
        <v>34</v>
      </c>
      <c r="J1005" t="s">
        <v>46</v>
      </c>
      <c r="K1005" t="s">
        <v>41</v>
      </c>
      <c r="L1005" t="s">
        <v>5361</v>
      </c>
      <c r="M1005" t="s">
        <v>428</v>
      </c>
      <c r="N1005" t="s">
        <v>4904</v>
      </c>
      <c r="O1005" t="s">
        <v>91</v>
      </c>
      <c r="P1005" t="s">
        <v>5362</v>
      </c>
      <c r="Q1005" s="14" t="s">
        <v>60</v>
      </c>
      <c r="R1005" t="s">
        <v>4938</v>
      </c>
      <c r="S1005">
        <v>2.84</v>
      </c>
      <c r="T1005">
        <v>5759</v>
      </c>
      <c r="U1005">
        <v>0</v>
      </c>
      <c r="V1005">
        <v>5759</v>
      </c>
    </row>
    <row r="1006" spans="1:22" x14ac:dyDescent="0.3">
      <c r="A1006">
        <v>186607</v>
      </c>
      <c r="B1006">
        <v>135072476</v>
      </c>
      <c r="C1006" t="s">
        <v>5363</v>
      </c>
      <c r="D1006" t="s">
        <v>5364</v>
      </c>
      <c r="E1006" t="s">
        <v>4901</v>
      </c>
      <c r="F1006" t="s">
        <v>491</v>
      </c>
      <c r="G1006" t="s">
        <v>44</v>
      </c>
      <c r="H1006" t="s">
        <v>45</v>
      </c>
      <c r="I1006" t="s">
        <v>34</v>
      </c>
      <c r="J1006" t="s">
        <v>46</v>
      </c>
      <c r="K1006" t="s">
        <v>41</v>
      </c>
      <c r="L1006" t="s">
        <v>5365</v>
      </c>
      <c r="M1006" t="s">
        <v>5366</v>
      </c>
      <c r="N1006" t="s">
        <v>4904</v>
      </c>
      <c r="O1006" t="s">
        <v>91</v>
      </c>
      <c r="P1006" t="s">
        <v>5367</v>
      </c>
      <c r="Q1006" s="14" t="s">
        <v>170</v>
      </c>
      <c r="R1006" t="s">
        <v>4906</v>
      </c>
      <c r="S1006">
        <v>0.5</v>
      </c>
      <c r="T1006">
        <v>3449</v>
      </c>
      <c r="U1006">
        <v>0</v>
      </c>
      <c r="V1006">
        <v>3449</v>
      </c>
    </row>
    <row r="1007" spans="1:22" x14ac:dyDescent="0.3">
      <c r="A1007">
        <v>186607</v>
      </c>
      <c r="B1007">
        <v>135072460</v>
      </c>
      <c r="C1007" t="s">
        <v>5368</v>
      </c>
      <c r="D1007" t="s">
        <v>5369</v>
      </c>
      <c r="E1007" t="s">
        <v>4901</v>
      </c>
      <c r="F1007" t="s">
        <v>491</v>
      </c>
      <c r="G1007" t="s">
        <v>44</v>
      </c>
      <c r="H1007" t="s">
        <v>45</v>
      </c>
      <c r="I1007" t="s">
        <v>34</v>
      </c>
      <c r="J1007" t="s">
        <v>46</v>
      </c>
      <c r="K1007" t="s">
        <v>41</v>
      </c>
      <c r="L1007" t="s">
        <v>5370</v>
      </c>
      <c r="M1007" t="s">
        <v>5371</v>
      </c>
      <c r="N1007" t="s">
        <v>4904</v>
      </c>
      <c r="O1007" t="s">
        <v>91</v>
      </c>
      <c r="P1007" t="s">
        <v>5372</v>
      </c>
      <c r="Q1007" s="14" t="s">
        <v>197</v>
      </c>
      <c r="R1007" t="s">
        <v>4906</v>
      </c>
      <c r="S1007">
        <v>3.81</v>
      </c>
      <c r="T1007">
        <v>6134</v>
      </c>
      <c r="U1007">
        <v>0</v>
      </c>
      <c r="V1007">
        <v>6134</v>
      </c>
    </row>
    <row r="1008" spans="1:22" x14ac:dyDescent="0.3">
      <c r="A1008">
        <v>186607</v>
      </c>
      <c r="B1008">
        <v>134709756</v>
      </c>
      <c r="C1008" t="s">
        <v>5373</v>
      </c>
      <c r="D1008" t="s">
        <v>5374</v>
      </c>
      <c r="E1008" t="s">
        <v>4901</v>
      </c>
      <c r="F1008" t="s">
        <v>491</v>
      </c>
      <c r="G1008" t="s">
        <v>44</v>
      </c>
      <c r="H1008" t="s">
        <v>45</v>
      </c>
      <c r="I1008" t="s">
        <v>34</v>
      </c>
      <c r="J1008" t="s">
        <v>46</v>
      </c>
      <c r="K1008" t="s">
        <v>41</v>
      </c>
      <c r="L1008" t="s">
        <v>5375</v>
      </c>
      <c r="M1008" t="s">
        <v>5376</v>
      </c>
      <c r="N1008" t="s">
        <v>4904</v>
      </c>
      <c r="O1008" t="s">
        <v>91</v>
      </c>
      <c r="P1008" t="s">
        <v>5377</v>
      </c>
      <c r="Q1008" s="14" t="s">
        <v>199</v>
      </c>
      <c r="R1008" t="s">
        <v>369</v>
      </c>
      <c r="S1008">
        <v>0.5</v>
      </c>
      <c r="T1008">
        <v>5367</v>
      </c>
      <c r="U1008">
        <v>0</v>
      </c>
      <c r="V1008">
        <v>5367</v>
      </c>
    </row>
    <row r="1009" spans="1:22" x14ac:dyDescent="0.3">
      <c r="A1009">
        <v>186607</v>
      </c>
      <c r="B1009">
        <v>134709706</v>
      </c>
      <c r="C1009" t="s">
        <v>5378</v>
      </c>
      <c r="D1009" t="s">
        <v>5379</v>
      </c>
      <c r="E1009" t="s">
        <v>4901</v>
      </c>
      <c r="F1009" t="s">
        <v>491</v>
      </c>
      <c r="G1009" t="s">
        <v>44</v>
      </c>
      <c r="H1009" t="s">
        <v>45</v>
      </c>
      <c r="I1009" t="s">
        <v>34</v>
      </c>
      <c r="J1009" t="s">
        <v>46</v>
      </c>
      <c r="K1009" t="s">
        <v>41</v>
      </c>
      <c r="L1009" t="s">
        <v>5380</v>
      </c>
      <c r="M1009" t="s">
        <v>5381</v>
      </c>
      <c r="N1009" t="s">
        <v>4904</v>
      </c>
      <c r="O1009" t="s">
        <v>91</v>
      </c>
      <c r="P1009" t="s">
        <v>5382</v>
      </c>
      <c r="Q1009" s="14" t="s">
        <v>199</v>
      </c>
      <c r="R1009" t="s">
        <v>5383</v>
      </c>
      <c r="S1009">
        <v>0.5</v>
      </c>
      <c r="T1009">
        <v>5367</v>
      </c>
      <c r="U1009">
        <v>0</v>
      </c>
      <c r="V1009">
        <v>5367</v>
      </c>
    </row>
    <row r="1010" spans="1:22" x14ac:dyDescent="0.3">
      <c r="A1010">
        <v>186607</v>
      </c>
      <c r="B1010">
        <v>134709656</v>
      </c>
      <c r="C1010" t="s">
        <v>5384</v>
      </c>
      <c r="D1010" t="s">
        <v>5385</v>
      </c>
      <c r="E1010" t="s">
        <v>4901</v>
      </c>
      <c r="F1010" t="s">
        <v>491</v>
      </c>
      <c r="G1010" t="s">
        <v>44</v>
      </c>
      <c r="H1010" t="s">
        <v>45</v>
      </c>
      <c r="I1010" t="s">
        <v>34</v>
      </c>
      <c r="J1010" t="s">
        <v>46</v>
      </c>
      <c r="K1010" t="s">
        <v>41</v>
      </c>
      <c r="L1010" t="s">
        <v>5386</v>
      </c>
      <c r="M1010" t="s">
        <v>5387</v>
      </c>
      <c r="N1010" t="s">
        <v>4904</v>
      </c>
      <c r="O1010" t="s">
        <v>91</v>
      </c>
      <c r="P1010" t="s">
        <v>5388</v>
      </c>
      <c r="Q1010" s="14" t="s">
        <v>199</v>
      </c>
      <c r="R1010" t="s">
        <v>5383</v>
      </c>
      <c r="S1010">
        <v>1</v>
      </c>
      <c r="T1010">
        <v>5759</v>
      </c>
      <c r="U1010">
        <v>0</v>
      </c>
      <c r="V1010">
        <v>5759</v>
      </c>
    </row>
    <row r="1011" spans="1:22" x14ac:dyDescent="0.3">
      <c r="A1011">
        <v>186607</v>
      </c>
      <c r="B1011">
        <v>134709689</v>
      </c>
      <c r="C1011" t="s">
        <v>5389</v>
      </c>
      <c r="D1011" t="s">
        <v>5390</v>
      </c>
      <c r="E1011" t="s">
        <v>4901</v>
      </c>
      <c r="F1011" t="s">
        <v>491</v>
      </c>
      <c r="G1011" t="s">
        <v>44</v>
      </c>
      <c r="H1011" t="s">
        <v>45</v>
      </c>
      <c r="I1011" t="s">
        <v>34</v>
      </c>
      <c r="J1011" t="s">
        <v>46</v>
      </c>
      <c r="K1011" t="s">
        <v>41</v>
      </c>
      <c r="L1011" t="s">
        <v>5391</v>
      </c>
      <c r="M1011" t="s">
        <v>391</v>
      </c>
      <c r="N1011" t="s">
        <v>4904</v>
      </c>
      <c r="O1011" t="s">
        <v>91</v>
      </c>
      <c r="P1011" t="s">
        <v>5392</v>
      </c>
      <c r="Q1011" s="14" t="s">
        <v>199</v>
      </c>
      <c r="R1011" t="s">
        <v>5383</v>
      </c>
      <c r="S1011">
        <v>0.5</v>
      </c>
      <c r="T1011">
        <v>5367</v>
      </c>
      <c r="U1011">
        <v>0</v>
      </c>
      <c r="V1011">
        <v>5367</v>
      </c>
    </row>
    <row r="1012" spans="1:22" x14ac:dyDescent="0.3">
      <c r="A1012">
        <v>186607</v>
      </c>
      <c r="B1012">
        <v>135072482</v>
      </c>
      <c r="C1012" t="s">
        <v>5393</v>
      </c>
      <c r="D1012" t="s">
        <v>5394</v>
      </c>
      <c r="E1012" t="s">
        <v>4901</v>
      </c>
      <c r="F1012" t="s">
        <v>491</v>
      </c>
      <c r="G1012" t="s">
        <v>44</v>
      </c>
      <c r="H1012" t="s">
        <v>45</v>
      </c>
      <c r="I1012" t="s">
        <v>34</v>
      </c>
      <c r="J1012" t="s">
        <v>46</v>
      </c>
      <c r="K1012" t="s">
        <v>41</v>
      </c>
      <c r="L1012" t="s">
        <v>5395</v>
      </c>
      <c r="M1012" t="s">
        <v>117</v>
      </c>
      <c r="N1012" t="s">
        <v>4904</v>
      </c>
      <c r="O1012" t="s">
        <v>91</v>
      </c>
      <c r="P1012" t="s">
        <v>5396</v>
      </c>
      <c r="Q1012" s="14" t="s">
        <v>146</v>
      </c>
      <c r="R1012" t="s">
        <v>4906</v>
      </c>
      <c r="S1012">
        <v>0.5</v>
      </c>
      <c r="T1012">
        <v>4067</v>
      </c>
      <c r="U1012">
        <v>0</v>
      </c>
      <c r="V1012">
        <v>4067</v>
      </c>
    </row>
    <row r="1013" spans="1:22" x14ac:dyDescent="0.3">
      <c r="A1013">
        <v>186607</v>
      </c>
      <c r="B1013">
        <v>135145153</v>
      </c>
      <c r="C1013" t="s">
        <v>5397</v>
      </c>
      <c r="D1013" t="s">
        <v>5398</v>
      </c>
      <c r="E1013" t="s">
        <v>4901</v>
      </c>
      <c r="F1013" t="s">
        <v>491</v>
      </c>
      <c r="G1013" t="s">
        <v>44</v>
      </c>
      <c r="H1013" t="s">
        <v>45</v>
      </c>
      <c r="I1013" t="s">
        <v>34</v>
      </c>
      <c r="J1013" t="s">
        <v>46</v>
      </c>
      <c r="K1013" t="s">
        <v>41</v>
      </c>
      <c r="L1013" t="s">
        <v>5399</v>
      </c>
      <c r="M1013" t="s">
        <v>5400</v>
      </c>
      <c r="N1013" t="s">
        <v>4904</v>
      </c>
      <c r="O1013" t="s">
        <v>91</v>
      </c>
      <c r="P1013" t="s">
        <v>5401</v>
      </c>
      <c r="Q1013" s="14" t="s">
        <v>73</v>
      </c>
      <c r="R1013" t="s">
        <v>4938</v>
      </c>
      <c r="S1013">
        <v>2.73</v>
      </c>
      <c r="T1013">
        <v>3366</v>
      </c>
      <c r="U1013">
        <v>0</v>
      </c>
      <c r="V1013">
        <v>3366</v>
      </c>
    </row>
    <row r="1014" spans="1:22" x14ac:dyDescent="0.3">
      <c r="A1014">
        <v>186607</v>
      </c>
      <c r="B1014">
        <v>135072452</v>
      </c>
      <c r="C1014" t="s">
        <v>5402</v>
      </c>
      <c r="D1014" t="s">
        <v>5403</v>
      </c>
      <c r="E1014" t="s">
        <v>4901</v>
      </c>
      <c r="F1014" t="s">
        <v>491</v>
      </c>
      <c r="G1014" t="s">
        <v>44</v>
      </c>
      <c r="H1014" t="s">
        <v>45</v>
      </c>
      <c r="I1014" t="s">
        <v>34</v>
      </c>
      <c r="J1014" t="s">
        <v>46</v>
      </c>
      <c r="K1014" t="s">
        <v>41</v>
      </c>
      <c r="L1014" t="s">
        <v>5404</v>
      </c>
      <c r="M1014" t="s">
        <v>5405</v>
      </c>
      <c r="N1014" t="s">
        <v>4904</v>
      </c>
      <c r="O1014" t="s">
        <v>91</v>
      </c>
      <c r="P1014" t="s">
        <v>5406</v>
      </c>
      <c r="Q1014" s="14" t="s">
        <v>60</v>
      </c>
      <c r="R1014" t="s">
        <v>4906</v>
      </c>
      <c r="S1014">
        <v>1</v>
      </c>
      <c r="T1014">
        <v>5759</v>
      </c>
      <c r="U1014">
        <v>0</v>
      </c>
      <c r="V1014">
        <v>5759</v>
      </c>
    </row>
    <row r="1015" spans="1:22" x14ac:dyDescent="0.3">
      <c r="A1015">
        <v>186607</v>
      </c>
      <c r="B1015">
        <v>135159873</v>
      </c>
      <c r="C1015" t="s">
        <v>5407</v>
      </c>
      <c r="D1015" t="s">
        <v>5408</v>
      </c>
      <c r="E1015" t="s">
        <v>4901</v>
      </c>
      <c r="F1015" t="s">
        <v>491</v>
      </c>
      <c r="G1015" t="s">
        <v>44</v>
      </c>
      <c r="H1015" t="s">
        <v>45</v>
      </c>
      <c r="I1015" t="s">
        <v>34</v>
      </c>
      <c r="J1015" t="s">
        <v>46</v>
      </c>
      <c r="K1015" t="s">
        <v>41</v>
      </c>
      <c r="L1015" t="s">
        <v>5409</v>
      </c>
      <c r="M1015" t="s">
        <v>334</v>
      </c>
      <c r="N1015" t="s">
        <v>4904</v>
      </c>
      <c r="O1015" t="s">
        <v>91</v>
      </c>
      <c r="P1015" t="s">
        <v>5410</v>
      </c>
      <c r="Q1015" s="14" t="s">
        <v>83</v>
      </c>
      <c r="R1015" t="s">
        <v>476</v>
      </c>
      <c r="S1015">
        <v>0.5</v>
      </c>
      <c r="T1015">
        <v>3299</v>
      </c>
      <c r="U1015">
        <v>0</v>
      </c>
      <c r="V1015">
        <v>3299</v>
      </c>
    </row>
    <row r="1016" spans="1:22" x14ac:dyDescent="0.3">
      <c r="A1016">
        <v>186607</v>
      </c>
      <c r="B1016">
        <v>135159875</v>
      </c>
      <c r="C1016" t="s">
        <v>5411</v>
      </c>
      <c r="D1016" t="s">
        <v>5412</v>
      </c>
      <c r="E1016" t="s">
        <v>4901</v>
      </c>
      <c r="F1016" t="s">
        <v>491</v>
      </c>
      <c r="G1016" t="s">
        <v>44</v>
      </c>
      <c r="H1016" t="s">
        <v>45</v>
      </c>
      <c r="I1016" t="s">
        <v>34</v>
      </c>
      <c r="J1016" t="s">
        <v>46</v>
      </c>
      <c r="K1016" t="s">
        <v>41</v>
      </c>
      <c r="L1016" t="s">
        <v>5413</v>
      </c>
      <c r="M1016" t="s">
        <v>5414</v>
      </c>
      <c r="N1016" t="s">
        <v>4904</v>
      </c>
      <c r="O1016" t="s">
        <v>91</v>
      </c>
      <c r="P1016" t="s">
        <v>5415</v>
      </c>
      <c r="Q1016" s="14" t="s">
        <v>83</v>
      </c>
      <c r="R1016" t="s">
        <v>476</v>
      </c>
      <c r="S1016">
        <v>3</v>
      </c>
      <c r="T1016">
        <v>3366</v>
      </c>
      <c r="U1016">
        <v>0</v>
      </c>
      <c r="V1016">
        <v>3366</v>
      </c>
    </row>
    <row r="1017" spans="1:22" x14ac:dyDescent="0.3">
      <c r="A1017">
        <v>186607</v>
      </c>
      <c r="B1017">
        <v>135145159</v>
      </c>
      <c r="C1017" t="s">
        <v>5416</v>
      </c>
      <c r="D1017" t="s">
        <v>5417</v>
      </c>
      <c r="E1017" t="s">
        <v>4901</v>
      </c>
      <c r="F1017" t="s">
        <v>491</v>
      </c>
      <c r="G1017" t="s">
        <v>44</v>
      </c>
      <c r="H1017" t="s">
        <v>45</v>
      </c>
      <c r="I1017" t="s">
        <v>34</v>
      </c>
      <c r="J1017" t="s">
        <v>46</v>
      </c>
      <c r="K1017" t="s">
        <v>41</v>
      </c>
      <c r="L1017" t="s">
        <v>5418</v>
      </c>
      <c r="M1017" t="s">
        <v>5419</v>
      </c>
      <c r="N1017" t="s">
        <v>4904</v>
      </c>
      <c r="O1017" t="s">
        <v>91</v>
      </c>
      <c r="P1017" t="s">
        <v>5420</v>
      </c>
      <c r="Q1017" s="14" t="s">
        <v>98</v>
      </c>
      <c r="R1017" t="s">
        <v>4938</v>
      </c>
      <c r="S1017">
        <v>0.5</v>
      </c>
      <c r="T1017">
        <v>3299</v>
      </c>
      <c r="U1017">
        <v>0</v>
      </c>
      <c r="V1017">
        <v>3299</v>
      </c>
    </row>
    <row r="1018" spans="1:22" x14ac:dyDescent="0.3">
      <c r="A1018">
        <v>186607</v>
      </c>
      <c r="B1018">
        <v>135088674</v>
      </c>
      <c r="C1018" t="s">
        <v>5421</v>
      </c>
      <c r="D1018" t="s">
        <v>5422</v>
      </c>
      <c r="E1018" t="s">
        <v>4901</v>
      </c>
      <c r="F1018" t="s">
        <v>491</v>
      </c>
      <c r="G1018" t="s">
        <v>44</v>
      </c>
      <c r="H1018" t="s">
        <v>45</v>
      </c>
      <c r="I1018" t="s">
        <v>34</v>
      </c>
      <c r="J1018" t="s">
        <v>46</v>
      </c>
      <c r="K1018" t="s">
        <v>41</v>
      </c>
      <c r="L1018" t="s">
        <v>5423</v>
      </c>
      <c r="M1018" t="s">
        <v>5424</v>
      </c>
      <c r="N1018" t="s">
        <v>4904</v>
      </c>
      <c r="O1018" t="s">
        <v>91</v>
      </c>
      <c r="P1018" t="s">
        <v>5425</v>
      </c>
      <c r="Q1018" s="14" t="s">
        <v>60</v>
      </c>
      <c r="R1018" t="s">
        <v>406</v>
      </c>
      <c r="S1018">
        <v>3.99</v>
      </c>
      <c r="T1018">
        <v>8008</v>
      </c>
      <c r="U1018">
        <v>0</v>
      </c>
      <c r="V1018">
        <v>8008</v>
      </c>
    </row>
    <row r="1019" spans="1:22" x14ac:dyDescent="0.3">
      <c r="A1019">
        <v>186607</v>
      </c>
      <c r="B1019">
        <v>135159871</v>
      </c>
      <c r="C1019" t="s">
        <v>5426</v>
      </c>
      <c r="D1019" t="s">
        <v>5427</v>
      </c>
      <c r="E1019" t="s">
        <v>4901</v>
      </c>
      <c r="F1019" t="s">
        <v>491</v>
      </c>
      <c r="G1019" t="s">
        <v>44</v>
      </c>
      <c r="H1019" t="s">
        <v>45</v>
      </c>
      <c r="I1019" t="s">
        <v>34</v>
      </c>
      <c r="J1019" t="s">
        <v>46</v>
      </c>
      <c r="K1019" t="s">
        <v>41</v>
      </c>
      <c r="L1019" t="s">
        <v>5428</v>
      </c>
      <c r="M1019" t="s">
        <v>5429</v>
      </c>
      <c r="N1019" t="s">
        <v>4904</v>
      </c>
      <c r="O1019" t="s">
        <v>91</v>
      </c>
      <c r="P1019" t="s">
        <v>5430</v>
      </c>
      <c r="Q1019" s="14" t="s">
        <v>53</v>
      </c>
      <c r="R1019" t="s">
        <v>476</v>
      </c>
      <c r="S1019">
        <v>2.2400000000000002</v>
      </c>
      <c r="T1019">
        <v>4067</v>
      </c>
      <c r="U1019">
        <v>0</v>
      </c>
      <c r="V1019">
        <v>4067</v>
      </c>
    </row>
    <row r="1020" spans="1:22" x14ac:dyDescent="0.3">
      <c r="A1020">
        <v>186607</v>
      </c>
      <c r="B1020">
        <v>135072459</v>
      </c>
      <c r="C1020" t="s">
        <v>5431</v>
      </c>
      <c r="D1020" t="s">
        <v>5432</v>
      </c>
      <c r="E1020" t="s">
        <v>4901</v>
      </c>
      <c r="F1020" t="s">
        <v>491</v>
      </c>
      <c r="G1020" t="s">
        <v>44</v>
      </c>
      <c r="H1020" t="s">
        <v>45</v>
      </c>
      <c r="I1020" t="s">
        <v>34</v>
      </c>
      <c r="J1020" t="s">
        <v>46</v>
      </c>
      <c r="K1020" t="s">
        <v>41</v>
      </c>
      <c r="L1020" t="s">
        <v>5433</v>
      </c>
      <c r="M1020" t="s">
        <v>5434</v>
      </c>
      <c r="N1020" t="s">
        <v>4904</v>
      </c>
      <c r="O1020" t="s">
        <v>91</v>
      </c>
      <c r="P1020" t="s">
        <v>5435</v>
      </c>
      <c r="Q1020" s="14" t="s">
        <v>182</v>
      </c>
      <c r="R1020" t="s">
        <v>4906</v>
      </c>
      <c r="S1020">
        <v>1</v>
      </c>
      <c r="T1020">
        <v>3784</v>
      </c>
      <c r="U1020">
        <v>0</v>
      </c>
      <c r="V1020">
        <v>3784</v>
      </c>
    </row>
    <row r="1021" spans="1:22" x14ac:dyDescent="0.3">
      <c r="A1021">
        <v>186607</v>
      </c>
      <c r="B1021">
        <v>135072478</v>
      </c>
      <c r="C1021" t="s">
        <v>5436</v>
      </c>
      <c r="D1021" t="s">
        <v>5437</v>
      </c>
      <c r="E1021" t="s">
        <v>4901</v>
      </c>
      <c r="F1021" t="s">
        <v>491</v>
      </c>
      <c r="G1021" t="s">
        <v>44</v>
      </c>
      <c r="H1021" t="s">
        <v>45</v>
      </c>
      <c r="I1021" t="s">
        <v>34</v>
      </c>
      <c r="J1021" t="s">
        <v>46</v>
      </c>
      <c r="K1021" t="s">
        <v>41</v>
      </c>
      <c r="L1021" t="s">
        <v>5438</v>
      </c>
      <c r="M1021" t="s">
        <v>5439</v>
      </c>
      <c r="N1021" t="s">
        <v>4904</v>
      </c>
      <c r="O1021" t="s">
        <v>91</v>
      </c>
      <c r="P1021" t="s">
        <v>5440</v>
      </c>
      <c r="Q1021" s="14" t="s">
        <v>150</v>
      </c>
      <c r="R1021" t="s">
        <v>4906</v>
      </c>
      <c r="S1021">
        <v>0.5</v>
      </c>
      <c r="T1021">
        <v>3680</v>
      </c>
      <c r="U1021">
        <v>0</v>
      </c>
      <c r="V1021">
        <v>3680</v>
      </c>
    </row>
    <row r="1022" spans="1:22" x14ac:dyDescent="0.3">
      <c r="A1022">
        <v>186607</v>
      </c>
      <c r="B1022">
        <v>135072479</v>
      </c>
      <c r="C1022" t="s">
        <v>5441</v>
      </c>
      <c r="D1022" t="s">
        <v>5442</v>
      </c>
      <c r="E1022" t="s">
        <v>4901</v>
      </c>
      <c r="F1022" t="s">
        <v>491</v>
      </c>
      <c r="G1022" t="s">
        <v>44</v>
      </c>
      <c r="H1022" t="s">
        <v>45</v>
      </c>
      <c r="I1022" t="s">
        <v>34</v>
      </c>
      <c r="J1022" t="s">
        <v>46</v>
      </c>
      <c r="K1022" t="s">
        <v>41</v>
      </c>
      <c r="L1022" t="s">
        <v>5443</v>
      </c>
      <c r="M1022" t="s">
        <v>5444</v>
      </c>
      <c r="N1022" t="s">
        <v>4904</v>
      </c>
      <c r="O1022" t="s">
        <v>91</v>
      </c>
      <c r="P1022" t="s">
        <v>5445</v>
      </c>
      <c r="Q1022" s="14" t="s">
        <v>147</v>
      </c>
      <c r="R1022" t="s">
        <v>4906</v>
      </c>
      <c r="S1022">
        <v>1</v>
      </c>
      <c r="T1022">
        <v>5759</v>
      </c>
      <c r="U1022">
        <v>0</v>
      </c>
      <c r="V1022">
        <v>5759</v>
      </c>
    </row>
    <row r="1023" spans="1:22" x14ac:dyDescent="0.3">
      <c r="A1023">
        <v>186607</v>
      </c>
      <c r="B1023">
        <v>135159872</v>
      </c>
      <c r="C1023" t="s">
        <v>5446</v>
      </c>
      <c r="D1023" t="s">
        <v>5447</v>
      </c>
      <c r="E1023" t="s">
        <v>4901</v>
      </c>
      <c r="F1023" t="s">
        <v>491</v>
      </c>
      <c r="G1023" t="s">
        <v>44</v>
      </c>
      <c r="H1023" t="s">
        <v>45</v>
      </c>
      <c r="I1023" t="s">
        <v>34</v>
      </c>
      <c r="J1023" t="s">
        <v>46</v>
      </c>
      <c r="K1023" t="s">
        <v>41</v>
      </c>
      <c r="L1023" t="s">
        <v>5448</v>
      </c>
      <c r="M1023" t="s">
        <v>5449</v>
      </c>
      <c r="N1023" t="s">
        <v>4904</v>
      </c>
      <c r="O1023" t="s">
        <v>91</v>
      </c>
      <c r="P1023" t="s">
        <v>5450</v>
      </c>
      <c r="Q1023" s="14" t="s">
        <v>86</v>
      </c>
      <c r="R1023" t="s">
        <v>476</v>
      </c>
      <c r="S1023">
        <v>0.5</v>
      </c>
      <c r="T1023">
        <v>3299</v>
      </c>
      <c r="U1023">
        <v>0</v>
      </c>
      <c r="V1023">
        <v>3299</v>
      </c>
    </row>
    <row r="1024" spans="1:22" x14ac:dyDescent="0.3">
      <c r="A1024">
        <v>186607</v>
      </c>
      <c r="B1024">
        <v>135159878</v>
      </c>
      <c r="C1024" t="s">
        <v>5451</v>
      </c>
      <c r="D1024" t="s">
        <v>5452</v>
      </c>
      <c r="E1024" t="s">
        <v>4901</v>
      </c>
      <c r="F1024" t="s">
        <v>491</v>
      </c>
      <c r="G1024" t="s">
        <v>44</v>
      </c>
      <c r="H1024" t="s">
        <v>45</v>
      </c>
      <c r="I1024" t="s">
        <v>34</v>
      </c>
      <c r="J1024" t="s">
        <v>46</v>
      </c>
      <c r="K1024" t="s">
        <v>41</v>
      </c>
      <c r="L1024" t="s">
        <v>5453</v>
      </c>
      <c r="M1024" t="s">
        <v>5454</v>
      </c>
      <c r="N1024" t="s">
        <v>4904</v>
      </c>
      <c r="O1024" t="s">
        <v>91</v>
      </c>
      <c r="P1024" t="s">
        <v>5455</v>
      </c>
      <c r="Q1024" s="14" t="s">
        <v>137</v>
      </c>
      <c r="R1024" t="s">
        <v>476</v>
      </c>
      <c r="S1024">
        <v>0.5</v>
      </c>
      <c r="T1024">
        <v>3959</v>
      </c>
      <c r="U1024">
        <v>0</v>
      </c>
      <c r="V1024">
        <v>3959</v>
      </c>
    </row>
    <row r="1025" spans="1:22" x14ac:dyDescent="0.3">
      <c r="A1025">
        <v>186607</v>
      </c>
      <c r="B1025">
        <v>135072447</v>
      </c>
      <c r="C1025" t="s">
        <v>5456</v>
      </c>
      <c r="D1025" t="s">
        <v>5457</v>
      </c>
      <c r="E1025" t="s">
        <v>4901</v>
      </c>
      <c r="F1025" t="s">
        <v>491</v>
      </c>
      <c r="G1025" t="s">
        <v>44</v>
      </c>
      <c r="H1025" t="s">
        <v>45</v>
      </c>
      <c r="I1025" t="s">
        <v>34</v>
      </c>
      <c r="J1025" t="s">
        <v>46</v>
      </c>
      <c r="K1025" t="s">
        <v>41</v>
      </c>
      <c r="L1025" t="s">
        <v>5458</v>
      </c>
      <c r="M1025" t="s">
        <v>300</v>
      </c>
      <c r="N1025" t="s">
        <v>4904</v>
      </c>
      <c r="O1025" t="s">
        <v>91</v>
      </c>
      <c r="P1025" t="s">
        <v>5459</v>
      </c>
      <c r="Q1025" s="14" t="s">
        <v>109</v>
      </c>
      <c r="R1025" t="s">
        <v>4906</v>
      </c>
      <c r="S1025">
        <v>0.5</v>
      </c>
      <c r="T1025">
        <v>3449</v>
      </c>
      <c r="U1025">
        <v>0</v>
      </c>
      <c r="V1025">
        <v>3449</v>
      </c>
    </row>
    <row r="1026" spans="1:22" x14ac:dyDescent="0.3">
      <c r="A1026">
        <v>186607</v>
      </c>
      <c r="B1026">
        <v>135072470</v>
      </c>
      <c r="C1026" t="s">
        <v>5460</v>
      </c>
      <c r="D1026" t="s">
        <v>5461</v>
      </c>
      <c r="E1026" t="s">
        <v>4901</v>
      </c>
      <c r="F1026" t="s">
        <v>491</v>
      </c>
      <c r="G1026" t="s">
        <v>44</v>
      </c>
      <c r="H1026" t="s">
        <v>45</v>
      </c>
      <c r="I1026" t="s">
        <v>34</v>
      </c>
      <c r="J1026" t="s">
        <v>46</v>
      </c>
      <c r="K1026" t="s">
        <v>41</v>
      </c>
      <c r="L1026" t="s">
        <v>5462</v>
      </c>
      <c r="M1026" t="s">
        <v>5463</v>
      </c>
      <c r="N1026" t="s">
        <v>4904</v>
      </c>
      <c r="O1026" t="s">
        <v>91</v>
      </c>
      <c r="P1026" t="s">
        <v>5464</v>
      </c>
      <c r="Q1026" s="14" t="s">
        <v>89</v>
      </c>
      <c r="R1026" t="s">
        <v>4906</v>
      </c>
      <c r="S1026">
        <v>0.5</v>
      </c>
      <c r="T1026">
        <v>3680</v>
      </c>
      <c r="U1026">
        <v>0</v>
      </c>
      <c r="V1026">
        <v>3680</v>
      </c>
    </row>
    <row r="1027" spans="1:22" x14ac:dyDescent="0.3">
      <c r="A1027">
        <v>186607</v>
      </c>
      <c r="B1027">
        <v>134981834</v>
      </c>
      <c r="C1027" t="s">
        <v>5465</v>
      </c>
      <c r="D1027" t="s">
        <v>5466</v>
      </c>
      <c r="E1027" t="s">
        <v>4901</v>
      </c>
      <c r="F1027" t="s">
        <v>491</v>
      </c>
      <c r="G1027" t="s">
        <v>44</v>
      </c>
      <c r="H1027" t="s">
        <v>45</v>
      </c>
      <c r="I1027" t="s">
        <v>34</v>
      </c>
      <c r="J1027" t="s">
        <v>46</v>
      </c>
      <c r="K1027" t="s">
        <v>41</v>
      </c>
      <c r="L1027" t="s">
        <v>5467</v>
      </c>
      <c r="M1027" t="s">
        <v>5468</v>
      </c>
      <c r="N1027" t="s">
        <v>4904</v>
      </c>
      <c r="O1027" t="s">
        <v>91</v>
      </c>
      <c r="P1027" t="s">
        <v>5469</v>
      </c>
      <c r="Q1027" s="14" t="s">
        <v>146</v>
      </c>
      <c r="R1027" t="s">
        <v>5108</v>
      </c>
      <c r="S1027">
        <v>1</v>
      </c>
      <c r="T1027">
        <v>5759</v>
      </c>
      <c r="U1027">
        <v>0</v>
      </c>
      <c r="V1027">
        <v>5759</v>
      </c>
    </row>
    <row r="1028" spans="1:22" x14ac:dyDescent="0.3">
      <c r="A1028">
        <v>186607</v>
      </c>
      <c r="B1028">
        <v>135088662</v>
      </c>
      <c r="C1028" t="s">
        <v>5470</v>
      </c>
      <c r="D1028" t="s">
        <v>5471</v>
      </c>
      <c r="E1028" t="s">
        <v>4901</v>
      </c>
      <c r="F1028" t="s">
        <v>491</v>
      </c>
      <c r="G1028" t="s">
        <v>44</v>
      </c>
      <c r="H1028" t="s">
        <v>45</v>
      </c>
      <c r="I1028" t="s">
        <v>34</v>
      </c>
      <c r="J1028" t="s">
        <v>46</v>
      </c>
      <c r="K1028" t="s">
        <v>41</v>
      </c>
      <c r="L1028" t="s">
        <v>5472</v>
      </c>
      <c r="M1028" t="s">
        <v>375</v>
      </c>
      <c r="N1028" t="s">
        <v>4904</v>
      </c>
      <c r="O1028" t="s">
        <v>91</v>
      </c>
      <c r="P1028" t="s">
        <v>5473</v>
      </c>
      <c r="Q1028" s="14" t="s">
        <v>43</v>
      </c>
      <c r="R1028" t="s">
        <v>406</v>
      </c>
      <c r="S1028">
        <v>0.5</v>
      </c>
      <c r="T1028">
        <v>3680</v>
      </c>
      <c r="U1028">
        <v>0</v>
      </c>
      <c r="V1028">
        <v>3680</v>
      </c>
    </row>
    <row r="1029" spans="1:22" x14ac:dyDescent="0.3">
      <c r="A1029">
        <v>186607</v>
      </c>
      <c r="B1029">
        <v>135110974</v>
      </c>
      <c r="C1029" t="s">
        <v>5474</v>
      </c>
      <c r="D1029" t="s">
        <v>5475</v>
      </c>
      <c r="E1029" t="s">
        <v>4901</v>
      </c>
      <c r="F1029" t="s">
        <v>491</v>
      </c>
      <c r="G1029" t="s">
        <v>44</v>
      </c>
      <c r="H1029" t="s">
        <v>45</v>
      </c>
      <c r="I1029" t="s">
        <v>34</v>
      </c>
      <c r="J1029" t="s">
        <v>46</v>
      </c>
      <c r="K1029" t="s">
        <v>41</v>
      </c>
      <c r="L1029" t="s">
        <v>5476</v>
      </c>
      <c r="M1029" t="s">
        <v>5477</v>
      </c>
      <c r="N1029" t="s">
        <v>4904</v>
      </c>
      <c r="O1029" t="s">
        <v>91</v>
      </c>
      <c r="P1029" t="s">
        <v>5478</v>
      </c>
      <c r="Q1029" s="14" t="s">
        <v>135</v>
      </c>
      <c r="R1029" t="s">
        <v>5479</v>
      </c>
      <c r="S1029">
        <v>4.4000000000000004</v>
      </c>
      <c r="T1029">
        <v>3797</v>
      </c>
      <c r="U1029">
        <v>0</v>
      </c>
      <c r="V1029">
        <v>3797</v>
      </c>
    </row>
    <row r="1030" spans="1:22" x14ac:dyDescent="0.3">
      <c r="A1030">
        <v>186607</v>
      </c>
      <c r="B1030">
        <v>135072471</v>
      </c>
      <c r="C1030" t="s">
        <v>5480</v>
      </c>
      <c r="D1030" t="s">
        <v>5481</v>
      </c>
      <c r="E1030" t="s">
        <v>4901</v>
      </c>
      <c r="F1030" t="s">
        <v>491</v>
      </c>
      <c r="G1030" t="s">
        <v>44</v>
      </c>
      <c r="H1030" t="s">
        <v>45</v>
      </c>
      <c r="I1030" t="s">
        <v>34</v>
      </c>
      <c r="J1030" t="s">
        <v>46</v>
      </c>
      <c r="K1030" t="s">
        <v>41</v>
      </c>
      <c r="L1030" t="s">
        <v>5482</v>
      </c>
      <c r="M1030" t="s">
        <v>5483</v>
      </c>
      <c r="N1030" t="s">
        <v>4904</v>
      </c>
      <c r="O1030" t="s">
        <v>91</v>
      </c>
      <c r="P1030" t="s">
        <v>5484</v>
      </c>
      <c r="Q1030" s="14" t="s">
        <v>43</v>
      </c>
      <c r="R1030" t="s">
        <v>4906</v>
      </c>
      <c r="S1030">
        <v>1</v>
      </c>
      <c r="T1030">
        <v>4067</v>
      </c>
      <c r="U1030">
        <v>0</v>
      </c>
      <c r="V1030">
        <v>4067</v>
      </c>
    </row>
    <row r="1031" spans="1:22" x14ac:dyDescent="0.3">
      <c r="A1031">
        <v>186607</v>
      </c>
      <c r="B1031">
        <v>135088651</v>
      </c>
      <c r="C1031" t="s">
        <v>5485</v>
      </c>
      <c r="D1031" t="s">
        <v>5486</v>
      </c>
      <c r="E1031" t="s">
        <v>4901</v>
      </c>
      <c r="F1031" t="s">
        <v>491</v>
      </c>
      <c r="G1031" t="s">
        <v>44</v>
      </c>
      <c r="H1031" t="s">
        <v>45</v>
      </c>
      <c r="I1031" t="s">
        <v>34</v>
      </c>
      <c r="J1031" t="s">
        <v>46</v>
      </c>
      <c r="K1031" t="s">
        <v>41</v>
      </c>
      <c r="L1031" t="s">
        <v>5487</v>
      </c>
      <c r="M1031" t="s">
        <v>5488</v>
      </c>
      <c r="N1031" t="s">
        <v>4904</v>
      </c>
      <c r="O1031" t="s">
        <v>91</v>
      </c>
      <c r="P1031" t="s">
        <v>5489</v>
      </c>
      <c r="Q1031" s="14" t="s">
        <v>152</v>
      </c>
      <c r="R1031" t="s">
        <v>406</v>
      </c>
      <c r="S1031">
        <v>0.45</v>
      </c>
      <c r="T1031">
        <v>3299</v>
      </c>
      <c r="U1031">
        <v>0</v>
      </c>
      <c r="V1031">
        <v>3299</v>
      </c>
    </row>
    <row r="1032" spans="1:22" x14ac:dyDescent="0.3">
      <c r="A1032">
        <v>186607</v>
      </c>
      <c r="B1032">
        <v>135072449</v>
      </c>
      <c r="C1032" t="s">
        <v>5490</v>
      </c>
      <c r="D1032" t="s">
        <v>5491</v>
      </c>
      <c r="E1032" t="s">
        <v>4901</v>
      </c>
      <c r="F1032" t="s">
        <v>491</v>
      </c>
      <c r="G1032" t="s">
        <v>44</v>
      </c>
      <c r="H1032" t="s">
        <v>45</v>
      </c>
      <c r="I1032" t="s">
        <v>34</v>
      </c>
      <c r="J1032" t="s">
        <v>46</v>
      </c>
      <c r="K1032" t="s">
        <v>56</v>
      </c>
      <c r="L1032" t="s">
        <v>57</v>
      </c>
      <c r="M1032" t="s">
        <v>5492</v>
      </c>
      <c r="N1032" t="s">
        <v>4904</v>
      </c>
      <c r="O1032" t="s">
        <v>91</v>
      </c>
      <c r="P1032" t="s">
        <v>5493</v>
      </c>
      <c r="Q1032" s="14" t="s">
        <v>108</v>
      </c>
      <c r="R1032" t="s">
        <v>4906</v>
      </c>
      <c r="S1032">
        <v>0.5</v>
      </c>
      <c r="T1032">
        <v>3680</v>
      </c>
      <c r="U1032">
        <v>0</v>
      </c>
      <c r="V1032">
        <v>3680</v>
      </c>
    </row>
    <row r="1033" spans="1:22" x14ac:dyDescent="0.3">
      <c r="A1033">
        <v>186607</v>
      </c>
      <c r="B1033">
        <v>135072453</v>
      </c>
      <c r="C1033" t="s">
        <v>5494</v>
      </c>
      <c r="D1033" t="s">
        <v>5495</v>
      </c>
      <c r="E1033" t="s">
        <v>4901</v>
      </c>
      <c r="F1033" t="s">
        <v>491</v>
      </c>
      <c r="G1033" t="s">
        <v>44</v>
      </c>
      <c r="H1033" t="s">
        <v>45</v>
      </c>
      <c r="I1033" t="s">
        <v>34</v>
      </c>
      <c r="J1033" t="s">
        <v>46</v>
      </c>
      <c r="K1033" t="s">
        <v>41</v>
      </c>
      <c r="L1033" t="s">
        <v>5496</v>
      </c>
      <c r="M1033" t="s">
        <v>254</v>
      </c>
      <c r="N1033" t="s">
        <v>4904</v>
      </c>
      <c r="O1033" t="s">
        <v>91</v>
      </c>
      <c r="P1033" t="s">
        <v>5497</v>
      </c>
      <c r="Q1033" s="14" t="s">
        <v>82</v>
      </c>
      <c r="R1033" t="s">
        <v>4906</v>
      </c>
      <c r="S1033">
        <v>0.5</v>
      </c>
      <c r="T1033">
        <v>3680</v>
      </c>
      <c r="U1033">
        <v>0</v>
      </c>
      <c r="V1033">
        <v>3680</v>
      </c>
    </row>
    <row r="1034" spans="1:22" x14ac:dyDescent="0.3">
      <c r="A1034">
        <v>186607</v>
      </c>
      <c r="B1034">
        <v>135123781</v>
      </c>
      <c r="C1034" t="s">
        <v>5498</v>
      </c>
      <c r="D1034" t="s">
        <v>5499</v>
      </c>
      <c r="E1034" t="s">
        <v>4901</v>
      </c>
      <c r="F1034" t="s">
        <v>491</v>
      </c>
      <c r="G1034" t="s">
        <v>44</v>
      </c>
      <c r="H1034" t="s">
        <v>45</v>
      </c>
      <c r="I1034" t="s">
        <v>34</v>
      </c>
      <c r="J1034" t="s">
        <v>46</v>
      </c>
      <c r="K1034" t="s">
        <v>41</v>
      </c>
      <c r="L1034" t="s">
        <v>5500</v>
      </c>
      <c r="M1034" t="s">
        <v>5501</v>
      </c>
      <c r="N1034" t="s">
        <v>4904</v>
      </c>
      <c r="O1034" t="s">
        <v>91</v>
      </c>
      <c r="P1034" t="s">
        <v>5502</v>
      </c>
      <c r="Q1034" s="14" t="s">
        <v>62</v>
      </c>
      <c r="R1034" t="s">
        <v>5503</v>
      </c>
      <c r="S1034">
        <v>0.5</v>
      </c>
      <c r="T1034">
        <v>3680</v>
      </c>
      <c r="U1034">
        <v>0</v>
      </c>
      <c r="V1034">
        <v>3680</v>
      </c>
    </row>
    <row r="1035" spans="1:22" x14ac:dyDescent="0.3">
      <c r="A1035">
        <v>186607</v>
      </c>
      <c r="B1035">
        <v>135088660</v>
      </c>
      <c r="C1035" t="s">
        <v>5504</v>
      </c>
      <c r="D1035" t="s">
        <v>5505</v>
      </c>
      <c r="E1035" t="s">
        <v>4901</v>
      </c>
      <c r="F1035" t="s">
        <v>491</v>
      </c>
      <c r="G1035" t="s">
        <v>44</v>
      </c>
      <c r="H1035" t="s">
        <v>45</v>
      </c>
      <c r="I1035" t="s">
        <v>34</v>
      </c>
      <c r="J1035" t="s">
        <v>46</v>
      </c>
      <c r="K1035" t="s">
        <v>41</v>
      </c>
      <c r="L1035" t="s">
        <v>5506</v>
      </c>
      <c r="M1035" t="s">
        <v>5507</v>
      </c>
      <c r="N1035" t="s">
        <v>4904</v>
      </c>
      <c r="O1035" t="s">
        <v>91</v>
      </c>
      <c r="P1035" t="s">
        <v>5508</v>
      </c>
      <c r="Q1035" s="14" t="s">
        <v>42</v>
      </c>
      <c r="R1035" t="s">
        <v>406</v>
      </c>
      <c r="S1035">
        <v>0.5</v>
      </c>
      <c r="T1035">
        <v>3449</v>
      </c>
      <c r="U1035">
        <v>0</v>
      </c>
      <c r="V1035">
        <v>3449</v>
      </c>
    </row>
    <row r="1036" spans="1:22" x14ac:dyDescent="0.3">
      <c r="A1036">
        <v>186607</v>
      </c>
      <c r="B1036">
        <v>135123791</v>
      </c>
      <c r="C1036" t="s">
        <v>5509</v>
      </c>
      <c r="D1036" t="s">
        <v>5510</v>
      </c>
      <c r="E1036" t="s">
        <v>4901</v>
      </c>
      <c r="F1036" t="s">
        <v>491</v>
      </c>
      <c r="G1036" t="s">
        <v>44</v>
      </c>
      <c r="H1036" t="s">
        <v>45</v>
      </c>
      <c r="I1036" t="s">
        <v>34</v>
      </c>
      <c r="J1036" t="s">
        <v>46</v>
      </c>
      <c r="K1036" t="s">
        <v>41</v>
      </c>
      <c r="L1036" t="s">
        <v>5511</v>
      </c>
      <c r="M1036" t="s">
        <v>5512</v>
      </c>
      <c r="N1036" t="s">
        <v>4904</v>
      </c>
      <c r="O1036" t="s">
        <v>91</v>
      </c>
      <c r="P1036" t="s">
        <v>5513</v>
      </c>
      <c r="Q1036" s="14" t="s">
        <v>151</v>
      </c>
      <c r="R1036" t="s">
        <v>5503</v>
      </c>
      <c r="S1036">
        <v>4.3600000000000003</v>
      </c>
      <c r="T1036">
        <v>3797</v>
      </c>
      <c r="U1036">
        <v>0</v>
      </c>
      <c r="V1036">
        <v>3797</v>
      </c>
    </row>
    <row r="1037" spans="1:22" x14ac:dyDescent="0.3">
      <c r="A1037">
        <v>186607</v>
      </c>
      <c r="B1037">
        <v>135072446</v>
      </c>
      <c r="C1037" t="s">
        <v>5514</v>
      </c>
      <c r="D1037" t="s">
        <v>5515</v>
      </c>
      <c r="E1037" t="s">
        <v>4901</v>
      </c>
      <c r="F1037" t="s">
        <v>491</v>
      </c>
      <c r="G1037" t="s">
        <v>44</v>
      </c>
      <c r="H1037" t="s">
        <v>45</v>
      </c>
      <c r="I1037" t="s">
        <v>34</v>
      </c>
      <c r="J1037" t="s">
        <v>46</v>
      </c>
      <c r="K1037" t="s">
        <v>41</v>
      </c>
      <c r="L1037" t="s">
        <v>5516</v>
      </c>
      <c r="M1037" t="s">
        <v>5517</v>
      </c>
      <c r="N1037" t="s">
        <v>4904</v>
      </c>
      <c r="O1037" t="s">
        <v>91</v>
      </c>
      <c r="P1037" t="s">
        <v>5518</v>
      </c>
      <c r="Q1037" s="14" t="s">
        <v>89</v>
      </c>
      <c r="R1037" t="s">
        <v>4906</v>
      </c>
      <c r="S1037">
        <v>4.0199999999999996</v>
      </c>
      <c r="T1037">
        <v>4456</v>
      </c>
      <c r="U1037">
        <v>0</v>
      </c>
      <c r="V1037">
        <v>4456</v>
      </c>
    </row>
    <row r="1038" spans="1:22" x14ac:dyDescent="0.3">
      <c r="A1038">
        <v>186607</v>
      </c>
      <c r="B1038">
        <v>135047662</v>
      </c>
      <c r="C1038" t="s">
        <v>5519</v>
      </c>
      <c r="D1038" t="s">
        <v>5520</v>
      </c>
      <c r="E1038" t="s">
        <v>4901</v>
      </c>
      <c r="F1038" t="s">
        <v>491</v>
      </c>
      <c r="G1038" t="s">
        <v>44</v>
      </c>
      <c r="H1038" t="s">
        <v>45</v>
      </c>
      <c r="I1038" t="s">
        <v>34</v>
      </c>
      <c r="J1038" t="s">
        <v>46</v>
      </c>
      <c r="K1038" t="s">
        <v>41</v>
      </c>
      <c r="L1038" t="s">
        <v>5521</v>
      </c>
      <c r="M1038" t="s">
        <v>5522</v>
      </c>
      <c r="N1038" t="s">
        <v>4904</v>
      </c>
      <c r="O1038" t="s">
        <v>91</v>
      </c>
      <c r="P1038" t="s">
        <v>5523</v>
      </c>
      <c r="Q1038" s="14" t="s">
        <v>137</v>
      </c>
      <c r="R1038" t="s">
        <v>340</v>
      </c>
      <c r="S1038">
        <v>0.5</v>
      </c>
      <c r="T1038">
        <v>3959</v>
      </c>
      <c r="U1038">
        <v>0</v>
      </c>
      <c r="V1038">
        <v>3959</v>
      </c>
    </row>
    <row r="1039" spans="1:22" x14ac:dyDescent="0.3">
      <c r="A1039">
        <v>186607</v>
      </c>
      <c r="B1039">
        <v>135123775</v>
      </c>
      <c r="C1039" t="s">
        <v>5524</v>
      </c>
      <c r="D1039" t="s">
        <v>5525</v>
      </c>
      <c r="E1039" t="s">
        <v>4901</v>
      </c>
      <c r="F1039" t="s">
        <v>491</v>
      </c>
      <c r="G1039" t="s">
        <v>44</v>
      </c>
      <c r="H1039" t="s">
        <v>45</v>
      </c>
      <c r="I1039" t="s">
        <v>34</v>
      </c>
      <c r="J1039" t="s">
        <v>46</v>
      </c>
      <c r="K1039" t="s">
        <v>41</v>
      </c>
      <c r="L1039" t="s">
        <v>5526</v>
      </c>
      <c r="M1039" t="s">
        <v>5527</v>
      </c>
      <c r="N1039" t="s">
        <v>4904</v>
      </c>
      <c r="O1039" t="s">
        <v>91</v>
      </c>
      <c r="P1039" t="s">
        <v>5528</v>
      </c>
      <c r="Q1039" s="14" t="s">
        <v>98</v>
      </c>
      <c r="R1039" t="s">
        <v>5503</v>
      </c>
      <c r="S1039">
        <v>0.5</v>
      </c>
      <c r="T1039">
        <v>3299</v>
      </c>
      <c r="U1039">
        <v>0</v>
      </c>
      <c r="V1039">
        <v>3299</v>
      </c>
    </row>
    <row r="1040" spans="1:22" x14ac:dyDescent="0.3">
      <c r="A1040">
        <v>186607</v>
      </c>
      <c r="B1040">
        <v>135123780</v>
      </c>
      <c r="C1040" t="s">
        <v>5529</v>
      </c>
      <c r="D1040" t="s">
        <v>5530</v>
      </c>
      <c r="E1040" t="s">
        <v>4901</v>
      </c>
      <c r="F1040" t="s">
        <v>491</v>
      </c>
      <c r="G1040" t="s">
        <v>44</v>
      </c>
      <c r="H1040" t="s">
        <v>45</v>
      </c>
      <c r="I1040" t="s">
        <v>34</v>
      </c>
      <c r="J1040" t="s">
        <v>46</v>
      </c>
      <c r="K1040" t="s">
        <v>41</v>
      </c>
      <c r="L1040" t="s">
        <v>5531</v>
      </c>
      <c r="M1040" t="s">
        <v>5136</v>
      </c>
      <c r="N1040" t="s">
        <v>4904</v>
      </c>
      <c r="O1040" t="s">
        <v>91</v>
      </c>
      <c r="P1040" t="s">
        <v>5137</v>
      </c>
      <c r="Q1040" s="14" t="s">
        <v>85</v>
      </c>
      <c r="R1040" t="s">
        <v>5503</v>
      </c>
      <c r="S1040">
        <v>3.49</v>
      </c>
      <c r="T1040">
        <v>4585</v>
      </c>
      <c r="U1040">
        <v>0</v>
      </c>
      <c r="V1040">
        <v>4585</v>
      </c>
    </row>
    <row r="1041" spans="1:22" x14ac:dyDescent="0.3">
      <c r="A1041">
        <v>186607</v>
      </c>
      <c r="B1041">
        <v>135110979</v>
      </c>
      <c r="C1041" t="s">
        <v>5532</v>
      </c>
      <c r="D1041" t="s">
        <v>5533</v>
      </c>
      <c r="E1041" t="s">
        <v>4901</v>
      </c>
      <c r="F1041" t="s">
        <v>491</v>
      </c>
      <c r="G1041" t="s">
        <v>44</v>
      </c>
      <c r="H1041" t="s">
        <v>45</v>
      </c>
      <c r="I1041" t="s">
        <v>34</v>
      </c>
      <c r="J1041" t="s">
        <v>46</v>
      </c>
      <c r="K1041" t="s">
        <v>41</v>
      </c>
      <c r="L1041" t="s">
        <v>5534</v>
      </c>
      <c r="M1041" t="s">
        <v>5535</v>
      </c>
      <c r="N1041" t="s">
        <v>4904</v>
      </c>
      <c r="O1041" t="s">
        <v>91</v>
      </c>
      <c r="P1041" t="s">
        <v>5536</v>
      </c>
      <c r="Q1041" s="14" t="s">
        <v>107</v>
      </c>
      <c r="R1041" t="s">
        <v>5479</v>
      </c>
      <c r="S1041">
        <v>0.5</v>
      </c>
      <c r="T1041">
        <v>3680</v>
      </c>
      <c r="U1041">
        <v>0</v>
      </c>
      <c r="V1041">
        <v>3680</v>
      </c>
    </row>
    <row r="1042" spans="1:22" x14ac:dyDescent="0.3">
      <c r="A1042">
        <v>186607</v>
      </c>
      <c r="B1042">
        <v>135072468</v>
      </c>
      <c r="C1042" t="s">
        <v>5537</v>
      </c>
      <c r="D1042" t="s">
        <v>5538</v>
      </c>
      <c r="E1042" t="s">
        <v>4901</v>
      </c>
      <c r="F1042" t="s">
        <v>491</v>
      </c>
      <c r="G1042" t="s">
        <v>44</v>
      </c>
      <c r="H1042" t="s">
        <v>45</v>
      </c>
      <c r="I1042" t="s">
        <v>34</v>
      </c>
      <c r="J1042" t="s">
        <v>46</v>
      </c>
      <c r="K1042" t="s">
        <v>41</v>
      </c>
      <c r="L1042" t="s">
        <v>5539</v>
      </c>
      <c r="M1042" t="s">
        <v>289</v>
      </c>
      <c r="N1042" t="s">
        <v>4904</v>
      </c>
      <c r="O1042" t="s">
        <v>91</v>
      </c>
      <c r="P1042" t="s">
        <v>5540</v>
      </c>
      <c r="Q1042" s="14" t="s">
        <v>108</v>
      </c>
      <c r="R1042" t="s">
        <v>4906</v>
      </c>
      <c r="S1042">
        <v>1</v>
      </c>
      <c r="T1042">
        <v>3753</v>
      </c>
      <c r="U1042">
        <v>0</v>
      </c>
      <c r="V1042">
        <v>3753</v>
      </c>
    </row>
    <row r="1043" spans="1:22" x14ac:dyDescent="0.3">
      <c r="A1043">
        <v>186607</v>
      </c>
      <c r="B1043">
        <v>135088664</v>
      </c>
      <c r="C1043" t="s">
        <v>5541</v>
      </c>
      <c r="D1043" t="s">
        <v>5542</v>
      </c>
      <c r="E1043" t="s">
        <v>4901</v>
      </c>
      <c r="F1043" t="s">
        <v>491</v>
      </c>
      <c r="G1043" t="s">
        <v>44</v>
      </c>
      <c r="H1043" t="s">
        <v>45</v>
      </c>
      <c r="I1043" t="s">
        <v>34</v>
      </c>
      <c r="J1043" t="s">
        <v>46</v>
      </c>
      <c r="K1043" t="s">
        <v>41</v>
      </c>
      <c r="L1043" t="s">
        <v>5543</v>
      </c>
      <c r="M1043" t="s">
        <v>5544</v>
      </c>
      <c r="N1043" t="s">
        <v>4904</v>
      </c>
      <c r="O1043" t="s">
        <v>91</v>
      </c>
      <c r="P1043" t="s">
        <v>5545</v>
      </c>
      <c r="Q1043" s="14" t="s">
        <v>86</v>
      </c>
      <c r="R1043" t="s">
        <v>406</v>
      </c>
      <c r="S1043">
        <v>0.5</v>
      </c>
      <c r="T1043">
        <v>3299</v>
      </c>
      <c r="U1043">
        <v>0</v>
      </c>
      <c r="V1043">
        <v>3299</v>
      </c>
    </row>
    <row r="1044" spans="1:22" x14ac:dyDescent="0.3">
      <c r="A1044">
        <v>186607</v>
      </c>
      <c r="B1044">
        <v>135110972</v>
      </c>
      <c r="C1044" t="s">
        <v>5546</v>
      </c>
      <c r="D1044" t="s">
        <v>5547</v>
      </c>
      <c r="E1044" t="s">
        <v>4901</v>
      </c>
      <c r="F1044" t="s">
        <v>491</v>
      </c>
      <c r="G1044" t="s">
        <v>44</v>
      </c>
      <c r="H1044" t="s">
        <v>45</v>
      </c>
      <c r="I1044" t="s">
        <v>34</v>
      </c>
      <c r="J1044" t="s">
        <v>46</v>
      </c>
      <c r="K1044" t="s">
        <v>41</v>
      </c>
      <c r="L1044" t="s">
        <v>5548</v>
      </c>
      <c r="M1044" t="s">
        <v>5549</v>
      </c>
      <c r="N1044" t="s">
        <v>4904</v>
      </c>
      <c r="O1044" t="s">
        <v>91</v>
      </c>
      <c r="P1044" t="s">
        <v>5550</v>
      </c>
      <c r="Q1044" s="14" t="s">
        <v>85</v>
      </c>
      <c r="R1044" t="s">
        <v>5479</v>
      </c>
      <c r="S1044">
        <v>8.0500000000000007</v>
      </c>
      <c r="T1044">
        <v>5476</v>
      </c>
      <c r="U1044">
        <v>0</v>
      </c>
      <c r="V1044">
        <v>5476</v>
      </c>
    </row>
    <row r="1045" spans="1:22" x14ac:dyDescent="0.3">
      <c r="A1045">
        <v>186607</v>
      </c>
      <c r="B1045">
        <v>135072458</v>
      </c>
      <c r="C1045" t="s">
        <v>5551</v>
      </c>
      <c r="D1045" t="s">
        <v>5552</v>
      </c>
      <c r="E1045" t="s">
        <v>4901</v>
      </c>
      <c r="F1045" t="s">
        <v>491</v>
      </c>
      <c r="G1045" t="s">
        <v>44</v>
      </c>
      <c r="H1045" t="s">
        <v>45</v>
      </c>
      <c r="I1045" t="s">
        <v>34</v>
      </c>
      <c r="J1045" t="s">
        <v>46</v>
      </c>
      <c r="K1045" t="s">
        <v>41</v>
      </c>
      <c r="L1045" t="s">
        <v>5553</v>
      </c>
      <c r="M1045" t="s">
        <v>5554</v>
      </c>
      <c r="N1045" t="s">
        <v>4904</v>
      </c>
      <c r="O1045" t="s">
        <v>91</v>
      </c>
      <c r="P1045" t="s">
        <v>5555</v>
      </c>
      <c r="Q1045" s="14" t="s">
        <v>83</v>
      </c>
      <c r="R1045" t="s">
        <v>4906</v>
      </c>
      <c r="S1045">
        <v>4.84</v>
      </c>
      <c r="T1045">
        <v>3797</v>
      </c>
      <c r="U1045">
        <v>0</v>
      </c>
      <c r="V1045">
        <v>3797</v>
      </c>
    </row>
    <row r="1046" spans="1:22" x14ac:dyDescent="0.3">
      <c r="A1046">
        <v>186607</v>
      </c>
      <c r="B1046">
        <v>135110970</v>
      </c>
      <c r="C1046" t="s">
        <v>5556</v>
      </c>
      <c r="D1046" t="s">
        <v>5557</v>
      </c>
      <c r="E1046" t="s">
        <v>4901</v>
      </c>
      <c r="F1046" t="s">
        <v>491</v>
      </c>
      <c r="G1046" t="s">
        <v>44</v>
      </c>
      <c r="H1046" t="s">
        <v>45</v>
      </c>
      <c r="I1046" t="s">
        <v>34</v>
      </c>
      <c r="J1046" t="s">
        <v>46</v>
      </c>
      <c r="K1046" t="s">
        <v>41</v>
      </c>
      <c r="L1046" t="s">
        <v>5558</v>
      </c>
      <c r="M1046" t="s">
        <v>5559</v>
      </c>
      <c r="N1046" t="s">
        <v>4904</v>
      </c>
      <c r="O1046" t="s">
        <v>91</v>
      </c>
      <c r="P1046" t="s">
        <v>5560</v>
      </c>
      <c r="Q1046" s="14" t="s">
        <v>86</v>
      </c>
      <c r="R1046" t="s">
        <v>5479</v>
      </c>
      <c r="S1046">
        <v>4.46</v>
      </c>
      <c r="T1046">
        <v>3797</v>
      </c>
      <c r="U1046">
        <v>0</v>
      </c>
      <c r="V1046">
        <v>3797</v>
      </c>
    </row>
    <row r="1047" spans="1:22" x14ac:dyDescent="0.3">
      <c r="A1047">
        <v>186607</v>
      </c>
      <c r="B1047">
        <v>134981831</v>
      </c>
      <c r="C1047" t="s">
        <v>5561</v>
      </c>
      <c r="D1047" t="s">
        <v>5562</v>
      </c>
      <c r="E1047" t="s">
        <v>4901</v>
      </c>
      <c r="F1047" t="s">
        <v>491</v>
      </c>
      <c r="G1047" t="s">
        <v>44</v>
      </c>
      <c r="H1047" t="s">
        <v>45</v>
      </c>
      <c r="I1047" t="s">
        <v>34</v>
      </c>
      <c r="J1047" t="s">
        <v>46</v>
      </c>
      <c r="K1047" t="s">
        <v>56</v>
      </c>
      <c r="L1047" t="s">
        <v>57</v>
      </c>
      <c r="M1047" t="s">
        <v>5563</v>
      </c>
      <c r="N1047" t="s">
        <v>4904</v>
      </c>
      <c r="O1047" t="s">
        <v>91</v>
      </c>
      <c r="P1047" t="s">
        <v>5564</v>
      </c>
      <c r="Q1047" s="14" t="s">
        <v>147</v>
      </c>
      <c r="R1047" t="s">
        <v>5108</v>
      </c>
      <c r="S1047">
        <v>1</v>
      </c>
      <c r="T1047">
        <v>5759</v>
      </c>
      <c r="U1047">
        <v>0</v>
      </c>
      <c r="V1047">
        <v>5759</v>
      </c>
    </row>
    <row r="1048" spans="1:22" x14ac:dyDescent="0.3">
      <c r="A1048">
        <v>186607</v>
      </c>
      <c r="B1048">
        <v>135047656</v>
      </c>
      <c r="C1048" t="s">
        <v>5565</v>
      </c>
      <c r="D1048" t="s">
        <v>5566</v>
      </c>
      <c r="E1048" t="s">
        <v>4901</v>
      </c>
      <c r="F1048" t="s">
        <v>491</v>
      </c>
      <c r="G1048" t="s">
        <v>44</v>
      </c>
      <c r="H1048" t="s">
        <v>45</v>
      </c>
      <c r="I1048" t="s">
        <v>34</v>
      </c>
      <c r="J1048" t="s">
        <v>46</v>
      </c>
      <c r="K1048" t="s">
        <v>41</v>
      </c>
      <c r="L1048" t="s">
        <v>5567</v>
      </c>
      <c r="M1048" t="s">
        <v>5568</v>
      </c>
      <c r="N1048" t="s">
        <v>4904</v>
      </c>
      <c r="O1048" t="s">
        <v>91</v>
      </c>
      <c r="P1048" t="s">
        <v>5569</v>
      </c>
      <c r="Q1048" s="14" t="s">
        <v>85</v>
      </c>
      <c r="R1048" t="s">
        <v>340</v>
      </c>
      <c r="S1048">
        <v>0.5</v>
      </c>
      <c r="T1048">
        <v>3449</v>
      </c>
      <c r="U1048">
        <v>0</v>
      </c>
      <c r="V1048">
        <v>3449</v>
      </c>
    </row>
    <row r="1049" spans="1:22" x14ac:dyDescent="0.3">
      <c r="A1049">
        <v>186607</v>
      </c>
      <c r="B1049">
        <v>135047647</v>
      </c>
      <c r="C1049" t="s">
        <v>5570</v>
      </c>
      <c r="D1049" t="s">
        <v>5571</v>
      </c>
      <c r="E1049" t="s">
        <v>4901</v>
      </c>
      <c r="F1049" t="s">
        <v>491</v>
      </c>
      <c r="G1049" t="s">
        <v>44</v>
      </c>
      <c r="H1049" t="s">
        <v>45</v>
      </c>
      <c r="I1049" t="s">
        <v>34</v>
      </c>
      <c r="J1049" t="s">
        <v>46</v>
      </c>
      <c r="K1049" t="s">
        <v>41</v>
      </c>
      <c r="L1049" t="s">
        <v>5572</v>
      </c>
      <c r="M1049" t="s">
        <v>5573</v>
      </c>
      <c r="N1049" t="s">
        <v>4904</v>
      </c>
      <c r="O1049" t="s">
        <v>91</v>
      </c>
      <c r="P1049" t="s">
        <v>5574</v>
      </c>
      <c r="Q1049" s="14" t="s">
        <v>89</v>
      </c>
      <c r="R1049" t="s">
        <v>340</v>
      </c>
      <c r="S1049">
        <v>0.5</v>
      </c>
      <c r="T1049">
        <v>3680</v>
      </c>
      <c r="U1049">
        <v>0</v>
      </c>
      <c r="V1049">
        <v>3680</v>
      </c>
    </row>
    <row r="1050" spans="1:22" x14ac:dyDescent="0.3">
      <c r="A1050">
        <v>186607</v>
      </c>
      <c r="B1050">
        <v>135047663</v>
      </c>
      <c r="C1050" t="s">
        <v>5575</v>
      </c>
      <c r="D1050" t="s">
        <v>5576</v>
      </c>
      <c r="E1050" t="s">
        <v>4901</v>
      </c>
      <c r="F1050" t="s">
        <v>491</v>
      </c>
      <c r="G1050" t="s">
        <v>44</v>
      </c>
      <c r="H1050" t="s">
        <v>45</v>
      </c>
      <c r="I1050" t="s">
        <v>34</v>
      </c>
      <c r="J1050" t="s">
        <v>46</v>
      </c>
      <c r="K1050" t="s">
        <v>41</v>
      </c>
      <c r="L1050" t="s">
        <v>5577</v>
      </c>
      <c r="M1050" t="s">
        <v>5578</v>
      </c>
      <c r="N1050" t="s">
        <v>4904</v>
      </c>
      <c r="O1050" t="s">
        <v>91</v>
      </c>
      <c r="P1050" t="s">
        <v>5579</v>
      </c>
      <c r="Q1050" s="14" t="s">
        <v>114</v>
      </c>
      <c r="R1050" t="s">
        <v>340</v>
      </c>
      <c r="S1050">
        <v>0.5</v>
      </c>
      <c r="T1050">
        <v>3449</v>
      </c>
      <c r="U1050">
        <v>0</v>
      </c>
      <c r="V1050">
        <v>3449</v>
      </c>
    </row>
    <row r="1051" spans="1:22" x14ac:dyDescent="0.3">
      <c r="A1051">
        <v>186607</v>
      </c>
      <c r="B1051">
        <v>135047660</v>
      </c>
      <c r="C1051" t="s">
        <v>5580</v>
      </c>
      <c r="D1051" t="s">
        <v>5581</v>
      </c>
      <c r="E1051" t="s">
        <v>4901</v>
      </c>
      <c r="F1051" t="s">
        <v>491</v>
      </c>
      <c r="G1051" t="s">
        <v>44</v>
      </c>
      <c r="H1051" t="s">
        <v>45</v>
      </c>
      <c r="I1051" t="s">
        <v>34</v>
      </c>
      <c r="J1051" t="s">
        <v>46</v>
      </c>
      <c r="K1051" t="s">
        <v>41</v>
      </c>
      <c r="L1051" t="s">
        <v>5582</v>
      </c>
      <c r="M1051" t="s">
        <v>5583</v>
      </c>
      <c r="N1051" t="s">
        <v>4904</v>
      </c>
      <c r="O1051" t="s">
        <v>91</v>
      </c>
      <c r="P1051" t="s">
        <v>5584</v>
      </c>
      <c r="Q1051" s="14" t="s">
        <v>42</v>
      </c>
      <c r="R1051" t="s">
        <v>340</v>
      </c>
      <c r="S1051">
        <v>4.3</v>
      </c>
      <c r="T1051">
        <v>4322</v>
      </c>
      <c r="U1051">
        <v>0</v>
      </c>
      <c r="V1051">
        <v>4322</v>
      </c>
    </row>
    <row r="1052" spans="1:22" x14ac:dyDescent="0.3">
      <c r="A1052">
        <v>186607</v>
      </c>
      <c r="B1052">
        <v>135032313</v>
      </c>
      <c r="C1052" t="s">
        <v>5585</v>
      </c>
      <c r="D1052" t="s">
        <v>5586</v>
      </c>
      <c r="E1052" t="s">
        <v>4901</v>
      </c>
      <c r="F1052" t="s">
        <v>491</v>
      </c>
      <c r="G1052" t="s">
        <v>44</v>
      </c>
      <c r="H1052" t="s">
        <v>45</v>
      </c>
      <c r="I1052" t="s">
        <v>34</v>
      </c>
      <c r="J1052" t="s">
        <v>46</v>
      </c>
      <c r="K1052" t="s">
        <v>41</v>
      </c>
      <c r="L1052" t="s">
        <v>5587</v>
      </c>
      <c r="M1052" t="s">
        <v>5588</v>
      </c>
      <c r="N1052" t="s">
        <v>4904</v>
      </c>
      <c r="O1052" t="s">
        <v>91</v>
      </c>
      <c r="P1052" t="s">
        <v>5589</v>
      </c>
      <c r="Q1052" s="14" t="s">
        <v>83</v>
      </c>
      <c r="R1052" t="s">
        <v>5057</v>
      </c>
      <c r="S1052">
        <v>2.0099999999999998</v>
      </c>
      <c r="T1052">
        <v>3366</v>
      </c>
      <c r="U1052">
        <v>0</v>
      </c>
      <c r="V1052">
        <v>3366</v>
      </c>
    </row>
    <row r="1053" spans="1:22" x14ac:dyDescent="0.3">
      <c r="A1053">
        <v>186607</v>
      </c>
      <c r="B1053">
        <v>135032327</v>
      </c>
      <c r="C1053" t="s">
        <v>5590</v>
      </c>
      <c r="D1053" t="s">
        <v>5591</v>
      </c>
      <c r="E1053" t="s">
        <v>4901</v>
      </c>
      <c r="F1053" t="s">
        <v>491</v>
      </c>
      <c r="G1053" t="s">
        <v>44</v>
      </c>
      <c r="H1053" t="s">
        <v>45</v>
      </c>
      <c r="I1053" t="s">
        <v>34</v>
      </c>
      <c r="J1053" t="s">
        <v>46</v>
      </c>
      <c r="K1053" t="s">
        <v>41</v>
      </c>
      <c r="L1053" t="s">
        <v>5592</v>
      </c>
      <c r="M1053" t="s">
        <v>5593</v>
      </c>
      <c r="N1053" t="s">
        <v>4904</v>
      </c>
      <c r="O1053" t="s">
        <v>91</v>
      </c>
      <c r="P1053" t="s">
        <v>5594</v>
      </c>
      <c r="Q1053" s="14" t="s">
        <v>73</v>
      </c>
      <c r="R1053" t="s">
        <v>5057</v>
      </c>
      <c r="S1053">
        <v>0.5</v>
      </c>
      <c r="T1053">
        <v>3299</v>
      </c>
      <c r="U1053">
        <v>0</v>
      </c>
      <c r="V1053">
        <v>3299</v>
      </c>
    </row>
    <row r="1054" spans="1:22" x14ac:dyDescent="0.3">
      <c r="A1054">
        <v>186607</v>
      </c>
      <c r="B1054">
        <v>134981819</v>
      </c>
      <c r="C1054" t="s">
        <v>5595</v>
      </c>
      <c r="D1054" t="s">
        <v>5596</v>
      </c>
      <c r="E1054" t="s">
        <v>4901</v>
      </c>
      <c r="F1054" t="s">
        <v>491</v>
      </c>
      <c r="G1054" t="s">
        <v>44</v>
      </c>
      <c r="H1054" t="s">
        <v>45</v>
      </c>
      <c r="I1054" t="s">
        <v>34</v>
      </c>
      <c r="J1054" t="s">
        <v>46</v>
      </c>
      <c r="K1054" t="s">
        <v>41</v>
      </c>
      <c r="L1054" t="s">
        <v>5597</v>
      </c>
      <c r="M1054" t="s">
        <v>5598</v>
      </c>
      <c r="N1054" t="s">
        <v>4904</v>
      </c>
      <c r="O1054" t="s">
        <v>91</v>
      </c>
      <c r="P1054" t="s">
        <v>5599</v>
      </c>
      <c r="Q1054" s="14" t="s">
        <v>172</v>
      </c>
      <c r="R1054" t="s">
        <v>5108</v>
      </c>
      <c r="S1054">
        <v>1</v>
      </c>
      <c r="T1054">
        <v>4881</v>
      </c>
      <c r="U1054">
        <v>0</v>
      </c>
      <c r="V1054">
        <v>4881</v>
      </c>
    </row>
    <row r="1055" spans="1:22" x14ac:dyDescent="0.3">
      <c r="A1055">
        <v>186607</v>
      </c>
      <c r="B1055">
        <v>135047658</v>
      </c>
      <c r="C1055" t="s">
        <v>5600</v>
      </c>
      <c r="D1055" t="s">
        <v>5601</v>
      </c>
      <c r="E1055" t="s">
        <v>4901</v>
      </c>
      <c r="F1055" t="s">
        <v>491</v>
      </c>
      <c r="G1055" t="s">
        <v>44</v>
      </c>
      <c r="H1055" t="s">
        <v>45</v>
      </c>
      <c r="I1055" t="s">
        <v>34</v>
      </c>
      <c r="J1055" t="s">
        <v>46</v>
      </c>
      <c r="K1055" t="s">
        <v>41</v>
      </c>
      <c r="L1055" t="s">
        <v>5602</v>
      </c>
      <c r="M1055" t="s">
        <v>5603</v>
      </c>
      <c r="N1055" t="s">
        <v>4904</v>
      </c>
      <c r="O1055" t="s">
        <v>91</v>
      </c>
      <c r="P1055" t="s">
        <v>5604</v>
      </c>
      <c r="Q1055" s="14" t="s">
        <v>86</v>
      </c>
      <c r="R1055" t="s">
        <v>340</v>
      </c>
      <c r="S1055">
        <v>3.1</v>
      </c>
      <c r="T1055">
        <v>3797</v>
      </c>
      <c r="U1055">
        <v>0</v>
      </c>
      <c r="V1055">
        <v>3797</v>
      </c>
    </row>
    <row r="1056" spans="1:22" x14ac:dyDescent="0.3">
      <c r="A1056">
        <v>186607</v>
      </c>
      <c r="B1056">
        <v>134941006</v>
      </c>
      <c r="C1056" t="s">
        <v>5605</v>
      </c>
      <c r="D1056" t="s">
        <v>5606</v>
      </c>
      <c r="E1056" t="s">
        <v>4901</v>
      </c>
      <c r="F1056" t="s">
        <v>491</v>
      </c>
      <c r="G1056" t="s">
        <v>44</v>
      </c>
      <c r="H1056" t="s">
        <v>45</v>
      </c>
      <c r="I1056" t="s">
        <v>34</v>
      </c>
      <c r="J1056" t="s">
        <v>46</v>
      </c>
      <c r="K1056" t="s">
        <v>41</v>
      </c>
      <c r="L1056" t="s">
        <v>5607</v>
      </c>
      <c r="M1056" t="s">
        <v>5608</v>
      </c>
      <c r="N1056" t="s">
        <v>4904</v>
      </c>
      <c r="O1056" t="s">
        <v>91</v>
      </c>
      <c r="P1056" t="s">
        <v>5609</v>
      </c>
      <c r="Q1056" s="14" t="s">
        <v>146</v>
      </c>
      <c r="R1056" t="s">
        <v>5610</v>
      </c>
      <c r="S1056">
        <v>0.5</v>
      </c>
      <c r="T1056">
        <v>4067</v>
      </c>
      <c r="U1056">
        <v>0</v>
      </c>
      <c r="V1056">
        <v>4067</v>
      </c>
    </row>
    <row r="1057" spans="1:22" x14ac:dyDescent="0.3">
      <c r="A1057">
        <v>186607</v>
      </c>
      <c r="B1057">
        <v>135002178</v>
      </c>
      <c r="C1057" t="s">
        <v>5611</v>
      </c>
      <c r="D1057" t="s">
        <v>5612</v>
      </c>
      <c r="E1057" t="s">
        <v>4901</v>
      </c>
      <c r="F1057" t="s">
        <v>491</v>
      </c>
      <c r="G1057" t="s">
        <v>44</v>
      </c>
      <c r="H1057" t="s">
        <v>45</v>
      </c>
      <c r="I1057" t="s">
        <v>34</v>
      </c>
      <c r="J1057" t="s">
        <v>46</v>
      </c>
      <c r="K1057" t="s">
        <v>41</v>
      </c>
      <c r="L1057" t="s">
        <v>5613</v>
      </c>
      <c r="M1057" t="s">
        <v>5614</v>
      </c>
      <c r="N1057" t="s">
        <v>4904</v>
      </c>
      <c r="O1057" t="s">
        <v>91</v>
      </c>
      <c r="P1057" t="s">
        <v>5615</v>
      </c>
      <c r="Q1057" s="14" t="s">
        <v>179</v>
      </c>
      <c r="R1057" t="s">
        <v>453</v>
      </c>
      <c r="S1057">
        <v>1</v>
      </c>
      <c r="T1057">
        <v>3366</v>
      </c>
      <c r="U1057">
        <v>0</v>
      </c>
      <c r="V1057">
        <v>3366</v>
      </c>
    </row>
    <row r="1058" spans="1:22" x14ac:dyDescent="0.3">
      <c r="A1058">
        <v>186607</v>
      </c>
      <c r="B1058">
        <v>134950345</v>
      </c>
      <c r="C1058" t="s">
        <v>5616</v>
      </c>
      <c r="D1058" t="s">
        <v>5617</v>
      </c>
      <c r="E1058" t="s">
        <v>4901</v>
      </c>
      <c r="F1058" t="s">
        <v>491</v>
      </c>
      <c r="G1058" t="s">
        <v>44</v>
      </c>
      <c r="H1058" t="s">
        <v>45</v>
      </c>
      <c r="I1058" t="s">
        <v>34</v>
      </c>
      <c r="J1058" t="s">
        <v>46</v>
      </c>
      <c r="K1058" t="s">
        <v>41</v>
      </c>
      <c r="L1058" t="s">
        <v>5618</v>
      </c>
      <c r="M1058" t="s">
        <v>5619</v>
      </c>
      <c r="N1058" t="s">
        <v>4904</v>
      </c>
      <c r="O1058" t="s">
        <v>91</v>
      </c>
      <c r="P1058" t="s">
        <v>5620</v>
      </c>
      <c r="Q1058" s="14" t="s">
        <v>60</v>
      </c>
      <c r="R1058" t="s">
        <v>5621</v>
      </c>
      <c r="S1058">
        <v>0.5</v>
      </c>
      <c r="T1058">
        <v>4067</v>
      </c>
      <c r="U1058">
        <v>0</v>
      </c>
      <c r="V1058">
        <v>4067</v>
      </c>
    </row>
    <row r="1059" spans="1:22" x14ac:dyDescent="0.3">
      <c r="A1059">
        <v>186607</v>
      </c>
      <c r="B1059">
        <v>134981816</v>
      </c>
      <c r="C1059" t="s">
        <v>5622</v>
      </c>
      <c r="D1059" t="s">
        <v>5623</v>
      </c>
      <c r="E1059" t="s">
        <v>4901</v>
      </c>
      <c r="F1059" t="s">
        <v>491</v>
      </c>
      <c r="G1059" t="s">
        <v>44</v>
      </c>
      <c r="H1059" t="s">
        <v>45</v>
      </c>
      <c r="I1059" t="s">
        <v>34</v>
      </c>
      <c r="J1059" t="s">
        <v>46</v>
      </c>
      <c r="K1059" t="s">
        <v>41</v>
      </c>
      <c r="L1059" t="s">
        <v>5624</v>
      </c>
      <c r="M1059" t="s">
        <v>5625</v>
      </c>
      <c r="N1059" t="s">
        <v>4904</v>
      </c>
      <c r="O1059" t="s">
        <v>91</v>
      </c>
      <c r="P1059" t="s">
        <v>5626</v>
      </c>
      <c r="Q1059" s="14" t="s">
        <v>135</v>
      </c>
      <c r="R1059" t="s">
        <v>5108</v>
      </c>
      <c r="S1059">
        <v>1</v>
      </c>
      <c r="T1059">
        <v>3366</v>
      </c>
      <c r="U1059">
        <v>0</v>
      </c>
      <c r="V1059">
        <v>3366</v>
      </c>
    </row>
    <row r="1060" spans="1:22" x14ac:dyDescent="0.3">
      <c r="A1060">
        <v>186607</v>
      </c>
      <c r="B1060">
        <v>134941034</v>
      </c>
      <c r="C1060" t="s">
        <v>5627</v>
      </c>
      <c r="D1060" t="s">
        <v>5628</v>
      </c>
      <c r="E1060" t="s">
        <v>4901</v>
      </c>
      <c r="F1060" t="s">
        <v>491</v>
      </c>
      <c r="G1060" t="s">
        <v>44</v>
      </c>
      <c r="H1060" t="s">
        <v>45</v>
      </c>
      <c r="I1060" t="s">
        <v>34</v>
      </c>
      <c r="J1060" t="s">
        <v>46</v>
      </c>
      <c r="K1060" t="s">
        <v>41</v>
      </c>
      <c r="L1060" t="s">
        <v>5629</v>
      </c>
      <c r="M1060" t="s">
        <v>5630</v>
      </c>
      <c r="N1060" t="s">
        <v>4904</v>
      </c>
      <c r="O1060" t="s">
        <v>91</v>
      </c>
      <c r="P1060" t="s">
        <v>5631</v>
      </c>
      <c r="Q1060" s="14" t="s">
        <v>178</v>
      </c>
      <c r="R1060" t="s">
        <v>5610</v>
      </c>
      <c r="S1060">
        <v>1</v>
      </c>
      <c r="T1060">
        <v>5476</v>
      </c>
      <c r="U1060">
        <v>0</v>
      </c>
      <c r="V1060">
        <v>5476</v>
      </c>
    </row>
    <row r="1061" spans="1:22" x14ac:dyDescent="0.3">
      <c r="A1061">
        <v>186607</v>
      </c>
      <c r="B1061">
        <v>135002168</v>
      </c>
      <c r="C1061" t="s">
        <v>5632</v>
      </c>
      <c r="D1061" t="s">
        <v>5633</v>
      </c>
      <c r="E1061" t="s">
        <v>4901</v>
      </c>
      <c r="F1061" t="s">
        <v>491</v>
      </c>
      <c r="G1061" t="s">
        <v>44</v>
      </c>
      <c r="H1061" t="s">
        <v>45</v>
      </c>
      <c r="I1061" t="s">
        <v>34</v>
      </c>
      <c r="J1061" t="s">
        <v>46</v>
      </c>
      <c r="K1061" t="s">
        <v>41</v>
      </c>
      <c r="L1061" t="s">
        <v>5634</v>
      </c>
      <c r="M1061" t="s">
        <v>5635</v>
      </c>
      <c r="N1061" t="s">
        <v>4904</v>
      </c>
      <c r="O1061" t="s">
        <v>91</v>
      </c>
      <c r="P1061" t="s">
        <v>5636</v>
      </c>
      <c r="Q1061" s="14" t="s">
        <v>43</v>
      </c>
      <c r="R1061" t="s">
        <v>453</v>
      </c>
      <c r="S1061">
        <v>0.5</v>
      </c>
      <c r="T1061">
        <v>3680</v>
      </c>
      <c r="U1061">
        <v>0</v>
      </c>
      <c r="V1061">
        <v>3680</v>
      </c>
    </row>
    <row r="1062" spans="1:22" x14ac:dyDescent="0.3">
      <c r="A1062">
        <v>186607</v>
      </c>
      <c r="B1062">
        <v>135002170</v>
      </c>
      <c r="C1062" t="s">
        <v>5637</v>
      </c>
      <c r="D1062" t="s">
        <v>5638</v>
      </c>
      <c r="E1062" t="s">
        <v>4901</v>
      </c>
      <c r="F1062" t="s">
        <v>491</v>
      </c>
      <c r="G1062" t="s">
        <v>44</v>
      </c>
      <c r="H1062" t="s">
        <v>45</v>
      </c>
      <c r="I1062" t="s">
        <v>34</v>
      </c>
      <c r="J1062" t="s">
        <v>46</v>
      </c>
      <c r="K1062" t="s">
        <v>41</v>
      </c>
      <c r="L1062" t="s">
        <v>5639</v>
      </c>
      <c r="M1062" t="s">
        <v>5640</v>
      </c>
      <c r="N1062" t="s">
        <v>4904</v>
      </c>
      <c r="O1062" t="s">
        <v>91</v>
      </c>
      <c r="P1062" t="s">
        <v>5641</v>
      </c>
      <c r="Q1062" s="14" t="s">
        <v>43</v>
      </c>
      <c r="R1062" t="s">
        <v>453</v>
      </c>
      <c r="S1062">
        <v>0.5</v>
      </c>
      <c r="T1062">
        <v>3680</v>
      </c>
      <c r="U1062">
        <v>0</v>
      </c>
      <c r="V1062">
        <v>3680</v>
      </c>
    </row>
    <row r="1063" spans="1:22" x14ac:dyDescent="0.3">
      <c r="A1063">
        <v>186607</v>
      </c>
      <c r="B1063">
        <v>134981801</v>
      </c>
      <c r="C1063" t="s">
        <v>5642</v>
      </c>
      <c r="D1063" t="s">
        <v>5643</v>
      </c>
      <c r="E1063" t="s">
        <v>4901</v>
      </c>
      <c r="F1063" t="s">
        <v>491</v>
      </c>
      <c r="G1063" t="s">
        <v>44</v>
      </c>
      <c r="H1063" t="s">
        <v>45</v>
      </c>
      <c r="I1063" t="s">
        <v>34</v>
      </c>
      <c r="J1063" t="s">
        <v>46</v>
      </c>
      <c r="K1063" t="s">
        <v>41</v>
      </c>
      <c r="L1063" t="s">
        <v>5644</v>
      </c>
      <c r="M1063" t="s">
        <v>5645</v>
      </c>
      <c r="N1063" t="s">
        <v>4904</v>
      </c>
      <c r="O1063" t="s">
        <v>91</v>
      </c>
      <c r="P1063" t="s">
        <v>5646</v>
      </c>
      <c r="Q1063" s="14" t="s">
        <v>89</v>
      </c>
      <c r="R1063" t="s">
        <v>381</v>
      </c>
      <c r="S1063">
        <v>0.5</v>
      </c>
      <c r="T1063">
        <v>3680</v>
      </c>
      <c r="U1063">
        <v>0</v>
      </c>
      <c r="V1063">
        <v>3680</v>
      </c>
    </row>
    <row r="1064" spans="1:22" x14ac:dyDescent="0.3">
      <c r="A1064">
        <v>186607</v>
      </c>
      <c r="B1064">
        <v>134981794</v>
      </c>
      <c r="C1064" t="s">
        <v>5647</v>
      </c>
      <c r="D1064" t="s">
        <v>5648</v>
      </c>
      <c r="E1064" t="s">
        <v>4901</v>
      </c>
      <c r="F1064" t="s">
        <v>491</v>
      </c>
      <c r="G1064" t="s">
        <v>44</v>
      </c>
      <c r="H1064" t="s">
        <v>45</v>
      </c>
      <c r="I1064" t="s">
        <v>34</v>
      </c>
      <c r="J1064" t="s">
        <v>46</v>
      </c>
      <c r="K1064" t="s">
        <v>41</v>
      </c>
      <c r="L1064" t="s">
        <v>5649</v>
      </c>
      <c r="M1064" t="s">
        <v>5650</v>
      </c>
      <c r="N1064" t="s">
        <v>4904</v>
      </c>
      <c r="O1064" t="s">
        <v>91</v>
      </c>
      <c r="P1064" t="s">
        <v>5651</v>
      </c>
      <c r="Q1064" s="14" t="s">
        <v>153</v>
      </c>
      <c r="R1064" t="s">
        <v>381</v>
      </c>
      <c r="S1064">
        <v>0.5</v>
      </c>
      <c r="T1064">
        <v>3299</v>
      </c>
      <c r="U1064">
        <v>0</v>
      </c>
      <c r="V1064">
        <v>3299</v>
      </c>
    </row>
    <row r="1065" spans="1:22" x14ac:dyDescent="0.3">
      <c r="A1065">
        <v>186607</v>
      </c>
      <c r="B1065">
        <v>134981823</v>
      </c>
      <c r="C1065" t="s">
        <v>5652</v>
      </c>
      <c r="D1065" t="s">
        <v>5653</v>
      </c>
      <c r="E1065" t="s">
        <v>4901</v>
      </c>
      <c r="F1065" t="s">
        <v>491</v>
      </c>
      <c r="G1065" t="s">
        <v>44</v>
      </c>
      <c r="H1065" t="s">
        <v>45</v>
      </c>
      <c r="I1065" t="s">
        <v>34</v>
      </c>
      <c r="J1065" t="s">
        <v>46</v>
      </c>
      <c r="K1065" t="s">
        <v>41</v>
      </c>
      <c r="L1065" t="s">
        <v>5654</v>
      </c>
      <c r="M1065" t="s">
        <v>5655</v>
      </c>
      <c r="N1065" t="s">
        <v>4904</v>
      </c>
      <c r="O1065" t="s">
        <v>91</v>
      </c>
      <c r="P1065" t="s">
        <v>5656</v>
      </c>
      <c r="Q1065" s="14" t="s">
        <v>108</v>
      </c>
      <c r="R1065" t="s">
        <v>5108</v>
      </c>
      <c r="S1065">
        <v>0.5</v>
      </c>
      <c r="T1065">
        <v>3680</v>
      </c>
      <c r="U1065">
        <v>0</v>
      </c>
      <c r="V1065">
        <v>3680</v>
      </c>
    </row>
    <row r="1066" spans="1:22" x14ac:dyDescent="0.3">
      <c r="A1066">
        <v>186607</v>
      </c>
      <c r="B1066">
        <v>134941022</v>
      </c>
      <c r="C1066" t="s">
        <v>5657</v>
      </c>
      <c r="D1066" t="s">
        <v>5658</v>
      </c>
      <c r="E1066" t="s">
        <v>4901</v>
      </c>
      <c r="F1066" t="s">
        <v>491</v>
      </c>
      <c r="G1066" t="s">
        <v>44</v>
      </c>
      <c r="H1066" t="s">
        <v>45</v>
      </c>
      <c r="I1066" t="s">
        <v>34</v>
      </c>
      <c r="J1066" t="s">
        <v>46</v>
      </c>
      <c r="K1066" t="s">
        <v>41</v>
      </c>
      <c r="L1066" t="s">
        <v>5659</v>
      </c>
      <c r="M1066" t="s">
        <v>5660</v>
      </c>
      <c r="N1066" t="s">
        <v>4904</v>
      </c>
      <c r="O1066" t="s">
        <v>91</v>
      </c>
      <c r="P1066" t="s">
        <v>5661</v>
      </c>
      <c r="Q1066" s="14" t="s">
        <v>192</v>
      </c>
      <c r="R1066" t="s">
        <v>5610</v>
      </c>
      <c r="S1066">
        <v>3.76</v>
      </c>
      <c r="T1066">
        <v>5376</v>
      </c>
      <c r="U1066">
        <v>0</v>
      </c>
      <c r="V1066">
        <v>5376</v>
      </c>
    </row>
    <row r="1067" spans="1:22" x14ac:dyDescent="0.3">
      <c r="A1067">
        <v>186607</v>
      </c>
      <c r="B1067">
        <v>134981826</v>
      </c>
      <c r="C1067" t="s">
        <v>5662</v>
      </c>
      <c r="D1067" t="s">
        <v>5663</v>
      </c>
      <c r="E1067" t="s">
        <v>4901</v>
      </c>
      <c r="F1067" t="s">
        <v>491</v>
      </c>
      <c r="G1067" t="s">
        <v>44</v>
      </c>
      <c r="H1067" t="s">
        <v>45</v>
      </c>
      <c r="I1067" t="s">
        <v>34</v>
      </c>
      <c r="J1067" t="s">
        <v>46</v>
      </c>
      <c r="K1067" t="s">
        <v>41</v>
      </c>
      <c r="L1067" t="s">
        <v>5664</v>
      </c>
      <c r="M1067" t="s">
        <v>5665</v>
      </c>
      <c r="N1067" t="s">
        <v>4904</v>
      </c>
      <c r="O1067" t="s">
        <v>91</v>
      </c>
      <c r="P1067" t="s">
        <v>5666</v>
      </c>
      <c r="Q1067" s="14" t="s">
        <v>93</v>
      </c>
      <c r="R1067" t="s">
        <v>5108</v>
      </c>
      <c r="S1067">
        <v>0.5</v>
      </c>
      <c r="T1067">
        <v>3680</v>
      </c>
      <c r="U1067">
        <v>0</v>
      </c>
      <c r="V1067">
        <v>3680</v>
      </c>
    </row>
    <row r="1068" spans="1:22" x14ac:dyDescent="0.3">
      <c r="A1068">
        <v>186607</v>
      </c>
      <c r="B1068">
        <v>134981799</v>
      </c>
      <c r="C1068" t="s">
        <v>5667</v>
      </c>
      <c r="D1068" t="s">
        <v>5668</v>
      </c>
      <c r="E1068" t="s">
        <v>4901</v>
      </c>
      <c r="F1068" t="s">
        <v>491</v>
      </c>
      <c r="G1068" t="s">
        <v>44</v>
      </c>
      <c r="H1068" t="s">
        <v>45</v>
      </c>
      <c r="I1068" t="s">
        <v>34</v>
      </c>
      <c r="J1068" t="s">
        <v>46</v>
      </c>
      <c r="K1068" t="s">
        <v>41</v>
      </c>
      <c r="L1068" t="s">
        <v>5669</v>
      </c>
      <c r="M1068" t="s">
        <v>5670</v>
      </c>
      <c r="N1068" t="s">
        <v>4904</v>
      </c>
      <c r="O1068" t="s">
        <v>91</v>
      </c>
      <c r="P1068" t="s">
        <v>5671</v>
      </c>
      <c r="Q1068" s="14" t="s">
        <v>42</v>
      </c>
      <c r="R1068" t="s">
        <v>381</v>
      </c>
      <c r="S1068">
        <v>0.5</v>
      </c>
      <c r="T1068">
        <v>3449</v>
      </c>
      <c r="U1068">
        <v>0</v>
      </c>
      <c r="V1068">
        <v>3449</v>
      </c>
    </row>
    <row r="1069" spans="1:22" x14ac:dyDescent="0.3">
      <c r="A1069">
        <v>186607</v>
      </c>
      <c r="B1069">
        <v>134981832</v>
      </c>
      <c r="C1069" t="s">
        <v>5672</v>
      </c>
      <c r="D1069" t="s">
        <v>5673</v>
      </c>
      <c r="E1069" t="s">
        <v>4901</v>
      </c>
      <c r="F1069" t="s">
        <v>491</v>
      </c>
      <c r="G1069" t="s">
        <v>44</v>
      </c>
      <c r="H1069" t="s">
        <v>45</v>
      </c>
      <c r="I1069" t="s">
        <v>34</v>
      </c>
      <c r="J1069" t="s">
        <v>46</v>
      </c>
      <c r="K1069" t="s">
        <v>41</v>
      </c>
      <c r="L1069" t="s">
        <v>5674</v>
      </c>
      <c r="M1069" t="s">
        <v>5675</v>
      </c>
      <c r="N1069" t="s">
        <v>4904</v>
      </c>
      <c r="O1069" t="s">
        <v>91</v>
      </c>
      <c r="P1069" t="s">
        <v>5676</v>
      </c>
      <c r="Q1069" s="14" t="s">
        <v>92</v>
      </c>
      <c r="R1069" t="s">
        <v>5108</v>
      </c>
      <c r="S1069">
        <v>0.5</v>
      </c>
      <c r="T1069">
        <v>3680</v>
      </c>
      <c r="U1069">
        <v>0</v>
      </c>
      <c r="V1069">
        <v>3680</v>
      </c>
    </row>
    <row r="1070" spans="1:22" x14ac:dyDescent="0.3">
      <c r="A1070">
        <v>186607</v>
      </c>
      <c r="B1070">
        <v>134981820</v>
      </c>
      <c r="C1070" t="s">
        <v>5677</v>
      </c>
      <c r="D1070" t="s">
        <v>5678</v>
      </c>
      <c r="E1070" t="s">
        <v>4901</v>
      </c>
      <c r="F1070" t="s">
        <v>491</v>
      </c>
      <c r="G1070" t="s">
        <v>44</v>
      </c>
      <c r="H1070" t="s">
        <v>45</v>
      </c>
      <c r="I1070" t="s">
        <v>34</v>
      </c>
      <c r="J1070" t="s">
        <v>46</v>
      </c>
      <c r="K1070" t="s">
        <v>41</v>
      </c>
      <c r="L1070" t="s">
        <v>5679</v>
      </c>
      <c r="M1070" t="s">
        <v>5680</v>
      </c>
      <c r="N1070" t="s">
        <v>4904</v>
      </c>
      <c r="O1070" t="s">
        <v>91</v>
      </c>
      <c r="P1070" t="s">
        <v>5681</v>
      </c>
      <c r="Q1070" s="14" t="s">
        <v>108</v>
      </c>
      <c r="R1070" t="s">
        <v>5108</v>
      </c>
      <c r="S1070">
        <v>0.5</v>
      </c>
      <c r="T1070">
        <v>3680</v>
      </c>
      <c r="U1070">
        <v>0</v>
      </c>
      <c r="V1070">
        <v>3680</v>
      </c>
    </row>
    <row r="1071" spans="1:22" x14ac:dyDescent="0.3">
      <c r="A1071">
        <v>186607</v>
      </c>
      <c r="B1071">
        <v>134981842</v>
      </c>
      <c r="C1071" t="s">
        <v>5682</v>
      </c>
      <c r="D1071" t="s">
        <v>5683</v>
      </c>
      <c r="E1071" t="s">
        <v>4901</v>
      </c>
      <c r="F1071" t="s">
        <v>491</v>
      </c>
      <c r="G1071" t="s">
        <v>44</v>
      </c>
      <c r="H1071" t="s">
        <v>45</v>
      </c>
      <c r="I1071" t="s">
        <v>34</v>
      </c>
      <c r="J1071" t="s">
        <v>46</v>
      </c>
      <c r="K1071" t="s">
        <v>41</v>
      </c>
      <c r="L1071" t="s">
        <v>5684</v>
      </c>
      <c r="M1071" t="s">
        <v>5685</v>
      </c>
      <c r="N1071" t="s">
        <v>4904</v>
      </c>
      <c r="O1071" t="s">
        <v>91</v>
      </c>
      <c r="P1071" t="s">
        <v>5686</v>
      </c>
      <c r="Q1071" s="14" t="s">
        <v>86</v>
      </c>
      <c r="R1071" t="s">
        <v>5108</v>
      </c>
      <c r="S1071">
        <v>0.5</v>
      </c>
      <c r="T1071">
        <v>3299</v>
      </c>
      <c r="U1071">
        <v>0</v>
      </c>
      <c r="V1071">
        <v>3299</v>
      </c>
    </row>
    <row r="1072" spans="1:22" x14ac:dyDescent="0.3">
      <c r="A1072">
        <v>186607</v>
      </c>
      <c r="B1072">
        <v>134941017</v>
      </c>
      <c r="C1072" t="s">
        <v>5687</v>
      </c>
      <c r="D1072" t="s">
        <v>5688</v>
      </c>
      <c r="E1072" t="s">
        <v>4901</v>
      </c>
      <c r="F1072" t="s">
        <v>491</v>
      </c>
      <c r="G1072" t="s">
        <v>44</v>
      </c>
      <c r="H1072" t="s">
        <v>45</v>
      </c>
      <c r="I1072" t="s">
        <v>34</v>
      </c>
      <c r="J1072" t="s">
        <v>46</v>
      </c>
      <c r="K1072" t="s">
        <v>41</v>
      </c>
      <c r="L1072" t="s">
        <v>5689</v>
      </c>
      <c r="M1072" t="s">
        <v>5690</v>
      </c>
      <c r="N1072" t="s">
        <v>4904</v>
      </c>
      <c r="O1072" t="s">
        <v>91</v>
      </c>
      <c r="P1072" t="s">
        <v>5691</v>
      </c>
      <c r="Q1072" s="14" t="s">
        <v>169</v>
      </c>
      <c r="R1072" t="s">
        <v>5610</v>
      </c>
      <c r="S1072">
        <v>1</v>
      </c>
      <c r="T1072">
        <v>4067</v>
      </c>
      <c r="U1072">
        <v>0</v>
      </c>
      <c r="V1072">
        <v>4067</v>
      </c>
    </row>
    <row r="1073" spans="1:22" x14ac:dyDescent="0.3">
      <c r="A1073">
        <v>186607</v>
      </c>
      <c r="B1073">
        <v>134941011</v>
      </c>
      <c r="C1073" t="s">
        <v>5692</v>
      </c>
      <c r="D1073" t="s">
        <v>5693</v>
      </c>
      <c r="E1073" t="s">
        <v>4901</v>
      </c>
      <c r="F1073" t="s">
        <v>491</v>
      </c>
      <c r="G1073" t="s">
        <v>44</v>
      </c>
      <c r="H1073" t="s">
        <v>45</v>
      </c>
      <c r="I1073" t="s">
        <v>34</v>
      </c>
      <c r="J1073" t="s">
        <v>46</v>
      </c>
      <c r="K1073" t="s">
        <v>41</v>
      </c>
      <c r="L1073" t="s">
        <v>5694</v>
      </c>
      <c r="M1073" t="s">
        <v>5695</v>
      </c>
      <c r="N1073" t="s">
        <v>4904</v>
      </c>
      <c r="O1073" t="s">
        <v>91</v>
      </c>
      <c r="P1073" t="s">
        <v>5696</v>
      </c>
      <c r="Q1073" s="14" t="s">
        <v>60</v>
      </c>
      <c r="R1073" t="s">
        <v>5610</v>
      </c>
      <c r="S1073">
        <v>0.5</v>
      </c>
      <c r="T1073">
        <v>4067</v>
      </c>
      <c r="U1073">
        <v>0</v>
      </c>
      <c r="V1073">
        <v>4067</v>
      </c>
    </row>
    <row r="1074" spans="1:22" x14ac:dyDescent="0.3">
      <c r="A1074">
        <v>186607</v>
      </c>
      <c r="B1074">
        <v>134981813</v>
      </c>
      <c r="C1074" t="s">
        <v>5697</v>
      </c>
      <c r="D1074" t="s">
        <v>5698</v>
      </c>
      <c r="E1074" t="s">
        <v>4901</v>
      </c>
      <c r="F1074" t="s">
        <v>491</v>
      </c>
      <c r="G1074" t="s">
        <v>44</v>
      </c>
      <c r="H1074" t="s">
        <v>45</v>
      </c>
      <c r="I1074" t="s">
        <v>34</v>
      </c>
      <c r="J1074" t="s">
        <v>46</v>
      </c>
      <c r="K1074" t="s">
        <v>41</v>
      </c>
      <c r="L1074" t="s">
        <v>5699</v>
      </c>
      <c r="M1074" t="s">
        <v>5700</v>
      </c>
      <c r="N1074" t="s">
        <v>4904</v>
      </c>
      <c r="O1074" t="s">
        <v>91</v>
      </c>
      <c r="P1074" t="s">
        <v>5701</v>
      </c>
      <c r="Q1074" s="14" t="s">
        <v>68</v>
      </c>
      <c r="R1074" t="s">
        <v>5108</v>
      </c>
      <c r="S1074">
        <v>0.5</v>
      </c>
      <c r="T1074">
        <v>3449</v>
      </c>
      <c r="U1074">
        <v>0</v>
      </c>
      <c r="V1074">
        <v>3449</v>
      </c>
    </row>
    <row r="1075" spans="1:22" x14ac:dyDescent="0.3">
      <c r="A1075">
        <v>186607</v>
      </c>
      <c r="B1075">
        <v>134950348</v>
      </c>
      <c r="C1075" t="s">
        <v>5702</v>
      </c>
      <c r="D1075" t="s">
        <v>5703</v>
      </c>
      <c r="E1075" t="s">
        <v>4901</v>
      </c>
      <c r="F1075" t="s">
        <v>491</v>
      </c>
      <c r="G1075" t="s">
        <v>44</v>
      </c>
      <c r="H1075" t="s">
        <v>45</v>
      </c>
      <c r="I1075" t="s">
        <v>34</v>
      </c>
      <c r="J1075" t="s">
        <v>46</v>
      </c>
      <c r="K1075" t="s">
        <v>41</v>
      </c>
      <c r="L1075" t="s">
        <v>5704</v>
      </c>
      <c r="M1075" t="s">
        <v>5705</v>
      </c>
      <c r="N1075" t="s">
        <v>4904</v>
      </c>
      <c r="O1075" t="s">
        <v>91</v>
      </c>
      <c r="P1075" t="s">
        <v>5706</v>
      </c>
      <c r="Q1075" s="14" t="s">
        <v>178</v>
      </c>
      <c r="R1075" t="s">
        <v>5621</v>
      </c>
      <c r="S1075">
        <v>0.5</v>
      </c>
      <c r="T1075">
        <v>4067</v>
      </c>
      <c r="U1075">
        <v>0</v>
      </c>
      <c r="V1075">
        <v>4067</v>
      </c>
    </row>
    <row r="1076" spans="1:22" x14ac:dyDescent="0.3">
      <c r="A1076">
        <v>186607</v>
      </c>
      <c r="B1076">
        <v>134981803</v>
      </c>
      <c r="C1076" t="s">
        <v>5707</v>
      </c>
      <c r="D1076" t="s">
        <v>5708</v>
      </c>
      <c r="E1076" t="s">
        <v>4901</v>
      </c>
      <c r="F1076" t="s">
        <v>491</v>
      </c>
      <c r="G1076" t="s">
        <v>44</v>
      </c>
      <c r="H1076" t="s">
        <v>45</v>
      </c>
      <c r="I1076" t="s">
        <v>34</v>
      </c>
      <c r="J1076" t="s">
        <v>46</v>
      </c>
      <c r="K1076" t="s">
        <v>41</v>
      </c>
      <c r="L1076" t="s">
        <v>5709</v>
      </c>
      <c r="M1076" t="s">
        <v>5710</v>
      </c>
      <c r="N1076" t="s">
        <v>4904</v>
      </c>
      <c r="O1076" t="s">
        <v>91</v>
      </c>
      <c r="P1076" t="s">
        <v>5711</v>
      </c>
      <c r="Q1076" s="14" t="s">
        <v>108</v>
      </c>
      <c r="R1076" t="s">
        <v>381</v>
      </c>
      <c r="S1076">
        <v>0.5</v>
      </c>
      <c r="T1076">
        <v>3680</v>
      </c>
      <c r="U1076">
        <v>0</v>
      </c>
      <c r="V1076">
        <v>3680</v>
      </c>
    </row>
    <row r="1077" spans="1:22" x14ac:dyDescent="0.3">
      <c r="A1077">
        <v>186607</v>
      </c>
      <c r="B1077">
        <v>134941029</v>
      </c>
      <c r="C1077" t="s">
        <v>5712</v>
      </c>
      <c r="D1077" t="s">
        <v>5713</v>
      </c>
      <c r="E1077" t="s">
        <v>4901</v>
      </c>
      <c r="F1077" t="s">
        <v>491</v>
      </c>
      <c r="G1077" t="s">
        <v>44</v>
      </c>
      <c r="H1077" t="s">
        <v>45</v>
      </c>
      <c r="I1077" t="s">
        <v>34</v>
      </c>
      <c r="J1077" t="s">
        <v>46</v>
      </c>
      <c r="K1077" t="s">
        <v>41</v>
      </c>
      <c r="L1077" t="s">
        <v>5714</v>
      </c>
      <c r="M1077" t="s">
        <v>5715</v>
      </c>
      <c r="N1077" t="s">
        <v>4904</v>
      </c>
      <c r="O1077" t="s">
        <v>91</v>
      </c>
      <c r="P1077" t="s">
        <v>5716</v>
      </c>
      <c r="Q1077" s="14" t="s">
        <v>197</v>
      </c>
      <c r="R1077" t="s">
        <v>5610</v>
      </c>
      <c r="S1077">
        <v>0.5</v>
      </c>
      <c r="T1077">
        <v>4415</v>
      </c>
      <c r="U1077">
        <v>0</v>
      </c>
      <c r="V1077">
        <v>4415</v>
      </c>
    </row>
    <row r="1078" spans="1:22" x14ac:dyDescent="0.3">
      <c r="A1078">
        <v>186607</v>
      </c>
      <c r="B1078">
        <v>134950357</v>
      </c>
      <c r="C1078" t="s">
        <v>5717</v>
      </c>
      <c r="D1078" t="s">
        <v>5718</v>
      </c>
      <c r="E1078" t="s">
        <v>4901</v>
      </c>
      <c r="F1078" t="s">
        <v>491</v>
      </c>
      <c r="G1078" t="s">
        <v>44</v>
      </c>
      <c r="H1078" t="s">
        <v>45</v>
      </c>
      <c r="I1078" t="s">
        <v>34</v>
      </c>
      <c r="J1078" t="s">
        <v>46</v>
      </c>
      <c r="K1078" t="s">
        <v>41</v>
      </c>
      <c r="L1078" t="s">
        <v>5719</v>
      </c>
      <c r="M1078" t="s">
        <v>5720</v>
      </c>
      <c r="N1078" t="s">
        <v>4904</v>
      </c>
      <c r="O1078" t="s">
        <v>91</v>
      </c>
      <c r="P1078" t="s">
        <v>5721</v>
      </c>
      <c r="Q1078" s="14" t="s">
        <v>70</v>
      </c>
      <c r="R1078" t="s">
        <v>5621</v>
      </c>
      <c r="S1078">
        <v>0.5</v>
      </c>
      <c r="T1078">
        <v>4067</v>
      </c>
      <c r="U1078">
        <v>0</v>
      </c>
      <c r="V1078">
        <v>4067</v>
      </c>
    </row>
    <row r="1079" spans="1:22" x14ac:dyDescent="0.3">
      <c r="A1079">
        <v>186607</v>
      </c>
      <c r="B1079">
        <v>135002206</v>
      </c>
      <c r="C1079" t="s">
        <v>5722</v>
      </c>
      <c r="D1079" t="s">
        <v>5723</v>
      </c>
      <c r="E1079" t="s">
        <v>4901</v>
      </c>
      <c r="F1079" t="s">
        <v>491</v>
      </c>
      <c r="G1079" t="s">
        <v>44</v>
      </c>
      <c r="H1079" t="s">
        <v>45</v>
      </c>
      <c r="I1079" t="s">
        <v>34</v>
      </c>
      <c r="J1079" t="s">
        <v>46</v>
      </c>
      <c r="K1079" t="s">
        <v>41</v>
      </c>
      <c r="L1079" t="s">
        <v>5724</v>
      </c>
      <c r="M1079" t="s">
        <v>5725</v>
      </c>
      <c r="N1079" t="s">
        <v>4904</v>
      </c>
      <c r="O1079" t="s">
        <v>91</v>
      </c>
      <c r="P1079" t="s">
        <v>5726</v>
      </c>
      <c r="Q1079" s="14" t="s">
        <v>109</v>
      </c>
      <c r="R1079" t="s">
        <v>453</v>
      </c>
      <c r="S1079">
        <v>0.5</v>
      </c>
      <c r="T1079">
        <v>3449</v>
      </c>
      <c r="U1079">
        <v>0</v>
      </c>
      <c r="V1079">
        <v>3449</v>
      </c>
    </row>
    <row r="1080" spans="1:22" x14ac:dyDescent="0.3">
      <c r="A1080">
        <v>186607</v>
      </c>
      <c r="B1080">
        <v>134981795</v>
      </c>
      <c r="C1080" t="s">
        <v>5727</v>
      </c>
      <c r="D1080" t="s">
        <v>5728</v>
      </c>
      <c r="E1080" t="s">
        <v>4901</v>
      </c>
      <c r="F1080" t="s">
        <v>491</v>
      </c>
      <c r="G1080" t="s">
        <v>44</v>
      </c>
      <c r="H1080" t="s">
        <v>45</v>
      </c>
      <c r="I1080" t="s">
        <v>34</v>
      </c>
      <c r="J1080" t="s">
        <v>46</v>
      </c>
      <c r="K1080" t="s">
        <v>116</v>
      </c>
      <c r="L1080" t="s">
        <v>248</v>
      </c>
      <c r="M1080" t="s">
        <v>5729</v>
      </c>
      <c r="N1080" t="s">
        <v>4904</v>
      </c>
      <c r="O1080" t="s">
        <v>91</v>
      </c>
      <c r="P1080" t="s">
        <v>5730</v>
      </c>
      <c r="Q1080" s="14" t="s">
        <v>85</v>
      </c>
      <c r="R1080" t="s">
        <v>381</v>
      </c>
      <c r="S1080">
        <v>0.5</v>
      </c>
      <c r="T1080">
        <v>3449</v>
      </c>
      <c r="U1080">
        <v>0</v>
      </c>
      <c r="V1080">
        <v>3449</v>
      </c>
    </row>
    <row r="1081" spans="1:22" x14ac:dyDescent="0.3">
      <c r="A1081">
        <v>186607</v>
      </c>
      <c r="B1081">
        <v>135002191</v>
      </c>
      <c r="C1081" t="s">
        <v>5731</v>
      </c>
      <c r="D1081" t="s">
        <v>5732</v>
      </c>
      <c r="E1081" t="s">
        <v>4901</v>
      </c>
      <c r="F1081" t="s">
        <v>491</v>
      </c>
      <c r="G1081" t="s">
        <v>44</v>
      </c>
      <c r="H1081" t="s">
        <v>45</v>
      </c>
      <c r="I1081" t="s">
        <v>34</v>
      </c>
      <c r="J1081" t="s">
        <v>46</v>
      </c>
      <c r="K1081" t="s">
        <v>41</v>
      </c>
      <c r="L1081" t="s">
        <v>5733</v>
      </c>
      <c r="M1081" t="s">
        <v>5734</v>
      </c>
      <c r="N1081" t="s">
        <v>4904</v>
      </c>
      <c r="O1081" t="s">
        <v>91</v>
      </c>
      <c r="P1081" t="s">
        <v>5735</v>
      </c>
      <c r="Q1081" s="14" t="s">
        <v>81</v>
      </c>
      <c r="R1081" t="s">
        <v>453</v>
      </c>
      <c r="S1081">
        <v>0.5</v>
      </c>
      <c r="T1081">
        <v>3680</v>
      </c>
      <c r="U1081">
        <v>0</v>
      </c>
      <c r="V1081">
        <v>3680</v>
      </c>
    </row>
    <row r="1082" spans="1:22" x14ac:dyDescent="0.3">
      <c r="A1082">
        <v>186607</v>
      </c>
      <c r="B1082">
        <v>134981812</v>
      </c>
      <c r="C1082" t="s">
        <v>5736</v>
      </c>
      <c r="D1082" t="s">
        <v>5737</v>
      </c>
      <c r="E1082" t="s">
        <v>4901</v>
      </c>
      <c r="F1082" t="s">
        <v>491</v>
      </c>
      <c r="G1082" t="s">
        <v>44</v>
      </c>
      <c r="H1082" t="s">
        <v>45</v>
      </c>
      <c r="I1082" t="s">
        <v>34</v>
      </c>
      <c r="J1082" t="s">
        <v>46</v>
      </c>
      <c r="K1082" t="s">
        <v>41</v>
      </c>
      <c r="L1082" t="s">
        <v>5738</v>
      </c>
      <c r="M1082" t="s">
        <v>5739</v>
      </c>
      <c r="N1082" t="s">
        <v>4904</v>
      </c>
      <c r="O1082" t="s">
        <v>91</v>
      </c>
      <c r="P1082" t="s">
        <v>5740</v>
      </c>
      <c r="Q1082" s="14" t="s">
        <v>42</v>
      </c>
      <c r="R1082" t="s">
        <v>5108</v>
      </c>
      <c r="S1082">
        <v>1</v>
      </c>
      <c r="T1082">
        <v>3501</v>
      </c>
      <c r="U1082">
        <v>0</v>
      </c>
      <c r="V1082">
        <v>3501</v>
      </c>
    </row>
    <row r="1083" spans="1:22" x14ac:dyDescent="0.3">
      <c r="A1083">
        <v>186607</v>
      </c>
      <c r="B1083">
        <v>134981828</v>
      </c>
      <c r="C1083" t="s">
        <v>5741</v>
      </c>
      <c r="D1083" t="s">
        <v>5742</v>
      </c>
      <c r="E1083" t="s">
        <v>4901</v>
      </c>
      <c r="F1083" t="s">
        <v>491</v>
      </c>
      <c r="G1083" t="s">
        <v>44</v>
      </c>
      <c r="H1083" t="s">
        <v>45</v>
      </c>
      <c r="I1083" t="s">
        <v>34</v>
      </c>
      <c r="J1083" t="s">
        <v>46</v>
      </c>
      <c r="K1083" t="s">
        <v>41</v>
      </c>
      <c r="L1083" t="s">
        <v>5743</v>
      </c>
      <c r="M1083" t="s">
        <v>5744</v>
      </c>
      <c r="N1083" t="s">
        <v>4904</v>
      </c>
      <c r="O1083" t="s">
        <v>91</v>
      </c>
      <c r="P1083" t="s">
        <v>5745</v>
      </c>
      <c r="Q1083" s="14" t="s">
        <v>160</v>
      </c>
      <c r="R1083" t="s">
        <v>5108</v>
      </c>
      <c r="S1083">
        <v>0.5</v>
      </c>
      <c r="T1083">
        <v>3680</v>
      </c>
      <c r="U1083">
        <v>0</v>
      </c>
      <c r="V1083">
        <v>3680</v>
      </c>
    </row>
    <row r="1084" spans="1:22" x14ac:dyDescent="0.3">
      <c r="A1084">
        <v>186607</v>
      </c>
      <c r="B1084">
        <v>134981840</v>
      </c>
      <c r="C1084" t="s">
        <v>5746</v>
      </c>
      <c r="D1084" t="s">
        <v>5747</v>
      </c>
      <c r="E1084" t="s">
        <v>4901</v>
      </c>
      <c r="F1084" t="s">
        <v>491</v>
      </c>
      <c r="G1084" t="s">
        <v>44</v>
      </c>
      <c r="H1084" t="s">
        <v>45</v>
      </c>
      <c r="I1084" t="s">
        <v>34</v>
      </c>
      <c r="J1084" t="s">
        <v>46</v>
      </c>
      <c r="K1084" t="s">
        <v>41</v>
      </c>
      <c r="L1084" t="s">
        <v>5748</v>
      </c>
      <c r="M1084" t="s">
        <v>287</v>
      </c>
      <c r="N1084" t="s">
        <v>4904</v>
      </c>
      <c r="O1084" t="s">
        <v>91</v>
      </c>
      <c r="P1084" t="s">
        <v>5749</v>
      </c>
      <c r="Q1084" s="14" t="s">
        <v>85</v>
      </c>
      <c r="R1084" t="s">
        <v>5108</v>
      </c>
      <c r="S1084">
        <v>1</v>
      </c>
      <c r="T1084">
        <v>3784</v>
      </c>
      <c r="U1084">
        <v>0</v>
      </c>
      <c r="V1084">
        <v>3784</v>
      </c>
    </row>
    <row r="1085" spans="1:22" x14ac:dyDescent="0.3">
      <c r="A1085">
        <v>186607</v>
      </c>
      <c r="B1085">
        <v>134981818</v>
      </c>
      <c r="C1085" t="s">
        <v>5750</v>
      </c>
      <c r="D1085" t="s">
        <v>5751</v>
      </c>
      <c r="E1085" t="s">
        <v>4901</v>
      </c>
      <c r="F1085" t="s">
        <v>491</v>
      </c>
      <c r="G1085" t="s">
        <v>44</v>
      </c>
      <c r="H1085" t="s">
        <v>45</v>
      </c>
      <c r="I1085" t="s">
        <v>34</v>
      </c>
      <c r="J1085" t="s">
        <v>46</v>
      </c>
      <c r="K1085" t="s">
        <v>41</v>
      </c>
      <c r="L1085" t="s">
        <v>5752</v>
      </c>
      <c r="M1085" t="s">
        <v>5753</v>
      </c>
      <c r="N1085" t="s">
        <v>4904</v>
      </c>
      <c r="O1085" t="s">
        <v>91</v>
      </c>
      <c r="P1085" t="s">
        <v>5754</v>
      </c>
      <c r="Q1085" s="14" t="s">
        <v>151</v>
      </c>
      <c r="R1085" t="s">
        <v>5108</v>
      </c>
      <c r="S1085">
        <v>0.5</v>
      </c>
      <c r="T1085">
        <v>3299</v>
      </c>
      <c r="U1085">
        <v>0</v>
      </c>
      <c r="V1085">
        <v>3299</v>
      </c>
    </row>
    <row r="1086" spans="1:22" x14ac:dyDescent="0.3">
      <c r="A1086">
        <v>186607</v>
      </c>
      <c r="B1086">
        <v>134917524</v>
      </c>
      <c r="C1086" t="s">
        <v>5755</v>
      </c>
      <c r="D1086" t="s">
        <v>5756</v>
      </c>
      <c r="E1086" t="s">
        <v>4901</v>
      </c>
      <c r="F1086" t="s">
        <v>491</v>
      </c>
      <c r="G1086" t="s">
        <v>44</v>
      </c>
      <c r="H1086" t="s">
        <v>45</v>
      </c>
      <c r="I1086" t="s">
        <v>34</v>
      </c>
      <c r="J1086" t="s">
        <v>46</v>
      </c>
      <c r="K1086" t="s">
        <v>41</v>
      </c>
      <c r="L1086" t="s">
        <v>5602</v>
      </c>
      <c r="M1086" t="s">
        <v>5603</v>
      </c>
      <c r="N1086" t="s">
        <v>4904</v>
      </c>
      <c r="O1086" t="s">
        <v>91</v>
      </c>
      <c r="P1086" t="s">
        <v>5757</v>
      </c>
      <c r="Q1086" s="14" t="s">
        <v>86</v>
      </c>
      <c r="R1086" t="s">
        <v>5758</v>
      </c>
      <c r="S1086">
        <v>0.5</v>
      </c>
      <c r="T1086">
        <v>3299</v>
      </c>
      <c r="U1086">
        <v>0</v>
      </c>
      <c r="V1086">
        <v>3299</v>
      </c>
    </row>
    <row r="1087" spans="1:22" x14ac:dyDescent="0.3">
      <c r="A1087">
        <v>186607</v>
      </c>
      <c r="B1087">
        <v>135002172</v>
      </c>
      <c r="C1087" t="s">
        <v>5759</v>
      </c>
      <c r="D1087" t="s">
        <v>5760</v>
      </c>
      <c r="E1087" t="s">
        <v>4901</v>
      </c>
      <c r="F1087" t="s">
        <v>491</v>
      </c>
      <c r="G1087" t="s">
        <v>44</v>
      </c>
      <c r="H1087" t="s">
        <v>45</v>
      </c>
      <c r="I1087" t="s">
        <v>34</v>
      </c>
      <c r="J1087" t="s">
        <v>46</v>
      </c>
      <c r="K1087" t="s">
        <v>41</v>
      </c>
      <c r="L1087" t="s">
        <v>5761</v>
      </c>
      <c r="M1087" t="s">
        <v>5762</v>
      </c>
      <c r="N1087" t="s">
        <v>4904</v>
      </c>
      <c r="O1087" t="s">
        <v>91</v>
      </c>
      <c r="P1087" t="s">
        <v>5763</v>
      </c>
      <c r="Q1087" s="14" t="s">
        <v>107</v>
      </c>
      <c r="R1087" t="s">
        <v>453</v>
      </c>
      <c r="S1087">
        <v>0.5</v>
      </c>
      <c r="T1087">
        <v>3680</v>
      </c>
      <c r="U1087">
        <v>0</v>
      </c>
      <c r="V1087">
        <v>3680</v>
      </c>
    </row>
    <row r="1088" spans="1:22" x14ac:dyDescent="0.3">
      <c r="A1088">
        <v>186607</v>
      </c>
      <c r="B1088">
        <v>134981778</v>
      </c>
      <c r="C1088" t="s">
        <v>5764</v>
      </c>
      <c r="D1088" t="s">
        <v>5765</v>
      </c>
      <c r="E1088" t="s">
        <v>4901</v>
      </c>
      <c r="F1088" t="s">
        <v>491</v>
      </c>
      <c r="G1088" t="s">
        <v>44</v>
      </c>
      <c r="H1088" t="s">
        <v>45</v>
      </c>
      <c r="I1088" t="s">
        <v>34</v>
      </c>
      <c r="J1088" t="s">
        <v>46</v>
      </c>
      <c r="K1088" t="s">
        <v>41</v>
      </c>
      <c r="L1088" t="s">
        <v>5766</v>
      </c>
      <c r="M1088" t="s">
        <v>117</v>
      </c>
      <c r="N1088" t="s">
        <v>4904</v>
      </c>
      <c r="O1088" t="s">
        <v>91</v>
      </c>
      <c r="P1088" t="s">
        <v>5767</v>
      </c>
      <c r="Q1088" s="14" t="s">
        <v>70</v>
      </c>
      <c r="R1088" t="s">
        <v>381</v>
      </c>
      <c r="S1088">
        <v>1</v>
      </c>
      <c r="T1088">
        <v>5198</v>
      </c>
      <c r="U1088">
        <v>0</v>
      </c>
      <c r="V1088">
        <v>5198</v>
      </c>
    </row>
    <row r="1089" spans="1:22" x14ac:dyDescent="0.3">
      <c r="A1089">
        <v>186607</v>
      </c>
      <c r="B1089">
        <v>134981833</v>
      </c>
      <c r="C1089" t="s">
        <v>5768</v>
      </c>
      <c r="D1089" t="s">
        <v>5769</v>
      </c>
      <c r="E1089" t="s">
        <v>4901</v>
      </c>
      <c r="F1089" t="s">
        <v>491</v>
      </c>
      <c r="G1089" t="s">
        <v>44</v>
      </c>
      <c r="H1089" t="s">
        <v>45</v>
      </c>
      <c r="I1089" t="s">
        <v>34</v>
      </c>
      <c r="J1089" t="s">
        <v>46</v>
      </c>
      <c r="K1089" t="s">
        <v>41</v>
      </c>
      <c r="L1089" t="s">
        <v>5770</v>
      </c>
      <c r="M1089" t="s">
        <v>5771</v>
      </c>
      <c r="N1089" t="s">
        <v>4904</v>
      </c>
      <c r="O1089" t="s">
        <v>91</v>
      </c>
      <c r="P1089" t="s">
        <v>5772</v>
      </c>
      <c r="Q1089" s="14" t="s">
        <v>96</v>
      </c>
      <c r="R1089" t="s">
        <v>5108</v>
      </c>
      <c r="S1089">
        <v>0.5</v>
      </c>
      <c r="T1089">
        <v>3680</v>
      </c>
      <c r="U1089">
        <v>0</v>
      </c>
      <c r="V1089">
        <v>3680</v>
      </c>
    </row>
    <row r="1090" spans="1:22" x14ac:dyDescent="0.3">
      <c r="A1090">
        <v>186607</v>
      </c>
      <c r="B1090">
        <v>134981774</v>
      </c>
      <c r="C1090" t="s">
        <v>5773</v>
      </c>
      <c r="D1090" t="s">
        <v>5774</v>
      </c>
      <c r="E1090" t="s">
        <v>4901</v>
      </c>
      <c r="F1090" t="s">
        <v>491</v>
      </c>
      <c r="G1090" t="s">
        <v>44</v>
      </c>
      <c r="H1090" t="s">
        <v>45</v>
      </c>
      <c r="I1090" t="s">
        <v>34</v>
      </c>
      <c r="J1090" t="s">
        <v>46</v>
      </c>
      <c r="K1090" t="s">
        <v>41</v>
      </c>
      <c r="L1090" t="s">
        <v>5775</v>
      </c>
      <c r="M1090" t="s">
        <v>5776</v>
      </c>
      <c r="N1090" t="s">
        <v>4904</v>
      </c>
      <c r="O1090" t="s">
        <v>91</v>
      </c>
      <c r="P1090" t="s">
        <v>5777</v>
      </c>
      <c r="Q1090" s="14" t="s">
        <v>178</v>
      </c>
      <c r="R1090" t="s">
        <v>381</v>
      </c>
      <c r="S1090">
        <v>2.5499999999999998</v>
      </c>
      <c r="T1090">
        <v>5476</v>
      </c>
      <c r="U1090">
        <v>0</v>
      </c>
      <c r="V1090">
        <v>5476</v>
      </c>
    </row>
    <row r="1091" spans="1:22" x14ac:dyDescent="0.3">
      <c r="A1091">
        <v>186607</v>
      </c>
      <c r="B1091">
        <v>134950359</v>
      </c>
      <c r="C1091" t="s">
        <v>5778</v>
      </c>
      <c r="D1091" t="s">
        <v>5779</v>
      </c>
      <c r="E1091" t="s">
        <v>4901</v>
      </c>
      <c r="F1091" t="s">
        <v>491</v>
      </c>
      <c r="G1091" t="s">
        <v>44</v>
      </c>
      <c r="H1091" t="s">
        <v>45</v>
      </c>
      <c r="I1091" t="s">
        <v>34</v>
      </c>
      <c r="J1091" t="s">
        <v>46</v>
      </c>
      <c r="K1091" t="s">
        <v>41</v>
      </c>
      <c r="L1091" t="s">
        <v>5780</v>
      </c>
      <c r="M1091" t="s">
        <v>5781</v>
      </c>
      <c r="N1091" t="s">
        <v>4904</v>
      </c>
      <c r="O1091" t="s">
        <v>91</v>
      </c>
      <c r="P1091" t="s">
        <v>5782</v>
      </c>
      <c r="Q1091" s="14" t="s">
        <v>93</v>
      </c>
      <c r="R1091" t="s">
        <v>5621</v>
      </c>
      <c r="S1091">
        <v>0.5</v>
      </c>
      <c r="T1091">
        <v>3680</v>
      </c>
      <c r="U1091">
        <v>0</v>
      </c>
      <c r="V1091">
        <v>3680</v>
      </c>
    </row>
    <row r="1092" spans="1:22" x14ac:dyDescent="0.3">
      <c r="A1092">
        <v>186607</v>
      </c>
      <c r="B1092">
        <v>134981766</v>
      </c>
      <c r="C1092" t="s">
        <v>5783</v>
      </c>
      <c r="D1092" t="s">
        <v>5784</v>
      </c>
      <c r="E1092" t="s">
        <v>4901</v>
      </c>
      <c r="F1092" t="s">
        <v>491</v>
      </c>
      <c r="G1092" t="s">
        <v>44</v>
      </c>
      <c r="H1092" t="s">
        <v>45</v>
      </c>
      <c r="I1092" t="s">
        <v>34</v>
      </c>
      <c r="J1092" t="s">
        <v>46</v>
      </c>
      <c r="K1092" t="s">
        <v>41</v>
      </c>
      <c r="L1092" t="s">
        <v>5785</v>
      </c>
      <c r="M1092" t="s">
        <v>5786</v>
      </c>
      <c r="N1092" t="s">
        <v>4904</v>
      </c>
      <c r="O1092" t="s">
        <v>91</v>
      </c>
      <c r="P1092" t="s">
        <v>5787</v>
      </c>
      <c r="Q1092" s="14" t="s">
        <v>108</v>
      </c>
      <c r="R1092" t="s">
        <v>381</v>
      </c>
      <c r="S1092">
        <v>2.5099999999999998</v>
      </c>
      <c r="T1092">
        <v>3753</v>
      </c>
      <c r="U1092">
        <v>0</v>
      </c>
      <c r="V1092">
        <v>3753</v>
      </c>
    </row>
    <row r="1093" spans="1:22" x14ac:dyDescent="0.3">
      <c r="A1093">
        <v>186607</v>
      </c>
      <c r="B1093">
        <v>134941024</v>
      </c>
      <c r="C1093" t="s">
        <v>5788</v>
      </c>
      <c r="D1093" t="s">
        <v>5789</v>
      </c>
      <c r="E1093" t="s">
        <v>4901</v>
      </c>
      <c r="F1093" t="s">
        <v>491</v>
      </c>
      <c r="G1093" t="s">
        <v>44</v>
      </c>
      <c r="H1093" t="s">
        <v>45</v>
      </c>
      <c r="I1093" t="s">
        <v>34</v>
      </c>
      <c r="J1093" t="s">
        <v>46</v>
      </c>
      <c r="K1093" t="s">
        <v>41</v>
      </c>
      <c r="L1093" t="s">
        <v>5790</v>
      </c>
      <c r="M1093" t="s">
        <v>5791</v>
      </c>
      <c r="N1093" t="s">
        <v>4904</v>
      </c>
      <c r="O1093" t="s">
        <v>91</v>
      </c>
      <c r="P1093" t="s">
        <v>5792</v>
      </c>
      <c r="Q1093" s="14" t="s">
        <v>81</v>
      </c>
      <c r="R1093" t="s">
        <v>5610</v>
      </c>
      <c r="S1093">
        <v>0.5</v>
      </c>
      <c r="T1093">
        <v>3680</v>
      </c>
      <c r="U1093">
        <v>0</v>
      </c>
      <c r="V1093">
        <v>3680</v>
      </c>
    </row>
    <row r="1094" spans="1:22" x14ac:dyDescent="0.3">
      <c r="A1094">
        <v>186607</v>
      </c>
      <c r="B1094">
        <v>134981790</v>
      </c>
      <c r="C1094" t="s">
        <v>5793</v>
      </c>
      <c r="D1094" t="s">
        <v>5794</v>
      </c>
      <c r="E1094" t="s">
        <v>4901</v>
      </c>
      <c r="F1094" t="s">
        <v>491</v>
      </c>
      <c r="G1094" t="s">
        <v>44</v>
      </c>
      <c r="H1094" t="s">
        <v>45</v>
      </c>
      <c r="I1094" t="s">
        <v>34</v>
      </c>
      <c r="J1094" t="s">
        <v>46</v>
      </c>
      <c r="K1094" t="s">
        <v>41</v>
      </c>
      <c r="L1094" t="s">
        <v>5795</v>
      </c>
      <c r="M1094" t="s">
        <v>5796</v>
      </c>
      <c r="N1094" t="s">
        <v>4904</v>
      </c>
      <c r="O1094" t="s">
        <v>91</v>
      </c>
      <c r="P1094" t="s">
        <v>5797</v>
      </c>
      <c r="Q1094" s="14" t="s">
        <v>77</v>
      </c>
      <c r="R1094" t="s">
        <v>381</v>
      </c>
      <c r="S1094">
        <v>0.5</v>
      </c>
      <c r="T1094">
        <v>3680</v>
      </c>
      <c r="U1094">
        <v>0</v>
      </c>
      <c r="V1094">
        <v>3680</v>
      </c>
    </row>
    <row r="1095" spans="1:22" x14ac:dyDescent="0.3">
      <c r="A1095">
        <v>186607</v>
      </c>
      <c r="B1095">
        <v>134950355</v>
      </c>
      <c r="C1095" t="s">
        <v>5798</v>
      </c>
      <c r="D1095" t="s">
        <v>5799</v>
      </c>
      <c r="E1095" t="s">
        <v>4901</v>
      </c>
      <c r="F1095" t="s">
        <v>491</v>
      </c>
      <c r="G1095" t="s">
        <v>44</v>
      </c>
      <c r="H1095" t="s">
        <v>45</v>
      </c>
      <c r="I1095" t="s">
        <v>34</v>
      </c>
      <c r="J1095" t="s">
        <v>46</v>
      </c>
      <c r="K1095" t="s">
        <v>41</v>
      </c>
      <c r="L1095" t="s">
        <v>5800</v>
      </c>
      <c r="M1095" t="s">
        <v>419</v>
      </c>
      <c r="N1095" t="s">
        <v>4904</v>
      </c>
      <c r="O1095" t="s">
        <v>91</v>
      </c>
      <c r="P1095" t="s">
        <v>5801</v>
      </c>
      <c r="Q1095" s="14" t="s">
        <v>43</v>
      </c>
      <c r="R1095" t="s">
        <v>5621</v>
      </c>
      <c r="S1095">
        <v>1.4</v>
      </c>
      <c r="T1095">
        <v>4067</v>
      </c>
      <c r="U1095">
        <v>0</v>
      </c>
      <c r="V1095">
        <v>4067</v>
      </c>
    </row>
    <row r="1096" spans="1:22" x14ac:dyDescent="0.3">
      <c r="A1096">
        <v>186607</v>
      </c>
      <c r="B1096">
        <v>134981763</v>
      </c>
      <c r="C1096" t="s">
        <v>5802</v>
      </c>
      <c r="D1096" t="s">
        <v>5803</v>
      </c>
      <c r="E1096" t="s">
        <v>4901</v>
      </c>
      <c r="F1096" t="s">
        <v>491</v>
      </c>
      <c r="G1096" t="s">
        <v>44</v>
      </c>
      <c r="H1096" t="s">
        <v>45</v>
      </c>
      <c r="I1096" t="s">
        <v>34</v>
      </c>
      <c r="J1096" t="s">
        <v>46</v>
      </c>
      <c r="K1096" t="s">
        <v>41</v>
      </c>
      <c r="L1096" t="s">
        <v>5804</v>
      </c>
      <c r="M1096" t="s">
        <v>5805</v>
      </c>
      <c r="N1096" t="s">
        <v>4904</v>
      </c>
      <c r="O1096" t="s">
        <v>91</v>
      </c>
      <c r="P1096" t="s">
        <v>5806</v>
      </c>
      <c r="Q1096" s="14" t="s">
        <v>73</v>
      </c>
      <c r="R1096" t="s">
        <v>381</v>
      </c>
      <c r="S1096">
        <v>0.5</v>
      </c>
      <c r="T1096">
        <v>3299</v>
      </c>
      <c r="U1096">
        <v>0</v>
      </c>
      <c r="V1096">
        <v>3299</v>
      </c>
    </row>
    <row r="1097" spans="1:22" x14ac:dyDescent="0.3">
      <c r="A1097">
        <v>186607</v>
      </c>
      <c r="B1097">
        <v>134981781</v>
      </c>
      <c r="C1097" t="s">
        <v>5807</v>
      </c>
      <c r="D1097" t="s">
        <v>5808</v>
      </c>
      <c r="E1097" t="s">
        <v>4901</v>
      </c>
      <c r="F1097" t="s">
        <v>491</v>
      </c>
      <c r="G1097" t="s">
        <v>44</v>
      </c>
      <c r="H1097" t="s">
        <v>45</v>
      </c>
      <c r="I1097" t="s">
        <v>34</v>
      </c>
      <c r="J1097" t="s">
        <v>46</v>
      </c>
      <c r="K1097" t="s">
        <v>41</v>
      </c>
      <c r="L1097" t="s">
        <v>5809</v>
      </c>
      <c r="M1097" t="s">
        <v>5810</v>
      </c>
      <c r="N1097" t="s">
        <v>4904</v>
      </c>
      <c r="O1097" t="s">
        <v>91</v>
      </c>
      <c r="P1097" t="s">
        <v>5811</v>
      </c>
      <c r="Q1097" s="14" t="s">
        <v>62</v>
      </c>
      <c r="R1097" t="s">
        <v>381</v>
      </c>
      <c r="S1097">
        <v>0.5</v>
      </c>
      <c r="T1097">
        <v>3680</v>
      </c>
      <c r="U1097">
        <v>0</v>
      </c>
      <c r="V1097">
        <v>3680</v>
      </c>
    </row>
    <row r="1098" spans="1:22" x14ac:dyDescent="0.3">
      <c r="A1098">
        <v>186607</v>
      </c>
      <c r="B1098">
        <v>134814277</v>
      </c>
      <c r="C1098" t="s">
        <v>5812</v>
      </c>
      <c r="D1098" t="s">
        <v>5813</v>
      </c>
      <c r="E1098" t="s">
        <v>4901</v>
      </c>
      <c r="F1098" t="s">
        <v>491</v>
      </c>
      <c r="G1098" t="s">
        <v>44</v>
      </c>
      <c r="H1098" t="s">
        <v>45</v>
      </c>
      <c r="I1098" t="s">
        <v>34</v>
      </c>
      <c r="J1098" t="s">
        <v>46</v>
      </c>
      <c r="K1098" t="s">
        <v>41</v>
      </c>
      <c r="L1098" t="s">
        <v>5814</v>
      </c>
      <c r="M1098" t="s">
        <v>5815</v>
      </c>
      <c r="N1098" t="s">
        <v>4904</v>
      </c>
      <c r="O1098" t="s">
        <v>91</v>
      </c>
      <c r="P1098" t="s">
        <v>5816</v>
      </c>
      <c r="Q1098" s="14" t="s">
        <v>89</v>
      </c>
      <c r="R1098" t="s">
        <v>5269</v>
      </c>
      <c r="S1098">
        <v>0.5</v>
      </c>
      <c r="T1098">
        <v>3680</v>
      </c>
      <c r="U1098">
        <v>0</v>
      </c>
      <c r="V1098">
        <v>3680</v>
      </c>
    </row>
    <row r="1099" spans="1:22" x14ac:dyDescent="0.3">
      <c r="A1099">
        <v>186607</v>
      </c>
      <c r="B1099">
        <v>134950350</v>
      </c>
      <c r="C1099" t="s">
        <v>5817</v>
      </c>
      <c r="D1099" t="s">
        <v>5818</v>
      </c>
      <c r="E1099" t="s">
        <v>4901</v>
      </c>
      <c r="F1099" t="s">
        <v>491</v>
      </c>
      <c r="G1099" t="s">
        <v>44</v>
      </c>
      <c r="H1099" t="s">
        <v>45</v>
      </c>
      <c r="I1099" t="s">
        <v>34</v>
      </c>
      <c r="J1099" t="s">
        <v>46</v>
      </c>
      <c r="K1099" t="s">
        <v>41</v>
      </c>
      <c r="L1099" t="s">
        <v>5819</v>
      </c>
      <c r="M1099" t="s">
        <v>5820</v>
      </c>
      <c r="N1099" t="s">
        <v>4904</v>
      </c>
      <c r="O1099" t="s">
        <v>91</v>
      </c>
      <c r="P1099" t="s">
        <v>5821</v>
      </c>
      <c r="Q1099" s="14" t="s">
        <v>89</v>
      </c>
      <c r="R1099" t="s">
        <v>5621</v>
      </c>
      <c r="S1099">
        <v>0.5</v>
      </c>
      <c r="T1099">
        <v>3680</v>
      </c>
      <c r="U1099">
        <v>0</v>
      </c>
      <c r="V1099">
        <v>3680</v>
      </c>
    </row>
    <row r="1100" spans="1:22" x14ac:dyDescent="0.3">
      <c r="A1100">
        <v>186607</v>
      </c>
      <c r="B1100">
        <v>134941027</v>
      </c>
      <c r="C1100" t="s">
        <v>5822</v>
      </c>
      <c r="D1100" t="s">
        <v>5823</v>
      </c>
      <c r="E1100" t="s">
        <v>4901</v>
      </c>
      <c r="F1100" t="s">
        <v>491</v>
      </c>
      <c r="G1100" t="s">
        <v>44</v>
      </c>
      <c r="H1100" t="s">
        <v>45</v>
      </c>
      <c r="I1100" t="s">
        <v>34</v>
      </c>
      <c r="J1100" t="s">
        <v>46</v>
      </c>
      <c r="K1100" t="s">
        <v>41</v>
      </c>
      <c r="L1100" t="s">
        <v>5824</v>
      </c>
      <c r="M1100" t="s">
        <v>5825</v>
      </c>
      <c r="N1100" t="s">
        <v>4904</v>
      </c>
      <c r="O1100" t="s">
        <v>91</v>
      </c>
      <c r="P1100" t="s">
        <v>5826</v>
      </c>
      <c r="Q1100" s="14" t="s">
        <v>98</v>
      </c>
      <c r="R1100" t="s">
        <v>5610</v>
      </c>
      <c r="S1100">
        <v>1</v>
      </c>
      <c r="T1100">
        <v>3366</v>
      </c>
      <c r="U1100">
        <v>0</v>
      </c>
      <c r="V1100">
        <v>3366</v>
      </c>
    </row>
    <row r="1101" spans="1:22" x14ac:dyDescent="0.3">
      <c r="A1101">
        <v>186607</v>
      </c>
      <c r="B1101">
        <v>134981767</v>
      </c>
      <c r="C1101" t="s">
        <v>5827</v>
      </c>
      <c r="D1101" t="s">
        <v>5828</v>
      </c>
      <c r="E1101" t="s">
        <v>4901</v>
      </c>
      <c r="F1101" t="s">
        <v>491</v>
      </c>
      <c r="G1101" t="s">
        <v>44</v>
      </c>
      <c r="H1101" t="s">
        <v>45</v>
      </c>
      <c r="I1101" t="s">
        <v>34</v>
      </c>
      <c r="J1101" t="s">
        <v>46</v>
      </c>
      <c r="K1101" t="s">
        <v>41</v>
      </c>
      <c r="L1101" t="s">
        <v>5829</v>
      </c>
      <c r="M1101" t="s">
        <v>5830</v>
      </c>
      <c r="N1101" t="s">
        <v>4904</v>
      </c>
      <c r="O1101" t="s">
        <v>91</v>
      </c>
      <c r="P1101" t="s">
        <v>5831</v>
      </c>
      <c r="Q1101" s="14" t="s">
        <v>109</v>
      </c>
      <c r="R1101" t="s">
        <v>381</v>
      </c>
      <c r="S1101">
        <v>1</v>
      </c>
      <c r="T1101">
        <v>3784</v>
      </c>
      <c r="U1101">
        <v>0</v>
      </c>
      <c r="V1101">
        <v>3784</v>
      </c>
    </row>
    <row r="1102" spans="1:22" x14ac:dyDescent="0.3">
      <c r="A1102">
        <v>186607</v>
      </c>
      <c r="B1102">
        <v>134941008</v>
      </c>
      <c r="C1102" t="s">
        <v>5832</v>
      </c>
      <c r="D1102" t="s">
        <v>5833</v>
      </c>
      <c r="E1102" t="s">
        <v>4901</v>
      </c>
      <c r="F1102" t="s">
        <v>491</v>
      </c>
      <c r="G1102" t="s">
        <v>44</v>
      </c>
      <c r="H1102" t="s">
        <v>45</v>
      </c>
      <c r="I1102" t="s">
        <v>34</v>
      </c>
      <c r="J1102" t="s">
        <v>46</v>
      </c>
      <c r="K1102" t="s">
        <v>41</v>
      </c>
      <c r="L1102" t="s">
        <v>5834</v>
      </c>
      <c r="M1102" t="s">
        <v>5835</v>
      </c>
      <c r="N1102" t="s">
        <v>4904</v>
      </c>
      <c r="O1102" t="s">
        <v>91</v>
      </c>
      <c r="P1102" t="s">
        <v>5836</v>
      </c>
      <c r="Q1102" s="14" t="s">
        <v>55</v>
      </c>
      <c r="R1102" t="s">
        <v>5610</v>
      </c>
      <c r="S1102">
        <v>0.5</v>
      </c>
      <c r="T1102">
        <v>3794</v>
      </c>
      <c r="U1102">
        <v>0</v>
      </c>
      <c r="V1102">
        <v>3794</v>
      </c>
    </row>
    <row r="1103" spans="1:22" x14ac:dyDescent="0.3">
      <c r="A1103">
        <v>186607</v>
      </c>
      <c r="B1103">
        <v>134981783</v>
      </c>
      <c r="C1103" t="s">
        <v>5837</v>
      </c>
      <c r="D1103" t="s">
        <v>5838</v>
      </c>
      <c r="E1103" t="s">
        <v>4901</v>
      </c>
      <c r="F1103" t="s">
        <v>491</v>
      </c>
      <c r="G1103" t="s">
        <v>44</v>
      </c>
      <c r="H1103" t="s">
        <v>45</v>
      </c>
      <c r="I1103" t="s">
        <v>34</v>
      </c>
      <c r="J1103" t="s">
        <v>46</v>
      </c>
      <c r="K1103" t="s">
        <v>41</v>
      </c>
      <c r="L1103" t="s">
        <v>5839</v>
      </c>
      <c r="M1103" t="s">
        <v>5840</v>
      </c>
      <c r="N1103" t="s">
        <v>4904</v>
      </c>
      <c r="O1103" t="s">
        <v>91</v>
      </c>
      <c r="P1103" t="s">
        <v>5841</v>
      </c>
      <c r="Q1103" s="14" t="s">
        <v>177</v>
      </c>
      <c r="R1103" t="s">
        <v>381</v>
      </c>
      <c r="S1103">
        <v>0.5</v>
      </c>
      <c r="T1103">
        <v>3680</v>
      </c>
      <c r="U1103">
        <v>0</v>
      </c>
      <c r="V1103">
        <v>3680</v>
      </c>
    </row>
    <row r="1104" spans="1:22" x14ac:dyDescent="0.3">
      <c r="A1104">
        <v>186607</v>
      </c>
      <c r="B1104">
        <v>134981777</v>
      </c>
      <c r="C1104" t="s">
        <v>5842</v>
      </c>
      <c r="D1104" t="s">
        <v>5843</v>
      </c>
      <c r="E1104" t="s">
        <v>4901</v>
      </c>
      <c r="F1104" t="s">
        <v>491</v>
      </c>
      <c r="G1104" t="s">
        <v>44</v>
      </c>
      <c r="H1104" t="s">
        <v>45</v>
      </c>
      <c r="I1104" t="s">
        <v>34</v>
      </c>
      <c r="J1104" t="s">
        <v>46</v>
      </c>
      <c r="K1104" t="s">
        <v>41</v>
      </c>
      <c r="L1104" t="s">
        <v>5844</v>
      </c>
      <c r="M1104" t="s">
        <v>5845</v>
      </c>
      <c r="N1104" t="s">
        <v>4904</v>
      </c>
      <c r="O1104" t="s">
        <v>91</v>
      </c>
      <c r="P1104" t="s">
        <v>5846</v>
      </c>
      <c r="Q1104" s="14" t="s">
        <v>89</v>
      </c>
      <c r="R1104" t="s">
        <v>381</v>
      </c>
      <c r="S1104">
        <v>2.19</v>
      </c>
      <c r="T1104">
        <v>3753</v>
      </c>
      <c r="U1104">
        <v>0</v>
      </c>
      <c r="V1104">
        <v>3753</v>
      </c>
    </row>
    <row r="1105" spans="1:22" x14ac:dyDescent="0.3">
      <c r="A1105">
        <v>186607</v>
      </c>
      <c r="B1105">
        <v>134950354</v>
      </c>
      <c r="C1105" t="s">
        <v>5847</v>
      </c>
      <c r="D1105" t="s">
        <v>5848</v>
      </c>
      <c r="E1105" t="s">
        <v>4901</v>
      </c>
      <c r="F1105" t="s">
        <v>491</v>
      </c>
      <c r="G1105" t="s">
        <v>44</v>
      </c>
      <c r="H1105" t="s">
        <v>45</v>
      </c>
      <c r="I1105" t="s">
        <v>34</v>
      </c>
      <c r="J1105" t="s">
        <v>46</v>
      </c>
      <c r="K1105" t="s">
        <v>41</v>
      </c>
      <c r="L1105" t="s">
        <v>5849</v>
      </c>
      <c r="M1105" t="s">
        <v>5850</v>
      </c>
      <c r="N1105" t="s">
        <v>4904</v>
      </c>
      <c r="O1105" t="s">
        <v>91</v>
      </c>
      <c r="P1105" t="s">
        <v>5851</v>
      </c>
      <c r="Q1105" s="14" t="s">
        <v>62</v>
      </c>
      <c r="R1105" t="s">
        <v>5621</v>
      </c>
      <c r="S1105">
        <v>1</v>
      </c>
      <c r="T1105">
        <v>4067</v>
      </c>
      <c r="U1105">
        <v>0</v>
      </c>
      <c r="V1105">
        <v>4067</v>
      </c>
    </row>
    <row r="1106" spans="1:22" x14ac:dyDescent="0.3">
      <c r="A1106">
        <v>186607</v>
      </c>
      <c r="B1106">
        <v>134981786</v>
      </c>
      <c r="C1106" t="s">
        <v>5852</v>
      </c>
      <c r="D1106" t="s">
        <v>5853</v>
      </c>
      <c r="E1106" t="s">
        <v>4901</v>
      </c>
      <c r="F1106" t="s">
        <v>491</v>
      </c>
      <c r="G1106" t="s">
        <v>44</v>
      </c>
      <c r="H1106" t="s">
        <v>45</v>
      </c>
      <c r="I1106" t="s">
        <v>34</v>
      </c>
      <c r="J1106" t="s">
        <v>46</v>
      </c>
      <c r="K1106" t="s">
        <v>41</v>
      </c>
      <c r="L1106" t="s">
        <v>5854</v>
      </c>
      <c r="M1106" t="s">
        <v>5855</v>
      </c>
      <c r="N1106" t="s">
        <v>4904</v>
      </c>
      <c r="O1106" t="s">
        <v>91</v>
      </c>
      <c r="P1106" t="s">
        <v>5856</v>
      </c>
      <c r="Q1106" s="14" t="s">
        <v>89</v>
      </c>
      <c r="R1106" t="s">
        <v>381</v>
      </c>
      <c r="S1106">
        <v>0.5</v>
      </c>
      <c r="T1106">
        <v>3680</v>
      </c>
      <c r="U1106">
        <v>0</v>
      </c>
      <c r="V1106">
        <v>3680</v>
      </c>
    </row>
    <row r="1107" spans="1:22" x14ac:dyDescent="0.3">
      <c r="A1107">
        <v>186607</v>
      </c>
      <c r="B1107">
        <v>134941007</v>
      </c>
      <c r="C1107" t="s">
        <v>5857</v>
      </c>
      <c r="D1107" t="s">
        <v>5858</v>
      </c>
      <c r="E1107" t="s">
        <v>4901</v>
      </c>
      <c r="F1107" t="s">
        <v>491</v>
      </c>
      <c r="G1107" t="s">
        <v>44</v>
      </c>
      <c r="H1107" t="s">
        <v>45</v>
      </c>
      <c r="I1107" t="s">
        <v>34</v>
      </c>
      <c r="J1107" t="s">
        <v>46</v>
      </c>
      <c r="K1107" t="s">
        <v>41</v>
      </c>
      <c r="L1107" t="s">
        <v>5859</v>
      </c>
      <c r="M1107" t="s">
        <v>5860</v>
      </c>
      <c r="N1107" t="s">
        <v>4904</v>
      </c>
      <c r="O1107" t="s">
        <v>91</v>
      </c>
      <c r="P1107" t="s">
        <v>5861</v>
      </c>
      <c r="Q1107" s="14" t="s">
        <v>107</v>
      </c>
      <c r="R1107" t="s">
        <v>5610</v>
      </c>
      <c r="S1107">
        <v>0.5</v>
      </c>
      <c r="T1107">
        <v>3680</v>
      </c>
      <c r="U1107">
        <v>0</v>
      </c>
      <c r="V1107">
        <v>3680</v>
      </c>
    </row>
    <row r="1108" spans="1:22" x14ac:dyDescent="0.3">
      <c r="A1108">
        <v>186607</v>
      </c>
      <c r="B1108">
        <v>134981775</v>
      </c>
      <c r="C1108" t="s">
        <v>5862</v>
      </c>
      <c r="D1108" t="s">
        <v>5863</v>
      </c>
      <c r="E1108" t="s">
        <v>4901</v>
      </c>
      <c r="F1108" t="s">
        <v>491</v>
      </c>
      <c r="G1108" t="s">
        <v>44</v>
      </c>
      <c r="H1108" t="s">
        <v>45</v>
      </c>
      <c r="I1108" t="s">
        <v>34</v>
      </c>
      <c r="J1108" t="s">
        <v>46</v>
      </c>
      <c r="K1108" t="s">
        <v>41</v>
      </c>
      <c r="L1108" t="s">
        <v>5864</v>
      </c>
      <c r="M1108" t="s">
        <v>5865</v>
      </c>
      <c r="N1108" t="s">
        <v>4904</v>
      </c>
      <c r="O1108" t="s">
        <v>91</v>
      </c>
      <c r="P1108" t="s">
        <v>5866</v>
      </c>
      <c r="Q1108" s="14" t="s">
        <v>179</v>
      </c>
      <c r="R1108" t="s">
        <v>381</v>
      </c>
      <c r="S1108">
        <v>0.5</v>
      </c>
      <c r="T1108">
        <v>3299</v>
      </c>
      <c r="U1108">
        <v>0</v>
      </c>
      <c r="V1108">
        <v>3299</v>
      </c>
    </row>
    <row r="1109" spans="1:22" x14ac:dyDescent="0.3">
      <c r="A1109">
        <v>186607</v>
      </c>
      <c r="B1109">
        <v>134950361</v>
      </c>
      <c r="C1109" t="s">
        <v>5867</v>
      </c>
      <c r="D1109" t="s">
        <v>5868</v>
      </c>
      <c r="E1109" t="s">
        <v>4901</v>
      </c>
      <c r="F1109" t="s">
        <v>491</v>
      </c>
      <c r="G1109" t="s">
        <v>44</v>
      </c>
      <c r="H1109" t="s">
        <v>45</v>
      </c>
      <c r="I1109" t="s">
        <v>34</v>
      </c>
      <c r="J1109" t="s">
        <v>46</v>
      </c>
      <c r="K1109" t="s">
        <v>41</v>
      </c>
      <c r="L1109" t="s">
        <v>5869</v>
      </c>
      <c r="M1109" t="s">
        <v>335</v>
      </c>
      <c r="N1109" t="s">
        <v>4904</v>
      </c>
      <c r="O1109" t="s">
        <v>91</v>
      </c>
      <c r="P1109" t="s">
        <v>5870</v>
      </c>
      <c r="Q1109" s="14" t="s">
        <v>98</v>
      </c>
      <c r="R1109" t="s">
        <v>5621</v>
      </c>
      <c r="S1109">
        <v>0.5</v>
      </c>
      <c r="T1109">
        <v>3299</v>
      </c>
      <c r="U1109">
        <v>0</v>
      </c>
      <c r="V1109">
        <v>3299</v>
      </c>
    </row>
    <row r="1110" spans="1:22" x14ac:dyDescent="0.3">
      <c r="A1110">
        <v>186607</v>
      </c>
      <c r="B1110">
        <v>134981776</v>
      </c>
      <c r="C1110" t="s">
        <v>5871</v>
      </c>
      <c r="D1110" t="s">
        <v>5872</v>
      </c>
      <c r="E1110" t="s">
        <v>4901</v>
      </c>
      <c r="F1110" t="s">
        <v>491</v>
      </c>
      <c r="G1110" t="s">
        <v>44</v>
      </c>
      <c r="H1110" t="s">
        <v>45</v>
      </c>
      <c r="I1110" t="s">
        <v>34</v>
      </c>
      <c r="J1110" t="s">
        <v>46</v>
      </c>
      <c r="K1110" t="s">
        <v>41</v>
      </c>
      <c r="L1110" t="s">
        <v>5873</v>
      </c>
      <c r="M1110" t="s">
        <v>5874</v>
      </c>
      <c r="N1110" t="s">
        <v>4904</v>
      </c>
      <c r="O1110" t="s">
        <v>91</v>
      </c>
      <c r="P1110" t="s">
        <v>5875</v>
      </c>
      <c r="Q1110" s="14" t="s">
        <v>135</v>
      </c>
      <c r="R1110" t="s">
        <v>381</v>
      </c>
      <c r="S1110">
        <v>0.5</v>
      </c>
      <c r="T1110">
        <v>3299</v>
      </c>
      <c r="U1110">
        <v>0</v>
      </c>
      <c r="V1110">
        <v>3299</v>
      </c>
    </row>
    <row r="1111" spans="1:22" x14ac:dyDescent="0.3">
      <c r="A1111">
        <v>186607</v>
      </c>
      <c r="B1111">
        <v>134981780</v>
      </c>
      <c r="C1111" t="s">
        <v>5876</v>
      </c>
      <c r="D1111" t="s">
        <v>5877</v>
      </c>
      <c r="E1111" t="s">
        <v>4901</v>
      </c>
      <c r="F1111" t="s">
        <v>491</v>
      </c>
      <c r="G1111" t="s">
        <v>44</v>
      </c>
      <c r="H1111" t="s">
        <v>45</v>
      </c>
      <c r="I1111" t="s">
        <v>34</v>
      </c>
      <c r="J1111" t="s">
        <v>46</v>
      </c>
      <c r="K1111" t="s">
        <v>41</v>
      </c>
      <c r="L1111" t="s">
        <v>5878</v>
      </c>
      <c r="M1111" t="s">
        <v>5879</v>
      </c>
      <c r="N1111" t="s">
        <v>4904</v>
      </c>
      <c r="O1111" t="s">
        <v>91</v>
      </c>
      <c r="P1111" t="s">
        <v>5880</v>
      </c>
      <c r="Q1111" s="14" t="s">
        <v>108</v>
      </c>
      <c r="R1111" t="s">
        <v>381</v>
      </c>
      <c r="S1111">
        <v>0.5</v>
      </c>
      <c r="T1111">
        <v>3680</v>
      </c>
      <c r="U1111">
        <v>0</v>
      </c>
      <c r="V1111">
        <v>3680</v>
      </c>
    </row>
    <row r="1112" spans="1:22" x14ac:dyDescent="0.3">
      <c r="A1112">
        <v>186607</v>
      </c>
      <c r="B1112">
        <v>134860928</v>
      </c>
      <c r="C1112" t="s">
        <v>5881</v>
      </c>
      <c r="D1112" t="s">
        <v>5882</v>
      </c>
      <c r="E1112" t="s">
        <v>4901</v>
      </c>
      <c r="F1112" t="s">
        <v>491</v>
      </c>
      <c r="G1112" t="s">
        <v>44</v>
      </c>
      <c r="H1112" t="s">
        <v>45</v>
      </c>
      <c r="I1112" t="s">
        <v>34</v>
      </c>
      <c r="J1112" t="s">
        <v>46</v>
      </c>
      <c r="K1112" t="s">
        <v>41</v>
      </c>
      <c r="L1112" t="s">
        <v>5883</v>
      </c>
      <c r="M1112" t="s">
        <v>5884</v>
      </c>
      <c r="N1112" t="s">
        <v>4904</v>
      </c>
      <c r="O1112" t="s">
        <v>91</v>
      </c>
      <c r="P1112" t="s">
        <v>5885</v>
      </c>
      <c r="Q1112" s="14" t="s">
        <v>70</v>
      </c>
      <c r="R1112" t="s">
        <v>5886</v>
      </c>
      <c r="S1112">
        <v>1</v>
      </c>
      <c r="T1112">
        <v>5198</v>
      </c>
      <c r="U1112">
        <v>0</v>
      </c>
      <c r="V1112">
        <v>5198</v>
      </c>
    </row>
    <row r="1113" spans="1:22" x14ac:dyDescent="0.3">
      <c r="A1113">
        <v>186607</v>
      </c>
      <c r="B1113">
        <v>134860943</v>
      </c>
      <c r="C1113" t="s">
        <v>5887</v>
      </c>
      <c r="D1113" t="s">
        <v>5888</v>
      </c>
      <c r="E1113" t="s">
        <v>4901</v>
      </c>
      <c r="F1113" t="s">
        <v>491</v>
      </c>
      <c r="G1113" t="s">
        <v>44</v>
      </c>
      <c r="H1113" t="s">
        <v>45</v>
      </c>
      <c r="I1113" t="s">
        <v>34</v>
      </c>
      <c r="J1113" t="s">
        <v>46</v>
      </c>
      <c r="K1113" t="s">
        <v>41</v>
      </c>
      <c r="L1113" t="s">
        <v>5889</v>
      </c>
      <c r="M1113" t="s">
        <v>5890</v>
      </c>
      <c r="N1113" t="s">
        <v>4904</v>
      </c>
      <c r="O1113" t="s">
        <v>91</v>
      </c>
      <c r="P1113" t="s">
        <v>5891</v>
      </c>
      <c r="Q1113" s="14" t="s">
        <v>145</v>
      </c>
      <c r="R1113" t="s">
        <v>5886</v>
      </c>
      <c r="S1113">
        <v>0.5</v>
      </c>
      <c r="T1113">
        <v>3680</v>
      </c>
      <c r="U1113">
        <v>0</v>
      </c>
      <c r="V1113">
        <v>3680</v>
      </c>
    </row>
    <row r="1114" spans="1:22" x14ac:dyDescent="0.3">
      <c r="A1114">
        <v>186607</v>
      </c>
      <c r="B1114">
        <v>134480669</v>
      </c>
      <c r="C1114" t="s">
        <v>5892</v>
      </c>
      <c r="D1114" t="s">
        <v>5893</v>
      </c>
      <c r="E1114" t="s">
        <v>4901</v>
      </c>
      <c r="F1114" t="s">
        <v>491</v>
      </c>
      <c r="G1114" t="s">
        <v>44</v>
      </c>
      <c r="H1114" t="s">
        <v>45</v>
      </c>
      <c r="I1114" t="s">
        <v>34</v>
      </c>
      <c r="J1114" t="s">
        <v>46</v>
      </c>
      <c r="K1114" t="s">
        <v>41</v>
      </c>
      <c r="L1114" t="s">
        <v>5894</v>
      </c>
      <c r="M1114" t="s">
        <v>5895</v>
      </c>
      <c r="N1114" t="s">
        <v>4904</v>
      </c>
      <c r="O1114" t="s">
        <v>91</v>
      </c>
      <c r="P1114" t="s">
        <v>5896</v>
      </c>
      <c r="Q1114" s="14" t="s">
        <v>199</v>
      </c>
      <c r="R1114" t="s">
        <v>3569</v>
      </c>
      <c r="S1114">
        <v>1</v>
      </c>
      <c r="T1114">
        <v>5759</v>
      </c>
      <c r="U1114">
        <v>0</v>
      </c>
      <c r="V1114">
        <v>5759</v>
      </c>
    </row>
    <row r="1115" spans="1:22" x14ac:dyDescent="0.3">
      <c r="A1115">
        <v>186607</v>
      </c>
      <c r="B1115">
        <v>134917515</v>
      </c>
      <c r="C1115" t="s">
        <v>5897</v>
      </c>
      <c r="D1115" t="s">
        <v>5898</v>
      </c>
      <c r="E1115" t="s">
        <v>4901</v>
      </c>
      <c r="F1115" t="s">
        <v>491</v>
      </c>
      <c r="G1115" t="s">
        <v>44</v>
      </c>
      <c r="H1115" t="s">
        <v>45</v>
      </c>
      <c r="I1115" t="s">
        <v>34</v>
      </c>
      <c r="J1115" t="s">
        <v>46</v>
      </c>
      <c r="K1115" t="s">
        <v>41</v>
      </c>
      <c r="L1115" t="s">
        <v>5899</v>
      </c>
      <c r="M1115" t="s">
        <v>5900</v>
      </c>
      <c r="N1115" t="s">
        <v>4904</v>
      </c>
      <c r="O1115" t="s">
        <v>91</v>
      </c>
      <c r="P1115" t="s">
        <v>5901</v>
      </c>
      <c r="Q1115" s="14" t="s">
        <v>68</v>
      </c>
      <c r="R1115" t="s">
        <v>5758</v>
      </c>
      <c r="S1115">
        <v>0.5</v>
      </c>
      <c r="T1115">
        <v>3449</v>
      </c>
      <c r="U1115">
        <v>0</v>
      </c>
      <c r="V1115">
        <v>3449</v>
      </c>
    </row>
    <row r="1116" spans="1:22" x14ac:dyDescent="0.3">
      <c r="A1116">
        <v>186607</v>
      </c>
      <c r="B1116">
        <v>134917530</v>
      </c>
      <c r="C1116" t="s">
        <v>5902</v>
      </c>
      <c r="D1116" t="s">
        <v>5903</v>
      </c>
      <c r="E1116" t="s">
        <v>4901</v>
      </c>
      <c r="F1116" t="s">
        <v>491</v>
      </c>
      <c r="G1116" t="s">
        <v>44</v>
      </c>
      <c r="H1116" t="s">
        <v>45</v>
      </c>
      <c r="I1116" t="s">
        <v>34</v>
      </c>
      <c r="J1116" t="s">
        <v>46</v>
      </c>
      <c r="K1116" t="s">
        <v>41</v>
      </c>
      <c r="L1116" t="s">
        <v>5904</v>
      </c>
      <c r="M1116" t="s">
        <v>5905</v>
      </c>
      <c r="N1116" t="s">
        <v>4904</v>
      </c>
      <c r="O1116" t="s">
        <v>91</v>
      </c>
      <c r="P1116" t="s">
        <v>5906</v>
      </c>
      <c r="Q1116" s="14" t="s">
        <v>70</v>
      </c>
      <c r="R1116" t="s">
        <v>5758</v>
      </c>
      <c r="S1116">
        <v>2.81</v>
      </c>
      <c r="T1116">
        <v>5198</v>
      </c>
      <c r="U1116">
        <v>0</v>
      </c>
      <c r="V1116">
        <v>5198</v>
      </c>
    </row>
    <row r="1117" spans="1:22" x14ac:dyDescent="0.3">
      <c r="A1117">
        <v>186607</v>
      </c>
      <c r="B1117">
        <v>134860932</v>
      </c>
      <c r="C1117" t="s">
        <v>5907</v>
      </c>
      <c r="D1117" t="s">
        <v>5908</v>
      </c>
      <c r="E1117" t="s">
        <v>4901</v>
      </c>
      <c r="F1117" t="s">
        <v>491</v>
      </c>
      <c r="G1117" t="s">
        <v>44</v>
      </c>
      <c r="H1117" t="s">
        <v>45</v>
      </c>
      <c r="I1117" t="s">
        <v>34</v>
      </c>
      <c r="J1117" t="s">
        <v>46</v>
      </c>
      <c r="K1117" t="s">
        <v>41</v>
      </c>
      <c r="L1117" t="s">
        <v>5909</v>
      </c>
      <c r="M1117" t="s">
        <v>5910</v>
      </c>
      <c r="N1117" t="s">
        <v>4904</v>
      </c>
      <c r="O1117" t="s">
        <v>91</v>
      </c>
      <c r="P1117" t="s">
        <v>5911</v>
      </c>
      <c r="Q1117" s="14" t="s">
        <v>70</v>
      </c>
      <c r="R1117" t="s">
        <v>5886</v>
      </c>
      <c r="S1117">
        <v>0.5</v>
      </c>
      <c r="T1117">
        <v>4067</v>
      </c>
      <c r="U1117">
        <v>0</v>
      </c>
      <c r="V1117">
        <v>4067</v>
      </c>
    </row>
    <row r="1118" spans="1:22" x14ac:dyDescent="0.3">
      <c r="A1118">
        <v>186607</v>
      </c>
      <c r="B1118">
        <v>134902097</v>
      </c>
      <c r="C1118" t="s">
        <v>5912</v>
      </c>
      <c r="D1118" t="s">
        <v>5913</v>
      </c>
      <c r="E1118" t="s">
        <v>4901</v>
      </c>
      <c r="F1118" t="s">
        <v>491</v>
      </c>
      <c r="G1118" t="s">
        <v>44</v>
      </c>
      <c r="H1118" t="s">
        <v>45</v>
      </c>
      <c r="I1118" t="s">
        <v>34</v>
      </c>
      <c r="J1118" t="s">
        <v>46</v>
      </c>
      <c r="K1118" t="s">
        <v>41</v>
      </c>
      <c r="L1118" t="s">
        <v>5914</v>
      </c>
      <c r="M1118" t="s">
        <v>5915</v>
      </c>
      <c r="N1118" t="s">
        <v>4904</v>
      </c>
      <c r="O1118" t="s">
        <v>91</v>
      </c>
      <c r="P1118" t="s">
        <v>5916</v>
      </c>
      <c r="Q1118" s="14" t="s">
        <v>89</v>
      </c>
      <c r="R1118" t="s">
        <v>5917</v>
      </c>
      <c r="S1118">
        <v>3.05</v>
      </c>
      <c r="T1118">
        <v>4456</v>
      </c>
      <c r="U1118">
        <v>0</v>
      </c>
      <c r="V1118">
        <v>4456</v>
      </c>
    </row>
    <row r="1119" spans="1:22" x14ac:dyDescent="0.3">
      <c r="A1119">
        <v>186607</v>
      </c>
      <c r="B1119">
        <v>134917529</v>
      </c>
      <c r="C1119" t="s">
        <v>5918</v>
      </c>
      <c r="D1119" t="s">
        <v>5919</v>
      </c>
      <c r="E1119" t="s">
        <v>4901</v>
      </c>
      <c r="F1119" t="s">
        <v>491</v>
      </c>
      <c r="G1119" t="s">
        <v>44</v>
      </c>
      <c r="H1119" t="s">
        <v>45</v>
      </c>
      <c r="I1119" t="s">
        <v>34</v>
      </c>
      <c r="J1119" t="s">
        <v>46</v>
      </c>
      <c r="K1119" t="s">
        <v>41</v>
      </c>
      <c r="L1119" t="s">
        <v>397</v>
      </c>
      <c r="M1119" t="s">
        <v>5920</v>
      </c>
      <c r="N1119" t="s">
        <v>4904</v>
      </c>
      <c r="O1119" t="s">
        <v>91</v>
      </c>
      <c r="P1119" t="s">
        <v>5921</v>
      </c>
      <c r="Q1119" s="14" t="s">
        <v>82</v>
      </c>
      <c r="R1119" t="s">
        <v>5758</v>
      </c>
      <c r="S1119">
        <v>0.5</v>
      </c>
      <c r="T1119">
        <v>3680</v>
      </c>
      <c r="U1119">
        <v>0</v>
      </c>
      <c r="V1119">
        <v>3680</v>
      </c>
    </row>
    <row r="1120" spans="1:22" x14ac:dyDescent="0.3">
      <c r="A1120">
        <v>186607</v>
      </c>
      <c r="B1120">
        <v>134917533</v>
      </c>
      <c r="C1120" t="s">
        <v>5922</v>
      </c>
      <c r="D1120" t="s">
        <v>5923</v>
      </c>
      <c r="E1120" t="s">
        <v>4901</v>
      </c>
      <c r="F1120" t="s">
        <v>491</v>
      </c>
      <c r="G1120" t="s">
        <v>44</v>
      </c>
      <c r="H1120" t="s">
        <v>45</v>
      </c>
      <c r="I1120" t="s">
        <v>34</v>
      </c>
      <c r="J1120" t="s">
        <v>46</v>
      </c>
      <c r="K1120" t="s">
        <v>41</v>
      </c>
      <c r="L1120" t="s">
        <v>5924</v>
      </c>
      <c r="M1120" t="s">
        <v>5925</v>
      </c>
      <c r="N1120" t="s">
        <v>4904</v>
      </c>
      <c r="O1120" t="s">
        <v>91</v>
      </c>
      <c r="P1120" t="s">
        <v>5926</v>
      </c>
      <c r="Q1120" s="14" t="s">
        <v>62</v>
      </c>
      <c r="R1120" t="s">
        <v>5758</v>
      </c>
      <c r="S1120">
        <v>0.5</v>
      </c>
      <c r="T1120">
        <v>3680</v>
      </c>
      <c r="U1120">
        <v>0</v>
      </c>
      <c r="V1120">
        <v>3680</v>
      </c>
    </row>
    <row r="1121" spans="1:22" x14ac:dyDescent="0.3">
      <c r="A1121">
        <v>186607</v>
      </c>
      <c r="B1121">
        <v>134917520</v>
      </c>
      <c r="C1121" t="s">
        <v>5927</v>
      </c>
      <c r="D1121" t="s">
        <v>5928</v>
      </c>
      <c r="E1121" t="s">
        <v>4901</v>
      </c>
      <c r="F1121" t="s">
        <v>491</v>
      </c>
      <c r="G1121" t="s">
        <v>44</v>
      </c>
      <c r="H1121" t="s">
        <v>45</v>
      </c>
      <c r="I1121" t="s">
        <v>34</v>
      </c>
      <c r="J1121" t="s">
        <v>46</v>
      </c>
      <c r="K1121" t="s">
        <v>41</v>
      </c>
      <c r="L1121" t="s">
        <v>5929</v>
      </c>
      <c r="M1121" t="s">
        <v>432</v>
      </c>
      <c r="N1121" t="s">
        <v>4904</v>
      </c>
      <c r="O1121" t="s">
        <v>91</v>
      </c>
      <c r="P1121" t="s">
        <v>5930</v>
      </c>
      <c r="Q1121" s="14" t="s">
        <v>155</v>
      </c>
      <c r="R1121" t="s">
        <v>5758</v>
      </c>
      <c r="S1121">
        <v>2.84</v>
      </c>
      <c r="T1121">
        <v>4067</v>
      </c>
      <c r="U1121">
        <v>0</v>
      </c>
      <c r="V1121">
        <v>4067</v>
      </c>
    </row>
    <row r="1122" spans="1:22" x14ac:dyDescent="0.3">
      <c r="A1122">
        <v>186607</v>
      </c>
      <c r="B1122">
        <v>134902102</v>
      </c>
      <c r="C1122" t="s">
        <v>5931</v>
      </c>
      <c r="D1122" t="s">
        <v>5932</v>
      </c>
      <c r="E1122" t="s">
        <v>4901</v>
      </c>
      <c r="F1122" t="s">
        <v>491</v>
      </c>
      <c r="G1122" t="s">
        <v>44</v>
      </c>
      <c r="H1122" t="s">
        <v>45</v>
      </c>
      <c r="I1122" t="s">
        <v>34</v>
      </c>
      <c r="J1122" t="s">
        <v>46</v>
      </c>
      <c r="K1122" t="s">
        <v>41</v>
      </c>
      <c r="L1122" t="s">
        <v>5933</v>
      </c>
      <c r="M1122" t="s">
        <v>5934</v>
      </c>
      <c r="N1122" t="s">
        <v>4904</v>
      </c>
      <c r="O1122" t="s">
        <v>91</v>
      </c>
      <c r="P1122" t="s">
        <v>5935</v>
      </c>
      <c r="Q1122" s="14" t="s">
        <v>152</v>
      </c>
      <c r="R1122" t="s">
        <v>5917</v>
      </c>
      <c r="S1122">
        <v>0.5</v>
      </c>
      <c r="T1122">
        <v>3299</v>
      </c>
      <c r="U1122">
        <v>0</v>
      </c>
      <c r="V1122">
        <v>3299</v>
      </c>
    </row>
    <row r="1123" spans="1:22" x14ac:dyDescent="0.3">
      <c r="A1123">
        <v>186607</v>
      </c>
      <c r="B1123">
        <v>134902091</v>
      </c>
      <c r="C1123" t="s">
        <v>5936</v>
      </c>
      <c r="D1123" t="s">
        <v>5937</v>
      </c>
      <c r="E1123" t="s">
        <v>4901</v>
      </c>
      <c r="F1123" t="s">
        <v>491</v>
      </c>
      <c r="G1123" t="s">
        <v>44</v>
      </c>
      <c r="H1123" t="s">
        <v>45</v>
      </c>
      <c r="I1123" t="s">
        <v>34</v>
      </c>
      <c r="J1123" t="s">
        <v>46</v>
      </c>
      <c r="K1123" t="s">
        <v>41</v>
      </c>
      <c r="L1123" t="s">
        <v>5938</v>
      </c>
      <c r="M1123" t="s">
        <v>5939</v>
      </c>
      <c r="N1123" t="s">
        <v>4904</v>
      </c>
      <c r="O1123" t="s">
        <v>91</v>
      </c>
      <c r="P1123" t="s">
        <v>5940</v>
      </c>
      <c r="Q1123" s="14" t="s">
        <v>81</v>
      </c>
      <c r="R1123" t="s">
        <v>5917</v>
      </c>
      <c r="S1123">
        <v>0.5</v>
      </c>
      <c r="T1123">
        <v>3680</v>
      </c>
      <c r="U1123">
        <v>0</v>
      </c>
      <c r="V1123">
        <v>3680</v>
      </c>
    </row>
    <row r="1124" spans="1:22" x14ac:dyDescent="0.3">
      <c r="A1124">
        <v>186607</v>
      </c>
      <c r="B1124">
        <v>134877781</v>
      </c>
      <c r="C1124" t="s">
        <v>5941</v>
      </c>
      <c r="D1124" t="s">
        <v>5942</v>
      </c>
      <c r="E1124" t="s">
        <v>4901</v>
      </c>
      <c r="F1124" t="s">
        <v>491</v>
      </c>
      <c r="G1124" t="s">
        <v>44</v>
      </c>
      <c r="H1124" t="s">
        <v>45</v>
      </c>
      <c r="I1124" t="s">
        <v>34</v>
      </c>
      <c r="J1124" t="s">
        <v>46</v>
      </c>
      <c r="K1124" t="s">
        <v>41</v>
      </c>
      <c r="L1124" t="s">
        <v>5943</v>
      </c>
      <c r="M1124" t="s">
        <v>5944</v>
      </c>
      <c r="N1124" t="s">
        <v>4904</v>
      </c>
      <c r="O1124" t="s">
        <v>91</v>
      </c>
      <c r="P1124" t="s">
        <v>5945</v>
      </c>
      <c r="Q1124" s="14" t="s">
        <v>70</v>
      </c>
      <c r="R1124" t="s">
        <v>327</v>
      </c>
      <c r="S1124">
        <v>0.5</v>
      </c>
      <c r="T1124">
        <v>4067</v>
      </c>
      <c r="U1124">
        <v>0</v>
      </c>
      <c r="V1124">
        <v>4067</v>
      </c>
    </row>
    <row r="1125" spans="1:22" x14ac:dyDescent="0.3">
      <c r="A1125">
        <v>186607</v>
      </c>
      <c r="B1125">
        <v>134902094</v>
      </c>
      <c r="C1125" t="s">
        <v>5946</v>
      </c>
      <c r="D1125" t="s">
        <v>5947</v>
      </c>
      <c r="E1125" t="s">
        <v>4901</v>
      </c>
      <c r="F1125" t="s">
        <v>491</v>
      </c>
      <c r="G1125" t="s">
        <v>44</v>
      </c>
      <c r="H1125" t="s">
        <v>45</v>
      </c>
      <c r="I1125" t="s">
        <v>34</v>
      </c>
      <c r="J1125" t="s">
        <v>46</v>
      </c>
      <c r="K1125" t="s">
        <v>41</v>
      </c>
      <c r="L1125" t="s">
        <v>5948</v>
      </c>
      <c r="M1125" t="s">
        <v>5949</v>
      </c>
      <c r="N1125" t="s">
        <v>4904</v>
      </c>
      <c r="O1125" t="s">
        <v>91</v>
      </c>
      <c r="P1125" t="s">
        <v>5950</v>
      </c>
      <c r="Q1125" s="14" t="s">
        <v>93</v>
      </c>
      <c r="R1125" t="s">
        <v>5917</v>
      </c>
      <c r="S1125">
        <v>0.5</v>
      </c>
      <c r="T1125">
        <v>3680</v>
      </c>
      <c r="U1125">
        <v>0</v>
      </c>
      <c r="V1125">
        <v>3680</v>
      </c>
    </row>
    <row r="1126" spans="1:22" x14ac:dyDescent="0.3">
      <c r="A1126">
        <v>186607</v>
      </c>
      <c r="B1126">
        <v>134902103</v>
      </c>
      <c r="C1126" t="s">
        <v>5951</v>
      </c>
      <c r="D1126" t="s">
        <v>5952</v>
      </c>
      <c r="E1126" t="s">
        <v>4901</v>
      </c>
      <c r="F1126" t="s">
        <v>491</v>
      </c>
      <c r="G1126" t="s">
        <v>44</v>
      </c>
      <c r="H1126" t="s">
        <v>45</v>
      </c>
      <c r="I1126" t="s">
        <v>34</v>
      </c>
      <c r="J1126" t="s">
        <v>46</v>
      </c>
      <c r="K1126" t="s">
        <v>41</v>
      </c>
      <c r="L1126" t="s">
        <v>5953</v>
      </c>
      <c r="M1126" t="s">
        <v>5954</v>
      </c>
      <c r="N1126" t="s">
        <v>4904</v>
      </c>
      <c r="O1126" t="s">
        <v>91</v>
      </c>
      <c r="P1126" t="s">
        <v>5955</v>
      </c>
      <c r="Q1126" s="14" t="s">
        <v>93</v>
      </c>
      <c r="R1126" t="s">
        <v>5917</v>
      </c>
      <c r="S1126">
        <v>0.5</v>
      </c>
      <c r="T1126">
        <v>3680</v>
      </c>
      <c r="U1126">
        <v>0</v>
      </c>
      <c r="V1126">
        <v>3680</v>
      </c>
    </row>
    <row r="1127" spans="1:22" x14ac:dyDescent="0.3">
      <c r="A1127">
        <v>186607</v>
      </c>
      <c r="B1127">
        <v>134860939</v>
      </c>
      <c r="C1127" t="s">
        <v>5956</v>
      </c>
      <c r="D1127" t="s">
        <v>5957</v>
      </c>
      <c r="E1127" t="s">
        <v>4901</v>
      </c>
      <c r="F1127" t="s">
        <v>491</v>
      </c>
      <c r="G1127" t="s">
        <v>44</v>
      </c>
      <c r="H1127" t="s">
        <v>45</v>
      </c>
      <c r="I1127" t="s">
        <v>34</v>
      </c>
      <c r="J1127" t="s">
        <v>46</v>
      </c>
      <c r="K1127" t="s">
        <v>41</v>
      </c>
      <c r="L1127" t="s">
        <v>5958</v>
      </c>
      <c r="M1127" t="s">
        <v>5959</v>
      </c>
      <c r="N1127" t="s">
        <v>4904</v>
      </c>
      <c r="O1127" t="s">
        <v>91</v>
      </c>
      <c r="P1127" t="s">
        <v>5960</v>
      </c>
      <c r="Q1127" s="14" t="s">
        <v>178</v>
      </c>
      <c r="R1127" t="s">
        <v>5886</v>
      </c>
      <c r="S1127">
        <v>0.5</v>
      </c>
      <c r="T1127">
        <v>4067</v>
      </c>
      <c r="U1127">
        <v>0</v>
      </c>
      <c r="V1127">
        <v>4067</v>
      </c>
    </row>
    <row r="1128" spans="1:22" x14ac:dyDescent="0.3">
      <c r="A1128">
        <v>186607</v>
      </c>
      <c r="B1128">
        <v>134860945</v>
      </c>
      <c r="C1128" t="s">
        <v>5961</v>
      </c>
      <c r="D1128" t="s">
        <v>5962</v>
      </c>
      <c r="E1128" t="s">
        <v>4901</v>
      </c>
      <c r="F1128" t="s">
        <v>491</v>
      </c>
      <c r="G1128" t="s">
        <v>44</v>
      </c>
      <c r="H1128" t="s">
        <v>45</v>
      </c>
      <c r="I1128" t="s">
        <v>34</v>
      </c>
      <c r="J1128" t="s">
        <v>46</v>
      </c>
      <c r="K1128" t="s">
        <v>41</v>
      </c>
      <c r="L1128" t="s">
        <v>5958</v>
      </c>
      <c r="M1128" t="s">
        <v>5959</v>
      </c>
      <c r="N1128" t="s">
        <v>4904</v>
      </c>
      <c r="O1128" t="s">
        <v>91</v>
      </c>
      <c r="P1128" t="s">
        <v>5960</v>
      </c>
      <c r="Q1128" s="14" t="s">
        <v>178</v>
      </c>
      <c r="R1128" t="s">
        <v>5886</v>
      </c>
      <c r="S1128">
        <v>0.5</v>
      </c>
      <c r="T1128">
        <v>4067</v>
      </c>
      <c r="U1128">
        <v>0</v>
      </c>
      <c r="V1128">
        <v>4067</v>
      </c>
    </row>
    <row r="1129" spans="1:22" x14ac:dyDescent="0.3">
      <c r="A1129">
        <v>186607</v>
      </c>
      <c r="B1129">
        <v>134902090</v>
      </c>
      <c r="C1129" t="s">
        <v>5963</v>
      </c>
      <c r="D1129" t="s">
        <v>5964</v>
      </c>
      <c r="E1129" t="s">
        <v>4901</v>
      </c>
      <c r="F1129" t="s">
        <v>491</v>
      </c>
      <c r="G1129" t="s">
        <v>44</v>
      </c>
      <c r="H1129" t="s">
        <v>45</v>
      </c>
      <c r="I1129" t="s">
        <v>34</v>
      </c>
      <c r="J1129" t="s">
        <v>46</v>
      </c>
      <c r="K1129" t="s">
        <v>41</v>
      </c>
      <c r="L1129" t="s">
        <v>5965</v>
      </c>
      <c r="M1129" t="s">
        <v>5966</v>
      </c>
      <c r="N1129" t="s">
        <v>4904</v>
      </c>
      <c r="O1129" t="s">
        <v>91</v>
      </c>
      <c r="P1129" t="s">
        <v>5967</v>
      </c>
      <c r="Q1129" s="14" t="s">
        <v>83</v>
      </c>
      <c r="R1129" t="s">
        <v>5917</v>
      </c>
      <c r="S1129">
        <v>0.5</v>
      </c>
      <c r="T1129">
        <v>3299</v>
      </c>
      <c r="U1129">
        <v>0</v>
      </c>
      <c r="V1129">
        <v>3299</v>
      </c>
    </row>
    <row r="1130" spans="1:22" x14ac:dyDescent="0.3">
      <c r="A1130">
        <v>186607</v>
      </c>
      <c r="B1130">
        <v>134917514</v>
      </c>
      <c r="C1130" t="s">
        <v>5968</v>
      </c>
      <c r="D1130" t="s">
        <v>5969</v>
      </c>
      <c r="E1130" t="s">
        <v>4901</v>
      </c>
      <c r="F1130" t="s">
        <v>491</v>
      </c>
      <c r="G1130" t="s">
        <v>44</v>
      </c>
      <c r="H1130" t="s">
        <v>45</v>
      </c>
      <c r="I1130" t="s">
        <v>34</v>
      </c>
      <c r="J1130" t="s">
        <v>46</v>
      </c>
      <c r="K1130" t="s">
        <v>41</v>
      </c>
      <c r="L1130" t="s">
        <v>5970</v>
      </c>
      <c r="M1130" t="s">
        <v>5971</v>
      </c>
      <c r="N1130" t="s">
        <v>4904</v>
      </c>
      <c r="O1130" t="s">
        <v>91</v>
      </c>
      <c r="P1130" t="s">
        <v>5972</v>
      </c>
      <c r="Q1130" s="14" t="s">
        <v>150</v>
      </c>
      <c r="R1130" t="s">
        <v>5758</v>
      </c>
      <c r="S1130">
        <v>2.11</v>
      </c>
      <c r="T1130">
        <v>3753</v>
      </c>
      <c r="U1130">
        <v>0</v>
      </c>
      <c r="V1130">
        <v>3753</v>
      </c>
    </row>
    <row r="1131" spans="1:22" x14ac:dyDescent="0.3">
      <c r="A1131">
        <v>186607</v>
      </c>
      <c r="B1131">
        <v>134502139</v>
      </c>
      <c r="C1131" t="s">
        <v>5973</v>
      </c>
      <c r="D1131" t="s">
        <v>5974</v>
      </c>
      <c r="E1131" t="s">
        <v>4901</v>
      </c>
      <c r="F1131" t="s">
        <v>491</v>
      </c>
      <c r="G1131" t="s">
        <v>44</v>
      </c>
      <c r="H1131" t="s">
        <v>45</v>
      </c>
      <c r="I1131" t="s">
        <v>34</v>
      </c>
      <c r="J1131" t="s">
        <v>46</v>
      </c>
      <c r="K1131" t="s">
        <v>41</v>
      </c>
      <c r="L1131" t="s">
        <v>5975</v>
      </c>
      <c r="M1131" t="s">
        <v>5976</v>
      </c>
      <c r="N1131" t="s">
        <v>4904</v>
      </c>
      <c r="O1131" t="s">
        <v>91</v>
      </c>
      <c r="P1131" t="s">
        <v>5977</v>
      </c>
      <c r="Q1131" s="14" t="s">
        <v>199</v>
      </c>
      <c r="R1131" t="s">
        <v>5978</v>
      </c>
      <c r="S1131">
        <v>0.5</v>
      </c>
      <c r="T1131">
        <v>5367</v>
      </c>
      <c r="U1131">
        <v>0</v>
      </c>
      <c r="V1131">
        <v>5367</v>
      </c>
    </row>
    <row r="1132" spans="1:22" x14ac:dyDescent="0.3">
      <c r="A1132">
        <v>186607</v>
      </c>
      <c r="B1132">
        <v>134917517</v>
      </c>
      <c r="C1132" t="s">
        <v>5979</v>
      </c>
      <c r="D1132" t="s">
        <v>5980</v>
      </c>
      <c r="E1132" t="s">
        <v>4901</v>
      </c>
      <c r="F1132" t="s">
        <v>491</v>
      </c>
      <c r="G1132" t="s">
        <v>44</v>
      </c>
      <c r="H1132" t="s">
        <v>45</v>
      </c>
      <c r="I1132" t="s">
        <v>34</v>
      </c>
      <c r="J1132" t="s">
        <v>46</v>
      </c>
      <c r="K1132" t="s">
        <v>41</v>
      </c>
      <c r="L1132" t="s">
        <v>5981</v>
      </c>
      <c r="M1132" t="s">
        <v>5982</v>
      </c>
      <c r="N1132" t="s">
        <v>4904</v>
      </c>
      <c r="O1132" t="s">
        <v>91</v>
      </c>
      <c r="P1132" t="s">
        <v>5983</v>
      </c>
      <c r="Q1132" s="14" t="s">
        <v>89</v>
      </c>
      <c r="R1132" t="s">
        <v>5758</v>
      </c>
      <c r="S1132">
        <v>0.5</v>
      </c>
      <c r="T1132">
        <v>3680</v>
      </c>
      <c r="U1132">
        <v>0</v>
      </c>
      <c r="V1132">
        <v>3680</v>
      </c>
    </row>
    <row r="1133" spans="1:22" x14ac:dyDescent="0.3">
      <c r="A1133">
        <v>186607</v>
      </c>
      <c r="B1133">
        <v>134902087</v>
      </c>
      <c r="C1133" t="s">
        <v>5984</v>
      </c>
      <c r="D1133" t="s">
        <v>5985</v>
      </c>
      <c r="E1133" t="s">
        <v>4901</v>
      </c>
      <c r="F1133" t="s">
        <v>491</v>
      </c>
      <c r="G1133" t="s">
        <v>44</v>
      </c>
      <c r="H1133" t="s">
        <v>45</v>
      </c>
      <c r="I1133" t="s">
        <v>34</v>
      </c>
      <c r="J1133" t="s">
        <v>46</v>
      </c>
      <c r="K1133" t="s">
        <v>41</v>
      </c>
      <c r="L1133" t="s">
        <v>5986</v>
      </c>
      <c r="M1133" t="s">
        <v>5987</v>
      </c>
      <c r="N1133" t="s">
        <v>4904</v>
      </c>
      <c r="O1133" t="s">
        <v>91</v>
      </c>
      <c r="P1133" t="s">
        <v>5988</v>
      </c>
      <c r="Q1133" s="14" t="s">
        <v>83</v>
      </c>
      <c r="R1133" t="s">
        <v>5917</v>
      </c>
      <c r="S1133">
        <v>0.5</v>
      </c>
      <c r="T1133">
        <v>3299</v>
      </c>
      <c r="U1133">
        <v>0</v>
      </c>
      <c r="V1133">
        <v>3299</v>
      </c>
    </row>
    <row r="1134" spans="1:22" x14ac:dyDescent="0.3">
      <c r="A1134">
        <v>186607</v>
      </c>
      <c r="B1134">
        <v>134902086</v>
      </c>
      <c r="C1134" t="s">
        <v>5989</v>
      </c>
      <c r="D1134" t="s">
        <v>5990</v>
      </c>
      <c r="E1134" t="s">
        <v>4901</v>
      </c>
      <c r="F1134" t="s">
        <v>491</v>
      </c>
      <c r="G1134" t="s">
        <v>44</v>
      </c>
      <c r="H1134" t="s">
        <v>45</v>
      </c>
      <c r="I1134" t="s">
        <v>34</v>
      </c>
      <c r="J1134" t="s">
        <v>46</v>
      </c>
      <c r="K1134" t="s">
        <v>41</v>
      </c>
      <c r="L1134" t="s">
        <v>5991</v>
      </c>
      <c r="M1134" t="s">
        <v>395</v>
      </c>
      <c r="N1134" t="s">
        <v>4904</v>
      </c>
      <c r="O1134" t="s">
        <v>91</v>
      </c>
      <c r="P1134" t="s">
        <v>5992</v>
      </c>
      <c r="Q1134" s="14" t="s">
        <v>78</v>
      </c>
      <c r="R1134" t="s">
        <v>5917</v>
      </c>
      <c r="S1134">
        <v>2.58</v>
      </c>
      <c r="T1134">
        <v>3366</v>
      </c>
      <c r="U1134">
        <v>0</v>
      </c>
      <c r="V1134">
        <v>3366</v>
      </c>
    </row>
    <row r="1135" spans="1:22" x14ac:dyDescent="0.3">
      <c r="A1135">
        <v>186607</v>
      </c>
      <c r="B1135">
        <v>134902093</v>
      </c>
      <c r="C1135" t="s">
        <v>5993</v>
      </c>
      <c r="D1135" t="s">
        <v>5994</v>
      </c>
      <c r="E1135" t="s">
        <v>4901</v>
      </c>
      <c r="F1135" t="s">
        <v>491</v>
      </c>
      <c r="G1135" t="s">
        <v>44</v>
      </c>
      <c r="H1135" t="s">
        <v>45</v>
      </c>
      <c r="I1135" t="s">
        <v>34</v>
      </c>
      <c r="J1135" t="s">
        <v>46</v>
      </c>
      <c r="K1135" t="s">
        <v>41</v>
      </c>
      <c r="L1135" t="s">
        <v>5995</v>
      </c>
      <c r="M1135" t="s">
        <v>5381</v>
      </c>
      <c r="N1135" t="s">
        <v>4904</v>
      </c>
      <c r="O1135" t="s">
        <v>91</v>
      </c>
      <c r="P1135" t="s">
        <v>5996</v>
      </c>
      <c r="Q1135" s="14" t="s">
        <v>42</v>
      </c>
      <c r="R1135" t="s">
        <v>5917</v>
      </c>
      <c r="S1135">
        <v>4.7699999999999996</v>
      </c>
      <c r="T1135">
        <v>4322</v>
      </c>
      <c r="U1135">
        <v>0</v>
      </c>
      <c r="V1135">
        <v>4322</v>
      </c>
    </row>
    <row r="1136" spans="1:22" x14ac:dyDescent="0.3">
      <c r="A1136">
        <v>186607</v>
      </c>
      <c r="B1136">
        <v>134917522</v>
      </c>
      <c r="C1136" t="s">
        <v>5997</v>
      </c>
      <c r="D1136" t="s">
        <v>5998</v>
      </c>
      <c r="E1136" t="s">
        <v>4901</v>
      </c>
      <c r="F1136" t="s">
        <v>491</v>
      </c>
      <c r="G1136" t="s">
        <v>44</v>
      </c>
      <c r="H1136" t="s">
        <v>45</v>
      </c>
      <c r="I1136" t="s">
        <v>34</v>
      </c>
      <c r="J1136" t="s">
        <v>46</v>
      </c>
      <c r="K1136" t="s">
        <v>56</v>
      </c>
      <c r="L1136" t="s">
        <v>57</v>
      </c>
      <c r="M1136" t="s">
        <v>435</v>
      </c>
      <c r="N1136" t="s">
        <v>4904</v>
      </c>
      <c r="O1136" t="s">
        <v>91</v>
      </c>
      <c r="P1136" t="s">
        <v>5999</v>
      </c>
      <c r="Q1136" s="14" t="s">
        <v>137</v>
      </c>
      <c r="R1136" t="s">
        <v>5758</v>
      </c>
      <c r="S1136">
        <v>0.5</v>
      </c>
      <c r="T1136">
        <v>3959</v>
      </c>
      <c r="U1136">
        <v>0</v>
      </c>
      <c r="V1136">
        <v>3959</v>
      </c>
    </row>
    <row r="1137" spans="1:22" x14ac:dyDescent="0.3">
      <c r="A1137">
        <v>186607</v>
      </c>
      <c r="B1137">
        <v>134860937</v>
      </c>
      <c r="C1137" t="s">
        <v>6000</v>
      </c>
      <c r="D1137" t="s">
        <v>6001</v>
      </c>
      <c r="E1137" t="s">
        <v>4901</v>
      </c>
      <c r="F1137" t="s">
        <v>491</v>
      </c>
      <c r="G1137" t="s">
        <v>44</v>
      </c>
      <c r="H1137" t="s">
        <v>45</v>
      </c>
      <c r="I1137" t="s">
        <v>34</v>
      </c>
      <c r="J1137" t="s">
        <v>46</v>
      </c>
      <c r="K1137" t="s">
        <v>41</v>
      </c>
      <c r="L1137" t="s">
        <v>6002</v>
      </c>
      <c r="M1137" t="s">
        <v>6003</v>
      </c>
      <c r="N1137" t="s">
        <v>4904</v>
      </c>
      <c r="O1137" t="s">
        <v>91</v>
      </c>
      <c r="P1137" t="s">
        <v>6004</v>
      </c>
      <c r="Q1137" s="14" t="s">
        <v>135</v>
      </c>
      <c r="R1137" t="s">
        <v>5886</v>
      </c>
      <c r="S1137">
        <v>0.5</v>
      </c>
      <c r="T1137">
        <v>3299</v>
      </c>
      <c r="U1137">
        <v>0</v>
      </c>
      <c r="V1137">
        <v>3299</v>
      </c>
    </row>
    <row r="1138" spans="1:22" x14ac:dyDescent="0.3">
      <c r="A1138">
        <v>186607</v>
      </c>
      <c r="B1138">
        <v>134814278</v>
      </c>
      <c r="C1138" t="s">
        <v>6005</v>
      </c>
      <c r="D1138" t="s">
        <v>6006</v>
      </c>
      <c r="E1138" t="s">
        <v>4901</v>
      </c>
      <c r="F1138" t="s">
        <v>491</v>
      </c>
      <c r="G1138" t="s">
        <v>44</v>
      </c>
      <c r="H1138" t="s">
        <v>45</v>
      </c>
      <c r="I1138" t="s">
        <v>34</v>
      </c>
      <c r="J1138" t="s">
        <v>46</v>
      </c>
      <c r="K1138" t="s">
        <v>41</v>
      </c>
      <c r="L1138" t="s">
        <v>6007</v>
      </c>
      <c r="M1138" t="s">
        <v>6008</v>
      </c>
      <c r="N1138" t="s">
        <v>4904</v>
      </c>
      <c r="O1138" t="s">
        <v>91</v>
      </c>
      <c r="P1138" t="s">
        <v>6009</v>
      </c>
      <c r="Q1138" s="14" t="s">
        <v>83</v>
      </c>
      <c r="R1138" t="s">
        <v>5269</v>
      </c>
      <c r="S1138">
        <v>1</v>
      </c>
      <c r="T1138">
        <v>3366</v>
      </c>
      <c r="U1138">
        <v>0</v>
      </c>
      <c r="V1138">
        <v>3366</v>
      </c>
    </row>
    <row r="1139" spans="1:22" x14ac:dyDescent="0.3">
      <c r="A1139">
        <v>186607</v>
      </c>
      <c r="B1139">
        <v>134814289</v>
      </c>
      <c r="C1139" t="s">
        <v>6010</v>
      </c>
      <c r="D1139" t="s">
        <v>6011</v>
      </c>
      <c r="E1139" t="s">
        <v>4901</v>
      </c>
      <c r="F1139" t="s">
        <v>491</v>
      </c>
      <c r="G1139" t="s">
        <v>44</v>
      </c>
      <c r="H1139" t="s">
        <v>45</v>
      </c>
      <c r="I1139" t="s">
        <v>34</v>
      </c>
      <c r="J1139" t="s">
        <v>46</v>
      </c>
      <c r="K1139" t="s">
        <v>41</v>
      </c>
      <c r="L1139" t="s">
        <v>6012</v>
      </c>
      <c r="M1139" t="s">
        <v>6013</v>
      </c>
      <c r="N1139" t="s">
        <v>4904</v>
      </c>
      <c r="O1139" t="s">
        <v>91</v>
      </c>
      <c r="P1139" t="s">
        <v>6014</v>
      </c>
      <c r="Q1139" s="14" t="s">
        <v>62</v>
      </c>
      <c r="R1139" t="s">
        <v>5269</v>
      </c>
      <c r="S1139">
        <v>0.5</v>
      </c>
      <c r="T1139">
        <v>3680</v>
      </c>
      <c r="U1139">
        <v>0</v>
      </c>
      <c r="V1139">
        <v>3680</v>
      </c>
    </row>
    <row r="1140" spans="1:22" x14ac:dyDescent="0.3">
      <c r="A1140">
        <v>186607</v>
      </c>
      <c r="B1140">
        <v>134761886</v>
      </c>
      <c r="C1140" t="s">
        <v>6015</v>
      </c>
      <c r="D1140" t="s">
        <v>6016</v>
      </c>
      <c r="E1140" t="s">
        <v>4901</v>
      </c>
      <c r="F1140" t="s">
        <v>491</v>
      </c>
      <c r="G1140" t="s">
        <v>44</v>
      </c>
      <c r="H1140" t="s">
        <v>45</v>
      </c>
      <c r="I1140" t="s">
        <v>34</v>
      </c>
      <c r="J1140" t="s">
        <v>46</v>
      </c>
      <c r="K1140" t="s">
        <v>41</v>
      </c>
      <c r="L1140" t="s">
        <v>6017</v>
      </c>
      <c r="M1140" t="s">
        <v>6018</v>
      </c>
      <c r="N1140" t="s">
        <v>4904</v>
      </c>
      <c r="O1140" t="s">
        <v>91</v>
      </c>
      <c r="P1140" t="s">
        <v>6019</v>
      </c>
      <c r="Q1140" s="14" t="s">
        <v>146</v>
      </c>
      <c r="R1140" t="s">
        <v>460</v>
      </c>
      <c r="S1140">
        <v>0.5</v>
      </c>
      <c r="T1140">
        <v>4067</v>
      </c>
      <c r="U1140">
        <v>0</v>
      </c>
      <c r="V1140">
        <v>4067</v>
      </c>
    </row>
    <row r="1141" spans="1:22" x14ac:dyDescent="0.3">
      <c r="A1141">
        <v>186607</v>
      </c>
      <c r="B1141">
        <v>134831894</v>
      </c>
      <c r="C1141" t="s">
        <v>6020</v>
      </c>
      <c r="D1141" t="s">
        <v>6021</v>
      </c>
      <c r="E1141" t="s">
        <v>4901</v>
      </c>
      <c r="F1141" t="s">
        <v>491</v>
      </c>
      <c r="G1141" t="s">
        <v>44</v>
      </c>
      <c r="H1141" t="s">
        <v>45</v>
      </c>
      <c r="I1141" t="s">
        <v>34</v>
      </c>
      <c r="J1141" t="s">
        <v>46</v>
      </c>
      <c r="K1141" t="s">
        <v>41</v>
      </c>
      <c r="L1141" t="s">
        <v>6022</v>
      </c>
      <c r="M1141" t="s">
        <v>6023</v>
      </c>
      <c r="N1141" t="s">
        <v>4904</v>
      </c>
      <c r="O1141" t="s">
        <v>91</v>
      </c>
      <c r="P1141" t="s">
        <v>6024</v>
      </c>
      <c r="Q1141" s="14" t="s">
        <v>152</v>
      </c>
      <c r="R1141" t="s">
        <v>319</v>
      </c>
      <c r="S1141">
        <v>0.5</v>
      </c>
      <c r="T1141">
        <v>3299</v>
      </c>
      <c r="U1141">
        <v>0</v>
      </c>
      <c r="V1141">
        <v>3299</v>
      </c>
    </row>
    <row r="1142" spans="1:22" x14ac:dyDescent="0.3">
      <c r="A1142">
        <v>186607</v>
      </c>
      <c r="B1142">
        <v>134814275</v>
      </c>
      <c r="C1142" t="s">
        <v>6025</v>
      </c>
      <c r="D1142" t="s">
        <v>6026</v>
      </c>
      <c r="E1142" t="s">
        <v>4901</v>
      </c>
      <c r="F1142" t="s">
        <v>491</v>
      </c>
      <c r="G1142" t="s">
        <v>44</v>
      </c>
      <c r="H1142" t="s">
        <v>45</v>
      </c>
      <c r="I1142" t="s">
        <v>34</v>
      </c>
      <c r="J1142" t="s">
        <v>46</v>
      </c>
      <c r="K1142" t="s">
        <v>41</v>
      </c>
      <c r="L1142" t="s">
        <v>6027</v>
      </c>
      <c r="M1142" t="s">
        <v>6028</v>
      </c>
      <c r="N1142" t="s">
        <v>4904</v>
      </c>
      <c r="O1142" t="s">
        <v>91</v>
      </c>
      <c r="P1142" t="s">
        <v>6029</v>
      </c>
      <c r="Q1142" s="14" t="s">
        <v>150</v>
      </c>
      <c r="R1142" t="s">
        <v>5269</v>
      </c>
      <c r="S1142">
        <v>1</v>
      </c>
      <c r="T1142">
        <v>3753</v>
      </c>
      <c r="U1142">
        <v>0</v>
      </c>
      <c r="V1142">
        <v>3753</v>
      </c>
    </row>
    <row r="1143" spans="1:22" x14ac:dyDescent="0.3">
      <c r="A1143">
        <v>186607</v>
      </c>
      <c r="B1143">
        <v>134831869</v>
      </c>
      <c r="C1143" t="s">
        <v>6030</v>
      </c>
      <c r="D1143" t="s">
        <v>6031</v>
      </c>
      <c r="E1143" t="s">
        <v>4901</v>
      </c>
      <c r="F1143" t="s">
        <v>491</v>
      </c>
      <c r="G1143" t="s">
        <v>44</v>
      </c>
      <c r="H1143" t="s">
        <v>45</v>
      </c>
      <c r="I1143" t="s">
        <v>34</v>
      </c>
      <c r="J1143" t="s">
        <v>46</v>
      </c>
      <c r="K1143" t="s">
        <v>41</v>
      </c>
      <c r="L1143" t="s">
        <v>6032</v>
      </c>
      <c r="M1143" t="s">
        <v>6033</v>
      </c>
      <c r="N1143" t="s">
        <v>4904</v>
      </c>
      <c r="O1143" t="s">
        <v>91</v>
      </c>
      <c r="P1143" t="s">
        <v>6034</v>
      </c>
      <c r="Q1143" s="14" t="s">
        <v>114</v>
      </c>
      <c r="R1143" t="s">
        <v>319</v>
      </c>
      <c r="S1143">
        <v>0.5</v>
      </c>
      <c r="T1143">
        <v>3449</v>
      </c>
      <c r="U1143">
        <v>0</v>
      </c>
      <c r="V1143">
        <v>3449</v>
      </c>
    </row>
    <row r="1144" spans="1:22" x14ac:dyDescent="0.3">
      <c r="A1144">
        <v>186607</v>
      </c>
      <c r="B1144">
        <v>134814254</v>
      </c>
      <c r="C1144" t="s">
        <v>6035</v>
      </c>
      <c r="D1144" t="s">
        <v>6036</v>
      </c>
      <c r="E1144" t="s">
        <v>4901</v>
      </c>
      <c r="F1144" t="s">
        <v>491</v>
      </c>
      <c r="G1144" t="s">
        <v>44</v>
      </c>
      <c r="H1144" t="s">
        <v>45</v>
      </c>
      <c r="I1144" t="s">
        <v>34</v>
      </c>
      <c r="J1144" t="s">
        <v>46</v>
      </c>
      <c r="K1144" t="s">
        <v>41</v>
      </c>
      <c r="L1144" t="s">
        <v>6037</v>
      </c>
      <c r="M1144" t="s">
        <v>6038</v>
      </c>
      <c r="N1144" t="s">
        <v>4904</v>
      </c>
      <c r="O1144" t="s">
        <v>91</v>
      </c>
      <c r="P1144" t="s">
        <v>6039</v>
      </c>
      <c r="Q1144" s="14" t="s">
        <v>89</v>
      </c>
      <c r="R1144" t="s">
        <v>5269</v>
      </c>
      <c r="S1144">
        <v>0.5</v>
      </c>
      <c r="T1144">
        <v>3680</v>
      </c>
      <c r="U1144">
        <v>0</v>
      </c>
      <c r="V1144">
        <v>3680</v>
      </c>
    </row>
    <row r="1145" spans="1:22" x14ac:dyDescent="0.3">
      <c r="A1145">
        <v>186607</v>
      </c>
      <c r="B1145">
        <v>134446794</v>
      </c>
      <c r="C1145" t="s">
        <v>6040</v>
      </c>
      <c r="D1145" t="s">
        <v>6041</v>
      </c>
      <c r="E1145" t="s">
        <v>4901</v>
      </c>
      <c r="F1145" t="s">
        <v>491</v>
      </c>
      <c r="G1145" t="s">
        <v>44</v>
      </c>
      <c r="H1145" t="s">
        <v>45</v>
      </c>
      <c r="I1145" t="s">
        <v>34</v>
      </c>
      <c r="J1145" t="s">
        <v>46</v>
      </c>
      <c r="K1145" t="s">
        <v>41</v>
      </c>
      <c r="L1145" t="s">
        <v>6042</v>
      </c>
      <c r="M1145" t="s">
        <v>6043</v>
      </c>
      <c r="N1145" t="s">
        <v>4904</v>
      </c>
      <c r="O1145" t="s">
        <v>91</v>
      </c>
      <c r="P1145" t="s">
        <v>6044</v>
      </c>
      <c r="Q1145" s="14" t="s">
        <v>149</v>
      </c>
      <c r="R1145" t="s">
        <v>6045</v>
      </c>
      <c r="S1145">
        <v>1</v>
      </c>
      <c r="T1145">
        <v>5759</v>
      </c>
      <c r="U1145">
        <v>0</v>
      </c>
      <c r="V1145">
        <v>5759</v>
      </c>
    </row>
    <row r="1146" spans="1:22" x14ac:dyDescent="0.3">
      <c r="A1146">
        <v>186607</v>
      </c>
      <c r="B1146">
        <v>134814258</v>
      </c>
      <c r="C1146" t="s">
        <v>6046</v>
      </c>
      <c r="D1146" t="s">
        <v>6047</v>
      </c>
      <c r="E1146" t="s">
        <v>4901</v>
      </c>
      <c r="F1146" t="s">
        <v>491</v>
      </c>
      <c r="G1146" t="s">
        <v>44</v>
      </c>
      <c r="H1146" t="s">
        <v>45</v>
      </c>
      <c r="I1146" t="s">
        <v>34</v>
      </c>
      <c r="J1146" t="s">
        <v>46</v>
      </c>
      <c r="K1146" t="s">
        <v>41</v>
      </c>
      <c r="L1146" t="s">
        <v>6048</v>
      </c>
      <c r="M1146" t="s">
        <v>6049</v>
      </c>
      <c r="N1146" t="s">
        <v>4904</v>
      </c>
      <c r="O1146" t="s">
        <v>91</v>
      </c>
      <c r="P1146" t="s">
        <v>6050</v>
      </c>
      <c r="Q1146" s="14" t="s">
        <v>83</v>
      </c>
      <c r="R1146" t="s">
        <v>5269</v>
      </c>
      <c r="S1146">
        <v>0.5</v>
      </c>
      <c r="T1146">
        <v>3299</v>
      </c>
      <c r="U1146">
        <v>0</v>
      </c>
      <c r="V1146">
        <v>3299</v>
      </c>
    </row>
    <row r="1147" spans="1:22" x14ac:dyDescent="0.3">
      <c r="A1147">
        <v>186607</v>
      </c>
      <c r="B1147">
        <v>134831888</v>
      </c>
      <c r="C1147" t="s">
        <v>6051</v>
      </c>
      <c r="D1147" t="s">
        <v>6052</v>
      </c>
      <c r="E1147" t="s">
        <v>4901</v>
      </c>
      <c r="F1147" t="s">
        <v>491</v>
      </c>
      <c r="G1147" t="s">
        <v>44</v>
      </c>
      <c r="H1147" t="s">
        <v>45</v>
      </c>
      <c r="I1147" t="s">
        <v>34</v>
      </c>
      <c r="J1147" t="s">
        <v>46</v>
      </c>
      <c r="K1147" t="s">
        <v>41</v>
      </c>
      <c r="L1147" t="s">
        <v>6053</v>
      </c>
      <c r="M1147" t="s">
        <v>6054</v>
      </c>
      <c r="N1147" t="s">
        <v>4904</v>
      </c>
      <c r="O1147" t="s">
        <v>91</v>
      </c>
      <c r="P1147" t="s">
        <v>6055</v>
      </c>
      <c r="Q1147" s="14" t="s">
        <v>61</v>
      </c>
      <c r="R1147" t="s">
        <v>319</v>
      </c>
      <c r="S1147">
        <v>0.5</v>
      </c>
      <c r="T1147">
        <v>3794</v>
      </c>
      <c r="U1147">
        <v>0</v>
      </c>
      <c r="V1147">
        <v>3794</v>
      </c>
    </row>
    <row r="1148" spans="1:22" x14ac:dyDescent="0.3">
      <c r="A1148">
        <v>186607</v>
      </c>
      <c r="B1148">
        <v>134709720</v>
      </c>
      <c r="C1148" t="s">
        <v>6056</v>
      </c>
      <c r="D1148" t="s">
        <v>6057</v>
      </c>
      <c r="E1148" t="s">
        <v>4901</v>
      </c>
      <c r="F1148" t="s">
        <v>491</v>
      </c>
      <c r="G1148" t="s">
        <v>44</v>
      </c>
      <c r="H1148" t="s">
        <v>45</v>
      </c>
      <c r="I1148" t="s">
        <v>34</v>
      </c>
      <c r="J1148" t="s">
        <v>46</v>
      </c>
      <c r="K1148" t="s">
        <v>41</v>
      </c>
      <c r="L1148" t="s">
        <v>6058</v>
      </c>
      <c r="M1148" t="s">
        <v>6059</v>
      </c>
      <c r="N1148" t="s">
        <v>4904</v>
      </c>
      <c r="O1148" t="s">
        <v>91</v>
      </c>
      <c r="P1148" t="s">
        <v>6060</v>
      </c>
      <c r="Q1148" s="14" t="s">
        <v>146</v>
      </c>
      <c r="R1148" t="s">
        <v>369</v>
      </c>
      <c r="S1148">
        <v>1</v>
      </c>
      <c r="T1148">
        <v>5759</v>
      </c>
      <c r="U1148">
        <v>0</v>
      </c>
      <c r="V1148">
        <v>5759</v>
      </c>
    </row>
    <row r="1149" spans="1:22" x14ac:dyDescent="0.3">
      <c r="A1149">
        <v>186607</v>
      </c>
      <c r="B1149">
        <v>134860930</v>
      </c>
      <c r="C1149" t="s">
        <v>6061</v>
      </c>
      <c r="D1149" t="s">
        <v>6062</v>
      </c>
      <c r="E1149" t="s">
        <v>4901</v>
      </c>
      <c r="F1149" t="s">
        <v>491</v>
      </c>
      <c r="G1149" t="s">
        <v>44</v>
      </c>
      <c r="H1149" t="s">
        <v>45</v>
      </c>
      <c r="I1149" t="s">
        <v>34</v>
      </c>
      <c r="J1149" t="s">
        <v>46</v>
      </c>
      <c r="K1149" t="s">
        <v>41</v>
      </c>
      <c r="L1149" t="s">
        <v>6063</v>
      </c>
      <c r="M1149" t="s">
        <v>6064</v>
      </c>
      <c r="N1149" t="s">
        <v>4904</v>
      </c>
      <c r="O1149" t="s">
        <v>91</v>
      </c>
      <c r="P1149" t="s">
        <v>6065</v>
      </c>
      <c r="Q1149" s="14" t="s">
        <v>62</v>
      </c>
      <c r="R1149" t="s">
        <v>5886</v>
      </c>
      <c r="S1149">
        <v>1</v>
      </c>
      <c r="T1149">
        <v>4067</v>
      </c>
      <c r="U1149">
        <v>0</v>
      </c>
      <c r="V1149">
        <v>4067</v>
      </c>
    </row>
    <row r="1150" spans="1:22" x14ac:dyDescent="0.3">
      <c r="A1150">
        <v>186607</v>
      </c>
      <c r="B1150">
        <v>134860927</v>
      </c>
      <c r="C1150" t="s">
        <v>6066</v>
      </c>
      <c r="D1150" t="s">
        <v>6067</v>
      </c>
      <c r="E1150" t="s">
        <v>4901</v>
      </c>
      <c r="F1150" t="s">
        <v>491</v>
      </c>
      <c r="G1150" t="s">
        <v>44</v>
      </c>
      <c r="H1150" t="s">
        <v>45</v>
      </c>
      <c r="I1150" t="s">
        <v>34</v>
      </c>
      <c r="J1150" t="s">
        <v>46</v>
      </c>
      <c r="K1150" t="s">
        <v>41</v>
      </c>
      <c r="L1150" t="s">
        <v>6068</v>
      </c>
      <c r="M1150" t="s">
        <v>6069</v>
      </c>
      <c r="N1150" t="s">
        <v>4904</v>
      </c>
      <c r="O1150" t="s">
        <v>91</v>
      </c>
      <c r="P1150" t="s">
        <v>6070</v>
      </c>
      <c r="Q1150" s="14" t="s">
        <v>109</v>
      </c>
      <c r="R1150" t="s">
        <v>5886</v>
      </c>
      <c r="S1150">
        <v>1.5</v>
      </c>
      <c r="T1150">
        <v>3784</v>
      </c>
      <c r="U1150">
        <v>0</v>
      </c>
      <c r="V1150">
        <v>3784</v>
      </c>
    </row>
    <row r="1151" spans="1:22" x14ac:dyDescent="0.3">
      <c r="A1151">
        <v>186607</v>
      </c>
      <c r="B1151">
        <v>134814272</v>
      </c>
      <c r="C1151" t="s">
        <v>6071</v>
      </c>
      <c r="D1151" t="s">
        <v>6072</v>
      </c>
      <c r="E1151" t="s">
        <v>4901</v>
      </c>
      <c r="F1151" t="s">
        <v>491</v>
      </c>
      <c r="G1151" t="s">
        <v>44</v>
      </c>
      <c r="H1151" t="s">
        <v>45</v>
      </c>
      <c r="I1151" t="s">
        <v>34</v>
      </c>
      <c r="J1151" t="s">
        <v>46</v>
      </c>
      <c r="K1151" t="s">
        <v>56</v>
      </c>
      <c r="L1151" t="s">
        <v>57</v>
      </c>
      <c r="M1151" t="s">
        <v>6073</v>
      </c>
      <c r="N1151" t="s">
        <v>4904</v>
      </c>
      <c r="O1151" t="s">
        <v>91</v>
      </c>
      <c r="P1151" t="s">
        <v>6074</v>
      </c>
      <c r="Q1151" s="14" t="s">
        <v>81</v>
      </c>
      <c r="R1151" t="s">
        <v>5269</v>
      </c>
      <c r="S1151">
        <v>0.5</v>
      </c>
      <c r="T1151">
        <v>3680</v>
      </c>
      <c r="U1151">
        <v>0</v>
      </c>
      <c r="V1151">
        <v>3680</v>
      </c>
    </row>
    <row r="1152" spans="1:22" x14ac:dyDescent="0.3">
      <c r="A1152">
        <v>186607</v>
      </c>
      <c r="B1152">
        <v>134709715</v>
      </c>
      <c r="C1152" t="s">
        <v>6075</v>
      </c>
      <c r="D1152" t="s">
        <v>6076</v>
      </c>
      <c r="E1152" t="s">
        <v>4901</v>
      </c>
      <c r="F1152" t="s">
        <v>491</v>
      </c>
      <c r="G1152" t="s">
        <v>44</v>
      </c>
      <c r="H1152" t="s">
        <v>45</v>
      </c>
      <c r="I1152" t="s">
        <v>34</v>
      </c>
      <c r="J1152" t="s">
        <v>46</v>
      </c>
      <c r="K1152" t="s">
        <v>41</v>
      </c>
      <c r="L1152" t="s">
        <v>6077</v>
      </c>
      <c r="M1152" t="s">
        <v>6078</v>
      </c>
      <c r="N1152" t="s">
        <v>4904</v>
      </c>
      <c r="O1152" t="s">
        <v>91</v>
      </c>
      <c r="P1152" t="s">
        <v>6079</v>
      </c>
      <c r="Q1152" s="14" t="s">
        <v>70</v>
      </c>
      <c r="R1152" t="s">
        <v>369</v>
      </c>
      <c r="S1152">
        <v>1</v>
      </c>
      <c r="T1152">
        <v>5198</v>
      </c>
      <c r="U1152">
        <v>0</v>
      </c>
      <c r="V1152">
        <v>5198</v>
      </c>
    </row>
    <row r="1153" spans="1:22" x14ac:dyDescent="0.3">
      <c r="A1153">
        <v>186607</v>
      </c>
      <c r="B1153">
        <v>134831864</v>
      </c>
      <c r="C1153" t="s">
        <v>6080</v>
      </c>
      <c r="D1153" t="s">
        <v>6081</v>
      </c>
      <c r="E1153" t="s">
        <v>4901</v>
      </c>
      <c r="F1153" t="s">
        <v>491</v>
      </c>
      <c r="G1153" t="s">
        <v>44</v>
      </c>
      <c r="H1153" t="s">
        <v>45</v>
      </c>
      <c r="I1153" t="s">
        <v>34</v>
      </c>
      <c r="J1153" t="s">
        <v>46</v>
      </c>
      <c r="K1153" t="s">
        <v>41</v>
      </c>
      <c r="L1153" t="s">
        <v>6082</v>
      </c>
      <c r="M1153" t="s">
        <v>6083</v>
      </c>
      <c r="N1153" t="s">
        <v>4904</v>
      </c>
      <c r="O1153" t="s">
        <v>91</v>
      </c>
      <c r="P1153" t="s">
        <v>6084</v>
      </c>
      <c r="Q1153" s="14" t="s">
        <v>43</v>
      </c>
      <c r="R1153" t="s">
        <v>319</v>
      </c>
      <c r="S1153">
        <v>0.5</v>
      </c>
      <c r="T1153">
        <v>3680</v>
      </c>
      <c r="U1153">
        <v>0</v>
      </c>
      <c r="V1153">
        <v>3680</v>
      </c>
    </row>
    <row r="1154" spans="1:22" x14ac:dyDescent="0.3">
      <c r="A1154">
        <v>186607</v>
      </c>
      <c r="B1154">
        <v>134877793</v>
      </c>
      <c r="C1154" t="s">
        <v>6085</v>
      </c>
      <c r="D1154" t="s">
        <v>6086</v>
      </c>
      <c r="E1154" t="s">
        <v>4901</v>
      </c>
      <c r="F1154" t="s">
        <v>491</v>
      </c>
      <c r="G1154" t="s">
        <v>44</v>
      </c>
      <c r="H1154" t="s">
        <v>45</v>
      </c>
      <c r="I1154" t="s">
        <v>34</v>
      </c>
      <c r="J1154" t="s">
        <v>46</v>
      </c>
      <c r="K1154" t="s">
        <v>41</v>
      </c>
      <c r="L1154" t="s">
        <v>6087</v>
      </c>
      <c r="M1154" t="s">
        <v>6088</v>
      </c>
      <c r="N1154" t="s">
        <v>4904</v>
      </c>
      <c r="O1154" t="s">
        <v>91</v>
      </c>
      <c r="P1154" t="s">
        <v>6089</v>
      </c>
      <c r="Q1154" s="14" t="s">
        <v>85</v>
      </c>
      <c r="R1154" t="s">
        <v>327</v>
      </c>
      <c r="S1154">
        <v>0.5</v>
      </c>
      <c r="T1154">
        <v>3449</v>
      </c>
      <c r="U1154">
        <v>0</v>
      </c>
      <c r="V1154">
        <v>3449</v>
      </c>
    </row>
    <row r="1155" spans="1:22" x14ac:dyDescent="0.3">
      <c r="A1155">
        <v>186607</v>
      </c>
      <c r="B1155">
        <v>134831887</v>
      </c>
      <c r="C1155" t="s">
        <v>6090</v>
      </c>
      <c r="D1155" t="s">
        <v>6091</v>
      </c>
      <c r="E1155" t="s">
        <v>4901</v>
      </c>
      <c r="F1155" t="s">
        <v>491</v>
      </c>
      <c r="G1155" t="s">
        <v>44</v>
      </c>
      <c r="H1155" t="s">
        <v>45</v>
      </c>
      <c r="I1155" t="s">
        <v>34</v>
      </c>
      <c r="J1155" t="s">
        <v>46</v>
      </c>
      <c r="K1155" t="s">
        <v>41</v>
      </c>
      <c r="L1155" t="s">
        <v>6092</v>
      </c>
      <c r="M1155" t="s">
        <v>347</v>
      </c>
      <c r="N1155" t="s">
        <v>4904</v>
      </c>
      <c r="O1155" t="s">
        <v>91</v>
      </c>
      <c r="P1155" t="s">
        <v>6093</v>
      </c>
      <c r="Q1155" s="14" t="s">
        <v>226</v>
      </c>
      <c r="R1155" t="s">
        <v>319</v>
      </c>
      <c r="S1155">
        <v>1</v>
      </c>
      <c r="T1155">
        <v>4067</v>
      </c>
      <c r="U1155">
        <v>0</v>
      </c>
      <c r="V1155">
        <v>4067</v>
      </c>
    </row>
    <row r="1156" spans="1:22" x14ac:dyDescent="0.3">
      <c r="A1156">
        <v>186607</v>
      </c>
      <c r="B1156">
        <v>134814266</v>
      </c>
      <c r="C1156" t="s">
        <v>6094</v>
      </c>
      <c r="D1156" t="s">
        <v>6095</v>
      </c>
      <c r="E1156" t="s">
        <v>4901</v>
      </c>
      <c r="F1156" t="s">
        <v>491</v>
      </c>
      <c r="G1156" t="s">
        <v>44</v>
      </c>
      <c r="H1156" t="s">
        <v>45</v>
      </c>
      <c r="I1156" t="s">
        <v>34</v>
      </c>
      <c r="J1156" t="s">
        <v>46</v>
      </c>
      <c r="K1156" t="s">
        <v>41</v>
      </c>
      <c r="L1156" t="s">
        <v>6096</v>
      </c>
      <c r="M1156" t="s">
        <v>6097</v>
      </c>
      <c r="N1156" t="s">
        <v>4904</v>
      </c>
      <c r="O1156" t="s">
        <v>91</v>
      </c>
      <c r="P1156" t="s">
        <v>6098</v>
      </c>
      <c r="Q1156" s="14" t="s">
        <v>73</v>
      </c>
      <c r="R1156" t="s">
        <v>5269</v>
      </c>
      <c r="S1156">
        <v>0.5</v>
      </c>
      <c r="T1156">
        <v>3299</v>
      </c>
      <c r="U1156">
        <v>0</v>
      </c>
      <c r="V1156">
        <v>3299</v>
      </c>
    </row>
    <row r="1157" spans="1:22" x14ac:dyDescent="0.3">
      <c r="A1157">
        <v>186607</v>
      </c>
      <c r="B1157">
        <v>134877788</v>
      </c>
      <c r="C1157" t="s">
        <v>6099</v>
      </c>
      <c r="D1157" t="s">
        <v>6100</v>
      </c>
      <c r="E1157" t="s">
        <v>4901</v>
      </c>
      <c r="F1157" t="s">
        <v>491</v>
      </c>
      <c r="G1157" t="s">
        <v>44</v>
      </c>
      <c r="H1157" t="s">
        <v>45</v>
      </c>
      <c r="I1157" t="s">
        <v>34</v>
      </c>
      <c r="J1157" t="s">
        <v>46</v>
      </c>
      <c r="K1157" t="s">
        <v>41</v>
      </c>
      <c r="L1157" t="s">
        <v>6101</v>
      </c>
      <c r="M1157" t="s">
        <v>6102</v>
      </c>
      <c r="N1157" t="s">
        <v>4904</v>
      </c>
      <c r="O1157" t="s">
        <v>91</v>
      </c>
      <c r="P1157" t="s">
        <v>6103</v>
      </c>
      <c r="Q1157" s="14" t="s">
        <v>62</v>
      </c>
      <c r="R1157" t="s">
        <v>327</v>
      </c>
      <c r="S1157">
        <v>0.5</v>
      </c>
      <c r="T1157">
        <v>3680</v>
      </c>
      <c r="U1157">
        <v>0</v>
      </c>
      <c r="V1157">
        <v>3680</v>
      </c>
    </row>
    <row r="1158" spans="1:22" x14ac:dyDescent="0.3">
      <c r="A1158">
        <v>186607</v>
      </c>
      <c r="B1158">
        <v>134860926</v>
      </c>
      <c r="C1158" t="s">
        <v>6104</v>
      </c>
      <c r="D1158" t="s">
        <v>6105</v>
      </c>
      <c r="E1158" t="s">
        <v>4901</v>
      </c>
      <c r="F1158" t="s">
        <v>491</v>
      </c>
      <c r="G1158" t="s">
        <v>44</v>
      </c>
      <c r="H1158" t="s">
        <v>45</v>
      </c>
      <c r="I1158" t="s">
        <v>34</v>
      </c>
      <c r="J1158" t="s">
        <v>46</v>
      </c>
      <c r="K1158" t="s">
        <v>56</v>
      </c>
      <c r="L1158" t="s">
        <v>57</v>
      </c>
      <c r="M1158" t="s">
        <v>430</v>
      </c>
      <c r="N1158" t="s">
        <v>4904</v>
      </c>
      <c r="O1158" t="s">
        <v>91</v>
      </c>
      <c r="P1158" t="s">
        <v>6106</v>
      </c>
      <c r="Q1158" s="14" t="s">
        <v>109</v>
      </c>
      <c r="R1158" t="s">
        <v>5886</v>
      </c>
      <c r="S1158">
        <v>1</v>
      </c>
      <c r="T1158">
        <v>3784</v>
      </c>
      <c r="U1158">
        <v>0</v>
      </c>
      <c r="V1158">
        <v>3784</v>
      </c>
    </row>
    <row r="1159" spans="1:22" x14ac:dyDescent="0.3">
      <c r="A1159">
        <v>186607</v>
      </c>
      <c r="B1159">
        <v>134860942</v>
      </c>
      <c r="C1159" t="s">
        <v>6107</v>
      </c>
      <c r="D1159" t="s">
        <v>6108</v>
      </c>
      <c r="E1159" t="s">
        <v>4901</v>
      </c>
      <c r="F1159" t="s">
        <v>491</v>
      </c>
      <c r="G1159" t="s">
        <v>44</v>
      </c>
      <c r="H1159" t="s">
        <v>45</v>
      </c>
      <c r="I1159" t="s">
        <v>34</v>
      </c>
      <c r="J1159" t="s">
        <v>46</v>
      </c>
      <c r="K1159" t="s">
        <v>41</v>
      </c>
      <c r="L1159" t="s">
        <v>6109</v>
      </c>
      <c r="M1159" t="s">
        <v>6110</v>
      </c>
      <c r="N1159" t="s">
        <v>4904</v>
      </c>
      <c r="O1159" t="s">
        <v>91</v>
      </c>
      <c r="P1159" t="s">
        <v>6111</v>
      </c>
      <c r="Q1159" s="14" t="s">
        <v>86</v>
      </c>
      <c r="R1159" t="s">
        <v>5886</v>
      </c>
      <c r="S1159">
        <v>0.5</v>
      </c>
      <c r="T1159">
        <v>3299</v>
      </c>
      <c r="U1159">
        <v>0</v>
      </c>
      <c r="V1159">
        <v>3299</v>
      </c>
    </row>
    <row r="1160" spans="1:22" x14ac:dyDescent="0.3">
      <c r="A1160">
        <v>186607</v>
      </c>
      <c r="B1160">
        <v>134831878</v>
      </c>
      <c r="C1160" t="s">
        <v>6112</v>
      </c>
      <c r="D1160" t="s">
        <v>6113</v>
      </c>
      <c r="E1160" t="s">
        <v>4901</v>
      </c>
      <c r="F1160" t="s">
        <v>491</v>
      </c>
      <c r="G1160" t="s">
        <v>44</v>
      </c>
      <c r="H1160" t="s">
        <v>45</v>
      </c>
      <c r="I1160" t="s">
        <v>34</v>
      </c>
      <c r="J1160" t="s">
        <v>46</v>
      </c>
      <c r="K1160" t="s">
        <v>41</v>
      </c>
      <c r="L1160" t="s">
        <v>6114</v>
      </c>
      <c r="M1160" t="s">
        <v>6115</v>
      </c>
      <c r="N1160" t="s">
        <v>4904</v>
      </c>
      <c r="O1160" t="s">
        <v>91</v>
      </c>
      <c r="P1160" t="s">
        <v>6116</v>
      </c>
      <c r="Q1160" s="14" t="s">
        <v>107</v>
      </c>
      <c r="R1160" t="s">
        <v>319</v>
      </c>
      <c r="S1160">
        <v>0.5</v>
      </c>
      <c r="T1160">
        <v>3680</v>
      </c>
      <c r="U1160">
        <v>0</v>
      </c>
      <c r="V1160">
        <v>3680</v>
      </c>
    </row>
    <row r="1161" spans="1:22" x14ac:dyDescent="0.3">
      <c r="A1161">
        <v>186607</v>
      </c>
      <c r="B1161">
        <v>134732183</v>
      </c>
      <c r="C1161" t="s">
        <v>6117</v>
      </c>
      <c r="D1161" t="s">
        <v>6118</v>
      </c>
      <c r="E1161" t="s">
        <v>4901</v>
      </c>
      <c r="F1161" t="s">
        <v>491</v>
      </c>
      <c r="G1161" t="s">
        <v>44</v>
      </c>
      <c r="H1161" t="s">
        <v>45</v>
      </c>
      <c r="I1161" t="s">
        <v>34</v>
      </c>
      <c r="J1161" t="s">
        <v>46</v>
      </c>
      <c r="K1161" t="s">
        <v>41</v>
      </c>
      <c r="L1161" t="s">
        <v>6119</v>
      </c>
      <c r="M1161" t="s">
        <v>6120</v>
      </c>
      <c r="N1161" t="s">
        <v>4904</v>
      </c>
      <c r="O1161" t="s">
        <v>91</v>
      </c>
      <c r="P1161" t="s">
        <v>6121</v>
      </c>
      <c r="Q1161" s="14" t="s">
        <v>89</v>
      </c>
      <c r="R1161" t="s">
        <v>454</v>
      </c>
      <c r="S1161">
        <v>0.5</v>
      </c>
      <c r="T1161">
        <v>3680</v>
      </c>
      <c r="U1161">
        <v>0</v>
      </c>
      <c r="V1161">
        <v>3680</v>
      </c>
    </row>
    <row r="1162" spans="1:22" x14ac:dyDescent="0.3">
      <c r="A1162">
        <v>186607</v>
      </c>
      <c r="B1162">
        <v>134358343</v>
      </c>
      <c r="C1162" t="s">
        <v>6122</v>
      </c>
      <c r="D1162" t="s">
        <v>6123</v>
      </c>
      <c r="E1162" t="s">
        <v>4901</v>
      </c>
      <c r="F1162" t="s">
        <v>491</v>
      </c>
      <c r="G1162" t="s">
        <v>44</v>
      </c>
      <c r="H1162" t="s">
        <v>45</v>
      </c>
      <c r="I1162" t="s">
        <v>34</v>
      </c>
      <c r="J1162" t="s">
        <v>46</v>
      </c>
      <c r="K1162" t="s">
        <v>41</v>
      </c>
      <c r="L1162" t="s">
        <v>6124</v>
      </c>
      <c r="M1162" t="s">
        <v>6125</v>
      </c>
      <c r="N1162" t="s">
        <v>4904</v>
      </c>
      <c r="O1162" t="s">
        <v>91</v>
      </c>
      <c r="P1162" t="s">
        <v>6126</v>
      </c>
      <c r="Q1162" s="14" t="s">
        <v>199</v>
      </c>
      <c r="R1162" t="s">
        <v>6127</v>
      </c>
      <c r="S1162">
        <v>4.3499999999999996</v>
      </c>
      <c r="T1162">
        <v>8008</v>
      </c>
      <c r="U1162">
        <v>0</v>
      </c>
      <c r="V1162">
        <v>8008</v>
      </c>
    </row>
    <row r="1163" spans="1:22" x14ac:dyDescent="0.3">
      <c r="A1163">
        <v>186607</v>
      </c>
      <c r="B1163">
        <v>134709760</v>
      </c>
      <c r="C1163" t="s">
        <v>6128</v>
      </c>
      <c r="D1163" t="s">
        <v>6129</v>
      </c>
      <c r="E1163" t="s">
        <v>4901</v>
      </c>
      <c r="F1163" t="s">
        <v>491</v>
      </c>
      <c r="G1163" t="s">
        <v>44</v>
      </c>
      <c r="H1163" t="s">
        <v>45</v>
      </c>
      <c r="I1163" t="s">
        <v>34</v>
      </c>
      <c r="J1163" t="s">
        <v>46</v>
      </c>
      <c r="K1163" t="s">
        <v>41</v>
      </c>
      <c r="L1163" t="s">
        <v>6130</v>
      </c>
      <c r="M1163" t="s">
        <v>6131</v>
      </c>
      <c r="N1163" t="s">
        <v>4904</v>
      </c>
      <c r="O1163" t="s">
        <v>91</v>
      </c>
      <c r="P1163" t="s">
        <v>6132</v>
      </c>
      <c r="Q1163" s="14" t="s">
        <v>60</v>
      </c>
      <c r="R1163" t="s">
        <v>369</v>
      </c>
      <c r="S1163">
        <v>0.5</v>
      </c>
      <c r="T1163">
        <v>4067</v>
      </c>
      <c r="U1163">
        <v>0</v>
      </c>
      <c r="V1163">
        <v>4067</v>
      </c>
    </row>
    <row r="1164" spans="1:22" x14ac:dyDescent="0.3">
      <c r="A1164">
        <v>186607</v>
      </c>
      <c r="B1164">
        <v>134709668</v>
      </c>
      <c r="C1164" t="s">
        <v>6133</v>
      </c>
      <c r="D1164" t="s">
        <v>6134</v>
      </c>
      <c r="E1164" t="s">
        <v>4901</v>
      </c>
      <c r="F1164" t="s">
        <v>491</v>
      </c>
      <c r="G1164" t="s">
        <v>44</v>
      </c>
      <c r="H1164" t="s">
        <v>45</v>
      </c>
      <c r="I1164" t="s">
        <v>34</v>
      </c>
      <c r="J1164" t="s">
        <v>46</v>
      </c>
      <c r="K1164" t="s">
        <v>41</v>
      </c>
      <c r="L1164" t="s">
        <v>6135</v>
      </c>
      <c r="M1164" t="s">
        <v>6136</v>
      </c>
      <c r="N1164" t="s">
        <v>4904</v>
      </c>
      <c r="O1164" t="s">
        <v>91</v>
      </c>
      <c r="P1164" t="s">
        <v>6137</v>
      </c>
      <c r="Q1164" s="14" t="s">
        <v>63</v>
      </c>
      <c r="R1164" t="s">
        <v>5383</v>
      </c>
      <c r="S1164">
        <v>0.5</v>
      </c>
      <c r="T1164">
        <v>3680</v>
      </c>
      <c r="U1164">
        <v>0</v>
      </c>
      <c r="V1164">
        <v>3680</v>
      </c>
    </row>
    <row r="1165" spans="1:22" x14ac:dyDescent="0.3">
      <c r="A1165">
        <v>186607</v>
      </c>
      <c r="B1165">
        <v>134480725</v>
      </c>
      <c r="C1165" t="s">
        <v>6138</v>
      </c>
      <c r="D1165" t="s">
        <v>6139</v>
      </c>
      <c r="E1165" t="s">
        <v>4901</v>
      </c>
      <c r="F1165" t="s">
        <v>491</v>
      </c>
      <c r="G1165" t="s">
        <v>44</v>
      </c>
      <c r="H1165" t="s">
        <v>45</v>
      </c>
      <c r="I1165" t="s">
        <v>34</v>
      </c>
      <c r="J1165" t="s">
        <v>46</v>
      </c>
      <c r="K1165" t="s">
        <v>41</v>
      </c>
      <c r="L1165" t="s">
        <v>6140</v>
      </c>
      <c r="M1165" t="s">
        <v>6141</v>
      </c>
      <c r="N1165" t="s">
        <v>4904</v>
      </c>
      <c r="O1165" t="s">
        <v>91</v>
      </c>
      <c r="P1165" t="s">
        <v>6142</v>
      </c>
      <c r="Q1165" s="14" t="s">
        <v>100</v>
      </c>
      <c r="R1165" t="s">
        <v>3569</v>
      </c>
      <c r="S1165">
        <v>0.5</v>
      </c>
      <c r="T1165">
        <v>5367</v>
      </c>
      <c r="U1165">
        <v>0</v>
      </c>
      <c r="V1165">
        <v>5367</v>
      </c>
    </row>
    <row r="1166" spans="1:22" x14ac:dyDescent="0.3">
      <c r="A1166">
        <v>186607</v>
      </c>
      <c r="B1166">
        <v>134709662</v>
      </c>
      <c r="C1166" t="s">
        <v>6143</v>
      </c>
      <c r="D1166" t="s">
        <v>6144</v>
      </c>
      <c r="E1166" t="s">
        <v>4901</v>
      </c>
      <c r="F1166" t="s">
        <v>491</v>
      </c>
      <c r="G1166" t="s">
        <v>44</v>
      </c>
      <c r="H1166" t="s">
        <v>45</v>
      </c>
      <c r="I1166" t="s">
        <v>34</v>
      </c>
      <c r="J1166" t="s">
        <v>46</v>
      </c>
      <c r="K1166" t="s">
        <v>41</v>
      </c>
      <c r="L1166" t="s">
        <v>6145</v>
      </c>
      <c r="M1166" t="s">
        <v>6146</v>
      </c>
      <c r="N1166" t="s">
        <v>4904</v>
      </c>
      <c r="O1166" t="s">
        <v>91</v>
      </c>
      <c r="P1166" t="s">
        <v>6147</v>
      </c>
      <c r="Q1166" s="14" t="s">
        <v>70</v>
      </c>
      <c r="R1166" t="s">
        <v>5383</v>
      </c>
      <c r="S1166">
        <v>0.5</v>
      </c>
      <c r="T1166">
        <v>4067</v>
      </c>
      <c r="U1166">
        <v>0</v>
      </c>
      <c r="V1166">
        <v>4067</v>
      </c>
    </row>
    <row r="1167" spans="1:22" x14ac:dyDescent="0.3">
      <c r="A1167">
        <v>186607</v>
      </c>
      <c r="B1167">
        <v>134709679</v>
      </c>
      <c r="C1167" t="s">
        <v>6148</v>
      </c>
      <c r="D1167" t="s">
        <v>6149</v>
      </c>
      <c r="E1167" t="s">
        <v>4901</v>
      </c>
      <c r="F1167" t="s">
        <v>491</v>
      </c>
      <c r="G1167" t="s">
        <v>44</v>
      </c>
      <c r="H1167" t="s">
        <v>45</v>
      </c>
      <c r="I1167" t="s">
        <v>34</v>
      </c>
      <c r="J1167" t="s">
        <v>46</v>
      </c>
      <c r="K1167" t="s">
        <v>41</v>
      </c>
      <c r="L1167" t="s">
        <v>6150</v>
      </c>
      <c r="M1167" t="s">
        <v>424</v>
      </c>
      <c r="N1167" t="s">
        <v>4904</v>
      </c>
      <c r="O1167" t="s">
        <v>91</v>
      </c>
      <c r="P1167" t="s">
        <v>6151</v>
      </c>
      <c r="Q1167" s="14" t="s">
        <v>178</v>
      </c>
      <c r="R1167" t="s">
        <v>5383</v>
      </c>
      <c r="S1167">
        <v>0.5</v>
      </c>
      <c r="T1167">
        <v>4067</v>
      </c>
      <c r="U1167">
        <v>0</v>
      </c>
      <c r="V1167">
        <v>4067</v>
      </c>
    </row>
    <row r="1168" spans="1:22" x14ac:dyDescent="0.3">
      <c r="A1168">
        <v>186607</v>
      </c>
      <c r="B1168">
        <v>134709683</v>
      </c>
      <c r="C1168" t="s">
        <v>6152</v>
      </c>
      <c r="D1168" t="s">
        <v>6153</v>
      </c>
      <c r="E1168" t="s">
        <v>4901</v>
      </c>
      <c r="F1168" t="s">
        <v>491</v>
      </c>
      <c r="G1168" t="s">
        <v>44</v>
      </c>
      <c r="H1168" t="s">
        <v>45</v>
      </c>
      <c r="I1168" t="s">
        <v>34</v>
      </c>
      <c r="J1168" t="s">
        <v>46</v>
      </c>
      <c r="K1168" t="s">
        <v>41</v>
      </c>
      <c r="L1168" t="s">
        <v>393</v>
      </c>
      <c r="M1168" t="s">
        <v>6154</v>
      </c>
      <c r="N1168" t="s">
        <v>4904</v>
      </c>
      <c r="O1168" t="s">
        <v>91</v>
      </c>
      <c r="P1168" t="s">
        <v>6155</v>
      </c>
      <c r="Q1168" s="14" t="s">
        <v>60</v>
      </c>
      <c r="R1168" t="s">
        <v>5383</v>
      </c>
      <c r="S1168">
        <v>1</v>
      </c>
      <c r="T1168">
        <v>5759</v>
      </c>
      <c r="U1168">
        <v>0</v>
      </c>
      <c r="V1168">
        <v>5759</v>
      </c>
    </row>
    <row r="1169" spans="1:22" x14ac:dyDescent="0.3">
      <c r="A1169">
        <v>186607</v>
      </c>
      <c r="B1169">
        <v>134709698</v>
      </c>
      <c r="C1169" t="s">
        <v>6156</v>
      </c>
      <c r="D1169" t="s">
        <v>6157</v>
      </c>
      <c r="E1169" t="s">
        <v>4901</v>
      </c>
      <c r="F1169" t="s">
        <v>491</v>
      </c>
      <c r="G1169" t="s">
        <v>44</v>
      </c>
      <c r="H1169" t="s">
        <v>45</v>
      </c>
      <c r="I1169" t="s">
        <v>34</v>
      </c>
      <c r="J1169" t="s">
        <v>46</v>
      </c>
      <c r="K1169" t="s">
        <v>41</v>
      </c>
      <c r="L1169" t="s">
        <v>6158</v>
      </c>
      <c r="M1169" t="s">
        <v>6159</v>
      </c>
      <c r="N1169" t="s">
        <v>4904</v>
      </c>
      <c r="O1169" t="s">
        <v>91</v>
      </c>
      <c r="P1169" t="s">
        <v>6160</v>
      </c>
      <c r="Q1169" s="14" t="s">
        <v>70</v>
      </c>
      <c r="R1169" t="s">
        <v>5383</v>
      </c>
      <c r="S1169">
        <v>1</v>
      </c>
      <c r="T1169">
        <v>5198</v>
      </c>
      <c r="U1169">
        <v>0</v>
      </c>
      <c r="V1169">
        <v>5198</v>
      </c>
    </row>
    <row r="1170" spans="1:22" x14ac:dyDescent="0.3">
      <c r="A1170">
        <v>186607</v>
      </c>
      <c r="B1170">
        <v>134709663</v>
      </c>
      <c r="C1170" t="s">
        <v>6161</v>
      </c>
      <c r="D1170" t="s">
        <v>6162</v>
      </c>
      <c r="E1170" t="s">
        <v>4901</v>
      </c>
      <c r="F1170" t="s">
        <v>491</v>
      </c>
      <c r="G1170" t="s">
        <v>44</v>
      </c>
      <c r="H1170" t="s">
        <v>45</v>
      </c>
      <c r="I1170" t="s">
        <v>34</v>
      </c>
      <c r="J1170" t="s">
        <v>46</v>
      </c>
      <c r="K1170" t="s">
        <v>41</v>
      </c>
      <c r="L1170" t="s">
        <v>6163</v>
      </c>
      <c r="M1170" t="s">
        <v>6164</v>
      </c>
      <c r="N1170" t="s">
        <v>4904</v>
      </c>
      <c r="O1170" t="s">
        <v>91</v>
      </c>
      <c r="P1170" t="s">
        <v>6165</v>
      </c>
      <c r="Q1170" s="14" t="s">
        <v>70</v>
      </c>
      <c r="R1170" t="s">
        <v>5383</v>
      </c>
      <c r="S1170">
        <v>1.5</v>
      </c>
      <c r="T1170">
        <v>5198</v>
      </c>
      <c r="U1170">
        <v>0</v>
      </c>
      <c r="V1170">
        <v>5198</v>
      </c>
    </row>
    <row r="1171" spans="1:22" x14ac:dyDescent="0.3">
      <c r="A1171">
        <v>186607</v>
      </c>
      <c r="B1171">
        <v>134709658</v>
      </c>
      <c r="C1171" t="s">
        <v>6166</v>
      </c>
      <c r="D1171" t="s">
        <v>6167</v>
      </c>
      <c r="E1171" t="s">
        <v>4901</v>
      </c>
      <c r="F1171" t="s">
        <v>491</v>
      </c>
      <c r="G1171" t="s">
        <v>44</v>
      </c>
      <c r="H1171" t="s">
        <v>45</v>
      </c>
      <c r="I1171" t="s">
        <v>34</v>
      </c>
      <c r="J1171" t="s">
        <v>46</v>
      </c>
      <c r="K1171" t="s">
        <v>41</v>
      </c>
      <c r="L1171" t="s">
        <v>6168</v>
      </c>
      <c r="M1171" t="s">
        <v>6169</v>
      </c>
      <c r="N1171" t="s">
        <v>4904</v>
      </c>
      <c r="O1171" t="s">
        <v>91</v>
      </c>
      <c r="P1171" t="s">
        <v>6170</v>
      </c>
      <c r="Q1171" s="14" t="s">
        <v>79</v>
      </c>
      <c r="R1171" t="s">
        <v>5383</v>
      </c>
      <c r="S1171">
        <v>0.5</v>
      </c>
      <c r="T1171">
        <v>3680</v>
      </c>
      <c r="U1171">
        <v>0</v>
      </c>
      <c r="V1171">
        <v>3680</v>
      </c>
    </row>
    <row r="1172" spans="1:22" x14ac:dyDescent="0.3">
      <c r="A1172">
        <v>186607</v>
      </c>
      <c r="B1172">
        <v>134761907</v>
      </c>
      <c r="C1172" t="s">
        <v>6171</v>
      </c>
      <c r="D1172" t="s">
        <v>6172</v>
      </c>
      <c r="E1172" t="s">
        <v>4901</v>
      </c>
      <c r="F1172" t="s">
        <v>491</v>
      </c>
      <c r="G1172" t="s">
        <v>44</v>
      </c>
      <c r="H1172" t="s">
        <v>45</v>
      </c>
      <c r="I1172" t="s">
        <v>34</v>
      </c>
      <c r="J1172" t="s">
        <v>46</v>
      </c>
      <c r="K1172" t="s">
        <v>41</v>
      </c>
      <c r="L1172" t="s">
        <v>6173</v>
      </c>
      <c r="M1172" t="s">
        <v>6174</v>
      </c>
      <c r="N1172" t="s">
        <v>4904</v>
      </c>
      <c r="O1172" t="s">
        <v>91</v>
      </c>
      <c r="P1172" t="s">
        <v>6175</v>
      </c>
      <c r="Q1172" s="14" t="s">
        <v>166</v>
      </c>
      <c r="R1172" t="s">
        <v>460</v>
      </c>
      <c r="S1172">
        <v>0.5</v>
      </c>
      <c r="T1172">
        <v>3680</v>
      </c>
      <c r="U1172">
        <v>0</v>
      </c>
      <c r="V1172">
        <v>3680</v>
      </c>
    </row>
    <row r="1173" spans="1:22" x14ac:dyDescent="0.3">
      <c r="A1173">
        <v>186607</v>
      </c>
      <c r="B1173">
        <v>134709665</v>
      </c>
      <c r="C1173" t="s">
        <v>6176</v>
      </c>
      <c r="D1173" t="s">
        <v>6177</v>
      </c>
      <c r="E1173" t="s">
        <v>4901</v>
      </c>
      <c r="F1173" t="s">
        <v>491</v>
      </c>
      <c r="G1173" t="s">
        <v>44</v>
      </c>
      <c r="H1173" t="s">
        <v>45</v>
      </c>
      <c r="I1173" t="s">
        <v>34</v>
      </c>
      <c r="J1173" t="s">
        <v>46</v>
      </c>
      <c r="K1173" t="s">
        <v>41</v>
      </c>
      <c r="L1173" t="s">
        <v>6178</v>
      </c>
      <c r="M1173" t="s">
        <v>6179</v>
      </c>
      <c r="N1173" t="s">
        <v>4904</v>
      </c>
      <c r="O1173" t="s">
        <v>91</v>
      </c>
      <c r="P1173" t="s">
        <v>6180</v>
      </c>
      <c r="Q1173" s="14" t="s">
        <v>70</v>
      </c>
      <c r="R1173" t="s">
        <v>5383</v>
      </c>
      <c r="S1173">
        <v>0.5</v>
      </c>
      <c r="T1173">
        <v>4067</v>
      </c>
      <c r="U1173">
        <v>0</v>
      </c>
      <c r="V1173">
        <v>4067</v>
      </c>
    </row>
    <row r="1174" spans="1:22" x14ac:dyDescent="0.3">
      <c r="A1174">
        <v>186607</v>
      </c>
      <c r="B1174">
        <v>134709674</v>
      </c>
      <c r="C1174" t="s">
        <v>6181</v>
      </c>
      <c r="D1174" t="s">
        <v>6182</v>
      </c>
      <c r="E1174" t="s">
        <v>4901</v>
      </c>
      <c r="F1174" t="s">
        <v>491</v>
      </c>
      <c r="G1174" t="s">
        <v>44</v>
      </c>
      <c r="H1174" t="s">
        <v>45</v>
      </c>
      <c r="I1174" t="s">
        <v>34</v>
      </c>
      <c r="J1174" t="s">
        <v>46</v>
      </c>
      <c r="K1174" t="s">
        <v>41</v>
      </c>
      <c r="L1174" t="s">
        <v>6183</v>
      </c>
      <c r="M1174" t="s">
        <v>6184</v>
      </c>
      <c r="N1174" t="s">
        <v>4904</v>
      </c>
      <c r="O1174" t="s">
        <v>91</v>
      </c>
      <c r="P1174" t="s">
        <v>6185</v>
      </c>
      <c r="Q1174" s="14" t="s">
        <v>169</v>
      </c>
      <c r="R1174" t="s">
        <v>5383</v>
      </c>
      <c r="S1174">
        <v>0.5</v>
      </c>
      <c r="T1174">
        <v>3680</v>
      </c>
      <c r="U1174">
        <v>0</v>
      </c>
      <c r="V1174">
        <v>3680</v>
      </c>
    </row>
    <row r="1175" spans="1:22" x14ac:dyDescent="0.3">
      <c r="A1175">
        <v>186607</v>
      </c>
      <c r="B1175">
        <v>134480648</v>
      </c>
      <c r="C1175" t="s">
        <v>6186</v>
      </c>
      <c r="D1175" t="s">
        <v>6187</v>
      </c>
      <c r="E1175" t="s">
        <v>4901</v>
      </c>
      <c r="F1175" t="s">
        <v>491</v>
      </c>
      <c r="G1175" t="s">
        <v>44</v>
      </c>
      <c r="H1175" t="s">
        <v>45</v>
      </c>
      <c r="I1175" t="s">
        <v>34</v>
      </c>
      <c r="J1175" t="s">
        <v>46</v>
      </c>
      <c r="K1175" t="s">
        <v>41</v>
      </c>
      <c r="L1175" t="s">
        <v>6188</v>
      </c>
      <c r="M1175" t="s">
        <v>6189</v>
      </c>
      <c r="N1175" t="s">
        <v>4904</v>
      </c>
      <c r="O1175" t="s">
        <v>91</v>
      </c>
      <c r="P1175" t="s">
        <v>6190</v>
      </c>
      <c r="Q1175" s="14" t="s">
        <v>149</v>
      </c>
      <c r="R1175" t="s">
        <v>3569</v>
      </c>
      <c r="S1175">
        <v>1</v>
      </c>
      <c r="T1175">
        <v>5759</v>
      </c>
      <c r="U1175">
        <v>0</v>
      </c>
      <c r="V1175">
        <v>5759</v>
      </c>
    </row>
    <row r="1176" spans="1:22" x14ac:dyDescent="0.3">
      <c r="A1176">
        <v>186607</v>
      </c>
      <c r="B1176">
        <v>134709747</v>
      </c>
      <c r="C1176" t="s">
        <v>6191</v>
      </c>
      <c r="D1176" t="s">
        <v>6192</v>
      </c>
      <c r="E1176" t="s">
        <v>4901</v>
      </c>
      <c r="F1176" t="s">
        <v>491</v>
      </c>
      <c r="G1176" t="s">
        <v>44</v>
      </c>
      <c r="H1176" t="s">
        <v>45</v>
      </c>
      <c r="I1176" t="s">
        <v>34</v>
      </c>
      <c r="J1176" t="s">
        <v>46</v>
      </c>
      <c r="K1176" t="s">
        <v>41</v>
      </c>
      <c r="L1176" t="s">
        <v>6193</v>
      </c>
      <c r="M1176" t="s">
        <v>6194</v>
      </c>
      <c r="N1176" t="s">
        <v>4904</v>
      </c>
      <c r="O1176" t="s">
        <v>91</v>
      </c>
      <c r="P1176" t="s">
        <v>6195</v>
      </c>
      <c r="Q1176" s="14" t="s">
        <v>178</v>
      </c>
      <c r="R1176" t="s">
        <v>369</v>
      </c>
      <c r="S1176">
        <v>0.5</v>
      </c>
      <c r="T1176">
        <v>4067</v>
      </c>
      <c r="U1176">
        <v>0</v>
      </c>
      <c r="V1176">
        <v>4067</v>
      </c>
    </row>
    <row r="1177" spans="1:22" x14ac:dyDescent="0.3">
      <c r="A1177">
        <v>186607</v>
      </c>
      <c r="B1177">
        <v>134709714</v>
      </c>
      <c r="C1177" t="s">
        <v>6196</v>
      </c>
      <c r="D1177" t="s">
        <v>6197</v>
      </c>
      <c r="E1177" t="s">
        <v>4901</v>
      </c>
      <c r="F1177" t="s">
        <v>491</v>
      </c>
      <c r="G1177" t="s">
        <v>44</v>
      </c>
      <c r="H1177" t="s">
        <v>45</v>
      </c>
      <c r="I1177" t="s">
        <v>34</v>
      </c>
      <c r="J1177" t="s">
        <v>46</v>
      </c>
      <c r="K1177" t="s">
        <v>41</v>
      </c>
      <c r="L1177" t="s">
        <v>6198</v>
      </c>
      <c r="M1177" t="s">
        <v>6199</v>
      </c>
      <c r="N1177" t="s">
        <v>4904</v>
      </c>
      <c r="O1177" t="s">
        <v>91</v>
      </c>
      <c r="P1177" t="s">
        <v>6200</v>
      </c>
      <c r="Q1177" s="14" t="s">
        <v>70</v>
      </c>
      <c r="R1177" t="s">
        <v>5383</v>
      </c>
      <c r="S1177">
        <v>0.5</v>
      </c>
      <c r="T1177">
        <v>4067</v>
      </c>
      <c r="U1177">
        <v>0</v>
      </c>
      <c r="V1177">
        <v>4067</v>
      </c>
    </row>
    <row r="1178" spans="1:22" x14ac:dyDescent="0.3">
      <c r="A1178">
        <v>186607</v>
      </c>
      <c r="B1178">
        <v>134732192</v>
      </c>
      <c r="C1178" t="s">
        <v>6201</v>
      </c>
      <c r="D1178" t="s">
        <v>6202</v>
      </c>
      <c r="E1178" t="s">
        <v>4901</v>
      </c>
      <c r="F1178" t="s">
        <v>491</v>
      </c>
      <c r="G1178" t="s">
        <v>44</v>
      </c>
      <c r="H1178" t="s">
        <v>45</v>
      </c>
      <c r="I1178" t="s">
        <v>34</v>
      </c>
      <c r="J1178" t="s">
        <v>46</v>
      </c>
      <c r="K1178" t="s">
        <v>41</v>
      </c>
      <c r="L1178" t="s">
        <v>6203</v>
      </c>
      <c r="M1178" t="s">
        <v>6204</v>
      </c>
      <c r="N1178" t="s">
        <v>4904</v>
      </c>
      <c r="O1178" t="s">
        <v>91</v>
      </c>
      <c r="P1178" t="s">
        <v>6205</v>
      </c>
      <c r="Q1178" s="14" t="s">
        <v>178</v>
      </c>
      <c r="R1178" t="s">
        <v>454</v>
      </c>
      <c r="S1178">
        <v>1</v>
      </c>
      <c r="T1178">
        <v>5476</v>
      </c>
      <c r="U1178">
        <v>0</v>
      </c>
      <c r="V1178">
        <v>5476</v>
      </c>
    </row>
    <row r="1179" spans="1:22" x14ac:dyDescent="0.3">
      <c r="A1179">
        <v>186607</v>
      </c>
      <c r="B1179">
        <v>134781077</v>
      </c>
      <c r="C1179" t="s">
        <v>6206</v>
      </c>
      <c r="D1179" t="s">
        <v>6207</v>
      </c>
      <c r="E1179" t="s">
        <v>4901</v>
      </c>
      <c r="F1179" t="s">
        <v>491</v>
      </c>
      <c r="G1179" t="s">
        <v>44</v>
      </c>
      <c r="H1179" t="s">
        <v>45</v>
      </c>
      <c r="I1179" t="s">
        <v>34</v>
      </c>
      <c r="J1179" t="s">
        <v>46</v>
      </c>
      <c r="K1179" t="s">
        <v>41</v>
      </c>
      <c r="L1179" t="s">
        <v>6208</v>
      </c>
      <c r="M1179" t="s">
        <v>6209</v>
      </c>
      <c r="N1179" t="s">
        <v>4904</v>
      </c>
      <c r="O1179" t="s">
        <v>91</v>
      </c>
      <c r="P1179" t="s">
        <v>6210</v>
      </c>
      <c r="Q1179" s="14" t="s">
        <v>58</v>
      </c>
      <c r="R1179" t="s">
        <v>293</v>
      </c>
      <c r="S1179">
        <v>0.5</v>
      </c>
      <c r="T1179">
        <v>3680</v>
      </c>
      <c r="U1179">
        <v>0</v>
      </c>
      <c r="V1179">
        <v>3680</v>
      </c>
    </row>
    <row r="1180" spans="1:22" x14ac:dyDescent="0.3">
      <c r="A1180">
        <v>186607</v>
      </c>
      <c r="B1180">
        <v>134781066</v>
      </c>
      <c r="C1180" t="s">
        <v>6211</v>
      </c>
      <c r="D1180" t="s">
        <v>6212</v>
      </c>
      <c r="E1180" t="s">
        <v>4901</v>
      </c>
      <c r="F1180" t="s">
        <v>491</v>
      </c>
      <c r="G1180" t="s">
        <v>44</v>
      </c>
      <c r="H1180" t="s">
        <v>45</v>
      </c>
      <c r="I1180" t="s">
        <v>34</v>
      </c>
      <c r="J1180" t="s">
        <v>46</v>
      </c>
      <c r="K1180" t="s">
        <v>41</v>
      </c>
      <c r="L1180" t="s">
        <v>6213</v>
      </c>
      <c r="M1180" t="s">
        <v>6214</v>
      </c>
      <c r="N1180" t="s">
        <v>4904</v>
      </c>
      <c r="O1180" t="s">
        <v>91</v>
      </c>
      <c r="P1180" t="s">
        <v>6215</v>
      </c>
      <c r="Q1180" s="14" t="s">
        <v>145</v>
      </c>
      <c r="R1180" t="s">
        <v>293</v>
      </c>
      <c r="S1180">
        <v>0.5</v>
      </c>
      <c r="T1180">
        <v>3680</v>
      </c>
      <c r="U1180">
        <v>0</v>
      </c>
      <c r="V1180">
        <v>3680</v>
      </c>
    </row>
    <row r="1181" spans="1:22" x14ac:dyDescent="0.3">
      <c r="A1181">
        <v>186607</v>
      </c>
      <c r="B1181">
        <v>134732191</v>
      </c>
      <c r="C1181" t="s">
        <v>6216</v>
      </c>
      <c r="D1181" t="s">
        <v>6217</v>
      </c>
      <c r="E1181" t="s">
        <v>4901</v>
      </c>
      <c r="F1181" t="s">
        <v>491</v>
      </c>
      <c r="G1181" t="s">
        <v>44</v>
      </c>
      <c r="H1181" t="s">
        <v>45</v>
      </c>
      <c r="I1181" t="s">
        <v>34</v>
      </c>
      <c r="J1181" t="s">
        <v>46</v>
      </c>
      <c r="K1181" t="s">
        <v>41</v>
      </c>
      <c r="L1181" t="s">
        <v>6218</v>
      </c>
      <c r="M1181" t="s">
        <v>6219</v>
      </c>
      <c r="N1181" t="s">
        <v>4904</v>
      </c>
      <c r="O1181" t="s">
        <v>91</v>
      </c>
      <c r="P1181" t="s">
        <v>6220</v>
      </c>
      <c r="Q1181" s="14" t="s">
        <v>85</v>
      </c>
      <c r="R1181" t="s">
        <v>454</v>
      </c>
      <c r="S1181">
        <v>1</v>
      </c>
      <c r="T1181">
        <v>3784</v>
      </c>
      <c r="U1181">
        <v>0</v>
      </c>
      <c r="V1181">
        <v>3784</v>
      </c>
    </row>
    <row r="1182" spans="1:22" x14ac:dyDescent="0.3">
      <c r="A1182">
        <v>186607</v>
      </c>
      <c r="B1182">
        <v>134761893</v>
      </c>
      <c r="C1182" t="s">
        <v>6221</v>
      </c>
      <c r="D1182" t="s">
        <v>6222</v>
      </c>
      <c r="E1182" t="s">
        <v>4901</v>
      </c>
      <c r="F1182" t="s">
        <v>491</v>
      </c>
      <c r="G1182" t="s">
        <v>44</v>
      </c>
      <c r="H1182" t="s">
        <v>45</v>
      </c>
      <c r="I1182" t="s">
        <v>34</v>
      </c>
      <c r="J1182" t="s">
        <v>46</v>
      </c>
      <c r="K1182" t="s">
        <v>41</v>
      </c>
      <c r="L1182" t="s">
        <v>6223</v>
      </c>
      <c r="M1182" t="s">
        <v>6224</v>
      </c>
      <c r="N1182" t="s">
        <v>4904</v>
      </c>
      <c r="O1182" t="s">
        <v>91</v>
      </c>
      <c r="P1182" t="s">
        <v>6225</v>
      </c>
      <c r="Q1182" s="14" t="s">
        <v>83</v>
      </c>
      <c r="R1182" t="s">
        <v>460</v>
      </c>
      <c r="S1182">
        <v>1.5</v>
      </c>
      <c r="T1182">
        <v>3366</v>
      </c>
      <c r="U1182">
        <v>0</v>
      </c>
      <c r="V1182">
        <v>3366</v>
      </c>
    </row>
    <row r="1183" spans="1:22" x14ac:dyDescent="0.3">
      <c r="A1183">
        <v>186607</v>
      </c>
      <c r="B1183">
        <v>134761894</v>
      </c>
      <c r="C1183" t="s">
        <v>6226</v>
      </c>
      <c r="D1183" t="s">
        <v>6227</v>
      </c>
      <c r="E1183" t="s">
        <v>4901</v>
      </c>
      <c r="F1183" t="s">
        <v>491</v>
      </c>
      <c r="G1183" t="s">
        <v>44</v>
      </c>
      <c r="H1183" t="s">
        <v>45</v>
      </c>
      <c r="I1183" t="s">
        <v>34</v>
      </c>
      <c r="J1183" t="s">
        <v>46</v>
      </c>
      <c r="K1183" t="s">
        <v>41</v>
      </c>
      <c r="L1183" t="s">
        <v>6228</v>
      </c>
      <c r="M1183" t="s">
        <v>6229</v>
      </c>
      <c r="N1183" t="s">
        <v>4904</v>
      </c>
      <c r="O1183" t="s">
        <v>91</v>
      </c>
      <c r="P1183" t="s">
        <v>6230</v>
      </c>
      <c r="Q1183" s="14" t="s">
        <v>54</v>
      </c>
      <c r="R1183" t="s">
        <v>460</v>
      </c>
      <c r="S1183">
        <v>0.5</v>
      </c>
      <c r="T1183">
        <v>3299</v>
      </c>
      <c r="U1183">
        <v>0</v>
      </c>
      <c r="V1183">
        <v>3299</v>
      </c>
    </row>
    <row r="1184" spans="1:22" x14ac:dyDescent="0.3">
      <c r="A1184">
        <v>186607</v>
      </c>
      <c r="B1184">
        <v>134709681</v>
      </c>
      <c r="C1184" t="s">
        <v>6231</v>
      </c>
      <c r="D1184" t="s">
        <v>6232</v>
      </c>
      <c r="E1184" t="s">
        <v>4901</v>
      </c>
      <c r="F1184" t="s">
        <v>491</v>
      </c>
      <c r="G1184" t="s">
        <v>44</v>
      </c>
      <c r="H1184" t="s">
        <v>45</v>
      </c>
      <c r="I1184" t="s">
        <v>34</v>
      </c>
      <c r="J1184" t="s">
        <v>46</v>
      </c>
      <c r="K1184" t="s">
        <v>41</v>
      </c>
      <c r="L1184" t="s">
        <v>6233</v>
      </c>
      <c r="M1184" t="s">
        <v>6234</v>
      </c>
      <c r="N1184" t="s">
        <v>4904</v>
      </c>
      <c r="O1184" t="s">
        <v>91</v>
      </c>
      <c r="P1184" t="s">
        <v>6235</v>
      </c>
      <c r="Q1184" s="14" t="s">
        <v>78</v>
      </c>
      <c r="R1184" t="s">
        <v>5383</v>
      </c>
      <c r="S1184">
        <v>1.5</v>
      </c>
      <c r="T1184">
        <v>3366</v>
      </c>
      <c r="U1184">
        <v>0</v>
      </c>
      <c r="V1184">
        <v>3366</v>
      </c>
    </row>
    <row r="1185" spans="1:22" x14ac:dyDescent="0.3">
      <c r="A1185">
        <v>186607</v>
      </c>
      <c r="B1185">
        <v>134761895</v>
      </c>
      <c r="C1185" t="s">
        <v>6236</v>
      </c>
      <c r="D1185" t="s">
        <v>6237</v>
      </c>
      <c r="E1185" t="s">
        <v>4901</v>
      </c>
      <c r="F1185" t="s">
        <v>491</v>
      </c>
      <c r="G1185" t="s">
        <v>44</v>
      </c>
      <c r="H1185" t="s">
        <v>45</v>
      </c>
      <c r="I1185" t="s">
        <v>34</v>
      </c>
      <c r="J1185" t="s">
        <v>46</v>
      </c>
      <c r="K1185" t="s">
        <v>41</v>
      </c>
      <c r="L1185" t="s">
        <v>6238</v>
      </c>
      <c r="M1185" t="s">
        <v>6239</v>
      </c>
      <c r="N1185" t="s">
        <v>4904</v>
      </c>
      <c r="O1185" t="s">
        <v>91</v>
      </c>
      <c r="P1185" t="s">
        <v>6240</v>
      </c>
      <c r="Q1185" s="14" t="s">
        <v>152</v>
      </c>
      <c r="R1185" t="s">
        <v>460</v>
      </c>
      <c r="S1185">
        <v>0.5</v>
      </c>
      <c r="T1185">
        <v>3299</v>
      </c>
      <c r="U1185">
        <v>0</v>
      </c>
      <c r="V1185">
        <v>3299</v>
      </c>
    </row>
    <row r="1186" spans="1:22" x14ac:dyDescent="0.3">
      <c r="A1186">
        <v>186607</v>
      </c>
      <c r="B1186">
        <v>134761888</v>
      </c>
      <c r="C1186" t="s">
        <v>6241</v>
      </c>
      <c r="D1186" t="s">
        <v>6242</v>
      </c>
      <c r="E1186" t="s">
        <v>4901</v>
      </c>
      <c r="F1186" t="s">
        <v>491</v>
      </c>
      <c r="G1186" t="s">
        <v>44</v>
      </c>
      <c r="H1186" t="s">
        <v>45</v>
      </c>
      <c r="I1186" t="s">
        <v>34</v>
      </c>
      <c r="J1186" t="s">
        <v>46</v>
      </c>
      <c r="K1186" t="s">
        <v>41</v>
      </c>
      <c r="L1186" t="s">
        <v>6243</v>
      </c>
      <c r="M1186" t="s">
        <v>6244</v>
      </c>
      <c r="N1186" t="s">
        <v>4904</v>
      </c>
      <c r="O1186" t="s">
        <v>91</v>
      </c>
      <c r="P1186" t="s">
        <v>6245</v>
      </c>
      <c r="Q1186" s="14" t="s">
        <v>83</v>
      </c>
      <c r="R1186" t="s">
        <v>460</v>
      </c>
      <c r="S1186">
        <v>1</v>
      </c>
      <c r="T1186">
        <v>3366</v>
      </c>
      <c r="U1186">
        <v>0</v>
      </c>
      <c r="V1186">
        <v>3366</v>
      </c>
    </row>
    <row r="1187" spans="1:22" x14ac:dyDescent="0.3">
      <c r="A1187">
        <v>186607</v>
      </c>
      <c r="B1187">
        <v>134709643</v>
      </c>
      <c r="C1187" t="s">
        <v>6246</v>
      </c>
      <c r="D1187" t="s">
        <v>6247</v>
      </c>
      <c r="E1187" t="s">
        <v>4901</v>
      </c>
      <c r="F1187" t="s">
        <v>491</v>
      </c>
      <c r="G1187" t="s">
        <v>44</v>
      </c>
      <c r="H1187" t="s">
        <v>45</v>
      </c>
      <c r="I1187" t="s">
        <v>34</v>
      </c>
      <c r="J1187" t="s">
        <v>46</v>
      </c>
      <c r="K1187" t="s">
        <v>41</v>
      </c>
      <c r="L1187" t="s">
        <v>6248</v>
      </c>
      <c r="M1187" t="s">
        <v>6249</v>
      </c>
      <c r="N1187" t="s">
        <v>4904</v>
      </c>
      <c r="O1187" t="s">
        <v>91</v>
      </c>
      <c r="P1187" t="s">
        <v>6250</v>
      </c>
      <c r="Q1187" s="14" t="s">
        <v>58</v>
      </c>
      <c r="R1187" t="s">
        <v>5383</v>
      </c>
      <c r="S1187">
        <v>0.5</v>
      </c>
      <c r="T1187">
        <v>3680</v>
      </c>
      <c r="U1187">
        <v>0</v>
      </c>
      <c r="V1187">
        <v>3680</v>
      </c>
    </row>
    <row r="1188" spans="1:22" x14ac:dyDescent="0.3">
      <c r="A1188">
        <v>186607</v>
      </c>
      <c r="B1188">
        <v>134732206</v>
      </c>
      <c r="C1188" t="s">
        <v>6251</v>
      </c>
      <c r="D1188" t="s">
        <v>6252</v>
      </c>
      <c r="E1188" t="s">
        <v>4901</v>
      </c>
      <c r="F1188" t="s">
        <v>491</v>
      </c>
      <c r="G1188" t="s">
        <v>44</v>
      </c>
      <c r="H1188" t="s">
        <v>45</v>
      </c>
      <c r="I1188" t="s">
        <v>34</v>
      </c>
      <c r="J1188" t="s">
        <v>46</v>
      </c>
      <c r="K1188" t="s">
        <v>41</v>
      </c>
      <c r="L1188" t="s">
        <v>6253</v>
      </c>
      <c r="M1188" t="s">
        <v>6254</v>
      </c>
      <c r="N1188" t="s">
        <v>4904</v>
      </c>
      <c r="O1188" t="s">
        <v>91</v>
      </c>
      <c r="P1188" t="s">
        <v>6255</v>
      </c>
      <c r="Q1188" s="14" t="s">
        <v>114</v>
      </c>
      <c r="R1188" t="s">
        <v>384</v>
      </c>
      <c r="S1188">
        <v>0.5</v>
      </c>
      <c r="T1188">
        <v>3449</v>
      </c>
      <c r="U1188">
        <v>0</v>
      </c>
      <c r="V1188">
        <v>3449</v>
      </c>
    </row>
    <row r="1189" spans="1:22" x14ac:dyDescent="0.3">
      <c r="A1189">
        <v>186607</v>
      </c>
      <c r="B1189">
        <v>134709654</v>
      </c>
      <c r="C1189" t="s">
        <v>6256</v>
      </c>
      <c r="D1189" t="s">
        <v>6257</v>
      </c>
      <c r="E1189" t="s">
        <v>4901</v>
      </c>
      <c r="F1189" t="s">
        <v>491</v>
      </c>
      <c r="G1189" t="s">
        <v>44</v>
      </c>
      <c r="H1189" t="s">
        <v>45</v>
      </c>
      <c r="I1189" t="s">
        <v>34</v>
      </c>
      <c r="J1189" t="s">
        <v>46</v>
      </c>
      <c r="K1189" t="s">
        <v>41</v>
      </c>
      <c r="L1189" t="s">
        <v>6258</v>
      </c>
      <c r="M1189" t="s">
        <v>403</v>
      </c>
      <c r="N1189" t="s">
        <v>4904</v>
      </c>
      <c r="O1189" t="s">
        <v>91</v>
      </c>
      <c r="P1189" t="s">
        <v>6259</v>
      </c>
      <c r="Q1189" s="14" t="s">
        <v>58</v>
      </c>
      <c r="R1189" t="s">
        <v>5383</v>
      </c>
      <c r="S1189">
        <v>0.5</v>
      </c>
      <c r="T1189">
        <v>3680</v>
      </c>
      <c r="U1189">
        <v>0</v>
      </c>
      <c r="V1189">
        <v>3680</v>
      </c>
    </row>
    <row r="1190" spans="1:22" x14ac:dyDescent="0.3">
      <c r="A1190">
        <v>186607</v>
      </c>
      <c r="B1190">
        <v>134709731</v>
      </c>
      <c r="C1190" t="s">
        <v>6260</v>
      </c>
      <c r="D1190" t="s">
        <v>6261</v>
      </c>
      <c r="E1190" t="s">
        <v>4901</v>
      </c>
      <c r="F1190" t="s">
        <v>491</v>
      </c>
      <c r="G1190" t="s">
        <v>44</v>
      </c>
      <c r="H1190" t="s">
        <v>45</v>
      </c>
      <c r="I1190" t="s">
        <v>34</v>
      </c>
      <c r="J1190" t="s">
        <v>46</v>
      </c>
      <c r="K1190" t="s">
        <v>41</v>
      </c>
      <c r="L1190" t="s">
        <v>6262</v>
      </c>
      <c r="M1190" t="s">
        <v>6263</v>
      </c>
      <c r="N1190" t="s">
        <v>4904</v>
      </c>
      <c r="O1190" t="s">
        <v>91</v>
      </c>
      <c r="P1190" t="s">
        <v>6264</v>
      </c>
      <c r="Q1190" s="14" t="s">
        <v>98</v>
      </c>
      <c r="R1190" t="s">
        <v>369</v>
      </c>
      <c r="S1190">
        <v>0.5</v>
      </c>
      <c r="T1190">
        <v>3299</v>
      </c>
      <c r="U1190">
        <v>0</v>
      </c>
      <c r="V1190">
        <v>3299</v>
      </c>
    </row>
    <row r="1191" spans="1:22" x14ac:dyDescent="0.3">
      <c r="A1191">
        <v>186607</v>
      </c>
      <c r="B1191">
        <v>134709659</v>
      </c>
      <c r="C1191" t="s">
        <v>6265</v>
      </c>
      <c r="D1191" t="s">
        <v>6266</v>
      </c>
      <c r="E1191" t="s">
        <v>4901</v>
      </c>
      <c r="F1191" t="s">
        <v>491</v>
      </c>
      <c r="G1191" t="s">
        <v>44</v>
      </c>
      <c r="H1191" t="s">
        <v>45</v>
      </c>
      <c r="I1191" t="s">
        <v>34</v>
      </c>
      <c r="J1191" t="s">
        <v>46</v>
      </c>
      <c r="K1191" t="s">
        <v>41</v>
      </c>
      <c r="L1191" t="s">
        <v>6267</v>
      </c>
      <c r="M1191" t="s">
        <v>6268</v>
      </c>
      <c r="N1191" t="s">
        <v>4904</v>
      </c>
      <c r="O1191" t="s">
        <v>91</v>
      </c>
      <c r="P1191" t="s">
        <v>6269</v>
      </c>
      <c r="Q1191" s="14" t="s">
        <v>83</v>
      </c>
      <c r="R1191" t="s">
        <v>5383</v>
      </c>
      <c r="S1191">
        <v>0.5</v>
      </c>
      <c r="T1191">
        <v>3299</v>
      </c>
      <c r="U1191">
        <v>0</v>
      </c>
      <c r="V1191">
        <v>3299</v>
      </c>
    </row>
    <row r="1192" spans="1:22" x14ac:dyDescent="0.3">
      <c r="A1192">
        <v>186607</v>
      </c>
      <c r="B1192">
        <v>134709693</v>
      </c>
      <c r="C1192" t="s">
        <v>6270</v>
      </c>
      <c r="D1192" t="s">
        <v>6271</v>
      </c>
      <c r="E1192" t="s">
        <v>4901</v>
      </c>
      <c r="F1192" t="s">
        <v>491</v>
      </c>
      <c r="G1192" t="s">
        <v>44</v>
      </c>
      <c r="H1192" t="s">
        <v>45</v>
      </c>
      <c r="I1192" t="s">
        <v>34</v>
      </c>
      <c r="J1192" t="s">
        <v>46</v>
      </c>
      <c r="K1192" t="s">
        <v>41</v>
      </c>
      <c r="L1192" t="s">
        <v>6272</v>
      </c>
      <c r="M1192" t="s">
        <v>6273</v>
      </c>
      <c r="N1192" t="s">
        <v>4904</v>
      </c>
      <c r="O1192" t="s">
        <v>91</v>
      </c>
      <c r="P1192" t="s">
        <v>6274</v>
      </c>
      <c r="Q1192" s="14" t="s">
        <v>86</v>
      </c>
      <c r="R1192" t="s">
        <v>5383</v>
      </c>
      <c r="S1192">
        <v>1</v>
      </c>
      <c r="T1192">
        <v>3366</v>
      </c>
      <c r="U1192">
        <v>0</v>
      </c>
      <c r="V1192">
        <v>3366</v>
      </c>
    </row>
    <row r="1193" spans="1:22" x14ac:dyDescent="0.3">
      <c r="A1193">
        <v>186607</v>
      </c>
      <c r="B1193">
        <v>134709669</v>
      </c>
      <c r="C1193" t="s">
        <v>6275</v>
      </c>
      <c r="D1193" t="s">
        <v>6276</v>
      </c>
      <c r="E1193" t="s">
        <v>4901</v>
      </c>
      <c r="F1193" t="s">
        <v>491</v>
      </c>
      <c r="G1193" t="s">
        <v>44</v>
      </c>
      <c r="H1193" t="s">
        <v>45</v>
      </c>
      <c r="I1193" t="s">
        <v>34</v>
      </c>
      <c r="J1193" t="s">
        <v>46</v>
      </c>
      <c r="K1193" t="s">
        <v>41</v>
      </c>
      <c r="L1193" t="s">
        <v>6277</v>
      </c>
      <c r="M1193" t="s">
        <v>6278</v>
      </c>
      <c r="N1193" t="s">
        <v>4904</v>
      </c>
      <c r="O1193" t="s">
        <v>91</v>
      </c>
      <c r="P1193" t="s">
        <v>6279</v>
      </c>
      <c r="Q1193" s="14" t="s">
        <v>93</v>
      </c>
      <c r="R1193" t="s">
        <v>5383</v>
      </c>
      <c r="S1193">
        <v>0.5</v>
      </c>
      <c r="T1193">
        <v>3680</v>
      </c>
      <c r="U1193">
        <v>0</v>
      </c>
      <c r="V1193">
        <v>3680</v>
      </c>
    </row>
    <row r="1194" spans="1:22" x14ac:dyDescent="0.3">
      <c r="A1194">
        <v>186607</v>
      </c>
      <c r="B1194">
        <v>134709687</v>
      </c>
      <c r="C1194" t="s">
        <v>6280</v>
      </c>
      <c r="D1194" t="s">
        <v>6281</v>
      </c>
      <c r="E1194" t="s">
        <v>4901</v>
      </c>
      <c r="F1194" t="s">
        <v>491</v>
      </c>
      <c r="G1194" t="s">
        <v>44</v>
      </c>
      <c r="H1194" t="s">
        <v>45</v>
      </c>
      <c r="I1194" t="s">
        <v>34</v>
      </c>
      <c r="J1194" t="s">
        <v>46</v>
      </c>
      <c r="K1194" t="s">
        <v>41</v>
      </c>
      <c r="L1194" t="s">
        <v>6282</v>
      </c>
      <c r="M1194" t="s">
        <v>6283</v>
      </c>
      <c r="N1194" t="s">
        <v>4904</v>
      </c>
      <c r="O1194" t="s">
        <v>91</v>
      </c>
      <c r="P1194" t="s">
        <v>6284</v>
      </c>
      <c r="Q1194" s="14" t="s">
        <v>89</v>
      </c>
      <c r="R1194" t="s">
        <v>5383</v>
      </c>
      <c r="S1194">
        <v>1.5</v>
      </c>
      <c r="T1194">
        <v>3753</v>
      </c>
      <c r="U1194">
        <v>0</v>
      </c>
      <c r="V1194">
        <v>3753</v>
      </c>
    </row>
    <row r="1195" spans="1:22" x14ac:dyDescent="0.3">
      <c r="A1195">
        <v>186607</v>
      </c>
      <c r="B1195">
        <v>134709677</v>
      </c>
      <c r="C1195" t="s">
        <v>6285</v>
      </c>
      <c r="D1195" t="s">
        <v>6286</v>
      </c>
      <c r="E1195" t="s">
        <v>4901</v>
      </c>
      <c r="F1195" t="s">
        <v>491</v>
      </c>
      <c r="G1195" t="s">
        <v>44</v>
      </c>
      <c r="H1195" t="s">
        <v>45</v>
      </c>
      <c r="I1195" t="s">
        <v>34</v>
      </c>
      <c r="J1195" t="s">
        <v>46</v>
      </c>
      <c r="K1195" t="s">
        <v>41</v>
      </c>
      <c r="L1195" t="s">
        <v>6287</v>
      </c>
      <c r="M1195" t="s">
        <v>6288</v>
      </c>
      <c r="N1195" t="s">
        <v>4904</v>
      </c>
      <c r="O1195" t="s">
        <v>91</v>
      </c>
      <c r="P1195" t="s">
        <v>6289</v>
      </c>
      <c r="Q1195" s="14" t="s">
        <v>89</v>
      </c>
      <c r="R1195" t="s">
        <v>5383</v>
      </c>
      <c r="S1195">
        <v>0.5</v>
      </c>
      <c r="T1195">
        <v>3680</v>
      </c>
      <c r="U1195">
        <v>0</v>
      </c>
      <c r="V1195">
        <v>3680</v>
      </c>
    </row>
    <row r="1196" spans="1:22" x14ac:dyDescent="0.3">
      <c r="A1196">
        <v>186607</v>
      </c>
      <c r="B1196">
        <v>134709680</v>
      </c>
      <c r="C1196" t="s">
        <v>6290</v>
      </c>
      <c r="D1196" t="s">
        <v>6291</v>
      </c>
      <c r="E1196" t="s">
        <v>4901</v>
      </c>
      <c r="F1196" t="s">
        <v>491</v>
      </c>
      <c r="G1196" t="s">
        <v>44</v>
      </c>
      <c r="H1196" t="s">
        <v>45</v>
      </c>
      <c r="I1196" t="s">
        <v>34</v>
      </c>
      <c r="J1196" t="s">
        <v>46</v>
      </c>
      <c r="K1196" t="s">
        <v>41</v>
      </c>
      <c r="L1196" t="s">
        <v>6292</v>
      </c>
      <c r="M1196" t="s">
        <v>6293</v>
      </c>
      <c r="N1196" t="s">
        <v>4904</v>
      </c>
      <c r="O1196" t="s">
        <v>91</v>
      </c>
      <c r="P1196" t="s">
        <v>6294</v>
      </c>
      <c r="Q1196" s="14" t="s">
        <v>83</v>
      </c>
      <c r="R1196" t="s">
        <v>5383</v>
      </c>
      <c r="S1196">
        <v>1.5</v>
      </c>
      <c r="T1196">
        <v>3366</v>
      </c>
      <c r="U1196">
        <v>0</v>
      </c>
      <c r="V1196">
        <v>3366</v>
      </c>
    </row>
    <row r="1197" spans="1:22" x14ac:dyDescent="0.3">
      <c r="A1197">
        <v>186607</v>
      </c>
      <c r="B1197">
        <v>134732184</v>
      </c>
      <c r="C1197" t="s">
        <v>6295</v>
      </c>
      <c r="D1197" t="s">
        <v>6296</v>
      </c>
      <c r="E1197" t="s">
        <v>4901</v>
      </c>
      <c r="F1197" t="s">
        <v>491</v>
      </c>
      <c r="G1197" t="s">
        <v>44</v>
      </c>
      <c r="H1197" t="s">
        <v>45</v>
      </c>
      <c r="I1197" t="s">
        <v>34</v>
      </c>
      <c r="J1197" t="s">
        <v>46</v>
      </c>
      <c r="K1197" t="s">
        <v>41</v>
      </c>
      <c r="L1197" t="s">
        <v>6297</v>
      </c>
      <c r="M1197" t="s">
        <v>6298</v>
      </c>
      <c r="N1197" t="s">
        <v>4904</v>
      </c>
      <c r="O1197" t="s">
        <v>91</v>
      </c>
      <c r="P1197" t="s">
        <v>6299</v>
      </c>
      <c r="Q1197" s="14" t="s">
        <v>62</v>
      </c>
      <c r="R1197" t="s">
        <v>454</v>
      </c>
      <c r="S1197">
        <v>0.5</v>
      </c>
      <c r="T1197">
        <v>3680</v>
      </c>
      <c r="U1197">
        <v>0</v>
      </c>
      <c r="V1197">
        <v>3680</v>
      </c>
    </row>
    <row r="1198" spans="1:22" x14ac:dyDescent="0.3">
      <c r="A1198">
        <v>186607</v>
      </c>
      <c r="B1198">
        <v>134709646</v>
      </c>
      <c r="C1198" t="s">
        <v>6300</v>
      </c>
      <c r="D1198" t="s">
        <v>6301</v>
      </c>
      <c r="E1198" t="s">
        <v>4901</v>
      </c>
      <c r="F1198" t="s">
        <v>491</v>
      </c>
      <c r="G1198" t="s">
        <v>44</v>
      </c>
      <c r="H1198" t="s">
        <v>45</v>
      </c>
      <c r="I1198" t="s">
        <v>34</v>
      </c>
      <c r="J1198" t="s">
        <v>46</v>
      </c>
      <c r="K1198" t="s">
        <v>41</v>
      </c>
      <c r="L1198" t="s">
        <v>6302</v>
      </c>
      <c r="M1198" t="s">
        <v>6303</v>
      </c>
      <c r="N1198" t="s">
        <v>4904</v>
      </c>
      <c r="O1198" t="s">
        <v>91</v>
      </c>
      <c r="P1198" t="s">
        <v>6304</v>
      </c>
      <c r="Q1198" s="14" t="s">
        <v>61</v>
      </c>
      <c r="R1198" t="s">
        <v>5383</v>
      </c>
      <c r="S1198">
        <v>0.5</v>
      </c>
      <c r="T1198">
        <v>3794</v>
      </c>
      <c r="U1198">
        <v>0</v>
      </c>
      <c r="V1198">
        <v>3794</v>
      </c>
    </row>
    <row r="1199" spans="1:22" x14ac:dyDescent="0.3">
      <c r="A1199">
        <v>186607</v>
      </c>
      <c r="B1199">
        <v>134709748</v>
      </c>
      <c r="C1199" t="s">
        <v>6305</v>
      </c>
      <c r="D1199" t="s">
        <v>6306</v>
      </c>
      <c r="E1199" t="s">
        <v>4901</v>
      </c>
      <c r="F1199" t="s">
        <v>491</v>
      </c>
      <c r="G1199" t="s">
        <v>44</v>
      </c>
      <c r="H1199" t="s">
        <v>45</v>
      </c>
      <c r="I1199" t="s">
        <v>34</v>
      </c>
      <c r="J1199" t="s">
        <v>46</v>
      </c>
      <c r="K1199" t="s">
        <v>41</v>
      </c>
      <c r="L1199" t="s">
        <v>6307</v>
      </c>
      <c r="M1199" t="s">
        <v>6308</v>
      </c>
      <c r="N1199" t="s">
        <v>4904</v>
      </c>
      <c r="O1199" t="s">
        <v>91</v>
      </c>
      <c r="P1199" t="s">
        <v>6309</v>
      </c>
      <c r="Q1199" s="14" t="s">
        <v>86</v>
      </c>
      <c r="R1199" t="s">
        <v>369</v>
      </c>
      <c r="S1199">
        <v>0.5</v>
      </c>
      <c r="T1199">
        <v>3299</v>
      </c>
      <c r="U1199">
        <v>0</v>
      </c>
      <c r="V1199">
        <v>3299</v>
      </c>
    </row>
    <row r="1200" spans="1:22" x14ac:dyDescent="0.3">
      <c r="A1200">
        <v>186607</v>
      </c>
      <c r="B1200">
        <v>134709708</v>
      </c>
      <c r="C1200" t="s">
        <v>6310</v>
      </c>
      <c r="D1200" t="s">
        <v>6311</v>
      </c>
      <c r="E1200" t="s">
        <v>4901</v>
      </c>
      <c r="F1200" t="s">
        <v>491</v>
      </c>
      <c r="G1200" t="s">
        <v>44</v>
      </c>
      <c r="H1200" t="s">
        <v>45</v>
      </c>
      <c r="I1200" t="s">
        <v>34</v>
      </c>
      <c r="J1200" t="s">
        <v>46</v>
      </c>
      <c r="K1200" t="s">
        <v>41</v>
      </c>
      <c r="L1200" t="s">
        <v>6312</v>
      </c>
      <c r="M1200" t="s">
        <v>6313</v>
      </c>
      <c r="N1200" t="s">
        <v>4904</v>
      </c>
      <c r="O1200" t="s">
        <v>91</v>
      </c>
      <c r="P1200" t="s">
        <v>6314</v>
      </c>
      <c r="Q1200" s="14" t="s">
        <v>42</v>
      </c>
      <c r="R1200" t="s">
        <v>5383</v>
      </c>
      <c r="S1200">
        <v>0.5</v>
      </c>
      <c r="T1200">
        <v>3449</v>
      </c>
      <c r="U1200">
        <v>0</v>
      </c>
      <c r="V1200">
        <v>3449</v>
      </c>
    </row>
    <row r="1201" spans="1:22" x14ac:dyDescent="0.3">
      <c r="A1201">
        <v>186607</v>
      </c>
      <c r="B1201">
        <v>134709694</v>
      </c>
      <c r="C1201" t="s">
        <v>6315</v>
      </c>
      <c r="D1201" t="s">
        <v>6316</v>
      </c>
      <c r="E1201" t="s">
        <v>4901</v>
      </c>
      <c r="F1201" t="s">
        <v>491</v>
      </c>
      <c r="G1201" t="s">
        <v>44</v>
      </c>
      <c r="H1201" t="s">
        <v>45</v>
      </c>
      <c r="I1201" t="s">
        <v>34</v>
      </c>
      <c r="J1201" t="s">
        <v>46</v>
      </c>
      <c r="K1201" t="s">
        <v>41</v>
      </c>
      <c r="L1201" t="s">
        <v>6317</v>
      </c>
      <c r="M1201" t="s">
        <v>6318</v>
      </c>
      <c r="N1201" t="s">
        <v>4904</v>
      </c>
      <c r="O1201" t="s">
        <v>91</v>
      </c>
      <c r="P1201" t="s">
        <v>6319</v>
      </c>
      <c r="Q1201" s="14" t="s">
        <v>107</v>
      </c>
      <c r="R1201" t="s">
        <v>5383</v>
      </c>
      <c r="S1201">
        <v>0.5</v>
      </c>
      <c r="T1201">
        <v>3680</v>
      </c>
      <c r="U1201">
        <v>0</v>
      </c>
      <c r="V1201">
        <v>3680</v>
      </c>
    </row>
    <row r="1202" spans="1:22" x14ac:dyDescent="0.3">
      <c r="A1202">
        <v>186607</v>
      </c>
      <c r="B1202">
        <v>134781074</v>
      </c>
      <c r="C1202" t="s">
        <v>6320</v>
      </c>
      <c r="D1202" t="s">
        <v>6321</v>
      </c>
      <c r="E1202" t="s">
        <v>4901</v>
      </c>
      <c r="F1202" t="s">
        <v>491</v>
      </c>
      <c r="G1202" t="s">
        <v>44</v>
      </c>
      <c r="H1202" t="s">
        <v>45</v>
      </c>
      <c r="I1202" t="s">
        <v>34</v>
      </c>
      <c r="J1202" t="s">
        <v>46</v>
      </c>
      <c r="K1202" t="s">
        <v>41</v>
      </c>
      <c r="L1202" t="s">
        <v>6322</v>
      </c>
      <c r="M1202" t="s">
        <v>6323</v>
      </c>
      <c r="N1202" t="s">
        <v>4904</v>
      </c>
      <c r="O1202" t="s">
        <v>91</v>
      </c>
      <c r="P1202" t="s">
        <v>6324</v>
      </c>
      <c r="Q1202" s="14" t="s">
        <v>89</v>
      </c>
      <c r="R1202" t="s">
        <v>293</v>
      </c>
      <c r="S1202">
        <v>0.5</v>
      </c>
      <c r="T1202">
        <v>3680</v>
      </c>
      <c r="U1202">
        <v>0</v>
      </c>
      <c r="V1202">
        <v>3680</v>
      </c>
    </row>
    <row r="1203" spans="1:22" x14ac:dyDescent="0.3">
      <c r="A1203">
        <v>186607</v>
      </c>
      <c r="B1203">
        <v>134761908</v>
      </c>
      <c r="C1203" t="s">
        <v>6325</v>
      </c>
      <c r="D1203" t="s">
        <v>6326</v>
      </c>
      <c r="E1203" t="s">
        <v>4901</v>
      </c>
      <c r="F1203" t="s">
        <v>491</v>
      </c>
      <c r="G1203" t="s">
        <v>44</v>
      </c>
      <c r="H1203" t="s">
        <v>45</v>
      </c>
      <c r="I1203" t="s">
        <v>34</v>
      </c>
      <c r="J1203" t="s">
        <v>46</v>
      </c>
      <c r="K1203" t="s">
        <v>41</v>
      </c>
      <c r="L1203" t="s">
        <v>6327</v>
      </c>
      <c r="M1203" t="s">
        <v>6328</v>
      </c>
      <c r="N1203" t="s">
        <v>4904</v>
      </c>
      <c r="O1203" t="s">
        <v>91</v>
      </c>
      <c r="P1203" t="s">
        <v>6329</v>
      </c>
      <c r="Q1203" s="14" t="s">
        <v>89</v>
      </c>
      <c r="R1203" t="s">
        <v>460</v>
      </c>
      <c r="S1203">
        <v>0.5</v>
      </c>
      <c r="T1203">
        <v>3680</v>
      </c>
      <c r="U1203">
        <v>0</v>
      </c>
      <c r="V1203">
        <v>3680</v>
      </c>
    </row>
    <row r="1204" spans="1:22" x14ac:dyDescent="0.3">
      <c r="A1204">
        <v>186607</v>
      </c>
      <c r="B1204">
        <v>134761906</v>
      </c>
      <c r="C1204" t="s">
        <v>6330</v>
      </c>
      <c r="D1204" t="s">
        <v>6331</v>
      </c>
      <c r="E1204" t="s">
        <v>4901</v>
      </c>
      <c r="F1204" t="s">
        <v>491</v>
      </c>
      <c r="G1204" t="s">
        <v>44</v>
      </c>
      <c r="H1204" t="s">
        <v>45</v>
      </c>
      <c r="I1204" t="s">
        <v>34</v>
      </c>
      <c r="J1204" t="s">
        <v>46</v>
      </c>
      <c r="K1204" t="s">
        <v>41</v>
      </c>
      <c r="L1204" t="s">
        <v>6332</v>
      </c>
      <c r="M1204" t="s">
        <v>284</v>
      </c>
      <c r="N1204" t="s">
        <v>4904</v>
      </c>
      <c r="O1204" t="s">
        <v>91</v>
      </c>
      <c r="P1204" t="s">
        <v>6333</v>
      </c>
      <c r="Q1204" s="14" t="s">
        <v>89</v>
      </c>
      <c r="R1204" t="s">
        <v>460</v>
      </c>
      <c r="S1204">
        <v>0.5</v>
      </c>
      <c r="T1204">
        <v>3680</v>
      </c>
      <c r="U1204">
        <v>0</v>
      </c>
      <c r="V1204">
        <v>3680</v>
      </c>
    </row>
    <row r="1205" spans="1:22" x14ac:dyDescent="0.3">
      <c r="A1205">
        <v>186607</v>
      </c>
      <c r="B1205">
        <v>134709762</v>
      </c>
      <c r="C1205" t="s">
        <v>6334</v>
      </c>
      <c r="D1205" t="s">
        <v>6335</v>
      </c>
      <c r="E1205" t="s">
        <v>4901</v>
      </c>
      <c r="F1205" t="s">
        <v>491</v>
      </c>
      <c r="G1205" t="s">
        <v>44</v>
      </c>
      <c r="H1205" t="s">
        <v>45</v>
      </c>
      <c r="I1205" t="s">
        <v>34</v>
      </c>
      <c r="J1205" t="s">
        <v>46</v>
      </c>
      <c r="K1205" t="s">
        <v>41</v>
      </c>
      <c r="L1205" t="s">
        <v>5409</v>
      </c>
      <c r="M1205" t="s">
        <v>6336</v>
      </c>
      <c r="N1205" t="s">
        <v>4904</v>
      </c>
      <c r="O1205" t="s">
        <v>91</v>
      </c>
      <c r="P1205" t="s">
        <v>6337</v>
      </c>
      <c r="Q1205" s="14" t="s">
        <v>83</v>
      </c>
      <c r="R1205" t="s">
        <v>369</v>
      </c>
      <c r="S1205">
        <v>0.5</v>
      </c>
      <c r="T1205">
        <v>3299</v>
      </c>
      <c r="U1205">
        <v>0</v>
      </c>
      <c r="V1205">
        <v>3299</v>
      </c>
    </row>
    <row r="1206" spans="1:22" x14ac:dyDescent="0.3">
      <c r="A1206">
        <v>186607</v>
      </c>
      <c r="B1206">
        <v>134709667</v>
      </c>
      <c r="C1206" t="s">
        <v>6338</v>
      </c>
      <c r="D1206" t="s">
        <v>6339</v>
      </c>
      <c r="E1206" t="s">
        <v>4901</v>
      </c>
      <c r="F1206" t="s">
        <v>491</v>
      </c>
      <c r="G1206" t="s">
        <v>44</v>
      </c>
      <c r="H1206" t="s">
        <v>45</v>
      </c>
      <c r="I1206" t="s">
        <v>34</v>
      </c>
      <c r="J1206" t="s">
        <v>46</v>
      </c>
      <c r="K1206" t="s">
        <v>41</v>
      </c>
      <c r="L1206" t="s">
        <v>6340</v>
      </c>
      <c r="M1206" t="s">
        <v>6341</v>
      </c>
      <c r="N1206" t="s">
        <v>4904</v>
      </c>
      <c r="O1206" t="s">
        <v>91</v>
      </c>
      <c r="P1206" t="s">
        <v>6342</v>
      </c>
      <c r="Q1206" s="14" t="s">
        <v>89</v>
      </c>
      <c r="R1206" t="s">
        <v>5383</v>
      </c>
      <c r="S1206">
        <v>0.5</v>
      </c>
      <c r="T1206">
        <v>3680</v>
      </c>
      <c r="U1206">
        <v>0</v>
      </c>
      <c r="V1206">
        <v>3680</v>
      </c>
    </row>
    <row r="1207" spans="1:22" x14ac:dyDescent="0.3">
      <c r="A1207">
        <v>186607</v>
      </c>
      <c r="B1207">
        <v>134732198</v>
      </c>
      <c r="C1207" t="s">
        <v>6343</v>
      </c>
      <c r="D1207" t="s">
        <v>6344</v>
      </c>
      <c r="E1207" t="s">
        <v>4901</v>
      </c>
      <c r="F1207" t="s">
        <v>491</v>
      </c>
      <c r="G1207" t="s">
        <v>44</v>
      </c>
      <c r="H1207" t="s">
        <v>45</v>
      </c>
      <c r="I1207" t="s">
        <v>34</v>
      </c>
      <c r="J1207" t="s">
        <v>46</v>
      </c>
      <c r="K1207" t="s">
        <v>41</v>
      </c>
      <c r="L1207" t="s">
        <v>6345</v>
      </c>
      <c r="M1207" t="s">
        <v>6346</v>
      </c>
      <c r="N1207" t="s">
        <v>4904</v>
      </c>
      <c r="O1207" t="s">
        <v>91</v>
      </c>
      <c r="P1207" t="s">
        <v>6347</v>
      </c>
      <c r="Q1207" s="14" t="s">
        <v>152</v>
      </c>
      <c r="R1207" t="s">
        <v>384</v>
      </c>
      <c r="S1207">
        <v>0.5</v>
      </c>
      <c r="T1207">
        <v>3299</v>
      </c>
      <c r="U1207">
        <v>0</v>
      </c>
      <c r="V1207">
        <v>3299</v>
      </c>
    </row>
    <row r="1208" spans="1:22" x14ac:dyDescent="0.3">
      <c r="A1208">
        <v>186607</v>
      </c>
      <c r="B1208">
        <v>134709726</v>
      </c>
      <c r="C1208" t="s">
        <v>6348</v>
      </c>
      <c r="D1208" t="s">
        <v>6349</v>
      </c>
      <c r="E1208" t="s">
        <v>4901</v>
      </c>
      <c r="F1208" t="s">
        <v>491</v>
      </c>
      <c r="G1208" t="s">
        <v>44</v>
      </c>
      <c r="H1208" t="s">
        <v>45</v>
      </c>
      <c r="I1208" t="s">
        <v>34</v>
      </c>
      <c r="J1208" t="s">
        <v>46</v>
      </c>
      <c r="K1208" t="s">
        <v>56</v>
      </c>
      <c r="L1208" t="s">
        <v>57</v>
      </c>
      <c r="M1208" t="s">
        <v>6350</v>
      </c>
      <c r="N1208" t="s">
        <v>4904</v>
      </c>
      <c r="O1208" t="s">
        <v>91</v>
      </c>
      <c r="P1208" t="s">
        <v>6351</v>
      </c>
      <c r="Q1208" s="14" t="s">
        <v>81</v>
      </c>
      <c r="R1208" t="s">
        <v>369</v>
      </c>
      <c r="S1208">
        <v>0.5</v>
      </c>
      <c r="T1208">
        <v>3680</v>
      </c>
      <c r="U1208">
        <v>0</v>
      </c>
      <c r="V1208">
        <v>3680</v>
      </c>
    </row>
    <row r="1209" spans="1:22" x14ac:dyDescent="0.3">
      <c r="A1209">
        <v>186607</v>
      </c>
      <c r="B1209">
        <v>134709666</v>
      </c>
      <c r="C1209" t="s">
        <v>6352</v>
      </c>
      <c r="D1209" t="s">
        <v>6353</v>
      </c>
      <c r="E1209" t="s">
        <v>4901</v>
      </c>
      <c r="F1209" t="s">
        <v>491</v>
      </c>
      <c r="G1209" t="s">
        <v>44</v>
      </c>
      <c r="H1209" t="s">
        <v>45</v>
      </c>
      <c r="I1209" t="s">
        <v>34</v>
      </c>
      <c r="J1209" t="s">
        <v>46</v>
      </c>
      <c r="K1209" t="s">
        <v>41</v>
      </c>
      <c r="L1209" t="s">
        <v>6354</v>
      </c>
      <c r="M1209" t="s">
        <v>6355</v>
      </c>
      <c r="N1209" t="s">
        <v>4904</v>
      </c>
      <c r="O1209" t="s">
        <v>91</v>
      </c>
      <c r="P1209" t="s">
        <v>6356</v>
      </c>
      <c r="Q1209" s="14" t="s">
        <v>97</v>
      </c>
      <c r="R1209" t="s">
        <v>5383</v>
      </c>
      <c r="S1209">
        <v>1</v>
      </c>
      <c r="T1209">
        <v>4173</v>
      </c>
      <c r="U1209">
        <v>0</v>
      </c>
      <c r="V1209">
        <v>4173</v>
      </c>
    </row>
    <row r="1210" spans="1:22" x14ac:dyDescent="0.3">
      <c r="A1210">
        <v>186607</v>
      </c>
      <c r="B1210">
        <v>134781064</v>
      </c>
      <c r="C1210" t="s">
        <v>6357</v>
      </c>
      <c r="D1210" t="s">
        <v>6358</v>
      </c>
      <c r="E1210" t="s">
        <v>4901</v>
      </c>
      <c r="F1210" t="s">
        <v>491</v>
      </c>
      <c r="G1210" t="s">
        <v>44</v>
      </c>
      <c r="H1210" t="s">
        <v>45</v>
      </c>
      <c r="I1210" t="s">
        <v>34</v>
      </c>
      <c r="J1210" t="s">
        <v>46</v>
      </c>
      <c r="K1210" t="s">
        <v>41</v>
      </c>
      <c r="L1210" t="s">
        <v>6359</v>
      </c>
      <c r="M1210" t="s">
        <v>6360</v>
      </c>
      <c r="N1210" t="s">
        <v>4904</v>
      </c>
      <c r="O1210" t="s">
        <v>91</v>
      </c>
      <c r="P1210" t="s">
        <v>6361</v>
      </c>
      <c r="Q1210" s="14" t="s">
        <v>83</v>
      </c>
      <c r="R1210" t="s">
        <v>293</v>
      </c>
      <c r="S1210">
        <v>0.5</v>
      </c>
      <c r="T1210">
        <v>3299</v>
      </c>
      <c r="U1210">
        <v>0</v>
      </c>
      <c r="V1210">
        <v>3299</v>
      </c>
    </row>
    <row r="1211" spans="1:22" x14ac:dyDescent="0.3">
      <c r="A1211">
        <v>186607</v>
      </c>
      <c r="B1211">
        <v>134761900</v>
      </c>
      <c r="C1211" t="s">
        <v>6362</v>
      </c>
      <c r="D1211" t="s">
        <v>6363</v>
      </c>
      <c r="E1211" t="s">
        <v>4901</v>
      </c>
      <c r="F1211" t="s">
        <v>491</v>
      </c>
      <c r="G1211" t="s">
        <v>44</v>
      </c>
      <c r="H1211" t="s">
        <v>45</v>
      </c>
      <c r="I1211" t="s">
        <v>34</v>
      </c>
      <c r="J1211" t="s">
        <v>46</v>
      </c>
      <c r="K1211" t="s">
        <v>41</v>
      </c>
      <c r="L1211" t="s">
        <v>6364</v>
      </c>
      <c r="M1211" t="s">
        <v>6365</v>
      </c>
      <c r="N1211" t="s">
        <v>4904</v>
      </c>
      <c r="O1211" t="s">
        <v>91</v>
      </c>
      <c r="P1211" t="s">
        <v>6366</v>
      </c>
      <c r="Q1211" s="14" t="s">
        <v>209</v>
      </c>
      <c r="R1211" t="s">
        <v>460</v>
      </c>
      <c r="S1211">
        <v>0.5</v>
      </c>
      <c r="T1211">
        <v>3449</v>
      </c>
      <c r="U1211">
        <v>0</v>
      </c>
      <c r="V1211">
        <v>3449</v>
      </c>
    </row>
    <row r="1212" spans="1:22" x14ac:dyDescent="0.3">
      <c r="A1212">
        <v>186607</v>
      </c>
      <c r="B1212">
        <v>134709637</v>
      </c>
      <c r="C1212" t="s">
        <v>6367</v>
      </c>
      <c r="D1212" t="s">
        <v>6368</v>
      </c>
      <c r="E1212" t="s">
        <v>4901</v>
      </c>
      <c r="F1212" t="s">
        <v>491</v>
      </c>
      <c r="G1212" t="s">
        <v>44</v>
      </c>
      <c r="H1212" t="s">
        <v>45</v>
      </c>
      <c r="I1212" t="s">
        <v>34</v>
      </c>
      <c r="J1212" t="s">
        <v>46</v>
      </c>
      <c r="K1212" t="s">
        <v>41</v>
      </c>
      <c r="L1212" t="s">
        <v>6369</v>
      </c>
      <c r="M1212" t="s">
        <v>6370</v>
      </c>
      <c r="N1212" t="s">
        <v>4904</v>
      </c>
      <c r="O1212" t="s">
        <v>91</v>
      </c>
      <c r="P1212" t="s">
        <v>6371</v>
      </c>
      <c r="Q1212" s="14" t="s">
        <v>83</v>
      </c>
      <c r="R1212" t="s">
        <v>5383</v>
      </c>
      <c r="S1212">
        <v>0.5</v>
      </c>
      <c r="T1212">
        <v>3299</v>
      </c>
      <c r="U1212">
        <v>0</v>
      </c>
      <c r="V1212">
        <v>3299</v>
      </c>
    </row>
    <row r="1213" spans="1:22" x14ac:dyDescent="0.3">
      <c r="A1213">
        <v>186607</v>
      </c>
      <c r="B1213">
        <v>134761910</v>
      </c>
      <c r="C1213" t="s">
        <v>6372</v>
      </c>
      <c r="D1213" t="s">
        <v>6373</v>
      </c>
      <c r="E1213" t="s">
        <v>4901</v>
      </c>
      <c r="F1213" t="s">
        <v>491</v>
      </c>
      <c r="G1213" t="s">
        <v>44</v>
      </c>
      <c r="H1213" t="s">
        <v>45</v>
      </c>
      <c r="I1213" t="s">
        <v>34</v>
      </c>
      <c r="J1213" t="s">
        <v>46</v>
      </c>
      <c r="K1213" t="s">
        <v>41</v>
      </c>
      <c r="L1213" t="s">
        <v>6374</v>
      </c>
      <c r="M1213" t="s">
        <v>6375</v>
      </c>
      <c r="N1213" t="s">
        <v>4904</v>
      </c>
      <c r="O1213" t="s">
        <v>91</v>
      </c>
      <c r="P1213" t="s">
        <v>6376</v>
      </c>
      <c r="Q1213" s="14" t="s">
        <v>43</v>
      </c>
      <c r="R1213" t="s">
        <v>460</v>
      </c>
      <c r="S1213">
        <v>0.5</v>
      </c>
      <c r="T1213">
        <v>3680</v>
      </c>
      <c r="U1213">
        <v>0</v>
      </c>
      <c r="V1213">
        <v>3680</v>
      </c>
    </row>
    <row r="1214" spans="1:22" x14ac:dyDescent="0.3">
      <c r="A1214">
        <v>186607</v>
      </c>
      <c r="B1214">
        <v>134709670</v>
      </c>
      <c r="C1214" t="s">
        <v>6377</v>
      </c>
      <c r="D1214" t="s">
        <v>6378</v>
      </c>
      <c r="E1214" t="s">
        <v>4901</v>
      </c>
      <c r="F1214" t="s">
        <v>491</v>
      </c>
      <c r="G1214" t="s">
        <v>44</v>
      </c>
      <c r="H1214" t="s">
        <v>45</v>
      </c>
      <c r="I1214" t="s">
        <v>34</v>
      </c>
      <c r="J1214" t="s">
        <v>46</v>
      </c>
      <c r="K1214" t="s">
        <v>41</v>
      </c>
      <c r="L1214" t="s">
        <v>6379</v>
      </c>
      <c r="M1214" t="s">
        <v>6380</v>
      </c>
      <c r="N1214" t="s">
        <v>4904</v>
      </c>
      <c r="O1214" t="s">
        <v>91</v>
      </c>
      <c r="P1214" t="s">
        <v>6381</v>
      </c>
      <c r="Q1214" s="14" t="s">
        <v>109</v>
      </c>
      <c r="R1214" t="s">
        <v>5383</v>
      </c>
      <c r="S1214">
        <v>0.5</v>
      </c>
      <c r="T1214">
        <v>3449</v>
      </c>
      <c r="U1214">
        <v>0</v>
      </c>
      <c r="V1214">
        <v>3449</v>
      </c>
    </row>
    <row r="1215" spans="1:22" x14ac:dyDescent="0.3">
      <c r="A1215">
        <v>186607</v>
      </c>
      <c r="B1215">
        <v>134709717</v>
      </c>
      <c r="C1215" t="s">
        <v>6382</v>
      </c>
      <c r="D1215" t="s">
        <v>6383</v>
      </c>
      <c r="E1215" t="s">
        <v>4901</v>
      </c>
      <c r="F1215" t="s">
        <v>491</v>
      </c>
      <c r="G1215" t="s">
        <v>44</v>
      </c>
      <c r="H1215" t="s">
        <v>45</v>
      </c>
      <c r="I1215" t="s">
        <v>34</v>
      </c>
      <c r="J1215" t="s">
        <v>46</v>
      </c>
      <c r="K1215" t="s">
        <v>41</v>
      </c>
      <c r="L1215" t="s">
        <v>6384</v>
      </c>
      <c r="M1215" t="s">
        <v>6385</v>
      </c>
      <c r="N1215" t="s">
        <v>4904</v>
      </c>
      <c r="O1215" t="s">
        <v>91</v>
      </c>
      <c r="P1215" t="s">
        <v>6386</v>
      </c>
      <c r="Q1215" s="14" t="s">
        <v>135</v>
      </c>
      <c r="R1215" t="s">
        <v>369</v>
      </c>
      <c r="S1215">
        <v>0.5</v>
      </c>
      <c r="T1215">
        <v>3299</v>
      </c>
      <c r="U1215">
        <v>0</v>
      </c>
      <c r="V1215">
        <v>3299</v>
      </c>
    </row>
    <row r="1216" spans="1:22" x14ac:dyDescent="0.3">
      <c r="A1216">
        <v>186607</v>
      </c>
      <c r="B1216">
        <v>134709740</v>
      </c>
      <c r="C1216" t="s">
        <v>6387</v>
      </c>
      <c r="D1216" t="s">
        <v>6388</v>
      </c>
      <c r="E1216" t="s">
        <v>4901</v>
      </c>
      <c r="F1216" t="s">
        <v>491</v>
      </c>
      <c r="G1216" t="s">
        <v>44</v>
      </c>
      <c r="H1216" t="s">
        <v>45</v>
      </c>
      <c r="I1216" t="s">
        <v>34</v>
      </c>
      <c r="J1216" t="s">
        <v>46</v>
      </c>
      <c r="K1216" t="s">
        <v>41</v>
      </c>
      <c r="L1216" t="s">
        <v>6389</v>
      </c>
      <c r="M1216" t="s">
        <v>6390</v>
      </c>
      <c r="N1216" t="s">
        <v>4904</v>
      </c>
      <c r="O1216" t="s">
        <v>91</v>
      </c>
      <c r="P1216" t="s">
        <v>6391</v>
      </c>
      <c r="Q1216" s="14" t="s">
        <v>83</v>
      </c>
      <c r="R1216" t="s">
        <v>369</v>
      </c>
      <c r="S1216">
        <v>0.5</v>
      </c>
      <c r="T1216">
        <v>3299</v>
      </c>
      <c r="U1216">
        <v>0</v>
      </c>
      <c r="V1216">
        <v>3299</v>
      </c>
    </row>
    <row r="1217" spans="1:22" x14ac:dyDescent="0.3">
      <c r="A1217">
        <v>186607</v>
      </c>
      <c r="B1217">
        <v>134709650</v>
      </c>
      <c r="C1217" t="s">
        <v>6392</v>
      </c>
      <c r="D1217" t="s">
        <v>6393</v>
      </c>
      <c r="E1217" t="s">
        <v>4901</v>
      </c>
      <c r="F1217" t="s">
        <v>491</v>
      </c>
      <c r="G1217" t="s">
        <v>44</v>
      </c>
      <c r="H1217" t="s">
        <v>45</v>
      </c>
      <c r="I1217" t="s">
        <v>34</v>
      </c>
      <c r="J1217" t="s">
        <v>46</v>
      </c>
      <c r="K1217" t="s">
        <v>41</v>
      </c>
      <c r="L1217" t="s">
        <v>6394</v>
      </c>
      <c r="M1217" t="s">
        <v>6395</v>
      </c>
      <c r="N1217" t="s">
        <v>4904</v>
      </c>
      <c r="O1217" t="s">
        <v>91</v>
      </c>
      <c r="P1217" t="s">
        <v>6396</v>
      </c>
      <c r="Q1217" s="14" t="s">
        <v>98</v>
      </c>
      <c r="R1217" t="s">
        <v>5383</v>
      </c>
      <c r="S1217">
        <v>0.5</v>
      </c>
      <c r="T1217">
        <v>3299</v>
      </c>
      <c r="U1217">
        <v>0</v>
      </c>
      <c r="V1217">
        <v>3299</v>
      </c>
    </row>
    <row r="1218" spans="1:22" x14ac:dyDescent="0.3">
      <c r="A1218">
        <v>186607</v>
      </c>
      <c r="B1218">
        <v>134709651</v>
      </c>
      <c r="C1218" t="s">
        <v>6397</v>
      </c>
      <c r="D1218" t="s">
        <v>6398</v>
      </c>
      <c r="E1218" t="s">
        <v>4901</v>
      </c>
      <c r="F1218" t="s">
        <v>491</v>
      </c>
      <c r="G1218" t="s">
        <v>44</v>
      </c>
      <c r="H1218" t="s">
        <v>45</v>
      </c>
      <c r="I1218" t="s">
        <v>34</v>
      </c>
      <c r="J1218" t="s">
        <v>46</v>
      </c>
      <c r="K1218" t="s">
        <v>41</v>
      </c>
      <c r="L1218" t="s">
        <v>6399</v>
      </c>
      <c r="M1218" t="s">
        <v>6400</v>
      </c>
      <c r="N1218" t="s">
        <v>4904</v>
      </c>
      <c r="O1218" t="s">
        <v>91</v>
      </c>
      <c r="P1218" t="s">
        <v>6401</v>
      </c>
      <c r="Q1218" s="14" t="s">
        <v>92</v>
      </c>
      <c r="R1218" t="s">
        <v>5383</v>
      </c>
      <c r="S1218">
        <v>0.5</v>
      </c>
      <c r="T1218">
        <v>3680</v>
      </c>
      <c r="U1218">
        <v>0</v>
      </c>
      <c r="V1218">
        <v>3680</v>
      </c>
    </row>
    <row r="1219" spans="1:22" x14ac:dyDescent="0.3">
      <c r="A1219">
        <v>186607</v>
      </c>
      <c r="B1219">
        <v>134345217</v>
      </c>
      <c r="C1219" t="s">
        <v>6402</v>
      </c>
      <c r="D1219" t="s">
        <v>6403</v>
      </c>
      <c r="E1219" t="s">
        <v>4901</v>
      </c>
      <c r="F1219" t="s">
        <v>491</v>
      </c>
      <c r="G1219" t="s">
        <v>44</v>
      </c>
      <c r="H1219" t="s">
        <v>45</v>
      </c>
      <c r="I1219" t="s">
        <v>34</v>
      </c>
      <c r="J1219" t="s">
        <v>46</v>
      </c>
      <c r="K1219" t="s">
        <v>41</v>
      </c>
      <c r="L1219" t="s">
        <v>6404</v>
      </c>
      <c r="M1219" t="s">
        <v>484</v>
      </c>
      <c r="N1219" t="s">
        <v>4904</v>
      </c>
      <c r="O1219" t="s">
        <v>91</v>
      </c>
      <c r="P1219" t="s">
        <v>6405</v>
      </c>
      <c r="Q1219" s="14" t="s">
        <v>149</v>
      </c>
      <c r="R1219" t="s">
        <v>6406</v>
      </c>
      <c r="S1219">
        <v>0.5</v>
      </c>
      <c r="T1219">
        <v>5367</v>
      </c>
      <c r="U1219">
        <v>0</v>
      </c>
      <c r="V1219">
        <v>5367</v>
      </c>
    </row>
    <row r="1220" spans="1:22" x14ac:dyDescent="0.3">
      <c r="A1220">
        <v>186607</v>
      </c>
      <c r="B1220">
        <v>134761891</v>
      </c>
      <c r="C1220" t="s">
        <v>6407</v>
      </c>
      <c r="D1220" t="s">
        <v>6408</v>
      </c>
      <c r="E1220" t="s">
        <v>4901</v>
      </c>
      <c r="F1220" t="s">
        <v>491</v>
      </c>
      <c r="G1220" t="s">
        <v>44</v>
      </c>
      <c r="H1220" t="s">
        <v>45</v>
      </c>
      <c r="I1220" t="s">
        <v>34</v>
      </c>
      <c r="J1220" t="s">
        <v>46</v>
      </c>
      <c r="K1220" t="s">
        <v>41</v>
      </c>
      <c r="L1220" t="s">
        <v>6409</v>
      </c>
      <c r="M1220" t="s">
        <v>6410</v>
      </c>
      <c r="N1220" t="s">
        <v>4904</v>
      </c>
      <c r="O1220" t="s">
        <v>91</v>
      </c>
      <c r="P1220" t="s">
        <v>6411</v>
      </c>
      <c r="Q1220" s="14" t="s">
        <v>85</v>
      </c>
      <c r="R1220" t="s">
        <v>460</v>
      </c>
      <c r="S1220">
        <v>1</v>
      </c>
      <c r="T1220">
        <v>3784</v>
      </c>
      <c r="U1220">
        <v>0</v>
      </c>
      <c r="V1220">
        <v>3784</v>
      </c>
    </row>
    <row r="1221" spans="1:22" x14ac:dyDescent="0.3">
      <c r="A1221">
        <v>186607</v>
      </c>
      <c r="B1221">
        <v>134761896</v>
      </c>
      <c r="C1221" t="s">
        <v>6412</v>
      </c>
      <c r="D1221" t="s">
        <v>6413</v>
      </c>
      <c r="E1221" t="s">
        <v>4901</v>
      </c>
      <c r="F1221" t="s">
        <v>491</v>
      </c>
      <c r="G1221" t="s">
        <v>44</v>
      </c>
      <c r="H1221" t="s">
        <v>45</v>
      </c>
      <c r="I1221" t="s">
        <v>34</v>
      </c>
      <c r="J1221" t="s">
        <v>46</v>
      </c>
      <c r="K1221" t="s">
        <v>41</v>
      </c>
      <c r="L1221" t="s">
        <v>6414</v>
      </c>
      <c r="M1221" t="s">
        <v>6415</v>
      </c>
      <c r="N1221" t="s">
        <v>4904</v>
      </c>
      <c r="O1221" t="s">
        <v>91</v>
      </c>
      <c r="P1221" t="s">
        <v>6416</v>
      </c>
      <c r="Q1221" s="14" t="s">
        <v>89</v>
      </c>
      <c r="R1221" t="s">
        <v>460</v>
      </c>
      <c r="S1221">
        <v>0.5</v>
      </c>
      <c r="T1221">
        <v>3680</v>
      </c>
      <c r="U1221">
        <v>0</v>
      </c>
      <c r="V1221">
        <v>3680</v>
      </c>
    </row>
    <row r="1222" spans="1:22" x14ac:dyDescent="0.3">
      <c r="A1222">
        <v>186607</v>
      </c>
      <c r="B1222">
        <v>134709718</v>
      </c>
      <c r="C1222" t="s">
        <v>6417</v>
      </c>
      <c r="D1222" t="s">
        <v>6418</v>
      </c>
      <c r="E1222" t="s">
        <v>4901</v>
      </c>
      <c r="F1222" t="s">
        <v>491</v>
      </c>
      <c r="G1222" t="s">
        <v>44</v>
      </c>
      <c r="H1222" t="s">
        <v>45</v>
      </c>
      <c r="I1222" t="s">
        <v>34</v>
      </c>
      <c r="J1222" t="s">
        <v>46</v>
      </c>
      <c r="K1222" t="s">
        <v>41</v>
      </c>
      <c r="L1222" t="s">
        <v>6419</v>
      </c>
      <c r="M1222" t="s">
        <v>6420</v>
      </c>
      <c r="N1222" t="s">
        <v>4904</v>
      </c>
      <c r="O1222" t="s">
        <v>91</v>
      </c>
      <c r="P1222" t="s">
        <v>6421</v>
      </c>
      <c r="Q1222" s="14" t="s">
        <v>179</v>
      </c>
      <c r="R1222" t="s">
        <v>369</v>
      </c>
      <c r="S1222">
        <v>0.5</v>
      </c>
      <c r="T1222">
        <v>3299</v>
      </c>
      <c r="U1222">
        <v>0</v>
      </c>
      <c r="V1222">
        <v>3299</v>
      </c>
    </row>
    <row r="1223" spans="1:22" x14ac:dyDescent="0.3">
      <c r="A1223">
        <v>186607</v>
      </c>
      <c r="B1223">
        <v>134615276</v>
      </c>
      <c r="C1223" t="s">
        <v>6422</v>
      </c>
      <c r="D1223" t="s">
        <v>6423</v>
      </c>
      <c r="E1223" t="s">
        <v>4901</v>
      </c>
      <c r="F1223" t="s">
        <v>491</v>
      </c>
      <c r="G1223" t="s">
        <v>44</v>
      </c>
      <c r="H1223" t="s">
        <v>45</v>
      </c>
      <c r="I1223" t="s">
        <v>34</v>
      </c>
      <c r="J1223" t="s">
        <v>46</v>
      </c>
      <c r="K1223" t="s">
        <v>41</v>
      </c>
      <c r="L1223" t="s">
        <v>6424</v>
      </c>
      <c r="M1223" t="s">
        <v>6425</v>
      </c>
      <c r="N1223" t="s">
        <v>4904</v>
      </c>
      <c r="O1223" t="s">
        <v>91</v>
      </c>
      <c r="P1223" t="s">
        <v>6426</v>
      </c>
      <c r="Q1223" s="14" t="s">
        <v>60</v>
      </c>
      <c r="R1223" t="s">
        <v>6427</v>
      </c>
      <c r="S1223">
        <v>2.41</v>
      </c>
      <c r="T1223">
        <v>5759</v>
      </c>
      <c r="U1223">
        <v>0</v>
      </c>
      <c r="V1223">
        <v>5759</v>
      </c>
    </row>
    <row r="1224" spans="1:22" x14ac:dyDescent="0.3">
      <c r="A1224">
        <v>186607</v>
      </c>
      <c r="B1224">
        <v>134615274</v>
      </c>
      <c r="C1224" t="s">
        <v>6428</v>
      </c>
      <c r="D1224" t="s">
        <v>6429</v>
      </c>
      <c r="E1224" t="s">
        <v>4901</v>
      </c>
      <c r="F1224" t="s">
        <v>491</v>
      </c>
      <c r="G1224" t="s">
        <v>44</v>
      </c>
      <c r="H1224" t="s">
        <v>45</v>
      </c>
      <c r="I1224" t="s">
        <v>34</v>
      </c>
      <c r="J1224" t="s">
        <v>46</v>
      </c>
      <c r="K1224" t="s">
        <v>41</v>
      </c>
      <c r="L1224" t="s">
        <v>6430</v>
      </c>
      <c r="M1224" t="s">
        <v>6431</v>
      </c>
      <c r="N1224" t="s">
        <v>4904</v>
      </c>
      <c r="O1224" t="s">
        <v>91</v>
      </c>
      <c r="P1224" t="s">
        <v>6432</v>
      </c>
      <c r="Q1224" s="14" t="s">
        <v>70</v>
      </c>
      <c r="R1224" t="s">
        <v>6427</v>
      </c>
      <c r="S1224">
        <v>0.5</v>
      </c>
      <c r="T1224">
        <v>4067</v>
      </c>
      <c r="U1224">
        <v>0</v>
      </c>
      <c r="V1224">
        <v>4067</v>
      </c>
    </row>
    <row r="1225" spans="1:22" x14ac:dyDescent="0.3">
      <c r="A1225">
        <v>186607</v>
      </c>
      <c r="B1225">
        <v>134628002</v>
      </c>
      <c r="C1225" t="s">
        <v>6433</v>
      </c>
      <c r="D1225" t="s">
        <v>6434</v>
      </c>
      <c r="E1225" t="s">
        <v>4901</v>
      </c>
      <c r="F1225" t="s">
        <v>491</v>
      </c>
      <c r="G1225" t="s">
        <v>44</v>
      </c>
      <c r="H1225" t="s">
        <v>45</v>
      </c>
      <c r="I1225" t="s">
        <v>34</v>
      </c>
      <c r="J1225" t="s">
        <v>46</v>
      </c>
      <c r="K1225" t="s">
        <v>41</v>
      </c>
      <c r="L1225" t="s">
        <v>6435</v>
      </c>
      <c r="M1225" t="s">
        <v>6436</v>
      </c>
      <c r="N1225" t="s">
        <v>4904</v>
      </c>
      <c r="O1225" t="s">
        <v>91</v>
      </c>
      <c r="P1225" t="s">
        <v>6437</v>
      </c>
      <c r="Q1225" s="14" t="s">
        <v>178</v>
      </c>
      <c r="R1225" t="s">
        <v>6438</v>
      </c>
      <c r="S1225">
        <v>0.5</v>
      </c>
      <c r="T1225">
        <v>4067</v>
      </c>
      <c r="U1225">
        <v>0</v>
      </c>
      <c r="V1225">
        <v>4067</v>
      </c>
    </row>
    <row r="1226" spans="1:22" x14ac:dyDescent="0.3">
      <c r="A1226">
        <v>186607</v>
      </c>
      <c r="B1226">
        <v>134425662</v>
      </c>
      <c r="C1226" t="s">
        <v>6439</v>
      </c>
      <c r="D1226" t="s">
        <v>6440</v>
      </c>
      <c r="E1226" t="s">
        <v>4901</v>
      </c>
      <c r="F1226" t="s">
        <v>491</v>
      </c>
      <c r="G1226" t="s">
        <v>44</v>
      </c>
      <c r="H1226" t="s">
        <v>45</v>
      </c>
      <c r="I1226" t="s">
        <v>34</v>
      </c>
      <c r="J1226" t="s">
        <v>46</v>
      </c>
      <c r="K1226" t="s">
        <v>41</v>
      </c>
      <c r="L1226" t="s">
        <v>6441</v>
      </c>
      <c r="M1226" t="s">
        <v>6442</v>
      </c>
      <c r="N1226" t="s">
        <v>4904</v>
      </c>
      <c r="O1226" t="s">
        <v>91</v>
      </c>
      <c r="P1226" t="s">
        <v>6443</v>
      </c>
      <c r="Q1226" s="14" t="s">
        <v>100</v>
      </c>
      <c r="R1226" t="s">
        <v>6444</v>
      </c>
      <c r="S1226">
        <v>3.02</v>
      </c>
      <c r="T1226">
        <v>8008</v>
      </c>
      <c r="U1226">
        <v>0</v>
      </c>
      <c r="V1226">
        <v>8008</v>
      </c>
    </row>
    <row r="1227" spans="1:22" x14ac:dyDescent="0.3">
      <c r="A1227">
        <v>186607</v>
      </c>
      <c r="B1227">
        <v>134615267</v>
      </c>
      <c r="C1227" t="s">
        <v>6445</v>
      </c>
      <c r="D1227" t="s">
        <v>6446</v>
      </c>
      <c r="E1227" t="s">
        <v>4901</v>
      </c>
      <c r="F1227" t="s">
        <v>491</v>
      </c>
      <c r="G1227" t="s">
        <v>44</v>
      </c>
      <c r="H1227" t="s">
        <v>45</v>
      </c>
      <c r="I1227" t="s">
        <v>34</v>
      </c>
      <c r="J1227" t="s">
        <v>46</v>
      </c>
      <c r="K1227" t="s">
        <v>41</v>
      </c>
      <c r="L1227" t="s">
        <v>6447</v>
      </c>
      <c r="M1227" t="s">
        <v>6448</v>
      </c>
      <c r="N1227" t="s">
        <v>4904</v>
      </c>
      <c r="O1227" t="s">
        <v>91</v>
      </c>
      <c r="P1227" t="s">
        <v>6449</v>
      </c>
      <c r="Q1227" s="14" t="s">
        <v>95</v>
      </c>
      <c r="R1227" t="s">
        <v>1699</v>
      </c>
      <c r="S1227">
        <v>0.5</v>
      </c>
      <c r="T1227">
        <v>3680</v>
      </c>
      <c r="U1227">
        <v>0</v>
      </c>
      <c r="V1227">
        <v>3680</v>
      </c>
    </row>
    <row r="1228" spans="1:22" x14ac:dyDescent="0.3">
      <c r="A1228">
        <v>186607</v>
      </c>
      <c r="B1228">
        <v>134588828</v>
      </c>
      <c r="C1228" t="s">
        <v>6450</v>
      </c>
      <c r="D1228" t="s">
        <v>6451</v>
      </c>
      <c r="E1228" t="s">
        <v>4901</v>
      </c>
      <c r="F1228" t="s">
        <v>491</v>
      </c>
      <c r="G1228" t="s">
        <v>44</v>
      </c>
      <c r="H1228" t="s">
        <v>45</v>
      </c>
      <c r="I1228" t="s">
        <v>34</v>
      </c>
      <c r="J1228" t="s">
        <v>46</v>
      </c>
      <c r="K1228" t="s">
        <v>41</v>
      </c>
      <c r="L1228" t="s">
        <v>6452</v>
      </c>
      <c r="M1228" t="s">
        <v>6453</v>
      </c>
      <c r="N1228" t="s">
        <v>4904</v>
      </c>
      <c r="O1228" t="s">
        <v>91</v>
      </c>
      <c r="P1228" t="s">
        <v>6454</v>
      </c>
      <c r="Q1228" s="14" t="s">
        <v>109</v>
      </c>
      <c r="R1228" t="s">
        <v>351</v>
      </c>
      <c r="S1228">
        <v>0.5</v>
      </c>
      <c r="T1228">
        <v>3449</v>
      </c>
      <c r="U1228">
        <v>0</v>
      </c>
      <c r="V1228">
        <v>3449</v>
      </c>
    </row>
    <row r="1229" spans="1:22" x14ac:dyDescent="0.3">
      <c r="A1229">
        <v>186607</v>
      </c>
      <c r="B1229">
        <v>134588853</v>
      </c>
      <c r="C1229" t="s">
        <v>6455</v>
      </c>
      <c r="D1229" t="s">
        <v>6456</v>
      </c>
      <c r="E1229" t="s">
        <v>4901</v>
      </c>
      <c r="F1229" t="s">
        <v>491</v>
      </c>
      <c r="G1229" t="s">
        <v>44</v>
      </c>
      <c r="H1229" t="s">
        <v>45</v>
      </c>
      <c r="I1229" t="s">
        <v>34</v>
      </c>
      <c r="J1229" t="s">
        <v>46</v>
      </c>
      <c r="K1229" t="s">
        <v>41</v>
      </c>
      <c r="L1229" t="s">
        <v>6457</v>
      </c>
      <c r="M1229" t="s">
        <v>6458</v>
      </c>
      <c r="N1229" t="s">
        <v>4904</v>
      </c>
      <c r="O1229" t="s">
        <v>91</v>
      </c>
      <c r="P1229" t="s">
        <v>6459</v>
      </c>
      <c r="Q1229" s="14" t="s">
        <v>70</v>
      </c>
      <c r="R1229" t="s">
        <v>351</v>
      </c>
      <c r="S1229">
        <v>4.4800000000000004</v>
      </c>
      <c r="T1229">
        <v>7484</v>
      </c>
      <c r="U1229">
        <v>0</v>
      </c>
      <c r="V1229">
        <v>7484</v>
      </c>
    </row>
    <row r="1230" spans="1:22" x14ac:dyDescent="0.3">
      <c r="A1230">
        <v>186607</v>
      </c>
      <c r="B1230">
        <v>134628000</v>
      </c>
      <c r="C1230" t="s">
        <v>6460</v>
      </c>
      <c r="D1230" t="s">
        <v>6461</v>
      </c>
      <c r="E1230" t="s">
        <v>4901</v>
      </c>
      <c r="F1230" t="s">
        <v>491</v>
      </c>
      <c r="G1230" t="s">
        <v>44</v>
      </c>
      <c r="H1230" t="s">
        <v>45</v>
      </c>
      <c r="I1230" t="s">
        <v>34</v>
      </c>
      <c r="J1230" t="s">
        <v>46</v>
      </c>
      <c r="K1230" t="s">
        <v>41</v>
      </c>
      <c r="L1230" t="s">
        <v>6462</v>
      </c>
      <c r="M1230" t="s">
        <v>6463</v>
      </c>
      <c r="N1230" t="s">
        <v>4904</v>
      </c>
      <c r="O1230" t="s">
        <v>91</v>
      </c>
      <c r="P1230" t="s">
        <v>6464</v>
      </c>
      <c r="Q1230" s="14" t="s">
        <v>70</v>
      </c>
      <c r="R1230" t="s">
        <v>6438</v>
      </c>
      <c r="S1230">
        <v>0.5</v>
      </c>
      <c r="T1230">
        <v>4067</v>
      </c>
      <c r="U1230">
        <v>0</v>
      </c>
      <c r="V1230">
        <v>4067</v>
      </c>
    </row>
    <row r="1231" spans="1:22" x14ac:dyDescent="0.3">
      <c r="A1231">
        <v>186607</v>
      </c>
      <c r="B1231">
        <v>134615264</v>
      </c>
      <c r="C1231" t="s">
        <v>6465</v>
      </c>
      <c r="D1231" t="s">
        <v>6466</v>
      </c>
      <c r="E1231" t="s">
        <v>4901</v>
      </c>
      <c r="F1231" t="s">
        <v>491</v>
      </c>
      <c r="G1231" t="s">
        <v>44</v>
      </c>
      <c r="H1231" t="s">
        <v>45</v>
      </c>
      <c r="I1231" t="s">
        <v>34</v>
      </c>
      <c r="J1231" t="s">
        <v>46</v>
      </c>
      <c r="K1231" t="s">
        <v>41</v>
      </c>
      <c r="L1231" t="s">
        <v>6467</v>
      </c>
      <c r="M1231" t="s">
        <v>6468</v>
      </c>
      <c r="N1231" t="s">
        <v>4904</v>
      </c>
      <c r="O1231" t="s">
        <v>91</v>
      </c>
      <c r="P1231" t="s">
        <v>6469</v>
      </c>
      <c r="Q1231" s="14" t="s">
        <v>70</v>
      </c>
      <c r="R1231" t="s">
        <v>1699</v>
      </c>
      <c r="S1231">
        <v>0.5</v>
      </c>
      <c r="T1231">
        <v>4067</v>
      </c>
      <c r="U1231">
        <v>0</v>
      </c>
      <c r="V1231">
        <v>4067</v>
      </c>
    </row>
    <row r="1232" spans="1:22" x14ac:dyDescent="0.3">
      <c r="A1232">
        <v>186607</v>
      </c>
      <c r="B1232">
        <v>134358329</v>
      </c>
      <c r="C1232" t="s">
        <v>6470</v>
      </c>
      <c r="D1232" t="s">
        <v>6471</v>
      </c>
      <c r="E1232" t="s">
        <v>4901</v>
      </c>
      <c r="F1232" t="s">
        <v>491</v>
      </c>
      <c r="G1232" t="s">
        <v>44</v>
      </c>
      <c r="H1232" t="s">
        <v>45</v>
      </c>
      <c r="I1232" t="s">
        <v>34</v>
      </c>
      <c r="J1232" t="s">
        <v>46</v>
      </c>
      <c r="K1232" t="s">
        <v>41</v>
      </c>
      <c r="L1232" t="s">
        <v>6472</v>
      </c>
      <c r="M1232" t="s">
        <v>6473</v>
      </c>
      <c r="N1232" t="s">
        <v>4904</v>
      </c>
      <c r="O1232" t="s">
        <v>91</v>
      </c>
      <c r="P1232" t="s">
        <v>6474</v>
      </c>
      <c r="Q1232" s="14" t="s">
        <v>100</v>
      </c>
      <c r="R1232" t="s">
        <v>6127</v>
      </c>
      <c r="S1232">
        <v>1.65</v>
      </c>
      <c r="T1232">
        <v>5759</v>
      </c>
      <c r="U1232">
        <v>0</v>
      </c>
      <c r="V1232">
        <v>5759</v>
      </c>
    </row>
    <row r="1233" spans="1:22" x14ac:dyDescent="0.3">
      <c r="A1233">
        <v>186607</v>
      </c>
      <c r="B1233">
        <v>134615263</v>
      </c>
      <c r="C1233" t="s">
        <v>6475</v>
      </c>
      <c r="D1233" t="s">
        <v>6476</v>
      </c>
      <c r="E1233" t="s">
        <v>4901</v>
      </c>
      <c r="F1233" t="s">
        <v>491</v>
      </c>
      <c r="G1233" t="s">
        <v>44</v>
      </c>
      <c r="H1233" t="s">
        <v>45</v>
      </c>
      <c r="I1233" t="s">
        <v>34</v>
      </c>
      <c r="J1233" t="s">
        <v>46</v>
      </c>
      <c r="K1233" t="s">
        <v>41</v>
      </c>
      <c r="L1233" t="s">
        <v>6477</v>
      </c>
      <c r="M1233" t="s">
        <v>6478</v>
      </c>
      <c r="N1233" t="s">
        <v>4904</v>
      </c>
      <c r="O1233" t="s">
        <v>91</v>
      </c>
      <c r="P1233" t="s">
        <v>6479</v>
      </c>
      <c r="Q1233" s="14" t="s">
        <v>83</v>
      </c>
      <c r="R1233" t="s">
        <v>1699</v>
      </c>
      <c r="S1233">
        <v>2.2599999999999998</v>
      </c>
      <c r="T1233">
        <v>3366</v>
      </c>
      <c r="U1233">
        <v>0</v>
      </c>
      <c r="V1233">
        <v>3366</v>
      </c>
    </row>
    <row r="1234" spans="1:22" x14ac:dyDescent="0.3">
      <c r="A1234">
        <v>186607</v>
      </c>
      <c r="B1234">
        <v>134628001</v>
      </c>
      <c r="C1234" t="s">
        <v>6480</v>
      </c>
      <c r="D1234" t="s">
        <v>6481</v>
      </c>
      <c r="E1234" t="s">
        <v>4901</v>
      </c>
      <c r="F1234" t="s">
        <v>491</v>
      </c>
      <c r="G1234" t="s">
        <v>44</v>
      </c>
      <c r="H1234" t="s">
        <v>45</v>
      </c>
      <c r="I1234" t="s">
        <v>34</v>
      </c>
      <c r="J1234" t="s">
        <v>46</v>
      </c>
      <c r="K1234" t="s">
        <v>41</v>
      </c>
      <c r="L1234" t="s">
        <v>6482</v>
      </c>
      <c r="M1234" t="s">
        <v>6483</v>
      </c>
      <c r="N1234" t="s">
        <v>4904</v>
      </c>
      <c r="O1234" t="s">
        <v>91</v>
      </c>
      <c r="P1234" t="s">
        <v>6484</v>
      </c>
      <c r="Q1234" s="14" t="s">
        <v>109</v>
      </c>
      <c r="R1234" t="s">
        <v>6438</v>
      </c>
      <c r="S1234">
        <v>1.98</v>
      </c>
      <c r="T1234">
        <v>3784</v>
      </c>
      <c r="U1234">
        <v>0</v>
      </c>
      <c r="V1234">
        <v>3784</v>
      </c>
    </row>
    <row r="1235" spans="1:22" x14ac:dyDescent="0.3">
      <c r="A1235">
        <v>186607</v>
      </c>
      <c r="B1235">
        <v>134393775</v>
      </c>
      <c r="C1235" t="s">
        <v>6485</v>
      </c>
      <c r="D1235" t="s">
        <v>6486</v>
      </c>
      <c r="E1235" t="s">
        <v>4901</v>
      </c>
      <c r="F1235" t="s">
        <v>491</v>
      </c>
      <c r="G1235" t="s">
        <v>44</v>
      </c>
      <c r="H1235" t="s">
        <v>45</v>
      </c>
      <c r="I1235" t="s">
        <v>34</v>
      </c>
      <c r="J1235" t="s">
        <v>46</v>
      </c>
      <c r="K1235" t="s">
        <v>41</v>
      </c>
      <c r="L1235" t="s">
        <v>6487</v>
      </c>
      <c r="M1235" t="s">
        <v>6488</v>
      </c>
      <c r="N1235" t="s">
        <v>4904</v>
      </c>
      <c r="O1235" t="s">
        <v>91</v>
      </c>
      <c r="P1235" t="s">
        <v>6489</v>
      </c>
      <c r="Q1235" s="14" t="s">
        <v>149</v>
      </c>
      <c r="R1235" t="s">
        <v>6490</v>
      </c>
      <c r="S1235">
        <v>3.53</v>
      </c>
      <c r="T1235">
        <v>8008</v>
      </c>
      <c r="U1235">
        <v>0</v>
      </c>
      <c r="V1235">
        <v>8008</v>
      </c>
    </row>
    <row r="1236" spans="1:22" x14ac:dyDescent="0.3">
      <c r="A1236">
        <v>186607</v>
      </c>
      <c r="B1236">
        <v>134627998</v>
      </c>
      <c r="C1236" t="s">
        <v>6491</v>
      </c>
      <c r="D1236" t="s">
        <v>6492</v>
      </c>
      <c r="E1236" t="s">
        <v>4901</v>
      </c>
      <c r="F1236" t="s">
        <v>491</v>
      </c>
      <c r="G1236" t="s">
        <v>44</v>
      </c>
      <c r="H1236" t="s">
        <v>45</v>
      </c>
      <c r="I1236" t="s">
        <v>34</v>
      </c>
      <c r="J1236" t="s">
        <v>46</v>
      </c>
      <c r="K1236" t="s">
        <v>41</v>
      </c>
      <c r="L1236" t="s">
        <v>6493</v>
      </c>
      <c r="M1236" t="s">
        <v>6494</v>
      </c>
      <c r="N1236" t="s">
        <v>4904</v>
      </c>
      <c r="O1236" t="s">
        <v>91</v>
      </c>
      <c r="P1236" t="s">
        <v>6495</v>
      </c>
      <c r="Q1236" s="14" t="s">
        <v>93</v>
      </c>
      <c r="R1236" t="s">
        <v>6438</v>
      </c>
      <c r="S1236">
        <v>0.5</v>
      </c>
      <c r="T1236">
        <v>3680</v>
      </c>
      <c r="U1236">
        <v>0</v>
      </c>
      <c r="V1236">
        <v>3680</v>
      </c>
    </row>
    <row r="1237" spans="1:22" x14ac:dyDescent="0.3">
      <c r="A1237">
        <v>186607</v>
      </c>
      <c r="B1237">
        <v>134627999</v>
      </c>
      <c r="C1237" t="s">
        <v>6496</v>
      </c>
      <c r="D1237" t="s">
        <v>6497</v>
      </c>
      <c r="E1237" t="s">
        <v>4901</v>
      </c>
      <c r="F1237" t="s">
        <v>491</v>
      </c>
      <c r="G1237" t="s">
        <v>44</v>
      </c>
      <c r="H1237" t="s">
        <v>45</v>
      </c>
      <c r="I1237" t="s">
        <v>34</v>
      </c>
      <c r="J1237" t="s">
        <v>46</v>
      </c>
      <c r="K1237" t="s">
        <v>41</v>
      </c>
      <c r="L1237" t="s">
        <v>6498</v>
      </c>
      <c r="M1237" t="s">
        <v>6499</v>
      </c>
      <c r="N1237" t="s">
        <v>4904</v>
      </c>
      <c r="O1237" t="s">
        <v>91</v>
      </c>
      <c r="P1237" t="s">
        <v>6500</v>
      </c>
      <c r="Q1237" s="14" t="s">
        <v>83</v>
      </c>
      <c r="R1237" t="s">
        <v>6438</v>
      </c>
      <c r="S1237">
        <v>2.25</v>
      </c>
      <c r="T1237">
        <v>3366</v>
      </c>
      <c r="U1237">
        <v>0</v>
      </c>
      <c r="V1237">
        <v>3366</v>
      </c>
    </row>
    <row r="1238" spans="1:22" x14ac:dyDescent="0.3">
      <c r="A1238">
        <v>186607</v>
      </c>
      <c r="B1238">
        <v>134615259</v>
      </c>
      <c r="C1238" t="s">
        <v>6501</v>
      </c>
      <c r="D1238" t="s">
        <v>6502</v>
      </c>
      <c r="E1238" t="s">
        <v>4901</v>
      </c>
      <c r="F1238" t="s">
        <v>491</v>
      </c>
      <c r="G1238" t="s">
        <v>44</v>
      </c>
      <c r="H1238" t="s">
        <v>45</v>
      </c>
      <c r="I1238" t="s">
        <v>34</v>
      </c>
      <c r="J1238" t="s">
        <v>46</v>
      </c>
      <c r="K1238" t="s">
        <v>41</v>
      </c>
      <c r="L1238" t="s">
        <v>6503</v>
      </c>
      <c r="M1238" t="s">
        <v>6504</v>
      </c>
      <c r="N1238" t="s">
        <v>4904</v>
      </c>
      <c r="O1238" t="s">
        <v>91</v>
      </c>
      <c r="P1238" t="s">
        <v>6505</v>
      </c>
      <c r="Q1238" s="14" t="s">
        <v>163</v>
      </c>
      <c r="R1238" t="s">
        <v>1699</v>
      </c>
      <c r="S1238">
        <v>0.5</v>
      </c>
      <c r="T1238">
        <v>3680</v>
      </c>
      <c r="U1238">
        <v>0</v>
      </c>
      <c r="V1238">
        <v>3680</v>
      </c>
    </row>
    <row r="1239" spans="1:22" x14ac:dyDescent="0.3">
      <c r="A1239">
        <v>186607</v>
      </c>
      <c r="B1239">
        <v>134218739</v>
      </c>
      <c r="C1239" t="s">
        <v>6506</v>
      </c>
      <c r="D1239" t="s">
        <v>6507</v>
      </c>
      <c r="E1239" t="s">
        <v>4901</v>
      </c>
      <c r="F1239" t="s">
        <v>491</v>
      </c>
      <c r="G1239" t="s">
        <v>44</v>
      </c>
      <c r="H1239" t="s">
        <v>45</v>
      </c>
      <c r="I1239" t="s">
        <v>34</v>
      </c>
      <c r="J1239" t="s">
        <v>46</v>
      </c>
      <c r="K1239" t="s">
        <v>41</v>
      </c>
      <c r="L1239" t="s">
        <v>6508</v>
      </c>
      <c r="M1239" t="s">
        <v>6509</v>
      </c>
      <c r="N1239" t="s">
        <v>4904</v>
      </c>
      <c r="O1239" t="s">
        <v>91</v>
      </c>
      <c r="P1239" t="s">
        <v>6510</v>
      </c>
      <c r="Q1239" s="14" t="s">
        <v>199</v>
      </c>
      <c r="R1239" t="s">
        <v>6511</v>
      </c>
      <c r="S1239">
        <v>1.29</v>
      </c>
      <c r="T1239">
        <v>5759</v>
      </c>
      <c r="U1239">
        <v>0</v>
      </c>
      <c r="V1239">
        <v>5759</v>
      </c>
    </row>
    <row r="1240" spans="1:22" x14ac:dyDescent="0.3">
      <c r="A1240">
        <v>186607</v>
      </c>
      <c r="B1240">
        <v>134615273</v>
      </c>
      <c r="C1240" t="s">
        <v>6512</v>
      </c>
      <c r="D1240" t="s">
        <v>6513</v>
      </c>
      <c r="E1240" t="s">
        <v>4901</v>
      </c>
      <c r="F1240" t="s">
        <v>491</v>
      </c>
      <c r="G1240" t="s">
        <v>44</v>
      </c>
      <c r="H1240" t="s">
        <v>45</v>
      </c>
      <c r="I1240" t="s">
        <v>34</v>
      </c>
      <c r="J1240" t="s">
        <v>46</v>
      </c>
      <c r="K1240" t="s">
        <v>41</v>
      </c>
      <c r="L1240" t="s">
        <v>6514</v>
      </c>
      <c r="M1240" t="s">
        <v>6515</v>
      </c>
      <c r="N1240" t="s">
        <v>4904</v>
      </c>
      <c r="O1240" t="s">
        <v>91</v>
      </c>
      <c r="P1240" t="s">
        <v>6516</v>
      </c>
      <c r="Q1240" s="14" t="s">
        <v>93</v>
      </c>
      <c r="R1240" t="s">
        <v>6427</v>
      </c>
      <c r="S1240">
        <v>0.5</v>
      </c>
      <c r="T1240">
        <v>3680</v>
      </c>
      <c r="U1240">
        <v>0</v>
      </c>
      <c r="V1240">
        <v>3680</v>
      </c>
    </row>
    <row r="1241" spans="1:22" x14ac:dyDescent="0.3">
      <c r="A1241">
        <v>186607</v>
      </c>
      <c r="B1241">
        <v>134239722</v>
      </c>
      <c r="C1241" t="s">
        <v>6517</v>
      </c>
      <c r="D1241" t="s">
        <v>6518</v>
      </c>
      <c r="E1241" t="s">
        <v>4901</v>
      </c>
      <c r="F1241" t="s">
        <v>491</v>
      </c>
      <c r="G1241" t="s">
        <v>44</v>
      </c>
      <c r="H1241" t="s">
        <v>45</v>
      </c>
      <c r="I1241" t="s">
        <v>34</v>
      </c>
      <c r="J1241" t="s">
        <v>46</v>
      </c>
      <c r="K1241" t="s">
        <v>41</v>
      </c>
      <c r="L1241" t="s">
        <v>6519</v>
      </c>
      <c r="M1241" t="s">
        <v>6520</v>
      </c>
      <c r="N1241" t="s">
        <v>4904</v>
      </c>
      <c r="O1241" t="s">
        <v>91</v>
      </c>
      <c r="P1241" t="s">
        <v>6521</v>
      </c>
      <c r="Q1241" s="14" t="s">
        <v>199</v>
      </c>
      <c r="R1241" t="s">
        <v>6522</v>
      </c>
      <c r="S1241">
        <v>1</v>
      </c>
      <c r="T1241">
        <v>5759</v>
      </c>
      <c r="U1241">
        <v>0</v>
      </c>
      <c r="V1241">
        <v>5759</v>
      </c>
    </row>
    <row r="1242" spans="1:22" x14ac:dyDescent="0.3">
      <c r="A1242">
        <v>186607</v>
      </c>
      <c r="B1242">
        <v>134446791</v>
      </c>
      <c r="C1242" t="s">
        <v>6523</v>
      </c>
      <c r="D1242" t="s">
        <v>6524</v>
      </c>
      <c r="E1242" t="s">
        <v>4901</v>
      </c>
      <c r="F1242" t="s">
        <v>491</v>
      </c>
      <c r="G1242" t="s">
        <v>44</v>
      </c>
      <c r="H1242" t="s">
        <v>45</v>
      </c>
      <c r="I1242" t="s">
        <v>34</v>
      </c>
      <c r="J1242" t="s">
        <v>46</v>
      </c>
      <c r="K1242" t="s">
        <v>41</v>
      </c>
      <c r="L1242" t="s">
        <v>6525</v>
      </c>
      <c r="M1242" t="s">
        <v>6526</v>
      </c>
      <c r="N1242" t="s">
        <v>4904</v>
      </c>
      <c r="O1242" t="s">
        <v>91</v>
      </c>
      <c r="P1242" t="s">
        <v>6527</v>
      </c>
      <c r="Q1242" s="14" t="s">
        <v>149</v>
      </c>
      <c r="R1242" t="s">
        <v>6045</v>
      </c>
      <c r="S1242">
        <v>0.5</v>
      </c>
      <c r="T1242">
        <v>5367</v>
      </c>
      <c r="U1242">
        <v>0</v>
      </c>
      <c r="V1242">
        <v>5367</v>
      </c>
    </row>
    <row r="1243" spans="1:22" x14ac:dyDescent="0.3">
      <c r="A1243">
        <v>186607</v>
      </c>
      <c r="B1243">
        <v>134382842</v>
      </c>
      <c r="C1243" t="s">
        <v>6528</v>
      </c>
      <c r="D1243" t="s">
        <v>6529</v>
      </c>
      <c r="E1243" t="s">
        <v>4901</v>
      </c>
      <c r="F1243" t="s">
        <v>491</v>
      </c>
      <c r="G1243" t="s">
        <v>44</v>
      </c>
      <c r="H1243" t="s">
        <v>45</v>
      </c>
      <c r="I1243" t="s">
        <v>34</v>
      </c>
      <c r="J1243" t="s">
        <v>46</v>
      </c>
      <c r="K1243" t="s">
        <v>41</v>
      </c>
      <c r="L1243" t="s">
        <v>6530</v>
      </c>
      <c r="M1243" t="s">
        <v>6531</v>
      </c>
      <c r="N1243" t="s">
        <v>4904</v>
      </c>
      <c r="O1243" t="s">
        <v>91</v>
      </c>
      <c r="P1243" t="s">
        <v>6532</v>
      </c>
      <c r="Q1243" s="14" t="s">
        <v>149</v>
      </c>
      <c r="R1243" t="s">
        <v>6533</v>
      </c>
      <c r="S1243">
        <v>0.5</v>
      </c>
      <c r="T1243">
        <v>5367</v>
      </c>
      <c r="U1243">
        <v>0</v>
      </c>
      <c r="V1243">
        <v>5367</v>
      </c>
    </row>
    <row r="1244" spans="1:22" x14ac:dyDescent="0.3">
      <c r="A1244">
        <v>186607</v>
      </c>
      <c r="B1244">
        <v>135712156</v>
      </c>
      <c r="C1244" t="s">
        <v>6534</v>
      </c>
      <c r="D1244" t="s">
        <v>6535</v>
      </c>
      <c r="E1244" t="s">
        <v>4901</v>
      </c>
      <c r="F1244" t="s">
        <v>491</v>
      </c>
      <c r="G1244" t="s">
        <v>104</v>
      </c>
      <c r="H1244" t="s">
        <v>105</v>
      </c>
      <c r="I1244" t="s">
        <v>34</v>
      </c>
      <c r="J1244" t="s">
        <v>106</v>
      </c>
      <c r="K1244" t="s">
        <v>41</v>
      </c>
      <c r="L1244" t="s">
        <v>6536</v>
      </c>
      <c r="M1244" t="s">
        <v>6537</v>
      </c>
      <c r="N1244" t="s">
        <v>4904</v>
      </c>
      <c r="O1244" t="s">
        <v>91</v>
      </c>
      <c r="P1244" t="s">
        <v>6538</v>
      </c>
      <c r="Q1244" s="14" t="s">
        <v>165</v>
      </c>
      <c r="R1244" t="s">
        <v>6539</v>
      </c>
      <c r="S1244">
        <v>0.8</v>
      </c>
      <c r="T1244">
        <v>4481</v>
      </c>
      <c r="U1244">
        <v>124.95</v>
      </c>
      <c r="V1244">
        <v>4605.95</v>
      </c>
    </row>
    <row r="1245" spans="1:22" x14ac:dyDescent="0.3">
      <c r="A1245">
        <v>186607</v>
      </c>
      <c r="B1245">
        <v>135711892</v>
      </c>
      <c r="C1245" t="s">
        <v>6540</v>
      </c>
      <c r="D1245" t="s">
        <v>6541</v>
      </c>
      <c r="E1245" t="s">
        <v>4901</v>
      </c>
      <c r="F1245" t="s">
        <v>491</v>
      </c>
      <c r="G1245" t="s">
        <v>104</v>
      </c>
      <c r="H1245" t="s">
        <v>105</v>
      </c>
      <c r="I1245" t="s">
        <v>34</v>
      </c>
      <c r="J1245" t="s">
        <v>106</v>
      </c>
      <c r="K1245" t="s">
        <v>41</v>
      </c>
      <c r="L1245" t="s">
        <v>6542</v>
      </c>
      <c r="M1245" t="s">
        <v>6543</v>
      </c>
      <c r="N1245" t="s">
        <v>4904</v>
      </c>
      <c r="O1245" t="s">
        <v>91</v>
      </c>
      <c r="P1245" t="s">
        <v>6544</v>
      </c>
      <c r="Q1245" s="14" t="s">
        <v>76</v>
      </c>
      <c r="R1245" t="s">
        <v>6545</v>
      </c>
      <c r="S1245">
        <v>1.29</v>
      </c>
      <c r="T1245">
        <v>6115</v>
      </c>
      <c r="U1245">
        <v>249.9</v>
      </c>
      <c r="V1245">
        <v>6364.9</v>
      </c>
    </row>
    <row r="1246" spans="1:22" x14ac:dyDescent="0.3">
      <c r="A1246">
        <v>186607</v>
      </c>
      <c r="B1246">
        <v>135711976</v>
      </c>
      <c r="C1246" t="s">
        <v>6546</v>
      </c>
      <c r="D1246" t="s">
        <v>6547</v>
      </c>
      <c r="E1246" t="s">
        <v>4901</v>
      </c>
      <c r="F1246" t="s">
        <v>491</v>
      </c>
      <c r="G1246" t="s">
        <v>104</v>
      </c>
      <c r="H1246" t="s">
        <v>105</v>
      </c>
      <c r="I1246" t="s">
        <v>34</v>
      </c>
      <c r="J1246" t="s">
        <v>106</v>
      </c>
      <c r="K1246" t="s">
        <v>41</v>
      </c>
      <c r="L1246" t="s">
        <v>6548</v>
      </c>
      <c r="M1246" t="s">
        <v>6549</v>
      </c>
      <c r="N1246" t="s">
        <v>4904</v>
      </c>
      <c r="O1246" t="s">
        <v>91</v>
      </c>
      <c r="P1246" t="s">
        <v>6550</v>
      </c>
      <c r="Q1246" s="14" t="s">
        <v>176</v>
      </c>
      <c r="R1246" t="s">
        <v>6539</v>
      </c>
      <c r="S1246">
        <v>2</v>
      </c>
      <c r="T1246">
        <v>8624</v>
      </c>
      <c r="U1246">
        <v>374.85</v>
      </c>
      <c r="V1246">
        <v>8998.85</v>
      </c>
    </row>
    <row r="1247" spans="1:22" x14ac:dyDescent="0.3">
      <c r="A1247">
        <v>186607</v>
      </c>
      <c r="B1247">
        <v>135606149</v>
      </c>
      <c r="C1247" t="s">
        <v>6551</v>
      </c>
      <c r="D1247" t="s">
        <v>6552</v>
      </c>
      <c r="E1247" t="s">
        <v>4901</v>
      </c>
      <c r="F1247" t="s">
        <v>491</v>
      </c>
      <c r="G1247" t="s">
        <v>104</v>
      </c>
      <c r="H1247" t="s">
        <v>105</v>
      </c>
      <c r="I1247" t="s">
        <v>34</v>
      </c>
      <c r="J1247" t="s">
        <v>106</v>
      </c>
      <c r="K1247" t="s">
        <v>41</v>
      </c>
      <c r="L1247" t="s">
        <v>6553</v>
      </c>
      <c r="M1247" t="s">
        <v>6537</v>
      </c>
      <c r="N1247" t="s">
        <v>4904</v>
      </c>
      <c r="O1247" t="s">
        <v>91</v>
      </c>
      <c r="P1247" t="s">
        <v>6554</v>
      </c>
      <c r="Q1247" s="14" t="s">
        <v>165</v>
      </c>
      <c r="R1247" t="s">
        <v>6555</v>
      </c>
      <c r="S1247">
        <v>1.52</v>
      </c>
      <c r="T1247">
        <v>4738</v>
      </c>
      <c r="U1247">
        <v>249.9</v>
      </c>
      <c r="V1247">
        <v>4987.8999999999996</v>
      </c>
    </row>
    <row r="1248" spans="1:22" x14ac:dyDescent="0.3">
      <c r="A1248">
        <v>186607</v>
      </c>
      <c r="B1248">
        <v>135606162</v>
      </c>
      <c r="C1248" t="s">
        <v>6556</v>
      </c>
      <c r="D1248" t="s">
        <v>6557</v>
      </c>
      <c r="E1248" t="s">
        <v>4901</v>
      </c>
      <c r="F1248" t="s">
        <v>491</v>
      </c>
      <c r="G1248" t="s">
        <v>104</v>
      </c>
      <c r="H1248" t="s">
        <v>105</v>
      </c>
      <c r="I1248" t="s">
        <v>34</v>
      </c>
      <c r="J1248" t="s">
        <v>106</v>
      </c>
      <c r="K1248" t="s">
        <v>41</v>
      </c>
      <c r="L1248" t="s">
        <v>6558</v>
      </c>
      <c r="M1248" t="s">
        <v>6559</v>
      </c>
      <c r="N1248" t="s">
        <v>4904</v>
      </c>
      <c r="O1248" t="s">
        <v>91</v>
      </c>
      <c r="P1248" t="s">
        <v>6560</v>
      </c>
      <c r="Q1248" s="14" t="s">
        <v>231</v>
      </c>
      <c r="R1248" t="s">
        <v>6555</v>
      </c>
      <c r="S1248">
        <v>0.82</v>
      </c>
      <c r="T1248">
        <v>9840</v>
      </c>
      <c r="U1248">
        <v>124.95</v>
      </c>
      <c r="V1248">
        <v>9964.9500000000007</v>
      </c>
    </row>
    <row r="1249" spans="1:22" x14ac:dyDescent="0.3">
      <c r="A1249">
        <v>186607</v>
      </c>
      <c r="B1249">
        <v>135628524</v>
      </c>
      <c r="C1249" t="s">
        <v>6561</v>
      </c>
      <c r="D1249" t="s">
        <v>6562</v>
      </c>
      <c r="E1249" t="s">
        <v>4901</v>
      </c>
      <c r="F1249" t="s">
        <v>491</v>
      </c>
      <c r="G1249" t="s">
        <v>104</v>
      </c>
      <c r="H1249" t="s">
        <v>105</v>
      </c>
      <c r="I1249" t="s">
        <v>34</v>
      </c>
      <c r="J1249" t="s">
        <v>106</v>
      </c>
      <c r="K1249" t="s">
        <v>41</v>
      </c>
      <c r="L1249" t="s">
        <v>6563</v>
      </c>
      <c r="M1249" t="s">
        <v>6564</v>
      </c>
      <c r="N1249" t="s">
        <v>4904</v>
      </c>
      <c r="O1249" t="s">
        <v>91</v>
      </c>
      <c r="P1249" t="s">
        <v>6565</v>
      </c>
      <c r="Q1249" s="14" t="s">
        <v>234</v>
      </c>
      <c r="R1249" t="s">
        <v>6566</v>
      </c>
      <c r="S1249">
        <v>0.83</v>
      </c>
      <c r="T1249">
        <v>6595</v>
      </c>
      <c r="U1249">
        <v>124.95</v>
      </c>
      <c r="V1249">
        <v>6719.95</v>
      </c>
    </row>
    <row r="1250" spans="1:22" x14ac:dyDescent="0.3">
      <c r="A1250">
        <v>186607</v>
      </c>
      <c r="B1250">
        <v>135574319</v>
      </c>
      <c r="C1250" t="s">
        <v>6567</v>
      </c>
      <c r="D1250" t="s">
        <v>6568</v>
      </c>
      <c r="E1250" t="s">
        <v>4901</v>
      </c>
      <c r="F1250" t="s">
        <v>491</v>
      </c>
      <c r="G1250" t="s">
        <v>104</v>
      </c>
      <c r="H1250" t="s">
        <v>105</v>
      </c>
      <c r="I1250" t="s">
        <v>34</v>
      </c>
      <c r="J1250" t="s">
        <v>106</v>
      </c>
      <c r="K1250" t="s">
        <v>421</v>
      </c>
      <c r="L1250" t="s">
        <v>6569</v>
      </c>
      <c r="M1250" t="s">
        <v>6570</v>
      </c>
      <c r="N1250" t="s">
        <v>4904</v>
      </c>
      <c r="O1250" t="s">
        <v>91</v>
      </c>
      <c r="P1250" t="s">
        <v>6571</v>
      </c>
      <c r="Q1250" s="14" t="s">
        <v>212</v>
      </c>
      <c r="R1250" t="s">
        <v>6572</v>
      </c>
      <c r="S1250">
        <v>0.79</v>
      </c>
      <c r="T1250">
        <v>6595</v>
      </c>
      <c r="U1250">
        <v>124.95</v>
      </c>
      <c r="V1250">
        <v>6719.95</v>
      </c>
    </row>
    <row r="1251" spans="1:22" x14ac:dyDescent="0.3">
      <c r="A1251">
        <v>186607</v>
      </c>
      <c r="B1251">
        <v>135421441</v>
      </c>
      <c r="C1251" t="s">
        <v>6573</v>
      </c>
      <c r="D1251" t="s">
        <v>6574</v>
      </c>
      <c r="E1251" t="s">
        <v>4901</v>
      </c>
      <c r="F1251" t="s">
        <v>491</v>
      </c>
      <c r="G1251" t="s">
        <v>104</v>
      </c>
      <c r="H1251" t="s">
        <v>105</v>
      </c>
      <c r="I1251" t="s">
        <v>34</v>
      </c>
      <c r="J1251" t="s">
        <v>106</v>
      </c>
      <c r="K1251" t="s">
        <v>41</v>
      </c>
      <c r="L1251" t="s">
        <v>6575</v>
      </c>
      <c r="M1251" t="s">
        <v>6576</v>
      </c>
      <c r="N1251" t="s">
        <v>4904</v>
      </c>
      <c r="O1251" t="s">
        <v>91</v>
      </c>
      <c r="P1251" t="s">
        <v>6577</v>
      </c>
      <c r="Q1251" s="14" t="s">
        <v>148</v>
      </c>
      <c r="R1251" t="s">
        <v>6578</v>
      </c>
      <c r="S1251">
        <v>1.52</v>
      </c>
      <c r="T1251">
        <v>6807</v>
      </c>
      <c r="U1251">
        <v>249.9</v>
      </c>
      <c r="V1251">
        <v>7056.9</v>
      </c>
    </row>
    <row r="1252" spans="1:22" x14ac:dyDescent="0.3">
      <c r="A1252">
        <v>186607</v>
      </c>
      <c r="B1252">
        <v>135472682</v>
      </c>
      <c r="C1252" t="s">
        <v>6579</v>
      </c>
      <c r="D1252" t="s">
        <v>6580</v>
      </c>
      <c r="E1252" t="s">
        <v>4901</v>
      </c>
      <c r="F1252" t="s">
        <v>491</v>
      </c>
      <c r="G1252" t="s">
        <v>104</v>
      </c>
      <c r="H1252" t="s">
        <v>105</v>
      </c>
      <c r="I1252" t="s">
        <v>34</v>
      </c>
      <c r="J1252" t="s">
        <v>106</v>
      </c>
      <c r="K1252" t="s">
        <v>41</v>
      </c>
      <c r="L1252" t="s">
        <v>6581</v>
      </c>
      <c r="M1252" t="s">
        <v>6582</v>
      </c>
      <c r="N1252" t="s">
        <v>4904</v>
      </c>
      <c r="O1252" t="s">
        <v>91</v>
      </c>
      <c r="P1252" t="s">
        <v>6583</v>
      </c>
      <c r="Q1252" s="14" t="s">
        <v>231</v>
      </c>
      <c r="R1252" t="s">
        <v>6584</v>
      </c>
      <c r="S1252">
        <v>1.58</v>
      </c>
      <c r="T1252">
        <v>16194</v>
      </c>
      <c r="U1252">
        <v>249.9</v>
      </c>
      <c r="V1252">
        <v>16443.900000000001</v>
      </c>
    </row>
    <row r="1253" spans="1:22" x14ac:dyDescent="0.3">
      <c r="A1253">
        <v>186607</v>
      </c>
      <c r="B1253">
        <v>135504219</v>
      </c>
      <c r="C1253" t="s">
        <v>6585</v>
      </c>
      <c r="D1253" t="s">
        <v>6586</v>
      </c>
      <c r="E1253" t="s">
        <v>4901</v>
      </c>
      <c r="F1253" t="s">
        <v>491</v>
      </c>
      <c r="G1253" t="s">
        <v>104</v>
      </c>
      <c r="H1253" t="s">
        <v>105</v>
      </c>
      <c r="I1253" t="s">
        <v>34</v>
      </c>
      <c r="J1253" t="s">
        <v>106</v>
      </c>
      <c r="K1253" t="s">
        <v>41</v>
      </c>
      <c r="L1253" t="s">
        <v>2737</v>
      </c>
      <c r="M1253" t="s">
        <v>6587</v>
      </c>
      <c r="N1253" t="s">
        <v>4904</v>
      </c>
      <c r="O1253" t="s">
        <v>91</v>
      </c>
      <c r="P1253" t="s">
        <v>6588</v>
      </c>
      <c r="Q1253" s="14" t="s">
        <v>240</v>
      </c>
      <c r="R1253" t="s">
        <v>294</v>
      </c>
      <c r="S1253">
        <v>0.79</v>
      </c>
      <c r="T1253">
        <v>5738</v>
      </c>
      <c r="U1253">
        <v>124.95</v>
      </c>
      <c r="V1253">
        <v>5862.95</v>
      </c>
    </row>
    <row r="1254" spans="1:22" x14ac:dyDescent="0.3">
      <c r="A1254">
        <v>186607</v>
      </c>
      <c r="B1254">
        <v>135449137</v>
      </c>
      <c r="C1254" t="s">
        <v>6589</v>
      </c>
      <c r="D1254" t="s">
        <v>6590</v>
      </c>
      <c r="E1254" t="s">
        <v>4901</v>
      </c>
      <c r="F1254" t="s">
        <v>491</v>
      </c>
      <c r="G1254" t="s">
        <v>104</v>
      </c>
      <c r="H1254" t="s">
        <v>105</v>
      </c>
      <c r="I1254" t="s">
        <v>34</v>
      </c>
      <c r="J1254" t="s">
        <v>106</v>
      </c>
      <c r="K1254" t="s">
        <v>41</v>
      </c>
      <c r="L1254" t="s">
        <v>6591</v>
      </c>
      <c r="M1254" t="s">
        <v>6592</v>
      </c>
      <c r="N1254" t="s">
        <v>4904</v>
      </c>
      <c r="O1254" t="s">
        <v>91</v>
      </c>
      <c r="P1254" t="s">
        <v>6593</v>
      </c>
      <c r="Q1254" s="14" t="s">
        <v>225</v>
      </c>
      <c r="R1254" t="s">
        <v>447</v>
      </c>
      <c r="S1254">
        <v>1.51</v>
      </c>
      <c r="T1254">
        <v>7337</v>
      </c>
      <c r="U1254">
        <v>249.9</v>
      </c>
      <c r="V1254">
        <v>7586.9</v>
      </c>
    </row>
    <row r="1255" spans="1:22" x14ac:dyDescent="0.3">
      <c r="A1255">
        <v>186607</v>
      </c>
      <c r="B1255">
        <v>135336894</v>
      </c>
      <c r="C1255" t="s">
        <v>6594</v>
      </c>
      <c r="D1255" t="s">
        <v>6595</v>
      </c>
      <c r="E1255" t="s">
        <v>4901</v>
      </c>
      <c r="F1255" t="s">
        <v>491</v>
      </c>
      <c r="G1255" t="s">
        <v>104</v>
      </c>
      <c r="H1255" t="s">
        <v>105</v>
      </c>
      <c r="I1255" t="s">
        <v>34</v>
      </c>
      <c r="J1255" t="s">
        <v>106</v>
      </c>
      <c r="K1255" t="s">
        <v>41</v>
      </c>
      <c r="L1255" t="s">
        <v>6596</v>
      </c>
      <c r="M1255" t="s">
        <v>6597</v>
      </c>
      <c r="N1255" t="s">
        <v>4904</v>
      </c>
      <c r="O1255" t="s">
        <v>91</v>
      </c>
      <c r="P1255" t="s">
        <v>6598</v>
      </c>
      <c r="Q1255" s="14" t="s">
        <v>224</v>
      </c>
      <c r="R1255" t="s">
        <v>4932</v>
      </c>
      <c r="S1255">
        <v>0.79</v>
      </c>
      <c r="T1255">
        <v>6381</v>
      </c>
      <c r="U1255">
        <v>124.95</v>
      </c>
      <c r="V1255">
        <v>6505.95</v>
      </c>
    </row>
    <row r="1256" spans="1:22" x14ac:dyDescent="0.3">
      <c r="A1256">
        <v>186607</v>
      </c>
      <c r="B1256">
        <v>135297299</v>
      </c>
      <c r="C1256" t="s">
        <v>6599</v>
      </c>
      <c r="D1256" t="s">
        <v>6600</v>
      </c>
      <c r="E1256" t="s">
        <v>4901</v>
      </c>
      <c r="F1256" t="s">
        <v>491</v>
      </c>
      <c r="G1256" t="s">
        <v>104</v>
      </c>
      <c r="H1256" t="s">
        <v>105</v>
      </c>
      <c r="I1256" t="s">
        <v>34</v>
      </c>
      <c r="J1256" t="s">
        <v>106</v>
      </c>
      <c r="K1256" t="s">
        <v>41</v>
      </c>
      <c r="L1256" t="s">
        <v>6601</v>
      </c>
      <c r="M1256" t="s">
        <v>6602</v>
      </c>
      <c r="N1256" t="s">
        <v>4904</v>
      </c>
      <c r="O1256" t="s">
        <v>91</v>
      </c>
      <c r="P1256" t="s">
        <v>6603</v>
      </c>
      <c r="Q1256" s="14" t="s">
        <v>148</v>
      </c>
      <c r="R1256" t="s">
        <v>5063</v>
      </c>
      <c r="S1256">
        <v>0.77</v>
      </c>
      <c r="T1256">
        <v>5605</v>
      </c>
      <c r="U1256">
        <v>124.95</v>
      </c>
      <c r="V1256">
        <v>5729.95</v>
      </c>
    </row>
    <row r="1257" spans="1:22" x14ac:dyDescent="0.3">
      <c r="A1257">
        <v>186607</v>
      </c>
      <c r="B1257">
        <v>135254409</v>
      </c>
      <c r="C1257" t="s">
        <v>6604</v>
      </c>
      <c r="D1257" t="s">
        <v>6605</v>
      </c>
      <c r="E1257" t="s">
        <v>4901</v>
      </c>
      <c r="F1257" t="s">
        <v>491</v>
      </c>
      <c r="G1257" t="s">
        <v>104</v>
      </c>
      <c r="H1257" t="s">
        <v>105</v>
      </c>
      <c r="I1257" t="s">
        <v>34</v>
      </c>
      <c r="J1257" t="s">
        <v>106</v>
      </c>
      <c r="K1257" t="s">
        <v>41</v>
      </c>
      <c r="L1257" t="s">
        <v>6606</v>
      </c>
      <c r="M1257" t="s">
        <v>6607</v>
      </c>
      <c r="N1257" t="s">
        <v>4904</v>
      </c>
      <c r="O1257" t="s">
        <v>91</v>
      </c>
      <c r="P1257" t="s">
        <v>6608</v>
      </c>
      <c r="Q1257" s="14" t="s">
        <v>200</v>
      </c>
      <c r="R1257" t="s">
        <v>5155</v>
      </c>
      <c r="S1257">
        <v>1.55</v>
      </c>
      <c r="T1257">
        <v>17405</v>
      </c>
      <c r="U1257">
        <v>249.9</v>
      </c>
      <c r="V1257">
        <v>17654.900000000001</v>
      </c>
    </row>
    <row r="1258" spans="1:22" x14ac:dyDescent="0.3">
      <c r="A1258">
        <v>186607</v>
      </c>
      <c r="B1258">
        <v>135254419</v>
      </c>
      <c r="C1258" t="s">
        <v>6609</v>
      </c>
      <c r="D1258" t="s">
        <v>6610</v>
      </c>
      <c r="E1258" t="s">
        <v>4901</v>
      </c>
      <c r="F1258" t="s">
        <v>491</v>
      </c>
      <c r="G1258" t="s">
        <v>104</v>
      </c>
      <c r="H1258" t="s">
        <v>105</v>
      </c>
      <c r="I1258" t="s">
        <v>34</v>
      </c>
      <c r="J1258" t="s">
        <v>106</v>
      </c>
      <c r="K1258" t="s">
        <v>41</v>
      </c>
      <c r="L1258" t="s">
        <v>6611</v>
      </c>
      <c r="M1258" t="s">
        <v>6612</v>
      </c>
      <c r="N1258" t="s">
        <v>4904</v>
      </c>
      <c r="O1258" t="s">
        <v>91</v>
      </c>
      <c r="P1258" t="s">
        <v>6613</v>
      </c>
      <c r="Q1258" s="14" t="s">
        <v>176</v>
      </c>
      <c r="R1258" t="s">
        <v>5155</v>
      </c>
      <c r="S1258">
        <v>0.81</v>
      </c>
      <c r="T1258">
        <v>6595</v>
      </c>
      <c r="U1258">
        <v>124.95</v>
      </c>
      <c r="V1258">
        <v>6719.95</v>
      </c>
    </row>
    <row r="1259" spans="1:22" x14ac:dyDescent="0.3">
      <c r="A1259">
        <v>186607</v>
      </c>
      <c r="B1259">
        <v>135231338</v>
      </c>
      <c r="C1259" t="s">
        <v>6614</v>
      </c>
      <c r="D1259" t="s">
        <v>6615</v>
      </c>
      <c r="E1259" t="s">
        <v>4901</v>
      </c>
      <c r="F1259" t="s">
        <v>491</v>
      </c>
      <c r="G1259" t="s">
        <v>104</v>
      </c>
      <c r="H1259" t="s">
        <v>105</v>
      </c>
      <c r="I1259" t="s">
        <v>34</v>
      </c>
      <c r="J1259" t="s">
        <v>106</v>
      </c>
      <c r="K1259" t="s">
        <v>41</v>
      </c>
      <c r="L1259" t="s">
        <v>6616</v>
      </c>
      <c r="M1259" t="s">
        <v>6617</v>
      </c>
      <c r="N1259" t="s">
        <v>4904</v>
      </c>
      <c r="O1259" t="s">
        <v>91</v>
      </c>
      <c r="P1259" t="s">
        <v>6618</v>
      </c>
      <c r="Q1259" s="14" t="s">
        <v>200</v>
      </c>
      <c r="R1259" t="s">
        <v>4916</v>
      </c>
      <c r="S1259">
        <v>0.8</v>
      </c>
      <c r="T1259">
        <v>10717</v>
      </c>
      <c r="U1259">
        <v>124.95</v>
      </c>
      <c r="V1259">
        <v>10841.95</v>
      </c>
    </row>
    <row r="1260" spans="1:22" x14ac:dyDescent="0.3">
      <c r="A1260">
        <v>186607</v>
      </c>
      <c r="B1260">
        <v>135187298</v>
      </c>
      <c r="C1260" t="s">
        <v>6619</v>
      </c>
      <c r="D1260" t="s">
        <v>6620</v>
      </c>
      <c r="E1260" t="s">
        <v>4901</v>
      </c>
      <c r="F1260" t="s">
        <v>491</v>
      </c>
      <c r="G1260" t="s">
        <v>104</v>
      </c>
      <c r="H1260" t="s">
        <v>105</v>
      </c>
      <c r="I1260" t="s">
        <v>34</v>
      </c>
      <c r="J1260" t="s">
        <v>106</v>
      </c>
      <c r="K1260" t="s">
        <v>41</v>
      </c>
      <c r="L1260" t="s">
        <v>6621</v>
      </c>
      <c r="M1260" t="s">
        <v>6622</v>
      </c>
      <c r="N1260" t="s">
        <v>4904</v>
      </c>
      <c r="O1260" t="s">
        <v>91</v>
      </c>
      <c r="P1260" t="s">
        <v>6623</v>
      </c>
      <c r="Q1260" s="14" t="s">
        <v>159</v>
      </c>
      <c r="R1260" t="s">
        <v>5149</v>
      </c>
      <c r="S1260">
        <v>1.52</v>
      </c>
      <c r="T1260">
        <v>7337</v>
      </c>
      <c r="U1260">
        <v>249.9</v>
      </c>
      <c r="V1260">
        <v>7586.9</v>
      </c>
    </row>
    <row r="1261" spans="1:22" x14ac:dyDescent="0.3">
      <c r="A1261">
        <v>186607</v>
      </c>
      <c r="B1261">
        <v>135180387</v>
      </c>
      <c r="C1261" t="s">
        <v>6624</v>
      </c>
      <c r="D1261" t="s">
        <v>6625</v>
      </c>
      <c r="E1261" t="s">
        <v>4901</v>
      </c>
      <c r="F1261" t="s">
        <v>491</v>
      </c>
      <c r="G1261" t="s">
        <v>104</v>
      </c>
      <c r="H1261" t="s">
        <v>105</v>
      </c>
      <c r="I1261" t="s">
        <v>34</v>
      </c>
      <c r="J1261" t="s">
        <v>106</v>
      </c>
      <c r="K1261" t="s">
        <v>41</v>
      </c>
      <c r="L1261" t="s">
        <v>6626</v>
      </c>
      <c r="M1261" t="s">
        <v>6627</v>
      </c>
      <c r="N1261" t="s">
        <v>4904</v>
      </c>
      <c r="O1261" t="s">
        <v>91</v>
      </c>
      <c r="P1261" t="s">
        <v>6628</v>
      </c>
      <c r="Q1261" s="14" t="s">
        <v>94</v>
      </c>
      <c r="R1261" t="s">
        <v>4921</v>
      </c>
      <c r="S1261">
        <v>1.51</v>
      </c>
      <c r="T1261">
        <v>6115</v>
      </c>
      <c r="U1261">
        <v>249.9</v>
      </c>
      <c r="V1261">
        <v>6364.9</v>
      </c>
    </row>
    <row r="1262" spans="1:22" x14ac:dyDescent="0.3">
      <c r="A1262">
        <v>186607</v>
      </c>
      <c r="B1262">
        <v>135159884</v>
      </c>
      <c r="C1262" t="s">
        <v>6629</v>
      </c>
      <c r="D1262" t="s">
        <v>6630</v>
      </c>
      <c r="E1262" t="s">
        <v>4901</v>
      </c>
      <c r="F1262" t="s">
        <v>491</v>
      </c>
      <c r="G1262" t="s">
        <v>104</v>
      </c>
      <c r="H1262" t="s">
        <v>105</v>
      </c>
      <c r="I1262" t="s">
        <v>34</v>
      </c>
      <c r="J1262" t="s">
        <v>106</v>
      </c>
      <c r="K1262" t="s">
        <v>41</v>
      </c>
      <c r="L1262" t="s">
        <v>246</v>
      </c>
      <c r="M1262" t="s">
        <v>6631</v>
      </c>
      <c r="N1262" t="s">
        <v>4904</v>
      </c>
      <c r="O1262" t="s">
        <v>91</v>
      </c>
      <c r="P1262" t="s">
        <v>6632</v>
      </c>
      <c r="Q1262" s="14" t="s">
        <v>212</v>
      </c>
      <c r="R1262" t="s">
        <v>476</v>
      </c>
      <c r="S1262">
        <v>0.82</v>
      </c>
      <c r="T1262">
        <v>6595</v>
      </c>
      <c r="U1262">
        <v>124.95</v>
      </c>
      <c r="V1262">
        <v>6719.95</v>
      </c>
    </row>
    <row r="1263" spans="1:22" x14ac:dyDescent="0.3">
      <c r="A1263">
        <v>186607</v>
      </c>
      <c r="B1263">
        <v>135145143</v>
      </c>
      <c r="C1263" t="s">
        <v>6633</v>
      </c>
      <c r="D1263" t="s">
        <v>6634</v>
      </c>
      <c r="E1263" t="s">
        <v>4901</v>
      </c>
      <c r="F1263" t="s">
        <v>491</v>
      </c>
      <c r="G1263" t="s">
        <v>104</v>
      </c>
      <c r="H1263" t="s">
        <v>105</v>
      </c>
      <c r="I1263" t="s">
        <v>34</v>
      </c>
      <c r="J1263" t="s">
        <v>106</v>
      </c>
      <c r="K1263" t="s">
        <v>41</v>
      </c>
      <c r="L1263" t="s">
        <v>6635</v>
      </c>
      <c r="M1263" t="s">
        <v>6636</v>
      </c>
      <c r="N1263" t="s">
        <v>4904</v>
      </c>
      <c r="O1263" t="s">
        <v>91</v>
      </c>
      <c r="P1263" t="s">
        <v>6637</v>
      </c>
      <c r="Q1263" s="14" t="s">
        <v>205</v>
      </c>
      <c r="R1263" t="s">
        <v>4938</v>
      </c>
      <c r="S1263">
        <v>1.5</v>
      </c>
      <c r="T1263">
        <v>7337</v>
      </c>
      <c r="U1263">
        <v>249.9</v>
      </c>
      <c r="V1263">
        <v>7586.9</v>
      </c>
    </row>
    <row r="1264" spans="1:22" x14ac:dyDescent="0.3">
      <c r="A1264">
        <v>186607</v>
      </c>
      <c r="B1264">
        <v>135145146</v>
      </c>
      <c r="C1264" t="s">
        <v>6638</v>
      </c>
      <c r="D1264" t="s">
        <v>6639</v>
      </c>
      <c r="E1264" t="s">
        <v>4901</v>
      </c>
      <c r="F1264" t="s">
        <v>491</v>
      </c>
      <c r="G1264" t="s">
        <v>104</v>
      </c>
      <c r="H1264" t="s">
        <v>105</v>
      </c>
      <c r="I1264" t="s">
        <v>34</v>
      </c>
      <c r="J1264" t="s">
        <v>106</v>
      </c>
      <c r="K1264" t="s">
        <v>41</v>
      </c>
      <c r="L1264" t="s">
        <v>6640</v>
      </c>
      <c r="M1264" t="s">
        <v>6641</v>
      </c>
      <c r="N1264" t="s">
        <v>4904</v>
      </c>
      <c r="O1264" t="s">
        <v>91</v>
      </c>
      <c r="P1264" t="s">
        <v>6642</v>
      </c>
      <c r="Q1264" s="14" t="s">
        <v>165</v>
      </c>
      <c r="R1264" t="s">
        <v>4938</v>
      </c>
      <c r="S1264">
        <v>0.85</v>
      </c>
      <c r="T1264">
        <v>4481</v>
      </c>
      <c r="U1264">
        <v>124.95</v>
      </c>
      <c r="V1264">
        <v>4605.95</v>
      </c>
    </row>
    <row r="1265" spans="1:22" x14ac:dyDescent="0.3">
      <c r="A1265">
        <v>186607</v>
      </c>
      <c r="B1265">
        <v>135123778</v>
      </c>
      <c r="C1265" t="s">
        <v>6643</v>
      </c>
      <c r="D1265" t="s">
        <v>6644</v>
      </c>
      <c r="E1265" t="s">
        <v>4901</v>
      </c>
      <c r="F1265" t="s">
        <v>491</v>
      </c>
      <c r="G1265" t="s">
        <v>104</v>
      </c>
      <c r="H1265" t="s">
        <v>105</v>
      </c>
      <c r="I1265" t="s">
        <v>34</v>
      </c>
      <c r="J1265" t="s">
        <v>106</v>
      </c>
      <c r="K1265" t="s">
        <v>41</v>
      </c>
      <c r="L1265" t="s">
        <v>6645</v>
      </c>
      <c r="M1265" t="s">
        <v>6646</v>
      </c>
      <c r="N1265" t="s">
        <v>4904</v>
      </c>
      <c r="O1265" t="s">
        <v>91</v>
      </c>
      <c r="P1265" t="s">
        <v>6647</v>
      </c>
      <c r="Q1265" s="14" t="s">
        <v>113</v>
      </c>
      <c r="R1265" t="s">
        <v>5503</v>
      </c>
      <c r="S1265">
        <v>0.82</v>
      </c>
      <c r="T1265">
        <v>3735</v>
      </c>
      <c r="U1265">
        <v>124.95</v>
      </c>
      <c r="V1265">
        <v>3859.95</v>
      </c>
    </row>
    <row r="1266" spans="1:22" x14ac:dyDescent="0.3">
      <c r="A1266">
        <v>186607</v>
      </c>
      <c r="B1266">
        <v>135032314</v>
      </c>
      <c r="C1266" t="s">
        <v>6648</v>
      </c>
      <c r="D1266" t="s">
        <v>6649</v>
      </c>
      <c r="E1266" t="s">
        <v>4901</v>
      </c>
      <c r="F1266" t="s">
        <v>491</v>
      </c>
      <c r="G1266" t="s">
        <v>104</v>
      </c>
      <c r="H1266" t="s">
        <v>105</v>
      </c>
      <c r="I1266" t="s">
        <v>34</v>
      </c>
      <c r="J1266" t="s">
        <v>106</v>
      </c>
      <c r="K1266" t="s">
        <v>41</v>
      </c>
      <c r="L1266" t="s">
        <v>6650</v>
      </c>
      <c r="M1266" t="s">
        <v>6651</v>
      </c>
      <c r="N1266" t="s">
        <v>4904</v>
      </c>
      <c r="O1266" t="s">
        <v>91</v>
      </c>
      <c r="P1266" t="s">
        <v>6652</v>
      </c>
      <c r="Q1266" s="14" t="s">
        <v>113</v>
      </c>
      <c r="R1266" t="s">
        <v>5057</v>
      </c>
      <c r="S1266">
        <v>1.52</v>
      </c>
      <c r="T1266">
        <v>3950</v>
      </c>
      <c r="U1266">
        <v>249.9</v>
      </c>
      <c r="V1266">
        <v>4199.8999999999996</v>
      </c>
    </row>
    <row r="1267" spans="1:22" x14ac:dyDescent="0.3">
      <c r="A1267">
        <v>186607</v>
      </c>
      <c r="B1267">
        <v>135032316</v>
      </c>
      <c r="C1267" t="s">
        <v>6653</v>
      </c>
      <c r="D1267" t="s">
        <v>6654</v>
      </c>
      <c r="E1267" t="s">
        <v>4901</v>
      </c>
      <c r="F1267" t="s">
        <v>491</v>
      </c>
      <c r="G1267" t="s">
        <v>104</v>
      </c>
      <c r="H1267" t="s">
        <v>105</v>
      </c>
      <c r="I1267" t="s">
        <v>34</v>
      </c>
      <c r="J1267" t="s">
        <v>106</v>
      </c>
      <c r="K1267" t="s">
        <v>41</v>
      </c>
      <c r="L1267" t="s">
        <v>6655</v>
      </c>
      <c r="M1267" t="s">
        <v>6656</v>
      </c>
      <c r="N1267" t="s">
        <v>4904</v>
      </c>
      <c r="O1267" t="s">
        <v>91</v>
      </c>
      <c r="P1267" t="s">
        <v>6657</v>
      </c>
      <c r="Q1267" s="14" t="s">
        <v>205</v>
      </c>
      <c r="R1267" t="s">
        <v>5057</v>
      </c>
      <c r="S1267">
        <v>0.72</v>
      </c>
      <c r="T1267">
        <v>6381</v>
      </c>
      <c r="U1267">
        <v>124.95</v>
      </c>
      <c r="V1267">
        <v>6505.95</v>
      </c>
    </row>
    <row r="1268" spans="1:22" x14ac:dyDescent="0.3">
      <c r="A1268">
        <v>186607</v>
      </c>
      <c r="B1268">
        <v>134860934</v>
      </c>
      <c r="C1268" t="s">
        <v>6658</v>
      </c>
      <c r="D1268" t="s">
        <v>6659</v>
      </c>
      <c r="E1268" t="s">
        <v>4901</v>
      </c>
      <c r="F1268" t="s">
        <v>491</v>
      </c>
      <c r="G1268" t="s">
        <v>104</v>
      </c>
      <c r="H1268" t="s">
        <v>105</v>
      </c>
      <c r="I1268" t="s">
        <v>34</v>
      </c>
      <c r="J1268" t="s">
        <v>106</v>
      </c>
      <c r="K1268" t="s">
        <v>41</v>
      </c>
      <c r="L1268" t="s">
        <v>6660</v>
      </c>
      <c r="M1268" t="s">
        <v>6661</v>
      </c>
      <c r="N1268" t="s">
        <v>4904</v>
      </c>
      <c r="O1268" t="s">
        <v>91</v>
      </c>
      <c r="P1268" t="s">
        <v>6662</v>
      </c>
      <c r="Q1268" s="14" t="s">
        <v>165</v>
      </c>
      <c r="R1268" t="s">
        <v>5886</v>
      </c>
      <c r="S1268">
        <v>0.81</v>
      </c>
      <c r="T1268">
        <v>4481</v>
      </c>
      <c r="U1268">
        <v>124.95</v>
      </c>
      <c r="V1268">
        <v>4605.95</v>
      </c>
    </row>
    <row r="1269" spans="1:22" x14ac:dyDescent="0.3">
      <c r="A1269">
        <v>186607</v>
      </c>
      <c r="B1269">
        <v>134877787</v>
      </c>
      <c r="C1269" t="s">
        <v>6663</v>
      </c>
      <c r="D1269" t="s">
        <v>6664</v>
      </c>
      <c r="E1269" t="s">
        <v>4901</v>
      </c>
      <c r="F1269" t="s">
        <v>491</v>
      </c>
      <c r="G1269" t="s">
        <v>104</v>
      </c>
      <c r="H1269" t="s">
        <v>105</v>
      </c>
      <c r="I1269" t="s">
        <v>34</v>
      </c>
      <c r="J1269" t="s">
        <v>106</v>
      </c>
      <c r="K1269" t="s">
        <v>41</v>
      </c>
      <c r="L1269" t="s">
        <v>6665</v>
      </c>
      <c r="M1269" t="s">
        <v>6666</v>
      </c>
      <c r="N1269" t="s">
        <v>4904</v>
      </c>
      <c r="O1269" t="s">
        <v>91</v>
      </c>
      <c r="P1269" t="s">
        <v>6667</v>
      </c>
      <c r="Q1269" s="14" t="s">
        <v>215</v>
      </c>
      <c r="R1269" t="s">
        <v>327</v>
      </c>
      <c r="S1269">
        <v>0.77</v>
      </c>
      <c r="T1269">
        <v>6595</v>
      </c>
      <c r="U1269">
        <v>124.95</v>
      </c>
      <c r="V1269">
        <v>6719.95</v>
      </c>
    </row>
    <row r="1270" spans="1:22" x14ac:dyDescent="0.3">
      <c r="A1270">
        <v>186607</v>
      </c>
      <c r="B1270">
        <v>134814259</v>
      </c>
      <c r="C1270" t="s">
        <v>6668</v>
      </c>
      <c r="D1270" t="s">
        <v>6669</v>
      </c>
      <c r="E1270" t="s">
        <v>4901</v>
      </c>
      <c r="F1270" t="s">
        <v>491</v>
      </c>
      <c r="G1270" t="s">
        <v>104</v>
      </c>
      <c r="H1270" t="s">
        <v>105</v>
      </c>
      <c r="I1270" t="s">
        <v>34</v>
      </c>
      <c r="J1270" t="s">
        <v>106</v>
      </c>
      <c r="K1270" t="s">
        <v>41</v>
      </c>
      <c r="L1270" t="s">
        <v>6670</v>
      </c>
      <c r="M1270" t="s">
        <v>6671</v>
      </c>
      <c r="N1270" t="s">
        <v>4904</v>
      </c>
      <c r="O1270" t="s">
        <v>91</v>
      </c>
      <c r="P1270" t="s">
        <v>6672</v>
      </c>
      <c r="Q1270" s="14" t="s">
        <v>64</v>
      </c>
      <c r="R1270" t="s">
        <v>5269</v>
      </c>
      <c r="S1270">
        <v>0.78</v>
      </c>
      <c r="T1270">
        <v>4481</v>
      </c>
      <c r="U1270">
        <v>124.95</v>
      </c>
      <c r="V1270">
        <v>4605.95</v>
      </c>
    </row>
    <row r="1271" spans="1:22" x14ac:dyDescent="0.3">
      <c r="A1271">
        <v>186607</v>
      </c>
      <c r="B1271">
        <v>134761905</v>
      </c>
      <c r="C1271" t="s">
        <v>6673</v>
      </c>
      <c r="D1271" t="s">
        <v>6674</v>
      </c>
      <c r="E1271" t="s">
        <v>4901</v>
      </c>
      <c r="F1271" t="s">
        <v>491</v>
      </c>
      <c r="G1271" t="s">
        <v>104</v>
      </c>
      <c r="H1271" t="s">
        <v>105</v>
      </c>
      <c r="I1271" t="s">
        <v>34</v>
      </c>
      <c r="J1271" t="s">
        <v>106</v>
      </c>
      <c r="K1271" t="s">
        <v>41</v>
      </c>
      <c r="L1271" t="s">
        <v>6675</v>
      </c>
      <c r="M1271" t="s">
        <v>6676</v>
      </c>
      <c r="N1271" t="s">
        <v>4904</v>
      </c>
      <c r="O1271" t="s">
        <v>91</v>
      </c>
      <c r="P1271" t="s">
        <v>6677</v>
      </c>
      <c r="Q1271" s="14" t="s">
        <v>64</v>
      </c>
      <c r="R1271" t="s">
        <v>460</v>
      </c>
      <c r="S1271">
        <v>0.72</v>
      </c>
      <c r="T1271">
        <v>4481</v>
      </c>
      <c r="U1271">
        <v>124.95</v>
      </c>
      <c r="V1271">
        <v>4605.95</v>
      </c>
    </row>
    <row r="1272" spans="1:22" x14ac:dyDescent="0.3">
      <c r="A1272">
        <v>186607</v>
      </c>
      <c r="B1272">
        <v>134709755</v>
      </c>
      <c r="C1272" t="s">
        <v>6678</v>
      </c>
      <c r="D1272" t="s">
        <v>6679</v>
      </c>
      <c r="E1272" t="s">
        <v>4901</v>
      </c>
      <c r="F1272" t="s">
        <v>491</v>
      </c>
      <c r="G1272" t="s">
        <v>104</v>
      </c>
      <c r="H1272" t="s">
        <v>105</v>
      </c>
      <c r="I1272" t="s">
        <v>34</v>
      </c>
      <c r="J1272" t="s">
        <v>106</v>
      </c>
      <c r="K1272" t="s">
        <v>41</v>
      </c>
      <c r="L1272" t="s">
        <v>6680</v>
      </c>
      <c r="M1272" t="s">
        <v>6681</v>
      </c>
      <c r="N1272" t="s">
        <v>4904</v>
      </c>
      <c r="O1272" t="s">
        <v>91</v>
      </c>
      <c r="P1272" t="s">
        <v>6682</v>
      </c>
      <c r="Q1272" s="14" t="s">
        <v>304</v>
      </c>
      <c r="R1272" t="s">
        <v>369</v>
      </c>
      <c r="S1272">
        <v>1.51</v>
      </c>
      <c r="T1272">
        <v>17405</v>
      </c>
      <c r="U1272">
        <v>124.95</v>
      </c>
      <c r="V1272">
        <v>17529.95</v>
      </c>
    </row>
    <row r="1273" spans="1:22" x14ac:dyDescent="0.3">
      <c r="A1273">
        <v>186607</v>
      </c>
      <c r="B1273">
        <v>134709700</v>
      </c>
      <c r="C1273" t="s">
        <v>6683</v>
      </c>
      <c r="D1273" t="s">
        <v>6684</v>
      </c>
      <c r="E1273" t="s">
        <v>4901</v>
      </c>
      <c r="F1273" t="s">
        <v>491</v>
      </c>
      <c r="G1273" t="s">
        <v>104</v>
      </c>
      <c r="H1273" t="s">
        <v>105</v>
      </c>
      <c r="I1273" t="s">
        <v>34</v>
      </c>
      <c r="J1273" t="s">
        <v>106</v>
      </c>
      <c r="K1273" t="s">
        <v>41</v>
      </c>
      <c r="L1273" t="s">
        <v>6685</v>
      </c>
      <c r="M1273" t="s">
        <v>6686</v>
      </c>
      <c r="N1273" t="s">
        <v>4904</v>
      </c>
      <c r="O1273" t="s">
        <v>91</v>
      </c>
      <c r="P1273" t="s">
        <v>6687</v>
      </c>
      <c r="Q1273" s="14" t="s">
        <v>243</v>
      </c>
      <c r="R1273" t="s">
        <v>5383</v>
      </c>
      <c r="S1273">
        <v>0.79</v>
      </c>
      <c r="T1273">
        <v>6595</v>
      </c>
      <c r="U1273">
        <v>124.95</v>
      </c>
      <c r="V1273">
        <v>6719.95</v>
      </c>
    </row>
    <row r="1274" spans="1:22" x14ac:dyDescent="0.3">
      <c r="A1274">
        <v>186607</v>
      </c>
      <c r="B1274">
        <v>134709729</v>
      </c>
      <c r="C1274" t="s">
        <v>6688</v>
      </c>
      <c r="D1274" t="s">
        <v>6689</v>
      </c>
      <c r="E1274" t="s">
        <v>4901</v>
      </c>
      <c r="F1274" t="s">
        <v>491</v>
      </c>
      <c r="G1274" t="s">
        <v>104</v>
      </c>
      <c r="H1274" t="s">
        <v>105</v>
      </c>
      <c r="I1274" t="s">
        <v>34</v>
      </c>
      <c r="J1274" t="s">
        <v>106</v>
      </c>
      <c r="K1274" t="s">
        <v>41</v>
      </c>
      <c r="L1274" t="s">
        <v>6690</v>
      </c>
      <c r="M1274" t="s">
        <v>6691</v>
      </c>
      <c r="N1274" t="s">
        <v>4904</v>
      </c>
      <c r="O1274" t="s">
        <v>91</v>
      </c>
      <c r="P1274" t="s">
        <v>6692</v>
      </c>
      <c r="Q1274" s="14" t="s">
        <v>162</v>
      </c>
      <c r="R1274" t="s">
        <v>369</v>
      </c>
      <c r="S1274">
        <v>0.5</v>
      </c>
      <c r="T1274">
        <v>6077</v>
      </c>
      <c r="U1274">
        <v>124.95</v>
      </c>
      <c r="V1274">
        <v>6201.95</v>
      </c>
    </row>
    <row r="1275" spans="1:22" x14ac:dyDescent="0.3">
      <c r="A1275">
        <v>186607</v>
      </c>
      <c r="B1275">
        <v>134709636</v>
      </c>
      <c r="C1275" t="s">
        <v>6693</v>
      </c>
      <c r="D1275" t="s">
        <v>6694</v>
      </c>
      <c r="E1275" t="s">
        <v>4901</v>
      </c>
      <c r="F1275" t="s">
        <v>491</v>
      </c>
      <c r="G1275" t="s">
        <v>104</v>
      </c>
      <c r="H1275" t="s">
        <v>105</v>
      </c>
      <c r="I1275" t="s">
        <v>34</v>
      </c>
      <c r="J1275" t="s">
        <v>106</v>
      </c>
      <c r="K1275" t="s">
        <v>41</v>
      </c>
      <c r="L1275" t="s">
        <v>6695</v>
      </c>
      <c r="M1275" t="s">
        <v>437</v>
      </c>
      <c r="N1275" t="s">
        <v>4904</v>
      </c>
      <c r="O1275" t="s">
        <v>91</v>
      </c>
      <c r="P1275" t="s">
        <v>6696</v>
      </c>
      <c r="Q1275" s="14" t="s">
        <v>176</v>
      </c>
      <c r="R1275" t="s">
        <v>5383</v>
      </c>
      <c r="S1275">
        <v>0.77</v>
      </c>
      <c r="T1275">
        <v>6595</v>
      </c>
      <c r="U1275">
        <v>124.95</v>
      </c>
      <c r="V1275">
        <v>6719.95</v>
      </c>
    </row>
    <row r="1276" spans="1:22" x14ac:dyDescent="0.3">
      <c r="A1276">
        <v>186607</v>
      </c>
      <c r="B1276">
        <v>135297306</v>
      </c>
      <c r="C1276" t="s">
        <v>6697</v>
      </c>
      <c r="D1276" t="s">
        <v>6698</v>
      </c>
      <c r="E1276" t="s">
        <v>4901</v>
      </c>
      <c r="F1276" t="s">
        <v>491</v>
      </c>
      <c r="G1276" t="s">
        <v>49</v>
      </c>
      <c r="H1276" t="s">
        <v>50</v>
      </c>
      <c r="I1276" t="s">
        <v>34</v>
      </c>
      <c r="J1276" t="s">
        <v>51</v>
      </c>
      <c r="K1276" t="s">
        <v>41</v>
      </c>
      <c r="L1276" t="s">
        <v>52</v>
      </c>
      <c r="M1276" t="s">
        <v>6699</v>
      </c>
      <c r="N1276" t="s">
        <v>4904</v>
      </c>
      <c r="O1276" t="s">
        <v>91</v>
      </c>
      <c r="P1276" t="s">
        <v>6700</v>
      </c>
      <c r="Q1276" s="14" t="s">
        <v>204</v>
      </c>
      <c r="R1276" t="s">
        <v>5063</v>
      </c>
      <c r="S1276">
        <v>3.16</v>
      </c>
      <c r="T1276">
        <v>7224</v>
      </c>
      <c r="U1276">
        <v>0</v>
      </c>
      <c r="V1276">
        <v>7224</v>
      </c>
    </row>
    <row r="1277" spans="1:22" x14ac:dyDescent="0.3">
      <c r="A1277">
        <v>186607</v>
      </c>
      <c r="B1277">
        <v>135269537</v>
      </c>
      <c r="C1277" t="s">
        <v>6701</v>
      </c>
      <c r="D1277" t="s">
        <v>6702</v>
      </c>
      <c r="E1277" t="s">
        <v>4901</v>
      </c>
      <c r="F1277" t="s">
        <v>491</v>
      </c>
      <c r="G1277" t="s">
        <v>49</v>
      </c>
      <c r="H1277" t="s">
        <v>50</v>
      </c>
      <c r="I1277" t="s">
        <v>34</v>
      </c>
      <c r="J1277" t="s">
        <v>51</v>
      </c>
      <c r="K1277" t="s">
        <v>41</v>
      </c>
      <c r="L1277" t="s">
        <v>52</v>
      </c>
      <c r="M1277" t="s">
        <v>6703</v>
      </c>
      <c r="N1277" t="s">
        <v>4904</v>
      </c>
      <c r="O1277" t="s">
        <v>91</v>
      </c>
      <c r="P1277" t="s">
        <v>6704</v>
      </c>
      <c r="Q1277" s="14" t="s">
        <v>80</v>
      </c>
      <c r="R1277" t="s">
        <v>482</v>
      </c>
      <c r="S1277">
        <v>3.74</v>
      </c>
      <c r="T1277">
        <v>4537</v>
      </c>
      <c r="U1277">
        <v>0</v>
      </c>
      <c r="V1277">
        <v>4537</v>
      </c>
    </row>
    <row r="1278" spans="1:22" x14ac:dyDescent="0.3">
      <c r="A1278">
        <v>186607</v>
      </c>
      <c r="B1278">
        <v>135297292</v>
      </c>
      <c r="C1278" t="s">
        <v>6705</v>
      </c>
      <c r="D1278" t="s">
        <v>6706</v>
      </c>
      <c r="E1278" t="s">
        <v>4901</v>
      </c>
      <c r="F1278" t="s">
        <v>491</v>
      </c>
      <c r="G1278" t="s">
        <v>49</v>
      </c>
      <c r="H1278" t="s">
        <v>50</v>
      </c>
      <c r="I1278" t="s">
        <v>34</v>
      </c>
      <c r="J1278" t="s">
        <v>51</v>
      </c>
      <c r="K1278" t="s">
        <v>41</v>
      </c>
      <c r="L1278" t="s">
        <v>52</v>
      </c>
      <c r="M1278" t="s">
        <v>6707</v>
      </c>
      <c r="N1278" t="s">
        <v>4904</v>
      </c>
      <c r="O1278" t="s">
        <v>91</v>
      </c>
      <c r="P1278" t="s">
        <v>6708</v>
      </c>
      <c r="Q1278" s="14" t="s">
        <v>54</v>
      </c>
      <c r="R1278" t="s">
        <v>5063</v>
      </c>
      <c r="S1278">
        <v>4.33</v>
      </c>
      <c r="T1278">
        <v>7129</v>
      </c>
      <c r="U1278">
        <v>0</v>
      </c>
      <c r="V1278">
        <v>7129</v>
      </c>
    </row>
    <row r="1279" spans="1:22" x14ac:dyDescent="0.3">
      <c r="A1279">
        <v>186607</v>
      </c>
      <c r="B1279">
        <v>135214261</v>
      </c>
      <c r="C1279" t="s">
        <v>6709</v>
      </c>
      <c r="D1279" t="s">
        <v>6710</v>
      </c>
      <c r="E1279" t="s">
        <v>4901</v>
      </c>
      <c r="F1279" t="s">
        <v>491</v>
      </c>
      <c r="G1279" t="s">
        <v>49</v>
      </c>
      <c r="H1279" t="s">
        <v>50</v>
      </c>
      <c r="I1279" t="s">
        <v>34</v>
      </c>
      <c r="J1279" t="s">
        <v>51</v>
      </c>
      <c r="K1279" t="s">
        <v>41</v>
      </c>
      <c r="L1279" t="s">
        <v>52</v>
      </c>
      <c r="M1279" t="s">
        <v>6711</v>
      </c>
      <c r="N1279" t="s">
        <v>4904</v>
      </c>
      <c r="O1279" t="s">
        <v>91</v>
      </c>
      <c r="P1279" t="s">
        <v>6712</v>
      </c>
      <c r="Q1279" s="14" t="s">
        <v>59</v>
      </c>
      <c r="R1279" t="s">
        <v>330</v>
      </c>
      <c r="S1279">
        <v>3.29</v>
      </c>
      <c r="T1279">
        <v>4537</v>
      </c>
      <c r="U1279">
        <v>0</v>
      </c>
      <c r="V1279">
        <v>4537</v>
      </c>
    </row>
    <row r="1280" spans="1:22" x14ac:dyDescent="0.3">
      <c r="A1280">
        <v>186607</v>
      </c>
      <c r="B1280">
        <v>135269525</v>
      </c>
      <c r="C1280" t="s">
        <v>6713</v>
      </c>
      <c r="D1280" t="s">
        <v>6714</v>
      </c>
      <c r="E1280" t="s">
        <v>4901</v>
      </c>
      <c r="F1280" t="s">
        <v>491</v>
      </c>
      <c r="G1280" t="s">
        <v>49</v>
      </c>
      <c r="H1280" t="s">
        <v>50</v>
      </c>
      <c r="I1280" t="s">
        <v>34</v>
      </c>
      <c r="J1280" t="s">
        <v>51</v>
      </c>
      <c r="K1280" t="s">
        <v>41</v>
      </c>
      <c r="L1280" t="s">
        <v>52</v>
      </c>
      <c r="M1280" t="s">
        <v>6715</v>
      </c>
      <c r="N1280" t="s">
        <v>4904</v>
      </c>
      <c r="O1280" t="s">
        <v>91</v>
      </c>
      <c r="P1280" t="s">
        <v>6716</v>
      </c>
      <c r="Q1280" s="14" t="s">
        <v>54</v>
      </c>
      <c r="R1280" t="s">
        <v>482</v>
      </c>
      <c r="S1280">
        <v>5.78</v>
      </c>
      <c r="T1280">
        <v>7129</v>
      </c>
      <c r="U1280">
        <v>0</v>
      </c>
      <c r="V1280">
        <v>7129</v>
      </c>
    </row>
    <row r="1281" spans="1:22" x14ac:dyDescent="0.3">
      <c r="A1281">
        <v>186607</v>
      </c>
      <c r="B1281">
        <v>135312540</v>
      </c>
      <c r="C1281" t="s">
        <v>6717</v>
      </c>
      <c r="D1281" t="s">
        <v>6718</v>
      </c>
      <c r="E1281" t="s">
        <v>4901</v>
      </c>
      <c r="F1281" t="s">
        <v>491</v>
      </c>
      <c r="G1281" t="s">
        <v>49</v>
      </c>
      <c r="H1281" t="s">
        <v>50</v>
      </c>
      <c r="I1281" t="s">
        <v>34</v>
      </c>
      <c r="J1281" t="s">
        <v>51</v>
      </c>
      <c r="K1281" t="s">
        <v>41</v>
      </c>
      <c r="L1281" t="s">
        <v>52</v>
      </c>
      <c r="M1281" t="s">
        <v>6719</v>
      </c>
      <c r="N1281" t="s">
        <v>4904</v>
      </c>
      <c r="O1281" t="s">
        <v>91</v>
      </c>
      <c r="P1281" t="s">
        <v>6720</v>
      </c>
      <c r="Q1281" s="14" t="s">
        <v>72</v>
      </c>
      <c r="R1281" t="s">
        <v>5138</v>
      </c>
      <c r="S1281">
        <v>3.58</v>
      </c>
      <c r="T1281">
        <v>7297</v>
      </c>
      <c r="U1281">
        <v>0</v>
      </c>
      <c r="V1281">
        <v>7297</v>
      </c>
    </row>
    <row r="1282" spans="1:22" x14ac:dyDescent="0.3">
      <c r="A1282">
        <v>186607</v>
      </c>
      <c r="B1282">
        <v>135254422</v>
      </c>
      <c r="C1282" t="s">
        <v>6721</v>
      </c>
      <c r="D1282" t="s">
        <v>6722</v>
      </c>
      <c r="E1282" t="s">
        <v>4901</v>
      </c>
      <c r="F1282" t="s">
        <v>491</v>
      </c>
      <c r="G1282" t="s">
        <v>49</v>
      </c>
      <c r="H1282" t="s">
        <v>50</v>
      </c>
      <c r="I1282" t="s">
        <v>34</v>
      </c>
      <c r="J1282" t="s">
        <v>51</v>
      </c>
      <c r="K1282" t="s">
        <v>41</v>
      </c>
      <c r="L1282" t="s">
        <v>52</v>
      </c>
      <c r="M1282" t="s">
        <v>6723</v>
      </c>
      <c r="N1282" t="s">
        <v>4904</v>
      </c>
      <c r="O1282" t="s">
        <v>91</v>
      </c>
      <c r="P1282" t="s">
        <v>6724</v>
      </c>
      <c r="Q1282" s="14" t="s">
        <v>47</v>
      </c>
      <c r="R1282" t="s">
        <v>5155</v>
      </c>
      <c r="S1282">
        <v>4.54</v>
      </c>
      <c r="T1282">
        <v>4537</v>
      </c>
      <c r="U1282">
        <v>0</v>
      </c>
      <c r="V1282">
        <v>4537</v>
      </c>
    </row>
    <row r="1283" spans="1:22" x14ac:dyDescent="0.3">
      <c r="A1283">
        <v>186607</v>
      </c>
      <c r="B1283">
        <v>135297291</v>
      </c>
      <c r="C1283" t="s">
        <v>6725</v>
      </c>
      <c r="D1283" t="s">
        <v>6726</v>
      </c>
      <c r="E1283" t="s">
        <v>4901</v>
      </c>
      <c r="F1283" t="s">
        <v>491</v>
      </c>
      <c r="G1283" t="s">
        <v>49</v>
      </c>
      <c r="H1283" t="s">
        <v>50</v>
      </c>
      <c r="I1283" t="s">
        <v>34</v>
      </c>
      <c r="J1283" t="s">
        <v>51</v>
      </c>
      <c r="K1283" t="s">
        <v>41</v>
      </c>
      <c r="L1283" t="s">
        <v>52</v>
      </c>
      <c r="M1283" t="s">
        <v>6727</v>
      </c>
      <c r="N1283" t="s">
        <v>4904</v>
      </c>
      <c r="O1283" t="s">
        <v>91</v>
      </c>
      <c r="P1283" t="s">
        <v>6728</v>
      </c>
      <c r="Q1283" s="14" t="s">
        <v>193</v>
      </c>
      <c r="R1283" t="s">
        <v>5063</v>
      </c>
      <c r="S1283">
        <v>3.9</v>
      </c>
      <c r="T1283">
        <v>7449</v>
      </c>
      <c r="U1283">
        <v>0</v>
      </c>
      <c r="V1283">
        <v>7449</v>
      </c>
    </row>
    <row r="1284" spans="1:22" x14ac:dyDescent="0.3">
      <c r="A1284">
        <v>186607</v>
      </c>
      <c r="B1284">
        <v>135336909</v>
      </c>
      <c r="C1284" t="s">
        <v>6729</v>
      </c>
      <c r="D1284" t="s">
        <v>6730</v>
      </c>
      <c r="E1284" t="s">
        <v>4901</v>
      </c>
      <c r="F1284" t="s">
        <v>491</v>
      </c>
      <c r="G1284" t="s">
        <v>49</v>
      </c>
      <c r="H1284" t="s">
        <v>50</v>
      </c>
      <c r="I1284" t="s">
        <v>34</v>
      </c>
      <c r="J1284" t="s">
        <v>51</v>
      </c>
      <c r="K1284" t="s">
        <v>41</v>
      </c>
      <c r="L1284" t="s">
        <v>52</v>
      </c>
      <c r="M1284" t="s">
        <v>6731</v>
      </c>
      <c r="N1284" t="s">
        <v>4904</v>
      </c>
      <c r="O1284" t="s">
        <v>91</v>
      </c>
      <c r="P1284" t="s">
        <v>6732</v>
      </c>
      <c r="Q1284" s="14" t="s">
        <v>136</v>
      </c>
      <c r="R1284" t="s">
        <v>4932</v>
      </c>
      <c r="S1284">
        <v>4.6900000000000004</v>
      </c>
      <c r="T1284">
        <v>8439</v>
      </c>
      <c r="U1284">
        <v>0</v>
      </c>
      <c r="V1284">
        <v>8439</v>
      </c>
    </row>
    <row r="1285" spans="1:22" x14ac:dyDescent="0.3">
      <c r="A1285">
        <v>186607</v>
      </c>
      <c r="B1285">
        <v>135312519</v>
      </c>
      <c r="C1285" t="s">
        <v>6733</v>
      </c>
      <c r="D1285" t="s">
        <v>6734</v>
      </c>
      <c r="E1285" t="s">
        <v>4901</v>
      </c>
      <c r="F1285" t="s">
        <v>491</v>
      </c>
      <c r="G1285" t="s">
        <v>49</v>
      </c>
      <c r="H1285" t="s">
        <v>50</v>
      </c>
      <c r="I1285" t="s">
        <v>34</v>
      </c>
      <c r="J1285" t="s">
        <v>51</v>
      </c>
      <c r="K1285" t="s">
        <v>41</v>
      </c>
      <c r="L1285" t="s">
        <v>52</v>
      </c>
      <c r="M1285" t="s">
        <v>6735</v>
      </c>
      <c r="N1285" t="s">
        <v>4904</v>
      </c>
      <c r="O1285" t="s">
        <v>91</v>
      </c>
      <c r="P1285" t="s">
        <v>6736</v>
      </c>
      <c r="Q1285" s="14" t="s">
        <v>65</v>
      </c>
      <c r="R1285" t="s">
        <v>5138</v>
      </c>
      <c r="S1285">
        <v>4.7300000000000004</v>
      </c>
      <c r="T1285">
        <v>7224</v>
      </c>
      <c r="U1285">
        <v>0</v>
      </c>
      <c r="V1285">
        <v>7224</v>
      </c>
    </row>
    <row r="1286" spans="1:22" x14ac:dyDescent="0.3">
      <c r="A1286">
        <v>186607</v>
      </c>
      <c r="B1286">
        <v>135377484</v>
      </c>
      <c r="C1286" t="s">
        <v>6737</v>
      </c>
      <c r="D1286" t="s">
        <v>6738</v>
      </c>
      <c r="E1286" t="s">
        <v>4901</v>
      </c>
      <c r="F1286" t="s">
        <v>491</v>
      </c>
      <c r="G1286" t="s">
        <v>49</v>
      </c>
      <c r="H1286" t="s">
        <v>50</v>
      </c>
      <c r="I1286" t="s">
        <v>34</v>
      </c>
      <c r="J1286" t="s">
        <v>51</v>
      </c>
      <c r="K1286" t="s">
        <v>41</v>
      </c>
      <c r="L1286" t="s">
        <v>52</v>
      </c>
      <c r="M1286" t="s">
        <v>6739</v>
      </c>
      <c r="N1286" t="s">
        <v>4904</v>
      </c>
      <c r="O1286" t="s">
        <v>91</v>
      </c>
      <c r="P1286" t="s">
        <v>6740</v>
      </c>
      <c r="Q1286" s="14" t="s">
        <v>75</v>
      </c>
      <c r="R1286" t="s">
        <v>4944</v>
      </c>
      <c r="S1286">
        <v>4.99</v>
      </c>
      <c r="T1286">
        <v>4537</v>
      </c>
      <c r="U1286">
        <v>0</v>
      </c>
      <c r="V1286">
        <v>4537</v>
      </c>
    </row>
    <row r="1287" spans="1:22" x14ac:dyDescent="0.3">
      <c r="A1287">
        <v>186607</v>
      </c>
      <c r="B1287">
        <v>135312529</v>
      </c>
      <c r="C1287" t="s">
        <v>6741</v>
      </c>
      <c r="D1287" t="s">
        <v>6742</v>
      </c>
      <c r="E1287" t="s">
        <v>4901</v>
      </c>
      <c r="F1287" t="s">
        <v>491</v>
      </c>
      <c r="G1287" t="s">
        <v>49</v>
      </c>
      <c r="H1287" t="s">
        <v>50</v>
      </c>
      <c r="I1287" t="s">
        <v>34</v>
      </c>
      <c r="J1287" t="s">
        <v>51</v>
      </c>
      <c r="K1287" t="s">
        <v>41</v>
      </c>
      <c r="L1287" t="s">
        <v>52</v>
      </c>
      <c r="M1287" t="s">
        <v>6743</v>
      </c>
      <c r="N1287" t="s">
        <v>4904</v>
      </c>
      <c r="O1287" t="s">
        <v>91</v>
      </c>
      <c r="P1287" t="s">
        <v>6744</v>
      </c>
      <c r="Q1287" s="14" t="s">
        <v>171</v>
      </c>
      <c r="R1287" t="s">
        <v>5138</v>
      </c>
      <c r="S1287">
        <v>4.62</v>
      </c>
      <c r="T1287">
        <v>4537</v>
      </c>
      <c r="U1287">
        <v>0</v>
      </c>
      <c r="V1287">
        <v>4537</v>
      </c>
    </row>
    <row r="1288" spans="1:22" x14ac:dyDescent="0.3">
      <c r="A1288">
        <v>186607</v>
      </c>
      <c r="B1288">
        <v>135336911</v>
      </c>
      <c r="C1288" t="s">
        <v>6745</v>
      </c>
      <c r="D1288" t="s">
        <v>6746</v>
      </c>
      <c r="E1288" t="s">
        <v>4901</v>
      </c>
      <c r="F1288" t="s">
        <v>491</v>
      </c>
      <c r="G1288" t="s">
        <v>49</v>
      </c>
      <c r="H1288" t="s">
        <v>50</v>
      </c>
      <c r="I1288" t="s">
        <v>34</v>
      </c>
      <c r="J1288" t="s">
        <v>51</v>
      </c>
      <c r="K1288" t="s">
        <v>41</v>
      </c>
      <c r="L1288" t="s">
        <v>52</v>
      </c>
      <c r="M1288" t="s">
        <v>463</v>
      </c>
      <c r="N1288" t="s">
        <v>4904</v>
      </c>
      <c r="O1288" t="s">
        <v>91</v>
      </c>
      <c r="P1288" t="s">
        <v>6747</v>
      </c>
      <c r="Q1288" s="14" t="s">
        <v>183</v>
      </c>
      <c r="R1288" t="s">
        <v>4932</v>
      </c>
      <c r="S1288">
        <v>4.1100000000000003</v>
      </c>
      <c r="T1288">
        <v>7449</v>
      </c>
      <c r="U1288">
        <v>0</v>
      </c>
      <c r="V1288">
        <v>7449</v>
      </c>
    </row>
    <row r="1289" spans="1:22" x14ac:dyDescent="0.3">
      <c r="A1289">
        <v>186607</v>
      </c>
      <c r="B1289">
        <v>135352772</v>
      </c>
      <c r="C1289" t="s">
        <v>6748</v>
      </c>
      <c r="D1289" t="s">
        <v>6749</v>
      </c>
      <c r="E1289" t="s">
        <v>4901</v>
      </c>
      <c r="F1289" t="s">
        <v>491</v>
      </c>
      <c r="G1289" t="s">
        <v>49</v>
      </c>
      <c r="H1289" t="s">
        <v>50</v>
      </c>
      <c r="I1289" t="s">
        <v>34</v>
      </c>
      <c r="J1289" t="s">
        <v>51</v>
      </c>
      <c r="K1289" t="s">
        <v>41</v>
      </c>
      <c r="L1289" t="s">
        <v>52</v>
      </c>
      <c r="M1289" t="s">
        <v>6750</v>
      </c>
      <c r="N1289" t="s">
        <v>4904</v>
      </c>
      <c r="O1289" t="s">
        <v>91</v>
      </c>
      <c r="P1289" t="s">
        <v>6751</v>
      </c>
      <c r="Q1289" s="14" t="s">
        <v>54</v>
      </c>
      <c r="R1289" t="s">
        <v>4961</v>
      </c>
      <c r="S1289">
        <v>3.18</v>
      </c>
      <c r="T1289">
        <v>7129</v>
      </c>
      <c r="U1289">
        <v>0</v>
      </c>
      <c r="V1289">
        <v>7129</v>
      </c>
    </row>
    <row r="1290" spans="1:22" x14ac:dyDescent="0.3">
      <c r="A1290">
        <v>186607</v>
      </c>
      <c r="B1290">
        <v>135047665</v>
      </c>
      <c r="C1290" t="s">
        <v>6752</v>
      </c>
      <c r="D1290" t="s">
        <v>6753</v>
      </c>
      <c r="E1290" t="s">
        <v>4901</v>
      </c>
      <c r="F1290" t="s">
        <v>491</v>
      </c>
      <c r="G1290" t="s">
        <v>49</v>
      </c>
      <c r="H1290" t="s">
        <v>50</v>
      </c>
      <c r="I1290" t="s">
        <v>34</v>
      </c>
      <c r="J1290" t="s">
        <v>51</v>
      </c>
      <c r="K1290" t="s">
        <v>41</v>
      </c>
      <c r="L1290" t="s">
        <v>52</v>
      </c>
      <c r="M1290" t="s">
        <v>6754</v>
      </c>
      <c r="N1290" t="s">
        <v>4904</v>
      </c>
      <c r="O1290" t="s">
        <v>91</v>
      </c>
      <c r="P1290" t="s">
        <v>6755</v>
      </c>
      <c r="Q1290" s="14" t="s">
        <v>84</v>
      </c>
      <c r="R1290" t="s">
        <v>340</v>
      </c>
      <c r="S1290">
        <v>3.84</v>
      </c>
      <c r="T1290">
        <v>7224</v>
      </c>
      <c r="U1290">
        <v>0</v>
      </c>
      <c r="V1290">
        <v>7224</v>
      </c>
    </row>
    <row r="1291" spans="1:22" x14ac:dyDescent="0.3">
      <c r="A1291">
        <v>186607</v>
      </c>
      <c r="B1291">
        <v>135072455</v>
      </c>
      <c r="C1291" t="s">
        <v>6756</v>
      </c>
      <c r="D1291" t="s">
        <v>6757</v>
      </c>
      <c r="E1291" t="s">
        <v>4901</v>
      </c>
      <c r="F1291" t="s">
        <v>491</v>
      </c>
      <c r="G1291" t="s">
        <v>49</v>
      </c>
      <c r="H1291" t="s">
        <v>50</v>
      </c>
      <c r="I1291" t="s">
        <v>34</v>
      </c>
      <c r="J1291" t="s">
        <v>51</v>
      </c>
      <c r="K1291" t="s">
        <v>41</v>
      </c>
      <c r="L1291" t="s">
        <v>52</v>
      </c>
      <c r="M1291" t="s">
        <v>6758</v>
      </c>
      <c r="N1291" t="s">
        <v>4904</v>
      </c>
      <c r="O1291" t="s">
        <v>91</v>
      </c>
      <c r="P1291" t="s">
        <v>6759</v>
      </c>
      <c r="Q1291" s="14" t="s">
        <v>84</v>
      </c>
      <c r="R1291" t="s">
        <v>4906</v>
      </c>
      <c r="S1291">
        <v>2.04</v>
      </c>
      <c r="T1291">
        <v>7015</v>
      </c>
      <c r="U1291">
        <v>0</v>
      </c>
      <c r="V1291">
        <v>7015</v>
      </c>
    </row>
    <row r="1292" spans="1:22" x14ac:dyDescent="0.3">
      <c r="A1292">
        <v>186607</v>
      </c>
      <c r="B1292">
        <v>135088653</v>
      </c>
      <c r="C1292" t="s">
        <v>6760</v>
      </c>
      <c r="D1292" t="s">
        <v>6761</v>
      </c>
      <c r="E1292" t="s">
        <v>4901</v>
      </c>
      <c r="F1292" t="s">
        <v>491</v>
      </c>
      <c r="G1292" t="s">
        <v>49</v>
      </c>
      <c r="H1292" t="s">
        <v>50</v>
      </c>
      <c r="I1292" t="s">
        <v>34</v>
      </c>
      <c r="J1292" t="s">
        <v>51</v>
      </c>
      <c r="K1292" t="s">
        <v>41</v>
      </c>
      <c r="L1292" t="s">
        <v>52</v>
      </c>
      <c r="M1292" t="s">
        <v>6762</v>
      </c>
      <c r="N1292" t="s">
        <v>4904</v>
      </c>
      <c r="O1292" t="s">
        <v>91</v>
      </c>
      <c r="P1292" t="s">
        <v>6763</v>
      </c>
      <c r="Q1292" s="14" t="s">
        <v>140</v>
      </c>
      <c r="R1292" t="s">
        <v>406</v>
      </c>
      <c r="S1292">
        <v>2.6</v>
      </c>
      <c r="T1292">
        <v>7326</v>
      </c>
      <c r="U1292">
        <v>0</v>
      </c>
      <c r="V1292">
        <v>7326</v>
      </c>
    </row>
    <row r="1293" spans="1:22" x14ac:dyDescent="0.3">
      <c r="A1293">
        <v>186607</v>
      </c>
      <c r="B1293">
        <v>135032322</v>
      </c>
      <c r="C1293" t="s">
        <v>6764</v>
      </c>
      <c r="D1293" t="s">
        <v>6765</v>
      </c>
      <c r="E1293" t="s">
        <v>4901</v>
      </c>
      <c r="F1293" t="s">
        <v>491</v>
      </c>
      <c r="G1293" t="s">
        <v>49</v>
      </c>
      <c r="H1293" t="s">
        <v>50</v>
      </c>
      <c r="I1293" t="s">
        <v>34</v>
      </c>
      <c r="J1293" t="s">
        <v>51</v>
      </c>
      <c r="K1293" t="s">
        <v>41</v>
      </c>
      <c r="L1293" t="s">
        <v>52</v>
      </c>
      <c r="M1293" t="s">
        <v>6766</v>
      </c>
      <c r="N1293" t="s">
        <v>4904</v>
      </c>
      <c r="O1293" t="s">
        <v>91</v>
      </c>
      <c r="P1293" t="s">
        <v>6767</v>
      </c>
      <c r="Q1293" s="14" t="s">
        <v>88</v>
      </c>
      <c r="R1293" t="s">
        <v>5057</v>
      </c>
      <c r="S1293">
        <v>2.08</v>
      </c>
      <c r="T1293">
        <v>6708</v>
      </c>
      <c r="U1293">
        <v>0</v>
      </c>
      <c r="V1293">
        <v>6708</v>
      </c>
    </row>
    <row r="1294" spans="1:22" x14ac:dyDescent="0.3">
      <c r="A1294">
        <v>186607</v>
      </c>
      <c r="B1294">
        <v>135110973</v>
      </c>
      <c r="C1294" t="s">
        <v>6768</v>
      </c>
      <c r="D1294" t="s">
        <v>6769</v>
      </c>
      <c r="E1294" t="s">
        <v>4901</v>
      </c>
      <c r="F1294" t="s">
        <v>491</v>
      </c>
      <c r="G1294" t="s">
        <v>49</v>
      </c>
      <c r="H1294" t="s">
        <v>50</v>
      </c>
      <c r="I1294" t="s">
        <v>34</v>
      </c>
      <c r="J1294" t="s">
        <v>51</v>
      </c>
      <c r="K1294" t="s">
        <v>41</v>
      </c>
      <c r="L1294" t="s">
        <v>52</v>
      </c>
      <c r="M1294" t="s">
        <v>6770</v>
      </c>
      <c r="N1294" t="s">
        <v>4904</v>
      </c>
      <c r="O1294" t="s">
        <v>91</v>
      </c>
      <c r="P1294" t="s">
        <v>6771</v>
      </c>
      <c r="Q1294" s="14" t="s">
        <v>59</v>
      </c>
      <c r="R1294" t="s">
        <v>5479</v>
      </c>
      <c r="S1294">
        <v>2.69</v>
      </c>
      <c r="T1294">
        <v>4168</v>
      </c>
      <c r="U1294">
        <v>0</v>
      </c>
      <c r="V1294">
        <v>4168</v>
      </c>
    </row>
    <row r="1295" spans="1:22" x14ac:dyDescent="0.3">
      <c r="A1295">
        <v>186607</v>
      </c>
      <c r="B1295">
        <v>135159885</v>
      </c>
      <c r="C1295" t="s">
        <v>6772</v>
      </c>
      <c r="D1295" t="s">
        <v>6773</v>
      </c>
      <c r="E1295" t="s">
        <v>4901</v>
      </c>
      <c r="F1295" t="s">
        <v>491</v>
      </c>
      <c r="G1295" t="s">
        <v>49</v>
      </c>
      <c r="H1295" t="s">
        <v>50</v>
      </c>
      <c r="I1295" t="s">
        <v>34</v>
      </c>
      <c r="J1295" t="s">
        <v>51</v>
      </c>
      <c r="K1295" t="s">
        <v>41</v>
      </c>
      <c r="L1295" t="s">
        <v>52</v>
      </c>
      <c r="M1295" t="s">
        <v>6774</v>
      </c>
      <c r="N1295" t="s">
        <v>4904</v>
      </c>
      <c r="O1295" t="s">
        <v>91</v>
      </c>
      <c r="P1295" t="s">
        <v>6775</v>
      </c>
      <c r="Q1295" s="14" t="s">
        <v>204</v>
      </c>
      <c r="R1295" t="s">
        <v>476</v>
      </c>
      <c r="S1295">
        <v>0.65</v>
      </c>
      <c r="T1295">
        <v>6064</v>
      </c>
      <c r="U1295">
        <v>0</v>
      </c>
      <c r="V1295">
        <v>6064</v>
      </c>
    </row>
    <row r="1296" spans="1:22" x14ac:dyDescent="0.3">
      <c r="A1296">
        <v>186607</v>
      </c>
      <c r="B1296">
        <v>135072465</v>
      </c>
      <c r="C1296" t="s">
        <v>6776</v>
      </c>
      <c r="D1296" t="s">
        <v>6777</v>
      </c>
      <c r="E1296" t="s">
        <v>4901</v>
      </c>
      <c r="F1296" t="s">
        <v>491</v>
      </c>
      <c r="G1296" t="s">
        <v>49</v>
      </c>
      <c r="H1296" t="s">
        <v>50</v>
      </c>
      <c r="I1296" t="s">
        <v>34</v>
      </c>
      <c r="J1296" t="s">
        <v>51</v>
      </c>
      <c r="K1296" t="s">
        <v>41</v>
      </c>
      <c r="L1296" t="s">
        <v>52</v>
      </c>
      <c r="M1296" t="s">
        <v>348</v>
      </c>
      <c r="N1296" t="s">
        <v>4904</v>
      </c>
      <c r="O1296" t="s">
        <v>91</v>
      </c>
      <c r="P1296" t="s">
        <v>6778</v>
      </c>
      <c r="Q1296" s="14" t="s">
        <v>138</v>
      </c>
      <c r="R1296" t="s">
        <v>4906</v>
      </c>
      <c r="S1296">
        <v>2.4900000000000002</v>
      </c>
      <c r="T1296">
        <v>6800</v>
      </c>
      <c r="U1296">
        <v>0</v>
      </c>
      <c r="V1296">
        <v>6800</v>
      </c>
    </row>
    <row r="1297" spans="1:22" x14ac:dyDescent="0.3">
      <c r="A1297">
        <v>186607</v>
      </c>
      <c r="B1297">
        <v>134941009</v>
      </c>
      <c r="C1297" t="s">
        <v>6779</v>
      </c>
      <c r="D1297" t="s">
        <v>6780</v>
      </c>
      <c r="E1297" t="s">
        <v>4901</v>
      </c>
      <c r="F1297" t="s">
        <v>491</v>
      </c>
      <c r="G1297" t="s">
        <v>49</v>
      </c>
      <c r="H1297" t="s">
        <v>50</v>
      </c>
      <c r="I1297" t="s">
        <v>34</v>
      </c>
      <c r="J1297" t="s">
        <v>51</v>
      </c>
      <c r="K1297" t="s">
        <v>41</v>
      </c>
      <c r="L1297" t="s">
        <v>52</v>
      </c>
      <c r="M1297" t="s">
        <v>6781</v>
      </c>
      <c r="N1297" t="s">
        <v>4904</v>
      </c>
      <c r="O1297" t="s">
        <v>91</v>
      </c>
      <c r="P1297" t="s">
        <v>6782</v>
      </c>
      <c r="Q1297" s="14" t="s">
        <v>88</v>
      </c>
      <c r="R1297" t="s">
        <v>5610</v>
      </c>
      <c r="S1297">
        <v>1.98</v>
      </c>
      <c r="T1297">
        <v>6708</v>
      </c>
      <c r="U1297">
        <v>0</v>
      </c>
      <c r="V1297">
        <v>6708</v>
      </c>
    </row>
    <row r="1298" spans="1:22" x14ac:dyDescent="0.3">
      <c r="A1298">
        <v>186607</v>
      </c>
      <c r="B1298">
        <v>135088672</v>
      </c>
      <c r="C1298" t="s">
        <v>6783</v>
      </c>
      <c r="D1298" t="s">
        <v>6784</v>
      </c>
      <c r="E1298" t="s">
        <v>4901</v>
      </c>
      <c r="F1298" t="s">
        <v>491</v>
      </c>
      <c r="G1298" t="s">
        <v>49</v>
      </c>
      <c r="H1298" t="s">
        <v>50</v>
      </c>
      <c r="I1298" t="s">
        <v>34</v>
      </c>
      <c r="J1298" t="s">
        <v>51</v>
      </c>
      <c r="K1298" t="s">
        <v>41</v>
      </c>
      <c r="L1298" t="s">
        <v>52</v>
      </c>
      <c r="M1298" t="s">
        <v>6785</v>
      </c>
      <c r="N1298" t="s">
        <v>4904</v>
      </c>
      <c r="O1298" t="s">
        <v>91</v>
      </c>
      <c r="P1298" t="s">
        <v>6786</v>
      </c>
      <c r="Q1298" s="14" t="s">
        <v>88</v>
      </c>
      <c r="R1298" t="s">
        <v>406</v>
      </c>
      <c r="S1298">
        <v>2.2799999999999998</v>
      </c>
      <c r="T1298">
        <v>6708</v>
      </c>
      <c r="U1298">
        <v>0</v>
      </c>
      <c r="V1298">
        <v>6708</v>
      </c>
    </row>
    <row r="1299" spans="1:22" x14ac:dyDescent="0.3">
      <c r="A1299">
        <v>186607</v>
      </c>
      <c r="B1299">
        <v>134941018</v>
      </c>
      <c r="C1299" t="s">
        <v>6787</v>
      </c>
      <c r="D1299" t="s">
        <v>6788</v>
      </c>
      <c r="E1299" t="s">
        <v>4901</v>
      </c>
      <c r="F1299" t="s">
        <v>491</v>
      </c>
      <c r="G1299" t="s">
        <v>49</v>
      </c>
      <c r="H1299" t="s">
        <v>50</v>
      </c>
      <c r="I1299" t="s">
        <v>34</v>
      </c>
      <c r="J1299" t="s">
        <v>51</v>
      </c>
      <c r="K1299" t="s">
        <v>41</v>
      </c>
      <c r="L1299" t="s">
        <v>52</v>
      </c>
      <c r="M1299" t="s">
        <v>128</v>
      </c>
      <c r="N1299" t="s">
        <v>4904</v>
      </c>
      <c r="O1299" t="s">
        <v>91</v>
      </c>
      <c r="P1299" t="s">
        <v>6789</v>
      </c>
      <c r="Q1299" s="14" t="s">
        <v>196</v>
      </c>
      <c r="R1299" t="s">
        <v>5610</v>
      </c>
      <c r="S1299">
        <v>2.1</v>
      </c>
      <c r="T1299">
        <v>6708</v>
      </c>
      <c r="U1299">
        <v>0</v>
      </c>
      <c r="V1299">
        <v>6708</v>
      </c>
    </row>
    <row r="1300" spans="1:22" x14ac:dyDescent="0.3">
      <c r="A1300">
        <v>186607</v>
      </c>
      <c r="B1300">
        <v>134981769</v>
      </c>
      <c r="C1300" t="s">
        <v>6790</v>
      </c>
      <c r="D1300" t="s">
        <v>6791</v>
      </c>
      <c r="E1300" t="s">
        <v>4901</v>
      </c>
      <c r="F1300" t="s">
        <v>491</v>
      </c>
      <c r="G1300" t="s">
        <v>49</v>
      </c>
      <c r="H1300" t="s">
        <v>50</v>
      </c>
      <c r="I1300" t="s">
        <v>34</v>
      </c>
      <c r="J1300" t="s">
        <v>51</v>
      </c>
      <c r="K1300" t="s">
        <v>41</v>
      </c>
      <c r="L1300" t="s">
        <v>52</v>
      </c>
      <c r="M1300" t="s">
        <v>6792</v>
      </c>
      <c r="N1300" t="s">
        <v>4904</v>
      </c>
      <c r="O1300" t="s">
        <v>91</v>
      </c>
      <c r="P1300" t="s">
        <v>6793</v>
      </c>
      <c r="Q1300" s="14" t="s">
        <v>110</v>
      </c>
      <c r="R1300" t="s">
        <v>381</v>
      </c>
      <c r="S1300">
        <v>4.49</v>
      </c>
      <c r="T1300">
        <v>4537</v>
      </c>
      <c r="U1300">
        <v>0</v>
      </c>
      <c r="V1300">
        <v>4537</v>
      </c>
    </row>
    <row r="1301" spans="1:22" x14ac:dyDescent="0.3">
      <c r="A1301">
        <v>186607</v>
      </c>
      <c r="B1301">
        <v>135002174</v>
      </c>
      <c r="C1301" t="s">
        <v>6794</v>
      </c>
      <c r="D1301" t="s">
        <v>6795</v>
      </c>
      <c r="E1301" t="s">
        <v>4901</v>
      </c>
      <c r="F1301" t="s">
        <v>491</v>
      </c>
      <c r="G1301" t="s">
        <v>49</v>
      </c>
      <c r="H1301" t="s">
        <v>50</v>
      </c>
      <c r="I1301" t="s">
        <v>34</v>
      </c>
      <c r="J1301" t="s">
        <v>51</v>
      </c>
      <c r="K1301" t="s">
        <v>41</v>
      </c>
      <c r="L1301" t="s">
        <v>52</v>
      </c>
      <c r="M1301" t="s">
        <v>6796</v>
      </c>
      <c r="N1301" t="s">
        <v>4904</v>
      </c>
      <c r="O1301" t="s">
        <v>91</v>
      </c>
      <c r="P1301" t="s">
        <v>6797</v>
      </c>
      <c r="Q1301" s="14" t="s">
        <v>227</v>
      </c>
      <c r="R1301" t="s">
        <v>453</v>
      </c>
      <c r="S1301">
        <v>10.84</v>
      </c>
      <c r="T1301">
        <v>10732</v>
      </c>
      <c r="U1301">
        <v>0</v>
      </c>
      <c r="V1301">
        <v>10732</v>
      </c>
    </row>
    <row r="1302" spans="1:22" x14ac:dyDescent="0.3">
      <c r="A1302">
        <v>186607</v>
      </c>
      <c r="B1302">
        <v>135145160</v>
      </c>
      <c r="C1302" t="s">
        <v>6798</v>
      </c>
      <c r="D1302" t="s">
        <v>6799</v>
      </c>
      <c r="E1302" t="s">
        <v>4901</v>
      </c>
      <c r="F1302" t="s">
        <v>491</v>
      </c>
      <c r="G1302" t="s">
        <v>49</v>
      </c>
      <c r="H1302" t="s">
        <v>50</v>
      </c>
      <c r="I1302" t="s">
        <v>34</v>
      </c>
      <c r="J1302" t="s">
        <v>51</v>
      </c>
      <c r="K1302" t="s">
        <v>41</v>
      </c>
      <c r="L1302" t="s">
        <v>52</v>
      </c>
      <c r="M1302" t="s">
        <v>6800</v>
      </c>
      <c r="N1302" t="s">
        <v>4904</v>
      </c>
      <c r="O1302" t="s">
        <v>91</v>
      </c>
      <c r="P1302" t="s">
        <v>6801</v>
      </c>
      <c r="Q1302" s="14" t="s">
        <v>59</v>
      </c>
      <c r="R1302" t="s">
        <v>4938</v>
      </c>
      <c r="S1302">
        <v>2.23</v>
      </c>
      <c r="T1302">
        <v>4168</v>
      </c>
      <c r="U1302">
        <v>0</v>
      </c>
      <c r="V1302">
        <v>4168</v>
      </c>
    </row>
    <row r="1303" spans="1:22" x14ac:dyDescent="0.3">
      <c r="A1303">
        <v>186607</v>
      </c>
      <c r="B1303">
        <v>135123789</v>
      </c>
      <c r="C1303" t="s">
        <v>6802</v>
      </c>
      <c r="D1303" t="s">
        <v>6803</v>
      </c>
      <c r="E1303" t="s">
        <v>4901</v>
      </c>
      <c r="F1303" t="s">
        <v>491</v>
      </c>
      <c r="G1303" t="s">
        <v>49</v>
      </c>
      <c r="H1303" t="s">
        <v>50</v>
      </c>
      <c r="I1303" t="s">
        <v>34</v>
      </c>
      <c r="J1303" t="s">
        <v>51</v>
      </c>
      <c r="K1303" t="s">
        <v>41</v>
      </c>
      <c r="L1303" t="s">
        <v>52</v>
      </c>
      <c r="M1303" t="s">
        <v>6804</v>
      </c>
      <c r="N1303" t="s">
        <v>4904</v>
      </c>
      <c r="O1303" t="s">
        <v>91</v>
      </c>
      <c r="P1303" t="s">
        <v>6805</v>
      </c>
      <c r="Q1303" s="14" t="s">
        <v>59</v>
      </c>
      <c r="R1303" t="s">
        <v>5503</v>
      </c>
      <c r="S1303">
        <v>2.63</v>
      </c>
      <c r="T1303">
        <v>4168</v>
      </c>
      <c r="U1303">
        <v>0</v>
      </c>
      <c r="V1303">
        <v>4168</v>
      </c>
    </row>
    <row r="1304" spans="1:22" x14ac:dyDescent="0.3">
      <c r="A1304">
        <v>186607</v>
      </c>
      <c r="B1304">
        <v>134902092</v>
      </c>
      <c r="C1304" t="s">
        <v>6806</v>
      </c>
      <c r="D1304" t="s">
        <v>6807</v>
      </c>
      <c r="E1304" t="s">
        <v>4901</v>
      </c>
      <c r="F1304" t="s">
        <v>491</v>
      </c>
      <c r="G1304" t="s">
        <v>49</v>
      </c>
      <c r="H1304" t="s">
        <v>50</v>
      </c>
      <c r="I1304" t="s">
        <v>34</v>
      </c>
      <c r="J1304" t="s">
        <v>51</v>
      </c>
      <c r="K1304" t="s">
        <v>41</v>
      </c>
      <c r="L1304" t="s">
        <v>52</v>
      </c>
      <c r="M1304" t="s">
        <v>6808</v>
      </c>
      <c r="N1304" t="s">
        <v>4904</v>
      </c>
      <c r="O1304" t="s">
        <v>91</v>
      </c>
      <c r="P1304" t="s">
        <v>6809</v>
      </c>
      <c r="Q1304" s="14" t="s">
        <v>190</v>
      </c>
      <c r="R1304" t="s">
        <v>5917</v>
      </c>
      <c r="S1304">
        <v>4.55</v>
      </c>
      <c r="T1304">
        <v>7297</v>
      </c>
      <c r="U1304">
        <v>0</v>
      </c>
      <c r="V1304">
        <v>7297</v>
      </c>
    </row>
    <row r="1305" spans="1:22" x14ac:dyDescent="0.3">
      <c r="A1305">
        <v>186607</v>
      </c>
      <c r="B1305">
        <v>134814284</v>
      </c>
      <c r="C1305" t="s">
        <v>6810</v>
      </c>
      <c r="D1305" t="s">
        <v>6811</v>
      </c>
      <c r="E1305" t="s">
        <v>4901</v>
      </c>
      <c r="F1305" t="s">
        <v>491</v>
      </c>
      <c r="G1305" t="s">
        <v>49</v>
      </c>
      <c r="H1305" t="s">
        <v>50</v>
      </c>
      <c r="I1305" t="s">
        <v>34</v>
      </c>
      <c r="J1305" t="s">
        <v>51</v>
      </c>
      <c r="K1305" t="s">
        <v>41</v>
      </c>
      <c r="L1305" t="s">
        <v>52</v>
      </c>
      <c r="M1305" t="s">
        <v>6812</v>
      </c>
      <c r="N1305" t="s">
        <v>4904</v>
      </c>
      <c r="O1305" t="s">
        <v>91</v>
      </c>
      <c r="P1305" t="s">
        <v>6813</v>
      </c>
      <c r="Q1305" s="14" t="s">
        <v>101</v>
      </c>
      <c r="R1305" t="s">
        <v>5269</v>
      </c>
      <c r="S1305">
        <v>2.73</v>
      </c>
      <c r="T1305">
        <v>6800</v>
      </c>
      <c r="U1305">
        <v>0</v>
      </c>
      <c r="V1305">
        <v>6800</v>
      </c>
    </row>
    <row r="1306" spans="1:22" x14ac:dyDescent="0.3">
      <c r="A1306">
        <v>186607</v>
      </c>
      <c r="B1306">
        <v>134877792</v>
      </c>
      <c r="C1306" t="s">
        <v>6814</v>
      </c>
      <c r="D1306" t="s">
        <v>6815</v>
      </c>
      <c r="E1306" t="s">
        <v>4901</v>
      </c>
      <c r="F1306" t="s">
        <v>491</v>
      </c>
      <c r="G1306" t="s">
        <v>49</v>
      </c>
      <c r="H1306" t="s">
        <v>50</v>
      </c>
      <c r="I1306" t="s">
        <v>34</v>
      </c>
      <c r="J1306" t="s">
        <v>51</v>
      </c>
      <c r="K1306" t="s">
        <v>41</v>
      </c>
      <c r="L1306" t="s">
        <v>52</v>
      </c>
      <c r="M1306" t="s">
        <v>6816</v>
      </c>
      <c r="N1306" t="s">
        <v>4904</v>
      </c>
      <c r="O1306" t="s">
        <v>91</v>
      </c>
      <c r="P1306" t="s">
        <v>6817</v>
      </c>
      <c r="Q1306" s="14" t="s">
        <v>171</v>
      </c>
      <c r="R1306" t="s">
        <v>327</v>
      </c>
      <c r="S1306">
        <v>2.2200000000000002</v>
      </c>
      <c r="T1306">
        <v>4168</v>
      </c>
      <c r="U1306">
        <v>0</v>
      </c>
      <c r="V1306">
        <v>4168</v>
      </c>
    </row>
    <row r="1307" spans="1:22" x14ac:dyDescent="0.3">
      <c r="A1307">
        <v>186607</v>
      </c>
      <c r="B1307">
        <v>134781071</v>
      </c>
      <c r="C1307" t="s">
        <v>6818</v>
      </c>
      <c r="D1307" t="s">
        <v>6819</v>
      </c>
      <c r="E1307" t="s">
        <v>4901</v>
      </c>
      <c r="F1307" t="s">
        <v>491</v>
      </c>
      <c r="G1307" t="s">
        <v>49</v>
      </c>
      <c r="H1307" t="s">
        <v>50</v>
      </c>
      <c r="I1307" t="s">
        <v>34</v>
      </c>
      <c r="J1307" t="s">
        <v>51</v>
      </c>
      <c r="K1307" t="s">
        <v>41</v>
      </c>
      <c r="L1307" t="s">
        <v>52</v>
      </c>
      <c r="M1307" t="s">
        <v>6820</v>
      </c>
      <c r="N1307" t="s">
        <v>4904</v>
      </c>
      <c r="O1307" t="s">
        <v>91</v>
      </c>
      <c r="P1307" t="s">
        <v>6821</v>
      </c>
      <c r="Q1307" s="14" t="s">
        <v>101</v>
      </c>
      <c r="R1307" t="s">
        <v>293</v>
      </c>
      <c r="S1307">
        <v>4.5199999999999996</v>
      </c>
      <c r="T1307">
        <v>6998</v>
      </c>
      <c r="U1307">
        <v>0</v>
      </c>
      <c r="V1307">
        <v>6998</v>
      </c>
    </row>
    <row r="1308" spans="1:22" x14ac:dyDescent="0.3">
      <c r="A1308">
        <v>186607</v>
      </c>
      <c r="B1308">
        <v>134860947</v>
      </c>
      <c r="C1308" t="s">
        <v>6822</v>
      </c>
      <c r="D1308" t="s">
        <v>6823</v>
      </c>
      <c r="E1308" t="s">
        <v>4901</v>
      </c>
      <c r="F1308" t="s">
        <v>491</v>
      </c>
      <c r="G1308" t="s">
        <v>49</v>
      </c>
      <c r="H1308" t="s">
        <v>50</v>
      </c>
      <c r="I1308" t="s">
        <v>34</v>
      </c>
      <c r="J1308" t="s">
        <v>51</v>
      </c>
      <c r="K1308" t="s">
        <v>41</v>
      </c>
      <c r="L1308" t="s">
        <v>52</v>
      </c>
      <c r="M1308" t="s">
        <v>6824</v>
      </c>
      <c r="N1308" t="s">
        <v>4904</v>
      </c>
      <c r="O1308" t="s">
        <v>91</v>
      </c>
      <c r="P1308" t="s">
        <v>6825</v>
      </c>
      <c r="Q1308" s="14" t="s">
        <v>88</v>
      </c>
      <c r="R1308" t="s">
        <v>5886</v>
      </c>
      <c r="S1308">
        <v>4.88</v>
      </c>
      <c r="T1308">
        <v>7943</v>
      </c>
      <c r="U1308">
        <v>0</v>
      </c>
      <c r="V1308">
        <v>7943</v>
      </c>
    </row>
    <row r="1309" spans="1:22" x14ac:dyDescent="0.3">
      <c r="A1309">
        <v>186607</v>
      </c>
      <c r="B1309">
        <v>134732193</v>
      </c>
      <c r="C1309" t="s">
        <v>6826</v>
      </c>
      <c r="D1309" t="s">
        <v>6827</v>
      </c>
      <c r="E1309" t="s">
        <v>4901</v>
      </c>
      <c r="F1309" t="s">
        <v>491</v>
      </c>
      <c r="G1309" t="s">
        <v>49</v>
      </c>
      <c r="H1309" t="s">
        <v>50</v>
      </c>
      <c r="I1309" t="s">
        <v>34</v>
      </c>
      <c r="J1309" t="s">
        <v>51</v>
      </c>
      <c r="K1309" t="s">
        <v>41</v>
      </c>
      <c r="L1309" t="s">
        <v>52</v>
      </c>
      <c r="M1309" t="s">
        <v>6828</v>
      </c>
      <c r="N1309" t="s">
        <v>4904</v>
      </c>
      <c r="O1309" t="s">
        <v>91</v>
      </c>
      <c r="P1309" t="s">
        <v>6829</v>
      </c>
      <c r="Q1309" s="14" t="s">
        <v>110</v>
      </c>
      <c r="R1309" t="s">
        <v>454</v>
      </c>
      <c r="S1309">
        <v>3.45</v>
      </c>
      <c r="T1309">
        <v>4537</v>
      </c>
      <c r="U1309">
        <v>0</v>
      </c>
      <c r="V1309">
        <v>4537</v>
      </c>
    </row>
    <row r="1310" spans="1:22" x14ac:dyDescent="0.3">
      <c r="A1310">
        <v>186607</v>
      </c>
      <c r="B1310">
        <v>134502137</v>
      </c>
      <c r="C1310" t="s">
        <v>6830</v>
      </c>
      <c r="D1310" t="s">
        <v>6831</v>
      </c>
      <c r="E1310" t="s">
        <v>4901</v>
      </c>
      <c r="F1310" t="s">
        <v>491</v>
      </c>
      <c r="G1310" t="s">
        <v>49</v>
      </c>
      <c r="H1310" t="s">
        <v>50</v>
      </c>
      <c r="I1310" t="s">
        <v>34</v>
      </c>
      <c r="J1310" t="s">
        <v>51</v>
      </c>
      <c r="K1310" t="s">
        <v>41</v>
      </c>
      <c r="L1310" t="s">
        <v>52</v>
      </c>
      <c r="M1310" t="s">
        <v>6832</v>
      </c>
      <c r="N1310" t="s">
        <v>4904</v>
      </c>
      <c r="O1310" t="s">
        <v>91</v>
      </c>
      <c r="P1310" t="s">
        <v>6833</v>
      </c>
      <c r="Q1310" s="14" t="s">
        <v>110</v>
      </c>
      <c r="R1310" t="s">
        <v>5978</v>
      </c>
      <c r="S1310">
        <v>4.66</v>
      </c>
      <c r="T1310">
        <v>4537</v>
      </c>
      <c r="U1310">
        <v>0</v>
      </c>
      <c r="V1310">
        <v>4537</v>
      </c>
    </row>
    <row r="1311" spans="1:22" x14ac:dyDescent="0.3">
      <c r="A1311">
        <v>186607</v>
      </c>
      <c r="B1311">
        <v>134588840</v>
      </c>
      <c r="C1311" t="s">
        <v>6834</v>
      </c>
      <c r="D1311" t="s">
        <v>6835</v>
      </c>
      <c r="E1311" t="s">
        <v>4901</v>
      </c>
      <c r="F1311" t="s">
        <v>491</v>
      </c>
      <c r="G1311" t="s">
        <v>49</v>
      </c>
      <c r="H1311" t="s">
        <v>50</v>
      </c>
      <c r="I1311" t="s">
        <v>34</v>
      </c>
      <c r="J1311" t="s">
        <v>51</v>
      </c>
      <c r="K1311" t="s">
        <v>41</v>
      </c>
      <c r="L1311" t="s">
        <v>52</v>
      </c>
      <c r="M1311" t="s">
        <v>6836</v>
      </c>
      <c r="N1311" t="s">
        <v>4904</v>
      </c>
      <c r="O1311" t="s">
        <v>91</v>
      </c>
      <c r="P1311" t="s">
        <v>6837</v>
      </c>
      <c r="Q1311" s="14" t="s">
        <v>75</v>
      </c>
      <c r="R1311" t="s">
        <v>351</v>
      </c>
      <c r="S1311">
        <v>4.97</v>
      </c>
      <c r="T1311">
        <v>4537</v>
      </c>
      <c r="U1311">
        <v>0</v>
      </c>
      <c r="V1311">
        <v>4537</v>
      </c>
    </row>
    <row r="1312" spans="1:22" x14ac:dyDescent="0.3">
      <c r="A1312">
        <v>186607</v>
      </c>
      <c r="B1312">
        <v>134709704</v>
      </c>
      <c r="C1312" t="s">
        <v>6838</v>
      </c>
      <c r="D1312" t="s">
        <v>6839</v>
      </c>
      <c r="E1312" t="s">
        <v>4901</v>
      </c>
      <c r="F1312" t="s">
        <v>491</v>
      </c>
      <c r="G1312" t="s">
        <v>49</v>
      </c>
      <c r="H1312" t="s">
        <v>50</v>
      </c>
      <c r="I1312" t="s">
        <v>34</v>
      </c>
      <c r="J1312" t="s">
        <v>51</v>
      </c>
      <c r="K1312" t="s">
        <v>41</v>
      </c>
      <c r="L1312" t="s">
        <v>52</v>
      </c>
      <c r="M1312" t="s">
        <v>6840</v>
      </c>
      <c r="N1312" t="s">
        <v>4904</v>
      </c>
      <c r="O1312" t="s">
        <v>91</v>
      </c>
      <c r="P1312" t="s">
        <v>6841</v>
      </c>
      <c r="Q1312" s="14" t="s">
        <v>143</v>
      </c>
      <c r="R1312" t="s">
        <v>5383</v>
      </c>
      <c r="S1312">
        <v>4.4400000000000004</v>
      </c>
      <c r="T1312">
        <v>4537</v>
      </c>
      <c r="U1312">
        <v>0</v>
      </c>
      <c r="V1312">
        <v>4537</v>
      </c>
    </row>
    <row r="1313" spans="1:22" x14ac:dyDescent="0.3">
      <c r="A1313">
        <v>186607</v>
      </c>
      <c r="B1313">
        <v>134709711</v>
      </c>
      <c r="C1313" t="s">
        <v>6842</v>
      </c>
      <c r="D1313" t="s">
        <v>6843</v>
      </c>
      <c r="E1313" t="s">
        <v>4901</v>
      </c>
      <c r="F1313" t="s">
        <v>491</v>
      </c>
      <c r="G1313" t="s">
        <v>49</v>
      </c>
      <c r="H1313" t="s">
        <v>50</v>
      </c>
      <c r="I1313" t="s">
        <v>34</v>
      </c>
      <c r="J1313" t="s">
        <v>51</v>
      </c>
      <c r="K1313" t="s">
        <v>41</v>
      </c>
      <c r="L1313" t="s">
        <v>52</v>
      </c>
      <c r="M1313" t="s">
        <v>6844</v>
      </c>
      <c r="N1313" t="s">
        <v>4904</v>
      </c>
      <c r="O1313" t="s">
        <v>91</v>
      </c>
      <c r="P1313" t="s">
        <v>6845</v>
      </c>
      <c r="Q1313" s="14" t="s">
        <v>211</v>
      </c>
      <c r="R1313" t="s">
        <v>5383</v>
      </c>
      <c r="S1313">
        <v>2.17</v>
      </c>
      <c r="T1313">
        <v>7015</v>
      </c>
      <c r="U1313">
        <v>0</v>
      </c>
      <c r="V1313">
        <v>7015</v>
      </c>
    </row>
    <row r="1314" spans="1:22" x14ac:dyDescent="0.3">
      <c r="A1314">
        <v>186607</v>
      </c>
      <c r="B1314">
        <v>134480696</v>
      </c>
      <c r="C1314" t="s">
        <v>6846</v>
      </c>
      <c r="D1314" t="s">
        <v>6847</v>
      </c>
      <c r="E1314" t="s">
        <v>4901</v>
      </c>
      <c r="F1314" t="s">
        <v>491</v>
      </c>
      <c r="G1314" t="s">
        <v>49</v>
      </c>
      <c r="H1314" t="s">
        <v>50</v>
      </c>
      <c r="I1314" t="s">
        <v>34</v>
      </c>
      <c r="J1314" t="s">
        <v>51</v>
      </c>
      <c r="K1314" t="s">
        <v>41</v>
      </c>
      <c r="L1314" t="s">
        <v>52</v>
      </c>
      <c r="M1314" t="s">
        <v>6848</v>
      </c>
      <c r="N1314" t="s">
        <v>4904</v>
      </c>
      <c r="O1314" t="s">
        <v>91</v>
      </c>
      <c r="P1314" t="s">
        <v>6849</v>
      </c>
      <c r="Q1314" s="14" t="s">
        <v>54</v>
      </c>
      <c r="R1314" t="s">
        <v>3569</v>
      </c>
      <c r="S1314">
        <v>3.38</v>
      </c>
      <c r="T1314">
        <v>7129</v>
      </c>
      <c r="U1314">
        <v>0</v>
      </c>
      <c r="V1314">
        <v>7129</v>
      </c>
    </row>
    <row r="1315" spans="1:22" x14ac:dyDescent="0.3">
      <c r="A1315">
        <v>186607</v>
      </c>
      <c r="B1315">
        <v>134480706</v>
      </c>
      <c r="C1315" t="s">
        <v>6850</v>
      </c>
      <c r="D1315" t="s">
        <v>6851</v>
      </c>
      <c r="E1315" t="s">
        <v>4901</v>
      </c>
      <c r="F1315" t="s">
        <v>491</v>
      </c>
      <c r="G1315" t="s">
        <v>49</v>
      </c>
      <c r="H1315" t="s">
        <v>50</v>
      </c>
      <c r="I1315" t="s">
        <v>34</v>
      </c>
      <c r="J1315" t="s">
        <v>51</v>
      </c>
      <c r="K1315" t="s">
        <v>41</v>
      </c>
      <c r="L1315" t="s">
        <v>52</v>
      </c>
      <c r="M1315" t="s">
        <v>6852</v>
      </c>
      <c r="N1315" t="s">
        <v>4904</v>
      </c>
      <c r="O1315" t="s">
        <v>91</v>
      </c>
      <c r="P1315" t="s">
        <v>6853</v>
      </c>
      <c r="Q1315" s="14" t="s">
        <v>54</v>
      </c>
      <c r="R1315" t="s">
        <v>3569</v>
      </c>
      <c r="S1315">
        <v>2.16</v>
      </c>
      <c r="T1315">
        <v>6800</v>
      </c>
      <c r="U1315">
        <v>0</v>
      </c>
      <c r="V1315">
        <v>6800</v>
      </c>
    </row>
    <row r="1316" spans="1:22" x14ac:dyDescent="0.3">
      <c r="A1316">
        <v>186607</v>
      </c>
      <c r="B1316">
        <v>134545210</v>
      </c>
      <c r="C1316" t="s">
        <v>6854</v>
      </c>
      <c r="D1316" t="s">
        <v>6855</v>
      </c>
      <c r="E1316" t="s">
        <v>4901</v>
      </c>
      <c r="F1316" t="s">
        <v>491</v>
      </c>
      <c r="G1316" t="s">
        <v>49</v>
      </c>
      <c r="H1316" t="s">
        <v>50</v>
      </c>
      <c r="I1316" t="s">
        <v>34</v>
      </c>
      <c r="J1316" t="s">
        <v>51</v>
      </c>
      <c r="K1316" t="s">
        <v>41</v>
      </c>
      <c r="L1316" t="s">
        <v>52</v>
      </c>
      <c r="M1316" t="s">
        <v>6856</v>
      </c>
      <c r="N1316" t="s">
        <v>4904</v>
      </c>
      <c r="O1316" t="s">
        <v>91</v>
      </c>
      <c r="P1316" t="s">
        <v>6857</v>
      </c>
      <c r="Q1316" s="14" t="s">
        <v>171</v>
      </c>
      <c r="R1316" t="s">
        <v>6858</v>
      </c>
      <c r="S1316">
        <v>1.95</v>
      </c>
      <c r="T1316">
        <v>4168</v>
      </c>
      <c r="U1316">
        <v>0</v>
      </c>
      <c r="V1316">
        <v>4168</v>
      </c>
    </row>
    <row r="1317" spans="1:22" x14ac:dyDescent="0.3">
      <c r="A1317">
        <v>186607</v>
      </c>
      <c r="B1317">
        <v>134709652</v>
      </c>
      <c r="C1317" t="s">
        <v>6859</v>
      </c>
      <c r="D1317" t="s">
        <v>6860</v>
      </c>
      <c r="E1317" t="s">
        <v>4901</v>
      </c>
      <c r="F1317" t="s">
        <v>491</v>
      </c>
      <c r="G1317" t="s">
        <v>49</v>
      </c>
      <c r="H1317" t="s">
        <v>50</v>
      </c>
      <c r="I1317" t="s">
        <v>34</v>
      </c>
      <c r="J1317" t="s">
        <v>51</v>
      </c>
      <c r="K1317" t="s">
        <v>41</v>
      </c>
      <c r="L1317" t="s">
        <v>52</v>
      </c>
      <c r="M1317" t="s">
        <v>6861</v>
      </c>
      <c r="N1317" t="s">
        <v>4904</v>
      </c>
      <c r="O1317" t="s">
        <v>91</v>
      </c>
      <c r="P1317" t="s">
        <v>6862</v>
      </c>
      <c r="Q1317" s="14" t="s">
        <v>204</v>
      </c>
      <c r="R1317" t="s">
        <v>5383</v>
      </c>
      <c r="S1317">
        <v>2.44</v>
      </c>
      <c r="T1317">
        <v>7015</v>
      </c>
      <c r="U1317">
        <v>0</v>
      </c>
      <c r="V1317">
        <v>7015</v>
      </c>
    </row>
    <row r="1318" spans="1:22" x14ac:dyDescent="0.3">
      <c r="A1318">
        <v>186607</v>
      </c>
      <c r="B1318">
        <v>134709712</v>
      </c>
      <c r="C1318" t="s">
        <v>6863</v>
      </c>
      <c r="D1318" t="s">
        <v>6864</v>
      </c>
      <c r="E1318" t="s">
        <v>4901</v>
      </c>
      <c r="F1318" t="s">
        <v>491</v>
      </c>
      <c r="G1318" t="s">
        <v>49</v>
      </c>
      <c r="H1318" t="s">
        <v>50</v>
      </c>
      <c r="I1318" t="s">
        <v>34</v>
      </c>
      <c r="J1318" t="s">
        <v>51</v>
      </c>
      <c r="K1318" t="s">
        <v>41</v>
      </c>
      <c r="L1318" t="s">
        <v>52</v>
      </c>
      <c r="M1318" t="s">
        <v>6865</v>
      </c>
      <c r="N1318" t="s">
        <v>4904</v>
      </c>
      <c r="O1318" t="s">
        <v>91</v>
      </c>
      <c r="P1318" t="s">
        <v>6866</v>
      </c>
      <c r="Q1318" s="14" t="s">
        <v>190</v>
      </c>
      <c r="R1318" t="s">
        <v>5383</v>
      </c>
      <c r="S1318">
        <v>1.81</v>
      </c>
      <c r="T1318">
        <v>7087</v>
      </c>
      <c r="U1318">
        <v>0</v>
      </c>
      <c r="V1318">
        <v>7087</v>
      </c>
    </row>
    <row r="1319" spans="1:22" x14ac:dyDescent="0.3">
      <c r="A1319">
        <v>186607</v>
      </c>
      <c r="B1319">
        <v>134709719</v>
      </c>
      <c r="C1319" t="s">
        <v>6867</v>
      </c>
      <c r="D1319" t="s">
        <v>6868</v>
      </c>
      <c r="E1319" t="s">
        <v>4901</v>
      </c>
      <c r="F1319" t="s">
        <v>491</v>
      </c>
      <c r="G1319" t="s">
        <v>49</v>
      </c>
      <c r="H1319" t="s">
        <v>50</v>
      </c>
      <c r="I1319" t="s">
        <v>34</v>
      </c>
      <c r="J1319" t="s">
        <v>51</v>
      </c>
      <c r="K1319" t="s">
        <v>41</v>
      </c>
      <c r="L1319" t="s">
        <v>52</v>
      </c>
      <c r="M1319" t="s">
        <v>6869</v>
      </c>
      <c r="N1319" t="s">
        <v>4904</v>
      </c>
      <c r="O1319" t="s">
        <v>91</v>
      </c>
      <c r="P1319" t="s">
        <v>6870</v>
      </c>
      <c r="Q1319" s="14" t="s">
        <v>318</v>
      </c>
      <c r="R1319" t="s">
        <v>369</v>
      </c>
      <c r="S1319">
        <v>3.02</v>
      </c>
      <c r="T1319">
        <v>18881</v>
      </c>
      <c r="U1319">
        <v>0</v>
      </c>
      <c r="V1319">
        <v>18881</v>
      </c>
    </row>
    <row r="1320" spans="1:22" x14ac:dyDescent="0.3">
      <c r="A1320">
        <v>186607</v>
      </c>
      <c r="B1320">
        <v>134480714</v>
      </c>
      <c r="C1320" t="s">
        <v>6871</v>
      </c>
      <c r="D1320" t="s">
        <v>6872</v>
      </c>
      <c r="E1320" t="s">
        <v>4901</v>
      </c>
      <c r="F1320" t="s">
        <v>491</v>
      </c>
      <c r="G1320" t="s">
        <v>49</v>
      </c>
      <c r="H1320" t="s">
        <v>50</v>
      </c>
      <c r="I1320" t="s">
        <v>34</v>
      </c>
      <c r="J1320" t="s">
        <v>51</v>
      </c>
      <c r="K1320" t="s">
        <v>41</v>
      </c>
      <c r="L1320" t="s">
        <v>52</v>
      </c>
      <c r="M1320" t="s">
        <v>6873</v>
      </c>
      <c r="N1320" t="s">
        <v>4904</v>
      </c>
      <c r="O1320" t="s">
        <v>91</v>
      </c>
      <c r="P1320" t="s">
        <v>6874</v>
      </c>
      <c r="Q1320" s="14" t="s">
        <v>87</v>
      </c>
      <c r="R1320" t="s">
        <v>3569</v>
      </c>
      <c r="S1320">
        <v>2.02</v>
      </c>
      <c r="T1320">
        <v>6800</v>
      </c>
      <c r="U1320">
        <v>0</v>
      </c>
      <c r="V1320">
        <v>6800</v>
      </c>
    </row>
    <row r="1321" spans="1:22" x14ac:dyDescent="0.3">
      <c r="A1321">
        <v>186607</v>
      </c>
      <c r="B1321">
        <v>134502134</v>
      </c>
      <c r="C1321" t="s">
        <v>6875</v>
      </c>
      <c r="D1321" t="s">
        <v>6876</v>
      </c>
      <c r="E1321" t="s">
        <v>4901</v>
      </c>
      <c r="F1321" t="s">
        <v>491</v>
      </c>
      <c r="G1321" t="s">
        <v>49</v>
      </c>
      <c r="H1321" t="s">
        <v>50</v>
      </c>
      <c r="I1321" t="s">
        <v>34</v>
      </c>
      <c r="J1321" t="s">
        <v>51</v>
      </c>
      <c r="K1321" t="s">
        <v>41</v>
      </c>
      <c r="L1321" t="s">
        <v>52</v>
      </c>
      <c r="M1321" t="s">
        <v>6877</v>
      </c>
      <c r="N1321" t="s">
        <v>4904</v>
      </c>
      <c r="O1321" t="s">
        <v>91</v>
      </c>
      <c r="P1321" t="s">
        <v>6878</v>
      </c>
      <c r="Q1321" s="14" t="s">
        <v>59</v>
      </c>
      <c r="R1321" t="s">
        <v>5978</v>
      </c>
      <c r="S1321">
        <v>2.75</v>
      </c>
      <c r="T1321">
        <v>4168</v>
      </c>
      <c r="U1321">
        <v>0</v>
      </c>
      <c r="V1321">
        <v>4168</v>
      </c>
    </row>
    <row r="1322" spans="1:22" x14ac:dyDescent="0.3">
      <c r="A1322">
        <v>186607</v>
      </c>
      <c r="B1322">
        <v>134414893</v>
      </c>
      <c r="C1322" t="s">
        <v>6879</v>
      </c>
      <c r="D1322" t="s">
        <v>6880</v>
      </c>
      <c r="E1322" t="s">
        <v>4901</v>
      </c>
      <c r="F1322" t="s">
        <v>491</v>
      </c>
      <c r="G1322" t="s">
        <v>49</v>
      </c>
      <c r="H1322" t="s">
        <v>50</v>
      </c>
      <c r="I1322" t="s">
        <v>34</v>
      </c>
      <c r="J1322" t="s">
        <v>51</v>
      </c>
      <c r="K1322" t="s">
        <v>41</v>
      </c>
      <c r="L1322" t="s">
        <v>52</v>
      </c>
      <c r="M1322" t="s">
        <v>425</v>
      </c>
      <c r="N1322" t="s">
        <v>4904</v>
      </c>
      <c r="O1322" t="s">
        <v>91</v>
      </c>
      <c r="P1322" t="s">
        <v>6881</v>
      </c>
      <c r="Q1322" s="14" t="s">
        <v>171</v>
      </c>
      <c r="R1322" t="s">
        <v>6882</v>
      </c>
      <c r="S1322">
        <v>4.08</v>
      </c>
      <c r="T1322">
        <v>4537</v>
      </c>
      <c r="U1322">
        <v>0</v>
      </c>
      <c r="V1322">
        <v>4537</v>
      </c>
    </row>
    <row r="1323" spans="1:22" x14ac:dyDescent="0.3">
      <c r="A1323">
        <v>8326</v>
      </c>
      <c r="B1323">
        <v>135399012</v>
      </c>
      <c r="C1323" t="s">
        <v>6883</v>
      </c>
      <c r="D1323" t="s">
        <v>6884</v>
      </c>
      <c r="E1323" t="s">
        <v>6885</v>
      </c>
      <c r="F1323" t="s">
        <v>491</v>
      </c>
      <c r="G1323" t="s">
        <v>44</v>
      </c>
      <c r="H1323" t="s">
        <v>45</v>
      </c>
      <c r="I1323" t="s">
        <v>34</v>
      </c>
      <c r="J1323" t="s">
        <v>46</v>
      </c>
      <c r="K1323" t="s">
        <v>41</v>
      </c>
      <c r="L1323" t="s">
        <v>6886</v>
      </c>
      <c r="M1323" t="s">
        <v>6887</v>
      </c>
      <c r="N1323" t="s">
        <v>494</v>
      </c>
      <c r="O1323" t="s">
        <v>69</v>
      </c>
      <c r="P1323" t="s">
        <v>6888</v>
      </c>
      <c r="Q1323" s="14" t="s">
        <v>85</v>
      </c>
      <c r="R1323" t="s">
        <v>6889</v>
      </c>
      <c r="S1323">
        <v>0.57999999999999996</v>
      </c>
      <c r="T1323">
        <v>3784</v>
      </c>
      <c r="U1323">
        <v>0</v>
      </c>
      <c r="V1323">
        <v>3784</v>
      </c>
    </row>
    <row r="1324" spans="1:22" x14ac:dyDescent="0.3">
      <c r="A1324">
        <v>8326</v>
      </c>
      <c r="B1324">
        <v>135399595</v>
      </c>
      <c r="C1324" t="s">
        <v>6890</v>
      </c>
      <c r="D1324" t="s">
        <v>6891</v>
      </c>
      <c r="E1324" t="s">
        <v>6885</v>
      </c>
      <c r="F1324" t="s">
        <v>491</v>
      </c>
      <c r="G1324" t="s">
        <v>44</v>
      </c>
      <c r="H1324" t="s">
        <v>45</v>
      </c>
      <c r="I1324" t="s">
        <v>34</v>
      </c>
      <c r="J1324" t="s">
        <v>46</v>
      </c>
      <c r="K1324" t="s">
        <v>41</v>
      </c>
      <c r="L1324" t="s">
        <v>6892</v>
      </c>
      <c r="M1324" t="s">
        <v>6893</v>
      </c>
      <c r="N1324" t="s">
        <v>494</v>
      </c>
      <c r="O1324" t="s">
        <v>69</v>
      </c>
      <c r="P1324" t="s">
        <v>6894</v>
      </c>
      <c r="Q1324" s="14" t="s">
        <v>54</v>
      </c>
      <c r="R1324" t="s">
        <v>247</v>
      </c>
      <c r="S1324">
        <v>0.83</v>
      </c>
      <c r="T1324">
        <v>3366</v>
      </c>
      <c r="U1324">
        <v>0</v>
      </c>
      <c r="V1324">
        <v>3366</v>
      </c>
    </row>
    <row r="1325" spans="1:22" x14ac:dyDescent="0.3">
      <c r="A1325">
        <v>8326</v>
      </c>
      <c r="B1325">
        <v>135358984</v>
      </c>
      <c r="C1325" t="s">
        <v>6895</v>
      </c>
      <c r="D1325" t="s">
        <v>6896</v>
      </c>
      <c r="E1325" t="s">
        <v>6885</v>
      </c>
      <c r="F1325" t="s">
        <v>491</v>
      </c>
      <c r="G1325" t="s">
        <v>44</v>
      </c>
      <c r="H1325" t="s">
        <v>45</v>
      </c>
      <c r="I1325" t="s">
        <v>34</v>
      </c>
      <c r="J1325" t="s">
        <v>46</v>
      </c>
      <c r="K1325" t="s">
        <v>41</v>
      </c>
      <c r="L1325" t="s">
        <v>6897</v>
      </c>
      <c r="M1325" t="s">
        <v>6898</v>
      </c>
      <c r="N1325" t="s">
        <v>494</v>
      </c>
      <c r="O1325" t="s">
        <v>69</v>
      </c>
      <c r="P1325" t="s">
        <v>6899</v>
      </c>
      <c r="Q1325" s="14" t="s">
        <v>70</v>
      </c>
      <c r="R1325" t="s">
        <v>249</v>
      </c>
      <c r="S1325">
        <v>2.29</v>
      </c>
      <c r="T1325">
        <v>5198</v>
      </c>
      <c r="U1325">
        <v>0</v>
      </c>
      <c r="V1325">
        <v>5198</v>
      </c>
    </row>
    <row r="1326" spans="1:22" x14ac:dyDescent="0.3">
      <c r="A1326">
        <v>8326</v>
      </c>
      <c r="B1326">
        <v>135271757</v>
      </c>
      <c r="C1326" t="s">
        <v>6900</v>
      </c>
      <c r="D1326" t="s">
        <v>6901</v>
      </c>
      <c r="E1326" t="s">
        <v>6885</v>
      </c>
      <c r="F1326" t="s">
        <v>491</v>
      </c>
      <c r="G1326" t="s">
        <v>44</v>
      </c>
      <c r="H1326" t="s">
        <v>45</v>
      </c>
      <c r="I1326" t="s">
        <v>34</v>
      </c>
      <c r="J1326" t="s">
        <v>46</v>
      </c>
      <c r="K1326" t="s">
        <v>41</v>
      </c>
      <c r="L1326" t="s">
        <v>6902</v>
      </c>
      <c r="M1326" t="s">
        <v>6903</v>
      </c>
      <c r="N1326" t="s">
        <v>494</v>
      </c>
      <c r="O1326" t="s">
        <v>69</v>
      </c>
      <c r="P1326" t="s">
        <v>6904</v>
      </c>
      <c r="Q1326" s="14" t="s">
        <v>82</v>
      </c>
      <c r="R1326" t="s">
        <v>6905</v>
      </c>
      <c r="S1326">
        <v>1.08</v>
      </c>
      <c r="T1326">
        <v>4067</v>
      </c>
      <c r="U1326">
        <v>0</v>
      </c>
      <c r="V1326">
        <v>4067</v>
      </c>
    </row>
    <row r="1327" spans="1:22" x14ac:dyDescent="0.3">
      <c r="A1327">
        <v>8326</v>
      </c>
      <c r="B1327">
        <v>135359594</v>
      </c>
      <c r="C1327" t="s">
        <v>6906</v>
      </c>
      <c r="D1327" t="s">
        <v>6907</v>
      </c>
      <c r="E1327" t="s">
        <v>6885</v>
      </c>
      <c r="F1327" t="s">
        <v>491</v>
      </c>
      <c r="G1327" t="s">
        <v>44</v>
      </c>
      <c r="H1327" t="s">
        <v>45</v>
      </c>
      <c r="I1327" t="s">
        <v>34</v>
      </c>
      <c r="J1327" t="s">
        <v>46</v>
      </c>
      <c r="K1327" t="s">
        <v>41</v>
      </c>
      <c r="L1327" t="s">
        <v>6908</v>
      </c>
      <c r="M1327" t="s">
        <v>6909</v>
      </c>
      <c r="N1327" t="s">
        <v>494</v>
      </c>
      <c r="O1327" t="s">
        <v>69</v>
      </c>
      <c r="P1327" t="s">
        <v>6910</v>
      </c>
      <c r="Q1327" s="14" t="s">
        <v>109</v>
      </c>
      <c r="R1327" t="s">
        <v>390</v>
      </c>
      <c r="S1327">
        <v>1.57</v>
      </c>
      <c r="T1327">
        <v>3784</v>
      </c>
      <c r="U1327">
        <v>0</v>
      </c>
      <c r="V1327">
        <v>3784</v>
      </c>
    </row>
    <row r="1328" spans="1:22" x14ac:dyDescent="0.3">
      <c r="A1328">
        <v>8326</v>
      </c>
      <c r="B1328">
        <v>135242477</v>
      </c>
      <c r="C1328" t="s">
        <v>6911</v>
      </c>
      <c r="D1328" t="s">
        <v>6912</v>
      </c>
      <c r="E1328" t="s">
        <v>6885</v>
      </c>
      <c r="F1328" t="s">
        <v>491</v>
      </c>
      <c r="G1328" t="s">
        <v>44</v>
      </c>
      <c r="H1328" t="s">
        <v>45</v>
      </c>
      <c r="I1328" t="s">
        <v>34</v>
      </c>
      <c r="J1328" t="s">
        <v>46</v>
      </c>
      <c r="K1328" t="s">
        <v>41</v>
      </c>
      <c r="L1328" t="s">
        <v>6913</v>
      </c>
      <c r="M1328" t="s">
        <v>6914</v>
      </c>
      <c r="N1328" t="s">
        <v>494</v>
      </c>
      <c r="O1328" t="s">
        <v>69</v>
      </c>
      <c r="P1328" t="s">
        <v>6915</v>
      </c>
      <c r="Q1328" s="14" t="s">
        <v>42</v>
      </c>
      <c r="R1328" t="s">
        <v>401</v>
      </c>
      <c r="S1328">
        <v>0.69</v>
      </c>
      <c r="T1328">
        <v>3501</v>
      </c>
      <c r="U1328">
        <v>0</v>
      </c>
      <c r="V1328">
        <v>3501</v>
      </c>
    </row>
    <row r="1329" spans="1:22" x14ac:dyDescent="0.3">
      <c r="A1329">
        <v>8326</v>
      </c>
      <c r="B1329">
        <v>135240323</v>
      </c>
      <c r="C1329" t="s">
        <v>6916</v>
      </c>
      <c r="D1329" t="s">
        <v>6917</v>
      </c>
      <c r="E1329" t="s">
        <v>6885</v>
      </c>
      <c r="F1329" t="s">
        <v>491</v>
      </c>
      <c r="G1329" t="s">
        <v>44</v>
      </c>
      <c r="H1329" t="s">
        <v>45</v>
      </c>
      <c r="I1329" t="s">
        <v>34</v>
      </c>
      <c r="J1329" t="s">
        <v>46</v>
      </c>
      <c r="K1329" t="s">
        <v>41</v>
      </c>
      <c r="L1329" t="s">
        <v>6918</v>
      </c>
      <c r="M1329" t="s">
        <v>6919</v>
      </c>
      <c r="N1329" t="s">
        <v>494</v>
      </c>
      <c r="O1329" t="s">
        <v>69</v>
      </c>
      <c r="P1329" t="s">
        <v>6920</v>
      </c>
      <c r="Q1329" s="14" t="s">
        <v>179</v>
      </c>
      <c r="R1329" t="s">
        <v>6921</v>
      </c>
      <c r="S1329">
        <v>0.57999999999999996</v>
      </c>
      <c r="T1329">
        <v>3366</v>
      </c>
      <c r="U1329">
        <v>0</v>
      </c>
      <c r="V1329">
        <v>3366</v>
      </c>
    </row>
    <row r="1330" spans="1:22" x14ac:dyDescent="0.3">
      <c r="A1330">
        <v>8326</v>
      </c>
      <c r="B1330">
        <v>135094043</v>
      </c>
      <c r="C1330" t="s">
        <v>6922</v>
      </c>
      <c r="D1330" t="s">
        <v>6923</v>
      </c>
      <c r="E1330" t="s">
        <v>6885</v>
      </c>
      <c r="F1330" t="s">
        <v>491</v>
      </c>
      <c r="G1330" t="s">
        <v>44</v>
      </c>
      <c r="H1330" t="s">
        <v>45</v>
      </c>
      <c r="I1330" t="s">
        <v>34</v>
      </c>
      <c r="J1330" t="s">
        <v>46</v>
      </c>
      <c r="K1330" t="s">
        <v>41</v>
      </c>
      <c r="L1330" t="s">
        <v>6924</v>
      </c>
      <c r="M1330" t="s">
        <v>6925</v>
      </c>
      <c r="N1330" t="s">
        <v>494</v>
      </c>
      <c r="O1330" t="s">
        <v>69</v>
      </c>
      <c r="P1330" t="s">
        <v>6926</v>
      </c>
      <c r="Q1330" s="14" t="s">
        <v>145</v>
      </c>
      <c r="R1330" t="s">
        <v>278</v>
      </c>
      <c r="S1330">
        <v>24</v>
      </c>
      <c r="T1330">
        <v>19948</v>
      </c>
      <c r="U1330">
        <v>0</v>
      </c>
      <c r="V1330">
        <v>19948</v>
      </c>
    </row>
    <row r="1331" spans="1:22" x14ac:dyDescent="0.3">
      <c r="A1331">
        <v>8326</v>
      </c>
      <c r="B1331">
        <v>135074709</v>
      </c>
      <c r="C1331" t="s">
        <v>6927</v>
      </c>
      <c r="D1331" t="s">
        <v>6928</v>
      </c>
      <c r="E1331" t="s">
        <v>6885</v>
      </c>
      <c r="F1331" t="s">
        <v>491</v>
      </c>
      <c r="G1331" t="s">
        <v>44</v>
      </c>
      <c r="H1331" t="s">
        <v>45</v>
      </c>
      <c r="I1331" t="s">
        <v>34</v>
      </c>
      <c r="J1331" t="s">
        <v>46</v>
      </c>
      <c r="K1331" t="s">
        <v>41</v>
      </c>
      <c r="L1331" t="s">
        <v>6929</v>
      </c>
      <c r="M1331" t="s">
        <v>6930</v>
      </c>
      <c r="N1331" t="s">
        <v>494</v>
      </c>
      <c r="O1331" t="s">
        <v>69</v>
      </c>
      <c r="P1331" t="s">
        <v>6931</v>
      </c>
      <c r="Q1331" s="14" t="s">
        <v>169</v>
      </c>
      <c r="R1331" t="s">
        <v>6932</v>
      </c>
      <c r="S1331">
        <v>3.42</v>
      </c>
      <c r="T1331">
        <v>5111</v>
      </c>
      <c r="U1331">
        <v>0</v>
      </c>
      <c r="V1331">
        <v>5111</v>
      </c>
    </row>
    <row r="1332" spans="1:22" x14ac:dyDescent="0.3">
      <c r="A1332">
        <v>8326</v>
      </c>
      <c r="B1332">
        <v>135057762</v>
      </c>
      <c r="C1332" t="s">
        <v>6933</v>
      </c>
      <c r="D1332" t="s">
        <v>6934</v>
      </c>
      <c r="E1332" t="s">
        <v>6885</v>
      </c>
      <c r="F1332" t="s">
        <v>491</v>
      </c>
      <c r="G1332" t="s">
        <v>44</v>
      </c>
      <c r="H1332" t="s">
        <v>45</v>
      </c>
      <c r="I1332" t="s">
        <v>34</v>
      </c>
      <c r="J1332" t="s">
        <v>46</v>
      </c>
      <c r="K1332" t="s">
        <v>41</v>
      </c>
      <c r="L1332" t="s">
        <v>6935</v>
      </c>
      <c r="M1332" t="s">
        <v>6936</v>
      </c>
      <c r="N1332" t="s">
        <v>494</v>
      </c>
      <c r="O1332" t="s">
        <v>69</v>
      </c>
      <c r="P1332" t="s">
        <v>6937</v>
      </c>
      <c r="Q1332" s="14" t="s">
        <v>77</v>
      </c>
      <c r="R1332" t="s">
        <v>342</v>
      </c>
      <c r="S1332">
        <v>11.05</v>
      </c>
      <c r="T1332">
        <v>7031</v>
      </c>
      <c r="U1332">
        <v>0</v>
      </c>
      <c r="V1332">
        <v>7031</v>
      </c>
    </row>
    <row r="1333" spans="1:22" x14ac:dyDescent="0.3">
      <c r="A1333">
        <v>8326</v>
      </c>
      <c r="B1333">
        <v>134844913</v>
      </c>
      <c r="C1333" t="s">
        <v>6938</v>
      </c>
      <c r="D1333" t="s">
        <v>6939</v>
      </c>
      <c r="E1333" t="s">
        <v>6885</v>
      </c>
      <c r="F1333" t="s">
        <v>491</v>
      </c>
      <c r="G1333" t="s">
        <v>44</v>
      </c>
      <c r="H1333" t="s">
        <v>45</v>
      </c>
      <c r="I1333" t="s">
        <v>34</v>
      </c>
      <c r="J1333" t="s">
        <v>46</v>
      </c>
      <c r="K1333" t="s">
        <v>41</v>
      </c>
      <c r="L1333" t="s">
        <v>6940</v>
      </c>
      <c r="M1333" t="s">
        <v>6941</v>
      </c>
      <c r="N1333" t="s">
        <v>494</v>
      </c>
      <c r="O1333" t="s">
        <v>69</v>
      </c>
      <c r="P1333" t="s">
        <v>400</v>
      </c>
      <c r="Q1333" s="14" t="s">
        <v>97</v>
      </c>
      <c r="R1333" t="s">
        <v>6942</v>
      </c>
      <c r="S1333">
        <v>1</v>
      </c>
      <c r="T1333">
        <v>4173</v>
      </c>
      <c r="U1333">
        <v>0</v>
      </c>
      <c r="V1333">
        <v>4173</v>
      </c>
    </row>
    <row r="1334" spans="1:22" x14ac:dyDescent="0.3">
      <c r="A1334">
        <v>8326</v>
      </c>
      <c r="B1334">
        <v>135012722</v>
      </c>
      <c r="C1334" t="s">
        <v>6943</v>
      </c>
      <c r="D1334" t="s">
        <v>6944</v>
      </c>
      <c r="E1334" t="s">
        <v>6885</v>
      </c>
      <c r="F1334" t="s">
        <v>491</v>
      </c>
      <c r="G1334" t="s">
        <v>44</v>
      </c>
      <c r="H1334" t="s">
        <v>45</v>
      </c>
      <c r="I1334" t="s">
        <v>34</v>
      </c>
      <c r="J1334" t="s">
        <v>46</v>
      </c>
      <c r="K1334" t="s">
        <v>41</v>
      </c>
      <c r="L1334" t="s">
        <v>6945</v>
      </c>
      <c r="M1334" t="s">
        <v>6946</v>
      </c>
      <c r="N1334" t="s">
        <v>494</v>
      </c>
      <c r="O1334" t="s">
        <v>69</v>
      </c>
      <c r="P1334" t="s">
        <v>6947</v>
      </c>
      <c r="Q1334" s="14" t="s">
        <v>42</v>
      </c>
      <c r="R1334" t="s">
        <v>6948</v>
      </c>
      <c r="S1334">
        <v>1.26</v>
      </c>
      <c r="T1334">
        <v>3501</v>
      </c>
      <c r="U1334">
        <v>0</v>
      </c>
      <c r="V1334">
        <v>3501</v>
      </c>
    </row>
    <row r="1335" spans="1:22" x14ac:dyDescent="0.3">
      <c r="A1335">
        <v>8326</v>
      </c>
      <c r="B1335">
        <v>134862569</v>
      </c>
      <c r="C1335" t="s">
        <v>6949</v>
      </c>
      <c r="D1335" t="s">
        <v>6950</v>
      </c>
      <c r="E1335" t="s">
        <v>6885</v>
      </c>
      <c r="F1335" t="s">
        <v>491</v>
      </c>
      <c r="G1335" t="s">
        <v>44</v>
      </c>
      <c r="H1335" t="s">
        <v>45</v>
      </c>
      <c r="I1335" t="s">
        <v>34</v>
      </c>
      <c r="J1335" t="s">
        <v>46</v>
      </c>
      <c r="K1335" t="s">
        <v>41</v>
      </c>
      <c r="L1335" t="s">
        <v>6951</v>
      </c>
      <c r="M1335" t="s">
        <v>6952</v>
      </c>
      <c r="N1335" t="s">
        <v>494</v>
      </c>
      <c r="O1335" t="s">
        <v>69</v>
      </c>
      <c r="P1335" t="s">
        <v>6953</v>
      </c>
      <c r="Q1335" s="14" t="s">
        <v>169</v>
      </c>
      <c r="R1335" t="s">
        <v>6954</v>
      </c>
      <c r="S1335">
        <v>1</v>
      </c>
      <c r="T1335">
        <v>4067</v>
      </c>
      <c r="U1335">
        <v>0</v>
      </c>
      <c r="V1335">
        <v>4067</v>
      </c>
    </row>
    <row r="1336" spans="1:22" x14ac:dyDescent="0.3">
      <c r="A1336">
        <v>8326</v>
      </c>
      <c r="B1336">
        <v>135397848</v>
      </c>
      <c r="C1336" t="s">
        <v>6955</v>
      </c>
      <c r="D1336" t="s">
        <v>6956</v>
      </c>
      <c r="E1336" t="s">
        <v>6885</v>
      </c>
      <c r="F1336" t="s">
        <v>491</v>
      </c>
      <c r="G1336" t="s">
        <v>49</v>
      </c>
      <c r="H1336" t="s">
        <v>50</v>
      </c>
      <c r="I1336" t="s">
        <v>34</v>
      </c>
      <c r="J1336" t="s">
        <v>51</v>
      </c>
      <c r="K1336" t="s">
        <v>41</v>
      </c>
      <c r="L1336" t="s">
        <v>52</v>
      </c>
      <c r="M1336" t="s">
        <v>4664</v>
      </c>
      <c r="N1336" t="s">
        <v>494</v>
      </c>
      <c r="O1336" t="s">
        <v>69</v>
      </c>
      <c r="P1336" t="s">
        <v>4665</v>
      </c>
      <c r="Q1336" s="14" t="s">
        <v>83</v>
      </c>
      <c r="R1336" t="s">
        <v>6957</v>
      </c>
      <c r="S1336">
        <v>3.62</v>
      </c>
      <c r="T1336">
        <v>7129</v>
      </c>
      <c r="U1336">
        <v>0</v>
      </c>
      <c r="V1336">
        <v>7129</v>
      </c>
    </row>
    <row r="1337" spans="1:22" x14ac:dyDescent="0.3">
      <c r="A1337">
        <v>8326</v>
      </c>
      <c r="B1337">
        <v>135398577</v>
      </c>
      <c r="C1337" t="s">
        <v>6958</v>
      </c>
      <c r="D1337" t="s">
        <v>6959</v>
      </c>
      <c r="E1337" t="s">
        <v>6885</v>
      </c>
      <c r="F1337" t="s">
        <v>491</v>
      </c>
      <c r="G1337" t="s">
        <v>49</v>
      </c>
      <c r="H1337" t="s">
        <v>50</v>
      </c>
      <c r="I1337" t="s">
        <v>34</v>
      </c>
      <c r="J1337" t="s">
        <v>51</v>
      </c>
      <c r="K1337" t="s">
        <v>41</v>
      </c>
      <c r="L1337" t="s">
        <v>52</v>
      </c>
      <c r="M1337" t="s">
        <v>6960</v>
      </c>
      <c r="N1337" t="s">
        <v>494</v>
      </c>
      <c r="O1337" t="s">
        <v>69</v>
      </c>
      <c r="P1337" t="s">
        <v>6961</v>
      </c>
      <c r="Q1337" s="14" t="s">
        <v>114</v>
      </c>
      <c r="R1337" t="s">
        <v>6962</v>
      </c>
      <c r="S1337">
        <v>4.07</v>
      </c>
      <c r="T1337">
        <v>7449</v>
      </c>
      <c r="U1337">
        <v>0</v>
      </c>
      <c r="V1337">
        <v>7449</v>
      </c>
    </row>
    <row r="1338" spans="1:22" x14ac:dyDescent="0.3">
      <c r="A1338">
        <v>8326</v>
      </c>
      <c r="B1338">
        <v>134597419</v>
      </c>
      <c r="C1338" t="s">
        <v>6963</v>
      </c>
      <c r="D1338" t="s">
        <v>6964</v>
      </c>
      <c r="E1338" t="s">
        <v>6885</v>
      </c>
      <c r="F1338" t="s">
        <v>491</v>
      </c>
      <c r="G1338" t="s">
        <v>49</v>
      </c>
      <c r="H1338" t="s">
        <v>50</v>
      </c>
      <c r="I1338" t="s">
        <v>34</v>
      </c>
      <c r="J1338" t="s">
        <v>51</v>
      </c>
      <c r="K1338" t="s">
        <v>41</v>
      </c>
      <c r="L1338" t="s">
        <v>52</v>
      </c>
      <c r="M1338" t="s">
        <v>6965</v>
      </c>
      <c r="N1338" t="s">
        <v>494</v>
      </c>
      <c r="O1338" t="s">
        <v>69</v>
      </c>
      <c r="P1338" t="s">
        <v>6966</v>
      </c>
      <c r="Q1338" s="14" t="s">
        <v>221</v>
      </c>
      <c r="R1338" t="s">
        <v>465</v>
      </c>
      <c r="S1338">
        <v>1.29</v>
      </c>
      <c r="T1338">
        <v>7146</v>
      </c>
      <c r="U1338">
        <v>0</v>
      </c>
      <c r="V1338">
        <v>7146</v>
      </c>
    </row>
    <row r="1339" spans="1:22" x14ac:dyDescent="0.3">
      <c r="A1339">
        <v>192770</v>
      </c>
      <c r="B1339">
        <v>135147002</v>
      </c>
      <c r="C1339" t="s">
        <v>6967</v>
      </c>
      <c r="D1339" t="s">
        <v>6968</v>
      </c>
      <c r="E1339" t="s">
        <v>6969</v>
      </c>
      <c r="F1339" t="s">
        <v>491</v>
      </c>
      <c r="G1339" t="s">
        <v>44</v>
      </c>
      <c r="H1339" t="s">
        <v>45</v>
      </c>
      <c r="I1339" t="s">
        <v>34</v>
      </c>
      <c r="J1339" t="s">
        <v>46</v>
      </c>
      <c r="K1339" t="s">
        <v>41</v>
      </c>
      <c r="L1339" t="s">
        <v>6970</v>
      </c>
      <c r="M1339" t="s">
        <v>6971</v>
      </c>
      <c r="N1339" t="s">
        <v>494</v>
      </c>
      <c r="O1339" t="s">
        <v>69</v>
      </c>
      <c r="P1339" t="s">
        <v>6972</v>
      </c>
      <c r="Q1339" s="14" t="s">
        <v>178</v>
      </c>
      <c r="R1339" t="s">
        <v>6973</v>
      </c>
      <c r="S1339">
        <v>0.75</v>
      </c>
      <c r="T1339">
        <v>5476</v>
      </c>
      <c r="U1339">
        <v>0</v>
      </c>
      <c r="V1339">
        <v>5476</v>
      </c>
    </row>
    <row r="1340" spans="1:22" x14ac:dyDescent="0.3">
      <c r="A1340">
        <v>192770</v>
      </c>
      <c r="B1340">
        <v>135147003</v>
      </c>
      <c r="C1340" t="s">
        <v>6974</v>
      </c>
      <c r="D1340" t="s">
        <v>6975</v>
      </c>
      <c r="E1340" t="s">
        <v>6969</v>
      </c>
      <c r="F1340" t="s">
        <v>491</v>
      </c>
      <c r="G1340" t="s">
        <v>44</v>
      </c>
      <c r="H1340" t="s">
        <v>45</v>
      </c>
      <c r="I1340" t="s">
        <v>34</v>
      </c>
      <c r="J1340" t="s">
        <v>46</v>
      </c>
      <c r="K1340" t="s">
        <v>116</v>
      </c>
      <c r="L1340" t="s">
        <v>248</v>
      </c>
      <c r="M1340" t="s">
        <v>6976</v>
      </c>
      <c r="N1340" t="s">
        <v>494</v>
      </c>
      <c r="O1340" t="s">
        <v>69</v>
      </c>
      <c r="P1340" t="s">
        <v>6977</v>
      </c>
      <c r="Q1340" s="14" t="s">
        <v>115</v>
      </c>
      <c r="R1340" t="s">
        <v>6973</v>
      </c>
      <c r="S1340">
        <v>0.75</v>
      </c>
      <c r="T1340">
        <v>4067</v>
      </c>
      <c r="U1340">
        <v>0</v>
      </c>
      <c r="V1340">
        <v>4067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2025-12-10T19:07:38Z</dcterms:modified>
</cp:coreProperties>
</file>